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codeName="ThisWorkbook" defaultThemeVersion="124226"/>
  <mc:AlternateContent xmlns:mc="http://schemas.openxmlformats.org/markup-compatibility/2006">
    <mc:Choice Requires="x15">
      <x15ac:absPath xmlns:x15ac="http://schemas.microsoft.com/office/spreadsheetml/2010/11/ac" url="T:\Use of System\Price Reviews\2027-04-01\Statements\Excel Documents\"/>
    </mc:Choice>
  </mc:AlternateContent>
  <xr:revisionPtr revIDLastSave="0" documentId="13_ncr:1_{279509B3-AF6A-4078-8BF5-456DC4AC580E}" xr6:coauthVersionLast="47" xr6:coauthVersionMax="47" xr10:uidLastSave="{00000000-0000-0000-0000-000000000000}"/>
  <bookViews>
    <workbookView xWindow="-120" yWindow="-120" windowWidth="29040" windowHeight="15720" tabRatio="862" xr2:uid="{00000000-000D-0000-FFFF-FFFF00000000}"/>
  </bookViews>
  <sheets>
    <sheet name="Overview" sheetId="1" r:id="rId1"/>
    <sheet name="Annex 1 LV, HV and UMS charges" sheetId="2" r:id="rId2"/>
    <sheet name="Annex 2 Designated EHV charges" sheetId="12" r:id="rId3"/>
    <sheet name="Annex 2a Import" sheetId="13" r:id="rId4"/>
    <sheet name="Annex 2b Export" sheetId="14" r:id="rId5"/>
    <sheet name="Annex 3 Preserved charges" sheetId="4" r:id="rId6"/>
    <sheet name="Annex 4 LDNO charges" sheetId="5" r:id="rId7"/>
    <sheet name="Annex 5 LLFs" sheetId="6" r:id="rId8"/>
    <sheet name="Annex 6 New or Amended EHV" sheetId="8" r:id="rId9"/>
    <sheet name="Annex 7 Pass-Through Costs" sheetId="24" r:id="rId10"/>
    <sheet name="Nodal prices" sheetId="7" r:id="rId11"/>
    <sheet name="SSC unit rate lookup" sheetId="20" r:id="rId12"/>
    <sheet name="Residual Charging Bands" sheetId="26" r:id="rId13"/>
    <sheet name="TNUoS Mapping" sheetId="27" r:id="rId14"/>
    <sheet name="Charge Calculator" sheetId="15" r:id="rId15"/>
  </sheets>
  <definedNames>
    <definedName name="_xlnm._FilterDatabase" localSheetId="2" hidden="1">'Annex 2 Designated EHV charges'!$A$9:$P$330</definedName>
    <definedName name="_xlnm._FilterDatabase" localSheetId="3" hidden="1">'Annex 2a Import'!$A$4:$P$295</definedName>
    <definedName name="_xlnm._FilterDatabase" localSheetId="6" hidden="1">'Annex 4 LDNO charges'!$A$11:$J$201</definedName>
    <definedName name="_xlnm._FilterDatabase" localSheetId="9" hidden="1">'Annex 7 Pass-Through Costs'!$A$4:$E$4</definedName>
    <definedName name="_xlnm._FilterDatabase" localSheetId="10" hidden="1">'Nodal prices'!$A$4:$D$817</definedName>
    <definedName name="_xlnm._FilterDatabase" localSheetId="11" hidden="1">'SSC unit rate lookup'!$A$28:$D$764</definedName>
    <definedName name="OLE_LINK1" localSheetId="5">'Annex 3 Preserved charges'!#REF!</definedName>
    <definedName name="_xlnm.Print_Area" localSheetId="1">'Annex 1 LV, HV and UMS charges'!$A$2:$K$43</definedName>
    <definedName name="_xlnm.Print_Area" localSheetId="2">'Annex 2 Designated EHV charges'!$A$2:$P$330</definedName>
    <definedName name="_xlnm.Print_Area" localSheetId="3">'Annex 2a Import'!$A$2:$H$150</definedName>
    <definedName name="_xlnm.Print_Area" localSheetId="4">'Annex 2b Export'!$A$2:$H$140</definedName>
    <definedName name="_xlnm.Print_Area" localSheetId="5">'Annex 3 Preserved charges'!$A$2:$J$17</definedName>
    <definedName name="_xlnm.Print_Area" localSheetId="6">'Annex 4 LDNO charges'!$A$2:$J$201</definedName>
    <definedName name="_xlnm.Print_Area" localSheetId="7">'Annex 5 LLFs'!$A$2:$G$47</definedName>
    <definedName name="_xlnm.Print_Area" localSheetId="8">'Annex 6 New or Amended EHV'!$A$2:$S$28</definedName>
    <definedName name="_xlnm.Print_Area" localSheetId="9">'Annex 7 Pass-Through Costs'!$A$2:$E$164</definedName>
    <definedName name="_xlnm.Print_Area" localSheetId="10">'Nodal prices'!$A$2:$D$27</definedName>
    <definedName name="_xlnm.Print_Titles" localSheetId="1">'Annex 1 LV, HV and UMS charges'!$2:$11</definedName>
    <definedName name="_xlnm.Print_Titles" localSheetId="2">'Annex 2 Designated EHV charges'!$9:$9</definedName>
    <definedName name="_xlnm.Print_Titles" localSheetId="3">'Annex 2a Import'!$2:$4</definedName>
    <definedName name="_xlnm.Print_Titles" localSheetId="4">'Annex 2b Export'!$2:$4</definedName>
    <definedName name="_xlnm.Print_Titles" localSheetId="6">'Annex 4 LDNO charges'!$11:$11</definedName>
    <definedName name="_xlnm.Print_Titles" localSheetId="7">'Annex 5 LLFs'!$15:$15</definedName>
    <definedName name="_xlnm.Print_Titles" localSheetId="8">'Annex 6 New or Amended EHV'!$4:$5</definedName>
    <definedName name="_xlnm.Print_Titles" localSheetId="9">'Annex 7 Pass-Through Costs'!$4:$4</definedName>
    <definedName name="_xlnm.Print_Titles" localSheetId="10">'Nodal prices'!$2:$4</definedName>
    <definedName name="_xlnm.Print_Titles" localSheetId="11">'SSC unit rate lookup'!$28:$28</definedName>
    <definedName name="Z_5032A364_B81A_48DA_88DA_AB3B86B47EE9_.wvu.PrintArea" localSheetId="1" hidden="1">'Annex 1 LV, HV and UMS charges'!$A$2:$K$43</definedName>
    <definedName name="Z_5032A364_B81A_48DA_88DA_AB3B86B47EE9_.wvu.PrintArea" localSheetId="2" hidden="1">'Annex 2 Designated EHV charges'!$A$2:$I$19</definedName>
    <definedName name="Z_5032A364_B81A_48DA_88DA_AB3B86B47EE9_.wvu.PrintArea" localSheetId="5" hidden="1">'Annex 3 Preserved charges'!$A$2:$J$17</definedName>
    <definedName name="Z_5032A364_B81A_48DA_88DA_AB3B86B47EE9_.wvu.PrintArea" localSheetId="6" hidden="1">'Annex 4 LDNO charges'!$A$2:$I$9</definedName>
    <definedName name="Z_5032A364_B81A_48DA_88DA_AB3B86B47EE9_.wvu.PrintArea" localSheetId="7" hidden="1">'Annex 5 LLFs'!$A$3:$F$39</definedName>
    <definedName name="Z_5032A364_B81A_48DA_88DA_AB3B86B47EE9_.wvu.PrintArea" localSheetId="8" hidden="1">'Annex 6 New or Amended EHV'!$A$1:$P$28</definedName>
    <definedName name="Z_5032A364_B81A_48DA_88DA_AB3B86B47EE9_.wvu.PrintArea" localSheetId="9" hidden="1">'Annex 7 Pass-Through Costs'!$A$2:$D$5</definedName>
    <definedName name="Z_5032A364_B81A_48DA_88DA_AB3B86B47EE9_.wvu.PrintArea" localSheetId="10" hidden="1">'Nodal prices'!$A$2:$D$27</definedName>
    <definedName name="Z_5032A364_B81A_48DA_88DA_AB3B86B47EE9_.wvu.PrintTitles" localSheetId="1" hidden="1">'Annex 1 LV, HV and UMS charges'!$2:$11</definedName>
    <definedName name="Z_5032A364_B81A_48DA_88DA_AB3B86B47EE9_.wvu.PrintTitles" localSheetId="2" hidden="1">'Annex 2 Designated EHV charges'!$2:$9</definedName>
    <definedName name="Z_5032A364_B81A_48DA_88DA_AB3B86B47EE9_.wvu.PrintTitles" localSheetId="6" hidden="1">'Annex 4 LDNO charges'!$2:$9</definedName>
    <definedName name="Z_5032A364_B81A_48DA_88DA_AB3B86B47EE9_.wvu.PrintTitles" localSheetId="8" hidden="1">'Annex 6 New or Amended EHV'!$4:$5</definedName>
    <definedName name="Z_5032A364_B81A_48DA_88DA_AB3B86B47EE9_.wvu.PrintTitles" localSheetId="9" hidden="1">'Annex 7 Pass-Through Costs'!$2:$4</definedName>
    <definedName name="Z_5032A364_B81A_48DA_88DA_AB3B86B47EE9_.wvu.PrintTitles" localSheetId="10" hidden="1">'Nodal prices'!$2:$4</definedName>
  </definedNames>
  <calcPr calcId="191029"/>
  <customWorkbookViews>
    <customWorkbookView name="Oliver Day - Personal View" guid="{5032A364-B81A-48DA-88DA-AB3B86B47EE9}" mergeInterval="0" personalView="1" maximized="1" xWindow="1" yWindow="1" windowWidth="1280" windowHeight="807" tabRatio="854" activeSheetId="5" showComments="commIndAndComment"/>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 i="14" l="1" a="1"/>
  <c r="A5" i="14" s="1"/>
  <c r="A6" i="14" s="1" a="1"/>
  <c r="A6" i="14" s="1"/>
  <c r="A5" i="13" a="1"/>
  <c r="A5" i="13" s="1"/>
  <c r="T10" i="15"/>
  <c r="S10" i="15"/>
  <c r="R10" i="15"/>
  <c r="Q10" i="15"/>
  <c r="P10" i="15"/>
  <c r="O10" i="15"/>
  <c r="N10" i="15"/>
  <c r="M10" i="15"/>
  <c r="D9" i="15"/>
  <c r="E9" i="15"/>
  <c r="F9" i="15"/>
  <c r="G9" i="15"/>
  <c r="H9" i="15"/>
  <c r="I9" i="15"/>
  <c r="C9" i="15"/>
  <c r="B6" i="24"/>
  <c r="C6" i="24"/>
  <c r="B7" i="24"/>
  <c r="C7" i="24"/>
  <c r="B8" i="24"/>
  <c r="C8" i="24"/>
  <c r="B9" i="24"/>
  <c r="C9" i="24"/>
  <c r="B10" i="24"/>
  <c r="C10" i="24"/>
  <c r="B11" i="24"/>
  <c r="C11" i="24"/>
  <c r="B12" i="24"/>
  <c r="C12" i="24"/>
  <c r="B13" i="24"/>
  <c r="C13" i="24"/>
  <c r="B14" i="24"/>
  <c r="C14" i="24"/>
  <c r="B15" i="24"/>
  <c r="C15" i="24"/>
  <c r="B16" i="24"/>
  <c r="C16" i="24"/>
  <c r="B17" i="24"/>
  <c r="C17" i="24"/>
  <c r="B18" i="24"/>
  <c r="C18" i="24"/>
  <c r="B19" i="24"/>
  <c r="C19" i="24"/>
  <c r="B20" i="24"/>
  <c r="C20" i="24"/>
  <c r="B21" i="24"/>
  <c r="C21" i="24"/>
  <c r="B22" i="24"/>
  <c r="C22" i="24"/>
  <c r="B23" i="24"/>
  <c r="C23" i="24"/>
  <c r="B24" i="24"/>
  <c r="C24" i="24"/>
  <c r="B25" i="24"/>
  <c r="C25" i="24"/>
  <c r="B26" i="24"/>
  <c r="C26" i="24"/>
  <c r="B27" i="24"/>
  <c r="C27" i="24"/>
  <c r="B28" i="24"/>
  <c r="C28" i="24"/>
  <c r="B29" i="24"/>
  <c r="C29" i="24"/>
  <c r="B30" i="24"/>
  <c r="C30" i="24"/>
  <c r="B31" i="24"/>
  <c r="C31" i="24"/>
  <c r="B32" i="24"/>
  <c r="C32" i="24"/>
  <c r="B33" i="24"/>
  <c r="C33" i="24"/>
  <c r="B34" i="24"/>
  <c r="C34" i="24"/>
  <c r="B35" i="24"/>
  <c r="C35" i="24"/>
  <c r="B36" i="24"/>
  <c r="C36" i="24"/>
  <c r="B37" i="24"/>
  <c r="C37" i="24"/>
  <c r="B38" i="24"/>
  <c r="C38" i="24"/>
  <c r="B39" i="24"/>
  <c r="C39" i="24"/>
  <c r="B40" i="24"/>
  <c r="C40" i="24"/>
  <c r="B41" i="24"/>
  <c r="C41" i="24"/>
  <c r="B42" i="24"/>
  <c r="C42" i="24"/>
  <c r="B43" i="24"/>
  <c r="C43" i="24"/>
  <c r="B44" i="24"/>
  <c r="C44" i="24"/>
  <c r="B45" i="24"/>
  <c r="C45" i="24"/>
  <c r="B46" i="24"/>
  <c r="C46" i="24"/>
  <c r="B47" i="24"/>
  <c r="C47" i="24"/>
  <c r="B48" i="24"/>
  <c r="C48" i="24"/>
  <c r="B49" i="24"/>
  <c r="C49" i="24"/>
  <c r="B50" i="24"/>
  <c r="C50" i="24"/>
  <c r="B51" i="24"/>
  <c r="C51" i="24"/>
  <c r="B52" i="24"/>
  <c r="C52" i="24"/>
  <c r="B53" i="24"/>
  <c r="C53" i="24"/>
  <c r="B54" i="24"/>
  <c r="C54" i="24"/>
  <c r="B55" i="24"/>
  <c r="C55" i="24"/>
  <c r="B56" i="24"/>
  <c r="C56" i="24"/>
  <c r="B57" i="24"/>
  <c r="C57" i="24"/>
  <c r="B58" i="24"/>
  <c r="C58" i="24"/>
  <c r="B59" i="24"/>
  <c r="C59" i="24"/>
  <c r="B60" i="24"/>
  <c r="C60" i="24"/>
  <c r="B61" i="24"/>
  <c r="C61" i="24"/>
  <c r="B62" i="24"/>
  <c r="C62" i="24"/>
  <c r="B63" i="24"/>
  <c r="C63" i="24"/>
  <c r="B64" i="24"/>
  <c r="C64" i="24"/>
  <c r="B65" i="24"/>
  <c r="C65" i="24"/>
  <c r="B66" i="24"/>
  <c r="C66" i="24"/>
  <c r="B67" i="24"/>
  <c r="C67" i="24"/>
  <c r="B68" i="24"/>
  <c r="C68" i="24"/>
  <c r="B69" i="24"/>
  <c r="C69" i="24"/>
  <c r="B70" i="24"/>
  <c r="C70" i="24"/>
  <c r="B71" i="24"/>
  <c r="C71" i="24"/>
  <c r="B72" i="24"/>
  <c r="C72" i="24"/>
  <c r="B73" i="24"/>
  <c r="C73" i="24"/>
  <c r="B74" i="24"/>
  <c r="C74" i="24"/>
  <c r="B75" i="24"/>
  <c r="C75" i="24"/>
  <c r="B76" i="24"/>
  <c r="C76" i="24"/>
  <c r="B77" i="24"/>
  <c r="C77" i="24"/>
  <c r="B78" i="24"/>
  <c r="C78" i="24"/>
  <c r="B79" i="24"/>
  <c r="C79" i="24"/>
  <c r="B80" i="24"/>
  <c r="C80" i="24"/>
  <c r="B81" i="24"/>
  <c r="C81" i="24"/>
  <c r="B82" i="24"/>
  <c r="C82" i="24"/>
  <c r="B83" i="24"/>
  <c r="C83" i="24"/>
  <c r="B84" i="24"/>
  <c r="C84" i="24"/>
  <c r="B85" i="24"/>
  <c r="C85" i="24"/>
  <c r="B86" i="24"/>
  <c r="C86" i="24"/>
  <c r="B87" i="24"/>
  <c r="C87" i="24"/>
  <c r="B88" i="24"/>
  <c r="C88" i="24"/>
  <c r="B89" i="24"/>
  <c r="C89" i="24"/>
  <c r="B90" i="24"/>
  <c r="C90" i="24"/>
  <c r="B91" i="24"/>
  <c r="C91" i="24"/>
  <c r="B92" i="24"/>
  <c r="C92" i="24"/>
  <c r="B93" i="24"/>
  <c r="C93" i="24"/>
  <c r="B94" i="24"/>
  <c r="C94" i="24"/>
  <c r="B95" i="24"/>
  <c r="C95" i="24"/>
  <c r="B96" i="24"/>
  <c r="C96" i="24"/>
  <c r="B97" i="24"/>
  <c r="C97" i="24"/>
  <c r="B98" i="24"/>
  <c r="C98" i="24"/>
  <c r="B99" i="24"/>
  <c r="C99" i="24"/>
  <c r="B100" i="24"/>
  <c r="C100" i="24"/>
  <c r="B101" i="24"/>
  <c r="C101" i="24"/>
  <c r="B102" i="24"/>
  <c r="C102" i="24"/>
  <c r="B103" i="24"/>
  <c r="C103" i="24"/>
  <c r="B104" i="24"/>
  <c r="C104" i="24"/>
  <c r="B105" i="24"/>
  <c r="C105" i="24"/>
  <c r="B106" i="24"/>
  <c r="C106" i="24"/>
  <c r="B107" i="24"/>
  <c r="C107" i="24"/>
  <c r="B108" i="24"/>
  <c r="C108" i="24"/>
  <c r="B109" i="24"/>
  <c r="C109" i="24"/>
  <c r="B110" i="24"/>
  <c r="C110" i="24"/>
  <c r="B111" i="24"/>
  <c r="C111" i="24"/>
  <c r="B112" i="24"/>
  <c r="C112" i="24"/>
  <c r="B113" i="24"/>
  <c r="C113" i="24"/>
  <c r="B114" i="24"/>
  <c r="C114" i="24"/>
  <c r="B115" i="24"/>
  <c r="C115" i="24"/>
  <c r="B116" i="24"/>
  <c r="C116" i="24"/>
  <c r="B117" i="24"/>
  <c r="C117" i="24"/>
  <c r="B118" i="24"/>
  <c r="C118" i="24"/>
  <c r="B119" i="24"/>
  <c r="C119" i="24"/>
  <c r="B120" i="24"/>
  <c r="C120" i="24"/>
  <c r="B121" i="24"/>
  <c r="C121" i="24"/>
  <c r="B122" i="24"/>
  <c r="C122" i="24"/>
  <c r="B123" i="24"/>
  <c r="C123" i="24"/>
  <c r="B124" i="24"/>
  <c r="C124" i="24"/>
  <c r="B125" i="24"/>
  <c r="C125" i="24"/>
  <c r="B126" i="24"/>
  <c r="C126" i="24"/>
  <c r="B127" i="24"/>
  <c r="C127" i="24"/>
  <c r="B128" i="24"/>
  <c r="C128" i="24"/>
  <c r="B129" i="24"/>
  <c r="C129" i="24"/>
  <c r="B130" i="24"/>
  <c r="C130" i="24"/>
  <c r="B131" i="24"/>
  <c r="C131" i="24"/>
  <c r="B132" i="24"/>
  <c r="C132" i="24"/>
  <c r="B133" i="24"/>
  <c r="C133" i="24"/>
  <c r="B134" i="24"/>
  <c r="C134" i="24"/>
  <c r="B135" i="24"/>
  <c r="C135" i="24"/>
  <c r="B136" i="24"/>
  <c r="C136" i="24"/>
  <c r="B137" i="24"/>
  <c r="C137" i="24"/>
  <c r="B138" i="24"/>
  <c r="C138" i="24"/>
  <c r="B139" i="24"/>
  <c r="C139" i="24"/>
  <c r="B140" i="24"/>
  <c r="C140" i="24"/>
  <c r="B141" i="24"/>
  <c r="C141" i="24"/>
  <c r="B142" i="24"/>
  <c r="C142" i="24"/>
  <c r="B143" i="24"/>
  <c r="C143" i="24"/>
  <c r="B144" i="24"/>
  <c r="C144" i="24"/>
  <c r="B145" i="24"/>
  <c r="C145" i="24"/>
  <c r="B146" i="24"/>
  <c r="C146" i="24"/>
  <c r="B147" i="24"/>
  <c r="C147" i="24"/>
  <c r="B148" i="24"/>
  <c r="C148" i="24"/>
  <c r="B149" i="24"/>
  <c r="C149" i="24"/>
  <c r="B150" i="24"/>
  <c r="C150" i="24"/>
  <c r="B151" i="24"/>
  <c r="C151" i="24"/>
  <c r="B152" i="24"/>
  <c r="C152" i="24"/>
  <c r="B153" i="24"/>
  <c r="C153" i="24"/>
  <c r="B154" i="24"/>
  <c r="C154" i="24"/>
  <c r="B155" i="24"/>
  <c r="C155" i="24"/>
  <c r="B156" i="24"/>
  <c r="C156" i="24"/>
  <c r="B157" i="24"/>
  <c r="C157" i="24"/>
  <c r="B158" i="24"/>
  <c r="C158" i="24"/>
  <c r="B159" i="24"/>
  <c r="C159" i="24"/>
  <c r="B160" i="24"/>
  <c r="C160" i="24"/>
  <c r="B161" i="24"/>
  <c r="C161" i="24"/>
  <c r="B162" i="24"/>
  <c r="C162" i="24"/>
  <c r="A6" i="13" l="1" a="1"/>
  <c r="A6" i="13" s="1"/>
  <c r="A7" i="14" a="1"/>
  <c r="A7" i="14" s="1"/>
  <c r="A8" i="14" s="1" a="1"/>
  <c r="A8" i="14" s="1"/>
  <c r="C5" i="24"/>
  <c r="B5" i="24"/>
  <c r="A7" i="13" l="1" a="1"/>
  <c r="A7" i="13" s="1"/>
  <c r="A9" i="14" a="1"/>
  <c r="A9" i="14" s="1"/>
  <c r="A8" i="13" l="1" a="1"/>
  <c r="A8" i="13" s="1"/>
  <c r="A10" i="14" a="1"/>
  <c r="A10" i="14" s="1"/>
  <c r="A9" i="13" l="1" a="1"/>
  <c r="A9" i="13" s="1"/>
  <c r="A11" i="14" a="1"/>
  <c r="A11" i="14" s="1"/>
  <c r="A2" i="27"/>
  <c r="A10" i="13" l="1" a="1"/>
  <c r="A10" i="13" s="1"/>
  <c r="A12" i="14" a="1"/>
  <c r="A12" i="14" s="1"/>
  <c r="A2" i="14"/>
  <c r="A2" i="13"/>
  <c r="A11" i="13" l="1" a="1"/>
  <c r="A11" i="13" s="1"/>
  <c r="A13" i="14" a="1"/>
  <c r="A13" i="14" s="1"/>
  <c r="A2" i="12"/>
  <c r="B37" i="27"/>
  <c r="B36" i="27"/>
  <c r="B35" i="27"/>
  <c r="B34" i="27"/>
  <c r="B33" i="27"/>
  <c r="B32" i="27"/>
  <c r="B31" i="27"/>
  <c r="B30" i="27"/>
  <c r="B29" i="27"/>
  <c r="B23" i="27"/>
  <c r="B18" i="27"/>
  <c r="B13" i="27"/>
  <c r="B12" i="27"/>
  <c r="B7" i="27"/>
  <c r="A2" i="26"/>
  <c r="A12" i="13" l="1" a="1"/>
  <c r="A12" i="13" s="1"/>
  <c r="A13" i="13" s="1" a="1"/>
  <c r="A13" i="13" s="1"/>
  <c r="A14" i="14" a="1"/>
  <c r="A14" i="14" s="1"/>
  <c r="A15" i="14" s="1" a="1"/>
  <c r="A15" i="14" s="1"/>
  <c r="A16" i="14" s="1" a="1"/>
  <c r="A16" i="14" s="1"/>
  <c r="A17" i="14" s="1" a="1"/>
  <c r="A17" i="14" s="1"/>
  <c r="A18" i="14" s="1" a="1"/>
  <c r="A18" i="14" s="1"/>
  <c r="A19" i="14" s="1" a="1"/>
  <c r="A19" i="14" s="1"/>
  <c r="A20" i="14" s="1" a="1"/>
  <c r="A20" i="14" s="1"/>
  <c r="A21" i="14" s="1" a="1"/>
  <c r="A21" i="14" s="1"/>
  <c r="A22" i="14" s="1" a="1"/>
  <c r="A22" i="14" s="1"/>
  <c r="A23" i="14" s="1" a="1"/>
  <c r="A23" i="14" s="1"/>
  <c r="A24" i="14" s="1" a="1"/>
  <c r="A24" i="14" s="1"/>
  <c r="A25" i="14" s="1" a="1"/>
  <c r="A25" i="14" s="1"/>
  <c r="A26" i="14" s="1" a="1"/>
  <c r="A26" i="14" s="1"/>
  <c r="A27" i="14" s="1" a="1"/>
  <c r="A27" i="14" s="1"/>
  <c r="A28" i="14" s="1" a="1"/>
  <c r="A28" i="14" s="1"/>
  <c r="A29" i="14" s="1" a="1"/>
  <c r="A29" i="14" s="1"/>
  <c r="A30" i="14" s="1" a="1"/>
  <c r="A30" i="14" s="1"/>
  <c r="A31" i="14" s="1" a="1"/>
  <c r="A31" i="14" s="1"/>
  <c r="A32" i="14" s="1" a="1"/>
  <c r="A32" i="14" s="1"/>
  <c r="A33" i="14" s="1" a="1"/>
  <c r="A33" i="14" s="1"/>
  <c r="A34" i="14" s="1" a="1"/>
  <c r="A34" i="14" s="1"/>
  <c r="A35" i="14" s="1" a="1"/>
  <c r="A35" i="14" s="1"/>
  <c r="A36" i="14" s="1" a="1"/>
  <c r="A36" i="14" s="1"/>
  <c r="A37" i="14" s="1" a="1"/>
  <c r="A37" i="14" s="1"/>
  <c r="A38" i="14" s="1" a="1"/>
  <c r="A38" i="14" s="1"/>
  <c r="A39" i="14" s="1" a="1"/>
  <c r="A39" i="14" s="1"/>
  <c r="A40" i="14" s="1" a="1"/>
  <c r="A40" i="14" s="1"/>
  <c r="A41" i="14" s="1" a="1"/>
  <c r="A41" i="14" s="1"/>
  <c r="A42" i="14" s="1" a="1"/>
  <c r="A42" i="14" s="1"/>
  <c r="A43" i="14" s="1" a="1"/>
  <c r="A43" i="14" s="1"/>
  <c r="A44" i="14" s="1" a="1"/>
  <c r="A44" i="14" s="1"/>
  <c r="A45" i="14" s="1" a="1"/>
  <c r="A45" i="14" s="1"/>
  <c r="A46" i="14" s="1" a="1"/>
  <c r="A46" i="14" s="1"/>
  <c r="A47" i="14" s="1" a="1"/>
  <c r="A47" i="14" s="1"/>
  <c r="A48" i="14" s="1" a="1"/>
  <c r="A48" i="14" s="1"/>
  <c r="A49" i="14" s="1" a="1"/>
  <c r="A49" i="14" s="1"/>
  <c r="A50" i="14" s="1" a="1"/>
  <c r="A50" i="14" s="1"/>
  <c r="A51" i="14" s="1" a="1"/>
  <c r="A51" i="14" s="1"/>
  <c r="A52" i="14" s="1" a="1"/>
  <c r="A52" i="14" s="1"/>
  <c r="A53" i="14" s="1" a="1"/>
  <c r="A53" i="14" s="1"/>
  <c r="A54" i="14" s="1" a="1"/>
  <c r="A54" i="14" s="1"/>
  <c r="A55" i="14" s="1" a="1"/>
  <c r="A55" i="14" s="1"/>
  <c r="A56" i="14" s="1" a="1"/>
  <c r="A56" i="14" s="1"/>
  <c r="A57" i="14" s="1" a="1"/>
  <c r="A57" i="14" s="1"/>
  <c r="A58" i="14" s="1" a="1"/>
  <c r="A58" i="14" s="1"/>
  <c r="A59" i="14" s="1" a="1"/>
  <c r="A59" i="14" s="1"/>
  <c r="A60" i="14" s="1" a="1"/>
  <c r="A60" i="14" s="1"/>
  <c r="A61" i="14" s="1" a="1"/>
  <c r="A61" i="14" s="1"/>
  <c r="A62" i="14" s="1" a="1"/>
  <c r="A62" i="14" s="1"/>
  <c r="A63" i="14" s="1" a="1"/>
  <c r="A63" i="14" s="1"/>
  <c r="A64" i="14" s="1" a="1"/>
  <c r="A64" i="14" s="1"/>
  <c r="A65" i="14" s="1" a="1"/>
  <c r="A65" i="14" s="1"/>
  <c r="A66" i="14" s="1" a="1"/>
  <c r="A66" i="14" s="1"/>
  <c r="A67" i="14" s="1" a="1"/>
  <c r="A67" i="14" s="1"/>
  <c r="A68" i="14" s="1" a="1"/>
  <c r="A68" i="14" s="1"/>
  <c r="A69" i="14" s="1" a="1"/>
  <c r="A69" i="14" s="1"/>
  <c r="A70" i="14" s="1" a="1"/>
  <c r="A70" i="14" s="1"/>
  <c r="A71" i="14" s="1" a="1"/>
  <c r="A71" i="14" s="1"/>
  <c r="A72" i="14" s="1" a="1"/>
  <c r="A72" i="14" s="1"/>
  <c r="A73" i="14" s="1" a="1"/>
  <c r="A73" i="14" s="1"/>
  <c r="A2" i="24"/>
  <c r="A14" i="13" l="1" a="1"/>
  <c r="A14" i="13" s="1"/>
  <c r="A74" i="14" a="1"/>
  <c r="A74" i="14" s="1"/>
  <c r="A75" i="14" s="1" a="1"/>
  <c r="A75" i="14" s="1"/>
  <c r="A76" i="14" s="1" a="1"/>
  <c r="A76" i="14" s="1"/>
  <c r="A77" i="14" s="1" a="1"/>
  <c r="A77" i="14" s="1"/>
  <c r="A78" i="14" s="1" a="1"/>
  <c r="A78" i="14" s="1"/>
  <c r="A79" i="14" s="1" a="1"/>
  <c r="A79" i="14" s="1"/>
  <c r="A80" i="14" s="1" a="1"/>
  <c r="A80" i="14" s="1"/>
  <c r="A81" i="14" s="1" a="1"/>
  <c r="A81" i="14" s="1"/>
  <c r="A82" i="14" s="1" a="1"/>
  <c r="A82" i="14" s="1"/>
  <c r="A83" i="14" s="1" a="1"/>
  <c r="A83" i="14" s="1"/>
  <c r="A84" i="14" s="1" a="1"/>
  <c r="A84" i="14" s="1"/>
  <c r="A85" i="14" s="1" a="1"/>
  <c r="A85" i="14" s="1"/>
  <c r="A86" i="14" s="1" a="1"/>
  <c r="A86" i="14" s="1"/>
  <c r="A87" i="14" s="1" a="1"/>
  <c r="A87" i="14" s="1"/>
  <c r="A88" i="14" s="1" a="1"/>
  <c r="A88" i="14" s="1"/>
  <c r="A89" i="14" s="1" a="1"/>
  <c r="A89" i="14" s="1"/>
  <c r="A90" i="14" s="1" a="1"/>
  <c r="A90" i="14" s="1"/>
  <c r="A91" i="14" s="1" a="1"/>
  <c r="A91" i="14" s="1"/>
  <c r="A92" i="14" s="1" a="1"/>
  <c r="A92" i="14" s="1"/>
  <c r="A93" i="14" s="1" a="1"/>
  <c r="A93" i="14" s="1"/>
  <c r="A94" i="14" s="1" a="1"/>
  <c r="A94" i="14" s="1"/>
  <c r="A95" i="14" s="1" a="1"/>
  <c r="A95" i="14" s="1"/>
  <c r="A96" i="14" s="1" a="1"/>
  <c r="A96" i="14" s="1"/>
  <c r="A97" i="14" s="1" a="1"/>
  <c r="A97" i="14" s="1"/>
  <c r="A98" i="14" s="1" a="1"/>
  <c r="A98" i="14" s="1"/>
  <c r="A99" i="14" s="1" a="1"/>
  <c r="A99" i="14" s="1"/>
  <c r="A100" i="14" s="1" a="1"/>
  <c r="A100" i="14" s="1"/>
  <c r="A101" i="14" s="1" a="1"/>
  <c r="A101" i="14" s="1"/>
  <c r="A102" i="14" s="1" a="1"/>
  <c r="A102" i="14" s="1"/>
  <c r="A103" i="14" s="1" a="1"/>
  <c r="A103" i="14" s="1"/>
  <c r="A104" i="14" s="1" a="1"/>
  <c r="A104" i="14" s="1"/>
  <c r="A105" i="14" s="1" a="1"/>
  <c r="A105" i="14" s="1"/>
  <c r="A106" i="14" s="1" a="1"/>
  <c r="A106" i="14" s="1"/>
  <c r="A107" i="14" s="1" a="1"/>
  <c r="A107" i="14" s="1"/>
  <c r="A108" i="14" s="1" a="1"/>
  <c r="A108" i="14" s="1"/>
  <c r="A109" i="14" s="1" a="1"/>
  <c r="A109" i="14" s="1"/>
  <c r="A110" i="14" s="1" a="1"/>
  <c r="A110" i="14" s="1"/>
  <c r="A111" i="14" s="1" a="1"/>
  <c r="A111" i="14" s="1"/>
  <c r="A112" i="14" s="1" a="1"/>
  <c r="A112" i="14" s="1"/>
  <c r="A113" i="14" s="1" a="1"/>
  <c r="A113" i="14" s="1"/>
  <c r="A114" i="14" s="1" a="1"/>
  <c r="A114" i="14" s="1"/>
  <c r="A115" i="14" s="1" a="1"/>
  <c r="A115" i="14" s="1"/>
  <c r="A116" i="14" s="1" a="1"/>
  <c r="A116" i="14" s="1"/>
  <c r="A117" i="14" s="1" a="1"/>
  <c r="A117" i="14" s="1"/>
  <c r="A118" i="14" s="1" a="1"/>
  <c r="A118" i="14" s="1"/>
  <c r="A119" i="14" s="1" a="1"/>
  <c r="A119" i="14" s="1"/>
  <c r="A120" i="14" s="1" a="1"/>
  <c r="A120" i="14" s="1"/>
  <c r="A121" i="14" s="1" a="1"/>
  <c r="A121" i="14" s="1"/>
  <c r="A122" i="14" s="1" a="1"/>
  <c r="A122" i="14" s="1"/>
  <c r="A123" i="14" s="1" a="1"/>
  <c r="A123" i="14" s="1"/>
  <c r="A124" i="14" s="1" a="1"/>
  <c r="A124" i="14" s="1"/>
  <c r="A125" i="14" s="1" a="1"/>
  <c r="A125" i="14" s="1"/>
  <c r="A126" i="14" s="1" a="1"/>
  <c r="A126" i="14" s="1"/>
  <c r="A127" i="14" s="1" a="1"/>
  <c r="A127" i="14" s="1"/>
  <c r="A128" i="14" s="1" a="1"/>
  <c r="A128" i="14" s="1"/>
  <c r="A129" i="14" s="1" a="1"/>
  <c r="A129" i="14" s="1"/>
  <c r="A130" i="14" s="1" a="1"/>
  <c r="A130" i="14" s="1"/>
  <c r="A131" i="14" s="1" a="1"/>
  <c r="A131" i="14" s="1"/>
  <c r="A132" i="14" s="1" a="1"/>
  <c r="A132" i="14" s="1"/>
  <c r="A133" i="14" s="1" a="1"/>
  <c r="A133" i="14" s="1"/>
  <c r="A134" i="14" s="1" a="1"/>
  <c r="A134" i="14" s="1"/>
  <c r="A135" i="14" s="1" a="1"/>
  <c r="A135" i="14" s="1"/>
  <c r="A136" i="14" s="1" a="1"/>
  <c r="A136" i="14" s="1"/>
  <c r="A137" i="14" s="1" a="1"/>
  <c r="A137" i="14" s="1"/>
  <c r="A138" i="14" s="1" a="1"/>
  <c r="A138" i="14" s="1"/>
  <c r="A139" i="14" s="1" a="1"/>
  <c r="A139" i="14" s="1"/>
  <c r="A140" i="14" s="1" a="1"/>
  <c r="A140" i="14" s="1"/>
  <c r="A141" i="14" s="1" a="1"/>
  <c r="A141" i="14" s="1"/>
  <c r="A142" i="14" s="1" a="1"/>
  <c r="A142" i="14" s="1"/>
  <c r="A143" i="14" s="1" a="1"/>
  <c r="A143" i="14" s="1"/>
  <c r="A144" i="14" s="1" a="1"/>
  <c r="A144" i="14" s="1"/>
  <c r="A145" i="14" s="1" a="1"/>
  <c r="A145" i="14" s="1"/>
  <c r="A146" i="14" s="1" a="1"/>
  <c r="A146" i="14" s="1"/>
  <c r="A147" i="14" s="1" a="1"/>
  <c r="A147" i="14" s="1"/>
  <c r="A148" i="14" s="1" a="1"/>
  <c r="A148" i="14" s="1"/>
  <c r="A149" i="14" s="1" a="1"/>
  <c r="A149" i="14" s="1"/>
  <c r="A150" i="14" s="1" a="1"/>
  <c r="A150" i="14" s="1"/>
  <c r="A151" i="14" s="1" a="1"/>
  <c r="A151" i="14" s="1"/>
  <c r="A152" i="14" s="1" a="1"/>
  <c r="A152" i="14" s="1"/>
  <c r="A153" i="14" s="1" a="1"/>
  <c r="A153" i="14" s="1"/>
  <c r="A154" i="14" s="1" a="1"/>
  <c r="A154" i="14" s="1"/>
  <c r="A155" i="14" s="1" a="1"/>
  <c r="A155" i="14" s="1"/>
  <c r="A156" i="14" s="1" a="1"/>
  <c r="A156" i="14" s="1"/>
  <c r="A157" i="14" s="1" a="1"/>
  <c r="A157" i="14" s="1"/>
  <c r="A158" i="14" s="1" a="1"/>
  <c r="A158" i="14" s="1"/>
  <c r="A159" i="14" s="1" a="1"/>
  <c r="A159" i="14" s="1"/>
  <c r="A160" i="14" s="1" a="1"/>
  <c r="A160" i="14" s="1"/>
  <c r="A161" i="14" s="1" a="1"/>
  <c r="A161" i="14" s="1"/>
  <c r="A162" i="14" s="1" a="1"/>
  <c r="A162" i="14" s="1"/>
  <c r="A163" i="14" s="1" a="1"/>
  <c r="A163" i="14" s="1"/>
  <c r="A164" i="14" s="1" a="1"/>
  <c r="A164" i="14" s="1"/>
  <c r="A165" i="14" s="1" a="1"/>
  <c r="A165" i="14" s="1"/>
  <c r="A166" i="14" s="1" a="1"/>
  <c r="A166" i="14" s="1"/>
  <c r="A167" i="14" s="1" a="1"/>
  <c r="A167" i="14" s="1"/>
  <c r="A168" i="14" s="1" a="1"/>
  <c r="A168" i="14" s="1"/>
  <c r="A169" i="14" s="1" a="1"/>
  <c r="A169" i="14" s="1"/>
  <c r="A170" i="14" s="1" a="1"/>
  <c r="A170" i="14" s="1"/>
  <c r="A171" i="14" s="1" a="1"/>
  <c r="A171" i="14" s="1"/>
  <c r="A172" i="14" s="1" a="1"/>
  <c r="A172" i="14" s="1"/>
  <c r="A173" i="14" s="1" a="1"/>
  <c r="A173" i="14" s="1"/>
  <c r="A174" i="14" s="1" a="1"/>
  <c r="A174" i="14" s="1"/>
  <c r="A175" i="14" s="1" a="1"/>
  <c r="A175" i="14" s="1"/>
  <c r="A176" i="14" s="1" a="1"/>
  <c r="A176" i="14" s="1"/>
  <c r="A177" i="14" s="1" a="1"/>
  <c r="A177" i="14" s="1"/>
  <c r="A178" i="14" s="1" a="1"/>
  <c r="A178" i="14" s="1"/>
  <c r="A179" i="14" s="1" a="1"/>
  <c r="A179" i="14" s="1"/>
  <c r="A180" i="14" s="1" a="1"/>
  <c r="A180" i="14" s="1"/>
  <c r="A181" i="14" s="1" a="1"/>
  <c r="A181" i="14" s="1"/>
  <c r="A182" i="14" s="1" a="1"/>
  <c r="A182" i="14" s="1"/>
  <c r="A183" i="14" s="1" a="1"/>
  <c r="A183" i="14" s="1"/>
  <c r="A184" i="14" s="1" a="1"/>
  <c r="A184" i="14" s="1"/>
  <c r="A185" i="14" s="1" a="1"/>
  <c r="A185" i="14" s="1"/>
  <c r="A186" i="14" s="1" a="1"/>
  <c r="A186" i="14" s="1"/>
  <c r="A187" i="14" s="1" a="1"/>
  <c r="A187" i="14" s="1"/>
  <c r="A188" i="14" s="1" a="1"/>
  <c r="A188" i="14" s="1"/>
  <c r="A189" i="14" s="1" a="1"/>
  <c r="A189" i="14" s="1"/>
  <c r="A190" i="14" s="1" a="1"/>
  <c r="A190" i="14" s="1"/>
  <c r="A191" i="14" s="1" a="1"/>
  <c r="A191" i="14" s="1"/>
  <c r="A192" i="14" s="1" a="1"/>
  <c r="A192" i="14" s="1"/>
  <c r="A193" i="14" s="1" a="1"/>
  <c r="A193" i="14" s="1"/>
  <c r="A194" i="14" s="1" a="1"/>
  <c r="A194" i="14" s="1"/>
  <c r="A195" i="14" s="1" a="1"/>
  <c r="A195" i="14" s="1"/>
  <c r="A196" i="14" s="1" a="1"/>
  <c r="A196" i="14" s="1"/>
  <c r="A197" i="14" s="1" a="1"/>
  <c r="A197" i="14" s="1"/>
  <c r="A198" i="14" s="1" a="1"/>
  <c r="A198" i="14" s="1"/>
  <c r="A199" i="14" s="1" a="1"/>
  <c r="A199" i="14" s="1"/>
  <c r="A200" i="14" s="1" a="1"/>
  <c r="A200" i="14" s="1"/>
  <c r="A201" i="14" s="1" a="1"/>
  <c r="A201" i="14" s="1"/>
  <c r="A202" i="14" s="1" a="1"/>
  <c r="A202" i="14" s="1"/>
  <c r="A203" i="14" s="1" a="1"/>
  <c r="A203" i="14" s="1"/>
  <c r="A204" i="14" s="1" a="1"/>
  <c r="A204" i="14" s="1"/>
  <c r="A205" i="14" s="1" a="1"/>
  <c r="A205" i="14" s="1"/>
  <c r="A206" i="14" s="1" a="1"/>
  <c r="A206" i="14" s="1"/>
  <c r="A207" i="14" s="1" a="1"/>
  <c r="A207" i="14" s="1"/>
  <c r="A208" i="14" s="1" a="1"/>
  <c r="A208" i="14" s="1"/>
  <c r="A209" i="14" s="1" a="1"/>
  <c r="A209" i="14" s="1"/>
  <c r="A210" i="14" s="1" a="1"/>
  <c r="A210" i="14" s="1"/>
  <c r="A211" i="14" s="1" a="1"/>
  <c r="A211" i="14" s="1"/>
  <c r="A212" i="14" s="1" a="1"/>
  <c r="A212" i="14" s="1"/>
  <c r="A213" i="14" s="1" a="1"/>
  <c r="A213" i="14" s="1"/>
  <c r="A214" i="14" s="1" a="1"/>
  <c r="A214" i="14" s="1"/>
  <c r="A215" i="14" s="1" a="1"/>
  <c r="A215" i="14" s="1"/>
  <c r="A216" i="14" s="1" a="1"/>
  <c r="A216" i="14" s="1"/>
  <c r="A217" i="14" s="1" a="1"/>
  <c r="A217" i="14" s="1"/>
  <c r="A218" i="14" s="1" a="1"/>
  <c r="A218" i="14" s="1"/>
  <c r="A219" i="14" s="1" a="1"/>
  <c r="A219" i="14" s="1"/>
  <c r="A220" i="14" s="1" a="1"/>
  <c r="A220" i="14" s="1"/>
  <c r="A221" i="14" s="1" a="1"/>
  <c r="A221" i="14" s="1"/>
  <c r="A222" i="14" s="1" a="1"/>
  <c r="A222" i="14" s="1"/>
  <c r="A223" i="14" s="1" a="1"/>
  <c r="A223" i="14" s="1"/>
  <c r="A224" i="14" s="1" a="1"/>
  <c r="A224" i="14" s="1"/>
  <c r="A225" i="14" s="1" a="1"/>
  <c r="A225" i="14" s="1"/>
  <c r="A226" i="14" s="1" a="1"/>
  <c r="A226" i="14" s="1"/>
  <c r="A227" i="14" s="1" a="1"/>
  <c r="A227" i="14" s="1"/>
  <c r="A228" i="14" s="1" a="1"/>
  <c r="A228" i="14" s="1"/>
  <c r="A229" i="14" s="1" a="1"/>
  <c r="A229" i="14" s="1"/>
  <c r="A230" i="14" s="1" a="1"/>
  <c r="A230" i="14" s="1"/>
  <c r="A231" i="14" s="1" a="1"/>
  <c r="A231" i="14" s="1"/>
  <c r="A232" i="14" s="1" a="1"/>
  <c r="A232" i="14" s="1"/>
  <c r="A233" i="14" s="1" a="1"/>
  <c r="A233" i="14" s="1"/>
  <c r="A234" i="14" s="1" a="1"/>
  <c r="A234" i="14" s="1"/>
  <c r="A235" i="14" s="1" a="1"/>
  <c r="A235" i="14" s="1"/>
  <c r="A236" i="14" s="1" a="1"/>
  <c r="A236" i="14" s="1"/>
  <c r="A237" i="14" s="1" a="1"/>
  <c r="A237" i="14" s="1"/>
  <c r="A238" i="14" s="1" a="1"/>
  <c r="A238" i="14" s="1"/>
  <c r="A239" i="14" s="1" a="1"/>
  <c r="A239" i="14" s="1"/>
  <c r="A15" i="13" l="1" a="1"/>
  <c r="A15" i="13" s="1"/>
  <c r="A240" i="14" a="1"/>
  <c r="A240" i="14" s="1"/>
  <c r="A241" i="14" s="1" a="1"/>
  <c r="A241" i="14" s="1"/>
  <c r="E12" i="15"/>
  <c r="D12" i="15"/>
  <c r="C12" i="15"/>
  <c r="A16" i="13" l="1" a="1"/>
  <c r="A16" i="13" s="1"/>
  <c r="A17" i="13" s="1" a="1"/>
  <c r="A17" i="13" s="1"/>
  <c r="A242" i="14" a="1"/>
  <c r="A242" i="14" s="1"/>
  <c r="B13" i="1"/>
  <c r="A18" i="13" l="1" a="1"/>
  <c r="A18" i="13" s="1"/>
  <c r="A243" i="14" a="1"/>
  <c r="A243" i="14" s="1"/>
  <c r="I14" i="15"/>
  <c r="H14" i="15"/>
  <c r="A19" i="13" l="1" a="1"/>
  <c r="A19" i="13" s="1"/>
  <c r="A244" i="14" a="1"/>
  <c r="A244" i="14" s="1"/>
  <c r="B2" i="15"/>
  <c r="A2" i="7"/>
  <c r="A17" i="8"/>
  <c r="A4" i="8"/>
  <c r="A3" i="6"/>
  <c r="A2" i="5"/>
  <c r="A20" i="13" l="1" a="1"/>
  <c r="A20" i="13" s="1"/>
  <c r="A21" i="13" s="1" a="1"/>
  <c r="A21" i="13" s="1"/>
  <c r="A22" i="13" s="1" a="1"/>
  <c r="A22" i="13" s="1"/>
  <c r="A23" i="13" s="1" a="1"/>
  <c r="A23" i="13" s="1"/>
  <c r="A24" i="13" s="1" a="1"/>
  <c r="A24" i="13" s="1"/>
  <c r="A25" i="13" s="1" a="1"/>
  <c r="A25" i="13" s="1"/>
  <c r="A26" i="13" s="1" a="1"/>
  <c r="A26" i="13" s="1"/>
  <c r="A27" i="13" s="1" a="1"/>
  <c r="A27" i="13" s="1"/>
  <c r="A28" i="13" s="1" a="1"/>
  <c r="A28" i="13" s="1"/>
  <c r="A29" i="13" s="1" a="1"/>
  <c r="A29" i="13" s="1"/>
  <c r="A30" i="13" s="1" a="1"/>
  <c r="A30" i="13" s="1"/>
  <c r="A31" i="13" s="1" a="1"/>
  <c r="A31" i="13" s="1"/>
  <c r="A32" i="13" s="1" a="1"/>
  <c r="A32" i="13" s="1"/>
  <c r="A33" i="13" s="1" a="1"/>
  <c r="A33" i="13" s="1"/>
  <c r="A34" i="13" s="1" a="1"/>
  <c r="A34" i="13" s="1"/>
  <c r="A35" i="13" s="1" a="1"/>
  <c r="A35" i="13" s="1"/>
  <c r="A36" i="13" s="1" a="1"/>
  <c r="A36" i="13" s="1"/>
  <c r="A37" i="13" s="1" a="1"/>
  <c r="A37" i="13" s="1"/>
  <c r="A38" i="13" s="1" a="1"/>
  <c r="A38" i="13" s="1"/>
  <c r="A39" i="13" s="1" a="1"/>
  <c r="A39" i="13" s="1"/>
  <c r="A40" i="13" s="1" a="1"/>
  <c r="A40" i="13" s="1"/>
  <c r="A41" i="13" s="1" a="1"/>
  <c r="A41" i="13" s="1"/>
  <c r="A42" i="13" s="1" a="1"/>
  <c r="A42" i="13" s="1"/>
  <c r="A43" i="13" s="1" a="1"/>
  <c r="A43" i="13" s="1"/>
  <c r="A44" i="13" s="1" a="1"/>
  <c r="A44" i="13" s="1"/>
  <c r="A45" i="13" s="1" a="1"/>
  <c r="A45" i="13" s="1"/>
  <c r="A46" i="13" s="1" a="1"/>
  <c r="A46" i="13" s="1"/>
  <c r="A47" i="13" s="1" a="1"/>
  <c r="A47" i="13" s="1"/>
  <c r="A48" i="13" s="1" a="1"/>
  <c r="A48" i="13" s="1"/>
  <c r="A49" i="13" s="1" a="1"/>
  <c r="A49" i="13" s="1"/>
  <c r="A50" i="13" s="1" a="1"/>
  <c r="A50" i="13" s="1"/>
  <c r="A51" i="13" s="1" a="1"/>
  <c r="A51" i="13" s="1"/>
  <c r="A52" i="13" s="1" a="1"/>
  <c r="A52" i="13" s="1"/>
  <c r="A53" i="13" s="1" a="1"/>
  <c r="A53" i="13" s="1"/>
  <c r="A54" i="13" s="1" a="1"/>
  <c r="A54" i="13" s="1"/>
  <c r="A55" i="13" s="1" a="1"/>
  <c r="A55" i="13" s="1"/>
  <c r="A56" i="13" s="1" a="1"/>
  <c r="A56" i="13" s="1"/>
  <c r="A57" i="13" s="1" a="1"/>
  <c r="A57" i="13" s="1"/>
  <c r="A58" i="13" s="1" a="1"/>
  <c r="A58" i="13" s="1"/>
  <c r="A59" i="13" s="1" a="1"/>
  <c r="A59" i="13" s="1"/>
  <c r="A60" i="13" s="1" a="1"/>
  <c r="A60" i="13" s="1"/>
  <c r="A61" i="13" s="1" a="1"/>
  <c r="A61" i="13" s="1"/>
  <c r="A62" i="13" s="1" a="1"/>
  <c r="A62" i="13" s="1"/>
  <c r="A63" i="13" s="1" a="1"/>
  <c r="A63" i="13" s="1"/>
  <c r="A64" i="13" s="1" a="1"/>
  <c r="A64" i="13" s="1"/>
  <c r="A65" i="13" s="1" a="1"/>
  <c r="A65" i="13" s="1"/>
  <c r="A66" i="13" s="1" a="1"/>
  <c r="A66" i="13" s="1"/>
  <c r="A67" i="13" s="1" a="1"/>
  <c r="A67" i="13" s="1"/>
  <c r="A68" i="13" s="1" a="1"/>
  <c r="A68" i="13" s="1"/>
  <c r="A69" i="13" s="1" a="1"/>
  <c r="A69" i="13" s="1"/>
  <c r="A70" i="13" s="1" a="1"/>
  <c r="A70" i="13" s="1"/>
  <c r="A71" i="13" s="1" a="1"/>
  <c r="A71" i="13" s="1"/>
  <c r="A72" i="13" s="1" a="1"/>
  <c r="A72" i="13" s="1"/>
  <c r="A73" i="13" s="1" a="1"/>
  <c r="A73" i="13" s="1"/>
  <c r="A74" i="13" s="1" a="1"/>
  <c r="A74" i="13" s="1"/>
  <c r="A75" i="13" s="1" a="1"/>
  <c r="A75" i="13" s="1"/>
  <c r="A76" i="13" s="1" a="1"/>
  <c r="A76" i="13" s="1"/>
  <c r="A77" i="13" s="1" a="1"/>
  <c r="A77" i="13" s="1"/>
  <c r="A78" i="13" s="1" a="1"/>
  <c r="A78" i="13" s="1"/>
  <c r="A79" i="13" s="1" a="1"/>
  <c r="A79" i="13" s="1"/>
  <c r="A80" i="13" s="1" a="1"/>
  <c r="A80" i="13" s="1"/>
  <c r="A81" i="13" s="1" a="1"/>
  <c r="A81" i="13" s="1"/>
  <c r="A82" i="13" s="1" a="1"/>
  <c r="A82" i="13" s="1"/>
  <c r="A83" i="13" s="1" a="1"/>
  <c r="A83" i="13" s="1"/>
  <c r="A84" i="13" s="1" a="1"/>
  <c r="A84" i="13" s="1"/>
  <c r="A85" i="13" s="1" a="1"/>
  <c r="A85" i="13" s="1"/>
  <c r="A86" i="13" s="1" a="1"/>
  <c r="A86" i="13" s="1"/>
  <c r="A87" i="13" s="1" a="1"/>
  <c r="A87" i="13" s="1"/>
  <c r="A88" i="13" s="1" a="1"/>
  <c r="A88" i="13" s="1"/>
  <c r="A89" i="13" s="1" a="1"/>
  <c r="A89" i="13" s="1"/>
  <c r="A90" i="13" s="1" a="1"/>
  <c r="A90" i="13" s="1"/>
  <c r="A91" i="13" s="1" a="1"/>
  <c r="A91" i="13" s="1"/>
  <c r="A92" i="13" s="1" a="1"/>
  <c r="A92" i="13" s="1"/>
  <c r="A93" i="13" s="1" a="1"/>
  <c r="A93" i="13" s="1"/>
  <c r="A94" i="13" s="1" a="1"/>
  <c r="A94" i="13" s="1"/>
  <c r="A95" i="13" s="1" a="1"/>
  <c r="A95" i="13" s="1"/>
  <c r="A96" i="13" s="1" a="1"/>
  <c r="A96" i="13" s="1"/>
  <c r="A97" i="13" s="1" a="1"/>
  <c r="A97" i="13" s="1"/>
  <c r="A98" i="13" s="1" a="1"/>
  <c r="A98" i="13" s="1"/>
  <c r="A99" i="13" s="1" a="1"/>
  <c r="A99" i="13" s="1"/>
  <c r="A100" i="13" s="1" a="1"/>
  <c r="A100" i="13" s="1"/>
  <c r="A101" i="13" s="1" a="1"/>
  <c r="A101" i="13" s="1"/>
  <c r="A102" i="13" s="1" a="1"/>
  <c r="A102" i="13" s="1"/>
  <c r="A103" i="13" s="1" a="1"/>
  <c r="A103" i="13" s="1"/>
  <c r="A104" i="13" s="1" a="1"/>
  <c r="A104" i="13" s="1"/>
  <c r="A105" i="13" s="1" a="1"/>
  <c r="A105" i="13" s="1"/>
  <c r="A106" i="13" s="1" a="1"/>
  <c r="A106" i="13" s="1"/>
  <c r="A107" i="13" s="1" a="1"/>
  <c r="A107" i="13" s="1"/>
  <c r="A108" i="13" s="1" a="1"/>
  <c r="A108" i="13" s="1"/>
  <c r="A109" i="13" s="1" a="1"/>
  <c r="A109" i="13" s="1"/>
  <c r="A110" i="13" s="1" a="1"/>
  <c r="A110" i="13" s="1"/>
  <c r="A111" i="13" s="1" a="1"/>
  <c r="A111" i="13" s="1"/>
  <c r="A112" i="13" s="1" a="1"/>
  <c r="A112" i="13" s="1"/>
  <c r="A113" i="13" s="1" a="1"/>
  <c r="A113" i="13" s="1"/>
  <c r="A114" i="13" s="1" a="1"/>
  <c r="A114" i="13" s="1"/>
  <c r="A115" i="13" s="1" a="1"/>
  <c r="A115" i="13" s="1"/>
  <c r="A116" i="13" s="1" a="1"/>
  <c r="A116" i="13" s="1"/>
  <c r="A117" i="13" s="1" a="1"/>
  <c r="A117" i="13" s="1"/>
  <c r="A118" i="13" s="1" a="1"/>
  <c r="A118" i="13" s="1"/>
  <c r="A119" i="13" s="1" a="1"/>
  <c r="A119" i="13" s="1"/>
  <c r="A120" i="13" s="1" a="1"/>
  <c r="A120" i="13" s="1"/>
  <c r="A121" i="13" s="1" a="1"/>
  <c r="A121" i="13" s="1"/>
  <c r="A122" i="13" s="1" a="1"/>
  <c r="A122" i="13" s="1"/>
  <c r="A123" i="13" s="1" a="1"/>
  <c r="A123" i="13" s="1"/>
  <c r="A124" i="13" s="1" a="1"/>
  <c r="A124" i="13" s="1"/>
  <c r="A125" i="13" s="1" a="1"/>
  <c r="A125" i="13" s="1"/>
  <c r="A126" i="13" s="1" a="1"/>
  <c r="A126" i="13" s="1"/>
  <c r="A127" i="13" s="1" a="1"/>
  <c r="A127" i="13" s="1"/>
  <c r="A128" i="13" s="1" a="1"/>
  <c r="A128" i="13" s="1"/>
  <c r="A129" i="13" s="1" a="1"/>
  <c r="A129" i="13" s="1"/>
  <c r="A130" i="13" s="1" a="1"/>
  <c r="A130" i="13" s="1"/>
  <c r="A131" i="13" s="1" a="1"/>
  <c r="A131" i="13" s="1"/>
  <c r="A132" i="13" s="1" a="1"/>
  <c r="A132" i="13" s="1"/>
  <c r="A133" i="13" s="1" a="1"/>
  <c r="A133" i="13" s="1"/>
  <c r="A134" i="13" s="1" a="1"/>
  <c r="A134" i="13" s="1"/>
  <c r="A135" i="13" s="1" a="1"/>
  <c r="A135" i="13" s="1"/>
  <c r="A136" i="13" s="1" a="1"/>
  <c r="A136" i="13" s="1"/>
  <c r="A137" i="13" s="1" a="1"/>
  <c r="A137" i="13" s="1"/>
  <c r="A138" i="13" s="1" a="1"/>
  <c r="A138" i="13" s="1"/>
  <c r="A139" i="13" s="1" a="1"/>
  <c r="A139" i="13" s="1"/>
  <c r="A140" i="13" s="1" a="1"/>
  <c r="A140" i="13" s="1"/>
  <c r="A141" i="13" s="1" a="1"/>
  <c r="A141" i="13" s="1"/>
  <c r="A142" i="13" s="1" a="1"/>
  <c r="A142" i="13" s="1"/>
  <c r="A143" i="13" s="1" a="1"/>
  <c r="A143" i="13" s="1"/>
  <c r="A144" i="13" s="1" a="1"/>
  <c r="A144" i="13" s="1"/>
  <c r="A145" i="13" s="1" a="1"/>
  <c r="A145" i="13" s="1"/>
  <c r="A146" i="13" s="1" a="1"/>
  <c r="A146" i="13" s="1"/>
  <c r="A147" i="13" s="1" a="1"/>
  <c r="A147" i="13" s="1"/>
  <c r="A148" i="13" s="1" a="1"/>
  <c r="A148" i="13" s="1"/>
  <c r="A149" i="13" s="1" a="1"/>
  <c r="A149" i="13" s="1"/>
  <c r="A150" i="13" s="1" a="1"/>
  <c r="A150" i="13" s="1"/>
  <c r="A151" i="13" s="1" a="1"/>
  <c r="A151" i="13" s="1"/>
  <c r="A152" i="13" s="1" a="1"/>
  <c r="A152" i="13" s="1"/>
  <c r="A153" i="13" s="1" a="1"/>
  <c r="A153" i="13" s="1"/>
  <c r="A154" i="13" s="1" a="1"/>
  <c r="A154" i="13" s="1"/>
  <c r="A155" i="13" s="1" a="1"/>
  <c r="A155" i="13" s="1"/>
  <c r="A156" i="13" s="1" a="1"/>
  <c r="A156" i="13" s="1"/>
  <c r="A157" i="13" s="1" a="1"/>
  <c r="A157" i="13" s="1"/>
  <c r="A158" i="13" s="1" a="1"/>
  <c r="A158" i="13" s="1"/>
  <c r="A159" i="13" s="1" a="1"/>
  <c r="A159" i="13" s="1"/>
  <c r="A160" i="13" s="1" a="1"/>
  <c r="A160" i="13" s="1"/>
  <c r="A161" i="13" s="1" a="1"/>
  <c r="A161" i="13" s="1"/>
  <c r="A162" i="13" s="1" a="1"/>
  <c r="A162" i="13" s="1"/>
  <c r="A163" i="13" s="1" a="1"/>
  <c r="A163" i="13" s="1"/>
  <c r="A164" i="13" s="1" a="1"/>
  <c r="A164" i="13" s="1"/>
  <c r="A165" i="13" s="1" a="1"/>
  <c r="A165" i="13" s="1"/>
  <c r="A166" i="13" s="1" a="1"/>
  <c r="A166" i="13" s="1"/>
  <c r="A167" i="13" s="1" a="1"/>
  <c r="A167" i="13" s="1"/>
  <c r="A168" i="13" s="1" a="1"/>
  <c r="A168" i="13" s="1"/>
  <c r="A169" i="13" s="1" a="1"/>
  <c r="A169" i="13" s="1"/>
  <c r="A170" i="13" s="1" a="1"/>
  <c r="A170" i="13" s="1"/>
  <c r="A171" i="13" s="1" a="1"/>
  <c r="A171" i="13" s="1"/>
  <c r="A172" i="13" s="1" a="1"/>
  <c r="A172" i="13" s="1"/>
  <c r="A173" i="13" s="1" a="1"/>
  <c r="A173" i="13" s="1"/>
  <c r="A174" i="13" s="1" a="1"/>
  <c r="A174" i="13" s="1"/>
  <c r="A175" i="13" s="1" a="1"/>
  <c r="A175" i="13" s="1"/>
  <c r="A176" i="13" s="1" a="1"/>
  <c r="A176" i="13" s="1"/>
  <c r="A177" i="13" s="1" a="1"/>
  <c r="A177" i="13" s="1"/>
  <c r="A178" i="13" s="1" a="1"/>
  <c r="A178" i="13" s="1"/>
  <c r="A179" i="13" s="1" a="1"/>
  <c r="A179" i="13" s="1"/>
  <c r="A180" i="13" s="1" a="1"/>
  <c r="A180" i="13" s="1"/>
  <c r="A181" i="13" s="1" a="1"/>
  <c r="A181" i="13" s="1"/>
  <c r="A182" i="13" s="1" a="1"/>
  <c r="A182" i="13" s="1"/>
  <c r="A183" i="13" s="1" a="1"/>
  <c r="A183" i="13" s="1"/>
  <c r="A184" i="13" s="1" a="1"/>
  <c r="A184" i="13" s="1"/>
  <c r="A185" i="13" s="1" a="1"/>
  <c r="A185" i="13" s="1"/>
  <c r="A186" i="13" s="1" a="1"/>
  <c r="A186" i="13" s="1"/>
  <c r="A187" i="13" s="1" a="1"/>
  <c r="A187" i="13" s="1"/>
  <c r="A188" i="13" s="1" a="1"/>
  <c r="A188" i="13" s="1"/>
  <c r="A189" i="13" s="1" a="1"/>
  <c r="A189" i="13" s="1"/>
  <c r="A190" i="13" s="1" a="1"/>
  <c r="A190" i="13" s="1"/>
  <c r="A191" i="13" s="1" a="1"/>
  <c r="A191" i="13" s="1"/>
  <c r="A192" i="13" s="1" a="1"/>
  <c r="A192" i="13" s="1"/>
  <c r="A193" i="13" s="1" a="1"/>
  <c r="A193" i="13" s="1"/>
  <c r="A194" i="13" s="1" a="1"/>
  <c r="A194" i="13" s="1"/>
  <c r="A195" i="13" s="1" a="1"/>
  <c r="A195" i="13" s="1"/>
  <c r="A196" i="13" s="1" a="1"/>
  <c r="A196" i="13" s="1"/>
  <c r="A197" i="13" s="1" a="1"/>
  <c r="A197" i="13" s="1"/>
  <c r="A198" i="13" s="1" a="1"/>
  <c r="A198" i="13" s="1"/>
  <c r="A199" i="13" s="1" a="1"/>
  <c r="A199" i="13" s="1"/>
  <c r="A200" i="13" s="1" a="1"/>
  <c r="A200" i="13" s="1"/>
  <c r="A201" i="13" s="1" a="1"/>
  <c r="A201" i="13" s="1"/>
  <c r="A202" i="13" s="1" a="1"/>
  <c r="A202" i="13" s="1"/>
  <c r="A203" i="13" s="1" a="1"/>
  <c r="A203" i="13" s="1"/>
  <c r="A204" i="13" s="1" a="1"/>
  <c r="A204" i="13" s="1"/>
  <c r="A205" i="13" s="1" a="1"/>
  <c r="A205" i="13" s="1"/>
  <c r="A206" i="13" s="1" a="1"/>
  <c r="A206" i="13" s="1"/>
  <c r="A207" i="13" s="1" a="1"/>
  <c r="A207" i="13" s="1"/>
  <c r="A208" i="13" s="1" a="1"/>
  <c r="A208" i="13" s="1"/>
  <c r="A209" i="13" s="1" a="1"/>
  <c r="A209" i="13" s="1"/>
  <c r="A210" i="13" s="1" a="1"/>
  <c r="A210" i="13" s="1"/>
  <c r="A211" i="13" s="1" a="1"/>
  <c r="A211" i="13" s="1"/>
  <c r="A212" i="13" s="1" a="1"/>
  <c r="A212" i="13" s="1"/>
  <c r="A213" i="13" s="1" a="1"/>
  <c r="A213" i="13" s="1"/>
  <c r="A214" i="13" s="1" a="1"/>
  <c r="A214" i="13" s="1"/>
  <c r="A215" i="13" s="1" a="1"/>
  <c r="A215" i="13" s="1"/>
  <c r="A216" i="13" s="1" a="1"/>
  <c r="A216" i="13" s="1"/>
  <c r="A217" i="13" s="1" a="1"/>
  <c r="A217" i="13" s="1"/>
  <c r="A218" i="13" s="1" a="1"/>
  <c r="A218" i="13" s="1"/>
  <c r="A219" i="13" s="1" a="1"/>
  <c r="A219" i="13" s="1"/>
  <c r="A220" i="13" s="1" a="1"/>
  <c r="A220" i="13" s="1"/>
  <c r="A221" i="13" s="1" a="1"/>
  <c r="A221" i="13" s="1"/>
  <c r="A222" i="13" s="1" a="1"/>
  <c r="A222" i="13" s="1"/>
  <c r="A223" i="13" s="1" a="1"/>
  <c r="A223" i="13" s="1"/>
  <c r="A224" i="13" s="1" a="1"/>
  <c r="A224" i="13" s="1"/>
  <c r="A225" i="13" s="1" a="1"/>
  <c r="A225" i="13" s="1"/>
  <c r="A226" i="13" s="1" a="1"/>
  <c r="A226" i="13" s="1"/>
  <c r="A227" i="13" s="1" a="1"/>
  <c r="A227" i="13" s="1"/>
  <c r="A228" i="13" s="1" a="1"/>
  <c r="A228" i="13" s="1"/>
  <c r="A229" i="13" s="1" a="1"/>
  <c r="A229" i="13" s="1"/>
  <c r="A230" i="13" s="1" a="1"/>
  <c r="A230" i="13" s="1"/>
  <c r="A231" i="13" s="1" a="1"/>
  <c r="A231" i="13" s="1"/>
  <c r="A232" i="13" s="1" a="1"/>
  <c r="A232" i="13" s="1"/>
  <c r="A233" i="13" s="1" a="1"/>
  <c r="A233" i="13" s="1"/>
  <c r="A234" i="13" s="1" a="1"/>
  <c r="A234" i="13" s="1"/>
  <c r="A235" i="13" s="1" a="1"/>
  <c r="A235" i="13" s="1"/>
  <c r="A236" i="13" s="1" a="1"/>
  <c r="A236" i="13" s="1"/>
  <c r="A237" i="13" s="1" a="1"/>
  <c r="A237" i="13" s="1"/>
  <c r="A238" i="13" s="1" a="1"/>
  <c r="A238" i="13" s="1"/>
  <c r="A239" i="13" s="1" a="1"/>
  <c r="A239" i="13" s="1"/>
  <c r="A240" i="13" s="1" a="1"/>
  <c r="A240" i="13" s="1"/>
  <c r="A241" i="13" s="1" a="1"/>
  <c r="A241" i="13" s="1"/>
  <c r="A242" i="13" s="1" a="1"/>
  <c r="A242" i="13" s="1"/>
  <c r="A243" i="13" s="1" a="1"/>
  <c r="A243" i="13" s="1"/>
  <c r="A244" i="13" s="1" a="1"/>
  <c r="A244" i="13" s="1"/>
  <c r="A245" i="13" s="1" a="1"/>
  <c r="A245" i="13" s="1"/>
  <c r="A246" i="13" s="1" a="1"/>
  <c r="A246" i="13" s="1"/>
  <c r="A247" i="13" s="1" a="1"/>
  <c r="A247" i="13" s="1"/>
  <c r="A248" i="13" s="1" a="1"/>
  <c r="A248" i="13" s="1"/>
  <c r="A249" i="13" s="1" a="1"/>
  <c r="A249" i="13" s="1"/>
  <c r="A250" i="13" s="1" a="1"/>
  <c r="A250" i="13" s="1"/>
  <c r="A251" i="13" s="1" a="1"/>
  <c r="A251" i="13" s="1"/>
  <c r="A252" i="13" s="1" a="1"/>
  <c r="A252" i="13" s="1"/>
  <c r="A253" i="13" s="1" a="1"/>
  <c r="A253" i="13" s="1"/>
  <c r="A254" i="13" s="1" a="1"/>
  <c r="A254" i="13" s="1"/>
  <c r="A255" i="13" s="1" a="1"/>
  <c r="A255" i="13" s="1"/>
  <c r="A256" i="13" s="1" a="1"/>
  <c r="A256" i="13" s="1"/>
  <c r="A257" i="13" s="1" a="1"/>
  <c r="A257" i="13" s="1"/>
  <c r="A258" i="13" s="1" a="1"/>
  <c r="A258" i="13" s="1"/>
  <c r="A259" i="13" s="1" a="1"/>
  <c r="A259" i="13" s="1"/>
  <c r="A260" i="13" s="1" a="1"/>
  <c r="A260" i="13" s="1"/>
  <c r="A261" i="13" s="1" a="1"/>
  <c r="A261" i="13" s="1"/>
  <c r="A262" i="13" s="1" a="1"/>
  <c r="A262" i="13" s="1"/>
  <c r="A263" i="13" s="1" a="1"/>
  <c r="A263" i="13" s="1"/>
  <c r="A264" i="13" s="1" a="1"/>
  <c r="A264" i="13" s="1"/>
  <c r="A265" i="13" s="1" a="1"/>
  <c r="A265" i="13" s="1"/>
  <c r="A266" i="13" s="1" a="1"/>
  <c r="A266" i="13" s="1"/>
  <c r="A267" i="13" s="1" a="1"/>
  <c r="A267" i="13" s="1"/>
  <c r="A268" i="13" s="1" a="1"/>
  <c r="A268" i="13" s="1"/>
  <c r="A269" i="13" s="1" a="1"/>
  <c r="A269" i="13" s="1"/>
  <c r="A270" i="13" s="1" a="1"/>
  <c r="A270" i="13" s="1"/>
  <c r="A271" i="13" s="1" a="1"/>
  <c r="A271" i="13" s="1"/>
  <c r="A272" i="13" s="1" a="1"/>
  <c r="A272" i="13" s="1"/>
  <c r="A273" i="13" s="1" a="1"/>
  <c r="A273" i="13" s="1"/>
  <c r="A274" i="13" s="1" a="1"/>
  <c r="A274" i="13" s="1"/>
  <c r="A275" i="13" s="1" a="1"/>
  <c r="A275" i="13" s="1"/>
  <c r="A276" i="13" s="1" a="1"/>
  <c r="A276" i="13" s="1"/>
  <c r="A277" i="13" s="1" a="1"/>
  <c r="A277" i="13" s="1"/>
  <c r="A278" i="13" s="1" a="1"/>
  <c r="A278" i="13" s="1"/>
  <c r="A279" i="13" s="1" a="1"/>
  <c r="A279" i="13" s="1"/>
  <c r="A280" i="13" s="1" a="1"/>
  <c r="A280" i="13" s="1"/>
  <c r="A281" i="13" s="1" a="1"/>
  <c r="A281" i="13" s="1"/>
  <c r="A282" i="13" s="1" a="1"/>
  <c r="A282" i="13" s="1"/>
  <c r="A283" i="13" s="1" a="1"/>
  <c r="A283" i="13" s="1"/>
  <c r="A284" i="13" s="1" a="1"/>
  <c r="A284" i="13" s="1"/>
  <c r="A285" i="13" s="1" a="1"/>
  <c r="A285" i="13" s="1"/>
  <c r="A286" i="13" s="1" a="1"/>
  <c r="A286" i="13" s="1"/>
  <c r="A287" i="13" s="1" a="1"/>
  <c r="A287" i="13" s="1"/>
  <c r="A288" i="13" s="1" a="1"/>
  <c r="A288" i="13" s="1"/>
  <c r="A289" i="13" s="1" a="1"/>
  <c r="A289" i="13" s="1"/>
  <c r="A290" i="13" s="1" a="1"/>
  <c r="A290" i="13" s="1"/>
  <c r="A291" i="13" s="1" a="1"/>
  <c r="A291" i="13" s="1"/>
  <c r="A292" i="13" s="1" a="1"/>
  <c r="A292" i="13" s="1"/>
  <c r="A293" i="13" s="1" a="1"/>
  <c r="A293" i="13" s="1"/>
  <c r="A294" i="13" s="1" a="1"/>
  <c r="A294" i="13" s="1"/>
  <c r="A295" i="13" s="1" a="1"/>
  <c r="A295" i="13" s="1"/>
  <c r="A296" i="13" s="1" a="1"/>
  <c r="A296" i="13" s="1"/>
  <c r="A297" i="13" s="1" a="1"/>
  <c r="A297" i="13" s="1"/>
  <c r="A245" i="14" a="1"/>
  <c r="A245" i="14" s="1"/>
  <c r="A2" i="4"/>
  <c r="B297" i="13" l="1"/>
  <c r="C297" i="13"/>
  <c r="F297" i="13"/>
  <c r="D297" i="13"/>
  <c r="E297" i="13"/>
  <c r="G297" i="13"/>
  <c r="H297" i="13"/>
  <c r="A298" i="13" a="1"/>
  <c r="A298" i="13" s="1"/>
  <c r="A246" i="14" a="1"/>
  <c r="A246" i="14" s="1"/>
  <c r="A247" i="14" s="1" a="1"/>
  <c r="A247" i="14" s="1"/>
  <c r="A248" i="14" s="1" a="1"/>
  <c r="A248" i="14" s="1"/>
  <c r="A249" i="14" s="1" a="1"/>
  <c r="A249" i="14" s="1"/>
  <c r="A250" i="14" s="1" a="1"/>
  <c r="A250" i="14" s="1"/>
  <c r="A251" i="14" s="1" a="1"/>
  <c r="A251" i="14" s="1"/>
  <c r="A252" i="14" s="1" a="1"/>
  <c r="A252" i="14" s="1"/>
  <c r="A253" i="14" s="1" a="1"/>
  <c r="A253" i="14" s="1"/>
  <c r="A254" i="14" s="1" a="1"/>
  <c r="A254" i="14" s="1"/>
  <c r="A255" i="14" s="1" a="1"/>
  <c r="A255" i="14" s="1"/>
  <c r="A256" i="14" s="1" a="1"/>
  <c r="A256" i="14" s="1"/>
  <c r="A257" i="14" s="1" a="1"/>
  <c r="A257" i="14" s="1"/>
  <c r="A258" i="14" s="1" a="1"/>
  <c r="A258" i="14" s="1"/>
  <c r="A259" i="14" s="1" a="1"/>
  <c r="A259" i="14" s="1"/>
  <c r="A260" i="14" s="1" a="1"/>
  <c r="A260" i="14" s="1"/>
  <c r="A261" i="14" s="1" a="1"/>
  <c r="A261" i="14" s="1"/>
  <c r="A262" i="14" s="1" a="1"/>
  <c r="A262" i="14" s="1"/>
  <c r="A263" i="14" s="1" a="1"/>
  <c r="A263" i="14" s="1"/>
  <c r="A264" i="14" s="1" a="1"/>
  <c r="A264" i="14" s="1"/>
  <c r="A265" i="14" s="1" a="1"/>
  <c r="A265" i="14" s="1"/>
  <c r="A266" i="14" s="1" a="1"/>
  <c r="A266" i="14" s="1"/>
  <c r="A267" i="14" s="1" a="1"/>
  <c r="A267" i="14" s="1"/>
  <c r="A268" i="14" s="1" a="1"/>
  <c r="A268" i="14" s="1"/>
  <c r="A269" i="14" s="1" a="1"/>
  <c r="A269" i="14" s="1"/>
  <c r="A270" i="14" s="1" a="1"/>
  <c r="A270" i="14" s="1"/>
  <c r="A2" i="2"/>
  <c r="G10" i="15" s="1"/>
  <c r="G298" i="13" l="1"/>
  <c r="H298" i="13"/>
  <c r="D298" i="13"/>
  <c r="F298" i="13"/>
  <c r="E298" i="13"/>
  <c r="C298" i="13"/>
  <c r="B298" i="13"/>
  <c r="A299" i="13" a="1"/>
  <c r="A299" i="13" s="1"/>
  <c r="A271" i="14" a="1"/>
  <c r="A271" i="14" s="1"/>
  <c r="I10" i="15"/>
  <c r="H10" i="15"/>
  <c r="B11" i="1"/>
  <c r="B9" i="1"/>
  <c r="D299" i="13" l="1"/>
  <c r="C299" i="13"/>
  <c r="B299" i="13"/>
  <c r="E299" i="13"/>
  <c r="H299" i="13"/>
  <c r="F299" i="13"/>
  <c r="G299" i="13"/>
  <c r="A300" i="13" a="1"/>
  <c r="A300" i="13" s="1"/>
  <c r="A272" i="14" a="1"/>
  <c r="A272" i="14" s="1"/>
  <c r="H17" i="15"/>
  <c r="R9" i="15"/>
  <c r="S9" i="15"/>
  <c r="T9" i="15"/>
  <c r="Q9" i="15"/>
  <c r="N9" i="15"/>
  <c r="O9" i="15"/>
  <c r="P9" i="15"/>
  <c r="M9" i="15"/>
  <c r="E300" i="13" l="1"/>
  <c r="H300" i="13"/>
  <c r="F300" i="13"/>
  <c r="G300" i="13"/>
  <c r="C300" i="13"/>
  <c r="B300" i="13"/>
  <c r="D300" i="13"/>
  <c r="A301" i="13" a="1"/>
  <c r="A301" i="13" s="1"/>
  <c r="A273" i="14" a="1"/>
  <c r="A273" i="14" s="1"/>
  <c r="A274" i="14" s="1" a="1"/>
  <c r="A274" i="14" s="1"/>
  <c r="A275" i="14" s="1" a="1"/>
  <c r="A275" i="14" s="1"/>
  <c r="Q5" i="8"/>
  <c r="K5" i="8"/>
  <c r="L5" i="8"/>
  <c r="M5" i="8"/>
  <c r="N5" i="8"/>
  <c r="O5" i="8"/>
  <c r="P5" i="8"/>
  <c r="J5" i="8"/>
  <c r="F4" i="14"/>
  <c r="G4" i="14"/>
  <c r="H4" i="14"/>
  <c r="E4" i="14"/>
  <c r="F4" i="13"/>
  <c r="G4" i="13"/>
  <c r="H4" i="13"/>
  <c r="E4" i="13"/>
  <c r="H301" i="13" l="1"/>
  <c r="G301" i="13"/>
  <c r="B301" i="13"/>
  <c r="F301" i="13"/>
  <c r="C301" i="13"/>
  <c r="D301" i="13"/>
  <c r="E301" i="13"/>
  <c r="A302" i="13" a="1"/>
  <c r="A302" i="13" s="1"/>
  <c r="A276" i="14" a="1"/>
  <c r="A276" i="14" s="1"/>
  <c r="C14" i="15"/>
  <c r="C302" i="13" l="1"/>
  <c r="D302" i="13"/>
  <c r="B302" i="13"/>
  <c r="E302" i="13"/>
  <c r="F302" i="13"/>
  <c r="G302" i="13"/>
  <c r="H302" i="13"/>
  <c r="A303" i="13" a="1"/>
  <c r="A303" i="13" s="1"/>
  <c r="A277" i="14" a="1"/>
  <c r="A277" i="14" s="1"/>
  <c r="A278" i="14" s="1" a="1"/>
  <c r="A278" i="14" s="1"/>
  <c r="G5" i="14"/>
  <c r="E5" i="14"/>
  <c r="F5" i="14"/>
  <c r="H5" i="14"/>
  <c r="E5" i="13"/>
  <c r="H5" i="13"/>
  <c r="F5" i="13"/>
  <c r="G5" i="13"/>
  <c r="D5" i="14"/>
  <c r="B5" i="14"/>
  <c r="C5" i="14"/>
  <c r="D5" i="13"/>
  <c r="C5" i="13"/>
  <c r="B5" i="13"/>
  <c r="H303" i="13" l="1"/>
  <c r="D303" i="13"/>
  <c r="G303" i="13"/>
  <c r="E303" i="13"/>
  <c r="F303" i="13"/>
  <c r="B303" i="13"/>
  <c r="C303" i="13"/>
  <c r="A304" i="13" a="1"/>
  <c r="A304" i="13" s="1"/>
  <c r="A279" i="14" a="1"/>
  <c r="A279" i="14" s="1"/>
  <c r="E6" i="14"/>
  <c r="F6" i="14"/>
  <c r="G6" i="14"/>
  <c r="H6" i="14"/>
  <c r="E6" i="13"/>
  <c r="F6" i="13"/>
  <c r="G6" i="13"/>
  <c r="H6" i="13"/>
  <c r="D6" i="14"/>
  <c r="B6" i="14"/>
  <c r="C6" i="14"/>
  <c r="B6" i="13"/>
  <c r="C6" i="13"/>
  <c r="D6" i="13"/>
  <c r="R13" i="15"/>
  <c r="R14" i="15" s="1"/>
  <c r="N14" i="15"/>
  <c r="O14" i="15"/>
  <c r="P14" i="15"/>
  <c r="Q14" i="15"/>
  <c r="S14" i="15"/>
  <c r="T14" i="15"/>
  <c r="M14" i="15"/>
  <c r="Q17" i="15"/>
  <c r="P17" i="15"/>
  <c r="O17" i="15"/>
  <c r="N17" i="15"/>
  <c r="M17" i="15"/>
  <c r="D14" i="15"/>
  <c r="E14" i="15"/>
  <c r="F14" i="15"/>
  <c r="H18" i="15" s="1"/>
  <c r="G14" i="15"/>
  <c r="A305" i="13" l="1" a="1"/>
  <c r="A305" i="13" s="1"/>
  <c r="B304" i="13"/>
  <c r="E304" i="13"/>
  <c r="C304" i="13"/>
  <c r="D304" i="13"/>
  <c r="F304" i="13"/>
  <c r="G304" i="13"/>
  <c r="H304" i="13"/>
  <c r="A280" i="14" a="1"/>
  <c r="A280" i="14" s="1"/>
  <c r="A281" i="14" s="1" a="1"/>
  <c r="A281" i="14" s="1"/>
  <c r="E7" i="14"/>
  <c r="F7" i="14"/>
  <c r="G7" i="14"/>
  <c r="H7" i="14"/>
  <c r="E7" i="13"/>
  <c r="G7" i="13"/>
  <c r="H7" i="13"/>
  <c r="F7" i="13"/>
  <c r="C7" i="14"/>
  <c r="D7" i="14"/>
  <c r="B7" i="14"/>
  <c r="C7" i="13"/>
  <c r="D7" i="13"/>
  <c r="B7" i="13"/>
  <c r="S17" i="15"/>
  <c r="T18" i="15"/>
  <c r="R17" i="15"/>
  <c r="P18" i="15"/>
  <c r="M21" i="15"/>
  <c r="T17" i="15"/>
  <c r="M18" i="15"/>
  <c r="Q18" i="15"/>
  <c r="N18" i="15"/>
  <c r="S18" i="15"/>
  <c r="O18" i="15"/>
  <c r="R18" i="15"/>
  <c r="A306" i="13" l="1" a="1"/>
  <c r="A306" i="13" s="1"/>
  <c r="F305" i="13"/>
  <c r="G305" i="13"/>
  <c r="B305" i="13"/>
  <c r="D305" i="13"/>
  <c r="H305" i="13"/>
  <c r="C305" i="13"/>
  <c r="E305" i="13"/>
  <c r="A282" i="14" a="1"/>
  <c r="A282" i="14" s="1"/>
  <c r="A283" i="14" s="1" a="1"/>
  <c r="A283" i="14" s="1"/>
  <c r="E8" i="14"/>
  <c r="F8" i="14"/>
  <c r="G8" i="14"/>
  <c r="H8" i="14"/>
  <c r="E8" i="13"/>
  <c r="H8" i="13"/>
  <c r="F8" i="13"/>
  <c r="G8" i="13"/>
  <c r="D8" i="14"/>
  <c r="B8" i="14"/>
  <c r="C8" i="14"/>
  <c r="B8" i="13"/>
  <c r="D8" i="13"/>
  <c r="C8" i="13"/>
  <c r="N21" i="15"/>
  <c r="M22" i="15"/>
  <c r="N22" i="15"/>
  <c r="E10" i="15"/>
  <c r="C10" i="15"/>
  <c r="C17" i="15" s="1"/>
  <c r="F10" i="15"/>
  <c r="D10" i="15"/>
  <c r="C306" i="13" l="1"/>
  <c r="H306" i="13"/>
  <c r="B306" i="13"/>
  <c r="D306" i="13"/>
  <c r="G306" i="13"/>
  <c r="E306" i="13"/>
  <c r="F306" i="13"/>
  <c r="A307" i="13" a="1"/>
  <c r="A307" i="13" s="1"/>
  <c r="A284" i="14" a="1"/>
  <c r="A284" i="14" s="1"/>
  <c r="A285" i="14" s="1" a="1"/>
  <c r="A285" i="14" s="1"/>
  <c r="E9" i="14"/>
  <c r="F9" i="14"/>
  <c r="G9" i="14"/>
  <c r="H9" i="14"/>
  <c r="E9" i="13"/>
  <c r="F9" i="13"/>
  <c r="G9" i="13"/>
  <c r="H9" i="13"/>
  <c r="B9" i="14"/>
  <c r="C9" i="14"/>
  <c r="D9" i="14"/>
  <c r="B9" i="13"/>
  <c r="D9" i="13"/>
  <c r="C9" i="13"/>
  <c r="C18" i="15"/>
  <c r="G17" i="15"/>
  <c r="G18" i="15"/>
  <c r="D17" i="15"/>
  <c r="D18" i="15"/>
  <c r="E18" i="15"/>
  <c r="E17" i="15"/>
  <c r="F17" i="15"/>
  <c r="F18" i="15"/>
  <c r="I17" i="15"/>
  <c r="I18" i="15"/>
  <c r="A308" i="13" l="1" a="1"/>
  <c r="A308" i="13" s="1"/>
  <c r="D307" i="13"/>
  <c r="E307" i="13"/>
  <c r="F307" i="13"/>
  <c r="G307" i="13"/>
  <c r="H307" i="13"/>
  <c r="C307" i="13"/>
  <c r="B307" i="13"/>
  <c r="A286" i="14" a="1"/>
  <c r="A286" i="14" s="1"/>
  <c r="A287" i="14" s="1" a="1"/>
  <c r="A287" i="14" s="1"/>
  <c r="A288" i="14" s="1" a="1"/>
  <c r="A288" i="14" s="1"/>
  <c r="E10" i="14"/>
  <c r="F10" i="14"/>
  <c r="G10" i="14"/>
  <c r="H10" i="14"/>
  <c r="B10" i="13"/>
  <c r="E10" i="13"/>
  <c r="F10" i="13"/>
  <c r="G10" i="13"/>
  <c r="H10" i="13"/>
  <c r="C21" i="15"/>
  <c r="C22" i="15"/>
  <c r="B10" i="14"/>
  <c r="C10" i="14"/>
  <c r="D10" i="14"/>
  <c r="C10" i="13"/>
  <c r="D10" i="13"/>
  <c r="A309" i="13" l="1" a="1"/>
  <c r="A309" i="13" s="1"/>
  <c r="H308" i="13"/>
  <c r="F308" i="13"/>
  <c r="G308" i="13"/>
  <c r="E308" i="13"/>
  <c r="B308" i="13"/>
  <c r="C308" i="13"/>
  <c r="D308" i="13"/>
  <c r="A289" i="14" a="1"/>
  <c r="A289" i="14" s="1"/>
  <c r="E11" i="14"/>
  <c r="F11" i="14"/>
  <c r="G11" i="14"/>
  <c r="H11" i="14"/>
  <c r="D12" i="13"/>
  <c r="E11" i="13"/>
  <c r="G11" i="13"/>
  <c r="H11" i="13"/>
  <c r="F11" i="13"/>
  <c r="C11" i="14"/>
  <c r="D11" i="14"/>
  <c r="B11" i="14"/>
  <c r="B11" i="13"/>
  <c r="C11" i="13"/>
  <c r="D11" i="13"/>
  <c r="A310" i="13" l="1" a="1"/>
  <c r="A310" i="13" s="1"/>
  <c r="B309" i="13"/>
  <c r="C309" i="13"/>
  <c r="F309" i="13"/>
  <c r="D309" i="13"/>
  <c r="E309" i="13"/>
  <c r="G309" i="13"/>
  <c r="H309" i="13"/>
  <c r="A290" i="14" a="1"/>
  <c r="A290" i="14" s="1"/>
  <c r="E12" i="14"/>
  <c r="F12" i="14"/>
  <c r="G12" i="14"/>
  <c r="H12" i="14"/>
  <c r="B12" i="14"/>
  <c r="C12" i="14"/>
  <c r="D12" i="14"/>
  <c r="F13" i="13"/>
  <c r="B12" i="13"/>
  <c r="C12" i="13"/>
  <c r="E12" i="13"/>
  <c r="H12" i="13"/>
  <c r="F12" i="13"/>
  <c r="G12" i="13"/>
  <c r="A311" i="13" l="1" a="1"/>
  <c r="A311" i="13" s="1"/>
  <c r="G310" i="13"/>
  <c r="E310" i="13"/>
  <c r="H310" i="13"/>
  <c r="D310" i="13"/>
  <c r="F310" i="13"/>
  <c r="C310" i="13"/>
  <c r="B310" i="13"/>
  <c r="A291" i="14" a="1"/>
  <c r="A291" i="14" s="1"/>
  <c r="E13" i="14"/>
  <c r="F13" i="14"/>
  <c r="G13" i="14"/>
  <c r="H13" i="14"/>
  <c r="C14" i="14"/>
  <c r="C13" i="14"/>
  <c r="B13" i="14"/>
  <c r="D13" i="14"/>
  <c r="G14" i="13"/>
  <c r="H13" i="13"/>
  <c r="D13" i="13"/>
  <c r="E13" i="13"/>
  <c r="B13" i="13"/>
  <c r="G13" i="13"/>
  <c r="C13" i="13"/>
  <c r="D311" i="13" l="1"/>
  <c r="B311" i="13"/>
  <c r="C311" i="13"/>
  <c r="E311" i="13"/>
  <c r="F311" i="13"/>
  <c r="H311" i="13"/>
  <c r="G311" i="13"/>
  <c r="A312" i="13" a="1"/>
  <c r="A312" i="13" s="1"/>
  <c r="A292" i="14" a="1"/>
  <c r="A292" i="14" s="1"/>
  <c r="A293" i="14" s="1" a="1"/>
  <c r="A293" i="14" s="1"/>
  <c r="D14" i="14"/>
  <c r="B14" i="14"/>
  <c r="E14" i="14"/>
  <c r="F14" i="14"/>
  <c r="G14" i="14"/>
  <c r="H14" i="14"/>
  <c r="D14" i="13"/>
  <c r="F14" i="13"/>
  <c r="C14" i="13"/>
  <c r="E14" i="13"/>
  <c r="B14" i="13"/>
  <c r="H14" i="13"/>
  <c r="G15" i="13"/>
  <c r="A313" i="13" l="1" a="1"/>
  <c r="A313" i="13" s="1"/>
  <c r="H312" i="13"/>
  <c r="B312" i="13"/>
  <c r="C312" i="13"/>
  <c r="D312" i="13"/>
  <c r="G312" i="13"/>
  <c r="E312" i="13"/>
  <c r="F312" i="13"/>
  <c r="A294" i="14" a="1"/>
  <c r="A294" i="14" s="1"/>
  <c r="E15" i="14"/>
  <c r="F15" i="14"/>
  <c r="G15" i="14"/>
  <c r="H15" i="14"/>
  <c r="C15" i="14"/>
  <c r="C16" i="14"/>
  <c r="B15" i="14"/>
  <c r="D15" i="14"/>
  <c r="C15" i="13"/>
  <c r="E15" i="13"/>
  <c r="B15" i="13"/>
  <c r="F15" i="13"/>
  <c r="F16" i="13"/>
  <c r="H15" i="13"/>
  <c r="D15" i="13"/>
  <c r="A314" i="13" l="1" a="1"/>
  <c r="A314" i="13" s="1"/>
  <c r="C313" i="13"/>
  <c r="D313" i="13"/>
  <c r="H313" i="13"/>
  <c r="G313" i="13"/>
  <c r="B313" i="13"/>
  <c r="E313" i="13"/>
  <c r="F313" i="13"/>
  <c r="A295" i="14" a="1"/>
  <c r="A295" i="14" s="1"/>
  <c r="A296" i="14" s="1" a="1"/>
  <c r="A296" i="14" s="1"/>
  <c r="D17" i="14"/>
  <c r="E16" i="14"/>
  <c r="F16" i="14"/>
  <c r="G16" i="14"/>
  <c r="H16" i="14"/>
  <c r="B16" i="14"/>
  <c r="D16" i="14"/>
  <c r="C16" i="13"/>
  <c r="E17" i="13"/>
  <c r="G16" i="13"/>
  <c r="H16" i="13"/>
  <c r="B16" i="13"/>
  <c r="E16" i="13"/>
  <c r="D16" i="13"/>
  <c r="A315" i="13" l="1" a="1"/>
  <c r="A315" i="13" s="1"/>
  <c r="F314" i="13"/>
  <c r="G314" i="13"/>
  <c r="C314" i="13"/>
  <c r="D314" i="13"/>
  <c r="B314" i="13"/>
  <c r="E314" i="13"/>
  <c r="H314" i="13"/>
  <c r="A297" i="14" a="1"/>
  <c r="A297" i="14" s="1"/>
  <c r="A298" i="14" s="1" a="1"/>
  <c r="A298" i="14" s="1"/>
  <c r="A299" i="14" s="1" a="1"/>
  <c r="A299" i="14" s="1"/>
  <c r="D18" i="14"/>
  <c r="C17" i="14"/>
  <c r="B17" i="14"/>
  <c r="E17" i="14"/>
  <c r="F17" i="14"/>
  <c r="G17" i="14"/>
  <c r="H17" i="14"/>
  <c r="H18" i="13"/>
  <c r="H17" i="13"/>
  <c r="C17" i="13"/>
  <c r="G17" i="13"/>
  <c r="D17" i="13"/>
  <c r="F17" i="13"/>
  <c r="B17" i="13"/>
  <c r="A316" i="13" l="1" a="1"/>
  <c r="A316" i="13" s="1"/>
  <c r="H315" i="13"/>
  <c r="C315" i="13"/>
  <c r="F315" i="13"/>
  <c r="D315" i="13"/>
  <c r="B315" i="13"/>
  <c r="G315" i="13"/>
  <c r="E315" i="13"/>
  <c r="A300" i="14" a="1"/>
  <c r="A300" i="14" s="1"/>
  <c r="B19" i="14"/>
  <c r="C18" i="14"/>
  <c r="B18" i="14"/>
  <c r="E18" i="14"/>
  <c r="F18" i="14"/>
  <c r="G18" i="14"/>
  <c r="H18" i="14"/>
  <c r="B18" i="13"/>
  <c r="E18" i="13"/>
  <c r="D18" i="13"/>
  <c r="G18" i="13"/>
  <c r="C18" i="13"/>
  <c r="F18" i="13"/>
  <c r="G19" i="13"/>
  <c r="A317" i="13" l="1" a="1"/>
  <c r="A317" i="13" s="1"/>
  <c r="E316" i="13"/>
  <c r="F316" i="13"/>
  <c r="H316" i="13"/>
  <c r="C316" i="13"/>
  <c r="D316" i="13"/>
  <c r="G316" i="13"/>
  <c r="B316" i="13"/>
  <c r="A301" i="14" a="1"/>
  <c r="A301" i="14" s="1"/>
  <c r="A302" i="14" s="1" a="1"/>
  <c r="A302" i="14" s="1"/>
  <c r="A303" i="14" s="1" a="1"/>
  <c r="A303" i="14" s="1"/>
  <c r="C20" i="14"/>
  <c r="D19" i="14"/>
  <c r="C19" i="14"/>
  <c r="E19" i="14"/>
  <c r="F19" i="14"/>
  <c r="G19" i="14"/>
  <c r="H19" i="14"/>
  <c r="B19" i="13"/>
  <c r="E19" i="13"/>
  <c r="E20" i="13"/>
  <c r="F19" i="13"/>
  <c r="D19" i="13"/>
  <c r="H19" i="13"/>
  <c r="C19" i="13"/>
  <c r="A318" i="13" l="1" a="1"/>
  <c r="A318" i="13" s="1"/>
  <c r="F317" i="13"/>
  <c r="G317" i="13"/>
  <c r="C317" i="13"/>
  <c r="D317" i="13"/>
  <c r="E317" i="13"/>
  <c r="B317" i="13"/>
  <c r="H317" i="13"/>
  <c r="A304" i="14" a="1"/>
  <c r="A304" i="14" s="1"/>
  <c r="A305" i="14" s="1" a="1"/>
  <c r="A305" i="14" s="1"/>
  <c r="A306" i="14" s="1" a="1"/>
  <c r="A306" i="14" s="1"/>
  <c r="A307" i="14" s="1" a="1"/>
  <c r="A307" i="14" s="1"/>
  <c r="A308" i="14" s="1" a="1"/>
  <c r="A308" i="14" s="1"/>
  <c r="A309" i="14" s="1" a="1"/>
  <c r="A309" i="14" s="1"/>
  <c r="A310" i="14" s="1" a="1"/>
  <c r="A310" i="14" s="1"/>
  <c r="A311" i="14" s="1" a="1"/>
  <c r="A311" i="14" s="1"/>
  <c r="A312" i="14" s="1" a="1"/>
  <c r="A312" i="14" s="1"/>
  <c r="D21" i="14"/>
  <c r="B20" i="14"/>
  <c r="D20" i="14"/>
  <c r="E20" i="14"/>
  <c r="F20" i="14"/>
  <c r="G20" i="14"/>
  <c r="H20" i="14"/>
  <c r="B20" i="13"/>
  <c r="F20" i="13"/>
  <c r="C20" i="13"/>
  <c r="H20" i="13"/>
  <c r="H21" i="13"/>
  <c r="G20" i="13"/>
  <c r="D20" i="13"/>
  <c r="A319" i="13" l="1" a="1"/>
  <c r="A319" i="13" s="1"/>
  <c r="C318" i="13"/>
  <c r="F318" i="13"/>
  <c r="G318" i="13"/>
  <c r="B318" i="13"/>
  <c r="D318" i="13"/>
  <c r="E318" i="13"/>
  <c r="H318" i="13"/>
  <c r="A313" i="14" a="1"/>
  <c r="A313" i="14" s="1"/>
  <c r="D22" i="14"/>
  <c r="C21" i="14"/>
  <c r="B21" i="14"/>
  <c r="E21" i="14"/>
  <c r="F21" i="14"/>
  <c r="G21" i="14"/>
  <c r="H21" i="14"/>
  <c r="C21" i="13"/>
  <c r="G21" i="13"/>
  <c r="D21" i="13"/>
  <c r="F21" i="13"/>
  <c r="B21" i="13"/>
  <c r="E21" i="13"/>
  <c r="F22" i="13"/>
  <c r="A320" i="13" l="1" a="1"/>
  <c r="A320" i="13" s="1"/>
  <c r="H319" i="13"/>
  <c r="B319" i="13"/>
  <c r="C319" i="13"/>
  <c r="D319" i="13"/>
  <c r="E319" i="13"/>
  <c r="F319" i="13"/>
  <c r="G319" i="13"/>
  <c r="A314" i="14" a="1"/>
  <c r="A314" i="14" s="1"/>
  <c r="B23" i="14"/>
  <c r="C22" i="14"/>
  <c r="B22" i="14"/>
  <c r="E22" i="14"/>
  <c r="F22" i="14"/>
  <c r="G22" i="14"/>
  <c r="H22" i="14"/>
  <c r="C22" i="13"/>
  <c r="E22" i="13"/>
  <c r="F23" i="13"/>
  <c r="H22" i="13"/>
  <c r="B22" i="13"/>
  <c r="G22" i="13"/>
  <c r="D22" i="13"/>
  <c r="A321" i="13" l="1" a="1"/>
  <c r="A321" i="13" s="1"/>
  <c r="F320" i="13"/>
  <c r="C320" i="13"/>
  <c r="G320" i="13"/>
  <c r="H320" i="13"/>
  <c r="D320" i="13"/>
  <c r="E320" i="13"/>
  <c r="B320" i="13"/>
  <c r="A315" i="14" a="1"/>
  <c r="A315" i="14" s="1"/>
  <c r="A316" i="14" s="1" a="1"/>
  <c r="A316" i="14" s="1"/>
  <c r="A317" i="14" s="1" a="1"/>
  <c r="A317" i="14" s="1"/>
  <c r="C24" i="14"/>
  <c r="D23" i="14"/>
  <c r="C23" i="14"/>
  <c r="E23" i="14"/>
  <c r="F23" i="14"/>
  <c r="G23" i="14"/>
  <c r="H23" i="14"/>
  <c r="F24" i="13"/>
  <c r="E23" i="13"/>
  <c r="D23" i="13"/>
  <c r="H23" i="13"/>
  <c r="C23" i="13"/>
  <c r="G23" i="13"/>
  <c r="B23" i="13"/>
  <c r="A322" i="13" l="1" a="1"/>
  <c r="A322" i="13" s="1"/>
  <c r="G321" i="13"/>
  <c r="H321" i="13"/>
  <c r="B321" i="13"/>
  <c r="E321" i="13"/>
  <c r="F321" i="13"/>
  <c r="C321" i="13"/>
  <c r="D321" i="13"/>
  <c r="A318" i="14" a="1"/>
  <c r="A318" i="14" s="1"/>
  <c r="A319" i="14" s="1" a="1"/>
  <c r="A319" i="14" s="1"/>
  <c r="B24" i="14"/>
  <c r="D24" i="14"/>
  <c r="C25" i="14"/>
  <c r="E24" i="14"/>
  <c r="F24" i="14"/>
  <c r="G24" i="14"/>
  <c r="H24" i="14"/>
  <c r="H24" i="13"/>
  <c r="E24" i="13"/>
  <c r="D24" i="13"/>
  <c r="G24" i="13"/>
  <c r="G26" i="13"/>
  <c r="B24" i="13"/>
  <c r="C24" i="13"/>
  <c r="A323" i="13" l="1" a="1"/>
  <c r="A323" i="13" s="1"/>
  <c r="E322" i="13"/>
  <c r="H322" i="13"/>
  <c r="B322" i="13"/>
  <c r="G322" i="13"/>
  <c r="C322" i="13"/>
  <c r="F322" i="13"/>
  <c r="D322" i="13"/>
  <c r="A320" i="14" a="1"/>
  <c r="A320" i="14" s="1"/>
  <c r="A321" i="14" s="1" a="1"/>
  <c r="A321" i="14" s="1"/>
  <c r="B25" i="14"/>
  <c r="B26" i="14"/>
  <c r="D25" i="14"/>
  <c r="E25" i="14"/>
  <c r="F25" i="14"/>
  <c r="G25" i="14"/>
  <c r="H25" i="14"/>
  <c r="C26" i="13"/>
  <c r="G25" i="13"/>
  <c r="B25" i="13"/>
  <c r="F26" i="13"/>
  <c r="D26" i="13"/>
  <c r="F25" i="13"/>
  <c r="H26" i="13"/>
  <c r="B26" i="13"/>
  <c r="E25" i="13"/>
  <c r="C25" i="13"/>
  <c r="E26" i="13"/>
  <c r="G27" i="13"/>
  <c r="H25" i="13"/>
  <c r="D25" i="13"/>
  <c r="A322" i="14" l="1" a="1"/>
  <c r="A322" i="14" s="1"/>
  <c r="A323" i="14" s="1" a="1"/>
  <c r="A323" i="14" s="1"/>
  <c r="A324" i="14" s="1" a="1"/>
  <c r="A324" i="14" s="1"/>
  <c r="A324" i="13" a="1"/>
  <c r="A324" i="13" s="1"/>
  <c r="H323" i="13"/>
  <c r="B323" i="13"/>
  <c r="C323" i="13"/>
  <c r="D323" i="13"/>
  <c r="E323" i="13"/>
  <c r="F323" i="13"/>
  <c r="G323" i="13"/>
  <c r="B27" i="14"/>
  <c r="D26" i="14"/>
  <c r="C26" i="14"/>
  <c r="E26" i="14"/>
  <c r="F26" i="14"/>
  <c r="G26" i="14"/>
  <c r="H26" i="14"/>
  <c r="C27" i="13"/>
  <c r="F27" i="13"/>
  <c r="D27" i="13"/>
  <c r="E27" i="13"/>
  <c r="B27" i="13"/>
  <c r="H27" i="13"/>
  <c r="H28" i="13"/>
  <c r="A325" i="14" l="1" a="1"/>
  <c r="A325" i="14" s="1"/>
  <c r="A326" i="14" s="1" a="1"/>
  <c r="A326" i="14" s="1"/>
  <c r="A327" i="14" s="1" a="1"/>
  <c r="A327" i="14" s="1"/>
  <c r="A328" i="14" s="1" a="1"/>
  <c r="A328" i="14" s="1"/>
  <c r="A329" i="14" s="1" a="1"/>
  <c r="A329" i="14" s="1"/>
  <c r="A325" i="13" a="1"/>
  <c r="A325" i="13" s="1"/>
  <c r="E324" i="13"/>
  <c r="B324" i="13"/>
  <c r="C324" i="13"/>
  <c r="D324" i="13"/>
  <c r="G324" i="13"/>
  <c r="H324" i="13"/>
  <c r="F324" i="13"/>
  <c r="C28" i="14"/>
  <c r="D27" i="14"/>
  <c r="C27" i="14"/>
  <c r="E27" i="14"/>
  <c r="F27" i="14"/>
  <c r="G27" i="14"/>
  <c r="H27" i="14"/>
  <c r="G29" i="13"/>
  <c r="C28" i="13"/>
  <c r="E28" i="13"/>
  <c r="B28" i="13"/>
  <c r="G28" i="13"/>
  <c r="D28" i="13"/>
  <c r="F28" i="13"/>
  <c r="A330" i="14" l="1" a="1"/>
  <c r="A330" i="14" s="1"/>
  <c r="A331" i="14" s="1" a="1"/>
  <c r="A331" i="14" s="1"/>
  <c r="A326" i="13" a="1"/>
  <c r="A326" i="13" s="1"/>
  <c r="C325" i="13"/>
  <c r="D325" i="13"/>
  <c r="G325" i="13"/>
  <c r="H325" i="13"/>
  <c r="E325" i="13"/>
  <c r="B325" i="13"/>
  <c r="F325" i="13"/>
  <c r="D29" i="14"/>
  <c r="B28" i="14"/>
  <c r="D28" i="14"/>
  <c r="E28" i="14"/>
  <c r="F28" i="14"/>
  <c r="G28" i="14"/>
  <c r="H28" i="14"/>
  <c r="B29" i="13"/>
  <c r="F29" i="13"/>
  <c r="D29" i="13"/>
  <c r="H29" i="13"/>
  <c r="F30" i="13"/>
  <c r="E29" i="13"/>
  <c r="C29" i="13"/>
  <c r="A332" i="14" l="1" a="1"/>
  <c r="A332" i="14" s="1"/>
  <c r="A333" i="14" s="1" a="1"/>
  <c r="A333" i="14" s="1"/>
  <c r="A334" i="14" s="1" a="1"/>
  <c r="A334" i="14" s="1"/>
  <c r="A335" i="14" s="1" a="1"/>
  <c r="A335" i="14" s="1"/>
  <c r="A336" i="14" s="1" a="1"/>
  <c r="A336" i="14" s="1"/>
  <c r="A337" i="14" s="1" a="1"/>
  <c r="A337" i="14" s="1"/>
  <c r="A338" i="14" s="1" a="1"/>
  <c r="A338" i="14" s="1"/>
  <c r="A339" i="14" s="1" a="1"/>
  <c r="A339" i="14" s="1"/>
  <c r="A340" i="14" s="1" a="1"/>
  <c r="A340" i="14" s="1"/>
  <c r="A341" i="14" s="1" a="1"/>
  <c r="A341" i="14" s="1"/>
  <c r="A342" i="14" s="1" a="1"/>
  <c r="A342" i="14" s="1"/>
  <c r="A343" i="14" s="1" a="1"/>
  <c r="A343" i="14" s="1"/>
  <c r="A344" i="14" s="1" a="1"/>
  <c r="A344" i="14" s="1"/>
  <c r="A345" i="14" s="1" a="1"/>
  <c r="A345" i="14" s="1"/>
  <c r="A346" i="14" s="1" a="1"/>
  <c r="A346" i="14" s="1"/>
  <c r="A347" i="14" s="1" a="1"/>
  <c r="A347" i="14" s="1"/>
  <c r="A348" i="14" s="1" a="1"/>
  <c r="A348" i="14" s="1"/>
  <c r="A349" i="14" s="1" a="1"/>
  <c r="A349" i="14" s="1"/>
  <c r="A350" i="14" s="1" a="1"/>
  <c r="A350" i="14" s="1"/>
  <c r="A351" i="14" s="1" a="1"/>
  <c r="A351" i="14" s="1"/>
  <c r="A352" i="14" s="1" a="1"/>
  <c r="A352" i="14" s="1"/>
  <c r="A353" i="14" s="1" a="1"/>
  <c r="A353" i="14" s="1"/>
  <c r="A354" i="14" s="1" a="1"/>
  <c r="A354" i="14" s="1"/>
  <c r="A355" i="14" s="1" a="1"/>
  <c r="A355" i="14" s="1"/>
  <c r="A356" i="14" s="1" a="1"/>
  <c r="A356" i="14" s="1"/>
  <c r="A357" i="14" s="1" a="1"/>
  <c r="A357" i="14" s="1"/>
  <c r="A358" i="14" s="1" a="1"/>
  <c r="A358" i="14" s="1"/>
  <c r="A359" i="14" s="1" a="1"/>
  <c r="A359" i="14" s="1"/>
  <c r="A360" i="14" s="1" a="1"/>
  <c r="A360" i="14" s="1"/>
  <c r="A361" i="14" s="1" a="1"/>
  <c r="A361" i="14" s="1"/>
  <c r="A362" i="14" s="1" a="1"/>
  <c r="A362" i="14" s="1"/>
  <c r="A363" i="14" s="1" a="1"/>
  <c r="A363" i="14" s="1"/>
  <c r="A364" i="14" s="1" a="1"/>
  <c r="A364" i="14" s="1"/>
  <c r="A365" i="14" s="1" a="1"/>
  <c r="A365" i="14" s="1"/>
  <c r="A366" i="14" s="1" a="1"/>
  <c r="A366" i="14" s="1"/>
  <c r="A367" i="14" s="1" a="1"/>
  <c r="A367" i="14" s="1"/>
  <c r="A368" i="14" s="1" a="1"/>
  <c r="A368" i="14" s="1"/>
  <c r="A369" i="14" s="1" a="1"/>
  <c r="A369" i="14" s="1"/>
  <c r="A370" i="14" s="1" a="1"/>
  <c r="A370" i="14" s="1"/>
  <c r="A371" i="14" s="1" a="1"/>
  <c r="A371" i="14" s="1"/>
  <c r="A372" i="14" s="1" a="1"/>
  <c r="A372" i="14" s="1"/>
  <c r="A373" i="14" s="1" a="1"/>
  <c r="A373" i="14" s="1"/>
  <c r="A374" i="14" s="1" a="1"/>
  <c r="A374" i="14" s="1"/>
  <c r="A375" i="14" s="1" a="1"/>
  <c r="A375" i="14" s="1"/>
  <c r="A376" i="14" s="1" a="1"/>
  <c r="A376" i="14" s="1"/>
  <c r="A377" i="14" s="1" a="1"/>
  <c r="A377" i="14" s="1"/>
  <c r="A378" i="14" s="1" a="1"/>
  <c r="A378" i="14" s="1"/>
  <c r="A379" i="14" s="1" a="1"/>
  <c r="A379" i="14" s="1"/>
  <c r="A380" i="14" s="1" a="1"/>
  <c r="A380" i="14" s="1"/>
  <c r="A381" i="14" s="1" a="1"/>
  <c r="A381" i="14" s="1"/>
  <c r="A382" i="14" s="1" a="1"/>
  <c r="A382" i="14" s="1"/>
  <c r="A383" i="14" s="1" a="1"/>
  <c r="A383" i="14" s="1"/>
  <c r="A384" i="14" s="1" a="1"/>
  <c r="A384" i="14" s="1"/>
  <c r="A385" i="14" s="1" a="1"/>
  <c r="A385" i="14" s="1"/>
  <c r="A386" i="14" s="1" a="1"/>
  <c r="A386" i="14" s="1"/>
  <c r="A387" i="14" s="1" a="1"/>
  <c r="A387" i="14" s="1"/>
  <c r="A388" i="14" s="1" a="1"/>
  <c r="A388" i="14" s="1"/>
  <c r="A389" i="14" s="1" a="1"/>
  <c r="A389" i="14" s="1"/>
  <c r="A390" i="14" s="1" a="1"/>
  <c r="A390" i="14" s="1"/>
  <c r="A391" i="14" s="1" a="1"/>
  <c r="A391" i="14" s="1"/>
  <c r="A392" i="14" s="1" a="1"/>
  <c r="A392" i="14" s="1"/>
  <c r="A393" i="14" s="1" a="1"/>
  <c r="A393" i="14" s="1"/>
  <c r="A394" i="14" s="1" a="1"/>
  <c r="A394" i="14" s="1"/>
  <c r="A395" i="14" s="1" a="1"/>
  <c r="A395" i="14" s="1"/>
  <c r="A396" i="14" s="1" a="1"/>
  <c r="A396" i="14" s="1"/>
  <c r="A397" i="14" s="1" a="1"/>
  <c r="A397" i="14" s="1"/>
  <c r="A398" i="14" s="1" a="1"/>
  <c r="A398" i="14" s="1"/>
  <c r="A399" i="14" s="1" a="1"/>
  <c r="A399" i="14" s="1"/>
  <c r="A400" i="14" s="1" a="1"/>
  <c r="A400" i="14" s="1"/>
  <c r="A401" i="14" s="1" a="1"/>
  <c r="A401" i="14" s="1"/>
  <c r="A402" i="14" s="1" a="1"/>
  <c r="A402" i="14" s="1"/>
  <c r="A403" i="14" s="1" a="1"/>
  <c r="A403" i="14" s="1"/>
  <c r="A404" i="14" s="1" a="1"/>
  <c r="A404" i="14" s="1"/>
  <c r="A405" i="14" s="1" a="1"/>
  <c r="A405" i="14" s="1"/>
  <c r="A406" i="14" s="1" a="1"/>
  <c r="A406" i="14" s="1"/>
  <c r="A407" i="14" s="1" a="1"/>
  <c r="A407" i="14" s="1"/>
  <c r="A408" i="14" s="1" a="1"/>
  <c r="A408" i="14" s="1"/>
  <c r="A409" i="14" s="1" a="1"/>
  <c r="A409" i="14" s="1"/>
  <c r="A410" i="14" s="1" a="1"/>
  <c r="A410" i="14" s="1"/>
  <c r="A411" i="14" s="1" a="1"/>
  <c r="A411" i="14" s="1"/>
  <c r="A412" i="14" s="1" a="1"/>
  <c r="A412" i="14" s="1"/>
  <c r="A413" i="14" s="1" a="1"/>
  <c r="A413" i="14" s="1"/>
  <c r="A414" i="14" s="1" a="1"/>
  <c r="A414" i="14" s="1"/>
  <c r="A415" i="14" s="1" a="1"/>
  <c r="A415" i="14" s="1"/>
  <c r="A416" i="14" s="1" a="1"/>
  <c r="A416" i="14" s="1"/>
  <c r="A417" i="14" s="1" a="1"/>
  <c r="A417" i="14" s="1"/>
  <c r="A418" i="14" s="1" a="1"/>
  <c r="A418" i="14" s="1"/>
  <c r="A419" i="14" s="1" a="1"/>
  <c r="A419" i="14" s="1"/>
  <c r="A420" i="14" s="1" a="1"/>
  <c r="A420" i="14" s="1"/>
  <c r="A421" i="14" s="1" a="1"/>
  <c r="A421" i="14" s="1"/>
  <c r="A422" i="14" s="1" a="1"/>
  <c r="A422" i="14" s="1"/>
  <c r="A423" i="14" s="1" a="1"/>
  <c r="A423" i="14" s="1"/>
  <c r="A424" i="14" s="1" a="1"/>
  <c r="A424" i="14" s="1"/>
  <c r="A425" i="14" s="1" a="1"/>
  <c r="A425" i="14" s="1"/>
  <c r="A426" i="14" s="1" a="1"/>
  <c r="A426" i="14" s="1"/>
  <c r="A427" i="14" s="1" a="1"/>
  <c r="A427" i="14" s="1"/>
  <c r="A428" i="14" s="1" a="1"/>
  <c r="A428" i="14" s="1"/>
  <c r="A429" i="14" s="1" a="1"/>
  <c r="A429" i="14" s="1"/>
  <c r="A430" i="14" s="1" a="1"/>
  <c r="A430" i="14" s="1"/>
  <c r="A431" i="14" s="1" a="1"/>
  <c r="A431" i="14" s="1"/>
  <c r="A432" i="14" s="1" a="1"/>
  <c r="A432" i="14" s="1"/>
  <c r="A433" i="14" s="1" a="1"/>
  <c r="A433" i="14" s="1"/>
  <c r="A434" i="14" s="1" a="1"/>
  <c r="A434" i="14" s="1"/>
  <c r="A435" i="14" s="1" a="1"/>
  <c r="A435" i="14" s="1"/>
  <c r="A436" i="14" s="1" a="1"/>
  <c r="A436" i="14" s="1"/>
  <c r="A437" i="14" s="1" a="1"/>
  <c r="A437" i="14" s="1"/>
  <c r="A438" i="14" s="1" a="1"/>
  <c r="A438" i="14" s="1"/>
  <c r="A439" i="14" s="1" a="1"/>
  <c r="A439" i="14" s="1"/>
  <c r="A440" i="14" s="1" a="1"/>
  <c r="A440" i="14" s="1"/>
  <c r="A441" i="14" s="1" a="1"/>
  <c r="A441" i="14" s="1"/>
  <c r="A442" i="14" s="1" a="1"/>
  <c r="A442" i="14" s="1"/>
  <c r="A443" i="14" s="1" a="1"/>
  <c r="A443" i="14" s="1"/>
  <c r="A444" i="14" s="1" a="1"/>
  <c r="A444" i="14" s="1"/>
  <c r="A445" i="14" s="1" a="1"/>
  <c r="A445" i="14" s="1"/>
  <c r="A446" i="14" s="1" a="1"/>
  <c r="A446" i="14" s="1"/>
  <c r="A327" i="13" a="1"/>
  <c r="A327" i="13" s="1"/>
  <c r="G326" i="13"/>
  <c r="H326" i="13"/>
  <c r="B326" i="13"/>
  <c r="C326" i="13"/>
  <c r="D326" i="13"/>
  <c r="F326" i="13"/>
  <c r="E326" i="13"/>
  <c r="C29" i="14"/>
  <c r="B29" i="14"/>
  <c r="E29" i="14"/>
  <c r="F29" i="14"/>
  <c r="G29" i="14"/>
  <c r="H29" i="14"/>
  <c r="G31" i="13"/>
  <c r="H30" i="13"/>
  <c r="B30" i="13"/>
  <c r="E30" i="13"/>
  <c r="D30" i="13"/>
  <c r="G30" i="13"/>
  <c r="C30" i="13"/>
  <c r="A328" i="13" l="1" a="1"/>
  <c r="A328" i="13" s="1"/>
  <c r="E327" i="13"/>
  <c r="G327" i="13"/>
  <c r="H327" i="13"/>
  <c r="D327" i="13"/>
  <c r="B327" i="13"/>
  <c r="C327" i="13"/>
  <c r="F327" i="13"/>
  <c r="E30" i="14"/>
  <c r="F30" i="14"/>
  <c r="G30" i="14"/>
  <c r="H30" i="14"/>
  <c r="D31" i="14"/>
  <c r="C30" i="14"/>
  <c r="B30" i="14"/>
  <c r="D30" i="14"/>
  <c r="B31" i="13"/>
  <c r="F31" i="13"/>
  <c r="E31" i="13"/>
  <c r="D31" i="13"/>
  <c r="H31" i="13"/>
  <c r="G32" i="13"/>
  <c r="C31" i="13"/>
  <c r="A329" i="13" l="1" a="1"/>
  <c r="A329" i="13" s="1"/>
  <c r="F328" i="13"/>
  <c r="G328" i="13"/>
  <c r="H328" i="13"/>
  <c r="B328" i="13"/>
  <c r="D328" i="13"/>
  <c r="C328" i="13"/>
  <c r="E328" i="13"/>
  <c r="C32" i="14"/>
  <c r="B31" i="14"/>
  <c r="C31" i="14"/>
  <c r="E31" i="14"/>
  <c r="F31" i="14"/>
  <c r="G31" i="14"/>
  <c r="H31" i="14"/>
  <c r="G33" i="13"/>
  <c r="H32" i="13"/>
  <c r="C32" i="13"/>
  <c r="F32" i="13"/>
  <c r="B32" i="13"/>
  <c r="E32" i="13"/>
  <c r="D32" i="13"/>
  <c r="A330" i="13" l="1" a="1"/>
  <c r="A330" i="13" s="1"/>
  <c r="G329" i="13"/>
  <c r="B329" i="13"/>
  <c r="D329" i="13"/>
  <c r="E329" i="13"/>
  <c r="C329" i="13"/>
  <c r="F329" i="13"/>
  <c r="H329" i="13"/>
  <c r="D33" i="14"/>
  <c r="B32" i="14"/>
  <c r="D32" i="14"/>
  <c r="E32" i="14"/>
  <c r="F32" i="14"/>
  <c r="G32" i="14"/>
  <c r="H32" i="14"/>
  <c r="B33" i="13"/>
  <c r="F33" i="13"/>
  <c r="F34" i="13"/>
  <c r="E33" i="13"/>
  <c r="D33" i="13"/>
  <c r="H33" i="13"/>
  <c r="C33" i="13"/>
  <c r="A331" i="13" l="1" a="1"/>
  <c r="A331" i="13" s="1"/>
  <c r="D330" i="13"/>
  <c r="G330" i="13"/>
  <c r="H330" i="13"/>
  <c r="F330" i="13"/>
  <c r="C330" i="13"/>
  <c r="E330" i="13"/>
  <c r="B330" i="13"/>
  <c r="D34" i="14"/>
  <c r="C33" i="14"/>
  <c r="B33" i="14"/>
  <c r="E33" i="14"/>
  <c r="F33" i="14"/>
  <c r="G33" i="14"/>
  <c r="H33" i="14"/>
  <c r="E34" i="13"/>
  <c r="B34" i="13"/>
  <c r="D34" i="13"/>
  <c r="G34" i="13"/>
  <c r="G35" i="13"/>
  <c r="H34" i="13"/>
  <c r="C34" i="13"/>
  <c r="A332" i="13" l="1" a="1"/>
  <c r="A332" i="13" s="1"/>
  <c r="G331" i="13"/>
  <c r="C331" i="13"/>
  <c r="H331" i="13"/>
  <c r="B331" i="13"/>
  <c r="D331" i="13"/>
  <c r="E331" i="13"/>
  <c r="F331" i="13"/>
  <c r="B35" i="14"/>
  <c r="C34" i="14"/>
  <c r="B34" i="14"/>
  <c r="E34" i="14"/>
  <c r="F34" i="14"/>
  <c r="G34" i="14"/>
  <c r="H34" i="14"/>
  <c r="B35" i="13"/>
  <c r="F35" i="13"/>
  <c r="D35" i="13"/>
  <c r="H35" i="13"/>
  <c r="G36" i="13"/>
  <c r="E35" i="13"/>
  <c r="C35" i="13"/>
  <c r="A333" i="13" l="1" a="1"/>
  <c r="A333" i="13" s="1"/>
  <c r="D332" i="13"/>
  <c r="H332" i="13"/>
  <c r="C332" i="13"/>
  <c r="B332" i="13"/>
  <c r="G332" i="13"/>
  <c r="F332" i="13"/>
  <c r="E332" i="13"/>
  <c r="C36" i="14"/>
  <c r="D35" i="14"/>
  <c r="C35" i="14"/>
  <c r="E35" i="14"/>
  <c r="F35" i="14"/>
  <c r="G35" i="14"/>
  <c r="H35" i="14"/>
  <c r="F37" i="13"/>
  <c r="H36" i="13"/>
  <c r="B36" i="13"/>
  <c r="E36" i="13"/>
  <c r="D36" i="13"/>
  <c r="F36" i="13"/>
  <c r="C36" i="13"/>
  <c r="A334" i="13" l="1" a="1"/>
  <c r="A334" i="13" s="1"/>
  <c r="F333" i="13"/>
  <c r="E333" i="13"/>
  <c r="B333" i="13"/>
  <c r="D333" i="13"/>
  <c r="C333" i="13"/>
  <c r="H333" i="13"/>
  <c r="G333" i="13"/>
  <c r="B36" i="14"/>
  <c r="D36" i="14"/>
  <c r="E36" i="14"/>
  <c r="F36" i="14"/>
  <c r="G36" i="14"/>
  <c r="H36" i="14"/>
  <c r="E37" i="13"/>
  <c r="D37" i="13"/>
  <c r="H37" i="13"/>
  <c r="B37" i="13"/>
  <c r="G37" i="13"/>
  <c r="B38" i="13"/>
  <c r="C37" i="13"/>
  <c r="A335" i="13" l="1" a="1"/>
  <c r="A335" i="13" s="1"/>
  <c r="D334" i="13"/>
  <c r="H334" i="13"/>
  <c r="B334" i="13"/>
  <c r="F334" i="13"/>
  <c r="G334" i="13"/>
  <c r="C334" i="13"/>
  <c r="E334" i="13"/>
  <c r="E37" i="14"/>
  <c r="F37" i="14"/>
  <c r="G37" i="14"/>
  <c r="H37" i="14"/>
  <c r="C38" i="14"/>
  <c r="D37" i="14"/>
  <c r="B37" i="14"/>
  <c r="C37" i="14"/>
  <c r="B39" i="13"/>
  <c r="E38" i="13"/>
  <c r="D38" i="13"/>
  <c r="F38" i="13"/>
  <c r="H38" i="13"/>
  <c r="C38" i="13"/>
  <c r="G38" i="13"/>
  <c r="A336" i="13" l="1" a="1"/>
  <c r="A336" i="13" s="1"/>
  <c r="F335" i="13"/>
  <c r="B335" i="13"/>
  <c r="E335" i="13"/>
  <c r="G335" i="13"/>
  <c r="H335" i="13"/>
  <c r="D335" i="13"/>
  <c r="C335" i="13"/>
  <c r="B38" i="14"/>
  <c r="D38" i="14"/>
  <c r="E38" i="14"/>
  <c r="F38" i="14"/>
  <c r="G38" i="14"/>
  <c r="H38" i="14"/>
  <c r="G39" i="13"/>
  <c r="C39" i="13"/>
  <c r="E39" i="13"/>
  <c r="F40" i="13"/>
  <c r="F39" i="13"/>
  <c r="H39" i="13"/>
  <c r="D39" i="13"/>
  <c r="A337" i="13" l="1" a="1"/>
  <c r="A337" i="13" s="1"/>
  <c r="F336" i="13"/>
  <c r="H336" i="13"/>
  <c r="G336" i="13"/>
  <c r="C336" i="13"/>
  <c r="E336" i="13"/>
  <c r="B336" i="13"/>
  <c r="D336" i="13"/>
  <c r="E39" i="14"/>
  <c r="F39" i="14"/>
  <c r="G39" i="14"/>
  <c r="H39" i="14"/>
  <c r="C39" i="14"/>
  <c r="C40" i="14"/>
  <c r="B39" i="14"/>
  <c r="D39" i="14"/>
  <c r="D40" i="13"/>
  <c r="E40" i="13"/>
  <c r="B41" i="13"/>
  <c r="G40" i="13"/>
  <c r="C40" i="13"/>
  <c r="H40" i="13"/>
  <c r="B40" i="13"/>
  <c r="A338" i="13" l="1" a="1"/>
  <c r="A338" i="13" s="1"/>
  <c r="H337" i="13"/>
  <c r="D337" i="13"/>
  <c r="E337" i="13"/>
  <c r="G337" i="13"/>
  <c r="F337" i="13"/>
  <c r="B337" i="13"/>
  <c r="C337" i="13"/>
  <c r="D41" i="14"/>
  <c r="E40" i="14"/>
  <c r="F40" i="14"/>
  <c r="G40" i="14"/>
  <c r="H40" i="14"/>
  <c r="B40" i="14"/>
  <c r="D40" i="14"/>
  <c r="C42" i="13"/>
  <c r="F41" i="13"/>
  <c r="H41" i="13"/>
  <c r="G41" i="13"/>
  <c r="D41" i="13"/>
  <c r="E41" i="13"/>
  <c r="C41" i="13"/>
  <c r="A339" i="13" l="1" a="1"/>
  <c r="A339" i="13" s="1"/>
  <c r="B338" i="13"/>
  <c r="C338" i="13"/>
  <c r="E338" i="13"/>
  <c r="D338" i="13"/>
  <c r="G338" i="13"/>
  <c r="F338" i="13"/>
  <c r="H338" i="13"/>
  <c r="C41" i="14"/>
  <c r="B41" i="14"/>
  <c r="C42" i="14"/>
  <c r="E41" i="14"/>
  <c r="F41" i="14"/>
  <c r="G41" i="14"/>
  <c r="H41" i="14"/>
  <c r="H42" i="13"/>
  <c r="D43" i="13"/>
  <c r="F42" i="13"/>
  <c r="B42" i="13"/>
  <c r="G42" i="13"/>
  <c r="D42" i="13"/>
  <c r="E42" i="13"/>
  <c r="A340" i="13" l="1" a="1"/>
  <c r="A340" i="13" s="1"/>
  <c r="D339" i="13"/>
  <c r="B339" i="13"/>
  <c r="C339" i="13"/>
  <c r="G339" i="13"/>
  <c r="E339" i="13"/>
  <c r="H339" i="13"/>
  <c r="F339" i="13"/>
  <c r="B42" i="14"/>
  <c r="E42" i="14"/>
  <c r="F42" i="14"/>
  <c r="G42" i="14"/>
  <c r="H42" i="14"/>
  <c r="D42" i="14"/>
  <c r="E43" i="13"/>
  <c r="F43" i="13"/>
  <c r="H43" i="13"/>
  <c r="C43" i="13"/>
  <c r="G43" i="13"/>
  <c r="B43" i="13"/>
  <c r="G45" i="13"/>
  <c r="A341" i="13" l="1" a="1"/>
  <c r="A341" i="13" s="1"/>
  <c r="E340" i="13"/>
  <c r="D340" i="13"/>
  <c r="C340" i="13"/>
  <c r="F340" i="13"/>
  <c r="B340" i="13"/>
  <c r="G340" i="13"/>
  <c r="H340" i="13"/>
  <c r="E44" i="14"/>
  <c r="F44" i="14"/>
  <c r="G44" i="14"/>
  <c r="H44" i="14"/>
  <c r="B43" i="14"/>
  <c r="D43" i="14"/>
  <c r="E43" i="14"/>
  <c r="F43" i="14"/>
  <c r="G43" i="14"/>
  <c r="H43" i="14"/>
  <c r="C43" i="14"/>
  <c r="E44" i="13"/>
  <c r="D44" i="13"/>
  <c r="H45" i="13"/>
  <c r="D45" i="13"/>
  <c r="G44" i="13"/>
  <c r="C44" i="13"/>
  <c r="F45" i="13"/>
  <c r="B45" i="13"/>
  <c r="F44" i="13"/>
  <c r="E45" i="13"/>
  <c r="C45" i="13"/>
  <c r="G46" i="13"/>
  <c r="H44" i="13"/>
  <c r="B44" i="13"/>
  <c r="B44" i="14"/>
  <c r="C44" i="14"/>
  <c r="D44" i="14"/>
  <c r="A342" i="13" l="1" a="1"/>
  <c r="A342" i="13" s="1"/>
  <c r="D341" i="13"/>
  <c r="C341" i="13"/>
  <c r="G341" i="13"/>
  <c r="B341" i="13"/>
  <c r="E341" i="13"/>
  <c r="F341" i="13"/>
  <c r="H341" i="13"/>
  <c r="E45" i="14"/>
  <c r="F45" i="14"/>
  <c r="G45" i="14"/>
  <c r="H45" i="14"/>
  <c r="C46" i="13"/>
  <c r="F46" i="13"/>
  <c r="B46" i="13"/>
  <c r="E46" i="13"/>
  <c r="D46" i="13"/>
  <c r="H46" i="13"/>
  <c r="H47" i="13"/>
  <c r="B45" i="14"/>
  <c r="C45" i="14"/>
  <c r="D45" i="14"/>
  <c r="A343" i="13" l="1" a="1"/>
  <c r="A343" i="13" s="1"/>
  <c r="D342" i="13"/>
  <c r="G342" i="13"/>
  <c r="F342" i="13"/>
  <c r="E342" i="13"/>
  <c r="H342" i="13"/>
  <c r="C342" i="13"/>
  <c r="B342" i="13"/>
  <c r="E46" i="14"/>
  <c r="F46" i="14"/>
  <c r="G46" i="14"/>
  <c r="H46" i="14"/>
  <c r="F48" i="13"/>
  <c r="G47" i="13"/>
  <c r="B47" i="13"/>
  <c r="F47" i="13"/>
  <c r="E47" i="13"/>
  <c r="D47" i="13"/>
  <c r="C47" i="13"/>
  <c r="C46" i="14"/>
  <c r="D46" i="14"/>
  <c r="B46" i="14"/>
  <c r="A344" i="13" l="1" a="1"/>
  <c r="A344" i="13" s="1"/>
  <c r="G343" i="13"/>
  <c r="B343" i="13"/>
  <c r="E343" i="13"/>
  <c r="D343" i="13"/>
  <c r="F343" i="13"/>
  <c r="H343" i="13"/>
  <c r="C343" i="13"/>
  <c r="E47" i="14"/>
  <c r="F47" i="14"/>
  <c r="G47" i="14"/>
  <c r="H47" i="14"/>
  <c r="H49" i="13"/>
  <c r="E48" i="13"/>
  <c r="D48" i="13"/>
  <c r="G48" i="13"/>
  <c r="B48" i="13"/>
  <c r="H48" i="13"/>
  <c r="C48" i="13"/>
  <c r="D47" i="14"/>
  <c r="B47" i="14"/>
  <c r="C47" i="14"/>
  <c r="A345" i="13" l="1" a="1"/>
  <c r="A345" i="13" s="1"/>
  <c r="G344" i="13"/>
  <c r="D344" i="13"/>
  <c r="F344" i="13"/>
  <c r="H344" i="13"/>
  <c r="E344" i="13"/>
  <c r="C344" i="13"/>
  <c r="B344" i="13"/>
  <c r="E48" i="14"/>
  <c r="F48" i="14"/>
  <c r="G48" i="14"/>
  <c r="H48" i="14"/>
  <c r="D49" i="13"/>
  <c r="F49" i="13"/>
  <c r="G49" i="13"/>
  <c r="B49" i="13"/>
  <c r="E49" i="13"/>
  <c r="F50" i="13"/>
  <c r="C49" i="13"/>
  <c r="B48" i="14"/>
  <c r="C48" i="14"/>
  <c r="D48" i="14"/>
  <c r="A346" i="13" l="1" a="1"/>
  <c r="A346" i="13" s="1"/>
  <c r="C345" i="13"/>
  <c r="H345" i="13"/>
  <c r="B345" i="13"/>
  <c r="D345" i="13"/>
  <c r="F345" i="13"/>
  <c r="E345" i="13"/>
  <c r="G345" i="13"/>
  <c r="E49" i="14"/>
  <c r="F49" i="14"/>
  <c r="G49" i="14"/>
  <c r="H49" i="14"/>
  <c r="G51" i="13"/>
  <c r="D50" i="13"/>
  <c r="E50" i="13"/>
  <c r="H50" i="13"/>
  <c r="B50" i="13"/>
  <c r="G50" i="13"/>
  <c r="C50" i="13"/>
  <c r="B49" i="14"/>
  <c r="D49" i="14"/>
  <c r="C49" i="14"/>
  <c r="A347" i="13" l="1" a="1"/>
  <c r="A347" i="13" s="1"/>
  <c r="B346" i="13"/>
  <c r="E346" i="13"/>
  <c r="F346" i="13"/>
  <c r="C346" i="13"/>
  <c r="G346" i="13"/>
  <c r="H346" i="13"/>
  <c r="D346" i="13"/>
  <c r="E50" i="14"/>
  <c r="F50" i="14"/>
  <c r="G50" i="14"/>
  <c r="H50" i="14"/>
  <c r="G52" i="13"/>
  <c r="F51" i="13"/>
  <c r="E51" i="13"/>
  <c r="C51" i="13"/>
  <c r="B51" i="13"/>
  <c r="H51" i="13"/>
  <c r="D51" i="13"/>
  <c r="C50" i="14"/>
  <c r="B50" i="14"/>
  <c r="D50" i="14"/>
  <c r="A348" i="13" l="1" a="1"/>
  <c r="A348" i="13" s="1"/>
  <c r="E347" i="13"/>
  <c r="B347" i="13"/>
  <c r="C347" i="13"/>
  <c r="D347" i="13"/>
  <c r="H347" i="13"/>
  <c r="F347" i="13"/>
  <c r="G347" i="13"/>
  <c r="E51" i="14"/>
  <c r="F51" i="14"/>
  <c r="G51" i="14"/>
  <c r="H51" i="14"/>
  <c r="G53" i="13"/>
  <c r="E52" i="13"/>
  <c r="C52" i="13"/>
  <c r="D52" i="13"/>
  <c r="H52" i="13"/>
  <c r="F52" i="13"/>
  <c r="B52" i="13"/>
  <c r="D51" i="14"/>
  <c r="B51" i="14"/>
  <c r="C51" i="14"/>
  <c r="A349" i="13" l="1" a="1"/>
  <c r="A349" i="13" s="1"/>
  <c r="F348" i="13"/>
  <c r="C348" i="13"/>
  <c r="D348" i="13"/>
  <c r="G348" i="13"/>
  <c r="H348" i="13"/>
  <c r="B348" i="13"/>
  <c r="E348" i="13"/>
  <c r="E52" i="14"/>
  <c r="F52" i="14"/>
  <c r="G52" i="14"/>
  <c r="H52" i="14"/>
  <c r="C53" i="13"/>
  <c r="F53" i="13"/>
  <c r="D53" i="13"/>
  <c r="E53" i="13"/>
  <c r="F54" i="13"/>
  <c r="H53" i="13"/>
  <c r="B53" i="13"/>
  <c r="D52" i="14"/>
  <c r="B52" i="14"/>
  <c r="C52" i="14"/>
  <c r="A350" i="13" l="1" a="1"/>
  <c r="A350" i="13" s="1"/>
  <c r="C349" i="13"/>
  <c r="B349" i="13"/>
  <c r="F349" i="13"/>
  <c r="G349" i="13"/>
  <c r="H349" i="13"/>
  <c r="D349" i="13"/>
  <c r="E349" i="13"/>
  <c r="E53" i="14"/>
  <c r="F53" i="14"/>
  <c r="G53" i="14"/>
  <c r="H53" i="14"/>
  <c r="C55" i="13"/>
  <c r="G54" i="13"/>
  <c r="E54" i="13"/>
  <c r="C54" i="13"/>
  <c r="D54" i="13"/>
  <c r="H54" i="13"/>
  <c r="B54" i="13"/>
  <c r="B53" i="14"/>
  <c r="C53" i="14"/>
  <c r="D53" i="14"/>
  <c r="H350" i="13" l="1"/>
  <c r="C350" i="13"/>
  <c r="B350" i="13"/>
  <c r="F350" i="13"/>
  <c r="D350" i="13"/>
  <c r="E350" i="13"/>
  <c r="A351" i="13" a="1"/>
  <c r="A351" i="13" s="1"/>
  <c r="A352" i="13" s="1" a="1"/>
  <c r="A352" i="13" s="1"/>
  <c r="G350" i="13"/>
  <c r="E54" i="14"/>
  <c r="F54" i="14"/>
  <c r="G54" i="14"/>
  <c r="H54" i="14"/>
  <c r="D55" i="13"/>
  <c r="H55" i="13"/>
  <c r="C56" i="13"/>
  <c r="G55" i="13"/>
  <c r="B55" i="13"/>
  <c r="F55" i="13"/>
  <c r="E55" i="13"/>
  <c r="C54" i="14"/>
  <c r="B54" i="14"/>
  <c r="D54" i="14"/>
  <c r="C352" i="13" l="1"/>
  <c r="D352" i="13"/>
  <c r="G352" i="13"/>
  <c r="H352" i="13"/>
  <c r="E352" i="13"/>
  <c r="B352" i="13"/>
  <c r="F352" i="13"/>
  <c r="A353" i="13" a="1"/>
  <c r="A353" i="13" s="1"/>
  <c r="C351" i="13"/>
  <c r="B351" i="13"/>
  <c r="F351" i="13"/>
  <c r="E351" i="13"/>
  <c r="G351" i="13"/>
  <c r="D351" i="13"/>
  <c r="H351" i="13"/>
  <c r="E55" i="14"/>
  <c r="F55" i="14"/>
  <c r="G55" i="14"/>
  <c r="H55" i="14"/>
  <c r="B56" i="13"/>
  <c r="G56" i="13"/>
  <c r="D56" i="13"/>
  <c r="F56" i="13"/>
  <c r="C57" i="13"/>
  <c r="H56" i="13"/>
  <c r="E56" i="13"/>
  <c r="C55" i="14"/>
  <c r="D55" i="14"/>
  <c r="B55" i="14"/>
  <c r="G353" i="13" l="1"/>
  <c r="B353" i="13"/>
  <c r="C353" i="13"/>
  <c r="D353" i="13"/>
  <c r="F353" i="13"/>
  <c r="H353" i="13"/>
  <c r="E353" i="13"/>
  <c r="A354" i="13" a="1"/>
  <c r="A354" i="13" s="1"/>
  <c r="E56" i="14"/>
  <c r="F56" i="14"/>
  <c r="G56" i="14"/>
  <c r="H56" i="14"/>
  <c r="G58" i="13"/>
  <c r="H57" i="13"/>
  <c r="B57" i="13"/>
  <c r="G57" i="13"/>
  <c r="D57" i="13"/>
  <c r="F57" i="13"/>
  <c r="E57" i="13"/>
  <c r="D56" i="14"/>
  <c r="B56" i="14"/>
  <c r="C56" i="14"/>
  <c r="F354" i="13" l="1"/>
  <c r="D354" i="13"/>
  <c r="B354" i="13"/>
  <c r="C354" i="13"/>
  <c r="H354" i="13"/>
  <c r="E354" i="13"/>
  <c r="G354" i="13"/>
  <c r="A355" i="13" a="1"/>
  <c r="A355" i="13" s="1"/>
  <c r="E57" i="14"/>
  <c r="F57" i="14"/>
  <c r="G57" i="14"/>
  <c r="H57" i="14"/>
  <c r="D58" i="13"/>
  <c r="F58" i="13"/>
  <c r="E58" i="13"/>
  <c r="C58" i="13"/>
  <c r="H58" i="13"/>
  <c r="D59" i="13"/>
  <c r="B58" i="13"/>
  <c r="B57" i="14"/>
  <c r="C57" i="14"/>
  <c r="D57" i="14"/>
  <c r="G355" i="13" l="1"/>
  <c r="H355" i="13"/>
  <c r="F355" i="13"/>
  <c r="B355" i="13"/>
  <c r="C355" i="13"/>
  <c r="E355" i="13"/>
  <c r="D355" i="13"/>
  <c r="A356" i="13" a="1"/>
  <c r="A356" i="13" s="1"/>
  <c r="E58" i="14"/>
  <c r="F58" i="14"/>
  <c r="G58" i="14"/>
  <c r="H58" i="14"/>
  <c r="C59" i="13"/>
  <c r="F60" i="13"/>
  <c r="H59" i="13"/>
  <c r="B59" i="13"/>
  <c r="G59" i="13"/>
  <c r="F59" i="13"/>
  <c r="E59" i="13"/>
  <c r="B58" i="14"/>
  <c r="C58" i="14"/>
  <c r="D58" i="14"/>
  <c r="D356" i="13" l="1"/>
  <c r="E356" i="13"/>
  <c r="C356" i="13"/>
  <c r="B356" i="13"/>
  <c r="H356" i="13"/>
  <c r="F356" i="13"/>
  <c r="G356" i="13"/>
  <c r="A357" i="13" a="1"/>
  <c r="A357" i="13" s="1"/>
  <c r="E59" i="14"/>
  <c r="F59" i="14"/>
  <c r="G59" i="14"/>
  <c r="H59" i="14"/>
  <c r="C60" i="13"/>
  <c r="D60" i="13"/>
  <c r="E60" i="13"/>
  <c r="H60" i="13"/>
  <c r="G61" i="13"/>
  <c r="G60" i="13"/>
  <c r="B60" i="13"/>
  <c r="C59" i="14"/>
  <c r="D59" i="14"/>
  <c r="B59" i="14"/>
  <c r="A358" i="13" l="1" a="1"/>
  <c r="A358" i="13" s="1"/>
  <c r="F357" i="13"/>
  <c r="D357" i="13"/>
  <c r="E357" i="13"/>
  <c r="H357" i="13"/>
  <c r="C357" i="13"/>
  <c r="B357" i="13"/>
  <c r="G357" i="13"/>
  <c r="E60" i="14"/>
  <c r="F60" i="14"/>
  <c r="G60" i="14"/>
  <c r="H60" i="14"/>
  <c r="F62" i="13"/>
  <c r="B61" i="13"/>
  <c r="F61" i="13"/>
  <c r="E61" i="13"/>
  <c r="C61" i="13"/>
  <c r="D61" i="13"/>
  <c r="H61" i="13"/>
  <c r="D60" i="14"/>
  <c r="B60" i="14"/>
  <c r="C60" i="14"/>
  <c r="B358" i="13" l="1"/>
  <c r="H358" i="13"/>
  <c r="F358" i="13"/>
  <c r="G358" i="13"/>
  <c r="E358" i="13"/>
  <c r="D358" i="13"/>
  <c r="C358" i="13"/>
  <c r="A359" i="13" a="1"/>
  <c r="A359" i="13" s="1"/>
  <c r="E61" i="14"/>
  <c r="F61" i="14"/>
  <c r="G61" i="14"/>
  <c r="H61" i="14"/>
  <c r="E62" i="13"/>
  <c r="C62" i="13"/>
  <c r="D62" i="13"/>
  <c r="H62" i="13"/>
  <c r="C63" i="13"/>
  <c r="G62" i="13"/>
  <c r="B62" i="13"/>
  <c r="B61" i="14"/>
  <c r="C61" i="14"/>
  <c r="D61" i="14"/>
  <c r="F359" i="13" l="1"/>
  <c r="G359" i="13"/>
  <c r="B359" i="13"/>
  <c r="H359" i="13"/>
  <c r="D359" i="13"/>
  <c r="E359" i="13"/>
  <c r="C359" i="13"/>
  <c r="A360" i="13" a="1"/>
  <c r="A360" i="13" s="1"/>
  <c r="E62" i="14"/>
  <c r="F62" i="14"/>
  <c r="G62" i="14"/>
  <c r="H62" i="14"/>
  <c r="D63" i="13"/>
  <c r="H63" i="13"/>
  <c r="F64" i="13"/>
  <c r="G63" i="13"/>
  <c r="B63" i="13"/>
  <c r="F63" i="13"/>
  <c r="E63" i="13"/>
  <c r="B62" i="14"/>
  <c r="C62" i="14"/>
  <c r="D62" i="14"/>
  <c r="B360" i="13" l="1"/>
  <c r="C360" i="13"/>
  <c r="E360" i="13"/>
  <c r="F360" i="13"/>
  <c r="G360" i="13"/>
  <c r="D360" i="13"/>
  <c r="H360" i="13"/>
  <c r="A361" i="13" a="1"/>
  <c r="A361" i="13" s="1"/>
  <c r="E63" i="14"/>
  <c r="F63" i="14"/>
  <c r="G63" i="14"/>
  <c r="H63" i="14"/>
  <c r="C64" i="13"/>
  <c r="H64" i="13"/>
  <c r="D64" i="13"/>
  <c r="E64" i="13"/>
  <c r="E65" i="13"/>
  <c r="G64" i="13"/>
  <c r="B64" i="13"/>
  <c r="C63" i="14"/>
  <c r="D63" i="14"/>
  <c r="B63" i="14"/>
  <c r="D361" i="13" l="1"/>
  <c r="E361" i="13"/>
  <c r="F361" i="13"/>
  <c r="H361" i="13"/>
  <c r="B361" i="13"/>
  <c r="C361" i="13"/>
  <c r="G361" i="13"/>
  <c r="A362" i="13" a="1"/>
  <c r="A362" i="13" s="1"/>
  <c r="E64" i="14"/>
  <c r="F64" i="14"/>
  <c r="G64" i="14"/>
  <c r="H64" i="14"/>
  <c r="H66" i="13"/>
  <c r="H65" i="13"/>
  <c r="D65" i="13"/>
  <c r="G65" i="13"/>
  <c r="B65" i="13"/>
  <c r="F65" i="13"/>
  <c r="C65" i="13"/>
  <c r="D64" i="14"/>
  <c r="B64" i="14"/>
  <c r="C64" i="14"/>
  <c r="D362" i="13" l="1"/>
  <c r="E362" i="13"/>
  <c r="G362" i="13"/>
  <c r="H362" i="13"/>
  <c r="C362" i="13"/>
  <c r="F362" i="13"/>
  <c r="B362" i="13"/>
  <c r="A363" i="13" a="1"/>
  <c r="A363" i="13" s="1"/>
  <c r="E65" i="14"/>
  <c r="F65" i="14"/>
  <c r="G65" i="14"/>
  <c r="H65" i="14"/>
  <c r="H67" i="13"/>
  <c r="G66" i="13"/>
  <c r="E66" i="13"/>
  <c r="C66" i="13"/>
  <c r="B66" i="13"/>
  <c r="F66" i="13"/>
  <c r="D66" i="13"/>
  <c r="B65" i="14"/>
  <c r="C65" i="14"/>
  <c r="D65" i="14"/>
  <c r="G363" i="13" l="1"/>
  <c r="H363" i="13"/>
  <c r="B363" i="13"/>
  <c r="C363" i="13"/>
  <c r="D363" i="13"/>
  <c r="E363" i="13"/>
  <c r="F363" i="13"/>
  <c r="A364" i="13" a="1"/>
  <c r="A364" i="13" s="1"/>
  <c r="E66" i="14"/>
  <c r="F66" i="14"/>
  <c r="G66" i="14"/>
  <c r="H66" i="14"/>
  <c r="F68" i="13"/>
  <c r="G67" i="13"/>
  <c r="B67" i="13"/>
  <c r="F67" i="13"/>
  <c r="E67" i="13"/>
  <c r="C67" i="13"/>
  <c r="D67" i="13"/>
  <c r="B66" i="14"/>
  <c r="C66" i="14"/>
  <c r="D66" i="14"/>
  <c r="B364" i="13" l="1"/>
  <c r="E364" i="13"/>
  <c r="H364" i="13"/>
  <c r="F364" i="13"/>
  <c r="C364" i="13"/>
  <c r="D364" i="13"/>
  <c r="G364" i="13"/>
  <c r="A365" i="13" a="1"/>
  <c r="A365" i="13" s="1"/>
  <c r="E67" i="14"/>
  <c r="F67" i="14"/>
  <c r="G67" i="14"/>
  <c r="H67" i="14"/>
  <c r="E68" i="13"/>
  <c r="C68" i="13"/>
  <c r="E69" i="13"/>
  <c r="G68" i="13"/>
  <c r="D68" i="13"/>
  <c r="H68" i="13"/>
  <c r="B68" i="13"/>
  <c r="C67" i="14"/>
  <c r="D67" i="14"/>
  <c r="B67" i="14"/>
  <c r="B365" i="13" l="1"/>
  <c r="E365" i="13"/>
  <c r="D365" i="13"/>
  <c r="F365" i="13"/>
  <c r="G365" i="13"/>
  <c r="H365" i="13"/>
  <c r="C365" i="13"/>
  <c r="A366" i="13" a="1"/>
  <c r="A366" i="13" s="1"/>
  <c r="E68" i="14"/>
  <c r="F68" i="14"/>
  <c r="G68" i="14"/>
  <c r="H68" i="14"/>
  <c r="H70" i="13"/>
  <c r="G69" i="13"/>
  <c r="B69" i="13"/>
  <c r="F69" i="13"/>
  <c r="C69" i="13"/>
  <c r="H69" i="13"/>
  <c r="D69" i="13"/>
  <c r="D68" i="14"/>
  <c r="B68" i="14"/>
  <c r="C68" i="14"/>
  <c r="G366" i="13" l="1"/>
  <c r="H366" i="13"/>
  <c r="C366" i="13"/>
  <c r="F366" i="13"/>
  <c r="D366" i="13"/>
  <c r="E366" i="13"/>
  <c r="B366" i="13"/>
  <c r="A367" i="13" a="1"/>
  <c r="A367" i="13" s="1"/>
  <c r="E69" i="14"/>
  <c r="F69" i="14"/>
  <c r="G69" i="14"/>
  <c r="H69" i="14"/>
  <c r="H71" i="13"/>
  <c r="G70" i="13"/>
  <c r="E70" i="13"/>
  <c r="C70" i="13"/>
  <c r="B70" i="13"/>
  <c r="F70" i="13"/>
  <c r="D70" i="13"/>
  <c r="B69" i="14"/>
  <c r="C69" i="14"/>
  <c r="D69" i="14"/>
  <c r="D367" i="13" l="1"/>
  <c r="C367" i="13"/>
  <c r="G367" i="13"/>
  <c r="H367" i="13"/>
  <c r="B367" i="13"/>
  <c r="E367" i="13"/>
  <c r="F367" i="13"/>
  <c r="A368" i="13" a="1"/>
  <c r="A368" i="13" s="1"/>
  <c r="E70" i="14"/>
  <c r="F70" i="14"/>
  <c r="G70" i="14"/>
  <c r="H70" i="14"/>
  <c r="F72" i="13"/>
  <c r="G71" i="13"/>
  <c r="B71" i="13"/>
  <c r="F71" i="13"/>
  <c r="E71" i="13"/>
  <c r="D71" i="13"/>
  <c r="C71" i="13"/>
  <c r="B70" i="14"/>
  <c r="C70" i="14"/>
  <c r="D70" i="14"/>
  <c r="B368" i="13" l="1"/>
  <c r="D368" i="13"/>
  <c r="F368" i="13"/>
  <c r="E368" i="13"/>
  <c r="H368" i="13"/>
  <c r="G368" i="13"/>
  <c r="C368" i="13"/>
  <c r="A369" i="13" a="1"/>
  <c r="A369" i="13" s="1"/>
  <c r="E71" i="14"/>
  <c r="F71" i="14"/>
  <c r="G71" i="14"/>
  <c r="H71" i="14"/>
  <c r="G73" i="13"/>
  <c r="H72" i="13"/>
  <c r="B72" i="13"/>
  <c r="G72" i="13"/>
  <c r="E72" i="13"/>
  <c r="C72" i="13"/>
  <c r="D72" i="13"/>
  <c r="C71" i="14"/>
  <c r="D71" i="14"/>
  <c r="B71" i="14"/>
  <c r="E369" i="13" l="1"/>
  <c r="F369" i="13"/>
  <c r="B369" i="13"/>
  <c r="C369" i="13"/>
  <c r="G369" i="13"/>
  <c r="H369" i="13"/>
  <c r="D369" i="13"/>
  <c r="A370" i="13" a="1"/>
  <c r="A370" i="13" s="1"/>
  <c r="E72" i="14"/>
  <c r="F72" i="14"/>
  <c r="G72" i="14"/>
  <c r="H72" i="14"/>
  <c r="E73" i="13"/>
  <c r="C73" i="13"/>
  <c r="H74" i="13"/>
  <c r="H73" i="13"/>
  <c r="B73" i="13"/>
  <c r="F73" i="13"/>
  <c r="D73" i="13"/>
  <c r="D72" i="14"/>
  <c r="B72" i="14"/>
  <c r="C72" i="14"/>
  <c r="D370" i="13" l="1"/>
  <c r="E370" i="13"/>
  <c r="B370" i="13"/>
  <c r="H370" i="13"/>
  <c r="F370" i="13"/>
  <c r="C370" i="13"/>
  <c r="G370" i="13"/>
  <c r="A371" i="13" a="1"/>
  <c r="A371" i="13" s="1"/>
  <c r="E73" i="14"/>
  <c r="F73" i="14"/>
  <c r="G73" i="14"/>
  <c r="H73" i="14"/>
  <c r="B74" i="13"/>
  <c r="G74" i="13"/>
  <c r="D74" i="13"/>
  <c r="F74" i="13"/>
  <c r="E74" i="13"/>
  <c r="C74" i="13"/>
  <c r="F75" i="13"/>
  <c r="B73" i="14"/>
  <c r="C73" i="14"/>
  <c r="D73" i="14"/>
  <c r="G371" i="13" l="1"/>
  <c r="C371" i="13"/>
  <c r="F371" i="13"/>
  <c r="D371" i="13"/>
  <c r="E371" i="13"/>
  <c r="B371" i="13"/>
  <c r="H371" i="13"/>
  <c r="A372" i="13" a="1"/>
  <c r="A372" i="13" s="1"/>
  <c r="E74" i="14"/>
  <c r="F74" i="14"/>
  <c r="G74" i="14"/>
  <c r="H74" i="14"/>
  <c r="E75" i="13"/>
  <c r="D75" i="13"/>
  <c r="C75" i="13"/>
  <c r="H75" i="13"/>
  <c r="E76" i="13"/>
  <c r="G75" i="13"/>
  <c r="B75" i="13"/>
  <c r="B74" i="14"/>
  <c r="C74" i="14"/>
  <c r="D74" i="14"/>
  <c r="E372" i="13" l="1"/>
  <c r="C372" i="13"/>
  <c r="H372" i="13"/>
  <c r="F372" i="13"/>
  <c r="D372" i="13"/>
  <c r="G372" i="13"/>
  <c r="B372" i="13"/>
  <c r="A373" i="13" a="1"/>
  <c r="A373" i="13" s="1"/>
  <c r="E75" i="14"/>
  <c r="F75" i="14"/>
  <c r="G75" i="14"/>
  <c r="H75" i="14"/>
  <c r="H77" i="13"/>
  <c r="H76" i="13"/>
  <c r="B76" i="13"/>
  <c r="G76" i="13"/>
  <c r="C76" i="13"/>
  <c r="F76" i="13"/>
  <c r="D76" i="13"/>
  <c r="C75" i="14"/>
  <c r="D75" i="14"/>
  <c r="B75" i="14"/>
  <c r="E373" i="13" l="1"/>
  <c r="D373" i="13"/>
  <c r="H373" i="13"/>
  <c r="C373" i="13"/>
  <c r="F373" i="13"/>
  <c r="G373" i="13"/>
  <c r="B373" i="13"/>
  <c r="A374" i="13" a="1"/>
  <c r="A374" i="13" s="1"/>
  <c r="E76" i="14"/>
  <c r="F76" i="14"/>
  <c r="G76" i="14"/>
  <c r="H76" i="14"/>
  <c r="H78" i="13"/>
  <c r="G77" i="13"/>
  <c r="E77" i="13"/>
  <c r="C77" i="13"/>
  <c r="B77" i="13"/>
  <c r="F77" i="13"/>
  <c r="D77" i="13"/>
  <c r="C76" i="14"/>
  <c r="D76" i="14"/>
  <c r="B76" i="14"/>
  <c r="G374" i="13" l="1"/>
  <c r="H374" i="13"/>
  <c r="B374" i="13"/>
  <c r="F374" i="13"/>
  <c r="C374" i="13"/>
  <c r="D374" i="13"/>
  <c r="E374" i="13"/>
  <c r="A375" i="13" a="1"/>
  <c r="A375" i="13" s="1"/>
  <c r="E77" i="14"/>
  <c r="F77" i="14"/>
  <c r="G77" i="14"/>
  <c r="H77" i="14"/>
  <c r="E78" i="13"/>
  <c r="C78" i="13"/>
  <c r="C79" i="13"/>
  <c r="G78" i="13"/>
  <c r="B78" i="13"/>
  <c r="F78" i="13"/>
  <c r="D78" i="13"/>
  <c r="B77" i="14"/>
  <c r="C77" i="14"/>
  <c r="D77" i="14"/>
  <c r="H375" i="13" l="1"/>
  <c r="B375" i="13"/>
  <c r="G375" i="13"/>
  <c r="E375" i="13"/>
  <c r="C375" i="13"/>
  <c r="D375" i="13"/>
  <c r="F375" i="13"/>
  <c r="A376" i="13" a="1"/>
  <c r="A376" i="13" s="1"/>
  <c r="E78" i="14"/>
  <c r="F78" i="14"/>
  <c r="G78" i="14"/>
  <c r="H78" i="14"/>
  <c r="G80" i="13"/>
  <c r="G79" i="13"/>
  <c r="D79" i="13"/>
  <c r="H79" i="13"/>
  <c r="B79" i="13"/>
  <c r="F79" i="13"/>
  <c r="E79" i="13"/>
  <c r="C78" i="14"/>
  <c r="B78" i="14"/>
  <c r="D78" i="14"/>
  <c r="C376" i="13" l="1"/>
  <c r="E376" i="13"/>
  <c r="B376" i="13"/>
  <c r="G376" i="13"/>
  <c r="H376" i="13"/>
  <c r="F376" i="13"/>
  <c r="D376" i="13"/>
  <c r="A377" i="13" a="1"/>
  <c r="A377" i="13" s="1"/>
  <c r="E79" i="14"/>
  <c r="F79" i="14"/>
  <c r="G79" i="14"/>
  <c r="H79" i="14"/>
  <c r="C80" i="13"/>
  <c r="E80" i="13"/>
  <c r="B80" i="13"/>
  <c r="F80" i="13"/>
  <c r="D80" i="13"/>
  <c r="H80" i="13"/>
  <c r="B81" i="13"/>
  <c r="D79" i="14"/>
  <c r="C79" i="14"/>
  <c r="B79" i="14"/>
  <c r="E377" i="13" l="1"/>
  <c r="F377" i="13"/>
  <c r="G377" i="13"/>
  <c r="B377" i="13"/>
  <c r="H377" i="13"/>
  <c r="C377" i="13"/>
  <c r="D377" i="13"/>
  <c r="A378" i="13" a="1"/>
  <c r="A378" i="13" s="1"/>
  <c r="E80" i="14"/>
  <c r="F80" i="14"/>
  <c r="G80" i="14"/>
  <c r="H80" i="14"/>
  <c r="F81" i="13"/>
  <c r="D81" i="13"/>
  <c r="E81" i="13"/>
  <c r="C81" i="13"/>
  <c r="H81" i="13"/>
  <c r="G82" i="13"/>
  <c r="G81" i="13"/>
  <c r="B80" i="14"/>
  <c r="C80" i="14"/>
  <c r="D80" i="14"/>
  <c r="G378" i="13" l="1"/>
  <c r="H378" i="13"/>
  <c r="E378" i="13"/>
  <c r="C378" i="13"/>
  <c r="D378" i="13"/>
  <c r="B378" i="13"/>
  <c r="F378" i="13"/>
  <c r="A379" i="13" a="1"/>
  <c r="A379" i="13" s="1"/>
  <c r="E81" i="14"/>
  <c r="F81" i="14"/>
  <c r="G81" i="14"/>
  <c r="H81" i="14"/>
  <c r="G83" i="13"/>
  <c r="F82" i="13"/>
  <c r="D82" i="13"/>
  <c r="E82" i="13"/>
  <c r="B82" i="13"/>
  <c r="H82" i="13"/>
  <c r="C82" i="13"/>
  <c r="B81" i="14"/>
  <c r="C81" i="14"/>
  <c r="D81" i="14"/>
  <c r="B379" i="13" l="1"/>
  <c r="E379" i="13"/>
  <c r="F379" i="13"/>
  <c r="G379" i="13"/>
  <c r="H379" i="13"/>
  <c r="C379" i="13"/>
  <c r="D379" i="13"/>
  <c r="A380" i="13" a="1"/>
  <c r="A380" i="13" s="1"/>
  <c r="E82" i="14"/>
  <c r="F82" i="14"/>
  <c r="G82" i="14"/>
  <c r="H82" i="14"/>
  <c r="G84" i="13"/>
  <c r="F83" i="13"/>
  <c r="D83" i="13"/>
  <c r="B83" i="13"/>
  <c r="E83" i="13"/>
  <c r="C83" i="13"/>
  <c r="H83" i="13"/>
  <c r="C82" i="14"/>
  <c r="D82" i="14"/>
  <c r="B82" i="14"/>
  <c r="F380" i="13" l="1"/>
  <c r="C380" i="13"/>
  <c r="G380" i="13"/>
  <c r="H380" i="13"/>
  <c r="E380" i="13"/>
  <c r="B380" i="13"/>
  <c r="D380" i="13"/>
  <c r="A381" i="13" a="1"/>
  <c r="A381" i="13" s="1"/>
  <c r="E83" i="14"/>
  <c r="F83" i="14"/>
  <c r="G83" i="14"/>
  <c r="H83" i="14"/>
  <c r="C84" i="13"/>
  <c r="D84" i="13"/>
  <c r="F84" i="13"/>
  <c r="G85" i="13"/>
  <c r="E84" i="13"/>
  <c r="B84" i="13"/>
  <c r="H84" i="13"/>
  <c r="D83" i="14"/>
  <c r="B83" i="14"/>
  <c r="C83" i="14"/>
  <c r="F381" i="13" l="1"/>
  <c r="C381" i="13"/>
  <c r="G381" i="13"/>
  <c r="D381" i="13"/>
  <c r="E381" i="13"/>
  <c r="B381" i="13"/>
  <c r="H381" i="13"/>
  <c r="A382" i="13" a="1"/>
  <c r="A382" i="13" s="1"/>
  <c r="E84" i="14"/>
  <c r="F84" i="14"/>
  <c r="G84" i="14"/>
  <c r="H84" i="14"/>
  <c r="G86" i="13"/>
  <c r="F85" i="13"/>
  <c r="C85" i="13"/>
  <c r="H85" i="13"/>
  <c r="B85" i="13"/>
  <c r="E85" i="13"/>
  <c r="D85" i="13"/>
  <c r="B84" i="14"/>
  <c r="C84" i="14"/>
  <c r="D84" i="14"/>
  <c r="H382" i="13" l="1"/>
  <c r="G382" i="13"/>
  <c r="D382" i="13"/>
  <c r="C382" i="13"/>
  <c r="E382" i="13"/>
  <c r="B382" i="13"/>
  <c r="F382" i="13"/>
  <c r="A383" i="13" a="1"/>
  <c r="A383" i="13" s="1"/>
  <c r="E85" i="14"/>
  <c r="F85" i="14"/>
  <c r="G85" i="14"/>
  <c r="H85" i="14"/>
  <c r="F86" i="13"/>
  <c r="F87" i="13"/>
  <c r="H86" i="13"/>
  <c r="B86" i="13"/>
  <c r="E86" i="13"/>
  <c r="D86" i="13"/>
  <c r="C86" i="13"/>
  <c r="B85" i="14"/>
  <c r="D85" i="14"/>
  <c r="C85" i="14"/>
  <c r="G383" i="13" l="1"/>
  <c r="D383" i="13"/>
  <c r="H383" i="13"/>
  <c r="B383" i="13"/>
  <c r="C383" i="13"/>
  <c r="E383" i="13"/>
  <c r="F383" i="13"/>
  <c r="A384" i="13" a="1"/>
  <c r="A384" i="13" s="1"/>
  <c r="E86" i="14"/>
  <c r="F86" i="14"/>
  <c r="G86" i="14"/>
  <c r="H86" i="14"/>
  <c r="H88" i="13"/>
  <c r="H87" i="13"/>
  <c r="B87" i="13"/>
  <c r="E87" i="13"/>
  <c r="D87" i="13"/>
  <c r="G87" i="13"/>
  <c r="C87" i="13"/>
  <c r="C86" i="14"/>
  <c r="B86" i="14"/>
  <c r="D86" i="14"/>
  <c r="E384" i="13" l="1"/>
  <c r="D384" i="13"/>
  <c r="C384" i="13"/>
  <c r="F384" i="13"/>
  <c r="B384" i="13"/>
  <c r="H384" i="13"/>
  <c r="G384" i="13"/>
  <c r="A385" i="13" a="1"/>
  <c r="A385" i="13" s="1"/>
  <c r="E87" i="14"/>
  <c r="F87" i="14"/>
  <c r="G87" i="14"/>
  <c r="H87" i="14"/>
  <c r="F89" i="13"/>
  <c r="E88" i="13"/>
  <c r="B88" i="13"/>
  <c r="G88" i="13"/>
  <c r="C88" i="13"/>
  <c r="F88" i="13"/>
  <c r="D88" i="13"/>
  <c r="D87" i="14"/>
  <c r="B87" i="14"/>
  <c r="C87" i="14"/>
  <c r="H385" i="13" l="1"/>
  <c r="C385" i="13"/>
  <c r="F385" i="13"/>
  <c r="G385" i="13"/>
  <c r="E385" i="13"/>
  <c r="B385" i="13"/>
  <c r="D385" i="13"/>
  <c r="A386" i="13" a="1"/>
  <c r="A386" i="13" s="1"/>
  <c r="E88" i="14"/>
  <c r="F88" i="14"/>
  <c r="G88" i="14"/>
  <c r="H88" i="14"/>
  <c r="G90" i="13"/>
  <c r="E89" i="13"/>
  <c r="H89" i="13"/>
  <c r="D89" i="13"/>
  <c r="G89" i="13"/>
  <c r="B89" i="13"/>
  <c r="C89" i="13"/>
  <c r="D88" i="14"/>
  <c r="B88" i="14"/>
  <c r="C88" i="14"/>
  <c r="A387" i="13" l="1" a="1"/>
  <c r="A387" i="13" s="1"/>
  <c r="G386" i="13"/>
  <c r="E386" i="13"/>
  <c r="B386" i="13"/>
  <c r="D386" i="13"/>
  <c r="H386" i="13"/>
  <c r="C386" i="13"/>
  <c r="F386" i="13"/>
  <c r="E89" i="14"/>
  <c r="F89" i="14"/>
  <c r="G89" i="14"/>
  <c r="H89" i="14"/>
  <c r="D90" i="13"/>
  <c r="H90" i="13"/>
  <c r="C90" i="13"/>
  <c r="F90" i="13"/>
  <c r="E90" i="13"/>
  <c r="G91" i="13"/>
  <c r="B90" i="13"/>
  <c r="B89" i="14"/>
  <c r="C89" i="14"/>
  <c r="D89" i="14"/>
  <c r="H387" i="13" l="1"/>
  <c r="E387" i="13"/>
  <c r="F387" i="13"/>
  <c r="B387" i="13"/>
  <c r="C387" i="13"/>
  <c r="G387" i="13"/>
  <c r="D387" i="13"/>
  <c r="A388" i="13" a="1"/>
  <c r="A388" i="13" s="1"/>
  <c r="E90" i="14"/>
  <c r="F90" i="14"/>
  <c r="G90" i="14"/>
  <c r="H90" i="14"/>
  <c r="D91" i="13"/>
  <c r="F91" i="13"/>
  <c r="H91" i="13"/>
  <c r="C91" i="13"/>
  <c r="C92" i="13"/>
  <c r="E91" i="13"/>
  <c r="B91" i="13"/>
  <c r="C90" i="14"/>
  <c r="B90" i="14"/>
  <c r="D90" i="14"/>
  <c r="E388" i="13" l="1"/>
  <c r="F388" i="13"/>
  <c r="G388" i="13"/>
  <c r="H388" i="13"/>
  <c r="B388" i="13"/>
  <c r="D388" i="13"/>
  <c r="C388" i="13"/>
  <c r="A389" i="13" a="1"/>
  <c r="A389" i="13" s="1"/>
  <c r="H91" i="14"/>
  <c r="E91" i="14"/>
  <c r="F91" i="14"/>
  <c r="G91" i="14"/>
  <c r="H93" i="13"/>
  <c r="E92" i="13"/>
  <c r="D92" i="13"/>
  <c r="G92" i="13"/>
  <c r="B92" i="13"/>
  <c r="F92" i="13"/>
  <c r="H92" i="13"/>
  <c r="D91" i="14"/>
  <c r="B91" i="14"/>
  <c r="C91" i="14"/>
  <c r="H389" i="13" l="1"/>
  <c r="B389" i="13"/>
  <c r="C389" i="13"/>
  <c r="D389" i="13"/>
  <c r="E389" i="13"/>
  <c r="F389" i="13"/>
  <c r="G389" i="13"/>
  <c r="A390" i="13" a="1"/>
  <c r="A390" i="13" s="1"/>
  <c r="H92" i="14"/>
  <c r="E92" i="14"/>
  <c r="F92" i="14"/>
  <c r="G92" i="14"/>
  <c r="B93" i="13"/>
  <c r="E93" i="13"/>
  <c r="C93" i="13"/>
  <c r="G93" i="13"/>
  <c r="D93" i="13"/>
  <c r="F93" i="13"/>
  <c r="F94" i="13"/>
  <c r="C92" i="14"/>
  <c r="D92" i="14"/>
  <c r="B92" i="14"/>
  <c r="F390" i="13" l="1"/>
  <c r="D390" i="13"/>
  <c r="B390" i="13"/>
  <c r="G390" i="13"/>
  <c r="E390" i="13"/>
  <c r="C390" i="13"/>
  <c r="H390" i="13"/>
  <c r="A391" i="13" a="1"/>
  <c r="A391" i="13" s="1"/>
  <c r="H93" i="14"/>
  <c r="E93" i="14"/>
  <c r="F93" i="14"/>
  <c r="G93" i="14"/>
  <c r="F95" i="13"/>
  <c r="H94" i="13"/>
  <c r="B94" i="13"/>
  <c r="E94" i="13"/>
  <c r="C94" i="13"/>
  <c r="G94" i="13"/>
  <c r="D94" i="13"/>
  <c r="B93" i="14"/>
  <c r="C93" i="14"/>
  <c r="D93" i="14"/>
  <c r="H391" i="13" l="1"/>
  <c r="B391" i="13"/>
  <c r="E391" i="13"/>
  <c r="C391" i="13"/>
  <c r="D391" i="13"/>
  <c r="F391" i="13"/>
  <c r="G391" i="13"/>
  <c r="A392" i="13" a="1"/>
  <c r="A392" i="13" s="1"/>
  <c r="H94" i="14"/>
  <c r="E94" i="14"/>
  <c r="F94" i="14"/>
  <c r="G94" i="14"/>
  <c r="G96" i="13"/>
  <c r="E95" i="13"/>
  <c r="H95" i="13"/>
  <c r="D95" i="13"/>
  <c r="B95" i="13"/>
  <c r="G95" i="13"/>
  <c r="C95" i="13"/>
  <c r="C94" i="14"/>
  <c r="B94" i="14"/>
  <c r="D94" i="14"/>
  <c r="F392" i="13" l="1"/>
  <c r="G392" i="13"/>
  <c r="H392" i="13"/>
  <c r="D392" i="13"/>
  <c r="C392" i="13"/>
  <c r="E392" i="13"/>
  <c r="B392" i="13"/>
  <c r="A393" i="13" a="1"/>
  <c r="A393" i="13" s="1"/>
  <c r="H95" i="14"/>
  <c r="E95" i="14"/>
  <c r="G95" i="14"/>
  <c r="F95" i="14"/>
  <c r="F97" i="13"/>
  <c r="H96" i="13"/>
  <c r="C96" i="13"/>
  <c r="E96" i="13"/>
  <c r="D96" i="13"/>
  <c r="F96" i="13"/>
  <c r="B96" i="13"/>
  <c r="D95" i="14"/>
  <c r="C95" i="14"/>
  <c r="B95" i="14"/>
  <c r="B393" i="13" l="1"/>
  <c r="D393" i="13"/>
  <c r="C393" i="13"/>
  <c r="E393" i="13"/>
  <c r="F393" i="13"/>
  <c r="H393" i="13"/>
  <c r="G393" i="13"/>
  <c r="A394" i="13" a="1"/>
  <c r="A394" i="13" s="1"/>
  <c r="H96" i="14"/>
  <c r="E96" i="14"/>
  <c r="F96" i="14"/>
  <c r="G96" i="14"/>
  <c r="G98" i="13"/>
  <c r="E97" i="13"/>
  <c r="B97" i="13"/>
  <c r="G97" i="13"/>
  <c r="H97" i="13"/>
  <c r="C97" i="13"/>
  <c r="D97" i="13"/>
  <c r="C96" i="14"/>
  <c r="D96" i="14"/>
  <c r="B96" i="14"/>
  <c r="E394" i="13" l="1"/>
  <c r="C394" i="13"/>
  <c r="F394" i="13"/>
  <c r="G394" i="13"/>
  <c r="H394" i="13"/>
  <c r="D394" i="13"/>
  <c r="B394" i="13"/>
  <c r="A395" i="13" a="1"/>
  <c r="A395" i="13" s="1"/>
  <c r="H97" i="14"/>
  <c r="E97" i="14"/>
  <c r="F97" i="14"/>
  <c r="G97" i="14"/>
  <c r="C98" i="13"/>
  <c r="D98" i="13"/>
  <c r="F98" i="13"/>
  <c r="D99" i="13"/>
  <c r="H98" i="13"/>
  <c r="B98" i="13"/>
  <c r="E98" i="13"/>
  <c r="B97" i="14"/>
  <c r="D97" i="14"/>
  <c r="C97" i="14"/>
  <c r="C395" i="13" l="1"/>
  <c r="G395" i="13"/>
  <c r="B395" i="13"/>
  <c r="D395" i="13"/>
  <c r="F395" i="13"/>
  <c r="E395" i="13"/>
  <c r="H395" i="13"/>
  <c r="A396" i="13" a="1"/>
  <c r="A396" i="13" s="1"/>
  <c r="H98" i="14"/>
  <c r="E98" i="14"/>
  <c r="F98" i="14"/>
  <c r="G98" i="14"/>
  <c r="B99" i="13"/>
  <c r="G99" i="13"/>
  <c r="C99" i="13"/>
  <c r="F99" i="13"/>
  <c r="H100" i="13"/>
  <c r="E99" i="13"/>
  <c r="H99" i="13"/>
  <c r="C98" i="14"/>
  <c r="D98" i="14"/>
  <c r="B98" i="14"/>
  <c r="H396" i="13" l="1"/>
  <c r="E396" i="13"/>
  <c r="G396" i="13"/>
  <c r="C396" i="13"/>
  <c r="D396" i="13"/>
  <c r="F396" i="13"/>
  <c r="B396" i="13"/>
  <c r="A397" i="13" a="1"/>
  <c r="A397" i="13" s="1"/>
  <c r="H99" i="14"/>
  <c r="E99" i="14"/>
  <c r="G99" i="14"/>
  <c r="F99" i="14"/>
  <c r="H101" i="13"/>
  <c r="F100" i="13"/>
  <c r="C100" i="13"/>
  <c r="E100" i="13"/>
  <c r="D100" i="13"/>
  <c r="G100" i="13"/>
  <c r="B100" i="13"/>
  <c r="D99" i="14"/>
  <c r="C99" i="14"/>
  <c r="B99" i="14"/>
  <c r="H397" i="13" l="1"/>
  <c r="C397" i="13"/>
  <c r="B397" i="13"/>
  <c r="E397" i="13"/>
  <c r="F397" i="13"/>
  <c r="D397" i="13"/>
  <c r="G397" i="13"/>
  <c r="A398" i="13" a="1"/>
  <c r="A398" i="13" s="1"/>
  <c r="H100" i="14"/>
  <c r="E100" i="14"/>
  <c r="F100" i="14"/>
  <c r="G100" i="14"/>
  <c r="C101" i="13"/>
  <c r="E101" i="13"/>
  <c r="B101" i="13"/>
  <c r="F101" i="13"/>
  <c r="H102" i="13"/>
  <c r="G101" i="13"/>
  <c r="D101" i="13"/>
  <c r="B100" i="14"/>
  <c r="D100" i="14"/>
  <c r="C100" i="14"/>
  <c r="C398" i="13" l="1"/>
  <c r="G398" i="13"/>
  <c r="F398" i="13"/>
  <c r="B398" i="13"/>
  <c r="E398" i="13"/>
  <c r="H398" i="13"/>
  <c r="D398" i="13"/>
  <c r="A399" i="13" a="1"/>
  <c r="A399" i="13" s="1"/>
  <c r="H101" i="14"/>
  <c r="E101" i="14"/>
  <c r="F101" i="14"/>
  <c r="G101" i="14"/>
  <c r="D102" i="13"/>
  <c r="F102" i="13"/>
  <c r="B102" i="13"/>
  <c r="E102" i="13"/>
  <c r="C102" i="13"/>
  <c r="G102" i="13"/>
  <c r="G103" i="13"/>
  <c r="B101" i="14"/>
  <c r="D101" i="14"/>
  <c r="C101" i="14"/>
  <c r="G399" i="13" l="1"/>
  <c r="B399" i="13"/>
  <c r="C399" i="13"/>
  <c r="E399" i="13"/>
  <c r="D399" i="13"/>
  <c r="F399" i="13"/>
  <c r="H399" i="13"/>
  <c r="A400" i="13" a="1"/>
  <c r="A400" i="13" s="1"/>
  <c r="H102" i="14"/>
  <c r="E102" i="14"/>
  <c r="F102" i="14"/>
  <c r="G102" i="14"/>
  <c r="C103" i="13"/>
  <c r="F103" i="13"/>
  <c r="D104" i="13"/>
  <c r="H103" i="13"/>
  <c r="D103" i="13"/>
  <c r="E103" i="13"/>
  <c r="B103" i="13"/>
  <c r="C102" i="14"/>
  <c r="D102" i="14"/>
  <c r="B102" i="14"/>
  <c r="H400" i="13" l="1"/>
  <c r="E400" i="13"/>
  <c r="C400" i="13"/>
  <c r="B400" i="13"/>
  <c r="G400" i="13"/>
  <c r="F400" i="13"/>
  <c r="D400" i="13"/>
  <c r="A401" i="13" a="1"/>
  <c r="A401" i="13" s="1"/>
  <c r="H103" i="14"/>
  <c r="E103" i="14"/>
  <c r="F103" i="14"/>
  <c r="G103" i="14"/>
  <c r="B104" i="13"/>
  <c r="E104" i="13"/>
  <c r="G105" i="13"/>
  <c r="F104" i="13"/>
  <c r="C104" i="13"/>
  <c r="G104" i="13"/>
  <c r="H104" i="13"/>
  <c r="D103" i="14"/>
  <c r="B103" i="14"/>
  <c r="C103" i="14"/>
  <c r="H401" i="13" l="1"/>
  <c r="G401" i="13"/>
  <c r="B401" i="13"/>
  <c r="C401" i="13"/>
  <c r="F401" i="13"/>
  <c r="D401" i="13"/>
  <c r="E401" i="13"/>
  <c r="A402" i="13" a="1"/>
  <c r="A402" i="13" s="1"/>
  <c r="H104" i="14"/>
  <c r="E104" i="14"/>
  <c r="F104" i="14"/>
  <c r="G104" i="14"/>
  <c r="C105" i="13"/>
  <c r="H105" i="13"/>
  <c r="B105" i="13"/>
  <c r="F105" i="13"/>
  <c r="D105" i="13"/>
  <c r="E105" i="13"/>
  <c r="D106" i="13"/>
  <c r="D104" i="14"/>
  <c r="B104" i="14"/>
  <c r="C104" i="14"/>
  <c r="C402" i="13" l="1"/>
  <c r="F402" i="13"/>
  <c r="H402" i="13"/>
  <c r="G402" i="13"/>
  <c r="D402" i="13"/>
  <c r="E402" i="13"/>
  <c r="B402" i="13"/>
  <c r="A403" i="13" a="1"/>
  <c r="A403" i="13" s="1"/>
  <c r="H105" i="14"/>
  <c r="E105" i="14"/>
  <c r="G105" i="14"/>
  <c r="F105" i="14"/>
  <c r="E107" i="13"/>
  <c r="F106" i="13"/>
  <c r="B106" i="13"/>
  <c r="E106" i="13"/>
  <c r="C106" i="13"/>
  <c r="G106" i="13"/>
  <c r="H106" i="13"/>
  <c r="B105" i="14"/>
  <c r="D105" i="14"/>
  <c r="C105" i="14"/>
  <c r="D403" i="13" l="1"/>
  <c r="B403" i="13"/>
  <c r="E403" i="13"/>
  <c r="F403" i="13"/>
  <c r="H403" i="13"/>
  <c r="G403" i="13"/>
  <c r="C403" i="13"/>
  <c r="A404" i="13" a="1"/>
  <c r="A404" i="13" s="1"/>
  <c r="H106" i="14"/>
  <c r="E106" i="14"/>
  <c r="F106" i="14"/>
  <c r="G106" i="14"/>
  <c r="G108" i="13"/>
  <c r="G107" i="13"/>
  <c r="C107" i="13"/>
  <c r="F107" i="13"/>
  <c r="B107" i="13"/>
  <c r="H107" i="13"/>
  <c r="D107" i="13"/>
  <c r="C106" i="14"/>
  <c r="B106" i="14"/>
  <c r="D106" i="14"/>
  <c r="F404" i="13" l="1"/>
  <c r="B404" i="13"/>
  <c r="E404" i="13"/>
  <c r="C404" i="13"/>
  <c r="D404" i="13"/>
  <c r="G404" i="13"/>
  <c r="H404" i="13"/>
  <c r="A405" i="13" a="1"/>
  <c r="A405" i="13" s="1"/>
  <c r="H107" i="14"/>
  <c r="E107" i="14"/>
  <c r="F107" i="14"/>
  <c r="G107" i="14"/>
  <c r="F109" i="13"/>
  <c r="H108" i="13"/>
  <c r="B108" i="13"/>
  <c r="F108" i="13"/>
  <c r="D108" i="13"/>
  <c r="E108" i="13"/>
  <c r="C108" i="13"/>
  <c r="D107" i="14"/>
  <c r="B107" i="14"/>
  <c r="C107" i="14"/>
  <c r="D405" i="13" l="1"/>
  <c r="B405" i="13"/>
  <c r="C405" i="13"/>
  <c r="E405" i="13"/>
  <c r="F405" i="13"/>
  <c r="G405" i="13"/>
  <c r="H405" i="13"/>
  <c r="A406" i="13" a="1"/>
  <c r="A406" i="13" s="1"/>
  <c r="H108" i="14"/>
  <c r="E108" i="14"/>
  <c r="F108" i="14"/>
  <c r="G108" i="14"/>
  <c r="D109" i="13"/>
  <c r="H109" i="13"/>
  <c r="B109" i="13"/>
  <c r="E109" i="13"/>
  <c r="C109" i="13"/>
  <c r="G109" i="13"/>
  <c r="E110" i="13"/>
  <c r="D108" i="14"/>
  <c r="B108" i="14"/>
  <c r="C108" i="14"/>
  <c r="F406" i="13" l="1"/>
  <c r="G406" i="13"/>
  <c r="D406" i="13"/>
  <c r="C406" i="13"/>
  <c r="E406" i="13"/>
  <c r="H406" i="13"/>
  <c r="B406" i="13"/>
  <c r="A407" i="13" a="1"/>
  <c r="A407" i="13" s="1"/>
  <c r="H109" i="14"/>
  <c r="E109" i="14"/>
  <c r="F109" i="14"/>
  <c r="G109" i="14"/>
  <c r="H110" i="13"/>
  <c r="F110" i="13"/>
  <c r="D110" i="13"/>
  <c r="G110" i="13"/>
  <c r="D111" i="13"/>
  <c r="B110" i="13"/>
  <c r="C110" i="13"/>
  <c r="B109" i="14"/>
  <c r="C109" i="14"/>
  <c r="D109" i="14"/>
  <c r="G407" i="13" l="1"/>
  <c r="E407" i="13"/>
  <c r="F407" i="13"/>
  <c r="H407" i="13"/>
  <c r="D407" i="13"/>
  <c r="B407" i="13"/>
  <c r="C407" i="13"/>
  <c r="A408" i="13" a="1"/>
  <c r="A408" i="13" s="1"/>
  <c r="H110" i="14"/>
  <c r="E110" i="14"/>
  <c r="F110" i="14"/>
  <c r="G110" i="14"/>
  <c r="H112" i="13"/>
  <c r="H111" i="13"/>
  <c r="B111" i="13"/>
  <c r="E111" i="13"/>
  <c r="C111" i="13"/>
  <c r="G111" i="13"/>
  <c r="F111" i="13"/>
  <c r="C110" i="14"/>
  <c r="B110" i="14"/>
  <c r="D110" i="14"/>
  <c r="C408" i="13" l="1"/>
  <c r="B408" i="13"/>
  <c r="D408" i="13"/>
  <c r="H408" i="13"/>
  <c r="E408" i="13"/>
  <c r="F408" i="13"/>
  <c r="G408" i="13"/>
  <c r="A409" i="13" a="1"/>
  <c r="A409" i="13" s="1"/>
  <c r="H111" i="14"/>
  <c r="E111" i="14"/>
  <c r="G111" i="14"/>
  <c r="F111" i="14"/>
  <c r="B112" i="13"/>
  <c r="F112" i="13"/>
  <c r="C112" i="13"/>
  <c r="E112" i="13"/>
  <c r="D112" i="13"/>
  <c r="G112" i="13"/>
  <c r="D113" i="13"/>
  <c r="D111" i="14"/>
  <c r="B111" i="14"/>
  <c r="C111" i="14"/>
  <c r="B409" i="13" l="1"/>
  <c r="C409" i="13"/>
  <c r="D409" i="13"/>
  <c r="G409" i="13"/>
  <c r="E409" i="13"/>
  <c r="F409" i="13"/>
  <c r="H409" i="13"/>
  <c r="A410" i="13" a="1"/>
  <c r="A410" i="13" s="1"/>
  <c r="H112" i="14"/>
  <c r="E112" i="14"/>
  <c r="F112" i="14"/>
  <c r="G112" i="14"/>
  <c r="D114" i="13"/>
  <c r="H113" i="13"/>
  <c r="B113" i="13"/>
  <c r="E113" i="13"/>
  <c r="C113" i="13"/>
  <c r="G113" i="13"/>
  <c r="F113" i="13"/>
  <c r="C112" i="14"/>
  <c r="B112" i="14"/>
  <c r="D112" i="14"/>
  <c r="H410" i="13" l="1"/>
  <c r="C410" i="13"/>
  <c r="B410" i="13"/>
  <c r="E410" i="13"/>
  <c r="D410" i="13"/>
  <c r="F410" i="13"/>
  <c r="G410" i="13"/>
  <c r="A411" i="13" a="1"/>
  <c r="A411" i="13" s="1"/>
  <c r="H113" i="14"/>
  <c r="E113" i="14"/>
  <c r="F113" i="14"/>
  <c r="G113" i="14"/>
  <c r="E115" i="13"/>
  <c r="F114" i="13"/>
  <c r="B114" i="13"/>
  <c r="E114" i="13"/>
  <c r="C114" i="13"/>
  <c r="G114" i="13"/>
  <c r="H114" i="13"/>
  <c r="B113" i="14"/>
  <c r="C113" i="14"/>
  <c r="D113" i="14"/>
  <c r="E411" i="13" l="1"/>
  <c r="F411" i="13"/>
  <c r="D411" i="13"/>
  <c r="B411" i="13"/>
  <c r="C411" i="13"/>
  <c r="H411" i="13"/>
  <c r="G411" i="13"/>
  <c r="A412" i="13" a="1"/>
  <c r="A412" i="13" s="1"/>
  <c r="H114" i="14"/>
  <c r="E114" i="14"/>
  <c r="F114" i="14"/>
  <c r="G114" i="14"/>
  <c r="H116" i="13"/>
  <c r="F115" i="13"/>
  <c r="D115" i="13"/>
  <c r="H115" i="13"/>
  <c r="C115" i="13"/>
  <c r="G115" i="13"/>
  <c r="B115" i="13"/>
  <c r="C114" i="14"/>
  <c r="B114" i="14"/>
  <c r="D114" i="14"/>
  <c r="F412" i="13" l="1"/>
  <c r="E412" i="13"/>
  <c r="G412" i="13"/>
  <c r="H412" i="13"/>
  <c r="B412" i="13"/>
  <c r="D412" i="13"/>
  <c r="C412" i="13"/>
  <c r="A413" i="13" a="1"/>
  <c r="A413" i="13" s="1"/>
  <c r="H115" i="14"/>
  <c r="E115" i="14"/>
  <c r="G115" i="14"/>
  <c r="F115" i="14"/>
  <c r="F117" i="13"/>
  <c r="G116" i="13"/>
  <c r="C116" i="13"/>
  <c r="F116" i="13"/>
  <c r="D116" i="13"/>
  <c r="E116" i="13"/>
  <c r="B116" i="13"/>
  <c r="D115" i="14"/>
  <c r="C115" i="14"/>
  <c r="B115" i="14"/>
  <c r="E413" i="13" l="1"/>
  <c r="D413" i="13"/>
  <c r="F413" i="13"/>
  <c r="B413" i="13"/>
  <c r="H413" i="13"/>
  <c r="G413" i="13"/>
  <c r="C413" i="13"/>
  <c r="H116" i="14"/>
  <c r="E116" i="14"/>
  <c r="F116" i="14"/>
  <c r="G116" i="14"/>
  <c r="C117" i="13"/>
  <c r="H117" i="13"/>
  <c r="B117" i="13"/>
  <c r="E117" i="13"/>
  <c r="D117" i="13"/>
  <c r="G117" i="13"/>
  <c r="E118" i="13"/>
  <c r="B116" i="14"/>
  <c r="C116" i="14"/>
  <c r="D116" i="14"/>
  <c r="H117" i="14" l="1"/>
  <c r="E117" i="14"/>
  <c r="F117" i="14"/>
  <c r="G117" i="14"/>
  <c r="H119" i="13"/>
  <c r="G118" i="13"/>
  <c r="D118" i="13"/>
  <c r="H118" i="13"/>
  <c r="B118" i="13"/>
  <c r="F118" i="13"/>
  <c r="C118" i="13"/>
  <c r="B117" i="14"/>
  <c r="C117" i="14"/>
  <c r="D117" i="14"/>
  <c r="H118" i="14" l="1"/>
  <c r="E118" i="14"/>
  <c r="F118" i="14"/>
  <c r="G118" i="14"/>
  <c r="C120" i="13"/>
  <c r="B119" i="13"/>
  <c r="E119" i="13"/>
  <c r="C119" i="13"/>
  <c r="G119" i="13"/>
  <c r="F119" i="13"/>
  <c r="D119" i="13"/>
  <c r="C118" i="14"/>
  <c r="B118" i="14"/>
  <c r="D118" i="14"/>
  <c r="H119" i="14" l="1"/>
  <c r="E119" i="14"/>
  <c r="G119" i="14"/>
  <c r="F119" i="14"/>
  <c r="E120" i="13"/>
  <c r="B120" i="13"/>
  <c r="B121" i="13"/>
  <c r="G120" i="13"/>
  <c r="F120" i="13"/>
  <c r="H120" i="13"/>
  <c r="D120" i="13"/>
  <c r="D119" i="14"/>
  <c r="C119" i="14"/>
  <c r="B119" i="14"/>
  <c r="H120" i="14" l="1"/>
  <c r="E120" i="14"/>
  <c r="F120" i="14"/>
  <c r="G120" i="14"/>
  <c r="C121" i="13"/>
  <c r="H121" i="13"/>
  <c r="F121" i="13"/>
  <c r="E121" i="13"/>
  <c r="B122" i="13"/>
  <c r="D121" i="13"/>
  <c r="G121" i="13"/>
  <c r="B120" i="14"/>
  <c r="C120" i="14"/>
  <c r="D120" i="14"/>
  <c r="H121" i="14" l="1"/>
  <c r="E121" i="14"/>
  <c r="F121" i="14"/>
  <c r="G121" i="14"/>
  <c r="D123" i="13"/>
  <c r="G122" i="13"/>
  <c r="E122" i="13"/>
  <c r="H122" i="13"/>
  <c r="C122" i="13"/>
  <c r="F122" i="13"/>
  <c r="D122" i="13"/>
  <c r="B121" i="14"/>
  <c r="C121" i="14"/>
  <c r="D121" i="14"/>
  <c r="H122" i="14" l="1"/>
  <c r="E122" i="14"/>
  <c r="F122" i="14"/>
  <c r="G122" i="14"/>
  <c r="E123" i="13"/>
  <c r="B123" i="13"/>
  <c r="C124" i="13"/>
  <c r="G123" i="13"/>
  <c r="F123" i="13"/>
  <c r="H123" i="13"/>
  <c r="C123" i="13"/>
  <c r="C122" i="14"/>
  <c r="D122" i="14"/>
  <c r="B122" i="14"/>
  <c r="H123" i="14" l="1"/>
  <c r="E123" i="14"/>
  <c r="G123" i="14"/>
  <c r="F123" i="14"/>
  <c r="F124" i="13"/>
  <c r="B124" i="13"/>
  <c r="E124" i="13"/>
  <c r="G126" i="13"/>
  <c r="G124" i="13"/>
  <c r="H124" i="13"/>
  <c r="D124" i="13"/>
  <c r="D123" i="14"/>
  <c r="B123" i="14"/>
  <c r="C123" i="14"/>
  <c r="H124" i="14" l="1"/>
  <c r="E124" i="14"/>
  <c r="F124" i="14"/>
  <c r="G124" i="14"/>
  <c r="C126" i="13"/>
  <c r="H125" i="13"/>
  <c r="H126" i="13"/>
  <c r="C125" i="13"/>
  <c r="H127" i="13"/>
  <c r="D125" i="13"/>
  <c r="G125" i="13"/>
  <c r="E126" i="13"/>
  <c r="B126" i="13"/>
  <c r="E125" i="13"/>
  <c r="F126" i="13"/>
  <c r="D126" i="13"/>
  <c r="F125" i="13"/>
  <c r="B125" i="13"/>
  <c r="B124" i="14"/>
  <c r="C124" i="14"/>
  <c r="D124" i="14"/>
  <c r="H125" i="14" l="1"/>
  <c r="E125" i="14"/>
  <c r="F125" i="14"/>
  <c r="G125" i="14"/>
  <c r="D127" i="13"/>
  <c r="E127" i="13"/>
  <c r="C127" i="13"/>
  <c r="G127" i="13"/>
  <c r="B127" i="13"/>
  <c r="F127" i="13"/>
  <c r="H128" i="13"/>
  <c r="B125" i="14"/>
  <c r="D125" i="14"/>
  <c r="C125" i="14"/>
  <c r="H126" i="14" l="1"/>
  <c r="E126" i="14"/>
  <c r="F126" i="14"/>
  <c r="G126" i="14"/>
  <c r="E129" i="13"/>
  <c r="F128" i="13"/>
  <c r="D128" i="13"/>
  <c r="E128" i="13"/>
  <c r="C128" i="13"/>
  <c r="G128" i="13"/>
  <c r="B128" i="13"/>
  <c r="C126" i="14"/>
  <c r="B126" i="14"/>
  <c r="D126" i="14"/>
  <c r="H127" i="14" l="1"/>
  <c r="E127" i="14"/>
  <c r="G127" i="14"/>
  <c r="F127" i="14"/>
  <c r="B129" i="13"/>
  <c r="F129" i="13"/>
  <c r="G130" i="13"/>
  <c r="H129" i="13"/>
  <c r="D129" i="13"/>
  <c r="G129" i="13"/>
  <c r="C129" i="13"/>
  <c r="D127" i="14"/>
  <c r="B127" i="14"/>
  <c r="C127" i="14"/>
  <c r="H128" i="14" l="1"/>
  <c r="E128" i="14"/>
  <c r="F128" i="14"/>
  <c r="G128" i="14"/>
  <c r="F131" i="13"/>
  <c r="F130" i="13"/>
  <c r="B130" i="13"/>
  <c r="H130" i="13"/>
  <c r="D130" i="13"/>
  <c r="E130" i="13"/>
  <c r="C130" i="13"/>
  <c r="D128" i="14"/>
  <c r="B128" i="14"/>
  <c r="C128" i="14"/>
  <c r="H129" i="14" l="1"/>
  <c r="E129" i="14"/>
  <c r="F129" i="14"/>
  <c r="G129" i="14"/>
  <c r="C131" i="13"/>
  <c r="G131" i="13"/>
  <c r="E132" i="13"/>
  <c r="H131" i="13"/>
  <c r="D131" i="13"/>
  <c r="E131" i="13"/>
  <c r="B131" i="13"/>
  <c r="B129" i="14"/>
  <c r="C129" i="14"/>
  <c r="D129" i="14"/>
  <c r="H130" i="14" l="1"/>
  <c r="E130" i="14"/>
  <c r="F130" i="14"/>
  <c r="G130" i="14"/>
  <c r="B132" i="13"/>
  <c r="H132" i="13"/>
  <c r="F132" i="13"/>
  <c r="D132" i="13"/>
  <c r="C132" i="13"/>
  <c r="G132" i="13"/>
  <c r="G133" i="13"/>
  <c r="C130" i="14"/>
  <c r="B130" i="14"/>
  <c r="D130" i="14"/>
  <c r="H131" i="14" l="1"/>
  <c r="E131" i="14"/>
  <c r="F131" i="14"/>
  <c r="G131" i="14"/>
  <c r="B133" i="13"/>
  <c r="F133" i="13"/>
  <c r="E134" i="13"/>
  <c r="H133" i="13"/>
  <c r="D133" i="13"/>
  <c r="E133" i="13"/>
  <c r="C133" i="13"/>
  <c r="D131" i="14"/>
  <c r="B131" i="14"/>
  <c r="C131" i="14"/>
  <c r="H132" i="14" l="1"/>
  <c r="E132" i="14"/>
  <c r="F132" i="14"/>
  <c r="G132" i="14"/>
  <c r="B134" i="13"/>
  <c r="C134" i="13"/>
  <c r="G134" i="13"/>
  <c r="H134" i="13"/>
  <c r="G135" i="13"/>
  <c r="F134" i="13"/>
  <c r="D134" i="13"/>
  <c r="C132" i="14"/>
  <c r="D132" i="14"/>
  <c r="B132" i="14"/>
  <c r="H133" i="14" l="1"/>
  <c r="E133" i="14"/>
  <c r="G133" i="14"/>
  <c r="F133" i="14"/>
  <c r="B135" i="13"/>
  <c r="F135" i="13"/>
  <c r="E136" i="13"/>
  <c r="H135" i="13"/>
  <c r="D135" i="13"/>
  <c r="E135" i="13"/>
  <c r="C135" i="13"/>
  <c r="B133" i="14"/>
  <c r="C133" i="14"/>
  <c r="D133" i="14"/>
  <c r="H134" i="14" l="1"/>
  <c r="E134" i="14"/>
  <c r="F134" i="14"/>
  <c r="G134" i="14"/>
  <c r="G137" i="13"/>
  <c r="C136" i="13"/>
  <c r="G136" i="13"/>
  <c r="B136" i="13"/>
  <c r="H136" i="13"/>
  <c r="F136" i="13"/>
  <c r="D136" i="13"/>
  <c r="C134" i="14"/>
  <c r="B134" i="14"/>
  <c r="D134" i="14"/>
  <c r="H135" i="14" l="1"/>
  <c r="E135" i="14"/>
  <c r="F135" i="14"/>
  <c r="G135" i="14"/>
  <c r="B137" i="13"/>
  <c r="F137" i="13"/>
  <c r="H137" i="13"/>
  <c r="E138" i="13"/>
  <c r="D137" i="13"/>
  <c r="E137" i="13"/>
  <c r="C137" i="13"/>
  <c r="D135" i="14"/>
  <c r="C135" i="14"/>
  <c r="B135" i="14"/>
  <c r="H136" i="14" l="1"/>
  <c r="E136" i="14"/>
  <c r="F136" i="14"/>
  <c r="G136" i="14"/>
  <c r="C138" i="13"/>
  <c r="H138" i="13"/>
  <c r="G138" i="13"/>
  <c r="B138" i="13"/>
  <c r="G139" i="13"/>
  <c r="F138" i="13"/>
  <c r="D138" i="13"/>
  <c r="B136" i="14"/>
  <c r="C136" i="14"/>
  <c r="D136" i="14"/>
  <c r="H137" i="14" l="1"/>
  <c r="E137" i="14"/>
  <c r="G137" i="14"/>
  <c r="F137" i="14"/>
  <c r="F139" i="13"/>
  <c r="E140" i="13"/>
  <c r="H139" i="13"/>
  <c r="B139" i="13"/>
  <c r="D139" i="13"/>
  <c r="E139" i="13"/>
  <c r="C139" i="13"/>
  <c r="B137" i="14"/>
  <c r="C137" i="14"/>
  <c r="D137" i="14"/>
  <c r="H138" i="14" l="1"/>
  <c r="E138" i="14"/>
  <c r="F138" i="14"/>
  <c r="G138" i="14"/>
  <c r="G141" i="13"/>
  <c r="H140" i="13"/>
  <c r="B140" i="13"/>
  <c r="F140" i="13"/>
  <c r="C140" i="13"/>
  <c r="G140" i="13"/>
  <c r="D140" i="13"/>
  <c r="C138" i="14"/>
  <c r="D138" i="14"/>
  <c r="B138" i="14"/>
  <c r="H139" i="14" l="1"/>
  <c r="E139" i="14"/>
  <c r="F139" i="14"/>
  <c r="G139" i="14"/>
  <c r="H142" i="13"/>
  <c r="H141" i="13"/>
  <c r="D141" i="13"/>
  <c r="E141" i="13"/>
  <c r="B141" i="13"/>
  <c r="F141" i="13"/>
  <c r="C141" i="13"/>
  <c r="D139" i="14"/>
  <c r="B139" i="14"/>
  <c r="C139" i="14"/>
  <c r="H140" i="14" l="1"/>
  <c r="E140" i="14"/>
  <c r="F140" i="14"/>
  <c r="G140" i="14"/>
  <c r="E143" i="13"/>
  <c r="F142" i="13"/>
  <c r="D142" i="13"/>
  <c r="E142" i="13"/>
  <c r="C142" i="13"/>
  <c r="G142" i="13"/>
  <c r="B142" i="13"/>
  <c r="B140" i="14"/>
  <c r="C140" i="14"/>
  <c r="D140" i="14"/>
  <c r="H141" i="14" l="1"/>
  <c r="E141" i="14"/>
  <c r="G141" i="14"/>
  <c r="F141" i="14"/>
  <c r="C143" i="13"/>
  <c r="G143" i="13"/>
  <c r="G144" i="13"/>
  <c r="B143" i="13"/>
  <c r="F143" i="13"/>
  <c r="H143" i="13"/>
  <c r="D143" i="13"/>
  <c r="B141" i="14"/>
  <c r="D141" i="14"/>
  <c r="C141" i="14"/>
  <c r="H142" i="14" l="1"/>
  <c r="E142" i="14"/>
  <c r="F142" i="14"/>
  <c r="G142" i="14"/>
  <c r="H145" i="13"/>
  <c r="B144" i="13"/>
  <c r="H144" i="13"/>
  <c r="F144" i="13"/>
  <c r="D144" i="13"/>
  <c r="E144" i="13"/>
  <c r="C144" i="13"/>
  <c r="C142" i="14"/>
  <c r="B142" i="14"/>
  <c r="D142" i="14"/>
  <c r="H143" i="14" l="1"/>
  <c r="E143" i="14"/>
  <c r="F143" i="14"/>
  <c r="G143" i="14"/>
  <c r="D145" i="13"/>
  <c r="E145" i="13"/>
  <c r="C145" i="13"/>
  <c r="G145" i="13"/>
  <c r="B145" i="13"/>
  <c r="F145" i="13"/>
  <c r="E146" i="13"/>
  <c r="D143" i="14"/>
  <c r="B143" i="14"/>
  <c r="C143" i="14"/>
  <c r="H144" i="14" l="1"/>
  <c r="E144" i="14"/>
  <c r="F144" i="14"/>
  <c r="G144" i="14"/>
  <c r="F147" i="13"/>
  <c r="F146" i="13"/>
  <c r="C146" i="13"/>
  <c r="G146" i="13"/>
  <c r="B146" i="13"/>
  <c r="H146" i="13"/>
  <c r="D146" i="13"/>
  <c r="D144" i="14"/>
  <c r="B144" i="14"/>
  <c r="C144" i="14"/>
  <c r="H145" i="14" l="1"/>
  <c r="E145" i="14"/>
  <c r="F145" i="14"/>
  <c r="G145" i="14"/>
  <c r="H148" i="13"/>
  <c r="H147" i="13"/>
  <c r="C147" i="13"/>
  <c r="G147" i="13"/>
  <c r="D147" i="13"/>
  <c r="E147" i="13"/>
  <c r="B147" i="13"/>
  <c r="B145" i="14"/>
  <c r="C145" i="14"/>
  <c r="D145" i="14"/>
  <c r="H146" i="14" l="1"/>
  <c r="E146" i="14"/>
  <c r="F146" i="14"/>
  <c r="G146" i="14"/>
  <c r="C148" i="13"/>
  <c r="G148" i="13"/>
  <c r="E149" i="13"/>
  <c r="F148" i="13"/>
  <c r="D148" i="13"/>
  <c r="E148" i="13"/>
  <c r="B148" i="13"/>
  <c r="C146" i="14"/>
  <c r="B146" i="14"/>
  <c r="D146" i="14"/>
  <c r="H147" i="14" l="1"/>
  <c r="E147" i="14"/>
  <c r="G147" i="14"/>
  <c r="F147" i="14"/>
  <c r="B149" i="13"/>
  <c r="D149" i="13"/>
  <c r="G149" i="13"/>
  <c r="F149" i="13"/>
  <c r="G150" i="13"/>
  <c r="H149" i="13"/>
  <c r="C149" i="13"/>
  <c r="D147" i="14"/>
  <c r="B147" i="14"/>
  <c r="C147" i="14"/>
  <c r="H148" i="14" l="1"/>
  <c r="E148" i="14"/>
  <c r="F148" i="14"/>
  <c r="G148" i="14"/>
  <c r="B150" i="13"/>
  <c r="H150" i="13"/>
  <c r="E151" i="13"/>
  <c r="F150" i="13"/>
  <c r="D150" i="13"/>
  <c r="E150" i="13"/>
  <c r="C150" i="13"/>
  <c r="C148" i="14"/>
  <c r="D148" i="14"/>
  <c r="B148" i="14"/>
  <c r="H149" i="14" l="1"/>
  <c r="E149" i="14"/>
  <c r="F149" i="14"/>
  <c r="G149" i="14"/>
  <c r="H152" i="13"/>
  <c r="H151" i="13"/>
  <c r="D151" i="13"/>
  <c r="G151" i="13"/>
  <c r="B151" i="13"/>
  <c r="F151" i="13"/>
  <c r="C151" i="13"/>
  <c r="B149" i="14"/>
  <c r="C149" i="14"/>
  <c r="D149" i="14"/>
  <c r="H150" i="14" l="1"/>
  <c r="E150" i="14"/>
  <c r="F150" i="14"/>
  <c r="G150" i="14"/>
  <c r="F153" i="13"/>
  <c r="F152" i="13"/>
  <c r="C152" i="13"/>
  <c r="G152" i="13"/>
  <c r="D152" i="13"/>
  <c r="E152" i="13"/>
  <c r="B152" i="13"/>
  <c r="C150" i="14"/>
  <c r="B150" i="14"/>
  <c r="D150" i="14"/>
  <c r="H151" i="14" l="1"/>
  <c r="E151" i="14"/>
  <c r="G151" i="14"/>
  <c r="F151" i="14"/>
  <c r="C153" i="13"/>
  <c r="G153" i="13"/>
  <c r="E154" i="13"/>
  <c r="H153" i="13"/>
  <c r="D153" i="13"/>
  <c r="E153" i="13"/>
  <c r="B153" i="13"/>
  <c r="D151" i="14"/>
  <c r="C151" i="14"/>
  <c r="B151" i="14"/>
  <c r="H152" i="14" l="1"/>
  <c r="E152" i="14"/>
  <c r="F152" i="14"/>
  <c r="G152" i="14"/>
  <c r="G155" i="13"/>
  <c r="C154" i="13"/>
  <c r="G154" i="13"/>
  <c r="B154" i="13"/>
  <c r="H154" i="13"/>
  <c r="F154" i="13"/>
  <c r="D154" i="13"/>
  <c r="B152" i="14"/>
  <c r="C152" i="14"/>
  <c r="D152" i="14"/>
  <c r="H153" i="14" l="1"/>
  <c r="E153" i="14"/>
  <c r="G153" i="14"/>
  <c r="F153" i="14"/>
  <c r="F155" i="13"/>
  <c r="E156" i="13"/>
  <c r="H155" i="13"/>
  <c r="B155" i="13"/>
  <c r="D155" i="13"/>
  <c r="E155" i="13"/>
  <c r="C155" i="13"/>
  <c r="B153" i="14"/>
  <c r="C153" i="14"/>
  <c r="D153" i="14"/>
  <c r="H154" i="14" l="1"/>
  <c r="E154" i="14"/>
  <c r="F154" i="14"/>
  <c r="G154" i="14"/>
  <c r="G157" i="13"/>
  <c r="F156" i="13"/>
  <c r="C156" i="13"/>
  <c r="G156" i="13"/>
  <c r="B156" i="13"/>
  <c r="H156" i="13"/>
  <c r="D156" i="13"/>
  <c r="C154" i="14"/>
  <c r="D154" i="14"/>
  <c r="B154" i="14"/>
  <c r="H155" i="14" l="1"/>
  <c r="E155" i="14"/>
  <c r="F155" i="14"/>
  <c r="G155" i="14"/>
  <c r="H158" i="13"/>
  <c r="H157" i="13"/>
  <c r="D157" i="13"/>
  <c r="E157" i="13"/>
  <c r="B157" i="13"/>
  <c r="F157" i="13"/>
  <c r="C157" i="13"/>
  <c r="D155" i="14"/>
  <c r="B155" i="14"/>
  <c r="C155" i="14"/>
  <c r="H156" i="14" l="1"/>
  <c r="E156" i="14"/>
  <c r="F156" i="14"/>
  <c r="G156" i="14"/>
  <c r="C158" i="13"/>
  <c r="G158" i="13"/>
  <c r="G159" i="13"/>
  <c r="F158" i="13"/>
  <c r="D158" i="13"/>
  <c r="E158" i="13"/>
  <c r="B158" i="13"/>
  <c r="B156" i="14"/>
  <c r="C156" i="14"/>
  <c r="D156" i="14"/>
  <c r="H157" i="14" l="1"/>
  <c r="E157" i="14"/>
  <c r="G157" i="14"/>
  <c r="F157" i="14"/>
  <c r="H160" i="13"/>
  <c r="H159" i="13"/>
  <c r="B159" i="13"/>
  <c r="F159" i="13"/>
  <c r="D159" i="13"/>
  <c r="E159" i="13"/>
  <c r="C159" i="13"/>
  <c r="B157" i="14"/>
  <c r="D157" i="14"/>
  <c r="C157" i="14"/>
  <c r="H158" i="14" l="1"/>
  <c r="E158" i="14"/>
  <c r="F158" i="14"/>
  <c r="G158" i="14"/>
  <c r="C160" i="13"/>
  <c r="G160" i="13"/>
  <c r="E161" i="13"/>
  <c r="F160" i="13"/>
  <c r="D160" i="13"/>
  <c r="E160" i="13"/>
  <c r="B160" i="13"/>
  <c r="C158" i="14"/>
  <c r="B158" i="14"/>
  <c r="D158" i="14"/>
  <c r="H159" i="14" l="1"/>
  <c r="E159" i="14"/>
  <c r="F159" i="14"/>
  <c r="G159" i="14"/>
  <c r="B161" i="13"/>
  <c r="F161" i="13"/>
  <c r="D161" i="13"/>
  <c r="G161" i="13"/>
  <c r="G162" i="13"/>
  <c r="H161" i="13"/>
  <c r="C161" i="13"/>
  <c r="B159" i="14"/>
  <c r="C159" i="14"/>
  <c r="D159" i="14"/>
  <c r="H160" i="14" l="1"/>
  <c r="E160" i="14"/>
  <c r="F160" i="14"/>
  <c r="G160" i="14"/>
  <c r="B162" i="13"/>
  <c r="H162" i="13"/>
  <c r="E163" i="13"/>
  <c r="F162" i="13"/>
  <c r="D162" i="13"/>
  <c r="E162" i="13"/>
  <c r="C162" i="13"/>
  <c r="B160" i="14"/>
  <c r="C160" i="14"/>
  <c r="D160" i="14"/>
  <c r="H161" i="14" l="1"/>
  <c r="E161" i="14"/>
  <c r="G161" i="14"/>
  <c r="F161" i="14"/>
  <c r="B163" i="13"/>
  <c r="F163" i="13"/>
  <c r="H163" i="13"/>
  <c r="D163" i="13"/>
  <c r="C163" i="13"/>
  <c r="G163" i="13"/>
  <c r="G164" i="13"/>
  <c r="C161" i="14"/>
  <c r="D161" i="14"/>
  <c r="B161" i="14"/>
  <c r="H162" i="14" l="1"/>
  <c r="E162" i="14"/>
  <c r="F162" i="14"/>
  <c r="G162" i="14"/>
  <c r="B164" i="13"/>
  <c r="H164" i="13"/>
  <c r="E165" i="13"/>
  <c r="F164" i="13"/>
  <c r="D164" i="13"/>
  <c r="E164" i="13"/>
  <c r="C164" i="13"/>
  <c r="D162" i="14"/>
  <c r="B162" i="14"/>
  <c r="C162" i="14"/>
  <c r="H163" i="14" l="1"/>
  <c r="E163" i="14"/>
  <c r="F163" i="14"/>
  <c r="G163" i="14"/>
  <c r="B165" i="13"/>
  <c r="F165" i="13"/>
  <c r="C165" i="13"/>
  <c r="G165" i="13"/>
  <c r="G166" i="13"/>
  <c r="H165" i="13"/>
  <c r="D165" i="13"/>
  <c r="B163" i="14"/>
  <c r="C163" i="14"/>
  <c r="D163" i="14"/>
  <c r="H164" i="14" l="1"/>
  <c r="E164" i="14"/>
  <c r="F164" i="14"/>
  <c r="G164" i="14"/>
  <c r="B166" i="13"/>
  <c r="H166" i="13"/>
  <c r="E167" i="13"/>
  <c r="F166" i="13"/>
  <c r="D166" i="13"/>
  <c r="E166" i="13"/>
  <c r="C166" i="13"/>
  <c r="B164" i="14"/>
  <c r="C164" i="14"/>
  <c r="D164" i="14"/>
  <c r="H165" i="14" l="1"/>
  <c r="E165" i="14"/>
  <c r="G165" i="14"/>
  <c r="F165" i="14"/>
  <c r="B167" i="13"/>
  <c r="F167" i="13"/>
  <c r="C167" i="13"/>
  <c r="G167" i="13"/>
  <c r="B168" i="13"/>
  <c r="H167" i="13"/>
  <c r="D167" i="13"/>
  <c r="C165" i="14"/>
  <c r="D165" i="14"/>
  <c r="B165" i="14"/>
  <c r="H166" i="14" l="1"/>
  <c r="E166" i="14"/>
  <c r="F166" i="14"/>
  <c r="G166" i="14"/>
  <c r="H168" i="13"/>
  <c r="E169" i="13"/>
  <c r="F168" i="13"/>
  <c r="D168" i="13"/>
  <c r="E168" i="13"/>
  <c r="C168" i="13"/>
  <c r="G168" i="13"/>
  <c r="D166" i="14"/>
  <c r="B166" i="14"/>
  <c r="C166" i="14"/>
  <c r="H167" i="14" l="1"/>
  <c r="E167" i="14"/>
  <c r="G167" i="14"/>
  <c r="F167" i="14"/>
  <c r="H169" i="13"/>
  <c r="C169" i="13"/>
  <c r="G169" i="13"/>
  <c r="B169" i="13"/>
  <c r="F169" i="13"/>
  <c r="H170" i="13"/>
  <c r="D169" i="13"/>
  <c r="B167" i="14"/>
  <c r="C167" i="14"/>
  <c r="D167" i="14"/>
  <c r="H168" i="14" l="1"/>
  <c r="E168" i="14"/>
  <c r="F168" i="14"/>
  <c r="G168" i="14"/>
  <c r="F171" i="13"/>
  <c r="F170" i="13"/>
  <c r="D170" i="13"/>
  <c r="E170" i="13"/>
  <c r="C170" i="13"/>
  <c r="G170" i="13"/>
  <c r="B170" i="13"/>
  <c r="B168" i="14"/>
  <c r="C168" i="14"/>
  <c r="D168" i="14"/>
  <c r="H169" i="14" l="1"/>
  <c r="E169" i="14"/>
  <c r="F169" i="14"/>
  <c r="G169" i="14"/>
  <c r="G172" i="13"/>
  <c r="H171" i="13"/>
  <c r="C171" i="13"/>
  <c r="E171" i="13"/>
  <c r="D171" i="13"/>
  <c r="G171" i="13"/>
  <c r="B171" i="13"/>
  <c r="C169" i="14"/>
  <c r="D169" i="14"/>
  <c r="B169" i="14"/>
  <c r="H170" i="14" l="1"/>
  <c r="E170" i="14"/>
  <c r="F170" i="14"/>
  <c r="G170" i="14"/>
  <c r="E173" i="13"/>
  <c r="F172" i="13"/>
  <c r="D172" i="13"/>
  <c r="E172" i="13"/>
  <c r="C172" i="13"/>
  <c r="B172" i="13"/>
  <c r="H172" i="13"/>
  <c r="D170" i="14"/>
  <c r="B170" i="14"/>
  <c r="C170" i="14"/>
  <c r="H171" i="14" l="1"/>
  <c r="E171" i="14"/>
  <c r="G171" i="14"/>
  <c r="F171" i="14"/>
  <c r="B173" i="13"/>
  <c r="F173" i="13"/>
  <c r="C173" i="13"/>
  <c r="G173" i="13"/>
  <c r="H174" i="13"/>
  <c r="H173" i="13"/>
  <c r="D173" i="13"/>
  <c r="B171" i="14"/>
  <c r="C171" i="14"/>
  <c r="D171" i="14"/>
  <c r="H172" i="14" l="1"/>
  <c r="E172" i="14"/>
  <c r="F172" i="14"/>
  <c r="G172" i="14"/>
  <c r="F175" i="13"/>
  <c r="F174" i="13"/>
  <c r="D174" i="13"/>
  <c r="E174" i="13"/>
  <c r="C174" i="13"/>
  <c r="G174" i="13"/>
  <c r="B174" i="13"/>
  <c r="B172" i="14"/>
  <c r="C172" i="14"/>
  <c r="D172" i="14"/>
  <c r="H173" i="14" l="1"/>
  <c r="E173" i="14"/>
  <c r="F173" i="14"/>
  <c r="G173" i="14"/>
  <c r="C175" i="13"/>
  <c r="G175" i="13"/>
  <c r="G176" i="13"/>
  <c r="H175" i="13"/>
  <c r="D175" i="13"/>
  <c r="E175" i="13"/>
  <c r="B175" i="13"/>
  <c r="C173" i="14"/>
  <c r="D173" i="14"/>
  <c r="B173" i="14"/>
  <c r="H174" i="14" l="1"/>
  <c r="E174" i="14"/>
  <c r="F174" i="14"/>
  <c r="G174" i="14"/>
  <c r="E177" i="13"/>
  <c r="F176" i="13"/>
  <c r="B176" i="13"/>
  <c r="H176" i="13"/>
  <c r="D176" i="13"/>
  <c r="E176" i="13"/>
  <c r="C176" i="13"/>
  <c r="D174" i="14"/>
  <c r="B174" i="14"/>
  <c r="C174" i="14"/>
  <c r="H175" i="14" l="1"/>
  <c r="E175" i="14"/>
  <c r="G175" i="14"/>
  <c r="F175" i="14"/>
  <c r="H178" i="13"/>
  <c r="H177" i="13"/>
  <c r="C177" i="13"/>
  <c r="G177" i="13"/>
  <c r="B177" i="13"/>
  <c r="F177" i="13"/>
  <c r="D177" i="13"/>
  <c r="B175" i="14"/>
  <c r="C175" i="14"/>
  <c r="D175" i="14"/>
  <c r="H176" i="14" l="1"/>
  <c r="E176" i="14"/>
  <c r="F176" i="14"/>
  <c r="G176" i="14"/>
  <c r="F179" i="13"/>
  <c r="F178" i="13"/>
  <c r="C178" i="13"/>
  <c r="G178" i="13"/>
  <c r="D178" i="13"/>
  <c r="E178" i="13"/>
  <c r="B178" i="13"/>
  <c r="B176" i="14"/>
  <c r="C176" i="14"/>
  <c r="D176" i="14"/>
  <c r="H177" i="14" l="1"/>
  <c r="E177" i="14"/>
  <c r="F177" i="14"/>
  <c r="G177" i="14"/>
  <c r="H180" i="13"/>
  <c r="H179" i="13"/>
  <c r="D179" i="13"/>
  <c r="E179" i="13"/>
  <c r="C179" i="13"/>
  <c r="G179" i="13"/>
  <c r="B179" i="13"/>
  <c r="C177" i="14"/>
  <c r="D177" i="14"/>
  <c r="B177" i="14"/>
  <c r="H178" i="14" l="1"/>
  <c r="E178" i="14"/>
  <c r="F178" i="14"/>
  <c r="G178" i="14"/>
  <c r="E181" i="13"/>
  <c r="F180" i="13"/>
  <c r="D180" i="13"/>
  <c r="E180" i="13"/>
  <c r="C180" i="13"/>
  <c r="G180" i="13"/>
  <c r="B180" i="13"/>
  <c r="D178" i="14"/>
  <c r="B178" i="14"/>
  <c r="C178" i="14"/>
  <c r="H179" i="14" l="1"/>
  <c r="E179" i="14"/>
  <c r="G179" i="14"/>
  <c r="F179" i="14"/>
  <c r="D181" i="13"/>
  <c r="G181" i="13"/>
  <c r="G182" i="13"/>
  <c r="H181" i="13"/>
  <c r="B181" i="13"/>
  <c r="F181" i="13"/>
  <c r="C181" i="13"/>
  <c r="B179" i="14"/>
  <c r="C179" i="14"/>
  <c r="D179" i="14"/>
  <c r="H180" i="14" l="1"/>
  <c r="E180" i="14"/>
  <c r="F180" i="14"/>
  <c r="G180" i="14"/>
  <c r="F183" i="13"/>
  <c r="F182" i="13"/>
  <c r="D182" i="13"/>
  <c r="E182" i="13"/>
  <c r="B182" i="13"/>
  <c r="H182" i="13"/>
  <c r="C182" i="13"/>
  <c r="B180" i="14"/>
  <c r="C180" i="14"/>
  <c r="D180" i="14"/>
  <c r="H181" i="14" l="1"/>
  <c r="E181" i="14"/>
  <c r="F181" i="14"/>
  <c r="G181" i="14"/>
  <c r="C183" i="13"/>
  <c r="G183" i="13"/>
  <c r="G184" i="13"/>
  <c r="H183" i="13"/>
  <c r="D183" i="13"/>
  <c r="E183" i="13"/>
  <c r="B183" i="13"/>
  <c r="C181" i="14"/>
  <c r="D181" i="14"/>
  <c r="B181" i="14"/>
  <c r="H182" i="14" l="1"/>
  <c r="E182" i="14"/>
  <c r="F182" i="14"/>
  <c r="G182" i="14"/>
  <c r="E185" i="13"/>
  <c r="F184" i="13"/>
  <c r="E184" i="13"/>
  <c r="B184" i="13"/>
  <c r="H184" i="13"/>
  <c r="D184" i="13"/>
  <c r="C184" i="13"/>
  <c r="D182" i="14"/>
  <c r="B182" i="14"/>
  <c r="C182" i="14"/>
  <c r="H183" i="14" l="1"/>
  <c r="E183" i="14"/>
  <c r="G183" i="14"/>
  <c r="F183" i="14"/>
  <c r="B185" i="13"/>
  <c r="F185" i="13"/>
  <c r="G186" i="13"/>
  <c r="H185" i="13"/>
  <c r="C185" i="13"/>
  <c r="G185" i="13"/>
  <c r="D185" i="13"/>
  <c r="B183" i="14"/>
  <c r="C183" i="14"/>
  <c r="D183" i="14"/>
  <c r="H184" i="14" l="1"/>
  <c r="E184" i="14"/>
  <c r="F184" i="14"/>
  <c r="G184" i="14"/>
  <c r="F187" i="13"/>
  <c r="F186" i="13"/>
  <c r="B186" i="13"/>
  <c r="H186" i="13"/>
  <c r="D186" i="13"/>
  <c r="E186" i="13"/>
  <c r="C186" i="13"/>
  <c r="B184" i="14"/>
  <c r="C184" i="14"/>
  <c r="D184" i="14"/>
  <c r="H185" i="14" l="1"/>
  <c r="E185" i="14"/>
  <c r="F185" i="14"/>
  <c r="G185" i="14"/>
  <c r="C187" i="13"/>
  <c r="G187" i="13"/>
  <c r="E188" i="13"/>
  <c r="H187" i="13"/>
  <c r="D187" i="13"/>
  <c r="E187" i="13"/>
  <c r="B187" i="13"/>
  <c r="C185" i="14"/>
  <c r="D185" i="14"/>
  <c r="B185" i="14"/>
  <c r="H186" i="14" l="1"/>
  <c r="E186" i="14"/>
  <c r="F186" i="14"/>
  <c r="G186" i="14"/>
  <c r="B188" i="13"/>
  <c r="H188" i="13"/>
  <c r="F188" i="13"/>
  <c r="C188" i="13"/>
  <c r="G188" i="13"/>
  <c r="G189" i="13"/>
  <c r="D188" i="13"/>
  <c r="D186" i="14"/>
  <c r="B186" i="14"/>
  <c r="C186" i="14"/>
  <c r="H187" i="14" l="1"/>
  <c r="E187" i="14"/>
  <c r="G187" i="14"/>
  <c r="F187" i="14"/>
  <c r="H190" i="13"/>
  <c r="H189" i="13"/>
  <c r="B189" i="13"/>
  <c r="F189" i="13"/>
  <c r="D189" i="13"/>
  <c r="E189" i="13"/>
  <c r="C189" i="13"/>
  <c r="B187" i="14"/>
  <c r="C187" i="14"/>
  <c r="D187" i="14"/>
  <c r="H188" i="14" l="1"/>
  <c r="E188" i="14"/>
  <c r="F188" i="14"/>
  <c r="G188" i="14"/>
  <c r="C190" i="13"/>
  <c r="G190" i="13"/>
  <c r="E191" i="13"/>
  <c r="F190" i="13"/>
  <c r="D190" i="13"/>
  <c r="E190" i="13"/>
  <c r="B190" i="13"/>
  <c r="B188" i="14"/>
  <c r="C188" i="14"/>
  <c r="D188" i="14"/>
  <c r="H189" i="14" l="1"/>
  <c r="E189" i="14"/>
  <c r="F189" i="14"/>
  <c r="G189" i="14"/>
  <c r="B191" i="13"/>
  <c r="F191" i="13"/>
  <c r="C191" i="13"/>
  <c r="G191" i="13"/>
  <c r="G192" i="13"/>
  <c r="H191" i="13"/>
  <c r="D191" i="13"/>
  <c r="C189" i="14"/>
  <c r="D189" i="14"/>
  <c r="B189" i="14"/>
  <c r="H190" i="14" l="1"/>
  <c r="E190" i="14"/>
  <c r="F190" i="14"/>
  <c r="G190" i="14"/>
  <c r="B192" i="13"/>
  <c r="H192" i="13"/>
  <c r="E193" i="13"/>
  <c r="F192" i="13"/>
  <c r="D192" i="13"/>
  <c r="E192" i="13"/>
  <c r="C192" i="13"/>
  <c r="D190" i="14"/>
  <c r="B190" i="14"/>
  <c r="C190" i="14"/>
  <c r="H191" i="14" l="1"/>
  <c r="E191" i="14"/>
  <c r="G191" i="14"/>
  <c r="F191" i="14"/>
  <c r="B193" i="13"/>
  <c r="F193" i="13"/>
  <c r="H193" i="13"/>
  <c r="C193" i="13"/>
  <c r="D193" i="13"/>
  <c r="G193" i="13"/>
  <c r="G194" i="13"/>
  <c r="B191" i="14"/>
  <c r="C191" i="14"/>
  <c r="D191" i="14"/>
  <c r="H192" i="14" l="1"/>
  <c r="E192" i="14"/>
  <c r="F192" i="14"/>
  <c r="G192" i="14"/>
  <c r="F195" i="13"/>
  <c r="F194" i="13"/>
  <c r="B194" i="13"/>
  <c r="H194" i="13"/>
  <c r="D194" i="13"/>
  <c r="E194" i="13"/>
  <c r="C194" i="13"/>
  <c r="B192" i="14"/>
  <c r="C192" i="14"/>
  <c r="D192" i="14"/>
  <c r="H193" i="14" l="1"/>
  <c r="E193" i="14"/>
  <c r="F193" i="14"/>
  <c r="G193" i="14"/>
  <c r="C195" i="13"/>
  <c r="G195" i="13"/>
  <c r="H195" i="13"/>
  <c r="D195" i="13"/>
  <c r="E195" i="13"/>
  <c r="B195" i="13"/>
  <c r="D193" i="14"/>
  <c r="C193" i="14"/>
  <c r="B193" i="14"/>
  <c r="H194" i="14" l="1"/>
  <c r="E194" i="14"/>
  <c r="F194" i="14"/>
  <c r="G194" i="14"/>
  <c r="B196" i="13"/>
  <c r="H196" i="13"/>
  <c r="F196" i="13"/>
  <c r="D196" i="13"/>
  <c r="E196" i="13"/>
  <c r="C196" i="13"/>
  <c r="G196" i="13"/>
  <c r="G197" i="13"/>
  <c r="E197" i="13"/>
  <c r="H197" i="13"/>
  <c r="F197" i="13"/>
  <c r="B194" i="14"/>
  <c r="D194" i="14"/>
  <c r="C194" i="14"/>
  <c r="C197" i="13"/>
  <c r="D197" i="13"/>
  <c r="B197" i="13"/>
  <c r="H195" i="14" l="1"/>
  <c r="E195" i="14"/>
  <c r="G195" i="14"/>
  <c r="F195" i="14"/>
  <c r="G198" i="13"/>
  <c r="E198" i="13"/>
  <c r="F198" i="13"/>
  <c r="H198" i="13"/>
  <c r="B195" i="14"/>
  <c r="C195" i="14"/>
  <c r="D195" i="14"/>
  <c r="C198" i="13"/>
  <c r="D198" i="13"/>
  <c r="B198" i="13"/>
  <c r="H196" i="14" l="1"/>
  <c r="E196" i="14"/>
  <c r="F196" i="14"/>
  <c r="G196" i="14"/>
  <c r="G199" i="13"/>
  <c r="E199" i="13"/>
  <c r="H199" i="13"/>
  <c r="F199" i="13"/>
  <c r="C196" i="14"/>
  <c r="D196" i="14"/>
  <c r="B196" i="14"/>
  <c r="C199" i="13"/>
  <c r="D199" i="13"/>
  <c r="B199" i="13"/>
  <c r="H197" i="14" l="1"/>
  <c r="E197" i="14"/>
  <c r="F197" i="14"/>
  <c r="G197" i="14"/>
  <c r="G200" i="13"/>
  <c r="E200" i="13"/>
  <c r="F200" i="13"/>
  <c r="H200" i="13"/>
  <c r="D197" i="14"/>
  <c r="B197" i="14"/>
  <c r="C197" i="14"/>
  <c r="C200" i="13"/>
  <c r="D200" i="13"/>
  <c r="B200" i="13"/>
  <c r="H198" i="14" l="1"/>
  <c r="E198" i="14"/>
  <c r="F198" i="14"/>
  <c r="G198" i="14"/>
  <c r="G201" i="13"/>
  <c r="E201" i="13"/>
  <c r="H201" i="13"/>
  <c r="F201" i="13"/>
  <c r="C198" i="14"/>
  <c r="B198" i="14"/>
  <c r="D198" i="14"/>
  <c r="C201" i="13"/>
  <c r="D201" i="13"/>
  <c r="B201" i="13"/>
  <c r="H199" i="14" l="1"/>
  <c r="E199" i="14"/>
  <c r="F199" i="14"/>
  <c r="G199" i="14"/>
  <c r="G202" i="13"/>
  <c r="E202" i="13"/>
  <c r="F202" i="13"/>
  <c r="H202" i="13"/>
  <c r="B199" i="14"/>
  <c r="D199" i="14"/>
  <c r="C199" i="14"/>
  <c r="C202" i="13"/>
  <c r="D202" i="13"/>
  <c r="B202" i="13"/>
  <c r="H200" i="14" l="1"/>
  <c r="E200" i="14"/>
  <c r="F200" i="14"/>
  <c r="G200" i="14"/>
  <c r="G203" i="13"/>
  <c r="E203" i="13"/>
  <c r="H203" i="13"/>
  <c r="F203" i="13"/>
  <c r="C200" i="14"/>
  <c r="B200" i="14"/>
  <c r="D200" i="14"/>
  <c r="C203" i="13"/>
  <c r="D203" i="13"/>
  <c r="B203" i="13"/>
  <c r="H201" i="14" l="1"/>
  <c r="E201" i="14"/>
  <c r="G201" i="14"/>
  <c r="F201" i="14"/>
  <c r="G204" i="13"/>
  <c r="E204" i="13"/>
  <c r="F204" i="13"/>
  <c r="H204" i="13"/>
  <c r="D201" i="14"/>
  <c r="C201" i="14"/>
  <c r="B201" i="14"/>
  <c r="C204" i="13"/>
  <c r="D204" i="13"/>
  <c r="B204" i="13"/>
  <c r="H202" i="14" l="1"/>
  <c r="E202" i="14"/>
  <c r="F202" i="14"/>
  <c r="G202" i="14"/>
  <c r="G205" i="13"/>
  <c r="E205" i="13"/>
  <c r="H205" i="13"/>
  <c r="F205" i="13"/>
  <c r="D202" i="14"/>
  <c r="B202" i="14"/>
  <c r="C202" i="14"/>
  <c r="C205" i="13"/>
  <c r="D205" i="13"/>
  <c r="B205" i="13"/>
  <c r="H203" i="14" l="1"/>
  <c r="E203" i="14"/>
  <c r="F203" i="14"/>
  <c r="G203" i="14"/>
  <c r="G206" i="13"/>
  <c r="E206" i="13"/>
  <c r="F206" i="13"/>
  <c r="H206" i="13"/>
  <c r="B203" i="14"/>
  <c r="C203" i="14"/>
  <c r="D203" i="14"/>
  <c r="C206" i="13"/>
  <c r="D206" i="13"/>
  <c r="B206" i="13"/>
  <c r="H204" i="14" l="1"/>
  <c r="E204" i="14"/>
  <c r="F204" i="14"/>
  <c r="G204" i="14"/>
  <c r="G207" i="13"/>
  <c r="E207" i="13"/>
  <c r="H207" i="13"/>
  <c r="F207" i="13"/>
  <c r="C204" i="14"/>
  <c r="D204" i="14"/>
  <c r="B204" i="14"/>
  <c r="C207" i="13"/>
  <c r="D207" i="13"/>
  <c r="B207" i="13"/>
  <c r="H205" i="14" l="1"/>
  <c r="E205" i="14"/>
  <c r="G205" i="14"/>
  <c r="F205" i="14"/>
  <c r="G208" i="13"/>
  <c r="E208" i="13"/>
  <c r="F208" i="13"/>
  <c r="H208" i="13"/>
  <c r="D205" i="14"/>
  <c r="B205" i="14"/>
  <c r="C205" i="14"/>
  <c r="C208" i="13"/>
  <c r="D208" i="13"/>
  <c r="B208" i="13"/>
  <c r="H206" i="14" l="1"/>
  <c r="E206" i="14"/>
  <c r="F206" i="14"/>
  <c r="G206" i="14"/>
  <c r="G209" i="13"/>
  <c r="E209" i="13"/>
  <c r="H209" i="13"/>
  <c r="F209" i="13"/>
  <c r="C206" i="14"/>
  <c r="D206" i="14"/>
  <c r="B206" i="14"/>
  <c r="C209" i="13"/>
  <c r="D209" i="13"/>
  <c r="B209" i="13"/>
  <c r="H207" i="14" l="1"/>
  <c r="E207" i="14"/>
  <c r="G207" i="14"/>
  <c r="F207" i="14"/>
  <c r="G210" i="13"/>
  <c r="E210" i="13"/>
  <c r="F210" i="13"/>
  <c r="H210" i="13"/>
  <c r="B207" i="14"/>
  <c r="D207" i="14"/>
  <c r="C207" i="14"/>
  <c r="C210" i="13"/>
  <c r="D210" i="13"/>
  <c r="B210" i="13"/>
  <c r="H208" i="14" l="1"/>
  <c r="E208" i="14"/>
  <c r="F208" i="14"/>
  <c r="G208" i="14"/>
  <c r="G211" i="13"/>
  <c r="E211" i="13"/>
  <c r="H211" i="13"/>
  <c r="F211" i="13"/>
  <c r="C208" i="14"/>
  <c r="B208" i="14"/>
  <c r="D208" i="14"/>
  <c r="C211" i="13"/>
  <c r="D211" i="13"/>
  <c r="B211" i="13"/>
  <c r="H209" i="14" l="1"/>
  <c r="E209" i="14"/>
  <c r="F209" i="14"/>
  <c r="G209" i="14"/>
  <c r="G212" i="13"/>
  <c r="E212" i="13"/>
  <c r="F212" i="13"/>
  <c r="H212" i="13"/>
  <c r="D209" i="14"/>
  <c r="C209" i="14"/>
  <c r="B209" i="14"/>
  <c r="C212" i="13"/>
  <c r="D212" i="13"/>
  <c r="B212" i="13"/>
  <c r="H210" i="14" l="1"/>
  <c r="E210" i="14"/>
  <c r="F210" i="14"/>
  <c r="G210" i="14"/>
  <c r="G213" i="13"/>
  <c r="E213" i="13"/>
  <c r="H213" i="13"/>
  <c r="F213" i="13"/>
  <c r="B210" i="14"/>
  <c r="D210" i="14"/>
  <c r="C210" i="14"/>
  <c r="D213" i="13"/>
  <c r="C213" i="13"/>
  <c r="B213" i="13"/>
  <c r="H211" i="14" l="1"/>
  <c r="E211" i="14"/>
  <c r="G211" i="14"/>
  <c r="F211" i="14"/>
  <c r="G214" i="13"/>
  <c r="E214" i="13"/>
  <c r="F214" i="13"/>
  <c r="H214" i="13"/>
  <c r="B211" i="14"/>
  <c r="C211" i="14"/>
  <c r="D211" i="14"/>
  <c r="C214" i="13"/>
  <c r="D214" i="13"/>
  <c r="B214" i="13"/>
  <c r="H212" i="14" l="1"/>
  <c r="E212" i="14"/>
  <c r="F212" i="14"/>
  <c r="G212" i="14"/>
  <c r="G215" i="13"/>
  <c r="E215" i="13"/>
  <c r="H215" i="13"/>
  <c r="F215" i="13"/>
  <c r="C212" i="14"/>
  <c r="D212" i="14"/>
  <c r="B212" i="14"/>
  <c r="D215" i="13"/>
  <c r="C215" i="13"/>
  <c r="B215" i="13"/>
  <c r="H213" i="14" l="1"/>
  <c r="E213" i="14"/>
  <c r="F213" i="14"/>
  <c r="G213" i="14"/>
  <c r="G216" i="13"/>
  <c r="E216" i="13"/>
  <c r="F216" i="13"/>
  <c r="H216" i="13"/>
  <c r="D213" i="14"/>
  <c r="B213" i="14"/>
  <c r="C213" i="14"/>
  <c r="C216" i="13"/>
  <c r="D216" i="13"/>
  <c r="B216" i="13"/>
  <c r="H214" i="14" l="1"/>
  <c r="E214" i="14"/>
  <c r="F214" i="14"/>
  <c r="G214" i="14"/>
  <c r="G217" i="13"/>
  <c r="E217" i="13"/>
  <c r="H217" i="13"/>
  <c r="F217" i="13"/>
  <c r="C214" i="14"/>
  <c r="B214" i="14"/>
  <c r="D214" i="14"/>
  <c r="C217" i="13"/>
  <c r="D217" i="13"/>
  <c r="B217" i="13"/>
  <c r="H215" i="14" l="1"/>
  <c r="E215" i="14"/>
  <c r="F215" i="14"/>
  <c r="G215" i="14"/>
  <c r="G218" i="13"/>
  <c r="E218" i="13"/>
  <c r="F218" i="13"/>
  <c r="H218" i="13"/>
  <c r="B215" i="14"/>
  <c r="D215" i="14"/>
  <c r="C215" i="14"/>
  <c r="C218" i="13"/>
  <c r="D218" i="13"/>
  <c r="B218" i="13"/>
  <c r="H216" i="14" l="1"/>
  <c r="E216" i="14"/>
  <c r="F216" i="14"/>
  <c r="G216" i="14"/>
  <c r="G219" i="13"/>
  <c r="E219" i="13"/>
  <c r="H219" i="13"/>
  <c r="F219" i="13"/>
  <c r="C216" i="14"/>
  <c r="B216" i="14"/>
  <c r="D216" i="14"/>
  <c r="C219" i="13"/>
  <c r="D219" i="13"/>
  <c r="B219" i="13"/>
  <c r="H217" i="14" l="1"/>
  <c r="E217" i="14"/>
  <c r="F217" i="14"/>
  <c r="G217" i="14"/>
  <c r="G220" i="13"/>
  <c r="E220" i="13"/>
  <c r="F220" i="13"/>
  <c r="H220" i="13"/>
  <c r="D217" i="14"/>
  <c r="C217" i="14"/>
  <c r="B217" i="14"/>
  <c r="C220" i="13"/>
  <c r="D220" i="13"/>
  <c r="B220" i="13"/>
  <c r="H218" i="14" l="1"/>
  <c r="E218" i="14"/>
  <c r="F218" i="14"/>
  <c r="G218" i="14"/>
  <c r="G221" i="13"/>
  <c r="E221" i="13"/>
  <c r="H221" i="13"/>
  <c r="F221" i="13"/>
  <c r="D218" i="14"/>
  <c r="B218" i="14"/>
  <c r="C218" i="14"/>
  <c r="C221" i="13"/>
  <c r="D221" i="13"/>
  <c r="B221" i="13"/>
  <c r="H219" i="14" l="1"/>
  <c r="E219" i="14"/>
  <c r="F219" i="14"/>
  <c r="G219" i="14"/>
  <c r="G222" i="13"/>
  <c r="E222" i="13"/>
  <c r="F222" i="13"/>
  <c r="H222" i="13"/>
  <c r="B219" i="14"/>
  <c r="C219" i="14"/>
  <c r="D219" i="14"/>
  <c r="C222" i="13"/>
  <c r="D222" i="13"/>
  <c r="B222" i="13"/>
  <c r="H220" i="14" l="1"/>
  <c r="E220" i="14"/>
  <c r="F220" i="14"/>
  <c r="G220" i="14"/>
  <c r="G223" i="13"/>
  <c r="E223" i="13"/>
  <c r="H223" i="13"/>
  <c r="F223" i="13"/>
  <c r="C220" i="14"/>
  <c r="D220" i="14"/>
  <c r="B220" i="14"/>
  <c r="C223" i="13"/>
  <c r="D223" i="13"/>
  <c r="B223" i="13"/>
  <c r="H221" i="14" l="1"/>
  <c r="E221" i="14"/>
  <c r="F221" i="14"/>
  <c r="G221" i="14"/>
  <c r="G224" i="13"/>
  <c r="E224" i="13"/>
  <c r="F224" i="13"/>
  <c r="H224" i="13"/>
  <c r="D221" i="14"/>
  <c r="B221" i="14"/>
  <c r="C221" i="14"/>
  <c r="C224" i="13"/>
  <c r="D224" i="13"/>
  <c r="B224" i="13"/>
  <c r="H222" i="14" l="1"/>
  <c r="E222" i="14"/>
  <c r="F222" i="14"/>
  <c r="G222" i="14"/>
  <c r="G225" i="13"/>
  <c r="E225" i="13"/>
  <c r="H225" i="13"/>
  <c r="F225" i="13"/>
  <c r="C222" i="14"/>
  <c r="D222" i="14"/>
  <c r="B222" i="14"/>
  <c r="D225" i="13"/>
  <c r="C225" i="13"/>
  <c r="B225" i="13"/>
  <c r="H223" i="14" l="1"/>
  <c r="E223" i="14"/>
  <c r="G223" i="14"/>
  <c r="F223" i="14"/>
  <c r="G226" i="13"/>
  <c r="E226" i="13"/>
  <c r="F226" i="13"/>
  <c r="H226" i="13"/>
  <c r="B223" i="14"/>
  <c r="D223" i="14"/>
  <c r="C223" i="14"/>
  <c r="C226" i="13"/>
  <c r="D226" i="13"/>
  <c r="B226" i="13"/>
  <c r="H224" i="14" l="1"/>
  <c r="E224" i="14"/>
  <c r="F224" i="14"/>
  <c r="G224" i="14"/>
  <c r="G227" i="13"/>
  <c r="E227" i="13"/>
  <c r="H227" i="13"/>
  <c r="F227" i="13"/>
  <c r="C224" i="14"/>
  <c r="B224" i="14"/>
  <c r="D224" i="14"/>
  <c r="C227" i="13"/>
  <c r="D227" i="13"/>
  <c r="B227" i="13"/>
  <c r="H225" i="14" l="1"/>
  <c r="E225" i="14"/>
  <c r="F225" i="14"/>
  <c r="G225" i="14"/>
  <c r="G228" i="13"/>
  <c r="E228" i="13"/>
  <c r="F228" i="13"/>
  <c r="H228" i="13"/>
  <c r="D225" i="14"/>
  <c r="C225" i="14"/>
  <c r="B225" i="14"/>
  <c r="C228" i="13"/>
  <c r="D228" i="13"/>
  <c r="B228" i="13"/>
  <c r="H226" i="14" l="1"/>
  <c r="E226" i="14"/>
  <c r="F226" i="14"/>
  <c r="G226" i="14"/>
  <c r="G229" i="13"/>
  <c r="E229" i="13"/>
  <c r="H229" i="13"/>
  <c r="F229" i="13"/>
  <c r="B226" i="14"/>
  <c r="D226" i="14"/>
  <c r="C226" i="14"/>
  <c r="C229" i="13"/>
  <c r="D229" i="13"/>
  <c r="B229" i="13"/>
  <c r="H227" i="14" l="1"/>
  <c r="E227" i="14"/>
  <c r="F227" i="14"/>
  <c r="G227" i="14"/>
  <c r="G230" i="13"/>
  <c r="E230" i="13"/>
  <c r="F230" i="13"/>
  <c r="H230" i="13"/>
  <c r="B227" i="14"/>
  <c r="C227" i="14"/>
  <c r="D227" i="14"/>
  <c r="C230" i="13"/>
  <c r="D230" i="13"/>
  <c r="B230" i="13"/>
  <c r="H228" i="14" l="1"/>
  <c r="E228" i="14"/>
  <c r="F228" i="14"/>
  <c r="G228" i="14"/>
  <c r="G231" i="13"/>
  <c r="E231" i="13"/>
  <c r="H231" i="13"/>
  <c r="F231" i="13"/>
  <c r="C228" i="14"/>
  <c r="D228" i="14"/>
  <c r="B228" i="14"/>
  <c r="C231" i="13"/>
  <c r="D231" i="13"/>
  <c r="B231" i="13"/>
  <c r="H229" i="14" l="1"/>
  <c r="E229" i="14"/>
  <c r="F229" i="14"/>
  <c r="G229" i="14"/>
  <c r="G232" i="13"/>
  <c r="E232" i="13"/>
  <c r="F232" i="13"/>
  <c r="H232" i="13"/>
  <c r="D229" i="14"/>
  <c r="B229" i="14"/>
  <c r="C229" i="14"/>
  <c r="C232" i="13"/>
  <c r="D232" i="13"/>
  <c r="B232" i="13"/>
  <c r="H230" i="14" l="1"/>
  <c r="E230" i="14"/>
  <c r="F230" i="14"/>
  <c r="G230" i="14"/>
  <c r="G233" i="13"/>
  <c r="E233" i="13"/>
  <c r="H233" i="13"/>
  <c r="F233" i="13"/>
  <c r="C230" i="14"/>
  <c r="B230" i="14"/>
  <c r="D230" i="14"/>
  <c r="C233" i="13"/>
  <c r="D233" i="13"/>
  <c r="B233" i="13"/>
  <c r="H231" i="14" l="1"/>
  <c r="E231" i="14"/>
  <c r="F231" i="14"/>
  <c r="G231" i="14"/>
  <c r="G234" i="13"/>
  <c r="E234" i="13"/>
  <c r="F234" i="13"/>
  <c r="H234" i="13"/>
  <c r="B231" i="14"/>
  <c r="D231" i="14"/>
  <c r="C231" i="14"/>
  <c r="C234" i="13"/>
  <c r="D234" i="13"/>
  <c r="B234" i="13"/>
  <c r="H232" i="14" l="1"/>
  <c r="E232" i="14"/>
  <c r="F232" i="14"/>
  <c r="G232" i="14"/>
  <c r="G235" i="13"/>
  <c r="E235" i="13"/>
  <c r="H235" i="13"/>
  <c r="F235" i="13"/>
  <c r="C232" i="14"/>
  <c r="B232" i="14"/>
  <c r="D232" i="14"/>
  <c r="C235" i="13"/>
  <c r="D235" i="13"/>
  <c r="B235" i="13"/>
  <c r="H233" i="14" l="1"/>
  <c r="E233" i="14"/>
  <c r="F233" i="14"/>
  <c r="G233" i="14"/>
  <c r="G236" i="13"/>
  <c r="E236" i="13"/>
  <c r="F236" i="13"/>
  <c r="H236" i="13"/>
  <c r="D233" i="14"/>
  <c r="C233" i="14"/>
  <c r="B233" i="14"/>
  <c r="C236" i="13"/>
  <c r="D236" i="13"/>
  <c r="B236" i="13"/>
  <c r="H234" i="14" l="1"/>
  <c r="E234" i="14"/>
  <c r="F234" i="14"/>
  <c r="G234" i="14"/>
  <c r="G237" i="13"/>
  <c r="E237" i="13"/>
  <c r="H237" i="13"/>
  <c r="F237" i="13"/>
  <c r="D234" i="14"/>
  <c r="B234" i="14"/>
  <c r="C234" i="14"/>
  <c r="C237" i="13"/>
  <c r="D237" i="13"/>
  <c r="B237" i="13"/>
  <c r="H235" i="14" l="1"/>
  <c r="E235" i="14"/>
  <c r="F235" i="14"/>
  <c r="G235" i="14"/>
  <c r="G238" i="13"/>
  <c r="E238" i="13"/>
  <c r="F238" i="13"/>
  <c r="H238" i="13"/>
  <c r="B235" i="14"/>
  <c r="C235" i="14"/>
  <c r="D235" i="14"/>
  <c r="C238" i="13"/>
  <c r="D238" i="13"/>
  <c r="B238" i="13"/>
  <c r="H236" i="14" l="1"/>
  <c r="E236" i="14"/>
  <c r="F236" i="14"/>
  <c r="G236" i="14"/>
  <c r="G239" i="13"/>
  <c r="E239" i="13"/>
  <c r="H239" i="13"/>
  <c r="F239" i="13"/>
  <c r="C236" i="14"/>
  <c r="D236" i="14"/>
  <c r="B236" i="14"/>
  <c r="C239" i="13"/>
  <c r="D239" i="13"/>
  <c r="B239" i="13"/>
  <c r="E237" i="14" l="1"/>
  <c r="H237" i="14"/>
  <c r="F237" i="14"/>
  <c r="G237" i="14"/>
  <c r="G240" i="13"/>
  <c r="E240" i="13"/>
  <c r="F240" i="13"/>
  <c r="H240" i="13"/>
  <c r="D237" i="14"/>
  <c r="B237" i="14"/>
  <c r="C237" i="14"/>
  <c r="C240" i="13"/>
  <c r="D240" i="13"/>
  <c r="B240" i="13"/>
  <c r="E238" i="14" l="1"/>
  <c r="G238" i="14"/>
  <c r="H238" i="14"/>
  <c r="F238" i="14"/>
  <c r="E241" i="13"/>
  <c r="G241" i="13"/>
  <c r="F241" i="13"/>
  <c r="H241" i="13"/>
  <c r="C238" i="14"/>
  <c r="D238" i="14"/>
  <c r="B238" i="14"/>
  <c r="C241" i="13"/>
  <c r="D241" i="13"/>
  <c r="B241" i="13"/>
  <c r="E239" i="14" l="1"/>
  <c r="F239" i="14"/>
  <c r="G239" i="14"/>
  <c r="H239" i="14"/>
  <c r="E242" i="13"/>
  <c r="H242" i="13"/>
  <c r="G242" i="13"/>
  <c r="F242" i="13"/>
  <c r="B239" i="14"/>
  <c r="D239" i="14"/>
  <c r="C239" i="14"/>
  <c r="C242" i="13"/>
  <c r="D242" i="13"/>
  <c r="B242" i="13"/>
  <c r="F240" i="14" l="1"/>
  <c r="G240" i="14"/>
  <c r="H240" i="14"/>
  <c r="E240" i="14"/>
  <c r="H243" i="13"/>
  <c r="E243" i="13"/>
  <c r="F243" i="13"/>
  <c r="G243" i="13"/>
  <c r="C240" i="14"/>
  <c r="B240" i="14"/>
  <c r="D240" i="14"/>
  <c r="C243" i="13"/>
  <c r="D243" i="13"/>
  <c r="B243" i="13"/>
  <c r="F241" i="14" l="1"/>
  <c r="H241" i="14"/>
  <c r="E241" i="14"/>
  <c r="G241" i="14"/>
  <c r="H244" i="13"/>
  <c r="E244" i="13"/>
  <c r="G244" i="13"/>
  <c r="F244" i="13"/>
  <c r="B241" i="14"/>
  <c r="D241" i="14"/>
  <c r="C241" i="14"/>
  <c r="C244" i="13"/>
  <c r="D244" i="13"/>
  <c r="B244" i="13"/>
  <c r="F242" i="14" l="1"/>
  <c r="G242" i="14"/>
  <c r="H242" i="14"/>
  <c r="E242" i="14"/>
  <c r="H245" i="13"/>
  <c r="E245" i="13"/>
  <c r="G245" i="13"/>
  <c r="F245" i="13"/>
  <c r="C242" i="14"/>
  <c r="D242" i="14"/>
  <c r="B242" i="14"/>
  <c r="C245" i="13"/>
  <c r="D245" i="13"/>
  <c r="B245" i="13"/>
  <c r="F243" i="14" l="1"/>
  <c r="H243" i="14"/>
  <c r="E243" i="14"/>
  <c r="G243" i="14"/>
  <c r="H246" i="13"/>
  <c r="E246" i="13"/>
  <c r="G246" i="13"/>
  <c r="F246" i="13"/>
  <c r="D243" i="14"/>
  <c r="B243" i="14"/>
  <c r="C243" i="14"/>
  <c r="C246" i="13"/>
  <c r="D246" i="13"/>
  <c r="B246" i="13"/>
  <c r="F244" i="14" l="1"/>
  <c r="E244" i="14"/>
  <c r="G244" i="14"/>
  <c r="H244" i="14"/>
  <c r="H247" i="13"/>
  <c r="E247" i="13"/>
  <c r="F247" i="13"/>
  <c r="G247" i="13"/>
  <c r="C244" i="14"/>
  <c r="B244" i="14"/>
  <c r="D244" i="14"/>
  <c r="C247" i="13"/>
  <c r="D247" i="13"/>
  <c r="B247" i="13"/>
  <c r="F245" i="14" l="1"/>
  <c r="H245" i="14"/>
  <c r="G245" i="14"/>
  <c r="E245" i="14"/>
  <c r="H248" i="13"/>
  <c r="E248" i="13"/>
  <c r="G248" i="13"/>
  <c r="F248" i="13"/>
  <c r="B245" i="14"/>
  <c r="D245" i="14"/>
  <c r="C245" i="14"/>
  <c r="C248" i="13"/>
  <c r="D248" i="13"/>
  <c r="B248" i="13"/>
  <c r="F246" i="14" l="1"/>
  <c r="E246" i="14"/>
  <c r="G246" i="14"/>
  <c r="H246" i="14"/>
  <c r="H249" i="13"/>
  <c r="G249" i="13"/>
  <c r="E249" i="13"/>
  <c r="F249" i="13"/>
  <c r="C246" i="14"/>
  <c r="D246" i="14"/>
  <c r="B246" i="14"/>
  <c r="C249" i="13"/>
  <c r="D249" i="13"/>
  <c r="B249" i="13"/>
  <c r="F247" i="14" l="1"/>
  <c r="H247" i="14"/>
  <c r="G247" i="14"/>
  <c r="E247" i="14"/>
  <c r="H250" i="13"/>
  <c r="E250" i="13"/>
  <c r="F250" i="13"/>
  <c r="G250" i="13"/>
  <c r="D247" i="14"/>
  <c r="B247" i="14"/>
  <c r="C247" i="14"/>
  <c r="C250" i="13"/>
  <c r="D250" i="13"/>
  <c r="B250" i="13"/>
  <c r="F248" i="14" l="1"/>
  <c r="E248" i="14"/>
  <c r="G248" i="14"/>
  <c r="H248" i="14"/>
  <c r="H251" i="13"/>
  <c r="E251" i="13"/>
  <c r="G251" i="13"/>
  <c r="F251" i="13"/>
  <c r="C248" i="14"/>
  <c r="B248" i="14"/>
  <c r="D248" i="14"/>
  <c r="C251" i="13"/>
  <c r="D251" i="13"/>
  <c r="B251" i="13"/>
  <c r="F249" i="14" l="1"/>
  <c r="H249" i="14"/>
  <c r="G249" i="14"/>
  <c r="E249" i="14"/>
  <c r="H252" i="13"/>
  <c r="G252" i="13"/>
  <c r="E252" i="13"/>
  <c r="F252" i="13"/>
  <c r="B249" i="14"/>
  <c r="D249" i="14"/>
  <c r="C249" i="14"/>
  <c r="C252" i="13"/>
  <c r="D252" i="13"/>
  <c r="B252" i="13"/>
  <c r="F250" i="14" l="1"/>
  <c r="E250" i="14"/>
  <c r="G250" i="14"/>
  <c r="H250" i="14"/>
  <c r="H253" i="13"/>
  <c r="E253" i="13"/>
  <c r="F253" i="13"/>
  <c r="G253" i="13"/>
  <c r="C250" i="14"/>
  <c r="D250" i="14"/>
  <c r="B250" i="14"/>
  <c r="C253" i="13"/>
  <c r="D253" i="13"/>
  <c r="B253" i="13"/>
  <c r="F251" i="14" l="1"/>
  <c r="H251" i="14"/>
  <c r="E251" i="14"/>
  <c r="G251" i="14"/>
  <c r="H254" i="13"/>
  <c r="E254" i="13"/>
  <c r="G254" i="13"/>
  <c r="F254" i="13"/>
  <c r="D251" i="14"/>
  <c r="B251" i="14"/>
  <c r="C251" i="14"/>
  <c r="C254" i="13"/>
  <c r="D254" i="13"/>
  <c r="B254" i="13"/>
  <c r="F252" i="14" l="1"/>
  <c r="G252" i="14"/>
  <c r="H252" i="14"/>
  <c r="E252" i="14"/>
  <c r="D256" i="13"/>
  <c r="B256" i="13"/>
  <c r="C256" i="13"/>
  <c r="B252" i="14"/>
  <c r="C252" i="14"/>
  <c r="D252" i="14"/>
  <c r="F253" i="14" l="1"/>
  <c r="H253" i="14"/>
  <c r="E253" i="14"/>
  <c r="G253" i="14"/>
  <c r="C257" i="13"/>
  <c r="D257" i="13"/>
  <c r="B257" i="13"/>
  <c r="B253" i="14"/>
  <c r="C253" i="14"/>
  <c r="D253" i="14"/>
  <c r="F254" i="14" l="1"/>
  <c r="E254" i="14"/>
  <c r="G254" i="14"/>
  <c r="H254" i="14"/>
  <c r="B258" i="13"/>
  <c r="D258" i="13"/>
  <c r="C258" i="13"/>
  <c r="C254" i="14"/>
  <c r="D254" i="14"/>
  <c r="B254" i="14"/>
  <c r="C259" i="13" l="1"/>
  <c r="D259" i="13"/>
  <c r="B259" i="13"/>
  <c r="D260" i="13" l="1"/>
  <c r="B260" i="13"/>
  <c r="C260" i="13"/>
  <c r="C261" i="13" l="1"/>
  <c r="B261" i="13"/>
  <c r="D261" i="13"/>
  <c r="D262" i="13" l="1"/>
  <c r="C262" i="13"/>
  <c r="B262" i="13"/>
  <c r="C263" i="13" l="1"/>
  <c r="D263" i="13"/>
  <c r="B263" i="13"/>
  <c r="B264" i="13" l="1"/>
  <c r="C264" i="13"/>
  <c r="D264" i="13"/>
  <c r="D265" i="13" l="1"/>
  <c r="B265" i="13"/>
  <c r="C265" i="13"/>
  <c r="C266" i="13" l="1"/>
  <c r="D266" i="13"/>
  <c r="B266" i="13"/>
  <c r="D267" i="13" l="1"/>
  <c r="C267" i="13"/>
  <c r="B267" i="13"/>
  <c r="C268" i="13" l="1"/>
  <c r="B268" i="13"/>
  <c r="D268" i="13"/>
  <c r="D269" i="13" l="1"/>
  <c r="B269" i="13"/>
  <c r="C269" i="13"/>
  <c r="B270" i="13" l="1"/>
  <c r="C270" i="13"/>
  <c r="D270" i="13"/>
  <c r="B271" i="13" l="1"/>
  <c r="C271" i="13"/>
  <c r="D271" i="13"/>
  <c r="C272" i="13" l="1"/>
  <c r="B272" i="13"/>
  <c r="D272" i="13"/>
  <c r="C273" i="13" l="1"/>
  <c r="D273" i="13"/>
  <c r="B273" i="13"/>
  <c r="B274" i="13" l="1"/>
  <c r="C274" i="13"/>
  <c r="D274" i="13"/>
  <c r="B275" i="13" l="1"/>
  <c r="C275" i="13"/>
  <c r="D275" i="13"/>
  <c r="D276" i="13" l="1"/>
  <c r="B276" i="13"/>
  <c r="C276" i="13"/>
  <c r="D277" i="13" l="1"/>
  <c r="B277" i="13"/>
  <c r="C277" i="13"/>
  <c r="C278" i="13" l="1"/>
  <c r="D278" i="13"/>
  <c r="B278" i="13"/>
  <c r="C279" i="13" l="1"/>
  <c r="B279" i="13"/>
  <c r="D279" i="13"/>
  <c r="D280" i="13" l="1"/>
  <c r="B280" i="13"/>
  <c r="C280" i="13"/>
  <c r="D281" i="13" l="1"/>
  <c r="C281" i="13"/>
  <c r="B281" i="13"/>
  <c r="B282" i="13" l="1"/>
  <c r="C282" i="13"/>
  <c r="D282" i="13"/>
  <c r="C283" i="13" l="1"/>
  <c r="D283" i="13"/>
  <c r="B283" i="13"/>
  <c r="D284" i="13" l="1"/>
  <c r="C284" i="13"/>
  <c r="B284" i="13"/>
  <c r="C285" i="13" l="1"/>
  <c r="D285" i="13"/>
  <c r="B285" i="13"/>
  <c r="E286" i="13" l="1"/>
  <c r="F286" i="13"/>
  <c r="G286" i="13"/>
  <c r="H286" i="13"/>
  <c r="B286" i="13"/>
  <c r="C286" i="13"/>
  <c r="D286" i="13"/>
  <c r="E287" i="13" l="1"/>
  <c r="F287" i="13"/>
  <c r="G287" i="13"/>
  <c r="H287" i="13"/>
  <c r="C287" i="13"/>
  <c r="D287" i="13"/>
  <c r="B287" i="13"/>
  <c r="E288" i="13" l="1"/>
  <c r="F288" i="13"/>
  <c r="G288" i="13"/>
  <c r="H288" i="13"/>
  <c r="D288" i="13"/>
  <c r="B288" i="13"/>
  <c r="C288" i="13"/>
  <c r="E289" i="13" l="1"/>
  <c r="F289" i="13"/>
  <c r="G289" i="13"/>
  <c r="H289" i="13"/>
  <c r="D289" i="13"/>
  <c r="B289" i="13"/>
  <c r="C289" i="13"/>
  <c r="E290" i="13" l="1"/>
  <c r="F290" i="13"/>
  <c r="G290" i="13"/>
  <c r="H290" i="13"/>
  <c r="D290" i="13"/>
  <c r="B290" i="13"/>
  <c r="C290" i="13"/>
  <c r="E291" i="13" l="1"/>
  <c r="F291" i="13"/>
  <c r="G291" i="13"/>
  <c r="H291" i="13"/>
  <c r="C291" i="13"/>
  <c r="D291" i="13"/>
  <c r="B291" i="13"/>
  <c r="G292" i="13" l="1"/>
  <c r="H292" i="13"/>
  <c r="E292" i="13"/>
  <c r="F292" i="13"/>
  <c r="B292" i="13"/>
  <c r="C292" i="13"/>
  <c r="D292" i="13"/>
  <c r="G293" i="13" l="1"/>
  <c r="H293" i="13"/>
  <c r="E293" i="13"/>
  <c r="F293" i="13"/>
  <c r="B293" i="13"/>
  <c r="C293" i="13"/>
  <c r="D293" i="13"/>
  <c r="G294" i="13" l="1"/>
  <c r="H294" i="13"/>
  <c r="E294" i="13"/>
  <c r="F294" i="13"/>
  <c r="C294" i="13"/>
  <c r="D294" i="13"/>
  <c r="B294" i="13"/>
  <c r="H296" i="13" l="1"/>
  <c r="C296" i="13"/>
  <c r="D296" i="13"/>
  <c r="F296" i="13"/>
  <c r="G296" i="13"/>
  <c r="B296" i="13"/>
  <c r="E296" i="13"/>
  <c r="G295" i="13"/>
  <c r="H295" i="13"/>
  <c r="E295" i="13"/>
  <c r="F295" i="13"/>
  <c r="B295" i="13"/>
  <c r="C295" i="13"/>
  <c r="D295" i="13"/>
  <c r="E255" i="13" l="1"/>
  <c r="C255" i="13"/>
  <c r="G255" i="13"/>
  <c r="F255" i="13"/>
  <c r="H255" i="13"/>
  <c r="B255" i="13"/>
  <c r="D255" i="13"/>
  <c r="E256" i="13" l="1"/>
  <c r="G256" i="13"/>
  <c r="H256" i="13"/>
  <c r="F256" i="13"/>
  <c r="H257" i="13" l="1"/>
  <c r="E257" i="13"/>
  <c r="G257" i="13"/>
  <c r="F257" i="13"/>
  <c r="G258" i="13" l="1"/>
  <c r="F258" i="13"/>
  <c r="E258" i="13"/>
  <c r="H258" i="13"/>
  <c r="H259" i="13" l="1"/>
  <c r="E259" i="13"/>
  <c r="G259" i="13"/>
  <c r="F259" i="13"/>
  <c r="H261" i="13" l="1"/>
  <c r="F261" i="13"/>
  <c r="E261" i="13"/>
  <c r="G261" i="13"/>
  <c r="H260" i="13"/>
  <c r="F260" i="13"/>
  <c r="E260" i="13"/>
  <c r="G260" i="13"/>
  <c r="F262" i="13" l="1"/>
  <c r="G262" i="13"/>
  <c r="H262" i="13"/>
  <c r="E262" i="13"/>
  <c r="E264" i="13" l="1"/>
  <c r="G264" i="13"/>
  <c r="H264" i="13"/>
  <c r="F264" i="13"/>
  <c r="E263" i="13"/>
  <c r="F263" i="13"/>
  <c r="G263" i="13"/>
  <c r="H263" i="13"/>
  <c r="F265" i="13" l="1"/>
  <c r="E265" i="13"/>
  <c r="G265" i="13"/>
  <c r="H265" i="13"/>
  <c r="G266" i="13" l="1"/>
  <c r="E266" i="13"/>
  <c r="F266" i="13"/>
  <c r="H266" i="13"/>
  <c r="H267" i="13" l="1"/>
  <c r="F267" i="13"/>
  <c r="E267" i="13"/>
  <c r="G267" i="13"/>
  <c r="H268" i="13" l="1"/>
  <c r="E268" i="13"/>
  <c r="F268" i="13"/>
  <c r="G268" i="13"/>
  <c r="F269" i="13" l="1"/>
  <c r="E269" i="13"/>
  <c r="G269" i="13"/>
  <c r="H269" i="13"/>
  <c r="E270" i="13" l="1"/>
  <c r="F270" i="13"/>
  <c r="G270" i="13"/>
  <c r="H270" i="13"/>
  <c r="F271" i="13" l="1"/>
  <c r="G271" i="13"/>
  <c r="H271" i="13"/>
  <c r="E271" i="13"/>
  <c r="H272" i="13" l="1"/>
  <c r="E272" i="13"/>
  <c r="F272" i="13"/>
  <c r="G272" i="13"/>
  <c r="F273" i="13" l="1"/>
  <c r="E273" i="13"/>
  <c r="G273" i="13"/>
  <c r="H273" i="13"/>
  <c r="F274" i="13" l="1"/>
  <c r="G274" i="13"/>
  <c r="E274" i="13"/>
  <c r="H274" i="13"/>
  <c r="F275" i="13" l="1"/>
  <c r="G275" i="13"/>
  <c r="H275" i="13"/>
  <c r="E275" i="13"/>
  <c r="H276" i="13" l="1"/>
  <c r="E276" i="13"/>
  <c r="F276" i="13"/>
  <c r="G276" i="13"/>
  <c r="F277" i="13" l="1"/>
  <c r="E277" i="13"/>
  <c r="G277" i="13"/>
  <c r="H277" i="13"/>
  <c r="G278" i="13" l="1"/>
  <c r="E278" i="13"/>
  <c r="F278" i="13"/>
  <c r="H278" i="13"/>
  <c r="G279" i="13" l="1"/>
  <c r="F279" i="13"/>
  <c r="H279" i="13"/>
  <c r="E279" i="13"/>
  <c r="E280" i="13" l="1"/>
  <c r="F280" i="13"/>
  <c r="H280" i="13"/>
  <c r="G280" i="13"/>
  <c r="H281" i="13" l="1"/>
  <c r="F281" i="13"/>
  <c r="G281" i="13"/>
  <c r="E281" i="13"/>
  <c r="G282" i="13" l="1"/>
  <c r="H282" i="13"/>
  <c r="E282" i="13"/>
  <c r="F282" i="13"/>
  <c r="H283" i="13" l="1"/>
  <c r="G283" i="13"/>
  <c r="E283" i="13"/>
  <c r="F283" i="13"/>
  <c r="H284" i="13" l="1"/>
  <c r="E284" i="13"/>
  <c r="F284" i="13"/>
  <c r="G284" i="13"/>
  <c r="G285" i="13" l="1"/>
  <c r="F285" i="13"/>
  <c r="H285" i="13"/>
  <c r="E285" i="1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<sst xmlns="http://schemas.openxmlformats.org/spreadsheetml/2006/main" count="5592" uniqueCount="2937">
  <si>
    <t>Geographical name</t>
  </si>
  <si>
    <t>Notes:</t>
  </si>
  <si>
    <t>Period 1</t>
  </si>
  <si>
    <t>Period 2</t>
  </si>
  <si>
    <t>Period 3</t>
  </si>
  <si>
    <t>Period 4</t>
  </si>
  <si>
    <t>Site</t>
  </si>
  <si>
    <t>Demand</t>
  </si>
  <si>
    <t>Generation</t>
  </si>
  <si>
    <t>Time periods</t>
  </si>
  <si>
    <t>Notes</t>
  </si>
  <si>
    <t>All the above times are in UK Clock time</t>
  </si>
  <si>
    <t>Saturday and Sunday
All Year</t>
  </si>
  <si>
    <t>List of data tables in this workbook</t>
  </si>
  <si>
    <t>Worksheet</t>
  </si>
  <si>
    <t>Information</t>
  </si>
  <si>
    <t>Back to Overview</t>
  </si>
  <si>
    <t xml:space="preserve">Annex 3 contains details of any preserved and additional charges that are valid at this time. </t>
  </si>
  <si>
    <t>Status</t>
  </si>
  <si>
    <t>Effective From</t>
  </si>
  <si>
    <t>PCs</t>
  </si>
  <si>
    <t>Fixed charge p/MPAN/day</t>
  </si>
  <si>
    <t>Capacity charge p/kVA/day</t>
  </si>
  <si>
    <t>Notes to users of this spreadsheet</t>
  </si>
  <si>
    <t>Notes to DNOs populating this spreadsheet</t>
  </si>
  <si>
    <t>Annex 5 LLFs</t>
  </si>
  <si>
    <t>Name</t>
  </si>
  <si>
    <t>Nodal prices</t>
  </si>
  <si>
    <t>Reactive power charge
p/kVArh</t>
  </si>
  <si>
    <t>Local charge 1
£/kVA</t>
  </si>
  <si>
    <t>Remote charge 1
£/kVA</t>
  </si>
  <si>
    <t>Import MPANs/MSIDs</t>
  </si>
  <si>
    <t>Export MPANs/MSIDs</t>
  </si>
  <si>
    <t>Annex 3 Preserved charges</t>
  </si>
  <si>
    <t>Annex 4 LDNO charges</t>
  </si>
  <si>
    <t xml:space="preserve">DNOs must endeavour to maintain consistency in the structure of this spreadsheet.
Any changes to the structure must be noted in the 'Notes to users of this spreadsheet'
</t>
  </si>
  <si>
    <t>Generic demand and generation LLFs</t>
  </si>
  <si>
    <t>Metered voltage</t>
  </si>
  <si>
    <t>Low-voltage network</t>
  </si>
  <si>
    <t>Low-voltage substation</t>
  </si>
  <si>
    <t>High-voltage network</t>
  </si>
  <si>
    <t>High-voltage substation</t>
  </si>
  <si>
    <t>33kV generic</t>
  </si>
  <si>
    <t>132kV generic</t>
  </si>
  <si>
    <t>EHV site specific LLFs</t>
  </si>
  <si>
    <t>Node/Zone ID</t>
  </si>
  <si>
    <t>Import
Unique Identifier</t>
  </si>
  <si>
    <t>Export
Unique Identifier</t>
  </si>
  <si>
    <t>Export Unique Identifier</t>
  </si>
  <si>
    <t>Import
fixed charge
(p/day)</t>
  </si>
  <si>
    <t>Export
fixed charge
(p/day)</t>
  </si>
  <si>
    <t>Red Time Band</t>
  </si>
  <si>
    <t>Amber Time Band</t>
  </si>
  <si>
    <t>Green Time Band</t>
  </si>
  <si>
    <t>Monday to Friday 
(Including Bank Holidays)
All Year</t>
  </si>
  <si>
    <t>Monday to Friday 
(Including Bank Holidays)
November to February Inclusive</t>
  </si>
  <si>
    <t>Super Red Time Band</t>
  </si>
  <si>
    <t>Black Time Band</t>
  </si>
  <si>
    <t>Yellow Time Band</t>
  </si>
  <si>
    <t>Time Periods for Designated EHV Properties</t>
  </si>
  <si>
    <t xml:space="preserve">Please use this spreadsheet with reference to the LC14 use of system charging statement. </t>
  </si>
  <si>
    <t>Maximum import or export capacity
kVA</t>
  </si>
  <si>
    <t>Excess reactive units 
kVArh</t>
  </si>
  <si>
    <t>Tariff components</t>
  </si>
  <si>
    <t>Number of days in consumption period
i.e. 365 if one year</t>
  </si>
  <si>
    <t>Enter current consumption details</t>
  </si>
  <si>
    <t>Charge components</t>
  </si>
  <si>
    <t>Enter forecast consumption details 
(if different)</t>
  </si>
  <si>
    <t>Current consumption period charges</t>
  </si>
  <si>
    <t>Forecast consumption period charges</t>
  </si>
  <si>
    <t>Reactive power charge
£</t>
  </si>
  <si>
    <t>Capacity charge
£</t>
  </si>
  <si>
    <t>Fixed charge
£</t>
  </si>
  <si>
    <t>Total charge
£</t>
  </si>
  <si>
    <t>Charge calculator is a tool to help you estimate your distribution charges using current consumption data and forecast consumption data.</t>
  </si>
  <si>
    <t>Charge calculator</t>
  </si>
  <si>
    <t>Unit 1
£</t>
  </si>
  <si>
    <t>Unit 2
£</t>
  </si>
  <si>
    <t>Unit 3
£</t>
  </si>
  <si>
    <t>Maximum import capacity
kVA</t>
  </si>
  <si>
    <t>Maximum export capacity
kVA</t>
  </si>
  <si>
    <t>Export
Super Red
kWh</t>
  </si>
  <si>
    <t>Import
fixed charge
£</t>
  </si>
  <si>
    <t>Import
super red
kWh</t>
  </si>
  <si>
    <t>Import 
super red charge
£</t>
  </si>
  <si>
    <t>Export super red charge
£</t>
  </si>
  <si>
    <t>Export fixed charge
£</t>
  </si>
  <si>
    <t>Import
capacity charge
£</t>
  </si>
  <si>
    <t>Export capacity charge
£</t>
  </si>
  <si>
    <t>Import total charge
£</t>
  </si>
  <si>
    <t>Export total charge
£</t>
  </si>
  <si>
    <t>These charges are estimates based on tariff selected and consumption values entered.</t>
  </si>
  <si>
    <t>These charges are estimates based on site selected and consumption values entered.</t>
  </si>
  <si>
    <t>Step 1, Choose your tariff using the drop down list in cell B10</t>
  </si>
  <si>
    <t>Step 3, Enter a forecast of consumption if required in cells C14:I14</t>
  </si>
  <si>
    <t>Step 3, Enter a forecast of consumption if required in cells M14:T14</t>
  </si>
  <si>
    <r>
      <rPr>
        <sz val="12"/>
        <rFont val="Arial"/>
        <family val="2"/>
      </rPr>
      <t>Tariff details</t>
    </r>
    <r>
      <rPr>
        <sz val="10"/>
        <rFont val="Arial"/>
        <family val="2"/>
      </rPr>
      <t xml:space="preserve">
Choose tariff name from drop down box below</t>
    </r>
  </si>
  <si>
    <r>
      <rPr>
        <sz val="12"/>
        <rFont val="Arial"/>
        <family val="2"/>
      </rPr>
      <t>Site details</t>
    </r>
    <r>
      <rPr>
        <sz val="10"/>
        <rFont val="Arial"/>
        <family val="2"/>
      </rPr>
      <t xml:space="preserve">
Choose the site name from the drop down box below</t>
    </r>
  </si>
  <si>
    <t>Import
LLF
period 2</t>
  </si>
  <si>
    <t>Import
LLF
period 1</t>
  </si>
  <si>
    <t>Import
LLF
period 3</t>
  </si>
  <si>
    <t>Import
LLF
period 4</t>
  </si>
  <si>
    <t>Export
LLF
period 1</t>
  </si>
  <si>
    <t>Export
LLF
period 2</t>
  </si>
  <si>
    <t>Export
LLF
period 3</t>
  </si>
  <si>
    <t>Export
LLF
period 4</t>
  </si>
  <si>
    <t>Import
capacity charge
(p/kVA/day)</t>
  </si>
  <si>
    <t>Export
capacity charge
(p/kVA/day)</t>
  </si>
  <si>
    <t>Import
Super Red
unit charge
(p/kWh)</t>
  </si>
  <si>
    <t>Export
Super Red
unit charge
(p/kWh)</t>
  </si>
  <si>
    <t>The drop down list on the charge calculator can be expanded by unprotecting the charge calculator sheet and selecting 'data', 'data validation...' and then expanding the 'source' data range. The sheet can then be protected.</t>
  </si>
  <si>
    <t>Final</t>
  </si>
  <si>
    <t>Company and Licence name, charging year, effective from, status</t>
  </si>
  <si>
    <t>Company and Licence name</t>
  </si>
  <si>
    <t>Year</t>
  </si>
  <si>
    <t>Tariff name</t>
  </si>
  <si>
    <t>Exceeded capacity charge
p/kVA/day</t>
  </si>
  <si>
    <t>Import
exceeded capacity charge
(p/kVA/day)</t>
  </si>
  <si>
    <t>Export
exceeded capacity charge
(p/kVA/day)</t>
  </si>
  <si>
    <t>Average daily exceeded capacity
kVA</t>
  </si>
  <si>
    <t>Exceeded capacity charge
£</t>
  </si>
  <si>
    <t>Import exceeded capacity charge
£</t>
  </si>
  <si>
    <t>Export exceeded capacity charge
£</t>
  </si>
  <si>
    <t>Annex 6 - Charges for New or Amended Designated EHV Properties</t>
  </si>
  <si>
    <t>Annex 5 has been intentionally left blank as this charging statement is published a complete year before the LLFs have been audited.
The line loss factors that are approved by the BSC Panel for the applicable year and consequently published on the Elexon website will take precedence and be used in Settlement. This annex will be re-published with these values once they are available.</t>
  </si>
  <si>
    <t>Annex 6  Charges for New or Amended Designated EHV Properties</t>
  </si>
  <si>
    <t>Effective from date</t>
  </si>
  <si>
    <t>Domestic Aggregated</t>
  </si>
  <si>
    <t>Non-Domestic Aggregated (related MPAN)</t>
  </si>
  <si>
    <t>Unmetered Supplies</t>
  </si>
  <si>
    <t>LV Generation Aggregated</t>
  </si>
  <si>
    <t>LV Sub Generation Aggregated</t>
  </si>
  <si>
    <t>LV Generation Site Specific</t>
  </si>
  <si>
    <t>LV Generation Site Specific no RP charge</t>
  </si>
  <si>
    <t>LV Sub Generation Site Specific</t>
  </si>
  <si>
    <t>LV Sub Generation Site Specific no RP charge</t>
  </si>
  <si>
    <t>HV Generation Site Specific</t>
  </si>
  <si>
    <t>HV Generation Site Specific no RP charge</t>
  </si>
  <si>
    <t>Time Bands for LV and HV Designated Properties</t>
  </si>
  <si>
    <t>Time Bands for Unmetered Properties</t>
  </si>
  <si>
    <t>Red/black unit charge
p/kWh</t>
  </si>
  <si>
    <t>Green unit charge
p/kWh</t>
  </si>
  <si>
    <t>Amber/yellow unit charge
p/kWh</t>
  </si>
  <si>
    <t>Annex 1 contains the charges to LV and HV Designated Properties and Unmetered Supplies.</t>
  </si>
  <si>
    <t>LV and HV designated properties and Unmetered Supplies tariff calculator</t>
  </si>
  <si>
    <t>EHV designated property calculator</t>
  </si>
  <si>
    <t>Red unit charge
p/kWh</t>
  </si>
  <si>
    <t>Black unit charge
p/kWh</t>
  </si>
  <si>
    <t>Amber unit charge
p/kWh</t>
  </si>
  <si>
    <t>Yellow unit charge
p/kWh</t>
  </si>
  <si>
    <t>Fixed charge 
p/MPAN/day</t>
  </si>
  <si>
    <t>Capacity charge 
p/kVA/day</t>
  </si>
  <si>
    <t>Exceeded Capacity charge 
p/kVA/day</t>
  </si>
  <si>
    <t>n/a</t>
  </si>
  <si>
    <t>Annex 1 LV, HV and Unmetered Supplies charges</t>
  </si>
  <si>
    <t>Standard Settlement Configuration Id</t>
  </si>
  <si>
    <t>Standard Settlement Configuration Desc</t>
  </si>
  <si>
    <t>10-hour OP</t>
  </si>
  <si>
    <t>10-hour OP + w/e</t>
  </si>
  <si>
    <t>10.5-hour OP</t>
  </si>
  <si>
    <t>11 Hour OP</t>
  </si>
  <si>
    <t>11.5-hour OP</t>
  </si>
  <si>
    <t>11-hour OP</t>
  </si>
  <si>
    <t>8.5-hour OP</t>
  </si>
  <si>
    <t>9-hour OP</t>
  </si>
  <si>
    <t>11-hour OP + Summer</t>
  </si>
  <si>
    <t>11-hour OP + w/e</t>
  </si>
  <si>
    <t>11-hour OP + w/e &amp; Summer</t>
  </si>
  <si>
    <t>11-hour OP + weekends</t>
  </si>
  <si>
    <t>12-hour  OP + w/e &amp; Summer</t>
  </si>
  <si>
    <t>12-hour night</t>
  </si>
  <si>
    <t>12-hour OP</t>
  </si>
  <si>
    <t>Key Meter pseudo 2-rate</t>
  </si>
  <si>
    <t>8-hour OP (see also SSC 427)</t>
  </si>
  <si>
    <t>12-hour OP + Summer</t>
  </si>
  <si>
    <t>12.5-hour OP</t>
  </si>
  <si>
    <t>12.5-hour OP + Summer</t>
  </si>
  <si>
    <t>12.5-hour OP + w/e</t>
  </si>
  <si>
    <t>12.5-hour OP + w/e &amp; Summer</t>
  </si>
  <si>
    <t>14-hour E7</t>
  </si>
  <si>
    <t>14-hour Off Peak</t>
  </si>
  <si>
    <t>14-hour OP + Sun</t>
  </si>
  <si>
    <t>14.5-hour OP</t>
  </si>
  <si>
    <t>14.5-hour OP + Summer</t>
  </si>
  <si>
    <t>split 7-hour E7</t>
  </si>
  <si>
    <t>14.5-hour OP + w/e</t>
  </si>
  <si>
    <t>14.5-hour OP + w/e &amp; Summer</t>
  </si>
  <si>
    <t>15-hour OP</t>
  </si>
  <si>
    <t>15-hour OP + w/e &amp; Summer</t>
  </si>
  <si>
    <t>15.5-hour OP</t>
  </si>
  <si>
    <t>15.5-hour OP + Summer</t>
  </si>
  <si>
    <t>15.5-hour OP + w/e</t>
  </si>
  <si>
    <t>15.5-hour OP + w/e &amp; Summer</t>
  </si>
  <si>
    <t>2-rate terms</t>
  </si>
  <si>
    <t>2-rate SToD</t>
  </si>
  <si>
    <t>2-rate variable SToD</t>
  </si>
  <si>
    <t>7-hour E7</t>
  </si>
  <si>
    <t>3-rate SToD</t>
  </si>
  <si>
    <t>Dom/Non-dom Seasonal (link SSC 0342)</t>
  </si>
  <si>
    <t>3-rate variable</t>
  </si>
  <si>
    <t>4-rate SToD</t>
  </si>
  <si>
    <t>5-rate SToD</t>
  </si>
  <si>
    <t>6-rate SToD</t>
  </si>
  <si>
    <t>7-hour OP (see also SSC 0185)</t>
  </si>
  <si>
    <t>Smart 7, heating</t>
  </si>
  <si>
    <t>7-hour E7 (Cornwall &amp; def reinforcement)</t>
  </si>
  <si>
    <t>Supertariff heating</t>
  </si>
  <si>
    <t>7-hour E7 (differential switching)</t>
  </si>
  <si>
    <t>7-hour night</t>
  </si>
  <si>
    <t>Economy 7 Day &amp; Night</t>
  </si>
  <si>
    <t>7-hour OP</t>
  </si>
  <si>
    <t>7-hour variable E7 (Menter B)</t>
  </si>
  <si>
    <t>7-hour variable E7 (Menter A)</t>
  </si>
  <si>
    <t>8-hour E7</t>
  </si>
  <si>
    <t>8-hour night</t>
  </si>
  <si>
    <t>10-hour night</t>
  </si>
  <si>
    <t>8-hour OP</t>
  </si>
  <si>
    <t>8-hour OP + Summer</t>
  </si>
  <si>
    <t>8-hour OP + w/e</t>
  </si>
  <si>
    <t>8-hour OP + w/e &amp; Summer</t>
  </si>
  <si>
    <t>8-hour OP + weekends</t>
  </si>
  <si>
    <t>9-hour night</t>
  </si>
  <si>
    <t>9-hour night (differential switching)</t>
  </si>
  <si>
    <t>9-hour OP + w/e</t>
  </si>
  <si>
    <t>Boiler</t>
  </si>
  <si>
    <t>Budget Warmth</t>
  </si>
  <si>
    <t>Flexiheat Day/Evening/Weekend</t>
  </si>
  <si>
    <t>Flexiheat (weather) Day/Evening/Weekend</t>
  </si>
  <si>
    <t>Superdeal Day/Night</t>
  </si>
  <si>
    <t>Domestic heating tariff</t>
  </si>
  <si>
    <t>Superdeal (weather) Day/Night</t>
  </si>
  <si>
    <t>E10 type 1 (general purpose)</t>
  </si>
  <si>
    <t>7-hour OP (see also SSC 186)</t>
  </si>
  <si>
    <t>Domestic E9 A</t>
  </si>
  <si>
    <t>13-hour OP</t>
  </si>
  <si>
    <t>Evening/night</t>
  </si>
  <si>
    <t>Evening/Weekend</t>
  </si>
  <si>
    <t>12-hour Evening/Weekend</t>
  </si>
  <si>
    <t>Domestic E9 B</t>
  </si>
  <si>
    <t>Evening/Weekend E7</t>
  </si>
  <si>
    <t>3-rate heating, (link SSC 0343)</t>
  </si>
  <si>
    <t>Grain Drying</t>
  </si>
  <si>
    <t>Grain drying</t>
  </si>
  <si>
    <t>Heating</t>
  </si>
  <si>
    <t>Local Authority Heating</t>
  </si>
  <si>
    <t>Dom &amp; Non-dom Seasonal (link SSC 0128)</t>
  </si>
  <si>
    <t>3-rate heating, water heating</t>
  </si>
  <si>
    <t>7-hour E7, Day + Night (link SSC 0345)</t>
  </si>
  <si>
    <t>7-hour E7, Day + Night (link SSC 0344)</t>
  </si>
  <si>
    <t>Non-Standard OP (8+3 hour)</t>
  </si>
  <si>
    <t>Non-Standard OP</t>
  </si>
  <si>
    <t>Warmwise heating</t>
  </si>
  <si>
    <t>Flexiheat heating</t>
  </si>
  <si>
    <t>Flexiheat (weather) heating</t>
  </si>
  <si>
    <t>Superdeal heating</t>
  </si>
  <si>
    <t>Smart 7, Day/Night</t>
  </si>
  <si>
    <t>split 10-hour Heatwise</t>
  </si>
  <si>
    <t>Summer &amp; Winter w/e</t>
  </si>
  <si>
    <t>Summer Unrestricted</t>
  </si>
  <si>
    <t>Unrestricted</t>
  </si>
  <si>
    <t>Warmwise Day/Night</t>
  </si>
  <si>
    <t>9-hour heating</t>
  </si>
  <si>
    <t>12-hour OP + w/e</t>
  </si>
  <si>
    <t>15-hour OP + w/e</t>
  </si>
  <si>
    <t>E10 type 1(heating circuit)</t>
  </si>
  <si>
    <t>Redring Boiler (general purpose)</t>
  </si>
  <si>
    <t>Redring Boiler (heating circuit)</t>
  </si>
  <si>
    <t>Cyclocontrol 3</t>
  </si>
  <si>
    <t>Cyclocontrol 4</t>
  </si>
  <si>
    <t>Cyclocontrol 5</t>
  </si>
  <si>
    <t>Cyclocontrol 6</t>
  </si>
  <si>
    <t>Cyclocontrol 7</t>
  </si>
  <si>
    <t>Cyclocontrol 8</t>
  </si>
  <si>
    <t>Cyclocontrol 9</t>
  </si>
  <si>
    <t>Cyclocontrol 10</t>
  </si>
  <si>
    <t>Cyclocontrol 11</t>
  </si>
  <si>
    <t>Cyclocontrol 12</t>
  </si>
  <si>
    <t>Cyclocontrol 13</t>
  </si>
  <si>
    <t>Cyclocontrol 14</t>
  </si>
  <si>
    <t>Cyclocontrol 15</t>
  </si>
  <si>
    <t>Cyclocontrol 16</t>
  </si>
  <si>
    <t>Cyclocontrol 17</t>
  </si>
  <si>
    <t>Cyclocontrol 18</t>
  </si>
  <si>
    <t>Cyclocontrol 19</t>
  </si>
  <si>
    <t>Cyclocontrol 20</t>
  </si>
  <si>
    <t>Cyclocontrol 21</t>
  </si>
  <si>
    <t>Superdeal (weather) heating</t>
  </si>
  <si>
    <t>Day/Night (White meter)</t>
  </si>
  <si>
    <t>Unmetered Type A ("flat" profile)</t>
  </si>
  <si>
    <t>Unmetered B ("dusk-to-dawn")</t>
  </si>
  <si>
    <t>Unmetered C ("half-night &amp; pre-dawn")</t>
  </si>
  <si>
    <t>Unmetered D ("dawn-to-dusk")</t>
  </si>
  <si>
    <t>12 Hour OP</t>
  </si>
  <si>
    <t>Domestic 3-rate heating</t>
  </si>
  <si>
    <t>3-Rate Seasonal</t>
  </si>
  <si>
    <t>Lifestyle Tariff</t>
  </si>
  <si>
    <t>Split 7-hour E7</t>
  </si>
  <si>
    <t>3-rate ToW</t>
  </si>
  <si>
    <t>7-hour variable E7</t>
  </si>
  <si>
    <t>12 Hours OP</t>
  </si>
  <si>
    <t>8 Hours OP</t>
  </si>
  <si>
    <t>10.5 Hours OP</t>
  </si>
  <si>
    <t>Weekender Tariff (V1)</t>
  </si>
  <si>
    <t>Weekender Tariff (V2)</t>
  </si>
  <si>
    <t>Maximum Demand Register</t>
  </si>
  <si>
    <t>Economy 7 - all purpose tariff G63</t>
  </si>
  <si>
    <t>split 7hr o/p</t>
  </si>
  <si>
    <t>Split 7hr E7</t>
  </si>
  <si>
    <t>14.5 hr o/p</t>
  </si>
  <si>
    <t>Micro-PV Export Import Profile Class 1</t>
  </si>
  <si>
    <t>Micro-PV Export Import Profile Class 2</t>
  </si>
  <si>
    <t>Micro-PV Export Import Profile Class 3</t>
  </si>
  <si>
    <t>Micro-PV Export Import Profile Class 4</t>
  </si>
  <si>
    <t>Micro-PV Export Import Profile Class 5</t>
  </si>
  <si>
    <t>Micro-PV Export Import Profile Class 6</t>
  </si>
  <si>
    <t>Micro-PV Export Import Profile Class 7</t>
  </si>
  <si>
    <t>Micro-PV Export Import Profile Class 8</t>
  </si>
  <si>
    <t>Micro-CHP Export Import Profile Class 1</t>
  </si>
  <si>
    <t>Micro-CHP Export Import Profile Class 2</t>
  </si>
  <si>
    <t>Micro-CHP Export Import Profile Class 3</t>
  </si>
  <si>
    <t>Micro-CHP Export Import Profile Class 4</t>
  </si>
  <si>
    <t>Micro-CHP Export Import Profile Class 5</t>
  </si>
  <si>
    <t>Micro-CHP Export Import Profile Class 6</t>
  </si>
  <si>
    <t>Micro-CHP Export Import Profile Class 7</t>
  </si>
  <si>
    <t>Micro-CHP Export Import Profile Class 8</t>
  </si>
  <si>
    <t>Other Sml Export SSC any import Profile</t>
  </si>
  <si>
    <t>8.5-hour OP + w/e</t>
  </si>
  <si>
    <t>16-hour OP + w/e</t>
  </si>
  <si>
    <t>20-hour OP + w/e</t>
  </si>
  <si>
    <t>20-hour OP + w/e + summer</t>
  </si>
  <si>
    <t>8.5 hour WM</t>
  </si>
  <si>
    <t>8.5 hour WM Heating</t>
  </si>
  <si>
    <t>Weathercall heating</t>
  </si>
  <si>
    <t>18-hour dynamic</t>
  </si>
  <si>
    <t>Crop&amp;Air Conditioning</t>
  </si>
  <si>
    <t>E7 accompanying Birmingam W'call</t>
  </si>
  <si>
    <t>Birmingham Weathercall</t>
  </si>
  <si>
    <t>E7 accompanying Manchester W'call</t>
  </si>
  <si>
    <t>Manchester Weathercall</t>
  </si>
  <si>
    <t>E7 accompanying Anglesey W'call</t>
  </si>
  <si>
    <t>Anglesey Weathercall</t>
  </si>
  <si>
    <t>Two rate with 8 hours night</t>
  </si>
  <si>
    <t>Dynamic</t>
  </si>
  <si>
    <t>11 Hours OP</t>
  </si>
  <si>
    <t>8 Hours OP + Weekends</t>
  </si>
  <si>
    <t>15 Hours OP + Weekends</t>
  </si>
  <si>
    <t>15 Hours Nov - April/24 Hours May - Oct</t>
  </si>
  <si>
    <t>2 rate</t>
  </si>
  <si>
    <t>Unmetered Type A ("flat " profile)</t>
  </si>
  <si>
    <t>Seasonal ToD</t>
  </si>
  <si>
    <t>Split 10 hr E10</t>
  </si>
  <si>
    <t>NHH Export Hydro Profile Class</t>
  </si>
  <si>
    <t>NHH Export Wind Profile Class</t>
  </si>
  <si>
    <t>Smart Meter 3 Rate Time of Day</t>
  </si>
  <si>
    <t>10 hour Evening/Weekend</t>
  </si>
  <si>
    <t>General Purpose 2 Rate (paired wth 0950)</t>
  </si>
  <si>
    <t>E10 Heating Single Rate (prd wth 0949)</t>
  </si>
  <si>
    <t>E9 Heating</t>
  </si>
  <si>
    <t>General Purpose 2 Rate (paired wth 0951)</t>
  </si>
  <si>
    <t>Two rate with 20 hours night</t>
  </si>
  <si>
    <t>Three Rate Peak Day Other</t>
  </si>
  <si>
    <t>4 rate weekday/2 rate weekend</t>
  </si>
  <si>
    <t>4 Rate Weekday/2 rate Weekend (BST)</t>
  </si>
  <si>
    <t>Unrestricted with  Weekday Peak</t>
  </si>
  <si>
    <t>Unrestricted with Peak</t>
  </si>
  <si>
    <t>Economy 7 with Weekday Peak</t>
  </si>
  <si>
    <t>Economy 7 with Peak</t>
  </si>
  <si>
    <t>Evening Weekend and Weekday Peak (smart)</t>
  </si>
  <si>
    <t>Evening Weekend with Peak</t>
  </si>
  <si>
    <t>Evening Weekend Night and Peak</t>
  </si>
  <si>
    <t>Evening Weekend with Night (BST)</t>
  </si>
  <si>
    <t>3 Rate with Weekday Peak</t>
  </si>
  <si>
    <t>Smart meter trial - time of use 3 rate</t>
  </si>
  <si>
    <t>2 Rate Saturday Off Peak</t>
  </si>
  <si>
    <t>Saturday Off Peak (9-5)</t>
  </si>
  <si>
    <t>Sunday Off Peak (9-5)</t>
  </si>
  <si>
    <t>General Purpose 2 Rate (paired with 0980</t>
  </si>
  <si>
    <t>E10 Heating Single Rate (prd with 0981)</t>
  </si>
  <si>
    <t>Evening Saver</t>
  </si>
  <si>
    <t>Comfort Booster</t>
  </si>
  <si>
    <t>Saturday Off Peak (24 Hrs)</t>
  </si>
  <si>
    <t>Sunday Off Peak (24 Hrs)</t>
  </si>
  <si>
    <t>Evening/Weekend - BST</t>
  </si>
  <si>
    <t>Common Decode</t>
  </si>
  <si>
    <t>Change implemented</t>
  </si>
  <si>
    <t>Date</t>
  </si>
  <si>
    <t>Comments</t>
  </si>
  <si>
    <t>U</t>
  </si>
  <si>
    <t>G</t>
  </si>
  <si>
    <t>Notes updated</t>
  </si>
  <si>
    <t>Updated to reflect DCP 268 which delinks all tariffs from the TPR bands</t>
  </si>
  <si>
    <t>A</t>
  </si>
  <si>
    <t>A/R</t>
  </si>
  <si>
    <t>Code O changed to A/R</t>
  </si>
  <si>
    <t>Code 1 &amp; 2 changed to A</t>
  </si>
  <si>
    <t>Removed TPR</t>
  </si>
  <si>
    <t>Removed TPR lookup element as this no longer effects which rate to apply</t>
  </si>
  <si>
    <t>Unique billing identifier</t>
  </si>
  <si>
    <t>Supplier of Last Resort 
Fixed charge adder*
p/MPAN/day</t>
  </si>
  <si>
    <t>Annex 7  Fixed adders for Supplier of Last Resort and Eligible Bad Debt pass-through costs</t>
  </si>
  <si>
    <t>Annex 7 contains the fixed adders to recover Supplier of Last Resort and Eligible Bad Debt pass-through costs.
The Excess Supplier of Last Resort fixed adder relates to an increase to previously published charges only.</t>
  </si>
  <si>
    <t>Domestic Aggregated (Related MPAN)</t>
  </si>
  <si>
    <t>LV Site Specific No Residual</t>
  </si>
  <si>
    <t>LV Site Specific Band 1</t>
  </si>
  <si>
    <t>LV Site Specific Band 2</t>
  </si>
  <si>
    <t>LV Site Specific Band 3</t>
  </si>
  <si>
    <t>LV Site Specific Band 4</t>
  </si>
  <si>
    <t>LV Sub Site Specific No Residual</t>
  </si>
  <si>
    <t>LV Sub Site Specific Band 1</t>
  </si>
  <si>
    <t>LV Sub Site Specific Band 2</t>
  </si>
  <si>
    <t>LV Sub Site Specific Band 3</t>
  </si>
  <si>
    <t>LV Sub Site Specific Band 4</t>
  </si>
  <si>
    <t>HV Site Specific No Residual</t>
  </si>
  <si>
    <t>HV Site Specific Band 1</t>
  </si>
  <si>
    <t>HV Site Specific Band 2</t>
  </si>
  <si>
    <t>HV Site Specific Band 3</t>
  </si>
  <si>
    <t>HV Site Specific Band 4</t>
  </si>
  <si>
    <t>LDNO LV: LV Site Specific No Residual</t>
  </si>
  <si>
    <t>LDNO LV: LV Site Specific Band 1</t>
  </si>
  <si>
    <t>LDNO LV: LV Site Specific Band 2</t>
  </si>
  <si>
    <t>LDNO LV: LV Site Specific Band 3</t>
  </si>
  <si>
    <t>LDNO LV: LV Site Specific Band 4</t>
  </si>
  <si>
    <t>LDNO HV: LV Site Specific No Residual</t>
  </si>
  <si>
    <t>LDNO HV: LV Site Specific Band 1</t>
  </si>
  <si>
    <t>LDNO HV: LV Site Specific Band 2</t>
  </si>
  <si>
    <t>LDNO HV: LV Site Specific Band 3</t>
  </si>
  <si>
    <t>LDNO HV: LV Site Specific Band 4</t>
  </si>
  <si>
    <t>LDNO HV: LV Sub Site Specific No Residual</t>
  </si>
  <si>
    <t>LDNO HV: LV Sub Site Specific Band 1</t>
  </si>
  <si>
    <t>LDNO HV: LV Sub Site Specific Band 2</t>
  </si>
  <si>
    <t>LDNO HV: LV Sub Site Specific Band 3</t>
  </si>
  <si>
    <t>LDNO HV: LV Sub Site Specific Band 4</t>
  </si>
  <si>
    <t>LDNO HV: HV Site Specific No Residual</t>
  </si>
  <si>
    <t>LDNO HV: HV Site Specific Band 1</t>
  </si>
  <si>
    <t>LDNO HV: HV Site Specific Band 2</t>
  </si>
  <si>
    <t>LDNO HV: HV Site Specific Band 3</t>
  </si>
  <si>
    <t>LDNO HV: HV Site Specific Band 4</t>
  </si>
  <si>
    <t>LDNO 0000: LV Site Specific No Residual</t>
  </si>
  <si>
    <t>LDNO 0000: LV Site Specific Band 1</t>
  </si>
  <si>
    <t>LDNO 0000: LV Site Specific Band 2</t>
  </si>
  <si>
    <t>LDNO 0000: LV Site Specific Band 3</t>
  </si>
  <si>
    <t>LDNO 0000: LV Site Specific Band 4</t>
  </si>
  <si>
    <t>LDNO 0000: LV Sub Site Specific No Residual</t>
  </si>
  <si>
    <t>LDNO 0000: LV Sub Site Specific Band 1</t>
  </si>
  <si>
    <t>LDNO 0000: LV Sub Site Specific Band 2</t>
  </si>
  <si>
    <t>LDNO 0000: LV Sub Site Specific Band 3</t>
  </si>
  <si>
    <t>LDNO 0000: LV Sub Site Specific Band 4</t>
  </si>
  <si>
    <t>LDNO 0000: HV Site Specific No Residual</t>
  </si>
  <si>
    <t>LDNO 0000: HV Site Specific Band 1</t>
  </si>
  <si>
    <t>LDNO 0000: HV Site Specific Band 2</t>
  </si>
  <si>
    <t>LDNO 0000: HV Site Specific Band 3</t>
  </si>
  <si>
    <t>LDNO 0000: HV Site Specific Band 4</t>
  </si>
  <si>
    <t>LDNO 132kV: LV Site Specific No Residual</t>
  </si>
  <si>
    <t>LDNO 132kV: LV Site Specific Band 1</t>
  </si>
  <si>
    <t>LDNO 132kV: LV Site Specific Band 2</t>
  </si>
  <si>
    <t>LDNO 132kV: LV Site Specific Band 3</t>
  </si>
  <si>
    <t>LDNO 132kV: LV Site Specific Band 4</t>
  </si>
  <si>
    <t>LDNO 132kV: LV Sub Site Specific No Residual</t>
  </si>
  <si>
    <t>LDNO 132kV: LV Sub Site Specific Band 1</t>
  </si>
  <si>
    <t>LDNO 132kV: LV Sub Site Specific Band 2</t>
  </si>
  <si>
    <t>LDNO 132kV: LV Sub Site Specific Band 3</t>
  </si>
  <si>
    <t>LDNO 132kV: LV Sub Site Specific Band 4</t>
  </si>
  <si>
    <t>LDNO 132kV: HV Site Specific No Residual</t>
  </si>
  <si>
    <t>LDNO 132kV: HV Site Specific Band 1</t>
  </si>
  <si>
    <t>LDNO 132kV: HV Site Specific Band 2</t>
  </si>
  <si>
    <t>LDNO 132kV: HV Site Specific Band 3</t>
  </si>
  <si>
    <t>LDNO 132kV: HV Site Specific Band 4</t>
  </si>
  <si>
    <t>LDNO 132kV/EHV: LV Site Specific No Residual</t>
  </si>
  <si>
    <t>LDNO 132kV/EHV: LV Site Specific Band 1</t>
  </si>
  <si>
    <t>LDNO 132kV/EHV: LV Site Specific Band 2</t>
  </si>
  <si>
    <t>LDNO 132kV/EHV: LV Site Specific Band 3</t>
  </si>
  <si>
    <t>LDNO 132kV/EHV: LV Site Specific Band 4</t>
  </si>
  <si>
    <t>LDNO 132kV/EHV: LV Sub Site Specific No Residual</t>
  </si>
  <si>
    <t>LDNO 132kV/EHV: LV Sub Site Specific Band 1</t>
  </si>
  <si>
    <t>LDNO 132kV/EHV: LV Sub Site Specific Band 2</t>
  </si>
  <si>
    <t>LDNO 132kV/EHV: LV Sub Site Specific Band 3</t>
  </si>
  <si>
    <t>LDNO 132kV/EHV: LV Sub Site Specific Band 4</t>
  </si>
  <si>
    <t>LDNO 132kV/EHV: HV Site Specific No Residual</t>
  </si>
  <si>
    <t>LDNO 132kV/EHV: HV Site Specific Band 1</t>
  </si>
  <si>
    <t>LDNO 132kV/EHV: HV Site Specific Band 2</t>
  </si>
  <si>
    <t>LDNO 132kV/EHV: HV Site Specific Band 3</t>
  </si>
  <si>
    <t>LDNO 132kV/EHV: HV Site Specific Band 4</t>
  </si>
  <si>
    <t>LDNO EHV: LV Site Specific No Residual</t>
  </si>
  <si>
    <t>LDNO EHV: LV Site Specific Band 1</t>
  </si>
  <si>
    <t>LDNO EHV: LV Site Specific Band 2</t>
  </si>
  <si>
    <t>LDNO EHV: LV Site Specific Band 3</t>
  </si>
  <si>
    <t>LDNO EHV: LV Site Specific Band 4</t>
  </si>
  <si>
    <t>LDNO EHV: LV Sub Site Specific No Residual</t>
  </si>
  <si>
    <t>LDNO EHV: LV Sub Site Specific Band 1</t>
  </si>
  <si>
    <t>LDNO EHV: LV Sub Site Specific Band 2</t>
  </si>
  <si>
    <t>LDNO EHV: LV Sub Site Specific Band 3</t>
  </si>
  <si>
    <t>LDNO EHV: LV Sub Site Specific Band 4</t>
  </si>
  <si>
    <t>LDNO EHV: HV Site Specific No Residual</t>
  </si>
  <si>
    <t>LDNO EHV: HV Site Specific Band 1</t>
  </si>
  <si>
    <t>LDNO EHV: HV Site Specific Band 2</t>
  </si>
  <si>
    <t>LDNO EHV: HV Site Specific Band 3</t>
  </si>
  <si>
    <t>LDNO EHV: HV Site Specific Band 4</t>
  </si>
  <si>
    <t>LDNO HVplus: LV Site Specific No Residual</t>
  </si>
  <si>
    <t>LDNO HVplus: LV Site Specific Band 1</t>
  </si>
  <si>
    <t>LDNO HVplus: LV Site Specific Band 2</t>
  </si>
  <si>
    <t>LDNO HVplus: LV Site Specific Band 3</t>
  </si>
  <si>
    <t>LDNO HVplus: LV Site Specific Band 4</t>
  </si>
  <si>
    <t>LDNO HVplus: LV Sub Site Specific No Residual</t>
  </si>
  <si>
    <t>LDNO HVplus: LV Sub Site Specific Band 1</t>
  </si>
  <si>
    <t>LDNO HVplus: LV Sub Site Specific Band 2</t>
  </si>
  <si>
    <t>LDNO HVplus: LV Sub Site Specific Band 3</t>
  </si>
  <si>
    <t>LDNO HVplus: LV Sub Site Specific Band 4</t>
  </si>
  <si>
    <t>LDNO HVplus: HV Site Specific No Residual</t>
  </si>
  <si>
    <t>LDNO HVplus: HV Site Specific Band 1</t>
  </si>
  <si>
    <t>LDNO HVplus: HV Site Specific Band 2</t>
  </si>
  <si>
    <t>LDNO HVplus: HV Site Specific Band 3</t>
  </si>
  <si>
    <t>LDNO HVplus: HV Site Specific Band 4</t>
  </si>
  <si>
    <t>Residual Charging Bandings</t>
  </si>
  <si>
    <t>Band</t>
  </si>
  <si>
    <t>Contains the four Residual charging band allocation for Customers</t>
  </si>
  <si>
    <t>Single band</t>
  </si>
  <si>
    <t>-</t>
  </si>
  <si>
    <t>Voltage of Connection</t>
  </si>
  <si>
    <t>Units</t>
  </si>
  <si>
    <t>kWh</t>
  </si>
  <si>
    <t>kVA</t>
  </si>
  <si>
    <t>∞</t>
  </si>
  <si>
    <t>Lower Threshold*</t>
  </si>
  <si>
    <t>Upper Threshold*</t>
  </si>
  <si>
    <t>* All boundaries are inclusive of the upper threshold and exclusive of the lower threshold i.e. Lower &lt; x ≤ Upper.</t>
  </si>
  <si>
    <t>Designated Properties connected at LV, billing with no MIC</t>
  </si>
  <si>
    <t>Designated EHV Properties</t>
  </si>
  <si>
    <t>Designated Properties connected at HV</t>
  </si>
  <si>
    <t>Designated Properties connected at LV, billing with MIC</t>
  </si>
  <si>
    <t>Residual Charging Band</t>
  </si>
  <si>
    <t>Non-Domestic Aggregated or CT No Residual</t>
  </si>
  <si>
    <t>Non-Domestic Aggregated or CT Band 1</t>
  </si>
  <si>
    <t>Non-Domestic Aggregated or CT Band 2</t>
  </si>
  <si>
    <t>Non-Domestic Aggregated or CT Band 3</t>
  </si>
  <si>
    <t>Non-Domestic Aggregated or CT Band 4</t>
  </si>
  <si>
    <t>LDNO LV: Domestic Aggregated or CT with Residual</t>
  </si>
  <si>
    <t>LDNO LV: Non-Domestic Aggregated or CT No Residual</t>
  </si>
  <si>
    <t>LDNO LV: Non-Domestic Aggregated or CT Band 1</t>
  </si>
  <si>
    <t>LDNO LV: Non-Domestic Aggregated or CT Band 2</t>
  </si>
  <si>
    <t>LDNO LV: Non-Domestic Aggregated or CT Band 3</t>
  </si>
  <si>
    <t>LDNO LV: Non-Domestic Aggregated or CT Band 4</t>
  </si>
  <si>
    <t>LDNO HV: Domestic Aggregated or CT with Residual</t>
  </si>
  <si>
    <t>LDNO HV: Non-Domestic Aggregated or CT No Residual</t>
  </si>
  <si>
    <t>LDNO HV: Non-Domestic Aggregated or CT Band 1</t>
  </si>
  <si>
    <t>LDNO HV: Non-Domestic Aggregated or CT Band 2</t>
  </si>
  <si>
    <t>LDNO HV: Non-Domestic Aggregated or CT Band 3</t>
  </si>
  <si>
    <t>LDNO HV: Non-Domestic Aggregated or CT Band 4</t>
  </si>
  <si>
    <t>LDNO HVplus: Domestic Aggregated or CT with Residual</t>
  </si>
  <si>
    <t>LDNO HVplus: Non-Domestic Aggregated or CT No Residual</t>
  </si>
  <si>
    <t>LDNO HVplus: Non-Domestic Aggregated or CT Band 1</t>
  </si>
  <si>
    <t>LDNO HVplus: Non-Domestic Aggregated or CT Band 2</t>
  </si>
  <si>
    <t>LDNO HVplus: Non-Domestic Aggregated or CT Band 3</t>
  </si>
  <si>
    <t>LDNO HVplus: Non-Domestic Aggregated or CT Band 4</t>
  </si>
  <si>
    <t>LDNO EHV: Domestic Aggregated or CT with Residual</t>
  </si>
  <si>
    <t>LDNO EHV: Non-Domestic Aggregated or CT No Residual</t>
  </si>
  <si>
    <t>LDNO EHV: Non-Domestic Aggregated or CT Band 1</t>
  </si>
  <si>
    <t>LDNO EHV: Non-Domestic Aggregated or CT Band 2</t>
  </si>
  <si>
    <t>LDNO EHV: Non-Domestic Aggregated or CT Band 3</t>
  </si>
  <si>
    <t>LDNO EHV: Non-Domestic Aggregated or CT Band 4</t>
  </si>
  <si>
    <t>LDNO 132kV/EHV: Domestic Aggregated or CT with Residual</t>
  </si>
  <si>
    <t>LDNO 132kV/EHV: Non-Domestic Aggregated or CT No Residual</t>
  </si>
  <si>
    <t>LDNO 132kV/EHV: Non-Domestic Aggregated or CT Band 1</t>
  </si>
  <si>
    <t>LDNO 132kV/EHV: Non-Domestic Aggregated or CT Band 2</t>
  </si>
  <si>
    <t>LDNO 132kV/EHV: Non-Domestic Aggregated or CT Band 3</t>
  </si>
  <si>
    <t>LDNO 132kV/EHV: Non-Domestic Aggregated or CT Band 4</t>
  </si>
  <si>
    <t>LDNO 132kV: Domestic Aggregated or CT with Residual</t>
  </si>
  <si>
    <t>LDNO 132kV: Non-Domestic Aggregated or CT No Residual</t>
  </si>
  <si>
    <t>LDNO 132kV: Non-Domestic Aggregated or CT Band 1</t>
  </si>
  <si>
    <t>LDNO 132kV: Non-Domestic Aggregated or CT Band 2</t>
  </si>
  <si>
    <t>LDNO 132kV: Non-Domestic Aggregated or CT Band 3</t>
  </si>
  <si>
    <t>LDNO 132kV: Non-Domestic Aggregated or CT Band 4</t>
  </si>
  <si>
    <t>LDNO 0000: Domestic Aggregated or CT with Residual</t>
  </si>
  <si>
    <t>LDNO 0000: Non-Domestic Aggregated or CT No Residual</t>
  </si>
  <si>
    <t>LDNO 0000: Non-Domestic Aggregated or CT Band 1</t>
  </si>
  <si>
    <t>LDNO 0000: Non-Domestic Aggregated or CT Band 2</t>
  </si>
  <si>
    <t>LDNO 0000: Non-Domestic Aggregated or CT Band 3</t>
  </si>
  <si>
    <t>LDNO 0000: Non-Domestic Aggregated or CT Band 4</t>
  </si>
  <si>
    <t>Domestic Aggregated or CT with Residual</t>
  </si>
  <si>
    <t>DUoS Tariff name</t>
  </si>
  <si>
    <t>TNUoS Site Charging Band</t>
  </si>
  <si>
    <t>Domestic</t>
  </si>
  <si>
    <t>n/a (Non-Final Demand Site)</t>
  </si>
  <si>
    <t>LV_NoMIC_1</t>
  </si>
  <si>
    <t>LV_NoMIC_2</t>
  </si>
  <si>
    <t>LV_NoMIC_3</t>
  </si>
  <si>
    <t>LV_NoMIC_4</t>
  </si>
  <si>
    <t>LV1</t>
  </si>
  <si>
    <t>LV2</t>
  </si>
  <si>
    <t>LV3</t>
  </si>
  <si>
    <t>LV4</t>
  </si>
  <si>
    <t>HV1</t>
  </si>
  <si>
    <t>HV2</t>
  </si>
  <si>
    <t>HV3</t>
  </si>
  <si>
    <t>HV4</t>
  </si>
  <si>
    <t>n/a (p/kWh charge)</t>
  </si>
  <si>
    <t>EHV1</t>
  </si>
  <si>
    <t>EHV2</t>
  </si>
  <si>
    <t>EHV3</t>
  </si>
  <si>
    <t>EHV4</t>
  </si>
  <si>
    <t>Designated EHV Site Specific No Residual</t>
  </si>
  <si>
    <t>Designated EHV Site Specific Band 1</t>
  </si>
  <si>
    <t>Designated EHV Site Specific Band 2</t>
  </si>
  <si>
    <t>Designated EHV Site Specific Band 3</t>
  </si>
  <si>
    <t>Designated EHV Site Specific Band 4</t>
  </si>
  <si>
    <t>Annex 2 Designated EHV charges</t>
  </si>
  <si>
    <t>SSC unit rate lookup</t>
  </si>
  <si>
    <t>Contains a mapping of Standard Settlement Configurations to common decodings</t>
  </si>
  <si>
    <t>TNUoS Mapping</t>
  </si>
  <si>
    <t>Contains a mapping of DUoS Tariffs to TNUoS Site Charging Bands</t>
  </si>
  <si>
    <t>*Supplier of Last Resort pass-through costs allocated to all domestic tariffs with a fixed charge (including LDNO)</t>
  </si>
  <si>
    <t>**Eligible Bad Debt pass-through costs allocated to all metered demand tariffs (including LDNO)</t>
  </si>
  <si>
    <t>Eastern Power Networks</t>
  </si>
  <si>
    <t>16:00 - 19:00</t>
  </si>
  <si>
    <t>07:00 - 16:00
19:00 - 23:00</t>
  </si>
  <si>
    <t>00:00 - 07:00
23:00 - 24:00</t>
  </si>
  <si>
    <t>00:00 - 24:00</t>
  </si>
  <si>
    <t>07:00 - 23:00</t>
  </si>
  <si>
    <t>Monday to Friday 
(Including Bank Holidays)
March to October Inclusive</t>
  </si>
  <si>
    <t>Period 5</t>
  </si>
  <si>
    <t>Winter Peak</t>
  </si>
  <si>
    <t>Summer Peak</t>
  </si>
  <si>
    <t>Winter Shoulder</t>
  </si>
  <si>
    <t>Night</t>
  </si>
  <si>
    <t>Other</t>
  </si>
  <si>
    <t>Monday to Friday 
November to February</t>
  </si>
  <si>
    <t>16:00 - 20:00</t>
  </si>
  <si>
    <t>07:00 - 16:00</t>
  </si>
  <si>
    <t>Monday to Friday
June to August</t>
  </si>
  <si>
    <t>07:00 - 20:00</t>
  </si>
  <si>
    <t>Monday to Friday
March</t>
  </si>
  <si>
    <t>All Year</t>
  </si>
  <si>
    <t>00:00 - 07:00</t>
  </si>
  <si>
    <t>All Other Times</t>
  </si>
  <si>
    <t>Eligible Bad Debt
Fixed charge adder**
p/MPAN/day</t>
  </si>
  <si>
    <t>Note: The DNO reserves the right to apply the listed charges to any other MPANs/MSIDs associated with the site. This includes reallocating charges to a traded MPAN at the same site where another MPAN has been disconnected or de-energised.</t>
  </si>
  <si>
    <t>Import
LLF
period 5</t>
  </si>
  <si>
    <t>Export
LLF
period 5</t>
  </si>
  <si>
    <t>Note: The DNO reserves the right to apply the listed charges to any other MPANs/MSIDs associated with the site. This includes reallocating charges to a traded MPAN at the same site where another MPAN has been disconnected or de-energised. If sites appear in both Annex 2 and Annex 6, the charges in Annex 6 take precedence.
Where an existing Designated EHV Property is modified and energised in the charging year, we may revise the EDCM charges for the modified Designated EHV Property.</t>
  </si>
  <si>
    <t xml:space="preserve">Contains the underlying nodal costs used to calculate the current EDCM charges. </t>
  </si>
  <si>
    <t>Step 1, Choose your tariff using the drop down list in cell L10. Please note, this calculator returns tariffs from Annex 2 only. If your site has a new or amended tariff in Annex 6 this will need to be entered manually.</t>
  </si>
  <si>
    <t>Step 2, After selecting a tariff in step 1, Cells C12-I12 will generate headings, please enter your consumption in cells C13:I13 underneath each heading generated (if no heading leave cell blank)</t>
  </si>
  <si>
    <t>Step 2, After selecting a tariff in step 1, Cells M12-T12 will generate headings, please enter your consumption in cells M13:T13 underneath each heading generated (if no heading leave cell blank)</t>
  </si>
  <si>
    <t>CVA site specific LLFs</t>
  </si>
  <si>
    <t>MSID</t>
  </si>
  <si>
    <t>Open LLFCs/ DUoS Tariff IDs</t>
  </si>
  <si>
    <t>Closed LLFCs/ DUoS Tariff IDs</t>
  </si>
  <si>
    <t>Supercustomer preserved charges/additional LLFCs/ DUoS Tariff IDs</t>
  </si>
  <si>
    <t>Site Specific preserved charges/additional LLFCs/ DUoS Tariff IDs</t>
  </si>
  <si>
    <t>Open LLFCs/ DUoS Tariff IDs / LDNO unique billing identifier</t>
  </si>
  <si>
    <t>LLFC/ DUoS Tariff ID</t>
  </si>
  <si>
    <t>Eastern Power Networks has no Preserved NHH Tariffs/Additional LLFCs/DUoS Tariff IDs</t>
  </si>
  <si>
    <t>Eastern Power Networks has no Preserved HH Tariffs/Additional LLFCs/DUoS Tariff IDs</t>
  </si>
  <si>
    <t>Associated LLFC/DUoS Tariff ID</t>
  </si>
  <si>
    <t>Metered voltage, respective periods and associated LLFCs/DUoS Tariff IDs</t>
  </si>
  <si>
    <t>This table has intentionally been left blank. The line loss factors that are approved by the BSC Panel for the applicable year and consequently published on the Elexon website will take precedence and be used in Settlement. This annex will be re-published once these values are available.</t>
  </si>
  <si>
    <t>Site 1</t>
  </si>
  <si>
    <t>Site 2</t>
  </si>
  <si>
    <t>Site 3</t>
  </si>
  <si>
    <t>Site 4</t>
  </si>
  <si>
    <t>Site 5</t>
  </si>
  <si>
    <t>2027/28</t>
  </si>
  <si>
    <t>1 April 2027</t>
  </si>
  <si>
    <t>0, 1, 2</t>
  </si>
  <si>
    <t>3, 7</t>
  </si>
  <si>
    <t>0, 3, 4, 5-8</t>
  </si>
  <si>
    <t>201, N01</t>
  </si>
  <si>
    <t>202, N02</t>
  </si>
  <si>
    <t>203, N03</t>
  </si>
  <si>
    <t>204, N04</t>
  </si>
  <si>
    <t>100, 101, 102, 103, 350</t>
  </si>
  <si>
    <t>0, 1 or 8</t>
  </si>
  <si>
    <t xml:space="preserve">110, 111, 112, 113, 150, 151, 152, 153, 160, 161, 162, 163 </t>
  </si>
  <si>
    <t>0, 8</t>
  </si>
  <si>
    <t>Non-Domestic Aggregated (Related MPAN)</t>
  </si>
  <si>
    <t>LV Generation Site Specific no RP Charge</t>
  </si>
  <si>
    <t>LV Sub Generation Site Specific no RP Charge</t>
  </si>
  <si>
    <t>HV Generation Site Specific no RP Charge</t>
  </si>
  <si>
    <t>LDNO LV: Domestic Aggregated (Related MPAN)</t>
  </si>
  <si>
    <t>LDNO LV: Non-Domestic Aggregated (Related MPAN)</t>
  </si>
  <si>
    <t>LDNO LV: Unmetered Supplies</t>
  </si>
  <si>
    <t>LDNO LV: LV Generation Aggregated</t>
  </si>
  <si>
    <t>LDNO LV: LV Generation Site Specific</t>
  </si>
  <si>
    <t>LDNO HV: Domestic Aggregated (Related MPAN)</t>
  </si>
  <si>
    <t>LDNO HV: Non-Domestic Aggregated (Related MPAN)</t>
  </si>
  <si>
    <t>LDNO HV: Unmetered Supplies</t>
  </si>
  <si>
    <t>LDNO HV: LV Generation Aggregated</t>
  </si>
  <si>
    <t>LDNO HV: LV Sub Generation Aggregated</t>
  </si>
  <si>
    <t>LDNO HV: LV Generation Site Specific</t>
  </si>
  <si>
    <t>LDNO HV: LV Sub Generation Site Specific</t>
  </si>
  <si>
    <t>LDNO HV: HV Generation Site Specific</t>
  </si>
  <si>
    <t>LDNO HVplus: Domestic Aggregated (Related MPAN)</t>
  </si>
  <si>
    <t>LDNO HVplus: Non-Domestic Aggregated (Related MPAN)</t>
  </si>
  <si>
    <t>LDNO HVplus: Unmetered Supplies</t>
  </si>
  <si>
    <t>LDNO HVplus: LV Generation Aggregated</t>
  </si>
  <si>
    <t>LDNO HVplus: LV Sub Generation Aggregated</t>
  </si>
  <si>
    <t>LDNO HVplus: LV Generation Site Specific</t>
  </si>
  <si>
    <t>LDNO HVplus: LV Sub Generation Site Specific</t>
  </si>
  <si>
    <t>LDNO HVplus: HV Generation Site Specific</t>
  </si>
  <si>
    <t>LDNO EHV: Domestic Aggregated (Related MPAN)</t>
  </si>
  <si>
    <t>LDNO EHV: Non-Domestic Aggregated (Related MPAN)</t>
  </si>
  <si>
    <t>LDNO EHV: Unmetered Supplies</t>
  </si>
  <si>
    <t>LDNO EHV: LV Generation Aggregated</t>
  </si>
  <si>
    <t>LDNO EHV: LV Sub Generation Aggregated</t>
  </si>
  <si>
    <t>LDNO EHV: LV Generation Site Specific</t>
  </si>
  <si>
    <t>LDNO EHV: LV Sub Generation Site Specific</t>
  </si>
  <si>
    <t>LDNO EHV: HV Generation Site Specific</t>
  </si>
  <si>
    <t>LDNO 132kV/EHV: Domestic Aggregated (Related MPAN)</t>
  </si>
  <si>
    <t>LDNO 132kV/EHV: Non-Domestic Aggregated (Related MPAN)</t>
  </si>
  <si>
    <t>LDNO 132kV/EHV: Unmetered Supplies</t>
  </si>
  <si>
    <t>LDNO 132kV/EHV: LV Generation Aggregated</t>
  </si>
  <si>
    <t>LDNO 132kV/EHV: LV Sub Generation Aggregated</t>
  </si>
  <si>
    <t>LDNO 132kV/EHV: LV Generation Site Specific</t>
  </si>
  <si>
    <t>LDNO 132kV/EHV: LV Sub Generation Site Specific</t>
  </si>
  <si>
    <t>LDNO 132kV/EHV: HV Generation Site Specific</t>
  </si>
  <si>
    <t>LDNO 132kV: Domestic Aggregated (Related MPAN)</t>
  </si>
  <si>
    <t>LDNO 132kV: Non-Domestic Aggregated (Related MPAN)</t>
  </si>
  <si>
    <t>LDNO 132kV: Unmetered Supplies</t>
  </si>
  <si>
    <t>LDNO 132kV: LV Generation Aggregated</t>
  </si>
  <si>
    <t>LDNO 132kV: LV Sub Generation Aggregated</t>
  </si>
  <si>
    <t>LDNO 132kV: LV Generation Site Specific</t>
  </si>
  <si>
    <t>LDNO 132kV: LV Sub Generation Site Specific</t>
  </si>
  <si>
    <t>LDNO 132kV: HV Generation Site Specific</t>
  </si>
  <si>
    <t>LDNO 0000: Domestic Aggregated (Related MPAN)</t>
  </si>
  <si>
    <t>LDNO 0000: Non-Domestic Aggregated (Related MPAN)</t>
  </si>
  <si>
    <t>LDNO 0000: Unmetered Supplies</t>
  </si>
  <si>
    <t>LDNO 0000: LV Generation Aggregated</t>
  </si>
  <si>
    <t>LDNO 0000: LV Sub Generation Aggregated</t>
  </si>
  <si>
    <t>LDNO 0000: LV Generation Site Specific</t>
  </si>
  <si>
    <t>LDNO 0000: LV Sub Generation Site Specific</t>
  </si>
  <si>
    <t>LDNO 0000: HV Generation Site Specific</t>
  </si>
  <si>
    <t>A00</t>
  </si>
  <si>
    <t>B00</t>
  </si>
  <si>
    <t>C00</t>
  </si>
  <si>
    <t>C01</t>
  </si>
  <si>
    <t>C02</t>
  </si>
  <si>
    <t>C03</t>
  </si>
  <si>
    <t>C04</t>
  </si>
  <si>
    <t>D00</t>
  </si>
  <si>
    <t>E00</t>
  </si>
  <si>
    <t>E01</t>
  </si>
  <si>
    <t>E02</t>
  </si>
  <si>
    <t>E03</t>
  </si>
  <si>
    <t>E04</t>
  </si>
  <si>
    <t>U00</t>
  </si>
  <si>
    <t>F00</t>
  </si>
  <si>
    <t>G00</t>
  </si>
  <si>
    <t>A10</t>
  </si>
  <si>
    <t>B10</t>
  </si>
  <si>
    <t>C10</t>
  </si>
  <si>
    <t>C11</t>
  </si>
  <si>
    <t>C12</t>
  </si>
  <si>
    <t>C13</t>
  </si>
  <si>
    <t>C14</t>
  </si>
  <si>
    <t>D10</t>
  </si>
  <si>
    <t>E10</t>
  </si>
  <si>
    <t>E11</t>
  </si>
  <si>
    <t>E12</t>
  </si>
  <si>
    <t>E13</t>
  </si>
  <si>
    <t>E14</t>
  </si>
  <si>
    <t>J10</t>
  </si>
  <si>
    <t>J11</t>
  </si>
  <si>
    <t>J12</t>
  </si>
  <si>
    <t>J13</t>
  </si>
  <si>
    <t>J14</t>
  </si>
  <si>
    <t>K10</t>
  </si>
  <si>
    <t>K11</t>
  </si>
  <si>
    <t>K12</t>
  </si>
  <si>
    <t>K13</t>
  </si>
  <si>
    <t>K14</t>
  </si>
  <si>
    <t>U10</t>
  </si>
  <si>
    <t>F10</t>
  </si>
  <si>
    <t>H10</t>
  </si>
  <si>
    <t>G10</t>
  </si>
  <si>
    <t>L10</t>
  </si>
  <si>
    <t>M10</t>
  </si>
  <si>
    <t>A20</t>
  </si>
  <si>
    <t>B20</t>
  </si>
  <si>
    <t>C20</t>
  </si>
  <si>
    <t>C21</t>
  </si>
  <si>
    <t>C22</t>
  </si>
  <si>
    <t>C23</t>
  </si>
  <si>
    <t>C24</t>
  </si>
  <si>
    <t>D20</t>
  </si>
  <si>
    <t>E20</t>
  </si>
  <si>
    <t>E21</t>
  </si>
  <si>
    <t>E22</t>
  </si>
  <si>
    <t>E23</t>
  </si>
  <si>
    <t>E24</t>
  </si>
  <si>
    <t>J20</t>
  </si>
  <si>
    <t>J21</t>
  </si>
  <si>
    <t>J22</t>
  </si>
  <si>
    <t>J23</t>
  </si>
  <si>
    <t>J24</t>
  </si>
  <si>
    <t>K20</t>
  </si>
  <si>
    <t>K21</t>
  </si>
  <si>
    <t>K22</t>
  </si>
  <si>
    <t>K23</t>
  </si>
  <si>
    <t>K24</t>
  </si>
  <si>
    <t>U20</t>
  </si>
  <si>
    <t>F20</t>
  </si>
  <si>
    <t>H20</t>
  </si>
  <si>
    <t>G20</t>
  </si>
  <si>
    <t>L20</t>
  </si>
  <si>
    <t>M20</t>
  </si>
  <si>
    <t>A30</t>
  </si>
  <si>
    <t>B30</t>
  </si>
  <si>
    <t>C30</t>
  </si>
  <si>
    <t>C31</t>
  </si>
  <si>
    <t>C32</t>
  </si>
  <si>
    <t>C33</t>
  </si>
  <si>
    <t>C34</t>
  </si>
  <si>
    <t>D30</t>
  </si>
  <si>
    <t>E30</t>
  </si>
  <si>
    <t>E31</t>
  </si>
  <si>
    <t>E32</t>
  </si>
  <si>
    <t>E33</t>
  </si>
  <si>
    <t>E34</t>
  </si>
  <si>
    <t>J30</t>
  </si>
  <si>
    <t>J31</t>
  </si>
  <si>
    <t>J32</t>
  </si>
  <si>
    <t>J33</t>
  </si>
  <si>
    <t>J34</t>
  </si>
  <si>
    <t>K30</t>
  </si>
  <si>
    <t>K31</t>
  </si>
  <si>
    <t>K32</t>
  </si>
  <si>
    <t>K33</t>
  </si>
  <si>
    <t>K34</t>
  </si>
  <si>
    <t>U30</t>
  </si>
  <si>
    <t>F30</t>
  </si>
  <si>
    <t>H30</t>
  </si>
  <si>
    <t>G30</t>
  </si>
  <si>
    <t>L30</t>
  </si>
  <si>
    <t>M30</t>
  </si>
  <si>
    <t>A40</t>
  </si>
  <si>
    <t>B40</t>
  </si>
  <si>
    <t>C40</t>
  </si>
  <si>
    <t>C41</t>
  </si>
  <si>
    <t>C42</t>
  </si>
  <si>
    <t>C43</t>
  </si>
  <si>
    <t>C44</t>
  </si>
  <si>
    <t>D40</t>
  </si>
  <si>
    <t>E40</t>
  </si>
  <si>
    <t>E41</t>
  </si>
  <si>
    <t>E42</t>
  </si>
  <si>
    <t>E43</t>
  </si>
  <si>
    <t>E44</t>
  </si>
  <si>
    <t>J40</t>
  </si>
  <si>
    <t>J41</t>
  </si>
  <si>
    <t>J42</t>
  </si>
  <si>
    <t>J43</t>
  </si>
  <si>
    <t>J44</t>
  </si>
  <si>
    <t>K40</t>
  </si>
  <si>
    <t>K41</t>
  </si>
  <si>
    <t>K42</t>
  </si>
  <si>
    <t>K43</t>
  </si>
  <si>
    <t>K44</t>
  </si>
  <si>
    <t>U40</t>
  </si>
  <si>
    <t>F40</t>
  </si>
  <si>
    <t>H40</t>
  </si>
  <si>
    <t>G40</t>
  </si>
  <si>
    <t>L40</t>
  </si>
  <si>
    <t>M40</t>
  </si>
  <si>
    <t>A50</t>
  </si>
  <si>
    <t>B50</t>
  </si>
  <si>
    <t>C50</t>
  </si>
  <si>
    <t>C51</t>
  </si>
  <si>
    <t>C52</t>
  </si>
  <si>
    <t>C53</t>
  </si>
  <si>
    <t>C54</t>
  </si>
  <si>
    <t>D50</t>
  </si>
  <si>
    <t>E50</t>
  </si>
  <si>
    <t>E51</t>
  </si>
  <si>
    <t>E52</t>
  </si>
  <si>
    <t>E53</t>
  </si>
  <si>
    <t>E54</t>
  </si>
  <si>
    <t>J50</t>
  </si>
  <si>
    <t>J51</t>
  </si>
  <si>
    <t>J52</t>
  </si>
  <si>
    <t>J53</t>
  </si>
  <si>
    <t>J54</t>
  </si>
  <si>
    <t>K50</t>
  </si>
  <si>
    <t>K51</t>
  </si>
  <si>
    <t>K52</t>
  </si>
  <si>
    <t>K53</t>
  </si>
  <si>
    <t>K54</t>
  </si>
  <si>
    <t>U50</t>
  </si>
  <si>
    <t>F50</t>
  </si>
  <si>
    <t>H50</t>
  </si>
  <si>
    <t>G50</t>
  </si>
  <si>
    <t>L50</t>
  </si>
  <si>
    <t>M50</t>
  </si>
  <si>
    <t>A60</t>
  </si>
  <si>
    <t>B60</t>
  </si>
  <si>
    <t>C60</t>
  </si>
  <si>
    <t>C61</t>
  </si>
  <si>
    <t>C62</t>
  </si>
  <si>
    <t>C63</t>
  </si>
  <si>
    <t>C64</t>
  </si>
  <si>
    <t>D60</t>
  </si>
  <si>
    <t>E60</t>
  </si>
  <si>
    <t>E61</t>
  </si>
  <si>
    <t>E62</t>
  </si>
  <si>
    <t>E63</t>
  </si>
  <si>
    <t>E64</t>
  </si>
  <si>
    <t>J60</t>
  </si>
  <si>
    <t>J61</t>
  </si>
  <si>
    <t>J62</t>
  </si>
  <si>
    <t>J63</t>
  </si>
  <si>
    <t>J64</t>
  </si>
  <si>
    <t>K60</t>
  </si>
  <si>
    <t>K61</t>
  </si>
  <si>
    <t>K62</t>
  </si>
  <si>
    <t>K63</t>
  </si>
  <si>
    <t>K64</t>
  </si>
  <si>
    <t>U60</t>
  </si>
  <si>
    <t>F60</t>
  </si>
  <si>
    <t>H60</t>
  </si>
  <si>
    <t>G60</t>
  </si>
  <si>
    <t>L60</t>
  </si>
  <si>
    <t>M60</t>
  </si>
  <si>
    <t>3VALSW</t>
  </si>
  <si>
    <t>ADBRKS</t>
  </si>
  <si>
    <t>ARAMAN</t>
  </si>
  <si>
    <t>ARKENF</t>
  </si>
  <si>
    <t>ARLAFD</t>
  </si>
  <si>
    <t>AW_GRA</t>
  </si>
  <si>
    <t>AWOUSE</t>
  </si>
  <si>
    <t>BERMAT</t>
  </si>
  <si>
    <t>BOCTHA</t>
  </si>
  <si>
    <t>BPA_CO</t>
  </si>
  <si>
    <t>BPTLTD</t>
  </si>
  <si>
    <t>BREFC2</t>
  </si>
  <si>
    <t>BTLCOM</t>
  </si>
  <si>
    <t>BUNCDC</t>
  </si>
  <si>
    <t>CEMXUK</t>
  </si>
  <si>
    <t>CMRODC</t>
  </si>
  <si>
    <t>CROWNP</t>
  </si>
  <si>
    <t>DELTAP</t>
  </si>
  <si>
    <t>DGRLTY</t>
  </si>
  <si>
    <t>DRABED</t>
  </si>
  <si>
    <t>EMR_TI</t>
  </si>
  <si>
    <t>ESWMID</t>
  </si>
  <si>
    <t>ESWWIX</t>
  </si>
  <si>
    <t>FORD_D</t>
  </si>
  <si>
    <t>FRDHVS</t>
  </si>
  <si>
    <t>FUJISL</t>
  </si>
  <si>
    <t>FXDFAG</t>
  </si>
  <si>
    <t>FXDOYS</t>
  </si>
  <si>
    <t>GLXOST</t>
  </si>
  <si>
    <t>GLXOW2</t>
  </si>
  <si>
    <t>GLXOWR</t>
  </si>
  <si>
    <t>HEINZF</t>
  </si>
  <si>
    <t>HRLWDC</t>
  </si>
  <si>
    <t>HS2_AT</t>
  </si>
  <si>
    <t>HS2WRU</t>
  </si>
  <si>
    <t>HTFD_L</t>
  </si>
  <si>
    <t>INFSSE</t>
  </si>
  <si>
    <t>KLYN33</t>
  </si>
  <si>
    <t>LAKENH</t>
  </si>
  <si>
    <t>LBARPS</t>
  </si>
  <si>
    <t>LS&amp;E_N</t>
  </si>
  <si>
    <t>LU_FIN</t>
  </si>
  <si>
    <t>LU_MHO</t>
  </si>
  <si>
    <t>LU_NEA</t>
  </si>
  <si>
    <t>MAXWDC</t>
  </si>
  <si>
    <t>MAYLDC</t>
  </si>
  <si>
    <t>MLVLCM</t>
  </si>
  <si>
    <t>MSDHOD</t>
  </si>
  <si>
    <t>NEWHOL</t>
  </si>
  <si>
    <t>NEWSIL</t>
  </si>
  <si>
    <t>NR_BAS</t>
  </si>
  <si>
    <t>NR_COL</t>
  </si>
  <si>
    <t>NR_CRW</t>
  </si>
  <si>
    <t>NR_GRA</t>
  </si>
  <si>
    <t>NR_HOR</t>
  </si>
  <si>
    <t>NR_KNG</t>
  </si>
  <si>
    <t>NR_LBR</t>
  </si>
  <si>
    <t>NR_MAN</t>
  </si>
  <si>
    <t>NR_MIL</t>
  </si>
  <si>
    <t>NR_NRW</t>
  </si>
  <si>
    <t>NR_PET</t>
  </si>
  <si>
    <t>NR_RAY</t>
  </si>
  <si>
    <t>NR_RYE</t>
  </si>
  <si>
    <t>NR_SED</t>
  </si>
  <si>
    <t>NR_SHN</t>
  </si>
  <si>
    <t>NR_SPR</t>
  </si>
  <si>
    <t>NR_STW</t>
  </si>
  <si>
    <t>NR_TOT</t>
  </si>
  <si>
    <t>NR_UGL</t>
  </si>
  <si>
    <t>NR_WEL</t>
  </si>
  <si>
    <t>NRAUTH</t>
  </si>
  <si>
    <t>NYSEIB</t>
  </si>
  <si>
    <t>PLMPPR</t>
  </si>
  <si>
    <t>PP_COR</t>
  </si>
  <si>
    <t>PRECIS</t>
  </si>
  <si>
    <t>PRMFDS</t>
  </si>
  <si>
    <t>PRSTDC</t>
  </si>
  <si>
    <t>QNETIC</t>
  </si>
  <si>
    <t>RAINDC</t>
  </si>
  <si>
    <t>RANJAC</t>
  </si>
  <si>
    <t>RNDMHS</t>
  </si>
  <si>
    <t>RPRLTD</t>
  </si>
  <si>
    <t>SEN1&amp;2</t>
  </si>
  <si>
    <t>SHELL_</t>
  </si>
  <si>
    <t>STANS2</t>
  </si>
  <si>
    <t>STANS3</t>
  </si>
  <si>
    <t>STMFRD</t>
  </si>
  <si>
    <t>TILBUR</t>
  </si>
  <si>
    <t>UB_EYE</t>
  </si>
  <si>
    <t>UBS_UK</t>
  </si>
  <si>
    <t>VXHALL</t>
  </si>
  <si>
    <t>WARNER</t>
  </si>
  <si>
    <t>WILLIA</t>
  </si>
  <si>
    <t>WWYNDC</t>
  </si>
  <si>
    <t>ABSRSF</t>
  </si>
  <si>
    <t>AIAMAN</t>
  </si>
  <si>
    <t>ALCORG</t>
  </si>
  <si>
    <t>ARDLGH</t>
  </si>
  <si>
    <t>ARLBES</t>
  </si>
  <si>
    <t>ASTONC</t>
  </si>
  <si>
    <t>AVENUE</t>
  </si>
  <si>
    <t>BARNFM</t>
  </si>
  <si>
    <t>BAYFMS</t>
  </si>
  <si>
    <t>BDGHSE</t>
  </si>
  <si>
    <t>BDWLWF</t>
  </si>
  <si>
    <t>BERDHF</t>
  </si>
  <si>
    <t>BGWDWF</t>
  </si>
  <si>
    <t>BLCAMB</t>
  </si>
  <si>
    <t>BLDOCK</t>
  </si>
  <si>
    <t>BLGTSF</t>
  </si>
  <si>
    <t>BMPFM2</t>
  </si>
  <si>
    <t>BMPTSF</t>
  </si>
  <si>
    <t>BNNSHL</t>
  </si>
  <si>
    <t>BOXTED</t>
  </si>
  <si>
    <t>BRACSF</t>
  </si>
  <si>
    <t>BRASSF</t>
  </si>
  <si>
    <t>BRCHBS</t>
  </si>
  <si>
    <t>BRCHGP</t>
  </si>
  <si>
    <t>BREFC1</t>
  </si>
  <si>
    <t>BRENBS</t>
  </si>
  <si>
    <t>BRKESF</t>
  </si>
  <si>
    <t>BROGB_</t>
  </si>
  <si>
    <t>BROXSF</t>
  </si>
  <si>
    <t>BRTHS2</t>
  </si>
  <si>
    <t>BRTHSS</t>
  </si>
  <si>
    <t>BRTHSW</t>
  </si>
  <si>
    <t>BS_BUR</t>
  </si>
  <si>
    <t>BS_WIS</t>
  </si>
  <si>
    <t>BSGBRN</t>
  </si>
  <si>
    <t>BURGSF</t>
  </si>
  <si>
    <t>BURWBS</t>
  </si>
  <si>
    <t>BURYLN</t>
  </si>
  <si>
    <t>CANTSF</t>
  </si>
  <si>
    <t>CAVDRD</t>
  </si>
  <si>
    <t>CEDABS</t>
  </si>
  <si>
    <t>CHAPBS</t>
  </si>
  <si>
    <t>CHEARF</t>
  </si>
  <si>
    <t>CHEDSF</t>
  </si>
  <si>
    <t>CHFARM</t>
  </si>
  <si>
    <t>CHPLOW</t>
  </si>
  <si>
    <t>CLAYB1</t>
  </si>
  <si>
    <t>CLAYB2</t>
  </si>
  <si>
    <t>CLAYPV</t>
  </si>
  <si>
    <t>CLDECT</t>
  </si>
  <si>
    <t>CLFFQY</t>
  </si>
  <si>
    <t>CLRDWN</t>
  </si>
  <si>
    <t>CLTSHL</t>
  </si>
  <si>
    <t>COLDHA</t>
  </si>
  <si>
    <t>COMBRN</t>
  </si>
  <si>
    <t>CORYBS</t>
  </si>
  <si>
    <t>CORYGE</t>
  </si>
  <si>
    <t>CPENSS</t>
  </si>
  <si>
    <t>CRANHM</t>
  </si>
  <si>
    <t>CROUSF</t>
  </si>
  <si>
    <t>CROYDN</t>
  </si>
  <si>
    <t>CRSSNG</t>
  </si>
  <si>
    <t>CTWDFM</t>
  </si>
  <si>
    <t>DBLANE</t>
  </si>
  <si>
    <t>DOLLBS</t>
  </si>
  <si>
    <t>DRAPER</t>
  </si>
  <si>
    <t>DRAYTN</t>
  </si>
  <si>
    <t>DRYHSE</t>
  </si>
  <si>
    <t>EARLHF</t>
  </si>
  <si>
    <t>EBCKHM</t>
  </si>
  <si>
    <t>EDLMUC</t>
  </si>
  <si>
    <t>EDLPIT</t>
  </si>
  <si>
    <t>EGMRSF</t>
  </si>
  <si>
    <t>ELLOSF</t>
  </si>
  <si>
    <t>ELSAGE</t>
  </si>
  <si>
    <t>EPRSUT</t>
  </si>
  <si>
    <t>ERNUNN</t>
  </si>
  <si>
    <t>EUSTSF</t>
  </si>
  <si>
    <t>EXNING</t>
  </si>
  <si>
    <t>EYEWFM</t>
  </si>
  <si>
    <t>FBWTHE</t>
  </si>
  <si>
    <t>FENLND</t>
  </si>
  <si>
    <t>FIBEYE</t>
  </si>
  <si>
    <t>FLYFRM</t>
  </si>
  <si>
    <t>FWINDS</t>
  </si>
  <si>
    <t>GDE132</t>
  </si>
  <si>
    <t>GFTHRN</t>
  </si>
  <si>
    <t>GLASM2</t>
  </si>
  <si>
    <t>GLASSM</t>
  </si>
  <si>
    <t>GOOSFM</t>
  </si>
  <si>
    <t>GOSFLD</t>
  </si>
  <si>
    <t>GREYSH</t>
  </si>
  <si>
    <t>GRNDSF</t>
  </si>
  <si>
    <t>GRNEND</t>
  </si>
  <si>
    <t>GRNFRM</t>
  </si>
  <si>
    <t>GRNILM</t>
  </si>
  <si>
    <t>GRTYAR</t>
  </si>
  <si>
    <t>GUNFL3</t>
  </si>
  <si>
    <t>GUNFLT</t>
  </si>
  <si>
    <t>HALEBS</t>
  </si>
  <si>
    <t>HALLFM</t>
  </si>
  <si>
    <t>HDATTP</t>
  </si>
  <si>
    <t>HDGMSF</t>
  </si>
  <si>
    <t>HGHFLD</t>
  </si>
  <si>
    <t>HHFARM</t>
  </si>
  <si>
    <t>HOBACK</t>
  </si>
  <si>
    <t>HOLTON</t>
  </si>
  <si>
    <t>HONYSM</t>
  </si>
  <si>
    <t>HRMT_B</t>
  </si>
  <si>
    <t>HRMT_P</t>
  </si>
  <si>
    <t>HRSFEN</t>
  </si>
  <si>
    <t>HUTBAT</t>
  </si>
  <si>
    <t>HYDESF</t>
  </si>
  <si>
    <t>ICGLTD</t>
  </si>
  <si>
    <t>ILMEBS</t>
  </si>
  <si>
    <t>INGMSF</t>
  </si>
  <si>
    <t>JKSLNE</t>
  </si>
  <si>
    <t>KNGSLN</t>
  </si>
  <si>
    <t>KNNING</t>
  </si>
  <si>
    <t>LAYRSF</t>
  </si>
  <si>
    <t>LBZSNS</t>
  </si>
  <si>
    <t>LCKFRD</t>
  </si>
  <si>
    <t>LDAHSF</t>
  </si>
  <si>
    <t>LEICSQ</t>
  </si>
  <si>
    <t>LEXHSF</t>
  </si>
  <si>
    <t>LIMKLN</t>
  </si>
  <si>
    <t>LINKSF</t>
  </si>
  <si>
    <t>LITSTA</t>
  </si>
  <si>
    <t>LMEASF</t>
  </si>
  <si>
    <t>LNGFRD</t>
  </si>
  <si>
    <t>LNGHO2</t>
  </si>
  <si>
    <t>LNGHOE</t>
  </si>
  <si>
    <t>LONWST</t>
  </si>
  <si>
    <t>LORDSW</t>
  </si>
  <si>
    <t>LWRNCE</t>
  </si>
  <si>
    <t>LYONSH</t>
  </si>
  <si>
    <t>MALDBS</t>
  </si>
  <si>
    <t>MANFRM</t>
  </si>
  <si>
    <t>MANORF</t>
  </si>
  <si>
    <t>MDLWCK</t>
  </si>
  <si>
    <t>MDWFRM</t>
  </si>
  <si>
    <t>MEDESF</t>
  </si>
  <si>
    <t>MELBRN</t>
  </si>
  <si>
    <t>MILLDR</t>
  </si>
  <si>
    <t>MILLFM</t>
  </si>
  <si>
    <t>MINGAY</t>
  </si>
  <si>
    <t>MLLFLD</t>
  </si>
  <si>
    <t>MOATSF</t>
  </si>
  <si>
    <t>MOLLAV</t>
  </si>
  <si>
    <t>MOWLEM</t>
  </si>
  <si>
    <t>NEVED2</t>
  </si>
  <si>
    <t>NEVEDN</t>
  </si>
  <si>
    <t>NEWTON</t>
  </si>
  <si>
    <t>NNFKSF</t>
  </si>
  <si>
    <t>NVASCT</t>
  </si>
  <si>
    <t>OCKESF</t>
  </si>
  <si>
    <t>OLDAIR</t>
  </si>
  <si>
    <t>OULTON</t>
  </si>
  <si>
    <t>OUTWD2</t>
  </si>
  <si>
    <t>OUTWDS</t>
  </si>
  <si>
    <t>PARKFM</t>
  </si>
  <si>
    <t>PBPS_3</t>
  </si>
  <si>
    <t>PEMBSF</t>
  </si>
  <si>
    <t>PENTSF</t>
  </si>
  <si>
    <t>PICKEN</t>
  </si>
  <si>
    <t>PLYTRS</t>
  </si>
  <si>
    <t>POBAIL</t>
  </si>
  <si>
    <t>PRHMSF</t>
  </si>
  <si>
    <t>PTRBRO</t>
  </si>
  <si>
    <t>QRRNDN</t>
  </si>
  <si>
    <t>RAINHM</t>
  </si>
  <si>
    <t>RANDCS</t>
  </si>
  <si>
    <t>RANSON</t>
  </si>
  <si>
    <t>REDTI1</t>
  </si>
  <si>
    <t>REYDON</t>
  </si>
  <si>
    <t>RIVERF</t>
  </si>
  <si>
    <t>RKYERF</t>
  </si>
  <si>
    <t>RMSYSF</t>
  </si>
  <si>
    <t>RMWFII</t>
  </si>
  <si>
    <t>ROOKRY</t>
  </si>
  <si>
    <t>ROYSTN</t>
  </si>
  <si>
    <t>RYMESF</t>
  </si>
  <si>
    <t>SALHSE</t>
  </si>
  <si>
    <t>SANDSF</t>
  </si>
  <si>
    <t>SCMOOR</t>
  </si>
  <si>
    <t>SCROBY</t>
  </si>
  <si>
    <t>SCTTOW</t>
  </si>
  <si>
    <t>SFAMSF</t>
  </si>
  <si>
    <t>SFKEFW</t>
  </si>
  <si>
    <t>SHERSH</t>
  </si>
  <si>
    <t>SHOTSF</t>
  </si>
  <si>
    <t>SNTBRE</t>
  </si>
  <si>
    <t>SPRIGS</t>
  </si>
  <si>
    <t>STAGSH</t>
  </si>
  <si>
    <t>STCLSF</t>
  </si>
  <si>
    <t>STNPTS</t>
  </si>
  <si>
    <t>STOSTH</t>
  </si>
  <si>
    <t>STRTHL</t>
  </si>
  <si>
    <t>STWBRG</t>
  </si>
  <si>
    <t>SWNLND</t>
  </si>
  <si>
    <t>THAMBS</t>
  </si>
  <si>
    <t>THAXSF</t>
  </si>
  <si>
    <t>THORNM</t>
  </si>
  <si>
    <t>TILGRN</t>
  </si>
  <si>
    <t>TOGGAM</t>
  </si>
  <si>
    <t>TOLLBS</t>
  </si>
  <si>
    <t>TOOLEY</t>
  </si>
  <si>
    <t>TRNCLE</t>
  </si>
  <si>
    <t>TROWSF</t>
  </si>
  <si>
    <t>UKPRST</t>
  </si>
  <si>
    <t>VINESF</t>
  </si>
  <si>
    <t>WAIRWF</t>
  </si>
  <si>
    <t>WCKHAM</t>
  </si>
  <si>
    <t>WDLWWF</t>
  </si>
  <si>
    <t>WDLWWW</t>
  </si>
  <si>
    <t>WHIRSF</t>
  </si>
  <si>
    <t>WHMLWF</t>
  </si>
  <si>
    <t>WIGGIN</t>
  </si>
  <si>
    <t>WLBRHM</t>
  </si>
  <si>
    <t>WOBRBS</t>
  </si>
  <si>
    <t>WOOLLY</t>
  </si>
  <si>
    <t>WRGSTE</t>
  </si>
  <si>
    <t>WRYDEC</t>
  </si>
  <si>
    <t>WSBRDG</t>
  </si>
  <si>
    <t>WSTNLV</t>
  </si>
  <si>
    <t>WTRLOO</t>
  </si>
  <si>
    <t>ENET</t>
  </si>
  <si>
    <t>1030081553176;1030081553404</t>
  </si>
  <si>
    <t>1030085114723;1030085114955</t>
  </si>
  <si>
    <t>1014572898446;1030076303426</t>
  </si>
  <si>
    <t>1023545945047;1030077668707</t>
  </si>
  <si>
    <t>1030084129409;1030084129630;1030084129862</t>
  </si>
  <si>
    <t>1030041592510;1030041592742;1030041592974;1030041593203</t>
  </si>
  <si>
    <t>1030041591590;1030041591828;1030041592050;1030041592282;1050000011309</t>
  </si>
  <si>
    <t>1023485782314;1050000914910</t>
  </si>
  <si>
    <t>1023485782546;1050000914900</t>
  </si>
  <si>
    <t>1030017556367;1050003019620</t>
  </si>
  <si>
    <t>1030017556135;1050003019630</t>
  </si>
  <si>
    <t>1023497822125;1023497822357;1023514863056;1030010107819</t>
  </si>
  <si>
    <t>1023497821664;1023497821896;1023514686185;1030010107580</t>
  </si>
  <si>
    <t>1050000612880;1050001004933;1050001004942</t>
  </si>
  <si>
    <t>1050000612870;1050001004915;1050001004924</t>
  </si>
  <si>
    <t>1023487352751;1023487353212</t>
  </si>
  <si>
    <t>1023487353444;1023525149808</t>
  </si>
  <si>
    <t>1030037258165;1030037720697</t>
  </si>
  <si>
    <t>1030037258397;1030037258625</t>
  </si>
  <si>
    <t>1050001073468;1050001073459;1050001073440;1050001073412;1050001073342</t>
  </si>
  <si>
    <t>1050001073500;1050001073510;1050001073547;1050001073538;1050001073529</t>
  </si>
  <si>
    <t>MSID: 7401</t>
  </si>
  <si>
    <t>MSID: 7309</t>
  </si>
  <si>
    <t>MSID: 7508</t>
  </si>
  <si>
    <t>MSID: 7472</t>
  </si>
  <si>
    <t>MSID: 7439</t>
  </si>
  <si>
    <t>MSID: 7510</t>
  </si>
  <si>
    <t>MSID: 7502</t>
  </si>
  <si>
    <t>MSID: 7504</t>
  </si>
  <si>
    <t>MSID: 7523</t>
  </si>
  <si>
    <t>MSID: 7111</t>
  </si>
  <si>
    <t>MSID: 7277</t>
  </si>
  <si>
    <t>MSID: 7243</t>
  </si>
  <si>
    <t>MSID: 7432</t>
  </si>
  <si>
    <t>MSID: 7537</t>
  </si>
  <si>
    <t>MSID: 7044</t>
  </si>
  <si>
    <t>MSID: 7566</t>
  </si>
  <si>
    <t>MSID: 7006</t>
  </si>
  <si>
    <t>MSID: 7250</t>
  </si>
  <si>
    <t>MSID: 7539</t>
  </si>
  <si>
    <t>MSID: 7498</t>
  </si>
  <si>
    <t>MSID: 7402</t>
  </si>
  <si>
    <t>MSID: 7308</t>
  </si>
  <si>
    <t>MSID: 7509</t>
  </si>
  <si>
    <t>MSID: 7473</t>
  </si>
  <si>
    <t>MSID: 7440</t>
  </si>
  <si>
    <t>MSID: 7511</t>
  </si>
  <si>
    <t>MSID: 7503</t>
  </si>
  <si>
    <t>MSID: 7505</t>
  </si>
  <si>
    <t>MSID: 7524</t>
  </si>
  <si>
    <t>MSID: 7433</t>
  </si>
  <si>
    <t>MSID: 7538</t>
  </si>
  <si>
    <t>MSID: 7567</t>
  </si>
  <si>
    <t>MSID: 7540</t>
  </si>
  <si>
    <t>MSID: 7323</t>
  </si>
  <si>
    <t>MSID: 7499</t>
  </si>
  <si>
    <t/>
  </si>
  <si>
    <t>1014571445536;1023477037942</t>
  </si>
  <si>
    <t>1050001872410;1050001872400</t>
  </si>
  <si>
    <t>1014571965793;1023475403798</t>
  </si>
  <si>
    <t>1014572502380;1023475256360</t>
  </si>
  <si>
    <t>1014572546086;1023545733475;1050000169030</t>
  </si>
  <si>
    <t>1014571132500;1023474247588</t>
  </si>
  <si>
    <t>1050001068050;1050001068069</t>
  </si>
  <si>
    <t>1030050289278;1030050289506</t>
  </si>
  <si>
    <t>1014572805060;1023475632649</t>
  </si>
  <si>
    <t>1014572640842;1014572641075</t>
  </si>
  <si>
    <t>1023518907371;1023518908064</t>
  </si>
  <si>
    <t>1023526590750;1023526590982;1023526591211</t>
  </si>
  <si>
    <t>1014572633250;1023479907422</t>
  </si>
  <si>
    <t>1023482441566;1023492579962</t>
  </si>
  <si>
    <t>1014569657748;1014569657970</t>
  </si>
  <si>
    <t>1023475634488;1023475635409</t>
  </si>
  <si>
    <t>1014570677103;1023475633563;1023475634256;1023475634948;1023484819994</t>
  </si>
  <si>
    <t>1030074763118;1030074763340</t>
  </si>
  <si>
    <t>1050001003372;1050001003381;1050001003390</t>
  </si>
  <si>
    <t>1050002167017;1050002167026;1050002167035;1050002167044</t>
  </si>
  <si>
    <t>1050002218665;1050002218656</t>
  </si>
  <si>
    <t>1023504932800;1050002056960;1050001791601</t>
  </si>
  <si>
    <t>1014568599280;1023477604661</t>
  </si>
  <si>
    <t>1023478728447;1023478728907</t>
  </si>
  <si>
    <t>1030059686387;1030060990025;1030060990257;1030060990489</t>
  </si>
  <si>
    <t>1050000907391;1050000907407;1050000907416;1050000907443</t>
  </si>
  <si>
    <t>1023533706269;1023533706490</t>
  </si>
  <si>
    <t>1030022814396;1030022814624;1030022814856;1030022815089</t>
  </si>
  <si>
    <t>1014572907871;1023484600573</t>
  </si>
  <si>
    <t>1030062357607;1030062357839</t>
  </si>
  <si>
    <t>1030062872341;1030062872573</t>
  </si>
  <si>
    <t>1050001450466;1050001450475</t>
  </si>
  <si>
    <t>1014572632790;1015685836242</t>
  </si>
  <si>
    <t>1014572860726;1023479474560</t>
  </si>
  <si>
    <t>1050001877738;1050001878244</t>
  </si>
  <si>
    <t>1030083272428;1050001161751</t>
  </si>
  <si>
    <t>1030047519845;1030047520070;1050001977780</t>
  </si>
  <si>
    <t>1015685338293;1050002261340;1050002261369;1050002261378;1050002261387</t>
  </si>
  <si>
    <t>1014573052317;1023470683505</t>
  </si>
  <si>
    <t>1030065428330;1030065428562</t>
  </si>
  <si>
    <t>1014571158953;1014571159186;1014571159414</t>
  </si>
  <si>
    <t>1030076325049;1030076325270</t>
  </si>
  <si>
    <t>1030059750786;1030059751015;1050001656595;1050001656600</t>
  </si>
  <si>
    <t>1050000774270;1050001847557</t>
  </si>
  <si>
    <t>1050000774289;1050001847566</t>
  </si>
  <si>
    <t>1050003081726;1050003145575</t>
  </si>
  <si>
    <t>1050001439408;1050001444588;1050001444611</t>
  </si>
  <si>
    <t>1050001439417;1050001444620;1050001444602</t>
  </si>
  <si>
    <t>1050001440529;1050001466280;1050001466304</t>
  </si>
  <si>
    <t>1050001041651;1050002366470</t>
  </si>
  <si>
    <t>1050000890756;1050001013812</t>
  </si>
  <si>
    <t>1050000890765;1050001013803</t>
  </si>
  <si>
    <t>1050001541858;1050002380289</t>
  </si>
  <si>
    <t>1050001541867;1050002380298</t>
  </si>
  <si>
    <t>MSID: 7409</t>
  </si>
  <si>
    <t>MSID: 2035</t>
  </si>
  <si>
    <t>ABBE11</t>
  </si>
  <si>
    <t>Abberton Grid 132kV</t>
  </si>
  <si>
    <t>ABBO51</t>
  </si>
  <si>
    <t>Abbots Central Primary 11kV</t>
  </si>
  <si>
    <t>ACRO51</t>
  </si>
  <si>
    <t>Acrows Primary 11kV</t>
  </si>
  <si>
    <t>ADEB51</t>
  </si>
  <si>
    <t>Addenbrookes Primary 11kV</t>
  </si>
  <si>
    <t>ADEL51</t>
  </si>
  <si>
    <t>Adelaide St Primary 11kV</t>
  </si>
  <si>
    <t>ALDR51</t>
  </si>
  <si>
    <t>Aldreth Primary 11kV</t>
  </si>
  <si>
    <t>ALDR52</t>
  </si>
  <si>
    <t>ALPI51</t>
  </si>
  <si>
    <t>Alpington Primary 11kV</t>
  </si>
  <si>
    <t>ALRE51</t>
  </si>
  <si>
    <t>Alresford Primary 11kV</t>
  </si>
  <si>
    <t>AMEP51</t>
  </si>
  <si>
    <t>Amersham Primary 11kV</t>
  </si>
  <si>
    <t>AMEP52</t>
  </si>
  <si>
    <t>AMPT51</t>
  </si>
  <si>
    <t>Ampthill Primary 11kV</t>
  </si>
  <si>
    <t>ARBY51</t>
  </si>
  <si>
    <t>Arbury Grid 11kV</t>
  </si>
  <si>
    <t>ALDA51</t>
  </si>
  <si>
    <t>Arla Dairies Primary 11kV</t>
  </si>
  <si>
    <t>ATTL51</t>
  </si>
  <si>
    <t>Attleborough Primary 11kV</t>
  </si>
  <si>
    <t>AUCP51</t>
  </si>
  <si>
    <t>Austin Canons Primary 11kV</t>
  </si>
  <si>
    <t>AUST51</t>
  </si>
  <si>
    <t>Austin Street Primary 11kV</t>
  </si>
  <si>
    <t>AYLS51</t>
  </si>
  <si>
    <t>Aylsham Primary 11kV</t>
  </si>
  <si>
    <t>BARC51</t>
  </si>
  <si>
    <t>Barclay Way Primary 11kV</t>
  </si>
  <si>
    <t>BARE51</t>
  </si>
  <si>
    <t>Barnwell Primary 11kV</t>
  </si>
  <si>
    <t>BAST51</t>
  </si>
  <si>
    <t>Barrack St Primary 11kV</t>
  </si>
  <si>
    <t>BARR51</t>
  </si>
  <si>
    <t>Barrow Primary 11kV</t>
  </si>
  <si>
    <t>BHAM51</t>
  </si>
  <si>
    <t>Barsham Primary 11kV</t>
  </si>
  <si>
    <t>BART51</t>
  </si>
  <si>
    <t>Barton Primary 11kV</t>
  </si>
  <si>
    <t>BASL51</t>
  </si>
  <si>
    <t>Basildon Local Primary 11kV</t>
  </si>
  <si>
    <t>BASS51</t>
  </si>
  <si>
    <t>Bassingbourn Primary 11kV</t>
  </si>
  <si>
    <t>BATA51</t>
  </si>
  <si>
    <t>Bata Primary 11kV</t>
  </si>
  <si>
    <t>BECC51</t>
  </si>
  <si>
    <t>Beccles Primary 11kV</t>
  </si>
  <si>
    <t>BECO51</t>
  </si>
  <si>
    <t>Becontree Primary 11kV</t>
  </si>
  <si>
    <t>BEEP51</t>
  </si>
  <si>
    <t>Bee Primary 11kV</t>
  </si>
  <si>
    <t>BEIG51</t>
  </si>
  <si>
    <t>Beighton Primary 11kV</t>
  </si>
  <si>
    <t>BLCH51</t>
  </si>
  <si>
    <t>Belchamp Grid 11kV</t>
  </si>
  <si>
    <t>BVUE51</t>
  </si>
  <si>
    <t>Bellevue Primary 11kV</t>
  </si>
  <si>
    <t>BELL51</t>
  </si>
  <si>
    <t>Bellhouse Ln Primary 11kV</t>
  </si>
  <si>
    <t>BENH51</t>
  </si>
  <si>
    <t>Benhall Primary 11kV</t>
  </si>
  <si>
    <t>BENT51</t>
  </si>
  <si>
    <t>Bentwaters Primary 11kV</t>
  </si>
  <si>
    <t>BECH51</t>
  </si>
  <si>
    <t>Berechurch Primary 11kV</t>
  </si>
  <si>
    <t>BERE51</t>
  </si>
  <si>
    <t>Beresford Av Primary 11kV</t>
  </si>
  <si>
    <t>BERK51</t>
  </si>
  <si>
    <t>Berkhamsted Primary 11kV</t>
  </si>
  <si>
    <t>BIGG51</t>
  </si>
  <si>
    <t>Biggleswade Primary 11kV</t>
  </si>
  <si>
    <t>BIGG52</t>
  </si>
  <si>
    <t>BILL51</t>
  </si>
  <si>
    <t>Billericay East Primary 11kV</t>
  </si>
  <si>
    <t>BOIS51</t>
  </si>
  <si>
    <t>Bois Ln Primary 11kV</t>
  </si>
  <si>
    <t>BOUN51</t>
  </si>
  <si>
    <t>Boundary Park Primary 11kV</t>
  </si>
  <si>
    <t>BOUR51</t>
  </si>
  <si>
    <t>Bourn Primary 11kV</t>
  </si>
  <si>
    <t>BOXT51</t>
  </si>
  <si>
    <t>Boxted Primary 11kV</t>
  </si>
  <si>
    <t>BOXT52</t>
  </si>
  <si>
    <t>BRAD51</t>
  </si>
  <si>
    <t>Bradwell Primary 11kV</t>
  </si>
  <si>
    <t>BDEP51</t>
  </si>
  <si>
    <t>Braintree Depot Primary 11kV</t>
  </si>
  <si>
    <t>BDEP52</t>
  </si>
  <si>
    <t>BICK51</t>
  </si>
  <si>
    <t>Braiswick Primary 11kV</t>
  </si>
  <si>
    <t>BRAN51</t>
  </si>
  <si>
    <t>Brandon Primary 11kV</t>
  </si>
  <si>
    <t>BTHM51</t>
  </si>
  <si>
    <t>Brantham Primary 11kV</t>
  </si>
  <si>
    <t>BREN51</t>
  </si>
  <si>
    <t>Brentwood Primary 11kV</t>
  </si>
  <si>
    <t>BRIM11</t>
  </si>
  <si>
    <t>Brimsdown Grid 132kV</t>
  </si>
  <si>
    <t>BRSO51</t>
  </si>
  <si>
    <t>Brimsdown South Grid 11kV</t>
  </si>
  <si>
    <t>BRSO52</t>
  </si>
  <si>
    <t>BRIN51</t>
  </si>
  <si>
    <t>Brington Primary 11kV</t>
  </si>
  <si>
    <t>BRCK51</t>
  </si>
  <si>
    <t>Brockenhurst Primary 11kV</t>
  </si>
  <si>
    <t>BROG51</t>
  </si>
  <si>
    <t>Brogborough Primary 11kV</t>
  </si>
  <si>
    <t>BROX51</t>
  </si>
  <si>
    <t>Broxbourne Primary 11kV</t>
  </si>
  <si>
    <t>BRUC51</t>
  </si>
  <si>
    <t>Bruce Gv Primary 11kV</t>
  </si>
  <si>
    <t>BUCK51</t>
  </si>
  <si>
    <t>Buckingham Rd Primary 11kV</t>
  </si>
  <si>
    <t>BUNG51</t>
  </si>
  <si>
    <t>Bungay Primary 11kV</t>
  </si>
  <si>
    <t>BURN51</t>
  </si>
  <si>
    <t>Burnham Primary 11kV</t>
  </si>
  <si>
    <t>BTHO51</t>
  </si>
  <si>
    <t>Burnham Thorpe Primary 11kV</t>
  </si>
  <si>
    <t>BURW51</t>
  </si>
  <si>
    <t>Burwell Primary 11kV</t>
  </si>
  <si>
    <t>BURG51</t>
  </si>
  <si>
    <t>Bury Grid 11kV</t>
  </si>
  <si>
    <t>BCAM51</t>
  </si>
  <si>
    <t>Bury Primary 11kV</t>
  </si>
  <si>
    <t>BUST51</t>
  </si>
  <si>
    <t>Bury St Primary 11kV</t>
  </si>
  <si>
    <t>BUSY51</t>
  </si>
  <si>
    <t>Bushey Mill Grid 11kV</t>
  </si>
  <si>
    <t>CADD51</t>
  </si>
  <si>
    <t>Caddington Primary 11kV</t>
  </si>
  <si>
    <t>CAIS51</t>
  </si>
  <si>
    <t>Caister Primary 11kV</t>
  </si>
  <si>
    <t>CANV51</t>
  </si>
  <si>
    <t>Canvey Primary 11kV</t>
  </si>
  <si>
    <t>CAPB51</t>
  </si>
  <si>
    <t>Capability Green Primary 11kV</t>
  </si>
  <si>
    <t>CELP51</t>
  </si>
  <si>
    <t>Cell Barnes Primary 11kV</t>
  </si>
  <si>
    <t>CEDM51</t>
  </si>
  <si>
    <t>Central Edmonton Primary 11kV</t>
  </si>
  <si>
    <t>CHAR51</t>
  </si>
  <si>
    <t>Central Harpenden Primary 11kV</t>
  </si>
  <si>
    <t>CPOT51</t>
  </si>
  <si>
    <t>Central Potters Bar Primary 11kV</t>
  </si>
  <si>
    <t>CTOT51</t>
  </si>
  <si>
    <t>Central Tottenham Primary 11kV</t>
  </si>
  <si>
    <t>CWEL51</t>
  </si>
  <si>
    <t>Central Welwyn Primary 11kV</t>
  </si>
  <si>
    <t>CWEM51</t>
  </si>
  <si>
    <t>Central Wembley Primary 11kV</t>
  </si>
  <si>
    <t>CHAL51</t>
  </si>
  <si>
    <t>Chalvedon Primary 11kV</t>
  </si>
  <si>
    <t>CHAN51</t>
  </si>
  <si>
    <t>Chantry Ln Primary 11kV</t>
  </si>
  <si>
    <t>CHAS51</t>
  </si>
  <si>
    <t>Chase Cross Primary 11kV</t>
  </si>
  <si>
    <t>CHAT51</t>
  </si>
  <si>
    <t>Chatteris Primary 11kV</t>
  </si>
  <si>
    <t>CHAU51</t>
  </si>
  <si>
    <t>Chaul End Primary 11kV</t>
  </si>
  <si>
    <t>CHAU52</t>
  </si>
  <si>
    <t>CHED51</t>
  </si>
  <si>
    <t>Cheddington Primary 11kV</t>
  </si>
  <si>
    <t>CHEL51</t>
  </si>
  <si>
    <t>Chelmsford East Local 11kV</t>
  </si>
  <si>
    <t>CHNG51</t>
  </si>
  <si>
    <t>Chelmsford North Grid 11kV</t>
  </si>
  <si>
    <t>CHEN51</t>
  </si>
  <si>
    <t>Chequers Primary 11kV</t>
  </si>
  <si>
    <t>CHGN51</t>
  </si>
  <si>
    <t>Cherry Grn Primary 11kV</t>
  </si>
  <si>
    <t>CHTR51</t>
  </si>
  <si>
    <t>Cherry Tree Primary 11kV</t>
  </si>
  <si>
    <t>CHIN51</t>
  </si>
  <si>
    <t>Chinnor Primary 11kV</t>
  </si>
  <si>
    <t>CHIS51</t>
  </si>
  <si>
    <t>Chisbon Heath Primary 11kV</t>
  </si>
  <si>
    <t>CHUR51</t>
  </si>
  <si>
    <t>Church End Primary 11kV</t>
  </si>
  <si>
    <t>CLAC51</t>
  </si>
  <si>
    <t>Clacton 11kV</t>
  </si>
  <si>
    <t>CLAY51</t>
  </si>
  <si>
    <t>Claydon Cement Primary 11kV</t>
  </si>
  <si>
    <t>COCK51</t>
  </si>
  <si>
    <t>Cockfosters Primary 11kV</t>
  </si>
  <si>
    <t>COGG51</t>
  </si>
  <si>
    <t>Coggeshall Primary 11kV</t>
  </si>
  <si>
    <t>COLC51</t>
  </si>
  <si>
    <t>Colchester Grid 11kV</t>
  </si>
  <si>
    <t>CDBR51</t>
  </si>
  <si>
    <t>Coldharbour Farm 11kV</t>
  </si>
  <si>
    <t>COLI51</t>
  </si>
  <si>
    <t>Colindale Grid 11kV</t>
  </si>
  <si>
    <t>COLI52</t>
  </si>
  <si>
    <t>CORN51</t>
  </si>
  <si>
    <t>Cornard Primary 11kV</t>
  </si>
  <si>
    <t>CORY31</t>
  </si>
  <si>
    <t>Coryton Grid 33kV</t>
  </si>
  <si>
    <t>COTT51</t>
  </si>
  <si>
    <t>Cotton Primary 11kV</t>
  </si>
  <si>
    <t>COXF51</t>
  </si>
  <si>
    <t>Coxford Primary 11kV</t>
  </si>
  <si>
    <t>CRAN51</t>
  </si>
  <si>
    <t>Cranham Primary 11kV</t>
  </si>
  <si>
    <t>CRGN71</t>
  </si>
  <si>
    <t>Cranley Gdns Primary 6.6kV</t>
  </si>
  <si>
    <t>CRIN51</t>
  </si>
  <si>
    <t>Cringleford Primary 11kV</t>
  </si>
  <si>
    <t>CROM51</t>
  </si>
  <si>
    <t>Cromer Primary 11kV</t>
  </si>
  <si>
    <t>CROE71</t>
  </si>
  <si>
    <t>Crouch End Primary 6.6kV</t>
  </si>
  <si>
    <t>CROY51</t>
  </si>
  <si>
    <t>Croydon Primary 11kV</t>
  </si>
  <si>
    <t>CUFF51</t>
  </si>
  <si>
    <t>Cuffley Primary 11kV</t>
  </si>
  <si>
    <t>DANB51</t>
  </si>
  <si>
    <t>Danbury Primary 11kV</t>
  </si>
  <si>
    <t>DEBE51</t>
  </si>
  <si>
    <t>Debenham Primary 11kV</t>
  </si>
  <si>
    <t>DSSS51</t>
  </si>
  <si>
    <t>Diss Grid 11kV</t>
  </si>
  <si>
    <t>DOCK51</t>
  </si>
  <si>
    <t>Dock Rd Primary 11kV</t>
  </si>
  <si>
    <t>DOVE51</t>
  </si>
  <si>
    <t>Dovercourt Primary 11kV</t>
  </si>
  <si>
    <t>DOWN51</t>
  </si>
  <si>
    <t>Downham Market Primary 11kV</t>
  </si>
  <si>
    <t>DRIN51</t>
  </si>
  <si>
    <t>Drinkstone Primary 11kV</t>
  </si>
  <si>
    <t>DUNM51</t>
  </si>
  <si>
    <t>Dunmow Primary 11kV</t>
  </si>
  <si>
    <t>DUNS51</t>
  </si>
  <si>
    <t>Dunstable Primary 11kV</t>
  </si>
  <si>
    <t>DURH51</t>
  </si>
  <si>
    <t>Durham Rd Primary 11kV</t>
  </si>
  <si>
    <t>EARL51</t>
  </si>
  <si>
    <t>Earlham Grid Local 11kV</t>
  </si>
  <si>
    <t>EARB51</t>
  </si>
  <si>
    <t>Earlham Grid Local B 11kV</t>
  </si>
  <si>
    <t>EARW51</t>
  </si>
  <si>
    <t>Earlham West Primary 11kV</t>
  </si>
  <si>
    <t>EBAR51</t>
  </si>
  <si>
    <t>East Barnet Primary 11kV</t>
  </si>
  <si>
    <t>EASB51</t>
  </si>
  <si>
    <t>East Bay Primary 11kV</t>
  </si>
  <si>
    <t>EDER51</t>
  </si>
  <si>
    <t>East Dereham Primary 11kV</t>
  </si>
  <si>
    <t>EENF51</t>
  </si>
  <si>
    <t>East Enfield Primary 11kV</t>
  </si>
  <si>
    <t>EFNP51</t>
  </si>
  <si>
    <t>East Finchley Primary 11kV</t>
  </si>
  <si>
    <t>EHAR51</t>
  </si>
  <si>
    <t>East Harpenden Primary 11kV</t>
  </si>
  <si>
    <t>EHER51</t>
  </si>
  <si>
    <t>East Hertford Primary 11kV</t>
  </si>
  <si>
    <t>ELET51</t>
  </si>
  <si>
    <t>East Letchworth Primary 11kV</t>
  </si>
  <si>
    <t>ESTE51</t>
  </si>
  <si>
    <t>East Stevenage Primary 11kV</t>
  </si>
  <si>
    <t>EASC51</t>
  </si>
  <si>
    <t>Eastcote Primary 11kV</t>
  </si>
  <si>
    <t>EDIS51</t>
  </si>
  <si>
    <t>Edison Rd Grid 11kV</t>
  </si>
  <si>
    <t>EDIS52</t>
  </si>
  <si>
    <t>EGME51</t>
  </si>
  <si>
    <t>Egmere Primary 11kV</t>
  </si>
  <si>
    <t>ELMP51</t>
  </si>
  <si>
    <t>Elm Park Primary 11kV</t>
  </si>
  <si>
    <t>ELMS51</t>
  </si>
  <si>
    <t>Elmswell Primary 11kV</t>
  </si>
  <si>
    <t>ELEE51</t>
  </si>
  <si>
    <t>Elstree Primary 11kV</t>
  </si>
  <si>
    <t>ELEE52</t>
  </si>
  <si>
    <t>ELYP51</t>
  </si>
  <si>
    <t>Ely Primary 11kV</t>
  </si>
  <si>
    <t>BRMI81</t>
  </si>
  <si>
    <t>EPN 0001</t>
  </si>
  <si>
    <t>BRMI82</t>
  </si>
  <si>
    <t>SUTT31</t>
  </si>
  <si>
    <t>EPN 0002</t>
  </si>
  <si>
    <t>CASF31</t>
  </si>
  <si>
    <t>EPN 0003</t>
  </si>
  <si>
    <t>WASW31</t>
  </si>
  <si>
    <t>EPN 0004</t>
  </si>
  <si>
    <t>SBSF31</t>
  </si>
  <si>
    <t>EPN 0006</t>
  </si>
  <si>
    <t>WLSF31</t>
  </si>
  <si>
    <t>EPN 0007</t>
  </si>
  <si>
    <t>WAWF31</t>
  </si>
  <si>
    <t>EPN 0008</t>
  </si>
  <si>
    <t>BTPR51</t>
  </si>
  <si>
    <t>EPN 0009</t>
  </si>
  <si>
    <t>BRCR81</t>
  </si>
  <si>
    <t>EPN 0010</t>
  </si>
  <si>
    <t>BRCR82</t>
  </si>
  <si>
    <t>KIGO51</t>
  </si>
  <si>
    <t>EPN 0011</t>
  </si>
  <si>
    <t>FBPR51</t>
  </si>
  <si>
    <t>EPN 0012</t>
  </si>
  <si>
    <t>BRSP81</t>
  </si>
  <si>
    <t>EPN 0015</t>
  </si>
  <si>
    <t>BRSP82</t>
  </si>
  <si>
    <t>DRAP31</t>
  </si>
  <si>
    <t>EPN 0016</t>
  </si>
  <si>
    <t>BRMN81</t>
  </si>
  <si>
    <t>EPN 0017</t>
  </si>
  <si>
    <t>BRHY81</t>
  </si>
  <si>
    <t>EPN 0018</t>
  </si>
  <si>
    <t>BRHY82</t>
  </si>
  <si>
    <t>GUNW31</t>
  </si>
  <si>
    <t>EPN 0019</t>
  </si>
  <si>
    <t>SEFW31</t>
  </si>
  <si>
    <t>EPN 0020</t>
  </si>
  <si>
    <t>BRSM81</t>
  </si>
  <si>
    <t>EPN 0021</t>
  </si>
  <si>
    <t>BSBU51</t>
  </si>
  <si>
    <t>EPN 0022</t>
  </si>
  <si>
    <t>LSGE31</t>
  </si>
  <si>
    <t>EPN 0023</t>
  </si>
  <si>
    <t>CDSM31</t>
  </si>
  <si>
    <t>EPN 0024</t>
  </si>
  <si>
    <t>RESF31</t>
  </si>
  <si>
    <t>EPN 0025</t>
  </si>
  <si>
    <t>GLEN31</t>
  </si>
  <si>
    <t>EPN 0026</t>
  </si>
  <si>
    <t>EHFG31</t>
  </si>
  <si>
    <t>EPN 0027</t>
  </si>
  <si>
    <t>GUNS31</t>
  </si>
  <si>
    <t>EPN 0028</t>
  </si>
  <si>
    <t>EESP31</t>
  </si>
  <si>
    <t>EPN 0029</t>
  </si>
  <si>
    <t>THPW31</t>
  </si>
  <si>
    <t>EPN 0030</t>
  </si>
  <si>
    <t>EYEP31</t>
  </si>
  <si>
    <t>EPN 0031</t>
  </si>
  <si>
    <t>TWFA31</t>
  </si>
  <si>
    <t>EPN 0032</t>
  </si>
  <si>
    <t>SHSF31</t>
  </si>
  <si>
    <t>EPN 0033</t>
  </si>
  <si>
    <t>DAIR31</t>
  </si>
  <si>
    <t>EPN 0034</t>
  </si>
  <si>
    <t>BAYF31</t>
  </si>
  <si>
    <t>EPN 0035</t>
  </si>
  <si>
    <t>WALT52</t>
  </si>
  <si>
    <t>EPN 0037</t>
  </si>
  <si>
    <t>BRLB81</t>
  </si>
  <si>
    <t>EPN 0038</t>
  </si>
  <si>
    <t>UASF31</t>
  </si>
  <si>
    <t>EPN 0039</t>
  </si>
  <si>
    <t>DOUB31</t>
  </si>
  <si>
    <t>EPN 0040</t>
  </si>
  <si>
    <t>CFGA31</t>
  </si>
  <si>
    <t>EPN 0041</t>
  </si>
  <si>
    <t>BERR71</t>
  </si>
  <si>
    <t>EPN 0043</t>
  </si>
  <si>
    <t>RAEG31</t>
  </si>
  <si>
    <t>EPN 0044</t>
  </si>
  <si>
    <t>ARAG51</t>
  </si>
  <si>
    <t>EPN 0045</t>
  </si>
  <si>
    <t>BRGP81</t>
  </si>
  <si>
    <t>EPN 0046</t>
  </si>
  <si>
    <t>FINC51</t>
  </si>
  <si>
    <t>EPN 0047</t>
  </si>
  <si>
    <t>GYPS11</t>
  </si>
  <si>
    <t>EPN 0048</t>
  </si>
  <si>
    <t>BRNW81</t>
  </si>
  <si>
    <t>EPN 0049</t>
  </si>
  <si>
    <t>LSEP31</t>
  </si>
  <si>
    <t>EPN 0050</t>
  </si>
  <si>
    <t>LSEP32</t>
  </si>
  <si>
    <t>HAPV31</t>
  </si>
  <si>
    <t>EPN 0051</t>
  </si>
  <si>
    <t>SHER11</t>
  </si>
  <si>
    <t>EPN 0052</t>
  </si>
  <si>
    <t>SHER12</t>
  </si>
  <si>
    <t>EBEC31</t>
  </si>
  <si>
    <t>EPN 0053</t>
  </si>
  <si>
    <t>NORF31</t>
  </si>
  <si>
    <t>EPN 0054</t>
  </si>
  <si>
    <t>WAIR31</t>
  </si>
  <si>
    <t>EPN 0055</t>
  </si>
  <si>
    <t>ELLO31</t>
  </si>
  <si>
    <t>EPN 0056</t>
  </si>
  <si>
    <t>SCSF31</t>
  </si>
  <si>
    <t>EPN 0057</t>
  </si>
  <si>
    <t>NOVA31</t>
  </si>
  <si>
    <t>EPN 0058</t>
  </si>
  <si>
    <t>BRUG81</t>
  </si>
  <si>
    <t>EPN 0059</t>
  </si>
  <si>
    <t>COOP31</t>
  </si>
  <si>
    <t>EPN 0060</t>
  </si>
  <si>
    <t>SPRI31</t>
  </si>
  <si>
    <t>EPN 0061</t>
  </si>
  <si>
    <t>HYDE31</t>
  </si>
  <si>
    <t>EPN 0062</t>
  </si>
  <si>
    <t>WIXO91</t>
  </si>
  <si>
    <t>EPN 0063</t>
  </si>
  <si>
    <t>WIXO92</t>
  </si>
  <si>
    <t>STRA31</t>
  </si>
  <si>
    <t>EPN 0064</t>
  </si>
  <si>
    <t>BRRY81</t>
  </si>
  <si>
    <t>EPN 0065</t>
  </si>
  <si>
    <t>BRRY82</t>
  </si>
  <si>
    <t>BRSC81</t>
  </si>
  <si>
    <t>EPN 0066</t>
  </si>
  <si>
    <t>BRSC82</t>
  </si>
  <si>
    <t>HIFL31</t>
  </si>
  <si>
    <t>EPN 0067</t>
  </si>
  <si>
    <t>FTPR51</t>
  </si>
  <si>
    <t>EPN 0068</t>
  </si>
  <si>
    <t>IMPN51</t>
  </si>
  <si>
    <t>EPN 0069</t>
  </si>
  <si>
    <t>IMPS51</t>
  </si>
  <si>
    <t>EPN 0070</t>
  </si>
  <si>
    <t>BRWF31</t>
  </si>
  <si>
    <t>EPN 0071</t>
  </si>
  <si>
    <t>MIDD31</t>
  </si>
  <si>
    <t>EPN 0072</t>
  </si>
  <si>
    <t>AWRE51</t>
  </si>
  <si>
    <t>EPN 0073</t>
  </si>
  <si>
    <t>BRRH81</t>
  </si>
  <si>
    <t>EPN 0074</t>
  </si>
  <si>
    <t>BRRH82</t>
  </si>
  <si>
    <t>WELW81</t>
  </si>
  <si>
    <t>EPN 0075</t>
  </si>
  <si>
    <t>WELW82</t>
  </si>
  <si>
    <t>BLCU51</t>
  </si>
  <si>
    <t>EPN 0076</t>
  </si>
  <si>
    <t>BLCU52</t>
  </si>
  <si>
    <t>MERD51</t>
  </si>
  <si>
    <t>EPN 0077</t>
  </si>
  <si>
    <t>MUN151</t>
  </si>
  <si>
    <t>EPN 0078</t>
  </si>
  <si>
    <t>MUN251</t>
  </si>
  <si>
    <t>EPN 0079</t>
  </si>
  <si>
    <t>VALU71</t>
  </si>
  <si>
    <t>EPN 0081</t>
  </si>
  <si>
    <t>VALU72</t>
  </si>
  <si>
    <t>HATY71</t>
  </si>
  <si>
    <t>EPN 0082</t>
  </si>
  <si>
    <t>SMPS31</t>
  </si>
  <si>
    <t>EPN 0083</t>
  </si>
  <si>
    <t>BROP31</t>
  </si>
  <si>
    <t>EPN 0084</t>
  </si>
  <si>
    <t>BROP32</t>
  </si>
  <si>
    <t>LEEM51</t>
  </si>
  <si>
    <t>EPN 0085</t>
  </si>
  <si>
    <t>PLAP31</t>
  </si>
  <si>
    <t>EPN 0086</t>
  </si>
  <si>
    <t>PTGN31</t>
  </si>
  <si>
    <t>EPN 0088</t>
  </si>
  <si>
    <t>UKPI91</t>
  </si>
  <si>
    <t>EPN 0089</t>
  </si>
  <si>
    <t>UKPI92</t>
  </si>
  <si>
    <t>MUCK31</t>
  </si>
  <si>
    <t>EPN 0090</t>
  </si>
  <si>
    <t>LGMI31</t>
  </si>
  <si>
    <t>EPN 0092</t>
  </si>
  <si>
    <t>BRBA81</t>
  </si>
  <si>
    <t>EPN 0093</t>
  </si>
  <si>
    <t>BRBA82</t>
  </si>
  <si>
    <t>NUML81</t>
  </si>
  <si>
    <t>EPN 0094</t>
  </si>
  <si>
    <t>MANR51</t>
  </si>
  <si>
    <t>EPN 0095</t>
  </si>
  <si>
    <t>BRWG81</t>
  </si>
  <si>
    <t>EPN 0096</t>
  </si>
  <si>
    <t>BRFP81</t>
  </si>
  <si>
    <t>EPN 0097</t>
  </si>
  <si>
    <t>DEEP51</t>
  </si>
  <si>
    <t>EPN 0098</t>
  </si>
  <si>
    <t>BRBR81</t>
  </si>
  <si>
    <t>EPN 0099</t>
  </si>
  <si>
    <t>PAMP81</t>
  </si>
  <si>
    <t>EPN 0100</t>
  </si>
  <si>
    <t>KLPS11</t>
  </si>
  <si>
    <t>EPN 0101</t>
  </si>
  <si>
    <t>PPST11</t>
  </si>
  <si>
    <t>EPN 0102</t>
  </si>
  <si>
    <t>BRNE81</t>
  </si>
  <si>
    <t>EPN 0103</t>
  </si>
  <si>
    <t>GLAS31</t>
  </si>
  <si>
    <t>EPN 0105</t>
  </si>
  <si>
    <t>REDT31</t>
  </si>
  <si>
    <t>EPN 0106</t>
  </si>
  <si>
    <t>EGAS31</t>
  </si>
  <si>
    <t>EPN 0107</t>
  </si>
  <si>
    <t>LESF31</t>
  </si>
  <si>
    <t>EPN 0108</t>
  </si>
  <si>
    <t>FSFM31</t>
  </si>
  <si>
    <t>EPN 0109</t>
  </si>
  <si>
    <t>NPWF31</t>
  </si>
  <si>
    <t>EPN 0110</t>
  </si>
  <si>
    <t>WISS31</t>
  </si>
  <si>
    <t>EPN 0111</t>
  </si>
  <si>
    <t>MSFS31</t>
  </si>
  <si>
    <t>EPN 0112</t>
  </si>
  <si>
    <t>BRKL81</t>
  </si>
  <si>
    <t>EPN 0113</t>
  </si>
  <si>
    <t>STAG31</t>
  </si>
  <si>
    <t>EPN 0115</t>
  </si>
  <si>
    <t>RANW31</t>
  </si>
  <si>
    <t>EPN 0116</t>
  </si>
  <si>
    <t>TUSF31</t>
  </si>
  <si>
    <t>EPN 0117</t>
  </si>
  <si>
    <t>BHWS31</t>
  </si>
  <si>
    <t>EPN 0117 / EPN 0134 / EPN 0162</t>
  </si>
  <si>
    <t>GLAM31</t>
  </si>
  <si>
    <t>EPN 0118</t>
  </si>
  <si>
    <t>WTMI31</t>
  </si>
  <si>
    <t>EPN 0119</t>
  </si>
  <si>
    <t>COLD31</t>
  </si>
  <si>
    <t>EPN 0120</t>
  </si>
  <si>
    <t>BRSF81</t>
  </si>
  <si>
    <t>EPN 0121</t>
  </si>
  <si>
    <t>BRSF82</t>
  </si>
  <si>
    <t>RAGN31</t>
  </si>
  <si>
    <t>EPN 0122</t>
  </si>
  <si>
    <t>ASHR51</t>
  </si>
  <si>
    <t>EPN 0123</t>
  </si>
  <si>
    <t>DAIL31</t>
  </si>
  <si>
    <t>EPN 0124</t>
  </si>
  <si>
    <t>ICGL91</t>
  </si>
  <si>
    <t>EPN 0125</t>
  </si>
  <si>
    <t>WISC51</t>
  </si>
  <si>
    <t>EPN 0126</t>
  </si>
  <si>
    <t>BIGL31</t>
  </si>
  <si>
    <t>EPN 0127</t>
  </si>
  <si>
    <t>PAHA31</t>
  </si>
  <si>
    <t>EPN 0128</t>
  </si>
  <si>
    <t>FWSF31</t>
  </si>
  <si>
    <t>EPN 0129</t>
  </si>
  <si>
    <t>BLUE31</t>
  </si>
  <si>
    <t>EPN 0130</t>
  </si>
  <si>
    <t>REDW31</t>
  </si>
  <si>
    <t>EPN 0131</t>
  </si>
  <si>
    <t>QURF31</t>
  </si>
  <si>
    <t>EPN 0132</t>
  </si>
  <si>
    <t>WISB31</t>
  </si>
  <si>
    <t>EPN 0133</t>
  </si>
  <si>
    <t>BASB31</t>
  </si>
  <si>
    <t>EPN 0135</t>
  </si>
  <si>
    <t>WOOL31</t>
  </si>
  <si>
    <t>EPN 0136</t>
  </si>
  <si>
    <t>HOBS31</t>
  </si>
  <si>
    <t>EPN 0137</t>
  </si>
  <si>
    <t>FESF31</t>
  </si>
  <si>
    <t>EPN 0138</t>
  </si>
  <si>
    <t>GESF31</t>
  </si>
  <si>
    <t>EPN 0139</t>
  </si>
  <si>
    <t>BOAR31</t>
  </si>
  <si>
    <t>EPN 0140</t>
  </si>
  <si>
    <t>BLPV31</t>
  </si>
  <si>
    <t>EPN 0141</t>
  </si>
  <si>
    <t>JALW31</t>
  </si>
  <si>
    <t>EPN 0142</t>
  </si>
  <si>
    <t>LASF31</t>
  </si>
  <si>
    <t>EPN 0143</t>
  </si>
  <si>
    <t>LGSF31</t>
  </si>
  <si>
    <t>EPN 0144</t>
  </si>
  <si>
    <t>OSYT31</t>
  </si>
  <si>
    <t>EPN 0145</t>
  </si>
  <si>
    <t>BXSF31</t>
  </si>
  <si>
    <t>EPN 0146</t>
  </si>
  <si>
    <t>HISF31</t>
  </si>
  <si>
    <t>EPN 0147</t>
  </si>
  <si>
    <t>WHSF31</t>
  </si>
  <si>
    <t>EPN 0148</t>
  </si>
  <si>
    <t>AVEN31</t>
  </si>
  <si>
    <t>EPN 0149</t>
  </si>
  <si>
    <t>WSFS31</t>
  </si>
  <si>
    <t>EPN 0150</t>
  </si>
  <si>
    <t>CRSF31</t>
  </si>
  <si>
    <t>EPN 0151</t>
  </si>
  <si>
    <t>OAIR31</t>
  </si>
  <si>
    <t>EPN 0152</t>
  </si>
  <si>
    <t>SCOW31</t>
  </si>
  <si>
    <t>EPN 0153</t>
  </si>
  <si>
    <t>KEFA31</t>
  </si>
  <si>
    <t>EPN 0154</t>
  </si>
  <si>
    <t>WERA31</t>
  </si>
  <si>
    <t>EPN 0155</t>
  </si>
  <si>
    <t>ACSF31</t>
  </si>
  <si>
    <t>EPN 0156</t>
  </si>
  <si>
    <t>FOSF31</t>
  </si>
  <si>
    <t>EPN 0157</t>
  </si>
  <si>
    <t>MFES31</t>
  </si>
  <si>
    <t>EPN 0158</t>
  </si>
  <si>
    <t>GWSF31</t>
  </si>
  <si>
    <t>EPN 0159</t>
  </si>
  <si>
    <t>RAWF31</t>
  </si>
  <si>
    <t>EPN 0160</t>
  </si>
  <si>
    <t>RAFC31</t>
  </si>
  <si>
    <t>EPN 0161</t>
  </si>
  <si>
    <t>BUHS31</t>
  </si>
  <si>
    <t>EPN 0162</t>
  </si>
  <si>
    <t>LISG31</t>
  </si>
  <si>
    <t>EPN 0163</t>
  </si>
  <si>
    <t>AISF31</t>
  </si>
  <si>
    <t>EPN 0164</t>
  </si>
  <si>
    <t>EXSF31</t>
  </si>
  <si>
    <t>EPN 0165</t>
  </si>
  <si>
    <t>UHWF31</t>
  </si>
  <si>
    <t>EPN 0166</t>
  </si>
  <si>
    <t>GTFR31</t>
  </si>
  <si>
    <t>EPN 0167</t>
  </si>
  <si>
    <t>HASF31</t>
  </si>
  <si>
    <t>EPN 0168</t>
  </si>
  <si>
    <t>GSBF31</t>
  </si>
  <si>
    <t>EPN 0169</t>
  </si>
  <si>
    <t>BNFS31</t>
  </si>
  <si>
    <t>EPN 0170</t>
  </si>
  <si>
    <t>MFSP31</t>
  </si>
  <si>
    <t>EPN 0171</t>
  </si>
  <si>
    <t>TLSF31</t>
  </si>
  <si>
    <t>EPN 0172</t>
  </si>
  <si>
    <t>PLSF31</t>
  </si>
  <si>
    <t>EPN 0173</t>
  </si>
  <si>
    <t>STHS31</t>
  </si>
  <si>
    <t>EPN 0174</t>
  </si>
  <si>
    <t>RYSF31</t>
  </si>
  <si>
    <t>EPN 0175</t>
  </si>
  <si>
    <t>CHUS31</t>
  </si>
  <si>
    <t>EPN 0176</t>
  </si>
  <si>
    <t>CHWF31</t>
  </si>
  <si>
    <t>EPN 0177</t>
  </si>
  <si>
    <t>BRDG31</t>
  </si>
  <si>
    <t>EPN 0178</t>
  </si>
  <si>
    <t>GFWS31</t>
  </si>
  <si>
    <t>EPN 0179</t>
  </si>
  <si>
    <t>ASPA31</t>
  </si>
  <si>
    <t>EPN 0180</t>
  </si>
  <si>
    <t>ASPB31</t>
  </si>
  <si>
    <t>EPN 0181</t>
  </si>
  <si>
    <t>WRDC31</t>
  </si>
  <si>
    <t>EPN 0182</t>
  </si>
  <si>
    <t>LEPK31</t>
  </si>
  <si>
    <t>EPN 0183</t>
  </si>
  <si>
    <t>BUNH31</t>
  </si>
  <si>
    <t>EPN 0184</t>
  </si>
  <si>
    <t>CMNG31</t>
  </si>
  <si>
    <t>EPN 0185</t>
  </si>
  <si>
    <t>OULT31</t>
  </si>
  <si>
    <t>EPN 0186</t>
  </si>
  <si>
    <t>ROOK31</t>
  </si>
  <si>
    <t>EPN 0187</t>
  </si>
  <si>
    <t>TROW31</t>
  </si>
  <si>
    <t>EPN 0188</t>
  </si>
  <si>
    <t>OWSF31</t>
  </si>
  <si>
    <t>EPN 0189</t>
  </si>
  <si>
    <t>VINE31</t>
  </si>
  <si>
    <t>EPN 0190</t>
  </si>
  <si>
    <t>ROSE31</t>
  </si>
  <si>
    <t>EPN 0191</t>
  </si>
  <si>
    <t>CRST31</t>
  </si>
  <si>
    <t>EPN 0192</t>
  </si>
  <si>
    <t>SCMO31</t>
  </si>
  <si>
    <t>EPN 0193</t>
  </si>
  <si>
    <t>ARDL31</t>
  </si>
  <si>
    <t>EPN 0194</t>
  </si>
  <si>
    <t>TOGM31</t>
  </si>
  <si>
    <t>EPN 0195</t>
  </si>
  <si>
    <t>DRMD31</t>
  </si>
  <si>
    <t>EPN 0196</t>
  </si>
  <si>
    <t>HNSM31</t>
  </si>
  <si>
    <t>EPN 0197</t>
  </si>
  <si>
    <t>BRYF31</t>
  </si>
  <si>
    <t>EPN 0198</t>
  </si>
  <si>
    <t>RMSY31</t>
  </si>
  <si>
    <t>EPN 0199</t>
  </si>
  <si>
    <t>SCRS31</t>
  </si>
  <si>
    <t>EPN 0200</t>
  </si>
  <si>
    <t>MLFD31</t>
  </si>
  <si>
    <t>EPN 0201</t>
  </si>
  <si>
    <t>ADPT31</t>
  </si>
  <si>
    <t>EPN 0203</t>
  </si>
  <si>
    <t>HRMT31</t>
  </si>
  <si>
    <t>EPN 0204</t>
  </si>
  <si>
    <t>NEAB81</t>
  </si>
  <si>
    <t>EPN 0205</t>
  </si>
  <si>
    <t>TIGP11</t>
  </si>
  <si>
    <t>EPN 0206</t>
  </si>
  <si>
    <t>SNBM31</t>
  </si>
  <si>
    <t>EPN 0207</t>
  </si>
  <si>
    <t>HFAG31</t>
  </si>
  <si>
    <t>EPN 0208</t>
  </si>
  <si>
    <t>TUCO31</t>
  </si>
  <si>
    <t>EPN 0209</t>
  </si>
  <si>
    <t>GPSF31</t>
  </si>
  <si>
    <t>EPN 0210</t>
  </si>
  <si>
    <t>HOTP31</t>
  </si>
  <si>
    <t>EPN 0211</t>
  </si>
  <si>
    <t>KTSF31</t>
  </si>
  <si>
    <t>EPN 0212</t>
  </si>
  <si>
    <t>HGSF31</t>
  </si>
  <si>
    <t>EPN 0213</t>
  </si>
  <si>
    <t>ELEC51</t>
  </si>
  <si>
    <t>EPN 0214</t>
  </si>
  <si>
    <t>ESTW31</t>
  </si>
  <si>
    <t>EPN 0215</t>
  </si>
  <si>
    <t>STSF31</t>
  </si>
  <si>
    <t>EPN 0216</t>
  </si>
  <si>
    <t>CGCS31</t>
  </si>
  <si>
    <t>EPN 0217</t>
  </si>
  <si>
    <t>MLFM31</t>
  </si>
  <si>
    <t>EPN 0218</t>
  </si>
  <si>
    <t>TRSF31</t>
  </si>
  <si>
    <t>EPN 0219</t>
  </si>
  <si>
    <t>GISF31</t>
  </si>
  <si>
    <t>EPN 0220</t>
  </si>
  <si>
    <t>MOTE31</t>
  </si>
  <si>
    <t>EPN 0221</t>
  </si>
  <si>
    <t>SRSF31</t>
  </si>
  <si>
    <t>EPN 0222</t>
  </si>
  <si>
    <t>DORT31</t>
  </si>
  <si>
    <t>EPN 0223</t>
  </si>
  <si>
    <t>CLHF31</t>
  </si>
  <si>
    <t>EPN 0224</t>
  </si>
  <si>
    <t>RAMP51</t>
  </si>
  <si>
    <t>EPN 0225</t>
  </si>
  <si>
    <t>ERNR11</t>
  </si>
  <si>
    <t>EPN 0226</t>
  </si>
  <si>
    <t>PGBS11</t>
  </si>
  <si>
    <t>EPN 0227</t>
  </si>
  <si>
    <t>CLQG11</t>
  </si>
  <si>
    <t>EPN 0228</t>
  </si>
  <si>
    <t>CFBS31</t>
  </si>
  <si>
    <t>EPN 0229</t>
  </si>
  <si>
    <t>NEBP31</t>
  </si>
  <si>
    <t>EPN 0230</t>
  </si>
  <si>
    <t>SAIR51</t>
  </si>
  <si>
    <t>EPN 0231</t>
  </si>
  <si>
    <t>SENW31</t>
  </si>
  <si>
    <t>EPN 0232</t>
  </si>
  <si>
    <t>LORP51</t>
  </si>
  <si>
    <t>EPN 0236</t>
  </si>
  <si>
    <t>BUSP51</t>
  </si>
  <si>
    <t>EPN 0237</t>
  </si>
  <si>
    <t>MABR71</t>
  </si>
  <si>
    <t>EPN 0238</t>
  </si>
  <si>
    <t>MAPG31</t>
  </si>
  <si>
    <t>EPN 0239</t>
  </si>
  <si>
    <t>CBWF31</t>
  </si>
  <si>
    <t>EPN 0240</t>
  </si>
  <si>
    <t>CAVG31</t>
  </si>
  <si>
    <t>EPN 0241</t>
  </si>
  <si>
    <t>GRGC31</t>
  </si>
  <si>
    <t>EPN 0242</t>
  </si>
  <si>
    <t>LSAS11</t>
  </si>
  <si>
    <t>EPN 0243</t>
  </si>
  <si>
    <t>HUBS31</t>
  </si>
  <si>
    <t>EPN 0244</t>
  </si>
  <si>
    <t>BUMP31</t>
  </si>
  <si>
    <t>EPN 0245</t>
  </si>
  <si>
    <t>ARDR31</t>
  </si>
  <si>
    <t>EPN 0246</t>
  </si>
  <si>
    <t>RAIH51</t>
  </si>
  <si>
    <t>EPN 0248</t>
  </si>
  <si>
    <t>RAIH52</t>
  </si>
  <si>
    <t>NORS31</t>
  </si>
  <si>
    <t>EPN 0249</t>
  </si>
  <si>
    <t>GOSF31</t>
  </si>
  <si>
    <t>EPN 0251</t>
  </si>
  <si>
    <t>PFGH31</t>
  </si>
  <si>
    <t>EPN 0252</t>
  </si>
  <si>
    <t>CPGH31</t>
  </si>
  <si>
    <t>EPN 0253</t>
  </si>
  <si>
    <t>RPGC11</t>
  </si>
  <si>
    <t>EPN 0254</t>
  </si>
  <si>
    <t>BEVF31</t>
  </si>
  <si>
    <t>EPN 0255</t>
  </si>
  <si>
    <t>WMBS11</t>
  </si>
  <si>
    <t>EPN 0256</t>
  </si>
  <si>
    <t>GRHG31</t>
  </si>
  <si>
    <t>EPN 0257</t>
  </si>
  <si>
    <t>LWBG31</t>
  </si>
  <si>
    <t>EPN 0258</t>
  </si>
  <si>
    <t>LKGF31</t>
  </si>
  <si>
    <t>EPN 0259</t>
  </si>
  <si>
    <t>TSFM31</t>
  </si>
  <si>
    <t>EPN 0260</t>
  </si>
  <si>
    <t>CFCG31</t>
  </si>
  <si>
    <t>EPN 0261</t>
  </si>
  <si>
    <t>HSWR51</t>
  </si>
  <si>
    <t>EPN 0262</t>
  </si>
  <si>
    <t>WEID11</t>
  </si>
  <si>
    <t>EPN 0263</t>
  </si>
  <si>
    <t>ATRP51</t>
  </si>
  <si>
    <t>EPN 0264</t>
  </si>
  <si>
    <t>KIBR31</t>
  </si>
  <si>
    <t>EPN 0265</t>
  </si>
  <si>
    <t>CDGL51</t>
  </si>
  <si>
    <t>EPN 0267</t>
  </si>
  <si>
    <t>BFBE11</t>
  </si>
  <si>
    <t>EPN 0268</t>
  </si>
  <si>
    <t>DOLL11</t>
  </si>
  <si>
    <t>EPN 0269</t>
  </si>
  <si>
    <t>ISFM31</t>
  </si>
  <si>
    <t>EPN 0270</t>
  </si>
  <si>
    <t>TOLL31</t>
  </si>
  <si>
    <t>EPN 0271</t>
  </si>
  <si>
    <t>CHAP31</t>
  </si>
  <si>
    <t>EPN 0272</t>
  </si>
  <si>
    <t>TOMW31</t>
  </si>
  <si>
    <t>EPN 0273</t>
  </si>
  <si>
    <t>WIFG31</t>
  </si>
  <si>
    <t>EPN 0274</t>
  </si>
  <si>
    <t>WSFM31</t>
  </si>
  <si>
    <t>EPN 0275</t>
  </si>
  <si>
    <t>TESF31</t>
  </si>
  <si>
    <t>EPN 0276</t>
  </si>
  <si>
    <t>RCTB11</t>
  </si>
  <si>
    <t>EPN 0277</t>
  </si>
  <si>
    <t>GCTB11</t>
  </si>
  <si>
    <t>EPN 0278</t>
  </si>
  <si>
    <t>WASH11</t>
  </si>
  <si>
    <t>EPN 0279</t>
  </si>
  <si>
    <t>DCPP11</t>
  </si>
  <si>
    <t>EPN 0281</t>
  </si>
  <si>
    <t>DCPP12</t>
  </si>
  <si>
    <t>BRTC31</t>
  </si>
  <si>
    <t>EPN 0282</t>
  </si>
  <si>
    <t>TRBE11</t>
  </si>
  <si>
    <t>EPN 0283</t>
  </si>
  <si>
    <t>ILBE11</t>
  </si>
  <si>
    <t>EPN 0284</t>
  </si>
  <si>
    <t>OUSF31</t>
  </si>
  <si>
    <t>EPN 0285</t>
  </si>
  <si>
    <t>OCSO11</t>
  </si>
  <si>
    <t>EPN 0286</t>
  </si>
  <si>
    <t>SSCS32</t>
  </si>
  <si>
    <t>EPN 0287</t>
  </si>
  <si>
    <t>HBSE11</t>
  </si>
  <si>
    <t>EPN 0288</t>
  </si>
  <si>
    <t>PENT31</t>
  </si>
  <si>
    <t>EPN 0289</t>
  </si>
  <si>
    <t>PWAY11</t>
  </si>
  <si>
    <t>EPN 0290</t>
  </si>
  <si>
    <t>GATE31</t>
  </si>
  <si>
    <t>EPN 0291</t>
  </si>
  <si>
    <t>WHIR11</t>
  </si>
  <si>
    <t>EPN 0292</t>
  </si>
  <si>
    <t>CROS31</t>
  </si>
  <si>
    <t>EPN 0293</t>
  </si>
  <si>
    <t>LINK31</t>
  </si>
  <si>
    <t>EPN 0294</t>
  </si>
  <si>
    <t>PBSF31</t>
  </si>
  <si>
    <t>EPN 0295</t>
  </si>
  <si>
    <t>MHBE11</t>
  </si>
  <si>
    <t>EPN 0296</t>
  </si>
  <si>
    <t>MOFG31</t>
  </si>
  <si>
    <t>EPN 0299</t>
  </si>
  <si>
    <t>CRPK31</t>
  </si>
  <si>
    <t>EPN 0302</t>
  </si>
  <si>
    <t>BHSF31</t>
  </si>
  <si>
    <t>EPN 0303</t>
  </si>
  <si>
    <t>GRDP31</t>
  </si>
  <si>
    <t>EPN 0304</t>
  </si>
  <si>
    <t>CDCG31</t>
  </si>
  <si>
    <t>EPN 0305</t>
  </si>
  <si>
    <t>RLSF11</t>
  </si>
  <si>
    <t>EPN 0306</t>
  </si>
  <si>
    <t>SPRS31</t>
  </si>
  <si>
    <t>EPN 0307</t>
  </si>
  <si>
    <t>BPHG31</t>
  </si>
  <si>
    <t>EPN 0309</t>
  </si>
  <si>
    <t>LMSF31</t>
  </si>
  <si>
    <t>EPN 0310</t>
  </si>
  <si>
    <t>MLAI11</t>
  </si>
  <si>
    <t>EPN 0311</t>
  </si>
  <si>
    <t>MLAI12</t>
  </si>
  <si>
    <t>MRAC3A</t>
  </si>
  <si>
    <t>EPN 0312</t>
  </si>
  <si>
    <t>RHLI11</t>
  </si>
  <si>
    <t>EPN 0313</t>
  </si>
  <si>
    <t>EXCH51</t>
  </si>
  <si>
    <t>Exchange St Primary 11kV</t>
  </si>
  <si>
    <t>EXCH52</t>
  </si>
  <si>
    <t>EXNI51</t>
  </si>
  <si>
    <t>Exning Primary 11kV</t>
  </si>
  <si>
    <t>EYPR51</t>
  </si>
  <si>
    <t>Eye Primary 11kV</t>
  </si>
  <si>
    <t>FAGB51</t>
  </si>
  <si>
    <t>Fagbury Rd Primary 11kV</t>
  </si>
  <si>
    <t>FAIR51</t>
  </si>
  <si>
    <t>Fairstead Primary 11kV</t>
  </si>
  <si>
    <t>FAKE51</t>
  </si>
  <si>
    <t>Fakenham Primary 11kV</t>
  </si>
  <si>
    <t>FARC51</t>
  </si>
  <si>
    <t>Farcet Primary 11kV</t>
  </si>
  <si>
    <t>FELT51</t>
  </si>
  <si>
    <t>Feltwell Primary 11kV</t>
  </si>
  <si>
    <t>FLEP51</t>
  </si>
  <si>
    <t>Fleethall Local Primary 11kV</t>
  </si>
  <si>
    <t>FORD51</t>
  </si>
  <si>
    <t>Fords Dunton Primary 11kV</t>
  </si>
  <si>
    <t>FORE51</t>
  </si>
  <si>
    <t>Fore Hamlet Primary 11kV</t>
  </si>
  <si>
    <t>FORN51</t>
  </si>
  <si>
    <t>Fornham Primary 11kV</t>
  </si>
  <si>
    <t>FOXY51</t>
  </si>
  <si>
    <t>Foxash Primary 11kV</t>
  </si>
  <si>
    <t>FRAM51</t>
  </si>
  <si>
    <t>Framlingham Primary 11kV</t>
  </si>
  <si>
    <t>FRIN51</t>
  </si>
  <si>
    <t>Frinton Primary 11kV</t>
  </si>
  <si>
    <t>FROG51</t>
  </si>
  <si>
    <t>Frogmore Primary 11kV</t>
  </si>
  <si>
    <t>FUNL51</t>
  </si>
  <si>
    <t>Fulbourn 11kV</t>
  </si>
  <si>
    <t>FUNT51</t>
  </si>
  <si>
    <t>Funthams Ln Primary 11kV</t>
  </si>
  <si>
    <t>GARD51</t>
  </si>
  <si>
    <t>Gardiners Ln Primary 11kV</t>
  </si>
  <si>
    <t>GAYW51</t>
  </si>
  <si>
    <t>Gaywood Bridge Primary 11kV</t>
  </si>
  <si>
    <t>GEOR51</t>
  </si>
  <si>
    <t>George Hill Primary 11kV</t>
  </si>
  <si>
    <t>GLAX51</t>
  </si>
  <si>
    <t>Glaxo Primary 11kV</t>
  </si>
  <si>
    <t>GLEM51</t>
  </si>
  <si>
    <t>Glemsford Primary 11kV</t>
  </si>
  <si>
    <t>GODM51</t>
  </si>
  <si>
    <t>Godmanchester Primary 11kV</t>
  </si>
  <si>
    <t>GOLD51</t>
  </si>
  <si>
    <t>Golders Grn Primary 11kV</t>
  </si>
  <si>
    <t>GOOS51</t>
  </si>
  <si>
    <t>Gooseberry Grn Primary 11kV</t>
  </si>
  <si>
    <t>GRAY51</t>
  </si>
  <si>
    <t>Grays Primary 11kV</t>
  </si>
  <si>
    <t>GTWI51</t>
  </si>
  <si>
    <t>Great Witchingham Primary 11kV</t>
  </si>
  <si>
    <t>GREE51</t>
  </si>
  <si>
    <t>Greenhill Primary 11kV</t>
  </si>
  <si>
    <t>GROT51</t>
  </si>
  <si>
    <t>Groton Primary 11kV</t>
  </si>
  <si>
    <t>GROV51</t>
  </si>
  <si>
    <t>Grove Mill Primary 11kV</t>
  </si>
  <si>
    <t>GTMI51</t>
  </si>
  <si>
    <t>Gt Missenden Primary 11kV</t>
  </si>
  <si>
    <t>GYAR51</t>
  </si>
  <si>
    <t>GT Yarmouth Grid 11kV</t>
  </si>
  <si>
    <t>GUSF51</t>
  </si>
  <si>
    <t>Gusford Hall Primary 11kV</t>
  </si>
  <si>
    <t>GUYH51</t>
  </si>
  <si>
    <t>Guyhirn Primary 11kV</t>
  </si>
  <si>
    <t>HACH51</t>
  </si>
  <si>
    <t>Hacheston Primary 11kV</t>
  </si>
  <si>
    <t>HADP51</t>
  </si>
  <si>
    <t>Hadleigh Primary 11kV</t>
  </si>
  <si>
    <t>HAES51</t>
  </si>
  <si>
    <t>Hadleigh Primary Essex 11kV</t>
  </si>
  <si>
    <t>HAIN51</t>
  </si>
  <si>
    <t>Hainault Av Primary 11kV</t>
  </si>
  <si>
    <t>HLPR51</t>
  </si>
  <si>
    <t>Halesworth Primary 11kV</t>
  </si>
  <si>
    <t>HALS51</t>
  </si>
  <si>
    <t>Halstead Primary 11kV</t>
  </si>
  <si>
    <t>HANG51</t>
  </si>
  <si>
    <t>Hanger Lea Primary 11kV</t>
  </si>
  <si>
    <t>HAPT51</t>
  </si>
  <si>
    <t>Hapton Primary 11kV</t>
  </si>
  <si>
    <t>HARD51</t>
  </si>
  <si>
    <t>Hardingham Primary 11kV</t>
  </si>
  <si>
    <t>HWIC51</t>
  </si>
  <si>
    <t>Hardwick Rd Primary 11kV</t>
  </si>
  <si>
    <t>HARL51</t>
  </si>
  <si>
    <t>Harleston Primary 11kV</t>
  </si>
  <si>
    <t>HARW51</t>
  </si>
  <si>
    <t>Harlow West Grid 11kV</t>
  </si>
  <si>
    <t>HARW52</t>
  </si>
  <si>
    <t>HAWO51</t>
  </si>
  <si>
    <t>Harold Wood Primary 11kV</t>
  </si>
  <si>
    <t>HARN51</t>
  </si>
  <si>
    <t>Harrow North Grid 11kV</t>
  </si>
  <si>
    <t>HARN52</t>
  </si>
  <si>
    <t>HARR51</t>
  </si>
  <si>
    <t>Harrowden Primary 11kV</t>
  </si>
  <si>
    <t>HART51</t>
  </si>
  <si>
    <t>Hartspring Primary 11kV</t>
  </si>
  <si>
    <t>HATC51</t>
  </si>
  <si>
    <t>Hatch End Primary 11kV</t>
  </si>
  <si>
    <t>HATP51</t>
  </si>
  <si>
    <t>Hatfield Primary 11kV</t>
  </si>
  <si>
    <t>HAVE51</t>
  </si>
  <si>
    <t>Haverhill Primary 11kV</t>
  </si>
  <si>
    <t>HEDH51</t>
  </si>
  <si>
    <t>Hedley Av Hss 11kV</t>
  </si>
  <si>
    <t>HEMB51</t>
  </si>
  <si>
    <t>Hemblington Primary 11kV</t>
  </si>
  <si>
    <t>HEME51</t>
  </si>
  <si>
    <t>Hemel East Primary 11kV</t>
  </si>
  <si>
    <t>HEMN51</t>
  </si>
  <si>
    <t>Hemel North Primary 11kV</t>
  </si>
  <si>
    <t>HENW51</t>
  </si>
  <si>
    <t>Hendon Way Primary 11kV</t>
  </si>
  <si>
    <t>HENS51</t>
  </si>
  <si>
    <t>Henstead Primary 11kV</t>
  </si>
  <si>
    <t>HIGH51</t>
  </si>
  <si>
    <t>High St Primary 11kV</t>
  </si>
  <si>
    <t>HFLD51</t>
  </si>
  <si>
    <t>Highfield Primary 11kV</t>
  </si>
  <si>
    <t>HILT51</t>
  </si>
  <si>
    <t>Hilton Primary 11kV</t>
  </si>
  <si>
    <t>HSTN51</t>
  </si>
  <si>
    <t>Histon Primary 11kV</t>
  </si>
  <si>
    <t>HITC51</t>
  </si>
  <si>
    <t>Hitcham Primary 11kV</t>
  </si>
  <si>
    <t>HODD51</t>
  </si>
  <si>
    <t>Hoddesdon Primary 11kV</t>
  </si>
  <si>
    <t>HOLY51</t>
  </si>
  <si>
    <t>Holywell Grid 11kV</t>
  </si>
  <si>
    <t>HOLY52</t>
  </si>
  <si>
    <t>HONN51</t>
  </si>
  <si>
    <t>Honington Primary 11kV</t>
  </si>
  <si>
    <t>HOLO51</t>
  </si>
  <si>
    <t>Hornchurch Local Primary 11kV</t>
  </si>
  <si>
    <t>HOLO52</t>
  </si>
  <si>
    <t>HOGD51</t>
  </si>
  <si>
    <t>Hornsey Grid 11kV</t>
  </si>
  <si>
    <t>HOGD52</t>
  </si>
  <si>
    <t>HORS51</t>
  </si>
  <si>
    <t>Horsford Primary 11kV</t>
  </si>
  <si>
    <t>HORE51</t>
  </si>
  <si>
    <t>Houghton Regis Primary 11kV</t>
  </si>
  <si>
    <t>HUNS51</t>
  </si>
  <si>
    <t>Hunstanton Primary 11kV</t>
  </si>
  <si>
    <t>HUNT51</t>
  </si>
  <si>
    <t>Huntingdon Grid 11kV</t>
  </si>
  <si>
    <t>HUTT51</t>
  </si>
  <si>
    <t>Hutton Primary 11kV</t>
  </si>
  <si>
    <t>ICKL51</t>
  </si>
  <si>
    <t>Icklingham Primary 11kV</t>
  </si>
  <si>
    <t>ILMP51</t>
  </si>
  <si>
    <t>Ilmer Primary 11kV</t>
  </si>
  <si>
    <t>INDU51</t>
  </si>
  <si>
    <t>Industrial Primary 11kV</t>
  </si>
  <si>
    <t>INGA51</t>
  </si>
  <si>
    <t>Ingatestone Primary 11kV</t>
  </si>
  <si>
    <t>IPSW51</t>
  </si>
  <si>
    <t>Ipswich Grid 11kV</t>
  </si>
  <si>
    <t>KEMP51</t>
  </si>
  <si>
    <t>Kempstone Primary 11kV</t>
  </si>
  <si>
    <t>KENN51</t>
  </si>
  <si>
    <t>Kennett Primary 11kV</t>
  </si>
  <si>
    <t>KHAL51</t>
  </si>
  <si>
    <t>Kenninghall Primary 11kV</t>
  </si>
  <si>
    <t>KENS51</t>
  </si>
  <si>
    <t>Kensworth Primary 11kV</t>
  </si>
  <si>
    <t>KENT51</t>
  </si>
  <si>
    <t>Kenton Primary 11kV</t>
  </si>
  <si>
    <t>KIMB51</t>
  </si>
  <si>
    <t>Kimbolton Primary 11kV</t>
  </si>
  <si>
    <t>KBEL51</t>
  </si>
  <si>
    <t>Kimms Belt Primary 11kV</t>
  </si>
  <si>
    <t>KLAN51</t>
  </si>
  <si>
    <t>Kings Langley Primary 11kV</t>
  </si>
  <si>
    <t>KLSO31</t>
  </si>
  <si>
    <t>Kings Lynn South Grid 33kV</t>
  </si>
  <si>
    <t>KBRY51</t>
  </si>
  <si>
    <t>Kingsbury Primary 11kV</t>
  </si>
  <si>
    <t>KWOD51</t>
  </si>
  <si>
    <t>Kingswood Primary 11kV</t>
  </si>
  <si>
    <t>KNAP51</t>
  </si>
  <si>
    <t>Knapton Primary 11kV</t>
  </si>
  <si>
    <t>KNEB51</t>
  </si>
  <si>
    <t>Knebworth Primary 11kV</t>
  </si>
  <si>
    <t>LADY51</t>
  </si>
  <si>
    <t>Ladysmith Rd Primary 11kV</t>
  </si>
  <si>
    <t>LAKE51</t>
  </si>
  <si>
    <t>Lake &amp; Elliot Primary 11kV</t>
  </si>
  <si>
    <t>LAKG51</t>
  </si>
  <si>
    <t>Lakenheath Gatehouse Primary 11kV</t>
  </si>
  <si>
    <t>LHTH51</t>
  </si>
  <si>
    <t>Lakenheath Primary 11kV</t>
  </si>
  <si>
    <t>LSDE51</t>
  </si>
  <si>
    <t>Lakeside Primary 11kV</t>
  </si>
  <si>
    <t>LAND51</t>
  </si>
  <si>
    <t>Landbeach Primary 11kV</t>
  </si>
  <si>
    <t>LAGD51</t>
  </si>
  <si>
    <t>Langdon Primary 11kV</t>
  </si>
  <si>
    <t>LANG51</t>
  </si>
  <si>
    <t>Langham Primary 11kV</t>
  </si>
  <si>
    <t>LAVE51</t>
  </si>
  <si>
    <t>Langley Av Primary 11kV</t>
  </si>
  <si>
    <t>LAXF51</t>
  </si>
  <si>
    <t>Laxfield Primary 11kV</t>
  </si>
  <si>
    <t>LEAV51</t>
  </si>
  <si>
    <t>Leavesden Studios Primary 11kV</t>
  </si>
  <si>
    <t>LEIG51</t>
  </si>
  <si>
    <t>Leigh Primary 11kV</t>
  </si>
  <si>
    <t>LBUZ51</t>
  </si>
  <si>
    <t>Leighton Buzzard Primary 11kV</t>
  </si>
  <si>
    <t>LEIS51</t>
  </si>
  <si>
    <t>Leiston Primary 11kV</t>
  </si>
  <si>
    <t>LFAC51</t>
  </si>
  <si>
    <t>Letchworth Factory 11kV</t>
  </si>
  <si>
    <t>LEVE51</t>
  </si>
  <si>
    <t>Leverington Primary 11kV</t>
  </si>
  <si>
    <t>LEWS51</t>
  </si>
  <si>
    <t>Lewsey Primary 11kV</t>
  </si>
  <si>
    <t>LEXD51</t>
  </si>
  <si>
    <t>Lexden Primary 11kV</t>
  </si>
  <si>
    <t>LIND51</t>
  </si>
  <si>
    <t>Lindsey St Primary 11kV</t>
  </si>
  <si>
    <t>LINT51</t>
  </si>
  <si>
    <t>Linton Primary 11kV</t>
  </si>
  <si>
    <t>LBGD51</t>
  </si>
  <si>
    <t>Little Barford 11kV</t>
  </si>
  <si>
    <t>LBGD31</t>
  </si>
  <si>
    <t>Little Barford 33kV</t>
  </si>
  <si>
    <t>LTBE51</t>
  </si>
  <si>
    <t>Little Belhus Primary 11kV</t>
  </si>
  <si>
    <t>LITT51</t>
  </si>
  <si>
    <t>Littleport Primary 11kV</t>
  </si>
  <si>
    <t>LONG51</t>
  </si>
  <si>
    <t>Long Rd Primary 11kV</t>
  </si>
  <si>
    <t>LSTN51</t>
  </si>
  <si>
    <t>Longstanton Primary 11kV</t>
  </si>
  <si>
    <t>LONS51</t>
  </si>
  <si>
    <t>Lonsdale Dr Primary 11kV</t>
  </si>
  <si>
    <t>LSFT51</t>
  </si>
  <si>
    <t>Lowestoft Grid 11kV</t>
  </si>
  <si>
    <t>LTMA51</t>
  </si>
  <si>
    <t>Lt Massingham Primary 11kV</t>
  </si>
  <si>
    <t>LAIR51</t>
  </si>
  <si>
    <t>Luton Airport Primary 11kV</t>
  </si>
  <si>
    <t>LUTN51</t>
  </si>
  <si>
    <t>Luton North Grid 11kV</t>
  </si>
  <si>
    <t>LYGP51</t>
  </si>
  <si>
    <t>Lye Grn Primary 11kV</t>
  </si>
  <si>
    <t>LYLE51</t>
  </si>
  <si>
    <t>Lyle Primary 11kV</t>
  </si>
  <si>
    <t>MADN51</t>
  </si>
  <si>
    <t>Madingley Rd Primary 11kV</t>
  </si>
  <si>
    <t>MAGD51</t>
  </si>
  <si>
    <t>Magdalen Way Primary 11kV</t>
  </si>
  <si>
    <t>MACA51</t>
  </si>
  <si>
    <t>Maldon Causeway Primary 11kV</t>
  </si>
  <si>
    <t>MAWK51</t>
  </si>
  <si>
    <t>Maldon Wick Primary 11kV</t>
  </si>
  <si>
    <t>MANN51</t>
  </si>
  <si>
    <t>Manns Rd Primary 11kV</t>
  </si>
  <si>
    <t>MANO51</t>
  </si>
  <si>
    <t>Manor Road Primary 11kV</t>
  </si>
  <si>
    <t>MWPR51</t>
  </si>
  <si>
    <t>Manor Way Primary 11kV</t>
  </si>
  <si>
    <t>MANT51</t>
  </si>
  <si>
    <t>Manton Ln Primary 11kV</t>
  </si>
  <si>
    <t>MRCH51</t>
  </si>
  <si>
    <t>March Primary 11kV</t>
  </si>
  <si>
    <t>MARK51</t>
  </si>
  <si>
    <t>Marks Tey Primary 11kV</t>
  </si>
  <si>
    <t>MWIK51</t>
  </si>
  <si>
    <t>Marshalswick Primary 11kV</t>
  </si>
  <si>
    <t>MFOT51</t>
  </si>
  <si>
    <t>Marshfoot Road Primary 11kV</t>
  </si>
  <si>
    <t>MARO51</t>
  </si>
  <si>
    <t>Marston Rd Primary 11kV</t>
  </si>
  <si>
    <t>MART51</t>
  </si>
  <si>
    <t>Martham Primary 11kV</t>
  </si>
  <si>
    <t>MSHM51</t>
  </si>
  <si>
    <t>Martlesham Primary 11kV</t>
  </si>
  <si>
    <t>MYBK51</t>
  </si>
  <si>
    <t>May &amp; Baker Primary 11kV</t>
  </si>
  <si>
    <t>MELB51</t>
  </si>
  <si>
    <t>Melbourn Primary 11kV</t>
  </si>
  <si>
    <t>MELT51</t>
  </si>
  <si>
    <t>Melton Primary 11kV</t>
  </si>
  <si>
    <t>MERR51</t>
  </si>
  <si>
    <t>Merryhill Primary 11kV</t>
  </si>
  <si>
    <t>MERS51</t>
  </si>
  <si>
    <t>Mersea Rd Primary 11kV</t>
  </si>
  <si>
    <t>MILD51</t>
  </si>
  <si>
    <t>Mildenhall Primary 11kV</t>
  </si>
  <si>
    <t>MIHI51</t>
  </si>
  <si>
    <t>Mill Hill Primary 11kV</t>
  </si>
  <si>
    <t>MILT51</t>
  </si>
  <si>
    <t>Milton Rd Primary 11kV</t>
  </si>
  <si>
    <t>MOUS51</t>
  </si>
  <si>
    <t>Mousehold Primary 11kV</t>
  </si>
  <si>
    <t>MUHP51</t>
  </si>
  <si>
    <t>Much Hadham Primary 11kV</t>
  </si>
  <si>
    <t>MUHP52</t>
  </si>
  <si>
    <t>MULB51</t>
  </si>
  <si>
    <t>Mulbarton Primary 11kV</t>
  </si>
  <si>
    <t>NACT51</t>
  </si>
  <si>
    <t>Nacton Primary 11kV</t>
  </si>
  <si>
    <t>NARB51</t>
  </si>
  <si>
    <t>Narborough Primary 11kV</t>
  </si>
  <si>
    <t>NHAR51</t>
  </si>
  <si>
    <t>New Harlow Primary 11kV</t>
  </si>
  <si>
    <t>NHAR52</t>
  </si>
  <si>
    <t>NEWM51</t>
  </si>
  <si>
    <t>Newmarket Primary 11kV</t>
  </si>
  <si>
    <t>NEWT51</t>
  </si>
  <si>
    <t>Newtown Primary 11kV</t>
  </si>
  <si>
    <t>NOAK51</t>
  </si>
  <si>
    <t>Noak Hill Primary 11kV</t>
  </si>
  <si>
    <t>NCHG51</t>
  </si>
  <si>
    <t>North Chingford Primary 11kV</t>
  </si>
  <si>
    <t>NODR51</t>
  </si>
  <si>
    <t>North Dr Primary 11kV</t>
  </si>
  <si>
    <t>NENF51</t>
  </si>
  <si>
    <t>North Enfield Primary 11kV</t>
  </si>
  <si>
    <t>NFIN51</t>
  </si>
  <si>
    <t>North Finchley Primary 11kV</t>
  </si>
  <si>
    <t>NHIT51</t>
  </si>
  <si>
    <t>North Hitchin Primary 11kV</t>
  </si>
  <si>
    <t>NSTE51</t>
  </si>
  <si>
    <t>North Stevenage Primary 11kV</t>
  </si>
  <si>
    <t>NWAL51</t>
  </si>
  <si>
    <t>North Walsham Primary 11kV</t>
  </si>
  <si>
    <t>NWEB51</t>
  </si>
  <si>
    <t>North Wembley Primary 11kV</t>
  </si>
  <si>
    <t>NOWN51</t>
  </si>
  <si>
    <t>Northwold Primary 11kV</t>
  </si>
  <si>
    <t>OFFO51</t>
  </si>
  <si>
    <t>Offord Primary 11kV</t>
  </si>
  <si>
    <t>OLDR51</t>
  </si>
  <si>
    <t>Old Rd Primary 11kV</t>
  </si>
  <si>
    <t>OLDW51</t>
  </si>
  <si>
    <t>Old Welwyn Primary 11kV</t>
  </si>
  <si>
    <t>OLDW52</t>
  </si>
  <si>
    <t>ONGA51</t>
  </si>
  <si>
    <t>Ongar Primary 11kV</t>
  </si>
  <si>
    <t>ORFO51</t>
  </si>
  <si>
    <t>Orford Primary 11kV</t>
  </si>
  <si>
    <t>ORME51</t>
  </si>
  <si>
    <t>Ormesby Primary 11kV</t>
  </si>
  <si>
    <t>ORTO51</t>
  </si>
  <si>
    <t>Orton Primary 11kV</t>
  </si>
  <si>
    <t>OUTW51</t>
  </si>
  <si>
    <t>Outwell Moors Primary 11kV</t>
  </si>
  <si>
    <t>OYBE51</t>
  </si>
  <si>
    <t>Oysterbed Rd 11kV</t>
  </si>
  <si>
    <t>PALM51</t>
  </si>
  <si>
    <t>Palmers Grn Grid 11kV</t>
  </si>
  <si>
    <t>PALM52</t>
  </si>
  <si>
    <t>PARK51</t>
  </si>
  <si>
    <t>Park St Primary 11kV</t>
  </si>
  <si>
    <t>PARS51</t>
  </si>
  <si>
    <t>Parsons Heath Primary 11kV</t>
  </si>
  <si>
    <t>PECH51</t>
  </si>
  <si>
    <t>Peachman Way Primary 11kV</t>
  </si>
  <si>
    <t>PEAS51</t>
  </si>
  <si>
    <t>Peasenhall Primary 11kV</t>
  </si>
  <si>
    <t>PELD51</t>
  </si>
  <si>
    <t>Peldon Primary 11kV</t>
  </si>
  <si>
    <t>PERR51</t>
  </si>
  <si>
    <t>Perry Primary 11kV</t>
  </si>
  <si>
    <t>PERR52</t>
  </si>
  <si>
    <t>PETC51</t>
  </si>
  <si>
    <t>Peterborough Central 11kV</t>
  </si>
  <si>
    <t>PETE51</t>
  </si>
  <si>
    <t>Peterborough East Grid 11kV</t>
  </si>
  <si>
    <t>PETE52</t>
  </si>
  <si>
    <t>PETN51</t>
  </si>
  <si>
    <t>Peterborough North Grid 11kV</t>
  </si>
  <si>
    <t>PETN52</t>
  </si>
  <si>
    <t>PETS51</t>
  </si>
  <si>
    <t>Peterborough South Grid 11kV</t>
  </si>
  <si>
    <t>PINN51</t>
  </si>
  <si>
    <t>Pinner Grn Primary 11kV</t>
  </si>
  <si>
    <t>PITS51</t>
  </si>
  <si>
    <t>Pitstone Primary 11kV</t>
  </si>
  <si>
    <t>PLAY51</t>
  </si>
  <si>
    <t>Playfield Primary 11kV</t>
  </si>
  <si>
    <t>POND51</t>
  </si>
  <si>
    <t>Ponders End Primary 11kV</t>
  </si>
  <si>
    <t>PREB51</t>
  </si>
  <si>
    <t>Prebend St Primary 11kV</t>
  </si>
  <si>
    <t>PREY51</t>
  </si>
  <si>
    <t>Purfleet Primary 11kV</t>
  </si>
  <si>
    <t>PREY52</t>
  </si>
  <si>
    <t>RADN51</t>
  </si>
  <si>
    <t>Radnor Primary 11kV</t>
  </si>
  <si>
    <t>RAFA51</t>
  </si>
  <si>
    <t>RAF Alconbury Primary 11kV</t>
  </si>
  <si>
    <t>RBOW51</t>
  </si>
  <si>
    <t>Rainbow Ln Primary 11kV</t>
  </si>
  <si>
    <t>RAIN51</t>
  </si>
  <si>
    <t>Rainham Primary 11kV</t>
  </si>
  <si>
    <t>RAYP51</t>
  </si>
  <si>
    <t>Rayleigh Local Primary 11kV</t>
  </si>
  <si>
    <t>REED51</t>
  </si>
  <si>
    <t>Reed Primary 11kV</t>
  </si>
  <si>
    <t>REYD51</t>
  </si>
  <si>
    <t>Reydon Primary 11kV</t>
  </si>
  <si>
    <t>RHAL51</t>
  </si>
  <si>
    <t>Rickinghall Primary 11kV</t>
  </si>
  <si>
    <t>RICK51</t>
  </si>
  <si>
    <t>Rickmansworth Grid 11kV</t>
  </si>
  <si>
    <t>ROMN51</t>
  </si>
  <si>
    <t>Romford North Primary 11kV</t>
  </si>
  <si>
    <t>ROMF51</t>
  </si>
  <si>
    <t>Romford Primary 11kV</t>
  </si>
  <si>
    <t>ROUN51</t>
  </si>
  <si>
    <t>Roundwood Rd Primary 11kV</t>
  </si>
  <si>
    <t>ROWL51</t>
  </si>
  <si>
    <t>Rowley Ln Primary 11kV</t>
  </si>
  <si>
    <t>ROYS51</t>
  </si>
  <si>
    <t>Royston Primary 11kV</t>
  </si>
  <si>
    <t>RYEP51</t>
  </si>
  <si>
    <t>Rye House Local Primary 11kV</t>
  </si>
  <si>
    <t>SAFF51</t>
  </si>
  <si>
    <t>Saffron Walden Primary 11kV</t>
  </si>
  <si>
    <t>SALP51</t>
  </si>
  <si>
    <t>Sall 11kV</t>
  </si>
  <si>
    <t>SAND51</t>
  </si>
  <si>
    <t>Sandy Primary 11kV</t>
  </si>
  <si>
    <t>SAUN51</t>
  </si>
  <si>
    <t>Saunderton Primary 11kV</t>
  </si>
  <si>
    <t>SAWN51</t>
  </si>
  <si>
    <t>Sawston Primary 11kV</t>
  </si>
  <si>
    <t>SCOT51</t>
  </si>
  <si>
    <t>Scottow Primary 11kV</t>
  </si>
  <si>
    <t>SELI51</t>
  </si>
  <si>
    <t>Selinas Ln Primary 11kV</t>
  </si>
  <si>
    <t>SLWN51</t>
  </si>
  <si>
    <t>Selwyn Rd Primary 11kV</t>
  </si>
  <si>
    <t>SEVE51</t>
  </si>
  <si>
    <t>Severalls Ln Primary 11kV</t>
  </si>
  <si>
    <t>SHEF51</t>
  </si>
  <si>
    <t>Shefford Primary 11kV</t>
  </si>
  <si>
    <t>SLEY51</t>
  </si>
  <si>
    <t>Shenley Primary 11kV</t>
  </si>
  <si>
    <t>SHPP51</t>
  </si>
  <si>
    <t>Shepreth Primary 11kV</t>
  </si>
  <si>
    <t>SHOT51</t>
  </si>
  <si>
    <t>Shotley Primary 11kV</t>
  </si>
  <si>
    <t>SHRU51</t>
  </si>
  <si>
    <t>Shrub End Primary 11kV</t>
  </si>
  <si>
    <t>SLEA51</t>
  </si>
  <si>
    <t>Sleaford St Primary 11kV</t>
  </si>
  <si>
    <t>SNEP51</t>
  </si>
  <si>
    <t>Snetterton Primary 11kV</t>
  </si>
  <si>
    <t>SNET51</t>
  </si>
  <si>
    <t>Snettisham Primary 11kV</t>
  </si>
  <si>
    <t>SOHA51</t>
  </si>
  <si>
    <t>Soham Primary 11kV</t>
  </si>
  <si>
    <t>SBFT51</t>
  </si>
  <si>
    <t>South Benfleet Primary 11kV</t>
  </si>
  <si>
    <t>SCHE51</t>
  </si>
  <si>
    <t>South Chelmsford Primary 11kV</t>
  </si>
  <si>
    <t>SCHG51</t>
  </si>
  <si>
    <t>South Chingford Primary 11kV</t>
  </si>
  <si>
    <t>SHAR51</t>
  </si>
  <si>
    <t>South Harlow Primary 11kV</t>
  </si>
  <si>
    <t>SHRW51</t>
  </si>
  <si>
    <t>South Harrow Primary 11kV</t>
  </si>
  <si>
    <t>SHIC51</t>
  </si>
  <si>
    <t>South Hitchin Primary 11kV</t>
  </si>
  <si>
    <t>SRUI51</t>
  </si>
  <si>
    <t>South Ruislip Primary 11kV</t>
  </si>
  <si>
    <t>SSTE51</t>
  </si>
  <si>
    <t>South Stevenage Primary 11kV</t>
  </si>
  <si>
    <t>SOWP51</t>
  </si>
  <si>
    <t>South Witham Primary 11kV</t>
  </si>
  <si>
    <t>SWOO51</t>
  </si>
  <si>
    <t>South Woodham Primary 11kV</t>
  </si>
  <si>
    <t>SOEG51</t>
  </si>
  <si>
    <t>Southend Grid 11kV</t>
  </si>
  <si>
    <t>SOEG52</t>
  </si>
  <si>
    <t>SOWE51</t>
  </si>
  <si>
    <t>Southend West Primary 11kV</t>
  </si>
  <si>
    <t>SOWE52</t>
  </si>
  <si>
    <t>SERY51</t>
  </si>
  <si>
    <t>Southery Primary 11kV</t>
  </si>
  <si>
    <t>SPRO51</t>
  </si>
  <si>
    <t>Sprowston Primary 11kV</t>
  </si>
  <si>
    <t>SANT51</t>
  </si>
  <si>
    <t>St Anthony St Primary 11kV</t>
  </si>
  <si>
    <t>STIV51</t>
  </si>
  <si>
    <t>St Ives Primary 11kV</t>
  </si>
  <si>
    <t>STPA51</t>
  </si>
  <si>
    <t>St Pauls Primary 11kV</t>
  </si>
  <si>
    <t>STSP51</t>
  </si>
  <si>
    <t>St Stephens Primary 11kV</t>
  </si>
  <si>
    <t>STAL51</t>
  </si>
  <si>
    <t>Stalham Primary 11kV</t>
  </si>
  <si>
    <t>STMF11</t>
  </si>
  <si>
    <t>Stamford 132kV</t>
  </si>
  <si>
    <t>STAN51</t>
  </si>
  <si>
    <t>Stanmore Grid 11kV</t>
  </si>
  <si>
    <t>STAN52</t>
  </si>
  <si>
    <t>STON51</t>
  </si>
  <si>
    <t>Stanton Primary 11kV</t>
  </si>
  <si>
    <t>STEV51</t>
  </si>
  <si>
    <t>Stevenage Primary 11kV</t>
  </si>
  <si>
    <t>SWPR71</t>
  </si>
  <si>
    <t>Stewartby Primary 6.6kV</t>
  </si>
  <si>
    <t>SFAS51</t>
  </si>
  <si>
    <t>Stickfast Ln Primary 11kV</t>
  </si>
  <si>
    <t>STOD51</t>
  </si>
  <si>
    <t>Stody Primary 11kV</t>
  </si>
  <si>
    <t>SGRV51</t>
  </si>
  <si>
    <t>Stonegrove Primary 11kV</t>
  </si>
  <si>
    <t>STOP51</t>
  </si>
  <si>
    <t>Stopsley 11kV</t>
  </si>
  <si>
    <t>SWAY51</t>
  </si>
  <si>
    <t>Storeys Way Primary 11kV</t>
  </si>
  <si>
    <t>STOW51</t>
  </si>
  <si>
    <t>Stowmarket Grid 11kV</t>
  </si>
  <si>
    <t>SGHT51</t>
  </si>
  <si>
    <t>Straight Rd Primary 11kV</t>
  </si>
  <si>
    <t>SCRT51</t>
  </si>
  <si>
    <t>Sudbury Court Primary 11kV</t>
  </si>
  <si>
    <t>SCRT52</t>
  </si>
  <si>
    <t>SUDB51</t>
  </si>
  <si>
    <t>Sudbury Primary 11kV</t>
  </si>
  <si>
    <t>SUPR51</t>
  </si>
  <si>
    <t>Sundon Primary 11kV</t>
  </si>
  <si>
    <t>SUPR52</t>
  </si>
  <si>
    <t>SWAF51</t>
  </si>
  <si>
    <t>Swaffham Grid 11kV</t>
  </si>
  <si>
    <t>TAKE51</t>
  </si>
  <si>
    <t>Takeley Primary 11kV</t>
  </si>
  <si>
    <t>TAPS51</t>
  </si>
  <si>
    <t>Tapster St Primary 11kV</t>
  </si>
  <si>
    <t>TATT51</t>
  </si>
  <si>
    <t>Tattingstone Primary 11kV</t>
  </si>
  <si>
    <t>THAM51</t>
  </si>
  <si>
    <t>Thame Primary 11kV</t>
  </si>
  <si>
    <t>TXTD51</t>
  </si>
  <si>
    <t>Thaxted Local 11kV</t>
  </si>
  <si>
    <t>THCR51</t>
  </si>
  <si>
    <t>The Cross 11kV</t>
  </si>
  <si>
    <t>THCR52</t>
  </si>
  <si>
    <t>THLI51</t>
  </si>
  <si>
    <t>The Limes 11kV</t>
  </si>
  <si>
    <t>THET51</t>
  </si>
  <si>
    <t>Thetford Grid 11kV</t>
  </si>
  <si>
    <t>THOM51</t>
  </si>
  <si>
    <t>Thompsons Ln Primary 11kV</t>
  </si>
  <si>
    <t>TLEY51</t>
  </si>
  <si>
    <t>Thorley Primary 11kV</t>
  </si>
  <si>
    <t>TBAY51</t>
  </si>
  <si>
    <t>Thorpe Bay Primary 11kV</t>
  </si>
  <si>
    <t>THOL51</t>
  </si>
  <si>
    <t>Thorpe Gd Local 11kV</t>
  </si>
  <si>
    <t>THUN51</t>
  </si>
  <si>
    <t>Thundersley Primary 11kV</t>
  </si>
  <si>
    <t>TBLP51</t>
  </si>
  <si>
    <t>Tilbury Local Primary 11kV</t>
  </si>
  <si>
    <t>TILL51</t>
  </si>
  <si>
    <t>Tillingham Primary 11kV</t>
  </si>
  <si>
    <t>TIPT51</t>
  </si>
  <si>
    <t>Tiptree Primary 11kV</t>
  </si>
  <si>
    <t>TIVE51</t>
  </si>
  <si>
    <t>Tivetshall Primary 11kV</t>
  </si>
  <si>
    <t>TOGD51</t>
  </si>
  <si>
    <t>Tottenham Grid 11kV</t>
  </si>
  <si>
    <t>TOGD52</t>
  </si>
  <si>
    <t>TOGD31</t>
  </si>
  <si>
    <t>Tottenham Grid 33kV</t>
  </si>
  <si>
    <t>TRIN51</t>
  </si>
  <si>
    <t>Tring Primary 11kV</t>
  </si>
  <si>
    <t>TUCK51</t>
  </si>
  <si>
    <t>Tuckswood Primary 11kV</t>
  </si>
  <si>
    <t>TUNW51</t>
  </si>
  <si>
    <t>Tunnel Primary 11kV</t>
  </si>
  <si>
    <t>TURN51</t>
  </si>
  <si>
    <t>Turnford Primary 11kV</t>
  </si>
  <si>
    <t>TURR51</t>
  </si>
  <si>
    <t>Turret Ln Primary 11kV</t>
  </si>
  <si>
    <t>UPLA51</t>
  </si>
  <si>
    <t>Uplands Pk Primary 11kV</t>
  </si>
  <si>
    <t>UPWL51</t>
  </si>
  <si>
    <t>Upwell Lakes End Primary 11kV</t>
  </si>
  <si>
    <t>VALL51</t>
  </si>
  <si>
    <t>Valleybridge Rd Primary 11kV</t>
  </si>
  <si>
    <t>VERY51</t>
  </si>
  <si>
    <t>Verity Way Primary 11kV</t>
  </si>
  <si>
    <t>WADD51</t>
  </si>
  <si>
    <t>Waddesdon Primary 11kV</t>
  </si>
  <si>
    <t>WALS51</t>
  </si>
  <si>
    <t>Walsoken Grid 11kV</t>
  </si>
  <si>
    <t>WALT51</t>
  </si>
  <si>
    <t>Waltham Abbey Primary 11kV</t>
  </si>
  <si>
    <t>WLTH51</t>
  </si>
  <si>
    <t>Waltham Park 11kV</t>
  </si>
  <si>
    <t>WARE51</t>
  </si>
  <si>
    <t>Ware Primary 11kV</t>
  </si>
  <si>
    <t>WARN51</t>
  </si>
  <si>
    <t>Warners End Primary 11kV</t>
  </si>
  <si>
    <t>WARN52</t>
  </si>
  <si>
    <t>WARH51</t>
  </si>
  <si>
    <t>Warren Heath 11kV</t>
  </si>
  <si>
    <t>WASP51</t>
  </si>
  <si>
    <t>Warren Springs Primary 11kV</t>
  </si>
  <si>
    <t>WATE51</t>
  </si>
  <si>
    <t>Water Ln Primary 11kV</t>
  </si>
  <si>
    <t>WATL51</t>
  </si>
  <si>
    <t>Watlington Primary 11kV</t>
  </si>
  <si>
    <t>WATR51</t>
  </si>
  <si>
    <t>Watsons Rd Primary 11kV</t>
  </si>
  <si>
    <t>WATT51</t>
  </si>
  <si>
    <t>Watton Primary 11kV</t>
  </si>
  <si>
    <t>WEAL51</t>
  </si>
  <si>
    <t>Wealdstone Primary 11kV</t>
  </si>
  <si>
    <t>WELW51</t>
  </si>
  <si>
    <t>Welwyn Primary 11kV</t>
  </si>
  <si>
    <t>WEMP51</t>
  </si>
  <si>
    <t>Wembley Park 11kV</t>
  </si>
  <si>
    <t>WEND51</t>
  </si>
  <si>
    <t>Wendover Primary 11kV</t>
  </si>
  <si>
    <t>WBEK51</t>
  </si>
  <si>
    <t>West Beckham Primary 11kV</t>
  </si>
  <si>
    <t>WEBP51</t>
  </si>
  <si>
    <t>West Bedford Primary 11kV</t>
  </si>
  <si>
    <t>WBRA51</t>
  </si>
  <si>
    <t>West Braintree Primary 11kV</t>
  </si>
  <si>
    <t>WCHE51</t>
  </si>
  <si>
    <t>West Chelmsford Primary 11kV</t>
  </si>
  <si>
    <t>WGRN51</t>
  </si>
  <si>
    <t>West Grn Primary 11kV</t>
  </si>
  <si>
    <t>WHAN51</t>
  </si>
  <si>
    <t>West Hanningfield Pri 11kV</t>
  </si>
  <si>
    <t>WHER51</t>
  </si>
  <si>
    <t>West Hertford Primary 11kV</t>
  </si>
  <si>
    <t>WHOR51</t>
  </si>
  <si>
    <t>West Horndon Primary 11kV</t>
  </si>
  <si>
    <t>WLET51</t>
  </si>
  <si>
    <t>West Letchworth Primary 11kV</t>
  </si>
  <si>
    <t>WPOT51</t>
  </si>
  <si>
    <t>West Potters Bar Primary 11kV</t>
  </si>
  <si>
    <t>WBRY51</t>
  </si>
  <si>
    <t>Westbury Primary 11kV</t>
  </si>
  <si>
    <t>WLON51</t>
  </si>
  <si>
    <t>Weston Longville Primary 11kV</t>
  </si>
  <si>
    <t>WSTP51</t>
  </si>
  <si>
    <t>Westoning Primary 11kV</t>
  </si>
  <si>
    <t>WETH51</t>
  </si>
  <si>
    <t>Wethersfield Primary 11kV</t>
  </si>
  <si>
    <t>WHAP51</t>
  </si>
  <si>
    <t>Whapload Rd Primary 11kV</t>
  </si>
  <si>
    <t>WHET51</t>
  </si>
  <si>
    <t>Whetstone Primary 11kV</t>
  </si>
  <si>
    <t>WORD51</t>
  </si>
  <si>
    <t>White Roding Primary 11kV</t>
  </si>
  <si>
    <t>WHIT51</t>
  </si>
  <si>
    <t>Whittlesey Primary 11kV</t>
  </si>
  <si>
    <t>WFRD51</t>
  </si>
  <si>
    <t>Wickford Primary 11kV</t>
  </si>
  <si>
    <t>WIGG51</t>
  </si>
  <si>
    <t>Wiggenhall Primary 11kV</t>
  </si>
  <si>
    <t>WRWY51</t>
  </si>
  <si>
    <t>Wisbech Railway Primary 11kV</t>
  </si>
  <si>
    <t>WITH51</t>
  </si>
  <si>
    <t>Witham Primary 11kV</t>
  </si>
  <si>
    <t>WIXP51</t>
  </si>
  <si>
    <t>Wix Primary 11kV</t>
  </si>
  <si>
    <t>WOOD51</t>
  </si>
  <si>
    <t>Woodwalton Primary 11kV</t>
  </si>
  <si>
    <t>WORS51</t>
  </si>
  <si>
    <t>Worstead Primary 11kV</t>
  </si>
  <si>
    <t>WRAT51</t>
  </si>
  <si>
    <t>Wratting Primary 11kV</t>
  </si>
  <si>
    <t>WRIT51</t>
  </si>
  <si>
    <t>Writtle St Primary 11kV</t>
  </si>
  <si>
    <t>WROX51</t>
  </si>
  <si>
    <t>Wroxham Primary 11kV</t>
  </si>
  <si>
    <t>WHAM51</t>
  </si>
  <si>
    <t>Wymondham Primary 11kV</t>
  </si>
  <si>
    <t>TILBEM</t>
  </si>
  <si>
    <t>1023478133661;1023525728718;1023525729172</t>
  </si>
  <si>
    <t>1050001279560;1030082588170;1050000414848;1050000423105;1050003172045;1050003172054;1050003172063;1050003172081;1050003172115;1050003172142;1050003027339</t>
  </si>
  <si>
    <t>Note: The list of MPANs / MSIDs provided may be incomplete; the DNO reserves the right to apply the listed charges to any other MPANs / MSIDs associated with the site.
Note: This table is automatically populated based on the content of the tab entitled 'Annex 2 Designated EHV charges'. The timebands are as shown in Annex 2.</t>
  </si>
  <si>
    <t>Residual Charge per MPAN (£/year)</t>
  </si>
  <si>
    <t>TRINSF</t>
  </si>
  <si>
    <t>RADISF</t>
  </si>
  <si>
    <t>RAF_AL</t>
  </si>
  <si>
    <t>RDHSSF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</si>
</sst>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43" formatCode="_-* #,##0.00_-;\-* #,##0.00_-;_-* &quot;-&quot;??_-;_-@_-"/>
    <numFmt numFmtId="164" formatCode="0.00_ ;[Red]\-0.00\ "/>
    <numFmt numFmtId="165" formatCode="0.000"/>
    <numFmt numFmtId="166" formatCode="#,##0.000"/>
    <numFmt numFmtId="167" formatCode="_(?,???,??0.000_);[Red]\(?,???,??0.000\);_(?,???,???.???_)"/>
    <numFmt numFmtId="168" formatCode="_(?,???,??0.00_);[Red]\(?,???,??0.00\);_(?,???,???.??_)"/>
    <numFmt numFmtId="169" formatCode="#"/>
    <numFmt numFmtId="170" formatCode="\ _(???,???,??0.000_);[Red]\ \(???,???,??0.000\);"/>
    <numFmt numFmtId="171" formatCode="\ _(???,???,??0.00_);[Red]\ \(???,???,??0.00\);"/>
    <numFmt numFmtId="172" formatCode="0.000_ ;[Red]\-0.000\ "/>
    <numFmt numFmtId="173" formatCode="0.00;[Red]\-0.00;?;"/>
    <numFmt numFmtId="174" formatCode="#,##0;\-#,##0;;"/>
    <numFmt numFmtId="175" formatCode="000"/>
    <numFmt numFmtId="176" formatCode="#,##0;[Red]\-#,##0;;"/>
    <numFmt numFmtId="177" formatCode="0.000;[Red]\-0.000;?;"/>
    <numFmt numFmtId="178" formatCode="0.000_ ;\-0.000\ "/>
    <numFmt numFmtId="179" formatCode="0000"/>
    <numFmt numFmtId="180" formatCode="0.00;\(0.00\);"/>
    <numFmt numFmtId="181" formatCode="&quot;£&quot;#,##0.00"/>
    <numFmt numFmtId="182" formatCode="0.000;[Red]\-0.000;?"/>
    <numFmt numFmtId="183" formatCode="#,##0;\-#,##0;\-"/>
  </numFmts>
  <fonts count="40" x14ac:knownFonts="1">
    <font>
      <sz val="10"/>
      <name val="Arial"/>
    </font>
    <font>
      <sz val="11"/>
      <color theme="1"/>
      <name val="Calibri"/>
      <family val="2"/>
      <scheme val="minor"/>
    </font>
    <font>
      <sz val="10"/>
      <color theme="1"/>
      <name val="Arial"/>
      <family val="2"/>
    </font>
    <font>
      <sz val="10"/>
      <color theme="1"/>
      <name val="Arial"/>
      <family val="2"/>
    </font>
    <font>
      <sz val="10"/>
      <color indexed="8"/>
      <name val="Arial"/>
      <family val="2"/>
    </font>
    <font>
      <sz val="8"/>
      <name val="Arial"/>
      <family val="2"/>
    </font>
    <font>
      <sz val="10"/>
      <name val="Arial"/>
      <family val="2"/>
    </font>
    <font>
      <b/>
      <sz val="10"/>
      <name val="Arial"/>
      <family val="2"/>
    </font>
    <font>
      <sz val="14"/>
      <name val="Arial"/>
      <family val="2"/>
    </font>
    <font>
      <b/>
      <sz val="8"/>
      <name val="Arial"/>
      <family val="2"/>
    </font>
    <font>
      <sz val="8"/>
      <name val="Arial"/>
      <family val="2"/>
    </font>
    <font>
      <b/>
      <sz val="11"/>
      <color theme="3"/>
      <name val="Arial"/>
      <family val="2"/>
    </font>
    <font>
      <sz val="9"/>
      <color rgb="FF3F3F76"/>
      <name val="Arial"/>
      <family val="2"/>
    </font>
    <font>
      <u/>
      <sz val="10"/>
      <color theme="10"/>
      <name val="Arial"/>
      <family val="2"/>
    </font>
    <font>
      <u/>
      <sz val="10"/>
      <color theme="10"/>
      <name val="Arial"/>
      <family val="2"/>
    </font>
    <font>
      <sz val="11"/>
      <name val="Arial"/>
      <family val="2"/>
    </font>
    <font>
      <b/>
      <sz val="9"/>
      <color rgb="FF3F3F76"/>
      <name val="Arial"/>
      <family val="2"/>
    </font>
    <font>
      <b/>
      <sz val="14"/>
      <color theme="3"/>
      <name val="Arial"/>
      <family val="2"/>
    </font>
    <font>
      <sz val="10"/>
      <color indexed="8"/>
      <name val="Calibri"/>
      <family val="2"/>
    </font>
    <font>
      <b/>
      <sz val="13"/>
      <color theme="3"/>
      <name val="Arial"/>
      <family val="2"/>
    </font>
    <font>
      <sz val="11"/>
      <color theme="0"/>
      <name val="Arial"/>
      <family val="2"/>
    </font>
    <font>
      <b/>
      <sz val="11"/>
      <name val="Arial"/>
      <family val="2"/>
    </font>
    <font>
      <b/>
      <sz val="11"/>
      <color theme="0"/>
      <name val="Arial"/>
      <family val="2"/>
    </font>
    <font>
      <b/>
      <sz val="10"/>
      <color indexed="8"/>
      <name val="Arial"/>
      <family val="2"/>
    </font>
    <font>
      <sz val="10"/>
      <color theme="0"/>
      <name val="Arial"/>
      <family val="2"/>
    </font>
    <font>
      <b/>
      <sz val="10"/>
      <color theme="0"/>
      <name val="Arial"/>
      <family val="2"/>
    </font>
    <font>
      <b/>
      <sz val="12"/>
      <color theme="3"/>
      <name val="Arial"/>
      <family val="2"/>
    </font>
    <font>
      <sz val="12"/>
      <name val="Arial"/>
      <family val="2"/>
    </font>
    <font>
      <sz val="11"/>
      <color theme="1"/>
      <name val="Calibri"/>
      <family val="2"/>
      <scheme val="minor"/>
    </font>
    <font>
      <sz val="10"/>
      <color rgb="FF9C6500"/>
      <name val="Arial"/>
      <family val="2"/>
    </font>
    <font>
      <b/>
      <sz val="8"/>
      <color theme="0"/>
      <name val="Arial"/>
      <family val="2"/>
    </font>
    <font>
      <b/>
      <sz val="18"/>
      <name val="Arial"/>
      <family val="2"/>
    </font>
    <font>
      <b/>
      <sz val="11"/>
      <color indexed="8"/>
      <name val="Arial"/>
      <family val="2"/>
    </font>
    <font>
      <sz val="10"/>
      <color rgb="FF000000"/>
      <name val="Arial"/>
      <family val="2"/>
    </font>
    <font>
      <b/>
      <sz val="12"/>
      <name val="Arial"/>
      <family val="2"/>
    </font>
    <font>
      <b/>
      <sz val="11"/>
      <color theme="4"/>
      <name val="Calibri"/>
      <family val="2"/>
      <scheme val="minor"/>
    </font>
    <font>
      <sz val="8"/>
      <name val="Arial"/>
      <family val="2"/>
    </font>
    <font>
      <strike/>
      <sz val="10"/>
      <name val="Arial"/>
      <family val="2"/>
    </font>
    <font>
      <sz val="10"/>
      <name val="Arial"/>
      <family val="2"/>
    </font>
    <font>
      <strike/>
      <sz val="10"/>
      <color indexed="8"/>
      <name val="Arial"/>
      <family val="2"/>
    </font>
  </fonts>
  <fills count="39">
    <fill>
      <patternFill patternType="none"/>
    </fill>
    <fill>
      <patternFill patternType="gray125"/>
    </fill>
    <fill>
      <patternFill patternType="solid">
        <fgColor indexed="9"/>
        <bgColor indexed="64"/>
      </patternFill>
    </fill>
    <fill>
      <patternFill patternType="solid">
        <fgColor indexed="22"/>
        <bgColor indexed="55"/>
      </patternFill>
    </fill>
    <fill>
      <patternFill patternType="solid">
        <fgColor indexed="22"/>
        <bgColor indexed="64"/>
      </patternFill>
    </fill>
    <fill>
      <patternFill patternType="solid">
        <fgColor rgb="FFFFCC99"/>
      </patternFill>
    </fill>
    <fill>
      <patternFill patternType="solid">
        <fgColor theme="4" tint="0.59999389629810485"/>
        <bgColor indexed="65"/>
      </patternFill>
    </fill>
    <fill>
      <patternFill patternType="solid">
        <fgColor indexed="47"/>
        <bgColor indexed="64"/>
      </patternFill>
    </fill>
    <fill>
      <patternFill patternType="solid">
        <fgColor indexed="41"/>
        <bgColor indexed="64"/>
      </patternFill>
    </fill>
    <fill>
      <patternFill patternType="solid">
        <fgColor indexed="42"/>
        <bgColor indexed="64"/>
      </patternFill>
    </fill>
    <fill>
      <patternFill patternType="solid">
        <fgColor indexed="43"/>
        <bgColor indexed="64"/>
      </patternFill>
    </fill>
    <fill>
      <patternFill patternType="solid">
        <fgColor rgb="FFFFCC99"/>
        <bgColor indexed="64"/>
      </patternFill>
    </fill>
    <fill>
      <patternFill patternType="solid">
        <fgColor indexed="26"/>
        <bgColor indexed="64"/>
      </patternFill>
    </fill>
    <fill>
      <patternFill patternType="solid">
        <fgColor theme="2" tint="-9.9978637043366805E-2"/>
        <bgColor indexed="64"/>
      </patternFill>
    </fill>
    <fill>
      <patternFill patternType="solid">
        <fgColor theme="2"/>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0"/>
        <bgColor indexed="64"/>
      </patternFill>
    </fill>
    <fill>
      <patternFill patternType="solid">
        <fgColor rgb="FFFF0000"/>
        <bgColor indexed="64"/>
      </patternFill>
    </fill>
    <fill>
      <patternFill patternType="solid">
        <fgColor rgb="FFFFC000"/>
        <bgColor indexed="64"/>
      </patternFill>
    </fill>
    <fill>
      <patternFill patternType="solid">
        <fgColor rgb="FF00B050"/>
        <bgColor indexed="64"/>
      </patternFill>
    </fill>
    <fill>
      <patternFill patternType="solid">
        <fgColor theme="1"/>
        <bgColor indexed="64"/>
      </patternFill>
    </fill>
    <fill>
      <patternFill patternType="solid">
        <fgColor rgb="FFFFFF00"/>
        <bgColor indexed="64"/>
      </patternFill>
    </fill>
    <fill>
      <patternFill patternType="solid">
        <fgColor theme="8" tint="0.79998168889431442"/>
        <bgColor indexed="64"/>
      </patternFill>
    </fill>
    <fill>
      <patternFill patternType="solid">
        <fgColor theme="4"/>
      </patternFill>
    </fill>
    <fill>
      <patternFill patternType="solid">
        <fgColor theme="5" tint="0.39997558519241921"/>
        <bgColor indexed="65"/>
      </patternFill>
    </fill>
    <fill>
      <patternFill patternType="solid">
        <fgColor theme="7"/>
      </patternFill>
    </fill>
    <fill>
      <patternFill patternType="solid">
        <fgColor theme="7" tint="0.59999389629810485"/>
        <bgColor indexed="65"/>
      </patternFill>
    </fill>
    <fill>
      <patternFill patternType="solid">
        <fgColor theme="9"/>
      </patternFill>
    </fill>
    <fill>
      <patternFill patternType="solid">
        <fgColor theme="9" tint="0.39997558519241921"/>
        <bgColor indexed="64"/>
      </patternFill>
    </fill>
    <fill>
      <patternFill patternType="solid">
        <fgColor rgb="FFCCFFCC"/>
        <bgColor indexed="64"/>
      </patternFill>
    </fill>
    <fill>
      <patternFill patternType="solid">
        <fgColor rgb="FFB4FFCC"/>
        <bgColor indexed="64"/>
      </patternFill>
    </fill>
    <fill>
      <patternFill patternType="solid">
        <fgColor rgb="FFFFBE82"/>
        <bgColor indexed="64"/>
      </patternFill>
    </fill>
    <fill>
      <patternFill patternType="solid">
        <fgColor rgb="FF8CFFCC"/>
        <bgColor indexed="64"/>
      </patternFill>
    </fill>
    <fill>
      <patternFill patternType="solid">
        <fgColor rgb="FFB8D2BB"/>
        <bgColor indexed="64"/>
      </patternFill>
    </fill>
    <fill>
      <patternFill patternType="solid">
        <fgColor rgb="FFFFEB9C"/>
      </patternFill>
    </fill>
    <fill>
      <patternFill patternType="solid">
        <fgColor theme="4" tint="0.79998168889431442"/>
        <bgColor indexed="64"/>
      </patternFill>
    </fill>
    <fill>
      <patternFill patternType="solid">
        <fgColor rgb="FFCCFFFF"/>
        <bgColor indexed="64"/>
      </patternFill>
    </fill>
    <fill>
      <patternFill patternType="solid">
        <fgColor rgb="FFD9D9D9"/>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7F7F7F"/>
      </left>
      <right style="thin">
        <color rgb="FF7F7F7F"/>
      </right>
      <top style="thin">
        <color rgb="FF7F7F7F"/>
      </top>
      <bottom style="thin">
        <color rgb="FF7F7F7F"/>
      </bottom>
      <diagonal/>
    </border>
    <border>
      <left/>
      <right/>
      <top/>
      <bottom style="thin">
        <color indexed="64"/>
      </bottom>
      <diagonal/>
    </border>
    <border>
      <left/>
      <right/>
      <top/>
      <bottom style="thick">
        <color theme="4" tint="0.499984740745262"/>
      </bottom>
      <diagonal/>
    </border>
    <border>
      <left/>
      <right/>
      <top/>
      <bottom style="medium">
        <color theme="4" tint="0.39997558519241921"/>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s>
  <cellStyleXfs count="22">
    <xf numFmtId="0" fontId="0" fillId="0" borderId="0"/>
    <xf numFmtId="0" fontId="11" fillId="0" borderId="0" applyNumberFormat="0" applyFill="0" applyBorder="0" applyAlignment="0" applyProtection="0"/>
    <xf numFmtId="0" fontId="12" fillId="5" borderId="7" applyNumberFormat="0" applyAlignment="0" applyProtection="0"/>
    <xf numFmtId="0" fontId="13" fillId="0" borderId="0" applyNumberFormat="0" applyFill="0" applyBorder="0" applyAlignment="0" applyProtection="0">
      <alignment vertical="top"/>
      <protection locked="0"/>
    </xf>
    <xf numFmtId="0" fontId="19" fillId="0" borderId="9" applyNumberFormat="0" applyFill="0" applyAlignment="0" applyProtection="0"/>
    <xf numFmtId="0" fontId="11" fillId="0" borderId="10" applyNumberFormat="0" applyFill="0" applyAlignment="0" applyProtection="0"/>
    <xf numFmtId="0" fontId="6" fillId="0" borderId="0"/>
    <xf numFmtId="43" fontId="6" fillId="0" borderId="0" applyFont="0" applyFill="0" applyBorder="0" applyAlignment="0" applyProtection="0"/>
    <xf numFmtId="0" fontId="24" fillId="24" borderId="0" applyNumberFormat="0" applyBorder="0" applyAlignment="0" applyProtection="0"/>
    <xf numFmtId="0" fontId="3" fillId="6" borderId="0" applyNumberFormat="0" applyBorder="0" applyAlignment="0" applyProtection="0"/>
    <xf numFmtId="0" fontId="24" fillId="25" borderId="0" applyNumberFormat="0" applyBorder="0" applyAlignment="0" applyProtection="0"/>
    <xf numFmtId="0" fontId="24" fillId="26" borderId="0" applyNumberFormat="0" applyBorder="0" applyAlignment="0" applyProtection="0"/>
    <xf numFmtId="0" fontId="3" fillId="27" borderId="0" applyNumberFormat="0" applyBorder="0" applyAlignment="0" applyProtection="0"/>
    <xf numFmtId="0" fontId="24" fillId="28" borderId="0" applyNumberFormat="0" applyBorder="0" applyAlignment="0" applyProtection="0"/>
    <xf numFmtId="0" fontId="28" fillId="0" borderId="0"/>
    <xf numFmtId="0" fontId="29" fillId="35" borderId="0" applyNumberFormat="0" applyBorder="0" applyAlignment="0" applyProtection="0"/>
    <xf numFmtId="0" fontId="4" fillId="0" borderId="0"/>
    <xf numFmtId="0" fontId="2" fillId="6" borderId="0" applyNumberFormat="0" applyBorder="0" applyAlignment="0" applyProtection="0"/>
    <xf numFmtId="0" fontId="2" fillId="27" borderId="0" applyNumberFormat="0" applyBorder="0" applyAlignment="0" applyProtection="0"/>
    <xf numFmtId="0" fontId="1" fillId="0" borderId="0" applyNumberFormat="0" applyFill="0" applyBorder="0" applyAlignment="0" applyProtection="0">
      <alignment horizontal="left"/>
    </xf>
    <xf numFmtId="2" fontId="35" fillId="0" borderId="0" applyNumberFormat="0" applyFill="0" applyBorder="0" applyAlignment="0" applyProtection="0"/>
    <xf numFmtId="43" fontId="38" fillId="0" borderId="0" applyFont="0" applyFill="0" applyBorder="0" applyAlignment="0" applyProtection="0"/>
  </cellStyleXfs>
  <cellXfs count="299">
    <xf numFmtId="0" fontId="0" fillId="0" borderId="0" xfId="0"/>
    <xf numFmtId="0" fontId="0" fillId="2" borderId="0" xfId="0" applyFill="1" applyAlignment="1">
      <alignment vertical="center"/>
    </xf>
    <xf numFmtId="0" fontId="0" fillId="2" borderId="0" xfId="0" applyFill="1" applyAlignment="1">
      <alignment horizontal="center" vertical="center"/>
    </xf>
    <xf numFmtId="0" fontId="0" fillId="2" borderId="0" xfId="0" applyFill="1"/>
    <xf numFmtId="164" fontId="0" fillId="2" borderId="0" xfId="0" applyNumberFormat="1" applyFill="1" applyAlignment="1">
      <alignment horizontal="center" vertical="center"/>
    </xf>
    <xf numFmtId="165" fontId="0" fillId="2" borderId="0" xfId="0" applyNumberFormat="1" applyFill="1" applyAlignment="1">
      <alignment horizontal="center" vertical="center"/>
    </xf>
    <xf numFmtId="0" fontId="0" fillId="2" borderId="1" xfId="0" applyFill="1" applyBorder="1" applyAlignment="1">
      <alignment vertical="center"/>
    </xf>
    <xf numFmtId="0" fontId="0" fillId="2" borderId="1" xfId="0" applyFill="1" applyBorder="1" applyAlignment="1">
      <alignment horizontal="center" vertical="center"/>
    </xf>
    <xf numFmtId="2" fontId="0" fillId="2" borderId="0" xfId="0" applyNumberFormat="1" applyFill="1" applyAlignment="1">
      <alignment horizontal="center" vertical="center"/>
    </xf>
    <xf numFmtId="166" fontId="0" fillId="2" borderId="0" xfId="0" applyNumberFormat="1" applyFill="1" applyAlignment="1">
      <alignment horizontal="center" vertical="center"/>
    </xf>
    <xf numFmtId="0" fontId="8" fillId="2" borderId="0" xfId="0" applyFont="1" applyFill="1" applyAlignment="1">
      <alignment vertical="center"/>
    </xf>
    <xf numFmtId="0" fontId="6" fillId="0" borderId="0" xfId="0" applyFont="1" applyAlignment="1">
      <alignment wrapText="1"/>
    </xf>
    <xf numFmtId="0" fontId="14" fillId="2" borderId="0" xfId="3" applyFont="1" applyFill="1" applyAlignment="1" applyProtection="1">
      <alignment vertical="center"/>
    </xf>
    <xf numFmtId="0" fontId="7" fillId="7" borderId="1" xfId="0" applyFont="1" applyFill="1" applyBorder="1" applyAlignment="1">
      <alignment horizontal="center" vertical="center" wrapText="1"/>
    </xf>
    <xf numFmtId="0" fontId="6" fillId="0" borderId="1" xfId="0" quotePrefix="1" applyFont="1" applyBorder="1" applyAlignment="1">
      <alignment horizontal="left" vertical="top" wrapText="1"/>
    </xf>
    <xf numFmtId="0" fontId="7" fillId="7" borderId="1" xfId="0" applyFont="1" applyFill="1" applyBorder="1" applyAlignment="1" applyProtection="1">
      <alignment vertical="center" wrapText="1"/>
      <protection locked="0"/>
    </xf>
    <xf numFmtId="0" fontId="15" fillId="4" borderId="1" xfId="0" applyFont="1" applyFill="1" applyBorder="1" applyAlignment="1" applyProtection="1">
      <alignment horizontal="center" vertical="center" wrapText="1"/>
      <protection locked="0"/>
    </xf>
    <xf numFmtId="167" fontId="0" fillId="9" borderId="1" xfId="0" applyNumberFormat="1" applyFill="1" applyBorder="1" applyAlignment="1" applyProtection="1">
      <alignment horizontal="center" vertical="center"/>
      <protection locked="0"/>
    </xf>
    <xf numFmtId="168" fontId="0" fillId="10" borderId="1" xfId="0" applyNumberFormat="1" applyFill="1" applyBorder="1" applyAlignment="1" applyProtection="1">
      <alignment horizontal="center" vertical="center"/>
      <protection locked="0"/>
    </xf>
    <xf numFmtId="0" fontId="7" fillId="7" borderId="1" xfId="0" applyFont="1" applyFill="1" applyBorder="1" applyAlignment="1" applyProtection="1">
      <alignment horizontal="center" vertical="center" wrapText="1"/>
      <protection locked="0"/>
    </xf>
    <xf numFmtId="0" fontId="6" fillId="4" borderId="1" xfId="0" applyFont="1" applyFill="1" applyBorder="1" applyAlignment="1">
      <alignment horizontal="center" vertical="center" wrapText="1"/>
    </xf>
    <xf numFmtId="0" fontId="6" fillId="0" borderId="6" xfId="0" applyFont="1" applyBorder="1" applyAlignment="1">
      <alignment horizontal="center" vertical="center" wrapText="1"/>
    </xf>
    <xf numFmtId="0" fontId="6" fillId="2" borderId="0" xfId="0" applyFont="1" applyFill="1" applyAlignment="1">
      <alignment vertical="center"/>
    </xf>
    <xf numFmtId="0" fontId="0" fillId="0" borderId="0" xfId="0" applyProtection="1">
      <protection locked="0"/>
    </xf>
    <xf numFmtId="169" fontId="6" fillId="3" borderId="1" xfId="0" applyNumberFormat="1" applyFont="1" applyFill="1" applyBorder="1" applyAlignment="1" applyProtection="1">
      <alignment horizontal="center" vertical="center"/>
      <protection locked="0"/>
    </xf>
    <xf numFmtId="49" fontId="15" fillId="8" borderId="1" xfId="0" applyNumberFormat="1" applyFont="1" applyFill="1" applyBorder="1" applyAlignment="1" applyProtection="1">
      <alignment horizontal="center" vertical="center" wrapText="1"/>
      <protection locked="0"/>
    </xf>
    <xf numFmtId="0" fontId="7" fillId="7" borderId="1" xfId="0" quotePrefix="1" applyFont="1" applyFill="1" applyBorder="1" applyAlignment="1">
      <alignment horizontal="center" vertical="center" wrapText="1"/>
    </xf>
    <xf numFmtId="49" fontId="16" fillId="5" borderId="7" xfId="2" applyNumberFormat="1" applyFont="1" applyAlignment="1" applyProtection="1">
      <alignment horizontal="center" vertical="center" wrapText="1"/>
      <protection locked="0"/>
    </xf>
    <xf numFmtId="170" fontId="18" fillId="14" borderId="1" xfId="0" applyNumberFormat="1" applyFont="1" applyFill="1" applyBorder="1" applyAlignment="1" applyProtection="1">
      <alignment horizontal="center" vertical="center"/>
      <protection locked="0"/>
    </xf>
    <xf numFmtId="171" fontId="18" fillId="14" borderId="1" xfId="0" applyNumberFormat="1" applyFont="1" applyFill="1" applyBorder="1" applyAlignment="1" applyProtection="1">
      <alignment horizontal="center" vertical="center"/>
      <protection locked="0"/>
    </xf>
    <xf numFmtId="0" fontId="7" fillId="13" borderId="1" xfId="0" quotePrefix="1" applyFont="1" applyFill="1" applyBorder="1" applyAlignment="1">
      <alignment horizontal="center" vertical="center" wrapText="1"/>
    </xf>
    <xf numFmtId="171" fontId="18" fillId="15" borderId="1" xfId="0" applyNumberFormat="1" applyFont="1" applyFill="1" applyBorder="1" applyAlignment="1" applyProtection="1">
      <alignment horizontal="center" vertical="center"/>
      <protection locked="0"/>
    </xf>
    <xf numFmtId="0" fontId="7" fillId="16" borderId="1" xfId="0" quotePrefix="1" applyFont="1" applyFill="1" applyBorder="1" applyAlignment="1">
      <alignment horizontal="center" vertical="center" wrapText="1"/>
    </xf>
    <xf numFmtId="49" fontId="6" fillId="9" borderId="1" xfId="0" applyNumberFormat="1" applyFont="1" applyFill="1" applyBorder="1" applyAlignment="1" applyProtection="1">
      <alignment horizontal="left" vertical="top" wrapText="1"/>
      <protection locked="0"/>
    </xf>
    <xf numFmtId="49" fontId="0" fillId="9" borderId="1" xfId="0" applyNumberFormat="1" applyFill="1" applyBorder="1" applyAlignment="1" applyProtection="1">
      <alignment horizontal="left" vertical="top" wrapText="1"/>
      <protection locked="0"/>
    </xf>
    <xf numFmtId="49" fontId="0" fillId="14" borderId="1" xfId="0" applyNumberFormat="1" applyFill="1" applyBorder="1" applyAlignment="1" applyProtection="1">
      <alignment horizontal="left" vertical="top" wrapText="1"/>
      <protection locked="0"/>
    </xf>
    <xf numFmtId="49" fontId="21" fillId="8" borderId="1" xfId="0" applyNumberFormat="1" applyFont="1" applyFill="1" applyBorder="1" applyAlignment="1" applyProtection="1">
      <alignment horizontal="center" vertical="center" wrapText="1"/>
      <protection locked="0"/>
    </xf>
    <xf numFmtId="172" fontId="21" fillId="9" borderId="1" xfId="0" applyNumberFormat="1" applyFont="1" applyFill="1" applyBorder="1" applyAlignment="1" applyProtection="1">
      <alignment horizontal="center" vertical="center"/>
      <protection locked="0"/>
    </xf>
    <xf numFmtId="172" fontId="21" fillId="3" borderId="1" xfId="0" applyNumberFormat="1" applyFont="1" applyFill="1" applyBorder="1" applyAlignment="1" applyProtection="1">
      <alignment horizontal="center" vertical="center"/>
      <protection locked="0"/>
    </xf>
    <xf numFmtId="0" fontId="21" fillId="8" borderId="1" xfId="0" applyFont="1" applyFill="1" applyBorder="1" applyAlignment="1" applyProtection="1">
      <alignment horizontal="center" vertical="center" wrapText="1"/>
      <protection locked="0"/>
    </xf>
    <xf numFmtId="3" fontId="21" fillId="8" borderId="1" xfId="0" applyNumberFormat="1" applyFont="1" applyFill="1" applyBorder="1" applyAlignment="1" applyProtection="1">
      <alignment horizontal="center" vertical="center" wrapText="1"/>
      <protection locked="0"/>
    </xf>
    <xf numFmtId="164" fontId="21" fillId="10" borderId="1" xfId="0" applyNumberFormat="1" applyFont="1" applyFill="1" applyBorder="1" applyAlignment="1" applyProtection="1">
      <alignment horizontal="center" vertical="center"/>
      <protection locked="0"/>
    </xf>
    <xf numFmtId="164" fontId="21" fillId="3" borderId="1" xfId="0" applyNumberFormat="1" applyFont="1" applyFill="1" applyBorder="1" applyAlignment="1" applyProtection="1">
      <alignment horizontal="center" vertical="center"/>
      <protection locked="0"/>
    </xf>
    <xf numFmtId="49" fontId="6" fillId="9" borderId="1" xfId="0" quotePrefix="1" applyNumberFormat="1" applyFont="1" applyFill="1" applyBorder="1" applyAlignment="1" applyProtection="1">
      <alignment horizontal="left" vertical="center" wrapText="1"/>
      <protection locked="0"/>
    </xf>
    <xf numFmtId="49" fontId="6" fillId="9" borderId="1" xfId="0" applyNumberFormat="1" applyFont="1" applyFill="1" applyBorder="1" applyAlignment="1" applyProtection="1">
      <alignment horizontal="left" vertical="center" wrapText="1"/>
      <protection locked="0"/>
    </xf>
    <xf numFmtId="0" fontId="0" fillId="17" borderId="0" xfId="0" applyFill="1"/>
    <xf numFmtId="0" fontId="13" fillId="2" borderId="0" xfId="3" applyFill="1" applyAlignment="1" applyProtection="1">
      <alignment vertical="center"/>
    </xf>
    <xf numFmtId="0" fontId="6" fillId="2" borderId="8" xfId="6" quotePrefix="1" applyFill="1" applyBorder="1" applyAlignment="1">
      <alignment vertical="center" wrapText="1"/>
    </xf>
    <xf numFmtId="0" fontId="6" fillId="2" borderId="0" xfId="6" applyFill="1" applyAlignment="1">
      <alignment vertical="center"/>
    </xf>
    <xf numFmtId="0" fontId="8" fillId="2" borderId="0" xfId="6" applyFont="1" applyFill="1" applyAlignment="1">
      <alignment vertical="center"/>
    </xf>
    <xf numFmtId="0" fontId="7" fillId="7" borderId="1" xfId="6" quotePrefix="1" applyFont="1" applyFill="1" applyBorder="1" applyAlignment="1">
      <alignment horizontal="center" vertical="center" wrapText="1"/>
    </xf>
    <xf numFmtId="0" fontId="7" fillId="7" borderId="1" xfId="6" applyFont="1" applyFill="1" applyBorder="1" applyAlignment="1">
      <alignment horizontal="center" vertical="center" wrapText="1"/>
    </xf>
    <xf numFmtId="49" fontId="23" fillId="7" borderId="1" xfId="6" applyNumberFormat="1" applyFont="1" applyFill="1" applyBorder="1" applyAlignment="1">
      <alignment horizontal="center" vertical="center" wrapText="1"/>
    </xf>
    <xf numFmtId="49" fontId="7" fillId="7" borderId="1" xfId="6" applyNumberFormat="1" applyFont="1" applyFill="1" applyBorder="1" applyAlignment="1">
      <alignment horizontal="center" vertical="center" wrapText="1"/>
    </xf>
    <xf numFmtId="1" fontId="6" fillId="9" borderId="1" xfId="6" applyNumberFormat="1" applyFill="1" applyBorder="1" applyAlignment="1" applyProtection="1">
      <alignment horizontal="left" vertical="center" wrapText="1"/>
      <protection locked="0"/>
    </xf>
    <xf numFmtId="0" fontId="6" fillId="9" borderId="1" xfId="6" applyFill="1" applyBorder="1" applyAlignment="1" applyProtection="1">
      <alignment horizontal="left" vertical="center" wrapText="1"/>
      <protection locked="0"/>
    </xf>
    <xf numFmtId="0" fontId="6" fillId="2" borderId="0" xfId="6" applyFill="1" applyAlignment="1">
      <alignment horizontal="center" vertical="center"/>
    </xf>
    <xf numFmtId="166" fontId="6" fillId="2" borderId="0" xfId="6" applyNumberFormat="1" applyFill="1" applyAlignment="1">
      <alignment horizontal="center" vertical="center"/>
    </xf>
    <xf numFmtId="0" fontId="6" fillId="2" borderId="0" xfId="6" applyFill="1"/>
    <xf numFmtId="172" fontId="4" fillId="12" borderId="1" xfId="6" applyNumberFormat="1" applyFont="1" applyFill="1" applyBorder="1" applyAlignment="1" applyProtection="1">
      <alignment horizontal="center" vertical="center"/>
      <protection locked="0"/>
    </xf>
    <xf numFmtId="164" fontId="4" fillId="12" borderId="1" xfId="6" applyNumberFormat="1" applyFont="1" applyFill="1" applyBorder="1" applyAlignment="1" applyProtection="1">
      <alignment horizontal="center" vertical="center"/>
      <protection locked="0"/>
    </xf>
    <xf numFmtId="172" fontId="4" fillId="9" borderId="1" xfId="6" applyNumberFormat="1" applyFont="1" applyFill="1" applyBorder="1" applyAlignment="1" applyProtection="1">
      <alignment horizontal="center" vertical="center"/>
      <protection locked="0"/>
    </xf>
    <xf numFmtId="164" fontId="4" fillId="9" borderId="1" xfId="6" applyNumberFormat="1" applyFont="1" applyFill="1" applyBorder="1" applyAlignment="1" applyProtection="1">
      <alignment horizontal="center" vertical="center"/>
      <protection locked="0"/>
    </xf>
    <xf numFmtId="0" fontId="6" fillId="0" borderId="0" xfId="0" applyFont="1" applyProtection="1">
      <protection locked="0"/>
    </xf>
    <xf numFmtId="49" fontId="11" fillId="6" borderId="0" xfId="1" quotePrefix="1" applyNumberFormat="1" applyFill="1" applyAlignment="1" applyProtection="1">
      <alignment horizontal="left" vertical="center" wrapText="1"/>
      <protection locked="0"/>
    </xf>
    <xf numFmtId="49" fontId="11" fillId="6" borderId="0" xfId="1" applyNumberFormat="1" applyFill="1" applyAlignment="1" applyProtection="1">
      <alignment vertical="center" wrapText="1"/>
      <protection locked="0"/>
    </xf>
    <xf numFmtId="49" fontId="19" fillId="0" borderId="0" xfId="4" applyNumberFormat="1" applyBorder="1" applyAlignment="1" applyProtection="1">
      <alignment vertical="center"/>
      <protection locked="0"/>
    </xf>
    <xf numFmtId="49" fontId="11" fillId="6" borderId="0" xfId="1" applyNumberFormat="1" applyFill="1" applyBorder="1" applyAlignment="1" applyProtection="1">
      <alignment vertical="center" wrapText="1"/>
      <protection locked="0"/>
    </xf>
    <xf numFmtId="49" fontId="11" fillId="0" borderId="0" xfId="5" applyNumberFormat="1" applyBorder="1" applyAlignment="1" applyProtection="1">
      <alignment vertical="center"/>
      <protection locked="0"/>
    </xf>
    <xf numFmtId="49" fontId="11" fillId="0" borderId="0" xfId="5" quotePrefix="1" applyNumberFormat="1" applyBorder="1" applyAlignment="1" applyProtection="1">
      <alignment horizontal="left" vertical="center"/>
      <protection locked="0"/>
    </xf>
    <xf numFmtId="49" fontId="23" fillId="7" borderId="1" xfId="0" applyNumberFormat="1" applyFont="1" applyFill="1" applyBorder="1" applyAlignment="1">
      <alignment horizontal="center" vertical="center" wrapText="1"/>
    </xf>
    <xf numFmtId="0" fontId="13" fillId="0" borderId="0" xfId="3" applyAlignment="1" applyProtection="1">
      <alignment horizontal="left" vertical="top"/>
    </xf>
    <xf numFmtId="0" fontId="7" fillId="7" borderId="6" xfId="0" applyFont="1" applyFill="1" applyBorder="1" applyAlignment="1" applyProtection="1">
      <alignment vertical="center" wrapText="1"/>
      <protection locked="0"/>
    </xf>
    <xf numFmtId="0" fontId="0" fillId="17" borderId="0" xfId="0" applyFill="1" applyAlignment="1">
      <alignment vertical="center"/>
    </xf>
    <xf numFmtId="0" fontId="25" fillId="20" borderId="1" xfId="0" applyFont="1" applyFill="1" applyBorder="1" applyAlignment="1" applyProtection="1">
      <alignment horizontal="center" vertical="center" wrapText="1"/>
      <protection locked="0"/>
    </xf>
    <xf numFmtId="0" fontId="7" fillId="0" borderId="6" xfId="0" applyFont="1" applyBorder="1" applyAlignment="1">
      <alignment vertical="center" wrapText="1"/>
    </xf>
    <xf numFmtId="0" fontId="7" fillId="0" borderId="1" xfId="0" applyFont="1" applyBorder="1" applyAlignment="1">
      <alignment vertical="center" wrapText="1"/>
    </xf>
    <xf numFmtId="0" fontId="25" fillId="18" borderId="1" xfId="0" applyFont="1" applyFill="1" applyBorder="1" applyAlignment="1" applyProtection="1">
      <alignment horizontal="center" vertical="center" wrapText="1"/>
      <protection locked="0"/>
    </xf>
    <xf numFmtId="0" fontId="25" fillId="21" borderId="1" xfId="0" applyFont="1" applyFill="1" applyBorder="1" applyAlignment="1" applyProtection="1">
      <alignment horizontal="center" vertical="center" wrapText="1"/>
      <protection locked="0"/>
    </xf>
    <xf numFmtId="0" fontId="7" fillId="22" borderId="1" xfId="0" applyFont="1" applyFill="1" applyBorder="1" applyAlignment="1" applyProtection="1">
      <alignment horizontal="center" vertical="center" wrapText="1"/>
      <protection locked="0"/>
    </xf>
    <xf numFmtId="0" fontId="6" fillId="0" borderId="1" xfId="0" applyFont="1" applyBorder="1" applyAlignment="1">
      <alignment horizontal="center" vertical="center" wrapText="1"/>
    </xf>
    <xf numFmtId="0" fontId="17" fillId="17" borderId="0" xfId="1" applyNumberFormat="1" applyFont="1" applyFill="1" applyBorder="1" applyAlignment="1">
      <alignment horizontal="center" vertical="center" wrapText="1"/>
    </xf>
    <xf numFmtId="0" fontId="8" fillId="17" borderId="0" xfId="6" applyFont="1" applyFill="1" applyAlignment="1">
      <alignment vertical="center"/>
    </xf>
    <xf numFmtId="0" fontId="17" fillId="17" borderId="0" xfId="1" applyNumberFormat="1" applyFont="1" applyFill="1" applyBorder="1" applyAlignment="1" applyProtection="1">
      <alignment horizontal="center" vertical="center" wrapText="1"/>
    </xf>
    <xf numFmtId="0" fontId="17" fillId="17" borderId="12" xfId="1" applyNumberFormat="1" applyFont="1" applyFill="1" applyBorder="1" applyAlignment="1">
      <alignment horizontal="center" vertical="center" wrapText="1"/>
    </xf>
    <xf numFmtId="0" fontId="17" fillId="17" borderId="0" xfId="1" applyNumberFormat="1" applyFont="1" applyFill="1" applyBorder="1" applyAlignment="1">
      <alignment vertical="center" wrapText="1"/>
    </xf>
    <xf numFmtId="0" fontId="7" fillId="17" borderId="4" xfId="0" applyFont="1" applyFill="1" applyBorder="1" applyAlignment="1">
      <alignment horizontal="left" vertical="center" wrapText="1"/>
    </xf>
    <xf numFmtId="0" fontId="6" fillId="17" borderId="4" xfId="0" applyFont="1" applyFill="1" applyBorder="1" applyAlignment="1">
      <alignment horizontal="center" vertical="center" wrapText="1"/>
    </xf>
    <xf numFmtId="0" fontId="6" fillId="17" borderId="8" xfId="0" applyFont="1" applyFill="1" applyBorder="1" applyAlignment="1">
      <alignment horizontal="center" vertical="center" wrapText="1"/>
    </xf>
    <xf numFmtId="0" fontId="17" fillId="17" borderId="8" xfId="1" applyNumberFormat="1" applyFont="1" applyFill="1" applyBorder="1" applyAlignment="1">
      <alignment horizontal="center" vertical="center" wrapText="1"/>
    </xf>
    <xf numFmtId="172" fontId="21" fillId="19" borderId="3" xfId="0" applyNumberFormat="1" applyFont="1" applyFill="1" applyBorder="1" applyAlignment="1" applyProtection="1">
      <alignment horizontal="center" vertical="center" wrapText="1"/>
      <protection locked="0"/>
    </xf>
    <xf numFmtId="0" fontId="13" fillId="0" borderId="0" xfId="3" applyAlignment="1" applyProtection="1"/>
    <xf numFmtId="0" fontId="13" fillId="2" borderId="0" xfId="3" applyFill="1" applyAlignment="1" applyProtection="1">
      <alignment vertical="center"/>
      <protection hidden="1"/>
    </xf>
    <xf numFmtId="175" fontId="6" fillId="9" borderId="1" xfId="6" applyNumberFormat="1" applyFill="1" applyBorder="1" applyAlignment="1">
      <alignment horizontal="center" vertical="center" wrapText="1"/>
    </xf>
    <xf numFmtId="0" fontId="6" fillId="9" borderId="1" xfId="6" applyFill="1" applyBorder="1" applyAlignment="1">
      <alignment horizontal="left" vertical="center" wrapText="1"/>
    </xf>
    <xf numFmtId="1" fontId="6" fillId="9" borderId="1" xfId="6" applyNumberFormat="1" applyFill="1" applyBorder="1" applyAlignment="1">
      <alignment horizontal="left" vertical="center" wrapText="1"/>
    </xf>
    <xf numFmtId="172" fontId="4" fillId="23" borderId="1" xfId="6" applyNumberFormat="1" applyFont="1" applyFill="1" applyBorder="1" applyAlignment="1">
      <alignment horizontal="center" vertical="center"/>
    </xf>
    <xf numFmtId="165" fontId="4" fillId="12" borderId="1" xfId="6" applyNumberFormat="1" applyFont="1" applyFill="1" applyBorder="1" applyAlignment="1">
      <alignment horizontal="center" vertical="center"/>
    </xf>
    <xf numFmtId="0" fontId="6" fillId="11" borderId="1" xfId="13" applyFont="1" applyFill="1" applyBorder="1" applyAlignment="1" applyProtection="1">
      <alignment vertical="center"/>
      <protection locked="0"/>
    </xf>
    <xf numFmtId="174" fontId="6" fillId="31" borderId="1" xfId="10" applyNumberFormat="1" applyFont="1" applyFill="1" applyBorder="1" applyAlignment="1" applyProtection="1">
      <alignment vertical="center"/>
      <protection locked="0"/>
    </xf>
    <xf numFmtId="173" fontId="3" fillId="30" borderId="1" xfId="9" applyNumberFormat="1" applyFill="1" applyBorder="1" applyAlignment="1" applyProtection="1">
      <alignment vertical="center"/>
    </xf>
    <xf numFmtId="174" fontId="6" fillId="30" borderId="1" xfId="9" applyNumberFormat="1" applyFont="1" applyFill="1" applyBorder="1" applyAlignment="1" applyProtection="1">
      <alignment vertical="center"/>
      <protection locked="0"/>
    </xf>
    <xf numFmtId="174" fontId="6" fillId="33" borderId="1" xfId="9" applyNumberFormat="1" applyFont="1" applyFill="1" applyBorder="1" applyAlignment="1" applyProtection="1">
      <alignment vertical="center"/>
      <protection locked="0"/>
    </xf>
    <xf numFmtId="174" fontId="6" fillId="34" borderId="1" xfId="10" applyNumberFormat="1" applyFont="1" applyFill="1" applyBorder="1" applyAlignment="1" applyProtection="1">
      <alignment vertical="center"/>
      <protection locked="0"/>
    </xf>
    <xf numFmtId="0" fontId="17" fillId="0" borderId="0" xfId="1" applyNumberFormat="1" applyFont="1" applyFill="1" applyBorder="1" applyAlignment="1" applyProtection="1">
      <alignment horizontal="center" vertical="center" wrapText="1"/>
    </xf>
    <xf numFmtId="0" fontId="0" fillId="0" borderId="0" xfId="0" applyAlignment="1">
      <alignment vertical="center"/>
    </xf>
    <xf numFmtId="0" fontId="0" fillId="0" borderId="0" xfId="0" applyAlignment="1">
      <alignment wrapText="1"/>
    </xf>
    <xf numFmtId="0" fontId="7" fillId="7" borderId="6" xfId="0" applyFont="1" applyFill="1" applyBorder="1" applyAlignment="1">
      <alignment horizontal="left" vertical="center" wrapText="1"/>
    </xf>
    <xf numFmtId="0" fontId="6" fillId="11" borderId="1" xfId="8" quotePrefix="1" applyFont="1" applyFill="1" applyBorder="1" applyAlignment="1" applyProtection="1">
      <alignment horizontal="center" vertical="center" wrapText="1"/>
    </xf>
    <xf numFmtId="0" fontId="6" fillId="32" borderId="1" xfId="11" quotePrefix="1" applyFont="1" applyFill="1" applyBorder="1" applyAlignment="1" applyProtection="1">
      <alignment horizontal="center" vertical="center" wrapText="1"/>
    </xf>
    <xf numFmtId="173" fontId="3" fillId="33" borderId="1" xfId="12" applyNumberFormat="1" applyFill="1" applyBorder="1" applyAlignment="1" applyProtection="1">
      <alignment vertical="center"/>
    </xf>
    <xf numFmtId="0" fontId="7" fillId="7" borderId="1" xfId="0" applyFont="1" applyFill="1" applyBorder="1" applyAlignment="1">
      <alignment horizontal="left" vertical="center" wrapText="1"/>
    </xf>
    <xf numFmtId="0" fontId="6" fillId="11" borderId="1" xfId="13" applyFont="1" applyFill="1" applyBorder="1" applyAlignment="1" applyProtection="1">
      <alignment vertical="center" wrapText="1"/>
    </xf>
    <xf numFmtId="0" fontId="6" fillId="29" borderId="1" xfId="13" applyFont="1" applyFill="1" applyBorder="1" applyAlignment="1" applyProtection="1">
      <alignment vertical="center" wrapText="1"/>
    </xf>
    <xf numFmtId="0" fontId="2" fillId="11" borderId="1" xfId="13" applyFont="1" applyFill="1" applyBorder="1" applyAlignment="1" applyProtection="1">
      <alignment vertical="center" wrapText="1"/>
    </xf>
    <xf numFmtId="0" fontId="2" fillId="29" borderId="1" xfId="13" applyFont="1" applyFill="1" applyBorder="1" applyAlignment="1" applyProtection="1">
      <alignment vertical="center" wrapText="1"/>
    </xf>
    <xf numFmtId="0" fontId="6" fillId="7" borderId="1" xfId="0" applyFont="1" applyFill="1" applyBorder="1" applyAlignment="1">
      <alignment horizontal="center" vertical="center" wrapText="1"/>
    </xf>
    <xf numFmtId="174" fontId="3" fillId="30" borderId="1" xfId="9" applyNumberFormat="1" applyFill="1" applyBorder="1" applyAlignment="1" applyProtection="1">
      <alignment vertical="center"/>
      <protection locked="0"/>
    </xf>
    <xf numFmtId="176" fontId="3" fillId="30" borderId="1" xfId="9" applyNumberFormat="1" applyFill="1" applyBorder="1" applyAlignment="1" applyProtection="1">
      <alignment vertical="center"/>
    </xf>
    <xf numFmtId="176" fontId="3" fillId="33" borderId="1" xfId="9" applyNumberFormat="1" applyFill="1" applyBorder="1" applyAlignment="1" applyProtection="1">
      <alignment vertical="center"/>
    </xf>
    <xf numFmtId="176" fontId="6" fillId="31" borderId="1" xfId="10" applyNumberFormat="1" applyFont="1" applyFill="1" applyBorder="1" applyAlignment="1" applyProtection="1">
      <alignment vertical="center"/>
    </xf>
    <xf numFmtId="176" fontId="6" fillId="34" borderId="1" xfId="10" applyNumberFormat="1" applyFont="1" applyFill="1" applyBorder="1" applyAlignment="1" applyProtection="1">
      <alignment vertical="center"/>
    </xf>
    <xf numFmtId="177" fontId="3" fillId="30" borderId="5" xfId="9" applyNumberFormat="1" applyFill="1" applyBorder="1" applyAlignment="1" applyProtection="1">
      <alignment vertical="center"/>
    </xf>
    <xf numFmtId="177" fontId="3" fillId="30" borderId="1" xfId="9" applyNumberFormat="1" applyFill="1" applyBorder="1" applyAlignment="1" applyProtection="1">
      <alignment vertical="center"/>
    </xf>
    <xf numFmtId="2" fontId="7" fillId="7" borderId="1" xfId="6" applyNumberFormat="1" applyFont="1" applyFill="1" applyBorder="1" applyAlignment="1">
      <alignment horizontal="center" vertical="center" wrapText="1"/>
    </xf>
    <xf numFmtId="49" fontId="6" fillId="11" borderId="1" xfId="8" quotePrefix="1" applyNumberFormat="1" applyFont="1" applyFill="1" applyBorder="1" applyAlignment="1" applyProtection="1">
      <alignment horizontal="center" vertical="center" wrapText="1"/>
    </xf>
    <xf numFmtId="49" fontId="6" fillId="32" borderId="1" xfId="11" quotePrefix="1" applyNumberFormat="1" applyFont="1" applyFill="1" applyBorder="1" applyAlignment="1" applyProtection="1">
      <alignment horizontal="center" vertical="center" wrapText="1"/>
    </xf>
    <xf numFmtId="49" fontId="11" fillId="6" borderId="0" xfId="1" applyNumberFormat="1" applyFill="1" applyAlignment="1" applyProtection="1">
      <alignment horizontal="center" vertical="center" wrapText="1"/>
      <protection locked="0"/>
    </xf>
    <xf numFmtId="49" fontId="11" fillId="6" borderId="0" xfId="1" quotePrefix="1" applyNumberFormat="1" applyFill="1" applyAlignment="1" applyProtection="1">
      <alignment horizontal="center" vertical="center" wrapText="1"/>
      <protection locked="0"/>
    </xf>
    <xf numFmtId="49" fontId="23" fillId="7" borderId="1" xfId="6" quotePrefix="1" applyNumberFormat="1" applyFont="1" applyFill="1" applyBorder="1" applyAlignment="1">
      <alignment horizontal="center" vertical="center" wrapText="1"/>
    </xf>
    <xf numFmtId="0" fontId="14" fillId="0" borderId="0" xfId="3" applyFont="1" applyFill="1" applyBorder="1" applyAlignment="1" applyProtection="1">
      <alignment vertical="center"/>
    </xf>
    <xf numFmtId="49" fontId="19" fillId="0" borderId="0" xfId="4" quotePrefix="1" applyNumberFormat="1" applyBorder="1" applyAlignment="1" applyProtection="1">
      <alignment horizontal="left" vertical="center"/>
      <protection locked="0"/>
    </xf>
    <xf numFmtId="164" fontId="21" fillId="10" borderId="1" xfId="0" applyNumberFormat="1" applyFont="1" applyFill="1" applyBorder="1" applyAlignment="1">
      <alignment horizontal="center" vertical="center"/>
    </xf>
    <xf numFmtId="178" fontId="22" fillId="18" borderId="1" xfId="0" applyNumberFormat="1" applyFont="1" applyFill="1" applyBorder="1" applyAlignment="1" applyProtection="1">
      <alignment horizontal="center" vertical="center"/>
      <protection locked="0"/>
    </xf>
    <xf numFmtId="178" fontId="21" fillId="19" borderId="1" xfId="0" applyNumberFormat="1" applyFont="1" applyFill="1" applyBorder="1" applyAlignment="1" applyProtection="1">
      <alignment horizontal="center" vertical="center"/>
      <protection locked="0"/>
    </xf>
    <xf numFmtId="178" fontId="22" fillId="20" borderId="1" xfId="0" applyNumberFormat="1" applyFont="1" applyFill="1" applyBorder="1" applyAlignment="1" applyProtection="1">
      <alignment horizontal="center" vertical="center"/>
      <protection locked="0"/>
    </xf>
    <xf numFmtId="178" fontId="22" fillId="21" borderId="1" xfId="0" applyNumberFormat="1" applyFont="1" applyFill="1" applyBorder="1" applyAlignment="1" applyProtection="1">
      <alignment horizontal="center" vertical="center"/>
      <protection locked="0"/>
    </xf>
    <xf numFmtId="178" fontId="21" fillId="22" borderId="1" xfId="0" applyNumberFormat="1" applyFont="1" applyFill="1" applyBorder="1" applyAlignment="1" applyProtection="1">
      <alignment horizontal="center" vertical="center"/>
      <protection locked="0"/>
    </xf>
    <xf numFmtId="178" fontId="30" fillId="18" borderId="1" xfId="0" applyNumberFormat="1" applyFont="1" applyFill="1" applyBorder="1" applyAlignment="1" applyProtection="1">
      <alignment horizontal="center" vertical="center" wrapText="1"/>
      <protection locked="0"/>
    </xf>
    <xf numFmtId="178" fontId="9" fillId="19" borderId="1" xfId="0" applyNumberFormat="1" applyFont="1" applyFill="1" applyBorder="1" applyAlignment="1" applyProtection="1">
      <alignment horizontal="center" vertical="center" wrapText="1"/>
      <protection locked="0"/>
    </xf>
    <xf numFmtId="178" fontId="30" fillId="20" borderId="1" xfId="0" applyNumberFormat="1" applyFont="1" applyFill="1" applyBorder="1" applyAlignment="1" applyProtection="1">
      <alignment horizontal="center" vertical="center" wrapText="1"/>
      <protection locked="0"/>
    </xf>
    <xf numFmtId="164" fontId="9" fillId="3" borderId="1" xfId="0" applyNumberFormat="1" applyFont="1" applyFill="1" applyBorder="1" applyAlignment="1" applyProtection="1">
      <alignment horizontal="center" vertical="center"/>
      <protection locked="0"/>
    </xf>
    <xf numFmtId="172" fontId="9" fillId="3" borderId="1" xfId="0" applyNumberFormat="1" applyFont="1" applyFill="1" applyBorder="1" applyAlignment="1" applyProtection="1">
      <alignment horizontal="center" vertical="center"/>
      <protection locked="0"/>
    </xf>
    <xf numFmtId="172" fontId="9" fillId="9" borderId="1" xfId="0" applyNumberFormat="1" applyFont="1" applyFill="1" applyBorder="1" applyAlignment="1" applyProtection="1">
      <alignment horizontal="center" vertical="center"/>
      <protection locked="0"/>
    </xf>
    <xf numFmtId="178" fontId="30" fillId="21" borderId="1" xfId="0" applyNumberFormat="1" applyFont="1" applyFill="1" applyBorder="1" applyAlignment="1" applyProtection="1">
      <alignment horizontal="center" vertical="center" wrapText="1"/>
      <protection locked="0"/>
    </xf>
    <xf numFmtId="178" fontId="9" fillId="22" borderId="1" xfId="0" applyNumberFormat="1" applyFont="1" applyFill="1" applyBorder="1" applyAlignment="1" applyProtection="1">
      <alignment horizontal="center" vertical="center" wrapText="1"/>
      <protection locked="0"/>
    </xf>
    <xf numFmtId="164" fontId="9" fillId="10" borderId="1" xfId="0" applyNumberFormat="1" applyFont="1" applyFill="1" applyBorder="1" applyAlignment="1" applyProtection="1">
      <alignment horizontal="center" vertical="center" wrapText="1"/>
      <protection locked="0"/>
    </xf>
    <xf numFmtId="164" fontId="9" fillId="10" borderId="1" xfId="0" applyNumberFormat="1" applyFont="1" applyFill="1" applyBorder="1" applyAlignment="1">
      <alignment horizontal="center" vertical="center" wrapText="1"/>
    </xf>
    <xf numFmtId="172" fontId="9" fillId="9" borderId="1" xfId="0" applyNumberFormat="1" applyFont="1" applyFill="1" applyBorder="1" applyAlignment="1" applyProtection="1">
      <alignment horizontal="center" vertical="center" wrapText="1"/>
      <protection locked="0"/>
    </xf>
    <xf numFmtId="0" fontId="6" fillId="0" borderId="0" xfId="6"/>
    <xf numFmtId="0" fontId="6" fillId="0" borderId="0" xfId="6" applyAlignment="1">
      <alignment horizontal="left"/>
    </xf>
    <xf numFmtId="0" fontId="31" fillId="0" borderId="0" xfId="6" applyFont="1"/>
    <xf numFmtId="0" fontId="13" fillId="0" borderId="0" xfId="3" applyFill="1" applyAlignment="1" applyProtection="1">
      <alignment horizontal="left" vertical="center"/>
    </xf>
    <xf numFmtId="0" fontId="6" fillId="0" borderId="0" xfId="6" applyAlignment="1">
      <alignment horizontal="center" vertical="center" wrapText="1"/>
    </xf>
    <xf numFmtId="0" fontId="6" fillId="0" borderId="0" xfId="6" applyAlignment="1">
      <alignment horizontal="center" vertical="top" wrapText="1"/>
    </xf>
    <xf numFmtId="0" fontId="6" fillId="36" borderId="0" xfId="6" applyFill="1" applyAlignment="1">
      <alignment horizontal="left"/>
    </xf>
    <xf numFmtId="14" fontId="6" fillId="0" borderId="0" xfId="6" applyNumberFormat="1"/>
    <xf numFmtId="0" fontId="6" fillId="0" borderId="0" xfId="6" quotePrefix="1" applyAlignment="1">
      <alignment horizontal="left"/>
    </xf>
    <xf numFmtId="0" fontId="6" fillId="36" borderId="0" xfId="6" applyFill="1" applyAlignment="1">
      <alignment horizontal="left" vertical="center"/>
    </xf>
    <xf numFmtId="179" fontId="6" fillId="36" borderId="0" xfId="6" applyNumberFormat="1" applyFill="1" applyAlignment="1">
      <alignment horizontal="left"/>
    </xf>
    <xf numFmtId="0" fontId="21" fillId="17" borderId="1" xfId="0" applyFont="1" applyFill="1" applyBorder="1" applyAlignment="1" applyProtection="1">
      <alignment horizontal="center" vertical="center" wrapText="1"/>
      <protection locked="0"/>
    </xf>
    <xf numFmtId="0" fontId="7" fillId="11" borderId="1" xfId="0" applyFont="1" applyFill="1" applyBorder="1" applyAlignment="1">
      <alignment vertical="center" wrapText="1"/>
    </xf>
    <xf numFmtId="0" fontId="32" fillId="0" borderId="1" xfId="16" applyFont="1" applyBorder="1" applyAlignment="1">
      <alignment horizontal="center" vertical="center" wrapText="1"/>
    </xf>
    <xf numFmtId="2" fontId="21" fillId="10" borderId="1" xfId="0" applyNumberFormat="1" applyFont="1" applyFill="1" applyBorder="1" applyAlignment="1" applyProtection="1">
      <alignment horizontal="center" vertical="center"/>
      <protection locked="0"/>
    </xf>
    <xf numFmtId="2" fontId="21" fillId="3" borderId="1" xfId="0" applyNumberFormat="1" applyFont="1" applyFill="1" applyBorder="1" applyAlignment="1" applyProtection="1">
      <alignment horizontal="center" vertical="center"/>
      <protection locked="0"/>
    </xf>
    <xf numFmtId="0" fontId="7" fillId="7" borderId="1" xfId="0" applyFont="1" applyFill="1" applyBorder="1" applyAlignment="1">
      <alignment vertical="center" wrapText="1"/>
    </xf>
    <xf numFmtId="2" fontId="21" fillId="3" borderId="1" xfId="0" applyNumberFormat="1" applyFont="1" applyFill="1" applyBorder="1" applyAlignment="1">
      <alignment horizontal="center" vertical="center"/>
    </xf>
    <xf numFmtId="2" fontId="21" fillId="10" borderId="1" xfId="0" applyNumberFormat="1" applyFont="1" applyFill="1" applyBorder="1" applyAlignment="1">
      <alignment horizontal="center" vertical="center"/>
    </xf>
    <xf numFmtId="0" fontId="21" fillId="0" borderId="1" xfId="0" applyFont="1" applyBorder="1" applyAlignment="1">
      <alignment horizontal="center" vertical="center" wrapText="1"/>
    </xf>
    <xf numFmtId="0" fontId="6" fillId="2" borderId="0" xfId="6" quotePrefix="1" applyFill="1" applyAlignment="1">
      <alignment horizontal="center" vertical="center" wrapText="1"/>
    </xf>
    <xf numFmtId="0" fontId="13" fillId="0" borderId="0" xfId="3" applyAlignment="1" applyProtection="1">
      <alignment horizontal="left" vertical="top" wrapText="1"/>
    </xf>
    <xf numFmtId="3" fontId="21" fillId="0" borderId="1" xfId="0" applyNumberFormat="1" applyFont="1" applyBorder="1" applyAlignment="1" applyProtection="1">
      <alignment horizontal="center" vertical="center" wrapText="1"/>
      <protection locked="0"/>
    </xf>
    <xf numFmtId="0" fontId="21" fillId="0" borderId="1" xfId="0" applyFont="1" applyBorder="1" applyAlignment="1" applyProtection="1">
      <alignment horizontal="center" vertical="center" wrapText="1"/>
      <protection locked="0"/>
    </xf>
    <xf numFmtId="0" fontId="7" fillId="7" borderId="1" xfId="0" applyFont="1" applyFill="1" applyBorder="1" applyAlignment="1" applyProtection="1">
      <alignment horizontal="center" vertical="center"/>
      <protection locked="0"/>
    </xf>
    <xf numFmtId="0" fontId="7" fillId="7" borderId="1" xfId="0" applyFont="1" applyFill="1" applyBorder="1" applyAlignment="1" applyProtection="1">
      <alignment vertical="center"/>
      <protection locked="0"/>
    </xf>
    <xf numFmtId="0" fontId="15" fillId="8" borderId="1" xfId="0" applyFont="1" applyFill="1" applyBorder="1" applyAlignment="1" applyProtection="1">
      <alignment horizontal="center" vertical="center"/>
      <protection locked="0"/>
    </xf>
    <xf numFmtId="49" fontId="21" fillId="0" borderId="1" xfId="0" quotePrefix="1" applyNumberFormat="1" applyFont="1" applyBorder="1" applyAlignment="1" applyProtection="1">
      <alignment horizontal="center" vertical="center" wrapText="1"/>
      <protection locked="0"/>
    </xf>
    <xf numFmtId="180" fontId="21" fillId="3" borderId="1" xfId="0" applyNumberFormat="1" applyFont="1" applyFill="1" applyBorder="1" applyAlignment="1" applyProtection="1">
      <alignment horizontal="center" vertical="center"/>
      <protection locked="0"/>
    </xf>
    <xf numFmtId="3" fontId="15" fillId="8" borderId="1" xfId="0" applyNumberFormat="1" applyFont="1" applyFill="1" applyBorder="1" applyAlignment="1" applyProtection="1">
      <alignment horizontal="center" vertical="center"/>
      <protection locked="0"/>
    </xf>
    <xf numFmtId="3" fontId="15" fillId="37" borderId="1" xfId="0" applyNumberFormat="1" applyFont="1" applyFill="1" applyBorder="1" applyAlignment="1" applyProtection="1">
      <alignment horizontal="center" vertical="center"/>
      <protection locked="0"/>
    </xf>
    <xf numFmtId="0" fontId="6" fillId="17" borderId="1" xfId="0" applyFont="1" applyFill="1" applyBorder="1" applyAlignment="1">
      <alignment horizontal="center" vertical="center" wrapText="1"/>
    </xf>
    <xf numFmtId="0" fontId="6" fillId="4" borderId="1" xfId="0" applyFont="1" applyFill="1" applyBorder="1" applyAlignment="1">
      <alignment vertical="center" wrapText="1"/>
    </xf>
    <xf numFmtId="0" fontId="6" fillId="9" borderId="1" xfId="6" applyFill="1" applyBorder="1" applyAlignment="1" applyProtection="1">
      <alignment horizontal="center" vertical="center" wrapText="1"/>
      <protection locked="0"/>
    </xf>
    <xf numFmtId="49" fontId="0" fillId="9" borderId="1" xfId="0" applyNumberFormat="1" applyFill="1" applyBorder="1" applyAlignment="1" applyProtection="1">
      <alignment horizontal="center" vertical="top" wrapText="1"/>
      <protection locked="0"/>
    </xf>
    <xf numFmtId="0" fontId="7" fillId="0" borderId="1" xfId="0" applyFont="1" applyBorder="1" applyAlignment="1">
      <alignment horizontal="left" vertical="center" wrapText="1" indent="1"/>
    </xf>
    <xf numFmtId="174" fontId="6" fillId="31" borderId="1" xfId="10" applyNumberFormat="1" applyFont="1" applyFill="1" applyBorder="1" applyAlignment="1" applyProtection="1">
      <alignment vertical="center"/>
    </xf>
    <xf numFmtId="182" fontId="3" fillId="30" borderId="1" xfId="9" applyNumberFormat="1" applyFill="1" applyBorder="1" applyAlignment="1" applyProtection="1">
      <alignment vertical="center"/>
    </xf>
    <xf numFmtId="182" fontId="3" fillId="33" borderId="1" xfId="12" applyNumberFormat="1" applyFill="1" applyBorder="1" applyAlignment="1" applyProtection="1">
      <alignment vertical="center"/>
    </xf>
    <xf numFmtId="0" fontId="33" fillId="0" borderId="1" xfId="0" applyFont="1" applyBorder="1" applyAlignment="1">
      <alignment vertical="center"/>
    </xf>
    <xf numFmtId="0" fontId="33" fillId="38" borderId="1" xfId="0" applyFont="1" applyFill="1" applyBorder="1" applyAlignment="1">
      <alignment vertical="center"/>
    </xf>
    <xf numFmtId="2" fontId="0" fillId="2" borderId="1" xfId="0" applyNumberFormat="1" applyFill="1" applyBorder="1" applyAlignment="1">
      <alignment horizontal="center" vertical="center"/>
    </xf>
    <xf numFmtId="0" fontId="7" fillId="0" borderId="6" xfId="0" applyFont="1" applyBorder="1" applyAlignment="1">
      <alignment horizontal="left" vertical="center" wrapText="1" indent="1"/>
    </xf>
    <xf numFmtId="0" fontId="21" fillId="8" borderId="1" xfId="0" applyFont="1" applyFill="1" applyBorder="1" applyAlignment="1">
      <alignment horizontal="center" vertical="center" wrapText="1"/>
    </xf>
    <xf numFmtId="0" fontId="21" fillId="0" borderId="1" xfId="0" quotePrefix="1" applyFont="1" applyBorder="1" applyAlignment="1">
      <alignment horizontal="center" vertical="center" wrapText="1"/>
    </xf>
    <xf numFmtId="2" fontId="4" fillId="12" borderId="1" xfId="6" applyNumberFormat="1" applyFont="1" applyFill="1" applyBorder="1" applyAlignment="1">
      <alignment horizontal="center" vertical="center"/>
    </xf>
    <xf numFmtId="164" fontId="4" fillId="23" borderId="1" xfId="6" applyNumberFormat="1" applyFont="1" applyFill="1" applyBorder="1" applyAlignment="1">
      <alignment horizontal="center" vertical="center"/>
    </xf>
    <xf numFmtId="14" fontId="6" fillId="9" borderId="1" xfId="0" quotePrefix="1" applyNumberFormat="1" applyFont="1" applyFill="1" applyBorder="1" applyAlignment="1" applyProtection="1">
      <alignment horizontal="left" vertical="center" wrapText="1"/>
      <protection locked="0"/>
    </xf>
    <xf numFmtId="1" fontId="6" fillId="9" borderId="1" xfId="0" quotePrefix="1" applyNumberFormat="1" applyFont="1" applyFill="1" applyBorder="1" applyAlignment="1" applyProtection="1">
      <alignment horizontal="left" vertical="center" wrapText="1"/>
      <protection locked="0"/>
    </xf>
    <xf numFmtId="0" fontId="6" fillId="9" borderId="1" xfId="0" applyFont="1" applyFill="1" applyBorder="1" applyAlignment="1" applyProtection="1">
      <alignment horizontal="center" vertical="center" wrapText="1"/>
      <protection locked="0"/>
    </xf>
    <xf numFmtId="0" fontId="37" fillId="2" borderId="0" xfId="6" applyFont="1" applyFill="1" applyAlignment="1">
      <alignment vertical="center"/>
    </xf>
    <xf numFmtId="0" fontId="6" fillId="9" borderId="1" xfId="0" quotePrefix="1" applyFont="1" applyFill="1" applyBorder="1" applyAlignment="1" applyProtection="1">
      <alignment horizontal="center" vertical="center" wrapText="1"/>
      <protection locked="0"/>
    </xf>
    <xf numFmtId="0" fontId="0" fillId="0" borderId="1" xfId="0" applyBorder="1" applyAlignment="1">
      <alignment horizontal="center"/>
    </xf>
    <xf numFmtId="165" fontId="0" fillId="0" borderId="1" xfId="0" applyNumberFormat="1" applyBorder="1" applyAlignment="1">
      <alignment horizontal="center"/>
    </xf>
    <xf numFmtId="0" fontId="0" fillId="0" borderId="1" xfId="0" applyBorder="1" applyAlignment="1">
      <alignment vertical="center" wrapText="1"/>
    </xf>
    <xf numFmtId="0" fontId="7" fillId="7" borderId="2" xfId="0" applyFont="1" applyFill="1" applyBorder="1" applyAlignment="1" applyProtection="1">
      <alignment horizontal="center" vertical="center" wrapText="1"/>
      <protection locked="0"/>
    </xf>
    <xf numFmtId="165" fontId="0" fillId="0" borderId="1" xfId="0" applyNumberFormat="1" applyBorder="1" applyAlignment="1">
      <alignment horizontal="center" vertical="center"/>
    </xf>
    <xf numFmtId="0" fontId="0" fillId="0" borderId="1" xfId="0" applyBorder="1" applyAlignment="1">
      <alignment horizontal="center" vertical="center"/>
    </xf>
    <xf numFmtId="1" fontId="0" fillId="0" borderId="1" xfId="0" applyNumberFormat="1" applyBorder="1" applyAlignment="1">
      <alignment horizontal="center"/>
    </xf>
    <xf numFmtId="0" fontId="6" fillId="0" borderId="1" xfId="0" applyFont="1" applyBorder="1" applyAlignment="1">
      <alignment vertical="center" wrapText="1"/>
    </xf>
    <xf numFmtId="0" fontId="0" fillId="0" borderId="1" xfId="0" applyBorder="1" applyAlignment="1">
      <alignment vertical="center"/>
    </xf>
    <xf numFmtId="0" fontId="6" fillId="9" borderId="1" xfId="0" applyFont="1" applyFill="1" applyBorder="1" applyAlignment="1" applyProtection="1">
      <alignment horizontal="left" vertical="center" wrapText="1"/>
      <protection locked="0"/>
    </xf>
    <xf numFmtId="1" fontId="6" fillId="2" borderId="0" xfId="6" applyNumberFormat="1" applyFill="1" applyAlignment="1">
      <alignment vertical="center"/>
    </xf>
    <xf numFmtId="183" fontId="21" fillId="9" borderId="1" xfId="0" applyNumberFormat="1" applyFont="1" applyFill="1" applyBorder="1" applyAlignment="1" applyProtection="1">
      <alignment horizontal="center" vertical="center"/>
      <protection locked="0"/>
    </xf>
    <xf numFmtId="0" fontId="6" fillId="0" borderId="1" xfId="0" applyFont="1" applyBorder="1" applyAlignment="1">
      <alignment horizontal="left" vertical="center" wrapText="1"/>
    </xf>
    <xf numFmtId="181" fontId="15" fillId="8" borderId="1" xfId="21" applyNumberFormat="1" applyFont="1" applyFill="1" applyBorder="1" applyAlignment="1" applyProtection="1">
      <alignment horizontal="center" vertical="center"/>
      <protection locked="0"/>
    </xf>
    <xf numFmtId="49" fontId="37" fillId="9" borderId="1" xfId="0" quotePrefix="1" applyNumberFormat="1" applyFont="1" applyFill="1" applyBorder="1" applyAlignment="1" applyProtection="1">
      <alignment horizontal="left" vertical="center" wrapText="1"/>
      <protection locked="0"/>
    </xf>
    <xf numFmtId="175" fontId="37" fillId="9" borderId="1" xfId="6" applyNumberFormat="1" applyFont="1" applyFill="1" applyBorder="1" applyAlignment="1">
      <alignment horizontal="center" vertical="center" wrapText="1"/>
    </xf>
    <xf numFmtId="1" fontId="37" fillId="9" borderId="1" xfId="6" applyNumberFormat="1" applyFont="1" applyFill="1" applyBorder="1" applyAlignment="1" applyProtection="1">
      <alignment horizontal="left" vertical="center" wrapText="1"/>
      <protection locked="0"/>
    </xf>
    <xf numFmtId="49" fontId="37" fillId="9" borderId="1" xfId="0" applyNumberFormat="1" applyFont="1" applyFill="1" applyBorder="1" applyAlignment="1" applyProtection="1">
      <alignment horizontal="left" vertical="center" wrapText="1"/>
      <protection locked="0"/>
    </xf>
    <xf numFmtId="0" fontId="37" fillId="9" borderId="1" xfId="6" applyFont="1" applyFill="1" applyBorder="1" applyAlignment="1" applyProtection="1">
      <alignment horizontal="left" vertical="center" wrapText="1"/>
      <protection locked="0"/>
    </xf>
    <xf numFmtId="0" fontId="37" fillId="9" borderId="1" xfId="6" applyFont="1" applyFill="1" applyBorder="1" applyAlignment="1" applyProtection="1">
      <alignment horizontal="center" vertical="center" wrapText="1"/>
      <protection locked="0"/>
    </xf>
    <xf numFmtId="172" fontId="39" fillId="12" borderId="1" xfId="6" applyNumberFormat="1" applyFont="1" applyFill="1" applyBorder="1" applyAlignment="1" applyProtection="1">
      <alignment horizontal="center" vertical="center"/>
      <protection locked="0"/>
    </xf>
    <xf numFmtId="164" fontId="39" fillId="12" borderId="1" xfId="6" applyNumberFormat="1" applyFont="1" applyFill="1" applyBorder="1" applyAlignment="1" applyProtection="1">
      <alignment horizontal="center" vertical="center"/>
      <protection locked="0"/>
    </xf>
    <xf numFmtId="172" fontId="39" fillId="9" borderId="1" xfId="6" applyNumberFormat="1" applyFont="1" applyFill="1" applyBorder="1" applyAlignment="1" applyProtection="1">
      <alignment horizontal="center" vertical="center"/>
      <protection locked="0"/>
    </xf>
    <xf numFmtId="164" fontId="39" fillId="9" borderId="1" xfId="6" applyNumberFormat="1" applyFont="1" applyFill="1" applyBorder="1" applyAlignment="1" applyProtection="1">
      <alignment horizontal="center" vertical="center"/>
      <protection locked="0"/>
    </xf>
    <xf numFmtId="14" fontId="37" fillId="9" borderId="1" xfId="0" quotePrefix="1" applyNumberFormat="1" applyFont="1" applyFill="1" applyBorder="1" applyAlignment="1" applyProtection="1">
      <alignment horizontal="left" vertical="center" wrapText="1"/>
      <protection locked="0"/>
    </xf>
    <xf numFmtId="0" fontId="15" fillId="0" borderId="0" xfId="0" quotePrefix="1" applyFont="1" applyAlignment="1">
      <alignment horizontal="left" vertical="top" wrapText="1"/>
    </xf>
    <xf numFmtId="49" fontId="11" fillId="6" borderId="0" xfId="1" applyNumberFormat="1" applyFill="1" applyAlignment="1" applyProtection="1">
      <alignment horizontal="left" vertical="center" wrapText="1"/>
      <protection locked="0"/>
    </xf>
    <xf numFmtId="0" fontId="6" fillId="0" borderId="0" xfId="0" quotePrefix="1" applyFont="1" applyAlignment="1">
      <alignment horizontal="left" wrapText="1"/>
    </xf>
    <xf numFmtId="0" fontId="20" fillId="0" borderId="0" xfId="0" quotePrefix="1" applyFont="1" applyAlignment="1">
      <alignment horizontal="left" vertical="top" wrapText="1"/>
    </xf>
    <xf numFmtId="0" fontId="6" fillId="0" borderId="0" xfId="0" quotePrefix="1" applyFont="1" applyAlignment="1" applyProtection="1">
      <alignment horizontal="left" vertical="top" wrapText="1"/>
      <protection locked="0"/>
    </xf>
    <xf numFmtId="0" fontId="6" fillId="0" borderId="0" xfId="0" applyFont="1" applyAlignment="1" applyProtection="1">
      <alignment horizontal="left" vertical="top" wrapText="1"/>
      <protection locked="0"/>
    </xf>
    <xf numFmtId="49" fontId="11" fillId="6" borderId="0" xfId="1" applyNumberFormat="1" applyFill="1" applyAlignment="1" applyProtection="1">
      <alignment horizontal="center" vertical="center" wrapText="1"/>
      <protection locked="0"/>
    </xf>
    <xf numFmtId="0" fontId="6" fillId="0" borderId="3" xfId="0" applyFont="1" applyBorder="1" applyAlignment="1">
      <alignment horizontal="left" vertical="center" wrapText="1" indent="1"/>
    </xf>
    <xf numFmtId="0" fontId="6" fillId="0" borderId="4" xfId="0" applyFont="1" applyBorder="1" applyAlignment="1">
      <alignment horizontal="left" vertical="center" wrapText="1" indent="1"/>
    </xf>
    <xf numFmtId="0" fontId="6" fillId="0" borderId="5" xfId="0" applyFont="1" applyBorder="1" applyAlignment="1">
      <alignment horizontal="left" vertical="center" wrapText="1" indent="1"/>
    </xf>
    <xf numFmtId="0" fontId="7" fillId="0" borderId="1" xfId="0" applyFont="1" applyBorder="1" applyAlignment="1">
      <alignment horizontal="left" vertical="center" wrapText="1"/>
    </xf>
    <xf numFmtId="0" fontId="17" fillId="6" borderId="1" xfId="1" applyNumberFormat="1" applyFont="1" applyFill="1" applyBorder="1" applyAlignment="1">
      <alignment horizontal="center" vertical="center" wrapText="1"/>
    </xf>
    <xf numFmtId="172" fontId="21" fillId="19" borderId="3" xfId="0" applyNumberFormat="1" applyFont="1" applyFill="1" applyBorder="1" applyAlignment="1" applyProtection="1">
      <alignment horizontal="center" vertical="center"/>
      <protection locked="0"/>
    </xf>
    <xf numFmtId="172" fontId="21" fillId="19" borderId="5" xfId="0" applyNumberFormat="1" applyFont="1" applyFill="1" applyBorder="1" applyAlignment="1" applyProtection="1">
      <alignment horizontal="center" vertical="center"/>
      <protection locked="0"/>
    </xf>
    <xf numFmtId="0" fontId="6" fillId="0" borderId="1" xfId="0" applyFont="1" applyBorder="1" applyAlignment="1">
      <alignment horizontal="center" vertical="center" wrapText="1"/>
    </xf>
    <xf numFmtId="0" fontId="7" fillId="7" borderId="3" xfId="0" applyFont="1" applyFill="1" applyBorder="1" applyAlignment="1" applyProtection="1">
      <alignment horizontal="center" vertical="center" wrapText="1"/>
      <protection locked="0"/>
    </xf>
    <xf numFmtId="0" fontId="7" fillId="7" borderId="5" xfId="0" applyFont="1" applyFill="1" applyBorder="1" applyAlignment="1" applyProtection="1">
      <alignment horizontal="center" vertical="center" wrapText="1"/>
      <protection locked="0"/>
    </xf>
    <xf numFmtId="0" fontId="7" fillId="0" borderId="1" xfId="0" applyFont="1" applyBorder="1" applyAlignment="1">
      <alignment horizontal="left" vertical="center" wrapText="1" indent="1"/>
    </xf>
    <xf numFmtId="0" fontId="6" fillId="4" borderId="1" xfId="0" applyFont="1" applyFill="1" applyBorder="1" applyAlignment="1">
      <alignment horizontal="center" vertical="center" wrapText="1"/>
    </xf>
    <xf numFmtId="0" fontId="7" fillId="0" borderId="3" xfId="0" applyFont="1" applyBorder="1" applyAlignment="1">
      <alignment horizontal="left" vertical="center" wrapText="1" indent="1"/>
    </xf>
    <xf numFmtId="0" fontId="7" fillId="0" borderId="5" xfId="0" applyFont="1" applyBorder="1" applyAlignment="1">
      <alignment horizontal="left" vertical="center" wrapText="1" indent="1"/>
    </xf>
    <xf numFmtId="0" fontId="6" fillId="2" borderId="8" xfId="6" quotePrefix="1" applyFill="1" applyBorder="1" applyAlignment="1">
      <alignment horizontal="center" vertical="center" wrapText="1"/>
    </xf>
    <xf numFmtId="0" fontId="17" fillId="6" borderId="3" xfId="1" applyNumberFormat="1" applyFont="1" applyFill="1" applyBorder="1" applyAlignment="1">
      <alignment horizontal="center" vertical="center" wrapText="1"/>
    </xf>
    <xf numFmtId="0" fontId="17" fillId="6" borderId="4" xfId="1" applyNumberFormat="1" applyFont="1" applyFill="1" applyBorder="1" applyAlignment="1">
      <alignment horizontal="center" vertical="center" wrapText="1"/>
    </xf>
    <xf numFmtId="0" fontId="17" fillId="6" borderId="5" xfId="1" applyNumberFormat="1" applyFont="1" applyFill="1" applyBorder="1" applyAlignment="1">
      <alignment horizontal="center" vertical="center" wrapText="1"/>
    </xf>
    <xf numFmtId="0" fontId="7" fillId="7" borderId="11" xfId="0" applyFont="1" applyFill="1" applyBorder="1" applyAlignment="1" applyProtection="1">
      <alignment horizontal="center" vertical="center" wrapText="1"/>
      <protection locked="0"/>
    </xf>
    <xf numFmtId="0" fontId="7" fillId="7" borderId="0" xfId="0" applyFont="1" applyFill="1" applyAlignment="1" applyProtection="1">
      <alignment horizontal="center" vertical="center" wrapText="1"/>
      <protection locked="0"/>
    </xf>
    <xf numFmtId="0" fontId="25" fillId="18" borderId="1" xfId="0" applyFont="1" applyFill="1" applyBorder="1" applyAlignment="1" applyProtection="1">
      <alignment horizontal="center" vertical="center" wrapText="1"/>
      <protection locked="0"/>
    </xf>
    <xf numFmtId="0" fontId="6" fillId="0" borderId="3" xfId="0" applyFont="1" applyBorder="1" applyAlignment="1">
      <alignment horizontal="center" vertical="center" wrapText="1"/>
    </xf>
    <xf numFmtId="0" fontId="6" fillId="0" borderId="4" xfId="0" applyFont="1" applyBorder="1" applyAlignment="1">
      <alignment horizontal="center" vertical="center" wrapText="1"/>
    </xf>
    <xf numFmtId="0" fontId="6" fillId="0" borderId="5" xfId="0" applyFont="1" applyBorder="1" applyAlignment="1">
      <alignment horizontal="center" vertical="center" wrapText="1"/>
    </xf>
    <xf numFmtId="0" fontId="6" fillId="2" borderId="8" xfId="6" quotePrefix="1" applyFill="1" applyBorder="1" applyAlignment="1">
      <alignment horizontal="left" vertical="center" wrapText="1"/>
    </xf>
    <xf numFmtId="0" fontId="34" fillId="0" borderId="16" xfId="0" applyFont="1" applyBorder="1" applyAlignment="1">
      <alignment horizontal="center" vertical="center" wrapText="1"/>
    </xf>
    <xf numFmtId="0" fontId="34" fillId="0" borderId="17" xfId="0" applyFont="1" applyBorder="1" applyAlignment="1">
      <alignment horizontal="center" vertical="center" wrapText="1"/>
    </xf>
    <xf numFmtId="0" fontId="34" fillId="0" borderId="18" xfId="0" applyFont="1" applyBorder="1" applyAlignment="1">
      <alignment horizontal="center" vertical="center" wrapText="1"/>
    </xf>
    <xf numFmtId="0" fontId="34" fillId="0" borderId="11" xfId="0" applyFont="1" applyBorder="1" applyAlignment="1">
      <alignment horizontal="center" vertical="center" wrapText="1"/>
    </xf>
    <xf numFmtId="0" fontId="34" fillId="0" borderId="0" xfId="0" applyFont="1" applyAlignment="1">
      <alignment horizontal="center" vertical="center" wrapText="1"/>
    </xf>
    <xf numFmtId="0" fontId="34" fillId="0" borderId="12" xfId="0" applyFont="1" applyBorder="1" applyAlignment="1">
      <alignment horizontal="center" vertical="center" wrapText="1"/>
    </xf>
    <xf numFmtId="0" fontId="34" fillId="0" borderId="13" xfId="0" applyFont="1" applyBorder="1" applyAlignment="1">
      <alignment horizontal="center" vertical="center" wrapText="1"/>
    </xf>
    <xf numFmtId="0" fontId="34" fillId="0" borderId="8" xfId="0" applyFont="1" applyBorder="1" applyAlignment="1">
      <alignment horizontal="center" vertical="center" wrapText="1"/>
    </xf>
    <xf numFmtId="0" fontId="34" fillId="0" borderId="14" xfId="0" applyFont="1" applyBorder="1" applyAlignment="1">
      <alignment horizontal="center" vertical="center" wrapText="1"/>
    </xf>
    <xf numFmtId="172" fontId="34" fillId="0" borderId="18" xfId="0" applyNumberFormat="1" applyFont="1" applyBorder="1" applyAlignment="1">
      <alignment horizontal="center" vertical="center" wrapText="1"/>
    </xf>
    <xf numFmtId="172" fontId="34" fillId="0" borderId="12" xfId="0" applyNumberFormat="1" applyFont="1" applyBorder="1" applyAlignment="1">
      <alignment horizontal="center" vertical="center" wrapText="1"/>
    </xf>
    <xf numFmtId="172" fontId="34" fillId="0" borderId="14" xfId="0" applyNumberFormat="1" applyFont="1" applyBorder="1" applyAlignment="1">
      <alignment horizontal="center" vertical="center" wrapText="1"/>
    </xf>
    <xf numFmtId="0" fontId="7" fillId="7" borderId="1" xfId="0" applyFont="1" applyFill="1" applyBorder="1" applyAlignment="1">
      <alignment horizontal="center" vertical="center" wrapText="1"/>
    </xf>
    <xf numFmtId="0" fontId="9" fillId="0" borderId="1" xfId="0" applyFont="1" applyBorder="1" applyAlignment="1">
      <alignment vertical="top" wrapText="1"/>
    </xf>
    <xf numFmtId="0" fontId="17" fillId="6" borderId="1" xfId="1" applyNumberFormat="1" applyFont="1" applyFill="1" applyBorder="1" applyAlignment="1" applyProtection="1">
      <alignment horizontal="center" vertical="center" wrapText="1"/>
    </xf>
    <xf numFmtId="0" fontId="7" fillId="7" borderId="1" xfId="0" quotePrefix="1" applyFont="1" applyFill="1" applyBorder="1" applyAlignment="1" applyProtection="1">
      <alignment horizontal="center" vertical="center" wrapText="1"/>
      <protection locked="0"/>
    </xf>
    <xf numFmtId="0" fontId="6" fillId="0" borderId="0" xfId="0" applyFont="1" applyAlignment="1">
      <alignment horizontal="left" vertical="center" wrapText="1" indent="1"/>
    </xf>
    <xf numFmtId="0" fontId="6" fillId="0" borderId="1" xfId="0" applyFont="1" applyBorder="1" applyAlignment="1">
      <alignment horizontal="left" vertical="center" wrapText="1" indent="1"/>
    </xf>
    <xf numFmtId="0" fontId="7" fillId="7" borderId="16" xfId="0" applyFont="1" applyFill="1" applyBorder="1" applyAlignment="1" applyProtection="1">
      <alignment horizontal="center" vertical="center" wrapText="1"/>
      <protection locked="0"/>
    </xf>
    <xf numFmtId="0" fontId="7" fillId="7" borderId="18" xfId="0" applyFont="1" applyFill="1" applyBorder="1" applyAlignment="1" applyProtection="1">
      <alignment horizontal="center" vertical="center" wrapText="1"/>
      <protection locked="0"/>
    </xf>
    <xf numFmtId="0" fontId="7" fillId="7" borderId="13" xfId="0" applyFont="1" applyFill="1" applyBorder="1" applyAlignment="1" applyProtection="1">
      <alignment horizontal="center" vertical="center" wrapText="1"/>
      <protection locked="0"/>
    </xf>
    <xf numFmtId="0" fontId="7" fillId="7" borderId="14" xfId="0" applyFont="1" applyFill="1" applyBorder="1" applyAlignment="1" applyProtection="1">
      <alignment horizontal="center" vertical="center" wrapText="1"/>
      <protection locked="0"/>
    </xf>
    <xf numFmtId="0" fontId="7" fillId="7" borderId="4" xfId="0" applyFont="1" applyFill="1" applyBorder="1" applyAlignment="1" applyProtection="1">
      <alignment horizontal="center" vertical="center" wrapText="1"/>
      <protection locked="0"/>
    </xf>
    <xf numFmtId="0" fontId="6" fillId="2" borderId="8" xfId="0" quotePrefix="1" applyFont="1" applyFill="1" applyBorder="1" applyAlignment="1">
      <alignment horizontal="left" vertical="center" wrapText="1"/>
    </xf>
    <xf numFmtId="0" fontId="29" fillId="17" borderId="0" xfId="15" quotePrefix="1" applyFill="1" applyBorder="1" applyAlignment="1">
      <alignment horizontal="left" vertical="top" wrapText="1"/>
    </xf>
    <xf numFmtId="0" fontId="7" fillId="7" borderId="6" xfId="0" applyFont="1" applyFill="1" applyBorder="1" applyAlignment="1" applyProtection="1">
      <alignment vertical="center" wrapText="1"/>
      <protection locked="0"/>
    </xf>
    <xf numFmtId="0" fontId="7" fillId="7" borderId="15" xfId="0" applyFont="1" applyFill="1" applyBorder="1" applyAlignment="1" applyProtection="1">
      <alignment vertical="center" wrapText="1"/>
      <protection locked="0"/>
    </xf>
    <xf numFmtId="0" fontId="7" fillId="7" borderId="2" xfId="0" applyFont="1" applyFill="1" applyBorder="1" applyAlignment="1" applyProtection="1">
      <alignment vertical="center" wrapText="1"/>
      <protection locked="0"/>
    </xf>
    <xf numFmtId="0" fontId="7" fillId="7" borderId="6" xfId="0" applyFont="1" applyFill="1" applyBorder="1" applyAlignment="1" applyProtection="1">
      <alignment vertical="center"/>
      <protection locked="0"/>
    </xf>
    <xf numFmtId="0" fontId="7" fillId="7" borderId="15" xfId="0" applyFont="1" applyFill="1" applyBorder="1" applyAlignment="1" applyProtection="1">
      <alignment vertical="center"/>
      <protection locked="0"/>
    </xf>
    <xf numFmtId="0" fontId="7" fillId="7" borderId="2" xfId="0" applyFont="1" applyFill="1" applyBorder="1" applyAlignment="1" applyProtection="1">
      <alignment vertical="center"/>
      <protection locked="0"/>
    </xf>
    <xf numFmtId="0" fontId="26" fillId="6" borderId="3" xfId="1" applyNumberFormat="1" applyFont="1" applyFill="1" applyBorder="1" applyAlignment="1" applyProtection="1">
      <alignment horizontal="center" vertical="center" wrapText="1"/>
    </xf>
    <xf numFmtId="0" fontId="26" fillId="6" borderId="4" xfId="1" applyNumberFormat="1" applyFont="1" applyFill="1" applyBorder="1" applyAlignment="1" applyProtection="1">
      <alignment horizontal="center" vertical="center" wrapText="1"/>
    </xf>
    <xf numFmtId="0" fontId="26" fillId="6" borderId="5" xfId="1" applyNumberFormat="1" applyFont="1" applyFill="1" applyBorder="1" applyAlignment="1" applyProtection="1">
      <alignment horizontal="center" vertical="center" wrapText="1"/>
    </xf>
    <xf numFmtId="0" fontId="7" fillId="7" borderId="3" xfId="0" applyFont="1" applyFill="1" applyBorder="1" applyAlignment="1">
      <alignment horizontal="left" vertical="center" wrapText="1"/>
    </xf>
    <xf numFmtId="0" fontId="7" fillId="7" borderId="4" xfId="0" applyFont="1" applyFill="1" applyBorder="1" applyAlignment="1">
      <alignment horizontal="left" vertical="center" wrapText="1"/>
    </xf>
    <xf numFmtId="0" fontId="7" fillId="7" borderId="5" xfId="0" applyFont="1" applyFill="1" applyBorder="1" applyAlignment="1">
      <alignment horizontal="left" vertical="center" wrapText="1"/>
    </xf>
    <xf numFmtId="0" fontId="26" fillId="6" borderId="3" xfId="1" applyNumberFormat="1" applyFont="1" applyFill="1" applyBorder="1" applyAlignment="1" applyProtection="1">
      <alignment horizontal="left" vertical="center" wrapText="1"/>
    </xf>
    <xf numFmtId="0" fontId="26" fillId="6" borderId="4" xfId="1" applyNumberFormat="1" applyFont="1" applyFill="1" applyBorder="1" applyAlignment="1" applyProtection="1">
      <alignment horizontal="left" vertical="center" wrapText="1"/>
    </xf>
    <xf numFmtId="0" fontId="26" fillId="6" borderId="5" xfId="1" applyNumberFormat="1" applyFont="1" applyFill="1" applyBorder="1" applyAlignment="1" applyProtection="1">
      <alignment horizontal="left" vertical="center" wrapText="1"/>
    </xf>
    <xf numFmtId="0" fontId="6" fillId="0" borderId="0" xfId="0" quotePrefix="1" applyFont="1" applyAlignment="1">
      <alignment horizontal="left"/>
    </xf>
  </cellXfs>
  <cellStyles count="22">
    <cellStyle name="40% - Accent1" xfId="9" builtinId="31"/>
    <cellStyle name="40% - Accent1 2" xfId="17" xr:uid="{00000000-0005-0000-0000-000001000000}"/>
    <cellStyle name="40% - Accent4" xfId="12" builtinId="43"/>
    <cellStyle name="40% - Accent4 2" xfId="18" xr:uid="{00000000-0005-0000-0000-000003000000}"/>
    <cellStyle name="60% - Accent2" xfId="10" builtinId="36"/>
    <cellStyle name="Accent1" xfId="8" builtinId="29"/>
    <cellStyle name="Accent4" xfId="11" builtinId="41"/>
    <cellStyle name="Accent6" xfId="13" builtinId="49"/>
    <cellStyle name="Comma" xfId="21" builtinId="3"/>
    <cellStyle name="Comma 2" xfId="7" xr:uid="{00000000-0005-0000-0000-000008000000}"/>
    <cellStyle name="Heading 2" xfId="4" builtinId="17"/>
    <cellStyle name="Heading 3" xfId="5" builtinId="18"/>
    <cellStyle name="Heading 4" xfId="1" builtinId="19"/>
    <cellStyle name="Hyperlink" xfId="3" builtinId="8"/>
    <cellStyle name="Input" xfId="2" builtinId="20"/>
    <cellStyle name="LinksFrom_CEPATNEI" xfId="20" xr:uid="{276D71EF-CA78-49DD-8864-1FCB655ABF74}"/>
    <cellStyle name="Neutral" xfId="15" builtinId="28"/>
    <cellStyle name="Normal" xfId="0" builtinId="0"/>
    <cellStyle name="Normal 2" xfId="6" xr:uid="{00000000-0005-0000-0000-000010000000}"/>
    <cellStyle name="Normal 3" xfId="14" xr:uid="{00000000-0005-0000-0000-000011000000}"/>
    <cellStyle name="Normal_Sheet1" xfId="16" xr:uid="{00000000-0005-0000-0000-000012000000}"/>
    <cellStyle name="Text_CEPATNEI" xfId="19" xr:uid="{00000000-0005-0000-0000-000013000000}"/>
  </cellStyles>
  <dxfs count="3">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s>
  <tableStyles count="0" defaultTableStyle="TableStyleMedium9" defaultPivotStyle="PivotStyleLight16"/>
  <colors>
    <mruColors>
      <color rgb="FFCCFFCC"/>
      <color rgb="FFFFCC99"/>
      <color rgb="FFFFBE82"/>
      <color rgb="FFB4FFCC"/>
      <color rgb="FFB8D2BB"/>
      <color rgb="FF91FFCC"/>
      <color rgb="FF8CFFCC"/>
      <color rgb="FFCCFFFF"/>
      <color rgb="FFCCCCFF"/>
      <color rgb="FF99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twoCellAnchor>
    <xdr:from>
      <xdr:col>0</xdr:col>
      <xdr:colOff>74084</xdr:colOff>
      <xdr:row>1</xdr:row>
      <xdr:rowOff>9524</xdr:rowOff>
    </xdr:from>
    <xdr:to>
      <xdr:col>5</xdr:col>
      <xdr:colOff>328083</xdr:colOff>
      <xdr:row>26</xdr:row>
      <xdr:rowOff>66674</xdr:rowOff>
    </xdr:to>
    <xdr:sp macro="" textlink="">
      <xdr:nvSpPr>
        <xdr:cNvPr id="2" name="Rectangle 1">
          <a:extLst>
            <a:ext uri="{FF2B5EF4-FFF2-40B4-BE49-F238E27FC236}">
              <a16:creationId xmlns:a16="http://schemas.microsoft.com/office/drawing/2014/main" id="{00000000-0008-0000-0B00-000002000000}"/>
            </a:ext>
          </a:extLst>
        </xdr:cNvPr>
        <xdr:cNvSpPr/>
      </xdr:nvSpPr>
      <xdr:spPr>
        <a:xfrm>
          <a:off x="74084" y="348191"/>
          <a:ext cx="5609166" cy="4025900"/>
        </a:xfrm>
        <a:prstGeom prst="rect">
          <a:avLst/>
        </a:prstGeom>
        <a:solidFill>
          <a:srgbClr val="CCFFFF"/>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GB" sz="900" b="1">
              <a:solidFill>
                <a:sysClr val="windowText" lastClr="000000"/>
              </a:solidFill>
            </a:rPr>
            <a:t>Notes:</a:t>
          </a:r>
        </a:p>
        <a:p>
          <a:r>
            <a:rPr lang="en-GB" sz="900">
              <a:solidFill>
                <a:sysClr val="windowText" lastClr="000000"/>
              </a:solidFill>
              <a:effectLst/>
              <a:latin typeface="+mn-lt"/>
              <a:ea typeface="+mn-ea"/>
              <a:cs typeface="+mn-cs"/>
            </a:rPr>
            <a:t>There are a few governing rules that should be applied:</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Specific notes for application of or tariffss:</a:t>
          </a:r>
        </a:p>
        <a:p>
          <a:pPr lvl="1"/>
          <a:r>
            <a:rPr lang="en-GB" sz="900">
              <a:solidFill>
                <a:sysClr val="windowText" lastClr="000000"/>
              </a:solidFill>
              <a:effectLst/>
              <a:latin typeface="+mn-lt"/>
              <a:ea typeface="+mn-ea"/>
              <a:cs typeface="+mn-cs"/>
            </a:rPr>
            <a:t>All tariffs are all delinked and set time bands are applied in place of the TPR’s timebands.</a:t>
          </a:r>
        </a:p>
        <a:p>
          <a:endParaRPr lang="en-GB" sz="900">
            <a:solidFill>
              <a:sysClr val="windowText" lastClr="000000"/>
            </a:solidFill>
            <a:effectLst/>
            <a:latin typeface="+mn-lt"/>
            <a:ea typeface="+mn-ea"/>
            <a:cs typeface="+mn-cs"/>
          </a:endParaRP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The following rules apply when allocating tariffs in DNO areas.</a:t>
          </a:r>
        </a:p>
        <a:p>
          <a:pPr lvl="1"/>
          <a:r>
            <a:rPr lang="en-GB" sz="900">
              <a:solidFill>
                <a:sysClr val="windowText" lastClr="000000"/>
              </a:solidFill>
              <a:effectLst/>
              <a:latin typeface="+mn-lt"/>
              <a:ea typeface="+mn-ea"/>
              <a:cs typeface="+mn-cs"/>
            </a:rPr>
            <a:t>1, G and U should be applied straight to the appropriate SSC  to identify generation and UMS tariffs.</a:t>
          </a:r>
        </a:p>
        <a:p>
          <a:pPr lvl="1"/>
          <a:r>
            <a:rPr lang="en-GB" sz="900">
              <a:solidFill>
                <a:sysClr val="windowText" lastClr="000000"/>
              </a:solidFill>
              <a:effectLst/>
              <a:latin typeface="+mn-lt"/>
              <a:ea typeface="+mn-ea"/>
              <a:cs typeface="+mn-cs"/>
            </a:rPr>
            <a:t>Then considering the SSC</a:t>
          </a:r>
          <a:r>
            <a:rPr lang="en-GB" sz="900" baseline="0">
              <a:solidFill>
                <a:sysClr val="windowText" lastClr="000000"/>
              </a:solidFill>
              <a:effectLst/>
              <a:latin typeface="+mn-lt"/>
              <a:ea typeface="+mn-ea"/>
              <a:cs typeface="+mn-cs"/>
            </a:rPr>
            <a:t> </a:t>
          </a:r>
          <a:r>
            <a:rPr lang="en-GB" sz="900">
              <a:solidFill>
                <a:sysClr val="windowText" lastClr="000000"/>
              </a:solidFill>
              <a:effectLst/>
              <a:latin typeface="+mn-lt"/>
              <a:ea typeface="+mn-ea"/>
              <a:cs typeface="+mn-cs"/>
            </a:rPr>
            <a:t>alongside the PC.</a:t>
          </a:r>
        </a:p>
        <a:p>
          <a:pPr lvl="1"/>
          <a:r>
            <a:rPr lang="en-GB" sz="900">
              <a:solidFill>
                <a:sysClr val="windowText" lastClr="000000"/>
              </a:solidFill>
              <a:effectLst/>
              <a:latin typeface="+mn-lt"/>
              <a:ea typeface="+mn-ea"/>
              <a:cs typeface="+mn-cs"/>
            </a:rPr>
            <a:t>2, PC1s should be labelled Domestic Aggregated.</a:t>
          </a:r>
        </a:p>
        <a:p>
          <a:pPr lvl="1"/>
          <a:r>
            <a:rPr lang="en-GB" sz="900">
              <a:solidFill>
                <a:sysClr val="windowText" lastClr="000000"/>
              </a:solidFill>
              <a:effectLst/>
              <a:latin typeface="+mn-lt"/>
              <a:ea typeface="+mn-ea"/>
              <a:cs typeface="+mn-cs"/>
            </a:rPr>
            <a:t>3, PC2s with SSCs with A/R should be labelled Domestic Aggregated (related MPAN).</a:t>
          </a:r>
        </a:p>
        <a:p>
          <a:pPr lvl="1"/>
          <a:r>
            <a:rPr lang="en-GB" sz="900">
              <a:solidFill>
                <a:sysClr val="windowText" lastClr="000000"/>
              </a:solidFill>
              <a:effectLst/>
              <a:latin typeface="+mn-lt"/>
              <a:ea typeface="+mn-ea"/>
              <a:cs typeface="+mn-cs"/>
            </a:rPr>
            <a:t>4, Remaining PC2s should be labelled Domestic Aggregated.</a:t>
          </a:r>
        </a:p>
        <a:p>
          <a:pPr lvl="1"/>
          <a:r>
            <a:rPr lang="en-GB" sz="900">
              <a:solidFill>
                <a:sysClr val="windowText" lastClr="000000"/>
              </a:solidFill>
              <a:effectLst/>
              <a:latin typeface="+mn-lt"/>
              <a:ea typeface="+mn-ea"/>
              <a:cs typeface="+mn-cs"/>
            </a:rPr>
            <a:t>5, PC3s should be labelled Non Domestic Aggregated.</a:t>
          </a:r>
        </a:p>
        <a:p>
          <a:pPr lvl="1"/>
          <a:r>
            <a:rPr lang="en-GB" sz="900">
              <a:solidFill>
                <a:sysClr val="windowText" lastClr="000000"/>
              </a:solidFill>
              <a:effectLst/>
              <a:latin typeface="+mn-lt"/>
              <a:ea typeface="+mn-ea"/>
              <a:cs typeface="+mn-cs"/>
            </a:rPr>
            <a:t>6, PC4s with SSCs with A/R should be labelled Non Domestic Aggregated (related MPAN).</a:t>
          </a:r>
        </a:p>
        <a:p>
          <a:pPr lvl="1"/>
          <a:r>
            <a:rPr lang="en-GB" sz="900">
              <a:solidFill>
                <a:sysClr val="windowText" lastClr="000000"/>
              </a:solidFill>
              <a:effectLst/>
              <a:latin typeface="+mn-lt"/>
              <a:ea typeface="+mn-ea"/>
              <a:cs typeface="+mn-cs"/>
            </a:rPr>
            <a:t>7, Remaining PC4s should be labelled Non Domestic Aggregated.</a:t>
          </a:r>
        </a:p>
        <a:p>
          <a:pPr lvl="1"/>
          <a:r>
            <a:rPr lang="en-GB" sz="900">
              <a:solidFill>
                <a:sysClr val="windowText" lastClr="000000"/>
              </a:solidFill>
              <a:effectLst/>
              <a:latin typeface="+mn-lt"/>
              <a:ea typeface="+mn-ea"/>
              <a:cs typeface="+mn-cs"/>
            </a:rPr>
            <a:t>8, PC5 – 8s should be labelled</a:t>
          </a:r>
          <a:r>
            <a:rPr lang="en-GB" sz="900" baseline="0">
              <a:solidFill>
                <a:sysClr val="windowText" lastClr="000000"/>
              </a:solidFill>
              <a:effectLst/>
              <a:latin typeface="+mn-lt"/>
              <a:ea typeface="+mn-ea"/>
              <a:cs typeface="+mn-cs"/>
            </a:rPr>
            <a:t> </a:t>
          </a:r>
          <a:r>
            <a:rPr lang="en-GB" sz="900">
              <a:solidFill>
                <a:sysClr val="windowText" lastClr="000000"/>
              </a:solidFill>
              <a:effectLst/>
              <a:latin typeface="+mn-lt"/>
              <a:ea typeface="+mn-ea"/>
              <a:cs typeface="+mn-cs"/>
            </a:rPr>
            <a:t>Non Domestic Aggregated.</a:t>
          </a:r>
        </a:p>
        <a:p>
          <a:r>
            <a:rPr lang="en-GB" sz="900">
              <a:solidFill>
                <a:sysClr val="windowText" lastClr="000000"/>
              </a:solidFill>
              <a:effectLst/>
              <a:latin typeface="+mn-lt"/>
              <a:ea typeface="+mn-ea"/>
              <a:cs typeface="+mn-cs"/>
            </a:rPr>
            <a:t> </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Common decode:</a:t>
          </a:r>
        </a:p>
        <a:p>
          <a:pPr lvl="1"/>
          <a:r>
            <a:rPr lang="en-GB" sz="900">
              <a:solidFill>
                <a:sysClr val="windowText" lastClr="000000"/>
              </a:solidFill>
              <a:effectLst/>
              <a:latin typeface="+mn-lt"/>
              <a:ea typeface="+mn-ea"/>
              <a:cs typeface="+mn-cs"/>
            </a:rPr>
            <a:t>A: Aggregated - replaces the Day &amp; Night rates (1 &amp; 2)</a:t>
          </a:r>
        </a:p>
        <a:p>
          <a:pPr lvl="1"/>
          <a:r>
            <a:rPr lang="en-GB" sz="900">
              <a:solidFill>
                <a:sysClr val="windowText" lastClr="000000"/>
              </a:solidFill>
              <a:effectLst/>
              <a:latin typeface="+mn-lt"/>
              <a:ea typeface="+mn-ea"/>
              <a:cs typeface="+mn-cs"/>
            </a:rPr>
            <a:t>A/R: Aggregated if on PC1</a:t>
          </a:r>
          <a:r>
            <a:rPr lang="en-GB" sz="900" baseline="0">
              <a:solidFill>
                <a:sysClr val="windowText" lastClr="000000"/>
              </a:solidFill>
              <a:effectLst/>
              <a:latin typeface="+mn-lt"/>
              <a:ea typeface="+mn-ea"/>
              <a:cs typeface="+mn-cs"/>
            </a:rPr>
            <a:t> / PC3 / PC5 / PC6 / PC7 / PC8 </a:t>
          </a:r>
          <a:r>
            <a:rPr lang="en-GB" sz="900">
              <a:solidFill>
                <a:sysClr val="windowText" lastClr="000000"/>
              </a:solidFill>
              <a:effectLst/>
              <a:latin typeface="+mn-lt"/>
              <a:ea typeface="+mn-ea"/>
              <a:cs typeface="+mn-cs"/>
            </a:rPr>
            <a:t> or Aggregated (related MPAN) if on PC2 / PC4</a:t>
          </a:r>
        </a:p>
        <a:p>
          <a:pPr lvl="1"/>
          <a:r>
            <a:rPr lang="en-GB" sz="900">
              <a:solidFill>
                <a:sysClr val="windowText" lastClr="000000"/>
              </a:solidFill>
              <a:effectLst/>
              <a:latin typeface="+mn-lt"/>
              <a:ea typeface="+mn-ea"/>
              <a:cs typeface="+mn-cs"/>
            </a:rPr>
            <a:t>G: Generation</a:t>
          </a:r>
        </a:p>
        <a:p>
          <a:pPr lvl="1"/>
          <a:r>
            <a:rPr lang="en-GB" sz="900">
              <a:solidFill>
                <a:sysClr val="windowText" lastClr="000000"/>
              </a:solidFill>
              <a:effectLst/>
              <a:latin typeface="+mn-lt"/>
              <a:ea typeface="+mn-ea"/>
              <a:cs typeface="+mn-cs"/>
            </a:rPr>
            <a:t>U: Unmetered</a:t>
          </a:r>
          <a:r>
            <a:rPr lang="en-GB" sz="900" baseline="0">
              <a:solidFill>
                <a:sysClr val="windowText" lastClr="000000"/>
              </a:solidFill>
              <a:effectLst/>
              <a:latin typeface="+mn-lt"/>
              <a:ea typeface="+mn-ea"/>
              <a:cs typeface="+mn-cs"/>
            </a:rPr>
            <a:t> Supplies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25401</xdr:colOff>
      <xdr:row>24</xdr:row>
      <xdr:rowOff>117477</xdr:rowOff>
    </xdr:from>
    <xdr:to>
      <xdr:col>8</xdr:col>
      <xdr:colOff>444500</xdr:colOff>
      <xdr:row>26</xdr:row>
      <xdr:rowOff>63501</xdr:rowOff>
    </xdr:to>
    <xdr:sp macro="" textlink="">
      <xdr:nvSpPr>
        <xdr:cNvPr id="2" name="TextBox 1">
          <a:extLst>
            <a:ext uri="{FF2B5EF4-FFF2-40B4-BE49-F238E27FC236}">
              <a16:creationId xmlns:a16="http://schemas.microsoft.com/office/drawing/2014/main" id="{00000000-0008-0000-0D00-000002000000}"/>
            </a:ext>
          </a:extLst>
        </xdr:cNvPr>
        <xdr:cNvSpPr txBox="1"/>
      </xdr:nvSpPr>
      <xdr:spPr>
        <a:xfrm>
          <a:off x="184151" y="8986310"/>
          <a:ext cx="7806266" cy="1089024"/>
        </a:xfrm>
        <a:prstGeom prst="rect">
          <a:avLst/>
        </a:prstGeom>
        <a:solidFill>
          <a:srgbClr val="CCFFCC"/>
        </a:solidFill>
        <a:ln/>
      </xdr:spPr>
      <xdr:style>
        <a:lnRef idx="1">
          <a:schemeClr val="accent1"/>
        </a:lnRef>
        <a:fillRef idx="3">
          <a:schemeClr val="accent1"/>
        </a:fillRef>
        <a:effectRef idx="2">
          <a:schemeClr val="accent1"/>
        </a:effectRef>
        <a:fontRef idx="minor">
          <a:schemeClr val="lt1"/>
        </a:fontRef>
      </xdr:style>
      <xdr:txBody>
        <a:bodyPr vertOverflow="clip" horzOverflow="clip" wrap="square" rtlCol="0" anchor="t"/>
        <a:lstStyle/>
        <a:p>
          <a:r>
            <a:rPr lang="en-GB" sz="1100">
              <a:solidFill>
                <a:sysClr val="windowText" lastClr="000000"/>
              </a:solidFill>
            </a:rPr>
            <a:t>Note:</a:t>
          </a:r>
        </a:p>
        <a:p>
          <a:r>
            <a:rPr lang="en-GB" sz="1100" i="1">
              <a:solidFill>
                <a:schemeClr val="dk1"/>
              </a:solidFill>
              <a:effectLst/>
              <a:latin typeface="+mn-lt"/>
              <a:ea typeface="+mn-ea"/>
              <a:cs typeface="+mn-cs"/>
            </a:rPr>
            <a:t>For the purpose of forecasting the exceeded capacity charge, the input in this calculator uses the average daily exceeded capacity as this reduces the calculators complexity, however as per the Use of System Charging Statement, the exceeded portion of the capacity will be charged at the exceeded capacity charge p/kVA/day rate, based on the difference between the MIC/MEC and the actual capacity used.  This will be charged for the full duration of the month in which the breach occurs.”</a:t>
          </a:r>
          <a:endParaRPr lang="en-GB" sz="1100">
            <a:solidFill>
              <a:schemeClr val="dk1"/>
            </a:solidFill>
            <a:effectLst/>
            <a:latin typeface="+mn-lt"/>
            <a:ea typeface="+mn-ea"/>
            <a:cs typeface="+mn-cs"/>
          </a:endParaRPr>
        </a:p>
        <a:p>
          <a:endParaRPr lang="en-GB" sz="11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printerSettings" Target="../printerSettings/printerSettings11.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printerSettings" Target="../printerSettings/printerSettings16.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pageSetUpPr fitToPage="1"/>
  </sheetPr>
  <dimension ref="A1:H28"/>
  <sheetViews>
    <sheetView showGridLines="0" tabSelected="1" zoomScaleNormal="100" zoomScaleSheetLayoutView="100" workbookViewId="0"/>
  </sheetViews>
  <sheetFormatPr defaultRowHeight="12.75" x14ac:dyDescent="0.2"/>
  <cols>
    <col min="1" max="1" width="70.28515625" customWidth="1"/>
    <col min="2" max="2" width="42.140625" customWidth="1"/>
    <col min="3" max="3" width="28" customWidth="1"/>
    <col min="4" max="4" width="18.140625" customWidth="1"/>
    <col min="5" max="5" width="21.5703125" customWidth="1"/>
  </cols>
  <sheetData>
    <row r="1" spans="1:8" x14ac:dyDescent="0.2">
      <c r="A1" s="23"/>
      <c r="B1" s="23"/>
      <c r="C1" s="23"/>
      <c r="D1" s="23"/>
      <c r="E1" s="23"/>
    </row>
    <row r="2" spans="1:8" ht="16.5" x14ac:dyDescent="0.2">
      <c r="A2" s="131" t="s">
        <v>112</v>
      </c>
      <c r="B2" s="63"/>
      <c r="C2" s="63"/>
      <c r="D2" s="63"/>
      <c r="E2" s="63"/>
    </row>
    <row r="3" spans="1:8" ht="15" x14ac:dyDescent="0.2">
      <c r="A3" s="63"/>
      <c r="B3" s="128" t="s">
        <v>113</v>
      </c>
      <c r="C3" s="127" t="s">
        <v>114</v>
      </c>
      <c r="D3" s="127" t="s">
        <v>19</v>
      </c>
      <c r="E3" s="127" t="s">
        <v>18</v>
      </c>
    </row>
    <row r="4" spans="1:8" ht="15" x14ac:dyDescent="0.2">
      <c r="A4" s="64" t="s">
        <v>112</v>
      </c>
      <c r="B4" s="27" t="s">
        <v>611</v>
      </c>
      <c r="C4" s="27" t="s">
        <v>660</v>
      </c>
      <c r="D4" s="27" t="s">
        <v>661</v>
      </c>
      <c r="E4" s="27" t="s">
        <v>111</v>
      </c>
    </row>
    <row r="5" spans="1:8" x14ac:dyDescent="0.2">
      <c r="A5" s="63"/>
      <c r="B5" s="63"/>
      <c r="C5" s="63"/>
      <c r="D5" s="63"/>
      <c r="E5" s="63"/>
    </row>
    <row r="6" spans="1:8" ht="16.5" x14ac:dyDescent="0.2">
      <c r="A6" s="66" t="s">
        <v>13</v>
      </c>
      <c r="B6" s="63"/>
      <c r="C6" s="63"/>
      <c r="D6" s="63"/>
      <c r="E6" s="63"/>
    </row>
    <row r="7" spans="1:8" ht="15" x14ac:dyDescent="0.2">
      <c r="A7" s="67" t="s">
        <v>14</v>
      </c>
      <c r="B7" s="227" t="s">
        <v>15</v>
      </c>
      <c r="C7" s="227"/>
      <c r="D7" s="227"/>
      <c r="E7" s="227"/>
    </row>
    <row r="8" spans="1:8" ht="30" customHeight="1" x14ac:dyDescent="0.2">
      <c r="A8" s="71" t="s">
        <v>154</v>
      </c>
      <c r="B8" s="226" t="s">
        <v>143</v>
      </c>
      <c r="C8" s="226"/>
      <c r="D8" s="226"/>
      <c r="E8" s="226"/>
    </row>
    <row r="9" spans="1:8" ht="30" customHeight="1" x14ac:dyDescent="0.2">
      <c r="A9" s="71" t="s">
        <v>604</v>
      </c>
      <c r="B9" s="226" t="str">
        <f>"Annex 2 contains the charges to Designated EHV Properties and charges applied to LDNOs with Designated EHV Properties/end-users embedded in networks within the " &amp;B4 &amp;" Licence area."</f>
        <v>Annex 2 contains the charges to Designated EHV Properties and charges applied to LDNOs with Designated EHV Properties/end-users embedded in networks within the Eastern Power Networks Licence area.</v>
      </c>
      <c r="C9" s="226"/>
      <c r="D9" s="226"/>
      <c r="E9" s="226"/>
    </row>
    <row r="10" spans="1:8" ht="30" customHeight="1" x14ac:dyDescent="0.2">
      <c r="A10" s="71" t="s">
        <v>33</v>
      </c>
      <c r="B10" s="226" t="s">
        <v>17</v>
      </c>
      <c r="C10" s="226"/>
      <c r="D10" s="226"/>
      <c r="E10" s="226"/>
    </row>
    <row r="11" spans="1:8" ht="61.5" customHeight="1" x14ac:dyDescent="0.2">
      <c r="A11" s="71" t="s">
        <v>34</v>
      </c>
      <c r="B11" s="226" t="str">
        <f>"Annex 4 contains charges that are levied on the owner of an embedded network within the "&amp;B4&amp;" Licence area. "&amp;"Electricity suppliers and consumers who have properties connected to an embedded network should contact the embedded network owner to determine their distribution charges."&amp;" The charges listed in this table are not payable by domestic consumers, business consumers or electricity suppliers."</f>
        <v>Annex 4 contains charges that are levied on the owner of an embedded network within the Eastern Power Networks Licence area. Electricity suppliers and consumers who have properties connected to an embedded network should contact the embedded network owner to determine their distribution charges. The charges listed in this table are not payable by domestic consumers, business consumers or electricity suppliers.</v>
      </c>
      <c r="C11" s="226"/>
      <c r="D11" s="226"/>
      <c r="E11" s="226"/>
      <c r="F11" s="229"/>
      <c r="G11" s="229"/>
      <c r="H11" s="229"/>
    </row>
    <row r="12" spans="1:8" ht="86.25" customHeight="1" x14ac:dyDescent="0.2">
      <c r="A12" s="71" t="s">
        <v>25</v>
      </c>
      <c r="B12" s="226" t="s">
        <v>124</v>
      </c>
      <c r="C12" s="226"/>
      <c r="D12" s="226"/>
      <c r="E12" s="226"/>
    </row>
    <row r="13" spans="1:8" ht="48" customHeight="1" x14ac:dyDescent="0.2">
      <c r="A13" s="71" t="s">
        <v>125</v>
      </c>
      <c r="B13" s="226" t="str">
        <f>"Annex 6 contains the charges for new or amended Designated EHV Properties and charges applied to LDNOs with new or amended Designated EHV Properties/end-users embedded in networks within the " &amp;B4 &amp;" Licence area."</f>
        <v>Annex 6 contains the charges for new or amended Designated EHV Properties and charges applied to LDNOs with new or amended Designated EHV Properties/end-users embedded in networks within the Eastern Power Networks Licence area.</v>
      </c>
      <c r="C13" s="226"/>
      <c r="D13" s="226"/>
      <c r="E13" s="226"/>
    </row>
    <row r="14" spans="1:8" ht="33.75" customHeight="1" x14ac:dyDescent="0.2">
      <c r="A14" s="170" t="s">
        <v>399</v>
      </c>
      <c r="B14" s="226" t="s">
        <v>400</v>
      </c>
      <c r="C14" s="226"/>
      <c r="D14" s="226"/>
      <c r="E14" s="226"/>
    </row>
    <row r="15" spans="1:8" ht="29.25" customHeight="1" x14ac:dyDescent="0.2">
      <c r="A15" s="71" t="s">
        <v>27</v>
      </c>
      <c r="B15" s="226" t="s">
        <v>638</v>
      </c>
      <c r="C15" s="226"/>
      <c r="D15" s="226"/>
      <c r="E15" s="226"/>
    </row>
    <row r="16" spans="1:8" ht="29.25" customHeight="1" x14ac:dyDescent="0.2">
      <c r="A16" s="170" t="s">
        <v>605</v>
      </c>
      <c r="B16" s="226" t="s">
        <v>606</v>
      </c>
      <c r="C16" s="226"/>
      <c r="D16" s="226"/>
      <c r="E16" s="226"/>
    </row>
    <row r="17" spans="1:5" ht="29.25" customHeight="1" x14ac:dyDescent="0.2">
      <c r="A17" s="71" t="s">
        <v>512</v>
      </c>
      <c r="B17" s="226" t="s">
        <v>514</v>
      </c>
      <c r="C17" s="226"/>
      <c r="D17" s="226"/>
      <c r="E17" s="226"/>
    </row>
    <row r="18" spans="1:5" ht="29.25" customHeight="1" x14ac:dyDescent="0.2">
      <c r="A18" s="71" t="s">
        <v>607</v>
      </c>
      <c r="B18" s="226" t="s">
        <v>608</v>
      </c>
      <c r="C18" s="226"/>
      <c r="D18" s="226"/>
      <c r="E18" s="226"/>
    </row>
    <row r="19" spans="1:5" ht="30" customHeight="1" x14ac:dyDescent="0.2">
      <c r="A19" s="71" t="s">
        <v>75</v>
      </c>
      <c r="B19" s="226" t="s">
        <v>74</v>
      </c>
      <c r="C19" s="226"/>
      <c r="D19" s="226"/>
      <c r="E19" s="226"/>
    </row>
    <row r="20" spans="1:5" x14ac:dyDescent="0.2">
      <c r="A20" s="63"/>
      <c r="B20" s="63"/>
      <c r="C20" s="63"/>
      <c r="D20" s="63"/>
      <c r="E20" s="63"/>
    </row>
    <row r="21" spans="1:5" ht="15" x14ac:dyDescent="0.2">
      <c r="A21" s="68" t="s">
        <v>23</v>
      </c>
      <c r="B21" s="63"/>
      <c r="C21" s="63"/>
      <c r="D21" s="63"/>
      <c r="E21" s="63"/>
    </row>
    <row r="22" spans="1:5" ht="15" x14ac:dyDescent="0.2">
      <c r="A22" s="67"/>
      <c r="B22" s="232"/>
      <c r="C22" s="232"/>
      <c r="D22" s="232"/>
      <c r="E22" s="232"/>
    </row>
    <row r="23" spans="1:5" ht="32.25" customHeight="1" x14ac:dyDescent="0.2">
      <c r="A23" s="230" t="s">
        <v>60</v>
      </c>
      <c r="B23" s="231"/>
      <c r="C23" s="231"/>
      <c r="D23" s="231"/>
      <c r="E23" s="231"/>
    </row>
    <row r="24" spans="1:5" x14ac:dyDescent="0.2">
      <c r="A24" s="63"/>
      <c r="B24" s="63"/>
      <c r="C24" s="63"/>
      <c r="D24" s="63"/>
      <c r="E24" s="63"/>
    </row>
    <row r="25" spans="1:5" ht="15" x14ac:dyDescent="0.2">
      <c r="A25" s="69" t="s">
        <v>24</v>
      </c>
      <c r="B25" s="63"/>
      <c r="C25" s="63"/>
      <c r="D25" s="63"/>
      <c r="E25" s="63"/>
    </row>
    <row r="26" spans="1:5" ht="15" x14ac:dyDescent="0.2">
      <c r="A26" s="65"/>
      <c r="B26" s="232"/>
      <c r="C26" s="232"/>
      <c r="D26" s="232"/>
      <c r="E26" s="232"/>
    </row>
    <row r="27" spans="1:5" ht="28.5" customHeight="1" x14ac:dyDescent="0.2">
      <c r="A27" s="230" t="s">
        <v>35</v>
      </c>
      <c r="B27" s="231"/>
      <c r="C27" s="231"/>
      <c r="D27" s="231"/>
      <c r="E27" s="231"/>
    </row>
    <row r="28" spans="1:5" ht="28.5" customHeight="1" x14ac:dyDescent="0.2">
      <c r="A28" s="228" t="s">
        <v>110</v>
      </c>
      <c r="B28" s="228"/>
      <c r="C28" s="228"/>
      <c r="D28" s="228"/>
      <c r="E28" s="228"/>
    </row>
  </sheetData>
  <customSheetViews>
    <customSheetView guid="{5032A364-B81A-48DA-88DA-AB3B86B47EE9}">
      <selection activeCell="A12" sqref="A12"/>
      <pageMargins left="0.7" right="0.7" top="0.75" bottom="0.75" header="0.3" footer="0.3"/>
    </customSheetView>
  </customSheetViews>
  <mergeCells count="19">
    <mergeCell ref="A28:E28"/>
    <mergeCell ref="F11:H11"/>
    <mergeCell ref="A23:E23"/>
    <mergeCell ref="A27:E27"/>
    <mergeCell ref="B12:E12"/>
    <mergeCell ref="B15:E15"/>
    <mergeCell ref="B13:E13"/>
    <mergeCell ref="B19:E19"/>
    <mergeCell ref="B22:E22"/>
    <mergeCell ref="B26:E26"/>
    <mergeCell ref="B14:E14"/>
    <mergeCell ref="B17:E17"/>
    <mergeCell ref="B16:E16"/>
    <mergeCell ref="B18:E18"/>
    <mergeCell ref="B8:E8"/>
    <mergeCell ref="B9:E9"/>
    <mergeCell ref="B10:E10"/>
    <mergeCell ref="B11:E11"/>
    <mergeCell ref="B7:E7"/>
  </mergeCells>
  <hyperlinks>
    <hyperlink ref="A8" location="'Annex 1 LV, HV and UMS charges'!A1" display="Annex 1 LV, HV and Unmetered Supplies charges" xr:uid="{00000000-0004-0000-0000-000000000000}"/>
    <hyperlink ref="A9" location="'Annex 2 Designated EHV charges'!A1" display="Annex 2 Designated EHV charges" xr:uid="{00000000-0004-0000-0000-000001000000}"/>
    <hyperlink ref="A10" location="'Annex 3 Preserved charges'!A1" display="Annex 3 Preserved charges" xr:uid="{00000000-0004-0000-0000-000002000000}"/>
    <hyperlink ref="A11" location="'Annex 4 LDNO charges'!A1" display="Annex 4 LDNO charges" xr:uid="{00000000-0004-0000-0000-000003000000}"/>
    <hyperlink ref="A12" location="'Annex 5 LLFs'!A1" display="Annex 5 LLFs" xr:uid="{00000000-0004-0000-0000-000004000000}"/>
    <hyperlink ref="A15" location="'Nodal prices'!A1" display="Nodal prices" xr:uid="{00000000-0004-0000-0000-000005000000}"/>
    <hyperlink ref="A13" location="'Annex 6 New or Amended EHV'!A1" display="Annex 6  Charges for New or Amended Designated EHV Properties" xr:uid="{00000000-0004-0000-0000-000006000000}"/>
    <hyperlink ref="A19" location="'Charge Calculator'!B10" display="Charge calculator" xr:uid="{00000000-0004-0000-0000-000007000000}"/>
    <hyperlink ref="A14" location="'Annex 7 Pass-Through Costs'!A1" display="Annex 7  Fixed adders for Supplier of Last Resort and Eligible Bad Debt pass-through costs" xr:uid="{00000000-0004-0000-0000-000008000000}"/>
    <hyperlink ref="A17" location="'Residual Charging Bands'!A1" display="Residual Charging Bandings" xr:uid="{00000000-0004-0000-0000-000009000000}"/>
    <hyperlink ref="A16" location="'SSC unit rate lookup'!A1" display="SSC unit rate lookup" xr:uid="{1137C865-7AA7-4BB5-88BB-3FDAFDFC8644}"/>
    <hyperlink ref="A18" location="'TNUoS Mapping'!A1" display="TNUoS Mapping" xr:uid="{7B39D133-5C8D-462E-8E9D-07F5E99313CF}"/>
  </hyperlinks>
  <pageMargins left="0.70866141732283472" right="0.70866141732283472" top="0.74803149606299213" bottom="0.74803149606299213" header="0.31496062992125984" footer="0.31496062992125984"/>
  <pageSetup paperSize="9" scale="64"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M44"/>
  <sheetViews>
    <sheetView zoomScale="70" zoomScaleNormal="70" zoomScaleSheetLayoutView="100" workbookViewId="0"/>
  </sheetViews>
  <sheetFormatPr defaultColWidth="9.140625" defaultRowHeight="27.75" customHeight="1" x14ac:dyDescent="0.2"/>
  <cols>
    <col min="1" max="1" width="49" style="1" bestFit="1" customWidth="1"/>
    <col min="2" max="2" width="17.5703125" style="2" customWidth="1"/>
    <col min="3" max="3" width="9.140625" style="1" customWidth="1"/>
    <col min="4" max="4" width="17.5703125" style="1" customWidth="1"/>
    <col min="5" max="7" width="17.5703125" style="2" customWidth="1"/>
    <col min="8" max="9" width="17.5703125" style="8" customWidth="1"/>
    <col min="10" max="10" width="17.5703125" style="4" customWidth="1"/>
    <col min="11" max="11" width="17.5703125" style="5" customWidth="1"/>
    <col min="12" max="12" width="15.5703125" style="3" customWidth="1"/>
    <col min="13" max="17" width="15.5703125" style="1" customWidth="1"/>
    <col min="18" max="16384" width="9.140625" style="1"/>
  </cols>
  <sheetData>
    <row r="1" spans="1:13" ht="27.75" customHeight="1" x14ac:dyDescent="0.2">
      <c r="A1" s="92" t="s">
        <v>16</v>
      </c>
      <c r="B1" s="47"/>
      <c r="C1" s="47"/>
      <c r="D1" s="47"/>
      <c r="E1" s="47"/>
      <c r="F1" s="47"/>
      <c r="G1" s="47"/>
      <c r="H1" s="47"/>
      <c r="I1" s="47"/>
      <c r="J1" s="47"/>
      <c r="K1" s="47"/>
    </row>
    <row r="2" spans="1:13" ht="27" customHeight="1" x14ac:dyDescent="0.2">
      <c r="A2" s="237" t="str">
        <f>Overview!B4&amp; " - Effective from "&amp;Overview!D4&amp;" - "&amp;Overview!E4&amp;" LV and HV charges"</f>
        <v>Eastern Power Networks - Effective from 1 April 2027 - Final LV and HV charges</v>
      </c>
      <c r="B2" s="237"/>
      <c r="C2" s="237"/>
      <c r="D2" s="237"/>
      <c r="E2" s="237"/>
      <c r="F2" s="237"/>
      <c r="G2" s="237"/>
      <c r="H2" s="237"/>
      <c r="I2" s="237"/>
      <c r="J2" s="237"/>
      <c r="K2" s="237"/>
    </row>
    <row r="3" spans="1:13" s="73" customFormat="1" ht="15" customHeight="1" x14ac:dyDescent="0.2">
      <c r="A3" s="81"/>
      <c r="B3" s="81"/>
      <c r="C3" s="81"/>
      <c r="D3" s="81"/>
      <c r="E3" s="81"/>
      <c r="F3" s="81"/>
      <c r="G3" s="81"/>
      <c r="H3" s="81"/>
      <c r="I3" s="81"/>
      <c r="J3" s="81"/>
      <c r="K3" s="81"/>
      <c r="L3" s="3"/>
      <c r="M3" s="1"/>
    </row>
    <row r="4" spans="1:13" ht="27" customHeight="1" x14ac:dyDescent="0.2">
      <c r="A4" s="237" t="s">
        <v>138</v>
      </c>
      <c r="B4" s="237"/>
      <c r="C4" s="237"/>
      <c r="D4" s="237"/>
      <c r="E4" s="237"/>
      <c r="F4" s="81"/>
      <c r="G4" s="237" t="s">
        <v>139</v>
      </c>
      <c r="H4" s="237"/>
      <c r="I4" s="237"/>
      <c r="J4" s="237"/>
      <c r="K4" s="237"/>
    </row>
    <row r="5" spans="1:13" ht="28.5" customHeight="1" x14ac:dyDescent="0.2">
      <c r="A5" s="72" t="s">
        <v>9</v>
      </c>
      <c r="B5" s="77" t="s">
        <v>51</v>
      </c>
      <c r="C5" s="238" t="s">
        <v>52</v>
      </c>
      <c r="D5" s="239"/>
      <c r="E5" s="74" t="s">
        <v>53</v>
      </c>
      <c r="F5" s="81"/>
      <c r="G5" s="241"/>
      <c r="H5" s="242"/>
      <c r="I5" s="78" t="s">
        <v>57</v>
      </c>
      <c r="J5" s="79" t="s">
        <v>58</v>
      </c>
      <c r="K5" s="74" t="s">
        <v>53</v>
      </c>
    </row>
    <row r="6" spans="1:13" ht="65.25" customHeight="1" x14ac:dyDescent="0.2">
      <c r="A6" s="75" t="s">
        <v>54</v>
      </c>
      <c r="B6" s="21" t="s">
        <v>612</v>
      </c>
      <c r="C6" s="240" t="s">
        <v>613</v>
      </c>
      <c r="D6" s="240"/>
      <c r="E6" s="180" t="s">
        <v>614</v>
      </c>
      <c r="F6" s="81"/>
      <c r="G6" s="243" t="s">
        <v>55</v>
      </c>
      <c r="H6" s="243"/>
      <c r="I6" s="21" t="s">
        <v>612</v>
      </c>
      <c r="J6" s="80" t="s">
        <v>613</v>
      </c>
      <c r="K6" s="180" t="s">
        <v>614</v>
      </c>
    </row>
    <row r="7" spans="1:13" ht="65.25" customHeight="1" x14ac:dyDescent="0.2">
      <c r="A7" s="75" t="s">
        <v>12</v>
      </c>
      <c r="B7" s="20"/>
      <c r="C7" s="244"/>
      <c r="D7" s="244"/>
      <c r="E7" s="80" t="s">
        <v>615</v>
      </c>
      <c r="F7" s="81"/>
      <c r="G7" s="243" t="s">
        <v>617</v>
      </c>
      <c r="H7" s="243"/>
      <c r="I7" s="20"/>
      <c r="J7" s="21" t="s">
        <v>616</v>
      </c>
      <c r="K7" s="21" t="s">
        <v>614</v>
      </c>
    </row>
    <row r="8" spans="1:13" ht="65.25" customHeight="1" x14ac:dyDescent="0.2">
      <c r="A8" s="76" t="s">
        <v>10</v>
      </c>
      <c r="B8" s="233" t="s">
        <v>11</v>
      </c>
      <c r="C8" s="234"/>
      <c r="D8" s="234"/>
      <c r="E8" s="235"/>
      <c r="F8" s="81"/>
      <c r="G8" s="245" t="s">
        <v>12</v>
      </c>
      <c r="H8" s="246"/>
      <c r="I8" s="20"/>
      <c r="J8" s="20"/>
      <c r="K8" s="80" t="s">
        <v>615</v>
      </c>
    </row>
    <row r="9" spans="1:13" s="73" customFormat="1" ht="36" customHeight="1" x14ac:dyDescent="0.2">
      <c r="F9" s="81"/>
      <c r="G9" s="236" t="s">
        <v>10</v>
      </c>
      <c r="H9" s="236"/>
      <c r="I9" s="233" t="s">
        <v>11</v>
      </c>
      <c r="J9" s="234"/>
      <c r="K9" s="235"/>
      <c r="L9" s="45"/>
    </row>
    <row r="10" spans="1:13" s="73" customFormat="1" ht="12.75" customHeight="1" x14ac:dyDescent="0.2">
      <c r="A10" s="81"/>
      <c r="B10" s="81"/>
      <c r="C10" s="81"/>
      <c r="D10" s="81"/>
      <c r="E10" s="81"/>
      <c r="F10" s="81"/>
      <c r="G10" s="81"/>
      <c r="H10" s="81"/>
      <c r="I10" s="81"/>
      <c r="J10" s="81"/>
      <c r="K10" s="81"/>
      <c r="L10" s="45"/>
    </row>
    <row r="11" spans="1:13" ht="78.75" customHeight="1" x14ac:dyDescent="0.2">
      <c r="A11" s="26" t="s">
        <v>115</v>
      </c>
      <c r="B11" s="13" t="s">
        <v>644</v>
      </c>
      <c r="C11" s="13" t="s">
        <v>20</v>
      </c>
      <c r="D11" s="50" t="s">
        <v>140</v>
      </c>
      <c r="E11" s="50" t="s">
        <v>142</v>
      </c>
      <c r="F11" s="50" t="s">
        <v>141</v>
      </c>
      <c r="G11" s="13" t="s">
        <v>21</v>
      </c>
      <c r="H11" s="13" t="s">
        <v>22</v>
      </c>
      <c r="I11" s="26" t="s">
        <v>116</v>
      </c>
      <c r="J11" s="13" t="s">
        <v>28</v>
      </c>
      <c r="K11" s="13" t="s">
        <v>645</v>
      </c>
    </row>
    <row r="12" spans="1:13" ht="32.25" customHeight="1" x14ac:dyDescent="0.2">
      <c r="A12" s="15" t="s">
        <v>577</v>
      </c>
      <c r="B12" s="36">
        <v>1</v>
      </c>
      <c r="C12" s="176" t="s">
        <v>662</v>
      </c>
      <c r="D12" s="133">
        <v>15.087</v>
      </c>
      <c r="E12" s="134">
        <v>2.472</v>
      </c>
      <c r="F12" s="135">
        <v>0.33300000000000002</v>
      </c>
      <c r="G12" s="41">
        <v>11.78</v>
      </c>
      <c r="H12" s="42"/>
      <c r="I12" s="42"/>
      <c r="J12" s="38"/>
      <c r="K12" s="39" t="s">
        <v>663</v>
      </c>
    </row>
    <row r="13" spans="1:13" ht="32.25" customHeight="1" x14ac:dyDescent="0.2">
      <c r="A13" s="15" t="s">
        <v>401</v>
      </c>
      <c r="B13" s="36">
        <v>2</v>
      </c>
      <c r="C13" s="172">
        <v>2</v>
      </c>
      <c r="D13" s="133">
        <v>15.087</v>
      </c>
      <c r="E13" s="134">
        <v>2.472</v>
      </c>
      <c r="F13" s="135">
        <v>0.33300000000000002</v>
      </c>
      <c r="G13" s="42"/>
      <c r="H13" s="42"/>
      <c r="I13" s="42"/>
      <c r="J13" s="38"/>
      <c r="K13" s="39"/>
    </row>
    <row r="14" spans="1:13" ht="32.25" customHeight="1" x14ac:dyDescent="0.2">
      <c r="A14" s="15" t="s">
        <v>530</v>
      </c>
      <c r="B14" s="40">
        <v>199</v>
      </c>
      <c r="C14" s="160" t="s">
        <v>664</v>
      </c>
      <c r="D14" s="133">
        <v>11.648</v>
      </c>
      <c r="E14" s="134">
        <v>1.909</v>
      </c>
      <c r="F14" s="135">
        <v>0.25700000000000001</v>
      </c>
      <c r="G14" s="41">
        <v>10.4</v>
      </c>
      <c r="H14" s="42"/>
      <c r="I14" s="42"/>
      <c r="J14" s="38"/>
      <c r="K14" s="39"/>
    </row>
    <row r="15" spans="1:13" ht="32.25" customHeight="1" x14ac:dyDescent="0.2">
      <c r="A15" s="15" t="s">
        <v>531</v>
      </c>
      <c r="B15" s="40" t="s">
        <v>665</v>
      </c>
      <c r="C15" s="160" t="s">
        <v>664</v>
      </c>
      <c r="D15" s="133">
        <v>11.648</v>
      </c>
      <c r="E15" s="134">
        <v>1.909</v>
      </c>
      <c r="F15" s="135">
        <v>0.25700000000000001</v>
      </c>
      <c r="G15" s="41">
        <v>12.37</v>
      </c>
      <c r="H15" s="42"/>
      <c r="I15" s="42"/>
      <c r="J15" s="38"/>
      <c r="K15" s="39"/>
    </row>
    <row r="16" spans="1:13" ht="32.25" customHeight="1" x14ac:dyDescent="0.2">
      <c r="A16" s="15" t="s">
        <v>532</v>
      </c>
      <c r="B16" s="40" t="s">
        <v>666</v>
      </c>
      <c r="C16" s="160" t="s">
        <v>664</v>
      </c>
      <c r="D16" s="133">
        <v>11.648</v>
      </c>
      <c r="E16" s="134">
        <v>1.909</v>
      </c>
      <c r="F16" s="135">
        <v>0.25700000000000001</v>
      </c>
      <c r="G16" s="41">
        <v>15.67</v>
      </c>
      <c r="H16" s="42"/>
      <c r="I16" s="42"/>
      <c r="J16" s="38"/>
      <c r="K16" s="39"/>
    </row>
    <row r="17" spans="1:11" ht="32.25" customHeight="1" x14ac:dyDescent="0.2">
      <c r="A17" s="15" t="s">
        <v>533</v>
      </c>
      <c r="B17" s="40" t="s">
        <v>667</v>
      </c>
      <c r="C17" s="160" t="s">
        <v>664</v>
      </c>
      <c r="D17" s="133">
        <v>11.648</v>
      </c>
      <c r="E17" s="134">
        <v>1.909</v>
      </c>
      <c r="F17" s="135">
        <v>0.25700000000000001</v>
      </c>
      <c r="G17" s="41">
        <v>20.93</v>
      </c>
      <c r="H17" s="42"/>
      <c r="I17" s="42"/>
      <c r="J17" s="38"/>
      <c r="K17" s="39"/>
    </row>
    <row r="18" spans="1:11" ht="32.25" customHeight="1" x14ac:dyDescent="0.2">
      <c r="A18" s="15" t="s">
        <v>534</v>
      </c>
      <c r="B18" s="40" t="s">
        <v>668</v>
      </c>
      <c r="C18" s="160" t="s">
        <v>664</v>
      </c>
      <c r="D18" s="133">
        <v>11.648</v>
      </c>
      <c r="E18" s="134">
        <v>1.909</v>
      </c>
      <c r="F18" s="135">
        <v>0.25700000000000001</v>
      </c>
      <c r="G18" s="41">
        <v>39.74</v>
      </c>
      <c r="H18" s="42"/>
      <c r="I18" s="42"/>
      <c r="J18" s="38"/>
      <c r="K18" s="39"/>
    </row>
    <row r="19" spans="1:11" ht="32.25" customHeight="1" x14ac:dyDescent="0.2">
      <c r="A19" s="15" t="s">
        <v>673</v>
      </c>
      <c r="B19" s="36">
        <v>200</v>
      </c>
      <c r="C19" s="172">
        <v>4</v>
      </c>
      <c r="D19" s="133">
        <v>11.648</v>
      </c>
      <c r="E19" s="134">
        <v>1.909</v>
      </c>
      <c r="F19" s="135">
        <v>0.25700000000000001</v>
      </c>
      <c r="G19" s="42"/>
      <c r="H19" s="42"/>
      <c r="I19" s="42"/>
      <c r="J19" s="38"/>
      <c r="K19" s="39"/>
    </row>
    <row r="20" spans="1:11" ht="32.25" customHeight="1" x14ac:dyDescent="0.2">
      <c r="A20" s="15" t="s">
        <v>402</v>
      </c>
      <c r="B20" s="39">
        <v>70</v>
      </c>
      <c r="C20" s="172">
        <v>0</v>
      </c>
      <c r="D20" s="133">
        <v>8.5289999999999999</v>
      </c>
      <c r="E20" s="134">
        <v>1.33</v>
      </c>
      <c r="F20" s="135">
        <v>0.16800000000000001</v>
      </c>
      <c r="G20" s="41">
        <v>24.89</v>
      </c>
      <c r="H20" s="41">
        <v>8.7899999999999991</v>
      </c>
      <c r="I20" s="132">
        <v>8.7899999999999991</v>
      </c>
      <c r="J20" s="37">
        <v>0.42699999999999999</v>
      </c>
      <c r="K20" s="39"/>
    </row>
    <row r="21" spans="1:11" ht="32.25" customHeight="1" x14ac:dyDescent="0.2">
      <c r="A21" s="15" t="s">
        <v>403</v>
      </c>
      <c r="B21" s="39">
        <v>71</v>
      </c>
      <c r="C21" s="172">
        <v>0</v>
      </c>
      <c r="D21" s="133">
        <v>8.5289999999999999</v>
      </c>
      <c r="E21" s="134">
        <v>1.33</v>
      </c>
      <c r="F21" s="135">
        <v>0.16800000000000001</v>
      </c>
      <c r="G21" s="41">
        <v>86.99</v>
      </c>
      <c r="H21" s="41">
        <v>8.7899999999999991</v>
      </c>
      <c r="I21" s="132">
        <v>8.7899999999999991</v>
      </c>
      <c r="J21" s="37">
        <v>0.42699999999999999</v>
      </c>
      <c r="K21" s="39"/>
    </row>
    <row r="22" spans="1:11" ht="32.25" customHeight="1" x14ac:dyDescent="0.2">
      <c r="A22" s="15" t="s">
        <v>404</v>
      </c>
      <c r="B22" s="39">
        <v>72</v>
      </c>
      <c r="C22" s="172">
        <v>0</v>
      </c>
      <c r="D22" s="133">
        <v>8.5289999999999999</v>
      </c>
      <c r="E22" s="134">
        <v>1.33</v>
      </c>
      <c r="F22" s="135">
        <v>0.16800000000000001</v>
      </c>
      <c r="G22" s="41">
        <v>123.11</v>
      </c>
      <c r="H22" s="41">
        <v>8.7899999999999991</v>
      </c>
      <c r="I22" s="132">
        <v>8.7899999999999991</v>
      </c>
      <c r="J22" s="37">
        <v>0.42699999999999999</v>
      </c>
      <c r="K22" s="39"/>
    </row>
    <row r="23" spans="1:11" ht="32.25" customHeight="1" x14ac:dyDescent="0.2">
      <c r="A23" s="15" t="s">
        <v>405</v>
      </c>
      <c r="B23" s="39">
        <v>73</v>
      </c>
      <c r="C23" s="172">
        <v>0</v>
      </c>
      <c r="D23" s="133">
        <v>8.5289999999999999</v>
      </c>
      <c r="E23" s="134">
        <v>1.33</v>
      </c>
      <c r="F23" s="135">
        <v>0.16800000000000001</v>
      </c>
      <c r="G23" s="41">
        <v>173.53</v>
      </c>
      <c r="H23" s="41">
        <v>8.7899999999999991</v>
      </c>
      <c r="I23" s="132">
        <v>8.7899999999999991</v>
      </c>
      <c r="J23" s="37">
        <v>0.42699999999999999</v>
      </c>
      <c r="K23" s="39"/>
    </row>
    <row r="24" spans="1:11" ht="32.25" customHeight="1" x14ac:dyDescent="0.2">
      <c r="A24" s="15" t="s">
        <v>406</v>
      </c>
      <c r="B24" s="39">
        <v>74</v>
      </c>
      <c r="C24" s="172">
        <v>0</v>
      </c>
      <c r="D24" s="133">
        <v>8.5289999999999999</v>
      </c>
      <c r="E24" s="134">
        <v>1.33</v>
      </c>
      <c r="F24" s="135">
        <v>0.16800000000000001</v>
      </c>
      <c r="G24" s="41">
        <v>370.11</v>
      </c>
      <c r="H24" s="41">
        <v>8.7899999999999991</v>
      </c>
      <c r="I24" s="132">
        <v>8.7899999999999991</v>
      </c>
      <c r="J24" s="37">
        <v>0.42699999999999999</v>
      </c>
      <c r="K24" s="39"/>
    </row>
    <row r="25" spans="1:11" ht="32.25" customHeight="1" x14ac:dyDescent="0.2">
      <c r="A25" s="15" t="s">
        <v>407</v>
      </c>
      <c r="B25" s="39">
        <v>80</v>
      </c>
      <c r="C25" s="172">
        <v>0</v>
      </c>
      <c r="D25" s="133">
        <v>5.4279999999999999</v>
      </c>
      <c r="E25" s="134">
        <v>0.77800000000000002</v>
      </c>
      <c r="F25" s="135">
        <v>8.6999999999999994E-2</v>
      </c>
      <c r="G25" s="41">
        <v>20.94</v>
      </c>
      <c r="H25" s="41">
        <v>6.38</v>
      </c>
      <c r="I25" s="132">
        <v>6.38</v>
      </c>
      <c r="J25" s="37">
        <v>0.25</v>
      </c>
      <c r="K25" s="39"/>
    </row>
    <row r="26" spans="1:11" ht="32.25" customHeight="1" x14ac:dyDescent="0.2">
      <c r="A26" s="15" t="s">
        <v>408</v>
      </c>
      <c r="B26" s="39">
        <v>81</v>
      </c>
      <c r="C26" s="172">
        <v>0</v>
      </c>
      <c r="D26" s="133">
        <v>5.4279999999999999</v>
      </c>
      <c r="E26" s="134">
        <v>0.77800000000000002</v>
      </c>
      <c r="F26" s="135">
        <v>8.6999999999999994E-2</v>
      </c>
      <c r="G26" s="41">
        <v>83.05</v>
      </c>
      <c r="H26" s="41">
        <v>6.38</v>
      </c>
      <c r="I26" s="132">
        <v>6.38</v>
      </c>
      <c r="J26" s="37">
        <v>0.25</v>
      </c>
      <c r="K26" s="39"/>
    </row>
    <row r="27" spans="1:11" ht="32.25" customHeight="1" x14ac:dyDescent="0.2">
      <c r="A27" s="15" t="s">
        <v>409</v>
      </c>
      <c r="B27" s="39">
        <v>82</v>
      </c>
      <c r="C27" s="172">
        <v>0</v>
      </c>
      <c r="D27" s="133">
        <v>5.4279999999999999</v>
      </c>
      <c r="E27" s="134">
        <v>0.77800000000000002</v>
      </c>
      <c r="F27" s="135">
        <v>8.6999999999999994E-2</v>
      </c>
      <c r="G27" s="41">
        <v>119.16</v>
      </c>
      <c r="H27" s="41">
        <v>6.38</v>
      </c>
      <c r="I27" s="132">
        <v>6.38</v>
      </c>
      <c r="J27" s="37">
        <v>0.25</v>
      </c>
      <c r="K27" s="39"/>
    </row>
    <row r="28" spans="1:11" ht="32.25" customHeight="1" x14ac:dyDescent="0.2">
      <c r="A28" s="15" t="s">
        <v>410</v>
      </c>
      <c r="B28" s="39">
        <v>83</v>
      </c>
      <c r="C28" s="172">
        <v>0</v>
      </c>
      <c r="D28" s="133">
        <v>5.4279999999999999</v>
      </c>
      <c r="E28" s="134">
        <v>0.77800000000000002</v>
      </c>
      <c r="F28" s="135">
        <v>8.6999999999999994E-2</v>
      </c>
      <c r="G28" s="41">
        <v>169.58</v>
      </c>
      <c r="H28" s="41">
        <v>6.38</v>
      </c>
      <c r="I28" s="132">
        <v>6.38</v>
      </c>
      <c r="J28" s="37">
        <v>0.25</v>
      </c>
      <c r="K28" s="39"/>
    </row>
    <row r="29" spans="1:11" ht="32.25" customHeight="1" x14ac:dyDescent="0.2">
      <c r="A29" s="15" t="s">
        <v>411</v>
      </c>
      <c r="B29" s="39">
        <v>84</v>
      </c>
      <c r="C29" s="172">
        <v>0</v>
      </c>
      <c r="D29" s="133">
        <v>5.4279999999999999</v>
      </c>
      <c r="E29" s="134">
        <v>0.77800000000000002</v>
      </c>
      <c r="F29" s="135">
        <v>8.6999999999999994E-2</v>
      </c>
      <c r="G29" s="41">
        <v>366.16</v>
      </c>
      <c r="H29" s="41">
        <v>6.38</v>
      </c>
      <c r="I29" s="132">
        <v>6.38</v>
      </c>
      <c r="J29" s="37">
        <v>0.25</v>
      </c>
      <c r="K29" s="39"/>
    </row>
    <row r="30" spans="1:11" ht="32.25" customHeight="1" x14ac:dyDescent="0.2">
      <c r="A30" s="15" t="s">
        <v>412</v>
      </c>
      <c r="B30" s="39">
        <v>90</v>
      </c>
      <c r="C30" s="172">
        <v>0</v>
      </c>
      <c r="D30" s="133">
        <v>4.6550000000000002</v>
      </c>
      <c r="E30" s="134">
        <v>0.63100000000000001</v>
      </c>
      <c r="F30" s="135">
        <v>6.7000000000000004E-2</v>
      </c>
      <c r="G30" s="41">
        <v>222.02</v>
      </c>
      <c r="H30" s="41">
        <v>5.6</v>
      </c>
      <c r="I30" s="132">
        <v>5.6</v>
      </c>
      <c r="J30" s="37">
        <v>0.20200000000000001</v>
      </c>
      <c r="K30" s="39"/>
    </row>
    <row r="31" spans="1:11" ht="32.25" customHeight="1" x14ac:dyDescent="0.2">
      <c r="A31" s="15" t="s">
        <v>413</v>
      </c>
      <c r="B31" s="39">
        <v>91</v>
      </c>
      <c r="C31" s="172">
        <v>0</v>
      </c>
      <c r="D31" s="133">
        <v>4.6550000000000002</v>
      </c>
      <c r="E31" s="134">
        <v>0.63100000000000001</v>
      </c>
      <c r="F31" s="135">
        <v>6.7000000000000004E-2</v>
      </c>
      <c r="G31" s="41">
        <v>765.86</v>
      </c>
      <c r="H31" s="41">
        <v>5.6</v>
      </c>
      <c r="I31" s="132">
        <v>5.6</v>
      </c>
      <c r="J31" s="37">
        <v>0.20200000000000001</v>
      </c>
      <c r="K31" s="39"/>
    </row>
    <row r="32" spans="1:11" ht="32.25" customHeight="1" x14ac:dyDescent="0.2">
      <c r="A32" s="15" t="s">
        <v>414</v>
      </c>
      <c r="B32" s="39">
        <v>92</v>
      </c>
      <c r="C32" s="172">
        <v>0</v>
      </c>
      <c r="D32" s="133">
        <v>4.6550000000000002</v>
      </c>
      <c r="E32" s="134">
        <v>0.63100000000000001</v>
      </c>
      <c r="F32" s="135">
        <v>6.7000000000000004E-2</v>
      </c>
      <c r="G32" s="41">
        <v>1382.89</v>
      </c>
      <c r="H32" s="41">
        <v>5.6</v>
      </c>
      <c r="I32" s="132">
        <v>5.6</v>
      </c>
      <c r="J32" s="37">
        <v>0.20200000000000001</v>
      </c>
      <c r="K32" s="39"/>
    </row>
    <row r="33" spans="1:11" ht="32.25" customHeight="1" x14ac:dyDescent="0.2">
      <c r="A33" s="15" t="s">
        <v>415</v>
      </c>
      <c r="B33" s="39">
        <v>93</v>
      </c>
      <c r="C33" s="172">
        <v>0</v>
      </c>
      <c r="D33" s="133">
        <v>4.6550000000000002</v>
      </c>
      <c r="E33" s="134">
        <v>0.63100000000000001</v>
      </c>
      <c r="F33" s="135">
        <v>6.7000000000000004E-2</v>
      </c>
      <c r="G33" s="41">
        <v>2272.02</v>
      </c>
      <c r="H33" s="41">
        <v>5.6</v>
      </c>
      <c r="I33" s="132">
        <v>5.6</v>
      </c>
      <c r="J33" s="37">
        <v>0.20200000000000001</v>
      </c>
      <c r="K33" s="39"/>
    </row>
    <row r="34" spans="1:11" ht="32.25" customHeight="1" x14ac:dyDescent="0.2">
      <c r="A34" s="15" t="s">
        <v>416</v>
      </c>
      <c r="B34" s="39">
        <v>94</v>
      </c>
      <c r="C34" s="172">
        <v>0</v>
      </c>
      <c r="D34" s="133">
        <v>4.6550000000000002</v>
      </c>
      <c r="E34" s="134">
        <v>0.63100000000000001</v>
      </c>
      <c r="F34" s="135">
        <v>6.7000000000000004E-2</v>
      </c>
      <c r="G34" s="41">
        <v>6205.46</v>
      </c>
      <c r="H34" s="41">
        <v>5.6</v>
      </c>
      <c r="I34" s="132">
        <v>5.6</v>
      </c>
      <c r="J34" s="37">
        <v>0.20200000000000001</v>
      </c>
      <c r="K34" s="39"/>
    </row>
    <row r="35" spans="1:11" ht="75" customHeight="1" x14ac:dyDescent="0.2">
      <c r="A35" s="15" t="s">
        <v>129</v>
      </c>
      <c r="B35" s="39" t="s">
        <v>669</v>
      </c>
      <c r="C35" s="172" t="s">
        <v>670</v>
      </c>
      <c r="D35" s="136">
        <v>44.435000000000002</v>
      </c>
      <c r="E35" s="137">
        <v>4.5780000000000003</v>
      </c>
      <c r="F35" s="135">
        <v>2.6539999999999999</v>
      </c>
      <c r="G35" s="42"/>
      <c r="H35" s="42"/>
      <c r="I35" s="42"/>
      <c r="J35" s="38"/>
      <c r="K35" s="39" t="s">
        <v>671</v>
      </c>
    </row>
    <row r="36" spans="1:11" ht="32.25" customHeight="1" x14ac:dyDescent="0.2">
      <c r="A36" s="15" t="s">
        <v>130</v>
      </c>
      <c r="B36" s="40">
        <v>932</v>
      </c>
      <c r="C36" s="171" t="s">
        <v>672</v>
      </c>
      <c r="D36" s="133">
        <v>-8.76</v>
      </c>
      <c r="E36" s="134">
        <v>-1.4350000000000001</v>
      </c>
      <c r="F36" s="135">
        <v>-0.19400000000000001</v>
      </c>
      <c r="G36" s="41">
        <v>0</v>
      </c>
      <c r="H36" s="42"/>
      <c r="I36" s="42"/>
      <c r="J36" s="38"/>
      <c r="K36" s="39"/>
    </row>
    <row r="37" spans="1:11" ht="32.25" customHeight="1" x14ac:dyDescent="0.2">
      <c r="A37" s="15" t="s">
        <v>131</v>
      </c>
      <c r="B37" s="39"/>
      <c r="C37" s="172">
        <v>0</v>
      </c>
      <c r="D37" s="133">
        <v>-6.9880000000000004</v>
      </c>
      <c r="E37" s="134">
        <v>-1.1060000000000001</v>
      </c>
      <c r="F37" s="135">
        <v>-0.14299999999999999</v>
      </c>
      <c r="G37" s="41">
        <v>0</v>
      </c>
      <c r="H37" s="42"/>
      <c r="I37" s="42"/>
      <c r="J37" s="38"/>
      <c r="K37" s="39"/>
    </row>
    <row r="38" spans="1:11" ht="32.25" customHeight="1" x14ac:dyDescent="0.2">
      <c r="A38" s="15" t="s">
        <v>132</v>
      </c>
      <c r="B38" s="39">
        <v>980</v>
      </c>
      <c r="C38" s="172">
        <v>0</v>
      </c>
      <c r="D38" s="133">
        <v>-8.76</v>
      </c>
      <c r="E38" s="134">
        <v>-1.4350000000000001</v>
      </c>
      <c r="F38" s="135">
        <v>-0.19400000000000001</v>
      </c>
      <c r="G38" s="41">
        <v>0</v>
      </c>
      <c r="H38" s="42"/>
      <c r="I38" s="42"/>
      <c r="J38" s="37">
        <v>0.5</v>
      </c>
      <c r="K38" s="39"/>
    </row>
    <row r="39" spans="1:11" ht="32.25" customHeight="1" x14ac:dyDescent="0.2">
      <c r="A39" s="15" t="s">
        <v>674</v>
      </c>
      <c r="B39" s="39">
        <v>981</v>
      </c>
      <c r="C39" s="172">
        <v>0</v>
      </c>
      <c r="D39" s="133">
        <v>-8.76</v>
      </c>
      <c r="E39" s="134">
        <v>-1.4350000000000001</v>
      </c>
      <c r="F39" s="135">
        <v>-0.19400000000000001</v>
      </c>
      <c r="G39" s="41">
        <v>0</v>
      </c>
      <c r="H39" s="42"/>
      <c r="I39" s="42"/>
      <c r="J39" s="38"/>
      <c r="K39" s="39"/>
    </row>
    <row r="40" spans="1:11" ht="32.25" customHeight="1" x14ac:dyDescent="0.2">
      <c r="A40" s="15" t="s">
        <v>134</v>
      </c>
      <c r="B40" s="39">
        <v>984</v>
      </c>
      <c r="C40" s="172">
        <v>0</v>
      </c>
      <c r="D40" s="133">
        <v>-6.9880000000000004</v>
      </c>
      <c r="E40" s="134">
        <v>-1.1060000000000001</v>
      </c>
      <c r="F40" s="135">
        <v>-0.14299999999999999</v>
      </c>
      <c r="G40" s="41">
        <v>0</v>
      </c>
      <c r="H40" s="42"/>
      <c r="I40" s="42"/>
      <c r="J40" s="37">
        <v>0.35399999999999998</v>
      </c>
      <c r="K40" s="39"/>
    </row>
    <row r="41" spans="1:11" ht="32.25" customHeight="1" x14ac:dyDescent="0.2">
      <c r="A41" s="15" t="s">
        <v>675</v>
      </c>
      <c r="B41" s="39">
        <v>985</v>
      </c>
      <c r="C41" s="172">
        <v>0</v>
      </c>
      <c r="D41" s="133">
        <v>-6.9880000000000004</v>
      </c>
      <c r="E41" s="134">
        <v>-1.1060000000000001</v>
      </c>
      <c r="F41" s="135">
        <v>-0.14299999999999999</v>
      </c>
      <c r="G41" s="41">
        <v>0</v>
      </c>
      <c r="H41" s="42"/>
      <c r="I41" s="42"/>
      <c r="J41" s="38"/>
      <c r="K41" s="39"/>
    </row>
    <row r="42" spans="1:11" ht="32.25" customHeight="1" x14ac:dyDescent="0.2">
      <c r="A42" s="15" t="s">
        <v>136</v>
      </c>
      <c r="B42" s="39">
        <v>988</v>
      </c>
      <c r="C42" s="172">
        <v>0</v>
      </c>
      <c r="D42" s="133">
        <v>-5.1269999999999998</v>
      </c>
      <c r="E42" s="134">
        <v>-0.73499999999999999</v>
      </c>
      <c r="F42" s="135">
        <v>-8.2000000000000003E-2</v>
      </c>
      <c r="G42" s="41">
        <v>15.58</v>
      </c>
      <c r="H42" s="42"/>
      <c r="I42" s="42"/>
      <c r="J42" s="37">
        <v>0.29899999999999999</v>
      </c>
      <c r="K42" s="39"/>
    </row>
    <row r="43" spans="1:11" ht="32.25" customHeight="1" x14ac:dyDescent="0.2">
      <c r="A43" s="15" t="s">
        <v>676</v>
      </c>
      <c r="B43" s="39">
        <v>989</v>
      </c>
      <c r="C43" s="172">
        <v>0</v>
      </c>
      <c r="D43" s="133">
        <v>-5.1269999999999998</v>
      </c>
      <c r="E43" s="134">
        <v>-0.73499999999999999</v>
      </c>
      <c r="F43" s="135">
        <v>-8.2000000000000003E-2</v>
      </c>
      <c r="G43" s="41">
        <v>15.58</v>
      </c>
      <c r="H43" s="42"/>
      <c r="I43" s="42"/>
      <c r="J43" s="38"/>
      <c r="K43" s="39"/>
    </row>
    <row r="44" spans="1:11" ht="27.75" customHeight="1" x14ac:dyDescent="0.2">
      <c r="C44" s="2"/>
    </row>
  </sheetData>
  <customSheetViews>
    <customSheetView guid="{5032A364-B81A-48DA-88DA-AB3B86B47EE9}" scale="80" fitToPage="1">
      <pageMargins left="0.39370078740157483" right="0.35433070866141736" top="0.86614173228346458" bottom="0.74803149606299213" header="0.43307086614173229" footer="0.51181102362204722"/>
      <pageSetup paperSize="9" scale="48" fitToHeight="0" orientation="portrait" r:id="rId1"/>
      <headerFooter scaleWithDoc="0">
        <oddHeader>&amp;L&amp;"Arial,Bold"
Annex 1&amp;"Arial,Regular" - Schedule of Charges for use of the Distribution System by LV and HV Designated Properties</oddHeader>
        <oddFooter>&amp;C&amp;P of &amp;N</oddFooter>
      </headerFooter>
    </customSheetView>
  </customSheetViews>
  <mergeCells count="13">
    <mergeCell ref="I9:K9"/>
    <mergeCell ref="G9:H9"/>
    <mergeCell ref="A2:K2"/>
    <mergeCell ref="C5:D5"/>
    <mergeCell ref="C6:D6"/>
    <mergeCell ref="G5:H5"/>
    <mergeCell ref="G6:H6"/>
    <mergeCell ref="G4:K4"/>
    <mergeCell ref="A4:E4"/>
    <mergeCell ref="C7:D7"/>
    <mergeCell ref="B8:E8"/>
    <mergeCell ref="G7:H7"/>
    <mergeCell ref="G8:H8"/>
  </mergeCells>
  <phoneticPr fontId="5" type="noConversion"/>
  <hyperlinks>
    <hyperlink ref="A1" location="Overview!A1" display="Back to Overview" xr:uid="{00000000-0004-0000-0100-000000000000}"/>
  </hyperlinks>
  <pageMargins left="0.39370078740157483" right="0.35433070866141736" top="0.86614173228346458" bottom="0.74803149606299213" header="0.43307086614173229" footer="0.51181102362204722"/>
  <pageSetup paperSize="9" scale="43" fitToHeight="0" orientation="portrait" r:id="rId2"/>
  <headerFooter scaleWithDoc="0">
    <oddHeader>&amp;L&amp;"Arial,Bold"
&amp;"Arial,Regular"Annex 1 - Schedule of Charges for use of the Distribution System by LV and HV Designated Properties</oddHeader>
    <oddFooter>&amp;C&amp;P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P330"/>
  <sheetViews>
    <sheetView zoomScale="85" zoomScaleNormal="85" zoomScaleSheetLayoutView="100" workbookViewId="0"/>
  </sheetViews>
  <sheetFormatPr defaultColWidth="9.140625" defaultRowHeight="12.75" x14ac:dyDescent="0.2"/>
  <cols>
    <col min="1" max="1" width="14.7109375" style="48" customWidth="1"/>
    <col min="2" max="2" width="7.85546875" style="48" customWidth="1"/>
    <col min="3" max="3" width="14.7109375" style="211" customWidth="1"/>
    <col min="4" max="4" width="14.7109375" style="56" customWidth="1"/>
    <col min="5" max="5" width="7.85546875" style="56" customWidth="1"/>
    <col min="6" max="6" width="14.7109375" style="56" customWidth="1"/>
    <col min="7" max="7" width="30.7109375" style="56" customWidth="1"/>
    <col min="8" max="8" width="14.7109375" style="56" customWidth="1"/>
    <col min="9" max="9" width="14.7109375" style="57" customWidth="1"/>
    <col min="10" max="11" width="14.7109375" style="58" customWidth="1"/>
    <col min="12" max="16" width="14.7109375" style="48" customWidth="1"/>
    <col min="17" max="16384" width="9.140625" style="48"/>
  </cols>
  <sheetData>
    <row r="1" spans="1:16" ht="32.25" customHeight="1" x14ac:dyDescent="0.2">
      <c r="A1" s="46" t="s">
        <v>16</v>
      </c>
      <c r="B1" s="46"/>
      <c r="C1" s="247" t="s">
        <v>634</v>
      </c>
      <c r="D1" s="247"/>
      <c r="E1" s="247"/>
      <c r="F1" s="247"/>
      <c r="G1" s="247"/>
      <c r="H1" s="247"/>
      <c r="I1" s="247"/>
      <c r="J1" s="247"/>
      <c r="K1" s="247"/>
      <c r="L1" s="247"/>
      <c r="M1" s="247"/>
      <c r="N1" s="247"/>
      <c r="O1" s="247"/>
      <c r="P1" s="247"/>
    </row>
    <row r="2" spans="1:16" s="49" customFormat="1" ht="27.75" customHeight="1" x14ac:dyDescent="0.2">
      <c r="A2" s="248" t="str">
        <f>Overview!B4&amp; " - Effective from "&amp;Overview!D4&amp;" - "&amp;Overview!E4&amp;" Designated EHV charges"</f>
        <v>Eastern Power Networks - Effective from 1 April 2027 - Final Designated EHV charges</v>
      </c>
      <c r="B2" s="249"/>
      <c r="C2" s="249"/>
      <c r="D2" s="249"/>
      <c r="E2" s="249"/>
      <c r="F2" s="249"/>
      <c r="G2" s="249"/>
      <c r="H2" s="249"/>
      <c r="I2" s="249"/>
      <c r="J2" s="249"/>
      <c r="K2" s="249"/>
      <c r="L2" s="249"/>
      <c r="M2" s="249"/>
      <c r="N2" s="249"/>
      <c r="O2" s="249"/>
      <c r="P2" s="250"/>
    </row>
    <row r="3" spans="1:16" s="82" customFormat="1" ht="12.75" customHeight="1" x14ac:dyDescent="0.2">
      <c r="A3" s="81"/>
      <c r="B3" s="81"/>
      <c r="C3" s="81"/>
      <c r="D3" s="81"/>
      <c r="E3" s="81"/>
      <c r="F3" s="81"/>
      <c r="G3" s="81"/>
      <c r="H3" s="81"/>
      <c r="I3" s="81"/>
      <c r="J3" s="81"/>
      <c r="K3" s="81"/>
      <c r="L3" s="81"/>
      <c r="M3" s="81"/>
      <c r="N3" s="81"/>
      <c r="O3" s="81"/>
    </row>
    <row r="4" spans="1:16" s="82" customFormat="1" ht="25.5" customHeight="1" x14ac:dyDescent="0.2">
      <c r="A4" s="237" t="s">
        <v>59</v>
      </c>
      <c r="B4" s="237"/>
      <c r="C4" s="237"/>
      <c r="D4" s="237"/>
      <c r="E4" s="237"/>
      <c r="F4" s="237"/>
      <c r="G4" s="81"/>
      <c r="H4" s="81"/>
      <c r="I4" s="81"/>
      <c r="J4" s="81"/>
      <c r="K4" s="81"/>
      <c r="L4" s="81"/>
      <c r="M4" s="81"/>
      <c r="N4" s="81"/>
      <c r="O4" s="81"/>
    </row>
    <row r="5" spans="1:16" s="82" customFormat="1" ht="25.5" customHeight="1" x14ac:dyDescent="0.2">
      <c r="A5" s="251" t="s">
        <v>9</v>
      </c>
      <c r="B5" s="252"/>
      <c r="C5" s="252"/>
      <c r="D5" s="253" t="s">
        <v>56</v>
      </c>
      <c r="E5" s="253"/>
      <c r="F5" s="253"/>
      <c r="G5" s="81"/>
      <c r="H5" s="81"/>
      <c r="I5" s="81"/>
      <c r="J5" s="81"/>
      <c r="K5" s="81"/>
      <c r="L5" s="81"/>
      <c r="M5" s="81"/>
      <c r="N5" s="81"/>
      <c r="O5" s="81"/>
    </row>
    <row r="6" spans="1:16" s="82" customFormat="1" ht="48" customHeight="1" x14ac:dyDescent="0.2">
      <c r="A6" s="243" t="s">
        <v>55</v>
      </c>
      <c r="B6" s="243"/>
      <c r="C6" s="243"/>
      <c r="D6" s="254" t="s">
        <v>612</v>
      </c>
      <c r="E6" s="255"/>
      <c r="F6" s="256"/>
      <c r="G6" s="81"/>
      <c r="H6" s="81"/>
      <c r="I6" s="81"/>
      <c r="J6" s="81"/>
      <c r="K6" s="81"/>
      <c r="L6" s="81"/>
      <c r="M6" s="81"/>
      <c r="N6" s="81"/>
      <c r="O6" s="81"/>
    </row>
    <row r="7" spans="1:16" s="82" customFormat="1" ht="25.5" customHeight="1" x14ac:dyDescent="0.2">
      <c r="A7" s="243" t="s">
        <v>10</v>
      </c>
      <c r="B7" s="243"/>
      <c r="C7" s="243"/>
      <c r="D7" s="240" t="s">
        <v>11</v>
      </c>
      <c r="E7" s="240"/>
      <c r="F7" s="240"/>
      <c r="G7" s="81"/>
      <c r="H7" s="81"/>
      <c r="I7" s="81"/>
      <c r="J7" s="81"/>
      <c r="K7" s="81"/>
      <c r="L7" s="81"/>
      <c r="M7" s="81"/>
      <c r="N7" s="81"/>
      <c r="O7" s="81"/>
    </row>
    <row r="8" spans="1:16" s="82" customFormat="1" ht="18" x14ac:dyDescent="0.2">
      <c r="A8" s="81"/>
      <c r="B8" s="81"/>
      <c r="C8" s="81"/>
      <c r="D8" s="81"/>
      <c r="E8" s="81"/>
      <c r="F8" s="81"/>
      <c r="G8" s="81"/>
      <c r="H8" s="81"/>
      <c r="I8" s="81"/>
      <c r="J8" s="81"/>
      <c r="K8" s="81"/>
      <c r="L8" s="81"/>
      <c r="M8" s="81"/>
      <c r="N8" s="81"/>
      <c r="O8" s="81"/>
    </row>
    <row r="9" spans="1:16" ht="66.95" customHeight="1" x14ac:dyDescent="0.2">
      <c r="A9" s="50" t="s">
        <v>46</v>
      </c>
      <c r="B9" s="51" t="s">
        <v>649</v>
      </c>
      <c r="C9" s="50" t="s">
        <v>31</v>
      </c>
      <c r="D9" s="50" t="s">
        <v>48</v>
      </c>
      <c r="E9" s="51" t="s">
        <v>649</v>
      </c>
      <c r="F9" s="50" t="s">
        <v>32</v>
      </c>
      <c r="G9" s="52" t="s">
        <v>26</v>
      </c>
      <c r="H9" s="52" t="s">
        <v>529</v>
      </c>
      <c r="I9" s="53" t="s">
        <v>108</v>
      </c>
      <c r="J9" s="52" t="s">
        <v>49</v>
      </c>
      <c r="K9" s="52" t="s">
        <v>106</v>
      </c>
      <c r="L9" s="129" t="s">
        <v>117</v>
      </c>
      <c r="M9" s="53" t="s">
        <v>109</v>
      </c>
      <c r="N9" s="52" t="s">
        <v>50</v>
      </c>
      <c r="O9" s="52" t="s">
        <v>107</v>
      </c>
      <c r="P9" s="129" t="s">
        <v>118</v>
      </c>
    </row>
    <row r="10" spans="1:16" ht="15" customHeight="1" x14ac:dyDescent="0.2">
      <c r="A10" s="43" t="s">
        <v>920</v>
      </c>
      <c r="B10" s="93">
        <v>585</v>
      </c>
      <c r="C10" s="54">
        <v>1014569699836</v>
      </c>
      <c r="D10" s="44"/>
      <c r="E10" s="93"/>
      <c r="F10" s="54" t="s">
        <v>1297</v>
      </c>
      <c r="G10" s="55" t="s">
        <v>920</v>
      </c>
      <c r="H10" s="182">
        <v>1</v>
      </c>
      <c r="I10" s="59">
        <v>0</v>
      </c>
      <c r="J10" s="60">
        <v>10796.21</v>
      </c>
      <c r="K10" s="60">
        <v>5.81</v>
      </c>
      <c r="L10" s="60">
        <v>5.81</v>
      </c>
      <c r="M10" s="61"/>
      <c r="N10" s="62"/>
      <c r="O10" s="62"/>
      <c r="P10" s="62"/>
    </row>
    <row r="11" spans="1:16" ht="15" customHeight="1" x14ac:dyDescent="0.2">
      <c r="A11" s="43" t="s">
        <v>921</v>
      </c>
      <c r="B11" s="93">
        <v>586</v>
      </c>
      <c r="C11" s="54">
        <v>1023529546480</v>
      </c>
      <c r="D11" s="44"/>
      <c r="E11" s="93"/>
      <c r="F11" s="54" t="s">
        <v>1297</v>
      </c>
      <c r="G11" s="55" t="s">
        <v>921</v>
      </c>
      <c r="H11" s="182">
        <v>3</v>
      </c>
      <c r="I11" s="59">
        <v>2.125</v>
      </c>
      <c r="J11" s="60">
        <v>58246.96</v>
      </c>
      <c r="K11" s="60">
        <v>3.64</v>
      </c>
      <c r="L11" s="60">
        <v>3.64</v>
      </c>
      <c r="M11" s="61"/>
      <c r="N11" s="62"/>
      <c r="O11" s="62"/>
      <c r="P11" s="62"/>
    </row>
    <row r="12" spans="1:16" ht="15" customHeight="1" x14ac:dyDescent="0.2">
      <c r="A12" s="43" t="s">
        <v>922</v>
      </c>
      <c r="B12" s="93">
        <v>800</v>
      </c>
      <c r="C12" s="54">
        <v>1023483097981</v>
      </c>
      <c r="D12" s="44"/>
      <c r="E12" s="93"/>
      <c r="F12" s="54" t="s">
        <v>1297</v>
      </c>
      <c r="G12" s="55" t="s">
        <v>922</v>
      </c>
      <c r="H12" s="182">
        <v>4</v>
      </c>
      <c r="I12" s="59">
        <v>0.72399999999999998</v>
      </c>
      <c r="J12" s="60">
        <v>78725.83</v>
      </c>
      <c r="K12" s="60">
        <v>1.6</v>
      </c>
      <c r="L12" s="60">
        <v>1.6</v>
      </c>
      <c r="M12" s="61"/>
      <c r="N12" s="62"/>
      <c r="O12" s="62"/>
      <c r="P12" s="62"/>
    </row>
    <row r="13" spans="1:16" ht="15" customHeight="1" x14ac:dyDescent="0.2">
      <c r="A13" s="43" t="s">
        <v>923</v>
      </c>
      <c r="B13" s="93">
        <v>328</v>
      </c>
      <c r="C13" s="54">
        <v>1050001901140</v>
      </c>
      <c r="D13" s="44"/>
      <c r="E13" s="93"/>
      <c r="F13" s="54"/>
      <c r="G13" s="55" t="s">
        <v>923</v>
      </c>
      <c r="H13" s="182">
        <v>4</v>
      </c>
      <c r="I13" s="59">
        <v>1.6E-2</v>
      </c>
      <c r="J13" s="60">
        <v>75313.33</v>
      </c>
      <c r="K13" s="60">
        <v>1.63</v>
      </c>
      <c r="L13" s="60">
        <v>1.63</v>
      </c>
      <c r="M13" s="61"/>
      <c r="N13" s="62"/>
      <c r="O13" s="62"/>
      <c r="P13" s="62"/>
    </row>
    <row r="14" spans="1:16" ht="30" customHeight="1" x14ac:dyDescent="0.2">
      <c r="A14" s="43" t="s">
        <v>924</v>
      </c>
      <c r="B14" s="93">
        <v>587</v>
      </c>
      <c r="C14" s="54" t="s">
        <v>1241</v>
      </c>
      <c r="D14" s="55" t="s">
        <v>924</v>
      </c>
      <c r="E14" s="93">
        <v>710</v>
      </c>
      <c r="F14" s="54" t="s">
        <v>1242</v>
      </c>
      <c r="G14" s="55" t="s">
        <v>924</v>
      </c>
      <c r="H14" s="182">
        <v>3</v>
      </c>
      <c r="I14" s="59">
        <v>2.9860000000000002</v>
      </c>
      <c r="J14" s="60">
        <v>52121.760000000002</v>
      </c>
      <c r="K14" s="60">
        <v>1.24</v>
      </c>
      <c r="L14" s="60">
        <v>1.24</v>
      </c>
      <c r="M14" s="61">
        <v>-2.867</v>
      </c>
      <c r="N14" s="62">
        <v>163.91</v>
      </c>
      <c r="O14" s="62">
        <v>0.05</v>
      </c>
      <c r="P14" s="62">
        <v>0.05</v>
      </c>
    </row>
    <row r="15" spans="1:16" ht="30" customHeight="1" x14ac:dyDescent="0.2">
      <c r="A15" s="43" t="s">
        <v>925</v>
      </c>
      <c r="B15" s="93">
        <v>588</v>
      </c>
      <c r="C15" s="54" t="s">
        <v>1298</v>
      </c>
      <c r="D15" s="55" t="s">
        <v>925</v>
      </c>
      <c r="E15" s="93">
        <v>400</v>
      </c>
      <c r="F15" s="54" t="s">
        <v>1299</v>
      </c>
      <c r="G15" s="55" t="s">
        <v>925</v>
      </c>
      <c r="H15" s="182">
        <v>2</v>
      </c>
      <c r="I15" s="59">
        <v>0.97699999999999998</v>
      </c>
      <c r="J15" s="60">
        <v>15123.57</v>
      </c>
      <c r="K15" s="60">
        <v>5.75</v>
      </c>
      <c r="L15" s="60">
        <v>5.75</v>
      </c>
      <c r="M15" s="61">
        <v>0</v>
      </c>
      <c r="N15" s="62">
        <v>102.3</v>
      </c>
      <c r="O15" s="62">
        <v>0.05</v>
      </c>
      <c r="P15" s="62">
        <v>0.05</v>
      </c>
    </row>
    <row r="16" spans="1:16" ht="30" customHeight="1" x14ac:dyDescent="0.2">
      <c r="A16" s="43" t="s">
        <v>926</v>
      </c>
      <c r="B16" s="93">
        <v>589</v>
      </c>
      <c r="C16" s="54" t="s">
        <v>1300</v>
      </c>
      <c r="D16" s="44"/>
      <c r="E16" s="93"/>
      <c r="F16" s="54" t="s">
        <v>1297</v>
      </c>
      <c r="G16" s="55" t="s">
        <v>926</v>
      </c>
      <c r="H16" s="182">
        <v>2</v>
      </c>
      <c r="I16" s="59">
        <v>0.621</v>
      </c>
      <c r="J16" s="60">
        <v>15444.41</v>
      </c>
      <c r="K16" s="60">
        <v>4.66</v>
      </c>
      <c r="L16" s="60">
        <v>4.66</v>
      </c>
      <c r="M16" s="61"/>
      <c r="N16" s="62"/>
      <c r="O16" s="62"/>
      <c r="P16" s="62"/>
    </row>
    <row r="17" spans="1:16" ht="15" customHeight="1" x14ac:dyDescent="0.2">
      <c r="A17" s="43" t="s">
        <v>927</v>
      </c>
      <c r="B17" s="93">
        <v>590</v>
      </c>
      <c r="C17" s="54">
        <v>1014571751895</v>
      </c>
      <c r="D17" s="44"/>
      <c r="E17" s="93"/>
      <c r="F17" s="54" t="s">
        <v>1297</v>
      </c>
      <c r="G17" s="55" t="s">
        <v>927</v>
      </c>
      <c r="H17" s="182">
        <v>2</v>
      </c>
      <c r="I17" s="59">
        <v>0</v>
      </c>
      <c r="J17" s="60">
        <v>15225.87</v>
      </c>
      <c r="K17" s="60">
        <v>1.71</v>
      </c>
      <c r="L17" s="60">
        <v>1.71</v>
      </c>
      <c r="M17" s="61"/>
      <c r="N17" s="62"/>
      <c r="O17" s="62"/>
      <c r="P17" s="62"/>
    </row>
    <row r="18" spans="1:16" ht="15" customHeight="1" x14ac:dyDescent="0.2">
      <c r="A18" s="43" t="s">
        <v>928</v>
      </c>
      <c r="B18" s="93">
        <v>803</v>
      </c>
      <c r="C18" s="54">
        <v>1014572608412</v>
      </c>
      <c r="D18" s="44"/>
      <c r="E18" s="93"/>
      <c r="F18" s="54" t="s">
        <v>1297</v>
      </c>
      <c r="G18" s="55" t="s">
        <v>928</v>
      </c>
      <c r="H18" s="182">
        <v>3</v>
      </c>
      <c r="I18" s="59">
        <v>2.3039999999999998</v>
      </c>
      <c r="J18" s="60">
        <v>53568.76</v>
      </c>
      <c r="K18" s="60">
        <v>7.37</v>
      </c>
      <c r="L18" s="60">
        <v>7.37</v>
      </c>
      <c r="M18" s="61"/>
      <c r="N18" s="62"/>
      <c r="O18" s="62"/>
      <c r="P18" s="62"/>
    </row>
    <row r="19" spans="1:16" ht="15" customHeight="1" x14ac:dyDescent="0.2">
      <c r="A19" s="43" t="s">
        <v>929</v>
      </c>
      <c r="B19" s="93">
        <v>804</v>
      </c>
      <c r="C19" s="54">
        <v>1014572578282</v>
      </c>
      <c r="D19" s="44"/>
      <c r="E19" s="93"/>
      <c r="F19" s="54" t="s">
        <v>1297</v>
      </c>
      <c r="G19" s="55" t="s">
        <v>929</v>
      </c>
      <c r="H19" s="182">
        <v>1</v>
      </c>
      <c r="I19" s="59">
        <v>0.30399999999999999</v>
      </c>
      <c r="J19" s="60">
        <v>5724.62</v>
      </c>
      <c r="K19" s="60">
        <v>3.37</v>
      </c>
      <c r="L19" s="60">
        <v>3.37</v>
      </c>
      <c r="M19" s="61"/>
      <c r="N19" s="62"/>
      <c r="O19" s="62"/>
      <c r="P19" s="62"/>
    </row>
    <row r="20" spans="1:16" ht="30" customHeight="1" x14ac:dyDescent="0.2">
      <c r="A20" s="43" t="s">
        <v>930</v>
      </c>
      <c r="B20" s="93">
        <v>591</v>
      </c>
      <c r="C20" s="54" t="s">
        <v>1301</v>
      </c>
      <c r="D20" s="44"/>
      <c r="E20" s="93"/>
      <c r="F20" s="54" t="s">
        <v>1297</v>
      </c>
      <c r="G20" s="55" t="s">
        <v>930</v>
      </c>
      <c r="H20" s="182">
        <v>2</v>
      </c>
      <c r="I20" s="59">
        <v>2.4039999999999999</v>
      </c>
      <c r="J20" s="60">
        <v>15444.41</v>
      </c>
      <c r="K20" s="60">
        <v>1.96</v>
      </c>
      <c r="L20" s="60">
        <v>1.96</v>
      </c>
      <c r="M20" s="61"/>
      <c r="N20" s="62"/>
      <c r="O20" s="62"/>
      <c r="P20" s="62"/>
    </row>
    <row r="21" spans="1:16" ht="15" customHeight="1" x14ac:dyDescent="0.2">
      <c r="A21" s="43" t="s">
        <v>931</v>
      </c>
      <c r="B21" s="93">
        <v>333</v>
      </c>
      <c r="C21" s="54">
        <v>1050002055558</v>
      </c>
      <c r="D21" s="55" t="s">
        <v>931</v>
      </c>
      <c r="E21" s="93">
        <v>410</v>
      </c>
      <c r="F21" s="54">
        <v>1050002055567</v>
      </c>
      <c r="G21" s="55" t="s">
        <v>931</v>
      </c>
      <c r="H21" s="182">
        <v>1</v>
      </c>
      <c r="I21" s="59">
        <v>0</v>
      </c>
      <c r="J21" s="60">
        <v>4928.6899999999996</v>
      </c>
      <c r="K21" s="60">
        <v>4.55</v>
      </c>
      <c r="L21" s="60">
        <v>4.55</v>
      </c>
      <c r="M21" s="61">
        <v>0</v>
      </c>
      <c r="N21" s="62">
        <v>46.85</v>
      </c>
      <c r="O21" s="62">
        <v>0.05</v>
      </c>
      <c r="P21" s="62">
        <v>0.05</v>
      </c>
    </row>
    <row r="22" spans="1:16" ht="42" customHeight="1" x14ac:dyDescent="0.2">
      <c r="A22" s="43" t="s">
        <v>932</v>
      </c>
      <c r="B22" s="93">
        <v>592</v>
      </c>
      <c r="C22" s="54" t="s">
        <v>1302</v>
      </c>
      <c r="D22" s="44"/>
      <c r="E22" s="93"/>
      <c r="F22" s="54" t="s">
        <v>1297</v>
      </c>
      <c r="G22" s="55" t="s">
        <v>932</v>
      </c>
      <c r="H22" s="182">
        <v>3</v>
      </c>
      <c r="I22" s="59">
        <v>2.0449999999999999</v>
      </c>
      <c r="J22" s="60">
        <v>52504.22</v>
      </c>
      <c r="K22" s="60">
        <v>4.47</v>
      </c>
      <c r="L22" s="60">
        <v>4.47</v>
      </c>
      <c r="M22" s="61"/>
      <c r="N22" s="62"/>
      <c r="O22" s="62"/>
      <c r="P22" s="62"/>
    </row>
    <row r="23" spans="1:16" ht="15" customHeight="1" x14ac:dyDescent="0.2">
      <c r="A23" s="43" t="s">
        <v>933</v>
      </c>
      <c r="B23" s="93"/>
      <c r="C23" s="54" t="s">
        <v>1240</v>
      </c>
      <c r="D23" s="44"/>
      <c r="E23" s="93"/>
      <c r="F23" s="54"/>
      <c r="G23" s="55" t="s">
        <v>933</v>
      </c>
      <c r="H23" s="182">
        <v>4</v>
      </c>
      <c r="I23" s="59">
        <v>0</v>
      </c>
      <c r="J23" s="60">
        <v>63429.120000000003</v>
      </c>
      <c r="K23" s="60">
        <v>2.57</v>
      </c>
      <c r="L23" s="60">
        <v>2.57</v>
      </c>
      <c r="M23" s="61"/>
      <c r="N23" s="62"/>
      <c r="O23" s="62"/>
      <c r="P23" s="62"/>
    </row>
    <row r="24" spans="1:16" ht="30" customHeight="1" x14ac:dyDescent="0.2">
      <c r="A24" s="43" t="s">
        <v>934</v>
      </c>
      <c r="B24" s="93">
        <v>593</v>
      </c>
      <c r="C24" s="54" t="s">
        <v>1303</v>
      </c>
      <c r="D24" s="44"/>
      <c r="E24" s="93"/>
      <c r="F24" s="54" t="s">
        <v>1297</v>
      </c>
      <c r="G24" s="55" t="s">
        <v>934</v>
      </c>
      <c r="H24" s="182">
        <v>1</v>
      </c>
      <c r="I24" s="59">
        <v>7.4889999999999999</v>
      </c>
      <c r="J24" s="60">
        <v>5053.47</v>
      </c>
      <c r="K24" s="60">
        <v>2.37</v>
      </c>
      <c r="L24" s="60">
        <v>2.37</v>
      </c>
      <c r="M24" s="61"/>
      <c r="N24" s="62"/>
      <c r="O24" s="62"/>
      <c r="P24" s="62"/>
    </row>
    <row r="25" spans="1:16" ht="30" customHeight="1" x14ac:dyDescent="0.2">
      <c r="A25" s="43" t="s">
        <v>935</v>
      </c>
      <c r="B25" s="93">
        <v>594</v>
      </c>
      <c r="C25" s="54" t="s">
        <v>1304</v>
      </c>
      <c r="D25" s="44"/>
      <c r="E25" s="93"/>
      <c r="F25" s="54" t="s">
        <v>1297</v>
      </c>
      <c r="G25" s="55" t="s">
        <v>935</v>
      </c>
      <c r="H25" s="182">
        <v>2</v>
      </c>
      <c r="I25" s="59">
        <v>2.5019999999999998</v>
      </c>
      <c r="J25" s="60">
        <v>15502.19</v>
      </c>
      <c r="K25" s="60">
        <v>1.48</v>
      </c>
      <c r="L25" s="60">
        <v>1.48</v>
      </c>
      <c r="M25" s="61"/>
      <c r="N25" s="62"/>
      <c r="O25" s="62"/>
      <c r="P25" s="62"/>
    </row>
    <row r="26" spans="1:16" ht="15" customHeight="1" x14ac:dyDescent="0.2">
      <c r="A26" s="43" t="s">
        <v>936</v>
      </c>
      <c r="B26" s="93">
        <v>335</v>
      </c>
      <c r="C26" s="54">
        <v>1050001472920</v>
      </c>
      <c r="D26" s="55" t="s">
        <v>936</v>
      </c>
      <c r="E26" s="93">
        <v>413</v>
      </c>
      <c r="F26" s="54">
        <v>1050002018370</v>
      </c>
      <c r="G26" s="55" t="s">
        <v>936</v>
      </c>
      <c r="H26" s="182">
        <v>2</v>
      </c>
      <c r="I26" s="59">
        <v>0</v>
      </c>
      <c r="J26" s="60">
        <v>16035.59</v>
      </c>
      <c r="K26" s="60">
        <v>1.65</v>
      </c>
      <c r="L26" s="60">
        <v>1.65</v>
      </c>
      <c r="M26" s="61">
        <v>0</v>
      </c>
      <c r="N26" s="62">
        <v>1246.3699999999999</v>
      </c>
      <c r="O26" s="62">
        <v>0.05</v>
      </c>
      <c r="P26" s="62">
        <v>0.05</v>
      </c>
    </row>
    <row r="27" spans="1:16" ht="15" customHeight="1" x14ac:dyDescent="0.2">
      <c r="A27" s="43" t="s">
        <v>937</v>
      </c>
      <c r="B27" s="93"/>
      <c r="C27" s="54" t="s">
        <v>1240</v>
      </c>
      <c r="D27" s="44"/>
      <c r="E27" s="93"/>
      <c r="F27" s="54"/>
      <c r="G27" s="55" t="s">
        <v>937</v>
      </c>
      <c r="H27" s="182">
        <v>3</v>
      </c>
      <c r="I27" s="59">
        <v>0.46400000000000002</v>
      </c>
      <c r="J27" s="60">
        <v>47456.76</v>
      </c>
      <c r="K27" s="60">
        <v>1.93</v>
      </c>
      <c r="L27" s="60">
        <v>1.93</v>
      </c>
      <c r="M27" s="61"/>
      <c r="N27" s="62"/>
      <c r="O27" s="62"/>
      <c r="P27" s="62"/>
    </row>
    <row r="28" spans="1:16" ht="30" customHeight="1" x14ac:dyDescent="0.2">
      <c r="A28" s="43" t="s">
        <v>938</v>
      </c>
      <c r="B28" s="93">
        <v>595</v>
      </c>
      <c r="C28" s="54" t="s">
        <v>1305</v>
      </c>
      <c r="D28" s="44"/>
      <c r="E28" s="93"/>
      <c r="F28" s="54" t="s">
        <v>1297</v>
      </c>
      <c r="G28" s="55" t="s">
        <v>938</v>
      </c>
      <c r="H28" s="182">
        <v>4</v>
      </c>
      <c r="I28" s="59">
        <v>1.397</v>
      </c>
      <c r="J28" s="60">
        <v>87908</v>
      </c>
      <c r="K28" s="60">
        <v>1.31</v>
      </c>
      <c r="L28" s="60">
        <v>1.31</v>
      </c>
      <c r="M28" s="61"/>
      <c r="N28" s="62"/>
      <c r="O28" s="62"/>
      <c r="P28" s="62"/>
    </row>
    <row r="29" spans="1:16" ht="15" customHeight="1" x14ac:dyDescent="0.2">
      <c r="A29" s="43" t="s">
        <v>939</v>
      </c>
      <c r="B29" s="93">
        <v>809</v>
      </c>
      <c r="C29" s="54">
        <v>1014572509517</v>
      </c>
      <c r="D29" s="44"/>
      <c r="E29" s="93"/>
      <c r="F29" s="54" t="s">
        <v>1297</v>
      </c>
      <c r="G29" s="55" t="s">
        <v>939</v>
      </c>
      <c r="H29" s="182">
        <v>2</v>
      </c>
      <c r="I29" s="59">
        <v>0.86199999999999999</v>
      </c>
      <c r="J29" s="60">
        <v>30071.9</v>
      </c>
      <c r="K29" s="60">
        <v>1.59</v>
      </c>
      <c r="L29" s="60">
        <v>1.59</v>
      </c>
      <c r="M29" s="61"/>
      <c r="N29" s="62"/>
      <c r="O29" s="62"/>
      <c r="P29" s="62"/>
    </row>
    <row r="30" spans="1:16" ht="30" customHeight="1" x14ac:dyDescent="0.2">
      <c r="A30" s="43" t="s">
        <v>940</v>
      </c>
      <c r="B30" s="93">
        <v>813</v>
      </c>
      <c r="C30" s="54" t="s">
        <v>1306</v>
      </c>
      <c r="D30" s="44"/>
      <c r="E30" s="93"/>
      <c r="F30" s="54" t="s">
        <v>1297</v>
      </c>
      <c r="G30" s="55" t="s">
        <v>940</v>
      </c>
      <c r="H30" s="182">
        <v>2</v>
      </c>
      <c r="I30" s="59">
        <v>4.2999999999999997E-2</v>
      </c>
      <c r="J30" s="60">
        <v>16303.19</v>
      </c>
      <c r="K30" s="60">
        <v>1.47</v>
      </c>
      <c r="L30" s="60">
        <v>1.47</v>
      </c>
      <c r="M30" s="61"/>
      <c r="N30" s="62"/>
      <c r="O30" s="62"/>
      <c r="P30" s="62"/>
    </row>
    <row r="31" spans="1:16" ht="30" customHeight="1" x14ac:dyDescent="0.2">
      <c r="A31" s="43" t="s">
        <v>941</v>
      </c>
      <c r="B31" s="93">
        <v>596</v>
      </c>
      <c r="C31" s="54" t="s">
        <v>1307</v>
      </c>
      <c r="D31" s="55" t="s">
        <v>941</v>
      </c>
      <c r="E31" s="93">
        <v>432</v>
      </c>
      <c r="F31" s="54" t="s">
        <v>1308</v>
      </c>
      <c r="G31" s="55" t="s">
        <v>941</v>
      </c>
      <c r="H31" s="182">
        <v>1</v>
      </c>
      <c r="I31" s="59">
        <v>4.7160000000000002</v>
      </c>
      <c r="J31" s="60">
        <v>5024.33</v>
      </c>
      <c r="K31" s="60">
        <v>4.09</v>
      </c>
      <c r="L31" s="60">
        <v>4.09</v>
      </c>
      <c r="M31" s="61">
        <v>-4.6079999999999997</v>
      </c>
      <c r="N31" s="62">
        <v>29.14</v>
      </c>
      <c r="O31" s="62">
        <v>0.05</v>
      </c>
      <c r="P31" s="62">
        <v>0.05</v>
      </c>
    </row>
    <row r="32" spans="1:16" ht="15" customHeight="1" x14ac:dyDescent="0.2">
      <c r="A32" s="43" t="s">
        <v>942</v>
      </c>
      <c r="B32" s="93">
        <v>597</v>
      </c>
      <c r="C32" s="54">
        <v>1014572713989</v>
      </c>
      <c r="D32" s="44"/>
      <c r="E32" s="93"/>
      <c r="F32" s="54" t="s">
        <v>1297</v>
      </c>
      <c r="G32" s="55" t="s">
        <v>942</v>
      </c>
      <c r="H32" s="182">
        <v>1</v>
      </c>
      <c r="I32" s="59">
        <v>9.4629999999999992</v>
      </c>
      <c r="J32" s="60">
        <v>11147.27</v>
      </c>
      <c r="K32" s="60">
        <v>2.2999999999999998</v>
      </c>
      <c r="L32" s="60">
        <v>2.2999999999999998</v>
      </c>
      <c r="M32" s="61"/>
      <c r="N32" s="62"/>
      <c r="O32" s="62"/>
      <c r="P32" s="62"/>
    </row>
    <row r="33" spans="1:16" ht="15" customHeight="1" x14ac:dyDescent="0.2">
      <c r="A33" s="43" t="s">
        <v>943</v>
      </c>
      <c r="B33" s="93">
        <v>818</v>
      </c>
      <c r="C33" s="54">
        <v>1015684515819</v>
      </c>
      <c r="D33" s="44"/>
      <c r="E33" s="93"/>
      <c r="F33" s="54" t="s">
        <v>1297</v>
      </c>
      <c r="G33" s="55" t="s">
        <v>943</v>
      </c>
      <c r="H33" s="182">
        <v>4</v>
      </c>
      <c r="I33" s="59">
        <v>2E-3</v>
      </c>
      <c r="J33" s="60">
        <v>116033.35</v>
      </c>
      <c r="K33" s="60">
        <v>2.2799999999999998</v>
      </c>
      <c r="L33" s="60">
        <v>2.2799999999999998</v>
      </c>
      <c r="M33" s="61"/>
      <c r="N33" s="62"/>
      <c r="O33" s="62"/>
      <c r="P33" s="62"/>
    </row>
    <row r="34" spans="1:16" ht="15" customHeight="1" x14ac:dyDescent="0.2">
      <c r="A34" s="43" t="s">
        <v>944</v>
      </c>
      <c r="B34" s="93">
        <v>598</v>
      </c>
      <c r="C34" s="54">
        <v>1014572810813</v>
      </c>
      <c r="D34" s="44"/>
      <c r="E34" s="93"/>
      <c r="F34" s="54" t="s">
        <v>1297</v>
      </c>
      <c r="G34" s="55" t="s">
        <v>944</v>
      </c>
      <c r="H34" s="182">
        <v>3</v>
      </c>
      <c r="I34" s="59">
        <v>3.8359999999999999</v>
      </c>
      <c r="J34" s="60">
        <v>52722.76</v>
      </c>
      <c r="K34" s="60">
        <v>3.17</v>
      </c>
      <c r="L34" s="60">
        <v>3.17</v>
      </c>
      <c r="M34" s="61"/>
      <c r="N34" s="62"/>
      <c r="O34" s="62"/>
      <c r="P34" s="62"/>
    </row>
    <row r="35" spans="1:16" ht="42" customHeight="1" x14ac:dyDescent="0.2">
      <c r="A35" s="43" t="s">
        <v>945</v>
      </c>
      <c r="B35" s="93">
        <v>599</v>
      </c>
      <c r="C35" s="54" t="s">
        <v>1309</v>
      </c>
      <c r="D35" s="44"/>
      <c r="E35" s="93"/>
      <c r="F35" s="54" t="s">
        <v>1297</v>
      </c>
      <c r="G35" s="55" t="s">
        <v>945</v>
      </c>
      <c r="H35" s="182">
        <v>2</v>
      </c>
      <c r="I35" s="59">
        <v>3.153</v>
      </c>
      <c r="J35" s="60">
        <v>15662.96</v>
      </c>
      <c r="K35" s="60">
        <v>2.08</v>
      </c>
      <c r="L35" s="60">
        <v>2.08</v>
      </c>
      <c r="M35" s="61"/>
      <c r="N35" s="62"/>
      <c r="O35" s="62"/>
      <c r="P35" s="62"/>
    </row>
    <row r="36" spans="1:16" ht="30" customHeight="1" x14ac:dyDescent="0.2">
      <c r="A36" s="43" t="s">
        <v>946</v>
      </c>
      <c r="B36" s="93">
        <v>474</v>
      </c>
      <c r="C36" s="54" t="s">
        <v>1310</v>
      </c>
      <c r="D36" s="44"/>
      <c r="E36" s="93"/>
      <c r="F36" s="54" t="s">
        <v>1297</v>
      </c>
      <c r="G36" s="55" t="s">
        <v>946</v>
      </c>
      <c r="H36" s="182">
        <v>2</v>
      </c>
      <c r="I36" s="59">
        <v>0.76900000000000002</v>
      </c>
      <c r="J36" s="60">
        <v>20692.3</v>
      </c>
      <c r="K36" s="60">
        <v>3.55</v>
      </c>
      <c r="L36" s="60">
        <v>3.55</v>
      </c>
      <c r="M36" s="61"/>
      <c r="N36" s="62"/>
      <c r="O36" s="62"/>
      <c r="P36" s="62"/>
    </row>
    <row r="37" spans="1:16" ht="30" customHeight="1" x14ac:dyDescent="0.2">
      <c r="A37" s="43" t="s">
        <v>947</v>
      </c>
      <c r="B37" s="93">
        <v>475</v>
      </c>
      <c r="C37" s="54" t="s">
        <v>1311</v>
      </c>
      <c r="D37" s="44"/>
      <c r="E37" s="93"/>
      <c r="F37" s="54" t="s">
        <v>1297</v>
      </c>
      <c r="G37" s="55" t="s">
        <v>947</v>
      </c>
      <c r="H37" s="182">
        <v>2</v>
      </c>
      <c r="I37" s="59">
        <v>0.75700000000000001</v>
      </c>
      <c r="J37" s="60">
        <v>20692.3</v>
      </c>
      <c r="K37" s="60">
        <v>3.46</v>
      </c>
      <c r="L37" s="60">
        <v>3.46</v>
      </c>
      <c r="M37" s="61"/>
      <c r="N37" s="62"/>
      <c r="O37" s="62"/>
      <c r="P37" s="62"/>
    </row>
    <row r="38" spans="1:16" ht="30" customHeight="1" x14ac:dyDescent="0.2">
      <c r="A38" s="43" t="s">
        <v>948</v>
      </c>
      <c r="B38" s="93">
        <v>476</v>
      </c>
      <c r="C38" s="54" t="s">
        <v>1312</v>
      </c>
      <c r="D38" s="44"/>
      <c r="E38" s="93"/>
      <c r="F38" s="54" t="s">
        <v>1297</v>
      </c>
      <c r="G38" s="55" t="s">
        <v>948</v>
      </c>
      <c r="H38" s="182">
        <v>3</v>
      </c>
      <c r="I38" s="59">
        <v>1.458</v>
      </c>
      <c r="J38" s="60">
        <v>52067.13</v>
      </c>
      <c r="K38" s="60">
        <v>2.42</v>
      </c>
      <c r="L38" s="60">
        <v>2.42</v>
      </c>
      <c r="M38" s="61"/>
      <c r="N38" s="62"/>
      <c r="O38" s="62"/>
      <c r="P38" s="62"/>
    </row>
    <row r="39" spans="1:16" ht="30" customHeight="1" x14ac:dyDescent="0.2">
      <c r="A39" s="43" t="s">
        <v>949</v>
      </c>
      <c r="B39" s="93">
        <v>477</v>
      </c>
      <c r="C39" s="54" t="s">
        <v>1313</v>
      </c>
      <c r="D39" s="44"/>
      <c r="E39" s="93"/>
      <c r="F39" s="54" t="s">
        <v>1297</v>
      </c>
      <c r="G39" s="55" t="s">
        <v>949</v>
      </c>
      <c r="H39" s="182">
        <v>2</v>
      </c>
      <c r="I39" s="59">
        <v>4.7510000000000003</v>
      </c>
      <c r="J39" s="60">
        <v>15444.41</v>
      </c>
      <c r="K39" s="60">
        <v>3.08</v>
      </c>
      <c r="L39" s="60">
        <v>3.08</v>
      </c>
      <c r="M39" s="61"/>
      <c r="N39" s="62"/>
      <c r="O39" s="62"/>
      <c r="P39" s="62"/>
    </row>
    <row r="40" spans="1:16" ht="66" customHeight="1" x14ac:dyDescent="0.2">
      <c r="A40" s="43" t="s">
        <v>950</v>
      </c>
      <c r="B40" s="93">
        <v>478</v>
      </c>
      <c r="C40" s="54" t="s">
        <v>1314</v>
      </c>
      <c r="D40" s="55" t="s">
        <v>950</v>
      </c>
      <c r="E40" s="93">
        <v>433</v>
      </c>
      <c r="F40" s="54" t="s">
        <v>1315</v>
      </c>
      <c r="G40" s="55" t="s">
        <v>950</v>
      </c>
      <c r="H40" s="182">
        <v>2</v>
      </c>
      <c r="I40" s="59">
        <v>4.7510000000000003</v>
      </c>
      <c r="J40" s="60">
        <v>15444.41</v>
      </c>
      <c r="K40" s="60">
        <v>1.4</v>
      </c>
      <c r="L40" s="60">
        <v>1.4</v>
      </c>
      <c r="M40" s="61"/>
      <c r="N40" s="62"/>
      <c r="O40" s="62"/>
      <c r="P40" s="62"/>
    </row>
    <row r="41" spans="1:16" ht="15" customHeight="1" x14ac:dyDescent="0.2">
      <c r="A41" s="43" t="s">
        <v>951</v>
      </c>
      <c r="B41" s="93">
        <v>479</v>
      </c>
      <c r="C41" s="54">
        <v>1014573127752</v>
      </c>
      <c r="D41" s="44"/>
      <c r="E41" s="93"/>
      <c r="F41" s="54" t="s">
        <v>1297</v>
      </c>
      <c r="G41" s="55" t="s">
        <v>951</v>
      </c>
      <c r="H41" s="182">
        <v>2</v>
      </c>
      <c r="I41" s="59">
        <v>3.5870000000000002</v>
      </c>
      <c r="J41" s="60">
        <v>15225.87</v>
      </c>
      <c r="K41" s="60">
        <v>4.47</v>
      </c>
      <c r="L41" s="60">
        <v>4.47</v>
      </c>
      <c r="M41" s="61"/>
      <c r="N41" s="62"/>
      <c r="O41" s="62"/>
      <c r="P41" s="62"/>
    </row>
    <row r="42" spans="1:16" ht="42" customHeight="1" x14ac:dyDescent="0.2">
      <c r="A42" s="43" t="s">
        <v>952</v>
      </c>
      <c r="B42" s="93">
        <v>480</v>
      </c>
      <c r="C42" s="54" t="s">
        <v>1316</v>
      </c>
      <c r="D42" s="44"/>
      <c r="E42" s="93"/>
      <c r="F42" s="54" t="s">
        <v>1297</v>
      </c>
      <c r="G42" s="55" t="s">
        <v>952</v>
      </c>
      <c r="H42" s="182">
        <v>4</v>
      </c>
      <c r="I42" s="59">
        <v>0.36199999999999999</v>
      </c>
      <c r="J42" s="60">
        <v>98234.54</v>
      </c>
      <c r="K42" s="60">
        <v>1.54</v>
      </c>
      <c r="L42" s="60">
        <v>1.54</v>
      </c>
      <c r="M42" s="61"/>
      <c r="N42" s="62"/>
      <c r="O42" s="62"/>
      <c r="P42" s="62"/>
    </row>
    <row r="43" spans="1:16" ht="54.95" customHeight="1" x14ac:dyDescent="0.2">
      <c r="A43" s="43" t="s">
        <v>953</v>
      </c>
      <c r="B43" s="93">
        <v>319</v>
      </c>
      <c r="C43" s="54" t="s">
        <v>1317</v>
      </c>
      <c r="D43" s="44"/>
      <c r="E43" s="93"/>
      <c r="F43" s="54"/>
      <c r="G43" s="55" t="s">
        <v>953</v>
      </c>
      <c r="H43" s="182">
        <v>4</v>
      </c>
      <c r="I43" s="59">
        <v>1.206</v>
      </c>
      <c r="J43" s="60">
        <v>71350.97</v>
      </c>
      <c r="K43" s="60">
        <v>1.22</v>
      </c>
      <c r="L43" s="60">
        <v>1.22</v>
      </c>
      <c r="M43" s="61"/>
      <c r="N43" s="62"/>
      <c r="O43" s="62"/>
      <c r="P43" s="62"/>
    </row>
    <row r="44" spans="1:16" ht="30" customHeight="1" x14ac:dyDescent="0.2">
      <c r="A44" s="43" t="s">
        <v>954</v>
      </c>
      <c r="B44" s="93">
        <v>318</v>
      </c>
      <c r="C44" s="54" t="s">
        <v>1318</v>
      </c>
      <c r="D44" s="44"/>
      <c r="E44" s="93"/>
      <c r="F44" s="54"/>
      <c r="G44" s="55" t="s">
        <v>954</v>
      </c>
      <c r="H44" s="182">
        <v>3</v>
      </c>
      <c r="I44" s="59">
        <v>1.216</v>
      </c>
      <c r="J44" s="60">
        <v>73437.539999999994</v>
      </c>
      <c r="K44" s="60">
        <v>1.96</v>
      </c>
      <c r="L44" s="60">
        <v>1.96</v>
      </c>
      <c r="M44" s="61"/>
      <c r="N44" s="62"/>
      <c r="O44" s="62"/>
      <c r="P44" s="62"/>
    </row>
    <row r="45" spans="1:16" ht="15" customHeight="1" x14ac:dyDescent="0.2">
      <c r="A45" s="43" t="s">
        <v>955</v>
      </c>
      <c r="B45" s="93">
        <v>820</v>
      </c>
      <c r="C45" s="54">
        <v>1014569896484</v>
      </c>
      <c r="D45" s="44"/>
      <c r="E45" s="93"/>
      <c r="F45" s="54" t="s">
        <v>1297</v>
      </c>
      <c r="G45" s="55" t="s">
        <v>955</v>
      </c>
      <c r="H45" s="182">
        <v>1</v>
      </c>
      <c r="I45" s="59">
        <v>0.28899999999999998</v>
      </c>
      <c r="J45" s="60">
        <v>5222.97</v>
      </c>
      <c r="K45" s="60">
        <v>1.77</v>
      </c>
      <c r="L45" s="60">
        <v>1.77</v>
      </c>
      <c r="M45" s="61"/>
      <c r="N45" s="62"/>
      <c r="O45" s="62"/>
      <c r="P45" s="62"/>
    </row>
    <row r="46" spans="1:16" ht="15" customHeight="1" x14ac:dyDescent="0.2">
      <c r="A46" s="43" t="s">
        <v>956</v>
      </c>
      <c r="B46" s="93"/>
      <c r="C46" s="54" t="s">
        <v>1240</v>
      </c>
      <c r="D46" s="44"/>
      <c r="E46" s="93"/>
      <c r="F46" s="54" t="s">
        <v>1297</v>
      </c>
      <c r="G46" s="55" t="s">
        <v>956</v>
      </c>
      <c r="H46" s="182">
        <v>4</v>
      </c>
      <c r="I46" s="59">
        <v>2.6509999999999998</v>
      </c>
      <c r="J46" s="60">
        <v>65408.56</v>
      </c>
      <c r="K46" s="60">
        <v>1.1399999999999999</v>
      </c>
      <c r="L46" s="60">
        <v>1.1399999999999999</v>
      </c>
      <c r="M46" s="61"/>
      <c r="N46" s="62"/>
      <c r="O46" s="62"/>
      <c r="P46" s="62"/>
    </row>
    <row r="47" spans="1:16" ht="15" customHeight="1" x14ac:dyDescent="0.2">
      <c r="A47" s="43" t="s">
        <v>957</v>
      </c>
      <c r="B47" s="93"/>
      <c r="C47" s="54" t="s">
        <v>1276</v>
      </c>
      <c r="D47" s="44"/>
      <c r="E47" s="93"/>
      <c r="F47" s="54"/>
      <c r="G47" s="55" t="s">
        <v>957</v>
      </c>
      <c r="H47" s="182"/>
      <c r="I47" s="59">
        <v>0</v>
      </c>
      <c r="J47" s="60">
        <v>494.86</v>
      </c>
      <c r="K47" s="60">
        <v>1.29</v>
      </c>
      <c r="L47" s="60">
        <v>1.29</v>
      </c>
      <c r="M47" s="61"/>
      <c r="N47" s="62"/>
      <c r="O47" s="62"/>
      <c r="P47" s="62"/>
    </row>
    <row r="48" spans="1:16" ht="42" customHeight="1" x14ac:dyDescent="0.2">
      <c r="A48" s="43" t="s">
        <v>958</v>
      </c>
      <c r="B48" s="93">
        <v>482</v>
      </c>
      <c r="C48" s="54" t="s">
        <v>1319</v>
      </c>
      <c r="D48" s="44"/>
      <c r="E48" s="93"/>
      <c r="F48" s="54" t="s">
        <v>1297</v>
      </c>
      <c r="G48" s="55" t="s">
        <v>958</v>
      </c>
      <c r="H48" s="182">
        <v>3</v>
      </c>
      <c r="I48" s="59">
        <v>1.601</v>
      </c>
      <c r="J48" s="60">
        <v>52504.22</v>
      </c>
      <c r="K48" s="60">
        <v>5.72</v>
      </c>
      <c r="L48" s="60">
        <v>5.72</v>
      </c>
      <c r="M48" s="61"/>
      <c r="N48" s="62"/>
      <c r="O48" s="62"/>
      <c r="P48" s="62"/>
    </row>
    <row r="49" spans="1:16" ht="15" customHeight="1" x14ac:dyDescent="0.2">
      <c r="A49" s="43" t="s">
        <v>959</v>
      </c>
      <c r="B49" s="93"/>
      <c r="C49" s="54" t="s">
        <v>1352</v>
      </c>
      <c r="D49" s="44"/>
      <c r="E49" s="93"/>
      <c r="F49" s="54"/>
      <c r="G49" s="55" t="s">
        <v>959</v>
      </c>
      <c r="H49" s="182"/>
      <c r="I49" s="59">
        <v>0</v>
      </c>
      <c r="J49" s="60">
        <v>494.86</v>
      </c>
      <c r="K49" s="60">
        <v>1.72</v>
      </c>
      <c r="L49" s="60">
        <v>1.72</v>
      </c>
      <c r="M49" s="61"/>
      <c r="N49" s="62"/>
      <c r="O49" s="62"/>
      <c r="P49" s="62"/>
    </row>
    <row r="50" spans="1:16" ht="30" customHeight="1" x14ac:dyDescent="0.2">
      <c r="A50" s="43" t="s">
        <v>960</v>
      </c>
      <c r="B50" s="93">
        <v>823</v>
      </c>
      <c r="C50" s="54" t="s">
        <v>1320</v>
      </c>
      <c r="D50" s="44"/>
      <c r="E50" s="93"/>
      <c r="F50" s="54" t="s">
        <v>1297</v>
      </c>
      <c r="G50" s="55" t="s">
        <v>960</v>
      </c>
      <c r="H50" s="182">
        <v>2</v>
      </c>
      <c r="I50" s="59">
        <v>0.52900000000000003</v>
      </c>
      <c r="J50" s="60">
        <v>17667.439999999999</v>
      </c>
      <c r="K50" s="60">
        <v>1.99</v>
      </c>
      <c r="L50" s="60">
        <v>1.99</v>
      </c>
      <c r="M50" s="61"/>
      <c r="N50" s="62"/>
      <c r="O50" s="62"/>
      <c r="P50" s="62"/>
    </row>
    <row r="51" spans="1:16" ht="30" customHeight="1" x14ac:dyDescent="0.2">
      <c r="A51" s="43" t="s">
        <v>961</v>
      </c>
      <c r="B51" s="93">
        <v>825</v>
      </c>
      <c r="C51" s="54" t="s">
        <v>1321</v>
      </c>
      <c r="D51" s="44"/>
      <c r="E51" s="93"/>
      <c r="F51" s="54" t="s">
        <v>1297</v>
      </c>
      <c r="G51" s="55" t="s">
        <v>961</v>
      </c>
      <c r="H51" s="182">
        <v>3</v>
      </c>
      <c r="I51" s="59">
        <v>0.14299999999999999</v>
      </c>
      <c r="J51" s="60">
        <v>52731.49</v>
      </c>
      <c r="K51" s="60">
        <v>2.81</v>
      </c>
      <c r="L51" s="60">
        <v>2.81</v>
      </c>
      <c r="M51" s="61"/>
      <c r="N51" s="62"/>
      <c r="O51" s="62"/>
      <c r="P51" s="62"/>
    </row>
    <row r="52" spans="1:16" ht="54.95" customHeight="1" x14ac:dyDescent="0.2">
      <c r="A52" s="43" t="s">
        <v>962</v>
      </c>
      <c r="B52" s="93">
        <v>864</v>
      </c>
      <c r="C52" s="54" t="s">
        <v>1322</v>
      </c>
      <c r="D52" s="44"/>
      <c r="E52" s="93"/>
      <c r="F52" s="54" t="s">
        <v>1297</v>
      </c>
      <c r="G52" s="55" t="s">
        <v>962</v>
      </c>
      <c r="H52" s="182">
        <v>4</v>
      </c>
      <c r="I52" s="59">
        <v>1.0999999999999999E-2</v>
      </c>
      <c r="J52" s="60">
        <v>152184.60999999999</v>
      </c>
      <c r="K52" s="60">
        <v>2.46</v>
      </c>
      <c r="L52" s="60">
        <v>2.46</v>
      </c>
      <c r="M52" s="61"/>
      <c r="N52" s="62"/>
      <c r="O52" s="62"/>
      <c r="P52" s="62"/>
    </row>
    <row r="53" spans="1:16" ht="54.95" customHeight="1" x14ac:dyDescent="0.2">
      <c r="A53" s="43" t="s">
        <v>963</v>
      </c>
      <c r="B53" s="93">
        <v>431</v>
      </c>
      <c r="C53" s="54" t="s">
        <v>1323</v>
      </c>
      <c r="D53" s="44"/>
      <c r="E53" s="93"/>
      <c r="F53" s="54" t="s">
        <v>1297</v>
      </c>
      <c r="G53" s="55" t="s">
        <v>963</v>
      </c>
      <c r="H53" s="182">
        <v>4</v>
      </c>
      <c r="I53" s="59">
        <v>0.33100000000000002</v>
      </c>
      <c r="J53" s="60">
        <v>145201.63</v>
      </c>
      <c r="K53" s="60">
        <v>2.46</v>
      </c>
      <c r="L53" s="60">
        <v>2.46</v>
      </c>
      <c r="M53" s="61"/>
      <c r="N53" s="62"/>
      <c r="O53" s="62"/>
      <c r="P53" s="62"/>
    </row>
    <row r="54" spans="1:16" ht="15" customHeight="1" x14ac:dyDescent="0.2">
      <c r="A54" s="215" t="s">
        <v>964</v>
      </c>
      <c r="B54" s="216"/>
      <c r="C54" s="217" t="s">
        <v>1240</v>
      </c>
      <c r="D54" s="218"/>
      <c r="E54" s="216"/>
      <c r="F54" s="217"/>
      <c r="G54" s="219" t="s">
        <v>964</v>
      </c>
      <c r="H54" s="220">
        <v>3</v>
      </c>
      <c r="I54" s="221">
        <v>0.01</v>
      </c>
      <c r="J54" s="222">
        <v>48504.73</v>
      </c>
      <c r="K54" s="222">
        <v>1.1499999999999999</v>
      </c>
      <c r="L54" s="222">
        <v>1.1499999999999999</v>
      </c>
      <c r="M54" s="61"/>
      <c r="N54" s="62"/>
      <c r="O54" s="62"/>
      <c r="P54" s="62"/>
    </row>
    <row r="55" spans="1:16" ht="15" customHeight="1" x14ac:dyDescent="0.2">
      <c r="A55" s="43" t="s">
        <v>965</v>
      </c>
      <c r="B55" s="93"/>
      <c r="C55" s="54" t="s">
        <v>1240</v>
      </c>
      <c r="D55" s="44"/>
      <c r="E55" s="93"/>
      <c r="F55" s="54"/>
      <c r="G55" s="55" t="s">
        <v>965</v>
      </c>
      <c r="H55" s="182">
        <v>1</v>
      </c>
      <c r="I55" s="59">
        <v>4.4999999999999998E-2</v>
      </c>
      <c r="J55" s="60">
        <v>6192.43</v>
      </c>
      <c r="K55" s="60">
        <v>1.32</v>
      </c>
      <c r="L55" s="60">
        <v>1.32</v>
      </c>
      <c r="M55" s="61"/>
      <c r="N55" s="62"/>
      <c r="O55" s="62"/>
      <c r="P55" s="62"/>
    </row>
    <row r="56" spans="1:16" ht="15" customHeight="1" x14ac:dyDescent="0.2">
      <c r="A56" s="43" t="s">
        <v>966</v>
      </c>
      <c r="B56" s="93">
        <v>484</v>
      </c>
      <c r="C56" s="54">
        <v>1030062915127</v>
      </c>
      <c r="D56" s="44"/>
      <c r="E56" s="93"/>
      <c r="F56" s="54" t="s">
        <v>1297</v>
      </c>
      <c r="G56" s="55" t="s">
        <v>966</v>
      </c>
      <c r="H56" s="182">
        <v>2</v>
      </c>
      <c r="I56" s="59">
        <v>3.0000000000000001E-3</v>
      </c>
      <c r="J56" s="60">
        <v>15225.87</v>
      </c>
      <c r="K56" s="60">
        <v>1.45</v>
      </c>
      <c r="L56" s="60">
        <v>1.45</v>
      </c>
      <c r="M56" s="61"/>
      <c r="N56" s="62"/>
      <c r="O56" s="62"/>
      <c r="P56" s="62"/>
    </row>
    <row r="57" spans="1:16" ht="30" customHeight="1" x14ac:dyDescent="0.2">
      <c r="A57" s="43" t="s">
        <v>967</v>
      </c>
      <c r="B57" s="93">
        <v>828</v>
      </c>
      <c r="C57" s="54" t="s">
        <v>1324</v>
      </c>
      <c r="D57" s="44"/>
      <c r="E57" s="93"/>
      <c r="F57" s="54" t="s">
        <v>1297</v>
      </c>
      <c r="G57" s="55" t="s">
        <v>967</v>
      </c>
      <c r="H57" s="182">
        <v>2</v>
      </c>
      <c r="I57" s="59">
        <v>0</v>
      </c>
      <c r="J57" s="60">
        <v>22030.560000000001</v>
      </c>
      <c r="K57" s="60">
        <v>2.94</v>
      </c>
      <c r="L57" s="60">
        <v>2.94</v>
      </c>
      <c r="M57" s="61"/>
      <c r="N57" s="62"/>
      <c r="O57" s="62"/>
      <c r="P57" s="62"/>
    </row>
    <row r="58" spans="1:16" ht="15" customHeight="1" x14ac:dyDescent="0.2">
      <c r="A58" s="43" t="s">
        <v>968</v>
      </c>
      <c r="B58" s="93">
        <v>807</v>
      </c>
      <c r="C58" s="54">
        <v>1014569560220</v>
      </c>
      <c r="D58" s="44"/>
      <c r="E58" s="93"/>
      <c r="F58" s="54" t="s">
        <v>1297</v>
      </c>
      <c r="G58" s="55" t="s">
        <v>968</v>
      </c>
      <c r="H58" s="182">
        <v>2</v>
      </c>
      <c r="I58" s="59">
        <v>2.274</v>
      </c>
      <c r="J58" s="60">
        <v>19058.490000000002</v>
      </c>
      <c r="K58" s="60">
        <v>2.5</v>
      </c>
      <c r="L58" s="60">
        <v>2.5</v>
      </c>
      <c r="M58" s="61"/>
      <c r="N58" s="62"/>
      <c r="O58" s="62"/>
      <c r="P58" s="62"/>
    </row>
    <row r="59" spans="1:16" ht="54.95" customHeight="1" x14ac:dyDescent="0.2">
      <c r="A59" s="43" t="s">
        <v>969</v>
      </c>
      <c r="B59" s="93">
        <v>829</v>
      </c>
      <c r="C59" s="54" t="s">
        <v>1325</v>
      </c>
      <c r="D59" s="55"/>
      <c r="E59" s="93"/>
      <c r="F59" s="54" t="s">
        <v>1297</v>
      </c>
      <c r="G59" s="55" t="s">
        <v>969</v>
      </c>
      <c r="H59" s="182">
        <v>3</v>
      </c>
      <c r="I59" s="59">
        <v>1.0999999999999999E-2</v>
      </c>
      <c r="J59" s="60">
        <v>52504.22</v>
      </c>
      <c r="K59" s="60">
        <v>1.62</v>
      </c>
      <c r="L59" s="60">
        <v>1.62</v>
      </c>
      <c r="M59" s="61"/>
      <c r="N59" s="62"/>
      <c r="O59" s="62"/>
      <c r="P59" s="62"/>
    </row>
    <row r="60" spans="1:16" ht="15" customHeight="1" x14ac:dyDescent="0.2">
      <c r="A60" s="43" t="s">
        <v>970</v>
      </c>
      <c r="B60" s="93">
        <v>840</v>
      </c>
      <c r="C60" s="54">
        <v>1023478020044</v>
      </c>
      <c r="D60" s="55" t="s">
        <v>970</v>
      </c>
      <c r="E60" s="93">
        <v>722</v>
      </c>
      <c r="F60" s="54">
        <v>1023545945010</v>
      </c>
      <c r="G60" s="55" t="s">
        <v>970</v>
      </c>
      <c r="H60" s="182">
        <v>2</v>
      </c>
      <c r="I60" s="59">
        <v>0</v>
      </c>
      <c r="J60" s="60">
        <v>29731.439999999999</v>
      </c>
      <c r="K60" s="60">
        <v>4.09</v>
      </c>
      <c r="L60" s="60">
        <v>4.09</v>
      </c>
      <c r="M60" s="61"/>
      <c r="N60" s="62"/>
      <c r="O60" s="62"/>
      <c r="P60" s="62"/>
    </row>
    <row r="61" spans="1:16" ht="30" customHeight="1" x14ac:dyDescent="0.2">
      <c r="A61" s="43" t="s">
        <v>971</v>
      </c>
      <c r="B61" s="93">
        <v>842</v>
      </c>
      <c r="C61" s="54" t="s">
        <v>1243</v>
      </c>
      <c r="D61" s="55" t="s">
        <v>971</v>
      </c>
      <c r="E61" s="93">
        <v>720</v>
      </c>
      <c r="F61" s="54" t="s">
        <v>1244</v>
      </c>
      <c r="G61" s="55" t="s">
        <v>971</v>
      </c>
      <c r="H61" s="182">
        <v>2</v>
      </c>
      <c r="I61" s="59">
        <v>0</v>
      </c>
      <c r="J61" s="60">
        <v>29056.65</v>
      </c>
      <c r="K61" s="60">
        <v>4.26</v>
      </c>
      <c r="L61" s="60">
        <v>4.26</v>
      </c>
      <c r="M61" s="61">
        <v>0</v>
      </c>
      <c r="N61" s="62">
        <v>3831.63</v>
      </c>
      <c r="O61" s="62">
        <v>0.05</v>
      </c>
      <c r="P61" s="62">
        <v>0.05</v>
      </c>
    </row>
    <row r="62" spans="1:16" ht="15" customHeight="1" x14ac:dyDescent="0.2">
      <c r="A62" s="43" t="s">
        <v>972</v>
      </c>
      <c r="B62" s="93">
        <v>843</v>
      </c>
      <c r="C62" s="54">
        <v>1014572578742</v>
      </c>
      <c r="D62" s="44" t="s">
        <v>972</v>
      </c>
      <c r="E62" s="93">
        <v>721</v>
      </c>
      <c r="F62" s="54">
        <v>1023545945029</v>
      </c>
      <c r="G62" s="55" t="s">
        <v>972</v>
      </c>
      <c r="H62" s="182">
        <v>3</v>
      </c>
      <c r="I62" s="59">
        <v>1.2569999999999999</v>
      </c>
      <c r="J62" s="60">
        <v>65364.44</v>
      </c>
      <c r="K62" s="60">
        <v>4.25</v>
      </c>
      <c r="L62" s="60">
        <v>4.25</v>
      </c>
      <c r="M62" s="61"/>
      <c r="N62" s="62"/>
      <c r="O62" s="62"/>
      <c r="P62" s="62"/>
    </row>
    <row r="63" spans="1:16" ht="15" customHeight="1" x14ac:dyDescent="0.2">
      <c r="A63" s="43" t="s">
        <v>973</v>
      </c>
      <c r="B63" s="93">
        <v>844</v>
      </c>
      <c r="C63" s="54">
        <v>1014573096936</v>
      </c>
      <c r="D63" s="44"/>
      <c r="E63" s="93"/>
      <c r="F63" s="54" t="s">
        <v>1297</v>
      </c>
      <c r="G63" s="55" t="s">
        <v>973</v>
      </c>
      <c r="H63" s="182">
        <v>2</v>
      </c>
      <c r="I63" s="59">
        <v>0.39400000000000002</v>
      </c>
      <c r="J63" s="60">
        <v>21874.53</v>
      </c>
      <c r="K63" s="60">
        <v>1.45</v>
      </c>
      <c r="L63" s="60">
        <v>1.45</v>
      </c>
      <c r="M63" s="61"/>
      <c r="N63" s="62"/>
      <c r="O63" s="62"/>
      <c r="P63" s="62"/>
    </row>
    <row r="64" spans="1:16" ht="15" customHeight="1" x14ac:dyDescent="0.2">
      <c r="A64" s="43" t="s">
        <v>974</v>
      </c>
      <c r="B64" s="93">
        <v>845</v>
      </c>
      <c r="C64" s="54">
        <v>1014572986535</v>
      </c>
      <c r="D64" s="55"/>
      <c r="E64" s="93"/>
      <c r="F64" s="54" t="s">
        <v>1297</v>
      </c>
      <c r="G64" s="55" t="s">
        <v>974</v>
      </c>
      <c r="H64" s="182">
        <v>3</v>
      </c>
      <c r="I64" s="59">
        <v>1.0580000000000001</v>
      </c>
      <c r="J64" s="60">
        <v>58992.1</v>
      </c>
      <c r="K64" s="60">
        <v>3.8</v>
      </c>
      <c r="L64" s="60">
        <v>3.8</v>
      </c>
      <c r="M64" s="61"/>
      <c r="N64" s="62"/>
      <c r="O64" s="62"/>
      <c r="P64" s="62"/>
    </row>
    <row r="65" spans="1:16" ht="15" customHeight="1" x14ac:dyDescent="0.2">
      <c r="A65" s="43" t="s">
        <v>975</v>
      </c>
      <c r="B65" s="93">
        <v>846</v>
      </c>
      <c r="C65" s="54">
        <v>1014572901666</v>
      </c>
      <c r="D65" s="44" t="s">
        <v>975</v>
      </c>
      <c r="E65" s="93">
        <v>472</v>
      </c>
      <c r="F65" s="54">
        <v>1050000419767</v>
      </c>
      <c r="G65" s="55" t="s">
        <v>975</v>
      </c>
      <c r="H65" s="182">
        <v>2</v>
      </c>
      <c r="I65" s="59">
        <v>0</v>
      </c>
      <c r="J65" s="60">
        <v>22369.39</v>
      </c>
      <c r="K65" s="60">
        <v>2.42</v>
      </c>
      <c r="L65" s="60">
        <v>2.42</v>
      </c>
      <c r="M65" s="61"/>
      <c r="N65" s="62"/>
      <c r="O65" s="62"/>
      <c r="P65" s="62"/>
    </row>
    <row r="66" spans="1:16" ht="15" customHeight="1" x14ac:dyDescent="0.2">
      <c r="A66" s="43" t="s">
        <v>976</v>
      </c>
      <c r="B66" s="93">
        <v>847</v>
      </c>
      <c r="C66" s="54">
        <v>1014572780683</v>
      </c>
      <c r="D66" s="55"/>
      <c r="E66" s="93"/>
      <c r="F66" s="54" t="s">
        <v>1297</v>
      </c>
      <c r="G66" s="55" t="s">
        <v>976</v>
      </c>
      <c r="H66" s="182">
        <v>4</v>
      </c>
      <c r="I66" s="59">
        <v>0.06</v>
      </c>
      <c r="J66" s="60">
        <v>88994.13</v>
      </c>
      <c r="K66" s="60">
        <v>2.95</v>
      </c>
      <c r="L66" s="60">
        <v>2.95</v>
      </c>
      <c r="M66" s="61"/>
      <c r="N66" s="62"/>
      <c r="O66" s="62"/>
      <c r="P66" s="62"/>
    </row>
    <row r="67" spans="1:16" ht="15" customHeight="1" x14ac:dyDescent="0.2">
      <c r="A67" s="43" t="s">
        <v>977</v>
      </c>
      <c r="B67" s="93">
        <v>848</v>
      </c>
      <c r="C67" s="54">
        <v>1014572821160</v>
      </c>
      <c r="D67" s="55" t="s">
        <v>977</v>
      </c>
      <c r="E67" s="93">
        <v>723</v>
      </c>
      <c r="F67" s="54">
        <v>1023545947499</v>
      </c>
      <c r="G67" s="55" t="s">
        <v>977</v>
      </c>
      <c r="H67" s="182">
        <v>2</v>
      </c>
      <c r="I67" s="59">
        <v>0</v>
      </c>
      <c r="J67" s="60">
        <v>22369.39</v>
      </c>
      <c r="K67" s="60">
        <v>2.71</v>
      </c>
      <c r="L67" s="60">
        <v>2.71</v>
      </c>
      <c r="M67" s="61"/>
      <c r="N67" s="62"/>
      <c r="O67" s="62"/>
      <c r="P67" s="62"/>
    </row>
    <row r="68" spans="1:16" ht="15" customHeight="1" x14ac:dyDescent="0.2">
      <c r="A68" s="43" t="s">
        <v>978</v>
      </c>
      <c r="B68" s="93">
        <v>849</v>
      </c>
      <c r="C68" s="54">
        <v>1014573017580</v>
      </c>
      <c r="D68" s="55" t="s">
        <v>978</v>
      </c>
      <c r="E68" s="93">
        <v>473</v>
      </c>
      <c r="F68" s="54">
        <v>1050000419785</v>
      </c>
      <c r="G68" s="55" t="s">
        <v>978</v>
      </c>
      <c r="H68" s="182">
        <v>3</v>
      </c>
      <c r="I68" s="59">
        <v>0.46800000000000003</v>
      </c>
      <c r="J68" s="60">
        <v>67118.45</v>
      </c>
      <c r="K68" s="60">
        <v>3.14</v>
      </c>
      <c r="L68" s="60">
        <v>3.14</v>
      </c>
      <c r="M68" s="61"/>
      <c r="N68" s="62"/>
      <c r="O68" s="62"/>
      <c r="P68" s="62"/>
    </row>
    <row r="69" spans="1:16" ht="15" customHeight="1" x14ac:dyDescent="0.2">
      <c r="A69" s="43" t="s">
        <v>979</v>
      </c>
      <c r="B69" s="93">
        <v>850</v>
      </c>
      <c r="C69" s="54">
        <v>1014572876363</v>
      </c>
      <c r="D69" s="44" t="s">
        <v>979</v>
      </c>
      <c r="E69" s="93">
        <v>724</v>
      </c>
      <c r="F69" s="54">
        <v>1023545944902</v>
      </c>
      <c r="G69" s="55" t="s">
        <v>979</v>
      </c>
      <c r="H69" s="182">
        <v>1</v>
      </c>
      <c r="I69" s="59">
        <v>0.13800000000000001</v>
      </c>
      <c r="J69" s="60">
        <v>11483.58</v>
      </c>
      <c r="K69" s="60">
        <v>4.33</v>
      </c>
      <c r="L69" s="60">
        <v>4.33</v>
      </c>
      <c r="M69" s="61"/>
      <c r="N69" s="62"/>
      <c r="O69" s="62"/>
      <c r="P69" s="62"/>
    </row>
    <row r="70" spans="1:16" ht="15" customHeight="1" x14ac:dyDescent="0.2">
      <c r="A70" s="43" t="s">
        <v>980</v>
      </c>
      <c r="B70" s="93">
        <v>851</v>
      </c>
      <c r="C70" s="54">
        <v>1014573170075</v>
      </c>
      <c r="D70" s="55"/>
      <c r="E70" s="93"/>
      <c r="F70" s="54" t="s">
        <v>1297</v>
      </c>
      <c r="G70" s="55" t="s">
        <v>980</v>
      </c>
      <c r="H70" s="182">
        <v>2</v>
      </c>
      <c r="I70" s="59">
        <v>0.58699999999999997</v>
      </c>
      <c r="J70" s="60">
        <v>22369.39</v>
      </c>
      <c r="K70" s="60">
        <v>3.39</v>
      </c>
      <c r="L70" s="60">
        <v>3.39</v>
      </c>
      <c r="M70" s="61"/>
      <c r="N70" s="62"/>
      <c r="O70" s="62"/>
      <c r="P70" s="62"/>
    </row>
    <row r="71" spans="1:16" ht="15" customHeight="1" x14ac:dyDescent="0.2">
      <c r="A71" s="43" t="s">
        <v>981</v>
      </c>
      <c r="B71" s="93">
        <v>852</v>
      </c>
      <c r="C71" s="54">
        <v>1014573010682</v>
      </c>
      <c r="D71" s="55" t="s">
        <v>981</v>
      </c>
      <c r="E71" s="93">
        <v>725</v>
      </c>
      <c r="F71" s="54">
        <v>1023545944911</v>
      </c>
      <c r="G71" s="55" t="s">
        <v>981</v>
      </c>
      <c r="H71" s="182">
        <v>3</v>
      </c>
      <c r="I71" s="59">
        <v>0.85299999999999998</v>
      </c>
      <c r="J71" s="60">
        <v>66039.13</v>
      </c>
      <c r="K71" s="60">
        <v>2.95</v>
      </c>
      <c r="L71" s="60">
        <v>2.95</v>
      </c>
      <c r="M71" s="61"/>
      <c r="N71" s="62"/>
      <c r="O71" s="62"/>
      <c r="P71" s="62"/>
    </row>
    <row r="72" spans="1:16" ht="15" customHeight="1" x14ac:dyDescent="0.2">
      <c r="A72" s="43" t="s">
        <v>982</v>
      </c>
      <c r="B72" s="93">
        <v>853</v>
      </c>
      <c r="C72" s="54">
        <v>1014572632104</v>
      </c>
      <c r="D72" s="55" t="s">
        <v>982</v>
      </c>
      <c r="E72" s="93">
        <v>405</v>
      </c>
      <c r="F72" s="54">
        <v>1050000419837</v>
      </c>
      <c r="G72" s="55" t="s">
        <v>982</v>
      </c>
      <c r="H72" s="182">
        <v>3</v>
      </c>
      <c r="I72" s="59">
        <v>2.3E-2</v>
      </c>
      <c r="J72" s="60">
        <v>66354.16</v>
      </c>
      <c r="K72" s="60">
        <v>2.14</v>
      </c>
      <c r="L72" s="60">
        <v>2.14</v>
      </c>
      <c r="M72" s="61"/>
      <c r="N72" s="62"/>
      <c r="O72" s="62"/>
      <c r="P72" s="62"/>
    </row>
    <row r="73" spans="1:16" ht="15" customHeight="1" x14ac:dyDescent="0.2">
      <c r="A73" s="43" t="s">
        <v>983</v>
      </c>
      <c r="B73" s="93">
        <v>855</v>
      </c>
      <c r="C73" s="54">
        <v>1014572682017</v>
      </c>
      <c r="D73" s="55" t="s">
        <v>983</v>
      </c>
      <c r="E73" s="93">
        <v>727</v>
      </c>
      <c r="F73" s="54">
        <v>1023545944920</v>
      </c>
      <c r="G73" s="55" t="s">
        <v>983</v>
      </c>
      <c r="H73" s="182">
        <v>3</v>
      </c>
      <c r="I73" s="59">
        <v>2.0489999999999999</v>
      </c>
      <c r="J73" s="60">
        <v>65364.44</v>
      </c>
      <c r="K73" s="60">
        <v>4.5</v>
      </c>
      <c r="L73" s="60">
        <v>4.5</v>
      </c>
      <c r="M73" s="61"/>
      <c r="N73" s="62"/>
      <c r="O73" s="62"/>
      <c r="P73" s="62"/>
    </row>
    <row r="74" spans="1:16" ht="15" customHeight="1" x14ac:dyDescent="0.2">
      <c r="A74" s="43" t="s">
        <v>984</v>
      </c>
      <c r="B74" s="93">
        <v>854</v>
      </c>
      <c r="C74" s="54">
        <v>1023478597119</v>
      </c>
      <c r="D74" s="55" t="s">
        <v>984</v>
      </c>
      <c r="E74" s="93">
        <v>726</v>
      </c>
      <c r="F74" s="54">
        <v>1023545945056</v>
      </c>
      <c r="G74" s="55" t="s">
        <v>984</v>
      </c>
      <c r="H74" s="182">
        <v>3</v>
      </c>
      <c r="I74" s="59">
        <v>0.86699999999999999</v>
      </c>
      <c r="J74" s="60">
        <v>66354.16</v>
      </c>
      <c r="K74" s="60">
        <v>3.03</v>
      </c>
      <c r="L74" s="60">
        <v>3.03</v>
      </c>
      <c r="M74" s="61"/>
      <c r="N74" s="62"/>
      <c r="O74" s="62"/>
      <c r="P74" s="62"/>
    </row>
    <row r="75" spans="1:16" ht="15" customHeight="1" x14ac:dyDescent="0.2">
      <c r="A75" s="43" t="s">
        <v>985</v>
      </c>
      <c r="B75" s="93">
        <v>856</v>
      </c>
      <c r="C75" s="54">
        <v>1014572602660</v>
      </c>
      <c r="D75" s="55" t="s">
        <v>985</v>
      </c>
      <c r="E75" s="93">
        <v>728</v>
      </c>
      <c r="F75" s="54">
        <v>1023545944930</v>
      </c>
      <c r="G75" s="55" t="s">
        <v>985</v>
      </c>
      <c r="H75" s="182">
        <v>3</v>
      </c>
      <c r="I75" s="59">
        <v>0</v>
      </c>
      <c r="J75" s="60">
        <v>67433.16</v>
      </c>
      <c r="K75" s="60">
        <v>3.18</v>
      </c>
      <c r="L75" s="60">
        <v>3.18</v>
      </c>
      <c r="M75" s="61"/>
      <c r="N75" s="62"/>
      <c r="O75" s="62"/>
      <c r="P75" s="62"/>
    </row>
    <row r="76" spans="1:16" ht="15" customHeight="1" x14ac:dyDescent="0.2">
      <c r="A76" s="43" t="s">
        <v>986</v>
      </c>
      <c r="B76" s="93">
        <v>857</v>
      </c>
      <c r="C76" s="54">
        <v>1014572719730</v>
      </c>
      <c r="D76" s="44" t="s">
        <v>986</v>
      </c>
      <c r="E76" s="93">
        <v>729</v>
      </c>
      <c r="F76" s="54">
        <v>1023545947968</v>
      </c>
      <c r="G76" s="55" t="s">
        <v>986</v>
      </c>
      <c r="H76" s="182">
        <v>2</v>
      </c>
      <c r="I76" s="59">
        <v>0.51300000000000001</v>
      </c>
      <c r="J76" s="60">
        <v>28741.73</v>
      </c>
      <c r="K76" s="60">
        <v>3.44</v>
      </c>
      <c r="L76" s="60">
        <v>3.44</v>
      </c>
      <c r="M76" s="61"/>
      <c r="N76" s="62"/>
      <c r="O76" s="62"/>
      <c r="P76" s="62"/>
    </row>
    <row r="77" spans="1:16" ht="15" customHeight="1" x14ac:dyDescent="0.2">
      <c r="A77" s="43" t="s">
        <v>987</v>
      </c>
      <c r="B77" s="93">
        <v>859</v>
      </c>
      <c r="C77" s="54">
        <v>1014573142245</v>
      </c>
      <c r="D77" s="44"/>
      <c r="E77" s="93"/>
      <c r="F77" s="54" t="s">
        <v>1297</v>
      </c>
      <c r="G77" s="55" t="s">
        <v>987</v>
      </c>
      <c r="H77" s="182">
        <v>4</v>
      </c>
      <c r="I77" s="59">
        <v>2E-3</v>
      </c>
      <c r="J77" s="60">
        <v>88400.68</v>
      </c>
      <c r="K77" s="60">
        <v>2.5099999999999998</v>
      </c>
      <c r="L77" s="60">
        <v>2.5099999999999998</v>
      </c>
      <c r="M77" s="61"/>
      <c r="N77" s="62"/>
      <c r="O77" s="62"/>
      <c r="P77" s="62"/>
    </row>
    <row r="78" spans="1:16" ht="15" customHeight="1" x14ac:dyDescent="0.2">
      <c r="A78" s="43" t="s">
        <v>988</v>
      </c>
      <c r="B78" s="93">
        <v>860</v>
      </c>
      <c r="C78" s="54">
        <v>1014573113954</v>
      </c>
      <c r="D78" s="44"/>
      <c r="E78" s="93"/>
      <c r="F78" s="54" t="s">
        <v>1297</v>
      </c>
      <c r="G78" s="55" t="s">
        <v>988</v>
      </c>
      <c r="H78" s="182">
        <v>2</v>
      </c>
      <c r="I78" s="59">
        <v>0</v>
      </c>
      <c r="J78" s="60">
        <v>21874.53</v>
      </c>
      <c r="K78" s="60">
        <v>3</v>
      </c>
      <c r="L78" s="60">
        <v>3</v>
      </c>
      <c r="M78" s="61"/>
      <c r="N78" s="62"/>
      <c r="O78" s="62"/>
      <c r="P78" s="62"/>
    </row>
    <row r="79" spans="1:16" ht="15" customHeight="1" x14ac:dyDescent="0.2">
      <c r="A79" s="43" t="s">
        <v>989</v>
      </c>
      <c r="B79" s="93">
        <v>861</v>
      </c>
      <c r="C79" s="54">
        <v>1014572501466</v>
      </c>
      <c r="D79" s="44"/>
      <c r="E79" s="93"/>
      <c r="F79" s="54" t="s">
        <v>1297</v>
      </c>
      <c r="G79" s="55" t="s">
        <v>989</v>
      </c>
      <c r="H79" s="182">
        <v>3</v>
      </c>
      <c r="I79" s="59">
        <v>1.45</v>
      </c>
      <c r="J79" s="60">
        <v>66354.16</v>
      </c>
      <c r="K79" s="60">
        <v>4.29</v>
      </c>
      <c r="L79" s="60">
        <v>4.29</v>
      </c>
      <c r="M79" s="61"/>
      <c r="N79" s="62"/>
      <c r="O79" s="62"/>
      <c r="P79" s="62"/>
    </row>
    <row r="80" spans="1:16" ht="30" customHeight="1" x14ac:dyDescent="0.2">
      <c r="A80" s="43" t="s">
        <v>990</v>
      </c>
      <c r="B80" s="93">
        <v>486</v>
      </c>
      <c r="C80" s="54" t="s">
        <v>1326</v>
      </c>
      <c r="D80" s="44"/>
      <c r="E80" s="93"/>
      <c r="F80" s="54"/>
      <c r="G80" s="55" t="s">
        <v>990</v>
      </c>
      <c r="H80" s="182">
        <v>2</v>
      </c>
      <c r="I80" s="59">
        <v>5.0839999999999996</v>
      </c>
      <c r="J80" s="60">
        <v>15444.41</v>
      </c>
      <c r="K80" s="60">
        <v>1.34</v>
      </c>
      <c r="L80" s="60">
        <v>1.34</v>
      </c>
      <c r="M80" s="61"/>
      <c r="N80" s="62"/>
      <c r="O80" s="62"/>
      <c r="P80" s="62"/>
    </row>
    <row r="81" spans="1:16" ht="30" customHeight="1" x14ac:dyDescent="0.2">
      <c r="A81" s="43" t="s">
        <v>991</v>
      </c>
      <c r="B81" s="93">
        <v>487</v>
      </c>
      <c r="C81" s="54" t="s">
        <v>1327</v>
      </c>
      <c r="D81" s="55"/>
      <c r="E81" s="93"/>
      <c r="F81" s="54" t="s">
        <v>1297</v>
      </c>
      <c r="G81" s="55" t="s">
        <v>991</v>
      </c>
      <c r="H81" s="182">
        <v>4</v>
      </c>
      <c r="I81" s="59">
        <v>2.9380000000000002</v>
      </c>
      <c r="J81" s="60">
        <v>81639.86</v>
      </c>
      <c r="K81" s="60">
        <v>1.88</v>
      </c>
      <c r="L81" s="60">
        <v>1.88</v>
      </c>
      <c r="M81" s="61"/>
      <c r="N81" s="62"/>
      <c r="O81" s="62"/>
      <c r="P81" s="62"/>
    </row>
    <row r="82" spans="1:16" ht="30" customHeight="1" x14ac:dyDescent="0.2">
      <c r="A82" s="43" t="s">
        <v>992</v>
      </c>
      <c r="B82" s="93">
        <v>831</v>
      </c>
      <c r="C82" s="54" t="s">
        <v>1328</v>
      </c>
      <c r="D82" s="44" t="s">
        <v>992</v>
      </c>
      <c r="E82" s="93">
        <v>434</v>
      </c>
      <c r="F82" s="54" t="s">
        <v>1329</v>
      </c>
      <c r="G82" s="55" t="s">
        <v>992</v>
      </c>
      <c r="H82" s="182">
        <v>4</v>
      </c>
      <c r="I82" s="59">
        <v>0</v>
      </c>
      <c r="J82" s="60">
        <v>73082.92</v>
      </c>
      <c r="K82" s="60">
        <v>1.47</v>
      </c>
      <c r="L82" s="60">
        <v>1.47</v>
      </c>
      <c r="M82" s="61">
        <v>0</v>
      </c>
      <c r="N82" s="62">
        <v>1447.85</v>
      </c>
      <c r="O82" s="62">
        <v>0.05</v>
      </c>
      <c r="P82" s="62">
        <v>0.05</v>
      </c>
    </row>
    <row r="83" spans="1:16" ht="15" customHeight="1" x14ac:dyDescent="0.2">
      <c r="A83" s="43" t="s">
        <v>993</v>
      </c>
      <c r="B83" s="93">
        <v>832</v>
      </c>
      <c r="C83" s="54">
        <v>1014569523654</v>
      </c>
      <c r="D83" s="44"/>
      <c r="E83" s="93"/>
      <c r="F83" s="54" t="s">
        <v>1297</v>
      </c>
      <c r="G83" s="55" t="s">
        <v>993</v>
      </c>
      <c r="H83" s="182">
        <v>2</v>
      </c>
      <c r="I83" s="59">
        <v>0</v>
      </c>
      <c r="J83" s="60">
        <v>16986.77</v>
      </c>
      <c r="K83" s="60">
        <v>1.41</v>
      </c>
      <c r="L83" s="60">
        <v>1.41</v>
      </c>
      <c r="M83" s="61"/>
      <c r="N83" s="62"/>
      <c r="O83" s="62"/>
      <c r="P83" s="62"/>
    </row>
    <row r="84" spans="1:16" ht="30" customHeight="1" x14ac:dyDescent="0.2">
      <c r="A84" s="43" t="s">
        <v>994</v>
      </c>
      <c r="B84" s="93">
        <v>488</v>
      </c>
      <c r="C84" s="54" t="s">
        <v>1330</v>
      </c>
      <c r="D84" s="44"/>
      <c r="E84" s="93"/>
      <c r="F84" s="54" t="s">
        <v>1297</v>
      </c>
      <c r="G84" s="55" t="s">
        <v>994</v>
      </c>
      <c r="H84" s="182">
        <v>1</v>
      </c>
      <c r="I84" s="59">
        <v>4.4619999999999997</v>
      </c>
      <c r="J84" s="60">
        <v>5053.47</v>
      </c>
      <c r="K84" s="60">
        <v>6.2</v>
      </c>
      <c r="L84" s="60">
        <v>6.2</v>
      </c>
      <c r="M84" s="61"/>
      <c r="N84" s="62"/>
      <c r="O84" s="62"/>
      <c r="P84" s="62"/>
    </row>
    <row r="85" spans="1:16" ht="30" customHeight="1" x14ac:dyDescent="0.2">
      <c r="A85" s="43" t="s">
        <v>995</v>
      </c>
      <c r="B85" s="93">
        <v>489</v>
      </c>
      <c r="C85" s="54" t="s">
        <v>1331</v>
      </c>
      <c r="D85" s="44"/>
      <c r="E85" s="93"/>
      <c r="F85" s="54" t="s">
        <v>1297</v>
      </c>
      <c r="G85" s="55" t="s">
        <v>995</v>
      </c>
      <c r="H85" s="182">
        <v>1</v>
      </c>
      <c r="I85" s="59">
        <v>2.6949999999999998</v>
      </c>
      <c r="J85" s="60">
        <v>5053.47</v>
      </c>
      <c r="K85" s="60">
        <v>2.41</v>
      </c>
      <c r="L85" s="60">
        <v>2.41</v>
      </c>
      <c r="M85" s="61"/>
      <c r="N85" s="62"/>
      <c r="O85" s="62"/>
      <c r="P85" s="62"/>
    </row>
    <row r="86" spans="1:16" ht="15" customHeight="1" x14ac:dyDescent="0.2">
      <c r="A86" s="43" t="s">
        <v>996</v>
      </c>
      <c r="B86" s="93"/>
      <c r="C86" s="54" t="s">
        <v>1240</v>
      </c>
      <c r="D86" s="44"/>
      <c r="E86" s="93"/>
      <c r="F86" s="54"/>
      <c r="G86" s="55" t="s">
        <v>996</v>
      </c>
      <c r="H86" s="182">
        <v>4</v>
      </c>
      <c r="I86" s="59">
        <v>0</v>
      </c>
      <c r="J86" s="60">
        <v>63923.98</v>
      </c>
      <c r="K86" s="60">
        <v>1.02</v>
      </c>
      <c r="L86" s="60">
        <v>1.02</v>
      </c>
      <c r="M86" s="61"/>
      <c r="N86" s="62"/>
      <c r="O86" s="62"/>
      <c r="P86" s="62"/>
    </row>
    <row r="87" spans="1:16" ht="15" customHeight="1" x14ac:dyDescent="0.2">
      <c r="A87" s="43" t="s">
        <v>997</v>
      </c>
      <c r="B87" s="93">
        <v>490</v>
      </c>
      <c r="C87" s="54">
        <v>1014572722956</v>
      </c>
      <c r="D87" s="44"/>
      <c r="E87" s="93"/>
      <c r="F87" s="54" t="s">
        <v>1297</v>
      </c>
      <c r="G87" s="55" t="s">
        <v>997</v>
      </c>
      <c r="H87" s="182">
        <v>1</v>
      </c>
      <c r="I87" s="59">
        <v>2.9780000000000002</v>
      </c>
      <c r="J87" s="60">
        <v>13847.84</v>
      </c>
      <c r="K87" s="60">
        <v>3.1</v>
      </c>
      <c r="L87" s="60">
        <v>3.1</v>
      </c>
      <c r="M87" s="61"/>
      <c r="N87" s="62"/>
      <c r="O87" s="62"/>
      <c r="P87" s="62"/>
    </row>
    <row r="88" spans="1:16" ht="30" customHeight="1" x14ac:dyDescent="0.2">
      <c r="A88" s="43" t="s">
        <v>998</v>
      </c>
      <c r="B88" s="93">
        <v>483</v>
      </c>
      <c r="C88" s="54" t="s">
        <v>1332</v>
      </c>
      <c r="D88" s="44"/>
      <c r="E88" s="93"/>
      <c r="F88" s="54"/>
      <c r="G88" s="55" t="s">
        <v>998</v>
      </c>
      <c r="H88" s="182">
        <v>4</v>
      </c>
      <c r="I88" s="59">
        <v>0</v>
      </c>
      <c r="J88" s="60">
        <v>124421.48</v>
      </c>
      <c r="K88" s="60">
        <v>1.94</v>
      </c>
      <c r="L88" s="60">
        <v>1.94</v>
      </c>
      <c r="M88" s="61"/>
      <c r="N88" s="62"/>
      <c r="O88" s="62"/>
      <c r="P88" s="62"/>
    </row>
    <row r="89" spans="1:16" ht="15" customHeight="1" x14ac:dyDescent="0.2">
      <c r="A89" s="43" t="s">
        <v>999</v>
      </c>
      <c r="B89" s="93">
        <v>492</v>
      </c>
      <c r="C89" s="54">
        <v>1014712345991</v>
      </c>
      <c r="D89" s="44"/>
      <c r="E89" s="93"/>
      <c r="F89" s="54" t="s">
        <v>1297</v>
      </c>
      <c r="G89" s="55" t="s">
        <v>999</v>
      </c>
      <c r="H89" s="182">
        <v>1</v>
      </c>
      <c r="I89" s="59">
        <v>0.33600000000000002</v>
      </c>
      <c r="J89" s="60">
        <v>4834.92</v>
      </c>
      <c r="K89" s="60">
        <v>2.88</v>
      </c>
      <c r="L89" s="60">
        <v>2.88</v>
      </c>
      <c r="M89" s="61"/>
      <c r="N89" s="62"/>
      <c r="O89" s="62"/>
      <c r="P89" s="62"/>
    </row>
    <row r="90" spans="1:16" ht="15" customHeight="1" x14ac:dyDescent="0.2">
      <c r="A90" s="43" t="s">
        <v>1000</v>
      </c>
      <c r="B90" s="93">
        <v>493</v>
      </c>
      <c r="C90" s="54">
        <v>1014571768453</v>
      </c>
      <c r="D90" s="44"/>
      <c r="E90" s="93"/>
      <c r="F90" s="54" t="s">
        <v>1297</v>
      </c>
      <c r="G90" s="55" t="s">
        <v>1000</v>
      </c>
      <c r="H90" s="182">
        <v>1</v>
      </c>
      <c r="I90" s="59">
        <v>0.53300000000000003</v>
      </c>
      <c r="J90" s="60">
        <v>4834.92</v>
      </c>
      <c r="K90" s="60">
        <v>1.24</v>
      </c>
      <c r="L90" s="60">
        <v>1.24</v>
      </c>
      <c r="M90" s="61"/>
      <c r="N90" s="62"/>
      <c r="O90" s="62"/>
      <c r="P90" s="62"/>
    </row>
    <row r="91" spans="1:16" ht="15" customHeight="1" x14ac:dyDescent="0.2">
      <c r="A91" s="43" t="s">
        <v>1001</v>
      </c>
      <c r="B91" s="93">
        <v>494</v>
      </c>
      <c r="C91" s="54">
        <v>1014569969627</v>
      </c>
      <c r="D91" s="44"/>
      <c r="E91" s="93"/>
      <c r="F91" s="54" t="s">
        <v>1297</v>
      </c>
      <c r="G91" s="55" t="s">
        <v>1001</v>
      </c>
      <c r="H91" s="182">
        <v>1</v>
      </c>
      <c r="I91" s="59">
        <v>3.516</v>
      </c>
      <c r="J91" s="60">
        <v>5053.47</v>
      </c>
      <c r="K91" s="60">
        <v>3.92</v>
      </c>
      <c r="L91" s="60">
        <v>3.92</v>
      </c>
      <c r="M91" s="61"/>
      <c r="N91" s="62"/>
      <c r="O91" s="62"/>
      <c r="P91" s="62"/>
    </row>
    <row r="92" spans="1:16" ht="15" customHeight="1" x14ac:dyDescent="0.2">
      <c r="A92" s="43" t="s">
        <v>1002</v>
      </c>
      <c r="B92" s="93"/>
      <c r="C92" s="54" t="s">
        <v>1240</v>
      </c>
      <c r="D92" s="44"/>
      <c r="E92" s="93"/>
      <c r="F92" s="54" t="s">
        <v>1297</v>
      </c>
      <c r="G92" s="55" t="s">
        <v>1002</v>
      </c>
      <c r="H92" s="182">
        <v>3</v>
      </c>
      <c r="I92" s="59">
        <v>0.111</v>
      </c>
      <c r="J92" s="60">
        <v>52815.18</v>
      </c>
      <c r="K92" s="60">
        <v>2.2799999999999998</v>
      </c>
      <c r="L92" s="60">
        <v>2.2799999999999998</v>
      </c>
      <c r="M92" s="61"/>
      <c r="N92" s="62"/>
      <c r="O92" s="62"/>
      <c r="P92" s="62"/>
    </row>
    <row r="93" spans="1:16" ht="30" customHeight="1" x14ac:dyDescent="0.2">
      <c r="A93" s="43" t="s">
        <v>1003</v>
      </c>
      <c r="B93" s="93">
        <v>837</v>
      </c>
      <c r="C93" s="54" t="s">
        <v>1333</v>
      </c>
      <c r="D93" s="44"/>
      <c r="E93" s="93"/>
      <c r="F93" s="54" t="s">
        <v>1297</v>
      </c>
      <c r="G93" s="55" t="s">
        <v>1003</v>
      </c>
      <c r="H93" s="182">
        <v>4</v>
      </c>
      <c r="I93" s="59">
        <v>0.89500000000000002</v>
      </c>
      <c r="J93" s="60">
        <v>71466.52</v>
      </c>
      <c r="K93" s="60">
        <v>1.57</v>
      </c>
      <c r="L93" s="60">
        <v>1.57</v>
      </c>
      <c r="M93" s="61"/>
      <c r="N93" s="62"/>
      <c r="O93" s="62"/>
      <c r="P93" s="62"/>
    </row>
    <row r="94" spans="1:16" ht="42" customHeight="1" x14ac:dyDescent="0.2">
      <c r="A94" s="43" t="s">
        <v>1004</v>
      </c>
      <c r="B94" s="93">
        <v>802</v>
      </c>
      <c r="C94" s="54" t="s">
        <v>1334</v>
      </c>
      <c r="D94" s="44"/>
      <c r="E94" s="93"/>
      <c r="F94" s="54" t="s">
        <v>1297</v>
      </c>
      <c r="G94" s="55" t="s">
        <v>1004</v>
      </c>
      <c r="H94" s="182">
        <v>2</v>
      </c>
      <c r="I94" s="59">
        <v>0.503</v>
      </c>
      <c r="J94" s="60">
        <v>48271.63</v>
      </c>
      <c r="K94" s="60">
        <v>4.78</v>
      </c>
      <c r="L94" s="60">
        <v>4.78</v>
      </c>
      <c r="M94" s="61"/>
      <c r="N94" s="62"/>
      <c r="O94" s="62"/>
      <c r="P94" s="62"/>
    </row>
    <row r="95" spans="1:16" ht="66" customHeight="1" x14ac:dyDescent="0.2">
      <c r="A95" s="43" t="s">
        <v>1005</v>
      </c>
      <c r="B95" s="93">
        <v>801</v>
      </c>
      <c r="C95" s="54" t="s">
        <v>1335</v>
      </c>
      <c r="D95" s="44"/>
      <c r="E95" s="93"/>
      <c r="F95" s="54" t="s">
        <v>1297</v>
      </c>
      <c r="G95" s="55" t="s">
        <v>1005</v>
      </c>
      <c r="H95" s="182">
        <v>2</v>
      </c>
      <c r="I95" s="59">
        <v>0</v>
      </c>
      <c r="J95" s="60">
        <v>15007.33</v>
      </c>
      <c r="K95" s="60">
        <v>2.96</v>
      </c>
      <c r="L95" s="60">
        <v>2.96</v>
      </c>
      <c r="M95" s="61"/>
      <c r="N95" s="62"/>
      <c r="O95" s="62"/>
      <c r="P95" s="62"/>
    </row>
    <row r="96" spans="1:16" ht="15" customHeight="1" x14ac:dyDescent="0.2">
      <c r="A96" s="43" t="s">
        <v>1006</v>
      </c>
      <c r="B96" s="93"/>
      <c r="C96" s="54" t="s">
        <v>1353</v>
      </c>
      <c r="D96" s="55"/>
      <c r="E96" s="93"/>
      <c r="F96" s="54"/>
      <c r="G96" s="55" t="s">
        <v>1006</v>
      </c>
      <c r="H96" s="182">
        <v>4</v>
      </c>
      <c r="I96" s="59">
        <v>0</v>
      </c>
      <c r="J96" s="60">
        <v>70476.800000000003</v>
      </c>
      <c r="K96" s="60">
        <v>2.72</v>
      </c>
      <c r="L96" s="60">
        <v>2.72</v>
      </c>
      <c r="M96" s="61"/>
      <c r="N96" s="62"/>
      <c r="O96" s="62"/>
      <c r="P96" s="62"/>
    </row>
    <row r="97" spans="1:16" ht="42" customHeight="1" x14ac:dyDescent="0.2">
      <c r="A97" s="43" t="s">
        <v>1007</v>
      </c>
      <c r="B97" s="93">
        <v>833</v>
      </c>
      <c r="C97" s="54" t="s">
        <v>2929</v>
      </c>
      <c r="D97" s="43" t="s">
        <v>1007</v>
      </c>
      <c r="E97" s="93">
        <v>733</v>
      </c>
      <c r="F97" s="54" t="s">
        <v>1245</v>
      </c>
      <c r="G97" s="43" t="s">
        <v>1007</v>
      </c>
      <c r="H97" s="182">
        <v>4</v>
      </c>
      <c r="I97" s="59">
        <v>9.1999999999999998E-2</v>
      </c>
      <c r="J97" s="60">
        <v>74964.75</v>
      </c>
      <c r="K97" s="60">
        <v>2.63</v>
      </c>
      <c r="L97" s="60">
        <v>2.63</v>
      </c>
      <c r="M97" s="61">
        <v>0</v>
      </c>
      <c r="N97" s="62">
        <v>2917.17</v>
      </c>
      <c r="O97" s="62">
        <v>0.05</v>
      </c>
      <c r="P97" s="62">
        <v>0.05</v>
      </c>
    </row>
    <row r="98" spans="1:16" ht="144.94999999999999" customHeight="1" x14ac:dyDescent="0.2">
      <c r="A98" s="43" t="s">
        <v>2928</v>
      </c>
      <c r="B98" s="93">
        <v>833</v>
      </c>
      <c r="C98" s="54" t="s">
        <v>2930</v>
      </c>
      <c r="D98" s="43"/>
      <c r="E98" s="93"/>
      <c r="F98" s="54"/>
      <c r="G98" s="43" t="s">
        <v>2928</v>
      </c>
      <c r="H98" s="182"/>
      <c r="I98" s="59">
        <v>9.1999999999999998E-2</v>
      </c>
      <c r="J98" s="60">
        <v>0</v>
      </c>
      <c r="K98" s="60">
        <v>0</v>
      </c>
      <c r="L98" s="60">
        <v>0</v>
      </c>
      <c r="M98" s="61"/>
      <c r="N98" s="62"/>
      <c r="O98" s="62"/>
      <c r="P98" s="62"/>
    </row>
    <row r="99" spans="1:16" ht="30" customHeight="1" x14ac:dyDescent="0.2">
      <c r="A99" s="43" t="s">
        <v>1008</v>
      </c>
      <c r="B99" s="93">
        <v>495</v>
      </c>
      <c r="C99" s="54" t="s">
        <v>1336</v>
      </c>
      <c r="D99" s="44"/>
      <c r="E99" s="93"/>
      <c r="F99" s="54" t="s">
        <v>1297</v>
      </c>
      <c r="G99" s="55" t="s">
        <v>1008</v>
      </c>
      <c r="H99" s="182">
        <v>2</v>
      </c>
      <c r="I99" s="59">
        <v>1.246</v>
      </c>
      <c r="J99" s="60">
        <v>15444.41</v>
      </c>
      <c r="K99" s="60">
        <v>3.77</v>
      </c>
      <c r="L99" s="60">
        <v>3.77</v>
      </c>
      <c r="M99" s="61"/>
      <c r="N99" s="62"/>
      <c r="O99" s="62"/>
      <c r="P99" s="62"/>
    </row>
    <row r="100" spans="1:16" ht="30" customHeight="1" x14ac:dyDescent="0.2">
      <c r="A100" s="43" t="s">
        <v>1009</v>
      </c>
      <c r="B100" s="93">
        <v>496</v>
      </c>
      <c r="C100" s="54" t="s">
        <v>1337</v>
      </c>
      <c r="D100" s="44"/>
      <c r="E100" s="93"/>
      <c r="F100" s="54" t="s">
        <v>1297</v>
      </c>
      <c r="G100" s="55" t="s">
        <v>1009</v>
      </c>
      <c r="H100" s="182">
        <v>2</v>
      </c>
      <c r="I100" s="59">
        <v>1.4950000000000001</v>
      </c>
      <c r="J100" s="60">
        <v>26773.74</v>
      </c>
      <c r="K100" s="60">
        <v>1.17</v>
      </c>
      <c r="L100" s="60">
        <v>1.17</v>
      </c>
      <c r="M100" s="61"/>
      <c r="N100" s="62"/>
      <c r="O100" s="62"/>
      <c r="P100" s="62"/>
    </row>
    <row r="101" spans="1:16" ht="42" customHeight="1" x14ac:dyDescent="0.2">
      <c r="A101" s="43" t="s">
        <v>1010</v>
      </c>
      <c r="B101" s="93">
        <v>497</v>
      </c>
      <c r="C101" s="54" t="s">
        <v>1338</v>
      </c>
      <c r="D101" s="44"/>
      <c r="E101" s="93"/>
      <c r="F101" s="54" t="s">
        <v>1297</v>
      </c>
      <c r="G101" s="55" t="s">
        <v>1010</v>
      </c>
      <c r="H101" s="182">
        <v>3</v>
      </c>
      <c r="I101" s="59">
        <v>0.53200000000000003</v>
      </c>
      <c r="J101" s="60">
        <v>62010.26</v>
      </c>
      <c r="K101" s="60">
        <v>2.9</v>
      </c>
      <c r="L101" s="60">
        <v>2.9</v>
      </c>
      <c r="M101" s="61"/>
      <c r="N101" s="62"/>
      <c r="O101" s="62"/>
      <c r="P101" s="62"/>
    </row>
    <row r="102" spans="1:16" ht="30" customHeight="1" x14ac:dyDescent="0.2">
      <c r="A102" s="43" t="s">
        <v>1011</v>
      </c>
      <c r="B102" s="93">
        <v>498</v>
      </c>
      <c r="C102" s="54" t="s">
        <v>1339</v>
      </c>
      <c r="D102" s="44"/>
      <c r="E102" s="93"/>
      <c r="F102" s="54" t="s">
        <v>1297</v>
      </c>
      <c r="G102" s="55" t="s">
        <v>1011</v>
      </c>
      <c r="H102" s="182">
        <v>2</v>
      </c>
      <c r="I102" s="59">
        <v>3.22</v>
      </c>
      <c r="J102" s="60">
        <v>25646.58</v>
      </c>
      <c r="K102" s="60">
        <v>3.81</v>
      </c>
      <c r="L102" s="60">
        <v>3.81</v>
      </c>
      <c r="M102" s="61"/>
      <c r="N102" s="62"/>
      <c r="O102" s="62"/>
      <c r="P102" s="62"/>
    </row>
    <row r="103" spans="1:16" ht="15" customHeight="1" x14ac:dyDescent="0.2">
      <c r="A103" s="43" t="s">
        <v>1012</v>
      </c>
      <c r="B103" s="93">
        <v>819</v>
      </c>
      <c r="C103" s="54">
        <v>1030027859903</v>
      </c>
      <c r="D103" s="44"/>
      <c r="E103" s="93"/>
      <c r="F103" s="54" t="s">
        <v>1297</v>
      </c>
      <c r="G103" s="55" t="s">
        <v>1012</v>
      </c>
      <c r="H103" s="182">
        <v>2</v>
      </c>
      <c r="I103" s="59">
        <v>0.94599999999999995</v>
      </c>
      <c r="J103" s="60">
        <v>17385.759999999998</v>
      </c>
      <c r="K103" s="60">
        <v>2.74</v>
      </c>
      <c r="L103" s="60">
        <v>2.74</v>
      </c>
      <c r="M103" s="61"/>
      <c r="N103" s="62"/>
      <c r="O103" s="62"/>
      <c r="P103" s="62"/>
    </row>
    <row r="104" spans="1:16" ht="54.95" customHeight="1" x14ac:dyDescent="0.2">
      <c r="A104" s="43" t="s">
        <v>1013</v>
      </c>
      <c r="B104" s="93">
        <v>863</v>
      </c>
      <c r="C104" s="54" t="s">
        <v>1340</v>
      </c>
      <c r="D104" s="44"/>
      <c r="E104" s="93"/>
      <c r="F104" s="54" t="s">
        <v>1297</v>
      </c>
      <c r="G104" s="55" t="s">
        <v>1013</v>
      </c>
      <c r="H104" s="182">
        <v>4</v>
      </c>
      <c r="I104" s="59">
        <v>0.97199999999999998</v>
      </c>
      <c r="J104" s="60">
        <v>114099.9</v>
      </c>
      <c r="K104" s="60">
        <v>3.01</v>
      </c>
      <c r="L104" s="60">
        <v>3.01</v>
      </c>
      <c r="M104" s="61"/>
      <c r="N104" s="62"/>
      <c r="O104" s="62"/>
      <c r="P104" s="62"/>
    </row>
    <row r="105" spans="1:16" ht="15" customHeight="1" x14ac:dyDescent="0.2">
      <c r="A105" s="43" t="s">
        <v>1014</v>
      </c>
      <c r="B105" s="93">
        <v>869</v>
      </c>
      <c r="C105" s="54">
        <v>1050000574685</v>
      </c>
      <c r="D105" s="55" t="s">
        <v>1014</v>
      </c>
      <c r="E105" s="93">
        <v>744</v>
      </c>
      <c r="F105" s="54">
        <v>1050000574694</v>
      </c>
      <c r="G105" s="55" t="s">
        <v>1014</v>
      </c>
      <c r="H105" s="182"/>
      <c r="I105" s="59">
        <v>3.6030000000000002</v>
      </c>
      <c r="J105" s="60">
        <v>19.100000000000001</v>
      </c>
      <c r="K105" s="60">
        <v>3.09</v>
      </c>
      <c r="L105" s="60">
        <v>3.09</v>
      </c>
      <c r="M105" s="61">
        <v>0</v>
      </c>
      <c r="N105" s="62">
        <v>3819.78</v>
      </c>
      <c r="O105" s="62">
        <v>0.05</v>
      </c>
      <c r="P105" s="62">
        <v>0.05</v>
      </c>
    </row>
    <row r="106" spans="1:16" ht="15" customHeight="1" x14ac:dyDescent="0.2">
      <c r="A106" s="43" t="s">
        <v>1015</v>
      </c>
      <c r="B106" s="93">
        <v>499</v>
      </c>
      <c r="C106" s="54">
        <v>1014569292506</v>
      </c>
      <c r="D106" s="55" t="s">
        <v>1015</v>
      </c>
      <c r="E106" s="93">
        <v>435</v>
      </c>
      <c r="F106" s="54">
        <v>1030054607984</v>
      </c>
      <c r="G106" s="55" t="s">
        <v>1015</v>
      </c>
      <c r="H106" s="182">
        <v>1</v>
      </c>
      <c r="I106" s="59">
        <v>5.5570000000000004</v>
      </c>
      <c r="J106" s="60">
        <v>4637.1899999999996</v>
      </c>
      <c r="K106" s="60">
        <v>4.63</v>
      </c>
      <c r="L106" s="60">
        <v>4.63</v>
      </c>
      <c r="M106" s="61">
        <v>-5.4009999999999998</v>
      </c>
      <c r="N106" s="62">
        <v>416.27</v>
      </c>
      <c r="O106" s="62">
        <v>0.05</v>
      </c>
      <c r="P106" s="62">
        <v>0.05</v>
      </c>
    </row>
    <row r="107" spans="1:16" ht="15" customHeight="1" x14ac:dyDescent="0.2">
      <c r="A107" s="43" t="s">
        <v>1016</v>
      </c>
      <c r="B107" s="93">
        <v>300</v>
      </c>
      <c r="C107" s="54">
        <v>1050001015545</v>
      </c>
      <c r="D107" s="55" t="s">
        <v>1016</v>
      </c>
      <c r="E107" s="93">
        <v>651</v>
      </c>
      <c r="F107" s="54">
        <v>1050000998050</v>
      </c>
      <c r="G107" s="55" t="s">
        <v>1016</v>
      </c>
      <c r="H107" s="182">
        <v>1</v>
      </c>
      <c r="I107" s="59">
        <v>0</v>
      </c>
      <c r="J107" s="60">
        <v>4616.38</v>
      </c>
      <c r="K107" s="60">
        <v>0</v>
      </c>
      <c r="L107" s="60">
        <v>0</v>
      </c>
      <c r="M107" s="61">
        <v>0</v>
      </c>
      <c r="N107" s="62">
        <v>3750.05</v>
      </c>
      <c r="O107" s="62">
        <v>0.05</v>
      </c>
      <c r="P107" s="62">
        <v>0.05</v>
      </c>
    </row>
    <row r="108" spans="1:16" ht="15" customHeight="1" x14ac:dyDescent="0.2">
      <c r="A108" s="43" t="s">
        <v>1017</v>
      </c>
      <c r="B108" s="93">
        <v>564</v>
      </c>
      <c r="C108" s="54">
        <v>1050001061597</v>
      </c>
      <c r="D108" s="55" t="s">
        <v>1017</v>
      </c>
      <c r="E108" s="93">
        <v>666</v>
      </c>
      <c r="F108" s="54">
        <v>1050001061602</v>
      </c>
      <c r="G108" s="55" t="s">
        <v>1017</v>
      </c>
      <c r="H108" s="182"/>
      <c r="I108" s="59">
        <v>0</v>
      </c>
      <c r="J108" s="60">
        <v>3.86</v>
      </c>
      <c r="K108" s="60">
        <v>3.19</v>
      </c>
      <c r="L108" s="60">
        <v>3.19</v>
      </c>
      <c r="M108" s="61">
        <v>0</v>
      </c>
      <c r="N108" s="62">
        <v>1544.52</v>
      </c>
      <c r="O108" s="62">
        <v>0.05</v>
      </c>
      <c r="P108" s="62">
        <v>0.05</v>
      </c>
    </row>
    <row r="109" spans="1:16" s="199" customFormat="1" ht="15" customHeight="1" x14ac:dyDescent="0.2">
      <c r="A109" s="43" t="s">
        <v>1018</v>
      </c>
      <c r="B109" s="93"/>
      <c r="C109" s="54" t="s">
        <v>1262</v>
      </c>
      <c r="D109" s="210" t="s">
        <v>1018</v>
      </c>
      <c r="E109" s="93"/>
      <c r="F109" s="54" t="s">
        <v>1282</v>
      </c>
      <c r="G109" s="55" t="s">
        <v>1018</v>
      </c>
      <c r="H109" s="182"/>
      <c r="I109" s="59">
        <v>0</v>
      </c>
      <c r="J109" s="60">
        <v>1822.74</v>
      </c>
      <c r="K109" s="60">
        <v>1.3</v>
      </c>
      <c r="L109" s="60">
        <v>1.3</v>
      </c>
      <c r="M109" s="61">
        <v>0</v>
      </c>
      <c r="N109" s="62">
        <v>1822.74</v>
      </c>
      <c r="O109" s="62">
        <v>0.05</v>
      </c>
      <c r="P109" s="62">
        <v>0.05</v>
      </c>
    </row>
    <row r="110" spans="1:16" ht="15" customHeight="1" x14ac:dyDescent="0.2">
      <c r="A110" s="43" t="s">
        <v>1019</v>
      </c>
      <c r="B110" s="93">
        <v>503</v>
      </c>
      <c r="C110" s="54">
        <v>1050000834246</v>
      </c>
      <c r="D110" s="55" t="s">
        <v>1019</v>
      </c>
      <c r="E110" s="93">
        <v>780</v>
      </c>
      <c r="F110" s="54">
        <v>1050000834255</v>
      </c>
      <c r="G110" s="55" t="s">
        <v>1019</v>
      </c>
      <c r="H110" s="182"/>
      <c r="I110" s="59">
        <v>5.093</v>
      </c>
      <c r="J110" s="60">
        <v>5.01</v>
      </c>
      <c r="K110" s="60">
        <v>2.91</v>
      </c>
      <c r="L110" s="60">
        <v>2.91</v>
      </c>
      <c r="M110" s="61">
        <v>0</v>
      </c>
      <c r="N110" s="62">
        <v>1001.58</v>
      </c>
      <c r="O110" s="62">
        <v>0.05</v>
      </c>
      <c r="P110" s="62">
        <v>0.05</v>
      </c>
    </row>
    <row r="111" spans="1:16" ht="15" customHeight="1" x14ac:dyDescent="0.2">
      <c r="A111" s="43" t="s">
        <v>1020</v>
      </c>
      <c r="B111" s="93">
        <v>504</v>
      </c>
      <c r="C111" s="54">
        <v>1050000774970</v>
      </c>
      <c r="D111" s="55" t="s">
        <v>1020</v>
      </c>
      <c r="E111" s="93">
        <v>781</v>
      </c>
      <c r="F111" s="54">
        <v>1050000774980</v>
      </c>
      <c r="G111" s="55" t="s">
        <v>1020</v>
      </c>
      <c r="H111" s="182"/>
      <c r="I111" s="59">
        <v>0.113</v>
      </c>
      <c r="J111" s="60">
        <v>30.06</v>
      </c>
      <c r="K111" s="60">
        <v>1.83</v>
      </c>
      <c r="L111" s="60">
        <v>1.83</v>
      </c>
      <c r="M111" s="61">
        <v>0</v>
      </c>
      <c r="N111" s="62">
        <v>1954.07</v>
      </c>
      <c r="O111" s="62">
        <v>0.05</v>
      </c>
      <c r="P111" s="62">
        <v>0.05</v>
      </c>
    </row>
    <row r="112" spans="1:16" ht="15" customHeight="1" x14ac:dyDescent="0.2">
      <c r="A112" s="43" t="s">
        <v>1021</v>
      </c>
      <c r="B112" s="93">
        <v>301</v>
      </c>
      <c r="C112" s="54">
        <v>1050000774999</v>
      </c>
      <c r="D112" s="55" t="s">
        <v>1021</v>
      </c>
      <c r="E112" s="93">
        <v>652</v>
      </c>
      <c r="F112" s="54">
        <v>1050000775005</v>
      </c>
      <c r="G112" s="55" t="s">
        <v>1021</v>
      </c>
      <c r="H112" s="182"/>
      <c r="I112" s="59">
        <v>0</v>
      </c>
      <c r="J112" s="60">
        <v>74.98</v>
      </c>
      <c r="K112" s="60">
        <v>2.96</v>
      </c>
      <c r="L112" s="60">
        <v>2.96</v>
      </c>
      <c r="M112" s="61">
        <v>0</v>
      </c>
      <c r="N112" s="62">
        <v>3149.37</v>
      </c>
      <c r="O112" s="62">
        <v>0.05</v>
      </c>
      <c r="P112" s="62">
        <v>0.05</v>
      </c>
    </row>
    <row r="113" spans="1:16" ht="15" customHeight="1" x14ac:dyDescent="0.2">
      <c r="A113" s="43" t="s">
        <v>1022</v>
      </c>
      <c r="B113" s="93">
        <v>870</v>
      </c>
      <c r="C113" s="54">
        <v>1050000579318</v>
      </c>
      <c r="D113" s="55" t="s">
        <v>1022</v>
      </c>
      <c r="E113" s="93">
        <v>745</v>
      </c>
      <c r="F113" s="54">
        <v>1050000579327</v>
      </c>
      <c r="G113" s="55" t="s">
        <v>1022</v>
      </c>
      <c r="H113" s="182"/>
      <c r="I113" s="59">
        <v>0.96799999999999997</v>
      </c>
      <c r="J113" s="60">
        <v>70.69</v>
      </c>
      <c r="K113" s="60">
        <v>4.95</v>
      </c>
      <c r="L113" s="60">
        <v>4.95</v>
      </c>
      <c r="M113" s="61">
        <v>0</v>
      </c>
      <c r="N113" s="62">
        <v>5655.33</v>
      </c>
      <c r="O113" s="62">
        <v>0.05</v>
      </c>
      <c r="P113" s="62">
        <v>0.05</v>
      </c>
    </row>
    <row r="114" spans="1:16" ht="15" customHeight="1" x14ac:dyDescent="0.2">
      <c r="A114" s="43" t="s">
        <v>1023</v>
      </c>
      <c r="B114" s="93">
        <v>505</v>
      </c>
      <c r="C114" s="54">
        <v>1050000669548</v>
      </c>
      <c r="D114" s="55" t="s">
        <v>1023</v>
      </c>
      <c r="E114" s="93">
        <v>782</v>
      </c>
      <c r="F114" s="54">
        <v>1050000669539</v>
      </c>
      <c r="G114" s="55" t="s">
        <v>1023</v>
      </c>
      <c r="H114" s="182"/>
      <c r="I114" s="59">
        <v>0.219</v>
      </c>
      <c r="J114" s="60">
        <v>44.54</v>
      </c>
      <c r="K114" s="60">
        <v>1.32</v>
      </c>
      <c r="L114" s="60">
        <v>1.32</v>
      </c>
      <c r="M114" s="61">
        <v>0</v>
      </c>
      <c r="N114" s="62">
        <v>1660.26</v>
      </c>
      <c r="O114" s="62">
        <v>0.05</v>
      </c>
      <c r="P114" s="62">
        <v>0.05</v>
      </c>
    </row>
    <row r="115" spans="1:16" ht="15" customHeight="1" x14ac:dyDescent="0.2">
      <c r="A115" s="43" t="s">
        <v>1024</v>
      </c>
      <c r="B115" s="93">
        <v>827</v>
      </c>
      <c r="C115" s="54">
        <v>1030082700415</v>
      </c>
      <c r="D115" s="55" t="s">
        <v>1024</v>
      </c>
      <c r="E115" s="93">
        <v>734</v>
      </c>
      <c r="F115" s="54">
        <v>1030082700647</v>
      </c>
      <c r="G115" s="55" t="s">
        <v>1024</v>
      </c>
      <c r="H115" s="182"/>
      <c r="I115" s="59">
        <v>2.9460000000000002</v>
      </c>
      <c r="J115" s="60">
        <v>68.31</v>
      </c>
      <c r="K115" s="60">
        <v>2.5499999999999998</v>
      </c>
      <c r="L115" s="60">
        <v>2.5499999999999998</v>
      </c>
      <c r="M115" s="61">
        <v>0</v>
      </c>
      <c r="N115" s="62">
        <v>8641.5</v>
      </c>
      <c r="O115" s="62">
        <v>0.05</v>
      </c>
      <c r="P115" s="62">
        <v>0.05</v>
      </c>
    </row>
    <row r="116" spans="1:16" ht="15" customHeight="1" x14ac:dyDescent="0.2">
      <c r="A116" s="43" t="s">
        <v>1025</v>
      </c>
      <c r="B116" s="93">
        <v>302</v>
      </c>
      <c r="C116" s="54">
        <v>1050001382522</v>
      </c>
      <c r="D116" s="55" t="s">
        <v>1025</v>
      </c>
      <c r="E116" s="93">
        <v>436</v>
      </c>
      <c r="F116" s="54">
        <v>1050001382531</v>
      </c>
      <c r="G116" s="55" t="s">
        <v>1025</v>
      </c>
      <c r="H116" s="182"/>
      <c r="I116" s="59">
        <v>0.34599999999999997</v>
      </c>
      <c r="J116" s="60">
        <v>2043.23</v>
      </c>
      <c r="K116" s="60">
        <v>1.1299999999999999</v>
      </c>
      <c r="L116" s="60">
        <v>1.1299999999999999</v>
      </c>
      <c r="M116" s="61">
        <v>-0.34300000000000003</v>
      </c>
      <c r="N116" s="62">
        <v>2042.84</v>
      </c>
      <c r="O116" s="62">
        <v>0.05</v>
      </c>
      <c r="P116" s="62">
        <v>0.05</v>
      </c>
    </row>
    <row r="117" spans="1:16" s="199" customFormat="1" ht="15" customHeight="1" x14ac:dyDescent="0.2">
      <c r="A117" s="43" t="s">
        <v>1026</v>
      </c>
      <c r="B117" s="93">
        <v>871</v>
      </c>
      <c r="C117" s="54">
        <v>1030083931374</v>
      </c>
      <c r="D117" s="55" t="s">
        <v>1026</v>
      </c>
      <c r="E117" s="93">
        <v>746</v>
      </c>
      <c r="F117" s="54">
        <v>1030083931142</v>
      </c>
      <c r="G117" s="55" t="s">
        <v>1026</v>
      </c>
      <c r="H117" s="182"/>
      <c r="I117" s="59">
        <v>0.83399999999999996</v>
      </c>
      <c r="J117" s="60">
        <v>6.64</v>
      </c>
      <c r="K117" s="60">
        <v>8.9700000000000006</v>
      </c>
      <c r="L117" s="60">
        <v>8.9700000000000006</v>
      </c>
      <c r="M117" s="61">
        <v>0</v>
      </c>
      <c r="N117" s="62">
        <v>544.09</v>
      </c>
      <c r="O117" s="62">
        <v>0.05</v>
      </c>
      <c r="P117" s="62">
        <v>0.05</v>
      </c>
    </row>
    <row r="118" spans="1:16" ht="15" customHeight="1" x14ac:dyDescent="0.2">
      <c r="A118" s="43" t="s">
        <v>1027</v>
      </c>
      <c r="B118" s="93">
        <v>539</v>
      </c>
      <c r="C118" s="54">
        <v>1050001036615</v>
      </c>
      <c r="D118" s="55" t="s">
        <v>1027</v>
      </c>
      <c r="E118" s="93">
        <v>653</v>
      </c>
      <c r="F118" s="54">
        <v>1050001036624</v>
      </c>
      <c r="G118" s="55" t="s">
        <v>1027</v>
      </c>
      <c r="H118" s="182"/>
      <c r="I118" s="59">
        <v>0.57599999999999996</v>
      </c>
      <c r="J118" s="60">
        <v>42.55</v>
      </c>
      <c r="K118" s="60">
        <v>1.71</v>
      </c>
      <c r="L118" s="60">
        <v>1.71</v>
      </c>
      <c r="M118" s="61">
        <v>0</v>
      </c>
      <c r="N118" s="62">
        <v>2127.67</v>
      </c>
      <c r="O118" s="62">
        <v>0.05</v>
      </c>
      <c r="P118" s="62">
        <v>0.05</v>
      </c>
    </row>
    <row r="119" spans="1:16" ht="15" customHeight="1" x14ac:dyDescent="0.2">
      <c r="A119" s="43" t="s">
        <v>1028</v>
      </c>
      <c r="B119" s="93"/>
      <c r="C119" s="54" t="s">
        <v>1263</v>
      </c>
      <c r="D119" s="210" t="s">
        <v>1028</v>
      </c>
      <c r="E119" s="93"/>
      <c r="F119" s="54" t="s">
        <v>1283</v>
      </c>
      <c r="G119" s="55" t="s">
        <v>1028</v>
      </c>
      <c r="H119" s="182"/>
      <c r="I119" s="59">
        <v>0.72299999999999998</v>
      </c>
      <c r="J119" s="60">
        <v>75.959999999999994</v>
      </c>
      <c r="K119" s="60">
        <v>1.57</v>
      </c>
      <c r="L119" s="60">
        <v>1.57</v>
      </c>
      <c r="M119" s="61">
        <v>-0.91100000000000003</v>
      </c>
      <c r="N119" s="62">
        <v>1519.23</v>
      </c>
      <c r="O119" s="62">
        <v>0.05</v>
      </c>
      <c r="P119" s="62">
        <v>0.05</v>
      </c>
    </row>
    <row r="120" spans="1:16" ht="15" customHeight="1" x14ac:dyDescent="0.2">
      <c r="A120" s="43" t="s">
        <v>1029</v>
      </c>
      <c r="B120" s="93">
        <v>534</v>
      </c>
      <c r="C120" s="54">
        <v>1050000769039</v>
      </c>
      <c r="D120" s="55" t="s">
        <v>1029</v>
      </c>
      <c r="E120" s="93">
        <v>466</v>
      </c>
      <c r="F120" s="54">
        <v>1050000769048</v>
      </c>
      <c r="G120" s="55" t="s">
        <v>1029</v>
      </c>
      <c r="H120" s="182"/>
      <c r="I120" s="59">
        <v>0</v>
      </c>
      <c r="J120" s="60">
        <v>23.15</v>
      </c>
      <c r="K120" s="60">
        <v>2.36</v>
      </c>
      <c r="L120" s="60">
        <v>2.36</v>
      </c>
      <c r="M120" s="61">
        <v>0</v>
      </c>
      <c r="N120" s="62">
        <v>2198.86</v>
      </c>
      <c r="O120" s="62">
        <v>0.05</v>
      </c>
      <c r="P120" s="62">
        <v>0.05</v>
      </c>
    </row>
    <row r="121" spans="1:16" ht="15" customHeight="1" x14ac:dyDescent="0.2">
      <c r="A121" s="43" t="s">
        <v>1030</v>
      </c>
      <c r="B121" s="93">
        <v>330</v>
      </c>
      <c r="C121" s="54">
        <v>1050001658120</v>
      </c>
      <c r="D121" s="55" t="s">
        <v>1030</v>
      </c>
      <c r="E121" s="93">
        <v>407</v>
      </c>
      <c r="F121" s="54">
        <v>1050001658148</v>
      </c>
      <c r="G121" s="55" t="s">
        <v>1030</v>
      </c>
      <c r="H121" s="182"/>
      <c r="I121" s="59">
        <v>2.903</v>
      </c>
      <c r="J121" s="60">
        <v>110.68</v>
      </c>
      <c r="K121" s="60">
        <v>1.28</v>
      </c>
      <c r="L121" s="60">
        <v>1.28</v>
      </c>
      <c r="M121" s="61">
        <v>0</v>
      </c>
      <c r="N121" s="62">
        <v>1191.8900000000001</v>
      </c>
      <c r="O121" s="62">
        <v>0.05</v>
      </c>
      <c r="P121" s="62">
        <v>0.05</v>
      </c>
    </row>
    <row r="122" spans="1:16" ht="15" customHeight="1" x14ac:dyDescent="0.2">
      <c r="A122" s="43" t="s">
        <v>1031</v>
      </c>
      <c r="B122" s="93">
        <v>370</v>
      </c>
      <c r="C122" s="54">
        <v>1050003106511</v>
      </c>
      <c r="D122" s="55" t="s">
        <v>1031</v>
      </c>
      <c r="E122" s="93">
        <v>385</v>
      </c>
      <c r="F122" s="54">
        <v>1050003106520</v>
      </c>
      <c r="G122" s="55" t="s">
        <v>1031</v>
      </c>
      <c r="H122" s="182"/>
      <c r="I122" s="59">
        <v>0</v>
      </c>
      <c r="J122" s="60">
        <v>12.47</v>
      </c>
      <c r="K122" s="60">
        <v>5.25</v>
      </c>
      <c r="L122" s="60">
        <v>5.25</v>
      </c>
      <c r="M122" s="61">
        <v>0</v>
      </c>
      <c r="N122" s="62">
        <v>1312.45</v>
      </c>
      <c r="O122" s="62">
        <v>0.05</v>
      </c>
      <c r="P122" s="62">
        <v>0.05</v>
      </c>
    </row>
    <row r="123" spans="1:16" ht="15" customHeight="1" x14ac:dyDescent="0.2">
      <c r="A123" s="43" t="s">
        <v>1032</v>
      </c>
      <c r="B123" s="93">
        <v>540</v>
      </c>
      <c r="C123" s="54">
        <v>1050001021414</v>
      </c>
      <c r="D123" s="55" t="s">
        <v>1032</v>
      </c>
      <c r="E123" s="93">
        <v>654</v>
      </c>
      <c r="F123" s="54">
        <v>1050001021423</v>
      </c>
      <c r="G123" s="55" t="s">
        <v>1032</v>
      </c>
      <c r="H123" s="182"/>
      <c r="I123" s="59">
        <v>0</v>
      </c>
      <c r="J123" s="60">
        <v>47.95</v>
      </c>
      <c r="K123" s="60">
        <v>6.51</v>
      </c>
      <c r="L123" s="60">
        <v>6.51</v>
      </c>
      <c r="M123" s="61">
        <v>0</v>
      </c>
      <c r="N123" s="62">
        <v>2051.15</v>
      </c>
      <c r="O123" s="62">
        <v>0.05</v>
      </c>
      <c r="P123" s="62">
        <v>0.05</v>
      </c>
    </row>
    <row r="124" spans="1:16" ht="30" customHeight="1" x14ac:dyDescent="0.2">
      <c r="A124" s="43" t="s">
        <v>1033</v>
      </c>
      <c r="B124" s="93">
        <v>506</v>
      </c>
      <c r="C124" s="54" t="s">
        <v>1341</v>
      </c>
      <c r="D124" s="55" t="s">
        <v>1033</v>
      </c>
      <c r="E124" s="93">
        <v>783</v>
      </c>
      <c r="F124" s="54" t="s">
        <v>1342</v>
      </c>
      <c r="G124" s="55" t="s">
        <v>1033</v>
      </c>
      <c r="H124" s="182"/>
      <c r="I124" s="59">
        <v>0</v>
      </c>
      <c r="J124" s="60">
        <v>17.670000000000002</v>
      </c>
      <c r="K124" s="60">
        <v>2.25</v>
      </c>
      <c r="L124" s="60">
        <v>2.25</v>
      </c>
      <c r="M124" s="61">
        <v>0</v>
      </c>
      <c r="N124" s="62">
        <v>477.19</v>
      </c>
      <c r="O124" s="62">
        <v>0.05</v>
      </c>
      <c r="P124" s="62">
        <v>0.05</v>
      </c>
    </row>
    <row r="125" spans="1:16" ht="15" customHeight="1" x14ac:dyDescent="0.2">
      <c r="A125" s="43" t="s">
        <v>1034</v>
      </c>
      <c r="B125" s="93">
        <v>341</v>
      </c>
      <c r="C125" s="54">
        <v>1050002478329</v>
      </c>
      <c r="D125" s="55" t="s">
        <v>1034</v>
      </c>
      <c r="E125" s="93">
        <v>388</v>
      </c>
      <c r="F125" s="54">
        <v>1050002478338</v>
      </c>
      <c r="G125" s="55" t="s">
        <v>1034</v>
      </c>
      <c r="H125" s="182"/>
      <c r="I125" s="59">
        <v>0.19400000000000001</v>
      </c>
      <c r="J125" s="60">
        <v>12.07</v>
      </c>
      <c r="K125" s="60">
        <v>1.4</v>
      </c>
      <c r="L125" s="60">
        <v>1.4</v>
      </c>
      <c r="M125" s="61">
        <v>0</v>
      </c>
      <c r="N125" s="62">
        <v>482.79</v>
      </c>
      <c r="O125" s="62">
        <v>0.05</v>
      </c>
      <c r="P125" s="62">
        <v>0.05</v>
      </c>
    </row>
    <row r="126" spans="1:16" ht="30" customHeight="1" x14ac:dyDescent="0.2">
      <c r="A126" s="43" t="s">
        <v>1035</v>
      </c>
      <c r="B126" s="93">
        <v>360</v>
      </c>
      <c r="C126" s="54">
        <v>1050003081717</v>
      </c>
      <c r="D126" s="55" t="s">
        <v>1035</v>
      </c>
      <c r="E126" s="93">
        <v>397</v>
      </c>
      <c r="F126" s="54" t="s">
        <v>1343</v>
      </c>
      <c r="G126" s="55" t="s">
        <v>1035</v>
      </c>
      <c r="H126" s="182"/>
      <c r="I126" s="59">
        <v>0.11799999999999999</v>
      </c>
      <c r="J126" s="60">
        <v>4.9000000000000004</v>
      </c>
      <c r="K126" s="60">
        <v>2</v>
      </c>
      <c r="L126" s="60">
        <v>2</v>
      </c>
      <c r="M126" s="61">
        <v>0</v>
      </c>
      <c r="N126" s="62">
        <v>489.96</v>
      </c>
      <c r="O126" s="62">
        <v>0.05</v>
      </c>
      <c r="P126" s="62">
        <v>0.05</v>
      </c>
    </row>
    <row r="127" spans="1:16" ht="15" customHeight="1" x14ac:dyDescent="0.2">
      <c r="A127" s="43" t="s">
        <v>1036</v>
      </c>
      <c r="B127" s="93"/>
      <c r="C127" s="54" t="s">
        <v>1240</v>
      </c>
      <c r="D127" s="55" t="s">
        <v>1036</v>
      </c>
      <c r="E127" s="93"/>
      <c r="F127" s="54" t="s">
        <v>1240</v>
      </c>
      <c r="G127" s="55" t="s">
        <v>1036</v>
      </c>
      <c r="H127" s="182"/>
      <c r="I127" s="59">
        <v>0</v>
      </c>
      <c r="J127" s="60">
        <v>369.42</v>
      </c>
      <c r="K127" s="60">
        <v>1.54</v>
      </c>
      <c r="L127" s="60">
        <v>1.54</v>
      </c>
      <c r="M127" s="61">
        <v>-1.024</v>
      </c>
      <c r="N127" s="62">
        <v>306.88</v>
      </c>
      <c r="O127" s="62">
        <v>0.05</v>
      </c>
      <c r="P127" s="62">
        <v>0.05</v>
      </c>
    </row>
    <row r="128" spans="1:16" ht="15" customHeight="1" x14ac:dyDescent="0.2">
      <c r="A128" s="43" t="s">
        <v>1037</v>
      </c>
      <c r="B128" s="93">
        <v>525</v>
      </c>
      <c r="C128" s="54">
        <v>1050000961956</v>
      </c>
      <c r="D128" s="210" t="s">
        <v>1037</v>
      </c>
      <c r="E128" s="93">
        <v>457</v>
      </c>
      <c r="F128" s="54">
        <v>1050000961965</v>
      </c>
      <c r="G128" s="55" t="s">
        <v>1037</v>
      </c>
      <c r="H128" s="182"/>
      <c r="I128" s="59">
        <v>2.4340000000000002</v>
      </c>
      <c r="J128" s="60">
        <v>7.92</v>
      </c>
      <c r="K128" s="60">
        <v>4.17</v>
      </c>
      <c r="L128" s="60">
        <v>4.17</v>
      </c>
      <c r="M128" s="61">
        <v>0</v>
      </c>
      <c r="N128" s="62">
        <v>486.94</v>
      </c>
      <c r="O128" s="62">
        <v>0.05</v>
      </c>
      <c r="P128" s="62">
        <v>0.05</v>
      </c>
    </row>
    <row r="129" spans="1:16" ht="15" customHeight="1" x14ac:dyDescent="0.2">
      <c r="A129" s="43" t="s">
        <v>1038</v>
      </c>
      <c r="B129" s="93">
        <v>332</v>
      </c>
      <c r="C129" s="54">
        <v>1050002055530</v>
      </c>
      <c r="D129" s="210" t="s">
        <v>1038</v>
      </c>
      <c r="E129" s="93">
        <v>409</v>
      </c>
      <c r="F129" s="54">
        <v>1050002055549</v>
      </c>
      <c r="G129" s="55" t="s">
        <v>1038</v>
      </c>
      <c r="H129" s="182"/>
      <c r="I129" s="59">
        <v>0</v>
      </c>
      <c r="J129" s="60">
        <v>163.30000000000001</v>
      </c>
      <c r="K129" s="60">
        <v>3.09</v>
      </c>
      <c r="L129" s="60">
        <v>3.09</v>
      </c>
      <c r="M129" s="61">
        <v>-2.6389999999999998</v>
      </c>
      <c r="N129" s="62">
        <v>195.86</v>
      </c>
      <c r="O129" s="62">
        <v>0.05</v>
      </c>
      <c r="P129" s="62">
        <v>0.05</v>
      </c>
    </row>
    <row r="130" spans="1:16" ht="15" customHeight="1" x14ac:dyDescent="0.2">
      <c r="A130" s="43" t="s">
        <v>1039</v>
      </c>
      <c r="B130" s="93"/>
      <c r="C130" s="54" t="s">
        <v>1264</v>
      </c>
      <c r="D130" s="55" t="s">
        <v>1039</v>
      </c>
      <c r="E130" s="93"/>
      <c r="F130" s="54" t="s">
        <v>1284</v>
      </c>
      <c r="G130" s="55" t="s">
        <v>1039</v>
      </c>
      <c r="H130" s="182"/>
      <c r="I130" s="59">
        <v>0</v>
      </c>
      <c r="J130" s="60">
        <v>946.06</v>
      </c>
      <c r="K130" s="60">
        <v>2.46</v>
      </c>
      <c r="L130" s="60">
        <v>2.46</v>
      </c>
      <c r="M130" s="61">
        <v>-1.401</v>
      </c>
      <c r="N130" s="62">
        <v>946.06</v>
      </c>
      <c r="O130" s="62">
        <v>0.05</v>
      </c>
      <c r="P130" s="62">
        <v>0.05</v>
      </c>
    </row>
    <row r="131" spans="1:16" ht="15" customHeight="1" x14ac:dyDescent="0.2">
      <c r="A131" s="43" t="s">
        <v>1040</v>
      </c>
      <c r="B131" s="93"/>
      <c r="C131" s="54" t="s">
        <v>1265</v>
      </c>
      <c r="D131" s="55" t="s">
        <v>1040</v>
      </c>
      <c r="E131" s="93"/>
      <c r="F131" s="54" t="s">
        <v>1285</v>
      </c>
      <c r="G131" s="55" t="s">
        <v>1040</v>
      </c>
      <c r="H131" s="182"/>
      <c r="I131" s="59">
        <v>1.4E-2</v>
      </c>
      <c r="J131" s="60">
        <v>5308.94</v>
      </c>
      <c r="K131" s="60">
        <v>1.31</v>
      </c>
      <c r="L131" s="60">
        <v>1.31</v>
      </c>
      <c r="M131" s="61">
        <v>-1.4E-2</v>
      </c>
      <c r="N131" s="62">
        <v>5308.94</v>
      </c>
      <c r="O131" s="62">
        <v>0.05</v>
      </c>
      <c r="P131" s="62">
        <v>0.05</v>
      </c>
    </row>
    <row r="132" spans="1:16" ht="66" customHeight="1" x14ac:dyDescent="0.2">
      <c r="A132" s="43" t="s">
        <v>1041</v>
      </c>
      <c r="B132" s="93">
        <v>821</v>
      </c>
      <c r="C132" s="54" t="s">
        <v>1246</v>
      </c>
      <c r="D132" s="55" t="s">
        <v>1041</v>
      </c>
      <c r="E132" s="93">
        <v>701</v>
      </c>
      <c r="F132" s="54" t="s">
        <v>1247</v>
      </c>
      <c r="G132" s="55" t="s">
        <v>1041</v>
      </c>
      <c r="H132" s="182"/>
      <c r="I132" s="59">
        <v>0</v>
      </c>
      <c r="J132" s="60">
        <v>481.47</v>
      </c>
      <c r="K132" s="60">
        <v>3.87</v>
      </c>
      <c r="L132" s="60">
        <v>3.87</v>
      </c>
      <c r="M132" s="61">
        <v>-3.6739999999999999</v>
      </c>
      <c r="N132" s="62">
        <v>7100.76</v>
      </c>
      <c r="O132" s="62">
        <v>0.05</v>
      </c>
      <c r="P132" s="62">
        <v>0.05</v>
      </c>
    </row>
    <row r="133" spans="1:16" ht="15" customHeight="1" x14ac:dyDescent="0.2">
      <c r="A133" s="43" t="s">
        <v>1042</v>
      </c>
      <c r="B133" s="93">
        <v>872</v>
      </c>
      <c r="C133" s="54">
        <v>1050000521610</v>
      </c>
      <c r="D133" s="55" t="s">
        <v>1042</v>
      </c>
      <c r="E133" s="93">
        <v>747</v>
      </c>
      <c r="F133" s="54">
        <v>1030085039971</v>
      </c>
      <c r="G133" s="55" t="s">
        <v>1042</v>
      </c>
      <c r="H133" s="182"/>
      <c r="I133" s="59">
        <v>6.6120000000000001</v>
      </c>
      <c r="J133" s="60">
        <v>24.6</v>
      </c>
      <c r="K133" s="60">
        <v>5.6</v>
      </c>
      <c r="L133" s="60">
        <v>5.6</v>
      </c>
      <c r="M133" s="61">
        <v>0</v>
      </c>
      <c r="N133" s="62">
        <v>5657.85</v>
      </c>
      <c r="O133" s="62">
        <v>0.05</v>
      </c>
      <c r="P133" s="62">
        <v>0.05</v>
      </c>
    </row>
    <row r="134" spans="1:16" ht="15" customHeight="1" x14ac:dyDescent="0.2">
      <c r="A134" s="43" t="s">
        <v>1043</v>
      </c>
      <c r="B134" s="93">
        <v>508</v>
      </c>
      <c r="C134" s="54">
        <v>1050000782944</v>
      </c>
      <c r="D134" s="55" t="s">
        <v>1043</v>
      </c>
      <c r="E134" s="93">
        <v>785</v>
      </c>
      <c r="F134" s="54">
        <v>1050000773842</v>
      </c>
      <c r="G134" s="55" t="s">
        <v>1043</v>
      </c>
      <c r="H134" s="182"/>
      <c r="I134" s="59">
        <v>0.214</v>
      </c>
      <c r="J134" s="60">
        <v>2.46</v>
      </c>
      <c r="K134" s="60">
        <v>2.4500000000000002</v>
      </c>
      <c r="L134" s="60">
        <v>2.4500000000000002</v>
      </c>
      <c r="M134" s="61">
        <v>0</v>
      </c>
      <c r="N134" s="62">
        <v>492.4</v>
      </c>
      <c r="O134" s="62">
        <v>0.05</v>
      </c>
      <c r="P134" s="62">
        <v>0.05</v>
      </c>
    </row>
    <row r="135" spans="1:16" ht="15" customHeight="1" x14ac:dyDescent="0.2">
      <c r="A135" s="43" t="s">
        <v>1044</v>
      </c>
      <c r="B135" s="93">
        <v>873</v>
      </c>
      <c r="C135" s="54">
        <v>1030083941266</v>
      </c>
      <c r="D135" s="55" t="s">
        <v>1044</v>
      </c>
      <c r="E135" s="93">
        <v>735</v>
      </c>
      <c r="F135" s="54">
        <v>1030083941034</v>
      </c>
      <c r="G135" s="55" t="s">
        <v>1044</v>
      </c>
      <c r="H135" s="182"/>
      <c r="I135" s="59">
        <v>0.21299999999999999</v>
      </c>
      <c r="J135" s="60">
        <v>5.46</v>
      </c>
      <c r="K135" s="60">
        <v>2.0099999999999998</v>
      </c>
      <c r="L135" s="60">
        <v>2.0099999999999998</v>
      </c>
      <c r="M135" s="61">
        <v>0</v>
      </c>
      <c r="N135" s="62">
        <v>489.4</v>
      </c>
      <c r="O135" s="62">
        <v>0.05</v>
      </c>
      <c r="P135" s="62">
        <v>0.05</v>
      </c>
    </row>
    <row r="136" spans="1:16" ht="15" customHeight="1" x14ac:dyDescent="0.2">
      <c r="A136" s="43" t="s">
        <v>1045</v>
      </c>
      <c r="B136" s="93">
        <v>874</v>
      </c>
      <c r="C136" s="54">
        <v>1030083918035</v>
      </c>
      <c r="D136" s="55" t="s">
        <v>1045</v>
      </c>
      <c r="E136" s="93">
        <v>748</v>
      </c>
      <c r="F136" s="54">
        <v>1030083917802</v>
      </c>
      <c r="G136" s="55" t="s">
        <v>1045</v>
      </c>
      <c r="H136" s="182"/>
      <c r="I136" s="59">
        <v>0.218</v>
      </c>
      <c r="J136" s="60">
        <v>14.01</v>
      </c>
      <c r="K136" s="60">
        <v>1.4</v>
      </c>
      <c r="L136" s="60">
        <v>1.4</v>
      </c>
      <c r="M136" s="61">
        <v>0</v>
      </c>
      <c r="N136" s="62">
        <v>480.85</v>
      </c>
      <c r="O136" s="62">
        <v>0.05</v>
      </c>
      <c r="P136" s="62">
        <v>0.05</v>
      </c>
    </row>
    <row r="137" spans="1:16" ht="30" customHeight="1" x14ac:dyDescent="0.2">
      <c r="A137" s="43" t="s">
        <v>1046</v>
      </c>
      <c r="B137" s="93">
        <v>805</v>
      </c>
      <c r="C137" s="54" t="s">
        <v>1248</v>
      </c>
      <c r="D137" s="55" t="s">
        <v>1046</v>
      </c>
      <c r="E137" s="93">
        <v>700</v>
      </c>
      <c r="F137" s="54" t="s">
        <v>1249</v>
      </c>
      <c r="G137" s="55" t="s">
        <v>1046</v>
      </c>
      <c r="H137" s="182">
        <v>2</v>
      </c>
      <c r="I137" s="59">
        <v>1.8720000000000001</v>
      </c>
      <c r="J137" s="60">
        <v>15170.64</v>
      </c>
      <c r="K137" s="60">
        <v>1.24</v>
      </c>
      <c r="L137" s="60">
        <v>1.24</v>
      </c>
      <c r="M137" s="61">
        <v>-1.8720000000000001</v>
      </c>
      <c r="N137" s="62">
        <v>1049.8699999999999</v>
      </c>
      <c r="O137" s="62">
        <v>0.05</v>
      </c>
      <c r="P137" s="62">
        <v>0.05</v>
      </c>
    </row>
    <row r="138" spans="1:16" ht="15" customHeight="1" x14ac:dyDescent="0.2">
      <c r="A138" s="43" t="s">
        <v>1047</v>
      </c>
      <c r="B138" s="93">
        <v>806</v>
      </c>
      <c r="C138" s="54">
        <v>1014568635628</v>
      </c>
      <c r="D138" s="55" t="s">
        <v>1047</v>
      </c>
      <c r="E138" s="93">
        <v>719</v>
      </c>
      <c r="F138" s="54">
        <v>1023470427970</v>
      </c>
      <c r="G138" s="55" t="s">
        <v>1047</v>
      </c>
      <c r="H138" s="182">
        <v>2</v>
      </c>
      <c r="I138" s="59">
        <v>0.10100000000000001</v>
      </c>
      <c r="J138" s="60">
        <v>15076.95</v>
      </c>
      <c r="K138" s="60">
        <v>1.27</v>
      </c>
      <c r="L138" s="60">
        <v>1.27</v>
      </c>
      <c r="M138" s="61">
        <v>-0.13600000000000001</v>
      </c>
      <c r="N138" s="62">
        <v>469.93</v>
      </c>
      <c r="O138" s="62">
        <v>0.05</v>
      </c>
      <c r="P138" s="62">
        <v>0.05</v>
      </c>
    </row>
    <row r="139" spans="1:16" ht="15" customHeight="1" x14ac:dyDescent="0.2">
      <c r="A139" s="43" t="s">
        <v>1048</v>
      </c>
      <c r="B139" s="93">
        <v>507</v>
      </c>
      <c r="C139" s="54">
        <v>1050000773851</v>
      </c>
      <c r="D139" s="210" t="s">
        <v>1048</v>
      </c>
      <c r="E139" s="93">
        <v>784</v>
      </c>
      <c r="F139" s="54">
        <v>1050000773860</v>
      </c>
      <c r="G139" s="55" t="s">
        <v>1048</v>
      </c>
      <c r="H139" s="182">
        <v>1</v>
      </c>
      <c r="I139" s="59">
        <v>0.13200000000000001</v>
      </c>
      <c r="J139" s="60">
        <v>4641.46</v>
      </c>
      <c r="K139" s="60">
        <v>2.0099999999999998</v>
      </c>
      <c r="L139" s="60">
        <v>2.0099999999999998</v>
      </c>
      <c r="M139" s="61">
        <v>0</v>
      </c>
      <c r="N139" s="62">
        <v>3009.33</v>
      </c>
      <c r="O139" s="62">
        <v>0.05</v>
      </c>
      <c r="P139" s="62">
        <v>0.05</v>
      </c>
    </row>
    <row r="140" spans="1:16" s="199" customFormat="1" ht="15" customHeight="1" x14ac:dyDescent="0.2">
      <c r="A140" s="43" t="s">
        <v>1049</v>
      </c>
      <c r="B140" s="93">
        <v>358</v>
      </c>
      <c r="C140" s="54">
        <v>1050002552390</v>
      </c>
      <c r="D140" s="55" t="s">
        <v>1049</v>
      </c>
      <c r="E140" s="93">
        <v>396</v>
      </c>
      <c r="F140" s="54">
        <v>1050002552406</v>
      </c>
      <c r="G140" s="55" t="s">
        <v>1049</v>
      </c>
      <c r="H140" s="182"/>
      <c r="I140" s="59">
        <v>0</v>
      </c>
      <c r="J140" s="60">
        <v>46.8</v>
      </c>
      <c r="K140" s="60">
        <v>1.81</v>
      </c>
      <c r="L140" s="60">
        <v>1.81</v>
      </c>
      <c r="M140" s="61">
        <v>-6.7000000000000004E-2</v>
      </c>
      <c r="N140" s="62">
        <v>559.79</v>
      </c>
      <c r="O140" s="62">
        <v>0.05</v>
      </c>
      <c r="P140" s="62">
        <v>0.05</v>
      </c>
    </row>
    <row r="141" spans="1:16" ht="15" customHeight="1" x14ac:dyDescent="0.2">
      <c r="A141" s="43" t="s">
        <v>1050</v>
      </c>
      <c r="B141" s="93"/>
      <c r="C141" s="54" t="s">
        <v>1266</v>
      </c>
      <c r="D141" s="55" t="s">
        <v>1050</v>
      </c>
      <c r="E141" s="93"/>
      <c r="F141" s="54" t="s">
        <v>1286</v>
      </c>
      <c r="G141" s="55" t="s">
        <v>1050</v>
      </c>
      <c r="H141" s="182"/>
      <c r="I141" s="59">
        <v>0</v>
      </c>
      <c r="J141" s="60">
        <v>968.53</v>
      </c>
      <c r="K141" s="60">
        <v>1.43</v>
      </c>
      <c r="L141" s="60">
        <v>1.43</v>
      </c>
      <c r="M141" s="61">
        <v>0</v>
      </c>
      <c r="N141" s="62">
        <v>968.53</v>
      </c>
      <c r="O141" s="62">
        <v>0.05</v>
      </c>
      <c r="P141" s="62">
        <v>0.05</v>
      </c>
    </row>
    <row r="142" spans="1:16" ht="15" customHeight="1" x14ac:dyDescent="0.2">
      <c r="A142" s="43" t="s">
        <v>1051</v>
      </c>
      <c r="B142" s="93">
        <v>541</v>
      </c>
      <c r="C142" s="54">
        <v>1050000729676</v>
      </c>
      <c r="D142" s="55" t="s">
        <v>1051</v>
      </c>
      <c r="E142" s="93">
        <v>786</v>
      </c>
      <c r="F142" s="54">
        <v>1050000729667</v>
      </c>
      <c r="G142" s="55" t="s">
        <v>1051</v>
      </c>
      <c r="H142" s="182"/>
      <c r="I142" s="59">
        <v>0</v>
      </c>
      <c r="J142" s="60">
        <v>4.03</v>
      </c>
      <c r="K142" s="60">
        <v>2.5499999999999998</v>
      </c>
      <c r="L142" s="60">
        <v>2.5499999999999998</v>
      </c>
      <c r="M142" s="61">
        <v>0</v>
      </c>
      <c r="N142" s="62">
        <v>1008.03</v>
      </c>
      <c r="O142" s="62">
        <v>0.05</v>
      </c>
      <c r="P142" s="62">
        <v>0.05</v>
      </c>
    </row>
    <row r="143" spans="1:16" ht="15" customHeight="1" x14ac:dyDescent="0.2">
      <c r="A143" s="43" t="s">
        <v>1052</v>
      </c>
      <c r="B143" s="93">
        <v>875</v>
      </c>
      <c r="C143" s="54">
        <v>1030082355419</v>
      </c>
      <c r="D143" s="210" t="s">
        <v>1052</v>
      </c>
      <c r="E143" s="93">
        <v>749</v>
      </c>
      <c r="F143" s="54">
        <v>1030081926920</v>
      </c>
      <c r="G143" s="55" t="s">
        <v>1052</v>
      </c>
      <c r="H143" s="182"/>
      <c r="I143" s="59">
        <v>0</v>
      </c>
      <c r="J143" s="60">
        <v>29.88</v>
      </c>
      <c r="K143" s="60">
        <v>2.2799999999999998</v>
      </c>
      <c r="L143" s="60">
        <v>2.2799999999999998</v>
      </c>
      <c r="M143" s="61">
        <v>0</v>
      </c>
      <c r="N143" s="62">
        <v>1493.92</v>
      </c>
      <c r="O143" s="62">
        <v>0.05</v>
      </c>
      <c r="P143" s="62">
        <v>0.05</v>
      </c>
    </row>
    <row r="144" spans="1:16" ht="15" customHeight="1" x14ac:dyDescent="0.2">
      <c r="A144" s="43" t="s">
        <v>1053</v>
      </c>
      <c r="B144" s="93">
        <v>429</v>
      </c>
      <c r="C144" s="54">
        <v>1050001791569</v>
      </c>
      <c r="D144" s="55" t="s">
        <v>1053</v>
      </c>
      <c r="E144" s="93">
        <v>773</v>
      </c>
      <c r="F144" s="54">
        <v>1050001791578</v>
      </c>
      <c r="G144" s="55" t="s">
        <v>1053</v>
      </c>
      <c r="H144" s="182"/>
      <c r="I144" s="59">
        <v>1.3160000000000001</v>
      </c>
      <c r="J144" s="60">
        <v>59.02</v>
      </c>
      <c r="K144" s="60">
        <v>1.31</v>
      </c>
      <c r="L144" s="60">
        <v>1.31</v>
      </c>
      <c r="M144" s="61">
        <v>-1.3160000000000001</v>
      </c>
      <c r="N144" s="62">
        <v>1489.25</v>
      </c>
      <c r="O144" s="62">
        <v>0.05</v>
      </c>
      <c r="P144" s="62">
        <v>0.05</v>
      </c>
    </row>
    <row r="145" spans="1:16" ht="15" customHeight="1" x14ac:dyDescent="0.2">
      <c r="A145" s="43" t="s">
        <v>1054</v>
      </c>
      <c r="B145" s="93">
        <v>362</v>
      </c>
      <c r="C145" s="54">
        <v>1050003229659</v>
      </c>
      <c r="D145" s="55" t="s">
        <v>1054</v>
      </c>
      <c r="E145" s="93">
        <v>398</v>
      </c>
      <c r="F145" s="54">
        <v>1050003229668</v>
      </c>
      <c r="G145" s="55" t="s">
        <v>1054</v>
      </c>
      <c r="H145" s="182"/>
      <c r="I145" s="59">
        <v>0</v>
      </c>
      <c r="J145" s="60">
        <v>909.89</v>
      </c>
      <c r="K145" s="60">
        <v>1.32</v>
      </c>
      <c r="L145" s="60">
        <v>1.32</v>
      </c>
      <c r="M145" s="61">
        <v>0</v>
      </c>
      <c r="N145" s="62">
        <v>909.89</v>
      </c>
      <c r="O145" s="62">
        <v>0.05</v>
      </c>
      <c r="P145" s="62">
        <v>0.05</v>
      </c>
    </row>
    <row r="146" spans="1:16" ht="15" customHeight="1" x14ac:dyDescent="0.2">
      <c r="A146" s="43" t="s">
        <v>1055</v>
      </c>
      <c r="B146" s="93"/>
      <c r="C146" s="54" t="s">
        <v>1267</v>
      </c>
      <c r="D146" s="55" t="s">
        <v>1055</v>
      </c>
      <c r="E146" s="93"/>
      <c r="F146" s="54" t="s">
        <v>1287</v>
      </c>
      <c r="G146" s="55" t="s">
        <v>1055</v>
      </c>
      <c r="H146" s="182"/>
      <c r="I146" s="59">
        <v>0</v>
      </c>
      <c r="J146" s="60">
        <v>909.89</v>
      </c>
      <c r="K146" s="60">
        <v>1.61</v>
      </c>
      <c r="L146" s="60">
        <v>1.61</v>
      </c>
      <c r="M146" s="61">
        <v>-0.317</v>
      </c>
      <c r="N146" s="62">
        <v>909.89</v>
      </c>
      <c r="O146" s="62">
        <v>0.05</v>
      </c>
      <c r="P146" s="62">
        <v>0.05</v>
      </c>
    </row>
    <row r="147" spans="1:16" ht="15" customHeight="1" x14ac:dyDescent="0.2">
      <c r="A147" s="43" t="s">
        <v>1056</v>
      </c>
      <c r="B147" s="93">
        <v>340</v>
      </c>
      <c r="C147" s="54">
        <v>1050002211702</v>
      </c>
      <c r="D147" s="55" t="s">
        <v>1056</v>
      </c>
      <c r="E147" s="93">
        <v>418</v>
      </c>
      <c r="F147" s="54">
        <v>1050002211711</v>
      </c>
      <c r="G147" s="55" t="s">
        <v>1056</v>
      </c>
      <c r="H147" s="182">
        <v>2</v>
      </c>
      <c r="I147" s="59">
        <v>3.0289999999999999</v>
      </c>
      <c r="J147" s="60">
        <v>18297.47</v>
      </c>
      <c r="K147" s="60">
        <v>1.33</v>
      </c>
      <c r="L147" s="60">
        <v>1.33</v>
      </c>
      <c r="M147" s="61">
        <v>-3.13</v>
      </c>
      <c r="N147" s="62">
        <v>4935.21</v>
      </c>
      <c r="O147" s="62">
        <v>0.05</v>
      </c>
      <c r="P147" s="62">
        <v>0.05</v>
      </c>
    </row>
    <row r="148" spans="1:16" ht="15" customHeight="1" x14ac:dyDescent="0.2">
      <c r="A148" s="43" t="s">
        <v>1057</v>
      </c>
      <c r="B148" s="93">
        <v>876</v>
      </c>
      <c r="C148" s="54">
        <v>1030083806488</v>
      </c>
      <c r="D148" s="210" t="s">
        <v>1057</v>
      </c>
      <c r="E148" s="93">
        <v>750</v>
      </c>
      <c r="F148" s="54">
        <v>1030083806256</v>
      </c>
      <c r="G148" s="55" t="s">
        <v>1057</v>
      </c>
      <c r="H148" s="182"/>
      <c r="I148" s="59">
        <v>3.5830000000000002</v>
      </c>
      <c r="J148" s="60">
        <v>11.86</v>
      </c>
      <c r="K148" s="60">
        <v>2.83</v>
      </c>
      <c r="L148" s="60">
        <v>2.83</v>
      </c>
      <c r="M148" s="61">
        <v>0</v>
      </c>
      <c r="N148" s="62">
        <v>1480.65</v>
      </c>
      <c r="O148" s="62">
        <v>0.05</v>
      </c>
      <c r="P148" s="62">
        <v>0.05</v>
      </c>
    </row>
    <row r="149" spans="1:16" ht="15" customHeight="1" x14ac:dyDescent="0.2">
      <c r="A149" s="43" t="s">
        <v>1058</v>
      </c>
      <c r="B149" s="93">
        <v>542</v>
      </c>
      <c r="C149" s="54">
        <v>1050000961983</v>
      </c>
      <c r="D149" s="210" t="s">
        <v>1058</v>
      </c>
      <c r="E149" s="93">
        <v>683</v>
      </c>
      <c r="F149" s="54">
        <v>1050000961992</v>
      </c>
      <c r="G149" s="55" t="s">
        <v>1058</v>
      </c>
      <c r="H149" s="182"/>
      <c r="I149" s="59">
        <v>4.9359999999999999</v>
      </c>
      <c r="J149" s="60">
        <v>80.819999999999993</v>
      </c>
      <c r="K149" s="60">
        <v>1.62</v>
      </c>
      <c r="L149" s="60">
        <v>1.62</v>
      </c>
      <c r="M149" s="61">
        <v>0</v>
      </c>
      <c r="N149" s="62">
        <v>4202.75</v>
      </c>
      <c r="O149" s="62">
        <v>0.05</v>
      </c>
      <c r="P149" s="62">
        <v>0.05</v>
      </c>
    </row>
    <row r="150" spans="1:16" ht="15" customHeight="1" x14ac:dyDescent="0.2">
      <c r="A150" s="43" t="s">
        <v>1059</v>
      </c>
      <c r="B150" s="93">
        <v>543</v>
      </c>
      <c r="C150" s="54">
        <v>1050000948022</v>
      </c>
      <c r="D150" s="55" t="s">
        <v>1059</v>
      </c>
      <c r="E150" s="93">
        <v>655</v>
      </c>
      <c r="F150" s="54">
        <v>1050000948031</v>
      </c>
      <c r="G150" s="55" t="s">
        <v>1059</v>
      </c>
      <c r="H150" s="182"/>
      <c r="I150" s="59">
        <v>0.14000000000000001</v>
      </c>
      <c r="J150" s="60">
        <v>105.79</v>
      </c>
      <c r="K150" s="60">
        <v>1.86</v>
      </c>
      <c r="L150" s="60">
        <v>1.86</v>
      </c>
      <c r="M150" s="61">
        <v>0</v>
      </c>
      <c r="N150" s="62">
        <v>8815.65</v>
      </c>
      <c r="O150" s="62">
        <v>0.05</v>
      </c>
      <c r="P150" s="62">
        <v>0.05</v>
      </c>
    </row>
    <row r="151" spans="1:16" ht="15" customHeight="1" x14ac:dyDescent="0.2">
      <c r="A151" s="43" t="s">
        <v>1060</v>
      </c>
      <c r="B151" s="93"/>
      <c r="C151" s="54" t="s">
        <v>1268</v>
      </c>
      <c r="D151" s="55" t="s">
        <v>1060</v>
      </c>
      <c r="E151" s="93"/>
      <c r="F151" s="54" t="s">
        <v>1288</v>
      </c>
      <c r="G151" s="55" t="s">
        <v>1060</v>
      </c>
      <c r="H151" s="182"/>
      <c r="I151" s="59">
        <v>0</v>
      </c>
      <c r="J151" s="60">
        <v>1577.4</v>
      </c>
      <c r="K151" s="60">
        <v>1.3</v>
      </c>
      <c r="L151" s="60">
        <v>1.3</v>
      </c>
      <c r="M151" s="61">
        <v>-4.2999999999999997E-2</v>
      </c>
      <c r="N151" s="62">
        <v>1577.4</v>
      </c>
      <c r="O151" s="62">
        <v>0.05</v>
      </c>
      <c r="P151" s="62">
        <v>0.05</v>
      </c>
    </row>
    <row r="152" spans="1:16" ht="15" customHeight="1" x14ac:dyDescent="0.2">
      <c r="A152" s="43" t="s">
        <v>1061</v>
      </c>
      <c r="B152" s="93"/>
      <c r="C152" s="54" t="s">
        <v>1269</v>
      </c>
      <c r="D152" s="55" t="s">
        <v>1061</v>
      </c>
      <c r="E152" s="93"/>
      <c r="F152" s="54" t="s">
        <v>1289</v>
      </c>
      <c r="G152" s="55" t="s">
        <v>1061</v>
      </c>
      <c r="H152" s="182"/>
      <c r="I152" s="59">
        <v>0</v>
      </c>
      <c r="J152" s="60">
        <v>1577.4</v>
      </c>
      <c r="K152" s="60">
        <v>1.25</v>
      </c>
      <c r="L152" s="60">
        <v>1.25</v>
      </c>
      <c r="M152" s="61">
        <v>-4.2999999999999997E-2</v>
      </c>
      <c r="N152" s="62">
        <v>1577.4</v>
      </c>
      <c r="O152" s="62">
        <v>0.05</v>
      </c>
      <c r="P152" s="62">
        <v>0.05</v>
      </c>
    </row>
    <row r="153" spans="1:16" ht="15" customHeight="1" x14ac:dyDescent="0.2">
      <c r="A153" s="43" t="s">
        <v>1062</v>
      </c>
      <c r="B153" s="93">
        <v>303</v>
      </c>
      <c r="C153" s="54">
        <v>1050001382337</v>
      </c>
      <c r="D153" s="55" t="s">
        <v>1062</v>
      </c>
      <c r="E153" s="93">
        <v>437</v>
      </c>
      <c r="F153" s="54">
        <v>1050001382355</v>
      </c>
      <c r="G153" s="55" t="s">
        <v>1062</v>
      </c>
      <c r="H153" s="182"/>
      <c r="I153" s="59">
        <v>2.5999999999999999E-2</v>
      </c>
      <c r="J153" s="60">
        <v>330.71</v>
      </c>
      <c r="K153" s="60">
        <v>1.34</v>
      </c>
      <c r="L153" s="60">
        <v>1.34</v>
      </c>
      <c r="M153" s="61">
        <v>-5.0999999999999997E-2</v>
      </c>
      <c r="N153" s="62">
        <v>770.74</v>
      </c>
      <c r="O153" s="62">
        <v>0.05</v>
      </c>
      <c r="P153" s="62">
        <v>0.05</v>
      </c>
    </row>
    <row r="154" spans="1:16" ht="15" customHeight="1" x14ac:dyDescent="0.2">
      <c r="A154" s="43" t="s">
        <v>1063</v>
      </c>
      <c r="B154" s="93">
        <v>544</v>
      </c>
      <c r="C154" s="54">
        <v>1050000714173</v>
      </c>
      <c r="D154" s="55" t="s">
        <v>1063</v>
      </c>
      <c r="E154" s="93">
        <v>656</v>
      </c>
      <c r="F154" s="54">
        <v>1050000714182</v>
      </c>
      <c r="G154" s="55" t="s">
        <v>1063</v>
      </c>
      <c r="H154" s="182"/>
      <c r="I154" s="59">
        <v>2.5999999999999999E-2</v>
      </c>
      <c r="J154" s="60">
        <v>21.88</v>
      </c>
      <c r="K154" s="60">
        <v>1.55</v>
      </c>
      <c r="L154" s="60">
        <v>1.55</v>
      </c>
      <c r="M154" s="61">
        <v>0</v>
      </c>
      <c r="N154" s="62">
        <v>4814.6400000000003</v>
      </c>
      <c r="O154" s="62">
        <v>0.05</v>
      </c>
      <c r="P154" s="62">
        <v>0.05</v>
      </c>
    </row>
    <row r="155" spans="1:16" ht="42" customHeight="1" x14ac:dyDescent="0.2">
      <c r="A155" s="43" t="s">
        <v>1064</v>
      </c>
      <c r="B155" s="93">
        <v>304</v>
      </c>
      <c r="C155" s="54" t="s">
        <v>1344</v>
      </c>
      <c r="D155" s="55" t="s">
        <v>1064</v>
      </c>
      <c r="E155" s="93">
        <v>438</v>
      </c>
      <c r="F155" s="54" t="s">
        <v>1345</v>
      </c>
      <c r="G155" s="55" t="s">
        <v>1064</v>
      </c>
      <c r="H155" s="182"/>
      <c r="I155" s="59">
        <v>0</v>
      </c>
      <c r="J155" s="60">
        <v>60.1</v>
      </c>
      <c r="K155" s="60">
        <v>1.56</v>
      </c>
      <c r="L155" s="60">
        <v>1.56</v>
      </c>
      <c r="M155" s="61">
        <v>0</v>
      </c>
      <c r="N155" s="62">
        <v>4623.28</v>
      </c>
      <c r="O155" s="62">
        <v>0.05</v>
      </c>
      <c r="P155" s="62">
        <v>0.05</v>
      </c>
    </row>
    <row r="156" spans="1:16" ht="15" customHeight="1" x14ac:dyDescent="0.2">
      <c r="A156" s="43" t="s">
        <v>1065</v>
      </c>
      <c r="B156" s="93">
        <v>305</v>
      </c>
      <c r="C156" s="54">
        <v>1050001495174</v>
      </c>
      <c r="D156" s="55" t="s">
        <v>1065</v>
      </c>
      <c r="E156" s="93">
        <v>439</v>
      </c>
      <c r="F156" s="54">
        <v>1050001495183</v>
      </c>
      <c r="G156" s="55" t="s">
        <v>1065</v>
      </c>
      <c r="H156" s="182"/>
      <c r="I156" s="59">
        <v>2.6480000000000001</v>
      </c>
      <c r="J156" s="60">
        <v>909.89</v>
      </c>
      <c r="K156" s="60">
        <v>2.42</v>
      </c>
      <c r="L156" s="60">
        <v>2.42</v>
      </c>
      <c r="M156" s="61">
        <v>-4.17</v>
      </c>
      <c r="N156" s="62">
        <v>909.89</v>
      </c>
      <c r="O156" s="62">
        <v>0.05</v>
      </c>
      <c r="P156" s="62">
        <v>0.05</v>
      </c>
    </row>
    <row r="157" spans="1:16" ht="15" customHeight="1" x14ac:dyDescent="0.2">
      <c r="A157" s="43" t="s">
        <v>1066</v>
      </c>
      <c r="B157" s="93">
        <v>535</v>
      </c>
      <c r="C157" s="54">
        <v>1050000841917</v>
      </c>
      <c r="D157" s="55" t="s">
        <v>1066</v>
      </c>
      <c r="E157" s="93">
        <v>467</v>
      </c>
      <c r="F157" s="54">
        <v>1050000841926</v>
      </c>
      <c r="G157" s="55" t="s">
        <v>1066</v>
      </c>
      <c r="H157" s="182"/>
      <c r="I157" s="59">
        <v>0</v>
      </c>
      <c r="J157" s="60">
        <v>8.51</v>
      </c>
      <c r="K157" s="60">
        <v>6.57</v>
      </c>
      <c r="L157" s="60">
        <v>6.57</v>
      </c>
      <c r="M157" s="61">
        <v>0</v>
      </c>
      <c r="N157" s="62">
        <v>1701.88</v>
      </c>
      <c r="O157" s="62">
        <v>0.05</v>
      </c>
      <c r="P157" s="62">
        <v>0.05</v>
      </c>
    </row>
    <row r="158" spans="1:16" ht="30" customHeight="1" x14ac:dyDescent="0.2">
      <c r="A158" s="43" t="s">
        <v>1067</v>
      </c>
      <c r="B158" s="93">
        <v>808</v>
      </c>
      <c r="C158" s="54" t="s">
        <v>1250</v>
      </c>
      <c r="D158" s="55" t="s">
        <v>1067</v>
      </c>
      <c r="E158" s="93">
        <v>715</v>
      </c>
      <c r="F158" s="54" t="s">
        <v>1251</v>
      </c>
      <c r="G158" s="55" t="s">
        <v>1067</v>
      </c>
      <c r="H158" s="182">
        <v>1</v>
      </c>
      <c r="I158" s="59">
        <v>0.10299999999999999</v>
      </c>
      <c r="J158" s="60">
        <v>4721.92</v>
      </c>
      <c r="K158" s="60">
        <v>1.61</v>
      </c>
      <c r="L158" s="60">
        <v>1.61</v>
      </c>
      <c r="M158" s="61"/>
      <c r="N158" s="62"/>
      <c r="O158" s="62"/>
      <c r="P158" s="62"/>
    </row>
    <row r="159" spans="1:16" ht="15" customHeight="1" x14ac:dyDescent="0.2">
      <c r="A159" s="43" t="s">
        <v>1068</v>
      </c>
      <c r="B159" s="93">
        <v>306</v>
      </c>
      <c r="C159" s="54">
        <v>1050001662241</v>
      </c>
      <c r="D159" s="55" t="s">
        <v>1068</v>
      </c>
      <c r="E159" s="93">
        <v>440</v>
      </c>
      <c r="F159" s="54">
        <v>1050001662250</v>
      </c>
      <c r="G159" s="55" t="s">
        <v>1068</v>
      </c>
      <c r="H159" s="182"/>
      <c r="I159" s="59">
        <v>0.155</v>
      </c>
      <c r="J159" s="60">
        <v>12.94</v>
      </c>
      <c r="K159" s="60">
        <v>2.04</v>
      </c>
      <c r="L159" s="60">
        <v>2.04</v>
      </c>
      <c r="M159" s="61">
        <v>0</v>
      </c>
      <c r="N159" s="62">
        <v>1591.31</v>
      </c>
      <c r="O159" s="62">
        <v>0.05</v>
      </c>
      <c r="P159" s="62">
        <v>0.05</v>
      </c>
    </row>
    <row r="160" spans="1:16" ht="15" customHeight="1" x14ac:dyDescent="0.2">
      <c r="A160" s="43" t="s">
        <v>1069</v>
      </c>
      <c r="B160" s="93"/>
      <c r="C160" s="54" t="s">
        <v>1240</v>
      </c>
      <c r="D160" s="55" t="s">
        <v>1069</v>
      </c>
      <c r="E160" s="93"/>
      <c r="F160" s="54" t="s">
        <v>1240</v>
      </c>
      <c r="G160" s="55" t="s">
        <v>1069</v>
      </c>
      <c r="H160" s="182"/>
      <c r="I160" s="59">
        <v>0</v>
      </c>
      <c r="J160" s="60">
        <v>127.25</v>
      </c>
      <c r="K160" s="60">
        <v>0.92</v>
      </c>
      <c r="L160" s="60">
        <v>0.92</v>
      </c>
      <c r="M160" s="61">
        <v>-0.13200000000000001</v>
      </c>
      <c r="N160" s="62">
        <v>139.97</v>
      </c>
      <c r="O160" s="62">
        <v>0.05</v>
      </c>
      <c r="P160" s="62">
        <v>0.05</v>
      </c>
    </row>
    <row r="161" spans="1:16" ht="15" customHeight="1" x14ac:dyDescent="0.2">
      <c r="A161" s="43" t="s">
        <v>1070</v>
      </c>
      <c r="B161" s="93"/>
      <c r="C161" s="54" t="s">
        <v>1240</v>
      </c>
      <c r="D161" s="55" t="s">
        <v>1070</v>
      </c>
      <c r="E161" s="93"/>
      <c r="F161" s="54" t="s">
        <v>1240</v>
      </c>
      <c r="G161" s="55" t="s">
        <v>1070</v>
      </c>
      <c r="H161" s="182"/>
      <c r="I161" s="59">
        <v>0</v>
      </c>
      <c r="J161" s="60">
        <v>11.41</v>
      </c>
      <c r="K161" s="60">
        <v>1.23</v>
      </c>
      <c r="L161" s="60">
        <v>1.23</v>
      </c>
      <c r="M161" s="61">
        <v>-0.13200000000000001</v>
      </c>
      <c r="N161" s="62">
        <v>216.22</v>
      </c>
      <c r="O161" s="62">
        <v>0.05</v>
      </c>
      <c r="P161" s="62">
        <v>0.05</v>
      </c>
    </row>
    <row r="162" spans="1:16" ht="15" customHeight="1" x14ac:dyDescent="0.2">
      <c r="A162" s="43" t="s">
        <v>1071</v>
      </c>
      <c r="B162" s="93">
        <v>359</v>
      </c>
      <c r="C162" s="54">
        <v>1050003069890</v>
      </c>
      <c r="D162" s="55" t="s">
        <v>1071</v>
      </c>
      <c r="E162" s="93">
        <v>406</v>
      </c>
      <c r="F162" s="54">
        <v>1050003069905</v>
      </c>
      <c r="G162" s="55" t="s">
        <v>1071</v>
      </c>
      <c r="H162" s="182">
        <v>1</v>
      </c>
      <c r="I162" s="59">
        <v>0.17799999999999999</v>
      </c>
      <c r="J162" s="60">
        <v>4780.8900000000003</v>
      </c>
      <c r="K162" s="60">
        <v>1.59</v>
      </c>
      <c r="L162" s="60">
        <v>1.59</v>
      </c>
      <c r="M162" s="61">
        <v>0</v>
      </c>
      <c r="N162" s="62">
        <v>1934.6</v>
      </c>
      <c r="O162" s="62">
        <v>0.05</v>
      </c>
      <c r="P162" s="62">
        <v>0.05</v>
      </c>
    </row>
    <row r="163" spans="1:16" ht="15" customHeight="1" x14ac:dyDescent="0.2">
      <c r="A163" s="43" t="s">
        <v>1072</v>
      </c>
      <c r="B163" s="93">
        <v>566</v>
      </c>
      <c r="C163" s="54">
        <v>1050001191792</v>
      </c>
      <c r="D163" s="55" t="s">
        <v>1072</v>
      </c>
      <c r="E163" s="93">
        <v>684</v>
      </c>
      <c r="F163" s="54">
        <v>1050001191808</v>
      </c>
      <c r="G163" s="55" t="s">
        <v>1072</v>
      </c>
      <c r="H163" s="182"/>
      <c r="I163" s="59">
        <v>0</v>
      </c>
      <c r="J163" s="60">
        <v>17.739999999999998</v>
      </c>
      <c r="K163" s="60">
        <v>2.27</v>
      </c>
      <c r="L163" s="60">
        <v>2.27</v>
      </c>
      <c r="M163" s="61">
        <v>0</v>
      </c>
      <c r="N163" s="62">
        <v>971.98</v>
      </c>
      <c r="O163" s="62">
        <v>0.05</v>
      </c>
      <c r="P163" s="62">
        <v>0.05</v>
      </c>
    </row>
    <row r="164" spans="1:16" ht="15" customHeight="1" x14ac:dyDescent="0.2">
      <c r="A164" s="43" t="s">
        <v>1073</v>
      </c>
      <c r="B164" s="93">
        <v>353</v>
      </c>
      <c r="C164" s="54">
        <v>1050002962288</v>
      </c>
      <c r="D164" s="210" t="s">
        <v>1073</v>
      </c>
      <c r="E164" s="93">
        <v>391</v>
      </c>
      <c r="F164" s="54">
        <v>1050002962297</v>
      </c>
      <c r="G164" s="55" t="s">
        <v>1073</v>
      </c>
      <c r="H164" s="182"/>
      <c r="I164" s="59">
        <v>0</v>
      </c>
      <c r="J164" s="60">
        <v>20.5</v>
      </c>
      <c r="K164" s="60">
        <v>2.25</v>
      </c>
      <c r="L164" s="60">
        <v>2.25</v>
      </c>
      <c r="M164" s="61">
        <v>0</v>
      </c>
      <c r="N164" s="62">
        <v>6045.07</v>
      </c>
      <c r="O164" s="62">
        <v>0.05</v>
      </c>
      <c r="P164" s="62">
        <v>0.05</v>
      </c>
    </row>
    <row r="165" spans="1:16" ht="15" customHeight="1" x14ac:dyDescent="0.2">
      <c r="A165" s="43" t="s">
        <v>1074</v>
      </c>
      <c r="B165" s="93">
        <v>509</v>
      </c>
      <c r="C165" s="54">
        <v>1050000808859</v>
      </c>
      <c r="D165" s="55" t="s">
        <v>1074</v>
      </c>
      <c r="E165" s="93">
        <v>787</v>
      </c>
      <c r="F165" s="54">
        <v>1050000808868</v>
      </c>
      <c r="G165" s="55" t="s">
        <v>1074</v>
      </c>
      <c r="H165" s="182"/>
      <c r="I165" s="59">
        <v>0.10199999999999999</v>
      </c>
      <c r="J165" s="60">
        <v>0.93</v>
      </c>
      <c r="K165" s="60">
        <v>4.76</v>
      </c>
      <c r="L165" s="60">
        <v>4.76</v>
      </c>
      <c r="M165" s="61">
        <v>0</v>
      </c>
      <c r="N165" s="62">
        <v>493.93</v>
      </c>
      <c r="O165" s="62">
        <v>0.05</v>
      </c>
      <c r="P165" s="62">
        <v>0.05</v>
      </c>
    </row>
    <row r="166" spans="1:16" ht="15" customHeight="1" x14ac:dyDescent="0.2">
      <c r="A166" s="43" t="s">
        <v>1075</v>
      </c>
      <c r="B166" s="93">
        <v>307</v>
      </c>
      <c r="C166" s="54">
        <v>1050001047087</v>
      </c>
      <c r="D166" s="55" t="s">
        <v>1075</v>
      </c>
      <c r="E166" s="93">
        <v>657</v>
      </c>
      <c r="F166" s="54">
        <v>1050001047078</v>
      </c>
      <c r="G166" s="55" t="s">
        <v>1075</v>
      </c>
      <c r="H166" s="182"/>
      <c r="I166" s="59">
        <v>0</v>
      </c>
      <c r="J166" s="60">
        <v>2.09</v>
      </c>
      <c r="K166" s="60">
        <v>1.86</v>
      </c>
      <c r="L166" s="60">
        <v>1.86</v>
      </c>
      <c r="M166" s="61">
        <v>0</v>
      </c>
      <c r="N166" s="62">
        <v>1043.5</v>
      </c>
      <c r="O166" s="62">
        <v>0.05</v>
      </c>
      <c r="P166" s="62">
        <v>0.05</v>
      </c>
    </row>
    <row r="167" spans="1:16" ht="15" customHeight="1" x14ac:dyDescent="0.2">
      <c r="A167" s="43" t="s">
        <v>1076</v>
      </c>
      <c r="B167" s="93">
        <v>835</v>
      </c>
      <c r="C167" s="54">
        <v>1030079565056</v>
      </c>
      <c r="D167" s="55" t="s">
        <v>1076</v>
      </c>
      <c r="E167" s="93">
        <v>736</v>
      </c>
      <c r="F167" s="54">
        <v>1030079564823</v>
      </c>
      <c r="G167" s="55" t="s">
        <v>1076</v>
      </c>
      <c r="H167" s="182"/>
      <c r="I167" s="59">
        <v>0</v>
      </c>
      <c r="J167" s="60">
        <v>19.89</v>
      </c>
      <c r="K167" s="60">
        <v>2.5099999999999998</v>
      </c>
      <c r="L167" s="60">
        <v>2.5099999999999998</v>
      </c>
      <c r="M167" s="61">
        <v>0</v>
      </c>
      <c r="N167" s="62">
        <v>1631.39</v>
      </c>
      <c r="O167" s="62">
        <v>0.05</v>
      </c>
      <c r="P167" s="62">
        <v>0.05</v>
      </c>
    </row>
    <row r="168" spans="1:16" ht="15" customHeight="1" x14ac:dyDescent="0.2">
      <c r="A168" s="215" t="s">
        <v>1077</v>
      </c>
      <c r="B168" s="216">
        <v>878</v>
      </c>
      <c r="C168" s="217">
        <v>1050000612950</v>
      </c>
      <c r="D168" s="219" t="s">
        <v>1077</v>
      </c>
      <c r="E168" s="216">
        <v>752</v>
      </c>
      <c r="F168" s="217">
        <v>1050000612940</v>
      </c>
      <c r="G168" s="219" t="s">
        <v>1077</v>
      </c>
      <c r="H168" s="220"/>
      <c r="I168" s="221">
        <v>1.282</v>
      </c>
      <c r="J168" s="222">
        <v>16.54</v>
      </c>
      <c r="K168" s="222">
        <v>5.21</v>
      </c>
      <c r="L168" s="222">
        <v>5.21</v>
      </c>
      <c r="M168" s="223">
        <v>0</v>
      </c>
      <c r="N168" s="224">
        <v>2976.53</v>
      </c>
      <c r="O168" s="224">
        <v>0.05</v>
      </c>
      <c r="P168" s="224">
        <v>0.05</v>
      </c>
    </row>
    <row r="169" spans="1:16" ht="15" customHeight="1" x14ac:dyDescent="0.2">
      <c r="A169" s="43" t="s">
        <v>1078</v>
      </c>
      <c r="B169" s="93"/>
      <c r="C169" s="54" t="s">
        <v>1270</v>
      </c>
      <c r="D169" s="55" t="s">
        <v>1078</v>
      </c>
      <c r="E169" s="93"/>
      <c r="F169" s="54" t="s">
        <v>1290</v>
      </c>
      <c r="G169" s="55" t="s">
        <v>1078</v>
      </c>
      <c r="H169" s="182"/>
      <c r="I169" s="59">
        <v>0</v>
      </c>
      <c r="J169" s="60">
        <v>1629.1</v>
      </c>
      <c r="K169" s="60">
        <v>1.72</v>
      </c>
      <c r="L169" s="60">
        <v>1.72</v>
      </c>
      <c r="M169" s="61">
        <v>-0.73299999999999998</v>
      </c>
      <c r="N169" s="62">
        <v>1629.1</v>
      </c>
      <c r="O169" s="62">
        <v>0.05</v>
      </c>
      <c r="P169" s="62">
        <v>0.05</v>
      </c>
    </row>
    <row r="170" spans="1:16" ht="15" customHeight="1" x14ac:dyDescent="0.2">
      <c r="A170" s="43" t="s">
        <v>1079</v>
      </c>
      <c r="B170" s="93">
        <v>879</v>
      </c>
      <c r="C170" s="54">
        <v>1050000581432</v>
      </c>
      <c r="D170" s="55" t="s">
        <v>1079</v>
      </c>
      <c r="E170" s="93">
        <v>753</v>
      </c>
      <c r="F170" s="54">
        <v>1050000581441</v>
      </c>
      <c r="G170" s="55" t="s">
        <v>1079</v>
      </c>
      <c r="H170" s="182"/>
      <c r="I170" s="59">
        <v>0</v>
      </c>
      <c r="J170" s="60">
        <v>11.79</v>
      </c>
      <c r="K170" s="60">
        <v>4.57</v>
      </c>
      <c r="L170" s="60">
        <v>4.57</v>
      </c>
      <c r="M170" s="61">
        <v>0</v>
      </c>
      <c r="N170" s="62">
        <v>1179.05</v>
      </c>
      <c r="O170" s="62">
        <v>0.05</v>
      </c>
      <c r="P170" s="62">
        <v>0.05</v>
      </c>
    </row>
    <row r="171" spans="1:16" ht="15" customHeight="1" x14ac:dyDescent="0.2">
      <c r="A171" s="43" t="s">
        <v>1080</v>
      </c>
      <c r="B171" s="93">
        <v>545</v>
      </c>
      <c r="C171" s="54">
        <v>1050001047272</v>
      </c>
      <c r="D171" s="55" t="s">
        <v>1080</v>
      </c>
      <c r="E171" s="93">
        <v>658</v>
      </c>
      <c r="F171" s="54">
        <v>1050001047263</v>
      </c>
      <c r="G171" s="55" t="s">
        <v>1080</v>
      </c>
      <c r="H171" s="182"/>
      <c r="I171" s="59">
        <v>4.7960000000000003</v>
      </c>
      <c r="J171" s="60">
        <v>22.05</v>
      </c>
      <c r="K171" s="60">
        <v>2.2599999999999998</v>
      </c>
      <c r="L171" s="60">
        <v>2.2599999999999998</v>
      </c>
      <c r="M171" s="61">
        <v>0</v>
      </c>
      <c r="N171" s="62">
        <v>992.25</v>
      </c>
      <c r="O171" s="62">
        <v>0.05</v>
      </c>
      <c r="P171" s="62">
        <v>0.05</v>
      </c>
    </row>
    <row r="172" spans="1:16" ht="15" customHeight="1" x14ac:dyDescent="0.2">
      <c r="A172" s="43" t="s">
        <v>1081</v>
      </c>
      <c r="B172" s="93">
        <v>877</v>
      </c>
      <c r="C172" s="54">
        <v>1050000609423</v>
      </c>
      <c r="D172" s="55" t="s">
        <v>1081</v>
      </c>
      <c r="E172" s="93">
        <v>751</v>
      </c>
      <c r="F172" s="54">
        <v>1050000609380</v>
      </c>
      <c r="G172" s="55" t="s">
        <v>1081</v>
      </c>
      <c r="H172" s="182"/>
      <c r="I172" s="59">
        <v>0</v>
      </c>
      <c r="J172" s="60">
        <v>3.77</v>
      </c>
      <c r="K172" s="60">
        <v>5.18</v>
      </c>
      <c r="L172" s="60">
        <v>5.18</v>
      </c>
      <c r="M172" s="61">
        <v>0</v>
      </c>
      <c r="N172" s="62">
        <v>1130.0899999999999</v>
      </c>
      <c r="O172" s="62">
        <v>0.05</v>
      </c>
      <c r="P172" s="62">
        <v>0.05</v>
      </c>
    </row>
    <row r="173" spans="1:16" ht="15" customHeight="1" x14ac:dyDescent="0.2">
      <c r="A173" s="43" t="s">
        <v>1082</v>
      </c>
      <c r="B173" s="93">
        <v>841</v>
      </c>
      <c r="C173" s="54">
        <v>1030081316739</v>
      </c>
      <c r="D173" s="55" t="s">
        <v>1082</v>
      </c>
      <c r="E173" s="93">
        <v>737</v>
      </c>
      <c r="F173" s="54">
        <v>1030081316960</v>
      </c>
      <c r="G173" s="55" t="s">
        <v>1082</v>
      </c>
      <c r="H173" s="182"/>
      <c r="I173" s="59">
        <v>0.128</v>
      </c>
      <c r="J173" s="60">
        <v>7.34</v>
      </c>
      <c r="K173" s="60">
        <v>1.66</v>
      </c>
      <c r="L173" s="60">
        <v>1.66</v>
      </c>
      <c r="M173" s="61">
        <v>0</v>
      </c>
      <c r="N173" s="62">
        <v>734.44</v>
      </c>
      <c r="O173" s="62">
        <v>0.05</v>
      </c>
      <c r="P173" s="62">
        <v>0.05</v>
      </c>
    </row>
    <row r="174" spans="1:16" ht="15" customHeight="1" x14ac:dyDescent="0.2">
      <c r="A174" s="43" t="s">
        <v>1083</v>
      </c>
      <c r="B174" s="93">
        <v>887</v>
      </c>
      <c r="C174" s="54">
        <v>1050000609441</v>
      </c>
      <c r="D174" s="55" t="s">
        <v>1083</v>
      </c>
      <c r="E174" s="93">
        <v>761</v>
      </c>
      <c r="F174" s="54">
        <v>1050000563595</v>
      </c>
      <c r="G174" s="55" t="s">
        <v>1083</v>
      </c>
      <c r="H174" s="182"/>
      <c r="I174" s="59">
        <v>0</v>
      </c>
      <c r="J174" s="60">
        <v>6.46</v>
      </c>
      <c r="K174" s="60">
        <v>8.9</v>
      </c>
      <c r="L174" s="60">
        <v>8.9</v>
      </c>
      <c r="M174" s="61">
        <v>0</v>
      </c>
      <c r="N174" s="62">
        <v>1232.42</v>
      </c>
      <c r="O174" s="62">
        <v>0.05</v>
      </c>
      <c r="P174" s="62">
        <v>0.05</v>
      </c>
    </row>
    <row r="175" spans="1:16" ht="54.95" customHeight="1" x14ac:dyDescent="0.2">
      <c r="A175" s="43" t="s">
        <v>1084</v>
      </c>
      <c r="B175" s="93">
        <v>810</v>
      </c>
      <c r="C175" s="54" t="s">
        <v>1252</v>
      </c>
      <c r="D175" s="55" t="s">
        <v>1084</v>
      </c>
      <c r="E175" s="93">
        <v>702</v>
      </c>
      <c r="F175" s="54" t="s">
        <v>1253</v>
      </c>
      <c r="G175" s="55" t="s">
        <v>1084</v>
      </c>
      <c r="H175" s="182"/>
      <c r="I175" s="59">
        <v>0.28599999999999998</v>
      </c>
      <c r="J175" s="60">
        <v>24.67</v>
      </c>
      <c r="K175" s="60">
        <v>1.24</v>
      </c>
      <c r="L175" s="60">
        <v>1.24</v>
      </c>
      <c r="M175" s="61">
        <v>-0.28599999999999998</v>
      </c>
      <c r="N175" s="62">
        <v>1700.76</v>
      </c>
      <c r="O175" s="62">
        <v>0.05</v>
      </c>
      <c r="P175" s="62">
        <v>0.05</v>
      </c>
    </row>
    <row r="176" spans="1:16" ht="15" customHeight="1" x14ac:dyDescent="0.2">
      <c r="A176" s="43" t="s">
        <v>1085</v>
      </c>
      <c r="B176" s="93">
        <v>811</v>
      </c>
      <c r="C176" s="54">
        <v>1030020271288</v>
      </c>
      <c r="D176" s="55" t="s">
        <v>1085</v>
      </c>
      <c r="E176" s="93">
        <v>713</v>
      </c>
      <c r="F176" s="54">
        <v>1030020271056</v>
      </c>
      <c r="G176" s="55" t="s">
        <v>1085</v>
      </c>
      <c r="H176" s="182"/>
      <c r="I176" s="59">
        <v>0</v>
      </c>
      <c r="J176" s="60">
        <v>50.49</v>
      </c>
      <c r="K176" s="60">
        <v>5.0199999999999996</v>
      </c>
      <c r="L176" s="60">
        <v>5.0199999999999996</v>
      </c>
      <c r="M176" s="61"/>
      <c r="N176" s="62"/>
      <c r="O176" s="62"/>
      <c r="P176" s="62"/>
    </row>
    <row r="177" spans="1:16" ht="15" customHeight="1" x14ac:dyDescent="0.2">
      <c r="A177" s="43" t="s">
        <v>1086</v>
      </c>
      <c r="B177" s="93">
        <v>880</v>
      </c>
      <c r="C177" s="54">
        <v>1050000567483</v>
      </c>
      <c r="D177" s="55" t="s">
        <v>1086</v>
      </c>
      <c r="E177" s="93">
        <v>754</v>
      </c>
      <c r="F177" s="54">
        <v>1050000567492</v>
      </c>
      <c r="G177" s="55" t="s">
        <v>1086</v>
      </c>
      <c r="H177" s="182"/>
      <c r="I177" s="59">
        <v>0.03</v>
      </c>
      <c r="J177" s="60">
        <v>9.7899999999999991</v>
      </c>
      <c r="K177" s="60">
        <v>2.0499999999999998</v>
      </c>
      <c r="L177" s="60">
        <v>2.0499999999999998</v>
      </c>
      <c r="M177" s="61">
        <v>0</v>
      </c>
      <c r="N177" s="62">
        <v>1038.03</v>
      </c>
      <c r="O177" s="62">
        <v>0.05</v>
      </c>
      <c r="P177" s="62">
        <v>0.05</v>
      </c>
    </row>
    <row r="178" spans="1:16" ht="42" customHeight="1" x14ac:dyDescent="0.2">
      <c r="A178" s="43" t="s">
        <v>1087</v>
      </c>
      <c r="B178" s="93">
        <v>881</v>
      </c>
      <c r="C178" s="54" t="s">
        <v>1254</v>
      </c>
      <c r="D178" s="55" t="s">
        <v>1087</v>
      </c>
      <c r="E178" s="93">
        <v>755</v>
      </c>
      <c r="F178" s="54" t="s">
        <v>1255</v>
      </c>
      <c r="G178" s="55" t="s">
        <v>1087</v>
      </c>
      <c r="H178" s="182"/>
      <c r="I178" s="59">
        <v>3.89</v>
      </c>
      <c r="J178" s="60">
        <v>9.39</v>
      </c>
      <c r="K178" s="60">
        <v>4.07</v>
      </c>
      <c r="L178" s="60">
        <v>4.07</v>
      </c>
      <c r="M178" s="61">
        <v>0</v>
      </c>
      <c r="N178" s="62">
        <v>2159.1</v>
      </c>
      <c r="O178" s="62">
        <v>0.05</v>
      </c>
      <c r="P178" s="62">
        <v>0.05</v>
      </c>
    </row>
    <row r="179" spans="1:16" ht="15" customHeight="1" x14ac:dyDescent="0.2">
      <c r="A179" s="43" t="s">
        <v>1088</v>
      </c>
      <c r="B179" s="93">
        <v>546</v>
      </c>
      <c r="C179" s="54">
        <v>1050000923668</v>
      </c>
      <c r="D179" s="55" t="s">
        <v>1088</v>
      </c>
      <c r="E179" s="93">
        <v>659</v>
      </c>
      <c r="F179" s="54">
        <v>1050000923677</v>
      </c>
      <c r="G179" s="55" t="s">
        <v>1088</v>
      </c>
      <c r="H179" s="182"/>
      <c r="I179" s="59">
        <v>0</v>
      </c>
      <c r="J179" s="60">
        <v>32.71</v>
      </c>
      <c r="K179" s="60">
        <v>5.79</v>
      </c>
      <c r="L179" s="60">
        <v>5.79</v>
      </c>
      <c r="M179" s="61">
        <v>0</v>
      </c>
      <c r="N179" s="62">
        <v>1962.59</v>
      </c>
      <c r="O179" s="62">
        <v>0.05</v>
      </c>
      <c r="P179" s="62">
        <v>0.05</v>
      </c>
    </row>
    <row r="180" spans="1:16" ht="15" customHeight="1" x14ac:dyDescent="0.2">
      <c r="A180" s="43" t="s">
        <v>1089</v>
      </c>
      <c r="B180" s="93">
        <v>812</v>
      </c>
      <c r="C180" s="54">
        <v>1023494988750</v>
      </c>
      <c r="D180" s="55" t="s">
        <v>1089</v>
      </c>
      <c r="E180" s="93">
        <v>705</v>
      </c>
      <c r="F180" s="54">
        <v>1023503165023</v>
      </c>
      <c r="G180" s="55" t="s">
        <v>1089</v>
      </c>
      <c r="H180" s="182"/>
      <c r="I180" s="59">
        <v>3.6930000000000001</v>
      </c>
      <c r="J180" s="60">
        <v>169.39</v>
      </c>
      <c r="K180" s="60">
        <v>1.32</v>
      </c>
      <c r="L180" s="60">
        <v>1.32</v>
      </c>
      <c r="M180" s="61">
        <v>-3.786</v>
      </c>
      <c r="N180" s="62">
        <v>1287.3699999999999</v>
      </c>
      <c r="O180" s="62">
        <v>0.05</v>
      </c>
      <c r="P180" s="62">
        <v>0.05</v>
      </c>
    </row>
    <row r="181" spans="1:16" ht="42" customHeight="1" x14ac:dyDescent="0.2">
      <c r="A181" s="43" t="s">
        <v>1090</v>
      </c>
      <c r="B181" s="93">
        <v>308</v>
      </c>
      <c r="C181" s="54">
        <v>1050001440510</v>
      </c>
      <c r="D181" s="55" t="s">
        <v>1090</v>
      </c>
      <c r="E181" s="93">
        <v>441</v>
      </c>
      <c r="F181" s="54" t="s">
        <v>1346</v>
      </c>
      <c r="G181" s="55" t="s">
        <v>1090</v>
      </c>
      <c r="H181" s="182"/>
      <c r="I181" s="59">
        <v>0</v>
      </c>
      <c r="J181" s="60">
        <v>34.67</v>
      </c>
      <c r="K181" s="60">
        <v>2.13</v>
      </c>
      <c r="L181" s="60">
        <v>2.13</v>
      </c>
      <c r="M181" s="61">
        <v>0</v>
      </c>
      <c r="N181" s="62">
        <v>2666.69</v>
      </c>
      <c r="O181" s="62">
        <v>0.05</v>
      </c>
      <c r="P181" s="62">
        <v>0.05</v>
      </c>
    </row>
    <row r="182" spans="1:16" ht="15" customHeight="1" x14ac:dyDescent="0.2">
      <c r="A182" s="43" t="s">
        <v>1091</v>
      </c>
      <c r="B182" s="93">
        <v>882</v>
      </c>
      <c r="C182" s="54">
        <v>1050000628160</v>
      </c>
      <c r="D182" s="55" t="s">
        <v>1091</v>
      </c>
      <c r="E182" s="93">
        <v>756</v>
      </c>
      <c r="F182" s="54">
        <v>1050000628170</v>
      </c>
      <c r="G182" s="55" t="s">
        <v>1091</v>
      </c>
      <c r="H182" s="182"/>
      <c r="I182" s="59">
        <v>0.81100000000000005</v>
      </c>
      <c r="J182" s="60">
        <v>94.07</v>
      </c>
      <c r="K182" s="60">
        <v>1.81</v>
      </c>
      <c r="L182" s="60">
        <v>1.81</v>
      </c>
      <c r="M182" s="61">
        <v>0</v>
      </c>
      <c r="N182" s="62">
        <v>2257.66</v>
      </c>
      <c r="O182" s="62">
        <v>0.05</v>
      </c>
      <c r="P182" s="62">
        <v>0.05</v>
      </c>
    </row>
    <row r="183" spans="1:16" ht="15" customHeight="1" x14ac:dyDescent="0.2">
      <c r="A183" s="43" t="s">
        <v>1092</v>
      </c>
      <c r="B183" s="93">
        <v>510</v>
      </c>
      <c r="C183" s="54">
        <v>1050000784384</v>
      </c>
      <c r="D183" s="55" t="s">
        <v>1092</v>
      </c>
      <c r="E183" s="93">
        <v>788</v>
      </c>
      <c r="F183" s="54">
        <v>1050000784393</v>
      </c>
      <c r="G183" s="55" t="s">
        <v>1092</v>
      </c>
      <c r="H183" s="182"/>
      <c r="I183" s="59">
        <v>6.9000000000000006E-2</v>
      </c>
      <c r="J183" s="60">
        <v>26.02</v>
      </c>
      <c r="K183" s="60">
        <v>3.01</v>
      </c>
      <c r="L183" s="60">
        <v>3.01</v>
      </c>
      <c r="M183" s="61">
        <v>0</v>
      </c>
      <c r="N183" s="62">
        <v>6245.14</v>
      </c>
      <c r="O183" s="62">
        <v>0.05</v>
      </c>
      <c r="P183" s="62">
        <v>0.05</v>
      </c>
    </row>
    <row r="184" spans="1:16" ht="15" customHeight="1" x14ac:dyDescent="0.2">
      <c r="A184" s="43" t="s">
        <v>1093</v>
      </c>
      <c r="B184" s="93">
        <v>883</v>
      </c>
      <c r="C184" s="54">
        <v>1030085019966</v>
      </c>
      <c r="D184" s="55" t="s">
        <v>1093</v>
      </c>
      <c r="E184" s="93">
        <v>757</v>
      </c>
      <c r="F184" s="54">
        <v>1030085020190</v>
      </c>
      <c r="G184" s="55" t="s">
        <v>1093</v>
      </c>
      <c r="H184" s="182"/>
      <c r="I184" s="59">
        <v>1.925</v>
      </c>
      <c r="J184" s="60">
        <v>14.46</v>
      </c>
      <c r="K184" s="60">
        <v>1.61</v>
      </c>
      <c r="L184" s="60">
        <v>1.61</v>
      </c>
      <c r="M184" s="61">
        <v>0</v>
      </c>
      <c r="N184" s="62">
        <v>983.19</v>
      </c>
      <c r="O184" s="62">
        <v>0.05</v>
      </c>
      <c r="P184" s="62">
        <v>0.05</v>
      </c>
    </row>
    <row r="185" spans="1:16" ht="15" customHeight="1" x14ac:dyDescent="0.2">
      <c r="A185" s="43" t="s">
        <v>1094</v>
      </c>
      <c r="B185" s="93">
        <v>817</v>
      </c>
      <c r="C185" s="54">
        <v>1023507304338</v>
      </c>
      <c r="D185" s="55" t="s">
        <v>1094</v>
      </c>
      <c r="E185" s="93">
        <v>718</v>
      </c>
      <c r="F185" s="54">
        <v>1023507304560</v>
      </c>
      <c r="G185" s="55" t="s">
        <v>1094</v>
      </c>
      <c r="H185" s="182"/>
      <c r="I185" s="59">
        <v>1.3240000000000001</v>
      </c>
      <c r="J185" s="60">
        <v>46.6</v>
      </c>
      <c r="K185" s="60">
        <v>2.09</v>
      </c>
      <c r="L185" s="60">
        <v>2.09</v>
      </c>
      <c r="M185" s="61">
        <v>-2.2669999999999999</v>
      </c>
      <c r="N185" s="62">
        <v>448.26</v>
      </c>
      <c r="O185" s="62">
        <v>0.05</v>
      </c>
      <c r="P185" s="62">
        <v>0.05</v>
      </c>
    </row>
    <row r="186" spans="1:16" ht="15" customHeight="1" x14ac:dyDescent="0.2">
      <c r="A186" s="43" t="s">
        <v>1095</v>
      </c>
      <c r="B186" s="93">
        <v>511</v>
      </c>
      <c r="C186" s="54">
        <v>1050000774163</v>
      </c>
      <c r="D186" s="55" t="s">
        <v>1095</v>
      </c>
      <c r="E186" s="93">
        <v>789</v>
      </c>
      <c r="F186" s="54">
        <v>1050000774172</v>
      </c>
      <c r="G186" s="55" t="s">
        <v>1095</v>
      </c>
      <c r="H186" s="182"/>
      <c r="I186" s="59">
        <v>2.61</v>
      </c>
      <c r="J186" s="60">
        <v>78.31</v>
      </c>
      <c r="K186" s="60">
        <v>1.95</v>
      </c>
      <c r="L186" s="60">
        <v>1.95</v>
      </c>
      <c r="M186" s="61">
        <v>0</v>
      </c>
      <c r="N186" s="62">
        <v>7830.84</v>
      </c>
      <c r="O186" s="62">
        <v>0.05</v>
      </c>
      <c r="P186" s="62">
        <v>0.05</v>
      </c>
    </row>
    <row r="187" spans="1:16" ht="15" customHeight="1" x14ac:dyDescent="0.2">
      <c r="A187" s="43" t="s">
        <v>1096</v>
      </c>
      <c r="B187" s="93">
        <v>816</v>
      </c>
      <c r="C187" s="54">
        <v>1023479132092</v>
      </c>
      <c r="D187" s="55" t="s">
        <v>1096</v>
      </c>
      <c r="E187" s="93">
        <v>707</v>
      </c>
      <c r="F187" s="54">
        <v>1023479132320</v>
      </c>
      <c r="G187" s="55" t="s">
        <v>1096</v>
      </c>
      <c r="H187" s="182"/>
      <c r="I187" s="59">
        <v>1.542</v>
      </c>
      <c r="J187" s="60">
        <v>28.91</v>
      </c>
      <c r="K187" s="60">
        <v>1.89</v>
      </c>
      <c r="L187" s="60">
        <v>1.89</v>
      </c>
      <c r="M187" s="61">
        <v>-2.1960000000000002</v>
      </c>
      <c r="N187" s="62">
        <v>491.51</v>
      </c>
      <c r="O187" s="62">
        <v>0.05</v>
      </c>
      <c r="P187" s="62">
        <v>0.05</v>
      </c>
    </row>
    <row r="188" spans="1:16" ht="15" customHeight="1" x14ac:dyDescent="0.2">
      <c r="A188" s="43" t="s">
        <v>1097</v>
      </c>
      <c r="B188" s="93">
        <v>512</v>
      </c>
      <c r="C188" s="54">
        <v>1050000822463</v>
      </c>
      <c r="D188" s="55" t="s">
        <v>1097</v>
      </c>
      <c r="E188" s="93">
        <v>790</v>
      </c>
      <c r="F188" s="54">
        <v>1050000822472</v>
      </c>
      <c r="G188" s="55" t="s">
        <v>1097</v>
      </c>
      <c r="H188" s="182"/>
      <c r="I188" s="59">
        <v>4.8179999999999996</v>
      </c>
      <c r="J188" s="60">
        <v>16.91</v>
      </c>
      <c r="K188" s="60">
        <v>2.5</v>
      </c>
      <c r="L188" s="60">
        <v>2.5</v>
      </c>
      <c r="M188" s="61">
        <v>0</v>
      </c>
      <c r="N188" s="62">
        <v>2537.0500000000002</v>
      </c>
      <c r="O188" s="62">
        <v>0.05</v>
      </c>
      <c r="P188" s="62">
        <v>0.05</v>
      </c>
    </row>
    <row r="189" spans="1:16" ht="15" customHeight="1" x14ac:dyDescent="0.2">
      <c r="A189" s="43" t="s">
        <v>1098</v>
      </c>
      <c r="B189" s="93">
        <v>513</v>
      </c>
      <c r="C189" s="54">
        <v>1050000709721</v>
      </c>
      <c r="D189" s="55" t="s">
        <v>1098</v>
      </c>
      <c r="E189" s="93">
        <v>766</v>
      </c>
      <c r="F189" s="54">
        <v>1050000709730</v>
      </c>
      <c r="G189" s="55" t="s">
        <v>1098</v>
      </c>
      <c r="H189" s="182"/>
      <c r="I189" s="59">
        <v>0</v>
      </c>
      <c r="J189" s="60">
        <v>15.81</v>
      </c>
      <c r="K189" s="60">
        <v>2.64</v>
      </c>
      <c r="L189" s="60">
        <v>2.64</v>
      </c>
      <c r="M189" s="61">
        <v>0</v>
      </c>
      <c r="N189" s="62">
        <v>1580.51</v>
      </c>
      <c r="O189" s="62">
        <v>0.05</v>
      </c>
      <c r="P189" s="62">
        <v>0.05</v>
      </c>
    </row>
    <row r="190" spans="1:16" ht="15" customHeight="1" x14ac:dyDescent="0.2">
      <c r="A190" s="43" t="s">
        <v>1099</v>
      </c>
      <c r="B190" s="93">
        <v>514</v>
      </c>
      <c r="C190" s="54">
        <v>1050000738305</v>
      </c>
      <c r="D190" s="55" t="s">
        <v>1099</v>
      </c>
      <c r="E190" s="93">
        <v>767</v>
      </c>
      <c r="F190" s="54">
        <v>1050000738290</v>
      </c>
      <c r="G190" s="55" t="s">
        <v>1099</v>
      </c>
      <c r="H190" s="182"/>
      <c r="I190" s="59">
        <v>0</v>
      </c>
      <c r="J190" s="60">
        <v>38.94</v>
      </c>
      <c r="K190" s="60">
        <v>1.56</v>
      </c>
      <c r="L190" s="60">
        <v>1.56</v>
      </c>
      <c r="M190" s="61">
        <v>0</v>
      </c>
      <c r="N190" s="62">
        <v>1943.09</v>
      </c>
      <c r="O190" s="62">
        <v>0.05</v>
      </c>
      <c r="P190" s="62">
        <v>0.05</v>
      </c>
    </row>
    <row r="191" spans="1:16" ht="15" customHeight="1" x14ac:dyDescent="0.2">
      <c r="A191" s="43" t="s">
        <v>1100</v>
      </c>
      <c r="B191" s="93">
        <v>567</v>
      </c>
      <c r="C191" s="54">
        <v>1050000903244</v>
      </c>
      <c r="D191" s="55" t="s">
        <v>1100</v>
      </c>
      <c r="E191" s="93">
        <v>660</v>
      </c>
      <c r="F191" s="54">
        <v>1050000903253</v>
      </c>
      <c r="G191" s="55" t="s">
        <v>1100</v>
      </c>
      <c r="H191" s="182"/>
      <c r="I191" s="59">
        <v>0.125</v>
      </c>
      <c r="J191" s="60">
        <v>88.9</v>
      </c>
      <c r="K191" s="60">
        <v>1.65</v>
      </c>
      <c r="L191" s="60">
        <v>1.65</v>
      </c>
      <c r="M191" s="61">
        <v>-0.69399999999999995</v>
      </c>
      <c r="N191" s="62">
        <v>1236.01</v>
      </c>
      <c r="O191" s="62">
        <v>0.05</v>
      </c>
      <c r="P191" s="62">
        <v>0.05</v>
      </c>
    </row>
    <row r="192" spans="1:16" ht="15" customHeight="1" x14ac:dyDescent="0.2">
      <c r="A192" s="43" t="s">
        <v>1101</v>
      </c>
      <c r="B192" s="93">
        <v>865</v>
      </c>
      <c r="C192" s="54">
        <v>1030083962424</v>
      </c>
      <c r="D192" s="55" t="s">
        <v>1101</v>
      </c>
      <c r="E192" s="93">
        <v>738</v>
      </c>
      <c r="F192" s="54">
        <v>1030083962656</v>
      </c>
      <c r="G192" s="55" t="s">
        <v>1101</v>
      </c>
      <c r="H192" s="182"/>
      <c r="I192" s="59">
        <v>0</v>
      </c>
      <c r="J192" s="60">
        <v>211.53</v>
      </c>
      <c r="K192" s="60">
        <v>4.17</v>
      </c>
      <c r="L192" s="60">
        <v>4.17</v>
      </c>
      <c r="M192" s="61">
        <v>0</v>
      </c>
      <c r="N192" s="62">
        <v>10407.219999999999</v>
      </c>
      <c r="O192" s="62">
        <v>0.05</v>
      </c>
      <c r="P192" s="62">
        <v>0.05</v>
      </c>
    </row>
    <row r="193" spans="1:16" ht="15" customHeight="1" x14ac:dyDescent="0.2">
      <c r="A193" s="43" t="s">
        <v>1102</v>
      </c>
      <c r="B193" s="93">
        <v>814</v>
      </c>
      <c r="C193" s="54">
        <v>1030024800679</v>
      </c>
      <c r="D193" s="55" t="s">
        <v>1102</v>
      </c>
      <c r="E193" s="93">
        <v>709</v>
      </c>
      <c r="F193" s="54">
        <v>1030024800447</v>
      </c>
      <c r="G193" s="55" t="s">
        <v>1102</v>
      </c>
      <c r="H193" s="182"/>
      <c r="I193" s="59">
        <v>0.60299999999999998</v>
      </c>
      <c r="J193" s="60">
        <v>26.67</v>
      </c>
      <c r="K193" s="60">
        <v>2.41</v>
      </c>
      <c r="L193" s="60">
        <v>2.41</v>
      </c>
      <c r="M193" s="61"/>
      <c r="N193" s="62"/>
      <c r="O193" s="62"/>
      <c r="P193" s="62"/>
    </row>
    <row r="194" spans="1:16" ht="15" customHeight="1" x14ac:dyDescent="0.2">
      <c r="A194" s="43" t="s">
        <v>1103</v>
      </c>
      <c r="B194" s="93">
        <v>309</v>
      </c>
      <c r="C194" s="54">
        <v>1050001727953</v>
      </c>
      <c r="D194" s="55" t="s">
        <v>1103</v>
      </c>
      <c r="E194" s="93">
        <v>442</v>
      </c>
      <c r="F194" s="54">
        <v>1050001727962</v>
      </c>
      <c r="G194" s="55" t="s">
        <v>1103</v>
      </c>
      <c r="H194" s="182"/>
      <c r="I194" s="59">
        <v>0.23300000000000001</v>
      </c>
      <c r="J194" s="60">
        <v>25.21</v>
      </c>
      <c r="K194" s="60">
        <v>2.25</v>
      </c>
      <c r="L194" s="60">
        <v>2.25</v>
      </c>
      <c r="M194" s="61">
        <v>0</v>
      </c>
      <c r="N194" s="62">
        <v>4411.32</v>
      </c>
      <c r="O194" s="62">
        <v>0.05</v>
      </c>
      <c r="P194" s="62">
        <v>0.05</v>
      </c>
    </row>
    <row r="195" spans="1:16" ht="15" customHeight="1" x14ac:dyDescent="0.2">
      <c r="A195" s="43" t="s">
        <v>1104</v>
      </c>
      <c r="B195" s="93">
        <v>515</v>
      </c>
      <c r="C195" s="54">
        <v>1050000714216</v>
      </c>
      <c r="D195" s="210" t="s">
        <v>1104</v>
      </c>
      <c r="E195" s="93">
        <v>768</v>
      </c>
      <c r="F195" s="54">
        <v>1050000714207</v>
      </c>
      <c r="G195" s="55" t="s">
        <v>1104</v>
      </c>
      <c r="H195" s="182">
        <v>1</v>
      </c>
      <c r="I195" s="59">
        <v>1.9770000000000001</v>
      </c>
      <c r="J195" s="60">
        <v>4706.41</v>
      </c>
      <c r="K195" s="60">
        <v>1.9</v>
      </c>
      <c r="L195" s="60">
        <v>1.9</v>
      </c>
      <c r="M195" s="61">
        <v>0</v>
      </c>
      <c r="N195" s="62">
        <v>972.32</v>
      </c>
      <c r="O195" s="62">
        <v>0.05</v>
      </c>
      <c r="P195" s="62">
        <v>0.05</v>
      </c>
    </row>
    <row r="196" spans="1:16" ht="15" customHeight="1" x14ac:dyDescent="0.2">
      <c r="A196" s="43" t="s">
        <v>1105</v>
      </c>
      <c r="B196" s="93">
        <v>310</v>
      </c>
      <c r="C196" s="54">
        <v>1050001391466</v>
      </c>
      <c r="D196" s="210" t="s">
        <v>1105</v>
      </c>
      <c r="E196" s="93">
        <v>443</v>
      </c>
      <c r="F196" s="54">
        <v>1050001391475</v>
      </c>
      <c r="G196" s="55" t="s">
        <v>1105</v>
      </c>
      <c r="H196" s="182"/>
      <c r="I196" s="59">
        <v>8.9710000000000001</v>
      </c>
      <c r="J196" s="60">
        <v>222.3</v>
      </c>
      <c r="K196" s="60">
        <v>1.25</v>
      </c>
      <c r="L196" s="60">
        <v>1.25</v>
      </c>
      <c r="M196" s="61">
        <v>-8.6389999999999993</v>
      </c>
      <c r="N196" s="62">
        <v>4334.8999999999996</v>
      </c>
      <c r="O196" s="62">
        <v>0.05</v>
      </c>
      <c r="P196" s="62">
        <v>0.05</v>
      </c>
    </row>
    <row r="197" spans="1:16" ht="15" customHeight="1" x14ac:dyDescent="0.2">
      <c r="A197" s="43" t="s">
        <v>1106</v>
      </c>
      <c r="B197" s="93">
        <v>363</v>
      </c>
      <c r="C197" s="54">
        <v>1050003517021</v>
      </c>
      <c r="D197" s="210" t="s">
        <v>1106</v>
      </c>
      <c r="E197" s="93">
        <v>386</v>
      </c>
      <c r="F197" s="54">
        <v>1050003517030</v>
      </c>
      <c r="G197" s="55" t="s">
        <v>1106</v>
      </c>
      <c r="H197" s="182"/>
      <c r="I197" s="59">
        <v>0</v>
      </c>
      <c r="J197" s="60">
        <v>6.12</v>
      </c>
      <c r="K197" s="60">
        <v>4.5</v>
      </c>
      <c r="L197" s="60">
        <v>4.5</v>
      </c>
      <c r="M197" s="61">
        <v>0</v>
      </c>
      <c r="N197" s="62">
        <v>2447.29</v>
      </c>
      <c r="O197" s="62">
        <v>0.05</v>
      </c>
      <c r="P197" s="62">
        <v>0.05</v>
      </c>
    </row>
    <row r="198" spans="1:16" ht="15" customHeight="1" x14ac:dyDescent="0.2">
      <c r="A198" s="43" t="s">
        <v>1107</v>
      </c>
      <c r="B198" s="93">
        <v>516</v>
      </c>
      <c r="C198" s="54">
        <v>1050000774215</v>
      </c>
      <c r="D198" s="55" t="s">
        <v>1107</v>
      </c>
      <c r="E198" s="93">
        <v>769</v>
      </c>
      <c r="F198" s="54">
        <v>1050000774224</v>
      </c>
      <c r="G198" s="55" t="s">
        <v>1107</v>
      </c>
      <c r="H198" s="182"/>
      <c r="I198" s="59">
        <v>4.4420000000000002</v>
      </c>
      <c r="J198" s="60">
        <v>89.7</v>
      </c>
      <c r="K198" s="60">
        <v>1.51</v>
      </c>
      <c r="L198" s="60">
        <v>1.51</v>
      </c>
      <c r="M198" s="61">
        <v>0</v>
      </c>
      <c r="N198" s="62">
        <v>8970.2800000000007</v>
      </c>
      <c r="O198" s="62">
        <v>0.05</v>
      </c>
      <c r="P198" s="62">
        <v>0.05</v>
      </c>
    </row>
    <row r="199" spans="1:16" ht="15" customHeight="1" x14ac:dyDescent="0.2">
      <c r="A199" s="43" t="s">
        <v>1108</v>
      </c>
      <c r="B199" s="93">
        <v>311</v>
      </c>
      <c r="C199" s="54">
        <v>1050001003248</v>
      </c>
      <c r="D199" s="55" t="s">
        <v>1108</v>
      </c>
      <c r="E199" s="93">
        <v>661</v>
      </c>
      <c r="F199" s="54">
        <v>1050001003257</v>
      </c>
      <c r="G199" s="55" t="s">
        <v>1108</v>
      </c>
      <c r="H199" s="182"/>
      <c r="I199" s="59">
        <v>0</v>
      </c>
      <c r="J199" s="60">
        <v>23.39</v>
      </c>
      <c r="K199" s="60">
        <v>3.21</v>
      </c>
      <c r="L199" s="60">
        <v>3.21</v>
      </c>
      <c r="M199" s="61">
        <v>0</v>
      </c>
      <c r="N199" s="62">
        <v>3742.86</v>
      </c>
      <c r="O199" s="62">
        <v>0.05</v>
      </c>
      <c r="P199" s="62">
        <v>0.05</v>
      </c>
    </row>
    <row r="200" spans="1:16" ht="15" customHeight="1" x14ac:dyDescent="0.2">
      <c r="A200" s="43" t="s">
        <v>1109</v>
      </c>
      <c r="B200" s="93">
        <v>568</v>
      </c>
      <c r="C200" s="54">
        <v>1050001299886</v>
      </c>
      <c r="D200" s="55" t="s">
        <v>1109</v>
      </c>
      <c r="E200" s="93">
        <v>685</v>
      </c>
      <c r="F200" s="54">
        <v>1050001299895</v>
      </c>
      <c r="G200" s="55" t="s">
        <v>1109</v>
      </c>
      <c r="H200" s="182"/>
      <c r="I200" s="59">
        <v>0.85399999999999998</v>
      </c>
      <c r="J200" s="60">
        <v>21.25</v>
      </c>
      <c r="K200" s="60">
        <v>2.57</v>
      </c>
      <c r="L200" s="60">
        <v>2.57</v>
      </c>
      <c r="M200" s="61">
        <v>0</v>
      </c>
      <c r="N200" s="62">
        <v>1750.6</v>
      </c>
      <c r="O200" s="62">
        <v>0.05</v>
      </c>
      <c r="P200" s="62">
        <v>0.05</v>
      </c>
    </row>
    <row r="201" spans="1:16" ht="15" customHeight="1" x14ac:dyDescent="0.2">
      <c r="A201" s="43" t="s">
        <v>1110</v>
      </c>
      <c r="B201" s="93"/>
      <c r="C201" s="54" t="s">
        <v>1271</v>
      </c>
      <c r="D201" s="55" t="s">
        <v>1110</v>
      </c>
      <c r="E201" s="93"/>
      <c r="F201" s="54" t="s">
        <v>1271</v>
      </c>
      <c r="G201" s="55" t="s">
        <v>1110</v>
      </c>
      <c r="H201" s="182"/>
      <c r="I201" s="59">
        <v>0</v>
      </c>
      <c r="J201" s="60">
        <v>0</v>
      </c>
      <c r="K201" s="60">
        <v>1.4</v>
      </c>
      <c r="L201" s="60">
        <v>1.4</v>
      </c>
      <c r="M201" s="61">
        <v>0</v>
      </c>
      <c r="N201" s="62">
        <v>0</v>
      </c>
      <c r="O201" s="62">
        <v>0.05</v>
      </c>
      <c r="P201" s="62">
        <v>0.05</v>
      </c>
    </row>
    <row r="202" spans="1:16" ht="15" customHeight="1" x14ac:dyDescent="0.2">
      <c r="A202" s="43" t="s">
        <v>1111</v>
      </c>
      <c r="B202" s="93"/>
      <c r="C202" s="54" t="s">
        <v>1272</v>
      </c>
      <c r="D202" s="55" t="s">
        <v>1111</v>
      </c>
      <c r="E202" s="93"/>
      <c r="F202" s="54" t="s">
        <v>1272</v>
      </c>
      <c r="G202" s="55" t="s">
        <v>1111</v>
      </c>
      <c r="H202" s="182"/>
      <c r="I202" s="59">
        <v>0.48099999999999998</v>
      </c>
      <c r="J202" s="60">
        <v>121.06</v>
      </c>
      <c r="K202" s="60">
        <v>1.57</v>
      </c>
      <c r="L202" s="60">
        <v>1.57</v>
      </c>
      <c r="M202" s="61">
        <v>0</v>
      </c>
      <c r="N202" s="62">
        <v>389.67</v>
      </c>
      <c r="O202" s="62">
        <v>0.05</v>
      </c>
      <c r="P202" s="62">
        <v>0.05</v>
      </c>
    </row>
    <row r="203" spans="1:16" ht="15" customHeight="1" x14ac:dyDescent="0.2">
      <c r="A203" s="43" t="s">
        <v>1112</v>
      </c>
      <c r="B203" s="93"/>
      <c r="C203" s="54" t="s">
        <v>1273</v>
      </c>
      <c r="D203" s="55" t="s">
        <v>1112</v>
      </c>
      <c r="E203" s="93"/>
      <c r="F203" s="54" t="s">
        <v>1273</v>
      </c>
      <c r="G203" s="55" t="s">
        <v>1112</v>
      </c>
      <c r="H203" s="182"/>
      <c r="I203" s="59">
        <v>3.1E-2</v>
      </c>
      <c r="J203" s="60">
        <v>25.68</v>
      </c>
      <c r="K203" s="60">
        <v>1.63</v>
      </c>
      <c r="L203" s="60">
        <v>1.63</v>
      </c>
      <c r="M203" s="61"/>
      <c r="N203" s="62"/>
      <c r="O203" s="62"/>
      <c r="P203" s="62"/>
    </row>
    <row r="204" spans="1:16" ht="15" customHeight="1" x14ac:dyDescent="0.2">
      <c r="A204" s="43" t="s">
        <v>1113</v>
      </c>
      <c r="B204" s="93">
        <v>344</v>
      </c>
      <c r="C204" s="54">
        <v>1050002549087</v>
      </c>
      <c r="D204" s="55" t="s">
        <v>1113</v>
      </c>
      <c r="E204" s="93">
        <v>421</v>
      </c>
      <c r="F204" s="54">
        <v>1050002549096</v>
      </c>
      <c r="G204" s="55" t="s">
        <v>1113</v>
      </c>
      <c r="H204" s="182"/>
      <c r="I204" s="59">
        <v>0</v>
      </c>
      <c r="J204" s="60">
        <v>1937.07</v>
      </c>
      <c r="K204" s="60">
        <v>2.48</v>
      </c>
      <c r="L204" s="60">
        <v>2.48</v>
      </c>
      <c r="M204" s="61">
        <v>-1.4059999999999999</v>
      </c>
      <c r="N204" s="62">
        <v>1937.07</v>
      </c>
      <c r="O204" s="62">
        <v>0.05</v>
      </c>
      <c r="P204" s="62">
        <v>0.05</v>
      </c>
    </row>
    <row r="205" spans="1:16" ht="15" customHeight="1" x14ac:dyDescent="0.2">
      <c r="A205" s="43" t="s">
        <v>1114</v>
      </c>
      <c r="B205" s="93">
        <v>888</v>
      </c>
      <c r="C205" s="54">
        <v>1050000834219</v>
      </c>
      <c r="D205" s="55" t="s">
        <v>1114</v>
      </c>
      <c r="E205" s="93">
        <v>762</v>
      </c>
      <c r="F205" s="54">
        <v>1050000834228</v>
      </c>
      <c r="G205" s="55" t="s">
        <v>1114</v>
      </c>
      <c r="H205" s="182"/>
      <c r="I205" s="59">
        <v>0</v>
      </c>
      <c r="J205" s="60">
        <v>25.46</v>
      </c>
      <c r="K205" s="60">
        <v>7.14</v>
      </c>
      <c r="L205" s="60">
        <v>7.14</v>
      </c>
      <c r="M205" s="61">
        <v>0</v>
      </c>
      <c r="N205" s="62">
        <v>3402.49</v>
      </c>
      <c r="O205" s="62">
        <v>0.05</v>
      </c>
      <c r="P205" s="62">
        <v>0.05</v>
      </c>
    </row>
    <row r="206" spans="1:16" ht="15" customHeight="1" x14ac:dyDescent="0.2">
      <c r="A206" s="43" t="s">
        <v>1115</v>
      </c>
      <c r="B206" s="93">
        <v>571</v>
      </c>
      <c r="C206" s="54">
        <v>1050001197873</v>
      </c>
      <c r="D206" s="55" t="s">
        <v>1115</v>
      </c>
      <c r="E206" s="93">
        <v>444</v>
      </c>
      <c r="F206" s="54">
        <v>1050001197864</v>
      </c>
      <c r="G206" s="55" t="s">
        <v>1115</v>
      </c>
      <c r="H206" s="182">
        <v>1</v>
      </c>
      <c r="I206" s="59">
        <v>0</v>
      </c>
      <c r="J206" s="60">
        <v>4882.43</v>
      </c>
      <c r="K206" s="60">
        <v>1.59</v>
      </c>
      <c r="L206" s="60">
        <v>1.59</v>
      </c>
      <c r="M206" s="61">
        <v>-0.35199999999999998</v>
      </c>
      <c r="N206" s="62">
        <v>1330.26</v>
      </c>
      <c r="O206" s="62">
        <v>0.05</v>
      </c>
      <c r="P206" s="62">
        <v>0.05</v>
      </c>
    </row>
    <row r="207" spans="1:16" ht="15" customHeight="1" x14ac:dyDescent="0.2">
      <c r="A207" s="43" t="s">
        <v>1116</v>
      </c>
      <c r="B207" s="93">
        <v>884</v>
      </c>
      <c r="C207" s="54">
        <v>1050000521726</v>
      </c>
      <c r="D207" s="55" t="s">
        <v>1116</v>
      </c>
      <c r="E207" s="93">
        <v>758</v>
      </c>
      <c r="F207" s="54">
        <v>1050000521735</v>
      </c>
      <c r="G207" s="55" t="s">
        <v>1116</v>
      </c>
      <c r="H207" s="182"/>
      <c r="I207" s="59">
        <v>0</v>
      </c>
      <c r="J207" s="60">
        <v>8.57</v>
      </c>
      <c r="K207" s="60">
        <v>4.0599999999999996</v>
      </c>
      <c r="L207" s="60">
        <v>4.0599999999999996</v>
      </c>
      <c r="M207" s="61">
        <v>0</v>
      </c>
      <c r="N207" s="62">
        <v>1037.01</v>
      </c>
      <c r="O207" s="62">
        <v>0.05</v>
      </c>
      <c r="P207" s="62">
        <v>0.05</v>
      </c>
    </row>
    <row r="208" spans="1:16" ht="15" customHeight="1" x14ac:dyDescent="0.2">
      <c r="A208" s="43" t="s">
        <v>1117</v>
      </c>
      <c r="B208" s="93">
        <v>885</v>
      </c>
      <c r="C208" s="54">
        <v>1050000563150</v>
      </c>
      <c r="D208" s="55" t="s">
        <v>1117</v>
      </c>
      <c r="E208" s="93">
        <v>759</v>
      </c>
      <c r="F208" s="54">
        <v>1050000563169</v>
      </c>
      <c r="G208" s="55" t="s">
        <v>1117</v>
      </c>
      <c r="H208" s="182"/>
      <c r="I208" s="59">
        <v>4.1139999999999999</v>
      </c>
      <c r="J208" s="60">
        <v>11.25</v>
      </c>
      <c r="K208" s="60">
        <v>5.33</v>
      </c>
      <c r="L208" s="60">
        <v>5.33</v>
      </c>
      <c r="M208" s="61">
        <v>0</v>
      </c>
      <c r="N208" s="62">
        <v>3548.29</v>
      </c>
      <c r="O208" s="62">
        <v>0.05</v>
      </c>
      <c r="P208" s="62">
        <v>0.05</v>
      </c>
    </row>
    <row r="209" spans="1:16" ht="15" customHeight="1" x14ac:dyDescent="0.2">
      <c r="A209" s="43" t="s">
        <v>1118</v>
      </c>
      <c r="B209" s="93">
        <v>570</v>
      </c>
      <c r="C209" s="54">
        <v>1050001231451</v>
      </c>
      <c r="D209" s="55" t="s">
        <v>1118</v>
      </c>
      <c r="E209" s="93">
        <v>687</v>
      </c>
      <c r="F209" s="54">
        <v>1050001231460</v>
      </c>
      <c r="G209" s="55" t="s">
        <v>1118</v>
      </c>
      <c r="H209" s="182"/>
      <c r="I209" s="59">
        <v>1.877</v>
      </c>
      <c r="J209" s="60">
        <v>32.229999999999997</v>
      </c>
      <c r="K209" s="60">
        <v>2.2000000000000002</v>
      </c>
      <c r="L209" s="60">
        <v>2.2000000000000002</v>
      </c>
      <c r="M209" s="61">
        <v>0</v>
      </c>
      <c r="N209" s="62">
        <v>1934.02</v>
      </c>
      <c r="O209" s="62">
        <v>0.05</v>
      </c>
      <c r="P209" s="62">
        <v>0.05</v>
      </c>
    </row>
    <row r="210" spans="1:16" ht="15" customHeight="1" x14ac:dyDescent="0.2">
      <c r="A210" s="43" t="s">
        <v>1119</v>
      </c>
      <c r="B210" s="93">
        <v>517</v>
      </c>
      <c r="C210" s="54">
        <v>1050000708514</v>
      </c>
      <c r="D210" s="210" t="s">
        <v>1119</v>
      </c>
      <c r="E210" s="93">
        <v>770</v>
      </c>
      <c r="F210" s="54">
        <v>1050000698405</v>
      </c>
      <c r="G210" s="55" t="s">
        <v>1119</v>
      </c>
      <c r="H210" s="182"/>
      <c r="I210" s="59">
        <v>0.156</v>
      </c>
      <c r="J210" s="60">
        <v>5.42</v>
      </c>
      <c r="K210" s="60">
        <v>3.01</v>
      </c>
      <c r="L210" s="60">
        <v>3.01</v>
      </c>
      <c r="M210" s="61">
        <v>0</v>
      </c>
      <c r="N210" s="62">
        <v>1003.29</v>
      </c>
      <c r="O210" s="62">
        <v>0.05</v>
      </c>
      <c r="P210" s="62">
        <v>0.05</v>
      </c>
    </row>
    <row r="211" spans="1:16" ht="15" customHeight="1" x14ac:dyDescent="0.2">
      <c r="A211" s="43" t="s">
        <v>1120</v>
      </c>
      <c r="B211" s="93">
        <v>547</v>
      </c>
      <c r="C211" s="54">
        <v>1050000769118</v>
      </c>
      <c r="D211" s="55" t="s">
        <v>1120</v>
      </c>
      <c r="E211" s="93">
        <v>662</v>
      </c>
      <c r="F211" s="54">
        <v>1050000769127</v>
      </c>
      <c r="G211" s="55" t="s">
        <v>1120</v>
      </c>
      <c r="H211" s="182"/>
      <c r="I211" s="59">
        <v>6.9969999999999999</v>
      </c>
      <c r="J211" s="60">
        <v>31.28</v>
      </c>
      <c r="K211" s="60">
        <v>1.76</v>
      </c>
      <c r="L211" s="60">
        <v>1.76</v>
      </c>
      <c r="M211" s="61">
        <v>0</v>
      </c>
      <c r="N211" s="62">
        <v>1251.29</v>
      </c>
      <c r="O211" s="62">
        <v>0.05</v>
      </c>
      <c r="P211" s="62">
        <v>0.05</v>
      </c>
    </row>
    <row r="212" spans="1:16" ht="15" customHeight="1" x14ac:dyDescent="0.2">
      <c r="A212" s="43" t="s">
        <v>1121</v>
      </c>
      <c r="B212" s="93">
        <v>548</v>
      </c>
      <c r="C212" s="54">
        <v>1050001036670</v>
      </c>
      <c r="D212" s="55" t="s">
        <v>1121</v>
      </c>
      <c r="E212" s="93">
        <v>663</v>
      </c>
      <c r="F212" s="54">
        <v>1050001036689</v>
      </c>
      <c r="G212" s="55" t="s">
        <v>1121</v>
      </c>
      <c r="H212" s="182"/>
      <c r="I212" s="59">
        <v>0.10299999999999999</v>
      </c>
      <c r="J212" s="60">
        <v>20.39</v>
      </c>
      <c r="K212" s="60">
        <v>1.24</v>
      </c>
      <c r="L212" s="60">
        <v>1.24</v>
      </c>
      <c r="M212" s="61">
        <v>0</v>
      </c>
      <c r="N212" s="62">
        <v>1019.61</v>
      </c>
      <c r="O212" s="62">
        <v>0.05</v>
      </c>
      <c r="P212" s="62">
        <v>0.05</v>
      </c>
    </row>
    <row r="213" spans="1:16" ht="15" customHeight="1" x14ac:dyDescent="0.2">
      <c r="A213" s="43" t="s">
        <v>1122</v>
      </c>
      <c r="B213" s="93">
        <v>312</v>
      </c>
      <c r="C213" s="54">
        <v>1050001324390</v>
      </c>
      <c r="D213" s="210" t="s">
        <v>1122</v>
      </c>
      <c r="E213" s="93">
        <v>445</v>
      </c>
      <c r="F213" s="54">
        <v>1050001324405</v>
      </c>
      <c r="G213" s="55" t="s">
        <v>1122</v>
      </c>
      <c r="H213" s="182"/>
      <c r="I213" s="59">
        <v>2.5000000000000001E-2</v>
      </c>
      <c r="J213" s="60">
        <v>275.36</v>
      </c>
      <c r="K213" s="60">
        <v>1.35</v>
      </c>
      <c r="L213" s="60">
        <v>1.35</v>
      </c>
      <c r="M213" s="61">
        <v>-0.11799999999999999</v>
      </c>
      <c r="N213" s="62">
        <v>275.36</v>
      </c>
      <c r="O213" s="62">
        <v>0.05</v>
      </c>
      <c r="P213" s="62">
        <v>0.05</v>
      </c>
    </row>
    <row r="214" spans="1:16" ht="15" customHeight="1" x14ac:dyDescent="0.2">
      <c r="A214" s="43" t="s">
        <v>1123</v>
      </c>
      <c r="B214" s="93">
        <v>569</v>
      </c>
      <c r="C214" s="54">
        <v>1050001324414</v>
      </c>
      <c r="D214" s="55" t="s">
        <v>1123</v>
      </c>
      <c r="E214" s="93">
        <v>686</v>
      </c>
      <c r="F214" s="54">
        <v>1050001324423</v>
      </c>
      <c r="G214" s="55" t="s">
        <v>1123</v>
      </c>
      <c r="H214" s="182"/>
      <c r="I214" s="59">
        <v>2.5000000000000001E-2</v>
      </c>
      <c r="J214" s="60">
        <v>10.8</v>
      </c>
      <c r="K214" s="60">
        <v>1.55</v>
      </c>
      <c r="L214" s="60">
        <v>1.55</v>
      </c>
      <c r="M214" s="61">
        <v>0</v>
      </c>
      <c r="N214" s="62">
        <v>539.92999999999995</v>
      </c>
      <c r="O214" s="62">
        <v>0.05</v>
      </c>
      <c r="P214" s="62">
        <v>0.05</v>
      </c>
    </row>
    <row r="215" spans="1:16" ht="30" customHeight="1" x14ac:dyDescent="0.2">
      <c r="A215" s="43" t="s">
        <v>1124</v>
      </c>
      <c r="B215" s="93">
        <v>313</v>
      </c>
      <c r="C215" s="54">
        <v>1050001041642</v>
      </c>
      <c r="D215" s="55" t="s">
        <v>1124</v>
      </c>
      <c r="E215" s="93">
        <v>689</v>
      </c>
      <c r="F215" s="54" t="s">
        <v>1347</v>
      </c>
      <c r="G215" s="55" t="s">
        <v>1124</v>
      </c>
      <c r="H215" s="182">
        <v>1</v>
      </c>
      <c r="I215" s="59">
        <v>0.32900000000000001</v>
      </c>
      <c r="J215" s="60">
        <v>4668.3599999999997</v>
      </c>
      <c r="K215" s="60">
        <v>1.31</v>
      </c>
      <c r="L215" s="60">
        <v>1.31</v>
      </c>
      <c r="M215" s="61">
        <v>-0.32900000000000001</v>
      </c>
      <c r="N215" s="62">
        <v>7641.63</v>
      </c>
      <c r="O215" s="62">
        <v>0.05</v>
      </c>
      <c r="P215" s="62">
        <v>0.05</v>
      </c>
    </row>
    <row r="216" spans="1:16" ht="15" customHeight="1" x14ac:dyDescent="0.2">
      <c r="A216" s="43" t="s">
        <v>1125</v>
      </c>
      <c r="B216" s="93"/>
      <c r="C216" s="54" t="s">
        <v>1274</v>
      </c>
      <c r="D216" s="210" t="s">
        <v>1125</v>
      </c>
      <c r="E216" s="93"/>
      <c r="F216" s="54" t="s">
        <v>1291</v>
      </c>
      <c r="G216" s="55" t="s">
        <v>1125</v>
      </c>
      <c r="H216" s="182"/>
      <c r="I216" s="59">
        <v>1.913</v>
      </c>
      <c r="J216" s="60">
        <v>826.09</v>
      </c>
      <c r="K216" s="60">
        <v>1.19</v>
      </c>
      <c r="L216" s="60">
        <v>1.19</v>
      </c>
      <c r="M216" s="61">
        <v>-1.8440000000000001</v>
      </c>
      <c r="N216" s="62">
        <v>826.09</v>
      </c>
      <c r="O216" s="62">
        <v>0.05</v>
      </c>
      <c r="P216" s="62">
        <v>0.05</v>
      </c>
    </row>
    <row r="217" spans="1:16" ht="15" customHeight="1" x14ac:dyDescent="0.2">
      <c r="A217" s="43" t="s">
        <v>1126</v>
      </c>
      <c r="B217" s="93">
        <v>518</v>
      </c>
      <c r="C217" s="54">
        <v>1050000759713</v>
      </c>
      <c r="D217" s="55" t="s">
        <v>1126</v>
      </c>
      <c r="E217" s="93">
        <v>450</v>
      </c>
      <c r="F217" s="54">
        <v>1050000759722</v>
      </c>
      <c r="G217" s="55" t="s">
        <v>1126</v>
      </c>
      <c r="H217" s="182"/>
      <c r="I217" s="59">
        <v>1.21</v>
      </c>
      <c r="J217" s="60">
        <v>27.17</v>
      </c>
      <c r="K217" s="60">
        <v>1.84</v>
      </c>
      <c r="L217" s="60">
        <v>1.84</v>
      </c>
      <c r="M217" s="61">
        <v>0</v>
      </c>
      <c r="N217" s="62">
        <v>2445.23</v>
      </c>
      <c r="O217" s="62">
        <v>0.05</v>
      </c>
      <c r="P217" s="62">
        <v>0.05</v>
      </c>
    </row>
    <row r="218" spans="1:16" ht="15" customHeight="1" x14ac:dyDescent="0.2">
      <c r="A218" s="43" t="s">
        <v>1127</v>
      </c>
      <c r="B218" s="93">
        <v>866</v>
      </c>
      <c r="C218" s="54">
        <v>1030075706342</v>
      </c>
      <c r="D218" s="55" t="s">
        <v>1127</v>
      </c>
      <c r="E218" s="93">
        <v>649</v>
      </c>
      <c r="F218" s="95">
        <v>1050001431630</v>
      </c>
      <c r="G218" s="55" t="s">
        <v>1127</v>
      </c>
      <c r="H218" s="182">
        <v>3</v>
      </c>
      <c r="I218" s="59">
        <v>1E-3</v>
      </c>
      <c r="J218" s="60">
        <v>52498.25</v>
      </c>
      <c r="K218" s="60">
        <v>2.79</v>
      </c>
      <c r="L218" s="60">
        <v>2.79</v>
      </c>
      <c r="M218" s="61">
        <v>-1.6E-2</v>
      </c>
      <c r="N218" s="62">
        <v>983.97</v>
      </c>
      <c r="O218" s="62">
        <v>0.05</v>
      </c>
      <c r="P218" s="62">
        <v>0.05</v>
      </c>
    </row>
    <row r="219" spans="1:16" ht="15" customHeight="1" x14ac:dyDescent="0.2">
      <c r="A219" s="43" t="s">
        <v>1128</v>
      </c>
      <c r="B219" s="93"/>
      <c r="C219" s="54" t="s">
        <v>1275</v>
      </c>
      <c r="D219" s="55" t="s">
        <v>1128</v>
      </c>
      <c r="E219" s="93"/>
      <c r="F219" s="54" t="s">
        <v>1292</v>
      </c>
      <c r="G219" s="55" t="s">
        <v>1128</v>
      </c>
      <c r="H219" s="182"/>
      <c r="I219" s="59">
        <v>0</v>
      </c>
      <c r="J219" s="60">
        <v>2362.2399999999998</v>
      </c>
      <c r="K219" s="60">
        <v>2.0299999999999998</v>
      </c>
      <c r="L219" s="60">
        <v>2.0299999999999998</v>
      </c>
      <c r="M219" s="61">
        <v>-0.86799999999999999</v>
      </c>
      <c r="N219" s="62">
        <v>2362.2399999999998</v>
      </c>
      <c r="O219" s="62">
        <v>0.05</v>
      </c>
      <c r="P219" s="62">
        <v>0.05</v>
      </c>
    </row>
    <row r="220" spans="1:16" ht="15" customHeight="1" x14ac:dyDescent="0.2">
      <c r="A220" s="43" t="s">
        <v>1129</v>
      </c>
      <c r="B220" s="93">
        <v>338</v>
      </c>
      <c r="C220" s="54">
        <v>1050002077454</v>
      </c>
      <c r="D220" s="55" t="s">
        <v>1129</v>
      </c>
      <c r="E220" s="93">
        <v>416</v>
      </c>
      <c r="F220" s="54">
        <v>1050002077463</v>
      </c>
      <c r="G220" s="55" t="s">
        <v>1129</v>
      </c>
      <c r="H220" s="182"/>
      <c r="I220" s="59">
        <v>0.70699999999999996</v>
      </c>
      <c r="J220" s="60">
        <v>1.57</v>
      </c>
      <c r="K220" s="60">
        <v>2.54</v>
      </c>
      <c r="L220" s="60">
        <v>2.54</v>
      </c>
      <c r="M220" s="61">
        <v>0</v>
      </c>
      <c r="N220" s="62">
        <v>627.37</v>
      </c>
      <c r="O220" s="62">
        <v>0.05</v>
      </c>
      <c r="P220" s="62">
        <v>0.05</v>
      </c>
    </row>
    <row r="221" spans="1:16" ht="15" customHeight="1" x14ac:dyDescent="0.2">
      <c r="A221" s="43" t="s">
        <v>1130</v>
      </c>
      <c r="B221" s="93">
        <v>519</v>
      </c>
      <c r="C221" s="54">
        <v>1050000556055</v>
      </c>
      <c r="D221" s="55" t="s">
        <v>1130</v>
      </c>
      <c r="E221" s="93">
        <v>451</v>
      </c>
      <c r="F221" s="54">
        <v>1050000556046</v>
      </c>
      <c r="G221" s="55" t="s">
        <v>1130</v>
      </c>
      <c r="H221" s="182"/>
      <c r="I221" s="59">
        <v>0.156</v>
      </c>
      <c r="J221" s="60">
        <v>56.72</v>
      </c>
      <c r="K221" s="60">
        <v>1.67</v>
      </c>
      <c r="L221" s="60">
        <v>1.67</v>
      </c>
      <c r="M221" s="61">
        <v>0</v>
      </c>
      <c r="N221" s="62">
        <v>8508.4</v>
      </c>
      <c r="O221" s="62">
        <v>0.05</v>
      </c>
      <c r="P221" s="62">
        <v>0.05</v>
      </c>
    </row>
    <row r="222" spans="1:16" ht="15" customHeight="1" x14ac:dyDescent="0.2">
      <c r="A222" s="43" t="s">
        <v>1131</v>
      </c>
      <c r="B222" s="93"/>
      <c r="C222" s="54" t="s">
        <v>1276</v>
      </c>
      <c r="D222" s="55" t="s">
        <v>1131</v>
      </c>
      <c r="E222" s="93"/>
      <c r="F222" s="54" t="s">
        <v>1276</v>
      </c>
      <c r="G222" s="55" t="s">
        <v>1131</v>
      </c>
      <c r="H222" s="182"/>
      <c r="I222" s="59">
        <v>0</v>
      </c>
      <c r="J222" s="60">
        <v>55.89</v>
      </c>
      <c r="K222" s="60">
        <v>1.47</v>
      </c>
      <c r="L222" s="60">
        <v>1.47</v>
      </c>
      <c r="M222" s="61">
        <v>-6.8000000000000005E-2</v>
      </c>
      <c r="N222" s="62">
        <v>1296.72</v>
      </c>
      <c r="O222" s="62">
        <v>0.05</v>
      </c>
      <c r="P222" s="62">
        <v>0.05</v>
      </c>
    </row>
    <row r="223" spans="1:16" ht="15" customHeight="1" x14ac:dyDescent="0.2">
      <c r="A223" s="43" t="s">
        <v>1132</v>
      </c>
      <c r="B223" s="93">
        <v>520</v>
      </c>
      <c r="C223" s="54">
        <v>1050000823458</v>
      </c>
      <c r="D223" s="55" t="s">
        <v>1132</v>
      </c>
      <c r="E223" s="93">
        <v>452</v>
      </c>
      <c r="F223" s="54">
        <v>1050000823467</v>
      </c>
      <c r="G223" s="55" t="s">
        <v>1132</v>
      </c>
      <c r="H223" s="182"/>
      <c r="I223" s="59">
        <v>0</v>
      </c>
      <c r="J223" s="60">
        <v>8.7200000000000006</v>
      </c>
      <c r="K223" s="60">
        <v>9.3699999999999992</v>
      </c>
      <c r="L223" s="60">
        <v>9.3699999999999992</v>
      </c>
      <c r="M223" s="61">
        <v>0</v>
      </c>
      <c r="N223" s="62">
        <v>1045.81</v>
      </c>
      <c r="O223" s="62">
        <v>0.05</v>
      </c>
      <c r="P223" s="62">
        <v>0.05</v>
      </c>
    </row>
    <row r="224" spans="1:16" ht="15" customHeight="1" x14ac:dyDescent="0.2">
      <c r="A224" s="43" t="s">
        <v>1133</v>
      </c>
      <c r="B224" s="93"/>
      <c r="C224" s="54" t="s">
        <v>1240</v>
      </c>
      <c r="D224" s="55" t="s">
        <v>1133</v>
      </c>
      <c r="E224" s="93"/>
      <c r="F224" s="54" t="s">
        <v>1240</v>
      </c>
      <c r="G224" s="55" t="s">
        <v>1133</v>
      </c>
      <c r="H224" s="182"/>
      <c r="I224" s="59">
        <v>0</v>
      </c>
      <c r="J224" s="60">
        <v>2.13</v>
      </c>
      <c r="K224" s="60">
        <v>1.68</v>
      </c>
      <c r="L224" s="60">
        <v>1.68</v>
      </c>
      <c r="M224" s="61">
        <v>0</v>
      </c>
      <c r="N224" s="62">
        <v>674.17</v>
      </c>
      <c r="O224" s="62">
        <v>0.05</v>
      </c>
      <c r="P224" s="62">
        <v>0.05</v>
      </c>
    </row>
    <row r="225" spans="1:16" ht="15" customHeight="1" x14ac:dyDescent="0.2">
      <c r="A225" s="43" t="s">
        <v>1134</v>
      </c>
      <c r="B225" s="93">
        <v>549</v>
      </c>
      <c r="C225" s="54">
        <v>1050000687486</v>
      </c>
      <c r="D225" s="55" t="s">
        <v>1134</v>
      </c>
      <c r="E225" s="93">
        <v>664</v>
      </c>
      <c r="F225" s="54">
        <v>1050000687495</v>
      </c>
      <c r="G225" s="55" t="s">
        <v>1134</v>
      </c>
      <c r="H225" s="182">
        <v>2</v>
      </c>
      <c r="I225" s="59">
        <v>2.4430000000000001</v>
      </c>
      <c r="J225" s="60">
        <v>15335.14</v>
      </c>
      <c r="K225" s="60">
        <v>1.1499999999999999</v>
      </c>
      <c r="L225" s="60">
        <v>1.1499999999999999</v>
      </c>
      <c r="M225" s="61">
        <v>-2.379</v>
      </c>
      <c r="N225" s="62">
        <v>327.81</v>
      </c>
      <c r="O225" s="62">
        <v>0.05</v>
      </c>
      <c r="P225" s="62">
        <v>0.05</v>
      </c>
    </row>
    <row r="226" spans="1:16" ht="15" customHeight="1" x14ac:dyDescent="0.2">
      <c r="A226" s="43" t="s">
        <v>1135</v>
      </c>
      <c r="B226" s="93">
        <v>886</v>
      </c>
      <c r="C226" s="54">
        <v>1050000578704</v>
      </c>
      <c r="D226" s="55" t="s">
        <v>1135</v>
      </c>
      <c r="E226" s="93">
        <v>760</v>
      </c>
      <c r="F226" s="54">
        <v>1050000578699</v>
      </c>
      <c r="G226" s="55" t="s">
        <v>1135</v>
      </c>
      <c r="H226" s="182"/>
      <c r="I226" s="59">
        <v>0.21299999999999999</v>
      </c>
      <c r="J226" s="60">
        <v>0.99</v>
      </c>
      <c r="K226" s="60">
        <v>6.11</v>
      </c>
      <c r="L226" s="60">
        <v>6.11</v>
      </c>
      <c r="M226" s="61">
        <v>0</v>
      </c>
      <c r="N226" s="62">
        <v>493.87</v>
      </c>
      <c r="O226" s="62">
        <v>0.05</v>
      </c>
      <c r="P226" s="62">
        <v>0.05</v>
      </c>
    </row>
    <row r="227" spans="1:16" ht="15" customHeight="1" x14ac:dyDescent="0.2">
      <c r="A227" s="43" t="s">
        <v>1136</v>
      </c>
      <c r="B227" s="93">
        <v>536</v>
      </c>
      <c r="C227" s="54">
        <v>1030083806024</v>
      </c>
      <c r="D227" s="55" t="s">
        <v>1136</v>
      </c>
      <c r="E227" s="93">
        <v>468</v>
      </c>
      <c r="F227" s="54">
        <v>1030083805795</v>
      </c>
      <c r="G227" s="55" t="s">
        <v>1136</v>
      </c>
      <c r="H227" s="182"/>
      <c r="I227" s="59">
        <v>0.152</v>
      </c>
      <c r="J227" s="60">
        <v>10.87</v>
      </c>
      <c r="K227" s="60">
        <v>2.73</v>
      </c>
      <c r="L227" s="60">
        <v>2.73</v>
      </c>
      <c r="M227" s="61">
        <v>0</v>
      </c>
      <c r="N227" s="62">
        <v>1034.72</v>
      </c>
      <c r="O227" s="62">
        <v>0.05</v>
      </c>
      <c r="P227" s="62">
        <v>0.05</v>
      </c>
    </row>
    <row r="228" spans="1:16" ht="15" customHeight="1" x14ac:dyDescent="0.2">
      <c r="A228" s="43" t="s">
        <v>1137</v>
      </c>
      <c r="B228" s="93">
        <v>550</v>
      </c>
      <c r="C228" s="54">
        <v>1050001008681</v>
      </c>
      <c r="D228" s="55" t="s">
        <v>1137</v>
      </c>
      <c r="E228" s="93">
        <v>665</v>
      </c>
      <c r="F228" s="54">
        <v>1050001008690</v>
      </c>
      <c r="G228" s="55" t="s">
        <v>1137</v>
      </c>
      <c r="H228" s="182"/>
      <c r="I228" s="59">
        <v>0</v>
      </c>
      <c r="J228" s="60">
        <v>15.8</v>
      </c>
      <c r="K228" s="60">
        <v>3.93</v>
      </c>
      <c r="L228" s="60">
        <v>3.93</v>
      </c>
      <c r="M228" s="61">
        <v>0</v>
      </c>
      <c r="N228" s="62">
        <v>3633.55</v>
      </c>
      <c r="O228" s="62">
        <v>0.05</v>
      </c>
      <c r="P228" s="62">
        <v>0.05</v>
      </c>
    </row>
    <row r="229" spans="1:16" ht="15" customHeight="1" x14ac:dyDescent="0.2">
      <c r="A229" s="43" t="s">
        <v>1138</v>
      </c>
      <c r="B229" s="93">
        <v>889</v>
      </c>
      <c r="C229" s="54">
        <v>1030083805563</v>
      </c>
      <c r="D229" s="55" t="s">
        <v>1138</v>
      </c>
      <c r="E229" s="93">
        <v>763</v>
      </c>
      <c r="F229" s="54">
        <v>1030083805331</v>
      </c>
      <c r="G229" s="55" t="s">
        <v>1138</v>
      </c>
      <c r="H229" s="182"/>
      <c r="I229" s="59">
        <v>8.7999999999999995E-2</v>
      </c>
      <c r="J229" s="60">
        <v>13.31</v>
      </c>
      <c r="K229" s="60">
        <v>1.52</v>
      </c>
      <c r="L229" s="60">
        <v>1.52</v>
      </c>
      <c r="M229" s="61">
        <v>0</v>
      </c>
      <c r="N229" s="62">
        <v>1266.9100000000001</v>
      </c>
      <c r="O229" s="62">
        <v>0.05</v>
      </c>
      <c r="P229" s="62">
        <v>0.05</v>
      </c>
    </row>
    <row r="230" spans="1:16" ht="15" customHeight="1" x14ac:dyDescent="0.2">
      <c r="A230" s="43" t="s">
        <v>1139</v>
      </c>
      <c r="B230" s="93">
        <v>334</v>
      </c>
      <c r="C230" s="54">
        <v>1050002012030</v>
      </c>
      <c r="D230" s="55" t="s">
        <v>1139</v>
      </c>
      <c r="E230" s="93">
        <v>412</v>
      </c>
      <c r="F230" s="54">
        <v>1050002012049</v>
      </c>
      <c r="G230" s="55" t="s">
        <v>1139</v>
      </c>
      <c r="H230" s="182"/>
      <c r="I230" s="59">
        <v>0</v>
      </c>
      <c r="J230" s="60">
        <v>21.18</v>
      </c>
      <c r="K230" s="60">
        <v>2.48</v>
      </c>
      <c r="L230" s="60">
        <v>2.48</v>
      </c>
      <c r="M230" s="61">
        <v>0</v>
      </c>
      <c r="N230" s="62">
        <v>2022.05</v>
      </c>
      <c r="O230" s="62">
        <v>0.05</v>
      </c>
      <c r="P230" s="62">
        <v>0.05</v>
      </c>
    </row>
    <row r="231" spans="1:16" ht="15" customHeight="1" x14ac:dyDescent="0.2">
      <c r="A231" s="43" t="s">
        <v>1140</v>
      </c>
      <c r="B231" s="93">
        <v>355</v>
      </c>
      <c r="C231" s="54">
        <v>1050003008930</v>
      </c>
      <c r="D231" s="55" t="s">
        <v>1140</v>
      </c>
      <c r="E231" s="93">
        <v>393</v>
      </c>
      <c r="F231" s="54">
        <v>1050003008949</v>
      </c>
      <c r="G231" s="55" t="s">
        <v>1140</v>
      </c>
      <c r="H231" s="182"/>
      <c r="I231" s="59">
        <v>0</v>
      </c>
      <c r="J231" s="60">
        <v>110.23</v>
      </c>
      <c r="K231" s="60">
        <v>1.91</v>
      </c>
      <c r="L231" s="60">
        <v>1.91</v>
      </c>
      <c r="M231" s="61">
        <v>0</v>
      </c>
      <c r="N231" s="62">
        <v>6033.56</v>
      </c>
      <c r="O231" s="62">
        <v>0.05</v>
      </c>
      <c r="P231" s="62">
        <v>0.05</v>
      </c>
    </row>
    <row r="232" spans="1:16" ht="15" customHeight="1" x14ac:dyDescent="0.2">
      <c r="A232" s="43" t="s">
        <v>1141</v>
      </c>
      <c r="B232" s="93">
        <v>427</v>
      </c>
      <c r="C232" s="54">
        <v>1050001858070</v>
      </c>
      <c r="D232" s="55" t="s">
        <v>1141</v>
      </c>
      <c r="E232" s="93">
        <v>648</v>
      </c>
      <c r="F232" s="54">
        <v>1050001858080</v>
      </c>
      <c r="G232" s="55" t="s">
        <v>1141</v>
      </c>
      <c r="H232" s="182"/>
      <c r="I232" s="59">
        <v>8.7999999999999995E-2</v>
      </c>
      <c r="J232" s="60">
        <v>6.91</v>
      </c>
      <c r="K232" s="60">
        <v>2.95</v>
      </c>
      <c r="L232" s="60">
        <v>2.95</v>
      </c>
      <c r="M232" s="61">
        <v>0</v>
      </c>
      <c r="N232" s="62">
        <v>1381.62</v>
      </c>
      <c r="O232" s="62">
        <v>0.05</v>
      </c>
      <c r="P232" s="62">
        <v>0.05</v>
      </c>
    </row>
    <row r="233" spans="1:16" ht="15" customHeight="1" x14ac:dyDescent="0.2">
      <c r="A233" s="43" t="s">
        <v>1142</v>
      </c>
      <c r="B233" s="93">
        <v>361</v>
      </c>
      <c r="C233" s="54">
        <v>1050003331176</v>
      </c>
      <c r="D233" s="55" t="s">
        <v>1142</v>
      </c>
      <c r="E233" s="93">
        <v>399</v>
      </c>
      <c r="F233" s="54">
        <v>1050003331185</v>
      </c>
      <c r="G233" s="55" t="s">
        <v>1142</v>
      </c>
      <c r="H233" s="182"/>
      <c r="I233" s="59">
        <v>2.0299999999999998</v>
      </c>
      <c r="J233" s="60">
        <v>12.05</v>
      </c>
      <c r="K233" s="60">
        <v>3.25</v>
      </c>
      <c r="L233" s="60">
        <v>3.25</v>
      </c>
      <c r="M233" s="61">
        <v>0</v>
      </c>
      <c r="N233" s="62">
        <v>1497.22</v>
      </c>
      <c r="O233" s="62">
        <v>0.05</v>
      </c>
      <c r="P233" s="62">
        <v>0.05</v>
      </c>
    </row>
    <row r="234" spans="1:16" ht="15" customHeight="1" x14ac:dyDescent="0.2">
      <c r="A234" s="43" t="s">
        <v>1143</v>
      </c>
      <c r="B234" s="93">
        <v>521</v>
      </c>
      <c r="C234" s="54">
        <v>1050000698283</v>
      </c>
      <c r="D234" s="55" t="s">
        <v>1143</v>
      </c>
      <c r="E234" s="93">
        <v>453</v>
      </c>
      <c r="F234" s="54">
        <v>1050000698247</v>
      </c>
      <c r="G234" s="55" t="s">
        <v>1143</v>
      </c>
      <c r="H234" s="182"/>
      <c r="I234" s="59">
        <v>0</v>
      </c>
      <c r="J234" s="60">
        <v>25.27</v>
      </c>
      <c r="K234" s="60">
        <v>5.79</v>
      </c>
      <c r="L234" s="60">
        <v>5.79</v>
      </c>
      <c r="M234" s="61">
        <v>0</v>
      </c>
      <c r="N234" s="62">
        <v>4422.54</v>
      </c>
      <c r="O234" s="62">
        <v>0.05</v>
      </c>
      <c r="P234" s="62">
        <v>0.05</v>
      </c>
    </row>
    <row r="235" spans="1:16" ht="15" customHeight="1" x14ac:dyDescent="0.2">
      <c r="A235" s="43" t="s">
        <v>1144</v>
      </c>
      <c r="B235" s="93">
        <v>523</v>
      </c>
      <c r="C235" s="54">
        <v>1050000802936</v>
      </c>
      <c r="D235" s="55" t="s">
        <v>1144</v>
      </c>
      <c r="E235" s="93">
        <v>455</v>
      </c>
      <c r="F235" s="54">
        <v>1050000802945</v>
      </c>
      <c r="G235" s="55" t="s">
        <v>1144</v>
      </c>
      <c r="H235" s="182"/>
      <c r="I235" s="59">
        <v>5.0350000000000001</v>
      </c>
      <c r="J235" s="60">
        <v>56.75</v>
      </c>
      <c r="K235" s="60">
        <v>1.79</v>
      </c>
      <c r="L235" s="60">
        <v>1.79</v>
      </c>
      <c r="M235" s="61">
        <v>0</v>
      </c>
      <c r="N235" s="62">
        <v>2497.21</v>
      </c>
      <c r="O235" s="62">
        <v>0.05</v>
      </c>
      <c r="P235" s="62">
        <v>0.05</v>
      </c>
    </row>
    <row r="236" spans="1:16" ht="15" customHeight="1" x14ac:dyDescent="0.2">
      <c r="A236" s="43" t="s">
        <v>1145</v>
      </c>
      <c r="B236" s="93">
        <v>522</v>
      </c>
      <c r="C236" s="54">
        <v>1050000774109</v>
      </c>
      <c r="D236" s="55" t="s">
        <v>1145</v>
      </c>
      <c r="E236" s="93">
        <v>454</v>
      </c>
      <c r="F236" s="54">
        <v>1050000774118</v>
      </c>
      <c r="G236" s="55" t="s">
        <v>1145</v>
      </c>
      <c r="H236" s="182"/>
      <c r="I236" s="59">
        <v>5.03</v>
      </c>
      <c r="J236" s="60">
        <v>84.2</v>
      </c>
      <c r="K236" s="60">
        <v>1.84</v>
      </c>
      <c r="L236" s="60">
        <v>1.84</v>
      </c>
      <c r="M236" s="61">
        <v>0</v>
      </c>
      <c r="N236" s="62">
        <v>2469.77</v>
      </c>
      <c r="O236" s="62">
        <v>0.05</v>
      </c>
      <c r="P236" s="62">
        <v>0.05</v>
      </c>
    </row>
    <row r="237" spans="1:16" ht="15" customHeight="1" x14ac:dyDescent="0.2">
      <c r="A237" s="43" t="s">
        <v>1146</v>
      </c>
      <c r="B237" s="93">
        <v>826</v>
      </c>
      <c r="C237" s="54">
        <v>1023497360519</v>
      </c>
      <c r="D237" s="55" t="s">
        <v>1146</v>
      </c>
      <c r="E237" s="93">
        <v>704</v>
      </c>
      <c r="F237" s="54">
        <v>1023479109093</v>
      </c>
      <c r="G237" s="55" t="s">
        <v>1146</v>
      </c>
      <c r="H237" s="182">
        <v>2</v>
      </c>
      <c r="I237" s="59">
        <v>6.7000000000000004E-2</v>
      </c>
      <c r="J237" s="60">
        <v>15392.93</v>
      </c>
      <c r="K237" s="60">
        <v>1.51</v>
      </c>
      <c r="L237" s="60">
        <v>1.51</v>
      </c>
      <c r="M237" s="61">
        <v>-0.25800000000000001</v>
      </c>
      <c r="N237" s="62">
        <v>5784</v>
      </c>
      <c r="O237" s="62">
        <v>0.05</v>
      </c>
      <c r="P237" s="62">
        <v>0.05</v>
      </c>
    </row>
    <row r="238" spans="1:16" ht="15" customHeight="1" x14ac:dyDescent="0.2">
      <c r="A238" s="43" t="s">
        <v>1147</v>
      </c>
      <c r="B238" s="93">
        <v>481</v>
      </c>
      <c r="C238" s="54">
        <v>1050001905660</v>
      </c>
      <c r="D238" s="55" t="s">
        <v>1147</v>
      </c>
      <c r="E238" s="93">
        <v>411</v>
      </c>
      <c r="F238" s="54">
        <v>1050001905679</v>
      </c>
      <c r="G238" s="55" t="s">
        <v>1147</v>
      </c>
      <c r="H238" s="182"/>
      <c r="I238" s="59">
        <v>2.1429999999999998</v>
      </c>
      <c r="J238" s="60">
        <v>61.54</v>
      </c>
      <c r="K238" s="60">
        <v>2.19</v>
      </c>
      <c r="L238" s="60">
        <v>2.19</v>
      </c>
      <c r="M238" s="61">
        <v>-2.8490000000000002</v>
      </c>
      <c r="N238" s="62">
        <v>2539.34</v>
      </c>
      <c r="O238" s="62">
        <v>0.05</v>
      </c>
      <c r="P238" s="62">
        <v>0.05</v>
      </c>
    </row>
    <row r="239" spans="1:16" ht="15" customHeight="1" x14ac:dyDescent="0.2">
      <c r="A239" s="43" t="s">
        <v>1148</v>
      </c>
      <c r="B239" s="93">
        <v>551</v>
      </c>
      <c r="C239" s="54">
        <v>1050001008645</v>
      </c>
      <c r="D239" s="55" t="s">
        <v>1148</v>
      </c>
      <c r="E239" s="93">
        <v>667</v>
      </c>
      <c r="F239" s="54">
        <v>1050001008636</v>
      </c>
      <c r="G239" s="55" t="s">
        <v>1148</v>
      </c>
      <c r="H239" s="182"/>
      <c r="I239" s="59">
        <v>0.33500000000000002</v>
      </c>
      <c r="J239" s="60">
        <v>46.19</v>
      </c>
      <c r="K239" s="60">
        <v>2.42</v>
      </c>
      <c r="L239" s="60">
        <v>2.42</v>
      </c>
      <c r="M239" s="61">
        <v>0</v>
      </c>
      <c r="N239" s="62">
        <v>4619.5</v>
      </c>
      <c r="O239" s="62">
        <v>0.05</v>
      </c>
      <c r="P239" s="62">
        <v>0.05</v>
      </c>
    </row>
    <row r="240" spans="1:16" ht="15" customHeight="1" x14ac:dyDescent="0.2">
      <c r="A240" s="43" t="s">
        <v>1149</v>
      </c>
      <c r="B240" s="93">
        <v>572</v>
      </c>
      <c r="C240" s="54">
        <v>1050001205345</v>
      </c>
      <c r="D240" s="55" t="s">
        <v>1149</v>
      </c>
      <c r="E240" s="93">
        <v>688</v>
      </c>
      <c r="F240" s="54">
        <v>1050001205354</v>
      </c>
      <c r="G240" s="55" t="s">
        <v>1149</v>
      </c>
      <c r="H240" s="182"/>
      <c r="I240" s="59">
        <v>0</v>
      </c>
      <c r="J240" s="60">
        <v>5.21</v>
      </c>
      <c r="K240" s="60">
        <v>4.1100000000000003</v>
      </c>
      <c r="L240" s="60">
        <v>4.1100000000000003</v>
      </c>
      <c r="M240" s="61">
        <v>0</v>
      </c>
      <c r="N240" s="62">
        <v>1135.8599999999999</v>
      </c>
      <c r="O240" s="62">
        <v>0.05</v>
      </c>
      <c r="P240" s="62">
        <v>0.05</v>
      </c>
    </row>
    <row r="241" spans="1:16" ht="15" customHeight="1" x14ac:dyDescent="0.2">
      <c r="A241" s="43" t="s">
        <v>1150</v>
      </c>
      <c r="B241" s="93">
        <v>346</v>
      </c>
      <c r="C241" s="54">
        <v>1050002444180</v>
      </c>
      <c r="D241" s="55" t="s">
        <v>1150</v>
      </c>
      <c r="E241" s="93">
        <v>423</v>
      </c>
      <c r="F241" s="54">
        <v>1050002444199</v>
      </c>
      <c r="G241" s="55" t="s">
        <v>1150</v>
      </c>
      <c r="H241" s="182"/>
      <c r="I241" s="59">
        <v>0</v>
      </c>
      <c r="J241" s="60">
        <v>923.58</v>
      </c>
      <c r="K241" s="60">
        <v>2.19</v>
      </c>
      <c r="L241" s="60">
        <v>2.19</v>
      </c>
      <c r="M241" s="61">
        <v>-1.214</v>
      </c>
      <c r="N241" s="62">
        <v>923.58</v>
      </c>
      <c r="O241" s="62">
        <v>0.05</v>
      </c>
      <c r="P241" s="62">
        <v>0.05</v>
      </c>
    </row>
    <row r="242" spans="1:16" ht="15" customHeight="1" x14ac:dyDescent="0.2">
      <c r="A242" s="215" t="s">
        <v>1151</v>
      </c>
      <c r="B242" s="216">
        <v>552</v>
      </c>
      <c r="C242" s="217">
        <v>1050000961361</v>
      </c>
      <c r="D242" s="219" t="s">
        <v>1151</v>
      </c>
      <c r="E242" s="216">
        <v>668</v>
      </c>
      <c r="F242" s="217">
        <v>1050000961370</v>
      </c>
      <c r="G242" s="219" t="s">
        <v>1151</v>
      </c>
      <c r="H242" s="220">
        <v>1</v>
      </c>
      <c r="I242" s="221">
        <v>0</v>
      </c>
      <c r="J242" s="222">
        <v>4649.79</v>
      </c>
      <c r="K242" s="222">
        <v>4.0599999999999996</v>
      </c>
      <c r="L242" s="222">
        <v>4.0599999999999996</v>
      </c>
      <c r="M242" s="223">
        <v>0</v>
      </c>
      <c r="N242" s="224">
        <v>7262.45</v>
      </c>
      <c r="O242" s="224">
        <v>0.05</v>
      </c>
      <c r="P242" s="224">
        <v>0.05</v>
      </c>
    </row>
    <row r="243" spans="1:16" ht="15" customHeight="1" x14ac:dyDescent="0.2">
      <c r="A243" s="43" t="s">
        <v>1152</v>
      </c>
      <c r="B243" s="93">
        <v>524</v>
      </c>
      <c r="C243" s="54">
        <v>1050000843640</v>
      </c>
      <c r="D243" s="55" t="s">
        <v>1152</v>
      </c>
      <c r="E243" s="93">
        <v>456</v>
      </c>
      <c r="F243" s="54">
        <v>1050000843659</v>
      </c>
      <c r="G243" s="55" t="s">
        <v>1152</v>
      </c>
      <c r="H243" s="182"/>
      <c r="I243" s="59">
        <v>0</v>
      </c>
      <c r="J243" s="60">
        <v>99.04</v>
      </c>
      <c r="K243" s="60">
        <v>3.65</v>
      </c>
      <c r="L243" s="60">
        <v>3.65</v>
      </c>
      <c r="M243" s="61">
        <v>0</v>
      </c>
      <c r="N243" s="62">
        <v>1449.34</v>
      </c>
      <c r="O243" s="62">
        <v>0.05</v>
      </c>
      <c r="P243" s="62">
        <v>0.05</v>
      </c>
    </row>
    <row r="244" spans="1:16" ht="15" customHeight="1" x14ac:dyDescent="0.2">
      <c r="A244" s="43" t="s">
        <v>1153</v>
      </c>
      <c r="B244" s="93">
        <v>892</v>
      </c>
      <c r="C244" s="54">
        <v>1050000543223</v>
      </c>
      <c r="D244" s="55" t="s">
        <v>1153</v>
      </c>
      <c r="E244" s="93">
        <v>711</v>
      </c>
      <c r="F244" s="54">
        <v>1050000543241</v>
      </c>
      <c r="G244" s="55" t="s">
        <v>1153</v>
      </c>
      <c r="H244" s="182"/>
      <c r="I244" s="59">
        <v>2.1230000000000002</v>
      </c>
      <c r="J244" s="60">
        <v>51.81</v>
      </c>
      <c r="K244" s="60">
        <v>2.54</v>
      </c>
      <c r="L244" s="60">
        <v>2.54</v>
      </c>
      <c r="M244" s="61">
        <v>0</v>
      </c>
      <c r="N244" s="62">
        <v>7150.19</v>
      </c>
      <c r="O244" s="62">
        <v>0.05</v>
      </c>
      <c r="P244" s="62">
        <v>0.05</v>
      </c>
    </row>
    <row r="245" spans="1:16" ht="15" customHeight="1" x14ac:dyDescent="0.2">
      <c r="A245" s="43" t="s">
        <v>1154</v>
      </c>
      <c r="B245" s="93">
        <v>891</v>
      </c>
      <c r="C245" s="54">
        <v>1050000589956</v>
      </c>
      <c r="D245" s="55" t="s">
        <v>1154</v>
      </c>
      <c r="E245" s="93">
        <v>765</v>
      </c>
      <c r="F245" s="54">
        <v>1050000579266</v>
      </c>
      <c r="G245" s="55" t="s">
        <v>1154</v>
      </c>
      <c r="H245" s="182"/>
      <c r="I245" s="59">
        <v>0.127</v>
      </c>
      <c r="J245" s="60">
        <v>10.65</v>
      </c>
      <c r="K245" s="60">
        <v>1.81</v>
      </c>
      <c r="L245" s="60">
        <v>1.81</v>
      </c>
      <c r="M245" s="61">
        <v>0</v>
      </c>
      <c r="N245" s="62">
        <v>1065.0999999999999</v>
      </c>
      <c r="O245" s="62">
        <v>0.05</v>
      </c>
      <c r="P245" s="62">
        <v>0.05</v>
      </c>
    </row>
    <row r="246" spans="1:16" ht="15" customHeight="1" x14ac:dyDescent="0.2">
      <c r="A246" s="43" t="s">
        <v>1155</v>
      </c>
      <c r="B246" s="93">
        <v>280</v>
      </c>
      <c r="C246" s="54">
        <v>1050003405846</v>
      </c>
      <c r="D246" s="55" t="s">
        <v>1155</v>
      </c>
      <c r="E246" s="93">
        <v>426</v>
      </c>
      <c r="F246" s="54">
        <v>1050003405882</v>
      </c>
      <c r="G246" s="55" t="s">
        <v>1155</v>
      </c>
      <c r="H246" s="182"/>
      <c r="I246" s="59">
        <v>0</v>
      </c>
      <c r="J246" s="60">
        <v>26.4</v>
      </c>
      <c r="K246" s="60">
        <v>1.99</v>
      </c>
      <c r="L246" s="60">
        <v>1.99</v>
      </c>
      <c r="M246" s="61">
        <v>0</v>
      </c>
      <c r="N246" s="62">
        <v>12790.58</v>
      </c>
      <c r="O246" s="62">
        <v>0.05</v>
      </c>
      <c r="P246" s="62">
        <v>0.05</v>
      </c>
    </row>
    <row r="247" spans="1:16" ht="15" customHeight="1" x14ac:dyDescent="0.2">
      <c r="A247" s="43" t="s">
        <v>1156</v>
      </c>
      <c r="B247" s="93">
        <v>537</v>
      </c>
      <c r="C247" s="54">
        <v>1050000810928</v>
      </c>
      <c r="D247" s="55" t="s">
        <v>1156</v>
      </c>
      <c r="E247" s="93">
        <v>469</v>
      </c>
      <c r="F247" s="54">
        <v>1050000810937</v>
      </c>
      <c r="G247" s="55" t="s">
        <v>1156</v>
      </c>
      <c r="H247" s="182"/>
      <c r="I247" s="59">
        <v>8.6999999999999994E-2</v>
      </c>
      <c r="J247" s="60">
        <v>22.27</v>
      </c>
      <c r="K247" s="60">
        <v>2.35</v>
      </c>
      <c r="L247" s="60">
        <v>2.35</v>
      </c>
      <c r="M247" s="61">
        <v>0</v>
      </c>
      <c r="N247" s="62">
        <v>2004.71</v>
      </c>
      <c r="O247" s="62">
        <v>0.05</v>
      </c>
      <c r="P247" s="62">
        <v>0.05</v>
      </c>
    </row>
    <row r="248" spans="1:16" ht="15" customHeight="1" x14ac:dyDescent="0.2">
      <c r="A248" s="43" t="s">
        <v>1157</v>
      </c>
      <c r="B248" s="93">
        <v>573</v>
      </c>
      <c r="C248" s="54">
        <v>1050001197855</v>
      </c>
      <c r="D248" s="55" t="s">
        <v>1157</v>
      </c>
      <c r="E248" s="93">
        <v>690</v>
      </c>
      <c r="F248" s="54">
        <v>1050001197846</v>
      </c>
      <c r="G248" s="55" t="s">
        <v>1157</v>
      </c>
      <c r="H248" s="182">
        <v>1</v>
      </c>
      <c r="I248" s="59">
        <v>0.29699999999999999</v>
      </c>
      <c r="J248" s="60">
        <v>4638.63</v>
      </c>
      <c r="K248" s="60">
        <v>1.82</v>
      </c>
      <c r="L248" s="60">
        <v>1.82</v>
      </c>
      <c r="M248" s="61">
        <v>0</v>
      </c>
      <c r="N248" s="62">
        <v>1112.72</v>
      </c>
      <c r="O248" s="62">
        <v>0.05</v>
      </c>
      <c r="P248" s="62">
        <v>0.05</v>
      </c>
    </row>
    <row r="249" spans="1:16" ht="15" customHeight="1" x14ac:dyDescent="0.2">
      <c r="A249" s="43" t="s">
        <v>1158</v>
      </c>
      <c r="B249" s="93">
        <v>574</v>
      </c>
      <c r="C249" s="54">
        <v>1050001261465</v>
      </c>
      <c r="D249" s="55" t="s">
        <v>1158</v>
      </c>
      <c r="E249" s="93">
        <v>691</v>
      </c>
      <c r="F249" s="54">
        <v>1050001261429</v>
      </c>
      <c r="G249" s="55" t="s">
        <v>1158</v>
      </c>
      <c r="H249" s="182"/>
      <c r="I249" s="59">
        <v>0</v>
      </c>
      <c r="J249" s="60">
        <v>53.6</v>
      </c>
      <c r="K249" s="60">
        <v>7.89</v>
      </c>
      <c r="L249" s="60">
        <v>7.89</v>
      </c>
      <c r="M249" s="61">
        <v>0</v>
      </c>
      <c r="N249" s="62">
        <v>4288.07</v>
      </c>
      <c r="O249" s="62">
        <v>0.05</v>
      </c>
      <c r="P249" s="62">
        <v>0.05</v>
      </c>
    </row>
    <row r="250" spans="1:16" ht="15" customHeight="1" x14ac:dyDescent="0.2">
      <c r="A250" s="43" t="s">
        <v>1159</v>
      </c>
      <c r="B250" s="93">
        <v>893</v>
      </c>
      <c r="C250" s="54">
        <v>1050000574667</v>
      </c>
      <c r="D250" s="55" t="s">
        <v>1159</v>
      </c>
      <c r="E250" s="93">
        <v>730</v>
      </c>
      <c r="F250" s="54">
        <v>1050000574676</v>
      </c>
      <c r="G250" s="55" t="s">
        <v>1159</v>
      </c>
      <c r="H250" s="182"/>
      <c r="I250" s="59">
        <v>5.3999999999999999E-2</v>
      </c>
      <c r="J250" s="60">
        <v>6.92</v>
      </c>
      <c r="K250" s="60">
        <v>3.26</v>
      </c>
      <c r="L250" s="60">
        <v>3.26</v>
      </c>
      <c r="M250" s="61">
        <v>0</v>
      </c>
      <c r="N250" s="62">
        <v>1037.6300000000001</v>
      </c>
      <c r="O250" s="62">
        <v>0.05</v>
      </c>
      <c r="P250" s="62">
        <v>0.05</v>
      </c>
    </row>
    <row r="251" spans="1:16" ht="15" customHeight="1" x14ac:dyDescent="0.2">
      <c r="A251" s="43" t="s">
        <v>1160</v>
      </c>
      <c r="B251" s="93">
        <v>314</v>
      </c>
      <c r="C251" s="54">
        <v>1050001060050</v>
      </c>
      <c r="D251" s="55" t="s">
        <v>1160</v>
      </c>
      <c r="E251" s="93">
        <v>669</v>
      </c>
      <c r="F251" s="54">
        <v>1050001060060</v>
      </c>
      <c r="G251" s="55" t="s">
        <v>1160</v>
      </c>
      <c r="H251" s="182"/>
      <c r="I251" s="59">
        <v>0</v>
      </c>
      <c r="J251" s="60">
        <v>1.98</v>
      </c>
      <c r="K251" s="60">
        <v>10.37</v>
      </c>
      <c r="L251" s="60">
        <v>10.37</v>
      </c>
      <c r="M251" s="61">
        <v>0</v>
      </c>
      <c r="N251" s="62">
        <v>492.88</v>
      </c>
      <c r="O251" s="62">
        <v>0.05</v>
      </c>
      <c r="P251" s="62">
        <v>0.05</v>
      </c>
    </row>
    <row r="252" spans="1:16" ht="15" customHeight="1" x14ac:dyDescent="0.2">
      <c r="A252" s="43" t="s">
        <v>1161</v>
      </c>
      <c r="B252" s="93">
        <v>356</v>
      </c>
      <c r="C252" s="54">
        <v>1050002943499</v>
      </c>
      <c r="D252" s="55" t="s">
        <v>1161</v>
      </c>
      <c r="E252" s="93">
        <v>394</v>
      </c>
      <c r="F252" s="54">
        <v>1050002943504</v>
      </c>
      <c r="G252" s="55" t="s">
        <v>1161</v>
      </c>
      <c r="H252" s="182">
        <v>1</v>
      </c>
      <c r="I252" s="59">
        <v>1.39</v>
      </c>
      <c r="J252" s="60">
        <v>4627.12</v>
      </c>
      <c r="K252" s="60">
        <v>3.06</v>
      </c>
      <c r="L252" s="60">
        <v>3.06</v>
      </c>
      <c r="M252" s="61">
        <v>0</v>
      </c>
      <c r="N252" s="62">
        <v>2680.54</v>
      </c>
      <c r="O252" s="62">
        <v>0.05</v>
      </c>
      <c r="P252" s="62">
        <v>0.05</v>
      </c>
    </row>
    <row r="253" spans="1:16" ht="15" customHeight="1" x14ac:dyDescent="0.2">
      <c r="A253" s="43" t="s">
        <v>1162</v>
      </c>
      <c r="B253" s="93">
        <v>428</v>
      </c>
      <c r="C253" s="54">
        <v>1050001620710</v>
      </c>
      <c r="D253" s="55" t="s">
        <v>1162</v>
      </c>
      <c r="E253" s="93">
        <v>774</v>
      </c>
      <c r="F253" s="54">
        <v>1050001620720</v>
      </c>
      <c r="G253" s="55" t="s">
        <v>1162</v>
      </c>
      <c r="H253" s="182"/>
      <c r="I253" s="59">
        <v>3.0000000000000001E-3</v>
      </c>
      <c r="J253" s="60">
        <v>17.79</v>
      </c>
      <c r="K253" s="60">
        <v>3.09</v>
      </c>
      <c r="L253" s="60">
        <v>3.09</v>
      </c>
      <c r="M253" s="61">
        <v>-6.8000000000000005E-2</v>
      </c>
      <c r="N253" s="62">
        <v>1778.52</v>
      </c>
      <c r="O253" s="62">
        <v>0.05</v>
      </c>
      <c r="P253" s="62">
        <v>0.05</v>
      </c>
    </row>
    <row r="254" spans="1:16" ht="15" customHeight="1" x14ac:dyDescent="0.2">
      <c r="A254" s="43" t="s">
        <v>1163</v>
      </c>
      <c r="B254" s="93">
        <v>575</v>
      </c>
      <c r="C254" s="54">
        <v>1050001054233</v>
      </c>
      <c r="D254" s="55" t="s">
        <v>1163</v>
      </c>
      <c r="E254" s="93">
        <v>692</v>
      </c>
      <c r="F254" s="54">
        <v>1050001054242</v>
      </c>
      <c r="G254" s="55" t="s">
        <v>1163</v>
      </c>
      <c r="H254" s="182"/>
      <c r="I254" s="59">
        <v>1.7000000000000001E-2</v>
      </c>
      <c r="J254" s="60">
        <v>41.93</v>
      </c>
      <c r="K254" s="60">
        <v>1.94</v>
      </c>
      <c r="L254" s="60">
        <v>1.94</v>
      </c>
      <c r="M254" s="61">
        <v>-0.155</v>
      </c>
      <c r="N254" s="62">
        <v>1677.28</v>
      </c>
      <c r="O254" s="62">
        <v>0.05</v>
      </c>
      <c r="P254" s="62">
        <v>0.05</v>
      </c>
    </row>
    <row r="255" spans="1:16" ht="15" customHeight="1" x14ac:dyDescent="0.2">
      <c r="A255" s="43" t="s">
        <v>1164</v>
      </c>
      <c r="B255" s="93">
        <v>315</v>
      </c>
      <c r="C255" s="54">
        <v>1050003511410</v>
      </c>
      <c r="D255" s="55" t="s">
        <v>1164</v>
      </c>
      <c r="E255" s="93">
        <v>446</v>
      </c>
      <c r="F255" s="54">
        <v>1050003511429</v>
      </c>
      <c r="G255" s="55" t="s">
        <v>1164</v>
      </c>
      <c r="H255" s="182"/>
      <c r="I255" s="59">
        <v>2.6309999999999998</v>
      </c>
      <c r="J255" s="60">
        <v>317.02999999999997</v>
      </c>
      <c r="K255" s="60">
        <v>1.26</v>
      </c>
      <c r="L255" s="60">
        <v>1.26</v>
      </c>
      <c r="M255" s="61">
        <v>-2.6179999999999999</v>
      </c>
      <c r="N255" s="62">
        <v>317.02999999999997</v>
      </c>
      <c r="O255" s="62">
        <v>0.05</v>
      </c>
      <c r="P255" s="62">
        <v>0.05</v>
      </c>
    </row>
    <row r="256" spans="1:16" ht="15" customHeight="1" x14ac:dyDescent="0.2">
      <c r="A256" s="43" t="s">
        <v>1165</v>
      </c>
      <c r="B256" s="93">
        <v>315</v>
      </c>
      <c r="C256" s="54">
        <v>1050001507449</v>
      </c>
      <c r="D256" s="55" t="s">
        <v>1165</v>
      </c>
      <c r="E256" s="93">
        <v>446</v>
      </c>
      <c r="F256" s="54">
        <v>1050001507458</v>
      </c>
      <c r="G256" s="55" t="s">
        <v>1165</v>
      </c>
      <c r="H256" s="182"/>
      <c r="I256" s="59">
        <v>2.6309999999999998</v>
      </c>
      <c r="J256" s="60">
        <v>475.54</v>
      </c>
      <c r="K256" s="60">
        <v>1.26</v>
      </c>
      <c r="L256" s="60">
        <v>1.26</v>
      </c>
      <c r="M256" s="61">
        <v>-2.6179999999999999</v>
      </c>
      <c r="N256" s="62">
        <v>475.54</v>
      </c>
      <c r="O256" s="62">
        <v>0.05</v>
      </c>
      <c r="P256" s="62">
        <v>0.05</v>
      </c>
    </row>
    <row r="257" spans="1:16" ht="15" customHeight="1" x14ac:dyDescent="0.2">
      <c r="A257" s="43" t="s">
        <v>1166</v>
      </c>
      <c r="B257" s="93">
        <v>553</v>
      </c>
      <c r="C257" s="54">
        <v>1050001042238</v>
      </c>
      <c r="D257" s="210" t="s">
        <v>1166</v>
      </c>
      <c r="E257" s="93">
        <v>670</v>
      </c>
      <c r="F257" s="54">
        <v>1050001042229</v>
      </c>
      <c r="G257" s="55" t="s">
        <v>1166</v>
      </c>
      <c r="H257" s="182"/>
      <c r="I257" s="59">
        <v>0.25900000000000001</v>
      </c>
      <c r="J257" s="60">
        <v>10.87</v>
      </c>
      <c r="K257" s="60">
        <v>1.78</v>
      </c>
      <c r="L257" s="60">
        <v>1.78</v>
      </c>
      <c r="M257" s="61">
        <v>0</v>
      </c>
      <c r="N257" s="62">
        <v>1087.23</v>
      </c>
      <c r="O257" s="62">
        <v>0.05</v>
      </c>
      <c r="P257" s="62">
        <v>0.05</v>
      </c>
    </row>
    <row r="258" spans="1:16" ht="15" customHeight="1" x14ac:dyDescent="0.2">
      <c r="A258" s="43" t="s">
        <v>1167</v>
      </c>
      <c r="B258" s="93">
        <v>894</v>
      </c>
      <c r="C258" s="54">
        <v>1050000599909</v>
      </c>
      <c r="D258" s="55" t="s">
        <v>1167</v>
      </c>
      <c r="E258" s="93">
        <v>731</v>
      </c>
      <c r="F258" s="54">
        <v>1050000599893</v>
      </c>
      <c r="G258" s="55" t="s">
        <v>1167</v>
      </c>
      <c r="H258" s="182"/>
      <c r="I258" s="59">
        <v>0</v>
      </c>
      <c r="J258" s="60">
        <v>13.2</v>
      </c>
      <c r="K258" s="60">
        <v>9.19</v>
      </c>
      <c r="L258" s="60">
        <v>9.19</v>
      </c>
      <c r="M258" s="61">
        <v>0</v>
      </c>
      <c r="N258" s="62">
        <v>1959.76</v>
      </c>
      <c r="O258" s="62">
        <v>0.05</v>
      </c>
      <c r="P258" s="62">
        <v>0.05</v>
      </c>
    </row>
    <row r="259" spans="1:16" ht="15" customHeight="1" x14ac:dyDescent="0.2">
      <c r="A259" s="43" t="s">
        <v>1168</v>
      </c>
      <c r="B259" s="93">
        <v>890</v>
      </c>
      <c r="C259" s="54">
        <v>1050000588206</v>
      </c>
      <c r="D259" s="55" t="s">
        <v>1168</v>
      </c>
      <c r="E259" s="93">
        <v>764</v>
      </c>
      <c r="F259" s="54">
        <v>1050000588215</v>
      </c>
      <c r="G259" s="55" t="s">
        <v>1168</v>
      </c>
      <c r="H259" s="182"/>
      <c r="I259" s="59">
        <v>0.41699999999999998</v>
      </c>
      <c r="J259" s="60">
        <v>80.44</v>
      </c>
      <c r="K259" s="60">
        <v>2.92</v>
      </c>
      <c r="L259" s="60">
        <v>2.92</v>
      </c>
      <c r="M259" s="61">
        <v>0</v>
      </c>
      <c r="N259" s="62">
        <v>1467.94</v>
      </c>
      <c r="O259" s="62">
        <v>0.05</v>
      </c>
      <c r="P259" s="62">
        <v>0.05</v>
      </c>
    </row>
    <row r="260" spans="1:16" ht="15" customHeight="1" x14ac:dyDescent="0.2">
      <c r="A260" s="43" t="s">
        <v>1169</v>
      </c>
      <c r="B260" s="93">
        <v>343</v>
      </c>
      <c r="C260" s="54">
        <v>1050003405828</v>
      </c>
      <c r="D260" s="55" t="s">
        <v>1169</v>
      </c>
      <c r="E260" s="93">
        <v>420</v>
      </c>
      <c r="F260" s="54">
        <v>1050003405873</v>
      </c>
      <c r="G260" s="55" t="s">
        <v>1169</v>
      </c>
      <c r="H260" s="182"/>
      <c r="I260" s="59">
        <v>0</v>
      </c>
      <c r="J260" s="60">
        <v>27.75</v>
      </c>
      <c r="K260" s="60">
        <v>2.42</v>
      </c>
      <c r="L260" s="60">
        <v>2.42</v>
      </c>
      <c r="M260" s="61">
        <v>0</v>
      </c>
      <c r="N260" s="62">
        <v>12789.23</v>
      </c>
      <c r="O260" s="62">
        <v>0.05</v>
      </c>
      <c r="P260" s="62">
        <v>0.05</v>
      </c>
    </row>
    <row r="261" spans="1:16" ht="30" customHeight="1" x14ac:dyDescent="0.2">
      <c r="A261" s="43" t="s">
        <v>1170</v>
      </c>
      <c r="B261" s="93">
        <v>525</v>
      </c>
      <c r="C261" s="54" t="s">
        <v>1348</v>
      </c>
      <c r="D261" s="55" t="s">
        <v>1170</v>
      </c>
      <c r="E261" s="93">
        <v>457</v>
      </c>
      <c r="F261" s="54" t="s">
        <v>1349</v>
      </c>
      <c r="G261" s="55" t="s">
        <v>1170</v>
      </c>
      <c r="H261" s="182"/>
      <c r="I261" s="59">
        <v>2.4319999999999999</v>
      </c>
      <c r="J261" s="60">
        <v>25.16</v>
      </c>
      <c r="K261" s="60">
        <v>4.1399999999999997</v>
      </c>
      <c r="L261" s="60">
        <v>4.1399999999999997</v>
      </c>
      <c r="M261" s="61">
        <v>0</v>
      </c>
      <c r="N261" s="62">
        <v>469.7</v>
      </c>
      <c r="O261" s="62">
        <v>0.05</v>
      </c>
      <c r="P261" s="62">
        <v>0.05</v>
      </c>
    </row>
    <row r="262" spans="1:16" ht="15" customHeight="1" x14ac:dyDescent="0.2">
      <c r="A262" s="43" t="s">
        <v>1171</v>
      </c>
      <c r="B262" s="93">
        <v>554</v>
      </c>
      <c r="C262" s="54">
        <v>1050001028544</v>
      </c>
      <c r="D262" s="55" t="s">
        <v>1171</v>
      </c>
      <c r="E262" s="93">
        <v>671</v>
      </c>
      <c r="F262" s="54">
        <v>1050001028553</v>
      </c>
      <c r="G262" s="55" t="s">
        <v>1171</v>
      </c>
      <c r="H262" s="182"/>
      <c r="I262" s="59">
        <v>0</v>
      </c>
      <c r="J262" s="60">
        <v>4.41</v>
      </c>
      <c r="K262" s="60">
        <v>2.78</v>
      </c>
      <c r="L262" s="60">
        <v>2.78</v>
      </c>
      <c r="M262" s="61">
        <v>0</v>
      </c>
      <c r="N262" s="62">
        <v>490.45</v>
      </c>
      <c r="O262" s="62">
        <v>0.05</v>
      </c>
      <c r="P262" s="62">
        <v>0.05</v>
      </c>
    </row>
    <row r="263" spans="1:16" ht="15" customHeight="1" x14ac:dyDescent="0.2">
      <c r="A263" s="43" t="s">
        <v>1172</v>
      </c>
      <c r="B263" s="93">
        <v>351</v>
      </c>
      <c r="C263" s="54">
        <v>1050002380321</v>
      </c>
      <c r="D263" s="55" t="s">
        <v>1172</v>
      </c>
      <c r="E263" s="93">
        <v>739</v>
      </c>
      <c r="F263" s="54">
        <v>1050002380330</v>
      </c>
      <c r="G263" s="55" t="s">
        <v>1172</v>
      </c>
      <c r="H263" s="182">
        <v>1</v>
      </c>
      <c r="I263" s="59">
        <v>2.0449999999999999</v>
      </c>
      <c r="J263" s="60">
        <v>4633.0600000000004</v>
      </c>
      <c r="K263" s="60">
        <v>1.94</v>
      </c>
      <c r="L263" s="60">
        <v>1.94</v>
      </c>
      <c r="M263" s="61">
        <v>0</v>
      </c>
      <c r="N263" s="62">
        <v>1334.49</v>
      </c>
      <c r="O263" s="62">
        <v>0.05</v>
      </c>
      <c r="P263" s="62">
        <v>0.05</v>
      </c>
    </row>
    <row r="264" spans="1:16" ht="15" customHeight="1" x14ac:dyDescent="0.2">
      <c r="A264" s="43" t="s">
        <v>1173</v>
      </c>
      <c r="B264" s="93">
        <v>576</v>
      </c>
      <c r="C264" s="54">
        <v>1050001054190</v>
      </c>
      <c r="D264" s="210" t="s">
        <v>1173</v>
      </c>
      <c r="E264" s="93">
        <v>672</v>
      </c>
      <c r="F264" s="54">
        <v>1050001054206</v>
      </c>
      <c r="G264" s="55" t="s">
        <v>1173</v>
      </c>
      <c r="H264" s="182"/>
      <c r="I264" s="59">
        <v>2.6190000000000002</v>
      </c>
      <c r="J264" s="60">
        <v>27.79</v>
      </c>
      <c r="K264" s="60">
        <v>1.46</v>
      </c>
      <c r="L264" s="60">
        <v>1.46</v>
      </c>
      <c r="M264" s="61">
        <v>0</v>
      </c>
      <c r="N264" s="62">
        <v>1389.31</v>
      </c>
      <c r="O264" s="62">
        <v>0.05</v>
      </c>
      <c r="P264" s="62">
        <v>0.05</v>
      </c>
    </row>
    <row r="265" spans="1:16" ht="15" customHeight="1" x14ac:dyDescent="0.2">
      <c r="A265" s="43" t="s">
        <v>1174</v>
      </c>
      <c r="B265" s="93">
        <v>336</v>
      </c>
      <c r="C265" s="54">
        <v>1050001523760</v>
      </c>
      <c r="D265" s="55" t="s">
        <v>1174</v>
      </c>
      <c r="E265" s="93">
        <v>414</v>
      </c>
      <c r="F265" s="54">
        <v>1050002018468</v>
      </c>
      <c r="G265" s="55" t="s">
        <v>1174</v>
      </c>
      <c r="H265" s="182">
        <v>2</v>
      </c>
      <c r="I265" s="59">
        <v>1.333</v>
      </c>
      <c r="J265" s="60">
        <v>15397.08</v>
      </c>
      <c r="K265" s="60">
        <v>1.31</v>
      </c>
      <c r="L265" s="60">
        <v>1.31</v>
      </c>
      <c r="M265" s="61">
        <v>-1.222</v>
      </c>
      <c r="N265" s="62">
        <v>105.1</v>
      </c>
      <c r="O265" s="62">
        <v>0.05</v>
      </c>
      <c r="P265" s="62">
        <v>0.05</v>
      </c>
    </row>
    <row r="266" spans="1:16" ht="15" customHeight="1" x14ac:dyDescent="0.2">
      <c r="A266" s="43" t="s">
        <v>1175</v>
      </c>
      <c r="B266" s="93"/>
      <c r="C266" s="54" t="s">
        <v>1277</v>
      </c>
      <c r="D266" s="55" t="s">
        <v>1175</v>
      </c>
      <c r="E266" s="93"/>
      <c r="F266" s="54" t="s">
        <v>1293</v>
      </c>
      <c r="G266" s="55" t="s">
        <v>1175</v>
      </c>
      <c r="H266" s="182"/>
      <c r="I266" s="59">
        <v>0</v>
      </c>
      <c r="J266" s="60">
        <v>13.94</v>
      </c>
      <c r="K266" s="60">
        <v>2.75</v>
      </c>
      <c r="L266" s="60">
        <v>2.75</v>
      </c>
      <c r="M266" s="61">
        <v>-0.19900000000000001</v>
      </c>
      <c r="N266" s="62">
        <v>1338.67</v>
      </c>
      <c r="O266" s="62">
        <v>0.05</v>
      </c>
      <c r="P266" s="62">
        <v>0.05</v>
      </c>
    </row>
    <row r="267" spans="1:16" ht="15" customHeight="1" x14ac:dyDescent="0.2">
      <c r="A267" s="43" t="s">
        <v>1176</v>
      </c>
      <c r="B267" s="93">
        <v>357</v>
      </c>
      <c r="C267" s="54">
        <v>1050002899281</v>
      </c>
      <c r="D267" s="55" t="s">
        <v>1176</v>
      </c>
      <c r="E267" s="93">
        <v>395</v>
      </c>
      <c r="F267" s="54">
        <v>1050002899290</v>
      </c>
      <c r="G267" s="55" t="s">
        <v>1176</v>
      </c>
      <c r="H267" s="182"/>
      <c r="I267" s="59">
        <v>2.6579999999999999</v>
      </c>
      <c r="J267" s="60">
        <v>1.17</v>
      </c>
      <c r="K267" s="60">
        <v>2.81</v>
      </c>
      <c r="L267" s="60">
        <v>2.81</v>
      </c>
      <c r="M267" s="61">
        <v>0</v>
      </c>
      <c r="N267" s="62">
        <v>493.69</v>
      </c>
      <c r="O267" s="62">
        <v>0.05</v>
      </c>
      <c r="P267" s="62">
        <v>0.05</v>
      </c>
    </row>
    <row r="268" spans="1:16" ht="15" customHeight="1" x14ac:dyDescent="0.2">
      <c r="A268" s="43" t="s">
        <v>1177</v>
      </c>
      <c r="B268" s="93">
        <v>354</v>
      </c>
      <c r="C268" s="54">
        <v>1050002866365</v>
      </c>
      <c r="D268" s="55" t="s">
        <v>1177</v>
      </c>
      <c r="E268" s="93">
        <v>392</v>
      </c>
      <c r="F268" s="54">
        <v>1050002866374</v>
      </c>
      <c r="G268" s="55" t="s">
        <v>1177</v>
      </c>
      <c r="H268" s="182"/>
      <c r="I268" s="59">
        <v>1.2969999999999999</v>
      </c>
      <c r="J268" s="60">
        <v>16.78</v>
      </c>
      <c r="K268" s="60">
        <v>2.04</v>
      </c>
      <c r="L268" s="60">
        <v>2.04</v>
      </c>
      <c r="M268" s="61">
        <v>0</v>
      </c>
      <c r="N268" s="62">
        <v>2648.92</v>
      </c>
      <c r="O268" s="62">
        <v>0.05</v>
      </c>
      <c r="P268" s="62">
        <v>0.05</v>
      </c>
    </row>
    <row r="269" spans="1:16" ht="15" customHeight="1" x14ac:dyDescent="0.2">
      <c r="A269" s="43" t="s">
        <v>1178</v>
      </c>
      <c r="B269" s="93">
        <v>830</v>
      </c>
      <c r="C269" s="54">
        <v>1030030431071</v>
      </c>
      <c r="D269" s="55" t="s">
        <v>1178</v>
      </c>
      <c r="E269" s="93">
        <v>706</v>
      </c>
      <c r="F269" s="54">
        <v>1030030430849</v>
      </c>
      <c r="G269" s="55" t="s">
        <v>1178</v>
      </c>
      <c r="H269" s="182"/>
      <c r="I269" s="59">
        <v>0.432</v>
      </c>
      <c r="J269" s="60">
        <v>10.56</v>
      </c>
      <c r="K269" s="60">
        <v>1.35</v>
      </c>
      <c r="L269" s="60">
        <v>1.35</v>
      </c>
      <c r="M269" s="61"/>
      <c r="N269" s="62"/>
      <c r="O269" s="62"/>
      <c r="P269" s="62"/>
    </row>
    <row r="270" spans="1:16" ht="15" customHeight="1" x14ac:dyDescent="0.2">
      <c r="A270" s="43" t="s">
        <v>1179</v>
      </c>
      <c r="B270" s="93">
        <v>577</v>
      </c>
      <c r="C270" s="54">
        <v>1050000903165</v>
      </c>
      <c r="D270" s="55" t="s">
        <v>1179</v>
      </c>
      <c r="E270" s="93">
        <v>693</v>
      </c>
      <c r="F270" s="54">
        <v>1050000903174</v>
      </c>
      <c r="G270" s="55" t="s">
        <v>1179</v>
      </c>
      <c r="H270" s="182"/>
      <c r="I270" s="59">
        <v>3.8319999999999999</v>
      </c>
      <c r="J270" s="60">
        <v>75.739999999999995</v>
      </c>
      <c r="K270" s="60">
        <v>3.06</v>
      </c>
      <c r="L270" s="60">
        <v>3.06</v>
      </c>
      <c r="M270" s="61">
        <v>0</v>
      </c>
      <c r="N270" s="62">
        <v>7574.08</v>
      </c>
      <c r="O270" s="62">
        <v>0.05</v>
      </c>
      <c r="P270" s="62">
        <v>0.05</v>
      </c>
    </row>
    <row r="271" spans="1:16" ht="15" customHeight="1" x14ac:dyDescent="0.2">
      <c r="A271" s="43" t="s">
        <v>1180</v>
      </c>
      <c r="B271" s="93">
        <v>565</v>
      </c>
      <c r="C271" s="54">
        <v>1050001118598</v>
      </c>
      <c r="D271" s="55" t="s">
        <v>1180</v>
      </c>
      <c r="E271" s="93">
        <v>448</v>
      </c>
      <c r="F271" s="54">
        <v>1050001118490</v>
      </c>
      <c r="G271" s="55" t="s">
        <v>1180</v>
      </c>
      <c r="H271" s="182"/>
      <c r="I271" s="59">
        <v>0.80400000000000005</v>
      </c>
      <c r="J271" s="60">
        <v>37.130000000000003</v>
      </c>
      <c r="K271" s="60">
        <v>5.97</v>
      </c>
      <c r="L271" s="60">
        <v>5.97</v>
      </c>
      <c r="M271" s="61">
        <v>0</v>
      </c>
      <c r="N271" s="62">
        <v>3712.92</v>
      </c>
      <c r="O271" s="62">
        <v>0.05</v>
      </c>
      <c r="P271" s="62">
        <v>0.05</v>
      </c>
    </row>
    <row r="272" spans="1:16" ht="15" customHeight="1" x14ac:dyDescent="0.2">
      <c r="A272" s="43" t="s">
        <v>1181</v>
      </c>
      <c r="B272" s="93">
        <v>895</v>
      </c>
      <c r="C272" s="54">
        <v>1030085099084</v>
      </c>
      <c r="D272" s="55" t="s">
        <v>1181</v>
      </c>
      <c r="E272" s="93">
        <v>777</v>
      </c>
      <c r="F272" s="54">
        <v>1030085040202</v>
      </c>
      <c r="G272" s="55" t="s">
        <v>1181</v>
      </c>
      <c r="H272" s="182"/>
      <c r="I272" s="59">
        <v>0.49</v>
      </c>
      <c r="J272" s="60">
        <v>12.95</v>
      </c>
      <c r="K272" s="60">
        <v>11.62</v>
      </c>
      <c r="L272" s="60">
        <v>11.62</v>
      </c>
      <c r="M272" s="61">
        <v>0</v>
      </c>
      <c r="N272" s="62">
        <v>3885.14</v>
      </c>
      <c r="O272" s="62">
        <v>0.05</v>
      </c>
      <c r="P272" s="62">
        <v>0.05</v>
      </c>
    </row>
    <row r="273" spans="1:16" ht="15" customHeight="1" x14ac:dyDescent="0.2">
      <c r="A273" s="43" t="s">
        <v>1182</v>
      </c>
      <c r="B273" s="93"/>
      <c r="C273" s="54" t="s">
        <v>1278</v>
      </c>
      <c r="D273" s="55" t="s">
        <v>1182</v>
      </c>
      <c r="E273" s="93"/>
      <c r="F273" s="54" t="s">
        <v>1278</v>
      </c>
      <c r="G273" s="55" t="s">
        <v>1182</v>
      </c>
      <c r="H273" s="182"/>
      <c r="I273" s="59">
        <v>0</v>
      </c>
      <c r="J273" s="60">
        <v>2.19</v>
      </c>
      <c r="K273" s="60">
        <v>1.53</v>
      </c>
      <c r="L273" s="60">
        <v>1.53</v>
      </c>
      <c r="M273" s="61">
        <v>-0.4</v>
      </c>
      <c r="N273" s="62">
        <v>2703.03</v>
      </c>
      <c r="O273" s="62">
        <v>0.05</v>
      </c>
      <c r="P273" s="62">
        <v>0.05</v>
      </c>
    </row>
    <row r="274" spans="1:16" ht="15" customHeight="1" x14ac:dyDescent="0.2">
      <c r="A274" s="43" t="s">
        <v>1183</v>
      </c>
      <c r="B274" s="93">
        <v>526</v>
      </c>
      <c r="C274" s="54">
        <v>1050000768550</v>
      </c>
      <c r="D274" s="55" t="s">
        <v>1183</v>
      </c>
      <c r="E274" s="93">
        <v>458</v>
      </c>
      <c r="F274" s="54">
        <v>1050000768693</v>
      </c>
      <c r="G274" s="55" t="s">
        <v>1183</v>
      </c>
      <c r="H274" s="182"/>
      <c r="I274" s="59">
        <v>2.222</v>
      </c>
      <c r="J274" s="60">
        <v>65.05</v>
      </c>
      <c r="K274" s="60">
        <v>10.18</v>
      </c>
      <c r="L274" s="60">
        <v>10.18</v>
      </c>
      <c r="M274" s="61">
        <v>0</v>
      </c>
      <c r="N274" s="62">
        <v>1951.48</v>
      </c>
      <c r="O274" s="62">
        <v>0.05</v>
      </c>
      <c r="P274" s="62">
        <v>0.05</v>
      </c>
    </row>
    <row r="275" spans="1:16" ht="30" customHeight="1" x14ac:dyDescent="0.2">
      <c r="A275" s="43" t="s">
        <v>1184</v>
      </c>
      <c r="B275" s="93">
        <v>862</v>
      </c>
      <c r="C275" s="54" t="s">
        <v>1256</v>
      </c>
      <c r="D275" s="55" t="s">
        <v>1184</v>
      </c>
      <c r="E275" s="93">
        <v>703</v>
      </c>
      <c r="F275" s="54" t="s">
        <v>1257</v>
      </c>
      <c r="G275" s="55" t="s">
        <v>1184</v>
      </c>
      <c r="H275" s="182"/>
      <c r="I275" s="59">
        <v>1.716</v>
      </c>
      <c r="J275" s="60">
        <v>63.95</v>
      </c>
      <c r="K275" s="60">
        <v>2.4900000000000002</v>
      </c>
      <c r="L275" s="60">
        <v>2.4900000000000002</v>
      </c>
      <c r="M275" s="61">
        <v>-3.4550000000000001</v>
      </c>
      <c r="N275" s="62">
        <v>4950.45</v>
      </c>
      <c r="O275" s="62">
        <v>0.05</v>
      </c>
      <c r="P275" s="62">
        <v>0.05</v>
      </c>
    </row>
    <row r="276" spans="1:16" ht="15" customHeight="1" x14ac:dyDescent="0.2">
      <c r="A276" s="43" t="s">
        <v>1185</v>
      </c>
      <c r="B276" s="93">
        <v>555</v>
      </c>
      <c r="C276" s="54">
        <v>1050001041962</v>
      </c>
      <c r="D276" s="55" t="s">
        <v>1185</v>
      </c>
      <c r="E276" s="93">
        <v>673</v>
      </c>
      <c r="F276" s="54">
        <v>1050001041935</v>
      </c>
      <c r="G276" s="55" t="s">
        <v>1185</v>
      </c>
      <c r="H276" s="182"/>
      <c r="I276" s="59">
        <v>9.5000000000000001E-2</v>
      </c>
      <c r="J276" s="60">
        <v>12.63</v>
      </c>
      <c r="K276" s="60">
        <v>2.2000000000000002</v>
      </c>
      <c r="L276" s="60">
        <v>2.2000000000000002</v>
      </c>
      <c r="M276" s="61">
        <v>0</v>
      </c>
      <c r="N276" s="62">
        <v>2905.07</v>
      </c>
      <c r="O276" s="62">
        <v>0.05</v>
      </c>
      <c r="P276" s="62">
        <v>0.05</v>
      </c>
    </row>
    <row r="277" spans="1:16" ht="15" customHeight="1" x14ac:dyDescent="0.2">
      <c r="A277" s="43" t="s">
        <v>1186</v>
      </c>
      <c r="B277" s="93">
        <v>834</v>
      </c>
      <c r="C277" s="54">
        <v>1030034117745</v>
      </c>
      <c r="D277" s="55" t="s">
        <v>1186</v>
      </c>
      <c r="E277" s="93">
        <v>714</v>
      </c>
      <c r="F277" s="54">
        <v>1030034117513</v>
      </c>
      <c r="G277" s="55" t="s">
        <v>1186</v>
      </c>
      <c r="H277" s="182"/>
      <c r="I277" s="59">
        <v>0.219</v>
      </c>
      <c r="J277" s="60">
        <v>4.8</v>
      </c>
      <c r="K277" s="60">
        <v>1.51</v>
      </c>
      <c r="L277" s="60">
        <v>1.51</v>
      </c>
      <c r="M277" s="61"/>
      <c r="N277" s="62"/>
      <c r="O277" s="62"/>
      <c r="P277" s="62"/>
    </row>
    <row r="278" spans="1:16" ht="30" customHeight="1" x14ac:dyDescent="0.2">
      <c r="A278" s="43" t="s">
        <v>1187</v>
      </c>
      <c r="B278" s="93">
        <v>815</v>
      </c>
      <c r="C278" s="54" t="s">
        <v>1258</v>
      </c>
      <c r="D278" s="55" t="s">
        <v>1187</v>
      </c>
      <c r="E278" s="93">
        <v>708</v>
      </c>
      <c r="F278" s="54" t="s">
        <v>1259</v>
      </c>
      <c r="G278" s="55" t="s">
        <v>1187</v>
      </c>
      <c r="H278" s="182"/>
      <c r="I278" s="59">
        <v>0.97299999999999998</v>
      </c>
      <c r="J278" s="60">
        <v>328.69</v>
      </c>
      <c r="K278" s="60">
        <v>3.18</v>
      </c>
      <c r="L278" s="60">
        <v>3.18</v>
      </c>
      <c r="M278" s="61">
        <v>0</v>
      </c>
      <c r="N278" s="62">
        <v>17126.919999999998</v>
      </c>
      <c r="O278" s="62">
        <v>0.05</v>
      </c>
      <c r="P278" s="62">
        <v>0.05</v>
      </c>
    </row>
    <row r="279" spans="1:16" ht="15" customHeight="1" x14ac:dyDescent="0.2">
      <c r="A279" s="215" t="s">
        <v>1188</v>
      </c>
      <c r="B279" s="216">
        <v>896</v>
      </c>
      <c r="C279" s="217">
        <v>1050000612816</v>
      </c>
      <c r="D279" s="219" t="s">
        <v>1188</v>
      </c>
      <c r="E279" s="216">
        <v>776</v>
      </c>
      <c r="F279" s="217">
        <v>1050000612807</v>
      </c>
      <c r="G279" s="219" t="s">
        <v>1188</v>
      </c>
      <c r="H279" s="220">
        <v>1</v>
      </c>
      <c r="I279" s="221">
        <v>3.8460000000000001</v>
      </c>
      <c r="J279" s="222">
        <v>4623.3900000000003</v>
      </c>
      <c r="K279" s="222">
        <v>2.67</v>
      </c>
      <c r="L279" s="222">
        <v>2.67</v>
      </c>
      <c r="M279" s="223">
        <v>0</v>
      </c>
      <c r="N279" s="224">
        <v>1122.3699999999999</v>
      </c>
      <c r="O279" s="224">
        <v>0.05</v>
      </c>
      <c r="P279" s="224">
        <v>0.05</v>
      </c>
    </row>
    <row r="280" spans="1:16" ht="15" customHeight="1" x14ac:dyDescent="0.2">
      <c r="A280" s="43" t="s">
        <v>1189</v>
      </c>
      <c r="B280" s="93">
        <v>347</v>
      </c>
      <c r="C280" s="54">
        <v>1050002912463</v>
      </c>
      <c r="D280" s="55" t="s">
        <v>1189</v>
      </c>
      <c r="E280" s="93">
        <v>425</v>
      </c>
      <c r="F280" s="54">
        <v>1050002912472</v>
      </c>
      <c r="G280" s="55" t="s">
        <v>1189</v>
      </c>
      <c r="H280" s="182"/>
      <c r="I280" s="59">
        <v>0</v>
      </c>
      <c r="J280" s="60">
        <v>11655.55</v>
      </c>
      <c r="K280" s="60">
        <v>1.4</v>
      </c>
      <c r="L280" s="60">
        <v>1.4</v>
      </c>
      <c r="M280" s="61">
        <v>0</v>
      </c>
      <c r="N280" s="62">
        <v>26566.73</v>
      </c>
      <c r="O280" s="62">
        <v>0.05</v>
      </c>
      <c r="P280" s="62">
        <v>0.05</v>
      </c>
    </row>
    <row r="281" spans="1:16" ht="15" customHeight="1" x14ac:dyDescent="0.2">
      <c r="A281" s="43" t="s">
        <v>1190</v>
      </c>
      <c r="B281" s="93">
        <v>331</v>
      </c>
      <c r="C281" s="54">
        <v>1050001971040</v>
      </c>
      <c r="D281" s="210" t="s">
        <v>1190</v>
      </c>
      <c r="E281" s="93">
        <v>408</v>
      </c>
      <c r="F281" s="54">
        <v>1050001971050</v>
      </c>
      <c r="G281" s="55" t="s">
        <v>1190</v>
      </c>
      <c r="H281" s="182"/>
      <c r="I281" s="59">
        <v>3.7999999999999999E-2</v>
      </c>
      <c r="J281" s="60">
        <v>1547.37</v>
      </c>
      <c r="K281" s="60">
        <v>1.8</v>
      </c>
      <c r="L281" s="60">
        <v>1.8</v>
      </c>
      <c r="M281" s="61">
        <v>-0.74199999999999999</v>
      </c>
      <c r="N281" s="62">
        <v>12843.15</v>
      </c>
      <c r="O281" s="62">
        <v>0.05</v>
      </c>
      <c r="P281" s="62">
        <v>0.05</v>
      </c>
    </row>
    <row r="282" spans="1:16" ht="15" customHeight="1" x14ac:dyDescent="0.2">
      <c r="A282" s="43" t="s">
        <v>1191</v>
      </c>
      <c r="B282" s="93">
        <v>556</v>
      </c>
      <c r="C282" s="54">
        <v>1050001036651</v>
      </c>
      <c r="D282" s="55" t="s">
        <v>1191</v>
      </c>
      <c r="E282" s="93">
        <v>674</v>
      </c>
      <c r="F282" s="54">
        <v>1050001036660</v>
      </c>
      <c r="G282" s="55" t="s">
        <v>1191</v>
      </c>
      <c r="H282" s="182"/>
      <c r="I282" s="59">
        <v>0.57599999999999996</v>
      </c>
      <c r="J282" s="60">
        <v>162.26</v>
      </c>
      <c r="K282" s="60">
        <v>1.55</v>
      </c>
      <c r="L282" s="60">
        <v>1.55</v>
      </c>
      <c r="M282" s="61">
        <v>0</v>
      </c>
      <c r="N282" s="62">
        <v>2007.96</v>
      </c>
      <c r="O282" s="62">
        <v>0.05</v>
      </c>
      <c r="P282" s="62">
        <v>0.05</v>
      </c>
    </row>
    <row r="283" spans="1:16" ht="15" customHeight="1" x14ac:dyDescent="0.2">
      <c r="A283" s="43" t="s">
        <v>1192</v>
      </c>
      <c r="B283" s="93">
        <v>557</v>
      </c>
      <c r="C283" s="54">
        <v>1050000811220</v>
      </c>
      <c r="D283" s="55" t="s">
        <v>1192</v>
      </c>
      <c r="E283" s="93">
        <v>675</v>
      </c>
      <c r="F283" s="54">
        <v>1050000811230</v>
      </c>
      <c r="G283" s="55" t="s">
        <v>1192</v>
      </c>
      <c r="H283" s="182"/>
      <c r="I283" s="59">
        <v>0.60299999999999998</v>
      </c>
      <c r="J283" s="60">
        <v>26.98</v>
      </c>
      <c r="K283" s="60">
        <v>2.06</v>
      </c>
      <c r="L283" s="60">
        <v>2.06</v>
      </c>
      <c r="M283" s="61">
        <v>0</v>
      </c>
      <c r="N283" s="62">
        <v>2158.27</v>
      </c>
      <c r="O283" s="62">
        <v>0.05</v>
      </c>
      <c r="P283" s="62">
        <v>0.05</v>
      </c>
    </row>
    <row r="284" spans="1:16" ht="15" customHeight="1" x14ac:dyDescent="0.2">
      <c r="A284" s="43" t="s">
        <v>1193</v>
      </c>
      <c r="B284" s="93">
        <v>558</v>
      </c>
      <c r="C284" s="54">
        <v>1050001028465</v>
      </c>
      <c r="D284" s="55" t="s">
        <v>1193</v>
      </c>
      <c r="E284" s="93">
        <v>676</v>
      </c>
      <c r="F284" s="54">
        <v>1050001028474</v>
      </c>
      <c r="G284" s="55" t="s">
        <v>1193</v>
      </c>
      <c r="H284" s="182"/>
      <c r="I284" s="59">
        <v>0</v>
      </c>
      <c r="J284" s="60">
        <v>11.3</v>
      </c>
      <c r="K284" s="60">
        <v>8.1999999999999993</v>
      </c>
      <c r="L284" s="60">
        <v>8.1999999999999993</v>
      </c>
      <c r="M284" s="61">
        <v>0</v>
      </c>
      <c r="N284" s="62">
        <v>483.56</v>
      </c>
      <c r="O284" s="62">
        <v>0.05</v>
      </c>
      <c r="P284" s="62">
        <v>0.05</v>
      </c>
    </row>
    <row r="285" spans="1:16" ht="15" customHeight="1" x14ac:dyDescent="0.2">
      <c r="A285" s="43" t="s">
        <v>1194</v>
      </c>
      <c r="B285" s="93">
        <v>559</v>
      </c>
      <c r="C285" s="54">
        <v>1050000996105</v>
      </c>
      <c r="D285" s="55" t="s">
        <v>1194</v>
      </c>
      <c r="E285" s="93">
        <v>677</v>
      </c>
      <c r="F285" s="54">
        <v>1050000996114</v>
      </c>
      <c r="G285" s="55" t="s">
        <v>1194</v>
      </c>
      <c r="H285" s="182"/>
      <c r="I285" s="59">
        <v>0</v>
      </c>
      <c r="J285" s="60">
        <v>8.0299999999999994</v>
      </c>
      <c r="K285" s="60">
        <v>2.1800000000000002</v>
      </c>
      <c r="L285" s="60">
        <v>2.1800000000000002</v>
      </c>
      <c r="M285" s="61">
        <v>0</v>
      </c>
      <c r="N285" s="62">
        <v>1205.1500000000001</v>
      </c>
      <c r="O285" s="62">
        <v>0.05</v>
      </c>
      <c r="P285" s="62">
        <v>0.05</v>
      </c>
    </row>
    <row r="286" spans="1:16" ht="15" customHeight="1" x14ac:dyDescent="0.2">
      <c r="A286" s="43" t="s">
        <v>1195</v>
      </c>
      <c r="B286" s="93">
        <v>367</v>
      </c>
      <c r="C286" s="54">
        <v>1050002509767</v>
      </c>
      <c r="D286" s="55" t="s">
        <v>1195</v>
      </c>
      <c r="E286" s="93">
        <v>424</v>
      </c>
      <c r="F286" s="54">
        <v>1050002509776</v>
      </c>
      <c r="G286" s="55" t="s">
        <v>1195</v>
      </c>
      <c r="H286" s="182"/>
      <c r="I286" s="59">
        <v>5.5E-2</v>
      </c>
      <c r="J286" s="60">
        <v>236.46</v>
      </c>
      <c r="K286" s="60">
        <v>1.76</v>
      </c>
      <c r="L286" s="60">
        <v>1.76</v>
      </c>
      <c r="M286" s="61">
        <v>0</v>
      </c>
      <c r="N286" s="62">
        <v>23599.16</v>
      </c>
      <c r="O286" s="62">
        <v>0.05</v>
      </c>
      <c r="P286" s="62">
        <v>0.05</v>
      </c>
    </row>
    <row r="287" spans="1:16" ht="15" customHeight="1" x14ac:dyDescent="0.2">
      <c r="A287" s="43" t="s">
        <v>1196</v>
      </c>
      <c r="B287" s="93">
        <v>317</v>
      </c>
      <c r="C287" s="54">
        <v>1050000946025</v>
      </c>
      <c r="D287" s="55" t="s">
        <v>1196</v>
      </c>
      <c r="E287" s="93">
        <v>678</v>
      </c>
      <c r="F287" s="54">
        <v>1050000946034</v>
      </c>
      <c r="G287" s="55" t="s">
        <v>1196</v>
      </c>
      <c r="H287" s="182"/>
      <c r="I287" s="59">
        <v>0.14199999999999999</v>
      </c>
      <c r="J287" s="60">
        <v>5.87</v>
      </c>
      <c r="K287" s="60">
        <v>2.04</v>
      </c>
      <c r="L287" s="60">
        <v>2.04</v>
      </c>
      <c r="M287" s="61">
        <v>0</v>
      </c>
      <c r="N287" s="62">
        <v>488.99</v>
      </c>
      <c r="O287" s="62">
        <v>0.05</v>
      </c>
      <c r="P287" s="62">
        <v>0.05</v>
      </c>
    </row>
    <row r="288" spans="1:16" ht="15" customHeight="1" x14ac:dyDescent="0.2">
      <c r="A288" s="43" t="s">
        <v>1197</v>
      </c>
      <c r="B288" s="93"/>
      <c r="C288" s="54" t="s">
        <v>1240</v>
      </c>
      <c r="D288" s="55" t="s">
        <v>1197</v>
      </c>
      <c r="E288" s="93"/>
      <c r="F288" s="54" t="s">
        <v>1240</v>
      </c>
      <c r="G288" s="55" t="s">
        <v>1197</v>
      </c>
      <c r="H288" s="182"/>
      <c r="I288" s="59">
        <v>0</v>
      </c>
      <c r="J288" s="60">
        <v>1297.3800000000001</v>
      </c>
      <c r="K288" s="60">
        <v>1.34</v>
      </c>
      <c r="L288" s="60">
        <v>1.34</v>
      </c>
      <c r="M288" s="61">
        <v>-0.51400000000000001</v>
      </c>
      <c r="N288" s="62">
        <v>1849.7</v>
      </c>
      <c r="O288" s="62">
        <v>0.05</v>
      </c>
      <c r="P288" s="62">
        <v>0.05</v>
      </c>
    </row>
    <row r="289" spans="1:16" ht="66" customHeight="1" x14ac:dyDescent="0.2">
      <c r="A289" s="43" t="s">
        <v>1198</v>
      </c>
      <c r="B289" s="93">
        <v>578</v>
      </c>
      <c r="C289" s="54" t="s">
        <v>1260</v>
      </c>
      <c r="D289" s="55" t="s">
        <v>1198</v>
      </c>
      <c r="E289" s="93">
        <v>694</v>
      </c>
      <c r="F289" s="54" t="s">
        <v>1261</v>
      </c>
      <c r="G289" s="55" t="s">
        <v>1198</v>
      </c>
      <c r="H289" s="182"/>
      <c r="I289" s="59">
        <v>0</v>
      </c>
      <c r="J289" s="60">
        <v>125.33</v>
      </c>
      <c r="K289" s="60">
        <v>4.79</v>
      </c>
      <c r="L289" s="60">
        <v>4.79</v>
      </c>
      <c r="M289" s="61">
        <v>0</v>
      </c>
      <c r="N289" s="62">
        <v>6266.5</v>
      </c>
      <c r="O289" s="62">
        <v>0.05</v>
      </c>
      <c r="P289" s="62">
        <v>0.05</v>
      </c>
    </row>
    <row r="290" spans="1:16" ht="15" customHeight="1" x14ac:dyDescent="0.2">
      <c r="A290" s="43" t="s">
        <v>1199</v>
      </c>
      <c r="B290" s="93">
        <v>836</v>
      </c>
      <c r="C290" s="54">
        <v>1023545564889</v>
      </c>
      <c r="D290" s="55" t="s">
        <v>1199</v>
      </c>
      <c r="E290" s="93">
        <v>716</v>
      </c>
      <c r="F290" s="54">
        <v>1023545564903</v>
      </c>
      <c r="G290" s="55" t="s">
        <v>1199</v>
      </c>
      <c r="H290" s="182"/>
      <c r="I290" s="59">
        <v>0.05</v>
      </c>
      <c r="J290" s="60">
        <v>39.39</v>
      </c>
      <c r="K290" s="60">
        <v>2.0099999999999998</v>
      </c>
      <c r="L290" s="60">
        <v>2.0099999999999998</v>
      </c>
      <c r="M290" s="61"/>
      <c r="N290" s="62"/>
      <c r="O290" s="62"/>
      <c r="P290" s="62"/>
    </row>
    <row r="291" spans="1:16" s="199" customFormat="1" ht="15" customHeight="1" x14ac:dyDescent="0.2">
      <c r="A291" s="43" t="s">
        <v>1200</v>
      </c>
      <c r="B291" s="93">
        <v>527</v>
      </c>
      <c r="C291" s="54">
        <v>1050000841935</v>
      </c>
      <c r="D291" s="55" t="s">
        <v>1200</v>
      </c>
      <c r="E291" s="93">
        <v>459</v>
      </c>
      <c r="F291" s="54">
        <v>1050000841971</v>
      </c>
      <c r="G291" s="55" t="s">
        <v>1200</v>
      </c>
      <c r="H291" s="182"/>
      <c r="I291" s="59">
        <v>0</v>
      </c>
      <c r="J291" s="60">
        <v>88.94</v>
      </c>
      <c r="K291" s="60">
        <v>5.05</v>
      </c>
      <c r="L291" s="60">
        <v>5.05</v>
      </c>
      <c r="M291" s="61">
        <v>0</v>
      </c>
      <c r="N291" s="62">
        <v>3068.37</v>
      </c>
      <c r="O291" s="62">
        <v>0.05</v>
      </c>
      <c r="P291" s="62">
        <v>0.05</v>
      </c>
    </row>
    <row r="292" spans="1:16" ht="15" customHeight="1" x14ac:dyDescent="0.2">
      <c r="A292" s="43" t="s">
        <v>1201</v>
      </c>
      <c r="B292" s="93">
        <v>368</v>
      </c>
      <c r="C292" s="54">
        <v>1050002707683</v>
      </c>
      <c r="D292" s="210" t="s">
        <v>1201</v>
      </c>
      <c r="E292" s="93">
        <v>941</v>
      </c>
      <c r="F292" s="54">
        <v>1050002707692</v>
      </c>
      <c r="G292" s="55" t="s">
        <v>1201</v>
      </c>
      <c r="H292" s="182"/>
      <c r="I292" s="59">
        <v>0</v>
      </c>
      <c r="J292" s="60">
        <v>4.67</v>
      </c>
      <c r="K292" s="60">
        <v>2.64</v>
      </c>
      <c r="L292" s="60">
        <v>2.64</v>
      </c>
      <c r="M292" s="61">
        <v>0</v>
      </c>
      <c r="N292" s="62">
        <v>2022.32</v>
      </c>
      <c r="O292" s="62">
        <v>0.05</v>
      </c>
      <c r="P292" s="62">
        <v>0.05</v>
      </c>
    </row>
    <row r="293" spans="1:16" ht="15" customHeight="1" x14ac:dyDescent="0.2">
      <c r="A293" s="43" t="s">
        <v>1202</v>
      </c>
      <c r="B293" s="93">
        <v>502</v>
      </c>
      <c r="C293" s="54">
        <v>1050000628009</v>
      </c>
      <c r="D293" s="55" t="s">
        <v>1202</v>
      </c>
      <c r="E293" s="93">
        <v>470</v>
      </c>
      <c r="F293" s="54">
        <v>1050000628018</v>
      </c>
      <c r="G293" s="55" t="s">
        <v>1202</v>
      </c>
      <c r="H293" s="182">
        <v>2</v>
      </c>
      <c r="I293" s="59">
        <v>2.1219999999999999</v>
      </c>
      <c r="J293" s="60">
        <v>16865.3</v>
      </c>
      <c r="K293" s="60">
        <v>1.42</v>
      </c>
      <c r="L293" s="60">
        <v>1.42</v>
      </c>
      <c r="M293" s="61">
        <v>-2.335</v>
      </c>
      <c r="N293" s="62">
        <v>12902.56</v>
      </c>
      <c r="O293" s="62">
        <v>0.05</v>
      </c>
      <c r="P293" s="62">
        <v>0.05</v>
      </c>
    </row>
    <row r="294" spans="1:16" ht="15" customHeight="1" x14ac:dyDescent="0.2">
      <c r="A294" s="43" t="s">
        <v>1203</v>
      </c>
      <c r="B294" s="93"/>
      <c r="C294" s="54" t="s">
        <v>1279</v>
      </c>
      <c r="D294" s="55" t="s">
        <v>1203</v>
      </c>
      <c r="E294" s="93"/>
      <c r="F294" s="54" t="s">
        <v>1279</v>
      </c>
      <c r="G294" s="55" t="s">
        <v>1203</v>
      </c>
      <c r="H294" s="182">
        <v>2</v>
      </c>
      <c r="I294" s="59">
        <v>0</v>
      </c>
      <c r="J294" s="60">
        <v>15068.12</v>
      </c>
      <c r="K294" s="60">
        <v>1.39</v>
      </c>
      <c r="L294" s="60">
        <v>1.39</v>
      </c>
      <c r="M294" s="61">
        <v>0</v>
      </c>
      <c r="N294" s="62">
        <v>3363.76</v>
      </c>
      <c r="O294" s="62">
        <v>0.05</v>
      </c>
      <c r="P294" s="62">
        <v>0.05</v>
      </c>
    </row>
    <row r="295" spans="1:16" s="199" customFormat="1" ht="15" customHeight="1" x14ac:dyDescent="0.2">
      <c r="A295" s="43" t="s">
        <v>1204</v>
      </c>
      <c r="B295" s="93">
        <v>329</v>
      </c>
      <c r="C295" s="54">
        <v>1050002464089</v>
      </c>
      <c r="D295" s="210" t="s">
        <v>1204</v>
      </c>
      <c r="E295" s="93">
        <v>389</v>
      </c>
      <c r="F295" s="54">
        <v>1050002464098</v>
      </c>
      <c r="G295" s="55" t="s">
        <v>1204</v>
      </c>
      <c r="H295" s="182"/>
      <c r="I295" s="59">
        <v>0</v>
      </c>
      <c r="J295" s="60">
        <v>16.670000000000002</v>
      </c>
      <c r="K295" s="60">
        <v>2.81</v>
      </c>
      <c r="L295" s="60">
        <v>2.81</v>
      </c>
      <c r="M295" s="61">
        <v>-0.84</v>
      </c>
      <c r="N295" s="62">
        <v>3300.42</v>
      </c>
      <c r="O295" s="62">
        <v>0.05</v>
      </c>
      <c r="P295" s="62">
        <v>0.05</v>
      </c>
    </row>
    <row r="296" spans="1:16" ht="15" customHeight="1" x14ac:dyDescent="0.2">
      <c r="A296" s="43" t="s">
        <v>1205</v>
      </c>
      <c r="B296" s="93">
        <v>579</v>
      </c>
      <c r="C296" s="54">
        <v>1050001084200</v>
      </c>
      <c r="D296" s="55" t="s">
        <v>1205</v>
      </c>
      <c r="E296" s="93">
        <v>695</v>
      </c>
      <c r="F296" s="54">
        <v>1050001084229</v>
      </c>
      <c r="G296" s="55" t="s">
        <v>1205</v>
      </c>
      <c r="H296" s="182"/>
      <c r="I296" s="59">
        <v>0.48599999999999999</v>
      </c>
      <c r="J296" s="60">
        <v>214.63</v>
      </c>
      <c r="K296" s="60">
        <v>1.39</v>
      </c>
      <c r="L296" s="60">
        <v>1.39</v>
      </c>
      <c r="M296" s="61">
        <v>-0.48599999999999999</v>
      </c>
      <c r="N296" s="62">
        <v>2575.5300000000002</v>
      </c>
      <c r="O296" s="62">
        <v>0.05</v>
      </c>
      <c r="P296" s="62">
        <v>0.05</v>
      </c>
    </row>
    <row r="297" spans="1:16" ht="15" customHeight="1" x14ac:dyDescent="0.2">
      <c r="A297" s="43" t="s">
        <v>1206</v>
      </c>
      <c r="B297" s="93">
        <v>897</v>
      </c>
      <c r="C297" s="54">
        <v>1050000540019</v>
      </c>
      <c r="D297" s="210" t="s">
        <v>1206</v>
      </c>
      <c r="E297" s="93">
        <v>778</v>
      </c>
      <c r="F297" s="54">
        <v>1050000540028</v>
      </c>
      <c r="G297" s="55" t="s">
        <v>1206</v>
      </c>
      <c r="H297" s="182"/>
      <c r="I297" s="59">
        <v>1.986</v>
      </c>
      <c r="J297" s="60">
        <v>8.8000000000000007</v>
      </c>
      <c r="K297" s="60">
        <v>3.23</v>
      </c>
      <c r="L297" s="60">
        <v>3.23</v>
      </c>
      <c r="M297" s="61">
        <v>0</v>
      </c>
      <c r="N297" s="62">
        <v>2112.65</v>
      </c>
      <c r="O297" s="62">
        <v>0.05</v>
      </c>
      <c r="P297" s="62">
        <v>0.05</v>
      </c>
    </row>
    <row r="298" spans="1:16" ht="15" customHeight="1" x14ac:dyDescent="0.2">
      <c r="A298" s="43" t="s">
        <v>1207</v>
      </c>
      <c r="B298" s="93">
        <v>838</v>
      </c>
      <c r="C298" s="54">
        <v>1030037478730</v>
      </c>
      <c r="D298" s="55" t="s">
        <v>1207</v>
      </c>
      <c r="E298" s="93">
        <v>717</v>
      </c>
      <c r="F298" s="54">
        <v>1030037478509</v>
      </c>
      <c r="G298" s="55" t="s">
        <v>1207</v>
      </c>
      <c r="H298" s="182"/>
      <c r="I298" s="59">
        <v>0.217</v>
      </c>
      <c r="J298" s="60">
        <v>396</v>
      </c>
      <c r="K298" s="60">
        <v>1.23</v>
      </c>
      <c r="L298" s="60">
        <v>1.23</v>
      </c>
      <c r="M298" s="61">
        <v>0</v>
      </c>
      <c r="N298" s="62">
        <v>7919.96</v>
      </c>
      <c r="O298" s="62">
        <v>0.05</v>
      </c>
      <c r="P298" s="62">
        <v>0.05</v>
      </c>
    </row>
    <row r="299" spans="1:16" ht="15" customHeight="1" x14ac:dyDescent="0.2">
      <c r="A299" s="43" t="s">
        <v>1208</v>
      </c>
      <c r="B299" s="93">
        <v>352</v>
      </c>
      <c r="C299" s="54">
        <v>1050002797108</v>
      </c>
      <c r="D299" s="55" t="s">
        <v>1208</v>
      </c>
      <c r="E299" s="93">
        <v>390</v>
      </c>
      <c r="F299" s="54">
        <v>1050002797117</v>
      </c>
      <c r="G299" s="55" t="s">
        <v>1208</v>
      </c>
      <c r="H299" s="182"/>
      <c r="I299" s="59">
        <v>0.72299999999999998</v>
      </c>
      <c r="J299" s="60">
        <v>9.84</v>
      </c>
      <c r="K299" s="60">
        <v>2.17</v>
      </c>
      <c r="L299" s="60">
        <v>2.17</v>
      </c>
      <c r="M299" s="61">
        <v>0</v>
      </c>
      <c r="N299" s="62">
        <v>1554.18</v>
      </c>
      <c r="O299" s="62">
        <v>0.05</v>
      </c>
      <c r="P299" s="62">
        <v>0.05</v>
      </c>
    </row>
    <row r="300" spans="1:16" ht="15" customHeight="1" x14ac:dyDescent="0.2">
      <c r="A300" s="43" t="s">
        <v>1209</v>
      </c>
      <c r="B300" s="93">
        <v>581</v>
      </c>
      <c r="C300" s="54">
        <v>1050001232428</v>
      </c>
      <c r="D300" s="55" t="s">
        <v>1209</v>
      </c>
      <c r="E300" s="93">
        <v>697</v>
      </c>
      <c r="F300" s="54">
        <v>1050001232437</v>
      </c>
      <c r="G300" s="55" t="s">
        <v>1209</v>
      </c>
      <c r="H300" s="182"/>
      <c r="I300" s="59">
        <v>0.155</v>
      </c>
      <c r="J300" s="60">
        <v>6.7</v>
      </c>
      <c r="K300" s="60">
        <v>4.03</v>
      </c>
      <c r="L300" s="60">
        <v>4.03</v>
      </c>
      <c r="M300" s="61">
        <v>0</v>
      </c>
      <c r="N300" s="62">
        <v>1206.48</v>
      </c>
      <c r="O300" s="62">
        <v>0.05</v>
      </c>
      <c r="P300" s="62">
        <v>0.05</v>
      </c>
    </row>
    <row r="301" spans="1:16" ht="15" customHeight="1" x14ac:dyDescent="0.2">
      <c r="A301" s="43" t="s">
        <v>1210</v>
      </c>
      <c r="B301" s="93">
        <v>528</v>
      </c>
      <c r="C301" s="54">
        <v>1050000783238</v>
      </c>
      <c r="D301" s="55" t="s">
        <v>1210</v>
      </c>
      <c r="E301" s="93">
        <v>460</v>
      </c>
      <c r="F301" s="54">
        <v>1050000759740</v>
      </c>
      <c r="G301" s="55" t="s">
        <v>1210</v>
      </c>
      <c r="H301" s="182"/>
      <c r="I301" s="59">
        <v>0.16300000000000001</v>
      </c>
      <c r="J301" s="60">
        <v>47.89</v>
      </c>
      <c r="K301" s="60">
        <v>2.19</v>
      </c>
      <c r="L301" s="60">
        <v>2.19</v>
      </c>
      <c r="M301" s="61">
        <v>0</v>
      </c>
      <c r="N301" s="62">
        <v>5746.29</v>
      </c>
      <c r="O301" s="62">
        <v>0.05</v>
      </c>
      <c r="P301" s="62">
        <v>0.05</v>
      </c>
    </row>
    <row r="302" spans="1:16" ht="15" customHeight="1" x14ac:dyDescent="0.2">
      <c r="A302" s="43" t="s">
        <v>1211</v>
      </c>
      <c r="B302" s="93">
        <v>500</v>
      </c>
      <c r="C302" s="54">
        <v>1050000563372</v>
      </c>
      <c r="D302" s="55" t="s">
        <v>1211</v>
      </c>
      <c r="E302" s="93">
        <v>775</v>
      </c>
      <c r="F302" s="54">
        <v>1050000563381</v>
      </c>
      <c r="G302" s="55" t="s">
        <v>1211</v>
      </c>
      <c r="H302" s="182"/>
      <c r="I302" s="59">
        <v>0</v>
      </c>
      <c r="J302" s="60">
        <v>4.76</v>
      </c>
      <c r="K302" s="60">
        <v>4.45</v>
      </c>
      <c r="L302" s="60">
        <v>4.45</v>
      </c>
      <c r="M302" s="61">
        <v>0</v>
      </c>
      <c r="N302" s="62">
        <v>1039.8599999999999</v>
      </c>
      <c r="O302" s="62">
        <v>0.05</v>
      </c>
      <c r="P302" s="62">
        <v>0.05</v>
      </c>
    </row>
    <row r="303" spans="1:16" ht="15" customHeight="1" x14ac:dyDescent="0.2">
      <c r="A303" s="43" t="s">
        <v>1212</v>
      </c>
      <c r="B303" s="93">
        <v>898</v>
      </c>
      <c r="C303" s="54">
        <v>1050000613847</v>
      </c>
      <c r="D303" s="55" t="s">
        <v>1212</v>
      </c>
      <c r="E303" s="93">
        <v>732</v>
      </c>
      <c r="F303" s="54">
        <v>1050000613856</v>
      </c>
      <c r="G303" s="55" t="s">
        <v>1212</v>
      </c>
      <c r="H303" s="182"/>
      <c r="I303" s="59">
        <v>0.20100000000000001</v>
      </c>
      <c r="J303" s="60">
        <v>17.21</v>
      </c>
      <c r="K303" s="60">
        <v>3.4</v>
      </c>
      <c r="L303" s="60">
        <v>3.4</v>
      </c>
      <c r="M303" s="61">
        <v>0</v>
      </c>
      <c r="N303" s="62">
        <v>3614.96</v>
      </c>
      <c r="O303" s="62">
        <v>0.05</v>
      </c>
      <c r="P303" s="62">
        <v>0.05</v>
      </c>
    </row>
    <row r="304" spans="1:16" ht="15" customHeight="1" x14ac:dyDescent="0.2">
      <c r="A304" s="43" t="s">
        <v>1213</v>
      </c>
      <c r="B304" s="93">
        <v>580</v>
      </c>
      <c r="C304" s="54">
        <v>1050001290011</v>
      </c>
      <c r="D304" s="55" t="s">
        <v>1213</v>
      </c>
      <c r="E304" s="93">
        <v>696</v>
      </c>
      <c r="F304" s="54">
        <v>1050001290020</v>
      </c>
      <c r="G304" s="55" t="s">
        <v>1213</v>
      </c>
      <c r="H304" s="182"/>
      <c r="I304" s="59">
        <v>0</v>
      </c>
      <c r="J304" s="60">
        <v>14.31</v>
      </c>
      <c r="K304" s="60">
        <v>7.08</v>
      </c>
      <c r="L304" s="60">
        <v>7.08</v>
      </c>
      <c r="M304" s="61">
        <v>0</v>
      </c>
      <c r="N304" s="62">
        <v>1170.94</v>
      </c>
      <c r="O304" s="62">
        <v>0.05</v>
      </c>
      <c r="P304" s="62">
        <v>0.05</v>
      </c>
    </row>
    <row r="305" spans="1:16" ht="15" customHeight="1" x14ac:dyDescent="0.2">
      <c r="A305" s="43" t="s">
        <v>1214</v>
      </c>
      <c r="B305" s="93"/>
      <c r="C305" s="54" t="s">
        <v>1280</v>
      </c>
      <c r="D305" s="55" t="s">
        <v>1214</v>
      </c>
      <c r="E305" s="93"/>
      <c r="F305" s="54" t="s">
        <v>1294</v>
      </c>
      <c r="G305" s="55" t="s">
        <v>1214</v>
      </c>
      <c r="H305" s="182"/>
      <c r="I305" s="59">
        <v>0</v>
      </c>
      <c r="J305" s="60">
        <v>2362.2399999999998</v>
      </c>
      <c r="K305" s="60">
        <v>2.14</v>
      </c>
      <c r="L305" s="60">
        <v>2.14</v>
      </c>
      <c r="M305" s="61">
        <v>-0.91800000000000004</v>
      </c>
      <c r="N305" s="62">
        <v>2362.2399999999998</v>
      </c>
      <c r="O305" s="62">
        <v>0.05</v>
      </c>
      <c r="P305" s="62">
        <v>0.05</v>
      </c>
    </row>
    <row r="306" spans="1:16" ht="15" customHeight="1" x14ac:dyDescent="0.2">
      <c r="A306" s="43" t="s">
        <v>1215</v>
      </c>
      <c r="B306" s="93">
        <v>339</v>
      </c>
      <c r="C306" s="54">
        <v>1050002190498</v>
      </c>
      <c r="D306" s="55" t="s">
        <v>1215</v>
      </c>
      <c r="E306" s="93">
        <v>417</v>
      </c>
      <c r="F306" s="54">
        <v>1050002190503</v>
      </c>
      <c r="G306" s="55" t="s">
        <v>1215</v>
      </c>
      <c r="H306" s="182"/>
      <c r="I306" s="59">
        <v>1.9670000000000001</v>
      </c>
      <c r="J306" s="60">
        <v>3.67</v>
      </c>
      <c r="K306" s="60">
        <v>3.27</v>
      </c>
      <c r="L306" s="60">
        <v>3.27</v>
      </c>
      <c r="M306" s="61">
        <v>0</v>
      </c>
      <c r="N306" s="62">
        <v>1606.05</v>
      </c>
      <c r="O306" s="62">
        <v>0.05</v>
      </c>
      <c r="P306" s="62">
        <v>0.05</v>
      </c>
    </row>
    <row r="307" spans="1:16" ht="15" customHeight="1" x14ac:dyDescent="0.2">
      <c r="A307" s="43" t="s">
        <v>1216</v>
      </c>
      <c r="B307" s="93">
        <v>337</v>
      </c>
      <c r="C307" s="54">
        <v>1050002185390</v>
      </c>
      <c r="D307" s="55" t="s">
        <v>1216</v>
      </c>
      <c r="E307" s="93">
        <v>415</v>
      </c>
      <c r="F307" s="54">
        <v>1050002185406</v>
      </c>
      <c r="G307" s="55" t="s">
        <v>1216</v>
      </c>
      <c r="H307" s="182"/>
      <c r="I307" s="59">
        <v>8.3000000000000004E-2</v>
      </c>
      <c r="J307" s="60">
        <v>3.28</v>
      </c>
      <c r="K307" s="60">
        <v>2.57</v>
      </c>
      <c r="L307" s="60">
        <v>2.57</v>
      </c>
      <c r="M307" s="61">
        <v>0</v>
      </c>
      <c r="N307" s="62">
        <v>491.58</v>
      </c>
      <c r="O307" s="62">
        <v>0.05</v>
      </c>
      <c r="P307" s="62">
        <v>0.05</v>
      </c>
    </row>
    <row r="308" spans="1:16" ht="15" customHeight="1" x14ac:dyDescent="0.2">
      <c r="A308" s="43" t="s">
        <v>1217</v>
      </c>
      <c r="B308" s="93">
        <v>582</v>
      </c>
      <c r="C308" s="54">
        <v>1050001109352</v>
      </c>
      <c r="D308" s="55" t="s">
        <v>1217</v>
      </c>
      <c r="E308" s="93"/>
      <c r="F308" s="54" t="s">
        <v>1295</v>
      </c>
      <c r="G308" s="55" t="s">
        <v>1217</v>
      </c>
      <c r="H308" s="182">
        <v>2</v>
      </c>
      <c r="I308" s="59">
        <v>0</v>
      </c>
      <c r="J308" s="60">
        <v>17602.419999999998</v>
      </c>
      <c r="K308" s="60">
        <v>1.32</v>
      </c>
      <c r="L308" s="60">
        <v>1.32</v>
      </c>
      <c r="M308" s="61">
        <v>-3.6999999999999998E-2</v>
      </c>
      <c r="N308" s="62">
        <v>23492.31</v>
      </c>
      <c r="O308" s="62">
        <v>0.05</v>
      </c>
      <c r="P308" s="62">
        <v>0.05</v>
      </c>
    </row>
    <row r="309" spans="1:16" ht="15" customHeight="1" x14ac:dyDescent="0.2">
      <c r="A309" s="43" t="s">
        <v>1218</v>
      </c>
      <c r="B309" s="93">
        <v>560</v>
      </c>
      <c r="C309" s="54">
        <v>1050001059393</v>
      </c>
      <c r="D309" s="55" t="s">
        <v>1218</v>
      </c>
      <c r="E309" s="93">
        <v>679</v>
      </c>
      <c r="F309" s="54">
        <v>1050001059384</v>
      </c>
      <c r="G309" s="55" t="s">
        <v>1218</v>
      </c>
      <c r="H309" s="182">
        <v>1</v>
      </c>
      <c r="I309" s="59">
        <v>1.224</v>
      </c>
      <c r="J309" s="60">
        <v>4697.96</v>
      </c>
      <c r="K309" s="60">
        <v>2.29</v>
      </c>
      <c r="L309" s="60">
        <v>2.29</v>
      </c>
      <c r="M309" s="61">
        <v>0</v>
      </c>
      <c r="N309" s="62">
        <v>8654.39</v>
      </c>
      <c r="O309" s="62">
        <v>0.05</v>
      </c>
      <c r="P309" s="62">
        <v>0.05</v>
      </c>
    </row>
    <row r="310" spans="1:16" ht="15" customHeight="1" x14ac:dyDescent="0.2">
      <c r="A310" s="43" t="s">
        <v>1219</v>
      </c>
      <c r="B310" s="93"/>
      <c r="C310" s="54" t="s">
        <v>1281</v>
      </c>
      <c r="D310" s="55" t="s">
        <v>1219</v>
      </c>
      <c r="E310" s="93"/>
      <c r="F310" s="54" t="s">
        <v>1296</v>
      </c>
      <c r="G310" s="55" t="s">
        <v>1219</v>
      </c>
      <c r="H310" s="182"/>
      <c r="I310" s="59">
        <v>1.07</v>
      </c>
      <c r="J310" s="60">
        <v>4674.71</v>
      </c>
      <c r="K310" s="60">
        <v>1.27</v>
      </c>
      <c r="L310" s="60">
        <v>1.27</v>
      </c>
      <c r="M310" s="61">
        <v>-1.0269999999999999</v>
      </c>
      <c r="N310" s="62">
        <v>4674.71</v>
      </c>
      <c r="O310" s="62">
        <v>0.05</v>
      </c>
      <c r="P310" s="62">
        <v>0.05</v>
      </c>
    </row>
    <row r="311" spans="1:16" ht="15" customHeight="1" x14ac:dyDescent="0.2">
      <c r="A311" s="43" t="s">
        <v>1220</v>
      </c>
      <c r="B311" s="93">
        <v>561</v>
      </c>
      <c r="C311" s="54">
        <v>1050000903217</v>
      </c>
      <c r="D311" s="55" t="s">
        <v>1220</v>
      </c>
      <c r="E311" s="93">
        <v>680</v>
      </c>
      <c r="F311" s="54">
        <v>1050000903226</v>
      </c>
      <c r="G311" s="55" t="s">
        <v>1220</v>
      </c>
      <c r="H311" s="182"/>
      <c r="I311" s="59">
        <v>0.186</v>
      </c>
      <c r="J311" s="60">
        <v>43.29</v>
      </c>
      <c r="K311" s="60">
        <v>8.1300000000000008</v>
      </c>
      <c r="L311" s="60">
        <v>8.1300000000000008</v>
      </c>
      <c r="M311" s="61">
        <v>0</v>
      </c>
      <c r="N311" s="62">
        <v>2164.31</v>
      </c>
      <c r="O311" s="62">
        <v>0.05</v>
      </c>
      <c r="P311" s="62">
        <v>0.05</v>
      </c>
    </row>
    <row r="312" spans="1:16" ht="15" customHeight="1" x14ac:dyDescent="0.2">
      <c r="A312" s="43" t="s">
        <v>1221</v>
      </c>
      <c r="B312" s="93">
        <v>583</v>
      </c>
      <c r="C312" s="54">
        <v>1050001078642</v>
      </c>
      <c r="D312" s="55" t="s">
        <v>1221</v>
      </c>
      <c r="E312" s="93">
        <v>698</v>
      </c>
      <c r="F312" s="54">
        <v>1050001078651</v>
      </c>
      <c r="G312" s="55" t="s">
        <v>1221</v>
      </c>
      <c r="H312" s="182"/>
      <c r="I312" s="59">
        <v>2.081</v>
      </c>
      <c r="J312" s="60">
        <v>229.92</v>
      </c>
      <c r="K312" s="60">
        <v>2.16</v>
      </c>
      <c r="L312" s="60">
        <v>2.16</v>
      </c>
      <c r="M312" s="61">
        <v>0</v>
      </c>
      <c r="N312" s="62">
        <v>21366.35</v>
      </c>
      <c r="O312" s="62">
        <v>0.05</v>
      </c>
      <c r="P312" s="62">
        <v>0.05</v>
      </c>
    </row>
    <row r="313" spans="1:16" ht="30" customHeight="1" x14ac:dyDescent="0.2">
      <c r="A313" s="43" t="s">
        <v>1222</v>
      </c>
      <c r="B313" s="93">
        <v>822</v>
      </c>
      <c r="C313" s="54" t="s">
        <v>1350</v>
      </c>
      <c r="D313" s="55" t="s">
        <v>1222</v>
      </c>
      <c r="E313" s="93">
        <v>449</v>
      </c>
      <c r="F313" s="54" t="s">
        <v>1351</v>
      </c>
      <c r="G313" s="55" t="s">
        <v>1222</v>
      </c>
      <c r="H313" s="182">
        <v>1</v>
      </c>
      <c r="I313" s="59">
        <v>0.25600000000000001</v>
      </c>
      <c r="J313" s="60">
        <v>4627.25</v>
      </c>
      <c r="K313" s="60">
        <v>1.74</v>
      </c>
      <c r="L313" s="60">
        <v>1.74</v>
      </c>
      <c r="M313" s="61">
        <v>0</v>
      </c>
      <c r="N313" s="62">
        <v>1087.23</v>
      </c>
      <c r="O313" s="62">
        <v>0.05</v>
      </c>
      <c r="P313" s="62">
        <v>0.05</v>
      </c>
    </row>
    <row r="314" spans="1:16" ht="15" customHeight="1" x14ac:dyDescent="0.2">
      <c r="A314" s="43" t="s">
        <v>1223</v>
      </c>
      <c r="B314" s="93">
        <v>584</v>
      </c>
      <c r="C314" s="54">
        <v>1050001052193</v>
      </c>
      <c r="D314" s="55" t="s">
        <v>1223</v>
      </c>
      <c r="E314" s="93">
        <v>699</v>
      </c>
      <c r="F314" s="54">
        <v>1050001052184</v>
      </c>
      <c r="G314" s="55" t="s">
        <v>1223</v>
      </c>
      <c r="H314" s="182"/>
      <c r="I314" s="59">
        <v>1.591</v>
      </c>
      <c r="J314" s="60">
        <v>12.07</v>
      </c>
      <c r="K314" s="60">
        <v>2.0699999999999998</v>
      </c>
      <c r="L314" s="60">
        <v>2.0699999999999998</v>
      </c>
      <c r="M314" s="61">
        <v>-1.8109999999999999</v>
      </c>
      <c r="N314" s="62">
        <v>482.79</v>
      </c>
      <c r="O314" s="62">
        <v>0.05</v>
      </c>
      <c r="P314" s="62">
        <v>0.05</v>
      </c>
    </row>
    <row r="315" spans="1:16" ht="15" customHeight="1" x14ac:dyDescent="0.2">
      <c r="A315" s="43" t="s">
        <v>1224</v>
      </c>
      <c r="B315" s="93">
        <v>562</v>
      </c>
      <c r="C315" s="54">
        <v>1050000996141</v>
      </c>
      <c r="D315" s="55" t="s">
        <v>1224</v>
      </c>
      <c r="E315" s="93">
        <v>681</v>
      </c>
      <c r="F315" s="54">
        <v>1050000996150</v>
      </c>
      <c r="G315" s="55" t="s">
        <v>1224</v>
      </c>
      <c r="H315" s="182"/>
      <c r="I315" s="59">
        <v>8.6999999999999994E-2</v>
      </c>
      <c r="J315" s="60">
        <v>90.05</v>
      </c>
      <c r="K315" s="60">
        <v>3.29</v>
      </c>
      <c r="L315" s="60">
        <v>3.29</v>
      </c>
      <c r="M315" s="61">
        <v>0</v>
      </c>
      <c r="N315" s="62">
        <v>36019.19</v>
      </c>
      <c r="O315" s="62">
        <v>0.05</v>
      </c>
      <c r="P315" s="62">
        <v>0.05</v>
      </c>
    </row>
    <row r="316" spans="1:16" ht="15" customHeight="1" x14ac:dyDescent="0.2">
      <c r="A316" s="43" t="s">
        <v>1225</v>
      </c>
      <c r="B316" s="93">
        <v>501</v>
      </c>
      <c r="C316" s="54">
        <v>1050000529637</v>
      </c>
      <c r="D316" s="55" t="s">
        <v>1225</v>
      </c>
      <c r="E316" s="93">
        <v>779</v>
      </c>
      <c r="F316" s="54">
        <v>1050000529664</v>
      </c>
      <c r="G316" s="55" t="s">
        <v>1225</v>
      </c>
      <c r="H316" s="182"/>
      <c r="I316" s="59">
        <v>0</v>
      </c>
      <c r="J316" s="60">
        <v>33.78</v>
      </c>
      <c r="K316" s="60">
        <v>5.98</v>
      </c>
      <c r="L316" s="60">
        <v>5.98</v>
      </c>
      <c r="M316" s="61">
        <v>0</v>
      </c>
      <c r="N316" s="62">
        <v>1857.73</v>
      </c>
      <c r="O316" s="62">
        <v>0.05</v>
      </c>
      <c r="P316" s="62">
        <v>0.05</v>
      </c>
    </row>
    <row r="317" spans="1:16" ht="15" customHeight="1" x14ac:dyDescent="0.2">
      <c r="A317" s="43" t="s">
        <v>1226</v>
      </c>
      <c r="B317" s="93">
        <v>342</v>
      </c>
      <c r="C317" s="54">
        <v>1050001967470</v>
      </c>
      <c r="D317" s="55" t="s">
        <v>1226</v>
      </c>
      <c r="E317" s="93">
        <v>419</v>
      </c>
      <c r="F317" s="54">
        <v>1050001967480</v>
      </c>
      <c r="G317" s="55" t="s">
        <v>1226</v>
      </c>
      <c r="H317" s="182"/>
      <c r="I317" s="59">
        <v>0.16400000000000001</v>
      </c>
      <c r="J317" s="60">
        <v>1001.9</v>
      </c>
      <c r="K317" s="60">
        <v>2.14</v>
      </c>
      <c r="L317" s="60">
        <v>2.14</v>
      </c>
      <c r="M317" s="61">
        <v>-1.079</v>
      </c>
      <c r="N317" s="62">
        <v>1249.8699999999999</v>
      </c>
      <c r="O317" s="62">
        <v>0.05</v>
      </c>
      <c r="P317" s="62">
        <v>0.05</v>
      </c>
    </row>
    <row r="318" spans="1:16" ht="15" customHeight="1" x14ac:dyDescent="0.2">
      <c r="A318" s="43" t="s">
        <v>1227</v>
      </c>
      <c r="B318" s="93">
        <v>867</v>
      </c>
      <c r="C318" s="54">
        <v>1030078016464</v>
      </c>
      <c r="D318" s="55" t="s">
        <v>1227</v>
      </c>
      <c r="E318" s="93">
        <v>742</v>
      </c>
      <c r="F318" s="54">
        <v>1030078016924</v>
      </c>
      <c r="G318" s="55" t="s">
        <v>1227</v>
      </c>
      <c r="H318" s="182"/>
      <c r="I318" s="59">
        <v>0.49299999999999999</v>
      </c>
      <c r="J318" s="60">
        <v>8.7200000000000006</v>
      </c>
      <c r="K318" s="60">
        <v>4.0199999999999996</v>
      </c>
      <c r="L318" s="60">
        <v>4.0199999999999996</v>
      </c>
      <c r="M318" s="61">
        <v>0</v>
      </c>
      <c r="N318" s="62">
        <v>1447.03</v>
      </c>
      <c r="O318" s="62">
        <v>0.05</v>
      </c>
      <c r="P318" s="62">
        <v>0.05</v>
      </c>
    </row>
    <row r="319" spans="1:16" ht="15" customHeight="1" x14ac:dyDescent="0.2">
      <c r="A319" s="43" t="s">
        <v>1228</v>
      </c>
      <c r="B319" s="93">
        <v>430</v>
      </c>
      <c r="C319" s="54">
        <v>1030078016696</v>
      </c>
      <c r="D319" s="55" t="s">
        <v>1228</v>
      </c>
      <c r="E319" s="93">
        <v>650</v>
      </c>
      <c r="F319" s="54">
        <v>1030078017157</v>
      </c>
      <c r="G319" s="55" t="s">
        <v>1228</v>
      </c>
      <c r="H319" s="182"/>
      <c r="I319" s="59">
        <v>0.99</v>
      </c>
      <c r="J319" s="60">
        <v>10.210000000000001</v>
      </c>
      <c r="K319" s="60">
        <v>3.11</v>
      </c>
      <c r="L319" s="60">
        <v>3.11</v>
      </c>
      <c r="M319" s="61">
        <v>0</v>
      </c>
      <c r="N319" s="62">
        <v>1445.54</v>
      </c>
      <c r="O319" s="62">
        <v>0.05</v>
      </c>
      <c r="P319" s="62">
        <v>0.05</v>
      </c>
    </row>
    <row r="320" spans="1:16" ht="15" customHeight="1" x14ac:dyDescent="0.2">
      <c r="A320" s="43" t="s">
        <v>1229</v>
      </c>
      <c r="B320" s="93">
        <v>345</v>
      </c>
      <c r="C320" s="54">
        <v>1050002982113</v>
      </c>
      <c r="D320" s="55" t="s">
        <v>1229</v>
      </c>
      <c r="E320" s="93">
        <v>422</v>
      </c>
      <c r="F320" s="54">
        <v>1050002982122</v>
      </c>
      <c r="G320" s="55" t="s">
        <v>1229</v>
      </c>
      <c r="H320" s="182">
        <v>1</v>
      </c>
      <c r="I320" s="59">
        <v>0</v>
      </c>
      <c r="J320" s="60">
        <v>4694.34</v>
      </c>
      <c r="K320" s="60">
        <v>1.9</v>
      </c>
      <c r="L320" s="60">
        <v>1.9</v>
      </c>
      <c r="M320" s="61">
        <v>0</v>
      </c>
      <c r="N320" s="62">
        <v>8018.4</v>
      </c>
      <c r="O320" s="62">
        <v>0.05</v>
      </c>
      <c r="P320" s="62">
        <v>0.05</v>
      </c>
    </row>
    <row r="321" spans="1:16" ht="15" customHeight="1" x14ac:dyDescent="0.2">
      <c r="A321" s="43" t="s">
        <v>1230</v>
      </c>
      <c r="B321" s="93">
        <v>868</v>
      </c>
      <c r="C321" s="54">
        <v>1030079196591</v>
      </c>
      <c r="D321" s="55" t="s">
        <v>1230</v>
      </c>
      <c r="E321" s="93">
        <v>743</v>
      </c>
      <c r="F321" s="54">
        <v>1030079196820</v>
      </c>
      <c r="G321" s="55" t="s">
        <v>1230</v>
      </c>
      <c r="H321" s="182"/>
      <c r="I321" s="59">
        <v>6.9000000000000006E-2</v>
      </c>
      <c r="J321" s="60">
        <v>177.85</v>
      </c>
      <c r="K321" s="60">
        <v>1.34</v>
      </c>
      <c r="L321" s="60">
        <v>1.34</v>
      </c>
      <c r="M321" s="61">
        <v>0</v>
      </c>
      <c r="N321" s="62">
        <v>6558.11</v>
      </c>
      <c r="O321" s="62">
        <v>0.05</v>
      </c>
      <c r="P321" s="62">
        <v>0.05</v>
      </c>
    </row>
    <row r="322" spans="1:16" ht="15" customHeight="1" x14ac:dyDescent="0.2">
      <c r="A322" s="43" t="s">
        <v>1231</v>
      </c>
      <c r="B322" s="93">
        <v>529</v>
      </c>
      <c r="C322" s="54">
        <v>1050000769145</v>
      </c>
      <c r="D322" s="55" t="s">
        <v>1231</v>
      </c>
      <c r="E322" s="93">
        <v>461</v>
      </c>
      <c r="F322" s="54">
        <v>1050000769154</v>
      </c>
      <c r="G322" s="55" t="s">
        <v>1231</v>
      </c>
      <c r="H322" s="182"/>
      <c r="I322" s="59">
        <v>1.6339999999999999</v>
      </c>
      <c r="J322" s="60">
        <v>20.41</v>
      </c>
      <c r="K322" s="60">
        <v>3.84</v>
      </c>
      <c r="L322" s="60">
        <v>3.84</v>
      </c>
      <c r="M322" s="61">
        <v>0</v>
      </c>
      <c r="N322" s="62">
        <v>2041.04</v>
      </c>
      <c r="O322" s="62">
        <v>0.05</v>
      </c>
      <c r="P322" s="62">
        <v>0.05</v>
      </c>
    </row>
    <row r="323" spans="1:16" ht="15" customHeight="1" x14ac:dyDescent="0.2">
      <c r="A323" s="43" t="s">
        <v>1232</v>
      </c>
      <c r="B323" s="93">
        <v>530</v>
      </c>
      <c r="C323" s="54">
        <v>1050000714155</v>
      </c>
      <c r="D323" s="55" t="s">
        <v>1232</v>
      </c>
      <c r="E323" s="93">
        <v>462</v>
      </c>
      <c r="F323" s="54">
        <v>1050000714164</v>
      </c>
      <c r="G323" s="55" t="s">
        <v>1232</v>
      </c>
      <c r="H323" s="182"/>
      <c r="I323" s="59">
        <v>0.90400000000000003</v>
      </c>
      <c r="J323" s="60">
        <v>21.75</v>
      </c>
      <c r="K323" s="60">
        <v>8.14</v>
      </c>
      <c r="L323" s="60">
        <v>8.14</v>
      </c>
      <c r="M323" s="61">
        <v>0</v>
      </c>
      <c r="N323" s="62">
        <v>13051.74</v>
      </c>
      <c r="O323" s="62">
        <v>0.05</v>
      </c>
      <c r="P323" s="62">
        <v>0.05</v>
      </c>
    </row>
    <row r="324" spans="1:16" ht="15" customHeight="1" x14ac:dyDescent="0.2">
      <c r="A324" s="43" t="s">
        <v>1233</v>
      </c>
      <c r="B324" s="93"/>
      <c r="C324" s="54" t="s">
        <v>1240</v>
      </c>
      <c r="D324" s="55" t="s">
        <v>1233</v>
      </c>
      <c r="E324" s="93"/>
      <c r="F324" s="54" t="s">
        <v>1240</v>
      </c>
      <c r="G324" s="55" t="s">
        <v>1233</v>
      </c>
      <c r="H324" s="182"/>
      <c r="I324" s="59">
        <v>1.552</v>
      </c>
      <c r="J324" s="60">
        <v>241.09</v>
      </c>
      <c r="K324" s="60">
        <v>0.83</v>
      </c>
      <c r="L324" s="60">
        <v>0.83</v>
      </c>
      <c r="M324" s="61">
        <v>-1.5580000000000001</v>
      </c>
      <c r="N324" s="62">
        <v>253.77</v>
      </c>
      <c r="O324" s="62">
        <v>0.05</v>
      </c>
      <c r="P324" s="62">
        <v>0.05</v>
      </c>
    </row>
    <row r="325" spans="1:16" ht="15" customHeight="1" x14ac:dyDescent="0.2">
      <c r="A325" s="43" t="s">
        <v>1234</v>
      </c>
      <c r="B325" s="93">
        <v>532</v>
      </c>
      <c r="C325" s="54">
        <v>1050000555920</v>
      </c>
      <c r="D325" s="55" t="s">
        <v>1234</v>
      </c>
      <c r="E325" s="93">
        <v>464</v>
      </c>
      <c r="F325" s="54">
        <v>1050000555910</v>
      </c>
      <c r="G325" s="55" t="s">
        <v>1234</v>
      </c>
      <c r="H325" s="182"/>
      <c r="I325" s="59">
        <v>0</v>
      </c>
      <c r="J325" s="60">
        <v>119.79</v>
      </c>
      <c r="K325" s="60">
        <v>2.69</v>
      </c>
      <c r="L325" s="60">
        <v>2.69</v>
      </c>
      <c r="M325" s="61">
        <v>0</v>
      </c>
      <c r="N325" s="62">
        <v>11979.29</v>
      </c>
      <c r="O325" s="62">
        <v>0.05</v>
      </c>
      <c r="P325" s="62">
        <v>0.05</v>
      </c>
    </row>
    <row r="326" spans="1:16" ht="15" customHeight="1" x14ac:dyDescent="0.2">
      <c r="A326" s="43" t="s">
        <v>1235</v>
      </c>
      <c r="B326" s="93">
        <v>839</v>
      </c>
      <c r="C326" s="54">
        <v>1023479303448</v>
      </c>
      <c r="D326" s="55" t="s">
        <v>1235</v>
      </c>
      <c r="E326" s="93">
        <v>712</v>
      </c>
      <c r="F326" s="54">
        <v>1023477563953</v>
      </c>
      <c r="G326" s="55" t="s">
        <v>1235</v>
      </c>
      <c r="H326" s="182"/>
      <c r="I326" s="59">
        <v>1.5840000000000001</v>
      </c>
      <c r="J326" s="60">
        <v>149.97</v>
      </c>
      <c r="K326" s="60">
        <v>1.18</v>
      </c>
      <c r="L326" s="60">
        <v>1.18</v>
      </c>
      <c r="M326" s="61">
        <v>-1.593</v>
      </c>
      <c r="N326" s="62">
        <v>2062.09</v>
      </c>
      <c r="O326" s="62">
        <v>0.05</v>
      </c>
      <c r="P326" s="62">
        <v>0.05</v>
      </c>
    </row>
    <row r="327" spans="1:16" ht="15" customHeight="1" x14ac:dyDescent="0.2">
      <c r="A327" s="43" t="s">
        <v>1236</v>
      </c>
      <c r="B327" s="93">
        <v>563</v>
      </c>
      <c r="C327" s="54">
        <v>1050000948110</v>
      </c>
      <c r="D327" s="55" t="s">
        <v>1236</v>
      </c>
      <c r="E327" s="93">
        <v>682</v>
      </c>
      <c r="F327" s="54">
        <v>1050000948120</v>
      </c>
      <c r="G327" s="55" t="s">
        <v>1236</v>
      </c>
      <c r="H327" s="182"/>
      <c r="I327" s="59">
        <v>0.22</v>
      </c>
      <c r="J327" s="60">
        <v>42.16</v>
      </c>
      <c r="K327" s="60">
        <v>2.12</v>
      </c>
      <c r="L327" s="60">
        <v>2.12</v>
      </c>
      <c r="M327" s="61">
        <v>0</v>
      </c>
      <c r="N327" s="62">
        <v>10961.84</v>
      </c>
      <c r="O327" s="62">
        <v>0.05</v>
      </c>
      <c r="P327" s="62">
        <v>0.05</v>
      </c>
    </row>
    <row r="328" spans="1:16" ht="15" customHeight="1" x14ac:dyDescent="0.2">
      <c r="A328" s="43" t="s">
        <v>1237</v>
      </c>
      <c r="B328" s="93">
        <v>531</v>
      </c>
      <c r="C328" s="54">
        <v>1050000650690</v>
      </c>
      <c r="D328" s="55" t="s">
        <v>1237</v>
      </c>
      <c r="E328" s="93">
        <v>463</v>
      </c>
      <c r="F328" s="54">
        <v>1050000650680</v>
      </c>
      <c r="G328" s="55" t="s">
        <v>1237</v>
      </c>
      <c r="H328" s="182"/>
      <c r="I328" s="59">
        <v>0</v>
      </c>
      <c r="J328" s="60">
        <v>17.63</v>
      </c>
      <c r="K328" s="60">
        <v>9.74</v>
      </c>
      <c r="L328" s="60">
        <v>9.74</v>
      </c>
      <c r="M328" s="61">
        <v>0</v>
      </c>
      <c r="N328" s="62">
        <v>1410.73</v>
      </c>
      <c r="O328" s="62">
        <v>0.05</v>
      </c>
      <c r="P328" s="62">
        <v>0.05</v>
      </c>
    </row>
    <row r="329" spans="1:16" ht="15" customHeight="1" x14ac:dyDescent="0.2">
      <c r="A329" s="43" t="s">
        <v>1238</v>
      </c>
      <c r="B329" s="93">
        <v>538</v>
      </c>
      <c r="C329" s="54">
        <v>1050000811596</v>
      </c>
      <c r="D329" s="55" t="s">
        <v>1238</v>
      </c>
      <c r="E329" s="93">
        <v>471</v>
      </c>
      <c r="F329" s="54">
        <v>1050000811601</v>
      </c>
      <c r="G329" s="55" t="s">
        <v>1238</v>
      </c>
      <c r="H329" s="182"/>
      <c r="I329" s="59">
        <v>0</v>
      </c>
      <c r="J329" s="60">
        <v>32.86</v>
      </c>
      <c r="K329" s="60">
        <v>5.31</v>
      </c>
      <c r="L329" s="60">
        <v>5.31</v>
      </c>
      <c r="M329" s="61">
        <v>0</v>
      </c>
      <c r="N329" s="62">
        <v>2409.38</v>
      </c>
      <c r="O329" s="62">
        <v>0.05</v>
      </c>
      <c r="P329" s="62">
        <v>0.05</v>
      </c>
    </row>
    <row r="330" spans="1:16" ht="15" customHeight="1" x14ac:dyDescent="0.2">
      <c r="A330" s="43" t="s">
        <v>1239</v>
      </c>
      <c r="B330" s="93">
        <v>533</v>
      </c>
      <c r="C330" s="54">
        <v>1050000769163</v>
      </c>
      <c r="D330" s="55" t="s">
        <v>1239</v>
      </c>
      <c r="E330" s="93">
        <v>465</v>
      </c>
      <c r="F330" s="54">
        <v>1050000769172</v>
      </c>
      <c r="G330" s="55" t="s">
        <v>1239</v>
      </c>
      <c r="H330" s="182"/>
      <c r="I330" s="59">
        <v>0</v>
      </c>
      <c r="J330" s="60">
        <v>12.63</v>
      </c>
      <c r="K330" s="60">
        <v>3.94</v>
      </c>
      <c r="L330" s="60">
        <v>3.94</v>
      </c>
      <c r="M330" s="61">
        <v>0</v>
      </c>
      <c r="N330" s="62">
        <v>1263.1199999999999</v>
      </c>
      <c r="O330" s="62">
        <v>0.05</v>
      </c>
      <c r="P330" s="62">
        <v>0.05</v>
      </c>
    </row>
  </sheetData>
  <mergeCells count="9">
    <mergeCell ref="C1:P1"/>
    <mergeCell ref="A2:P2"/>
    <mergeCell ref="D7:F7"/>
    <mergeCell ref="A5:C5"/>
    <mergeCell ref="A6:C6"/>
    <mergeCell ref="A7:C7"/>
    <mergeCell ref="A4:F4"/>
    <mergeCell ref="D5:F5"/>
    <mergeCell ref="D6:F6"/>
  </mergeCells>
  <hyperlinks>
    <hyperlink ref="A1" location="Overview!A1" display="Back to Overview" xr:uid="{00000000-0004-0000-0200-000000000000}"/>
  </hyperlinks>
  <pageMargins left="0.39370078740157483" right="0.35433070866141736" top="0.86614173228346458" bottom="0.55118110236220474" header="0.27559055118110237" footer="0.27559055118110237"/>
  <pageSetup paperSize="9" scale="59" fitToHeight="0" orientation="landscape" r:id="rId1"/>
  <headerFooter scaleWithDoc="0">
    <oddHeader>&amp;L
Annex 2 - Schedule of Charges for use of the Distribution System by Designated EHV Properties (including LDNOs with Designated EHV Properties/end-users)</oddHeader>
    <oddFooter>&amp;L&amp;8Note: The DNO reserves the right to apply the listed charges to any other MPANs/MSIDs associated with the site. This includes reallocating charges to a traded MPAN at the same site where another MPAN has been disconnected or de-energised.&amp;R&amp;8&amp;P of &amp;N</oddFooter>
    <firstHeader>&amp;L
Annex 2 - Schedule of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site.&amp;R&amp;8&amp;P of &amp;N</first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pageSetUpPr fitToPage="1"/>
  </sheetPr>
  <dimension ref="A1:N413"/>
  <sheetViews>
    <sheetView zoomScale="90" zoomScaleNormal="90" zoomScaleSheetLayoutView="100" workbookViewId="0">
      <selection sqref="A1:H1"/>
    </sheetView>
  </sheetViews>
  <sheetFormatPr defaultColWidth="9.140625" defaultRowHeight="12.75" x14ac:dyDescent="0.2"/>
  <cols>
    <col min="1" max="1" width="14.7109375" style="48" customWidth="1"/>
    <col min="2" max="2" width="8.7109375" style="48" customWidth="1"/>
    <col min="3" max="3" width="15.7109375" style="56" bestFit="1" customWidth="1"/>
    <col min="4" max="4" width="50.7109375" style="56" customWidth="1"/>
    <col min="5" max="5" width="14.7109375" style="57" customWidth="1"/>
    <col min="6" max="7" width="14.7109375" style="58" customWidth="1"/>
    <col min="8" max="8" width="14.7109375" style="48" customWidth="1"/>
    <col min="9" max="9" width="15.5703125" style="48" customWidth="1"/>
    <col min="10" max="13" width="9.140625" style="48"/>
    <col min="14" max="14" width="9.42578125" style="48" bestFit="1" customWidth="1"/>
    <col min="15" max="16384" width="9.140625" style="48"/>
  </cols>
  <sheetData>
    <row r="1" spans="1:14" ht="66.75" customHeight="1" x14ac:dyDescent="0.2">
      <c r="A1" s="257" t="s">
        <v>2931</v>
      </c>
      <c r="B1" s="257"/>
      <c r="C1" s="257"/>
      <c r="D1" s="257"/>
      <c r="E1" s="257"/>
      <c r="F1" s="257"/>
      <c r="G1" s="257"/>
      <c r="H1" s="257"/>
    </row>
    <row r="2" spans="1:14" s="49" customFormat="1" ht="25.5" customHeight="1" x14ac:dyDescent="0.2">
      <c r="A2" s="248" t="str">
        <f>Overview!B4&amp; " - Effective from "&amp;Overview!D4&amp;" - "&amp;Overview!E4&amp;" Designated EHV import charges"</f>
        <v>Eastern Power Networks - Effective from 1 April 2027 - Final Designated EHV import charges</v>
      </c>
      <c r="B2" s="249"/>
      <c r="C2" s="249"/>
      <c r="D2" s="249"/>
      <c r="E2" s="249"/>
      <c r="F2" s="249"/>
      <c r="G2" s="249"/>
      <c r="H2" s="250"/>
    </row>
    <row r="3" spans="1:14" s="82" customFormat="1" ht="18" x14ac:dyDescent="0.2">
      <c r="A3" s="86"/>
      <c r="B3" s="86"/>
      <c r="C3" s="86"/>
      <c r="D3" s="87"/>
      <c r="E3" s="88"/>
      <c r="F3" s="88"/>
      <c r="G3" s="89"/>
      <c r="H3" s="89"/>
      <c r="I3" s="81"/>
      <c r="J3" s="81"/>
      <c r="K3" s="81"/>
      <c r="L3" s="81"/>
      <c r="M3" s="81"/>
      <c r="N3" s="81"/>
    </row>
    <row r="4" spans="1:14" ht="60.75" customHeight="1" x14ac:dyDescent="0.2">
      <c r="A4" s="50" t="s">
        <v>46</v>
      </c>
      <c r="B4" s="51" t="s">
        <v>649</v>
      </c>
      <c r="C4" s="50" t="s">
        <v>31</v>
      </c>
      <c r="D4" s="52" t="s">
        <v>26</v>
      </c>
      <c r="E4" s="124" t="str">
        <f>'Annex 2 Designated EHV charges'!I9</f>
        <v>Import
Super Red
unit charge
(p/kWh)</v>
      </c>
      <c r="F4" s="124" t="str">
        <f>'Annex 2 Designated EHV charges'!J9</f>
        <v>Import
fixed charge
(p/day)</v>
      </c>
      <c r="G4" s="124" t="str">
        <f>'Annex 2 Designated EHV charges'!K9</f>
        <v>Import
capacity charge
(p/kVA/day)</v>
      </c>
      <c r="H4" s="124" t="str">
        <f>'Annex 2 Designated EHV charges'!L9</f>
        <v>Import
exceeded capacity charge
(p/kVA/day)</v>
      </c>
    </row>
    <row r="5" spans="1:14" x14ac:dyDescent="0.2">
      <c r="A5" s="94" t="str" cm="1">
        <f t="array" ref="A5">IFERROR(INDEX('Annex 2 Designated EHV charges'!$A$10:$A$401, MATCH(0, IF(ISBLANK('Annex 2 Designated EHV charges'!$A$10:$A$401),1, COUNTIF(A$4:$A4, 'Annex 2 Designated EHV charges'!$A$10:$A$401)), 0)),"")</f>
        <v>3VALSW</v>
      </c>
      <c r="B5" s="94">
        <f>IF($A5="","",VLOOKUP($A5,'Annex 2 Designated EHV charges'!$A:$O,2,0))</f>
        <v>585</v>
      </c>
      <c r="C5" s="95">
        <f>IF($A5="","",VLOOKUP($A5,'Annex 2 Designated EHV charges'!$A:$O,3,0))</f>
        <v>1014569699836</v>
      </c>
      <c r="D5" s="94" t="str">
        <f>IF($A5="","",VLOOKUP($A5,'Annex 2 Designated EHV charges'!$A:$O,7,0))</f>
        <v>3VALSW</v>
      </c>
      <c r="E5" s="97" t="str">
        <f>IFERROR(IF(VLOOKUP($A5,'Annex 2 Designated EHV charges'!$A:$O,9,FALSE)=0,"",VLOOKUP($A5,'Annex 2 Designated EHV charges'!$A:$O,9,FALSE)),"")</f>
        <v/>
      </c>
      <c r="F5" s="194">
        <f>IFERROR(IF(VLOOKUP($A5,'Annex 2 Designated EHV charges'!$A:$O,10,FALSE)=0,"",VLOOKUP($A5,'Annex 2 Designated EHV charges'!$A:$O,10,FALSE)),"")</f>
        <v>10796.21</v>
      </c>
      <c r="G5" s="194">
        <f>IFERROR(IF(VLOOKUP($A5,'Annex 2 Designated EHV charges'!$A:$O,11,FALSE)=0,"",VLOOKUP($A5,'Annex 2 Designated EHV charges'!$A:$O,11,FALSE)),"")</f>
        <v>5.81</v>
      </c>
      <c r="H5" s="194">
        <f>IFERROR(IF(VLOOKUP($A5,'Annex 2 Designated EHV charges'!$A:$O,12,FALSE)=0,"",VLOOKUP($A5,'Annex 2 Designated EHV charges'!$A:$O,12,FALSE)),"")</f>
        <v>5.81</v>
      </c>
    </row>
    <row r="6" spans="1:14" x14ac:dyDescent="0.2">
      <c r="A6" s="94" t="str" cm="1">
        <f t="array" ref="A6">IFERROR(INDEX('Annex 2 Designated EHV charges'!$A$10:$A$401, MATCH(0, IF(ISBLANK('Annex 2 Designated EHV charges'!$A$10:$A$401),1, COUNTIF(A$4:$A5, 'Annex 2 Designated EHV charges'!$A$10:$A$401)), 0)),"")</f>
        <v>ADBRKS</v>
      </c>
      <c r="B6" s="94">
        <f>IF($A6="","",VLOOKUP($A6,'Annex 2 Designated EHV charges'!$A:$O,2,0))</f>
        <v>586</v>
      </c>
      <c r="C6" s="95">
        <f>IF($A6="","",VLOOKUP($A6,'Annex 2 Designated EHV charges'!$A:$O,3,0))</f>
        <v>1023529546480</v>
      </c>
      <c r="D6" s="94" t="str">
        <f>IF($A6="","",VLOOKUP($A6,'Annex 2 Designated EHV charges'!$A:$O,7,0))</f>
        <v>ADBRKS</v>
      </c>
      <c r="E6" s="97">
        <f>IFERROR(IF(VLOOKUP($A6,'Annex 2 Designated EHV charges'!$A:$O,9,FALSE)=0,"",VLOOKUP($A6,'Annex 2 Designated EHV charges'!$A:$O,9,FALSE)),"")</f>
        <v>2.125</v>
      </c>
      <c r="F6" s="194">
        <f>IFERROR(IF(VLOOKUP($A6,'Annex 2 Designated EHV charges'!$A:$O,10,FALSE)=0,"",VLOOKUP($A6,'Annex 2 Designated EHV charges'!$A:$O,10,FALSE)),"")</f>
        <v>58246.96</v>
      </c>
      <c r="G6" s="194">
        <f>IFERROR(IF(VLOOKUP($A6,'Annex 2 Designated EHV charges'!$A:$O,11,FALSE)=0,"",VLOOKUP($A6,'Annex 2 Designated EHV charges'!$A:$O,11,FALSE)),"")</f>
        <v>3.64</v>
      </c>
      <c r="H6" s="194">
        <f>IFERROR(IF(VLOOKUP($A6,'Annex 2 Designated EHV charges'!$A:$O,12,FALSE)=0,"",VLOOKUP($A6,'Annex 2 Designated EHV charges'!$A:$O,12,FALSE)),"")</f>
        <v>3.64</v>
      </c>
    </row>
    <row r="7" spans="1:14" x14ac:dyDescent="0.2">
      <c r="A7" s="94" t="str" cm="1">
        <f t="array" ref="A7">IFERROR(INDEX('Annex 2 Designated EHV charges'!$A$10:$A$401, MATCH(0, IF(ISBLANK('Annex 2 Designated EHV charges'!$A$10:$A$401),1, COUNTIF(A$4:$A6, 'Annex 2 Designated EHV charges'!$A$10:$A$401)), 0)),"")</f>
        <v>ARAMAN</v>
      </c>
      <c r="B7" s="94">
        <f>IF($A7="","",VLOOKUP($A7,'Annex 2 Designated EHV charges'!$A:$O,2,0))</f>
        <v>800</v>
      </c>
      <c r="C7" s="95">
        <f>IF($A7="","",VLOOKUP($A7,'Annex 2 Designated EHV charges'!$A:$O,3,0))</f>
        <v>1023483097981</v>
      </c>
      <c r="D7" s="94" t="str">
        <f>IF($A7="","",VLOOKUP($A7,'Annex 2 Designated EHV charges'!$A:$O,7,0))</f>
        <v>ARAMAN</v>
      </c>
      <c r="E7" s="97">
        <f>IFERROR(IF(VLOOKUP($A7,'Annex 2 Designated EHV charges'!$A:$O,9,FALSE)=0,"",VLOOKUP($A7,'Annex 2 Designated EHV charges'!$A:$O,9,FALSE)),"")</f>
        <v>0.72399999999999998</v>
      </c>
      <c r="F7" s="194">
        <f>IFERROR(IF(VLOOKUP($A7,'Annex 2 Designated EHV charges'!$A:$O,10,FALSE)=0,"",VLOOKUP($A7,'Annex 2 Designated EHV charges'!$A:$O,10,FALSE)),"")</f>
        <v>78725.83</v>
      </c>
      <c r="G7" s="194">
        <f>IFERROR(IF(VLOOKUP($A7,'Annex 2 Designated EHV charges'!$A:$O,11,FALSE)=0,"",VLOOKUP($A7,'Annex 2 Designated EHV charges'!$A:$O,11,FALSE)),"")</f>
        <v>1.6</v>
      </c>
      <c r="H7" s="194">
        <f>IFERROR(IF(VLOOKUP($A7,'Annex 2 Designated EHV charges'!$A:$O,12,FALSE)=0,"",VLOOKUP($A7,'Annex 2 Designated EHV charges'!$A:$O,12,FALSE)),"")</f>
        <v>1.6</v>
      </c>
    </row>
    <row r="8" spans="1:14" x14ac:dyDescent="0.2">
      <c r="A8" s="94" t="str" cm="1">
        <f t="array" ref="A8">IFERROR(INDEX('Annex 2 Designated EHV charges'!$A$10:$A$401, MATCH(0, IF(ISBLANK('Annex 2 Designated EHV charges'!$A$10:$A$401),1, COUNTIF(A$4:$A7, 'Annex 2 Designated EHV charges'!$A$10:$A$401)), 0)),"")</f>
        <v>ARKENF</v>
      </c>
      <c r="B8" s="94">
        <f>IF($A8="","",VLOOKUP($A8,'Annex 2 Designated EHV charges'!$A:$O,2,0))</f>
        <v>328</v>
      </c>
      <c r="C8" s="95">
        <f>IF($A8="","",VLOOKUP($A8,'Annex 2 Designated EHV charges'!$A:$O,3,0))</f>
        <v>1050001901140</v>
      </c>
      <c r="D8" s="94" t="str">
        <f>IF($A8="","",VLOOKUP($A8,'Annex 2 Designated EHV charges'!$A:$O,7,0))</f>
        <v>ARKENF</v>
      </c>
      <c r="E8" s="97">
        <f>IFERROR(IF(VLOOKUP($A8,'Annex 2 Designated EHV charges'!$A:$O,9,FALSE)=0,"",VLOOKUP($A8,'Annex 2 Designated EHV charges'!$A:$O,9,FALSE)),"")</f>
        <v>1.6E-2</v>
      </c>
      <c r="F8" s="194">
        <f>IFERROR(IF(VLOOKUP($A8,'Annex 2 Designated EHV charges'!$A:$O,10,FALSE)=0,"",VLOOKUP($A8,'Annex 2 Designated EHV charges'!$A:$O,10,FALSE)),"")</f>
        <v>75313.33</v>
      </c>
      <c r="G8" s="194">
        <f>IFERROR(IF(VLOOKUP($A8,'Annex 2 Designated EHV charges'!$A:$O,11,FALSE)=0,"",VLOOKUP($A8,'Annex 2 Designated EHV charges'!$A:$O,11,FALSE)),"")</f>
        <v>1.63</v>
      </c>
      <c r="H8" s="194">
        <f>IFERROR(IF(VLOOKUP($A8,'Annex 2 Designated EHV charges'!$A:$O,12,FALSE)=0,"",VLOOKUP($A8,'Annex 2 Designated EHV charges'!$A:$O,12,FALSE)),"")</f>
        <v>1.63</v>
      </c>
    </row>
    <row r="9" spans="1:14" ht="25.5" x14ac:dyDescent="0.2">
      <c r="A9" s="94" t="str" cm="1">
        <f t="array" ref="A9">IFERROR(INDEX('Annex 2 Designated EHV charges'!$A$10:$A$401, MATCH(0, IF(ISBLANK('Annex 2 Designated EHV charges'!$A$10:$A$401),1, COUNTIF(A$4:$A8, 'Annex 2 Designated EHV charges'!$A$10:$A$401)), 0)),"")</f>
        <v>ARLAFD</v>
      </c>
      <c r="B9" s="94">
        <f>IF($A9="","",VLOOKUP($A9,'Annex 2 Designated EHV charges'!$A:$O,2,0))</f>
        <v>587</v>
      </c>
      <c r="C9" s="95" t="str">
        <f>IF($A9="","",VLOOKUP($A9,'Annex 2 Designated EHV charges'!$A:$O,3,0))</f>
        <v>1030081553176;1030081553404</v>
      </c>
      <c r="D9" s="94" t="str">
        <f>IF($A9="","",VLOOKUP($A9,'Annex 2 Designated EHV charges'!$A:$O,7,0))</f>
        <v>ARLAFD</v>
      </c>
      <c r="E9" s="97">
        <f>IFERROR(IF(VLOOKUP($A9,'Annex 2 Designated EHV charges'!$A:$O,9,FALSE)=0,"",VLOOKUP($A9,'Annex 2 Designated EHV charges'!$A:$O,9,FALSE)),"")</f>
        <v>2.9860000000000002</v>
      </c>
      <c r="F9" s="194">
        <f>IFERROR(IF(VLOOKUP($A9,'Annex 2 Designated EHV charges'!$A:$O,10,FALSE)=0,"",VLOOKUP($A9,'Annex 2 Designated EHV charges'!$A:$O,10,FALSE)),"")</f>
        <v>52121.760000000002</v>
      </c>
      <c r="G9" s="194">
        <f>IFERROR(IF(VLOOKUP($A9,'Annex 2 Designated EHV charges'!$A:$O,11,FALSE)=0,"",VLOOKUP($A9,'Annex 2 Designated EHV charges'!$A:$O,11,FALSE)),"")</f>
        <v>1.24</v>
      </c>
      <c r="H9" s="194">
        <f>IFERROR(IF(VLOOKUP($A9,'Annex 2 Designated EHV charges'!$A:$O,12,FALSE)=0,"",VLOOKUP($A9,'Annex 2 Designated EHV charges'!$A:$O,12,FALSE)),"")</f>
        <v>1.24</v>
      </c>
    </row>
    <row r="10" spans="1:14" ht="25.5" x14ac:dyDescent="0.2">
      <c r="A10" s="94" t="str" cm="1">
        <f t="array" ref="A10">IFERROR(INDEX('Annex 2 Designated EHV charges'!$A$10:$A$401, MATCH(0, IF(ISBLANK('Annex 2 Designated EHV charges'!$A$10:$A$401),1, COUNTIF(A$4:$A9, 'Annex 2 Designated EHV charges'!$A$10:$A$401)), 0)),"")</f>
        <v>AW_GRA</v>
      </c>
      <c r="B10" s="94">
        <f>IF($A10="","",VLOOKUP($A10,'Annex 2 Designated EHV charges'!$A:$O,2,0))</f>
        <v>588</v>
      </c>
      <c r="C10" s="95" t="str">
        <f>IF($A10="","",VLOOKUP($A10,'Annex 2 Designated EHV charges'!$A:$O,3,0))</f>
        <v>1014571445536;1023477037942</v>
      </c>
      <c r="D10" s="94" t="str">
        <f>IF($A10="","",VLOOKUP($A10,'Annex 2 Designated EHV charges'!$A:$O,7,0))</f>
        <v>AW_GRA</v>
      </c>
      <c r="E10" s="97">
        <f>IFERROR(IF(VLOOKUP($A10,'Annex 2 Designated EHV charges'!$A:$O,9,FALSE)=0,"",VLOOKUP($A10,'Annex 2 Designated EHV charges'!$A:$O,9,FALSE)),"")</f>
        <v>0.97699999999999998</v>
      </c>
      <c r="F10" s="194">
        <f>IFERROR(IF(VLOOKUP($A10,'Annex 2 Designated EHV charges'!$A:$O,10,FALSE)=0,"",VLOOKUP($A10,'Annex 2 Designated EHV charges'!$A:$O,10,FALSE)),"")</f>
        <v>15123.57</v>
      </c>
      <c r="G10" s="194">
        <f>IFERROR(IF(VLOOKUP($A10,'Annex 2 Designated EHV charges'!$A:$O,11,FALSE)=0,"",VLOOKUP($A10,'Annex 2 Designated EHV charges'!$A:$O,11,FALSE)),"")</f>
        <v>5.75</v>
      </c>
      <c r="H10" s="194">
        <f>IFERROR(IF(VLOOKUP($A10,'Annex 2 Designated EHV charges'!$A:$O,12,FALSE)=0,"",VLOOKUP($A10,'Annex 2 Designated EHV charges'!$A:$O,12,FALSE)),"")</f>
        <v>5.75</v>
      </c>
    </row>
    <row r="11" spans="1:14" ht="25.5" x14ac:dyDescent="0.2">
      <c r="A11" s="94" t="str" cm="1">
        <f t="array" ref="A11">IFERROR(INDEX('Annex 2 Designated EHV charges'!$A$10:$A$401, MATCH(0, IF(ISBLANK('Annex 2 Designated EHV charges'!$A$10:$A$401),1, COUNTIF(A$4:$A10, 'Annex 2 Designated EHV charges'!$A$10:$A$401)), 0)),"")</f>
        <v>AWOUSE</v>
      </c>
      <c r="B11" s="94">
        <f>IF($A11="","",VLOOKUP($A11,'Annex 2 Designated EHV charges'!$A:$O,2,0))</f>
        <v>589</v>
      </c>
      <c r="C11" s="95" t="str">
        <f>IF($A11="","",VLOOKUP($A11,'Annex 2 Designated EHV charges'!$A:$O,3,0))</f>
        <v>1014571965793;1023475403798</v>
      </c>
      <c r="D11" s="94" t="str">
        <f>IF($A11="","",VLOOKUP($A11,'Annex 2 Designated EHV charges'!$A:$O,7,0))</f>
        <v>AWOUSE</v>
      </c>
      <c r="E11" s="97">
        <f>IFERROR(IF(VLOOKUP($A11,'Annex 2 Designated EHV charges'!$A:$O,9,FALSE)=0,"",VLOOKUP($A11,'Annex 2 Designated EHV charges'!$A:$O,9,FALSE)),"")</f>
        <v>0.621</v>
      </c>
      <c r="F11" s="194">
        <f>IFERROR(IF(VLOOKUP($A11,'Annex 2 Designated EHV charges'!$A:$O,10,FALSE)=0,"",VLOOKUP($A11,'Annex 2 Designated EHV charges'!$A:$O,10,FALSE)),"")</f>
        <v>15444.41</v>
      </c>
      <c r="G11" s="194">
        <f>IFERROR(IF(VLOOKUP($A11,'Annex 2 Designated EHV charges'!$A:$O,11,FALSE)=0,"",VLOOKUP($A11,'Annex 2 Designated EHV charges'!$A:$O,11,FALSE)),"")</f>
        <v>4.66</v>
      </c>
      <c r="H11" s="194">
        <f>IFERROR(IF(VLOOKUP($A11,'Annex 2 Designated EHV charges'!$A:$O,12,FALSE)=0,"",VLOOKUP($A11,'Annex 2 Designated EHV charges'!$A:$O,12,FALSE)),"")</f>
        <v>4.66</v>
      </c>
    </row>
    <row r="12" spans="1:14" x14ac:dyDescent="0.2">
      <c r="A12" s="94" t="str" cm="1">
        <f t="array" ref="A12">IFERROR(INDEX('Annex 2 Designated EHV charges'!$A$10:$A$401, MATCH(0, IF(ISBLANK('Annex 2 Designated EHV charges'!$A$10:$A$401),1, COUNTIF(A$4:$A11, 'Annex 2 Designated EHV charges'!$A$10:$A$401)), 0)),"")</f>
        <v>BERMAT</v>
      </c>
      <c r="B12" s="94">
        <f>IF($A12="","",VLOOKUP($A12,'Annex 2 Designated EHV charges'!$A:$O,2,0))</f>
        <v>590</v>
      </c>
      <c r="C12" s="95">
        <f>IF($A12="","",VLOOKUP($A12,'Annex 2 Designated EHV charges'!$A:$O,3,0))</f>
        <v>1014571751895</v>
      </c>
      <c r="D12" s="94" t="str">
        <f>IF($A12="","",VLOOKUP($A12,'Annex 2 Designated EHV charges'!$A:$O,7,0))</f>
        <v>BERMAT</v>
      </c>
      <c r="E12" s="97" t="str">
        <f>IFERROR(IF(VLOOKUP($A12,'Annex 2 Designated EHV charges'!$A:$O,9,FALSE)=0,"",VLOOKUP($A12,'Annex 2 Designated EHV charges'!$A:$O,9,FALSE)),"")</f>
        <v/>
      </c>
      <c r="F12" s="194">
        <f>IFERROR(IF(VLOOKUP($A12,'Annex 2 Designated EHV charges'!$A:$O,10,FALSE)=0,"",VLOOKUP($A12,'Annex 2 Designated EHV charges'!$A:$O,10,FALSE)),"")</f>
        <v>15225.87</v>
      </c>
      <c r="G12" s="194">
        <f>IFERROR(IF(VLOOKUP($A12,'Annex 2 Designated EHV charges'!$A:$O,11,FALSE)=0,"",VLOOKUP($A12,'Annex 2 Designated EHV charges'!$A:$O,11,FALSE)),"")</f>
        <v>1.71</v>
      </c>
      <c r="H12" s="194">
        <f>IFERROR(IF(VLOOKUP($A12,'Annex 2 Designated EHV charges'!$A:$O,12,FALSE)=0,"",VLOOKUP($A12,'Annex 2 Designated EHV charges'!$A:$O,12,FALSE)),"")</f>
        <v>1.71</v>
      </c>
    </row>
    <row r="13" spans="1:14" x14ac:dyDescent="0.2">
      <c r="A13" s="94" t="str" cm="1">
        <f t="array" ref="A13">IFERROR(INDEX('Annex 2 Designated EHV charges'!$A$10:$A$401, MATCH(0, IF(ISBLANK('Annex 2 Designated EHV charges'!$A$10:$A$401),1, COUNTIF(A$4:$A12, 'Annex 2 Designated EHV charges'!$A$10:$A$401)), 0)),"")</f>
        <v>BOCTHA</v>
      </c>
      <c r="B13" s="94">
        <f>IF($A13="","",VLOOKUP($A13,'Annex 2 Designated EHV charges'!$A:$O,2,0))</f>
        <v>803</v>
      </c>
      <c r="C13" s="95">
        <f>IF($A13="","",VLOOKUP($A13,'Annex 2 Designated EHV charges'!$A:$O,3,0))</f>
        <v>1014572608412</v>
      </c>
      <c r="D13" s="94" t="str">
        <f>IF($A13="","",VLOOKUP($A13,'Annex 2 Designated EHV charges'!$A:$O,7,0))</f>
        <v>BOCTHA</v>
      </c>
      <c r="E13" s="97">
        <f>IFERROR(IF(VLOOKUP($A13,'Annex 2 Designated EHV charges'!$A:$O,9,FALSE)=0,"",VLOOKUP($A13,'Annex 2 Designated EHV charges'!$A:$O,9,FALSE)),"")</f>
        <v>2.3039999999999998</v>
      </c>
      <c r="F13" s="194">
        <f>IFERROR(IF(VLOOKUP($A13,'Annex 2 Designated EHV charges'!$A:$O,10,FALSE)=0,"",VLOOKUP($A13,'Annex 2 Designated EHV charges'!$A:$O,10,FALSE)),"")</f>
        <v>53568.76</v>
      </c>
      <c r="G13" s="194">
        <f>IFERROR(IF(VLOOKUP($A13,'Annex 2 Designated EHV charges'!$A:$O,11,FALSE)=0,"",VLOOKUP($A13,'Annex 2 Designated EHV charges'!$A:$O,11,FALSE)),"")</f>
        <v>7.37</v>
      </c>
      <c r="H13" s="194">
        <f>IFERROR(IF(VLOOKUP($A13,'Annex 2 Designated EHV charges'!$A:$O,12,FALSE)=0,"",VLOOKUP($A13,'Annex 2 Designated EHV charges'!$A:$O,12,FALSE)),"")</f>
        <v>7.37</v>
      </c>
    </row>
    <row r="14" spans="1:14" x14ac:dyDescent="0.2">
      <c r="A14" s="94" t="str" cm="1">
        <f t="array" ref="A14">IFERROR(INDEX('Annex 2 Designated EHV charges'!$A$10:$A$401, MATCH(0, IF(ISBLANK('Annex 2 Designated EHV charges'!$A$10:$A$401),1, COUNTIF(A$4:$A13, 'Annex 2 Designated EHV charges'!$A$10:$A$401)), 0)),"")</f>
        <v>BPA_CO</v>
      </c>
      <c r="B14" s="94">
        <f>IF($A14="","",VLOOKUP($A14,'Annex 2 Designated EHV charges'!$A:$O,2,0))</f>
        <v>804</v>
      </c>
      <c r="C14" s="95">
        <f>IF($A14="","",VLOOKUP($A14,'Annex 2 Designated EHV charges'!$A:$O,3,0))</f>
        <v>1014572578282</v>
      </c>
      <c r="D14" s="94" t="str">
        <f>IF($A14="","",VLOOKUP($A14,'Annex 2 Designated EHV charges'!$A:$O,7,0))</f>
        <v>BPA_CO</v>
      </c>
      <c r="E14" s="97">
        <f>IFERROR(IF(VLOOKUP($A14,'Annex 2 Designated EHV charges'!$A:$O,9,FALSE)=0,"",VLOOKUP($A14,'Annex 2 Designated EHV charges'!$A:$O,9,FALSE)),"")</f>
        <v>0.30399999999999999</v>
      </c>
      <c r="F14" s="194">
        <f>IFERROR(IF(VLOOKUP($A14,'Annex 2 Designated EHV charges'!$A:$O,10,FALSE)=0,"",VLOOKUP($A14,'Annex 2 Designated EHV charges'!$A:$O,10,FALSE)),"")</f>
        <v>5724.62</v>
      </c>
      <c r="G14" s="194">
        <f>IFERROR(IF(VLOOKUP($A14,'Annex 2 Designated EHV charges'!$A:$O,11,FALSE)=0,"",VLOOKUP($A14,'Annex 2 Designated EHV charges'!$A:$O,11,FALSE)),"")</f>
        <v>3.37</v>
      </c>
      <c r="H14" s="194">
        <f>IFERROR(IF(VLOOKUP($A14,'Annex 2 Designated EHV charges'!$A:$O,12,FALSE)=0,"",VLOOKUP($A14,'Annex 2 Designated EHV charges'!$A:$O,12,FALSE)),"")</f>
        <v>3.37</v>
      </c>
    </row>
    <row r="15" spans="1:14" ht="25.5" x14ac:dyDescent="0.2">
      <c r="A15" s="94" t="str" cm="1">
        <f t="array" ref="A15">IFERROR(INDEX('Annex 2 Designated EHV charges'!$A$10:$A$401, MATCH(0, IF(ISBLANK('Annex 2 Designated EHV charges'!$A$10:$A$401),1, COUNTIF(A$4:$A14, 'Annex 2 Designated EHV charges'!$A$10:$A$401)), 0)),"")</f>
        <v>BPTLTD</v>
      </c>
      <c r="B15" s="94">
        <f>IF($A15="","",VLOOKUP($A15,'Annex 2 Designated EHV charges'!$A:$O,2,0))</f>
        <v>591</v>
      </c>
      <c r="C15" s="95" t="str">
        <f>IF($A15="","",VLOOKUP($A15,'Annex 2 Designated EHV charges'!$A:$O,3,0))</f>
        <v>1014572502380;1023475256360</v>
      </c>
      <c r="D15" s="94" t="str">
        <f>IF($A15="","",VLOOKUP($A15,'Annex 2 Designated EHV charges'!$A:$O,7,0))</f>
        <v>BPTLTD</v>
      </c>
      <c r="E15" s="97">
        <f>IFERROR(IF(VLOOKUP($A15,'Annex 2 Designated EHV charges'!$A:$O,9,FALSE)=0,"",VLOOKUP($A15,'Annex 2 Designated EHV charges'!$A:$O,9,FALSE)),"")</f>
        <v>2.4039999999999999</v>
      </c>
      <c r="F15" s="194">
        <f>IFERROR(IF(VLOOKUP($A15,'Annex 2 Designated EHV charges'!$A:$O,10,FALSE)=0,"",VLOOKUP($A15,'Annex 2 Designated EHV charges'!$A:$O,10,FALSE)),"")</f>
        <v>15444.41</v>
      </c>
      <c r="G15" s="194">
        <f>IFERROR(IF(VLOOKUP($A15,'Annex 2 Designated EHV charges'!$A:$O,11,FALSE)=0,"",VLOOKUP($A15,'Annex 2 Designated EHV charges'!$A:$O,11,FALSE)),"")</f>
        <v>1.96</v>
      </c>
      <c r="H15" s="194">
        <f>IFERROR(IF(VLOOKUP($A15,'Annex 2 Designated EHV charges'!$A:$O,12,FALSE)=0,"",VLOOKUP($A15,'Annex 2 Designated EHV charges'!$A:$O,12,FALSE)),"")</f>
        <v>1.96</v>
      </c>
    </row>
    <row r="16" spans="1:14" x14ac:dyDescent="0.2">
      <c r="A16" s="94" t="str" cm="1">
        <f t="array" ref="A16">IFERROR(INDEX('Annex 2 Designated EHV charges'!$A$10:$A$401, MATCH(0, IF(ISBLANK('Annex 2 Designated EHV charges'!$A$10:$A$401),1, COUNTIF(A$4:$A15, 'Annex 2 Designated EHV charges'!$A$10:$A$401)), 0)),"")</f>
        <v>BREFC2</v>
      </c>
      <c r="B16" s="94">
        <f>IF($A16="","",VLOOKUP($A16,'Annex 2 Designated EHV charges'!$A:$O,2,0))</f>
        <v>333</v>
      </c>
      <c r="C16" s="95">
        <f>IF($A16="","",VLOOKUP($A16,'Annex 2 Designated EHV charges'!$A:$O,3,0))</f>
        <v>1050002055558</v>
      </c>
      <c r="D16" s="94" t="str">
        <f>IF($A16="","",VLOOKUP($A16,'Annex 2 Designated EHV charges'!$A:$O,7,0))</f>
        <v>BREFC2</v>
      </c>
      <c r="E16" s="97" t="str">
        <f>IFERROR(IF(VLOOKUP($A16,'Annex 2 Designated EHV charges'!$A:$O,9,FALSE)=0,"",VLOOKUP($A16,'Annex 2 Designated EHV charges'!$A:$O,9,FALSE)),"")</f>
        <v/>
      </c>
      <c r="F16" s="194">
        <f>IFERROR(IF(VLOOKUP($A16,'Annex 2 Designated EHV charges'!$A:$O,10,FALSE)=0,"",VLOOKUP($A16,'Annex 2 Designated EHV charges'!$A:$O,10,FALSE)),"")</f>
        <v>4928.6899999999996</v>
      </c>
      <c r="G16" s="194">
        <f>IFERROR(IF(VLOOKUP($A16,'Annex 2 Designated EHV charges'!$A:$O,11,FALSE)=0,"",VLOOKUP($A16,'Annex 2 Designated EHV charges'!$A:$O,11,FALSE)),"")</f>
        <v>4.55</v>
      </c>
      <c r="H16" s="194">
        <f>IFERROR(IF(VLOOKUP($A16,'Annex 2 Designated EHV charges'!$A:$O,12,FALSE)=0,"",VLOOKUP($A16,'Annex 2 Designated EHV charges'!$A:$O,12,FALSE)),"")</f>
        <v>4.55</v>
      </c>
    </row>
    <row r="17" spans="1:8" ht="38.25" x14ac:dyDescent="0.2">
      <c r="A17" s="94" t="str" cm="1">
        <f t="array" ref="A17">IFERROR(INDEX('Annex 2 Designated EHV charges'!$A$10:$A$401, MATCH(0, IF(ISBLANK('Annex 2 Designated EHV charges'!$A$10:$A$401),1, COUNTIF(A$4:$A16, 'Annex 2 Designated EHV charges'!$A$10:$A$401)), 0)),"")</f>
        <v>BTLCOM</v>
      </c>
      <c r="B17" s="94">
        <f>IF($A17="","",VLOOKUP($A17,'Annex 2 Designated EHV charges'!$A:$O,2,0))</f>
        <v>592</v>
      </c>
      <c r="C17" s="95" t="str">
        <f>IF($A17="","",VLOOKUP($A17,'Annex 2 Designated EHV charges'!$A:$O,3,0))</f>
        <v>1014572546086;1023545733475;1050000169030</v>
      </c>
      <c r="D17" s="94" t="str">
        <f>IF($A17="","",VLOOKUP($A17,'Annex 2 Designated EHV charges'!$A:$O,7,0))</f>
        <v>BTLCOM</v>
      </c>
      <c r="E17" s="97">
        <f>IFERROR(IF(VLOOKUP($A17,'Annex 2 Designated EHV charges'!$A:$O,9,FALSE)=0,"",VLOOKUP($A17,'Annex 2 Designated EHV charges'!$A:$O,9,FALSE)),"")</f>
        <v>2.0449999999999999</v>
      </c>
      <c r="F17" s="194">
        <f>IFERROR(IF(VLOOKUP($A17,'Annex 2 Designated EHV charges'!$A:$O,10,FALSE)=0,"",VLOOKUP($A17,'Annex 2 Designated EHV charges'!$A:$O,10,FALSE)),"")</f>
        <v>52504.22</v>
      </c>
      <c r="G17" s="194">
        <f>IFERROR(IF(VLOOKUP($A17,'Annex 2 Designated EHV charges'!$A:$O,11,FALSE)=0,"",VLOOKUP($A17,'Annex 2 Designated EHV charges'!$A:$O,11,FALSE)),"")</f>
        <v>4.47</v>
      </c>
      <c r="H17" s="194">
        <f>IFERROR(IF(VLOOKUP($A17,'Annex 2 Designated EHV charges'!$A:$O,12,FALSE)=0,"",VLOOKUP($A17,'Annex 2 Designated EHV charges'!$A:$O,12,FALSE)),"")</f>
        <v>4.47</v>
      </c>
    </row>
    <row r="18" spans="1:8" x14ac:dyDescent="0.2">
      <c r="A18" s="94" t="str" cm="1">
        <f t="array" ref="A18">IFERROR(INDEX('Annex 2 Designated EHV charges'!$A$10:$A$401, MATCH(0, IF(ISBLANK('Annex 2 Designated EHV charges'!$A$10:$A$401),1, COUNTIF(A$4:$A17, 'Annex 2 Designated EHV charges'!$A$10:$A$401)), 0)),"")</f>
        <v>BUNCDC</v>
      </c>
      <c r="B18" s="94">
        <f>IF($A18="","",VLOOKUP($A18,'Annex 2 Designated EHV charges'!$A:$O,2,0))</f>
        <v>0</v>
      </c>
      <c r="C18" s="95" t="str">
        <f>IF($A18="","",VLOOKUP($A18,'Annex 2 Designated EHV charges'!$A:$O,3,0))</f>
        <v>ENET</v>
      </c>
      <c r="D18" s="94" t="str">
        <f>IF($A18="","",VLOOKUP($A18,'Annex 2 Designated EHV charges'!$A:$O,7,0))</f>
        <v>BUNCDC</v>
      </c>
      <c r="E18" s="97" t="str">
        <f>IFERROR(IF(VLOOKUP($A18,'Annex 2 Designated EHV charges'!$A:$O,9,FALSE)=0,"",VLOOKUP($A18,'Annex 2 Designated EHV charges'!$A:$O,9,FALSE)),"")</f>
        <v/>
      </c>
      <c r="F18" s="194">
        <f>IFERROR(IF(VLOOKUP($A18,'Annex 2 Designated EHV charges'!$A:$O,10,FALSE)=0,"",VLOOKUP($A18,'Annex 2 Designated EHV charges'!$A:$O,10,FALSE)),"")</f>
        <v>63429.120000000003</v>
      </c>
      <c r="G18" s="194">
        <f>IFERROR(IF(VLOOKUP($A18,'Annex 2 Designated EHV charges'!$A:$O,11,FALSE)=0,"",VLOOKUP($A18,'Annex 2 Designated EHV charges'!$A:$O,11,FALSE)),"")</f>
        <v>2.57</v>
      </c>
      <c r="H18" s="194">
        <f>IFERROR(IF(VLOOKUP($A18,'Annex 2 Designated EHV charges'!$A:$O,12,FALSE)=0,"",VLOOKUP($A18,'Annex 2 Designated EHV charges'!$A:$O,12,FALSE)),"")</f>
        <v>2.57</v>
      </c>
    </row>
    <row r="19" spans="1:8" ht="25.5" x14ac:dyDescent="0.2">
      <c r="A19" s="94" t="str" cm="1">
        <f t="array" ref="A19">IFERROR(INDEX('Annex 2 Designated EHV charges'!$A$10:$A$401, MATCH(0, IF(ISBLANK('Annex 2 Designated EHV charges'!$A$10:$A$401),1, COUNTIF(A$4:$A18, 'Annex 2 Designated EHV charges'!$A$10:$A$401)), 0)),"")</f>
        <v>CEMXUK</v>
      </c>
      <c r="B19" s="94">
        <f>IF($A19="","",VLOOKUP($A19,'Annex 2 Designated EHV charges'!$A:$O,2,0))</f>
        <v>593</v>
      </c>
      <c r="C19" s="95" t="str">
        <f>IF($A19="","",VLOOKUP($A19,'Annex 2 Designated EHV charges'!$A:$O,3,0))</f>
        <v>1014571132500;1023474247588</v>
      </c>
      <c r="D19" s="94" t="str">
        <f>IF($A19="","",VLOOKUP($A19,'Annex 2 Designated EHV charges'!$A:$O,7,0))</f>
        <v>CEMXUK</v>
      </c>
      <c r="E19" s="97">
        <f>IFERROR(IF(VLOOKUP($A19,'Annex 2 Designated EHV charges'!$A:$O,9,FALSE)=0,"",VLOOKUP($A19,'Annex 2 Designated EHV charges'!$A:$O,9,FALSE)),"")</f>
        <v>7.4889999999999999</v>
      </c>
      <c r="F19" s="194">
        <f>IFERROR(IF(VLOOKUP($A19,'Annex 2 Designated EHV charges'!$A:$O,10,FALSE)=0,"",VLOOKUP($A19,'Annex 2 Designated EHV charges'!$A:$O,10,FALSE)),"")</f>
        <v>5053.47</v>
      </c>
      <c r="G19" s="194">
        <f>IFERROR(IF(VLOOKUP($A19,'Annex 2 Designated EHV charges'!$A:$O,11,FALSE)=0,"",VLOOKUP($A19,'Annex 2 Designated EHV charges'!$A:$O,11,FALSE)),"")</f>
        <v>2.37</v>
      </c>
      <c r="H19" s="194">
        <f>IFERROR(IF(VLOOKUP($A19,'Annex 2 Designated EHV charges'!$A:$O,12,FALSE)=0,"",VLOOKUP($A19,'Annex 2 Designated EHV charges'!$A:$O,12,FALSE)),"")</f>
        <v>2.37</v>
      </c>
    </row>
    <row r="20" spans="1:8" ht="25.5" x14ac:dyDescent="0.2">
      <c r="A20" s="94" t="str" cm="1">
        <f t="array" ref="A20">IFERROR(INDEX('Annex 2 Designated EHV charges'!$A$10:$A$401, MATCH(0, IF(ISBLANK('Annex 2 Designated EHV charges'!$A$10:$A$401),1, COUNTIF(A$4:$A19, 'Annex 2 Designated EHV charges'!$A$10:$A$401)), 0)),"")</f>
        <v>CMRODC</v>
      </c>
      <c r="B20" s="94">
        <f>IF($A20="","",VLOOKUP($A20,'Annex 2 Designated EHV charges'!$A:$O,2,0))</f>
        <v>594</v>
      </c>
      <c r="C20" s="95" t="str">
        <f>IF($A20="","",VLOOKUP($A20,'Annex 2 Designated EHV charges'!$A:$O,3,0))</f>
        <v>1050001068050;1050001068069</v>
      </c>
      <c r="D20" s="94" t="str">
        <f>IF($A20="","",VLOOKUP($A20,'Annex 2 Designated EHV charges'!$A:$O,7,0))</f>
        <v>CMRODC</v>
      </c>
      <c r="E20" s="97">
        <f>IFERROR(IF(VLOOKUP($A20,'Annex 2 Designated EHV charges'!$A:$O,9,FALSE)=0,"",VLOOKUP($A20,'Annex 2 Designated EHV charges'!$A:$O,9,FALSE)),"")</f>
        <v>2.5019999999999998</v>
      </c>
      <c r="F20" s="194">
        <f>IFERROR(IF(VLOOKUP($A20,'Annex 2 Designated EHV charges'!$A:$O,10,FALSE)=0,"",VLOOKUP($A20,'Annex 2 Designated EHV charges'!$A:$O,10,FALSE)),"")</f>
        <v>15502.19</v>
      </c>
      <c r="G20" s="194">
        <f>IFERROR(IF(VLOOKUP($A20,'Annex 2 Designated EHV charges'!$A:$O,11,FALSE)=0,"",VLOOKUP($A20,'Annex 2 Designated EHV charges'!$A:$O,11,FALSE)),"")</f>
        <v>1.48</v>
      </c>
      <c r="H20" s="194">
        <f>IFERROR(IF(VLOOKUP($A20,'Annex 2 Designated EHV charges'!$A:$O,12,FALSE)=0,"",VLOOKUP($A20,'Annex 2 Designated EHV charges'!$A:$O,12,FALSE)),"")</f>
        <v>1.48</v>
      </c>
    </row>
    <row r="21" spans="1:8" x14ac:dyDescent="0.2">
      <c r="A21" s="94" t="str" cm="1">
        <f t="array" ref="A21">IFERROR(INDEX('Annex 2 Designated EHV charges'!$A$10:$A$401, MATCH(0, IF(ISBLANK('Annex 2 Designated EHV charges'!$A$10:$A$401),1, COUNTIF(A$4:$A20, 'Annex 2 Designated EHV charges'!$A$10:$A$401)), 0)),"")</f>
        <v>CROWNP</v>
      </c>
      <c r="B21" s="94">
        <f>IF($A21="","",VLOOKUP($A21,'Annex 2 Designated EHV charges'!$A:$O,2,0))</f>
        <v>335</v>
      </c>
      <c r="C21" s="95">
        <f>IF($A21="","",VLOOKUP($A21,'Annex 2 Designated EHV charges'!$A:$O,3,0))</f>
        <v>1050001472920</v>
      </c>
      <c r="D21" s="94" t="str">
        <f>IF($A21="","",VLOOKUP($A21,'Annex 2 Designated EHV charges'!$A:$O,7,0))</f>
        <v>CROWNP</v>
      </c>
      <c r="E21" s="97" t="str">
        <f>IFERROR(IF(VLOOKUP($A21,'Annex 2 Designated EHV charges'!$A:$O,9,FALSE)=0,"",VLOOKUP($A21,'Annex 2 Designated EHV charges'!$A:$O,9,FALSE)),"")</f>
        <v/>
      </c>
      <c r="F21" s="194">
        <f>IFERROR(IF(VLOOKUP($A21,'Annex 2 Designated EHV charges'!$A:$O,10,FALSE)=0,"",VLOOKUP($A21,'Annex 2 Designated EHV charges'!$A:$O,10,FALSE)),"")</f>
        <v>16035.59</v>
      </c>
      <c r="G21" s="194">
        <f>IFERROR(IF(VLOOKUP($A21,'Annex 2 Designated EHV charges'!$A:$O,11,FALSE)=0,"",VLOOKUP($A21,'Annex 2 Designated EHV charges'!$A:$O,11,FALSE)),"")</f>
        <v>1.65</v>
      </c>
      <c r="H21" s="194">
        <f>IFERROR(IF(VLOOKUP($A21,'Annex 2 Designated EHV charges'!$A:$O,12,FALSE)=0,"",VLOOKUP($A21,'Annex 2 Designated EHV charges'!$A:$O,12,FALSE)),"")</f>
        <v>1.65</v>
      </c>
    </row>
    <row r="22" spans="1:8" x14ac:dyDescent="0.2">
      <c r="A22" s="94" t="str" cm="1">
        <f t="array" ref="A22">IFERROR(INDEX('Annex 2 Designated EHV charges'!$A$10:$A$401, MATCH(0, IF(ISBLANK('Annex 2 Designated EHV charges'!$A$10:$A$401),1, COUNTIF(A$4:$A21, 'Annex 2 Designated EHV charges'!$A$10:$A$401)), 0)),"")</f>
        <v>DELTAP</v>
      </c>
      <c r="B22" s="94">
        <f>IF($A22="","",VLOOKUP($A22,'Annex 2 Designated EHV charges'!$A:$O,2,0))</f>
        <v>0</v>
      </c>
      <c r="C22" s="95" t="str">
        <f>IF($A22="","",VLOOKUP($A22,'Annex 2 Designated EHV charges'!$A:$O,3,0))</f>
        <v>ENET</v>
      </c>
      <c r="D22" s="94" t="str">
        <f>IF($A22="","",VLOOKUP($A22,'Annex 2 Designated EHV charges'!$A:$O,7,0))</f>
        <v>DELTAP</v>
      </c>
      <c r="E22" s="97">
        <f>IFERROR(IF(VLOOKUP($A22,'Annex 2 Designated EHV charges'!$A:$O,9,FALSE)=0,"",VLOOKUP($A22,'Annex 2 Designated EHV charges'!$A:$O,9,FALSE)),"")</f>
        <v>0.46400000000000002</v>
      </c>
      <c r="F22" s="194">
        <f>IFERROR(IF(VLOOKUP($A22,'Annex 2 Designated EHV charges'!$A:$O,10,FALSE)=0,"",VLOOKUP($A22,'Annex 2 Designated EHV charges'!$A:$O,10,FALSE)),"")</f>
        <v>47456.76</v>
      </c>
      <c r="G22" s="194">
        <f>IFERROR(IF(VLOOKUP($A22,'Annex 2 Designated EHV charges'!$A:$O,11,FALSE)=0,"",VLOOKUP($A22,'Annex 2 Designated EHV charges'!$A:$O,11,FALSE)),"")</f>
        <v>1.93</v>
      </c>
      <c r="H22" s="194">
        <f>IFERROR(IF(VLOOKUP($A22,'Annex 2 Designated EHV charges'!$A:$O,12,FALSE)=0,"",VLOOKUP($A22,'Annex 2 Designated EHV charges'!$A:$O,12,FALSE)),"")</f>
        <v>1.93</v>
      </c>
    </row>
    <row r="23" spans="1:8" ht="25.5" x14ac:dyDescent="0.2">
      <c r="A23" s="94" t="str" cm="1">
        <f t="array" ref="A23">IFERROR(INDEX('Annex 2 Designated EHV charges'!$A$10:$A$401, MATCH(0, IF(ISBLANK('Annex 2 Designated EHV charges'!$A$10:$A$401),1, COUNTIF(A$4:$A22, 'Annex 2 Designated EHV charges'!$A$10:$A$401)), 0)),"")</f>
        <v>DGRLTY</v>
      </c>
      <c r="B23" s="94">
        <f>IF($A23="","",VLOOKUP($A23,'Annex 2 Designated EHV charges'!$A:$O,2,0))</f>
        <v>595</v>
      </c>
      <c r="C23" s="95" t="str">
        <f>IF($A23="","",VLOOKUP($A23,'Annex 2 Designated EHV charges'!$A:$O,3,0))</f>
        <v>1030050289278;1030050289506</v>
      </c>
      <c r="D23" s="94" t="str">
        <f>IF($A23="","",VLOOKUP($A23,'Annex 2 Designated EHV charges'!$A:$O,7,0))</f>
        <v>DGRLTY</v>
      </c>
      <c r="E23" s="97">
        <f>IFERROR(IF(VLOOKUP($A23,'Annex 2 Designated EHV charges'!$A:$O,9,FALSE)=0,"",VLOOKUP($A23,'Annex 2 Designated EHV charges'!$A:$O,9,FALSE)),"")</f>
        <v>1.397</v>
      </c>
      <c r="F23" s="194">
        <f>IFERROR(IF(VLOOKUP($A23,'Annex 2 Designated EHV charges'!$A:$O,10,FALSE)=0,"",VLOOKUP($A23,'Annex 2 Designated EHV charges'!$A:$O,10,FALSE)),"")</f>
        <v>87908</v>
      </c>
      <c r="G23" s="194">
        <f>IFERROR(IF(VLOOKUP($A23,'Annex 2 Designated EHV charges'!$A:$O,11,FALSE)=0,"",VLOOKUP($A23,'Annex 2 Designated EHV charges'!$A:$O,11,FALSE)),"")</f>
        <v>1.31</v>
      </c>
      <c r="H23" s="194">
        <f>IFERROR(IF(VLOOKUP($A23,'Annex 2 Designated EHV charges'!$A:$O,12,FALSE)=0,"",VLOOKUP($A23,'Annex 2 Designated EHV charges'!$A:$O,12,FALSE)),"")</f>
        <v>1.31</v>
      </c>
    </row>
    <row r="24" spans="1:8" x14ac:dyDescent="0.2">
      <c r="A24" s="94" t="str" cm="1">
        <f t="array" ref="A24">IFERROR(INDEX('Annex 2 Designated EHV charges'!$A$10:$A$401, MATCH(0, IF(ISBLANK('Annex 2 Designated EHV charges'!$A$10:$A$401),1, COUNTIF(A$4:$A23, 'Annex 2 Designated EHV charges'!$A$10:$A$401)), 0)),"")</f>
        <v>DRABED</v>
      </c>
      <c r="B24" s="94">
        <f>IF($A24="","",VLOOKUP($A24,'Annex 2 Designated EHV charges'!$A:$O,2,0))</f>
        <v>809</v>
      </c>
      <c r="C24" s="95">
        <f>IF($A24="","",VLOOKUP($A24,'Annex 2 Designated EHV charges'!$A:$O,3,0))</f>
        <v>1014572509517</v>
      </c>
      <c r="D24" s="94" t="str">
        <f>IF($A24="","",VLOOKUP($A24,'Annex 2 Designated EHV charges'!$A:$O,7,0))</f>
        <v>DRABED</v>
      </c>
      <c r="E24" s="97">
        <f>IFERROR(IF(VLOOKUP($A24,'Annex 2 Designated EHV charges'!$A:$O,9,FALSE)=0,"",VLOOKUP($A24,'Annex 2 Designated EHV charges'!$A:$O,9,FALSE)),"")</f>
        <v>0.86199999999999999</v>
      </c>
      <c r="F24" s="194">
        <f>IFERROR(IF(VLOOKUP($A24,'Annex 2 Designated EHV charges'!$A:$O,10,FALSE)=0,"",VLOOKUP($A24,'Annex 2 Designated EHV charges'!$A:$O,10,FALSE)),"")</f>
        <v>30071.9</v>
      </c>
      <c r="G24" s="194">
        <f>IFERROR(IF(VLOOKUP($A24,'Annex 2 Designated EHV charges'!$A:$O,11,FALSE)=0,"",VLOOKUP($A24,'Annex 2 Designated EHV charges'!$A:$O,11,FALSE)),"")</f>
        <v>1.59</v>
      </c>
      <c r="H24" s="194">
        <f>IFERROR(IF(VLOOKUP($A24,'Annex 2 Designated EHV charges'!$A:$O,12,FALSE)=0,"",VLOOKUP($A24,'Annex 2 Designated EHV charges'!$A:$O,12,FALSE)),"")</f>
        <v>1.59</v>
      </c>
    </row>
    <row r="25" spans="1:8" ht="25.5" x14ac:dyDescent="0.2">
      <c r="A25" s="94" t="str" cm="1">
        <f t="array" ref="A25">IFERROR(INDEX('Annex 2 Designated EHV charges'!$A$10:$A$401, MATCH(0, IF(ISBLANK('Annex 2 Designated EHV charges'!$A$10:$A$401),1, COUNTIF(A$4:$A24, 'Annex 2 Designated EHV charges'!$A$10:$A$401)), 0)),"")</f>
        <v>EMR_TI</v>
      </c>
      <c r="B25" s="94">
        <f>IF($A25="","",VLOOKUP($A25,'Annex 2 Designated EHV charges'!$A:$O,2,0))</f>
        <v>813</v>
      </c>
      <c r="C25" s="95" t="str">
        <f>IF($A25="","",VLOOKUP($A25,'Annex 2 Designated EHV charges'!$A:$O,3,0))</f>
        <v>1014572805060;1023475632649</v>
      </c>
      <c r="D25" s="94" t="str">
        <f>IF($A25="","",VLOOKUP($A25,'Annex 2 Designated EHV charges'!$A:$O,7,0))</f>
        <v>EMR_TI</v>
      </c>
      <c r="E25" s="97">
        <f>IFERROR(IF(VLOOKUP($A25,'Annex 2 Designated EHV charges'!$A:$O,9,FALSE)=0,"",VLOOKUP($A25,'Annex 2 Designated EHV charges'!$A:$O,9,FALSE)),"")</f>
        <v>4.2999999999999997E-2</v>
      </c>
      <c r="F25" s="194">
        <f>IFERROR(IF(VLOOKUP($A25,'Annex 2 Designated EHV charges'!$A:$O,10,FALSE)=0,"",VLOOKUP($A25,'Annex 2 Designated EHV charges'!$A:$O,10,FALSE)),"")</f>
        <v>16303.19</v>
      </c>
      <c r="G25" s="194">
        <f>IFERROR(IF(VLOOKUP($A25,'Annex 2 Designated EHV charges'!$A:$O,11,FALSE)=0,"",VLOOKUP($A25,'Annex 2 Designated EHV charges'!$A:$O,11,FALSE)),"")</f>
        <v>1.47</v>
      </c>
      <c r="H25" s="194">
        <f>IFERROR(IF(VLOOKUP($A25,'Annex 2 Designated EHV charges'!$A:$O,12,FALSE)=0,"",VLOOKUP($A25,'Annex 2 Designated EHV charges'!$A:$O,12,FALSE)),"")</f>
        <v>1.47</v>
      </c>
    </row>
    <row r="26" spans="1:8" ht="25.5" x14ac:dyDescent="0.2">
      <c r="A26" s="94" t="str" cm="1">
        <f t="array" ref="A26">IFERROR(INDEX('Annex 2 Designated EHV charges'!$A$10:$A$401, MATCH(0, IF(ISBLANK('Annex 2 Designated EHV charges'!$A$10:$A$401),1, COUNTIF(A$4:$A25, 'Annex 2 Designated EHV charges'!$A$10:$A$401)), 0)),"")</f>
        <v>ESWMID</v>
      </c>
      <c r="B26" s="94">
        <f>IF($A26="","",VLOOKUP($A26,'Annex 2 Designated EHV charges'!$A:$O,2,0))</f>
        <v>596</v>
      </c>
      <c r="C26" s="95" t="str">
        <f>IF($A26="","",VLOOKUP($A26,'Annex 2 Designated EHV charges'!$A:$O,3,0))</f>
        <v>1014572640842;1014572641075</v>
      </c>
      <c r="D26" s="94" t="str">
        <f>IF($A26="","",VLOOKUP($A26,'Annex 2 Designated EHV charges'!$A:$O,7,0))</f>
        <v>ESWMID</v>
      </c>
      <c r="E26" s="97">
        <f>IFERROR(IF(VLOOKUP($A26,'Annex 2 Designated EHV charges'!$A:$O,9,FALSE)=0,"",VLOOKUP($A26,'Annex 2 Designated EHV charges'!$A:$O,9,FALSE)),"")</f>
        <v>4.7160000000000002</v>
      </c>
      <c r="F26" s="194">
        <f>IFERROR(IF(VLOOKUP($A26,'Annex 2 Designated EHV charges'!$A:$O,10,FALSE)=0,"",VLOOKUP($A26,'Annex 2 Designated EHV charges'!$A:$O,10,FALSE)),"")</f>
        <v>5024.33</v>
      </c>
      <c r="G26" s="194">
        <f>IFERROR(IF(VLOOKUP($A26,'Annex 2 Designated EHV charges'!$A:$O,11,FALSE)=0,"",VLOOKUP($A26,'Annex 2 Designated EHV charges'!$A:$O,11,FALSE)),"")</f>
        <v>4.09</v>
      </c>
      <c r="H26" s="194">
        <f>IFERROR(IF(VLOOKUP($A26,'Annex 2 Designated EHV charges'!$A:$O,12,FALSE)=0,"",VLOOKUP($A26,'Annex 2 Designated EHV charges'!$A:$O,12,FALSE)),"")</f>
        <v>4.09</v>
      </c>
    </row>
    <row r="27" spans="1:8" x14ac:dyDescent="0.2">
      <c r="A27" s="94" t="str" cm="1">
        <f t="array" ref="A27">IFERROR(INDEX('Annex 2 Designated EHV charges'!$A$10:$A$401, MATCH(0, IF(ISBLANK('Annex 2 Designated EHV charges'!$A$10:$A$401),1, COUNTIF(A$4:$A26, 'Annex 2 Designated EHV charges'!$A$10:$A$401)), 0)),"")</f>
        <v>ESWWIX</v>
      </c>
      <c r="B27" s="94">
        <f>IF($A27="","",VLOOKUP($A27,'Annex 2 Designated EHV charges'!$A:$O,2,0))</f>
        <v>597</v>
      </c>
      <c r="C27" s="95">
        <f>IF($A27="","",VLOOKUP($A27,'Annex 2 Designated EHV charges'!$A:$O,3,0))</f>
        <v>1014572713989</v>
      </c>
      <c r="D27" s="94" t="str">
        <f>IF($A27="","",VLOOKUP($A27,'Annex 2 Designated EHV charges'!$A:$O,7,0))</f>
        <v>ESWWIX</v>
      </c>
      <c r="E27" s="97">
        <f>IFERROR(IF(VLOOKUP($A27,'Annex 2 Designated EHV charges'!$A:$O,9,FALSE)=0,"",VLOOKUP($A27,'Annex 2 Designated EHV charges'!$A:$O,9,FALSE)),"")</f>
        <v>9.4629999999999992</v>
      </c>
      <c r="F27" s="194">
        <f>IFERROR(IF(VLOOKUP($A27,'Annex 2 Designated EHV charges'!$A:$O,10,FALSE)=0,"",VLOOKUP($A27,'Annex 2 Designated EHV charges'!$A:$O,10,FALSE)),"")</f>
        <v>11147.27</v>
      </c>
      <c r="G27" s="194">
        <f>IFERROR(IF(VLOOKUP($A27,'Annex 2 Designated EHV charges'!$A:$O,11,FALSE)=0,"",VLOOKUP($A27,'Annex 2 Designated EHV charges'!$A:$O,11,FALSE)),"")</f>
        <v>2.2999999999999998</v>
      </c>
      <c r="H27" s="194">
        <f>IFERROR(IF(VLOOKUP($A27,'Annex 2 Designated EHV charges'!$A:$O,12,FALSE)=0,"",VLOOKUP($A27,'Annex 2 Designated EHV charges'!$A:$O,12,FALSE)),"")</f>
        <v>2.2999999999999998</v>
      </c>
    </row>
    <row r="28" spans="1:8" x14ac:dyDescent="0.2">
      <c r="A28" s="94" t="str" cm="1">
        <f t="array" ref="A28">IFERROR(INDEX('Annex 2 Designated EHV charges'!$A$10:$A$401, MATCH(0, IF(ISBLANK('Annex 2 Designated EHV charges'!$A$10:$A$401),1, COUNTIF(A$4:$A27, 'Annex 2 Designated EHV charges'!$A$10:$A$401)), 0)),"")</f>
        <v>FORD_D</v>
      </c>
      <c r="B28" s="94">
        <f>IF($A28="","",VLOOKUP($A28,'Annex 2 Designated EHV charges'!$A:$O,2,0))</f>
        <v>818</v>
      </c>
      <c r="C28" s="95">
        <f>IF($A28="","",VLOOKUP($A28,'Annex 2 Designated EHV charges'!$A:$O,3,0))</f>
        <v>1015684515819</v>
      </c>
      <c r="D28" s="94" t="str">
        <f>IF($A28="","",VLOOKUP($A28,'Annex 2 Designated EHV charges'!$A:$O,7,0))</f>
        <v>FORD_D</v>
      </c>
      <c r="E28" s="97">
        <f>IFERROR(IF(VLOOKUP($A28,'Annex 2 Designated EHV charges'!$A:$O,9,FALSE)=0,"",VLOOKUP($A28,'Annex 2 Designated EHV charges'!$A:$O,9,FALSE)),"")</f>
        <v>2E-3</v>
      </c>
      <c r="F28" s="194">
        <f>IFERROR(IF(VLOOKUP($A28,'Annex 2 Designated EHV charges'!$A:$O,10,FALSE)=0,"",VLOOKUP($A28,'Annex 2 Designated EHV charges'!$A:$O,10,FALSE)),"")</f>
        <v>116033.35</v>
      </c>
      <c r="G28" s="194">
        <f>IFERROR(IF(VLOOKUP($A28,'Annex 2 Designated EHV charges'!$A:$O,11,FALSE)=0,"",VLOOKUP($A28,'Annex 2 Designated EHV charges'!$A:$O,11,FALSE)),"")</f>
        <v>2.2799999999999998</v>
      </c>
      <c r="H28" s="194">
        <f>IFERROR(IF(VLOOKUP($A28,'Annex 2 Designated EHV charges'!$A:$O,12,FALSE)=0,"",VLOOKUP($A28,'Annex 2 Designated EHV charges'!$A:$O,12,FALSE)),"")</f>
        <v>2.2799999999999998</v>
      </c>
    </row>
    <row r="29" spans="1:8" x14ac:dyDescent="0.2">
      <c r="A29" s="94" t="str" cm="1">
        <f t="array" ref="A29">IFERROR(INDEX('Annex 2 Designated EHV charges'!$A$10:$A$401, MATCH(0, IF(ISBLANK('Annex 2 Designated EHV charges'!$A$10:$A$401),1, COUNTIF(A$4:$A28, 'Annex 2 Designated EHV charges'!$A$10:$A$401)), 0)),"")</f>
        <v>FRDHVS</v>
      </c>
      <c r="B29" s="94">
        <f>IF($A29="","",VLOOKUP($A29,'Annex 2 Designated EHV charges'!$A:$O,2,0))</f>
        <v>598</v>
      </c>
      <c r="C29" s="95">
        <f>IF($A29="","",VLOOKUP($A29,'Annex 2 Designated EHV charges'!$A:$O,3,0))</f>
        <v>1014572810813</v>
      </c>
      <c r="D29" s="94" t="str">
        <f>IF($A29="","",VLOOKUP($A29,'Annex 2 Designated EHV charges'!$A:$O,7,0))</f>
        <v>FRDHVS</v>
      </c>
      <c r="E29" s="97">
        <f>IFERROR(IF(VLOOKUP($A29,'Annex 2 Designated EHV charges'!$A:$O,9,FALSE)=0,"",VLOOKUP($A29,'Annex 2 Designated EHV charges'!$A:$O,9,FALSE)),"")</f>
        <v>3.8359999999999999</v>
      </c>
      <c r="F29" s="194">
        <f>IFERROR(IF(VLOOKUP($A29,'Annex 2 Designated EHV charges'!$A:$O,10,FALSE)=0,"",VLOOKUP($A29,'Annex 2 Designated EHV charges'!$A:$O,10,FALSE)),"")</f>
        <v>52722.76</v>
      </c>
      <c r="G29" s="194">
        <f>IFERROR(IF(VLOOKUP($A29,'Annex 2 Designated EHV charges'!$A:$O,11,FALSE)=0,"",VLOOKUP($A29,'Annex 2 Designated EHV charges'!$A:$O,11,FALSE)),"")</f>
        <v>3.17</v>
      </c>
      <c r="H29" s="194">
        <f>IFERROR(IF(VLOOKUP($A29,'Annex 2 Designated EHV charges'!$A:$O,12,FALSE)=0,"",VLOOKUP($A29,'Annex 2 Designated EHV charges'!$A:$O,12,FALSE)),"")</f>
        <v>3.17</v>
      </c>
    </row>
    <row r="30" spans="1:8" ht="38.25" x14ac:dyDescent="0.2">
      <c r="A30" s="94" t="str" cm="1">
        <f t="array" ref="A30">IFERROR(INDEX('Annex 2 Designated EHV charges'!$A$10:$A$401, MATCH(0, IF(ISBLANK('Annex 2 Designated EHV charges'!$A$10:$A$401),1, COUNTIF(A$4:$A29, 'Annex 2 Designated EHV charges'!$A$10:$A$401)), 0)),"")</f>
        <v>FUJISL</v>
      </c>
      <c r="B30" s="94">
        <f>IF($A30="","",VLOOKUP($A30,'Annex 2 Designated EHV charges'!$A:$O,2,0))</f>
        <v>599</v>
      </c>
      <c r="C30" s="95" t="str">
        <f>IF($A30="","",VLOOKUP($A30,'Annex 2 Designated EHV charges'!$A:$O,3,0))</f>
        <v>1023526590750;1023526590982;1023526591211</v>
      </c>
      <c r="D30" s="94" t="str">
        <f>IF($A30="","",VLOOKUP($A30,'Annex 2 Designated EHV charges'!$A:$O,7,0))</f>
        <v>FUJISL</v>
      </c>
      <c r="E30" s="97">
        <f>IFERROR(IF(VLOOKUP($A30,'Annex 2 Designated EHV charges'!$A:$O,9,FALSE)=0,"",VLOOKUP($A30,'Annex 2 Designated EHV charges'!$A:$O,9,FALSE)),"")</f>
        <v>3.153</v>
      </c>
      <c r="F30" s="194">
        <f>IFERROR(IF(VLOOKUP($A30,'Annex 2 Designated EHV charges'!$A:$O,10,FALSE)=0,"",VLOOKUP($A30,'Annex 2 Designated EHV charges'!$A:$O,10,FALSE)),"")</f>
        <v>15662.96</v>
      </c>
      <c r="G30" s="194">
        <f>IFERROR(IF(VLOOKUP($A30,'Annex 2 Designated EHV charges'!$A:$O,11,FALSE)=0,"",VLOOKUP($A30,'Annex 2 Designated EHV charges'!$A:$O,11,FALSE)),"")</f>
        <v>2.08</v>
      </c>
      <c r="H30" s="194">
        <f>IFERROR(IF(VLOOKUP($A30,'Annex 2 Designated EHV charges'!$A:$O,12,FALSE)=0,"",VLOOKUP($A30,'Annex 2 Designated EHV charges'!$A:$O,12,FALSE)),"")</f>
        <v>2.08</v>
      </c>
    </row>
    <row r="31" spans="1:8" ht="25.5" x14ac:dyDescent="0.2">
      <c r="A31" s="94" t="str" cm="1">
        <f t="array" ref="A31">IFERROR(INDEX('Annex 2 Designated EHV charges'!$A$10:$A$401, MATCH(0, IF(ISBLANK('Annex 2 Designated EHV charges'!$A$10:$A$401),1, COUNTIF(A$4:$A30, 'Annex 2 Designated EHV charges'!$A$10:$A$401)), 0)),"")</f>
        <v>FXDFAG</v>
      </c>
      <c r="B31" s="94">
        <f>IF($A31="","",VLOOKUP($A31,'Annex 2 Designated EHV charges'!$A:$O,2,0))</f>
        <v>474</v>
      </c>
      <c r="C31" s="95" t="str">
        <f>IF($A31="","",VLOOKUP($A31,'Annex 2 Designated EHV charges'!$A:$O,3,0))</f>
        <v>1014572633250;1023479907422</v>
      </c>
      <c r="D31" s="94" t="str">
        <f>IF($A31="","",VLOOKUP($A31,'Annex 2 Designated EHV charges'!$A:$O,7,0))</f>
        <v>FXDFAG</v>
      </c>
      <c r="E31" s="97">
        <f>IFERROR(IF(VLOOKUP($A31,'Annex 2 Designated EHV charges'!$A:$O,9,FALSE)=0,"",VLOOKUP($A31,'Annex 2 Designated EHV charges'!$A:$O,9,FALSE)),"")</f>
        <v>0.76900000000000002</v>
      </c>
      <c r="F31" s="194">
        <f>IFERROR(IF(VLOOKUP($A31,'Annex 2 Designated EHV charges'!$A:$O,10,FALSE)=0,"",VLOOKUP($A31,'Annex 2 Designated EHV charges'!$A:$O,10,FALSE)),"")</f>
        <v>20692.3</v>
      </c>
      <c r="G31" s="194">
        <f>IFERROR(IF(VLOOKUP($A31,'Annex 2 Designated EHV charges'!$A:$O,11,FALSE)=0,"",VLOOKUP($A31,'Annex 2 Designated EHV charges'!$A:$O,11,FALSE)),"")</f>
        <v>3.55</v>
      </c>
      <c r="H31" s="194">
        <f>IFERROR(IF(VLOOKUP($A31,'Annex 2 Designated EHV charges'!$A:$O,12,FALSE)=0,"",VLOOKUP($A31,'Annex 2 Designated EHV charges'!$A:$O,12,FALSE)),"")</f>
        <v>3.55</v>
      </c>
    </row>
    <row r="32" spans="1:8" ht="25.5" x14ac:dyDescent="0.2">
      <c r="A32" s="94" t="str" cm="1">
        <f t="array" ref="A32">IFERROR(INDEX('Annex 2 Designated EHV charges'!$A$10:$A$401, MATCH(0, IF(ISBLANK('Annex 2 Designated EHV charges'!$A$10:$A$401),1, COUNTIF(A$4:$A31, 'Annex 2 Designated EHV charges'!$A$10:$A$401)), 0)),"")</f>
        <v>FXDOYS</v>
      </c>
      <c r="B32" s="94">
        <f>IF($A32="","",VLOOKUP($A32,'Annex 2 Designated EHV charges'!$A:$O,2,0))</f>
        <v>475</v>
      </c>
      <c r="C32" s="95" t="str">
        <f>IF($A32="","",VLOOKUP($A32,'Annex 2 Designated EHV charges'!$A:$O,3,0))</f>
        <v>1023482441566;1023492579962</v>
      </c>
      <c r="D32" s="94" t="str">
        <f>IF($A32="","",VLOOKUP($A32,'Annex 2 Designated EHV charges'!$A:$O,7,0))</f>
        <v>FXDOYS</v>
      </c>
      <c r="E32" s="97">
        <f>IFERROR(IF(VLOOKUP($A32,'Annex 2 Designated EHV charges'!$A:$O,9,FALSE)=0,"",VLOOKUP($A32,'Annex 2 Designated EHV charges'!$A:$O,9,FALSE)),"")</f>
        <v>0.75700000000000001</v>
      </c>
      <c r="F32" s="194">
        <f>IFERROR(IF(VLOOKUP($A32,'Annex 2 Designated EHV charges'!$A:$O,10,FALSE)=0,"",VLOOKUP($A32,'Annex 2 Designated EHV charges'!$A:$O,10,FALSE)),"")</f>
        <v>20692.3</v>
      </c>
      <c r="G32" s="194">
        <f>IFERROR(IF(VLOOKUP($A32,'Annex 2 Designated EHV charges'!$A:$O,11,FALSE)=0,"",VLOOKUP($A32,'Annex 2 Designated EHV charges'!$A:$O,11,FALSE)),"")</f>
        <v>3.46</v>
      </c>
      <c r="H32" s="194">
        <f>IFERROR(IF(VLOOKUP($A32,'Annex 2 Designated EHV charges'!$A:$O,12,FALSE)=0,"",VLOOKUP($A32,'Annex 2 Designated EHV charges'!$A:$O,12,FALSE)),"")</f>
        <v>3.46</v>
      </c>
    </row>
    <row r="33" spans="1:8" ht="25.5" x14ac:dyDescent="0.2">
      <c r="A33" s="94" t="str" cm="1">
        <f t="array" ref="A33">IFERROR(INDEX('Annex 2 Designated EHV charges'!$A$10:$A$401, MATCH(0, IF(ISBLANK('Annex 2 Designated EHV charges'!$A$10:$A$401),1, COUNTIF(A$4:$A32, 'Annex 2 Designated EHV charges'!$A$10:$A$401)), 0)),"")</f>
        <v>GLXOST</v>
      </c>
      <c r="B33" s="94">
        <f>IF($A33="","",VLOOKUP($A33,'Annex 2 Designated EHV charges'!$A:$O,2,0))</f>
        <v>476</v>
      </c>
      <c r="C33" s="95" t="str">
        <f>IF($A33="","",VLOOKUP($A33,'Annex 2 Designated EHV charges'!$A:$O,3,0))</f>
        <v>1014569657748;1014569657970</v>
      </c>
      <c r="D33" s="94" t="str">
        <f>IF($A33="","",VLOOKUP($A33,'Annex 2 Designated EHV charges'!$A:$O,7,0))</f>
        <v>GLXOST</v>
      </c>
      <c r="E33" s="97">
        <f>IFERROR(IF(VLOOKUP($A33,'Annex 2 Designated EHV charges'!$A:$O,9,FALSE)=0,"",VLOOKUP($A33,'Annex 2 Designated EHV charges'!$A:$O,9,FALSE)),"")</f>
        <v>1.458</v>
      </c>
      <c r="F33" s="194">
        <f>IFERROR(IF(VLOOKUP($A33,'Annex 2 Designated EHV charges'!$A:$O,10,FALSE)=0,"",VLOOKUP($A33,'Annex 2 Designated EHV charges'!$A:$O,10,FALSE)),"")</f>
        <v>52067.13</v>
      </c>
      <c r="G33" s="194">
        <f>IFERROR(IF(VLOOKUP($A33,'Annex 2 Designated EHV charges'!$A:$O,11,FALSE)=0,"",VLOOKUP($A33,'Annex 2 Designated EHV charges'!$A:$O,11,FALSE)),"")</f>
        <v>2.42</v>
      </c>
      <c r="H33" s="194">
        <f>IFERROR(IF(VLOOKUP($A33,'Annex 2 Designated EHV charges'!$A:$O,12,FALSE)=0,"",VLOOKUP($A33,'Annex 2 Designated EHV charges'!$A:$O,12,FALSE)),"")</f>
        <v>2.42</v>
      </c>
    </row>
    <row r="34" spans="1:8" ht="25.5" x14ac:dyDescent="0.2">
      <c r="A34" s="94" t="str" cm="1">
        <f t="array" ref="A34">IFERROR(INDEX('Annex 2 Designated EHV charges'!$A$10:$A$401, MATCH(0, IF(ISBLANK('Annex 2 Designated EHV charges'!$A$10:$A$401),1, COUNTIF(A$4:$A33, 'Annex 2 Designated EHV charges'!$A$10:$A$401)), 0)),"")</f>
        <v>GLXOW2</v>
      </c>
      <c r="B34" s="94">
        <f>IF($A34="","",VLOOKUP($A34,'Annex 2 Designated EHV charges'!$A:$O,2,0))</f>
        <v>477</v>
      </c>
      <c r="C34" s="95" t="str">
        <f>IF($A34="","",VLOOKUP($A34,'Annex 2 Designated EHV charges'!$A:$O,3,0))</f>
        <v>1023475634488;1023475635409</v>
      </c>
      <c r="D34" s="94" t="str">
        <f>IF($A34="","",VLOOKUP($A34,'Annex 2 Designated EHV charges'!$A:$O,7,0))</f>
        <v>GLXOW2</v>
      </c>
      <c r="E34" s="97">
        <f>IFERROR(IF(VLOOKUP($A34,'Annex 2 Designated EHV charges'!$A:$O,9,FALSE)=0,"",VLOOKUP($A34,'Annex 2 Designated EHV charges'!$A:$O,9,FALSE)),"")</f>
        <v>4.7510000000000003</v>
      </c>
      <c r="F34" s="194">
        <f>IFERROR(IF(VLOOKUP($A34,'Annex 2 Designated EHV charges'!$A:$O,10,FALSE)=0,"",VLOOKUP($A34,'Annex 2 Designated EHV charges'!$A:$O,10,FALSE)),"")</f>
        <v>15444.41</v>
      </c>
      <c r="G34" s="194">
        <f>IFERROR(IF(VLOOKUP($A34,'Annex 2 Designated EHV charges'!$A:$O,11,FALSE)=0,"",VLOOKUP($A34,'Annex 2 Designated EHV charges'!$A:$O,11,FALSE)),"")</f>
        <v>3.08</v>
      </c>
      <c r="H34" s="194">
        <f>IFERROR(IF(VLOOKUP($A34,'Annex 2 Designated EHV charges'!$A:$O,12,FALSE)=0,"",VLOOKUP($A34,'Annex 2 Designated EHV charges'!$A:$O,12,FALSE)),"")</f>
        <v>3.08</v>
      </c>
    </row>
    <row r="35" spans="1:8" ht="63.75" x14ac:dyDescent="0.2">
      <c r="A35" s="94" t="str" cm="1">
        <f t="array" ref="A35">IFERROR(INDEX('Annex 2 Designated EHV charges'!$A$10:$A$401, MATCH(0, IF(ISBLANK('Annex 2 Designated EHV charges'!$A$10:$A$401),1, COUNTIF(A$4:$A34, 'Annex 2 Designated EHV charges'!$A$10:$A$401)), 0)),"")</f>
        <v>GLXOWR</v>
      </c>
      <c r="B35" s="94">
        <f>IF($A35="","",VLOOKUP($A35,'Annex 2 Designated EHV charges'!$A:$O,2,0))</f>
        <v>478</v>
      </c>
      <c r="C35" s="95" t="str">
        <f>IF($A35="","",VLOOKUP($A35,'Annex 2 Designated EHV charges'!$A:$O,3,0))</f>
        <v>1014570677103;1023475633563;1023475634256;1023475634948;1023484819994</v>
      </c>
      <c r="D35" s="94" t="str">
        <f>IF($A35="","",VLOOKUP($A35,'Annex 2 Designated EHV charges'!$A:$O,7,0))</f>
        <v>GLXOWR</v>
      </c>
      <c r="E35" s="97">
        <f>IFERROR(IF(VLOOKUP($A35,'Annex 2 Designated EHV charges'!$A:$O,9,FALSE)=0,"",VLOOKUP($A35,'Annex 2 Designated EHV charges'!$A:$O,9,FALSE)),"")</f>
        <v>4.7510000000000003</v>
      </c>
      <c r="F35" s="194">
        <f>IFERROR(IF(VLOOKUP($A35,'Annex 2 Designated EHV charges'!$A:$O,10,FALSE)=0,"",VLOOKUP($A35,'Annex 2 Designated EHV charges'!$A:$O,10,FALSE)),"")</f>
        <v>15444.41</v>
      </c>
      <c r="G35" s="194">
        <f>IFERROR(IF(VLOOKUP($A35,'Annex 2 Designated EHV charges'!$A:$O,11,FALSE)=0,"",VLOOKUP($A35,'Annex 2 Designated EHV charges'!$A:$O,11,FALSE)),"")</f>
        <v>1.4</v>
      </c>
      <c r="H35" s="194">
        <f>IFERROR(IF(VLOOKUP($A35,'Annex 2 Designated EHV charges'!$A:$O,12,FALSE)=0,"",VLOOKUP($A35,'Annex 2 Designated EHV charges'!$A:$O,12,FALSE)),"")</f>
        <v>1.4</v>
      </c>
    </row>
    <row r="36" spans="1:8" x14ac:dyDescent="0.2">
      <c r="A36" s="94" t="str" cm="1">
        <f t="array" ref="A36">IFERROR(INDEX('Annex 2 Designated EHV charges'!$A$10:$A$401, MATCH(0, IF(ISBLANK('Annex 2 Designated EHV charges'!$A$10:$A$401),1, COUNTIF(A$4:$A35, 'Annex 2 Designated EHV charges'!$A$10:$A$401)), 0)),"")</f>
        <v>HEINZF</v>
      </c>
      <c r="B36" s="94">
        <f>IF($A36="","",VLOOKUP($A36,'Annex 2 Designated EHV charges'!$A:$O,2,0))</f>
        <v>479</v>
      </c>
      <c r="C36" s="95">
        <f>IF($A36="","",VLOOKUP($A36,'Annex 2 Designated EHV charges'!$A:$O,3,0))</f>
        <v>1014573127752</v>
      </c>
      <c r="D36" s="94" t="str">
        <f>IF($A36="","",VLOOKUP($A36,'Annex 2 Designated EHV charges'!$A:$O,7,0))</f>
        <v>HEINZF</v>
      </c>
      <c r="E36" s="97">
        <f>IFERROR(IF(VLOOKUP($A36,'Annex 2 Designated EHV charges'!$A:$O,9,FALSE)=0,"",VLOOKUP($A36,'Annex 2 Designated EHV charges'!$A:$O,9,FALSE)),"")</f>
        <v>3.5870000000000002</v>
      </c>
      <c r="F36" s="194">
        <f>IFERROR(IF(VLOOKUP($A36,'Annex 2 Designated EHV charges'!$A:$O,10,FALSE)=0,"",VLOOKUP($A36,'Annex 2 Designated EHV charges'!$A:$O,10,FALSE)),"")</f>
        <v>15225.87</v>
      </c>
      <c r="G36" s="194">
        <f>IFERROR(IF(VLOOKUP($A36,'Annex 2 Designated EHV charges'!$A:$O,11,FALSE)=0,"",VLOOKUP($A36,'Annex 2 Designated EHV charges'!$A:$O,11,FALSE)),"")</f>
        <v>4.47</v>
      </c>
      <c r="H36" s="194">
        <f>IFERROR(IF(VLOOKUP($A36,'Annex 2 Designated EHV charges'!$A:$O,12,FALSE)=0,"",VLOOKUP($A36,'Annex 2 Designated EHV charges'!$A:$O,12,FALSE)),"")</f>
        <v>4.47</v>
      </c>
    </row>
    <row r="37" spans="1:8" ht="38.25" x14ac:dyDescent="0.2">
      <c r="A37" s="94" t="str" cm="1">
        <f t="array" ref="A37">IFERROR(INDEX('Annex 2 Designated EHV charges'!$A$10:$A$401, MATCH(0, IF(ISBLANK('Annex 2 Designated EHV charges'!$A$10:$A$401),1, COUNTIF(A$4:$A36, 'Annex 2 Designated EHV charges'!$A$10:$A$401)), 0)),"")</f>
        <v>HRLWDC</v>
      </c>
      <c r="B37" s="94">
        <f>IF($A37="","",VLOOKUP($A37,'Annex 2 Designated EHV charges'!$A:$O,2,0))</f>
        <v>480</v>
      </c>
      <c r="C37" s="95" t="str">
        <f>IF($A37="","",VLOOKUP($A37,'Annex 2 Designated EHV charges'!$A:$O,3,0))</f>
        <v>1050001003372;1050001003381;1050001003390</v>
      </c>
      <c r="D37" s="94" t="str">
        <f>IF($A37="","",VLOOKUP($A37,'Annex 2 Designated EHV charges'!$A:$O,7,0))</f>
        <v>HRLWDC</v>
      </c>
      <c r="E37" s="97">
        <f>IFERROR(IF(VLOOKUP($A37,'Annex 2 Designated EHV charges'!$A:$O,9,FALSE)=0,"",VLOOKUP($A37,'Annex 2 Designated EHV charges'!$A:$O,9,FALSE)),"")</f>
        <v>0.36199999999999999</v>
      </c>
      <c r="F37" s="194">
        <f>IFERROR(IF(VLOOKUP($A37,'Annex 2 Designated EHV charges'!$A:$O,10,FALSE)=0,"",VLOOKUP($A37,'Annex 2 Designated EHV charges'!$A:$O,10,FALSE)),"")</f>
        <v>98234.54</v>
      </c>
      <c r="G37" s="194">
        <f>IFERROR(IF(VLOOKUP($A37,'Annex 2 Designated EHV charges'!$A:$O,11,FALSE)=0,"",VLOOKUP($A37,'Annex 2 Designated EHV charges'!$A:$O,11,FALSE)),"")</f>
        <v>1.54</v>
      </c>
      <c r="H37" s="194">
        <f>IFERROR(IF(VLOOKUP($A37,'Annex 2 Designated EHV charges'!$A:$O,12,FALSE)=0,"",VLOOKUP($A37,'Annex 2 Designated EHV charges'!$A:$O,12,FALSE)),"")</f>
        <v>1.54</v>
      </c>
    </row>
    <row r="38" spans="1:8" ht="51" x14ac:dyDescent="0.2">
      <c r="A38" s="94" t="str" cm="1">
        <f t="array" ref="A38">IFERROR(INDEX('Annex 2 Designated EHV charges'!$A$10:$A$401, MATCH(0, IF(ISBLANK('Annex 2 Designated EHV charges'!$A$10:$A$401),1, COUNTIF(A$4:$A37, 'Annex 2 Designated EHV charges'!$A$10:$A$401)), 0)),"")</f>
        <v>HS2_AT</v>
      </c>
      <c r="B38" s="94">
        <f>IF($A38="","",VLOOKUP($A38,'Annex 2 Designated EHV charges'!$A:$O,2,0))</f>
        <v>319</v>
      </c>
      <c r="C38" s="95" t="str">
        <f>IF($A38="","",VLOOKUP($A38,'Annex 2 Designated EHV charges'!$A:$O,3,0))</f>
        <v>1050002167017;1050002167026;1050002167035;1050002167044</v>
      </c>
      <c r="D38" s="94" t="str">
        <f>IF($A38="","",VLOOKUP($A38,'Annex 2 Designated EHV charges'!$A:$O,7,0))</f>
        <v>HS2_AT</v>
      </c>
      <c r="E38" s="97">
        <f>IFERROR(IF(VLOOKUP($A38,'Annex 2 Designated EHV charges'!$A:$O,9,FALSE)=0,"",VLOOKUP($A38,'Annex 2 Designated EHV charges'!$A:$O,9,FALSE)),"")</f>
        <v>1.206</v>
      </c>
      <c r="F38" s="194">
        <f>IFERROR(IF(VLOOKUP($A38,'Annex 2 Designated EHV charges'!$A:$O,10,FALSE)=0,"",VLOOKUP($A38,'Annex 2 Designated EHV charges'!$A:$O,10,FALSE)),"")</f>
        <v>71350.97</v>
      </c>
      <c r="G38" s="194">
        <f>IFERROR(IF(VLOOKUP($A38,'Annex 2 Designated EHV charges'!$A:$O,11,FALSE)=0,"",VLOOKUP($A38,'Annex 2 Designated EHV charges'!$A:$O,11,FALSE)),"")</f>
        <v>1.22</v>
      </c>
      <c r="H38" s="194">
        <f>IFERROR(IF(VLOOKUP($A38,'Annex 2 Designated EHV charges'!$A:$O,12,FALSE)=0,"",VLOOKUP($A38,'Annex 2 Designated EHV charges'!$A:$O,12,FALSE)),"")</f>
        <v>1.22</v>
      </c>
    </row>
    <row r="39" spans="1:8" ht="25.5" x14ac:dyDescent="0.2">
      <c r="A39" s="94" t="str" cm="1">
        <f t="array" ref="A39">IFERROR(INDEX('Annex 2 Designated EHV charges'!$A$10:$A$401, MATCH(0, IF(ISBLANK('Annex 2 Designated EHV charges'!$A$10:$A$401),1, COUNTIF(A$4:$A38, 'Annex 2 Designated EHV charges'!$A$10:$A$401)), 0)),"")</f>
        <v>HS2WRU</v>
      </c>
      <c r="B39" s="94">
        <f>IF($A39="","",VLOOKUP($A39,'Annex 2 Designated EHV charges'!$A:$O,2,0))</f>
        <v>318</v>
      </c>
      <c r="C39" s="95" t="str">
        <f>IF($A39="","",VLOOKUP($A39,'Annex 2 Designated EHV charges'!$A:$O,3,0))</f>
        <v>1050002218665;1050002218656</v>
      </c>
      <c r="D39" s="94" t="str">
        <f>IF($A39="","",VLOOKUP($A39,'Annex 2 Designated EHV charges'!$A:$O,7,0))</f>
        <v>HS2WRU</v>
      </c>
      <c r="E39" s="97">
        <f>IFERROR(IF(VLOOKUP($A39,'Annex 2 Designated EHV charges'!$A:$O,9,FALSE)=0,"",VLOOKUP($A39,'Annex 2 Designated EHV charges'!$A:$O,9,FALSE)),"")</f>
        <v>1.216</v>
      </c>
      <c r="F39" s="194">
        <f>IFERROR(IF(VLOOKUP($A39,'Annex 2 Designated EHV charges'!$A:$O,10,FALSE)=0,"",VLOOKUP($A39,'Annex 2 Designated EHV charges'!$A:$O,10,FALSE)),"")</f>
        <v>73437.539999999994</v>
      </c>
      <c r="G39" s="194">
        <f>IFERROR(IF(VLOOKUP($A39,'Annex 2 Designated EHV charges'!$A:$O,11,FALSE)=0,"",VLOOKUP($A39,'Annex 2 Designated EHV charges'!$A:$O,11,FALSE)),"")</f>
        <v>1.96</v>
      </c>
      <c r="H39" s="194">
        <f>IFERROR(IF(VLOOKUP($A39,'Annex 2 Designated EHV charges'!$A:$O,12,FALSE)=0,"",VLOOKUP($A39,'Annex 2 Designated EHV charges'!$A:$O,12,FALSE)),"")</f>
        <v>1.96</v>
      </c>
    </row>
    <row r="40" spans="1:8" x14ac:dyDescent="0.2">
      <c r="A40" s="94" t="str" cm="1">
        <f t="array" ref="A40">IFERROR(INDEX('Annex 2 Designated EHV charges'!$A$10:$A$401, MATCH(0, IF(ISBLANK('Annex 2 Designated EHV charges'!$A$10:$A$401),1, COUNTIF(A$4:$A39, 'Annex 2 Designated EHV charges'!$A$10:$A$401)), 0)),"")</f>
        <v>HTFD_L</v>
      </c>
      <c r="B40" s="94">
        <f>IF($A40="","",VLOOKUP($A40,'Annex 2 Designated EHV charges'!$A:$O,2,0))</f>
        <v>820</v>
      </c>
      <c r="C40" s="95">
        <f>IF($A40="","",VLOOKUP($A40,'Annex 2 Designated EHV charges'!$A:$O,3,0))</f>
        <v>1014569896484</v>
      </c>
      <c r="D40" s="94" t="str">
        <f>IF($A40="","",VLOOKUP($A40,'Annex 2 Designated EHV charges'!$A:$O,7,0))</f>
        <v>HTFD_L</v>
      </c>
      <c r="E40" s="97">
        <f>IFERROR(IF(VLOOKUP($A40,'Annex 2 Designated EHV charges'!$A:$O,9,FALSE)=0,"",VLOOKUP($A40,'Annex 2 Designated EHV charges'!$A:$O,9,FALSE)),"")</f>
        <v>0.28899999999999998</v>
      </c>
      <c r="F40" s="194">
        <f>IFERROR(IF(VLOOKUP($A40,'Annex 2 Designated EHV charges'!$A:$O,10,FALSE)=0,"",VLOOKUP($A40,'Annex 2 Designated EHV charges'!$A:$O,10,FALSE)),"")</f>
        <v>5222.97</v>
      </c>
      <c r="G40" s="194">
        <f>IFERROR(IF(VLOOKUP($A40,'Annex 2 Designated EHV charges'!$A:$O,11,FALSE)=0,"",VLOOKUP($A40,'Annex 2 Designated EHV charges'!$A:$O,11,FALSE)),"")</f>
        <v>1.77</v>
      </c>
      <c r="H40" s="194">
        <f>IFERROR(IF(VLOOKUP($A40,'Annex 2 Designated EHV charges'!$A:$O,12,FALSE)=0,"",VLOOKUP($A40,'Annex 2 Designated EHV charges'!$A:$O,12,FALSE)),"")</f>
        <v>1.77</v>
      </c>
    </row>
    <row r="41" spans="1:8" x14ac:dyDescent="0.2">
      <c r="A41" s="94" t="str" cm="1">
        <f t="array" ref="A41">IFERROR(INDEX('Annex 2 Designated EHV charges'!$A$10:$A$401, MATCH(0, IF(ISBLANK('Annex 2 Designated EHV charges'!$A$10:$A$401),1, COUNTIF(A$4:$A40, 'Annex 2 Designated EHV charges'!$A$10:$A$401)), 0)),"")</f>
        <v>INFSSE</v>
      </c>
      <c r="B41" s="94">
        <f>IF($A41="","",VLOOKUP($A41,'Annex 2 Designated EHV charges'!$A:$O,2,0))</f>
        <v>0</v>
      </c>
      <c r="C41" s="95" t="str">
        <f>IF($A41="","",VLOOKUP($A41,'Annex 2 Designated EHV charges'!$A:$O,3,0))</f>
        <v>ENET</v>
      </c>
      <c r="D41" s="94" t="str">
        <f>IF($A41="","",VLOOKUP($A41,'Annex 2 Designated EHV charges'!$A:$O,7,0))</f>
        <v>INFSSE</v>
      </c>
      <c r="E41" s="97">
        <f>IFERROR(IF(VLOOKUP($A41,'Annex 2 Designated EHV charges'!$A:$O,9,FALSE)=0,"",VLOOKUP($A41,'Annex 2 Designated EHV charges'!$A:$O,9,FALSE)),"")</f>
        <v>2.6509999999999998</v>
      </c>
      <c r="F41" s="194">
        <f>IFERROR(IF(VLOOKUP($A41,'Annex 2 Designated EHV charges'!$A:$O,10,FALSE)=0,"",VLOOKUP($A41,'Annex 2 Designated EHV charges'!$A:$O,10,FALSE)),"")</f>
        <v>65408.56</v>
      </c>
      <c r="G41" s="194">
        <f>IFERROR(IF(VLOOKUP($A41,'Annex 2 Designated EHV charges'!$A:$O,11,FALSE)=0,"",VLOOKUP($A41,'Annex 2 Designated EHV charges'!$A:$O,11,FALSE)),"")</f>
        <v>1.1399999999999999</v>
      </c>
      <c r="H41" s="194">
        <f>IFERROR(IF(VLOOKUP($A41,'Annex 2 Designated EHV charges'!$A:$O,12,FALSE)=0,"",VLOOKUP($A41,'Annex 2 Designated EHV charges'!$A:$O,12,FALSE)),"")</f>
        <v>1.1399999999999999</v>
      </c>
    </row>
    <row r="42" spans="1:8" x14ac:dyDescent="0.2">
      <c r="A42" s="94" t="str" cm="1">
        <f t="array" ref="A42">IFERROR(INDEX('Annex 2 Designated EHV charges'!$A$10:$A$401, MATCH(0, IF(ISBLANK('Annex 2 Designated EHV charges'!$A$10:$A$401),1, COUNTIF(A$4:$A41, 'Annex 2 Designated EHV charges'!$A$10:$A$401)), 0)),"")</f>
        <v>KLYN33</v>
      </c>
      <c r="B42" s="94">
        <f>IF($A42="","",VLOOKUP($A42,'Annex 2 Designated EHV charges'!$A:$O,2,0))</f>
        <v>0</v>
      </c>
      <c r="C42" s="95" t="str">
        <f>IF($A42="","",VLOOKUP($A42,'Annex 2 Designated EHV charges'!$A:$O,3,0))</f>
        <v>MSID: 7044</v>
      </c>
      <c r="D42" s="94" t="str">
        <f>IF($A42="","",VLOOKUP($A42,'Annex 2 Designated EHV charges'!$A:$O,7,0))</f>
        <v>KLYN33</v>
      </c>
      <c r="E42" s="97" t="str">
        <f>IFERROR(IF(VLOOKUP($A42,'Annex 2 Designated EHV charges'!$A:$O,9,FALSE)=0,"",VLOOKUP($A42,'Annex 2 Designated EHV charges'!$A:$O,9,FALSE)),"")</f>
        <v/>
      </c>
      <c r="F42" s="194">
        <f>IFERROR(IF(VLOOKUP($A42,'Annex 2 Designated EHV charges'!$A:$O,10,FALSE)=0,"",VLOOKUP($A42,'Annex 2 Designated EHV charges'!$A:$O,10,FALSE)),"")</f>
        <v>494.86</v>
      </c>
      <c r="G42" s="194">
        <f>IFERROR(IF(VLOOKUP($A42,'Annex 2 Designated EHV charges'!$A:$O,11,FALSE)=0,"",VLOOKUP($A42,'Annex 2 Designated EHV charges'!$A:$O,11,FALSE)),"")</f>
        <v>1.29</v>
      </c>
      <c r="H42" s="194">
        <f>IFERROR(IF(VLOOKUP($A42,'Annex 2 Designated EHV charges'!$A:$O,12,FALSE)=0,"",VLOOKUP($A42,'Annex 2 Designated EHV charges'!$A:$O,12,FALSE)),"")</f>
        <v>1.29</v>
      </c>
    </row>
    <row r="43" spans="1:8" ht="38.25" x14ac:dyDescent="0.2">
      <c r="A43" s="94" t="str" cm="1">
        <f t="array" ref="A43">IFERROR(INDEX('Annex 2 Designated EHV charges'!$A$10:$A$401, MATCH(0, IF(ISBLANK('Annex 2 Designated EHV charges'!$A$10:$A$401),1, COUNTIF(A$4:$A42, 'Annex 2 Designated EHV charges'!$A$10:$A$401)), 0)),"")</f>
        <v>LAKENH</v>
      </c>
      <c r="B43" s="94">
        <f>IF($A43="","",VLOOKUP($A43,'Annex 2 Designated EHV charges'!$A:$O,2,0))</f>
        <v>482</v>
      </c>
      <c r="C43" s="95" t="str">
        <f>IF($A43="","",VLOOKUP($A43,'Annex 2 Designated EHV charges'!$A:$O,3,0))</f>
        <v>1023504932800;1050002056960;1050001791601</v>
      </c>
      <c r="D43" s="94" t="str">
        <f>IF($A43="","",VLOOKUP($A43,'Annex 2 Designated EHV charges'!$A:$O,7,0))</f>
        <v>LAKENH</v>
      </c>
      <c r="E43" s="97">
        <f>IFERROR(IF(VLOOKUP($A43,'Annex 2 Designated EHV charges'!$A:$O,9,FALSE)=0,"",VLOOKUP($A43,'Annex 2 Designated EHV charges'!$A:$O,9,FALSE)),"")</f>
        <v>1.601</v>
      </c>
      <c r="F43" s="194">
        <f>IFERROR(IF(VLOOKUP($A43,'Annex 2 Designated EHV charges'!$A:$O,10,FALSE)=0,"",VLOOKUP($A43,'Annex 2 Designated EHV charges'!$A:$O,10,FALSE)),"")</f>
        <v>52504.22</v>
      </c>
      <c r="G43" s="194">
        <f>IFERROR(IF(VLOOKUP($A43,'Annex 2 Designated EHV charges'!$A:$O,11,FALSE)=0,"",VLOOKUP($A43,'Annex 2 Designated EHV charges'!$A:$O,11,FALSE)),"")</f>
        <v>5.72</v>
      </c>
      <c r="H43" s="194">
        <f>IFERROR(IF(VLOOKUP($A43,'Annex 2 Designated EHV charges'!$A:$O,12,FALSE)=0,"",VLOOKUP($A43,'Annex 2 Designated EHV charges'!$A:$O,12,FALSE)),"")</f>
        <v>5.72</v>
      </c>
    </row>
    <row r="44" spans="1:8" x14ac:dyDescent="0.2">
      <c r="A44" s="94" t="str" cm="1">
        <f t="array" ref="A44">IFERROR(INDEX('Annex 2 Designated EHV charges'!$A$10:$A$401, MATCH(0, IF(ISBLANK('Annex 2 Designated EHV charges'!$A$10:$A$401),1, COUNTIF(A$4:$A43, 'Annex 2 Designated EHV charges'!$A$10:$A$401)), 0)),"")</f>
        <v>LBARPS</v>
      </c>
      <c r="B44" s="94">
        <f>IF($A44="","",VLOOKUP($A44,'Annex 2 Designated EHV charges'!$A:$O,2,0))</f>
        <v>0</v>
      </c>
      <c r="C44" s="95" t="str">
        <f>IF($A44="","",VLOOKUP($A44,'Annex 2 Designated EHV charges'!$A:$O,3,0))</f>
        <v>MSID: 7409</v>
      </c>
      <c r="D44" s="94" t="str">
        <f>IF($A44="","",VLOOKUP($A44,'Annex 2 Designated EHV charges'!$A:$O,7,0))</f>
        <v>LBARPS</v>
      </c>
      <c r="E44" s="97" t="str">
        <f>IFERROR(IF(VLOOKUP($A44,'Annex 2 Designated EHV charges'!$A:$O,9,FALSE)=0,"",VLOOKUP($A44,'Annex 2 Designated EHV charges'!$A:$O,9,FALSE)),"")</f>
        <v/>
      </c>
      <c r="F44" s="194">
        <f>IFERROR(IF(VLOOKUP($A44,'Annex 2 Designated EHV charges'!$A:$O,10,FALSE)=0,"",VLOOKUP($A44,'Annex 2 Designated EHV charges'!$A:$O,10,FALSE)),"")</f>
        <v>494.86</v>
      </c>
      <c r="G44" s="194">
        <f>IFERROR(IF(VLOOKUP($A44,'Annex 2 Designated EHV charges'!$A:$O,11,FALSE)=0,"",VLOOKUP($A44,'Annex 2 Designated EHV charges'!$A:$O,11,FALSE)),"")</f>
        <v>1.72</v>
      </c>
      <c r="H44" s="194">
        <f>IFERROR(IF(VLOOKUP($A44,'Annex 2 Designated EHV charges'!$A:$O,12,FALSE)=0,"",VLOOKUP($A44,'Annex 2 Designated EHV charges'!$A:$O,12,FALSE)),"")</f>
        <v>1.72</v>
      </c>
    </row>
    <row r="45" spans="1:8" ht="25.5" x14ac:dyDescent="0.2">
      <c r="A45" s="94" t="str" cm="1">
        <f t="array" ref="A45">IFERROR(INDEX('Annex 2 Designated EHV charges'!$A$10:$A$401, MATCH(0, IF(ISBLANK('Annex 2 Designated EHV charges'!$A$10:$A$401),1, COUNTIF(A$4:$A44, 'Annex 2 Designated EHV charges'!$A$10:$A$401)), 0)),"")</f>
        <v>LS&amp;E_N</v>
      </c>
      <c r="B45" s="94">
        <f>IF($A45="","",VLOOKUP($A45,'Annex 2 Designated EHV charges'!$A:$O,2,0))</f>
        <v>823</v>
      </c>
      <c r="C45" s="95" t="str">
        <f>IF($A45="","",VLOOKUP($A45,'Annex 2 Designated EHV charges'!$A:$O,3,0))</f>
        <v>1014568599280;1023477604661</v>
      </c>
      <c r="D45" s="94" t="str">
        <f>IF($A45="","",VLOOKUP($A45,'Annex 2 Designated EHV charges'!$A:$O,7,0))</f>
        <v>LS&amp;E_N</v>
      </c>
      <c r="E45" s="97">
        <f>IFERROR(IF(VLOOKUP($A45,'Annex 2 Designated EHV charges'!$A:$O,9,FALSE)=0,"",VLOOKUP($A45,'Annex 2 Designated EHV charges'!$A:$O,9,FALSE)),"")</f>
        <v>0.52900000000000003</v>
      </c>
      <c r="F45" s="194">
        <f>IFERROR(IF(VLOOKUP($A45,'Annex 2 Designated EHV charges'!$A:$O,10,FALSE)=0,"",VLOOKUP($A45,'Annex 2 Designated EHV charges'!$A:$O,10,FALSE)),"")</f>
        <v>17667.439999999999</v>
      </c>
      <c r="G45" s="194">
        <f>IFERROR(IF(VLOOKUP($A45,'Annex 2 Designated EHV charges'!$A:$O,11,FALSE)=0,"",VLOOKUP($A45,'Annex 2 Designated EHV charges'!$A:$O,11,FALSE)),"")</f>
        <v>1.99</v>
      </c>
      <c r="H45" s="194">
        <f>IFERROR(IF(VLOOKUP($A45,'Annex 2 Designated EHV charges'!$A:$O,12,FALSE)=0,"",VLOOKUP($A45,'Annex 2 Designated EHV charges'!$A:$O,12,FALSE)),"")</f>
        <v>1.99</v>
      </c>
    </row>
    <row r="46" spans="1:8" ht="25.5" x14ac:dyDescent="0.2">
      <c r="A46" s="94" t="str" cm="1">
        <f t="array" ref="A46">IFERROR(INDEX('Annex 2 Designated EHV charges'!$A$10:$A$401, MATCH(0, IF(ISBLANK('Annex 2 Designated EHV charges'!$A$10:$A$401),1, COUNTIF(A$4:$A45, 'Annex 2 Designated EHV charges'!$A$10:$A$401)), 0)),"")</f>
        <v>LU_FIN</v>
      </c>
      <c r="B46" s="94">
        <f>IF($A46="","",VLOOKUP($A46,'Annex 2 Designated EHV charges'!$A:$O,2,0))</f>
        <v>825</v>
      </c>
      <c r="C46" s="95" t="str">
        <f>IF($A46="","",VLOOKUP($A46,'Annex 2 Designated EHV charges'!$A:$O,3,0))</f>
        <v>1023478728447;1023478728907</v>
      </c>
      <c r="D46" s="94" t="str">
        <f>IF($A46="","",VLOOKUP($A46,'Annex 2 Designated EHV charges'!$A:$O,7,0))</f>
        <v>LU_FIN</v>
      </c>
      <c r="E46" s="97">
        <f>IFERROR(IF(VLOOKUP($A46,'Annex 2 Designated EHV charges'!$A:$O,9,FALSE)=0,"",VLOOKUP($A46,'Annex 2 Designated EHV charges'!$A:$O,9,FALSE)),"")</f>
        <v>0.14299999999999999</v>
      </c>
      <c r="F46" s="194">
        <f>IFERROR(IF(VLOOKUP($A46,'Annex 2 Designated EHV charges'!$A:$O,10,FALSE)=0,"",VLOOKUP($A46,'Annex 2 Designated EHV charges'!$A:$O,10,FALSE)),"")</f>
        <v>52731.49</v>
      </c>
      <c r="G46" s="194">
        <f>IFERROR(IF(VLOOKUP($A46,'Annex 2 Designated EHV charges'!$A:$O,11,FALSE)=0,"",VLOOKUP($A46,'Annex 2 Designated EHV charges'!$A:$O,11,FALSE)),"")</f>
        <v>2.81</v>
      </c>
      <c r="H46" s="194">
        <f>IFERROR(IF(VLOOKUP($A46,'Annex 2 Designated EHV charges'!$A:$O,12,FALSE)=0,"",VLOOKUP($A46,'Annex 2 Designated EHV charges'!$A:$O,12,FALSE)),"")</f>
        <v>2.81</v>
      </c>
    </row>
    <row r="47" spans="1:8" ht="51" x14ac:dyDescent="0.2">
      <c r="A47" s="94" t="str" cm="1">
        <f t="array" ref="A47">IFERROR(INDEX('Annex 2 Designated EHV charges'!$A$10:$A$401, MATCH(0, IF(ISBLANK('Annex 2 Designated EHV charges'!$A$10:$A$401),1, COUNTIF(A$4:$A46, 'Annex 2 Designated EHV charges'!$A$10:$A$401)), 0)),"")</f>
        <v>LU_MHO</v>
      </c>
      <c r="B47" s="94">
        <f>IF($A47="","",VLOOKUP($A47,'Annex 2 Designated EHV charges'!$A:$O,2,0))</f>
        <v>864</v>
      </c>
      <c r="C47" s="95" t="str">
        <f>IF($A47="","",VLOOKUP($A47,'Annex 2 Designated EHV charges'!$A:$O,3,0))</f>
        <v>1030059686387;1030060990025;1030060990257;1030060990489</v>
      </c>
      <c r="D47" s="94" t="str">
        <f>IF($A47="","",VLOOKUP($A47,'Annex 2 Designated EHV charges'!$A:$O,7,0))</f>
        <v>LU_MHO</v>
      </c>
      <c r="E47" s="97">
        <f>IFERROR(IF(VLOOKUP($A47,'Annex 2 Designated EHV charges'!$A:$O,9,FALSE)=0,"",VLOOKUP($A47,'Annex 2 Designated EHV charges'!$A:$O,9,FALSE)),"")</f>
        <v>1.0999999999999999E-2</v>
      </c>
      <c r="F47" s="194">
        <f>IFERROR(IF(VLOOKUP($A47,'Annex 2 Designated EHV charges'!$A:$O,10,FALSE)=0,"",VLOOKUP($A47,'Annex 2 Designated EHV charges'!$A:$O,10,FALSE)),"")</f>
        <v>152184.60999999999</v>
      </c>
      <c r="G47" s="194">
        <f>IFERROR(IF(VLOOKUP($A47,'Annex 2 Designated EHV charges'!$A:$O,11,FALSE)=0,"",VLOOKUP($A47,'Annex 2 Designated EHV charges'!$A:$O,11,FALSE)),"")</f>
        <v>2.46</v>
      </c>
      <c r="H47" s="194">
        <f>IFERROR(IF(VLOOKUP($A47,'Annex 2 Designated EHV charges'!$A:$O,12,FALSE)=0,"",VLOOKUP($A47,'Annex 2 Designated EHV charges'!$A:$O,12,FALSE)),"")</f>
        <v>2.46</v>
      </c>
    </row>
    <row r="48" spans="1:8" ht="51" x14ac:dyDescent="0.2">
      <c r="A48" s="94" t="str" cm="1">
        <f t="array" ref="A48">IFERROR(INDEX('Annex 2 Designated EHV charges'!$A$10:$A$401, MATCH(0, IF(ISBLANK('Annex 2 Designated EHV charges'!$A$10:$A$401),1, COUNTIF(A$4:$A47, 'Annex 2 Designated EHV charges'!$A$10:$A$401)), 0)),"")</f>
        <v>LU_NEA</v>
      </c>
      <c r="B48" s="94">
        <f>IF($A48="","",VLOOKUP($A48,'Annex 2 Designated EHV charges'!$A:$O,2,0))</f>
        <v>431</v>
      </c>
      <c r="C48" s="95" t="str">
        <f>IF($A48="","",VLOOKUP($A48,'Annex 2 Designated EHV charges'!$A:$O,3,0))</f>
        <v>1050000907391;1050000907407;1050000907416;1050000907443</v>
      </c>
      <c r="D48" s="94" t="str">
        <f>IF($A48="","",VLOOKUP($A48,'Annex 2 Designated EHV charges'!$A:$O,7,0))</f>
        <v>LU_NEA</v>
      </c>
      <c r="E48" s="97">
        <f>IFERROR(IF(VLOOKUP($A48,'Annex 2 Designated EHV charges'!$A:$O,9,FALSE)=0,"",VLOOKUP($A48,'Annex 2 Designated EHV charges'!$A:$O,9,FALSE)),"")</f>
        <v>0.33100000000000002</v>
      </c>
      <c r="F48" s="194">
        <f>IFERROR(IF(VLOOKUP($A48,'Annex 2 Designated EHV charges'!$A:$O,10,FALSE)=0,"",VLOOKUP($A48,'Annex 2 Designated EHV charges'!$A:$O,10,FALSE)),"")</f>
        <v>145201.63</v>
      </c>
      <c r="G48" s="194">
        <f>IFERROR(IF(VLOOKUP($A48,'Annex 2 Designated EHV charges'!$A:$O,11,FALSE)=0,"",VLOOKUP($A48,'Annex 2 Designated EHV charges'!$A:$O,11,FALSE)),"")</f>
        <v>2.46</v>
      </c>
      <c r="H48" s="194">
        <f>IFERROR(IF(VLOOKUP($A48,'Annex 2 Designated EHV charges'!$A:$O,12,FALSE)=0,"",VLOOKUP($A48,'Annex 2 Designated EHV charges'!$A:$O,12,FALSE)),"")</f>
        <v>2.46</v>
      </c>
    </row>
    <row r="49" spans="1:8" x14ac:dyDescent="0.2">
      <c r="A49" s="94" t="str" cm="1">
        <f t="array" ref="A49">IFERROR(INDEX('Annex 2 Designated EHV charges'!$A$10:$A$401, MATCH(0, IF(ISBLANK('Annex 2 Designated EHV charges'!$A$10:$A$401),1, COUNTIF(A$4:$A48, 'Annex 2 Designated EHV charges'!$A$10:$A$401)), 0)),"")</f>
        <v>MAXWDC</v>
      </c>
      <c r="B49" s="94">
        <f>IF($A49="","",VLOOKUP($A49,'Annex 2 Designated EHV charges'!$A:$O,2,0))</f>
        <v>0</v>
      </c>
      <c r="C49" s="95" t="str">
        <f>IF($A49="","",VLOOKUP($A49,'Annex 2 Designated EHV charges'!$A:$O,3,0))</f>
        <v>ENET</v>
      </c>
      <c r="D49" s="94" t="str">
        <f>IF($A49="","",VLOOKUP($A49,'Annex 2 Designated EHV charges'!$A:$O,7,0))</f>
        <v>MAXWDC</v>
      </c>
      <c r="E49" s="97">
        <f>IFERROR(IF(VLOOKUP($A49,'Annex 2 Designated EHV charges'!$A:$O,9,FALSE)=0,"",VLOOKUP($A49,'Annex 2 Designated EHV charges'!$A:$O,9,FALSE)),"")</f>
        <v>0.01</v>
      </c>
      <c r="F49" s="194">
        <f>IFERROR(IF(VLOOKUP($A49,'Annex 2 Designated EHV charges'!$A:$O,10,FALSE)=0,"",VLOOKUP($A49,'Annex 2 Designated EHV charges'!$A:$O,10,FALSE)),"")</f>
        <v>48504.73</v>
      </c>
      <c r="G49" s="194">
        <f>IFERROR(IF(VLOOKUP($A49,'Annex 2 Designated EHV charges'!$A:$O,11,FALSE)=0,"",VLOOKUP($A49,'Annex 2 Designated EHV charges'!$A:$O,11,FALSE)),"")</f>
        <v>1.1499999999999999</v>
      </c>
      <c r="H49" s="194">
        <f>IFERROR(IF(VLOOKUP($A49,'Annex 2 Designated EHV charges'!$A:$O,12,FALSE)=0,"",VLOOKUP($A49,'Annex 2 Designated EHV charges'!$A:$O,12,FALSE)),"")</f>
        <v>1.1499999999999999</v>
      </c>
    </row>
    <row r="50" spans="1:8" x14ac:dyDescent="0.2">
      <c r="A50" s="94" t="str" cm="1">
        <f t="array" ref="A50">IFERROR(INDEX('Annex 2 Designated EHV charges'!$A$10:$A$401, MATCH(0, IF(ISBLANK('Annex 2 Designated EHV charges'!$A$10:$A$401),1, COUNTIF(A$4:$A49, 'Annex 2 Designated EHV charges'!$A$10:$A$401)), 0)),"")</f>
        <v>MAYLDC</v>
      </c>
      <c r="B50" s="94">
        <f>IF($A50="","",VLOOKUP($A50,'Annex 2 Designated EHV charges'!$A:$O,2,0))</f>
        <v>0</v>
      </c>
      <c r="C50" s="95" t="str">
        <f>IF($A50="","",VLOOKUP($A50,'Annex 2 Designated EHV charges'!$A:$O,3,0))</f>
        <v>ENET</v>
      </c>
      <c r="D50" s="94" t="str">
        <f>IF($A50="","",VLOOKUP($A50,'Annex 2 Designated EHV charges'!$A:$O,7,0))</f>
        <v>MAYLDC</v>
      </c>
      <c r="E50" s="97">
        <f>IFERROR(IF(VLOOKUP($A50,'Annex 2 Designated EHV charges'!$A:$O,9,FALSE)=0,"",VLOOKUP($A50,'Annex 2 Designated EHV charges'!$A:$O,9,FALSE)),"")</f>
        <v>4.4999999999999998E-2</v>
      </c>
      <c r="F50" s="194">
        <f>IFERROR(IF(VLOOKUP($A50,'Annex 2 Designated EHV charges'!$A:$O,10,FALSE)=0,"",VLOOKUP($A50,'Annex 2 Designated EHV charges'!$A:$O,10,FALSE)),"")</f>
        <v>6192.43</v>
      </c>
      <c r="G50" s="194">
        <f>IFERROR(IF(VLOOKUP($A50,'Annex 2 Designated EHV charges'!$A:$O,11,FALSE)=0,"",VLOOKUP($A50,'Annex 2 Designated EHV charges'!$A:$O,11,FALSE)),"")</f>
        <v>1.32</v>
      </c>
      <c r="H50" s="194">
        <f>IFERROR(IF(VLOOKUP($A50,'Annex 2 Designated EHV charges'!$A:$O,12,FALSE)=0,"",VLOOKUP($A50,'Annex 2 Designated EHV charges'!$A:$O,12,FALSE)),"")</f>
        <v>1.32</v>
      </c>
    </row>
    <row r="51" spans="1:8" x14ac:dyDescent="0.2">
      <c r="A51" s="94" t="str" cm="1">
        <f t="array" ref="A51">IFERROR(INDEX('Annex 2 Designated EHV charges'!$A$10:$A$401, MATCH(0, IF(ISBLANK('Annex 2 Designated EHV charges'!$A$10:$A$401),1, COUNTIF(A$4:$A50, 'Annex 2 Designated EHV charges'!$A$10:$A$401)), 0)),"")</f>
        <v>MLVLCM</v>
      </c>
      <c r="B51" s="94">
        <f>IF($A51="","",VLOOKUP($A51,'Annex 2 Designated EHV charges'!$A:$O,2,0))</f>
        <v>484</v>
      </c>
      <c r="C51" s="95">
        <f>IF($A51="","",VLOOKUP($A51,'Annex 2 Designated EHV charges'!$A:$O,3,0))</f>
        <v>1030062915127</v>
      </c>
      <c r="D51" s="94" t="str">
        <f>IF($A51="","",VLOOKUP($A51,'Annex 2 Designated EHV charges'!$A:$O,7,0))</f>
        <v>MLVLCM</v>
      </c>
      <c r="E51" s="97">
        <f>IFERROR(IF(VLOOKUP($A51,'Annex 2 Designated EHV charges'!$A:$O,9,FALSE)=0,"",VLOOKUP($A51,'Annex 2 Designated EHV charges'!$A:$O,9,FALSE)),"")</f>
        <v>3.0000000000000001E-3</v>
      </c>
      <c r="F51" s="194">
        <f>IFERROR(IF(VLOOKUP($A51,'Annex 2 Designated EHV charges'!$A:$O,10,FALSE)=0,"",VLOOKUP($A51,'Annex 2 Designated EHV charges'!$A:$O,10,FALSE)),"")</f>
        <v>15225.87</v>
      </c>
      <c r="G51" s="194">
        <f>IFERROR(IF(VLOOKUP($A51,'Annex 2 Designated EHV charges'!$A:$O,11,FALSE)=0,"",VLOOKUP($A51,'Annex 2 Designated EHV charges'!$A:$O,11,FALSE)),"")</f>
        <v>1.45</v>
      </c>
      <c r="H51" s="194">
        <f>IFERROR(IF(VLOOKUP($A51,'Annex 2 Designated EHV charges'!$A:$O,12,FALSE)=0,"",VLOOKUP($A51,'Annex 2 Designated EHV charges'!$A:$O,12,FALSE)),"")</f>
        <v>1.45</v>
      </c>
    </row>
    <row r="52" spans="1:8" ht="25.5" x14ac:dyDescent="0.2">
      <c r="A52" s="94" t="str" cm="1">
        <f t="array" ref="A52">IFERROR(INDEX('Annex 2 Designated EHV charges'!$A$10:$A$401, MATCH(0, IF(ISBLANK('Annex 2 Designated EHV charges'!$A$10:$A$401),1, COUNTIF(A$4:$A51, 'Annex 2 Designated EHV charges'!$A$10:$A$401)), 0)),"")</f>
        <v>MSDHOD</v>
      </c>
      <c r="B52" s="94">
        <f>IF($A52="","",VLOOKUP($A52,'Annex 2 Designated EHV charges'!$A:$O,2,0))</f>
        <v>828</v>
      </c>
      <c r="C52" s="95" t="str">
        <f>IF($A52="","",VLOOKUP($A52,'Annex 2 Designated EHV charges'!$A:$O,3,0))</f>
        <v>1023533706269;1023533706490</v>
      </c>
      <c r="D52" s="94" t="str">
        <f>IF($A52="","",VLOOKUP($A52,'Annex 2 Designated EHV charges'!$A:$O,7,0))</f>
        <v>MSDHOD</v>
      </c>
      <c r="E52" s="97" t="str">
        <f>IFERROR(IF(VLOOKUP($A52,'Annex 2 Designated EHV charges'!$A:$O,9,FALSE)=0,"",VLOOKUP($A52,'Annex 2 Designated EHV charges'!$A:$O,9,FALSE)),"")</f>
        <v/>
      </c>
      <c r="F52" s="194">
        <f>IFERROR(IF(VLOOKUP($A52,'Annex 2 Designated EHV charges'!$A:$O,10,FALSE)=0,"",VLOOKUP($A52,'Annex 2 Designated EHV charges'!$A:$O,10,FALSE)),"")</f>
        <v>22030.560000000001</v>
      </c>
      <c r="G52" s="194">
        <f>IFERROR(IF(VLOOKUP($A52,'Annex 2 Designated EHV charges'!$A:$O,11,FALSE)=0,"",VLOOKUP($A52,'Annex 2 Designated EHV charges'!$A:$O,11,FALSE)),"")</f>
        <v>2.94</v>
      </c>
      <c r="H52" s="194">
        <f>IFERROR(IF(VLOOKUP($A52,'Annex 2 Designated EHV charges'!$A:$O,12,FALSE)=0,"",VLOOKUP($A52,'Annex 2 Designated EHV charges'!$A:$O,12,FALSE)),"")</f>
        <v>2.94</v>
      </c>
    </row>
    <row r="53" spans="1:8" x14ac:dyDescent="0.2">
      <c r="A53" s="94" t="str" cm="1">
        <f t="array" ref="A53">IFERROR(INDEX('Annex 2 Designated EHV charges'!$A$10:$A$401, MATCH(0, IF(ISBLANK('Annex 2 Designated EHV charges'!$A$10:$A$401),1, COUNTIF(A$4:$A52, 'Annex 2 Designated EHV charges'!$A$10:$A$401)), 0)),"")</f>
        <v>NEWHOL</v>
      </c>
      <c r="B53" s="94">
        <f>IF($A53="","",VLOOKUP($A53,'Annex 2 Designated EHV charges'!$A:$O,2,0))</f>
        <v>807</v>
      </c>
      <c r="C53" s="95">
        <f>IF($A53="","",VLOOKUP($A53,'Annex 2 Designated EHV charges'!$A:$O,3,0))</f>
        <v>1014569560220</v>
      </c>
      <c r="D53" s="94" t="str">
        <f>IF($A53="","",VLOOKUP($A53,'Annex 2 Designated EHV charges'!$A:$O,7,0))</f>
        <v>NEWHOL</v>
      </c>
      <c r="E53" s="97">
        <f>IFERROR(IF(VLOOKUP($A53,'Annex 2 Designated EHV charges'!$A:$O,9,FALSE)=0,"",VLOOKUP($A53,'Annex 2 Designated EHV charges'!$A:$O,9,FALSE)),"")</f>
        <v>2.274</v>
      </c>
      <c r="F53" s="194">
        <f>IFERROR(IF(VLOOKUP($A53,'Annex 2 Designated EHV charges'!$A:$O,10,FALSE)=0,"",VLOOKUP($A53,'Annex 2 Designated EHV charges'!$A:$O,10,FALSE)),"")</f>
        <v>19058.490000000002</v>
      </c>
      <c r="G53" s="194">
        <f>IFERROR(IF(VLOOKUP($A53,'Annex 2 Designated EHV charges'!$A:$O,11,FALSE)=0,"",VLOOKUP($A53,'Annex 2 Designated EHV charges'!$A:$O,11,FALSE)),"")</f>
        <v>2.5</v>
      </c>
      <c r="H53" s="194">
        <f>IFERROR(IF(VLOOKUP($A53,'Annex 2 Designated EHV charges'!$A:$O,12,FALSE)=0,"",VLOOKUP($A53,'Annex 2 Designated EHV charges'!$A:$O,12,FALSE)),"")</f>
        <v>2.5</v>
      </c>
    </row>
    <row r="54" spans="1:8" ht="51" x14ac:dyDescent="0.2">
      <c r="A54" s="94" t="str" cm="1">
        <f t="array" ref="A54">IFERROR(INDEX('Annex 2 Designated EHV charges'!$A$10:$A$401, MATCH(0, IF(ISBLANK('Annex 2 Designated EHV charges'!$A$10:$A$401),1, COUNTIF(A$4:$A53, 'Annex 2 Designated EHV charges'!$A$10:$A$401)), 0)),"")</f>
        <v>NEWSIL</v>
      </c>
      <c r="B54" s="94">
        <f>IF($A54="","",VLOOKUP($A54,'Annex 2 Designated EHV charges'!$A:$O,2,0))</f>
        <v>829</v>
      </c>
      <c r="C54" s="95" t="str">
        <f>IF($A54="","",VLOOKUP($A54,'Annex 2 Designated EHV charges'!$A:$O,3,0))</f>
        <v>1030022814396;1030022814624;1030022814856;1030022815089</v>
      </c>
      <c r="D54" s="94" t="str">
        <f>IF($A54="","",VLOOKUP($A54,'Annex 2 Designated EHV charges'!$A:$O,7,0))</f>
        <v>NEWSIL</v>
      </c>
      <c r="E54" s="97">
        <f>IFERROR(IF(VLOOKUP($A54,'Annex 2 Designated EHV charges'!$A:$O,9,FALSE)=0,"",VLOOKUP($A54,'Annex 2 Designated EHV charges'!$A:$O,9,FALSE)),"")</f>
        <v>1.0999999999999999E-2</v>
      </c>
      <c r="F54" s="194">
        <f>IFERROR(IF(VLOOKUP($A54,'Annex 2 Designated EHV charges'!$A:$O,10,FALSE)=0,"",VLOOKUP($A54,'Annex 2 Designated EHV charges'!$A:$O,10,FALSE)),"")</f>
        <v>52504.22</v>
      </c>
      <c r="G54" s="194">
        <f>IFERROR(IF(VLOOKUP($A54,'Annex 2 Designated EHV charges'!$A:$O,11,FALSE)=0,"",VLOOKUP($A54,'Annex 2 Designated EHV charges'!$A:$O,11,FALSE)),"")</f>
        <v>1.62</v>
      </c>
      <c r="H54" s="194">
        <f>IFERROR(IF(VLOOKUP($A54,'Annex 2 Designated EHV charges'!$A:$O,12,FALSE)=0,"",VLOOKUP($A54,'Annex 2 Designated EHV charges'!$A:$O,12,FALSE)),"")</f>
        <v>1.62</v>
      </c>
    </row>
    <row r="55" spans="1:8" x14ac:dyDescent="0.2">
      <c r="A55" s="94" t="str" cm="1">
        <f t="array" ref="A55">IFERROR(INDEX('Annex 2 Designated EHV charges'!$A$10:$A$401, MATCH(0, IF(ISBLANK('Annex 2 Designated EHV charges'!$A$10:$A$401),1, COUNTIF(A$4:$A54, 'Annex 2 Designated EHV charges'!$A$10:$A$401)), 0)),"")</f>
        <v>NR_BAS</v>
      </c>
      <c r="B55" s="94">
        <f>IF($A55="","",VLOOKUP($A55,'Annex 2 Designated EHV charges'!$A:$O,2,0))</f>
        <v>840</v>
      </c>
      <c r="C55" s="95">
        <f>IF($A55="","",VLOOKUP($A55,'Annex 2 Designated EHV charges'!$A:$O,3,0))</f>
        <v>1023478020044</v>
      </c>
      <c r="D55" s="94" t="str">
        <f>IF($A55="","",VLOOKUP($A55,'Annex 2 Designated EHV charges'!$A:$O,7,0))</f>
        <v>NR_BAS</v>
      </c>
      <c r="E55" s="97" t="str">
        <f>IFERROR(IF(VLOOKUP($A55,'Annex 2 Designated EHV charges'!$A:$O,9,FALSE)=0,"",VLOOKUP($A55,'Annex 2 Designated EHV charges'!$A:$O,9,FALSE)),"")</f>
        <v/>
      </c>
      <c r="F55" s="194">
        <f>IFERROR(IF(VLOOKUP($A55,'Annex 2 Designated EHV charges'!$A:$O,10,FALSE)=0,"",VLOOKUP($A55,'Annex 2 Designated EHV charges'!$A:$O,10,FALSE)),"")</f>
        <v>29731.439999999999</v>
      </c>
      <c r="G55" s="194">
        <f>IFERROR(IF(VLOOKUP($A55,'Annex 2 Designated EHV charges'!$A:$O,11,FALSE)=0,"",VLOOKUP($A55,'Annex 2 Designated EHV charges'!$A:$O,11,FALSE)),"")</f>
        <v>4.09</v>
      </c>
      <c r="H55" s="194">
        <f>IFERROR(IF(VLOOKUP($A55,'Annex 2 Designated EHV charges'!$A:$O,12,FALSE)=0,"",VLOOKUP($A55,'Annex 2 Designated EHV charges'!$A:$O,12,FALSE)),"")</f>
        <v>4.09</v>
      </c>
    </row>
    <row r="56" spans="1:8" ht="25.5" x14ac:dyDescent="0.2">
      <c r="A56" s="94" t="str" cm="1">
        <f t="array" ref="A56">IFERROR(INDEX('Annex 2 Designated EHV charges'!$A$10:$A$401, MATCH(0, IF(ISBLANK('Annex 2 Designated EHV charges'!$A$10:$A$401),1, COUNTIF(A$4:$A55, 'Annex 2 Designated EHV charges'!$A$10:$A$401)), 0)),"")</f>
        <v>NR_COL</v>
      </c>
      <c r="B56" s="94">
        <f>IF($A56="","",VLOOKUP($A56,'Annex 2 Designated EHV charges'!$A:$O,2,0))</f>
        <v>842</v>
      </c>
      <c r="C56" s="95" t="str">
        <f>IF($A56="","",VLOOKUP($A56,'Annex 2 Designated EHV charges'!$A:$O,3,0))</f>
        <v>1014572898446;1030076303426</v>
      </c>
      <c r="D56" s="94" t="str">
        <f>IF($A56="","",VLOOKUP($A56,'Annex 2 Designated EHV charges'!$A:$O,7,0))</f>
        <v>NR_COL</v>
      </c>
      <c r="E56" s="97" t="str">
        <f>IFERROR(IF(VLOOKUP($A56,'Annex 2 Designated EHV charges'!$A:$O,9,FALSE)=0,"",VLOOKUP($A56,'Annex 2 Designated EHV charges'!$A:$O,9,FALSE)),"")</f>
        <v/>
      </c>
      <c r="F56" s="194">
        <f>IFERROR(IF(VLOOKUP($A56,'Annex 2 Designated EHV charges'!$A:$O,10,FALSE)=0,"",VLOOKUP($A56,'Annex 2 Designated EHV charges'!$A:$O,10,FALSE)),"")</f>
        <v>29056.65</v>
      </c>
      <c r="G56" s="194">
        <f>IFERROR(IF(VLOOKUP($A56,'Annex 2 Designated EHV charges'!$A:$O,11,FALSE)=0,"",VLOOKUP($A56,'Annex 2 Designated EHV charges'!$A:$O,11,FALSE)),"")</f>
        <v>4.26</v>
      </c>
      <c r="H56" s="194">
        <f>IFERROR(IF(VLOOKUP($A56,'Annex 2 Designated EHV charges'!$A:$O,12,FALSE)=0,"",VLOOKUP($A56,'Annex 2 Designated EHV charges'!$A:$O,12,FALSE)),"")</f>
        <v>4.26</v>
      </c>
    </row>
    <row r="57" spans="1:8" x14ac:dyDescent="0.2">
      <c r="A57" s="94" t="str" cm="1">
        <f t="array" ref="A57">IFERROR(INDEX('Annex 2 Designated EHV charges'!$A$10:$A$401, MATCH(0, IF(ISBLANK('Annex 2 Designated EHV charges'!$A$10:$A$401),1, COUNTIF(A$4:$A56, 'Annex 2 Designated EHV charges'!$A$10:$A$401)), 0)),"")</f>
        <v>NR_CRW</v>
      </c>
      <c r="B57" s="94">
        <f>IF($A57="","",VLOOKUP($A57,'Annex 2 Designated EHV charges'!$A:$O,2,0))</f>
        <v>843</v>
      </c>
      <c r="C57" s="95">
        <f>IF($A57="","",VLOOKUP($A57,'Annex 2 Designated EHV charges'!$A:$O,3,0))</f>
        <v>1014572578742</v>
      </c>
      <c r="D57" s="94" t="str">
        <f>IF($A57="","",VLOOKUP($A57,'Annex 2 Designated EHV charges'!$A:$O,7,0))</f>
        <v>NR_CRW</v>
      </c>
      <c r="E57" s="97">
        <f>IFERROR(IF(VLOOKUP($A57,'Annex 2 Designated EHV charges'!$A:$O,9,FALSE)=0,"",VLOOKUP($A57,'Annex 2 Designated EHV charges'!$A:$O,9,FALSE)),"")</f>
        <v>1.2569999999999999</v>
      </c>
      <c r="F57" s="194">
        <f>IFERROR(IF(VLOOKUP($A57,'Annex 2 Designated EHV charges'!$A:$O,10,FALSE)=0,"",VLOOKUP($A57,'Annex 2 Designated EHV charges'!$A:$O,10,FALSE)),"")</f>
        <v>65364.44</v>
      </c>
      <c r="G57" s="194">
        <f>IFERROR(IF(VLOOKUP($A57,'Annex 2 Designated EHV charges'!$A:$O,11,FALSE)=0,"",VLOOKUP($A57,'Annex 2 Designated EHV charges'!$A:$O,11,FALSE)),"")</f>
        <v>4.25</v>
      </c>
      <c r="H57" s="194">
        <f>IFERROR(IF(VLOOKUP($A57,'Annex 2 Designated EHV charges'!$A:$O,12,FALSE)=0,"",VLOOKUP($A57,'Annex 2 Designated EHV charges'!$A:$O,12,FALSE)),"")</f>
        <v>4.25</v>
      </c>
    </row>
    <row r="58" spans="1:8" x14ac:dyDescent="0.2">
      <c r="A58" s="94" t="str" cm="1">
        <f t="array" ref="A58">IFERROR(INDEX('Annex 2 Designated EHV charges'!$A$10:$A$401, MATCH(0, IF(ISBLANK('Annex 2 Designated EHV charges'!$A$10:$A$401),1, COUNTIF(A$4:$A57, 'Annex 2 Designated EHV charges'!$A$10:$A$401)), 0)),"")</f>
        <v>NR_GRA</v>
      </c>
      <c r="B58" s="94">
        <f>IF($A58="","",VLOOKUP($A58,'Annex 2 Designated EHV charges'!$A:$O,2,0))</f>
        <v>844</v>
      </c>
      <c r="C58" s="95">
        <f>IF($A58="","",VLOOKUP($A58,'Annex 2 Designated EHV charges'!$A:$O,3,0))</f>
        <v>1014573096936</v>
      </c>
      <c r="D58" s="94" t="str">
        <f>IF($A58="","",VLOOKUP($A58,'Annex 2 Designated EHV charges'!$A:$O,7,0))</f>
        <v>NR_GRA</v>
      </c>
      <c r="E58" s="97">
        <f>IFERROR(IF(VLOOKUP($A58,'Annex 2 Designated EHV charges'!$A:$O,9,FALSE)=0,"",VLOOKUP($A58,'Annex 2 Designated EHV charges'!$A:$O,9,FALSE)),"")</f>
        <v>0.39400000000000002</v>
      </c>
      <c r="F58" s="194">
        <f>IFERROR(IF(VLOOKUP($A58,'Annex 2 Designated EHV charges'!$A:$O,10,FALSE)=0,"",VLOOKUP($A58,'Annex 2 Designated EHV charges'!$A:$O,10,FALSE)),"")</f>
        <v>21874.53</v>
      </c>
      <c r="G58" s="194">
        <f>IFERROR(IF(VLOOKUP($A58,'Annex 2 Designated EHV charges'!$A:$O,11,FALSE)=0,"",VLOOKUP($A58,'Annex 2 Designated EHV charges'!$A:$O,11,FALSE)),"")</f>
        <v>1.45</v>
      </c>
      <c r="H58" s="194">
        <f>IFERROR(IF(VLOOKUP($A58,'Annex 2 Designated EHV charges'!$A:$O,12,FALSE)=0,"",VLOOKUP($A58,'Annex 2 Designated EHV charges'!$A:$O,12,FALSE)),"")</f>
        <v>1.45</v>
      </c>
    </row>
    <row r="59" spans="1:8" x14ac:dyDescent="0.2">
      <c r="A59" s="94" t="str" cm="1">
        <f t="array" ref="A59">IFERROR(INDEX('Annex 2 Designated EHV charges'!$A$10:$A$401, MATCH(0, IF(ISBLANK('Annex 2 Designated EHV charges'!$A$10:$A$401),1, COUNTIF(A$4:$A58, 'Annex 2 Designated EHV charges'!$A$10:$A$401)), 0)),"")</f>
        <v>NR_HOR</v>
      </c>
      <c r="B59" s="94">
        <f>IF($A59="","",VLOOKUP($A59,'Annex 2 Designated EHV charges'!$A:$O,2,0))</f>
        <v>845</v>
      </c>
      <c r="C59" s="95">
        <f>IF($A59="","",VLOOKUP($A59,'Annex 2 Designated EHV charges'!$A:$O,3,0))</f>
        <v>1014572986535</v>
      </c>
      <c r="D59" s="94" t="str">
        <f>IF($A59="","",VLOOKUP($A59,'Annex 2 Designated EHV charges'!$A:$O,7,0))</f>
        <v>NR_HOR</v>
      </c>
      <c r="E59" s="97">
        <f>IFERROR(IF(VLOOKUP($A59,'Annex 2 Designated EHV charges'!$A:$O,9,FALSE)=0,"",VLOOKUP($A59,'Annex 2 Designated EHV charges'!$A:$O,9,FALSE)),"")</f>
        <v>1.0580000000000001</v>
      </c>
      <c r="F59" s="194">
        <f>IFERROR(IF(VLOOKUP($A59,'Annex 2 Designated EHV charges'!$A:$O,10,FALSE)=0,"",VLOOKUP($A59,'Annex 2 Designated EHV charges'!$A:$O,10,FALSE)),"")</f>
        <v>58992.1</v>
      </c>
      <c r="G59" s="194">
        <f>IFERROR(IF(VLOOKUP($A59,'Annex 2 Designated EHV charges'!$A:$O,11,FALSE)=0,"",VLOOKUP($A59,'Annex 2 Designated EHV charges'!$A:$O,11,FALSE)),"")</f>
        <v>3.8</v>
      </c>
      <c r="H59" s="194">
        <f>IFERROR(IF(VLOOKUP($A59,'Annex 2 Designated EHV charges'!$A:$O,12,FALSE)=0,"",VLOOKUP($A59,'Annex 2 Designated EHV charges'!$A:$O,12,FALSE)),"")</f>
        <v>3.8</v>
      </c>
    </row>
    <row r="60" spans="1:8" x14ac:dyDescent="0.2">
      <c r="A60" s="94" t="str" cm="1">
        <f t="array" ref="A60">IFERROR(INDEX('Annex 2 Designated EHV charges'!$A$10:$A$401, MATCH(0, IF(ISBLANK('Annex 2 Designated EHV charges'!$A$10:$A$401),1, COUNTIF(A$4:$A59, 'Annex 2 Designated EHV charges'!$A$10:$A$401)), 0)),"")</f>
        <v>NR_KNG</v>
      </c>
      <c r="B60" s="94">
        <f>IF($A60="","",VLOOKUP($A60,'Annex 2 Designated EHV charges'!$A:$O,2,0))</f>
        <v>846</v>
      </c>
      <c r="C60" s="95">
        <f>IF($A60="","",VLOOKUP($A60,'Annex 2 Designated EHV charges'!$A:$O,3,0))</f>
        <v>1014572901666</v>
      </c>
      <c r="D60" s="94" t="str">
        <f>IF($A60="","",VLOOKUP($A60,'Annex 2 Designated EHV charges'!$A:$O,7,0))</f>
        <v>NR_KNG</v>
      </c>
      <c r="E60" s="97" t="str">
        <f>IFERROR(IF(VLOOKUP($A60,'Annex 2 Designated EHV charges'!$A:$O,9,FALSE)=0,"",VLOOKUP($A60,'Annex 2 Designated EHV charges'!$A:$O,9,FALSE)),"")</f>
        <v/>
      </c>
      <c r="F60" s="194">
        <f>IFERROR(IF(VLOOKUP($A60,'Annex 2 Designated EHV charges'!$A:$O,10,FALSE)=0,"",VLOOKUP($A60,'Annex 2 Designated EHV charges'!$A:$O,10,FALSE)),"")</f>
        <v>22369.39</v>
      </c>
      <c r="G60" s="194">
        <f>IFERROR(IF(VLOOKUP($A60,'Annex 2 Designated EHV charges'!$A:$O,11,FALSE)=0,"",VLOOKUP($A60,'Annex 2 Designated EHV charges'!$A:$O,11,FALSE)),"")</f>
        <v>2.42</v>
      </c>
      <c r="H60" s="194">
        <f>IFERROR(IF(VLOOKUP($A60,'Annex 2 Designated EHV charges'!$A:$O,12,FALSE)=0,"",VLOOKUP($A60,'Annex 2 Designated EHV charges'!$A:$O,12,FALSE)),"")</f>
        <v>2.42</v>
      </c>
    </row>
    <row r="61" spans="1:8" x14ac:dyDescent="0.2">
      <c r="A61" s="94" t="str" cm="1">
        <f t="array" ref="A61">IFERROR(INDEX('Annex 2 Designated EHV charges'!$A$10:$A$401, MATCH(0, IF(ISBLANK('Annex 2 Designated EHV charges'!$A$10:$A$401),1, COUNTIF(A$4:$A60, 'Annex 2 Designated EHV charges'!$A$10:$A$401)), 0)),"")</f>
        <v>NR_LBR</v>
      </c>
      <c r="B61" s="94">
        <f>IF($A61="","",VLOOKUP($A61,'Annex 2 Designated EHV charges'!$A:$O,2,0))</f>
        <v>847</v>
      </c>
      <c r="C61" s="95">
        <f>IF($A61="","",VLOOKUP($A61,'Annex 2 Designated EHV charges'!$A:$O,3,0))</f>
        <v>1014572780683</v>
      </c>
      <c r="D61" s="94" t="str">
        <f>IF($A61="","",VLOOKUP($A61,'Annex 2 Designated EHV charges'!$A:$O,7,0))</f>
        <v>NR_LBR</v>
      </c>
      <c r="E61" s="97">
        <f>IFERROR(IF(VLOOKUP($A61,'Annex 2 Designated EHV charges'!$A:$O,9,FALSE)=0,"",VLOOKUP($A61,'Annex 2 Designated EHV charges'!$A:$O,9,FALSE)),"")</f>
        <v>0.06</v>
      </c>
      <c r="F61" s="194">
        <f>IFERROR(IF(VLOOKUP($A61,'Annex 2 Designated EHV charges'!$A:$O,10,FALSE)=0,"",VLOOKUP($A61,'Annex 2 Designated EHV charges'!$A:$O,10,FALSE)),"")</f>
        <v>88994.13</v>
      </c>
      <c r="G61" s="194">
        <f>IFERROR(IF(VLOOKUP($A61,'Annex 2 Designated EHV charges'!$A:$O,11,FALSE)=0,"",VLOOKUP($A61,'Annex 2 Designated EHV charges'!$A:$O,11,FALSE)),"")</f>
        <v>2.95</v>
      </c>
      <c r="H61" s="194">
        <f>IFERROR(IF(VLOOKUP($A61,'Annex 2 Designated EHV charges'!$A:$O,12,FALSE)=0,"",VLOOKUP($A61,'Annex 2 Designated EHV charges'!$A:$O,12,FALSE)),"")</f>
        <v>2.95</v>
      </c>
    </row>
    <row r="62" spans="1:8" x14ac:dyDescent="0.2">
      <c r="A62" s="94" t="str" cm="1">
        <f t="array" ref="A62">IFERROR(INDEX('Annex 2 Designated EHV charges'!$A$10:$A$401, MATCH(0, IF(ISBLANK('Annex 2 Designated EHV charges'!$A$10:$A$401),1, COUNTIF(A$4:$A61, 'Annex 2 Designated EHV charges'!$A$10:$A$401)), 0)),"")</f>
        <v>NR_MAN</v>
      </c>
      <c r="B62" s="94">
        <f>IF($A62="","",VLOOKUP($A62,'Annex 2 Designated EHV charges'!$A:$O,2,0))</f>
        <v>848</v>
      </c>
      <c r="C62" s="95">
        <f>IF($A62="","",VLOOKUP($A62,'Annex 2 Designated EHV charges'!$A:$O,3,0))</f>
        <v>1014572821160</v>
      </c>
      <c r="D62" s="94" t="str">
        <f>IF($A62="","",VLOOKUP($A62,'Annex 2 Designated EHV charges'!$A:$O,7,0))</f>
        <v>NR_MAN</v>
      </c>
      <c r="E62" s="97" t="str">
        <f>IFERROR(IF(VLOOKUP($A62,'Annex 2 Designated EHV charges'!$A:$O,9,FALSE)=0,"",VLOOKUP($A62,'Annex 2 Designated EHV charges'!$A:$O,9,FALSE)),"")</f>
        <v/>
      </c>
      <c r="F62" s="194">
        <f>IFERROR(IF(VLOOKUP($A62,'Annex 2 Designated EHV charges'!$A:$O,10,FALSE)=0,"",VLOOKUP($A62,'Annex 2 Designated EHV charges'!$A:$O,10,FALSE)),"")</f>
        <v>22369.39</v>
      </c>
      <c r="G62" s="194">
        <f>IFERROR(IF(VLOOKUP($A62,'Annex 2 Designated EHV charges'!$A:$O,11,FALSE)=0,"",VLOOKUP($A62,'Annex 2 Designated EHV charges'!$A:$O,11,FALSE)),"")</f>
        <v>2.71</v>
      </c>
      <c r="H62" s="194">
        <f>IFERROR(IF(VLOOKUP($A62,'Annex 2 Designated EHV charges'!$A:$O,12,FALSE)=0,"",VLOOKUP($A62,'Annex 2 Designated EHV charges'!$A:$O,12,FALSE)),"")</f>
        <v>2.71</v>
      </c>
    </row>
    <row r="63" spans="1:8" x14ac:dyDescent="0.2">
      <c r="A63" s="94" t="str" cm="1">
        <f t="array" ref="A63">IFERROR(INDEX('Annex 2 Designated EHV charges'!$A$10:$A$401, MATCH(0, IF(ISBLANK('Annex 2 Designated EHV charges'!$A$10:$A$401),1, COUNTIF(A$4:$A62, 'Annex 2 Designated EHV charges'!$A$10:$A$401)), 0)),"")</f>
        <v>NR_MIL</v>
      </c>
      <c r="B63" s="94">
        <f>IF($A63="","",VLOOKUP($A63,'Annex 2 Designated EHV charges'!$A:$O,2,0))</f>
        <v>849</v>
      </c>
      <c r="C63" s="95">
        <f>IF($A63="","",VLOOKUP($A63,'Annex 2 Designated EHV charges'!$A:$O,3,0))</f>
        <v>1014573017580</v>
      </c>
      <c r="D63" s="94" t="str">
        <f>IF($A63="","",VLOOKUP($A63,'Annex 2 Designated EHV charges'!$A:$O,7,0))</f>
        <v>NR_MIL</v>
      </c>
      <c r="E63" s="97">
        <f>IFERROR(IF(VLOOKUP($A63,'Annex 2 Designated EHV charges'!$A:$O,9,FALSE)=0,"",VLOOKUP($A63,'Annex 2 Designated EHV charges'!$A:$O,9,FALSE)),"")</f>
        <v>0.46800000000000003</v>
      </c>
      <c r="F63" s="194">
        <f>IFERROR(IF(VLOOKUP($A63,'Annex 2 Designated EHV charges'!$A:$O,10,FALSE)=0,"",VLOOKUP($A63,'Annex 2 Designated EHV charges'!$A:$O,10,FALSE)),"")</f>
        <v>67118.45</v>
      </c>
      <c r="G63" s="194">
        <f>IFERROR(IF(VLOOKUP($A63,'Annex 2 Designated EHV charges'!$A:$O,11,FALSE)=0,"",VLOOKUP($A63,'Annex 2 Designated EHV charges'!$A:$O,11,FALSE)),"")</f>
        <v>3.14</v>
      </c>
      <c r="H63" s="194">
        <f>IFERROR(IF(VLOOKUP($A63,'Annex 2 Designated EHV charges'!$A:$O,12,FALSE)=0,"",VLOOKUP($A63,'Annex 2 Designated EHV charges'!$A:$O,12,FALSE)),"")</f>
        <v>3.14</v>
      </c>
    </row>
    <row r="64" spans="1:8" x14ac:dyDescent="0.2">
      <c r="A64" s="94" t="str" cm="1">
        <f t="array" ref="A64">IFERROR(INDEX('Annex 2 Designated EHV charges'!$A$10:$A$401, MATCH(0, IF(ISBLANK('Annex 2 Designated EHV charges'!$A$10:$A$401),1, COUNTIF(A$4:$A63, 'Annex 2 Designated EHV charges'!$A$10:$A$401)), 0)),"")</f>
        <v>NR_NRW</v>
      </c>
      <c r="B64" s="94">
        <f>IF($A64="","",VLOOKUP($A64,'Annex 2 Designated EHV charges'!$A:$O,2,0))</f>
        <v>850</v>
      </c>
      <c r="C64" s="95">
        <f>IF($A64="","",VLOOKUP($A64,'Annex 2 Designated EHV charges'!$A:$O,3,0))</f>
        <v>1014572876363</v>
      </c>
      <c r="D64" s="94" t="str">
        <f>IF($A64="","",VLOOKUP($A64,'Annex 2 Designated EHV charges'!$A:$O,7,0))</f>
        <v>NR_NRW</v>
      </c>
      <c r="E64" s="97">
        <f>IFERROR(IF(VLOOKUP($A64,'Annex 2 Designated EHV charges'!$A:$O,9,FALSE)=0,"",VLOOKUP($A64,'Annex 2 Designated EHV charges'!$A:$O,9,FALSE)),"")</f>
        <v>0.13800000000000001</v>
      </c>
      <c r="F64" s="194">
        <f>IFERROR(IF(VLOOKUP($A64,'Annex 2 Designated EHV charges'!$A:$O,10,FALSE)=0,"",VLOOKUP($A64,'Annex 2 Designated EHV charges'!$A:$O,10,FALSE)),"")</f>
        <v>11483.58</v>
      </c>
      <c r="G64" s="194">
        <f>IFERROR(IF(VLOOKUP($A64,'Annex 2 Designated EHV charges'!$A:$O,11,FALSE)=0,"",VLOOKUP($A64,'Annex 2 Designated EHV charges'!$A:$O,11,FALSE)),"")</f>
        <v>4.33</v>
      </c>
      <c r="H64" s="194">
        <f>IFERROR(IF(VLOOKUP($A64,'Annex 2 Designated EHV charges'!$A:$O,12,FALSE)=0,"",VLOOKUP($A64,'Annex 2 Designated EHV charges'!$A:$O,12,FALSE)),"")</f>
        <v>4.33</v>
      </c>
    </row>
    <row r="65" spans="1:8" x14ac:dyDescent="0.2">
      <c r="A65" s="94" t="str" cm="1">
        <f t="array" ref="A65">IFERROR(INDEX('Annex 2 Designated EHV charges'!$A$10:$A$401, MATCH(0, IF(ISBLANK('Annex 2 Designated EHV charges'!$A$10:$A$401),1, COUNTIF(A$4:$A64, 'Annex 2 Designated EHV charges'!$A$10:$A$401)), 0)),"")</f>
        <v>NR_PET</v>
      </c>
      <c r="B65" s="94">
        <f>IF($A65="","",VLOOKUP($A65,'Annex 2 Designated EHV charges'!$A:$O,2,0))</f>
        <v>851</v>
      </c>
      <c r="C65" s="95">
        <f>IF($A65="","",VLOOKUP($A65,'Annex 2 Designated EHV charges'!$A:$O,3,0))</f>
        <v>1014573170075</v>
      </c>
      <c r="D65" s="94" t="str">
        <f>IF($A65="","",VLOOKUP($A65,'Annex 2 Designated EHV charges'!$A:$O,7,0))</f>
        <v>NR_PET</v>
      </c>
      <c r="E65" s="97">
        <f>IFERROR(IF(VLOOKUP($A65,'Annex 2 Designated EHV charges'!$A:$O,9,FALSE)=0,"",VLOOKUP($A65,'Annex 2 Designated EHV charges'!$A:$O,9,FALSE)),"")</f>
        <v>0.58699999999999997</v>
      </c>
      <c r="F65" s="194">
        <f>IFERROR(IF(VLOOKUP($A65,'Annex 2 Designated EHV charges'!$A:$O,10,FALSE)=0,"",VLOOKUP($A65,'Annex 2 Designated EHV charges'!$A:$O,10,FALSE)),"")</f>
        <v>22369.39</v>
      </c>
      <c r="G65" s="194">
        <f>IFERROR(IF(VLOOKUP($A65,'Annex 2 Designated EHV charges'!$A:$O,11,FALSE)=0,"",VLOOKUP($A65,'Annex 2 Designated EHV charges'!$A:$O,11,FALSE)),"")</f>
        <v>3.39</v>
      </c>
      <c r="H65" s="194">
        <f>IFERROR(IF(VLOOKUP($A65,'Annex 2 Designated EHV charges'!$A:$O,12,FALSE)=0,"",VLOOKUP($A65,'Annex 2 Designated EHV charges'!$A:$O,12,FALSE)),"")</f>
        <v>3.39</v>
      </c>
    </row>
    <row r="66" spans="1:8" x14ac:dyDescent="0.2">
      <c r="A66" s="94" t="str" cm="1">
        <f t="array" ref="A66">IFERROR(INDEX('Annex 2 Designated EHV charges'!$A$10:$A$401, MATCH(0, IF(ISBLANK('Annex 2 Designated EHV charges'!$A$10:$A$401),1, COUNTIF(A$4:$A65, 'Annex 2 Designated EHV charges'!$A$10:$A$401)), 0)),"")</f>
        <v>NR_RAY</v>
      </c>
      <c r="B66" s="94">
        <f>IF($A66="","",VLOOKUP($A66,'Annex 2 Designated EHV charges'!$A:$O,2,0))</f>
        <v>852</v>
      </c>
      <c r="C66" s="95">
        <f>IF($A66="","",VLOOKUP($A66,'Annex 2 Designated EHV charges'!$A:$O,3,0))</f>
        <v>1014573010682</v>
      </c>
      <c r="D66" s="94" t="str">
        <f>IF($A66="","",VLOOKUP($A66,'Annex 2 Designated EHV charges'!$A:$O,7,0))</f>
        <v>NR_RAY</v>
      </c>
      <c r="E66" s="97">
        <f>IFERROR(IF(VLOOKUP($A66,'Annex 2 Designated EHV charges'!$A:$O,9,FALSE)=0,"",VLOOKUP($A66,'Annex 2 Designated EHV charges'!$A:$O,9,FALSE)),"")</f>
        <v>0.85299999999999998</v>
      </c>
      <c r="F66" s="194">
        <f>IFERROR(IF(VLOOKUP($A66,'Annex 2 Designated EHV charges'!$A:$O,10,FALSE)=0,"",VLOOKUP($A66,'Annex 2 Designated EHV charges'!$A:$O,10,FALSE)),"")</f>
        <v>66039.13</v>
      </c>
      <c r="G66" s="194">
        <f>IFERROR(IF(VLOOKUP($A66,'Annex 2 Designated EHV charges'!$A:$O,11,FALSE)=0,"",VLOOKUP($A66,'Annex 2 Designated EHV charges'!$A:$O,11,FALSE)),"")</f>
        <v>2.95</v>
      </c>
      <c r="H66" s="194">
        <f>IFERROR(IF(VLOOKUP($A66,'Annex 2 Designated EHV charges'!$A:$O,12,FALSE)=0,"",VLOOKUP($A66,'Annex 2 Designated EHV charges'!$A:$O,12,FALSE)),"")</f>
        <v>2.95</v>
      </c>
    </row>
    <row r="67" spans="1:8" x14ac:dyDescent="0.2">
      <c r="A67" s="94" t="str" cm="1">
        <f t="array" ref="A67">IFERROR(INDEX('Annex 2 Designated EHV charges'!$A$10:$A$401, MATCH(0, IF(ISBLANK('Annex 2 Designated EHV charges'!$A$10:$A$401),1, COUNTIF(A$4:$A66, 'Annex 2 Designated EHV charges'!$A$10:$A$401)), 0)),"")</f>
        <v>NR_RYE</v>
      </c>
      <c r="B67" s="94">
        <f>IF($A67="","",VLOOKUP($A67,'Annex 2 Designated EHV charges'!$A:$O,2,0))</f>
        <v>853</v>
      </c>
      <c r="C67" s="95">
        <f>IF($A67="","",VLOOKUP($A67,'Annex 2 Designated EHV charges'!$A:$O,3,0))</f>
        <v>1014572632104</v>
      </c>
      <c r="D67" s="94" t="str">
        <f>IF($A67="","",VLOOKUP($A67,'Annex 2 Designated EHV charges'!$A:$O,7,0))</f>
        <v>NR_RYE</v>
      </c>
      <c r="E67" s="97">
        <f>IFERROR(IF(VLOOKUP($A67,'Annex 2 Designated EHV charges'!$A:$O,9,FALSE)=0,"",VLOOKUP($A67,'Annex 2 Designated EHV charges'!$A:$O,9,FALSE)),"")</f>
        <v>2.3E-2</v>
      </c>
      <c r="F67" s="194">
        <f>IFERROR(IF(VLOOKUP($A67,'Annex 2 Designated EHV charges'!$A:$O,10,FALSE)=0,"",VLOOKUP($A67,'Annex 2 Designated EHV charges'!$A:$O,10,FALSE)),"")</f>
        <v>66354.16</v>
      </c>
      <c r="G67" s="194">
        <f>IFERROR(IF(VLOOKUP($A67,'Annex 2 Designated EHV charges'!$A:$O,11,FALSE)=0,"",VLOOKUP($A67,'Annex 2 Designated EHV charges'!$A:$O,11,FALSE)),"")</f>
        <v>2.14</v>
      </c>
      <c r="H67" s="194">
        <f>IFERROR(IF(VLOOKUP($A67,'Annex 2 Designated EHV charges'!$A:$O,12,FALSE)=0,"",VLOOKUP($A67,'Annex 2 Designated EHV charges'!$A:$O,12,FALSE)),"")</f>
        <v>2.14</v>
      </c>
    </row>
    <row r="68" spans="1:8" x14ac:dyDescent="0.2">
      <c r="A68" s="94" t="str" cm="1">
        <f t="array" ref="A68">IFERROR(INDEX('Annex 2 Designated EHV charges'!$A$10:$A$401, MATCH(0, IF(ISBLANK('Annex 2 Designated EHV charges'!$A$10:$A$401),1, COUNTIF(A$4:$A67, 'Annex 2 Designated EHV charges'!$A$10:$A$401)), 0)),"")</f>
        <v>NR_SED</v>
      </c>
      <c r="B68" s="94">
        <f>IF($A68="","",VLOOKUP($A68,'Annex 2 Designated EHV charges'!$A:$O,2,0))</f>
        <v>855</v>
      </c>
      <c r="C68" s="95">
        <f>IF($A68="","",VLOOKUP($A68,'Annex 2 Designated EHV charges'!$A:$O,3,0))</f>
        <v>1014572682017</v>
      </c>
      <c r="D68" s="94" t="str">
        <f>IF($A68="","",VLOOKUP($A68,'Annex 2 Designated EHV charges'!$A:$O,7,0))</f>
        <v>NR_SED</v>
      </c>
      <c r="E68" s="97">
        <f>IFERROR(IF(VLOOKUP($A68,'Annex 2 Designated EHV charges'!$A:$O,9,FALSE)=0,"",VLOOKUP($A68,'Annex 2 Designated EHV charges'!$A:$O,9,FALSE)),"")</f>
        <v>2.0489999999999999</v>
      </c>
      <c r="F68" s="194">
        <f>IFERROR(IF(VLOOKUP($A68,'Annex 2 Designated EHV charges'!$A:$O,10,FALSE)=0,"",VLOOKUP($A68,'Annex 2 Designated EHV charges'!$A:$O,10,FALSE)),"")</f>
        <v>65364.44</v>
      </c>
      <c r="G68" s="194">
        <f>IFERROR(IF(VLOOKUP($A68,'Annex 2 Designated EHV charges'!$A:$O,11,FALSE)=0,"",VLOOKUP($A68,'Annex 2 Designated EHV charges'!$A:$O,11,FALSE)),"")</f>
        <v>4.5</v>
      </c>
      <c r="H68" s="194">
        <f>IFERROR(IF(VLOOKUP($A68,'Annex 2 Designated EHV charges'!$A:$O,12,FALSE)=0,"",VLOOKUP($A68,'Annex 2 Designated EHV charges'!$A:$O,12,FALSE)),"")</f>
        <v>4.5</v>
      </c>
    </row>
    <row r="69" spans="1:8" x14ac:dyDescent="0.2">
      <c r="A69" s="94" t="str" cm="1">
        <f t="array" ref="A69">IFERROR(INDEX('Annex 2 Designated EHV charges'!$A$10:$A$401, MATCH(0, IF(ISBLANK('Annex 2 Designated EHV charges'!$A$10:$A$401),1, COUNTIF(A$4:$A68, 'Annex 2 Designated EHV charges'!$A$10:$A$401)), 0)),"")</f>
        <v>NR_SHN</v>
      </c>
      <c r="B69" s="94">
        <f>IF($A69="","",VLOOKUP($A69,'Annex 2 Designated EHV charges'!$A:$O,2,0))</f>
        <v>854</v>
      </c>
      <c r="C69" s="95">
        <f>IF($A69="","",VLOOKUP($A69,'Annex 2 Designated EHV charges'!$A:$O,3,0))</f>
        <v>1023478597119</v>
      </c>
      <c r="D69" s="94" t="str">
        <f>IF($A69="","",VLOOKUP($A69,'Annex 2 Designated EHV charges'!$A:$O,7,0))</f>
        <v>NR_SHN</v>
      </c>
      <c r="E69" s="97">
        <f>IFERROR(IF(VLOOKUP($A69,'Annex 2 Designated EHV charges'!$A:$O,9,FALSE)=0,"",VLOOKUP($A69,'Annex 2 Designated EHV charges'!$A:$O,9,FALSE)),"")</f>
        <v>0.86699999999999999</v>
      </c>
      <c r="F69" s="194">
        <f>IFERROR(IF(VLOOKUP($A69,'Annex 2 Designated EHV charges'!$A:$O,10,FALSE)=0,"",VLOOKUP($A69,'Annex 2 Designated EHV charges'!$A:$O,10,FALSE)),"")</f>
        <v>66354.16</v>
      </c>
      <c r="G69" s="194">
        <f>IFERROR(IF(VLOOKUP($A69,'Annex 2 Designated EHV charges'!$A:$O,11,FALSE)=0,"",VLOOKUP($A69,'Annex 2 Designated EHV charges'!$A:$O,11,FALSE)),"")</f>
        <v>3.03</v>
      </c>
      <c r="H69" s="194">
        <f>IFERROR(IF(VLOOKUP($A69,'Annex 2 Designated EHV charges'!$A:$O,12,FALSE)=0,"",VLOOKUP($A69,'Annex 2 Designated EHV charges'!$A:$O,12,FALSE)),"")</f>
        <v>3.03</v>
      </c>
    </row>
    <row r="70" spans="1:8" x14ac:dyDescent="0.2">
      <c r="A70" s="94" t="str" cm="1">
        <f t="array" ref="A70">IFERROR(INDEX('Annex 2 Designated EHV charges'!$A$10:$A$401, MATCH(0, IF(ISBLANK('Annex 2 Designated EHV charges'!$A$10:$A$401),1, COUNTIF(A$4:$A69, 'Annex 2 Designated EHV charges'!$A$10:$A$401)), 0)),"")</f>
        <v>NR_SPR</v>
      </c>
      <c r="B70" s="94">
        <f>IF($A70="","",VLOOKUP($A70,'Annex 2 Designated EHV charges'!$A:$O,2,0))</f>
        <v>856</v>
      </c>
      <c r="C70" s="95">
        <f>IF($A70="","",VLOOKUP($A70,'Annex 2 Designated EHV charges'!$A:$O,3,0))</f>
        <v>1014572602660</v>
      </c>
      <c r="D70" s="94" t="str">
        <f>IF($A70="","",VLOOKUP($A70,'Annex 2 Designated EHV charges'!$A:$O,7,0))</f>
        <v>NR_SPR</v>
      </c>
      <c r="E70" s="97" t="str">
        <f>IFERROR(IF(VLOOKUP($A70,'Annex 2 Designated EHV charges'!$A:$O,9,FALSE)=0,"",VLOOKUP($A70,'Annex 2 Designated EHV charges'!$A:$O,9,FALSE)),"")</f>
        <v/>
      </c>
      <c r="F70" s="194">
        <f>IFERROR(IF(VLOOKUP($A70,'Annex 2 Designated EHV charges'!$A:$O,10,FALSE)=0,"",VLOOKUP($A70,'Annex 2 Designated EHV charges'!$A:$O,10,FALSE)),"")</f>
        <v>67433.16</v>
      </c>
      <c r="G70" s="194">
        <f>IFERROR(IF(VLOOKUP($A70,'Annex 2 Designated EHV charges'!$A:$O,11,FALSE)=0,"",VLOOKUP($A70,'Annex 2 Designated EHV charges'!$A:$O,11,FALSE)),"")</f>
        <v>3.18</v>
      </c>
      <c r="H70" s="194">
        <f>IFERROR(IF(VLOOKUP($A70,'Annex 2 Designated EHV charges'!$A:$O,12,FALSE)=0,"",VLOOKUP($A70,'Annex 2 Designated EHV charges'!$A:$O,12,FALSE)),"")</f>
        <v>3.18</v>
      </c>
    </row>
    <row r="71" spans="1:8" x14ac:dyDescent="0.2">
      <c r="A71" s="94" t="str" cm="1">
        <f t="array" ref="A71">IFERROR(INDEX('Annex 2 Designated EHV charges'!$A$10:$A$401, MATCH(0, IF(ISBLANK('Annex 2 Designated EHV charges'!$A$10:$A$401),1, COUNTIF(A$4:$A70, 'Annex 2 Designated EHV charges'!$A$10:$A$401)), 0)),"")</f>
        <v>NR_STW</v>
      </c>
      <c r="B71" s="94">
        <f>IF($A71="","",VLOOKUP($A71,'Annex 2 Designated EHV charges'!$A:$O,2,0))</f>
        <v>857</v>
      </c>
      <c r="C71" s="95">
        <f>IF($A71="","",VLOOKUP($A71,'Annex 2 Designated EHV charges'!$A:$O,3,0))</f>
        <v>1014572719730</v>
      </c>
      <c r="D71" s="94" t="str">
        <f>IF($A71="","",VLOOKUP($A71,'Annex 2 Designated EHV charges'!$A:$O,7,0))</f>
        <v>NR_STW</v>
      </c>
      <c r="E71" s="97">
        <f>IFERROR(IF(VLOOKUP($A71,'Annex 2 Designated EHV charges'!$A:$O,9,FALSE)=0,"",VLOOKUP($A71,'Annex 2 Designated EHV charges'!$A:$O,9,FALSE)),"")</f>
        <v>0.51300000000000001</v>
      </c>
      <c r="F71" s="194">
        <f>IFERROR(IF(VLOOKUP($A71,'Annex 2 Designated EHV charges'!$A:$O,10,FALSE)=0,"",VLOOKUP($A71,'Annex 2 Designated EHV charges'!$A:$O,10,FALSE)),"")</f>
        <v>28741.73</v>
      </c>
      <c r="G71" s="194">
        <f>IFERROR(IF(VLOOKUP($A71,'Annex 2 Designated EHV charges'!$A:$O,11,FALSE)=0,"",VLOOKUP($A71,'Annex 2 Designated EHV charges'!$A:$O,11,FALSE)),"")</f>
        <v>3.44</v>
      </c>
      <c r="H71" s="194">
        <f>IFERROR(IF(VLOOKUP($A71,'Annex 2 Designated EHV charges'!$A:$O,12,FALSE)=0,"",VLOOKUP($A71,'Annex 2 Designated EHV charges'!$A:$O,12,FALSE)),"")</f>
        <v>3.44</v>
      </c>
    </row>
    <row r="72" spans="1:8" x14ac:dyDescent="0.2">
      <c r="A72" s="94" t="str" cm="1">
        <f t="array" ref="A72">IFERROR(INDEX('Annex 2 Designated EHV charges'!$A$10:$A$401, MATCH(0, IF(ISBLANK('Annex 2 Designated EHV charges'!$A$10:$A$401),1, COUNTIF(A$4:$A71, 'Annex 2 Designated EHV charges'!$A$10:$A$401)), 0)),"")</f>
        <v>NR_TOT</v>
      </c>
      <c r="B72" s="94">
        <f>IF($A72="","",VLOOKUP($A72,'Annex 2 Designated EHV charges'!$A:$O,2,0))</f>
        <v>859</v>
      </c>
      <c r="C72" s="95">
        <f>IF($A72="","",VLOOKUP($A72,'Annex 2 Designated EHV charges'!$A:$O,3,0))</f>
        <v>1014573142245</v>
      </c>
      <c r="D72" s="94" t="str">
        <f>IF($A72="","",VLOOKUP($A72,'Annex 2 Designated EHV charges'!$A:$O,7,0))</f>
        <v>NR_TOT</v>
      </c>
      <c r="E72" s="97">
        <f>IFERROR(IF(VLOOKUP($A72,'Annex 2 Designated EHV charges'!$A:$O,9,FALSE)=0,"",VLOOKUP($A72,'Annex 2 Designated EHV charges'!$A:$O,9,FALSE)),"")</f>
        <v>2E-3</v>
      </c>
      <c r="F72" s="194">
        <f>IFERROR(IF(VLOOKUP($A72,'Annex 2 Designated EHV charges'!$A:$O,10,FALSE)=0,"",VLOOKUP($A72,'Annex 2 Designated EHV charges'!$A:$O,10,FALSE)),"")</f>
        <v>88400.68</v>
      </c>
      <c r="G72" s="194">
        <f>IFERROR(IF(VLOOKUP($A72,'Annex 2 Designated EHV charges'!$A:$O,11,FALSE)=0,"",VLOOKUP($A72,'Annex 2 Designated EHV charges'!$A:$O,11,FALSE)),"")</f>
        <v>2.5099999999999998</v>
      </c>
      <c r="H72" s="194">
        <f>IFERROR(IF(VLOOKUP($A72,'Annex 2 Designated EHV charges'!$A:$O,12,FALSE)=0,"",VLOOKUP($A72,'Annex 2 Designated EHV charges'!$A:$O,12,FALSE)),"")</f>
        <v>2.5099999999999998</v>
      </c>
    </row>
    <row r="73" spans="1:8" x14ac:dyDescent="0.2">
      <c r="A73" s="94" t="str" cm="1">
        <f t="array" ref="A73">IFERROR(INDEX('Annex 2 Designated EHV charges'!$A$10:$A$401, MATCH(0, IF(ISBLANK('Annex 2 Designated EHV charges'!$A$10:$A$401),1, COUNTIF(A$4:$A72, 'Annex 2 Designated EHV charges'!$A$10:$A$401)), 0)),"")</f>
        <v>NR_UGL</v>
      </c>
      <c r="B73" s="94">
        <f>IF($A73="","",VLOOKUP($A73,'Annex 2 Designated EHV charges'!$A:$O,2,0))</f>
        <v>860</v>
      </c>
      <c r="C73" s="95">
        <f>IF($A73="","",VLOOKUP($A73,'Annex 2 Designated EHV charges'!$A:$O,3,0))</f>
        <v>1014573113954</v>
      </c>
      <c r="D73" s="94" t="str">
        <f>IF($A73="","",VLOOKUP($A73,'Annex 2 Designated EHV charges'!$A:$O,7,0))</f>
        <v>NR_UGL</v>
      </c>
      <c r="E73" s="97" t="str">
        <f>IFERROR(IF(VLOOKUP($A73,'Annex 2 Designated EHV charges'!$A:$O,9,FALSE)=0,"",VLOOKUP($A73,'Annex 2 Designated EHV charges'!$A:$O,9,FALSE)),"")</f>
        <v/>
      </c>
      <c r="F73" s="194">
        <f>IFERROR(IF(VLOOKUP($A73,'Annex 2 Designated EHV charges'!$A:$O,10,FALSE)=0,"",VLOOKUP($A73,'Annex 2 Designated EHV charges'!$A:$O,10,FALSE)),"")</f>
        <v>21874.53</v>
      </c>
      <c r="G73" s="194">
        <f>IFERROR(IF(VLOOKUP($A73,'Annex 2 Designated EHV charges'!$A:$O,11,FALSE)=0,"",VLOOKUP($A73,'Annex 2 Designated EHV charges'!$A:$O,11,FALSE)),"")</f>
        <v>3</v>
      </c>
      <c r="H73" s="194">
        <f>IFERROR(IF(VLOOKUP($A73,'Annex 2 Designated EHV charges'!$A:$O,12,FALSE)=0,"",VLOOKUP($A73,'Annex 2 Designated EHV charges'!$A:$O,12,FALSE)),"")</f>
        <v>3</v>
      </c>
    </row>
    <row r="74" spans="1:8" x14ac:dyDescent="0.2">
      <c r="A74" s="94" t="str" cm="1">
        <f t="array" ref="A74">IFERROR(INDEX('Annex 2 Designated EHV charges'!$A$10:$A$401, MATCH(0, IF(ISBLANK('Annex 2 Designated EHV charges'!$A$10:$A$401),1, COUNTIF(A$4:$A73, 'Annex 2 Designated EHV charges'!$A$10:$A$401)), 0)),"")</f>
        <v>NR_WEL</v>
      </c>
      <c r="B74" s="94">
        <f>IF($A74="","",VLOOKUP($A74,'Annex 2 Designated EHV charges'!$A:$O,2,0))</f>
        <v>861</v>
      </c>
      <c r="C74" s="95">
        <f>IF($A74="","",VLOOKUP($A74,'Annex 2 Designated EHV charges'!$A:$O,3,0))</f>
        <v>1014572501466</v>
      </c>
      <c r="D74" s="94" t="str">
        <f>IF($A74="","",VLOOKUP($A74,'Annex 2 Designated EHV charges'!$A:$O,7,0))</f>
        <v>NR_WEL</v>
      </c>
      <c r="E74" s="97">
        <f>IFERROR(IF(VLOOKUP($A74,'Annex 2 Designated EHV charges'!$A:$O,9,FALSE)=0,"",VLOOKUP($A74,'Annex 2 Designated EHV charges'!$A:$O,9,FALSE)),"")</f>
        <v>1.45</v>
      </c>
      <c r="F74" s="194">
        <f>IFERROR(IF(VLOOKUP($A74,'Annex 2 Designated EHV charges'!$A:$O,10,FALSE)=0,"",VLOOKUP($A74,'Annex 2 Designated EHV charges'!$A:$O,10,FALSE)),"")</f>
        <v>66354.16</v>
      </c>
      <c r="G74" s="194">
        <f>IFERROR(IF(VLOOKUP($A74,'Annex 2 Designated EHV charges'!$A:$O,11,FALSE)=0,"",VLOOKUP($A74,'Annex 2 Designated EHV charges'!$A:$O,11,FALSE)),"")</f>
        <v>4.29</v>
      </c>
      <c r="H74" s="194">
        <f>IFERROR(IF(VLOOKUP($A74,'Annex 2 Designated EHV charges'!$A:$O,12,FALSE)=0,"",VLOOKUP($A74,'Annex 2 Designated EHV charges'!$A:$O,12,FALSE)),"")</f>
        <v>4.29</v>
      </c>
    </row>
    <row r="75" spans="1:8" ht="25.5" x14ac:dyDescent="0.2">
      <c r="A75" s="94" t="str" cm="1">
        <f t="array" ref="A75">IFERROR(INDEX('Annex 2 Designated EHV charges'!$A$10:$A$401, MATCH(0, IF(ISBLANK('Annex 2 Designated EHV charges'!$A$10:$A$401),1, COUNTIF(A$4:$A74, 'Annex 2 Designated EHV charges'!$A$10:$A$401)), 0)),"")</f>
        <v>NRAUTH</v>
      </c>
      <c r="B75" s="94">
        <f>IF($A75="","",VLOOKUP($A75,'Annex 2 Designated EHV charges'!$A:$O,2,0))</f>
        <v>486</v>
      </c>
      <c r="C75" s="95" t="str">
        <f>IF($A75="","",VLOOKUP($A75,'Annex 2 Designated EHV charges'!$A:$O,3,0))</f>
        <v>1014572907871;1023484600573</v>
      </c>
      <c r="D75" s="94" t="str">
        <f>IF($A75="","",VLOOKUP($A75,'Annex 2 Designated EHV charges'!$A:$O,7,0))</f>
        <v>NRAUTH</v>
      </c>
      <c r="E75" s="97">
        <f>IFERROR(IF(VLOOKUP($A75,'Annex 2 Designated EHV charges'!$A:$O,9,FALSE)=0,"",VLOOKUP($A75,'Annex 2 Designated EHV charges'!$A:$O,9,FALSE)),"")</f>
        <v>5.0839999999999996</v>
      </c>
      <c r="F75" s="194">
        <f>IFERROR(IF(VLOOKUP($A75,'Annex 2 Designated EHV charges'!$A:$O,10,FALSE)=0,"",VLOOKUP($A75,'Annex 2 Designated EHV charges'!$A:$O,10,FALSE)),"")</f>
        <v>15444.41</v>
      </c>
      <c r="G75" s="194">
        <f>IFERROR(IF(VLOOKUP($A75,'Annex 2 Designated EHV charges'!$A:$O,11,FALSE)=0,"",VLOOKUP($A75,'Annex 2 Designated EHV charges'!$A:$O,11,FALSE)),"")</f>
        <v>1.34</v>
      </c>
      <c r="H75" s="194">
        <f>IFERROR(IF(VLOOKUP($A75,'Annex 2 Designated EHV charges'!$A:$O,12,FALSE)=0,"",VLOOKUP($A75,'Annex 2 Designated EHV charges'!$A:$O,12,FALSE)),"")</f>
        <v>1.34</v>
      </c>
    </row>
    <row r="76" spans="1:8" ht="25.5" x14ac:dyDescent="0.2">
      <c r="A76" s="94" t="str" cm="1">
        <f t="array" ref="A76">IFERROR(INDEX('Annex 2 Designated EHV charges'!$A$10:$A$401, MATCH(0, IF(ISBLANK('Annex 2 Designated EHV charges'!$A$10:$A$401),1, COUNTIF(A$4:$A75, 'Annex 2 Designated EHV charges'!$A$10:$A$401)), 0)),"")</f>
        <v>NYSEIB</v>
      </c>
      <c r="B76" s="94">
        <f>IF($A76="","",VLOOKUP($A76,'Annex 2 Designated EHV charges'!$A:$O,2,0))</f>
        <v>487</v>
      </c>
      <c r="C76" s="95" t="str">
        <f>IF($A76="","",VLOOKUP($A76,'Annex 2 Designated EHV charges'!$A:$O,3,0))</f>
        <v>1030062357607;1030062357839</v>
      </c>
      <c r="D76" s="94" t="str">
        <f>IF($A76="","",VLOOKUP($A76,'Annex 2 Designated EHV charges'!$A:$O,7,0))</f>
        <v>NYSEIB</v>
      </c>
      <c r="E76" s="97">
        <f>IFERROR(IF(VLOOKUP($A76,'Annex 2 Designated EHV charges'!$A:$O,9,FALSE)=0,"",VLOOKUP($A76,'Annex 2 Designated EHV charges'!$A:$O,9,FALSE)),"")</f>
        <v>2.9380000000000002</v>
      </c>
      <c r="F76" s="194">
        <f>IFERROR(IF(VLOOKUP($A76,'Annex 2 Designated EHV charges'!$A:$O,10,FALSE)=0,"",VLOOKUP($A76,'Annex 2 Designated EHV charges'!$A:$O,10,FALSE)),"")</f>
        <v>81639.86</v>
      </c>
      <c r="G76" s="194">
        <f>IFERROR(IF(VLOOKUP($A76,'Annex 2 Designated EHV charges'!$A:$O,11,FALSE)=0,"",VLOOKUP($A76,'Annex 2 Designated EHV charges'!$A:$O,11,FALSE)),"")</f>
        <v>1.88</v>
      </c>
      <c r="H76" s="194">
        <f>IFERROR(IF(VLOOKUP($A76,'Annex 2 Designated EHV charges'!$A:$O,12,FALSE)=0,"",VLOOKUP($A76,'Annex 2 Designated EHV charges'!$A:$O,12,FALSE)),"")</f>
        <v>1.88</v>
      </c>
    </row>
    <row r="77" spans="1:8" ht="25.5" x14ac:dyDescent="0.2">
      <c r="A77" s="94" t="str" cm="1">
        <f t="array" ref="A77">IFERROR(INDEX('Annex 2 Designated EHV charges'!$A$10:$A$401, MATCH(0, IF(ISBLANK('Annex 2 Designated EHV charges'!$A$10:$A$401),1, COUNTIF(A$4:$A76, 'Annex 2 Designated EHV charges'!$A$10:$A$401)), 0)),"")</f>
        <v>PLMPPR</v>
      </c>
      <c r="B77" s="94">
        <f>IF($A77="","",VLOOKUP($A77,'Annex 2 Designated EHV charges'!$A:$O,2,0))</f>
        <v>831</v>
      </c>
      <c r="C77" s="95" t="str">
        <f>IF($A77="","",VLOOKUP($A77,'Annex 2 Designated EHV charges'!$A:$O,3,0))</f>
        <v>1030062872341;1030062872573</v>
      </c>
      <c r="D77" s="94" t="str">
        <f>IF($A77="","",VLOOKUP($A77,'Annex 2 Designated EHV charges'!$A:$O,7,0))</f>
        <v>PLMPPR</v>
      </c>
      <c r="E77" s="97" t="str">
        <f>IFERROR(IF(VLOOKUP($A77,'Annex 2 Designated EHV charges'!$A:$O,9,FALSE)=0,"",VLOOKUP($A77,'Annex 2 Designated EHV charges'!$A:$O,9,FALSE)),"")</f>
        <v/>
      </c>
      <c r="F77" s="194">
        <f>IFERROR(IF(VLOOKUP($A77,'Annex 2 Designated EHV charges'!$A:$O,10,FALSE)=0,"",VLOOKUP($A77,'Annex 2 Designated EHV charges'!$A:$O,10,FALSE)),"")</f>
        <v>73082.92</v>
      </c>
      <c r="G77" s="194">
        <f>IFERROR(IF(VLOOKUP($A77,'Annex 2 Designated EHV charges'!$A:$O,11,FALSE)=0,"",VLOOKUP($A77,'Annex 2 Designated EHV charges'!$A:$O,11,FALSE)),"")</f>
        <v>1.47</v>
      </c>
      <c r="H77" s="194">
        <f>IFERROR(IF(VLOOKUP($A77,'Annex 2 Designated EHV charges'!$A:$O,12,FALSE)=0,"",VLOOKUP($A77,'Annex 2 Designated EHV charges'!$A:$O,12,FALSE)),"")</f>
        <v>1.47</v>
      </c>
    </row>
    <row r="78" spans="1:8" x14ac:dyDescent="0.2">
      <c r="A78" s="94" t="str" cm="1">
        <f t="array" ref="A78">IFERROR(INDEX('Annex 2 Designated EHV charges'!$A$10:$A$401, MATCH(0, IF(ISBLANK('Annex 2 Designated EHV charges'!$A$10:$A$401),1, COUNTIF(A$4:$A77, 'Annex 2 Designated EHV charges'!$A$10:$A$401)), 0)),"")</f>
        <v>PP_COR</v>
      </c>
      <c r="B78" s="94">
        <f>IF($A78="","",VLOOKUP($A78,'Annex 2 Designated EHV charges'!$A:$O,2,0))</f>
        <v>832</v>
      </c>
      <c r="C78" s="95">
        <f>IF($A78="","",VLOOKUP($A78,'Annex 2 Designated EHV charges'!$A:$O,3,0))</f>
        <v>1014569523654</v>
      </c>
      <c r="D78" s="94" t="str">
        <f>IF($A78="","",VLOOKUP($A78,'Annex 2 Designated EHV charges'!$A:$O,7,0))</f>
        <v>PP_COR</v>
      </c>
      <c r="E78" s="97" t="str">
        <f>IFERROR(IF(VLOOKUP($A78,'Annex 2 Designated EHV charges'!$A:$O,9,FALSE)=0,"",VLOOKUP($A78,'Annex 2 Designated EHV charges'!$A:$O,9,FALSE)),"")</f>
        <v/>
      </c>
      <c r="F78" s="194">
        <f>IFERROR(IF(VLOOKUP($A78,'Annex 2 Designated EHV charges'!$A:$O,10,FALSE)=0,"",VLOOKUP($A78,'Annex 2 Designated EHV charges'!$A:$O,10,FALSE)),"")</f>
        <v>16986.77</v>
      </c>
      <c r="G78" s="194">
        <f>IFERROR(IF(VLOOKUP($A78,'Annex 2 Designated EHV charges'!$A:$O,11,FALSE)=0,"",VLOOKUP($A78,'Annex 2 Designated EHV charges'!$A:$O,11,FALSE)),"")</f>
        <v>1.41</v>
      </c>
      <c r="H78" s="194">
        <f>IFERROR(IF(VLOOKUP($A78,'Annex 2 Designated EHV charges'!$A:$O,12,FALSE)=0,"",VLOOKUP($A78,'Annex 2 Designated EHV charges'!$A:$O,12,FALSE)),"")</f>
        <v>1.41</v>
      </c>
    </row>
    <row r="79" spans="1:8" ht="25.5" x14ac:dyDescent="0.2">
      <c r="A79" s="94" t="str" cm="1">
        <f t="array" ref="A79">IFERROR(INDEX('Annex 2 Designated EHV charges'!$A$10:$A$401, MATCH(0, IF(ISBLANK('Annex 2 Designated EHV charges'!$A$10:$A$401),1, COUNTIF(A$4:$A78, 'Annex 2 Designated EHV charges'!$A$10:$A$401)), 0)),"")</f>
        <v>PRECIS</v>
      </c>
      <c r="B79" s="94">
        <f>IF($A79="","",VLOOKUP($A79,'Annex 2 Designated EHV charges'!$A:$O,2,0))</f>
        <v>488</v>
      </c>
      <c r="C79" s="95" t="str">
        <f>IF($A79="","",VLOOKUP($A79,'Annex 2 Designated EHV charges'!$A:$O,3,0))</f>
        <v>1014572632790;1015685836242</v>
      </c>
      <c r="D79" s="94" t="str">
        <f>IF($A79="","",VLOOKUP($A79,'Annex 2 Designated EHV charges'!$A:$O,7,0))</f>
        <v>PRECIS</v>
      </c>
      <c r="E79" s="97">
        <f>IFERROR(IF(VLOOKUP($A79,'Annex 2 Designated EHV charges'!$A:$O,9,FALSE)=0,"",VLOOKUP($A79,'Annex 2 Designated EHV charges'!$A:$O,9,FALSE)),"")</f>
        <v>4.4619999999999997</v>
      </c>
      <c r="F79" s="194">
        <f>IFERROR(IF(VLOOKUP($A79,'Annex 2 Designated EHV charges'!$A:$O,10,FALSE)=0,"",VLOOKUP($A79,'Annex 2 Designated EHV charges'!$A:$O,10,FALSE)),"")</f>
        <v>5053.47</v>
      </c>
      <c r="G79" s="194">
        <f>IFERROR(IF(VLOOKUP($A79,'Annex 2 Designated EHV charges'!$A:$O,11,FALSE)=0,"",VLOOKUP($A79,'Annex 2 Designated EHV charges'!$A:$O,11,FALSE)),"")</f>
        <v>6.2</v>
      </c>
      <c r="H79" s="194">
        <f>IFERROR(IF(VLOOKUP($A79,'Annex 2 Designated EHV charges'!$A:$O,12,FALSE)=0,"",VLOOKUP($A79,'Annex 2 Designated EHV charges'!$A:$O,12,FALSE)),"")</f>
        <v>6.2</v>
      </c>
    </row>
    <row r="80" spans="1:8" ht="25.5" x14ac:dyDescent="0.2">
      <c r="A80" s="94" t="str" cm="1">
        <f t="array" ref="A80">IFERROR(INDEX('Annex 2 Designated EHV charges'!$A$10:$A$401, MATCH(0, IF(ISBLANK('Annex 2 Designated EHV charges'!$A$10:$A$401),1, COUNTIF(A$4:$A79, 'Annex 2 Designated EHV charges'!$A$10:$A$401)), 0)),"")</f>
        <v>PRMFDS</v>
      </c>
      <c r="B80" s="94">
        <f>IF($A80="","",VLOOKUP($A80,'Annex 2 Designated EHV charges'!$A:$O,2,0))</f>
        <v>489</v>
      </c>
      <c r="C80" s="95" t="str">
        <f>IF($A80="","",VLOOKUP($A80,'Annex 2 Designated EHV charges'!$A:$O,3,0))</f>
        <v>1014572860726;1023479474560</v>
      </c>
      <c r="D80" s="94" t="str">
        <f>IF($A80="","",VLOOKUP($A80,'Annex 2 Designated EHV charges'!$A:$O,7,0))</f>
        <v>PRMFDS</v>
      </c>
      <c r="E80" s="97">
        <f>IFERROR(IF(VLOOKUP($A80,'Annex 2 Designated EHV charges'!$A:$O,9,FALSE)=0,"",VLOOKUP($A80,'Annex 2 Designated EHV charges'!$A:$O,9,FALSE)),"")</f>
        <v>2.6949999999999998</v>
      </c>
      <c r="F80" s="194">
        <f>IFERROR(IF(VLOOKUP($A80,'Annex 2 Designated EHV charges'!$A:$O,10,FALSE)=0,"",VLOOKUP($A80,'Annex 2 Designated EHV charges'!$A:$O,10,FALSE)),"")</f>
        <v>5053.47</v>
      </c>
      <c r="G80" s="194">
        <f>IFERROR(IF(VLOOKUP($A80,'Annex 2 Designated EHV charges'!$A:$O,11,FALSE)=0,"",VLOOKUP($A80,'Annex 2 Designated EHV charges'!$A:$O,11,FALSE)),"")</f>
        <v>2.41</v>
      </c>
      <c r="H80" s="194">
        <f>IFERROR(IF(VLOOKUP($A80,'Annex 2 Designated EHV charges'!$A:$O,12,FALSE)=0,"",VLOOKUP($A80,'Annex 2 Designated EHV charges'!$A:$O,12,FALSE)),"")</f>
        <v>2.41</v>
      </c>
    </row>
    <row r="81" spans="1:8" x14ac:dyDescent="0.2">
      <c r="A81" s="94" t="str" cm="1">
        <f t="array" ref="A81">IFERROR(INDEX('Annex 2 Designated EHV charges'!$A$10:$A$401, MATCH(0, IF(ISBLANK('Annex 2 Designated EHV charges'!$A$10:$A$401),1, COUNTIF(A$4:$A80, 'Annex 2 Designated EHV charges'!$A$10:$A$401)), 0)),"")</f>
        <v>PRSTDC</v>
      </c>
      <c r="B81" s="94">
        <f>IF($A81="","",VLOOKUP($A81,'Annex 2 Designated EHV charges'!$A:$O,2,0))</f>
        <v>0</v>
      </c>
      <c r="C81" s="95" t="str">
        <f>IF($A81="","",VLOOKUP($A81,'Annex 2 Designated EHV charges'!$A:$O,3,0))</f>
        <v>ENET</v>
      </c>
      <c r="D81" s="94" t="str">
        <f>IF($A81="","",VLOOKUP($A81,'Annex 2 Designated EHV charges'!$A:$O,7,0))</f>
        <v>PRSTDC</v>
      </c>
      <c r="E81" s="97" t="str">
        <f>IFERROR(IF(VLOOKUP($A81,'Annex 2 Designated EHV charges'!$A:$O,9,FALSE)=0,"",VLOOKUP($A81,'Annex 2 Designated EHV charges'!$A:$O,9,FALSE)),"")</f>
        <v/>
      </c>
      <c r="F81" s="194">
        <f>IFERROR(IF(VLOOKUP($A81,'Annex 2 Designated EHV charges'!$A:$O,10,FALSE)=0,"",VLOOKUP($A81,'Annex 2 Designated EHV charges'!$A:$O,10,FALSE)),"")</f>
        <v>63923.98</v>
      </c>
      <c r="G81" s="194">
        <f>IFERROR(IF(VLOOKUP($A81,'Annex 2 Designated EHV charges'!$A:$O,11,FALSE)=0,"",VLOOKUP($A81,'Annex 2 Designated EHV charges'!$A:$O,11,FALSE)),"")</f>
        <v>1.02</v>
      </c>
      <c r="H81" s="194">
        <f>IFERROR(IF(VLOOKUP($A81,'Annex 2 Designated EHV charges'!$A:$O,12,FALSE)=0,"",VLOOKUP($A81,'Annex 2 Designated EHV charges'!$A:$O,12,FALSE)),"")</f>
        <v>1.02</v>
      </c>
    </row>
    <row r="82" spans="1:8" x14ac:dyDescent="0.2">
      <c r="A82" s="94" t="str" cm="1">
        <f t="array" ref="A82">IFERROR(INDEX('Annex 2 Designated EHV charges'!$A$10:$A$401, MATCH(0, IF(ISBLANK('Annex 2 Designated EHV charges'!$A$10:$A$401),1, COUNTIF(A$4:$A81, 'Annex 2 Designated EHV charges'!$A$10:$A$401)), 0)),"")</f>
        <v>QNETIC</v>
      </c>
      <c r="B82" s="94">
        <f>IF($A82="","",VLOOKUP($A82,'Annex 2 Designated EHV charges'!$A:$O,2,0))</f>
        <v>490</v>
      </c>
      <c r="C82" s="95">
        <f>IF($A82="","",VLOOKUP($A82,'Annex 2 Designated EHV charges'!$A:$O,3,0))</f>
        <v>1014572722956</v>
      </c>
      <c r="D82" s="94" t="str">
        <f>IF($A82="","",VLOOKUP($A82,'Annex 2 Designated EHV charges'!$A:$O,7,0))</f>
        <v>QNETIC</v>
      </c>
      <c r="E82" s="97">
        <f>IFERROR(IF(VLOOKUP($A82,'Annex 2 Designated EHV charges'!$A:$O,9,FALSE)=0,"",VLOOKUP($A82,'Annex 2 Designated EHV charges'!$A:$O,9,FALSE)),"")</f>
        <v>2.9780000000000002</v>
      </c>
      <c r="F82" s="194">
        <f>IFERROR(IF(VLOOKUP($A82,'Annex 2 Designated EHV charges'!$A:$O,10,FALSE)=0,"",VLOOKUP($A82,'Annex 2 Designated EHV charges'!$A:$O,10,FALSE)),"")</f>
        <v>13847.84</v>
      </c>
      <c r="G82" s="194">
        <f>IFERROR(IF(VLOOKUP($A82,'Annex 2 Designated EHV charges'!$A:$O,11,FALSE)=0,"",VLOOKUP($A82,'Annex 2 Designated EHV charges'!$A:$O,11,FALSE)),"")</f>
        <v>3.1</v>
      </c>
      <c r="H82" s="194">
        <f>IFERROR(IF(VLOOKUP($A82,'Annex 2 Designated EHV charges'!$A:$O,12,FALSE)=0,"",VLOOKUP($A82,'Annex 2 Designated EHV charges'!$A:$O,12,FALSE)),"")</f>
        <v>3.1</v>
      </c>
    </row>
    <row r="83" spans="1:8" ht="25.5" x14ac:dyDescent="0.2">
      <c r="A83" s="94" t="str" cm="1">
        <f t="array" ref="A83">IFERROR(INDEX('Annex 2 Designated EHV charges'!$A$10:$A$401, MATCH(0, IF(ISBLANK('Annex 2 Designated EHV charges'!$A$10:$A$401),1, COUNTIF(A$4:$A82, 'Annex 2 Designated EHV charges'!$A$10:$A$401)), 0)),"")</f>
        <v>RAINDC</v>
      </c>
      <c r="B83" s="94">
        <f>IF($A83="","",VLOOKUP($A83,'Annex 2 Designated EHV charges'!$A:$O,2,0))</f>
        <v>483</v>
      </c>
      <c r="C83" s="95" t="str">
        <f>IF($A83="","",VLOOKUP($A83,'Annex 2 Designated EHV charges'!$A:$O,3,0))</f>
        <v>1050001877738;1050001878244</v>
      </c>
      <c r="D83" s="94" t="str">
        <f>IF($A83="","",VLOOKUP($A83,'Annex 2 Designated EHV charges'!$A:$O,7,0))</f>
        <v>RAINDC</v>
      </c>
      <c r="E83" s="97" t="str">
        <f>IFERROR(IF(VLOOKUP($A83,'Annex 2 Designated EHV charges'!$A:$O,9,FALSE)=0,"",VLOOKUP($A83,'Annex 2 Designated EHV charges'!$A:$O,9,FALSE)),"")</f>
        <v/>
      </c>
      <c r="F83" s="194">
        <f>IFERROR(IF(VLOOKUP($A83,'Annex 2 Designated EHV charges'!$A:$O,10,FALSE)=0,"",VLOOKUP($A83,'Annex 2 Designated EHV charges'!$A:$O,10,FALSE)),"")</f>
        <v>124421.48</v>
      </c>
      <c r="G83" s="194">
        <f>IFERROR(IF(VLOOKUP($A83,'Annex 2 Designated EHV charges'!$A:$O,11,FALSE)=0,"",VLOOKUP($A83,'Annex 2 Designated EHV charges'!$A:$O,11,FALSE)),"")</f>
        <v>1.94</v>
      </c>
      <c r="H83" s="194">
        <f>IFERROR(IF(VLOOKUP($A83,'Annex 2 Designated EHV charges'!$A:$O,12,FALSE)=0,"",VLOOKUP($A83,'Annex 2 Designated EHV charges'!$A:$O,12,FALSE)),"")</f>
        <v>1.94</v>
      </c>
    </row>
    <row r="84" spans="1:8" x14ac:dyDescent="0.2">
      <c r="A84" s="94" t="str" cm="1">
        <f t="array" ref="A84">IFERROR(INDEX('Annex 2 Designated EHV charges'!$A$10:$A$401, MATCH(0, IF(ISBLANK('Annex 2 Designated EHV charges'!$A$10:$A$401),1, COUNTIF(A$4:$A83, 'Annex 2 Designated EHV charges'!$A$10:$A$401)), 0)),"")</f>
        <v>RANJAC</v>
      </c>
      <c r="B84" s="94">
        <f>IF($A84="","",VLOOKUP($A84,'Annex 2 Designated EHV charges'!$A:$O,2,0))</f>
        <v>492</v>
      </c>
      <c r="C84" s="95">
        <f>IF($A84="","",VLOOKUP($A84,'Annex 2 Designated EHV charges'!$A:$O,3,0))</f>
        <v>1014712345991</v>
      </c>
      <c r="D84" s="94" t="str">
        <f>IF($A84="","",VLOOKUP($A84,'Annex 2 Designated EHV charges'!$A:$O,7,0))</f>
        <v>RANJAC</v>
      </c>
      <c r="E84" s="97">
        <f>IFERROR(IF(VLOOKUP($A84,'Annex 2 Designated EHV charges'!$A:$O,9,FALSE)=0,"",VLOOKUP($A84,'Annex 2 Designated EHV charges'!$A:$O,9,FALSE)),"")</f>
        <v>0.33600000000000002</v>
      </c>
      <c r="F84" s="194">
        <f>IFERROR(IF(VLOOKUP($A84,'Annex 2 Designated EHV charges'!$A:$O,10,FALSE)=0,"",VLOOKUP($A84,'Annex 2 Designated EHV charges'!$A:$O,10,FALSE)),"")</f>
        <v>4834.92</v>
      </c>
      <c r="G84" s="194">
        <f>IFERROR(IF(VLOOKUP($A84,'Annex 2 Designated EHV charges'!$A:$O,11,FALSE)=0,"",VLOOKUP($A84,'Annex 2 Designated EHV charges'!$A:$O,11,FALSE)),"")</f>
        <v>2.88</v>
      </c>
      <c r="H84" s="194">
        <f>IFERROR(IF(VLOOKUP($A84,'Annex 2 Designated EHV charges'!$A:$O,12,FALSE)=0,"",VLOOKUP($A84,'Annex 2 Designated EHV charges'!$A:$O,12,FALSE)),"")</f>
        <v>2.88</v>
      </c>
    </row>
    <row r="85" spans="1:8" x14ac:dyDescent="0.2">
      <c r="A85" s="94" t="str" cm="1">
        <f t="array" ref="A85">IFERROR(INDEX('Annex 2 Designated EHV charges'!$A$10:$A$401, MATCH(0, IF(ISBLANK('Annex 2 Designated EHV charges'!$A$10:$A$401),1, COUNTIF(A$4:$A84, 'Annex 2 Designated EHV charges'!$A$10:$A$401)), 0)),"")</f>
        <v>RNDMHS</v>
      </c>
      <c r="B85" s="94">
        <f>IF($A85="","",VLOOKUP($A85,'Annex 2 Designated EHV charges'!$A:$O,2,0))</f>
        <v>493</v>
      </c>
      <c r="C85" s="95">
        <f>IF($A85="","",VLOOKUP($A85,'Annex 2 Designated EHV charges'!$A:$O,3,0))</f>
        <v>1014571768453</v>
      </c>
      <c r="D85" s="94" t="str">
        <f>IF($A85="","",VLOOKUP($A85,'Annex 2 Designated EHV charges'!$A:$O,7,0))</f>
        <v>RNDMHS</v>
      </c>
      <c r="E85" s="97">
        <f>IFERROR(IF(VLOOKUP($A85,'Annex 2 Designated EHV charges'!$A:$O,9,FALSE)=0,"",VLOOKUP($A85,'Annex 2 Designated EHV charges'!$A:$O,9,FALSE)),"")</f>
        <v>0.53300000000000003</v>
      </c>
      <c r="F85" s="194">
        <f>IFERROR(IF(VLOOKUP($A85,'Annex 2 Designated EHV charges'!$A:$O,10,FALSE)=0,"",VLOOKUP($A85,'Annex 2 Designated EHV charges'!$A:$O,10,FALSE)),"")</f>
        <v>4834.92</v>
      </c>
      <c r="G85" s="194">
        <f>IFERROR(IF(VLOOKUP($A85,'Annex 2 Designated EHV charges'!$A:$O,11,FALSE)=0,"",VLOOKUP($A85,'Annex 2 Designated EHV charges'!$A:$O,11,FALSE)),"")</f>
        <v>1.24</v>
      </c>
      <c r="H85" s="194">
        <f>IFERROR(IF(VLOOKUP($A85,'Annex 2 Designated EHV charges'!$A:$O,12,FALSE)=0,"",VLOOKUP($A85,'Annex 2 Designated EHV charges'!$A:$O,12,FALSE)),"")</f>
        <v>1.24</v>
      </c>
    </row>
    <row r="86" spans="1:8" x14ac:dyDescent="0.2">
      <c r="A86" s="94" t="str" cm="1">
        <f t="array" ref="A86">IFERROR(INDEX('Annex 2 Designated EHV charges'!$A$10:$A$401, MATCH(0, IF(ISBLANK('Annex 2 Designated EHV charges'!$A$10:$A$401),1, COUNTIF(A$4:$A85, 'Annex 2 Designated EHV charges'!$A$10:$A$401)), 0)),"")</f>
        <v>RPRLTD</v>
      </c>
      <c r="B86" s="94">
        <f>IF($A86="","",VLOOKUP($A86,'Annex 2 Designated EHV charges'!$A:$O,2,0))</f>
        <v>494</v>
      </c>
      <c r="C86" s="95">
        <f>IF($A86="","",VLOOKUP($A86,'Annex 2 Designated EHV charges'!$A:$O,3,0))</f>
        <v>1014569969627</v>
      </c>
      <c r="D86" s="94" t="str">
        <f>IF($A86="","",VLOOKUP($A86,'Annex 2 Designated EHV charges'!$A:$O,7,0))</f>
        <v>RPRLTD</v>
      </c>
      <c r="E86" s="97">
        <f>IFERROR(IF(VLOOKUP($A86,'Annex 2 Designated EHV charges'!$A:$O,9,FALSE)=0,"",VLOOKUP($A86,'Annex 2 Designated EHV charges'!$A:$O,9,FALSE)),"")</f>
        <v>3.516</v>
      </c>
      <c r="F86" s="194">
        <f>IFERROR(IF(VLOOKUP($A86,'Annex 2 Designated EHV charges'!$A:$O,10,FALSE)=0,"",VLOOKUP($A86,'Annex 2 Designated EHV charges'!$A:$O,10,FALSE)),"")</f>
        <v>5053.47</v>
      </c>
      <c r="G86" s="194">
        <f>IFERROR(IF(VLOOKUP($A86,'Annex 2 Designated EHV charges'!$A:$O,11,FALSE)=0,"",VLOOKUP($A86,'Annex 2 Designated EHV charges'!$A:$O,11,FALSE)),"")</f>
        <v>3.92</v>
      </c>
      <c r="H86" s="194">
        <f>IFERROR(IF(VLOOKUP($A86,'Annex 2 Designated EHV charges'!$A:$O,12,FALSE)=0,"",VLOOKUP($A86,'Annex 2 Designated EHV charges'!$A:$O,12,FALSE)),"")</f>
        <v>3.92</v>
      </c>
    </row>
    <row r="87" spans="1:8" x14ac:dyDescent="0.2">
      <c r="A87" s="94" t="str" cm="1">
        <f t="array" ref="A87">IFERROR(INDEX('Annex 2 Designated EHV charges'!$A$10:$A$401, MATCH(0, IF(ISBLANK('Annex 2 Designated EHV charges'!$A$10:$A$401),1, COUNTIF(A$4:$A86, 'Annex 2 Designated EHV charges'!$A$10:$A$401)), 0)),"")</f>
        <v>SEN1&amp;2</v>
      </c>
      <c r="B87" s="94">
        <f>IF($A87="","",VLOOKUP($A87,'Annex 2 Designated EHV charges'!$A:$O,2,0))</f>
        <v>0</v>
      </c>
      <c r="C87" s="95" t="str">
        <f>IF($A87="","",VLOOKUP($A87,'Annex 2 Designated EHV charges'!$A:$O,3,0))</f>
        <v>ENET</v>
      </c>
      <c r="D87" s="94" t="str">
        <f>IF($A87="","",VLOOKUP($A87,'Annex 2 Designated EHV charges'!$A:$O,7,0))</f>
        <v>SEN1&amp;2</v>
      </c>
      <c r="E87" s="97">
        <f>IFERROR(IF(VLOOKUP($A87,'Annex 2 Designated EHV charges'!$A:$O,9,FALSE)=0,"",VLOOKUP($A87,'Annex 2 Designated EHV charges'!$A:$O,9,FALSE)),"")</f>
        <v>0.111</v>
      </c>
      <c r="F87" s="194">
        <f>IFERROR(IF(VLOOKUP($A87,'Annex 2 Designated EHV charges'!$A:$O,10,FALSE)=0,"",VLOOKUP($A87,'Annex 2 Designated EHV charges'!$A:$O,10,FALSE)),"")</f>
        <v>52815.18</v>
      </c>
      <c r="G87" s="194">
        <f>IFERROR(IF(VLOOKUP($A87,'Annex 2 Designated EHV charges'!$A:$O,11,FALSE)=0,"",VLOOKUP($A87,'Annex 2 Designated EHV charges'!$A:$O,11,FALSE)),"")</f>
        <v>2.2799999999999998</v>
      </c>
      <c r="H87" s="194">
        <f>IFERROR(IF(VLOOKUP($A87,'Annex 2 Designated EHV charges'!$A:$O,12,FALSE)=0,"",VLOOKUP($A87,'Annex 2 Designated EHV charges'!$A:$O,12,FALSE)),"")</f>
        <v>2.2799999999999998</v>
      </c>
    </row>
    <row r="88" spans="1:8" ht="25.5" x14ac:dyDescent="0.2">
      <c r="A88" s="94" t="str" cm="1">
        <f t="array" ref="A88">IFERROR(INDEX('Annex 2 Designated EHV charges'!$A$10:$A$401, MATCH(0, IF(ISBLANK('Annex 2 Designated EHV charges'!$A$10:$A$401),1, COUNTIF(A$4:$A87, 'Annex 2 Designated EHV charges'!$A$10:$A$401)), 0)),"")</f>
        <v>SHELL_</v>
      </c>
      <c r="B88" s="94">
        <f>IF($A88="","",VLOOKUP($A88,'Annex 2 Designated EHV charges'!$A:$O,2,0))</f>
        <v>837</v>
      </c>
      <c r="C88" s="95" t="str">
        <f>IF($A88="","",VLOOKUP($A88,'Annex 2 Designated EHV charges'!$A:$O,3,0))</f>
        <v>1030083272428;1050001161751</v>
      </c>
      <c r="D88" s="94" t="str">
        <f>IF($A88="","",VLOOKUP($A88,'Annex 2 Designated EHV charges'!$A:$O,7,0))</f>
        <v>SHELL_</v>
      </c>
      <c r="E88" s="97">
        <f>IFERROR(IF(VLOOKUP($A88,'Annex 2 Designated EHV charges'!$A:$O,9,FALSE)=0,"",VLOOKUP($A88,'Annex 2 Designated EHV charges'!$A:$O,9,FALSE)),"")</f>
        <v>0.89500000000000002</v>
      </c>
      <c r="F88" s="194">
        <f>IFERROR(IF(VLOOKUP($A88,'Annex 2 Designated EHV charges'!$A:$O,10,FALSE)=0,"",VLOOKUP($A88,'Annex 2 Designated EHV charges'!$A:$O,10,FALSE)),"")</f>
        <v>71466.52</v>
      </c>
      <c r="G88" s="194">
        <f>IFERROR(IF(VLOOKUP($A88,'Annex 2 Designated EHV charges'!$A:$O,11,FALSE)=0,"",VLOOKUP($A88,'Annex 2 Designated EHV charges'!$A:$O,11,FALSE)),"")</f>
        <v>1.57</v>
      </c>
      <c r="H88" s="194">
        <f>IFERROR(IF(VLOOKUP($A88,'Annex 2 Designated EHV charges'!$A:$O,12,FALSE)=0,"",VLOOKUP($A88,'Annex 2 Designated EHV charges'!$A:$O,12,FALSE)),"")</f>
        <v>1.57</v>
      </c>
    </row>
    <row r="89" spans="1:8" ht="38.25" x14ac:dyDescent="0.2">
      <c r="A89" s="94" t="str" cm="1">
        <f t="array" ref="A89">IFERROR(INDEX('Annex 2 Designated EHV charges'!$A$10:$A$401, MATCH(0, IF(ISBLANK('Annex 2 Designated EHV charges'!$A$10:$A$401),1, COUNTIF(A$4:$A88, 'Annex 2 Designated EHV charges'!$A$10:$A$401)), 0)),"")</f>
        <v>STANS2</v>
      </c>
      <c r="B89" s="94">
        <f>IF($A89="","",VLOOKUP($A89,'Annex 2 Designated EHV charges'!$A:$O,2,0))</f>
        <v>802</v>
      </c>
      <c r="C89" s="95" t="str">
        <f>IF($A89="","",VLOOKUP($A89,'Annex 2 Designated EHV charges'!$A:$O,3,0))</f>
        <v>1030047519845;1030047520070;1050001977780</v>
      </c>
      <c r="D89" s="94" t="str">
        <f>IF($A89="","",VLOOKUP($A89,'Annex 2 Designated EHV charges'!$A:$O,7,0))</f>
        <v>STANS2</v>
      </c>
      <c r="E89" s="97">
        <f>IFERROR(IF(VLOOKUP($A89,'Annex 2 Designated EHV charges'!$A:$O,9,FALSE)=0,"",VLOOKUP($A89,'Annex 2 Designated EHV charges'!$A:$O,9,FALSE)),"")</f>
        <v>0.503</v>
      </c>
      <c r="F89" s="194">
        <f>IFERROR(IF(VLOOKUP($A89,'Annex 2 Designated EHV charges'!$A:$O,10,FALSE)=0,"",VLOOKUP($A89,'Annex 2 Designated EHV charges'!$A:$O,10,FALSE)),"")</f>
        <v>48271.63</v>
      </c>
      <c r="G89" s="194">
        <f>IFERROR(IF(VLOOKUP($A89,'Annex 2 Designated EHV charges'!$A:$O,11,FALSE)=0,"",VLOOKUP($A89,'Annex 2 Designated EHV charges'!$A:$O,11,FALSE)),"")</f>
        <v>4.78</v>
      </c>
      <c r="H89" s="194">
        <f>IFERROR(IF(VLOOKUP($A89,'Annex 2 Designated EHV charges'!$A:$O,12,FALSE)=0,"",VLOOKUP($A89,'Annex 2 Designated EHV charges'!$A:$O,12,FALSE)),"")</f>
        <v>4.78</v>
      </c>
    </row>
    <row r="90" spans="1:8" ht="63.75" x14ac:dyDescent="0.2">
      <c r="A90" s="94" t="str" cm="1">
        <f t="array" ref="A90">IFERROR(INDEX('Annex 2 Designated EHV charges'!$A$10:$A$401, MATCH(0, IF(ISBLANK('Annex 2 Designated EHV charges'!$A$10:$A$401),1, COUNTIF(A$4:$A89, 'Annex 2 Designated EHV charges'!$A$10:$A$401)), 0)),"")</f>
        <v>STANS3</v>
      </c>
      <c r="B90" s="94">
        <f>IF($A90="","",VLOOKUP($A90,'Annex 2 Designated EHV charges'!$A:$O,2,0))</f>
        <v>801</v>
      </c>
      <c r="C90" s="95" t="str">
        <f>IF($A90="","",VLOOKUP($A90,'Annex 2 Designated EHV charges'!$A:$O,3,0))</f>
        <v>1015685338293;1050002261340;1050002261369;1050002261378;1050002261387</v>
      </c>
      <c r="D90" s="94" t="str">
        <f>IF($A90="","",VLOOKUP($A90,'Annex 2 Designated EHV charges'!$A:$O,7,0))</f>
        <v>STANS3</v>
      </c>
      <c r="E90" s="97" t="str">
        <f>IFERROR(IF(VLOOKUP($A90,'Annex 2 Designated EHV charges'!$A:$O,9,FALSE)=0,"",VLOOKUP($A90,'Annex 2 Designated EHV charges'!$A:$O,9,FALSE)),"")</f>
        <v/>
      </c>
      <c r="F90" s="194">
        <f>IFERROR(IF(VLOOKUP($A90,'Annex 2 Designated EHV charges'!$A:$O,10,FALSE)=0,"",VLOOKUP($A90,'Annex 2 Designated EHV charges'!$A:$O,10,FALSE)),"")</f>
        <v>15007.33</v>
      </c>
      <c r="G90" s="194">
        <f>IFERROR(IF(VLOOKUP($A90,'Annex 2 Designated EHV charges'!$A:$O,11,FALSE)=0,"",VLOOKUP($A90,'Annex 2 Designated EHV charges'!$A:$O,11,FALSE)),"")</f>
        <v>2.96</v>
      </c>
      <c r="H90" s="194">
        <f>IFERROR(IF(VLOOKUP($A90,'Annex 2 Designated EHV charges'!$A:$O,12,FALSE)=0,"",VLOOKUP($A90,'Annex 2 Designated EHV charges'!$A:$O,12,FALSE)),"")</f>
        <v>2.96</v>
      </c>
    </row>
    <row r="91" spans="1:8" x14ac:dyDescent="0.2">
      <c r="A91" s="94" t="str" cm="1">
        <f t="array" ref="A91">IFERROR(INDEX('Annex 2 Designated EHV charges'!$A$10:$A$401, MATCH(0, IF(ISBLANK('Annex 2 Designated EHV charges'!$A$10:$A$401),1, COUNTIF(A$4:$A90, 'Annex 2 Designated EHV charges'!$A$10:$A$401)), 0)),"")</f>
        <v>STMFRD</v>
      </c>
      <c r="B91" s="94">
        <f>IF($A91="","",VLOOKUP($A91,'Annex 2 Designated EHV charges'!$A:$O,2,0))</f>
        <v>0</v>
      </c>
      <c r="C91" s="95" t="str">
        <f>IF($A91="","",VLOOKUP($A91,'Annex 2 Designated EHV charges'!$A:$O,3,0))</f>
        <v>MSID: 2035</v>
      </c>
      <c r="D91" s="94" t="str">
        <f>IF($A91="","",VLOOKUP($A91,'Annex 2 Designated EHV charges'!$A:$O,7,0))</f>
        <v>STMFRD</v>
      </c>
      <c r="E91" s="97" t="str">
        <f>IFERROR(IF(VLOOKUP($A91,'Annex 2 Designated EHV charges'!$A:$O,9,FALSE)=0,"",VLOOKUP($A91,'Annex 2 Designated EHV charges'!$A:$O,9,FALSE)),"")</f>
        <v/>
      </c>
      <c r="F91" s="194">
        <f>IFERROR(IF(VLOOKUP($A91,'Annex 2 Designated EHV charges'!$A:$O,10,FALSE)=0,"",VLOOKUP($A91,'Annex 2 Designated EHV charges'!$A:$O,10,FALSE)),"")</f>
        <v>70476.800000000003</v>
      </c>
      <c r="G91" s="194">
        <f>IFERROR(IF(VLOOKUP($A91,'Annex 2 Designated EHV charges'!$A:$O,11,FALSE)=0,"",VLOOKUP($A91,'Annex 2 Designated EHV charges'!$A:$O,11,FALSE)),"")</f>
        <v>2.72</v>
      </c>
      <c r="H91" s="194">
        <f>IFERROR(IF(VLOOKUP($A91,'Annex 2 Designated EHV charges'!$A:$O,12,FALSE)=0,"",VLOOKUP($A91,'Annex 2 Designated EHV charges'!$A:$O,12,FALSE)),"")</f>
        <v>2.72</v>
      </c>
    </row>
    <row r="92" spans="1:8" ht="38.25" x14ac:dyDescent="0.2">
      <c r="A92" s="94" t="str" cm="1">
        <f t="array" ref="A92">IFERROR(INDEX('Annex 2 Designated EHV charges'!$A$10:$A$401, MATCH(0, IF(ISBLANK('Annex 2 Designated EHV charges'!$A$10:$A$401),1, COUNTIF(A$4:$A91, 'Annex 2 Designated EHV charges'!$A$10:$A$401)), 0)),"")</f>
        <v>TILBUR</v>
      </c>
      <c r="B92" s="94">
        <f>IF($A92="","",VLOOKUP($A92,'Annex 2 Designated EHV charges'!$A:$O,2,0))</f>
        <v>833</v>
      </c>
      <c r="C92" s="95" t="str">
        <f>IF($A92="","",VLOOKUP($A92,'Annex 2 Designated EHV charges'!$A:$O,3,0))</f>
        <v>1023478133661;1023525728718;1023525729172</v>
      </c>
      <c r="D92" s="94" t="str">
        <f>IF($A92="","",VLOOKUP($A92,'Annex 2 Designated EHV charges'!$A:$O,7,0))</f>
        <v>TILBUR</v>
      </c>
      <c r="E92" s="97">
        <f>IFERROR(IF(VLOOKUP($A92,'Annex 2 Designated EHV charges'!$A:$O,9,FALSE)=0,"",VLOOKUP($A92,'Annex 2 Designated EHV charges'!$A:$O,9,FALSE)),"")</f>
        <v>9.1999999999999998E-2</v>
      </c>
      <c r="F92" s="194">
        <f>IFERROR(IF(VLOOKUP($A92,'Annex 2 Designated EHV charges'!$A:$O,10,FALSE)=0,"",VLOOKUP($A92,'Annex 2 Designated EHV charges'!$A:$O,10,FALSE)),"")</f>
        <v>74964.75</v>
      </c>
      <c r="G92" s="194">
        <f>IFERROR(IF(VLOOKUP($A92,'Annex 2 Designated EHV charges'!$A:$O,11,FALSE)=0,"",VLOOKUP($A92,'Annex 2 Designated EHV charges'!$A:$O,11,FALSE)),"")</f>
        <v>2.63</v>
      </c>
      <c r="H92" s="194">
        <f>IFERROR(IF(VLOOKUP($A92,'Annex 2 Designated EHV charges'!$A:$O,12,FALSE)=0,"",VLOOKUP($A92,'Annex 2 Designated EHV charges'!$A:$O,12,FALSE)),"")</f>
        <v>2.63</v>
      </c>
    </row>
    <row r="93" spans="1:8" ht="140.25" x14ac:dyDescent="0.2">
      <c r="A93" s="94" t="str" cm="1">
        <f t="array" ref="A93">IFERROR(INDEX('Annex 2 Designated EHV charges'!$A$10:$A$401, MATCH(0, IF(ISBLANK('Annex 2 Designated EHV charges'!$A$10:$A$401),1, COUNTIF(A$4:$A92, 'Annex 2 Designated EHV charges'!$A$10:$A$401)), 0)),"")</f>
        <v>TILBEM</v>
      </c>
      <c r="B93" s="94">
        <f>IF($A93="","",VLOOKUP($A93,'Annex 2 Designated EHV charges'!$A:$O,2,0))</f>
        <v>833</v>
      </c>
      <c r="C93" s="95" t="str">
        <f>IF($A93="","",VLOOKUP($A93,'Annex 2 Designated EHV charges'!$A:$O,3,0))</f>
        <v>1050001279560;1030082588170;1050000414848;1050000423105;1050003172045;1050003172054;1050003172063;1050003172081;1050003172115;1050003172142;1050003027339</v>
      </c>
      <c r="D93" s="94" t="str">
        <f>IF($A93="","",VLOOKUP($A93,'Annex 2 Designated EHV charges'!$A:$O,7,0))</f>
        <v>TILBEM</v>
      </c>
      <c r="E93" s="97">
        <f>IFERROR(IF(VLOOKUP($A93,'Annex 2 Designated EHV charges'!$A:$O,9,FALSE)=0,"",VLOOKUP($A93,'Annex 2 Designated EHV charges'!$A:$O,9,FALSE)),"")</f>
        <v>9.1999999999999998E-2</v>
      </c>
      <c r="F93" s="194" t="str">
        <f>IFERROR(IF(VLOOKUP($A93,'Annex 2 Designated EHV charges'!$A:$O,10,FALSE)=0,"",VLOOKUP($A93,'Annex 2 Designated EHV charges'!$A:$O,10,FALSE)),"")</f>
        <v/>
      </c>
      <c r="G93" s="194" t="str">
        <f>IFERROR(IF(VLOOKUP($A93,'Annex 2 Designated EHV charges'!$A:$O,11,FALSE)=0,"",VLOOKUP($A93,'Annex 2 Designated EHV charges'!$A:$O,11,FALSE)),"")</f>
        <v/>
      </c>
      <c r="H93" s="194" t="str">
        <f>IFERROR(IF(VLOOKUP($A93,'Annex 2 Designated EHV charges'!$A:$O,12,FALSE)=0,"",VLOOKUP($A93,'Annex 2 Designated EHV charges'!$A:$O,12,FALSE)),"")</f>
        <v/>
      </c>
    </row>
    <row r="94" spans="1:8" ht="25.5" x14ac:dyDescent="0.2">
      <c r="A94" s="94" t="str" cm="1">
        <f t="array" ref="A94">IFERROR(INDEX('Annex 2 Designated EHV charges'!$A$10:$A$401, MATCH(0, IF(ISBLANK('Annex 2 Designated EHV charges'!$A$10:$A$401),1, COUNTIF(A$4:$A93, 'Annex 2 Designated EHV charges'!$A$10:$A$401)), 0)),"")</f>
        <v>UB_EYE</v>
      </c>
      <c r="B94" s="94">
        <f>IF($A94="","",VLOOKUP($A94,'Annex 2 Designated EHV charges'!$A:$O,2,0))</f>
        <v>495</v>
      </c>
      <c r="C94" s="95" t="str">
        <f>IF($A94="","",VLOOKUP($A94,'Annex 2 Designated EHV charges'!$A:$O,3,0))</f>
        <v>1014573052317;1023470683505</v>
      </c>
      <c r="D94" s="94" t="str">
        <f>IF($A94="","",VLOOKUP($A94,'Annex 2 Designated EHV charges'!$A:$O,7,0))</f>
        <v>UB_EYE</v>
      </c>
      <c r="E94" s="97">
        <f>IFERROR(IF(VLOOKUP($A94,'Annex 2 Designated EHV charges'!$A:$O,9,FALSE)=0,"",VLOOKUP($A94,'Annex 2 Designated EHV charges'!$A:$O,9,FALSE)),"")</f>
        <v>1.246</v>
      </c>
      <c r="F94" s="194">
        <f>IFERROR(IF(VLOOKUP($A94,'Annex 2 Designated EHV charges'!$A:$O,10,FALSE)=0,"",VLOOKUP($A94,'Annex 2 Designated EHV charges'!$A:$O,10,FALSE)),"")</f>
        <v>15444.41</v>
      </c>
      <c r="G94" s="194">
        <f>IFERROR(IF(VLOOKUP($A94,'Annex 2 Designated EHV charges'!$A:$O,11,FALSE)=0,"",VLOOKUP($A94,'Annex 2 Designated EHV charges'!$A:$O,11,FALSE)),"")</f>
        <v>3.77</v>
      </c>
      <c r="H94" s="194">
        <f>IFERROR(IF(VLOOKUP($A94,'Annex 2 Designated EHV charges'!$A:$O,12,FALSE)=0,"",VLOOKUP($A94,'Annex 2 Designated EHV charges'!$A:$O,12,FALSE)),"")</f>
        <v>3.77</v>
      </c>
    </row>
    <row r="95" spans="1:8" ht="25.5" x14ac:dyDescent="0.2">
      <c r="A95" s="94" t="str" cm="1">
        <f t="array" ref="A95">IFERROR(INDEX('Annex 2 Designated EHV charges'!$A$10:$A$401, MATCH(0, IF(ISBLANK('Annex 2 Designated EHV charges'!$A$10:$A$401),1, COUNTIF(A$4:$A94, 'Annex 2 Designated EHV charges'!$A$10:$A$401)), 0)),"")</f>
        <v>UBS_UK</v>
      </c>
      <c r="B95" s="94">
        <f>IF($A95="","",VLOOKUP($A95,'Annex 2 Designated EHV charges'!$A:$O,2,0))</f>
        <v>496</v>
      </c>
      <c r="C95" s="95" t="str">
        <f>IF($A95="","",VLOOKUP($A95,'Annex 2 Designated EHV charges'!$A:$O,3,0))</f>
        <v>1030065428330;1030065428562</v>
      </c>
      <c r="D95" s="94" t="str">
        <f>IF($A95="","",VLOOKUP($A95,'Annex 2 Designated EHV charges'!$A:$O,7,0))</f>
        <v>UBS_UK</v>
      </c>
      <c r="E95" s="97">
        <f>IFERROR(IF(VLOOKUP($A95,'Annex 2 Designated EHV charges'!$A:$O,9,FALSE)=0,"",VLOOKUP($A95,'Annex 2 Designated EHV charges'!$A:$O,9,FALSE)),"")</f>
        <v>1.4950000000000001</v>
      </c>
      <c r="F95" s="194">
        <f>IFERROR(IF(VLOOKUP($A95,'Annex 2 Designated EHV charges'!$A:$O,10,FALSE)=0,"",VLOOKUP($A95,'Annex 2 Designated EHV charges'!$A:$O,10,FALSE)),"")</f>
        <v>26773.74</v>
      </c>
      <c r="G95" s="194">
        <f>IFERROR(IF(VLOOKUP($A95,'Annex 2 Designated EHV charges'!$A:$O,11,FALSE)=0,"",VLOOKUP($A95,'Annex 2 Designated EHV charges'!$A:$O,11,FALSE)),"")</f>
        <v>1.17</v>
      </c>
      <c r="H95" s="194">
        <f>IFERROR(IF(VLOOKUP($A95,'Annex 2 Designated EHV charges'!$A:$O,12,FALSE)=0,"",VLOOKUP($A95,'Annex 2 Designated EHV charges'!$A:$O,12,FALSE)),"")</f>
        <v>1.17</v>
      </c>
    </row>
    <row r="96" spans="1:8" ht="38.25" x14ac:dyDescent="0.2">
      <c r="A96" s="94" t="str" cm="1">
        <f t="array" ref="A96">IFERROR(INDEX('Annex 2 Designated EHV charges'!$A$10:$A$401, MATCH(0, IF(ISBLANK('Annex 2 Designated EHV charges'!$A$10:$A$401),1, COUNTIF(A$4:$A95, 'Annex 2 Designated EHV charges'!$A$10:$A$401)), 0)),"")</f>
        <v>VXHALL</v>
      </c>
      <c r="B96" s="94">
        <f>IF($A96="","",VLOOKUP($A96,'Annex 2 Designated EHV charges'!$A:$O,2,0))</f>
        <v>497</v>
      </c>
      <c r="C96" s="95" t="str">
        <f>IF($A96="","",VLOOKUP($A96,'Annex 2 Designated EHV charges'!$A:$O,3,0))</f>
        <v>1014571158953;1014571159186;1014571159414</v>
      </c>
      <c r="D96" s="94" t="str">
        <f>IF($A96="","",VLOOKUP($A96,'Annex 2 Designated EHV charges'!$A:$O,7,0))</f>
        <v>VXHALL</v>
      </c>
      <c r="E96" s="97">
        <f>IFERROR(IF(VLOOKUP($A96,'Annex 2 Designated EHV charges'!$A:$O,9,FALSE)=0,"",VLOOKUP($A96,'Annex 2 Designated EHV charges'!$A:$O,9,FALSE)),"")</f>
        <v>0.53200000000000003</v>
      </c>
      <c r="F96" s="194">
        <f>IFERROR(IF(VLOOKUP($A96,'Annex 2 Designated EHV charges'!$A:$O,10,FALSE)=0,"",VLOOKUP($A96,'Annex 2 Designated EHV charges'!$A:$O,10,FALSE)),"")</f>
        <v>62010.26</v>
      </c>
      <c r="G96" s="194">
        <f>IFERROR(IF(VLOOKUP($A96,'Annex 2 Designated EHV charges'!$A:$O,11,FALSE)=0,"",VLOOKUP($A96,'Annex 2 Designated EHV charges'!$A:$O,11,FALSE)),"")</f>
        <v>2.9</v>
      </c>
      <c r="H96" s="194">
        <f>IFERROR(IF(VLOOKUP($A96,'Annex 2 Designated EHV charges'!$A:$O,12,FALSE)=0,"",VLOOKUP($A96,'Annex 2 Designated EHV charges'!$A:$O,12,FALSE)),"")</f>
        <v>2.9</v>
      </c>
    </row>
    <row r="97" spans="1:8" ht="25.5" x14ac:dyDescent="0.2">
      <c r="A97" s="94" t="str" cm="1">
        <f t="array" ref="A97">IFERROR(INDEX('Annex 2 Designated EHV charges'!$A$10:$A$401, MATCH(0, IF(ISBLANK('Annex 2 Designated EHV charges'!$A$10:$A$401),1, COUNTIF(A$4:$A96, 'Annex 2 Designated EHV charges'!$A$10:$A$401)), 0)),"")</f>
        <v>WARNER</v>
      </c>
      <c r="B97" s="94">
        <f>IF($A97="","",VLOOKUP($A97,'Annex 2 Designated EHV charges'!$A:$O,2,0))</f>
        <v>498</v>
      </c>
      <c r="C97" s="95" t="str">
        <f>IF($A97="","",VLOOKUP($A97,'Annex 2 Designated EHV charges'!$A:$O,3,0))</f>
        <v>1030076325049;1030076325270</v>
      </c>
      <c r="D97" s="94" t="str">
        <f>IF($A97="","",VLOOKUP($A97,'Annex 2 Designated EHV charges'!$A:$O,7,0))</f>
        <v>WARNER</v>
      </c>
      <c r="E97" s="97">
        <f>IFERROR(IF(VLOOKUP($A97,'Annex 2 Designated EHV charges'!$A:$O,9,FALSE)=0,"",VLOOKUP($A97,'Annex 2 Designated EHV charges'!$A:$O,9,FALSE)),"")</f>
        <v>3.22</v>
      </c>
      <c r="F97" s="194">
        <f>IFERROR(IF(VLOOKUP($A97,'Annex 2 Designated EHV charges'!$A:$O,10,FALSE)=0,"",VLOOKUP($A97,'Annex 2 Designated EHV charges'!$A:$O,10,FALSE)),"")</f>
        <v>25646.58</v>
      </c>
      <c r="G97" s="194">
        <f>IFERROR(IF(VLOOKUP($A97,'Annex 2 Designated EHV charges'!$A:$O,11,FALSE)=0,"",VLOOKUP($A97,'Annex 2 Designated EHV charges'!$A:$O,11,FALSE)),"")</f>
        <v>3.81</v>
      </c>
      <c r="H97" s="194">
        <f>IFERROR(IF(VLOOKUP($A97,'Annex 2 Designated EHV charges'!$A:$O,12,FALSE)=0,"",VLOOKUP($A97,'Annex 2 Designated EHV charges'!$A:$O,12,FALSE)),"")</f>
        <v>3.81</v>
      </c>
    </row>
    <row r="98" spans="1:8" x14ac:dyDescent="0.2">
      <c r="A98" s="94" t="str" cm="1">
        <f t="array" ref="A98">IFERROR(INDEX('Annex 2 Designated EHV charges'!$A$10:$A$401, MATCH(0, IF(ISBLANK('Annex 2 Designated EHV charges'!$A$10:$A$401),1, COUNTIF(A$4:$A97, 'Annex 2 Designated EHV charges'!$A$10:$A$401)), 0)),"")</f>
        <v>WILLIA</v>
      </c>
      <c r="B98" s="94">
        <f>IF($A98="","",VLOOKUP($A98,'Annex 2 Designated EHV charges'!$A:$O,2,0))</f>
        <v>819</v>
      </c>
      <c r="C98" s="95">
        <f>IF($A98="","",VLOOKUP($A98,'Annex 2 Designated EHV charges'!$A:$O,3,0))</f>
        <v>1030027859903</v>
      </c>
      <c r="D98" s="94" t="str">
        <f>IF($A98="","",VLOOKUP($A98,'Annex 2 Designated EHV charges'!$A:$O,7,0))</f>
        <v>WILLIA</v>
      </c>
      <c r="E98" s="97">
        <f>IFERROR(IF(VLOOKUP($A98,'Annex 2 Designated EHV charges'!$A:$O,9,FALSE)=0,"",VLOOKUP($A98,'Annex 2 Designated EHV charges'!$A:$O,9,FALSE)),"")</f>
        <v>0.94599999999999995</v>
      </c>
      <c r="F98" s="194">
        <f>IFERROR(IF(VLOOKUP($A98,'Annex 2 Designated EHV charges'!$A:$O,10,FALSE)=0,"",VLOOKUP($A98,'Annex 2 Designated EHV charges'!$A:$O,10,FALSE)),"")</f>
        <v>17385.759999999998</v>
      </c>
      <c r="G98" s="194">
        <f>IFERROR(IF(VLOOKUP($A98,'Annex 2 Designated EHV charges'!$A:$O,11,FALSE)=0,"",VLOOKUP($A98,'Annex 2 Designated EHV charges'!$A:$O,11,FALSE)),"")</f>
        <v>2.74</v>
      </c>
      <c r="H98" s="194">
        <f>IFERROR(IF(VLOOKUP($A98,'Annex 2 Designated EHV charges'!$A:$O,12,FALSE)=0,"",VLOOKUP($A98,'Annex 2 Designated EHV charges'!$A:$O,12,FALSE)),"")</f>
        <v>2.74</v>
      </c>
    </row>
    <row r="99" spans="1:8" ht="51" x14ac:dyDescent="0.2">
      <c r="A99" s="94" t="str" cm="1">
        <f t="array" ref="A99">IFERROR(INDEX('Annex 2 Designated EHV charges'!$A$10:$A$401, MATCH(0, IF(ISBLANK('Annex 2 Designated EHV charges'!$A$10:$A$401),1, COUNTIF(A$4:$A98, 'Annex 2 Designated EHV charges'!$A$10:$A$401)), 0)),"")</f>
        <v>WWYNDC</v>
      </c>
      <c r="B99" s="94">
        <f>IF($A99="","",VLOOKUP($A99,'Annex 2 Designated EHV charges'!$A:$O,2,0))</f>
        <v>863</v>
      </c>
      <c r="C99" s="95" t="str">
        <f>IF($A99="","",VLOOKUP($A99,'Annex 2 Designated EHV charges'!$A:$O,3,0))</f>
        <v>1030059750786;1030059751015;1050001656595;1050001656600</v>
      </c>
      <c r="D99" s="94" t="str">
        <f>IF($A99="","",VLOOKUP($A99,'Annex 2 Designated EHV charges'!$A:$O,7,0))</f>
        <v>WWYNDC</v>
      </c>
      <c r="E99" s="97">
        <f>IFERROR(IF(VLOOKUP($A99,'Annex 2 Designated EHV charges'!$A:$O,9,FALSE)=0,"",VLOOKUP($A99,'Annex 2 Designated EHV charges'!$A:$O,9,FALSE)),"")</f>
        <v>0.97199999999999998</v>
      </c>
      <c r="F99" s="194">
        <f>IFERROR(IF(VLOOKUP($A99,'Annex 2 Designated EHV charges'!$A:$O,10,FALSE)=0,"",VLOOKUP($A99,'Annex 2 Designated EHV charges'!$A:$O,10,FALSE)),"")</f>
        <v>114099.9</v>
      </c>
      <c r="G99" s="194">
        <f>IFERROR(IF(VLOOKUP($A99,'Annex 2 Designated EHV charges'!$A:$O,11,FALSE)=0,"",VLOOKUP($A99,'Annex 2 Designated EHV charges'!$A:$O,11,FALSE)),"")</f>
        <v>3.01</v>
      </c>
      <c r="H99" s="194">
        <f>IFERROR(IF(VLOOKUP($A99,'Annex 2 Designated EHV charges'!$A:$O,12,FALSE)=0,"",VLOOKUP($A99,'Annex 2 Designated EHV charges'!$A:$O,12,FALSE)),"")</f>
        <v>3.01</v>
      </c>
    </row>
    <row r="100" spans="1:8" x14ac:dyDescent="0.2">
      <c r="A100" s="94" t="str" cm="1">
        <f t="array" ref="A100">IFERROR(INDEX('Annex 2 Designated EHV charges'!$A$10:$A$401, MATCH(0, IF(ISBLANK('Annex 2 Designated EHV charges'!$A$10:$A$401),1, COUNTIF(A$4:$A99, 'Annex 2 Designated EHV charges'!$A$10:$A$401)), 0)),"")</f>
        <v>ABSRSF</v>
      </c>
      <c r="B100" s="94">
        <f>IF($A100="","",VLOOKUP($A100,'Annex 2 Designated EHV charges'!$A:$O,2,0))</f>
        <v>869</v>
      </c>
      <c r="C100" s="95">
        <f>IF($A100="","",VLOOKUP($A100,'Annex 2 Designated EHV charges'!$A:$O,3,0))</f>
        <v>1050000574685</v>
      </c>
      <c r="D100" s="94" t="str">
        <f>IF($A100="","",VLOOKUP($A100,'Annex 2 Designated EHV charges'!$A:$O,7,0))</f>
        <v>ABSRSF</v>
      </c>
      <c r="E100" s="97">
        <f>IFERROR(IF(VLOOKUP($A100,'Annex 2 Designated EHV charges'!$A:$O,9,FALSE)=0,"",VLOOKUP($A100,'Annex 2 Designated EHV charges'!$A:$O,9,FALSE)),"")</f>
        <v>3.6030000000000002</v>
      </c>
      <c r="F100" s="194">
        <f>IFERROR(IF(VLOOKUP($A100,'Annex 2 Designated EHV charges'!$A:$O,10,FALSE)=0,"",VLOOKUP($A100,'Annex 2 Designated EHV charges'!$A:$O,10,FALSE)),"")</f>
        <v>19.100000000000001</v>
      </c>
      <c r="G100" s="194">
        <f>IFERROR(IF(VLOOKUP($A100,'Annex 2 Designated EHV charges'!$A:$O,11,FALSE)=0,"",VLOOKUP($A100,'Annex 2 Designated EHV charges'!$A:$O,11,FALSE)),"")</f>
        <v>3.09</v>
      </c>
      <c r="H100" s="194">
        <f>IFERROR(IF(VLOOKUP($A100,'Annex 2 Designated EHV charges'!$A:$O,12,FALSE)=0,"",VLOOKUP($A100,'Annex 2 Designated EHV charges'!$A:$O,12,FALSE)),"")</f>
        <v>3.09</v>
      </c>
    </row>
    <row r="101" spans="1:8" x14ac:dyDescent="0.2">
      <c r="A101" s="94" t="str" cm="1">
        <f t="array" ref="A101">IFERROR(INDEX('Annex 2 Designated EHV charges'!$A$10:$A$401, MATCH(0, IF(ISBLANK('Annex 2 Designated EHV charges'!$A$10:$A$401),1, COUNTIF(A$4:$A100, 'Annex 2 Designated EHV charges'!$A$10:$A$401)), 0)),"")</f>
        <v>AIAMAN</v>
      </c>
      <c r="B101" s="94">
        <f>IF($A101="","",VLOOKUP($A101,'Annex 2 Designated EHV charges'!$A:$O,2,0))</f>
        <v>499</v>
      </c>
      <c r="C101" s="95">
        <f>IF($A101="","",VLOOKUP($A101,'Annex 2 Designated EHV charges'!$A:$O,3,0))</f>
        <v>1014569292506</v>
      </c>
      <c r="D101" s="94" t="str">
        <f>IF($A101="","",VLOOKUP($A101,'Annex 2 Designated EHV charges'!$A:$O,7,0))</f>
        <v>AIAMAN</v>
      </c>
      <c r="E101" s="97">
        <f>IFERROR(IF(VLOOKUP($A101,'Annex 2 Designated EHV charges'!$A:$O,9,FALSE)=0,"",VLOOKUP($A101,'Annex 2 Designated EHV charges'!$A:$O,9,FALSE)),"")</f>
        <v>5.5570000000000004</v>
      </c>
      <c r="F101" s="194">
        <f>IFERROR(IF(VLOOKUP($A101,'Annex 2 Designated EHV charges'!$A:$O,10,FALSE)=0,"",VLOOKUP($A101,'Annex 2 Designated EHV charges'!$A:$O,10,FALSE)),"")</f>
        <v>4637.1899999999996</v>
      </c>
      <c r="G101" s="194">
        <f>IFERROR(IF(VLOOKUP($A101,'Annex 2 Designated EHV charges'!$A:$O,11,FALSE)=0,"",VLOOKUP($A101,'Annex 2 Designated EHV charges'!$A:$O,11,FALSE)),"")</f>
        <v>4.63</v>
      </c>
      <c r="H101" s="194">
        <f>IFERROR(IF(VLOOKUP($A101,'Annex 2 Designated EHV charges'!$A:$O,12,FALSE)=0,"",VLOOKUP($A101,'Annex 2 Designated EHV charges'!$A:$O,12,FALSE)),"")</f>
        <v>4.63</v>
      </c>
    </row>
    <row r="102" spans="1:8" x14ac:dyDescent="0.2">
      <c r="A102" s="94" t="str" cm="1">
        <f t="array" ref="A102">IFERROR(INDEX('Annex 2 Designated EHV charges'!$A$10:$A$401, MATCH(0, IF(ISBLANK('Annex 2 Designated EHV charges'!$A$10:$A$401),1, COUNTIF(A$4:$A101, 'Annex 2 Designated EHV charges'!$A$10:$A$401)), 0)),"")</f>
        <v>ALCORG</v>
      </c>
      <c r="B102" s="94">
        <f>IF($A102="","",VLOOKUP($A102,'Annex 2 Designated EHV charges'!$A:$O,2,0))</f>
        <v>300</v>
      </c>
      <c r="C102" s="95">
        <f>IF($A102="","",VLOOKUP($A102,'Annex 2 Designated EHV charges'!$A:$O,3,0))</f>
        <v>1050001015545</v>
      </c>
      <c r="D102" s="94" t="str">
        <f>IF($A102="","",VLOOKUP($A102,'Annex 2 Designated EHV charges'!$A:$O,7,0))</f>
        <v>ALCORG</v>
      </c>
      <c r="E102" s="97" t="str">
        <f>IFERROR(IF(VLOOKUP($A102,'Annex 2 Designated EHV charges'!$A:$O,9,FALSE)=0,"",VLOOKUP($A102,'Annex 2 Designated EHV charges'!$A:$O,9,FALSE)),"")</f>
        <v/>
      </c>
      <c r="F102" s="194">
        <f>IFERROR(IF(VLOOKUP($A102,'Annex 2 Designated EHV charges'!$A:$O,10,FALSE)=0,"",VLOOKUP($A102,'Annex 2 Designated EHV charges'!$A:$O,10,FALSE)),"")</f>
        <v>4616.38</v>
      </c>
      <c r="G102" s="194" t="str">
        <f>IFERROR(IF(VLOOKUP($A102,'Annex 2 Designated EHV charges'!$A:$O,11,FALSE)=0,"",VLOOKUP($A102,'Annex 2 Designated EHV charges'!$A:$O,11,FALSE)),"")</f>
        <v/>
      </c>
      <c r="H102" s="194" t="str">
        <f>IFERROR(IF(VLOOKUP($A102,'Annex 2 Designated EHV charges'!$A:$O,12,FALSE)=0,"",VLOOKUP($A102,'Annex 2 Designated EHV charges'!$A:$O,12,FALSE)),"")</f>
        <v/>
      </c>
    </row>
    <row r="103" spans="1:8" x14ac:dyDescent="0.2">
      <c r="A103" s="94" t="str" cm="1">
        <f t="array" ref="A103">IFERROR(INDEX('Annex 2 Designated EHV charges'!$A$10:$A$401, MATCH(0, IF(ISBLANK('Annex 2 Designated EHV charges'!$A$10:$A$401),1, COUNTIF(A$4:$A102, 'Annex 2 Designated EHV charges'!$A$10:$A$401)), 0)),"")</f>
        <v>ARDLGH</v>
      </c>
      <c r="B103" s="94">
        <f>IF($A103="","",VLOOKUP($A103,'Annex 2 Designated EHV charges'!$A:$O,2,0))</f>
        <v>564</v>
      </c>
      <c r="C103" s="95">
        <f>IF($A103="","",VLOOKUP($A103,'Annex 2 Designated EHV charges'!$A:$O,3,0))</f>
        <v>1050001061597</v>
      </c>
      <c r="D103" s="94" t="str">
        <f>IF($A103="","",VLOOKUP($A103,'Annex 2 Designated EHV charges'!$A:$O,7,0))</f>
        <v>ARDLGH</v>
      </c>
      <c r="E103" s="97" t="str">
        <f>IFERROR(IF(VLOOKUP($A103,'Annex 2 Designated EHV charges'!$A:$O,9,FALSE)=0,"",VLOOKUP($A103,'Annex 2 Designated EHV charges'!$A:$O,9,FALSE)),"")</f>
        <v/>
      </c>
      <c r="F103" s="194">
        <f>IFERROR(IF(VLOOKUP($A103,'Annex 2 Designated EHV charges'!$A:$O,10,FALSE)=0,"",VLOOKUP($A103,'Annex 2 Designated EHV charges'!$A:$O,10,FALSE)),"")</f>
        <v>3.86</v>
      </c>
      <c r="G103" s="194">
        <f>IFERROR(IF(VLOOKUP($A103,'Annex 2 Designated EHV charges'!$A:$O,11,FALSE)=0,"",VLOOKUP($A103,'Annex 2 Designated EHV charges'!$A:$O,11,FALSE)),"")</f>
        <v>3.19</v>
      </c>
      <c r="H103" s="194">
        <f>IFERROR(IF(VLOOKUP($A103,'Annex 2 Designated EHV charges'!$A:$O,12,FALSE)=0,"",VLOOKUP($A103,'Annex 2 Designated EHV charges'!$A:$O,12,FALSE)),"")</f>
        <v>3.19</v>
      </c>
    </row>
    <row r="104" spans="1:8" x14ac:dyDescent="0.2">
      <c r="A104" s="94" t="str" cm="1">
        <f t="array" ref="A104">IFERROR(INDEX('Annex 2 Designated EHV charges'!$A$10:$A$401, MATCH(0, IF(ISBLANK('Annex 2 Designated EHV charges'!$A$10:$A$401),1, COUNTIF(A$4:$A103, 'Annex 2 Designated EHV charges'!$A$10:$A$401)), 0)),"")</f>
        <v>ARLBES</v>
      </c>
      <c r="B104" s="94">
        <f>IF($A104="","",VLOOKUP($A104,'Annex 2 Designated EHV charges'!$A:$O,2,0))</f>
        <v>0</v>
      </c>
      <c r="C104" s="95" t="str">
        <f>IF($A104="","",VLOOKUP($A104,'Annex 2 Designated EHV charges'!$A:$O,3,0))</f>
        <v>MSID: 7401</v>
      </c>
      <c r="D104" s="94" t="str">
        <f>IF($A104="","",VLOOKUP($A104,'Annex 2 Designated EHV charges'!$A:$O,7,0))</f>
        <v>ARLBES</v>
      </c>
      <c r="E104" s="97" t="str">
        <f>IFERROR(IF(VLOOKUP($A104,'Annex 2 Designated EHV charges'!$A:$O,9,FALSE)=0,"",VLOOKUP($A104,'Annex 2 Designated EHV charges'!$A:$O,9,FALSE)),"")</f>
        <v/>
      </c>
      <c r="F104" s="194">
        <f>IFERROR(IF(VLOOKUP($A104,'Annex 2 Designated EHV charges'!$A:$O,10,FALSE)=0,"",VLOOKUP($A104,'Annex 2 Designated EHV charges'!$A:$O,10,FALSE)),"")</f>
        <v>1822.74</v>
      </c>
      <c r="G104" s="194">
        <f>IFERROR(IF(VLOOKUP($A104,'Annex 2 Designated EHV charges'!$A:$O,11,FALSE)=0,"",VLOOKUP($A104,'Annex 2 Designated EHV charges'!$A:$O,11,FALSE)),"")</f>
        <v>1.3</v>
      </c>
      <c r="H104" s="194">
        <f>IFERROR(IF(VLOOKUP($A104,'Annex 2 Designated EHV charges'!$A:$O,12,FALSE)=0,"",VLOOKUP($A104,'Annex 2 Designated EHV charges'!$A:$O,12,FALSE)),"")</f>
        <v>1.3</v>
      </c>
    </row>
    <row r="105" spans="1:8" x14ac:dyDescent="0.2">
      <c r="A105" s="94" t="str" cm="1">
        <f t="array" ref="A105">IFERROR(INDEX('Annex 2 Designated EHV charges'!$A$10:$A$401, MATCH(0, IF(ISBLANK('Annex 2 Designated EHV charges'!$A$10:$A$401),1, COUNTIF(A$4:$A104, 'Annex 2 Designated EHV charges'!$A$10:$A$401)), 0)),"")</f>
        <v>ASTONC</v>
      </c>
      <c r="B105" s="94">
        <f>IF($A105="","",VLOOKUP($A105,'Annex 2 Designated EHV charges'!$A:$O,2,0))</f>
        <v>503</v>
      </c>
      <c r="C105" s="95">
        <f>IF($A105="","",VLOOKUP($A105,'Annex 2 Designated EHV charges'!$A:$O,3,0))</f>
        <v>1050000834246</v>
      </c>
      <c r="D105" s="94" t="str">
        <f>IF($A105="","",VLOOKUP($A105,'Annex 2 Designated EHV charges'!$A:$O,7,0))</f>
        <v>ASTONC</v>
      </c>
      <c r="E105" s="97">
        <f>IFERROR(IF(VLOOKUP($A105,'Annex 2 Designated EHV charges'!$A:$O,9,FALSE)=0,"",VLOOKUP($A105,'Annex 2 Designated EHV charges'!$A:$O,9,FALSE)),"")</f>
        <v>5.093</v>
      </c>
      <c r="F105" s="194">
        <f>IFERROR(IF(VLOOKUP($A105,'Annex 2 Designated EHV charges'!$A:$O,10,FALSE)=0,"",VLOOKUP($A105,'Annex 2 Designated EHV charges'!$A:$O,10,FALSE)),"")</f>
        <v>5.01</v>
      </c>
      <c r="G105" s="194">
        <f>IFERROR(IF(VLOOKUP($A105,'Annex 2 Designated EHV charges'!$A:$O,11,FALSE)=0,"",VLOOKUP($A105,'Annex 2 Designated EHV charges'!$A:$O,11,FALSE)),"")</f>
        <v>2.91</v>
      </c>
      <c r="H105" s="194">
        <f>IFERROR(IF(VLOOKUP($A105,'Annex 2 Designated EHV charges'!$A:$O,12,FALSE)=0,"",VLOOKUP($A105,'Annex 2 Designated EHV charges'!$A:$O,12,FALSE)),"")</f>
        <v>2.91</v>
      </c>
    </row>
    <row r="106" spans="1:8" x14ac:dyDescent="0.2">
      <c r="A106" s="94" t="str" cm="1">
        <f t="array" ref="A106">IFERROR(INDEX('Annex 2 Designated EHV charges'!$A$10:$A$401, MATCH(0, IF(ISBLANK('Annex 2 Designated EHV charges'!$A$10:$A$401),1, COUNTIF(A$4:$A105, 'Annex 2 Designated EHV charges'!$A$10:$A$401)), 0)),"")</f>
        <v>AVENUE</v>
      </c>
      <c r="B106" s="94">
        <f>IF($A106="","",VLOOKUP($A106,'Annex 2 Designated EHV charges'!$A:$O,2,0))</f>
        <v>504</v>
      </c>
      <c r="C106" s="95">
        <f>IF($A106="","",VLOOKUP($A106,'Annex 2 Designated EHV charges'!$A:$O,3,0))</f>
        <v>1050000774970</v>
      </c>
      <c r="D106" s="94" t="str">
        <f>IF($A106="","",VLOOKUP($A106,'Annex 2 Designated EHV charges'!$A:$O,7,0))</f>
        <v>AVENUE</v>
      </c>
      <c r="E106" s="97">
        <f>IFERROR(IF(VLOOKUP($A106,'Annex 2 Designated EHV charges'!$A:$O,9,FALSE)=0,"",VLOOKUP($A106,'Annex 2 Designated EHV charges'!$A:$O,9,FALSE)),"")</f>
        <v>0.113</v>
      </c>
      <c r="F106" s="194">
        <f>IFERROR(IF(VLOOKUP($A106,'Annex 2 Designated EHV charges'!$A:$O,10,FALSE)=0,"",VLOOKUP($A106,'Annex 2 Designated EHV charges'!$A:$O,10,FALSE)),"")</f>
        <v>30.06</v>
      </c>
      <c r="G106" s="194">
        <f>IFERROR(IF(VLOOKUP($A106,'Annex 2 Designated EHV charges'!$A:$O,11,FALSE)=0,"",VLOOKUP($A106,'Annex 2 Designated EHV charges'!$A:$O,11,FALSE)),"")</f>
        <v>1.83</v>
      </c>
      <c r="H106" s="194">
        <f>IFERROR(IF(VLOOKUP($A106,'Annex 2 Designated EHV charges'!$A:$O,12,FALSE)=0,"",VLOOKUP($A106,'Annex 2 Designated EHV charges'!$A:$O,12,FALSE)),"")</f>
        <v>1.83</v>
      </c>
    </row>
    <row r="107" spans="1:8" x14ac:dyDescent="0.2">
      <c r="A107" s="94" t="str" cm="1">
        <f t="array" ref="A107">IFERROR(INDEX('Annex 2 Designated EHV charges'!$A$10:$A$401, MATCH(0, IF(ISBLANK('Annex 2 Designated EHV charges'!$A$10:$A$401),1, COUNTIF(A$4:$A106, 'Annex 2 Designated EHV charges'!$A$10:$A$401)), 0)),"")</f>
        <v>BARNFM</v>
      </c>
      <c r="B107" s="94">
        <f>IF($A107="","",VLOOKUP($A107,'Annex 2 Designated EHV charges'!$A:$O,2,0))</f>
        <v>301</v>
      </c>
      <c r="C107" s="95">
        <f>IF($A107="","",VLOOKUP($A107,'Annex 2 Designated EHV charges'!$A:$O,3,0))</f>
        <v>1050000774999</v>
      </c>
      <c r="D107" s="94" t="str">
        <f>IF($A107="","",VLOOKUP($A107,'Annex 2 Designated EHV charges'!$A:$O,7,0))</f>
        <v>BARNFM</v>
      </c>
      <c r="E107" s="97" t="str">
        <f>IFERROR(IF(VLOOKUP($A107,'Annex 2 Designated EHV charges'!$A:$O,9,FALSE)=0,"",VLOOKUP($A107,'Annex 2 Designated EHV charges'!$A:$O,9,FALSE)),"")</f>
        <v/>
      </c>
      <c r="F107" s="194">
        <f>IFERROR(IF(VLOOKUP($A107,'Annex 2 Designated EHV charges'!$A:$O,10,FALSE)=0,"",VLOOKUP($A107,'Annex 2 Designated EHV charges'!$A:$O,10,FALSE)),"")</f>
        <v>74.98</v>
      </c>
      <c r="G107" s="194">
        <f>IFERROR(IF(VLOOKUP($A107,'Annex 2 Designated EHV charges'!$A:$O,11,FALSE)=0,"",VLOOKUP($A107,'Annex 2 Designated EHV charges'!$A:$O,11,FALSE)),"")</f>
        <v>2.96</v>
      </c>
      <c r="H107" s="194">
        <f>IFERROR(IF(VLOOKUP($A107,'Annex 2 Designated EHV charges'!$A:$O,12,FALSE)=0,"",VLOOKUP($A107,'Annex 2 Designated EHV charges'!$A:$O,12,FALSE)),"")</f>
        <v>2.96</v>
      </c>
    </row>
    <row r="108" spans="1:8" x14ac:dyDescent="0.2">
      <c r="A108" s="94" t="str" cm="1">
        <f t="array" ref="A108">IFERROR(INDEX('Annex 2 Designated EHV charges'!$A$10:$A$401, MATCH(0, IF(ISBLANK('Annex 2 Designated EHV charges'!$A$10:$A$401),1, COUNTIF(A$4:$A107, 'Annex 2 Designated EHV charges'!$A$10:$A$401)), 0)),"")</f>
        <v>BAYFMS</v>
      </c>
      <c r="B108" s="94">
        <f>IF($A108="","",VLOOKUP($A108,'Annex 2 Designated EHV charges'!$A:$O,2,0))</f>
        <v>870</v>
      </c>
      <c r="C108" s="95">
        <f>IF($A108="","",VLOOKUP($A108,'Annex 2 Designated EHV charges'!$A:$O,3,0))</f>
        <v>1050000579318</v>
      </c>
      <c r="D108" s="94" t="str">
        <f>IF($A108="","",VLOOKUP($A108,'Annex 2 Designated EHV charges'!$A:$O,7,0))</f>
        <v>BAYFMS</v>
      </c>
      <c r="E108" s="97">
        <f>IFERROR(IF(VLOOKUP($A108,'Annex 2 Designated EHV charges'!$A:$O,9,FALSE)=0,"",VLOOKUP($A108,'Annex 2 Designated EHV charges'!$A:$O,9,FALSE)),"")</f>
        <v>0.96799999999999997</v>
      </c>
      <c r="F108" s="194">
        <f>IFERROR(IF(VLOOKUP($A108,'Annex 2 Designated EHV charges'!$A:$O,10,FALSE)=0,"",VLOOKUP($A108,'Annex 2 Designated EHV charges'!$A:$O,10,FALSE)),"")</f>
        <v>70.69</v>
      </c>
      <c r="G108" s="194">
        <f>IFERROR(IF(VLOOKUP($A108,'Annex 2 Designated EHV charges'!$A:$O,11,FALSE)=0,"",VLOOKUP($A108,'Annex 2 Designated EHV charges'!$A:$O,11,FALSE)),"")</f>
        <v>4.95</v>
      </c>
      <c r="H108" s="194">
        <f>IFERROR(IF(VLOOKUP($A108,'Annex 2 Designated EHV charges'!$A:$O,12,FALSE)=0,"",VLOOKUP($A108,'Annex 2 Designated EHV charges'!$A:$O,12,FALSE)),"")</f>
        <v>4.95</v>
      </c>
    </row>
    <row r="109" spans="1:8" x14ac:dyDescent="0.2">
      <c r="A109" s="94" t="str" cm="1">
        <f t="array" ref="A109">IFERROR(INDEX('Annex 2 Designated EHV charges'!$A$10:$A$401, MATCH(0, IF(ISBLANK('Annex 2 Designated EHV charges'!$A$10:$A$401),1, COUNTIF(A$4:$A108, 'Annex 2 Designated EHV charges'!$A$10:$A$401)), 0)),"")</f>
        <v>BDGHSE</v>
      </c>
      <c r="B109" s="94">
        <f>IF($A109="","",VLOOKUP($A109,'Annex 2 Designated EHV charges'!$A:$O,2,0))</f>
        <v>505</v>
      </c>
      <c r="C109" s="95">
        <f>IF($A109="","",VLOOKUP($A109,'Annex 2 Designated EHV charges'!$A:$O,3,0))</f>
        <v>1050000669548</v>
      </c>
      <c r="D109" s="94" t="str">
        <f>IF($A109="","",VLOOKUP($A109,'Annex 2 Designated EHV charges'!$A:$O,7,0))</f>
        <v>BDGHSE</v>
      </c>
      <c r="E109" s="97">
        <f>IFERROR(IF(VLOOKUP($A109,'Annex 2 Designated EHV charges'!$A:$O,9,FALSE)=0,"",VLOOKUP($A109,'Annex 2 Designated EHV charges'!$A:$O,9,FALSE)),"")</f>
        <v>0.219</v>
      </c>
      <c r="F109" s="194">
        <f>IFERROR(IF(VLOOKUP($A109,'Annex 2 Designated EHV charges'!$A:$O,10,FALSE)=0,"",VLOOKUP($A109,'Annex 2 Designated EHV charges'!$A:$O,10,FALSE)),"")</f>
        <v>44.54</v>
      </c>
      <c r="G109" s="194">
        <f>IFERROR(IF(VLOOKUP($A109,'Annex 2 Designated EHV charges'!$A:$O,11,FALSE)=0,"",VLOOKUP($A109,'Annex 2 Designated EHV charges'!$A:$O,11,FALSE)),"")</f>
        <v>1.32</v>
      </c>
      <c r="H109" s="194">
        <f>IFERROR(IF(VLOOKUP($A109,'Annex 2 Designated EHV charges'!$A:$O,12,FALSE)=0,"",VLOOKUP($A109,'Annex 2 Designated EHV charges'!$A:$O,12,FALSE)),"")</f>
        <v>1.32</v>
      </c>
    </row>
    <row r="110" spans="1:8" x14ac:dyDescent="0.2">
      <c r="A110" s="94" t="str" cm="1">
        <f t="array" ref="A110">IFERROR(INDEX('Annex 2 Designated EHV charges'!$A$10:$A$401, MATCH(0, IF(ISBLANK('Annex 2 Designated EHV charges'!$A$10:$A$401),1, COUNTIF(A$4:$A109, 'Annex 2 Designated EHV charges'!$A$10:$A$401)), 0)),"")</f>
        <v>BDWLWF</v>
      </c>
      <c r="B110" s="94">
        <f>IF($A110="","",VLOOKUP($A110,'Annex 2 Designated EHV charges'!$A:$O,2,0))</f>
        <v>827</v>
      </c>
      <c r="C110" s="95">
        <f>IF($A110="","",VLOOKUP($A110,'Annex 2 Designated EHV charges'!$A:$O,3,0))</f>
        <v>1030082700415</v>
      </c>
      <c r="D110" s="94" t="str">
        <f>IF($A110="","",VLOOKUP($A110,'Annex 2 Designated EHV charges'!$A:$O,7,0))</f>
        <v>BDWLWF</v>
      </c>
      <c r="E110" s="97">
        <f>IFERROR(IF(VLOOKUP($A110,'Annex 2 Designated EHV charges'!$A:$O,9,FALSE)=0,"",VLOOKUP($A110,'Annex 2 Designated EHV charges'!$A:$O,9,FALSE)),"")</f>
        <v>2.9460000000000002</v>
      </c>
      <c r="F110" s="194">
        <f>IFERROR(IF(VLOOKUP($A110,'Annex 2 Designated EHV charges'!$A:$O,10,FALSE)=0,"",VLOOKUP($A110,'Annex 2 Designated EHV charges'!$A:$O,10,FALSE)),"")</f>
        <v>68.31</v>
      </c>
      <c r="G110" s="194">
        <f>IFERROR(IF(VLOOKUP($A110,'Annex 2 Designated EHV charges'!$A:$O,11,FALSE)=0,"",VLOOKUP($A110,'Annex 2 Designated EHV charges'!$A:$O,11,FALSE)),"")</f>
        <v>2.5499999999999998</v>
      </c>
      <c r="H110" s="194">
        <f>IFERROR(IF(VLOOKUP($A110,'Annex 2 Designated EHV charges'!$A:$O,12,FALSE)=0,"",VLOOKUP($A110,'Annex 2 Designated EHV charges'!$A:$O,12,FALSE)),"")</f>
        <v>2.5499999999999998</v>
      </c>
    </row>
    <row r="111" spans="1:8" x14ac:dyDescent="0.2">
      <c r="A111" s="94" t="str" cm="1">
        <f t="array" ref="A111">IFERROR(INDEX('Annex 2 Designated EHV charges'!$A$10:$A$401, MATCH(0, IF(ISBLANK('Annex 2 Designated EHV charges'!$A$10:$A$401),1, COUNTIF(A$4:$A110, 'Annex 2 Designated EHV charges'!$A$10:$A$401)), 0)),"")</f>
        <v>BERDHF</v>
      </c>
      <c r="B111" s="94">
        <f>IF($A111="","",VLOOKUP($A111,'Annex 2 Designated EHV charges'!$A:$O,2,0))</f>
        <v>302</v>
      </c>
      <c r="C111" s="95">
        <f>IF($A111="","",VLOOKUP($A111,'Annex 2 Designated EHV charges'!$A:$O,3,0))</f>
        <v>1050001382522</v>
      </c>
      <c r="D111" s="94" t="str">
        <f>IF($A111="","",VLOOKUP($A111,'Annex 2 Designated EHV charges'!$A:$O,7,0))</f>
        <v>BERDHF</v>
      </c>
      <c r="E111" s="97">
        <f>IFERROR(IF(VLOOKUP($A111,'Annex 2 Designated EHV charges'!$A:$O,9,FALSE)=0,"",VLOOKUP($A111,'Annex 2 Designated EHV charges'!$A:$O,9,FALSE)),"")</f>
        <v>0.34599999999999997</v>
      </c>
      <c r="F111" s="194">
        <f>IFERROR(IF(VLOOKUP($A111,'Annex 2 Designated EHV charges'!$A:$O,10,FALSE)=0,"",VLOOKUP($A111,'Annex 2 Designated EHV charges'!$A:$O,10,FALSE)),"")</f>
        <v>2043.23</v>
      </c>
      <c r="G111" s="194">
        <f>IFERROR(IF(VLOOKUP($A111,'Annex 2 Designated EHV charges'!$A:$O,11,FALSE)=0,"",VLOOKUP($A111,'Annex 2 Designated EHV charges'!$A:$O,11,FALSE)),"")</f>
        <v>1.1299999999999999</v>
      </c>
      <c r="H111" s="194">
        <f>IFERROR(IF(VLOOKUP($A111,'Annex 2 Designated EHV charges'!$A:$O,12,FALSE)=0,"",VLOOKUP($A111,'Annex 2 Designated EHV charges'!$A:$O,12,FALSE)),"")</f>
        <v>1.1299999999999999</v>
      </c>
    </row>
    <row r="112" spans="1:8" x14ac:dyDescent="0.2">
      <c r="A112" s="94" t="str" cm="1">
        <f t="array" ref="A112">IFERROR(INDEX('Annex 2 Designated EHV charges'!$A$10:$A$401, MATCH(0, IF(ISBLANK('Annex 2 Designated EHV charges'!$A$10:$A$401),1, COUNTIF(A$4:$A111, 'Annex 2 Designated EHV charges'!$A$10:$A$401)), 0)),"")</f>
        <v>BGWDWF</v>
      </c>
      <c r="B112" s="94">
        <f>IF($A112="","",VLOOKUP($A112,'Annex 2 Designated EHV charges'!$A:$O,2,0))</f>
        <v>871</v>
      </c>
      <c r="C112" s="95">
        <f>IF($A112="","",VLOOKUP($A112,'Annex 2 Designated EHV charges'!$A:$O,3,0))</f>
        <v>1030083931374</v>
      </c>
      <c r="D112" s="94" t="str">
        <f>IF($A112="","",VLOOKUP($A112,'Annex 2 Designated EHV charges'!$A:$O,7,0))</f>
        <v>BGWDWF</v>
      </c>
      <c r="E112" s="97">
        <f>IFERROR(IF(VLOOKUP($A112,'Annex 2 Designated EHV charges'!$A:$O,9,FALSE)=0,"",VLOOKUP($A112,'Annex 2 Designated EHV charges'!$A:$O,9,FALSE)),"")</f>
        <v>0.83399999999999996</v>
      </c>
      <c r="F112" s="194">
        <f>IFERROR(IF(VLOOKUP($A112,'Annex 2 Designated EHV charges'!$A:$O,10,FALSE)=0,"",VLOOKUP($A112,'Annex 2 Designated EHV charges'!$A:$O,10,FALSE)),"")</f>
        <v>6.64</v>
      </c>
      <c r="G112" s="194">
        <f>IFERROR(IF(VLOOKUP($A112,'Annex 2 Designated EHV charges'!$A:$O,11,FALSE)=0,"",VLOOKUP($A112,'Annex 2 Designated EHV charges'!$A:$O,11,FALSE)),"")</f>
        <v>8.9700000000000006</v>
      </c>
      <c r="H112" s="194">
        <f>IFERROR(IF(VLOOKUP($A112,'Annex 2 Designated EHV charges'!$A:$O,12,FALSE)=0,"",VLOOKUP($A112,'Annex 2 Designated EHV charges'!$A:$O,12,FALSE)),"")</f>
        <v>8.9700000000000006</v>
      </c>
    </row>
    <row r="113" spans="1:8" x14ac:dyDescent="0.2">
      <c r="A113" s="94" t="str" cm="1">
        <f t="array" ref="A113">IFERROR(INDEX('Annex 2 Designated EHV charges'!$A$10:$A$401, MATCH(0, IF(ISBLANK('Annex 2 Designated EHV charges'!$A$10:$A$401),1, COUNTIF(A$4:$A112, 'Annex 2 Designated EHV charges'!$A$10:$A$401)), 0)),"")</f>
        <v>BLCAMB</v>
      </c>
      <c r="B113" s="94">
        <f>IF($A113="","",VLOOKUP($A113,'Annex 2 Designated EHV charges'!$A:$O,2,0))</f>
        <v>539</v>
      </c>
      <c r="C113" s="95">
        <f>IF($A113="","",VLOOKUP($A113,'Annex 2 Designated EHV charges'!$A:$O,3,0))</f>
        <v>1050001036615</v>
      </c>
      <c r="D113" s="94" t="str">
        <f>IF($A113="","",VLOOKUP($A113,'Annex 2 Designated EHV charges'!$A:$O,7,0))</f>
        <v>BLCAMB</v>
      </c>
      <c r="E113" s="97">
        <f>IFERROR(IF(VLOOKUP($A113,'Annex 2 Designated EHV charges'!$A:$O,9,FALSE)=0,"",VLOOKUP($A113,'Annex 2 Designated EHV charges'!$A:$O,9,FALSE)),"")</f>
        <v>0.57599999999999996</v>
      </c>
      <c r="F113" s="194">
        <f>IFERROR(IF(VLOOKUP($A113,'Annex 2 Designated EHV charges'!$A:$O,10,FALSE)=0,"",VLOOKUP($A113,'Annex 2 Designated EHV charges'!$A:$O,10,FALSE)),"")</f>
        <v>42.55</v>
      </c>
      <c r="G113" s="194">
        <f>IFERROR(IF(VLOOKUP($A113,'Annex 2 Designated EHV charges'!$A:$O,11,FALSE)=0,"",VLOOKUP($A113,'Annex 2 Designated EHV charges'!$A:$O,11,FALSE)),"")</f>
        <v>1.71</v>
      </c>
      <c r="H113" s="194">
        <f>IFERROR(IF(VLOOKUP($A113,'Annex 2 Designated EHV charges'!$A:$O,12,FALSE)=0,"",VLOOKUP($A113,'Annex 2 Designated EHV charges'!$A:$O,12,FALSE)),"")</f>
        <v>1.71</v>
      </c>
    </row>
    <row r="114" spans="1:8" x14ac:dyDescent="0.2">
      <c r="A114" s="94" t="str" cm="1">
        <f t="array" ref="A114">IFERROR(INDEX('Annex 2 Designated EHV charges'!$A$10:$A$401, MATCH(0, IF(ISBLANK('Annex 2 Designated EHV charges'!$A$10:$A$401),1, COUNTIF(A$4:$A113, 'Annex 2 Designated EHV charges'!$A$10:$A$401)), 0)),"")</f>
        <v>BLDOCK</v>
      </c>
      <c r="B114" s="94">
        <f>IF($A114="","",VLOOKUP($A114,'Annex 2 Designated EHV charges'!$A:$O,2,0))</f>
        <v>0</v>
      </c>
      <c r="C114" s="95" t="str">
        <f>IF($A114="","",VLOOKUP($A114,'Annex 2 Designated EHV charges'!$A:$O,3,0))</f>
        <v>MSID: 7309</v>
      </c>
      <c r="D114" s="94" t="str">
        <f>IF($A114="","",VLOOKUP($A114,'Annex 2 Designated EHV charges'!$A:$O,7,0))</f>
        <v>BLDOCK</v>
      </c>
      <c r="E114" s="97">
        <f>IFERROR(IF(VLOOKUP($A114,'Annex 2 Designated EHV charges'!$A:$O,9,FALSE)=0,"",VLOOKUP($A114,'Annex 2 Designated EHV charges'!$A:$O,9,FALSE)),"")</f>
        <v>0.72299999999999998</v>
      </c>
      <c r="F114" s="194">
        <f>IFERROR(IF(VLOOKUP($A114,'Annex 2 Designated EHV charges'!$A:$O,10,FALSE)=0,"",VLOOKUP($A114,'Annex 2 Designated EHV charges'!$A:$O,10,FALSE)),"")</f>
        <v>75.959999999999994</v>
      </c>
      <c r="G114" s="194">
        <f>IFERROR(IF(VLOOKUP($A114,'Annex 2 Designated EHV charges'!$A:$O,11,FALSE)=0,"",VLOOKUP($A114,'Annex 2 Designated EHV charges'!$A:$O,11,FALSE)),"")</f>
        <v>1.57</v>
      </c>
      <c r="H114" s="194">
        <f>IFERROR(IF(VLOOKUP($A114,'Annex 2 Designated EHV charges'!$A:$O,12,FALSE)=0,"",VLOOKUP($A114,'Annex 2 Designated EHV charges'!$A:$O,12,FALSE)),"")</f>
        <v>1.57</v>
      </c>
    </row>
    <row r="115" spans="1:8" x14ac:dyDescent="0.2">
      <c r="A115" s="94" t="str" cm="1">
        <f t="array" ref="A115">IFERROR(INDEX('Annex 2 Designated EHV charges'!$A$10:$A$401, MATCH(0, IF(ISBLANK('Annex 2 Designated EHV charges'!$A$10:$A$401),1, COUNTIF(A$4:$A114, 'Annex 2 Designated EHV charges'!$A$10:$A$401)), 0)),"")</f>
        <v>BLGTSF</v>
      </c>
      <c r="B115" s="94">
        <f>IF($A115="","",VLOOKUP($A115,'Annex 2 Designated EHV charges'!$A:$O,2,0))</f>
        <v>534</v>
      </c>
      <c r="C115" s="95">
        <f>IF($A115="","",VLOOKUP($A115,'Annex 2 Designated EHV charges'!$A:$O,3,0))</f>
        <v>1050000769039</v>
      </c>
      <c r="D115" s="94" t="str">
        <f>IF($A115="","",VLOOKUP($A115,'Annex 2 Designated EHV charges'!$A:$O,7,0))</f>
        <v>BLGTSF</v>
      </c>
      <c r="E115" s="97" t="str">
        <f>IFERROR(IF(VLOOKUP($A115,'Annex 2 Designated EHV charges'!$A:$O,9,FALSE)=0,"",VLOOKUP($A115,'Annex 2 Designated EHV charges'!$A:$O,9,FALSE)),"")</f>
        <v/>
      </c>
      <c r="F115" s="194">
        <f>IFERROR(IF(VLOOKUP($A115,'Annex 2 Designated EHV charges'!$A:$O,10,FALSE)=0,"",VLOOKUP($A115,'Annex 2 Designated EHV charges'!$A:$O,10,FALSE)),"")</f>
        <v>23.15</v>
      </c>
      <c r="G115" s="194">
        <f>IFERROR(IF(VLOOKUP($A115,'Annex 2 Designated EHV charges'!$A:$O,11,FALSE)=0,"",VLOOKUP($A115,'Annex 2 Designated EHV charges'!$A:$O,11,FALSE)),"")</f>
        <v>2.36</v>
      </c>
      <c r="H115" s="194">
        <f>IFERROR(IF(VLOOKUP($A115,'Annex 2 Designated EHV charges'!$A:$O,12,FALSE)=0,"",VLOOKUP($A115,'Annex 2 Designated EHV charges'!$A:$O,12,FALSE)),"")</f>
        <v>2.36</v>
      </c>
    </row>
    <row r="116" spans="1:8" x14ac:dyDescent="0.2">
      <c r="A116" s="94" t="str" cm="1">
        <f t="array" ref="A116">IFERROR(INDEX('Annex 2 Designated EHV charges'!$A$10:$A$401, MATCH(0, IF(ISBLANK('Annex 2 Designated EHV charges'!$A$10:$A$401),1, COUNTIF(A$4:$A115, 'Annex 2 Designated EHV charges'!$A$10:$A$401)), 0)),"")</f>
        <v>BMPFM2</v>
      </c>
      <c r="B116" s="94">
        <f>IF($A116="","",VLOOKUP($A116,'Annex 2 Designated EHV charges'!$A:$O,2,0))</f>
        <v>330</v>
      </c>
      <c r="C116" s="95">
        <f>IF($A116="","",VLOOKUP($A116,'Annex 2 Designated EHV charges'!$A:$O,3,0))</f>
        <v>1050001658120</v>
      </c>
      <c r="D116" s="94" t="str">
        <f>IF($A116="","",VLOOKUP($A116,'Annex 2 Designated EHV charges'!$A:$O,7,0))</f>
        <v>BMPFM2</v>
      </c>
      <c r="E116" s="97">
        <f>IFERROR(IF(VLOOKUP($A116,'Annex 2 Designated EHV charges'!$A:$O,9,FALSE)=0,"",VLOOKUP($A116,'Annex 2 Designated EHV charges'!$A:$O,9,FALSE)),"")</f>
        <v>2.903</v>
      </c>
      <c r="F116" s="194">
        <f>IFERROR(IF(VLOOKUP($A116,'Annex 2 Designated EHV charges'!$A:$O,10,FALSE)=0,"",VLOOKUP($A116,'Annex 2 Designated EHV charges'!$A:$O,10,FALSE)),"")</f>
        <v>110.68</v>
      </c>
      <c r="G116" s="194">
        <f>IFERROR(IF(VLOOKUP($A116,'Annex 2 Designated EHV charges'!$A:$O,11,FALSE)=0,"",VLOOKUP($A116,'Annex 2 Designated EHV charges'!$A:$O,11,FALSE)),"")</f>
        <v>1.28</v>
      </c>
      <c r="H116" s="194">
        <f>IFERROR(IF(VLOOKUP($A116,'Annex 2 Designated EHV charges'!$A:$O,12,FALSE)=0,"",VLOOKUP($A116,'Annex 2 Designated EHV charges'!$A:$O,12,FALSE)),"")</f>
        <v>1.28</v>
      </c>
    </row>
    <row r="117" spans="1:8" x14ac:dyDescent="0.2">
      <c r="A117" s="94" t="str" cm="1">
        <f t="array" ref="A117">IFERROR(INDEX('Annex 2 Designated EHV charges'!$A$10:$A$401, MATCH(0, IF(ISBLANK('Annex 2 Designated EHV charges'!$A$10:$A$401),1, COUNTIF(A$4:$A116, 'Annex 2 Designated EHV charges'!$A$10:$A$401)), 0)),"")</f>
        <v>BMPTSF</v>
      </c>
      <c r="B117" s="94">
        <f>IF($A117="","",VLOOKUP($A117,'Annex 2 Designated EHV charges'!$A:$O,2,0))</f>
        <v>370</v>
      </c>
      <c r="C117" s="95">
        <f>IF($A117="","",VLOOKUP($A117,'Annex 2 Designated EHV charges'!$A:$O,3,0))</f>
        <v>1050003106511</v>
      </c>
      <c r="D117" s="94" t="str">
        <f>IF($A117="","",VLOOKUP($A117,'Annex 2 Designated EHV charges'!$A:$O,7,0))</f>
        <v>BMPTSF</v>
      </c>
      <c r="E117" s="97" t="str">
        <f>IFERROR(IF(VLOOKUP($A117,'Annex 2 Designated EHV charges'!$A:$O,9,FALSE)=0,"",VLOOKUP($A117,'Annex 2 Designated EHV charges'!$A:$O,9,FALSE)),"")</f>
        <v/>
      </c>
      <c r="F117" s="194">
        <f>IFERROR(IF(VLOOKUP($A117,'Annex 2 Designated EHV charges'!$A:$O,10,FALSE)=0,"",VLOOKUP($A117,'Annex 2 Designated EHV charges'!$A:$O,10,FALSE)),"")</f>
        <v>12.47</v>
      </c>
      <c r="G117" s="194">
        <f>IFERROR(IF(VLOOKUP($A117,'Annex 2 Designated EHV charges'!$A:$O,11,FALSE)=0,"",VLOOKUP($A117,'Annex 2 Designated EHV charges'!$A:$O,11,FALSE)),"")</f>
        <v>5.25</v>
      </c>
      <c r="H117" s="194">
        <f>IFERROR(IF(VLOOKUP($A117,'Annex 2 Designated EHV charges'!$A:$O,12,FALSE)=0,"",VLOOKUP($A117,'Annex 2 Designated EHV charges'!$A:$O,12,FALSE)),"")</f>
        <v>5.25</v>
      </c>
    </row>
    <row r="118" spans="1:8" x14ac:dyDescent="0.2">
      <c r="A118" s="94" t="str" cm="1">
        <f t="array" ref="A118">IFERROR(INDEX('Annex 2 Designated EHV charges'!$A$10:$A$401, MATCH(0, IF(ISBLANK('Annex 2 Designated EHV charges'!$A$10:$A$401),1, COUNTIF(A$4:$A117, 'Annex 2 Designated EHV charges'!$A$10:$A$401)), 0)),"")</f>
        <v>BNNSHL</v>
      </c>
      <c r="B118" s="94">
        <f>IF($A118="","",VLOOKUP($A118,'Annex 2 Designated EHV charges'!$A:$O,2,0))</f>
        <v>540</v>
      </c>
      <c r="C118" s="95">
        <f>IF($A118="","",VLOOKUP($A118,'Annex 2 Designated EHV charges'!$A:$O,3,0))</f>
        <v>1050001021414</v>
      </c>
      <c r="D118" s="94" t="str">
        <f>IF($A118="","",VLOOKUP($A118,'Annex 2 Designated EHV charges'!$A:$O,7,0))</f>
        <v>BNNSHL</v>
      </c>
      <c r="E118" s="97" t="str">
        <f>IFERROR(IF(VLOOKUP($A118,'Annex 2 Designated EHV charges'!$A:$O,9,FALSE)=0,"",VLOOKUP($A118,'Annex 2 Designated EHV charges'!$A:$O,9,FALSE)),"")</f>
        <v/>
      </c>
      <c r="F118" s="194">
        <f>IFERROR(IF(VLOOKUP($A118,'Annex 2 Designated EHV charges'!$A:$O,10,FALSE)=0,"",VLOOKUP($A118,'Annex 2 Designated EHV charges'!$A:$O,10,FALSE)),"")</f>
        <v>47.95</v>
      </c>
      <c r="G118" s="194">
        <f>IFERROR(IF(VLOOKUP($A118,'Annex 2 Designated EHV charges'!$A:$O,11,FALSE)=0,"",VLOOKUP($A118,'Annex 2 Designated EHV charges'!$A:$O,11,FALSE)),"")</f>
        <v>6.51</v>
      </c>
      <c r="H118" s="194">
        <f>IFERROR(IF(VLOOKUP($A118,'Annex 2 Designated EHV charges'!$A:$O,12,FALSE)=0,"",VLOOKUP($A118,'Annex 2 Designated EHV charges'!$A:$O,12,FALSE)),"")</f>
        <v>6.51</v>
      </c>
    </row>
    <row r="119" spans="1:8" ht="25.5" x14ac:dyDescent="0.2">
      <c r="A119" s="94" t="str" cm="1">
        <f t="array" ref="A119">IFERROR(INDEX('Annex 2 Designated EHV charges'!$A$10:$A$401, MATCH(0, IF(ISBLANK('Annex 2 Designated EHV charges'!$A$10:$A$401),1, COUNTIF(A$4:$A118, 'Annex 2 Designated EHV charges'!$A$10:$A$401)), 0)),"")</f>
        <v>BOXTED</v>
      </c>
      <c r="B119" s="94">
        <f>IF($A119="","",VLOOKUP($A119,'Annex 2 Designated EHV charges'!$A:$O,2,0))</f>
        <v>506</v>
      </c>
      <c r="C119" s="95" t="str">
        <f>IF($A119="","",VLOOKUP($A119,'Annex 2 Designated EHV charges'!$A:$O,3,0))</f>
        <v>1050000774270;1050001847557</v>
      </c>
      <c r="D119" s="94" t="str">
        <f>IF($A119="","",VLOOKUP($A119,'Annex 2 Designated EHV charges'!$A:$O,7,0))</f>
        <v>BOXTED</v>
      </c>
      <c r="E119" s="97" t="str">
        <f>IFERROR(IF(VLOOKUP($A119,'Annex 2 Designated EHV charges'!$A:$O,9,FALSE)=0,"",VLOOKUP($A119,'Annex 2 Designated EHV charges'!$A:$O,9,FALSE)),"")</f>
        <v/>
      </c>
      <c r="F119" s="194">
        <f>IFERROR(IF(VLOOKUP($A119,'Annex 2 Designated EHV charges'!$A:$O,10,FALSE)=0,"",VLOOKUP($A119,'Annex 2 Designated EHV charges'!$A:$O,10,FALSE)),"")</f>
        <v>17.670000000000002</v>
      </c>
      <c r="G119" s="194">
        <f>IFERROR(IF(VLOOKUP($A119,'Annex 2 Designated EHV charges'!$A:$O,11,FALSE)=0,"",VLOOKUP($A119,'Annex 2 Designated EHV charges'!$A:$O,11,FALSE)),"")</f>
        <v>2.25</v>
      </c>
      <c r="H119" s="194">
        <f>IFERROR(IF(VLOOKUP($A119,'Annex 2 Designated EHV charges'!$A:$O,12,FALSE)=0,"",VLOOKUP($A119,'Annex 2 Designated EHV charges'!$A:$O,12,FALSE)),"")</f>
        <v>2.25</v>
      </c>
    </row>
    <row r="120" spans="1:8" x14ac:dyDescent="0.2">
      <c r="A120" s="94" t="str" cm="1">
        <f t="array" ref="A120">IFERROR(INDEX('Annex 2 Designated EHV charges'!$A$10:$A$401, MATCH(0, IF(ISBLANK('Annex 2 Designated EHV charges'!$A$10:$A$401),1, COUNTIF(A$4:$A119, 'Annex 2 Designated EHV charges'!$A$10:$A$401)), 0)),"")</f>
        <v>BRACSF</v>
      </c>
      <c r="B120" s="94">
        <f>IF($A120="","",VLOOKUP($A120,'Annex 2 Designated EHV charges'!$A:$O,2,0))</f>
        <v>341</v>
      </c>
      <c r="C120" s="95">
        <f>IF($A120="","",VLOOKUP($A120,'Annex 2 Designated EHV charges'!$A:$O,3,0))</f>
        <v>1050002478329</v>
      </c>
      <c r="D120" s="94" t="str">
        <f>IF($A120="","",VLOOKUP($A120,'Annex 2 Designated EHV charges'!$A:$O,7,0))</f>
        <v>BRACSF</v>
      </c>
      <c r="E120" s="97">
        <f>IFERROR(IF(VLOOKUP($A120,'Annex 2 Designated EHV charges'!$A:$O,9,FALSE)=0,"",VLOOKUP($A120,'Annex 2 Designated EHV charges'!$A:$O,9,FALSE)),"")</f>
        <v>0.19400000000000001</v>
      </c>
      <c r="F120" s="194">
        <f>IFERROR(IF(VLOOKUP($A120,'Annex 2 Designated EHV charges'!$A:$O,10,FALSE)=0,"",VLOOKUP($A120,'Annex 2 Designated EHV charges'!$A:$O,10,FALSE)),"")</f>
        <v>12.07</v>
      </c>
      <c r="G120" s="194">
        <f>IFERROR(IF(VLOOKUP($A120,'Annex 2 Designated EHV charges'!$A:$O,11,FALSE)=0,"",VLOOKUP($A120,'Annex 2 Designated EHV charges'!$A:$O,11,FALSE)),"")</f>
        <v>1.4</v>
      </c>
      <c r="H120" s="194">
        <f>IFERROR(IF(VLOOKUP($A120,'Annex 2 Designated EHV charges'!$A:$O,12,FALSE)=0,"",VLOOKUP($A120,'Annex 2 Designated EHV charges'!$A:$O,12,FALSE)),"")</f>
        <v>1.4</v>
      </c>
    </row>
    <row r="121" spans="1:8" x14ac:dyDescent="0.2">
      <c r="A121" s="94" t="str" cm="1">
        <f t="array" ref="A121">IFERROR(INDEX('Annex 2 Designated EHV charges'!$A$10:$A$401, MATCH(0, IF(ISBLANK('Annex 2 Designated EHV charges'!$A$10:$A$401),1, COUNTIF(A$4:$A120, 'Annex 2 Designated EHV charges'!$A$10:$A$401)), 0)),"")</f>
        <v>BRASSF</v>
      </c>
      <c r="B121" s="94">
        <f>IF($A121="","",VLOOKUP($A121,'Annex 2 Designated EHV charges'!$A:$O,2,0))</f>
        <v>360</v>
      </c>
      <c r="C121" s="95">
        <f>IF($A121="","",VLOOKUP($A121,'Annex 2 Designated EHV charges'!$A:$O,3,0))</f>
        <v>1050003081717</v>
      </c>
      <c r="D121" s="94" t="str">
        <f>IF($A121="","",VLOOKUP($A121,'Annex 2 Designated EHV charges'!$A:$O,7,0))</f>
        <v>BRASSF</v>
      </c>
      <c r="E121" s="97">
        <f>IFERROR(IF(VLOOKUP($A121,'Annex 2 Designated EHV charges'!$A:$O,9,FALSE)=0,"",VLOOKUP($A121,'Annex 2 Designated EHV charges'!$A:$O,9,FALSE)),"")</f>
        <v>0.11799999999999999</v>
      </c>
      <c r="F121" s="194">
        <f>IFERROR(IF(VLOOKUP($A121,'Annex 2 Designated EHV charges'!$A:$O,10,FALSE)=0,"",VLOOKUP($A121,'Annex 2 Designated EHV charges'!$A:$O,10,FALSE)),"")</f>
        <v>4.9000000000000004</v>
      </c>
      <c r="G121" s="194">
        <f>IFERROR(IF(VLOOKUP($A121,'Annex 2 Designated EHV charges'!$A:$O,11,FALSE)=0,"",VLOOKUP($A121,'Annex 2 Designated EHV charges'!$A:$O,11,FALSE)),"")</f>
        <v>2</v>
      </c>
      <c r="H121" s="194">
        <f>IFERROR(IF(VLOOKUP($A121,'Annex 2 Designated EHV charges'!$A:$O,12,FALSE)=0,"",VLOOKUP($A121,'Annex 2 Designated EHV charges'!$A:$O,12,FALSE)),"")</f>
        <v>2</v>
      </c>
    </row>
    <row r="122" spans="1:8" x14ac:dyDescent="0.2">
      <c r="A122" s="94" t="str" cm="1">
        <f t="array" ref="A122">IFERROR(INDEX('Annex 2 Designated EHV charges'!$A$10:$A$401, MATCH(0, IF(ISBLANK('Annex 2 Designated EHV charges'!$A$10:$A$401),1, COUNTIF(A$4:$A121, 'Annex 2 Designated EHV charges'!$A$10:$A$401)), 0)),"")</f>
        <v>BRCHBS</v>
      </c>
      <c r="B122" s="94">
        <f>IF($A122="","",VLOOKUP($A122,'Annex 2 Designated EHV charges'!$A:$O,2,0))</f>
        <v>0</v>
      </c>
      <c r="C122" s="95" t="str">
        <f>IF($A122="","",VLOOKUP($A122,'Annex 2 Designated EHV charges'!$A:$O,3,0))</f>
        <v>ENET</v>
      </c>
      <c r="D122" s="94" t="str">
        <f>IF($A122="","",VLOOKUP($A122,'Annex 2 Designated EHV charges'!$A:$O,7,0))</f>
        <v>BRCHBS</v>
      </c>
      <c r="E122" s="97" t="str">
        <f>IFERROR(IF(VLOOKUP($A122,'Annex 2 Designated EHV charges'!$A:$O,9,FALSE)=0,"",VLOOKUP($A122,'Annex 2 Designated EHV charges'!$A:$O,9,FALSE)),"")</f>
        <v/>
      </c>
      <c r="F122" s="194">
        <f>IFERROR(IF(VLOOKUP($A122,'Annex 2 Designated EHV charges'!$A:$O,10,FALSE)=0,"",VLOOKUP($A122,'Annex 2 Designated EHV charges'!$A:$O,10,FALSE)),"")</f>
        <v>369.42</v>
      </c>
      <c r="G122" s="194">
        <f>IFERROR(IF(VLOOKUP($A122,'Annex 2 Designated EHV charges'!$A:$O,11,FALSE)=0,"",VLOOKUP($A122,'Annex 2 Designated EHV charges'!$A:$O,11,FALSE)),"")</f>
        <v>1.54</v>
      </c>
      <c r="H122" s="194">
        <f>IFERROR(IF(VLOOKUP($A122,'Annex 2 Designated EHV charges'!$A:$O,12,FALSE)=0,"",VLOOKUP($A122,'Annex 2 Designated EHV charges'!$A:$O,12,FALSE)),"")</f>
        <v>1.54</v>
      </c>
    </row>
    <row r="123" spans="1:8" x14ac:dyDescent="0.2">
      <c r="A123" s="94" t="str" cm="1">
        <f t="array" ref="A123">IFERROR(INDEX('Annex 2 Designated EHV charges'!$A$10:$A$401, MATCH(0, IF(ISBLANK('Annex 2 Designated EHV charges'!$A$10:$A$401),1, COUNTIF(A$4:$A122, 'Annex 2 Designated EHV charges'!$A$10:$A$401)), 0)),"")</f>
        <v>BRCHGP</v>
      </c>
      <c r="B123" s="94">
        <f>IF($A123="","",VLOOKUP($A123,'Annex 2 Designated EHV charges'!$A:$O,2,0))</f>
        <v>525</v>
      </c>
      <c r="C123" s="95">
        <f>IF($A123="","",VLOOKUP($A123,'Annex 2 Designated EHV charges'!$A:$O,3,0))</f>
        <v>1050000961956</v>
      </c>
      <c r="D123" s="94" t="str">
        <f>IF($A123="","",VLOOKUP($A123,'Annex 2 Designated EHV charges'!$A:$O,7,0))</f>
        <v>BRCHGP</v>
      </c>
      <c r="E123" s="97">
        <f>IFERROR(IF(VLOOKUP($A123,'Annex 2 Designated EHV charges'!$A:$O,9,FALSE)=0,"",VLOOKUP($A123,'Annex 2 Designated EHV charges'!$A:$O,9,FALSE)),"")</f>
        <v>2.4340000000000002</v>
      </c>
      <c r="F123" s="194">
        <f>IFERROR(IF(VLOOKUP($A123,'Annex 2 Designated EHV charges'!$A:$O,10,FALSE)=0,"",VLOOKUP($A123,'Annex 2 Designated EHV charges'!$A:$O,10,FALSE)),"")</f>
        <v>7.92</v>
      </c>
      <c r="G123" s="194">
        <f>IFERROR(IF(VLOOKUP($A123,'Annex 2 Designated EHV charges'!$A:$O,11,FALSE)=0,"",VLOOKUP($A123,'Annex 2 Designated EHV charges'!$A:$O,11,FALSE)),"")</f>
        <v>4.17</v>
      </c>
      <c r="H123" s="194">
        <f>IFERROR(IF(VLOOKUP($A123,'Annex 2 Designated EHV charges'!$A:$O,12,FALSE)=0,"",VLOOKUP($A123,'Annex 2 Designated EHV charges'!$A:$O,12,FALSE)),"")</f>
        <v>4.17</v>
      </c>
    </row>
    <row r="124" spans="1:8" x14ac:dyDescent="0.2">
      <c r="A124" s="94" t="str" cm="1">
        <f t="array" ref="A124">IFERROR(INDEX('Annex 2 Designated EHV charges'!$A$10:$A$401, MATCH(0, IF(ISBLANK('Annex 2 Designated EHV charges'!$A$10:$A$401),1, COUNTIF(A$4:$A123, 'Annex 2 Designated EHV charges'!$A$10:$A$401)), 0)),"")</f>
        <v>BREFC1</v>
      </c>
      <c r="B124" s="94">
        <f>IF($A124="","",VLOOKUP($A124,'Annex 2 Designated EHV charges'!$A:$O,2,0))</f>
        <v>332</v>
      </c>
      <c r="C124" s="95">
        <f>IF($A124="","",VLOOKUP($A124,'Annex 2 Designated EHV charges'!$A:$O,3,0))</f>
        <v>1050002055530</v>
      </c>
      <c r="D124" s="94" t="str">
        <f>IF($A124="","",VLOOKUP($A124,'Annex 2 Designated EHV charges'!$A:$O,7,0))</f>
        <v>BREFC1</v>
      </c>
      <c r="E124" s="97" t="str">
        <f>IFERROR(IF(VLOOKUP($A124,'Annex 2 Designated EHV charges'!$A:$O,9,FALSE)=0,"",VLOOKUP($A124,'Annex 2 Designated EHV charges'!$A:$O,9,FALSE)),"")</f>
        <v/>
      </c>
      <c r="F124" s="194">
        <f>IFERROR(IF(VLOOKUP($A124,'Annex 2 Designated EHV charges'!$A:$O,10,FALSE)=0,"",VLOOKUP($A124,'Annex 2 Designated EHV charges'!$A:$O,10,FALSE)),"")</f>
        <v>163.30000000000001</v>
      </c>
      <c r="G124" s="194">
        <f>IFERROR(IF(VLOOKUP($A124,'Annex 2 Designated EHV charges'!$A:$O,11,FALSE)=0,"",VLOOKUP($A124,'Annex 2 Designated EHV charges'!$A:$O,11,FALSE)),"")</f>
        <v>3.09</v>
      </c>
      <c r="H124" s="194">
        <f>IFERROR(IF(VLOOKUP($A124,'Annex 2 Designated EHV charges'!$A:$O,12,FALSE)=0,"",VLOOKUP($A124,'Annex 2 Designated EHV charges'!$A:$O,12,FALSE)),"")</f>
        <v>3.09</v>
      </c>
    </row>
    <row r="125" spans="1:8" x14ac:dyDescent="0.2">
      <c r="A125" s="94" t="str" cm="1">
        <f t="array" ref="A125">IFERROR(INDEX('Annex 2 Designated EHV charges'!$A$10:$A$401, MATCH(0, IF(ISBLANK('Annex 2 Designated EHV charges'!$A$10:$A$401),1, COUNTIF(A$4:$A124, 'Annex 2 Designated EHV charges'!$A$10:$A$401)), 0)),"")</f>
        <v>BRENBS</v>
      </c>
      <c r="B125" s="94">
        <f>IF($A125="","",VLOOKUP($A125,'Annex 2 Designated EHV charges'!$A:$O,2,0))</f>
        <v>0</v>
      </c>
      <c r="C125" s="95" t="str">
        <f>IF($A125="","",VLOOKUP($A125,'Annex 2 Designated EHV charges'!$A:$O,3,0))</f>
        <v>MSID: 7508</v>
      </c>
      <c r="D125" s="94" t="str">
        <f>IF($A125="","",VLOOKUP($A125,'Annex 2 Designated EHV charges'!$A:$O,7,0))</f>
        <v>BRENBS</v>
      </c>
      <c r="E125" s="97" t="str">
        <f>IFERROR(IF(VLOOKUP($A125,'Annex 2 Designated EHV charges'!$A:$O,9,FALSE)=0,"",VLOOKUP($A125,'Annex 2 Designated EHV charges'!$A:$O,9,FALSE)),"")</f>
        <v/>
      </c>
      <c r="F125" s="194">
        <f>IFERROR(IF(VLOOKUP($A125,'Annex 2 Designated EHV charges'!$A:$O,10,FALSE)=0,"",VLOOKUP($A125,'Annex 2 Designated EHV charges'!$A:$O,10,FALSE)),"")</f>
        <v>946.06</v>
      </c>
      <c r="G125" s="194">
        <f>IFERROR(IF(VLOOKUP($A125,'Annex 2 Designated EHV charges'!$A:$O,11,FALSE)=0,"",VLOOKUP($A125,'Annex 2 Designated EHV charges'!$A:$O,11,FALSE)),"")</f>
        <v>2.46</v>
      </c>
      <c r="H125" s="194">
        <f>IFERROR(IF(VLOOKUP($A125,'Annex 2 Designated EHV charges'!$A:$O,12,FALSE)=0,"",VLOOKUP($A125,'Annex 2 Designated EHV charges'!$A:$O,12,FALSE)),"")</f>
        <v>2.46</v>
      </c>
    </row>
    <row r="126" spans="1:8" x14ac:dyDescent="0.2">
      <c r="A126" s="94" t="str" cm="1">
        <f t="array" ref="A126">IFERROR(INDEX('Annex 2 Designated EHV charges'!$A$10:$A$401, MATCH(0, IF(ISBLANK('Annex 2 Designated EHV charges'!$A$10:$A$401),1, COUNTIF(A$4:$A125, 'Annex 2 Designated EHV charges'!$A$10:$A$401)), 0)),"")</f>
        <v>BRKESF</v>
      </c>
      <c r="B126" s="94">
        <f>IF($A126="","",VLOOKUP($A126,'Annex 2 Designated EHV charges'!$A:$O,2,0))</f>
        <v>0</v>
      </c>
      <c r="C126" s="95" t="str">
        <f>IF($A126="","",VLOOKUP($A126,'Annex 2 Designated EHV charges'!$A:$O,3,0))</f>
        <v>MSID: 7472</v>
      </c>
      <c r="D126" s="94" t="str">
        <f>IF($A126="","",VLOOKUP($A126,'Annex 2 Designated EHV charges'!$A:$O,7,0))</f>
        <v>BRKESF</v>
      </c>
      <c r="E126" s="97">
        <f>IFERROR(IF(VLOOKUP($A126,'Annex 2 Designated EHV charges'!$A:$O,9,FALSE)=0,"",VLOOKUP($A126,'Annex 2 Designated EHV charges'!$A:$O,9,FALSE)),"")</f>
        <v>1.4E-2</v>
      </c>
      <c r="F126" s="194">
        <f>IFERROR(IF(VLOOKUP($A126,'Annex 2 Designated EHV charges'!$A:$O,10,FALSE)=0,"",VLOOKUP($A126,'Annex 2 Designated EHV charges'!$A:$O,10,FALSE)),"")</f>
        <v>5308.94</v>
      </c>
      <c r="G126" s="194">
        <f>IFERROR(IF(VLOOKUP($A126,'Annex 2 Designated EHV charges'!$A:$O,11,FALSE)=0,"",VLOOKUP($A126,'Annex 2 Designated EHV charges'!$A:$O,11,FALSE)),"")</f>
        <v>1.31</v>
      </c>
      <c r="H126" s="194">
        <f>IFERROR(IF(VLOOKUP($A126,'Annex 2 Designated EHV charges'!$A:$O,12,FALSE)=0,"",VLOOKUP($A126,'Annex 2 Designated EHV charges'!$A:$O,12,FALSE)),"")</f>
        <v>1.31</v>
      </c>
    </row>
    <row r="127" spans="1:8" ht="51" x14ac:dyDescent="0.2">
      <c r="A127" s="94" t="str" cm="1">
        <f t="array" ref="A127">IFERROR(INDEX('Annex 2 Designated EHV charges'!$A$10:$A$401, MATCH(0, IF(ISBLANK('Annex 2 Designated EHV charges'!$A$10:$A$401),1, COUNTIF(A$4:$A126, 'Annex 2 Designated EHV charges'!$A$10:$A$401)), 0)),"")</f>
        <v>BROGB_</v>
      </c>
      <c r="B127" s="94">
        <f>IF($A127="","",VLOOKUP($A127,'Annex 2 Designated EHV charges'!$A:$O,2,0))</f>
        <v>821</v>
      </c>
      <c r="C127" s="95" t="str">
        <f>IF($A127="","",VLOOKUP($A127,'Annex 2 Designated EHV charges'!$A:$O,3,0))</f>
        <v>1030041592510;1030041592742;1030041592974;1030041593203</v>
      </c>
      <c r="D127" s="94" t="str">
        <f>IF($A127="","",VLOOKUP($A127,'Annex 2 Designated EHV charges'!$A:$O,7,0))</f>
        <v>BROGB_</v>
      </c>
      <c r="E127" s="97" t="str">
        <f>IFERROR(IF(VLOOKUP($A127,'Annex 2 Designated EHV charges'!$A:$O,9,FALSE)=0,"",VLOOKUP($A127,'Annex 2 Designated EHV charges'!$A:$O,9,FALSE)),"")</f>
        <v/>
      </c>
      <c r="F127" s="194">
        <f>IFERROR(IF(VLOOKUP($A127,'Annex 2 Designated EHV charges'!$A:$O,10,FALSE)=0,"",VLOOKUP($A127,'Annex 2 Designated EHV charges'!$A:$O,10,FALSE)),"")</f>
        <v>481.47</v>
      </c>
      <c r="G127" s="194">
        <f>IFERROR(IF(VLOOKUP($A127,'Annex 2 Designated EHV charges'!$A:$O,11,FALSE)=0,"",VLOOKUP($A127,'Annex 2 Designated EHV charges'!$A:$O,11,FALSE)),"")</f>
        <v>3.87</v>
      </c>
      <c r="H127" s="194">
        <f>IFERROR(IF(VLOOKUP($A127,'Annex 2 Designated EHV charges'!$A:$O,12,FALSE)=0,"",VLOOKUP($A127,'Annex 2 Designated EHV charges'!$A:$O,12,FALSE)),"")</f>
        <v>3.87</v>
      </c>
    </row>
    <row r="128" spans="1:8" x14ac:dyDescent="0.2">
      <c r="A128" s="94" t="str" cm="1">
        <f t="array" ref="A128">IFERROR(INDEX('Annex 2 Designated EHV charges'!$A$10:$A$401, MATCH(0, IF(ISBLANK('Annex 2 Designated EHV charges'!$A$10:$A$401),1, COUNTIF(A$4:$A127, 'Annex 2 Designated EHV charges'!$A$10:$A$401)), 0)),"")</f>
        <v>BROXSF</v>
      </c>
      <c r="B128" s="94">
        <f>IF($A128="","",VLOOKUP($A128,'Annex 2 Designated EHV charges'!$A:$O,2,0))</f>
        <v>872</v>
      </c>
      <c r="C128" s="95">
        <f>IF($A128="","",VLOOKUP($A128,'Annex 2 Designated EHV charges'!$A:$O,3,0))</f>
        <v>1050000521610</v>
      </c>
      <c r="D128" s="94" t="str">
        <f>IF($A128="","",VLOOKUP($A128,'Annex 2 Designated EHV charges'!$A:$O,7,0))</f>
        <v>BROXSF</v>
      </c>
      <c r="E128" s="97">
        <f>IFERROR(IF(VLOOKUP($A128,'Annex 2 Designated EHV charges'!$A:$O,9,FALSE)=0,"",VLOOKUP($A128,'Annex 2 Designated EHV charges'!$A:$O,9,FALSE)),"")</f>
        <v>6.6120000000000001</v>
      </c>
      <c r="F128" s="194">
        <f>IFERROR(IF(VLOOKUP($A128,'Annex 2 Designated EHV charges'!$A:$O,10,FALSE)=0,"",VLOOKUP($A128,'Annex 2 Designated EHV charges'!$A:$O,10,FALSE)),"")</f>
        <v>24.6</v>
      </c>
      <c r="G128" s="194">
        <f>IFERROR(IF(VLOOKUP($A128,'Annex 2 Designated EHV charges'!$A:$O,11,FALSE)=0,"",VLOOKUP($A128,'Annex 2 Designated EHV charges'!$A:$O,11,FALSE)),"")</f>
        <v>5.6</v>
      </c>
      <c r="H128" s="194">
        <f>IFERROR(IF(VLOOKUP($A128,'Annex 2 Designated EHV charges'!$A:$O,12,FALSE)=0,"",VLOOKUP($A128,'Annex 2 Designated EHV charges'!$A:$O,12,FALSE)),"")</f>
        <v>5.6</v>
      </c>
    </row>
    <row r="129" spans="1:8" x14ac:dyDescent="0.2">
      <c r="A129" s="94" t="str" cm="1">
        <f t="array" ref="A129">IFERROR(INDEX('Annex 2 Designated EHV charges'!$A$10:$A$401, MATCH(0, IF(ISBLANK('Annex 2 Designated EHV charges'!$A$10:$A$401),1, COUNTIF(A$4:$A128, 'Annex 2 Designated EHV charges'!$A$10:$A$401)), 0)),"")</f>
        <v>BRTHS2</v>
      </c>
      <c r="B129" s="94">
        <f>IF($A129="","",VLOOKUP($A129,'Annex 2 Designated EHV charges'!$A:$O,2,0))</f>
        <v>508</v>
      </c>
      <c r="C129" s="95">
        <f>IF($A129="","",VLOOKUP($A129,'Annex 2 Designated EHV charges'!$A:$O,3,0))</f>
        <v>1050000782944</v>
      </c>
      <c r="D129" s="94" t="str">
        <f>IF($A129="","",VLOOKUP($A129,'Annex 2 Designated EHV charges'!$A:$O,7,0))</f>
        <v>BRTHS2</v>
      </c>
      <c r="E129" s="97">
        <f>IFERROR(IF(VLOOKUP($A129,'Annex 2 Designated EHV charges'!$A:$O,9,FALSE)=0,"",VLOOKUP($A129,'Annex 2 Designated EHV charges'!$A:$O,9,FALSE)),"")</f>
        <v>0.214</v>
      </c>
      <c r="F129" s="194">
        <f>IFERROR(IF(VLOOKUP($A129,'Annex 2 Designated EHV charges'!$A:$O,10,FALSE)=0,"",VLOOKUP($A129,'Annex 2 Designated EHV charges'!$A:$O,10,FALSE)),"")</f>
        <v>2.46</v>
      </c>
      <c r="G129" s="194">
        <f>IFERROR(IF(VLOOKUP($A129,'Annex 2 Designated EHV charges'!$A:$O,11,FALSE)=0,"",VLOOKUP($A129,'Annex 2 Designated EHV charges'!$A:$O,11,FALSE)),"")</f>
        <v>2.4500000000000002</v>
      </c>
      <c r="H129" s="194">
        <f>IFERROR(IF(VLOOKUP($A129,'Annex 2 Designated EHV charges'!$A:$O,12,FALSE)=0,"",VLOOKUP($A129,'Annex 2 Designated EHV charges'!$A:$O,12,FALSE)),"")</f>
        <v>2.4500000000000002</v>
      </c>
    </row>
    <row r="130" spans="1:8" x14ac:dyDescent="0.2">
      <c r="A130" s="94" t="str" cm="1">
        <f t="array" ref="A130">IFERROR(INDEX('Annex 2 Designated EHV charges'!$A$10:$A$401, MATCH(0, IF(ISBLANK('Annex 2 Designated EHV charges'!$A$10:$A$401),1, COUNTIF(A$4:$A129, 'Annex 2 Designated EHV charges'!$A$10:$A$401)), 0)),"")</f>
        <v>BRTHSS</v>
      </c>
      <c r="B130" s="94">
        <f>IF($A130="","",VLOOKUP($A130,'Annex 2 Designated EHV charges'!$A:$O,2,0))</f>
        <v>873</v>
      </c>
      <c r="C130" s="95">
        <f>IF($A130="","",VLOOKUP($A130,'Annex 2 Designated EHV charges'!$A:$O,3,0))</f>
        <v>1030083941266</v>
      </c>
      <c r="D130" s="94" t="str">
        <f>IF($A130="","",VLOOKUP($A130,'Annex 2 Designated EHV charges'!$A:$O,7,0))</f>
        <v>BRTHSS</v>
      </c>
      <c r="E130" s="97">
        <f>IFERROR(IF(VLOOKUP($A130,'Annex 2 Designated EHV charges'!$A:$O,9,FALSE)=0,"",VLOOKUP($A130,'Annex 2 Designated EHV charges'!$A:$O,9,FALSE)),"")</f>
        <v>0.21299999999999999</v>
      </c>
      <c r="F130" s="194">
        <f>IFERROR(IF(VLOOKUP($A130,'Annex 2 Designated EHV charges'!$A:$O,10,FALSE)=0,"",VLOOKUP($A130,'Annex 2 Designated EHV charges'!$A:$O,10,FALSE)),"")</f>
        <v>5.46</v>
      </c>
      <c r="G130" s="194">
        <f>IFERROR(IF(VLOOKUP($A130,'Annex 2 Designated EHV charges'!$A:$O,11,FALSE)=0,"",VLOOKUP($A130,'Annex 2 Designated EHV charges'!$A:$O,11,FALSE)),"")</f>
        <v>2.0099999999999998</v>
      </c>
      <c r="H130" s="194">
        <f>IFERROR(IF(VLOOKUP($A130,'Annex 2 Designated EHV charges'!$A:$O,12,FALSE)=0,"",VLOOKUP($A130,'Annex 2 Designated EHV charges'!$A:$O,12,FALSE)),"")</f>
        <v>2.0099999999999998</v>
      </c>
    </row>
    <row r="131" spans="1:8" x14ac:dyDescent="0.2">
      <c r="A131" s="94" t="str" cm="1">
        <f t="array" ref="A131">IFERROR(INDEX('Annex 2 Designated EHV charges'!$A$10:$A$401, MATCH(0, IF(ISBLANK('Annex 2 Designated EHV charges'!$A$10:$A$401),1, COUNTIF(A$4:$A130, 'Annex 2 Designated EHV charges'!$A$10:$A$401)), 0)),"")</f>
        <v>BRTHSW</v>
      </c>
      <c r="B131" s="94">
        <f>IF($A131="","",VLOOKUP($A131,'Annex 2 Designated EHV charges'!$A:$O,2,0))</f>
        <v>874</v>
      </c>
      <c r="C131" s="95">
        <f>IF($A131="","",VLOOKUP($A131,'Annex 2 Designated EHV charges'!$A:$O,3,0))</f>
        <v>1030083918035</v>
      </c>
      <c r="D131" s="94" t="str">
        <f>IF($A131="","",VLOOKUP($A131,'Annex 2 Designated EHV charges'!$A:$O,7,0))</f>
        <v>BRTHSW</v>
      </c>
      <c r="E131" s="97">
        <f>IFERROR(IF(VLOOKUP($A131,'Annex 2 Designated EHV charges'!$A:$O,9,FALSE)=0,"",VLOOKUP($A131,'Annex 2 Designated EHV charges'!$A:$O,9,FALSE)),"")</f>
        <v>0.218</v>
      </c>
      <c r="F131" s="194">
        <f>IFERROR(IF(VLOOKUP($A131,'Annex 2 Designated EHV charges'!$A:$O,10,FALSE)=0,"",VLOOKUP($A131,'Annex 2 Designated EHV charges'!$A:$O,10,FALSE)),"")</f>
        <v>14.01</v>
      </c>
      <c r="G131" s="194">
        <f>IFERROR(IF(VLOOKUP($A131,'Annex 2 Designated EHV charges'!$A:$O,11,FALSE)=0,"",VLOOKUP($A131,'Annex 2 Designated EHV charges'!$A:$O,11,FALSE)),"")</f>
        <v>1.4</v>
      </c>
      <c r="H131" s="194">
        <f>IFERROR(IF(VLOOKUP($A131,'Annex 2 Designated EHV charges'!$A:$O,12,FALSE)=0,"",VLOOKUP($A131,'Annex 2 Designated EHV charges'!$A:$O,12,FALSE)),"")</f>
        <v>1.4</v>
      </c>
    </row>
    <row r="132" spans="1:8" ht="25.5" x14ac:dyDescent="0.2">
      <c r="A132" s="94" t="str" cm="1">
        <f t="array" ref="A132">IFERROR(INDEX('Annex 2 Designated EHV charges'!$A$10:$A$401, MATCH(0, IF(ISBLANK('Annex 2 Designated EHV charges'!$A$10:$A$401),1, COUNTIF(A$4:$A131, 'Annex 2 Designated EHV charges'!$A$10:$A$401)), 0)),"")</f>
        <v>BS_BUR</v>
      </c>
      <c r="B132" s="94">
        <f>IF($A132="","",VLOOKUP($A132,'Annex 2 Designated EHV charges'!$A:$O,2,0))</f>
        <v>805</v>
      </c>
      <c r="C132" s="95" t="str">
        <f>IF($A132="","",VLOOKUP($A132,'Annex 2 Designated EHV charges'!$A:$O,3,0))</f>
        <v>1023485782314;1050000914910</v>
      </c>
      <c r="D132" s="94" t="str">
        <f>IF($A132="","",VLOOKUP($A132,'Annex 2 Designated EHV charges'!$A:$O,7,0))</f>
        <v>BS_BUR</v>
      </c>
      <c r="E132" s="97">
        <f>IFERROR(IF(VLOOKUP($A132,'Annex 2 Designated EHV charges'!$A:$O,9,FALSE)=0,"",VLOOKUP($A132,'Annex 2 Designated EHV charges'!$A:$O,9,FALSE)),"")</f>
        <v>1.8720000000000001</v>
      </c>
      <c r="F132" s="194">
        <f>IFERROR(IF(VLOOKUP($A132,'Annex 2 Designated EHV charges'!$A:$O,10,FALSE)=0,"",VLOOKUP($A132,'Annex 2 Designated EHV charges'!$A:$O,10,FALSE)),"")</f>
        <v>15170.64</v>
      </c>
      <c r="G132" s="194">
        <f>IFERROR(IF(VLOOKUP($A132,'Annex 2 Designated EHV charges'!$A:$O,11,FALSE)=0,"",VLOOKUP($A132,'Annex 2 Designated EHV charges'!$A:$O,11,FALSE)),"")</f>
        <v>1.24</v>
      </c>
      <c r="H132" s="194">
        <f>IFERROR(IF(VLOOKUP($A132,'Annex 2 Designated EHV charges'!$A:$O,12,FALSE)=0,"",VLOOKUP($A132,'Annex 2 Designated EHV charges'!$A:$O,12,FALSE)),"")</f>
        <v>1.24</v>
      </c>
    </row>
    <row r="133" spans="1:8" x14ac:dyDescent="0.2">
      <c r="A133" s="94" t="str" cm="1">
        <f t="array" ref="A133">IFERROR(INDEX('Annex 2 Designated EHV charges'!$A$10:$A$401, MATCH(0, IF(ISBLANK('Annex 2 Designated EHV charges'!$A$10:$A$401),1, COUNTIF(A$4:$A132, 'Annex 2 Designated EHV charges'!$A$10:$A$401)), 0)),"")</f>
        <v>BS_WIS</v>
      </c>
      <c r="B133" s="94">
        <f>IF($A133="","",VLOOKUP($A133,'Annex 2 Designated EHV charges'!$A:$O,2,0))</f>
        <v>806</v>
      </c>
      <c r="C133" s="95">
        <f>IF($A133="","",VLOOKUP($A133,'Annex 2 Designated EHV charges'!$A:$O,3,0))</f>
        <v>1014568635628</v>
      </c>
      <c r="D133" s="94" t="str">
        <f>IF($A133="","",VLOOKUP($A133,'Annex 2 Designated EHV charges'!$A:$O,7,0))</f>
        <v>BS_WIS</v>
      </c>
      <c r="E133" s="97">
        <f>IFERROR(IF(VLOOKUP($A133,'Annex 2 Designated EHV charges'!$A:$O,9,FALSE)=0,"",VLOOKUP($A133,'Annex 2 Designated EHV charges'!$A:$O,9,FALSE)),"")</f>
        <v>0.10100000000000001</v>
      </c>
      <c r="F133" s="194">
        <f>IFERROR(IF(VLOOKUP($A133,'Annex 2 Designated EHV charges'!$A:$O,10,FALSE)=0,"",VLOOKUP($A133,'Annex 2 Designated EHV charges'!$A:$O,10,FALSE)),"")</f>
        <v>15076.95</v>
      </c>
      <c r="G133" s="194">
        <f>IFERROR(IF(VLOOKUP($A133,'Annex 2 Designated EHV charges'!$A:$O,11,FALSE)=0,"",VLOOKUP($A133,'Annex 2 Designated EHV charges'!$A:$O,11,FALSE)),"")</f>
        <v>1.27</v>
      </c>
      <c r="H133" s="194">
        <f>IFERROR(IF(VLOOKUP($A133,'Annex 2 Designated EHV charges'!$A:$O,12,FALSE)=0,"",VLOOKUP($A133,'Annex 2 Designated EHV charges'!$A:$O,12,FALSE)),"")</f>
        <v>1.27</v>
      </c>
    </row>
    <row r="134" spans="1:8" x14ac:dyDescent="0.2">
      <c r="A134" s="94" t="str" cm="1">
        <f t="array" ref="A134">IFERROR(INDEX('Annex 2 Designated EHV charges'!$A$10:$A$401, MATCH(0, IF(ISBLANK('Annex 2 Designated EHV charges'!$A$10:$A$401),1, COUNTIF(A$4:$A133, 'Annex 2 Designated EHV charges'!$A$10:$A$401)), 0)),"")</f>
        <v>BSGBRN</v>
      </c>
      <c r="B134" s="94">
        <f>IF($A134="","",VLOOKUP($A134,'Annex 2 Designated EHV charges'!$A:$O,2,0))</f>
        <v>507</v>
      </c>
      <c r="C134" s="95">
        <f>IF($A134="","",VLOOKUP($A134,'Annex 2 Designated EHV charges'!$A:$O,3,0))</f>
        <v>1050000773851</v>
      </c>
      <c r="D134" s="94" t="str">
        <f>IF($A134="","",VLOOKUP($A134,'Annex 2 Designated EHV charges'!$A:$O,7,0))</f>
        <v>BSGBRN</v>
      </c>
      <c r="E134" s="97">
        <f>IFERROR(IF(VLOOKUP($A134,'Annex 2 Designated EHV charges'!$A:$O,9,FALSE)=0,"",VLOOKUP($A134,'Annex 2 Designated EHV charges'!$A:$O,9,FALSE)),"")</f>
        <v>0.13200000000000001</v>
      </c>
      <c r="F134" s="194">
        <f>IFERROR(IF(VLOOKUP($A134,'Annex 2 Designated EHV charges'!$A:$O,10,FALSE)=0,"",VLOOKUP($A134,'Annex 2 Designated EHV charges'!$A:$O,10,FALSE)),"")</f>
        <v>4641.46</v>
      </c>
      <c r="G134" s="194">
        <f>IFERROR(IF(VLOOKUP($A134,'Annex 2 Designated EHV charges'!$A:$O,11,FALSE)=0,"",VLOOKUP($A134,'Annex 2 Designated EHV charges'!$A:$O,11,FALSE)),"")</f>
        <v>2.0099999999999998</v>
      </c>
      <c r="H134" s="194">
        <f>IFERROR(IF(VLOOKUP($A134,'Annex 2 Designated EHV charges'!$A:$O,12,FALSE)=0,"",VLOOKUP($A134,'Annex 2 Designated EHV charges'!$A:$O,12,FALSE)),"")</f>
        <v>2.0099999999999998</v>
      </c>
    </row>
    <row r="135" spans="1:8" x14ac:dyDescent="0.2">
      <c r="A135" s="94" t="str" cm="1">
        <f t="array" ref="A135">IFERROR(INDEX('Annex 2 Designated EHV charges'!$A$10:$A$401, MATCH(0, IF(ISBLANK('Annex 2 Designated EHV charges'!$A$10:$A$401),1, COUNTIF(A$4:$A134, 'Annex 2 Designated EHV charges'!$A$10:$A$401)), 0)),"")</f>
        <v>BURGSF</v>
      </c>
      <c r="B135" s="94">
        <f>IF($A135="","",VLOOKUP($A135,'Annex 2 Designated EHV charges'!$A:$O,2,0))</f>
        <v>358</v>
      </c>
      <c r="C135" s="95">
        <f>IF($A135="","",VLOOKUP($A135,'Annex 2 Designated EHV charges'!$A:$O,3,0))</f>
        <v>1050002552390</v>
      </c>
      <c r="D135" s="94" t="str">
        <f>IF($A135="","",VLOOKUP($A135,'Annex 2 Designated EHV charges'!$A:$O,7,0))</f>
        <v>BURGSF</v>
      </c>
      <c r="E135" s="97" t="str">
        <f>IFERROR(IF(VLOOKUP($A135,'Annex 2 Designated EHV charges'!$A:$O,9,FALSE)=0,"",VLOOKUP($A135,'Annex 2 Designated EHV charges'!$A:$O,9,FALSE)),"")</f>
        <v/>
      </c>
      <c r="F135" s="194">
        <f>IFERROR(IF(VLOOKUP($A135,'Annex 2 Designated EHV charges'!$A:$O,10,FALSE)=0,"",VLOOKUP($A135,'Annex 2 Designated EHV charges'!$A:$O,10,FALSE)),"")</f>
        <v>46.8</v>
      </c>
      <c r="G135" s="194">
        <f>IFERROR(IF(VLOOKUP($A135,'Annex 2 Designated EHV charges'!$A:$O,11,FALSE)=0,"",VLOOKUP($A135,'Annex 2 Designated EHV charges'!$A:$O,11,FALSE)),"")</f>
        <v>1.81</v>
      </c>
      <c r="H135" s="194">
        <f>IFERROR(IF(VLOOKUP($A135,'Annex 2 Designated EHV charges'!$A:$O,12,FALSE)=0,"",VLOOKUP($A135,'Annex 2 Designated EHV charges'!$A:$O,12,FALSE)),"")</f>
        <v>1.81</v>
      </c>
    </row>
    <row r="136" spans="1:8" x14ac:dyDescent="0.2">
      <c r="A136" s="94" t="str" cm="1">
        <f t="array" ref="A136">IFERROR(INDEX('Annex 2 Designated EHV charges'!$A$10:$A$401, MATCH(0, IF(ISBLANK('Annex 2 Designated EHV charges'!$A$10:$A$401),1, COUNTIF(A$4:$A135, 'Annex 2 Designated EHV charges'!$A$10:$A$401)), 0)),"")</f>
        <v>BURWBS</v>
      </c>
      <c r="B136" s="94">
        <f>IF($A136="","",VLOOKUP($A136,'Annex 2 Designated EHV charges'!$A:$O,2,0))</f>
        <v>0</v>
      </c>
      <c r="C136" s="95" t="str">
        <f>IF($A136="","",VLOOKUP($A136,'Annex 2 Designated EHV charges'!$A:$O,3,0))</f>
        <v>MSID: 7439</v>
      </c>
      <c r="D136" s="94" t="str">
        <f>IF($A136="","",VLOOKUP($A136,'Annex 2 Designated EHV charges'!$A:$O,7,0))</f>
        <v>BURWBS</v>
      </c>
      <c r="E136" s="97" t="str">
        <f>IFERROR(IF(VLOOKUP($A136,'Annex 2 Designated EHV charges'!$A:$O,9,FALSE)=0,"",VLOOKUP($A136,'Annex 2 Designated EHV charges'!$A:$O,9,FALSE)),"")</f>
        <v/>
      </c>
      <c r="F136" s="194">
        <f>IFERROR(IF(VLOOKUP($A136,'Annex 2 Designated EHV charges'!$A:$O,10,FALSE)=0,"",VLOOKUP($A136,'Annex 2 Designated EHV charges'!$A:$O,10,FALSE)),"")</f>
        <v>968.53</v>
      </c>
      <c r="G136" s="194">
        <f>IFERROR(IF(VLOOKUP($A136,'Annex 2 Designated EHV charges'!$A:$O,11,FALSE)=0,"",VLOOKUP($A136,'Annex 2 Designated EHV charges'!$A:$O,11,FALSE)),"")</f>
        <v>1.43</v>
      </c>
      <c r="H136" s="194">
        <f>IFERROR(IF(VLOOKUP($A136,'Annex 2 Designated EHV charges'!$A:$O,12,FALSE)=0,"",VLOOKUP($A136,'Annex 2 Designated EHV charges'!$A:$O,12,FALSE)),"")</f>
        <v>1.43</v>
      </c>
    </row>
    <row r="137" spans="1:8" x14ac:dyDescent="0.2">
      <c r="A137" s="94" t="str" cm="1">
        <f t="array" ref="A137">IFERROR(INDEX('Annex 2 Designated EHV charges'!$A$10:$A$401, MATCH(0, IF(ISBLANK('Annex 2 Designated EHV charges'!$A$10:$A$401),1, COUNTIF(A$4:$A136, 'Annex 2 Designated EHV charges'!$A$10:$A$401)), 0)),"")</f>
        <v>BURYLN</v>
      </c>
      <c r="B137" s="94">
        <f>IF($A137="","",VLOOKUP($A137,'Annex 2 Designated EHV charges'!$A:$O,2,0))</f>
        <v>541</v>
      </c>
      <c r="C137" s="95">
        <f>IF($A137="","",VLOOKUP($A137,'Annex 2 Designated EHV charges'!$A:$O,3,0))</f>
        <v>1050000729676</v>
      </c>
      <c r="D137" s="94" t="str">
        <f>IF($A137="","",VLOOKUP($A137,'Annex 2 Designated EHV charges'!$A:$O,7,0))</f>
        <v>BURYLN</v>
      </c>
      <c r="E137" s="97" t="str">
        <f>IFERROR(IF(VLOOKUP($A137,'Annex 2 Designated EHV charges'!$A:$O,9,FALSE)=0,"",VLOOKUP($A137,'Annex 2 Designated EHV charges'!$A:$O,9,FALSE)),"")</f>
        <v/>
      </c>
      <c r="F137" s="194">
        <f>IFERROR(IF(VLOOKUP($A137,'Annex 2 Designated EHV charges'!$A:$O,10,FALSE)=0,"",VLOOKUP($A137,'Annex 2 Designated EHV charges'!$A:$O,10,FALSE)),"")</f>
        <v>4.03</v>
      </c>
      <c r="G137" s="194">
        <f>IFERROR(IF(VLOOKUP($A137,'Annex 2 Designated EHV charges'!$A:$O,11,FALSE)=0,"",VLOOKUP($A137,'Annex 2 Designated EHV charges'!$A:$O,11,FALSE)),"")</f>
        <v>2.5499999999999998</v>
      </c>
      <c r="H137" s="194">
        <f>IFERROR(IF(VLOOKUP($A137,'Annex 2 Designated EHV charges'!$A:$O,12,FALSE)=0,"",VLOOKUP($A137,'Annex 2 Designated EHV charges'!$A:$O,12,FALSE)),"")</f>
        <v>2.5499999999999998</v>
      </c>
    </row>
    <row r="138" spans="1:8" x14ac:dyDescent="0.2">
      <c r="A138" s="94" t="str" cm="1">
        <f t="array" ref="A138">IFERROR(INDEX('Annex 2 Designated EHV charges'!$A$10:$A$401, MATCH(0, IF(ISBLANK('Annex 2 Designated EHV charges'!$A$10:$A$401),1, COUNTIF(A$4:$A137, 'Annex 2 Designated EHV charges'!$A$10:$A$401)), 0)),"")</f>
        <v>CANTSF</v>
      </c>
      <c r="B138" s="94">
        <f>IF($A138="","",VLOOKUP($A138,'Annex 2 Designated EHV charges'!$A:$O,2,0))</f>
        <v>875</v>
      </c>
      <c r="C138" s="95">
        <f>IF($A138="","",VLOOKUP($A138,'Annex 2 Designated EHV charges'!$A:$O,3,0))</f>
        <v>1030082355419</v>
      </c>
      <c r="D138" s="94" t="str">
        <f>IF($A138="","",VLOOKUP($A138,'Annex 2 Designated EHV charges'!$A:$O,7,0))</f>
        <v>CANTSF</v>
      </c>
      <c r="E138" s="97" t="str">
        <f>IFERROR(IF(VLOOKUP($A138,'Annex 2 Designated EHV charges'!$A:$O,9,FALSE)=0,"",VLOOKUP($A138,'Annex 2 Designated EHV charges'!$A:$O,9,FALSE)),"")</f>
        <v/>
      </c>
      <c r="F138" s="194">
        <f>IFERROR(IF(VLOOKUP($A138,'Annex 2 Designated EHV charges'!$A:$O,10,FALSE)=0,"",VLOOKUP($A138,'Annex 2 Designated EHV charges'!$A:$O,10,FALSE)),"")</f>
        <v>29.88</v>
      </c>
      <c r="G138" s="194">
        <f>IFERROR(IF(VLOOKUP($A138,'Annex 2 Designated EHV charges'!$A:$O,11,FALSE)=0,"",VLOOKUP($A138,'Annex 2 Designated EHV charges'!$A:$O,11,FALSE)),"")</f>
        <v>2.2799999999999998</v>
      </c>
      <c r="H138" s="194">
        <f>IFERROR(IF(VLOOKUP($A138,'Annex 2 Designated EHV charges'!$A:$O,12,FALSE)=0,"",VLOOKUP($A138,'Annex 2 Designated EHV charges'!$A:$O,12,FALSE)),"")</f>
        <v>2.2799999999999998</v>
      </c>
    </row>
    <row r="139" spans="1:8" x14ac:dyDescent="0.2">
      <c r="A139" s="94" t="str" cm="1">
        <f t="array" ref="A139">IFERROR(INDEX('Annex 2 Designated EHV charges'!$A$10:$A$401, MATCH(0, IF(ISBLANK('Annex 2 Designated EHV charges'!$A$10:$A$401),1, COUNTIF(A$4:$A138, 'Annex 2 Designated EHV charges'!$A$10:$A$401)), 0)),"")</f>
        <v>CAVDRD</v>
      </c>
      <c r="B139" s="94">
        <f>IF($A139="","",VLOOKUP($A139,'Annex 2 Designated EHV charges'!$A:$O,2,0))</f>
        <v>429</v>
      </c>
      <c r="C139" s="95">
        <f>IF($A139="","",VLOOKUP($A139,'Annex 2 Designated EHV charges'!$A:$O,3,0))</f>
        <v>1050001791569</v>
      </c>
      <c r="D139" s="94" t="str">
        <f>IF($A139="","",VLOOKUP($A139,'Annex 2 Designated EHV charges'!$A:$O,7,0))</f>
        <v>CAVDRD</v>
      </c>
      <c r="E139" s="97">
        <f>IFERROR(IF(VLOOKUP($A139,'Annex 2 Designated EHV charges'!$A:$O,9,FALSE)=0,"",VLOOKUP($A139,'Annex 2 Designated EHV charges'!$A:$O,9,FALSE)),"")</f>
        <v>1.3160000000000001</v>
      </c>
      <c r="F139" s="194">
        <f>IFERROR(IF(VLOOKUP($A139,'Annex 2 Designated EHV charges'!$A:$O,10,FALSE)=0,"",VLOOKUP($A139,'Annex 2 Designated EHV charges'!$A:$O,10,FALSE)),"")</f>
        <v>59.02</v>
      </c>
      <c r="G139" s="194">
        <f>IFERROR(IF(VLOOKUP($A139,'Annex 2 Designated EHV charges'!$A:$O,11,FALSE)=0,"",VLOOKUP($A139,'Annex 2 Designated EHV charges'!$A:$O,11,FALSE)),"")</f>
        <v>1.31</v>
      </c>
      <c r="H139" s="194">
        <f>IFERROR(IF(VLOOKUP($A139,'Annex 2 Designated EHV charges'!$A:$O,12,FALSE)=0,"",VLOOKUP($A139,'Annex 2 Designated EHV charges'!$A:$O,12,FALSE)),"")</f>
        <v>1.31</v>
      </c>
    </row>
    <row r="140" spans="1:8" x14ac:dyDescent="0.2">
      <c r="A140" s="94" t="str" cm="1">
        <f t="array" ref="A140">IFERROR(INDEX('Annex 2 Designated EHV charges'!$A$10:$A$401, MATCH(0, IF(ISBLANK('Annex 2 Designated EHV charges'!$A$10:$A$401),1, COUNTIF(A$4:$A139, 'Annex 2 Designated EHV charges'!$A$10:$A$401)), 0)),"")</f>
        <v>CEDABS</v>
      </c>
      <c r="B140" s="94">
        <f>IF($A140="","",VLOOKUP($A140,'Annex 2 Designated EHV charges'!$A:$O,2,0))</f>
        <v>362</v>
      </c>
      <c r="C140" s="95">
        <f>IF($A140="","",VLOOKUP($A140,'Annex 2 Designated EHV charges'!$A:$O,3,0))</f>
        <v>1050003229659</v>
      </c>
      <c r="D140" s="94" t="str">
        <f>IF($A140="","",VLOOKUP($A140,'Annex 2 Designated EHV charges'!$A:$O,7,0))</f>
        <v>CEDABS</v>
      </c>
      <c r="E140" s="97" t="str">
        <f>IFERROR(IF(VLOOKUP($A140,'Annex 2 Designated EHV charges'!$A:$O,9,FALSE)=0,"",VLOOKUP($A140,'Annex 2 Designated EHV charges'!$A:$O,9,FALSE)),"")</f>
        <v/>
      </c>
      <c r="F140" s="194">
        <f>IFERROR(IF(VLOOKUP($A140,'Annex 2 Designated EHV charges'!$A:$O,10,FALSE)=0,"",VLOOKUP($A140,'Annex 2 Designated EHV charges'!$A:$O,10,FALSE)),"")</f>
        <v>909.89</v>
      </c>
      <c r="G140" s="194">
        <f>IFERROR(IF(VLOOKUP($A140,'Annex 2 Designated EHV charges'!$A:$O,11,FALSE)=0,"",VLOOKUP($A140,'Annex 2 Designated EHV charges'!$A:$O,11,FALSE)),"")</f>
        <v>1.32</v>
      </c>
      <c r="H140" s="194">
        <f>IFERROR(IF(VLOOKUP($A140,'Annex 2 Designated EHV charges'!$A:$O,12,FALSE)=0,"",VLOOKUP($A140,'Annex 2 Designated EHV charges'!$A:$O,12,FALSE)),"")</f>
        <v>1.32</v>
      </c>
    </row>
    <row r="141" spans="1:8" x14ac:dyDescent="0.2">
      <c r="A141" s="94" t="str" cm="1">
        <f t="array" ref="A141">IFERROR(INDEX('Annex 2 Designated EHV charges'!$A$10:$A$401, MATCH(0, IF(ISBLANK('Annex 2 Designated EHV charges'!$A$10:$A$401),1, COUNTIF(A$4:$A140, 'Annex 2 Designated EHV charges'!$A$10:$A$401)), 0)),"")</f>
        <v>CHAPBS</v>
      </c>
      <c r="B141" s="94">
        <f>IF($A141="","",VLOOKUP($A141,'Annex 2 Designated EHV charges'!$A:$O,2,0))</f>
        <v>0</v>
      </c>
      <c r="C141" s="95" t="str">
        <f>IF($A141="","",VLOOKUP($A141,'Annex 2 Designated EHV charges'!$A:$O,3,0))</f>
        <v>MSID: 7510</v>
      </c>
      <c r="D141" s="94" t="str">
        <f>IF($A141="","",VLOOKUP($A141,'Annex 2 Designated EHV charges'!$A:$O,7,0))</f>
        <v>CHAPBS</v>
      </c>
      <c r="E141" s="97" t="str">
        <f>IFERROR(IF(VLOOKUP($A141,'Annex 2 Designated EHV charges'!$A:$O,9,FALSE)=0,"",VLOOKUP($A141,'Annex 2 Designated EHV charges'!$A:$O,9,FALSE)),"")</f>
        <v/>
      </c>
      <c r="F141" s="194">
        <f>IFERROR(IF(VLOOKUP($A141,'Annex 2 Designated EHV charges'!$A:$O,10,FALSE)=0,"",VLOOKUP($A141,'Annex 2 Designated EHV charges'!$A:$O,10,FALSE)),"")</f>
        <v>909.89</v>
      </c>
      <c r="G141" s="194">
        <f>IFERROR(IF(VLOOKUP($A141,'Annex 2 Designated EHV charges'!$A:$O,11,FALSE)=0,"",VLOOKUP($A141,'Annex 2 Designated EHV charges'!$A:$O,11,FALSE)),"")</f>
        <v>1.61</v>
      </c>
      <c r="H141" s="194">
        <f>IFERROR(IF(VLOOKUP($A141,'Annex 2 Designated EHV charges'!$A:$O,12,FALSE)=0,"",VLOOKUP($A141,'Annex 2 Designated EHV charges'!$A:$O,12,FALSE)),"")</f>
        <v>1.61</v>
      </c>
    </row>
    <row r="142" spans="1:8" x14ac:dyDescent="0.2">
      <c r="A142" s="94" t="str" cm="1">
        <f t="array" ref="A142">IFERROR(INDEX('Annex 2 Designated EHV charges'!$A$10:$A$401, MATCH(0, IF(ISBLANK('Annex 2 Designated EHV charges'!$A$10:$A$401),1, COUNTIF(A$4:$A141, 'Annex 2 Designated EHV charges'!$A$10:$A$401)), 0)),"")</f>
        <v>CHEARF</v>
      </c>
      <c r="B142" s="94">
        <f>IF($A142="","",VLOOKUP($A142,'Annex 2 Designated EHV charges'!$A:$O,2,0))</f>
        <v>340</v>
      </c>
      <c r="C142" s="95">
        <f>IF($A142="","",VLOOKUP($A142,'Annex 2 Designated EHV charges'!$A:$O,3,0))</f>
        <v>1050002211702</v>
      </c>
      <c r="D142" s="94" t="str">
        <f>IF($A142="","",VLOOKUP($A142,'Annex 2 Designated EHV charges'!$A:$O,7,0))</f>
        <v>CHEARF</v>
      </c>
      <c r="E142" s="97">
        <f>IFERROR(IF(VLOOKUP($A142,'Annex 2 Designated EHV charges'!$A:$O,9,FALSE)=0,"",VLOOKUP($A142,'Annex 2 Designated EHV charges'!$A:$O,9,FALSE)),"")</f>
        <v>3.0289999999999999</v>
      </c>
      <c r="F142" s="194">
        <f>IFERROR(IF(VLOOKUP($A142,'Annex 2 Designated EHV charges'!$A:$O,10,FALSE)=0,"",VLOOKUP($A142,'Annex 2 Designated EHV charges'!$A:$O,10,FALSE)),"")</f>
        <v>18297.47</v>
      </c>
      <c r="G142" s="194">
        <f>IFERROR(IF(VLOOKUP($A142,'Annex 2 Designated EHV charges'!$A:$O,11,FALSE)=0,"",VLOOKUP($A142,'Annex 2 Designated EHV charges'!$A:$O,11,FALSE)),"")</f>
        <v>1.33</v>
      </c>
      <c r="H142" s="194">
        <f>IFERROR(IF(VLOOKUP($A142,'Annex 2 Designated EHV charges'!$A:$O,12,FALSE)=0,"",VLOOKUP($A142,'Annex 2 Designated EHV charges'!$A:$O,12,FALSE)),"")</f>
        <v>1.33</v>
      </c>
    </row>
    <row r="143" spans="1:8" x14ac:dyDescent="0.2">
      <c r="A143" s="94" t="str" cm="1">
        <f t="array" ref="A143">IFERROR(INDEX('Annex 2 Designated EHV charges'!$A$10:$A$401, MATCH(0, IF(ISBLANK('Annex 2 Designated EHV charges'!$A$10:$A$401),1, COUNTIF(A$4:$A142, 'Annex 2 Designated EHV charges'!$A$10:$A$401)), 0)),"")</f>
        <v>CHEDSF</v>
      </c>
      <c r="B143" s="94">
        <f>IF($A143="","",VLOOKUP($A143,'Annex 2 Designated EHV charges'!$A:$O,2,0))</f>
        <v>876</v>
      </c>
      <c r="C143" s="95">
        <f>IF($A143="","",VLOOKUP($A143,'Annex 2 Designated EHV charges'!$A:$O,3,0))</f>
        <v>1030083806488</v>
      </c>
      <c r="D143" s="94" t="str">
        <f>IF($A143="","",VLOOKUP($A143,'Annex 2 Designated EHV charges'!$A:$O,7,0))</f>
        <v>CHEDSF</v>
      </c>
      <c r="E143" s="97">
        <f>IFERROR(IF(VLOOKUP($A143,'Annex 2 Designated EHV charges'!$A:$O,9,FALSE)=0,"",VLOOKUP($A143,'Annex 2 Designated EHV charges'!$A:$O,9,FALSE)),"")</f>
        <v>3.5830000000000002</v>
      </c>
      <c r="F143" s="194">
        <f>IFERROR(IF(VLOOKUP($A143,'Annex 2 Designated EHV charges'!$A:$O,10,FALSE)=0,"",VLOOKUP($A143,'Annex 2 Designated EHV charges'!$A:$O,10,FALSE)),"")</f>
        <v>11.86</v>
      </c>
      <c r="G143" s="194">
        <f>IFERROR(IF(VLOOKUP($A143,'Annex 2 Designated EHV charges'!$A:$O,11,FALSE)=0,"",VLOOKUP($A143,'Annex 2 Designated EHV charges'!$A:$O,11,FALSE)),"")</f>
        <v>2.83</v>
      </c>
      <c r="H143" s="194">
        <f>IFERROR(IF(VLOOKUP($A143,'Annex 2 Designated EHV charges'!$A:$O,12,FALSE)=0,"",VLOOKUP($A143,'Annex 2 Designated EHV charges'!$A:$O,12,FALSE)),"")</f>
        <v>2.83</v>
      </c>
    </row>
    <row r="144" spans="1:8" x14ac:dyDescent="0.2">
      <c r="A144" s="94" t="str" cm="1">
        <f t="array" ref="A144">IFERROR(INDEX('Annex 2 Designated EHV charges'!$A$10:$A$401, MATCH(0, IF(ISBLANK('Annex 2 Designated EHV charges'!$A$10:$A$401),1, COUNTIF(A$4:$A143, 'Annex 2 Designated EHV charges'!$A$10:$A$401)), 0)),"")</f>
        <v>CHFARM</v>
      </c>
      <c r="B144" s="94">
        <f>IF($A144="","",VLOOKUP($A144,'Annex 2 Designated EHV charges'!$A:$O,2,0))</f>
        <v>542</v>
      </c>
      <c r="C144" s="95">
        <f>IF($A144="","",VLOOKUP($A144,'Annex 2 Designated EHV charges'!$A:$O,3,0))</f>
        <v>1050000961983</v>
      </c>
      <c r="D144" s="94" t="str">
        <f>IF($A144="","",VLOOKUP($A144,'Annex 2 Designated EHV charges'!$A:$O,7,0))</f>
        <v>CHFARM</v>
      </c>
      <c r="E144" s="97">
        <f>IFERROR(IF(VLOOKUP($A144,'Annex 2 Designated EHV charges'!$A:$O,9,FALSE)=0,"",VLOOKUP($A144,'Annex 2 Designated EHV charges'!$A:$O,9,FALSE)),"")</f>
        <v>4.9359999999999999</v>
      </c>
      <c r="F144" s="194">
        <f>IFERROR(IF(VLOOKUP($A144,'Annex 2 Designated EHV charges'!$A:$O,10,FALSE)=0,"",VLOOKUP($A144,'Annex 2 Designated EHV charges'!$A:$O,10,FALSE)),"")</f>
        <v>80.819999999999993</v>
      </c>
      <c r="G144" s="194">
        <f>IFERROR(IF(VLOOKUP($A144,'Annex 2 Designated EHV charges'!$A:$O,11,FALSE)=0,"",VLOOKUP($A144,'Annex 2 Designated EHV charges'!$A:$O,11,FALSE)),"")</f>
        <v>1.62</v>
      </c>
      <c r="H144" s="194">
        <f>IFERROR(IF(VLOOKUP($A144,'Annex 2 Designated EHV charges'!$A:$O,12,FALSE)=0,"",VLOOKUP($A144,'Annex 2 Designated EHV charges'!$A:$O,12,FALSE)),"")</f>
        <v>1.62</v>
      </c>
    </row>
    <row r="145" spans="1:8" x14ac:dyDescent="0.2">
      <c r="A145" s="94" t="str" cm="1">
        <f t="array" ref="A145">IFERROR(INDEX('Annex 2 Designated EHV charges'!$A$10:$A$401, MATCH(0, IF(ISBLANK('Annex 2 Designated EHV charges'!$A$10:$A$401),1, COUNTIF(A$4:$A144, 'Annex 2 Designated EHV charges'!$A$10:$A$401)), 0)),"")</f>
        <v>CHPLOW</v>
      </c>
      <c r="B145" s="94">
        <f>IF($A145="","",VLOOKUP($A145,'Annex 2 Designated EHV charges'!$A:$O,2,0))</f>
        <v>543</v>
      </c>
      <c r="C145" s="95">
        <f>IF($A145="","",VLOOKUP($A145,'Annex 2 Designated EHV charges'!$A:$O,3,0))</f>
        <v>1050000948022</v>
      </c>
      <c r="D145" s="94" t="str">
        <f>IF($A145="","",VLOOKUP($A145,'Annex 2 Designated EHV charges'!$A:$O,7,0))</f>
        <v>CHPLOW</v>
      </c>
      <c r="E145" s="97">
        <f>IFERROR(IF(VLOOKUP($A145,'Annex 2 Designated EHV charges'!$A:$O,9,FALSE)=0,"",VLOOKUP($A145,'Annex 2 Designated EHV charges'!$A:$O,9,FALSE)),"")</f>
        <v>0.14000000000000001</v>
      </c>
      <c r="F145" s="194">
        <f>IFERROR(IF(VLOOKUP($A145,'Annex 2 Designated EHV charges'!$A:$O,10,FALSE)=0,"",VLOOKUP($A145,'Annex 2 Designated EHV charges'!$A:$O,10,FALSE)),"")</f>
        <v>105.79</v>
      </c>
      <c r="G145" s="194">
        <f>IFERROR(IF(VLOOKUP($A145,'Annex 2 Designated EHV charges'!$A:$O,11,FALSE)=0,"",VLOOKUP($A145,'Annex 2 Designated EHV charges'!$A:$O,11,FALSE)),"")</f>
        <v>1.86</v>
      </c>
      <c r="H145" s="194">
        <f>IFERROR(IF(VLOOKUP($A145,'Annex 2 Designated EHV charges'!$A:$O,12,FALSE)=0,"",VLOOKUP($A145,'Annex 2 Designated EHV charges'!$A:$O,12,FALSE)),"")</f>
        <v>1.86</v>
      </c>
    </row>
    <row r="146" spans="1:8" x14ac:dyDescent="0.2">
      <c r="A146" s="94" t="str" cm="1">
        <f t="array" ref="A146">IFERROR(INDEX('Annex 2 Designated EHV charges'!$A$10:$A$401, MATCH(0, IF(ISBLANK('Annex 2 Designated EHV charges'!$A$10:$A$401),1, COUNTIF(A$4:$A145, 'Annex 2 Designated EHV charges'!$A$10:$A$401)), 0)),"")</f>
        <v>CLAYB1</v>
      </c>
      <c r="B146" s="94">
        <f>IF($A146="","",VLOOKUP($A146,'Annex 2 Designated EHV charges'!$A:$O,2,0))</f>
        <v>0</v>
      </c>
      <c r="C146" s="95" t="str">
        <f>IF($A146="","",VLOOKUP($A146,'Annex 2 Designated EHV charges'!$A:$O,3,0))</f>
        <v>MSID: 7502</v>
      </c>
      <c r="D146" s="94" t="str">
        <f>IF($A146="","",VLOOKUP($A146,'Annex 2 Designated EHV charges'!$A:$O,7,0))</f>
        <v>CLAYB1</v>
      </c>
      <c r="E146" s="97" t="str">
        <f>IFERROR(IF(VLOOKUP($A146,'Annex 2 Designated EHV charges'!$A:$O,9,FALSE)=0,"",VLOOKUP($A146,'Annex 2 Designated EHV charges'!$A:$O,9,FALSE)),"")</f>
        <v/>
      </c>
      <c r="F146" s="194">
        <f>IFERROR(IF(VLOOKUP($A146,'Annex 2 Designated EHV charges'!$A:$O,10,FALSE)=0,"",VLOOKUP($A146,'Annex 2 Designated EHV charges'!$A:$O,10,FALSE)),"")</f>
        <v>1577.4</v>
      </c>
      <c r="G146" s="194">
        <f>IFERROR(IF(VLOOKUP($A146,'Annex 2 Designated EHV charges'!$A:$O,11,FALSE)=0,"",VLOOKUP($A146,'Annex 2 Designated EHV charges'!$A:$O,11,FALSE)),"")</f>
        <v>1.3</v>
      </c>
      <c r="H146" s="194">
        <f>IFERROR(IF(VLOOKUP($A146,'Annex 2 Designated EHV charges'!$A:$O,12,FALSE)=0,"",VLOOKUP($A146,'Annex 2 Designated EHV charges'!$A:$O,12,FALSE)),"")</f>
        <v>1.3</v>
      </c>
    </row>
    <row r="147" spans="1:8" x14ac:dyDescent="0.2">
      <c r="A147" s="94" t="str" cm="1">
        <f t="array" ref="A147">IFERROR(INDEX('Annex 2 Designated EHV charges'!$A$10:$A$401, MATCH(0, IF(ISBLANK('Annex 2 Designated EHV charges'!$A$10:$A$401),1, COUNTIF(A$4:$A146, 'Annex 2 Designated EHV charges'!$A$10:$A$401)), 0)),"")</f>
        <v>CLAYB2</v>
      </c>
      <c r="B147" s="94">
        <f>IF($A147="","",VLOOKUP($A147,'Annex 2 Designated EHV charges'!$A:$O,2,0))</f>
        <v>0</v>
      </c>
      <c r="C147" s="95" t="str">
        <f>IF($A147="","",VLOOKUP($A147,'Annex 2 Designated EHV charges'!$A:$O,3,0))</f>
        <v>MSID: 7504</v>
      </c>
      <c r="D147" s="94" t="str">
        <f>IF($A147="","",VLOOKUP($A147,'Annex 2 Designated EHV charges'!$A:$O,7,0))</f>
        <v>CLAYB2</v>
      </c>
      <c r="E147" s="97" t="str">
        <f>IFERROR(IF(VLOOKUP($A147,'Annex 2 Designated EHV charges'!$A:$O,9,FALSE)=0,"",VLOOKUP($A147,'Annex 2 Designated EHV charges'!$A:$O,9,FALSE)),"")</f>
        <v/>
      </c>
      <c r="F147" s="194">
        <f>IFERROR(IF(VLOOKUP($A147,'Annex 2 Designated EHV charges'!$A:$O,10,FALSE)=0,"",VLOOKUP($A147,'Annex 2 Designated EHV charges'!$A:$O,10,FALSE)),"")</f>
        <v>1577.4</v>
      </c>
      <c r="G147" s="194">
        <f>IFERROR(IF(VLOOKUP($A147,'Annex 2 Designated EHV charges'!$A:$O,11,FALSE)=0,"",VLOOKUP($A147,'Annex 2 Designated EHV charges'!$A:$O,11,FALSE)),"")</f>
        <v>1.25</v>
      </c>
      <c r="H147" s="194">
        <f>IFERROR(IF(VLOOKUP($A147,'Annex 2 Designated EHV charges'!$A:$O,12,FALSE)=0,"",VLOOKUP($A147,'Annex 2 Designated EHV charges'!$A:$O,12,FALSE)),"")</f>
        <v>1.25</v>
      </c>
    </row>
    <row r="148" spans="1:8" x14ac:dyDescent="0.2">
      <c r="A148" s="94" t="str" cm="1">
        <f t="array" ref="A148">IFERROR(INDEX('Annex 2 Designated EHV charges'!$A$10:$A$401, MATCH(0, IF(ISBLANK('Annex 2 Designated EHV charges'!$A$10:$A$401),1, COUNTIF(A$4:$A147, 'Annex 2 Designated EHV charges'!$A$10:$A$401)), 0)),"")</f>
        <v>CLAYPV</v>
      </c>
      <c r="B148" s="94">
        <f>IF($A148="","",VLOOKUP($A148,'Annex 2 Designated EHV charges'!$A:$O,2,0))</f>
        <v>303</v>
      </c>
      <c r="C148" s="95">
        <f>IF($A148="","",VLOOKUP($A148,'Annex 2 Designated EHV charges'!$A:$O,3,0))</f>
        <v>1050001382337</v>
      </c>
      <c r="D148" s="94" t="str">
        <f>IF($A148="","",VLOOKUP($A148,'Annex 2 Designated EHV charges'!$A:$O,7,0))</f>
        <v>CLAYPV</v>
      </c>
      <c r="E148" s="97">
        <f>IFERROR(IF(VLOOKUP($A148,'Annex 2 Designated EHV charges'!$A:$O,9,FALSE)=0,"",VLOOKUP($A148,'Annex 2 Designated EHV charges'!$A:$O,9,FALSE)),"")</f>
        <v>2.5999999999999999E-2</v>
      </c>
      <c r="F148" s="194">
        <f>IFERROR(IF(VLOOKUP($A148,'Annex 2 Designated EHV charges'!$A:$O,10,FALSE)=0,"",VLOOKUP($A148,'Annex 2 Designated EHV charges'!$A:$O,10,FALSE)),"")</f>
        <v>330.71</v>
      </c>
      <c r="G148" s="194">
        <f>IFERROR(IF(VLOOKUP($A148,'Annex 2 Designated EHV charges'!$A:$O,11,FALSE)=0,"",VLOOKUP($A148,'Annex 2 Designated EHV charges'!$A:$O,11,FALSE)),"")</f>
        <v>1.34</v>
      </c>
      <c r="H148" s="194">
        <f>IFERROR(IF(VLOOKUP($A148,'Annex 2 Designated EHV charges'!$A:$O,12,FALSE)=0,"",VLOOKUP($A148,'Annex 2 Designated EHV charges'!$A:$O,12,FALSE)),"")</f>
        <v>1.34</v>
      </c>
    </row>
    <row r="149" spans="1:8" x14ac:dyDescent="0.2">
      <c r="A149" s="94" t="str" cm="1">
        <f t="array" ref="A149">IFERROR(INDEX('Annex 2 Designated EHV charges'!$A$10:$A$401, MATCH(0, IF(ISBLANK('Annex 2 Designated EHV charges'!$A$10:$A$401),1, COUNTIF(A$4:$A148, 'Annex 2 Designated EHV charges'!$A$10:$A$401)), 0)),"")</f>
        <v>CLDECT</v>
      </c>
      <c r="B149" s="94">
        <f>IF($A149="","",VLOOKUP($A149,'Annex 2 Designated EHV charges'!$A:$O,2,0))</f>
        <v>544</v>
      </c>
      <c r="C149" s="95">
        <f>IF($A149="","",VLOOKUP($A149,'Annex 2 Designated EHV charges'!$A:$O,3,0))</f>
        <v>1050000714173</v>
      </c>
      <c r="D149" s="94" t="str">
        <f>IF($A149="","",VLOOKUP($A149,'Annex 2 Designated EHV charges'!$A:$O,7,0))</f>
        <v>CLDECT</v>
      </c>
      <c r="E149" s="97">
        <f>IFERROR(IF(VLOOKUP($A149,'Annex 2 Designated EHV charges'!$A:$O,9,FALSE)=0,"",VLOOKUP($A149,'Annex 2 Designated EHV charges'!$A:$O,9,FALSE)),"")</f>
        <v>2.5999999999999999E-2</v>
      </c>
      <c r="F149" s="194">
        <f>IFERROR(IF(VLOOKUP($A149,'Annex 2 Designated EHV charges'!$A:$O,10,FALSE)=0,"",VLOOKUP($A149,'Annex 2 Designated EHV charges'!$A:$O,10,FALSE)),"")</f>
        <v>21.88</v>
      </c>
      <c r="G149" s="194">
        <f>IFERROR(IF(VLOOKUP($A149,'Annex 2 Designated EHV charges'!$A:$O,11,FALSE)=0,"",VLOOKUP($A149,'Annex 2 Designated EHV charges'!$A:$O,11,FALSE)),"")</f>
        <v>1.55</v>
      </c>
      <c r="H149" s="194">
        <f>IFERROR(IF(VLOOKUP($A149,'Annex 2 Designated EHV charges'!$A:$O,12,FALSE)=0,"",VLOOKUP($A149,'Annex 2 Designated EHV charges'!$A:$O,12,FALSE)),"")</f>
        <v>1.55</v>
      </c>
    </row>
    <row r="150" spans="1:8" ht="38.25" x14ac:dyDescent="0.2">
      <c r="A150" s="94" t="str" cm="1">
        <f t="array" ref="A150">IFERROR(INDEX('Annex 2 Designated EHV charges'!$A$10:$A$401, MATCH(0, IF(ISBLANK('Annex 2 Designated EHV charges'!$A$10:$A$401),1, COUNTIF(A$4:$A149, 'Annex 2 Designated EHV charges'!$A$10:$A$401)), 0)),"")</f>
        <v>CLFFQY</v>
      </c>
      <c r="B150" s="94">
        <f>IF($A150="","",VLOOKUP($A150,'Annex 2 Designated EHV charges'!$A:$O,2,0))</f>
        <v>304</v>
      </c>
      <c r="C150" s="95" t="str">
        <f>IF($A150="","",VLOOKUP($A150,'Annex 2 Designated EHV charges'!$A:$O,3,0))</f>
        <v>1050001439408;1050001444588;1050001444611</v>
      </c>
      <c r="D150" s="94" t="str">
        <f>IF($A150="","",VLOOKUP($A150,'Annex 2 Designated EHV charges'!$A:$O,7,0))</f>
        <v>CLFFQY</v>
      </c>
      <c r="E150" s="97" t="str">
        <f>IFERROR(IF(VLOOKUP($A150,'Annex 2 Designated EHV charges'!$A:$O,9,FALSE)=0,"",VLOOKUP($A150,'Annex 2 Designated EHV charges'!$A:$O,9,FALSE)),"")</f>
        <v/>
      </c>
      <c r="F150" s="194">
        <f>IFERROR(IF(VLOOKUP($A150,'Annex 2 Designated EHV charges'!$A:$O,10,FALSE)=0,"",VLOOKUP($A150,'Annex 2 Designated EHV charges'!$A:$O,10,FALSE)),"")</f>
        <v>60.1</v>
      </c>
      <c r="G150" s="194">
        <f>IFERROR(IF(VLOOKUP($A150,'Annex 2 Designated EHV charges'!$A:$O,11,FALSE)=0,"",VLOOKUP($A150,'Annex 2 Designated EHV charges'!$A:$O,11,FALSE)),"")</f>
        <v>1.56</v>
      </c>
      <c r="H150" s="194">
        <f>IFERROR(IF(VLOOKUP($A150,'Annex 2 Designated EHV charges'!$A:$O,12,FALSE)=0,"",VLOOKUP($A150,'Annex 2 Designated EHV charges'!$A:$O,12,FALSE)),"")</f>
        <v>1.56</v>
      </c>
    </row>
    <row r="151" spans="1:8" x14ac:dyDescent="0.2">
      <c r="A151" s="94" t="str" cm="1">
        <f t="array" ref="A151">IFERROR(INDEX('Annex 2 Designated EHV charges'!$A$10:$A$401, MATCH(0, IF(ISBLANK('Annex 2 Designated EHV charges'!$A$10:$A$401),1, COUNTIF(A$4:$A150, 'Annex 2 Designated EHV charges'!$A$10:$A$401)), 0)),"")</f>
        <v>CLRDWN</v>
      </c>
      <c r="B151" s="94">
        <f>IF($A151="","",VLOOKUP($A151,'Annex 2 Designated EHV charges'!$A:$O,2,0))</f>
        <v>305</v>
      </c>
      <c r="C151" s="95">
        <f>IF($A151="","",VLOOKUP($A151,'Annex 2 Designated EHV charges'!$A:$O,3,0))</f>
        <v>1050001495174</v>
      </c>
      <c r="D151" s="94" t="str">
        <f>IF($A151="","",VLOOKUP($A151,'Annex 2 Designated EHV charges'!$A:$O,7,0))</f>
        <v>CLRDWN</v>
      </c>
      <c r="E151" s="97">
        <f>IFERROR(IF(VLOOKUP($A151,'Annex 2 Designated EHV charges'!$A:$O,9,FALSE)=0,"",VLOOKUP($A151,'Annex 2 Designated EHV charges'!$A:$O,9,FALSE)),"")</f>
        <v>2.6480000000000001</v>
      </c>
      <c r="F151" s="194">
        <f>IFERROR(IF(VLOOKUP($A151,'Annex 2 Designated EHV charges'!$A:$O,10,FALSE)=0,"",VLOOKUP($A151,'Annex 2 Designated EHV charges'!$A:$O,10,FALSE)),"")</f>
        <v>909.89</v>
      </c>
      <c r="G151" s="194">
        <f>IFERROR(IF(VLOOKUP($A151,'Annex 2 Designated EHV charges'!$A:$O,11,FALSE)=0,"",VLOOKUP($A151,'Annex 2 Designated EHV charges'!$A:$O,11,FALSE)),"")</f>
        <v>2.42</v>
      </c>
      <c r="H151" s="194">
        <f>IFERROR(IF(VLOOKUP($A151,'Annex 2 Designated EHV charges'!$A:$O,12,FALSE)=0,"",VLOOKUP($A151,'Annex 2 Designated EHV charges'!$A:$O,12,FALSE)),"")</f>
        <v>2.42</v>
      </c>
    </row>
    <row r="152" spans="1:8" x14ac:dyDescent="0.2">
      <c r="A152" s="94" t="str" cm="1">
        <f t="array" ref="A152">IFERROR(INDEX('Annex 2 Designated EHV charges'!$A$10:$A$401, MATCH(0, IF(ISBLANK('Annex 2 Designated EHV charges'!$A$10:$A$401),1, COUNTIF(A$4:$A151, 'Annex 2 Designated EHV charges'!$A$10:$A$401)), 0)),"")</f>
        <v>CLTSHL</v>
      </c>
      <c r="B152" s="94">
        <f>IF($A152="","",VLOOKUP($A152,'Annex 2 Designated EHV charges'!$A:$O,2,0))</f>
        <v>535</v>
      </c>
      <c r="C152" s="95">
        <f>IF($A152="","",VLOOKUP($A152,'Annex 2 Designated EHV charges'!$A:$O,3,0))</f>
        <v>1050000841917</v>
      </c>
      <c r="D152" s="94" t="str">
        <f>IF($A152="","",VLOOKUP($A152,'Annex 2 Designated EHV charges'!$A:$O,7,0))</f>
        <v>CLTSHL</v>
      </c>
      <c r="E152" s="97" t="str">
        <f>IFERROR(IF(VLOOKUP($A152,'Annex 2 Designated EHV charges'!$A:$O,9,FALSE)=0,"",VLOOKUP($A152,'Annex 2 Designated EHV charges'!$A:$O,9,FALSE)),"")</f>
        <v/>
      </c>
      <c r="F152" s="194">
        <f>IFERROR(IF(VLOOKUP($A152,'Annex 2 Designated EHV charges'!$A:$O,10,FALSE)=0,"",VLOOKUP($A152,'Annex 2 Designated EHV charges'!$A:$O,10,FALSE)),"")</f>
        <v>8.51</v>
      </c>
      <c r="G152" s="194">
        <f>IFERROR(IF(VLOOKUP($A152,'Annex 2 Designated EHV charges'!$A:$O,11,FALSE)=0,"",VLOOKUP($A152,'Annex 2 Designated EHV charges'!$A:$O,11,FALSE)),"")</f>
        <v>6.57</v>
      </c>
      <c r="H152" s="194">
        <f>IFERROR(IF(VLOOKUP($A152,'Annex 2 Designated EHV charges'!$A:$O,12,FALSE)=0,"",VLOOKUP($A152,'Annex 2 Designated EHV charges'!$A:$O,12,FALSE)),"")</f>
        <v>6.57</v>
      </c>
    </row>
    <row r="153" spans="1:8" ht="25.5" x14ac:dyDescent="0.2">
      <c r="A153" s="94" t="str" cm="1">
        <f t="array" ref="A153">IFERROR(INDEX('Annex 2 Designated EHV charges'!$A$10:$A$401, MATCH(0, IF(ISBLANK('Annex 2 Designated EHV charges'!$A$10:$A$401),1, COUNTIF(A$4:$A152, 'Annex 2 Designated EHV charges'!$A$10:$A$401)), 0)),"")</f>
        <v>COLDHA</v>
      </c>
      <c r="B153" s="94">
        <f>IF($A153="","",VLOOKUP($A153,'Annex 2 Designated EHV charges'!$A:$O,2,0))</f>
        <v>808</v>
      </c>
      <c r="C153" s="95" t="str">
        <f>IF($A153="","",VLOOKUP($A153,'Annex 2 Designated EHV charges'!$A:$O,3,0))</f>
        <v>1030017556367;1050003019620</v>
      </c>
      <c r="D153" s="94" t="str">
        <f>IF($A153="","",VLOOKUP($A153,'Annex 2 Designated EHV charges'!$A:$O,7,0))</f>
        <v>COLDHA</v>
      </c>
      <c r="E153" s="97">
        <f>IFERROR(IF(VLOOKUP($A153,'Annex 2 Designated EHV charges'!$A:$O,9,FALSE)=0,"",VLOOKUP($A153,'Annex 2 Designated EHV charges'!$A:$O,9,FALSE)),"")</f>
        <v>0.10299999999999999</v>
      </c>
      <c r="F153" s="194">
        <f>IFERROR(IF(VLOOKUP($A153,'Annex 2 Designated EHV charges'!$A:$O,10,FALSE)=0,"",VLOOKUP($A153,'Annex 2 Designated EHV charges'!$A:$O,10,FALSE)),"")</f>
        <v>4721.92</v>
      </c>
      <c r="G153" s="194">
        <f>IFERROR(IF(VLOOKUP($A153,'Annex 2 Designated EHV charges'!$A:$O,11,FALSE)=0,"",VLOOKUP($A153,'Annex 2 Designated EHV charges'!$A:$O,11,FALSE)),"")</f>
        <v>1.61</v>
      </c>
      <c r="H153" s="194">
        <f>IFERROR(IF(VLOOKUP($A153,'Annex 2 Designated EHV charges'!$A:$O,12,FALSE)=0,"",VLOOKUP($A153,'Annex 2 Designated EHV charges'!$A:$O,12,FALSE)),"")</f>
        <v>1.61</v>
      </c>
    </row>
    <row r="154" spans="1:8" x14ac:dyDescent="0.2">
      <c r="A154" s="94" t="str" cm="1">
        <f t="array" ref="A154">IFERROR(INDEX('Annex 2 Designated EHV charges'!$A$10:$A$401, MATCH(0, IF(ISBLANK('Annex 2 Designated EHV charges'!$A$10:$A$401),1, COUNTIF(A$4:$A153, 'Annex 2 Designated EHV charges'!$A$10:$A$401)), 0)),"")</f>
        <v>COMBRN</v>
      </c>
      <c r="B154" s="94">
        <f>IF($A154="","",VLOOKUP($A154,'Annex 2 Designated EHV charges'!$A:$O,2,0))</f>
        <v>306</v>
      </c>
      <c r="C154" s="95">
        <f>IF($A154="","",VLOOKUP($A154,'Annex 2 Designated EHV charges'!$A:$O,3,0))</f>
        <v>1050001662241</v>
      </c>
      <c r="D154" s="94" t="str">
        <f>IF($A154="","",VLOOKUP($A154,'Annex 2 Designated EHV charges'!$A:$O,7,0))</f>
        <v>COMBRN</v>
      </c>
      <c r="E154" s="97">
        <f>IFERROR(IF(VLOOKUP($A154,'Annex 2 Designated EHV charges'!$A:$O,9,FALSE)=0,"",VLOOKUP($A154,'Annex 2 Designated EHV charges'!$A:$O,9,FALSE)),"")</f>
        <v>0.155</v>
      </c>
      <c r="F154" s="194">
        <f>IFERROR(IF(VLOOKUP($A154,'Annex 2 Designated EHV charges'!$A:$O,10,FALSE)=0,"",VLOOKUP($A154,'Annex 2 Designated EHV charges'!$A:$O,10,FALSE)),"")</f>
        <v>12.94</v>
      </c>
      <c r="G154" s="194">
        <f>IFERROR(IF(VLOOKUP($A154,'Annex 2 Designated EHV charges'!$A:$O,11,FALSE)=0,"",VLOOKUP($A154,'Annex 2 Designated EHV charges'!$A:$O,11,FALSE)),"")</f>
        <v>2.04</v>
      </c>
      <c r="H154" s="194">
        <f>IFERROR(IF(VLOOKUP($A154,'Annex 2 Designated EHV charges'!$A:$O,12,FALSE)=0,"",VLOOKUP($A154,'Annex 2 Designated EHV charges'!$A:$O,12,FALSE)),"")</f>
        <v>2.04</v>
      </c>
    </row>
    <row r="155" spans="1:8" x14ac:dyDescent="0.2">
      <c r="A155" s="94" t="str" cm="1">
        <f t="array" ref="A155">IFERROR(INDEX('Annex 2 Designated EHV charges'!$A$10:$A$401, MATCH(0, IF(ISBLANK('Annex 2 Designated EHV charges'!$A$10:$A$401),1, COUNTIF(A$4:$A154, 'Annex 2 Designated EHV charges'!$A$10:$A$401)), 0)),"")</f>
        <v>CORYBS</v>
      </c>
      <c r="B155" s="94">
        <f>IF($A155="","",VLOOKUP($A155,'Annex 2 Designated EHV charges'!$A:$O,2,0))</f>
        <v>0</v>
      </c>
      <c r="C155" s="95" t="str">
        <f>IF($A155="","",VLOOKUP($A155,'Annex 2 Designated EHV charges'!$A:$O,3,0))</f>
        <v>ENET</v>
      </c>
      <c r="D155" s="94" t="str">
        <f>IF($A155="","",VLOOKUP($A155,'Annex 2 Designated EHV charges'!$A:$O,7,0))</f>
        <v>CORYBS</v>
      </c>
      <c r="E155" s="97" t="str">
        <f>IFERROR(IF(VLOOKUP($A155,'Annex 2 Designated EHV charges'!$A:$O,9,FALSE)=0,"",VLOOKUP($A155,'Annex 2 Designated EHV charges'!$A:$O,9,FALSE)),"")</f>
        <v/>
      </c>
      <c r="F155" s="194">
        <f>IFERROR(IF(VLOOKUP($A155,'Annex 2 Designated EHV charges'!$A:$O,10,FALSE)=0,"",VLOOKUP($A155,'Annex 2 Designated EHV charges'!$A:$O,10,FALSE)),"")</f>
        <v>127.25</v>
      </c>
      <c r="G155" s="194">
        <f>IFERROR(IF(VLOOKUP($A155,'Annex 2 Designated EHV charges'!$A:$O,11,FALSE)=0,"",VLOOKUP($A155,'Annex 2 Designated EHV charges'!$A:$O,11,FALSE)),"")</f>
        <v>0.92</v>
      </c>
      <c r="H155" s="194">
        <f>IFERROR(IF(VLOOKUP($A155,'Annex 2 Designated EHV charges'!$A:$O,12,FALSE)=0,"",VLOOKUP($A155,'Annex 2 Designated EHV charges'!$A:$O,12,FALSE)),"")</f>
        <v>0.92</v>
      </c>
    </row>
    <row r="156" spans="1:8" x14ac:dyDescent="0.2">
      <c r="A156" s="94" t="str" cm="1">
        <f t="array" ref="A156">IFERROR(INDEX('Annex 2 Designated EHV charges'!$A$10:$A$401, MATCH(0, IF(ISBLANK('Annex 2 Designated EHV charges'!$A$10:$A$401),1, COUNTIF(A$4:$A155, 'Annex 2 Designated EHV charges'!$A$10:$A$401)), 0)),"")</f>
        <v>CORYGE</v>
      </c>
      <c r="B156" s="94">
        <f>IF($A156="","",VLOOKUP($A156,'Annex 2 Designated EHV charges'!$A:$O,2,0))</f>
        <v>0</v>
      </c>
      <c r="C156" s="95" t="str">
        <f>IF($A156="","",VLOOKUP($A156,'Annex 2 Designated EHV charges'!$A:$O,3,0))</f>
        <v>ENET</v>
      </c>
      <c r="D156" s="94" t="str">
        <f>IF($A156="","",VLOOKUP($A156,'Annex 2 Designated EHV charges'!$A:$O,7,0))</f>
        <v>CORYGE</v>
      </c>
      <c r="E156" s="97" t="str">
        <f>IFERROR(IF(VLOOKUP($A156,'Annex 2 Designated EHV charges'!$A:$O,9,FALSE)=0,"",VLOOKUP($A156,'Annex 2 Designated EHV charges'!$A:$O,9,FALSE)),"")</f>
        <v/>
      </c>
      <c r="F156" s="194">
        <f>IFERROR(IF(VLOOKUP($A156,'Annex 2 Designated EHV charges'!$A:$O,10,FALSE)=0,"",VLOOKUP($A156,'Annex 2 Designated EHV charges'!$A:$O,10,FALSE)),"")</f>
        <v>11.41</v>
      </c>
      <c r="G156" s="194">
        <f>IFERROR(IF(VLOOKUP($A156,'Annex 2 Designated EHV charges'!$A:$O,11,FALSE)=0,"",VLOOKUP($A156,'Annex 2 Designated EHV charges'!$A:$O,11,FALSE)),"")</f>
        <v>1.23</v>
      </c>
      <c r="H156" s="194">
        <f>IFERROR(IF(VLOOKUP($A156,'Annex 2 Designated EHV charges'!$A:$O,12,FALSE)=0,"",VLOOKUP($A156,'Annex 2 Designated EHV charges'!$A:$O,12,FALSE)),"")</f>
        <v>1.23</v>
      </c>
    </row>
    <row r="157" spans="1:8" x14ac:dyDescent="0.2">
      <c r="A157" s="94" t="str" cm="1">
        <f t="array" ref="A157">IFERROR(INDEX('Annex 2 Designated EHV charges'!$A$10:$A$401, MATCH(0, IF(ISBLANK('Annex 2 Designated EHV charges'!$A$10:$A$401),1, COUNTIF(A$4:$A156, 'Annex 2 Designated EHV charges'!$A$10:$A$401)), 0)),"")</f>
        <v>CPENSS</v>
      </c>
      <c r="B157" s="94">
        <f>IF($A157="","",VLOOKUP($A157,'Annex 2 Designated EHV charges'!$A:$O,2,0))</f>
        <v>359</v>
      </c>
      <c r="C157" s="95">
        <f>IF($A157="","",VLOOKUP($A157,'Annex 2 Designated EHV charges'!$A:$O,3,0))</f>
        <v>1050003069890</v>
      </c>
      <c r="D157" s="94" t="str">
        <f>IF($A157="","",VLOOKUP($A157,'Annex 2 Designated EHV charges'!$A:$O,7,0))</f>
        <v>CPENSS</v>
      </c>
      <c r="E157" s="97">
        <f>IFERROR(IF(VLOOKUP($A157,'Annex 2 Designated EHV charges'!$A:$O,9,FALSE)=0,"",VLOOKUP($A157,'Annex 2 Designated EHV charges'!$A:$O,9,FALSE)),"")</f>
        <v>0.17799999999999999</v>
      </c>
      <c r="F157" s="194">
        <f>IFERROR(IF(VLOOKUP($A157,'Annex 2 Designated EHV charges'!$A:$O,10,FALSE)=0,"",VLOOKUP($A157,'Annex 2 Designated EHV charges'!$A:$O,10,FALSE)),"")</f>
        <v>4780.8900000000003</v>
      </c>
      <c r="G157" s="194">
        <f>IFERROR(IF(VLOOKUP($A157,'Annex 2 Designated EHV charges'!$A:$O,11,FALSE)=0,"",VLOOKUP($A157,'Annex 2 Designated EHV charges'!$A:$O,11,FALSE)),"")</f>
        <v>1.59</v>
      </c>
      <c r="H157" s="194">
        <f>IFERROR(IF(VLOOKUP($A157,'Annex 2 Designated EHV charges'!$A:$O,12,FALSE)=0,"",VLOOKUP($A157,'Annex 2 Designated EHV charges'!$A:$O,12,FALSE)),"")</f>
        <v>1.59</v>
      </c>
    </row>
    <row r="158" spans="1:8" x14ac:dyDescent="0.2">
      <c r="A158" s="94" t="str" cm="1">
        <f t="array" ref="A158">IFERROR(INDEX('Annex 2 Designated EHV charges'!$A$10:$A$401, MATCH(0, IF(ISBLANK('Annex 2 Designated EHV charges'!$A$10:$A$401),1, COUNTIF(A$4:$A157, 'Annex 2 Designated EHV charges'!$A$10:$A$401)), 0)),"")</f>
        <v>CRANHM</v>
      </c>
      <c r="B158" s="94">
        <f>IF($A158="","",VLOOKUP($A158,'Annex 2 Designated EHV charges'!$A:$O,2,0))</f>
        <v>566</v>
      </c>
      <c r="C158" s="95">
        <f>IF($A158="","",VLOOKUP($A158,'Annex 2 Designated EHV charges'!$A:$O,3,0))</f>
        <v>1050001191792</v>
      </c>
      <c r="D158" s="94" t="str">
        <f>IF($A158="","",VLOOKUP($A158,'Annex 2 Designated EHV charges'!$A:$O,7,0))</f>
        <v>CRANHM</v>
      </c>
      <c r="E158" s="97" t="str">
        <f>IFERROR(IF(VLOOKUP($A158,'Annex 2 Designated EHV charges'!$A:$O,9,FALSE)=0,"",VLOOKUP($A158,'Annex 2 Designated EHV charges'!$A:$O,9,FALSE)),"")</f>
        <v/>
      </c>
      <c r="F158" s="194">
        <f>IFERROR(IF(VLOOKUP($A158,'Annex 2 Designated EHV charges'!$A:$O,10,FALSE)=0,"",VLOOKUP($A158,'Annex 2 Designated EHV charges'!$A:$O,10,FALSE)),"")</f>
        <v>17.739999999999998</v>
      </c>
      <c r="G158" s="194">
        <f>IFERROR(IF(VLOOKUP($A158,'Annex 2 Designated EHV charges'!$A:$O,11,FALSE)=0,"",VLOOKUP($A158,'Annex 2 Designated EHV charges'!$A:$O,11,FALSE)),"")</f>
        <v>2.27</v>
      </c>
      <c r="H158" s="194">
        <f>IFERROR(IF(VLOOKUP($A158,'Annex 2 Designated EHV charges'!$A:$O,12,FALSE)=0,"",VLOOKUP($A158,'Annex 2 Designated EHV charges'!$A:$O,12,FALSE)),"")</f>
        <v>2.27</v>
      </c>
    </row>
    <row r="159" spans="1:8" x14ac:dyDescent="0.2">
      <c r="A159" s="94" t="str" cm="1">
        <f t="array" ref="A159">IFERROR(INDEX('Annex 2 Designated EHV charges'!$A$10:$A$401, MATCH(0, IF(ISBLANK('Annex 2 Designated EHV charges'!$A$10:$A$401),1, COUNTIF(A$4:$A158, 'Annex 2 Designated EHV charges'!$A$10:$A$401)), 0)),"")</f>
        <v>CROUSF</v>
      </c>
      <c r="B159" s="94">
        <f>IF($A159="","",VLOOKUP($A159,'Annex 2 Designated EHV charges'!$A:$O,2,0))</f>
        <v>353</v>
      </c>
      <c r="C159" s="95">
        <f>IF($A159="","",VLOOKUP($A159,'Annex 2 Designated EHV charges'!$A:$O,3,0))</f>
        <v>1050002962288</v>
      </c>
      <c r="D159" s="94" t="str">
        <f>IF($A159="","",VLOOKUP($A159,'Annex 2 Designated EHV charges'!$A:$O,7,0))</f>
        <v>CROUSF</v>
      </c>
      <c r="E159" s="97" t="str">
        <f>IFERROR(IF(VLOOKUP($A159,'Annex 2 Designated EHV charges'!$A:$O,9,FALSE)=0,"",VLOOKUP($A159,'Annex 2 Designated EHV charges'!$A:$O,9,FALSE)),"")</f>
        <v/>
      </c>
      <c r="F159" s="194">
        <f>IFERROR(IF(VLOOKUP($A159,'Annex 2 Designated EHV charges'!$A:$O,10,FALSE)=0,"",VLOOKUP($A159,'Annex 2 Designated EHV charges'!$A:$O,10,FALSE)),"")</f>
        <v>20.5</v>
      </c>
      <c r="G159" s="194">
        <f>IFERROR(IF(VLOOKUP($A159,'Annex 2 Designated EHV charges'!$A:$O,11,FALSE)=0,"",VLOOKUP($A159,'Annex 2 Designated EHV charges'!$A:$O,11,FALSE)),"")</f>
        <v>2.25</v>
      </c>
      <c r="H159" s="194">
        <f>IFERROR(IF(VLOOKUP($A159,'Annex 2 Designated EHV charges'!$A:$O,12,FALSE)=0,"",VLOOKUP($A159,'Annex 2 Designated EHV charges'!$A:$O,12,FALSE)),"")</f>
        <v>2.25</v>
      </c>
    </row>
    <row r="160" spans="1:8" x14ac:dyDescent="0.2">
      <c r="A160" s="94" t="str" cm="1">
        <f t="array" ref="A160">IFERROR(INDEX('Annex 2 Designated EHV charges'!$A$10:$A$401, MATCH(0, IF(ISBLANK('Annex 2 Designated EHV charges'!$A$10:$A$401),1, COUNTIF(A$4:$A159, 'Annex 2 Designated EHV charges'!$A$10:$A$401)), 0)),"")</f>
        <v>CROYDN</v>
      </c>
      <c r="B160" s="94">
        <f>IF($A160="","",VLOOKUP($A160,'Annex 2 Designated EHV charges'!$A:$O,2,0))</f>
        <v>509</v>
      </c>
      <c r="C160" s="95">
        <f>IF($A160="","",VLOOKUP($A160,'Annex 2 Designated EHV charges'!$A:$O,3,0))</f>
        <v>1050000808859</v>
      </c>
      <c r="D160" s="94" t="str">
        <f>IF($A160="","",VLOOKUP($A160,'Annex 2 Designated EHV charges'!$A:$O,7,0))</f>
        <v>CROYDN</v>
      </c>
      <c r="E160" s="97">
        <f>IFERROR(IF(VLOOKUP($A160,'Annex 2 Designated EHV charges'!$A:$O,9,FALSE)=0,"",VLOOKUP($A160,'Annex 2 Designated EHV charges'!$A:$O,9,FALSE)),"")</f>
        <v>0.10199999999999999</v>
      </c>
      <c r="F160" s="194">
        <f>IFERROR(IF(VLOOKUP($A160,'Annex 2 Designated EHV charges'!$A:$O,10,FALSE)=0,"",VLOOKUP($A160,'Annex 2 Designated EHV charges'!$A:$O,10,FALSE)),"")</f>
        <v>0.93</v>
      </c>
      <c r="G160" s="194">
        <f>IFERROR(IF(VLOOKUP($A160,'Annex 2 Designated EHV charges'!$A:$O,11,FALSE)=0,"",VLOOKUP($A160,'Annex 2 Designated EHV charges'!$A:$O,11,FALSE)),"")</f>
        <v>4.76</v>
      </c>
      <c r="H160" s="194">
        <f>IFERROR(IF(VLOOKUP($A160,'Annex 2 Designated EHV charges'!$A:$O,12,FALSE)=0,"",VLOOKUP($A160,'Annex 2 Designated EHV charges'!$A:$O,12,FALSE)),"")</f>
        <v>4.76</v>
      </c>
    </row>
    <row r="161" spans="1:8" x14ac:dyDescent="0.2">
      <c r="A161" s="94" t="str" cm="1">
        <f t="array" ref="A161">IFERROR(INDEX('Annex 2 Designated EHV charges'!$A$10:$A$401, MATCH(0, IF(ISBLANK('Annex 2 Designated EHV charges'!$A$10:$A$401),1, COUNTIF(A$4:$A160, 'Annex 2 Designated EHV charges'!$A$10:$A$401)), 0)),"")</f>
        <v>CRSSNG</v>
      </c>
      <c r="B161" s="94">
        <f>IF($A161="","",VLOOKUP($A161,'Annex 2 Designated EHV charges'!$A:$O,2,0))</f>
        <v>307</v>
      </c>
      <c r="C161" s="95">
        <f>IF($A161="","",VLOOKUP($A161,'Annex 2 Designated EHV charges'!$A:$O,3,0))</f>
        <v>1050001047087</v>
      </c>
      <c r="D161" s="94" t="str">
        <f>IF($A161="","",VLOOKUP($A161,'Annex 2 Designated EHV charges'!$A:$O,7,0))</f>
        <v>CRSSNG</v>
      </c>
      <c r="E161" s="97" t="str">
        <f>IFERROR(IF(VLOOKUP($A161,'Annex 2 Designated EHV charges'!$A:$O,9,FALSE)=0,"",VLOOKUP($A161,'Annex 2 Designated EHV charges'!$A:$O,9,FALSE)),"")</f>
        <v/>
      </c>
      <c r="F161" s="194">
        <f>IFERROR(IF(VLOOKUP($A161,'Annex 2 Designated EHV charges'!$A:$O,10,FALSE)=0,"",VLOOKUP($A161,'Annex 2 Designated EHV charges'!$A:$O,10,FALSE)),"")</f>
        <v>2.09</v>
      </c>
      <c r="G161" s="194">
        <f>IFERROR(IF(VLOOKUP($A161,'Annex 2 Designated EHV charges'!$A:$O,11,FALSE)=0,"",VLOOKUP($A161,'Annex 2 Designated EHV charges'!$A:$O,11,FALSE)),"")</f>
        <v>1.86</v>
      </c>
      <c r="H161" s="194">
        <f>IFERROR(IF(VLOOKUP($A161,'Annex 2 Designated EHV charges'!$A:$O,12,FALSE)=0,"",VLOOKUP($A161,'Annex 2 Designated EHV charges'!$A:$O,12,FALSE)),"")</f>
        <v>1.86</v>
      </c>
    </row>
    <row r="162" spans="1:8" x14ac:dyDescent="0.2">
      <c r="A162" s="94" t="str" cm="1">
        <f t="array" ref="A162">IFERROR(INDEX('Annex 2 Designated EHV charges'!$A$10:$A$401, MATCH(0, IF(ISBLANK('Annex 2 Designated EHV charges'!$A$10:$A$401),1, COUNTIF(A$4:$A161, 'Annex 2 Designated EHV charges'!$A$10:$A$401)), 0)),"")</f>
        <v>CTWDFM</v>
      </c>
      <c r="B162" s="94">
        <f>IF($A162="","",VLOOKUP($A162,'Annex 2 Designated EHV charges'!$A:$O,2,0))</f>
        <v>835</v>
      </c>
      <c r="C162" s="95">
        <f>IF($A162="","",VLOOKUP($A162,'Annex 2 Designated EHV charges'!$A:$O,3,0))</f>
        <v>1030079565056</v>
      </c>
      <c r="D162" s="94" t="str">
        <f>IF($A162="","",VLOOKUP($A162,'Annex 2 Designated EHV charges'!$A:$O,7,0))</f>
        <v>CTWDFM</v>
      </c>
      <c r="E162" s="97" t="str">
        <f>IFERROR(IF(VLOOKUP($A162,'Annex 2 Designated EHV charges'!$A:$O,9,FALSE)=0,"",VLOOKUP($A162,'Annex 2 Designated EHV charges'!$A:$O,9,FALSE)),"")</f>
        <v/>
      </c>
      <c r="F162" s="194">
        <f>IFERROR(IF(VLOOKUP($A162,'Annex 2 Designated EHV charges'!$A:$O,10,FALSE)=0,"",VLOOKUP($A162,'Annex 2 Designated EHV charges'!$A:$O,10,FALSE)),"")</f>
        <v>19.89</v>
      </c>
      <c r="G162" s="194">
        <f>IFERROR(IF(VLOOKUP($A162,'Annex 2 Designated EHV charges'!$A:$O,11,FALSE)=0,"",VLOOKUP($A162,'Annex 2 Designated EHV charges'!$A:$O,11,FALSE)),"")</f>
        <v>2.5099999999999998</v>
      </c>
      <c r="H162" s="194">
        <f>IFERROR(IF(VLOOKUP($A162,'Annex 2 Designated EHV charges'!$A:$O,12,FALSE)=0,"",VLOOKUP($A162,'Annex 2 Designated EHV charges'!$A:$O,12,FALSE)),"")</f>
        <v>2.5099999999999998</v>
      </c>
    </row>
    <row r="163" spans="1:8" x14ac:dyDescent="0.2">
      <c r="A163" s="94" t="str" cm="1">
        <f t="array" ref="A163">IFERROR(INDEX('Annex 2 Designated EHV charges'!$A$10:$A$401, MATCH(0, IF(ISBLANK('Annex 2 Designated EHV charges'!$A$10:$A$401),1, COUNTIF(A$4:$A162, 'Annex 2 Designated EHV charges'!$A$10:$A$401)), 0)),"")</f>
        <v>DBLANE</v>
      </c>
      <c r="B163" s="94">
        <f>IF($A163="","",VLOOKUP($A163,'Annex 2 Designated EHV charges'!$A:$O,2,0))</f>
        <v>878</v>
      </c>
      <c r="C163" s="95">
        <f>IF($A163="","",VLOOKUP($A163,'Annex 2 Designated EHV charges'!$A:$O,3,0))</f>
        <v>1050000612950</v>
      </c>
      <c r="D163" s="94" t="str">
        <f>IF($A163="","",VLOOKUP($A163,'Annex 2 Designated EHV charges'!$A:$O,7,0))</f>
        <v>DBLANE</v>
      </c>
      <c r="E163" s="97">
        <f>IFERROR(IF(VLOOKUP($A163,'Annex 2 Designated EHV charges'!$A:$O,9,FALSE)=0,"",VLOOKUP($A163,'Annex 2 Designated EHV charges'!$A:$O,9,FALSE)),"")</f>
        <v>1.282</v>
      </c>
      <c r="F163" s="194">
        <f>IFERROR(IF(VLOOKUP($A163,'Annex 2 Designated EHV charges'!$A:$O,10,FALSE)=0,"",VLOOKUP($A163,'Annex 2 Designated EHV charges'!$A:$O,10,FALSE)),"")</f>
        <v>16.54</v>
      </c>
      <c r="G163" s="194">
        <f>IFERROR(IF(VLOOKUP($A163,'Annex 2 Designated EHV charges'!$A:$O,11,FALSE)=0,"",VLOOKUP($A163,'Annex 2 Designated EHV charges'!$A:$O,11,FALSE)),"")</f>
        <v>5.21</v>
      </c>
      <c r="H163" s="194">
        <f>IFERROR(IF(VLOOKUP($A163,'Annex 2 Designated EHV charges'!$A:$O,12,FALSE)=0,"",VLOOKUP($A163,'Annex 2 Designated EHV charges'!$A:$O,12,FALSE)),"")</f>
        <v>5.21</v>
      </c>
    </row>
    <row r="164" spans="1:8" x14ac:dyDescent="0.2">
      <c r="A164" s="94" t="str" cm="1">
        <f t="array" ref="A164">IFERROR(INDEX('Annex 2 Designated EHV charges'!$A$10:$A$401, MATCH(0, IF(ISBLANK('Annex 2 Designated EHV charges'!$A$10:$A$401),1, COUNTIF(A$4:$A163, 'Annex 2 Designated EHV charges'!$A$10:$A$401)), 0)),"")</f>
        <v>DOLLBS</v>
      </c>
      <c r="B164" s="94">
        <f>IF($A164="","",VLOOKUP($A164,'Annex 2 Designated EHV charges'!$A:$O,2,0))</f>
        <v>0</v>
      </c>
      <c r="C164" s="95" t="str">
        <f>IF($A164="","",VLOOKUP($A164,'Annex 2 Designated EHV charges'!$A:$O,3,0))</f>
        <v>MSID: 7523</v>
      </c>
      <c r="D164" s="94" t="str">
        <f>IF($A164="","",VLOOKUP($A164,'Annex 2 Designated EHV charges'!$A:$O,7,0))</f>
        <v>DOLLBS</v>
      </c>
      <c r="E164" s="97" t="str">
        <f>IFERROR(IF(VLOOKUP($A164,'Annex 2 Designated EHV charges'!$A:$O,9,FALSE)=0,"",VLOOKUP($A164,'Annex 2 Designated EHV charges'!$A:$O,9,FALSE)),"")</f>
        <v/>
      </c>
      <c r="F164" s="194">
        <f>IFERROR(IF(VLOOKUP($A164,'Annex 2 Designated EHV charges'!$A:$O,10,FALSE)=0,"",VLOOKUP($A164,'Annex 2 Designated EHV charges'!$A:$O,10,FALSE)),"")</f>
        <v>1629.1</v>
      </c>
      <c r="G164" s="194">
        <f>IFERROR(IF(VLOOKUP($A164,'Annex 2 Designated EHV charges'!$A:$O,11,FALSE)=0,"",VLOOKUP($A164,'Annex 2 Designated EHV charges'!$A:$O,11,FALSE)),"")</f>
        <v>1.72</v>
      </c>
      <c r="H164" s="194">
        <f>IFERROR(IF(VLOOKUP($A164,'Annex 2 Designated EHV charges'!$A:$O,12,FALSE)=0,"",VLOOKUP($A164,'Annex 2 Designated EHV charges'!$A:$O,12,FALSE)),"")</f>
        <v>1.72</v>
      </c>
    </row>
    <row r="165" spans="1:8" x14ac:dyDescent="0.2">
      <c r="A165" s="94" t="str" cm="1">
        <f t="array" ref="A165">IFERROR(INDEX('Annex 2 Designated EHV charges'!$A$10:$A$401, MATCH(0, IF(ISBLANK('Annex 2 Designated EHV charges'!$A$10:$A$401),1, COUNTIF(A$4:$A164, 'Annex 2 Designated EHV charges'!$A$10:$A$401)), 0)),"")</f>
        <v>DRAPER</v>
      </c>
      <c r="B165" s="94">
        <f>IF($A165="","",VLOOKUP($A165,'Annex 2 Designated EHV charges'!$A:$O,2,0))</f>
        <v>879</v>
      </c>
      <c r="C165" s="95">
        <f>IF($A165="","",VLOOKUP($A165,'Annex 2 Designated EHV charges'!$A:$O,3,0))</f>
        <v>1050000581432</v>
      </c>
      <c r="D165" s="94" t="str">
        <f>IF($A165="","",VLOOKUP($A165,'Annex 2 Designated EHV charges'!$A:$O,7,0))</f>
        <v>DRAPER</v>
      </c>
      <c r="E165" s="97" t="str">
        <f>IFERROR(IF(VLOOKUP($A165,'Annex 2 Designated EHV charges'!$A:$O,9,FALSE)=0,"",VLOOKUP($A165,'Annex 2 Designated EHV charges'!$A:$O,9,FALSE)),"")</f>
        <v/>
      </c>
      <c r="F165" s="194">
        <f>IFERROR(IF(VLOOKUP($A165,'Annex 2 Designated EHV charges'!$A:$O,10,FALSE)=0,"",VLOOKUP($A165,'Annex 2 Designated EHV charges'!$A:$O,10,FALSE)),"")</f>
        <v>11.79</v>
      </c>
      <c r="G165" s="194">
        <f>IFERROR(IF(VLOOKUP($A165,'Annex 2 Designated EHV charges'!$A:$O,11,FALSE)=0,"",VLOOKUP($A165,'Annex 2 Designated EHV charges'!$A:$O,11,FALSE)),"")</f>
        <v>4.57</v>
      </c>
      <c r="H165" s="194">
        <f>IFERROR(IF(VLOOKUP($A165,'Annex 2 Designated EHV charges'!$A:$O,12,FALSE)=0,"",VLOOKUP($A165,'Annex 2 Designated EHV charges'!$A:$O,12,FALSE)),"")</f>
        <v>4.57</v>
      </c>
    </row>
    <row r="166" spans="1:8" x14ac:dyDescent="0.2">
      <c r="A166" s="94" t="str" cm="1">
        <f t="array" ref="A166">IFERROR(INDEX('Annex 2 Designated EHV charges'!$A$10:$A$401, MATCH(0, IF(ISBLANK('Annex 2 Designated EHV charges'!$A$10:$A$401),1, COUNTIF(A$4:$A165, 'Annex 2 Designated EHV charges'!$A$10:$A$401)), 0)),"")</f>
        <v>DRAYTN</v>
      </c>
      <c r="B166" s="94">
        <f>IF($A166="","",VLOOKUP($A166,'Annex 2 Designated EHV charges'!$A:$O,2,0))</f>
        <v>545</v>
      </c>
      <c r="C166" s="95">
        <f>IF($A166="","",VLOOKUP($A166,'Annex 2 Designated EHV charges'!$A:$O,3,0))</f>
        <v>1050001047272</v>
      </c>
      <c r="D166" s="94" t="str">
        <f>IF($A166="","",VLOOKUP($A166,'Annex 2 Designated EHV charges'!$A:$O,7,0))</f>
        <v>DRAYTN</v>
      </c>
      <c r="E166" s="97">
        <f>IFERROR(IF(VLOOKUP($A166,'Annex 2 Designated EHV charges'!$A:$O,9,FALSE)=0,"",VLOOKUP($A166,'Annex 2 Designated EHV charges'!$A:$O,9,FALSE)),"")</f>
        <v>4.7960000000000003</v>
      </c>
      <c r="F166" s="194">
        <f>IFERROR(IF(VLOOKUP($A166,'Annex 2 Designated EHV charges'!$A:$O,10,FALSE)=0,"",VLOOKUP($A166,'Annex 2 Designated EHV charges'!$A:$O,10,FALSE)),"")</f>
        <v>22.05</v>
      </c>
      <c r="G166" s="194">
        <f>IFERROR(IF(VLOOKUP($A166,'Annex 2 Designated EHV charges'!$A:$O,11,FALSE)=0,"",VLOOKUP($A166,'Annex 2 Designated EHV charges'!$A:$O,11,FALSE)),"")</f>
        <v>2.2599999999999998</v>
      </c>
      <c r="H166" s="194">
        <f>IFERROR(IF(VLOOKUP($A166,'Annex 2 Designated EHV charges'!$A:$O,12,FALSE)=0,"",VLOOKUP($A166,'Annex 2 Designated EHV charges'!$A:$O,12,FALSE)),"")</f>
        <v>2.2599999999999998</v>
      </c>
    </row>
    <row r="167" spans="1:8" x14ac:dyDescent="0.2">
      <c r="A167" s="94" t="str" cm="1">
        <f t="array" ref="A167">IFERROR(INDEX('Annex 2 Designated EHV charges'!$A$10:$A$401, MATCH(0, IF(ISBLANK('Annex 2 Designated EHV charges'!$A$10:$A$401),1, COUNTIF(A$4:$A166, 'Annex 2 Designated EHV charges'!$A$10:$A$401)), 0)),"")</f>
        <v>DRYHSE</v>
      </c>
      <c r="B167" s="94">
        <f>IF($A167="","",VLOOKUP($A167,'Annex 2 Designated EHV charges'!$A:$O,2,0))</f>
        <v>877</v>
      </c>
      <c r="C167" s="95">
        <f>IF($A167="","",VLOOKUP($A167,'Annex 2 Designated EHV charges'!$A:$O,3,0))</f>
        <v>1050000609423</v>
      </c>
      <c r="D167" s="94" t="str">
        <f>IF($A167="","",VLOOKUP($A167,'Annex 2 Designated EHV charges'!$A:$O,7,0))</f>
        <v>DRYHSE</v>
      </c>
      <c r="E167" s="97" t="str">
        <f>IFERROR(IF(VLOOKUP($A167,'Annex 2 Designated EHV charges'!$A:$O,9,FALSE)=0,"",VLOOKUP($A167,'Annex 2 Designated EHV charges'!$A:$O,9,FALSE)),"")</f>
        <v/>
      </c>
      <c r="F167" s="194">
        <f>IFERROR(IF(VLOOKUP($A167,'Annex 2 Designated EHV charges'!$A:$O,10,FALSE)=0,"",VLOOKUP($A167,'Annex 2 Designated EHV charges'!$A:$O,10,FALSE)),"")</f>
        <v>3.77</v>
      </c>
      <c r="G167" s="194">
        <f>IFERROR(IF(VLOOKUP($A167,'Annex 2 Designated EHV charges'!$A:$O,11,FALSE)=0,"",VLOOKUP($A167,'Annex 2 Designated EHV charges'!$A:$O,11,FALSE)),"")</f>
        <v>5.18</v>
      </c>
      <c r="H167" s="194">
        <f>IFERROR(IF(VLOOKUP($A167,'Annex 2 Designated EHV charges'!$A:$O,12,FALSE)=0,"",VLOOKUP($A167,'Annex 2 Designated EHV charges'!$A:$O,12,FALSE)),"")</f>
        <v>5.18</v>
      </c>
    </row>
    <row r="168" spans="1:8" x14ac:dyDescent="0.2">
      <c r="A168" s="94" t="str" cm="1">
        <f t="array" ref="A168">IFERROR(INDEX('Annex 2 Designated EHV charges'!$A$10:$A$401, MATCH(0, IF(ISBLANK('Annex 2 Designated EHV charges'!$A$10:$A$401),1, COUNTIF(A$4:$A167, 'Annex 2 Designated EHV charges'!$A$10:$A$401)), 0)),"")</f>
        <v>EARLHF</v>
      </c>
      <c r="B168" s="94">
        <f>IF($A168="","",VLOOKUP($A168,'Annex 2 Designated EHV charges'!$A:$O,2,0))</f>
        <v>841</v>
      </c>
      <c r="C168" s="95">
        <f>IF($A168="","",VLOOKUP($A168,'Annex 2 Designated EHV charges'!$A:$O,3,0))</f>
        <v>1030081316739</v>
      </c>
      <c r="D168" s="94" t="str">
        <f>IF($A168="","",VLOOKUP($A168,'Annex 2 Designated EHV charges'!$A:$O,7,0))</f>
        <v>EARLHF</v>
      </c>
      <c r="E168" s="97">
        <f>IFERROR(IF(VLOOKUP($A168,'Annex 2 Designated EHV charges'!$A:$O,9,FALSE)=0,"",VLOOKUP($A168,'Annex 2 Designated EHV charges'!$A:$O,9,FALSE)),"")</f>
        <v>0.128</v>
      </c>
      <c r="F168" s="194">
        <f>IFERROR(IF(VLOOKUP($A168,'Annex 2 Designated EHV charges'!$A:$O,10,FALSE)=0,"",VLOOKUP($A168,'Annex 2 Designated EHV charges'!$A:$O,10,FALSE)),"")</f>
        <v>7.34</v>
      </c>
      <c r="G168" s="194">
        <f>IFERROR(IF(VLOOKUP($A168,'Annex 2 Designated EHV charges'!$A:$O,11,FALSE)=0,"",VLOOKUP($A168,'Annex 2 Designated EHV charges'!$A:$O,11,FALSE)),"")</f>
        <v>1.66</v>
      </c>
      <c r="H168" s="194">
        <f>IFERROR(IF(VLOOKUP($A168,'Annex 2 Designated EHV charges'!$A:$O,12,FALSE)=0,"",VLOOKUP($A168,'Annex 2 Designated EHV charges'!$A:$O,12,FALSE)),"")</f>
        <v>1.66</v>
      </c>
    </row>
    <row r="169" spans="1:8" x14ac:dyDescent="0.2">
      <c r="A169" s="94" t="str" cm="1">
        <f t="array" ref="A169">IFERROR(INDEX('Annex 2 Designated EHV charges'!$A$10:$A$401, MATCH(0, IF(ISBLANK('Annex 2 Designated EHV charges'!$A$10:$A$401),1, COUNTIF(A$4:$A168, 'Annex 2 Designated EHV charges'!$A$10:$A$401)), 0)),"")</f>
        <v>EBCKHM</v>
      </c>
      <c r="B169" s="94">
        <f>IF($A169="","",VLOOKUP($A169,'Annex 2 Designated EHV charges'!$A:$O,2,0))</f>
        <v>887</v>
      </c>
      <c r="C169" s="95">
        <f>IF($A169="","",VLOOKUP($A169,'Annex 2 Designated EHV charges'!$A:$O,3,0))</f>
        <v>1050000609441</v>
      </c>
      <c r="D169" s="94" t="str">
        <f>IF($A169="","",VLOOKUP($A169,'Annex 2 Designated EHV charges'!$A:$O,7,0))</f>
        <v>EBCKHM</v>
      </c>
      <c r="E169" s="97" t="str">
        <f>IFERROR(IF(VLOOKUP($A169,'Annex 2 Designated EHV charges'!$A:$O,9,FALSE)=0,"",VLOOKUP($A169,'Annex 2 Designated EHV charges'!$A:$O,9,FALSE)),"")</f>
        <v/>
      </c>
      <c r="F169" s="194">
        <f>IFERROR(IF(VLOOKUP($A169,'Annex 2 Designated EHV charges'!$A:$O,10,FALSE)=0,"",VLOOKUP($A169,'Annex 2 Designated EHV charges'!$A:$O,10,FALSE)),"")</f>
        <v>6.46</v>
      </c>
      <c r="G169" s="194">
        <f>IFERROR(IF(VLOOKUP($A169,'Annex 2 Designated EHV charges'!$A:$O,11,FALSE)=0,"",VLOOKUP($A169,'Annex 2 Designated EHV charges'!$A:$O,11,FALSE)),"")</f>
        <v>8.9</v>
      </c>
      <c r="H169" s="194">
        <f>IFERROR(IF(VLOOKUP($A169,'Annex 2 Designated EHV charges'!$A:$O,12,FALSE)=0,"",VLOOKUP($A169,'Annex 2 Designated EHV charges'!$A:$O,12,FALSE)),"")</f>
        <v>8.9</v>
      </c>
    </row>
    <row r="170" spans="1:8" ht="51" x14ac:dyDescent="0.2">
      <c r="A170" s="94" t="str" cm="1">
        <f t="array" ref="A170">IFERROR(INDEX('Annex 2 Designated EHV charges'!$A$10:$A$401, MATCH(0, IF(ISBLANK('Annex 2 Designated EHV charges'!$A$10:$A$401),1, COUNTIF(A$4:$A169, 'Annex 2 Designated EHV charges'!$A$10:$A$401)), 0)),"")</f>
        <v>EDLMUC</v>
      </c>
      <c r="B170" s="94">
        <f>IF($A170="","",VLOOKUP($A170,'Annex 2 Designated EHV charges'!$A:$O,2,0))</f>
        <v>810</v>
      </c>
      <c r="C170" s="95" t="str">
        <f>IF($A170="","",VLOOKUP($A170,'Annex 2 Designated EHV charges'!$A:$O,3,0))</f>
        <v>1023497822125;1023497822357;1023514863056;1030010107819</v>
      </c>
      <c r="D170" s="94" t="str">
        <f>IF($A170="","",VLOOKUP($A170,'Annex 2 Designated EHV charges'!$A:$O,7,0))</f>
        <v>EDLMUC</v>
      </c>
      <c r="E170" s="97">
        <f>IFERROR(IF(VLOOKUP($A170,'Annex 2 Designated EHV charges'!$A:$O,9,FALSE)=0,"",VLOOKUP($A170,'Annex 2 Designated EHV charges'!$A:$O,9,FALSE)),"")</f>
        <v>0.28599999999999998</v>
      </c>
      <c r="F170" s="194">
        <f>IFERROR(IF(VLOOKUP($A170,'Annex 2 Designated EHV charges'!$A:$O,10,FALSE)=0,"",VLOOKUP($A170,'Annex 2 Designated EHV charges'!$A:$O,10,FALSE)),"")</f>
        <v>24.67</v>
      </c>
      <c r="G170" s="194">
        <f>IFERROR(IF(VLOOKUP($A170,'Annex 2 Designated EHV charges'!$A:$O,11,FALSE)=0,"",VLOOKUP($A170,'Annex 2 Designated EHV charges'!$A:$O,11,FALSE)),"")</f>
        <v>1.24</v>
      </c>
      <c r="H170" s="194">
        <f>IFERROR(IF(VLOOKUP($A170,'Annex 2 Designated EHV charges'!$A:$O,12,FALSE)=0,"",VLOOKUP($A170,'Annex 2 Designated EHV charges'!$A:$O,12,FALSE)),"")</f>
        <v>1.24</v>
      </c>
    </row>
    <row r="171" spans="1:8" x14ac:dyDescent="0.2">
      <c r="A171" s="94" t="str" cm="1">
        <f t="array" ref="A171">IFERROR(INDEX('Annex 2 Designated EHV charges'!$A$10:$A$401, MATCH(0, IF(ISBLANK('Annex 2 Designated EHV charges'!$A$10:$A$401),1, COUNTIF(A$4:$A170, 'Annex 2 Designated EHV charges'!$A$10:$A$401)), 0)),"")</f>
        <v>EDLPIT</v>
      </c>
      <c r="B171" s="94">
        <f>IF($A171="","",VLOOKUP($A171,'Annex 2 Designated EHV charges'!$A:$O,2,0))</f>
        <v>811</v>
      </c>
      <c r="C171" s="95">
        <f>IF($A171="","",VLOOKUP($A171,'Annex 2 Designated EHV charges'!$A:$O,3,0))</f>
        <v>1030020271288</v>
      </c>
      <c r="D171" s="94" t="str">
        <f>IF($A171="","",VLOOKUP($A171,'Annex 2 Designated EHV charges'!$A:$O,7,0))</f>
        <v>EDLPIT</v>
      </c>
      <c r="E171" s="97" t="str">
        <f>IFERROR(IF(VLOOKUP($A171,'Annex 2 Designated EHV charges'!$A:$O,9,FALSE)=0,"",VLOOKUP($A171,'Annex 2 Designated EHV charges'!$A:$O,9,FALSE)),"")</f>
        <v/>
      </c>
      <c r="F171" s="194">
        <f>IFERROR(IF(VLOOKUP($A171,'Annex 2 Designated EHV charges'!$A:$O,10,FALSE)=0,"",VLOOKUP($A171,'Annex 2 Designated EHV charges'!$A:$O,10,FALSE)),"")</f>
        <v>50.49</v>
      </c>
      <c r="G171" s="194">
        <f>IFERROR(IF(VLOOKUP($A171,'Annex 2 Designated EHV charges'!$A:$O,11,FALSE)=0,"",VLOOKUP($A171,'Annex 2 Designated EHV charges'!$A:$O,11,FALSE)),"")</f>
        <v>5.0199999999999996</v>
      </c>
      <c r="H171" s="194">
        <f>IFERROR(IF(VLOOKUP($A171,'Annex 2 Designated EHV charges'!$A:$O,12,FALSE)=0,"",VLOOKUP($A171,'Annex 2 Designated EHV charges'!$A:$O,12,FALSE)),"")</f>
        <v>5.0199999999999996</v>
      </c>
    </row>
    <row r="172" spans="1:8" x14ac:dyDescent="0.2">
      <c r="A172" s="94" t="str" cm="1">
        <f t="array" ref="A172">IFERROR(INDEX('Annex 2 Designated EHV charges'!$A$10:$A$401, MATCH(0, IF(ISBLANK('Annex 2 Designated EHV charges'!$A$10:$A$401),1, COUNTIF(A$4:$A171, 'Annex 2 Designated EHV charges'!$A$10:$A$401)), 0)),"")</f>
        <v>EGMRSF</v>
      </c>
      <c r="B172" s="94">
        <f>IF($A172="","",VLOOKUP($A172,'Annex 2 Designated EHV charges'!$A:$O,2,0))</f>
        <v>880</v>
      </c>
      <c r="C172" s="95">
        <f>IF($A172="","",VLOOKUP($A172,'Annex 2 Designated EHV charges'!$A:$O,3,0))</f>
        <v>1050000567483</v>
      </c>
      <c r="D172" s="94" t="str">
        <f>IF($A172="","",VLOOKUP($A172,'Annex 2 Designated EHV charges'!$A:$O,7,0))</f>
        <v>EGMRSF</v>
      </c>
      <c r="E172" s="97">
        <f>IFERROR(IF(VLOOKUP($A172,'Annex 2 Designated EHV charges'!$A:$O,9,FALSE)=0,"",VLOOKUP($A172,'Annex 2 Designated EHV charges'!$A:$O,9,FALSE)),"")</f>
        <v>0.03</v>
      </c>
      <c r="F172" s="194">
        <f>IFERROR(IF(VLOOKUP($A172,'Annex 2 Designated EHV charges'!$A:$O,10,FALSE)=0,"",VLOOKUP($A172,'Annex 2 Designated EHV charges'!$A:$O,10,FALSE)),"")</f>
        <v>9.7899999999999991</v>
      </c>
      <c r="G172" s="194">
        <f>IFERROR(IF(VLOOKUP($A172,'Annex 2 Designated EHV charges'!$A:$O,11,FALSE)=0,"",VLOOKUP($A172,'Annex 2 Designated EHV charges'!$A:$O,11,FALSE)),"")</f>
        <v>2.0499999999999998</v>
      </c>
      <c r="H172" s="194">
        <f>IFERROR(IF(VLOOKUP($A172,'Annex 2 Designated EHV charges'!$A:$O,12,FALSE)=0,"",VLOOKUP($A172,'Annex 2 Designated EHV charges'!$A:$O,12,FALSE)),"")</f>
        <v>2.0499999999999998</v>
      </c>
    </row>
    <row r="173" spans="1:8" ht="38.25" x14ac:dyDescent="0.2">
      <c r="A173" s="94" t="str" cm="1">
        <f t="array" ref="A173">IFERROR(INDEX('Annex 2 Designated EHV charges'!$A$10:$A$401, MATCH(0, IF(ISBLANK('Annex 2 Designated EHV charges'!$A$10:$A$401),1, COUNTIF(A$4:$A172, 'Annex 2 Designated EHV charges'!$A$10:$A$401)), 0)),"")</f>
        <v>ELLOSF</v>
      </c>
      <c r="B173" s="94">
        <f>IF($A173="","",VLOOKUP($A173,'Annex 2 Designated EHV charges'!$A:$O,2,0))</f>
        <v>881</v>
      </c>
      <c r="C173" s="95" t="str">
        <f>IF($A173="","",VLOOKUP($A173,'Annex 2 Designated EHV charges'!$A:$O,3,0))</f>
        <v>1050000612880;1050001004933;1050001004942</v>
      </c>
      <c r="D173" s="94" t="str">
        <f>IF($A173="","",VLOOKUP($A173,'Annex 2 Designated EHV charges'!$A:$O,7,0))</f>
        <v>ELLOSF</v>
      </c>
      <c r="E173" s="97">
        <f>IFERROR(IF(VLOOKUP($A173,'Annex 2 Designated EHV charges'!$A:$O,9,FALSE)=0,"",VLOOKUP($A173,'Annex 2 Designated EHV charges'!$A:$O,9,FALSE)),"")</f>
        <v>3.89</v>
      </c>
      <c r="F173" s="194">
        <f>IFERROR(IF(VLOOKUP($A173,'Annex 2 Designated EHV charges'!$A:$O,10,FALSE)=0,"",VLOOKUP($A173,'Annex 2 Designated EHV charges'!$A:$O,10,FALSE)),"")</f>
        <v>9.39</v>
      </c>
      <c r="G173" s="194">
        <f>IFERROR(IF(VLOOKUP($A173,'Annex 2 Designated EHV charges'!$A:$O,11,FALSE)=0,"",VLOOKUP($A173,'Annex 2 Designated EHV charges'!$A:$O,11,FALSE)),"")</f>
        <v>4.07</v>
      </c>
      <c r="H173" s="194">
        <f>IFERROR(IF(VLOOKUP($A173,'Annex 2 Designated EHV charges'!$A:$O,12,FALSE)=0,"",VLOOKUP($A173,'Annex 2 Designated EHV charges'!$A:$O,12,FALSE)),"")</f>
        <v>4.07</v>
      </c>
    </row>
    <row r="174" spans="1:8" x14ac:dyDescent="0.2">
      <c r="A174" s="94" t="str" cm="1">
        <f t="array" ref="A174">IFERROR(INDEX('Annex 2 Designated EHV charges'!$A$10:$A$401, MATCH(0, IF(ISBLANK('Annex 2 Designated EHV charges'!$A$10:$A$401),1, COUNTIF(A$4:$A173, 'Annex 2 Designated EHV charges'!$A$10:$A$401)), 0)),"")</f>
        <v>ELSAGE</v>
      </c>
      <c r="B174" s="94">
        <f>IF($A174="","",VLOOKUP($A174,'Annex 2 Designated EHV charges'!$A:$O,2,0))</f>
        <v>546</v>
      </c>
      <c r="C174" s="95">
        <f>IF($A174="","",VLOOKUP($A174,'Annex 2 Designated EHV charges'!$A:$O,3,0))</f>
        <v>1050000923668</v>
      </c>
      <c r="D174" s="94" t="str">
        <f>IF($A174="","",VLOOKUP($A174,'Annex 2 Designated EHV charges'!$A:$O,7,0))</f>
        <v>ELSAGE</v>
      </c>
      <c r="E174" s="97" t="str">
        <f>IFERROR(IF(VLOOKUP($A174,'Annex 2 Designated EHV charges'!$A:$O,9,FALSE)=0,"",VLOOKUP($A174,'Annex 2 Designated EHV charges'!$A:$O,9,FALSE)),"")</f>
        <v/>
      </c>
      <c r="F174" s="194">
        <f>IFERROR(IF(VLOOKUP($A174,'Annex 2 Designated EHV charges'!$A:$O,10,FALSE)=0,"",VLOOKUP($A174,'Annex 2 Designated EHV charges'!$A:$O,10,FALSE)),"")</f>
        <v>32.71</v>
      </c>
      <c r="G174" s="194">
        <f>IFERROR(IF(VLOOKUP($A174,'Annex 2 Designated EHV charges'!$A:$O,11,FALSE)=0,"",VLOOKUP($A174,'Annex 2 Designated EHV charges'!$A:$O,11,FALSE)),"")</f>
        <v>5.79</v>
      </c>
      <c r="H174" s="194">
        <f>IFERROR(IF(VLOOKUP($A174,'Annex 2 Designated EHV charges'!$A:$O,12,FALSE)=0,"",VLOOKUP($A174,'Annex 2 Designated EHV charges'!$A:$O,12,FALSE)),"")</f>
        <v>5.79</v>
      </c>
    </row>
    <row r="175" spans="1:8" x14ac:dyDescent="0.2">
      <c r="A175" s="94" t="str" cm="1">
        <f t="array" ref="A175">IFERROR(INDEX('Annex 2 Designated EHV charges'!$A$10:$A$401, MATCH(0, IF(ISBLANK('Annex 2 Designated EHV charges'!$A$10:$A$401),1, COUNTIF(A$4:$A174, 'Annex 2 Designated EHV charges'!$A$10:$A$401)), 0)),"")</f>
        <v>EPRSUT</v>
      </c>
      <c r="B175" s="94">
        <f>IF($A175="","",VLOOKUP($A175,'Annex 2 Designated EHV charges'!$A:$O,2,0))</f>
        <v>812</v>
      </c>
      <c r="C175" s="95">
        <f>IF($A175="","",VLOOKUP($A175,'Annex 2 Designated EHV charges'!$A:$O,3,0))</f>
        <v>1023494988750</v>
      </c>
      <c r="D175" s="94" t="str">
        <f>IF($A175="","",VLOOKUP($A175,'Annex 2 Designated EHV charges'!$A:$O,7,0))</f>
        <v>EPRSUT</v>
      </c>
      <c r="E175" s="97">
        <f>IFERROR(IF(VLOOKUP($A175,'Annex 2 Designated EHV charges'!$A:$O,9,FALSE)=0,"",VLOOKUP($A175,'Annex 2 Designated EHV charges'!$A:$O,9,FALSE)),"")</f>
        <v>3.6930000000000001</v>
      </c>
      <c r="F175" s="194">
        <f>IFERROR(IF(VLOOKUP($A175,'Annex 2 Designated EHV charges'!$A:$O,10,FALSE)=0,"",VLOOKUP($A175,'Annex 2 Designated EHV charges'!$A:$O,10,FALSE)),"")</f>
        <v>169.39</v>
      </c>
      <c r="G175" s="194">
        <f>IFERROR(IF(VLOOKUP($A175,'Annex 2 Designated EHV charges'!$A:$O,11,FALSE)=0,"",VLOOKUP($A175,'Annex 2 Designated EHV charges'!$A:$O,11,FALSE)),"")</f>
        <v>1.32</v>
      </c>
      <c r="H175" s="194">
        <f>IFERROR(IF(VLOOKUP($A175,'Annex 2 Designated EHV charges'!$A:$O,12,FALSE)=0,"",VLOOKUP($A175,'Annex 2 Designated EHV charges'!$A:$O,12,FALSE)),"")</f>
        <v>1.32</v>
      </c>
    </row>
    <row r="176" spans="1:8" x14ac:dyDescent="0.2">
      <c r="A176" s="94" t="str" cm="1">
        <f t="array" ref="A176">IFERROR(INDEX('Annex 2 Designated EHV charges'!$A$10:$A$401, MATCH(0, IF(ISBLANK('Annex 2 Designated EHV charges'!$A$10:$A$401),1, COUNTIF(A$4:$A175, 'Annex 2 Designated EHV charges'!$A$10:$A$401)), 0)),"")</f>
        <v>ERNUNN</v>
      </c>
      <c r="B176" s="94">
        <f>IF($A176="","",VLOOKUP($A176,'Annex 2 Designated EHV charges'!$A:$O,2,0))</f>
        <v>308</v>
      </c>
      <c r="C176" s="95">
        <f>IF($A176="","",VLOOKUP($A176,'Annex 2 Designated EHV charges'!$A:$O,3,0))</f>
        <v>1050001440510</v>
      </c>
      <c r="D176" s="94" t="str">
        <f>IF($A176="","",VLOOKUP($A176,'Annex 2 Designated EHV charges'!$A:$O,7,0))</f>
        <v>ERNUNN</v>
      </c>
      <c r="E176" s="97" t="str">
        <f>IFERROR(IF(VLOOKUP($A176,'Annex 2 Designated EHV charges'!$A:$O,9,FALSE)=0,"",VLOOKUP($A176,'Annex 2 Designated EHV charges'!$A:$O,9,FALSE)),"")</f>
        <v/>
      </c>
      <c r="F176" s="194">
        <f>IFERROR(IF(VLOOKUP($A176,'Annex 2 Designated EHV charges'!$A:$O,10,FALSE)=0,"",VLOOKUP($A176,'Annex 2 Designated EHV charges'!$A:$O,10,FALSE)),"")</f>
        <v>34.67</v>
      </c>
      <c r="G176" s="194">
        <f>IFERROR(IF(VLOOKUP($A176,'Annex 2 Designated EHV charges'!$A:$O,11,FALSE)=0,"",VLOOKUP($A176,'Annex 2 Designated EHV charges'!$A:$O,11,FALSE)),"")</f>
        <v>2.13</v>
      </c>
      <c r="H176" s="194">
        <f>IFERROR(IF(VLOOKUP($A176,'Annex 2 Designated EHV charges'!$A:$O,12,FALSE)=0,"",VLOOKUP($A176,'Annex 2 Designated EHV charges'!$A:$O,12,FALSE)),"")</f>
        <v>2.13</v>
      </c>
    </row>
    <row r="177" spans="1:8" x14ac:dyDescent="0.2">
      <c r="A177" s="94" t="str" cm="1">
        <f t="array" ref="A177">IFERROR(INDEX('Annex 2 Designated EHV charges'!$A$10:$A$401, MATCH(0, IF(ISBLANK('Annex 2 Designated EHV charges'!$A$10:$A$401),1, COUNTIF(A$4:$A176, 'Annex 2 Designated EHV charges'!$A$10:$A$401)), 0)),"")</f>
        <v>EUSTSF</v>
      </c>
      <c r="B177" s="94">
        <f>IF($A177="","",VLOOKUP($A177,'Annex 2 Designated EHV charges'!$A:$O,2,0))</f>
        <v>882</v>
      </c>
      <c r="C177" s="95">
        <f>IF($A177="","",VLOOKUP($A177,'Annex 2 Designated EHV charges'!$A:$O,3,0))</f>
        <v>1050000628160</v>
      </c>
      <c r="D177" s="94" t="str">
        <f>IF($A177="","",VLOOKUP($A177,'Annex 2 Designated EHV charges'!$A:$O,7,0))</f>
        <v>EUSTSF</v>
      </c>
      <c r="E177" s="97">
        <f>IFERROR(IF(VLOOKUP($A177,'Annex 2 Designated EHV charges'!$A:$O,9,FALSE)=0,"",VLOOKUP($A177,'Annex 2 Designated EHV charges'!$A:$O,9,FALSE)),"")</f>
        <v>0.81100000000000005</v>
      </c>
      <c r="F177" s="194">
        <f>IFERROR(IF(VLOOKUP($A177,'Annex 2 Designated EHV charges'!$A:$O,10,FALSE)=0,"",VLOOKUP($A177,'Annex 2 Designated EHV charges'!$A:$O,10,FALSE)),"")</f>
        <v>94.07</v>
      </c>
      <c r="G177" s="194">
        <f>IFERROR(IF(VLOOKUP($A177,'Annex 2 Designated EHV charges'!$A:$O,11,FALSE)=0,"",VLOOKUP($A177,'Annex 2 Designated EHV charges'!$A:$O,11,FALSE)),"")</f>
        <v>1.81</v>
      </c>
      <c r="H177" s="194">
        <f>IFERROR(IF(VLOOKUP($A177,'Annex 2 Designated EHV charges'!$A:$O,12,FALSE)=0,"",VLOOKUP($A177,'Annex 2 Designated EHV charges'!$A:$O,12,FALSE)),"")</f>
        <v>1.81</v>
      </c>
    </row>
    <row r="178" spans="1:8" x14ac:dyDescent="0.2">
      <c r="A178" s="94" t="str" cm="1">
        <f t="array" ref="A178">IFERROR(INDEX('Annex 2 Designated EHV charges'!$A$10:$A$401, MATCH(0, IF(ISBLANK('Annex 2 Designated EHV charges'!$A$10:$A$401),1, COUNTIF(A$4:$A177, 'Annex 2 Designated EHV charges'!$A$10:$A$401)), 0)),"")</f>
        <v>EXNING</v>
      </c>
      <c r="B178" s="94">
        <f>IF($A178="","",VLOOKUP($A178,'Annex 2 Designated EHV charges'!$A:$O,2,0))</f>
        <v>510</v>
      </c>
      <c r="C178" s="95">
        <f>IF($A178="","",VLOOKUP($A178,'Annex 2 Designated EHV charges'!$A:$O,3,0))</f>
        <v>1050000784384</v>
      </c>
      <c r="D178" s="94" t="str">
        <f>IF($A178="","",VLOOKUP($A178,'Annex 2 Designated EHV charges'!$A:$O,7,0))</f>
        <v>EXNING</v>
      </c>
      <c r="E178" s="97">
        <f>IFERROR(IF(VLOOKUP($A178,'Annex 2 Designated EHV charges'!$A:$O,9,FALSE)=0,"",VLOOKUP($A178,'Annex 2 Designated EHV charges'!$A:$O,9,FALSE)),"")</f>
        <v>6.9000000000000006E-2</v>
      </c>
      <c r="F178" s="194">
        <f>IFERROR(IF(VLOOKUP($A178,'Annex 2 Designated EHV charges'!$A:$O,10,FALSE)=0,"",VLOOKUP($A178,'Annex 2 Designated EHV charges'!$A:$O,10,FALSE)),"")</f>
        <v>26.02</v>
      </c>
      <c r="G178" s="194">
        <f>IFERROR(IF(VLOOKUP($A178,'Annex 2 Designated EHV charges'!$A:$O,11,FALSE)=0,"",VLOOKUP($A178,'Annex 2 Designated EHV charges'!$A:$O,11,FALSE)),"")</f>
        <v>3.01</v>
      </c>
      <c r="H178" s="194">
        <f>IFERROR(IF(VLOOKUP($A178,'Annex 2 Designated EHV charges'!$A:$O,12,FALSE)=0,"",VLOOKUP($A178,'Annex 2 Designated EHV charges'!$A:$O,12,FALSE)),"")</f>
        <v>3.01</v>
      </c>
    </row>
    <row r="179" spans="1:8" x14ac:dyDescent="0.2">
      <c r="A179" s="94" t="str" cm="1">
        <f t="array" ref="A179">IFERROR(INDEX('Annex 2 Designated EHV charges'!$A$10:$A$401, MATCH(0, IF(ISBLANK('Annex 2 Designated EHV charges'!$A$10:$A$401),1, COUNTIF(A$4:$A178, 'Annex 2 Designated EHV charges'!$A$10:$A$401)), 0)),"")</f>
        <v>EYEWFM</v>
      </c>
      <c r="B179" s="94">
        <f>IF($A179="","",VLOOKUP($A179,'Annex 2 Designated EHV charges'!$A:$O,2,0))</f>
        <v>883</v>
      </c>
      <c r="C179" s="95">
        <f>IF($A179="","",VLOOKUP($A179,'Annex 2 Designated EHV charges'!$A:$O,3,0))</f>
        <v>1030085019966</v>
      </c>
      <c r="D179" s="94" t="str">
        <f>IF($A179="","",VLOOKUP($A179,'Annex 2 Designated EHV charges'!$A:$O,7,0))</f>
        <v>EYEWFM</v>
      </c>
      <c r="E179" s="97">
        <f>IFERROR(IF(VLOOKUP($A179,'Annex 2 Designated EHV charges'!$A:$O,9,FALSE)=0,"",VLOOKUP($A179,'Annex 2 Designated EHV charges'!$A:$O,9,FALSE)),"")</f>
        <v>1.925</v>
      </c>
      <c r="F179" s="194">
        <f>IFERROR(IF(VLOOKUP($A179,'Annex 2 Designated EHV charges'!$A:$O,10,FALSE)=0,"",VLOOKUP($A179,'Annex 2 Designated EHV charges'!$A:$O,10,FALSE)),"")</f>
        <v>14.46</v>
      </c>
      <c r="G179" s="194">
        <f>IFERROR(IF(VLOOKUP($A179,'Annex 2 Designated EHV charges'!$A:$O,11,FALSE)=0,"",VLOOKUP($A179,'Annex 2 Designated EHV charges'!$A:$O,11,FALSE)),"")</f>
        <v>1.61</v>
      </c>
      <c r="H179" s="194">
        <f>IFERROR(IF(VLOOKUP($A179,'Annex 2 Designated EHV charges'!$A:$O,12,FALSE)=0,"",VLOOKUP($A179,'Annex 2 Designated EHV charges'!$A:$O,12,FALSE)),"")</f>
        <v>1.61</v>
      </c>
    </row>
    <row r="180" spans="1:8" x14ac:dyDescent="0.2">
      <c r="A180" s="94" t="str" cm="1">
        <f t="array" ref="A180">IFERROR(INDEX('Annex 2 Designated EHV charges'!$A$10:$A$401, MATCH(0, IF(ISBLANK('Annex 2 Designated EHV charges'!$A$10:$A$401),1, COUNTIF(A$4:$A179, 'Annex 2 Designated EHV charges'!$A$10:$A$401)), 0)),"")</f>
        <v>FBWTHE</v>
      </c>
      <c r="B180" s="94">
        <f>IF($A180="","",VLOOKUP($A180,'Annex 2 Designated EHV charges'!$A:$O,2,0))</f>
        <v>817</v>
      </c>
      <c r="C180" s="95">
        <f>IF($A180="","",VLOOKUP($A180,'Annex 2 Designated EHV charges'!$A:$O,3,0))</f>
        <v>1023507304338</v>
      </c>
      <c r="D180" s="94" t="str">
        <f>IF($A180="","",VLOOKUP($A180,'Annex 2 Designated EHV charges'!$A:$O,7,0))</f>
        <v>FBWTHE</v>
      </c>
      <c r="E180" s="97">
        <f>IFERROR(IF(VLOOKUP($A180,'Annex 2 Designated EHV charges'!$A:$O,9,FALSE)=0,"",VLOOKUP($A180,'Annex 2 Designated EHV charges'!$A:$O,9,FALSE)),"")</f>
        <v>1.3240000000000001</v>
      </c>
      <c r="F180" s="194">
        <f>IFERROR(IF(VLOOKUP($A180,'Annex 2 Designated EHV charges'!$A:$O,10,FALSE)=0,"",VLOOKUP($A180,'Annex 2 Designated EHV charges'!$A:$O,10,FALSE)),"")</f>
        <v>46.6</v>
      </c>
      <c r="G180" s="194">
        <f>IFERROR(IF(VLOOKUP($A180,'Annex 2 Designated EHV charges'!$A:$O,11,FALSE)=0,"",VLOOKUP($A180,'Annex 2 Designated EHV charges'!$A:$O,11,FALSE)),"")</f>
        <v>2.09</v>
      </c>
      <c r="H180" s="194">
        <f>IFERROR(IF(VLOOKUP($A180,'Annex 2 Designated EHV charges'!$A:$O,12,FALSE)=0,"",VLOOKUP($A180,'Annex 2 Designated EHV charges'!$A:$O,12,FALSE)),"")</f>
        <v>2.09</v>
      </c>
    </row>
    <row r="181" spans="1:8" x14ac:dyDescent="0.2">
      <c r="A181" s="94" t="str" cm="1">
        <f t="array" ref="A181">IFERROR(INDEX('Annex 2 Designated EHV charges'!$A$10:$A$401, MATCH(0, IF(ISBLANK('Annex 2 Designated EHV charges'!$A$10:$A$401),1, COUNTIF(A$4:$A180, 'Annex 2 Designated EHV charges'!$A$10:$A$401)), 0)),"")</f>
        <v>FENLND</v>
      </c>
      <c r="B181" s="94">
        <f>IF($A181="","",VLOOKUP($A181,'Annex 2 Designated EHV charges'!$A:$O,2,0))</f>
        <v>511</v>
      </c>
      <c r="C181" s="95">
        <f>IF($A181="","",VLOOKUP($A181,'Annex 2 Designated EHV charges'!$A:$O,3,0))</f>
        <v>1050000774163</v>
      </c>
      <c r="D181" s="94" t="str">
        <f>IF($A181="","",VLOOKUP($A181,'Annex 2 Designated EHV charges'!$A:$O,7,0))</f>
        <v>FENLND</v>
      </c>
      <c r="E181" s="97">
        <f>IFERROR(IF(VLOOKUP($A181,'Annex 2 Designated EHV charges'!$A:$O,9,FALSE)=0,"",VLOOKUP($A181,'Annex 2 Designated EHV charges'!$A:$O,9,FALSE)),"")</f>
        <v>2.61</v>
      </c>
      <c r="F181" s="194">
        <f>IFERROR(IF(VLOOKUP($A181,'Annex 2 Designated EHV charges'!$A:$O,10,FALSE)=0,"",VLOOKUP($A181,'Annex 2 Designated EHV charges'!$A:$O,10,FALSE)),"")</f>
        <v>78.31</v>
      </c>
      <c r="G181" s="194">
        <f>IFERROR(IF(VLOOKUP($A181,'Annex 2 Designated EHV charges'!$A:$O,11,FALSE)=0,"",VLOOKUP($A181,'Annex 2 Designated EHV charges'!$A:$O,11,FALSE)),"")</f>
        <v>1.95</v>
      </c>
      <c r="H181" s="194">
        <f>IFERROR(IF(VLOOKUP($A181,'Annex 2 Designated EHV charges'!$A:$O,12,FALSE)=0,"",VLOOKUP($A181,'Annex 2 Designated EHV charges'!$A:$O,12,FALSE)),"")</f>
        <v>1.95</v>
      </c>
    </row>
    <row r="182" spans="1:8" x14ac:dyDescent="0.2">
      <c r="A182" s="94" t="str" cm="1">
        <f t="array" ref="A182">IFERROR(INDEX('Annex 2 Designated EHV charges'!$A$10:$A$401, MATCH(0, IF(ISBLANK('Annex 2 Designated EHV charges'!$A$10:$A$401),1, COUNTIF(A$4:$A181, 'Annex 2 Designated EHV charges'!$A$10:$A$401)), 0)),"")</f>
        <v>FIBEYE</v>
      </c>
      <c r="B182" s="94">
        <f>IF($A182="","",VLOOKUP($A182,'Annex 2 Designated EHV charges'!$A:$O,2,0))</f>
        <v>816</v>
      </c>
      <c r="C182" s="95">
        <f>IF($A182="","",VLOOKUP($A182,'Annex 2 Designated EHV charges'!$A:$O,3,0))</f>
        <v>1023479132092</v>
      </c>
      <c r="D182" s="94" t="str">
        <f>IF($A182="","",VLOOKUP($A182,'Annex 2 Designated EHV charges'!$A:$O,7,0))</f>
        <v>FIBEYE</v>
      </c>
      <c r="E182" s="97">
        <f>IFERROR(IF(VLOOKUP($A182,'Annex 2 Designated EHV charges'!$A:$O,9,FALSE)=0,"",VLOOKUP($A182,'Annex 2 Designated EHV charges'!$A:$O,9,FALSE)),"")</f>
        <v>1.542</v>
      </c>
      <c r="F182" s="194">
        <f>IFERROR(IF(VLOOKUP($A182,'Annex 2 Designated EHV charges'!$A:$O,10,FALSE)=0,"",VLOOKUP($A182,'Annex 2 Designated EHV charges'!$A:$O,10,FALSE)),"")</f>
        <v>28.91</v>
      </c>
      <c r="G182" s="194">
        <f>IFERROR(IF(VLOOKUP($A182,'Annex 2 Designated EHV charges'!$A:$O,11,FALSE)=0,"",VLOOKUP($A182,'Annex 2 Designated EHV charges'!$A:$O,11,FALSE)),"")</f>
        <v>1.89</v>
      </c>
      <c r="H182" s="194">
        <f>IFERROR(IF(VLOOKUP($A182,'Annex 2 Designated EHV charges'!$A:$O,12,FALSE)=0,"",VLOOKUP($A182,'Annex 2 Designated EHV charges'!$A:$O,12,FALSE)),"")</f>
        <v>1.89</v>
      </c>
    </row>
    <row r="183" spans="1:8" x14ac:dyDescent="0.2">
      <c r="A183" s="94" t="str" cm="1">
        <f t="array" ref="A183">IFERROR(INDEX('Annex 2 Designated EHV charges'!$A$10:$A$401, MATCH(0, IF(ISBLANK('Annex 2 Designated EHV charges'!$A$10:$A$401),1, COUNTIF(A$4:$A182, 'Annex 2 Designated EHV charges'!$A$10:$A$401)), 0)),"")</f>
        <v>FLYFRM</v>
      </c>
      <c r="B183" s="94">
        <f>IF($A183="","",VLOOKUP($A183,'Annex 2 Designated EHV charges'!$A:$O,2,0))</f>
        <v>512</v>
      </c>
      <c r="C183" s="95">
        <f>IF($A183="","",VLOOKUP($A183,'Annex 2 Designated EHV charges'!$A:$O,3,0))</f>
        <v>1050000822463</v>
      </c>
      <c r="D183" s="94" t="str">
        <f>IF($A183="","",VLOOKUP($A183,'Annex 2 Designated EHV charges'!$A:$O,7,0))</f>
        <v>FLYFRM</v>
      </c>
      <c r="E183" s="97">
        <f>IFERROR(IF(VLOOKUP($A183,'Annex 2 Designated EHV charges'!$A:$O,9,FALSE)=0,"",VLOOKUP($A183,'Annex 2 Designated EHV charges'!$A:$O,9,FALSE)),"")</f>
        <v>4.8179999999999996</v>
      </c>
      <c r="F183" s="194">
        <f>IFERROR(IF(VLOOKUP($A183,'Annex 2 Designated EHV charges'!$A:$O,10,FALSE)=0,"",VLOOKUP($A183,'Annex 2 Designated EHV charges'!$A:$O,10,FALSE)),"")</f>
        <v>16.91</v>
      </c>
      <c r="G183" s="194">
        <f>IFERROR(IF(VLOOKUP($A183,'Annex 2 Designated EHV charges'!$A:$O,11,FALSE)=0,"",VLOOKUP($A183,'Annex 2 Designated EHV charges'!$A:$O,11,FALSE)),"")</f>
        <v>2.5</v>
      </c>
      <c r="H183" s="194">
        <f>IFERROR(IF(VLOOKUP($A183,'Annex 2 Designated EHV charges'!$A:$O,12,FALSE)=0,"",VLOOKUP($A183,'Annex 2 Designated EHV charges'!$A:$O,12,FALSE)),"")</f>
        <v>2.5</v>
      </c>
    </row>
    <row r="184" spans="1:8" x14ac:dyDescent="0.2">
      <c r="A184" s="94" t="str" cm="1">
        <f t="array" ref="A184">IFERROR(INDEX('Annex 2 Designated EHV charges'!$A$10:$A$401, MATCH(0, IF(ISBLANK('Annex 2 Designated EHV charges'!$A$10:$A$401),1, COUNTIF(A$4:$A183, 'Annex 2 Designated EHV charges'!$A$10:$A$401)), 0)),"")</f>
        <v>FWINDS</v>
      </c>
      <c r="B184" s="94">
        <f>IF($A184="","",VLOOKUP($A184,'Annex 2 Designated EHV charges'!$A:$O,2,0))</f>
        <v>513</v>
      </c>
      <c r="C184" s="95">
        <f>IF($A184="","",VLOOKUP($A184,'Annex 2 Designated EHV charges'!$A:$O,3,0))</f>
        <v>1050000709721</v>
      </c>
      <c r="D184" s="94" t="str">
        <f>IF($A184="","",VLOOKUP($A184,'Annex 2 Designated EHV charges'!$A:$O,7,0))</f>
        <v>FWINDS</v>
      </c>
      <c r="E184" s="97" t="str">
        <f>IFERROR(IF(VLOOKUP($A184,'Annex 2 Designated EHV charges'!$A:$O,9,FALSE)=0,"",VLOOKUP($A184,'Annex 2 Designated EHV charges'!$A:$O,9,FALSE)),"")</f>
        <v/>
      </c>
      <c r="F184" s="194">
        <f>IFERROR(IF(VLOOKUP($A184,'Annex 2 Designated EHV charges'!$A:$O,10,FALSE)=0,"",VLOOKUP($A184,'Annex 2 Designated EHV charges'!$A:$O,10,FALSE)),"")</f>
        <v>15.81</v>
      </c>
      <c r="G184" s="194">
        <f>IFERROR(IF(VLOOKUP($A184,'Annex 2 Designated EHV charges'!$A:$O,11,FALSE)=0,"",VLOOKUP($A184,'Annex 2 Designated EHV charges'!$A:$O,11,FALSE)),"")</f>
        <v>2.64</v>
      </c>
      <c r="H184" s="194">
        <f>IFERROR(IF(VLOOKUP($A184,'Annex 2 Designated EHV charges'!$A:$O,12,FALSE)=0,"",VLOOKUP($A184,'Annex 2 Designated EHV charges'!$A:$O,12,FALSE)),"")</f>
        <v>2.64</v>
      </c>
    </row>
    <row r="185" spans="1:8" x14ac:dyDescent="0.2">
      <c r="A185" s="94" t="str" cm="1">
        <f t="array" ref="A185">IFERROR(INDEX('Annex 2 Designated EHV charges'!$A$10:$A$401, MATCH(0, IF(ISBLANK('Annex 2 Designated EHV charges'!$A$10:$A$401),1, COUNTIF(A$4:$A184, 'Annex 2 Designated EHV charges'!$A$10:$A$401)), 0)),"")</f>
        <v>GDE132</v>
      </c>
      <c r="B185" s="94">
        <f>IF($A185="","",VLOOKUP($A185,'Annex 2 Designated EHV charges'!$A:$O,2,0))</f>
        <v>514</v>
      </c>
      <c r="C185" s="95">
        <f>IF($A185="","",VLOOKUP($A185,'Annex 2 Designated EHV charges'!$A:$O,3,0))</f>
        <v>1050000738305</v>
      </c>
      <c r="D185" s="94" t="str">
        <f>IF($A185="","",VLOOKUP($A185,'Annex 2 Designated EHV charges'!$A:$O,7,0))</f>
        <v>GDE132</v>
      </c>
      <c r="E185" s="97" t="str">
        <f>IFERROR(IF(VLOOKUP($A185,'Annex 2 Designated EHV charges'!$A:$O,9,FALSE)=0,"",VLOOKUP($A185,'Annex 2 Designated EHV charges'!$A:$O,9,FALSE)),"")</f>
        <v/>
      </c>
      <c r="F185" s="194">
        <f>IFERROR(IF(VLOOKUP($A185,'Annex 2 Designated EHV charges'!$A:$O,10,FALSE)=0,"",VLOOKUP($A185,'Annex 2 Designated EHV charges'!$A:$O,10,FALSE)),"")</f>
        <v>38.94</v>
      </c>
      <c r="G185" s="194">
        <f>IFERROR(IF(VLOOKUP($A185,'Annex 2 Designated EHV charges'!$A:$O,11,FALSE)=0,"",VLOOKUP($A185,'Annex 2 Designated EHV charges'!$A:$O,11,FALSE)),"")</f>
        <v>1.56</v>
      </c>
      <c r="H185" s="194">
        <f>IFERROR(IF(VLOOKUP($A185,'Annex 2 Designated EHV charges'!$A:$O,12,FALSE)=0,"",VLOOKUP($A185,'Annex 2 Designated EHV charges'!$A:$O,12,FALSE)),"")</f>
        <v>1.56</v>
      </c>
    </row>
    <row r="186" spans="1:8" x14ac:dyDescent="0.2">
      <c r="A186" s="94" t="str" cm="1">
        <f t="array" ref="A186">IFERROR(INDEX('Annex 2 Designated EHV charges'!$A$10:$A$401, MATCH(0, IF(ISBLANK('Annex 2 Designated EHV charges'!$A$10:$A$401),1, COUNTIF(A$4:$A185, 'Annex 2 Designated EHV charges'!$A$10:$A$401)), 0)),"")</f>
        <v>GFTHRN</v>
      </c>
      <c r="B186" s="94">
        <f>IF($A186="","",VLOOKUP($A186,'Annex 2 Designated EHV charges'!$A:$O,2,0))</f>
        <v>567</v>
      </c>
      <c r="C186" s="95">
        <f>IF($A186="","",VLOOKUP($A186,'Annex 2 Designated EHV charges'!$A:$O,3,0))</f>
        <v>1050000903244</v>
      </c>
      <c r="D186" s="94" t="str">
        <f>IF($A186="","",VLOOKUP($A186,'Annex 2 Designated EHV charges'!$A:$O,7,0))</f>
        <v>GFTHRN</v>
      </c>
      <c r="E186" s="97">
        <f>IFERROR(IF(VLOOKUP($A186,'Annex 2 Designated EHV charges'!$A:$O,9,FALSE)=0,"",VLOOKUP($A186,'Annex 2 Designated EHV charges'!$A:$O,9,FALSE)),"")</f>
        <v>0.125</v>
      </c>
      <c r="F186" s="194">
        <f>IFERROR(IF(VLOOKUP($A186,'Annex 2 Designated EHV charges'!$A:$O,10,FALSE)=0,"",VLOOKUP($A186,'Annex 2 Designated EHV charges'!$A:$O,10,FALSE)),"")</f>
        <v>88.9</v>
      </c>
      <c r="G186" s="194">
        <f>IFERROR(IF(VLOOKUP($A186,'Annex 2 Designated EHV charges'!$A:$O,11,FALSE)=0,"",VLOOKUP($A186,'Annex 2 Designated EHV charges'!$A:$O,11,FALSE)),"")</f>
        <v>1.65</v>
      </c>
      <c r="H186" s="194">
        <f>IFERROR(IF(VLOOKUP($A186,'Annex 2 Designated EHV charges'!$A:$O,12,FALSE)=0,"",VLOOKUP($A186,'Annex 2 Designated EHV charges'!$A:$O,12,FALSE)),"")</f>
        <v>1.65</v>
      </c>
    </row>
    <row r="187" spans="1:8" x14ac:dyDescent="0.2">
      <c r="A187" s="94" t="str" cm="1">
        <f t="array" ref="A187">IFERROR(INDEX('Annex 2 Designated EHV charges'!$A$10:$A$401, MATCH(0, IF(ISBLANK('Annex 2 Designated EHV charges'!$A$10:$A$401),1, COUNTIF(A$4:$A186, 'Annex 2 Designated EHV charges'!$A$10:$A$401)), 0)),"")</f>
        <v>GLASM2</v>
      </c>
      <c r="B187" s="94">
        <f>IF($A187="","",VLOOKUP($A187,'Annex 2 Designated EHV charges'!$A:$O,2,0))</f>
        <v>865</v>
      </c>
      <c r="C187" s="95">
        <f>IF($A187="","",VLOOKUP($A187,'Annex 2 Designated EHV charges'!$A:$O,3,0))</f>
        <v>1030083962424</v>
      </c>
      <c r="D187" s="94" t="str">
        <f>IF($A187="","",VLOOKUP($A187,'Annex 2 Designated EHV charges'!$A:$O,7,0))</f>
        <v>GLASM2</v>
      </c>
      <c r="E187" s="97" t="str">
        <f>IFERROR(IF(VLOOKUP($A187,'Annex 2 Designated EHV charges'!$A:$O,9,FALSE)=0,"",VLOOKUP($A187,'Annex 2 Designated EHV charges'!$A:$O,9,FALSE)),"")</f>
        <v/>
      </c>
      <c r="F187" s="194">
        <f>IFERROR(IF(VLOOKUP($A187,'Annex 2 Designated EHV charges'!$A:$O,10,FALSE)=0,"",VLOOKUP($A187,'Annex 2 Designated EHV charges'!$A:$O,10,FALSE)),"")</f>
        <v>211.53</v>
      </c>
      <c r="G187" s="194">
        <f>IFERROR(IF(VLOOKUP($A187,'Annex 2 Designated EHV charges'!$A:$O,11,FALSE)=0,"",VLOOKUP($A187,'Annex 2 Designated EHV charges'!$A:$O,11,FALSE)),"")</f>
        <v>4.17</v>
      </c>
      <c r="H187" s="194">
        <f>IFERROR(IF(VLOOKUP($A187,'Annex 2 Designated EHV charges'!$A:$O,12,FALSE)=0,"",VLOOKUP($A187,'Annex 2 Designated EHV charges'!$A:$O,12,FALSE)),"")</f>
        <v>4.17</v>
      </c>
    </row>
    <row r="188" spans="1:8" x14ac:dyDescent="0.2">
      <c r="A188" s="94" t="str" cm="1">
        <f t="array" ref="A188">IFERROR(INDEX('Annex 2 Designated EHV charges'!$A$10:$A$401, MATCH(0, IF(ISBLANK('Annex 2 Designated EHV charges'!$A$10:$A$401),1, COUNTIF(A$4:$A187, 'Annex 2 Designated EHV charges'!$A$10:$A$401)), 0)),"")</f>
        <v>GLASSM</v>
      </c>
      <c r="B188" s="94">
        <f>IF($A188="","",VLOOKUP($A188,'Annex 2 Designated EHV charges'!$A:$O,2,0))</f>
        <v>814</v>
      </c>
      <c r="C188" s="95">
        <f>IF($A188="","",VLOOKUP($A188,'Annex 2 Designated EHV charges'!$A:$O,3,0))</f>
        <v>1030024800679</v>
      </c>
      <c r="D188" s="94" t="str">
        <f>IF($A188="","",VLOOKUP($A188,'Annex 2 Designated EHV charges'!$A:$O,7,0))</f>
        <v>GLASSM</v>
      </c>
      <c r="E188" s="97">
        <f>IFERROR(IF(VLOOKUP($A188,'Annex 2 Designated EHV charges'!$A:$O,9,FALSE)=0,"",VLOOKUP($A188,'Annex 2 Designated EHV charges'!$A:$O,9,FALSE)),"")</f>
        <v>0.60299999999999998</v>
      </c>
      <c r="F188" s="194">
        <f>IFERROR(IF(VLOOKUP($A188,'Annex 2 Designated EHV charges'!$A:$O,10,FALSE)=0,"",VLOOKUP($A188,'Annex 2 Designated EHV charges'!$A:$O,10,FALSE)),"")</f>
        <v>26.67</v>
      </c>
      <c r="G188" s="194">
        <f>IFERROR(IF(VLOOKUP($A188,'Annex 2 Designated EHV charges'!$A:$O,11,FALSE)=0,"",VLOOKUP($A188,'Annex 2 Designated EHV charges'!$A:$O,11,FALSE)),"")</f>
        <v>2.41</v>
      </c>
      <c r="H188" s="194">
        <f>IFERROR(IF(VLOOKUP($A188,'Annex 2 Designated EHV charges'!$A:$O,12,FALSE)=0,"",VLOOKUP($A188,'Annex 2 Designated EHV charges'!$A:$O,12,FALSE)),"")</f>
        <v>2.41</v>
      </c>
    </row>
    <row r="189" spans="1:8" x14ac:dyDescent="0.2">
      <c r="A189" s="94" t="str" cm="1">
        <f t="array" ref="A189">IFERROR(INDEX('Annex 2 Designated EHV charges'!$A$10:$A$401, MATCH(0, IF(ISBLANK('Annex 2 Designated EHV charges'!$A$10:$A$401),1, COUNTIF(A$4:$A188, 'Annex 2 Designated EHV charges'!$A$10:$A$401)), 0)),"")</f>
        <v>GOOSFM</v>
      </c>
      <c r="B189" s="94">
        <f>IF($A189="","",VLOOKUP($A189,'Annex 2 Designated EHV charges'!$A:$O,2,0))</f>
        <v>309</v>
      </c>
      <c r="C189" s="95">
        <f>IF($A189="","",VLOOKUP($A189,'Annex 2 Designated EHV charges'!$A:$O,3,0))</f>
        <v>1050001727953</v>
      </c>
      <c r="D189" s="94" t="str">
        <f>IF($A189="","",VLOOKUP($A189,'Annex 2 Designated EHV charges'!$A:$O,7,0))</f>
        <v>GOOSFM</v>
      </c>
      <c r="E189" s="97">
        <f>IFERROR(IF(VLOOKUP($A189,'Annex 2 Designated EHV charges'!$A:$O,9,FALSE)=0,"",VLOOKUP($A189,'Annex 2 Designated EHV charges'!$A:$O,9,FALSE)),"")</f>
        <v>0.23300000000000001</v>
      </c>
      <c r="F189" s="194">
        <f>IFERROR(IF(VLOOKUP($A189,'Annex 2 Designated EHV charges'!$A:$O,10,FALSE)=0,"",VLOOKUP($A189,'Annex 2 Designated EHV charges'!$A:$O,10,FALSE)),"")</f>
        <v>25.21</v>
      </c>
      <c r="G189" s="194">
        <f>IFERROR(IF(VLOOKUP($A189,'Annex 2 Designated EHV charges'!$A:$O,11,FALSE)=0,"",VLOOKUP($A189,'Annex 2 Designated EHV charges'!$A:$O,11,FALSE)),"")</f>
        <v>2.25</v>
      </c>
      <c r="H189" s="194">
        <f>IFERROR(IF(VLOOKUP($A189,'Annex 2 Designated EHV charges'!$A:$O,12,FALSE)=0,"",VLOOKUP($A189,'Annex 2 Designated EHV charges'!$A:$O,12,FALSE)),"")</f>
        <v>2.25</v>
      </c>
    </row>
    <row r="190" spans="1:8" x14ac:dyDescent="0.2">
      <c r="A190" s="94" t="str" cm="1">
        <f t="array" ref="A190">IFERROR(INDEX('Annex 2 Designated EHV charges'!$A$10:$A$401, MATCH(0, IF(ISBLANK('Annex 2 Designated EHV charges'!$A$10:$A$401),1, COUNTIF(A$4:$A189, 'Annex 2 Designated EHV charges'!$A$10:$A$401)), 0)),"")</f>
        <v>GOSFLD</v>
      </c>
      <c r="B190" s="94">
        <f>IF($A190="","",VLOOKUP($A190,'Annex 2 Designated EHV charges'!$A:$O,2,0))</f>
        <v>515</v>
      </c>
      <c r="C190" s="95">
        <f>IF($A190="","",VLOOKUP($A190,'Annex 2 Designated EHV charges'!$A:$O,3,0))</f>
        <v>1050000714216</v>
      </c>
      <c r="D190" s="94" t="str">
        <f>IF($A190="","",VLOOKUP($A190,'Annex 2 Designated EHV charges'!$A:$O,7,0))</f>
        <v>GOSFLD</v>
      </c>
      <c r="E190" s="97">
        <f>IFERROR(IF(VLOOKUP($A190,'Annex 2 Designated EHV charges'!$A:$O,9,FALSE)=0,"",VLOOKUP($A190,'Annex 2 Designated EHV charges'!$A:$O,9,FALSE)),"")</f>
        <v>1.9770000000000001</v>
      </c>
      <c r="F190" s="194">
        <f>IFERROR(IF(VLOOKUP($A190,'Annex 2 Designated EHV charges'!$A:$O,10,FALSE)=0,"",VLOOKUP($A190,'Annex 2 Designated EHV charges'!$A:$O,10,FALSE)),"")</f>
        <v>4706.41</v>
      </c>
      <c r="G190" s="194">
        <f>IFERROR(IF(VLOOKUP($A190,'Annex 2 Designated EHV charges'!$A:$O,11,FALSE)=0,"",VLOOKUP($A190,'Annex 2 Designated EHV charges'!$A:$O,11,FALSE)),"")</f>
        <v>1.9</v>
      </c>
      <c r="H190" s="194">
        <f>IFERROR(IF(VLOOKUP($A190,'Annex 2 Designated EHV charges'!$A:$O,12,FALSE)=0,"",VLOOKUP($A190,'Annex 2 Designated EHV charges'!$A:$O,12,FALSE)),"")</f>
        <v>1.9</v>
      </c>
    </row>
    <row r="191" spans="1:8" x14ac:dyDescent="0.2">
      <c r="A191" s="94" t="str" cm="1">
        <f t="array" ref="A191">IFERROR(INDEX('Annex 2 Designated EHV charges'!$A$10:$A$401, MATCH(0, IF(ISBLANK('Annex 2 Designated EHV charges'!$A$10:$A$401),1, COUNTIF(A$4:$A190, 'Annex 2 Designated EHV charges'!$A$10:$A$401)), 0)),"")</f>
        <v>GREYSH</v>
      </c>
      <c r="B191" s="94">
        <f>IF($A191="","",VLOOKUP($A191,'Annex 2 Designated EHV charges'!$A:$O,2,0))</f>
        <v>310</v>
      </c>
      <c r="C191" s="95">
        <f>IF($A191="","",VLOOKUP($A191,'Annex 2 Designated EHV charges'!$A:$O,3,0))</f>
        <v>1050001391466</v>
      </c>
      <c r="D191" s="94" t="str">
        <f>IF($A191="","",VLOOKUP($A191,'Annex 2 Designated EHV charges'!$A:$O,7,0))</f>
        <v>GREYSH</v>
      </c>
      <c r="E191" s="97">
        <f>IFERROR(IF(VLOOKUP($A191,'Annex 2 Designated EHV charges'!$A:$O,9,FALSE)=0,"",VLOOKUP($A191,'Annex 2 Designated EHV charges'!$A:$O,9,FALSE)),"")</f>
        <v>8.9710000000000001</v>
      </c>
      <c r="F191" s="194">
        <f>IFERROR(IF(VLOOKUP($A191,'Annex 2 Designated EHV charges'!$A:$O,10,FALSE)=0,"",VLOOKUP($A191,'Annex 2 Designated EHV charges'!$A:$O,10,FALSE)),"")</f>
        <v>222.3</v>
      </c>
      <c r="G191" s="194">
        <f>IFERROR(IF(VLOOKUP($A191,'Annex 2 Designated EHV charges'!$A:$O,11,FALSE)=0,"",VLOOKUP($A191,'Annex 2 Designated EHV charges'!$A:$O,11,FALSE)),"")</f>
        <v>1.25</v>
      </c>
      <c r="H191" s="194">
        <f>IFERROR(IF(VLOOKUP($A191,'Annex 2 Designated EHV charges'!$A:$O,12,FALSE)=0,"",VLOOKUP($A191,'Annex 2 Designated EHV charges'!$A:$O,12,FALSE)),"")</f>
        <v>1.25</v>
      </c>
    </row>
    <row r="192" spans="1:8" x14ac:dyDescent="0.2">
      <c r="A192" s="94" t="str" cm="1">
        <f t="array" ref="A192">IFERROR(INDEX('Annex 2 Designated EHV charges'!$A$10:$A$401, MATCH(0, IF(ISBLANK('Annex 2 Designated EHV charges'!$A$10:$A$401),1, COUNTIF(A$4:$A191, 'Annex 2 Designated EHV charges'!$A$10:$A$401)), 0)),"")</f>
        <v>GRNDSF</v>
      </c>
      <c r="B192" s="94">
        <f>IF($A192="","",VLOOKUP($A192,'Annex 2 Designated EHV charges'!$A:$O,2,0))</f>
        <v>363</v>
      </c>
      <c r="C192" s="95">
        <f>IF($A192="","",VLOOKUP($A192,'Annex 2 Designated EHV charges'!$A:$O,3,0))</f>
        <v>1050003517021</v>
      </c>
      <c r="D192" s="94" t="str">
        <f>IF($A192="","",VLOOKUP($A192,'Annex 2 Designated EHV charges'!$A:$O,7,0))</f>
        <v>GRNDSF</v>
      </c>
      <c r="E192" s="97" t="str">
        <f>IFERROR(IF(VLOOKUP($A192,'Annex 2 Designated EHV charges'!$A:$O,9,FALSE)=0,"",VLOOKUP($A192,'Annex 2 Designated EHV charges'!$A:$O,9,FALSE)),"")</f>
        <v/>
      </c>
      <c r="F192" s="194">
        <f>IFERROR(IF(VLOOKUP($A192,'Annex 2 Designated EHV charges'!$A:$O,10,FALSE)=0,"",VLOOKUP($A192,'Annex 2 Designated EHV charges'!$A:$O,10,FALSE)),"")</f>
        <v>6.12</v>
      </c>
      <c r="G192" s="194">
        <f>IFERROR(IF(VLOOKUP($A192,'Annex 2 Designated EHV charges'!$A:$O,11,FALSE)=0,"",VLOOKUP($A192,'Annex 2 Designated EHV charges'!$A:$O,11,FALSE)),"")</f>
        <v>4.5</v>
      </c>
      <c r="H192" s="194">
        <f>IFERROR(IF(VLOOKUP($A192,'Annex 2 Designated EHV charges'!$A:$O,12,FALSE)=0,"",VLOOKUP($A192,'Annex 2 Designated EHV charges'!$A:$O,12,FALSE)),"")</f>
        <v>4.5</v>
      </c>
    </row>
    <row r="193" spans="1:8" x14ac:dyDescent="0.2">
      <c r="A193" s="94" t="str" cm="1">
        <f t="array" ref="A193">IFERROR(INDEX('Annex 2 Designated EHV charges'!$A$10:$A$401, MATCH(0, IF(ISBLANK('Annex 2 Designated EHV charges'!$A$10:$A$401),1, COUNTIF(A$4:$A192, 'Annex 2 Designated EHV charges'!$A$10:$A$401)), 0)),"")</f>
        <v>GRNEND</v>
      </c>
      <c r="B193" s="94">
        <f>IF($A193="","",VLOOKUP($A193,'Annex 2 Designated EHV charges'!$A:$O,2,0))</f>
        <v>516</v>
      </c>
      <c r="C193" s="95">
        <f>IF($A193="","",VLOOKUP($A193,'Annex 2 Designated EHV charges'!$A:$O,3,0))</f>
        <v>1050000774215</v>
      </c>
      <c r="D193" s="94" t="str">
        <f>IF($A193="","",VLOOKUP($A193,'Annex 2 Designated EHV charges'!$A:$O,7,0))</f>
        <v>GRNEND</v>
      </c>
      <c r="E193" s="97">
        <f>IFERROR(IF(VLOOKUP($A193,'Annex 2 Designated EHV charges'!$A:$O,9,FALSE)=0,"",VLOOKUP($A193,'Annex 2 Designated EHV charges'!$A:$O,9,FALSE)),"")</f>
        <v>4.4420000000000002</v>
      </c>
      <c r="F193" s="194">
        <f>IFERROR(IF(VLOOKUP($A193,'Annex 2 Designated EHV charges'!$A:$O,10,FALSE)=0,"",VLOOKUP($A193,'Annex 2 Designated EHV charges'!$A:$O,10,FALSE)),"")</f>
        <v>89.7</v>
      </c>
      <c r="G193" s="194">
        <f>IFERROR(IF(VLOOKUP($A193,'Annex 2 Designated EHV charges'!$A:$O,11,FALSE)=0,"",VLOOKUP($A193,'Annex 2 Designated EHV charges'!$A:$O,11,FALSE)),"")</f>
        <v>1.51</v>
      </c>
      <c r="H193" s="194">
        <f>IFERROR(IF(VLOOKUP($A193,'Annex 2 Designated EHV charges'!$A:$O,12,FALSE)=0,"",VLOOKUP($A193,'Annex 2 Designated EHV charges'!$A:$O,12,FALSE)),"")</f>
        <v>1.51</v>
      </c>
    </row>
    <row r="194" spans="1:8" x14ac:dyDescent="0.2">
      <c r="A194" s="94" t="str" cm="1">
        <f t="array" ref="A194">IFERROR(INDEX('Annex 2 Designated EHV charges'!$A$10:$A$401, MATCH(0, IF(ISBLANK('Annex 2 Designated EHV charges'!$A$10:$A$401),1, COUNTIF(A$4:$A193, 'Annex 2 Designated EHV charges'!$A$10:$A$401)), 0)),"")</f>
        <v>GRNFRM</v>
      </c>
      <c r="B194" s="94">
        <f>IF($A194="","",VLOOKUP($A194,'Annex 2 Designated EHV charges'!$A:$O,2,0))</f>
        <v>311</v>
      </c>
      <c r="C194" s="95">
        <f>IF($A194="","",VLOOKUP($A194,'Annex 2 Designated EHV charges'!$A:$O,3,0))</f>
        <v>1050001003248</v>
      </c>
      <c r="D194" s="94" t="str">
        <f>IF($A194="","",VLOOKUP($A194,'Annex 2 Designated EHV charges'!$A:$O,7,0))</f>
        <v>GRNFRM</v>
      </c>
      <c r="E194" s="97" t="str">
        <f>IFERROR(IF(VLOOKUP($A194,'Annex 2 Designated EHV charges'!$A:$O,9,FALSE)=0,"",VLOOKUP($A194,'Annex 2 Designated EHV charges'!$A:$O,9,FALSE)),"")</f>
        <v/>
      </c>
      <c r="F194" s="194">
        <f>IFERROR(IF(VLOOKUP($A194,'Annex 2 Designated EHV charges'!$A:$O,10,FALSE)=0,"",VLOOKUP($A194,'Annex 2 Designated EHV charges'!$A:$O,10,FALSE)),"")</f>
        <v>23.39</v>
      </c>
      <c r="G194" s="194">
        <f>IFERROR(IF(VLOOKUP($A194,'Annex 2 Designated EHV charges'!$A:$O,11,FALSE)=0,"",VLOOKUP($A194,'Annex 2 Designated EHV charges'!$A:$O,11,FALSE)),"")</f>
        <v>3.21</v>
      </c>
      <c r="H194" s="194">
        <f>IFERROR(IF(VLOOKUP($A194,'Annex 2 Designated EHV charges'!$A:$O,12,FALSE)=0,"",VLOOKUP($A194,'Annex 2 Designated EHV charges'!$A:$O,12,FALSE)),"")</f>
        <v>3.21</v>
      </c>
    </row>
    <row r="195" spans="1:8" x14ac:dyDescent="0.2">
      <c r="A195" s="94" t="str" cm="1">
        <f t="array" ref="A195">IFERROR(INDEX('Annex 2 Designated EHV charges'!$A$10:$A$401, MATCH(0, IF(ISBLANK('Annex 2 Designated EHV charges'!$A$10:$A$401),1, COUNTIF(A$4:$A194, 'Annex 2 Designated EHV charges'!$A$10:$A$401)), 0)),"")</f>
        <v>GRNILM</v>
      </c>
      <c r="B195" s="94">
        <f>IF($A195="","",VLOOKUP($A195,'Annex 2 Designated EHV charges'!$A:$O,2,0))</f>
        <v>568</v>
      </c>
      <c r="C195" s="95">
        <f>IF($A195="","",VLOOKUP($A195,'Annex 2 Designated EHV charges'!$A:$O,3,0))</f>
        <v>1050001299886</v>
      </c>
      <c r="D195" s="94" t="str">
        <f>IF($A195="","",VLOOKUP($A195,'Annex 2 Designated EHV charges'!$A:$O,7,0))</f>
        <v>GRNILM</v>
      </c>
      <c r="E195" s="97">
        <f>IFERROR(IF(VLOOKUP($A195,'Annex 2 Designated EHV charges'!$A:$O,9,FALSE)=0,"",VLOOKUP($A195,'Annex 2 Designated EHV charges'!$A:$O,9,FALSE)),"")</f>
        <v>0.85399999999999998</v>
      </c>
      <c r="F195" s="194">
        <f>IFERROR(IF(VLOOKUP($A195,'Annex 2 Designated EHV charges'!$A:$O,10,FALSE)=0,"",VLOOKUP($A195,'Annex 2 Designated EHV charges'!$A:$O,10,FALSE)),"")</f>
        <v>21.25</v>
      </c>
      <c r="G195" s="194">
        <f>IFERROR(IF(VLOOKUP($A195,'Annex 2 Designated EHV charges'!$A:$O,11,FALSE)=0,"",VLOOKUP($A195,'Annex 2 Designated EHV charges'!$A:$O,11,FALSE)),"")</f>
        <v>2.57</v>
      </c>
      <c r="H195" s="194">
        <f>IFERROR(IF(VLOOKUP($A195,'Annex 2 Designated EHV charges'!$A:$O,12,FALSE)=0,"",VLOOKUP($A195,'Annex 2 Designated EHV charges'!$A:$O,12,FALSE)),"")</f>
        <v>2.57</v>
      </c>
    </row>
    <row r="196" spans="1:8" x14ac:dyDescent="0.2">
      <c r="A196" s="94" t="str" cm="1">
        <f t="array" ref="A196">IFERROR(INDEX('Annex 2 Designated EHV charges'!$A$10:$A$401, MATCH(0, IF(ISBLANK('Annex 2 Designated EHV charges'!$A$10:$A$401),1, COUNTIF(A$4:$A195, 'Annex 2 Designated EHV charges'!$A$10:$A$401)), 0)),"")</f>
        <v>GRTYAR</v>
      </c>
      <c r="B196" s="94">
        <f>IF($A196="","",VLOOKUP($A196,'Annex 2 Designated EHV charges'!$A:$O,2,0))</f>
        <v>0</v>
      </c>
      <c r="C196" s="95" t="str">
        <f>IF($A196="","",VLOOKUP($A196,'Annex 2 Designated EHV charges'!$A:$O,3,0))</f>
        <v>MSID: 7111</v>
      </c>
      <c r="D196" s="94" t="str">
        <f>IF($A196="","",VLOOKUP($A196,'Annex 2 Designated EHV charges'!$A:$O,7,0))</f>
        <v>GRTYAR</v>
      </c>
      <c r="E196" s="97" t="str">
        <f>IFERROR(IF(VLOOKUP($A196,'Annex 2 Designated EHV charges'!$A:$O,9,FALSE)=0,"",VLOOKUP($A196,'Annex 2 Designated EHV charges'!$A:$O,9,FALSE)),"")</f>
        <v/>
      </c>
      <c r="F196" s="194" t="str">
        <f>IFERROR(IF(VLOOKUP($A196,'Annex 2 Designated EHV charges'!$A:$O,10,FALSE)=0,"",VLOOKUP($A196,'Annex 2 Designated EHV charges'!$A:$O,10,FALSE)),"")</f>
        <v/>
      </c>
      <c r="G196" s="194">
        <f>IFERROR(IF(VLOOKUP($A196,'Annex 2 Designated EHV charges'!$A:$O,11,FALSE)=0,"",VLOOKUP($A196,'Annex 2 Designated EHV charges'!$A:$O,11,FALSE)),"")</f>
        <v>1.4</v>
      </c>
      <c r="H196" s="194">
        <f>IFERROR(IF(VLOOKUP($A196,'Annex 2 Designated EHV charges'!$A:$O,12,FALSE)=0,"",VLOOKUP($A196,'Annex 2 Designated EHV charges'!$A:$O,12,FALSE)),"")</f>
        <v>1.4</v>
      </c>
    </row>
    <row r="197" spans="1:8" x14ac:dyDescent="0.2">
      <c r="A197" s="94" t="str" cm="1">
        <f t="array" ref="A197">IFERROR(INDEX('Annex 2 Designated EHV charges'!$A$10:$A$401, MATCH(0, IF(ISBLANK('Annex 2 Designated EHV charges'!$A$10:$A$401),1, COUNTIF(A$4:$A196, 'Annex 2 Designated EHV charges'!$A$10:$A$401)), 0)),"")</f>
        <v>GUNFL3</v>
      </c>
      <c r="B197" s="94">
        <f>IF($A197="","",VLOOKUP($A197,'Annex 2 Designated EHV charges'!$A:$O,2,0))</f>
        <v>0</v>
      </c>
      <c r="C197" s="95" t="str">
        <f>IF($A197="","",VLOOKUP($A197,'Annex 2 Designated EHV charges'!$A:$O,3,0))</f>
        <v>MSID: 7277</v>
      </c>
      <c r="D197" s="94" t="str">
        <f>IF($A197="","",VLOOKUP($A197,'Annex 2 Designated EHV charges'!$A:$O,7,0))</f>
        <v>GUNFL3</v>
      </c>
      <c r="E197" s="97">
        <f>IFERROR(IF(VLOOKUP($A197,'Annex 2 Designated EHV charges'!$A:$O,9,FALSE)=0,"",VLOOKUP($A197,'Annex 2 Designated EHV charges'!$A:$O,9,FALSE)),"")</f>
        <v>0.48099999999999998</v>
      </c>
      <c r="F197" s="194">
        <f>IFERROR(IF(VLOOKUP($A197,'Annex 2 Designated EHV charges'!$A:$O,10,FALSE)=0,"",VLOOKUP($A197,'Annex 2 Designated EHV charges'!$A:$O,10,FALSE)),"")</f>
        <v>121.06</v>
      </c>
      <c r="G197" s="194">
        <f>IFERROR(IF(VLOOKUP($A197,'Annex 2 Designated EHV charges'!$A:$O,11,FALSE)=0,"",VLOOKUP($A197,'Annex 2 Designated EHV charges'!$A:$O,11,FALSE)),"")</f>
        <v>1.57</v>
      </c>
      <c r="H197" s="194">
        <f>IFERROR(IF(VLOOKUP($A197,'Annex 2 Designated EHV charges'!$A:$O,12,FALSE)=0,"",VLOOKUP($A197,'Annex 2 Designated EHV charges'!$A:$O,12,FALSE)),"")</f>
        <v>1.57</v>
      </c>
    </row>
    <row r="198" spans="1:8" x14ac:dyDescent="0.2">
      <c r="A198" s="94" t="str" cm="1">
        <f t="array" ref="A198">IFERROR(INDEX('Annex 2 Designated EHV charges'!$A$10:$A$401, MATCH(0, IF(ISBLANK('Annex 2 Designated EHV charges'!$A$10:$A$401),1, COUNTIF(A$4:$A197, 'Annex 2 Designated EHV charges'!$A$10:$A$401)), 0)),"")</f>
        <v>GUNFLT</v>
      </c>
      <c r="B198" s="94">
        <f>IF($A198="","",VLOOKUP($A198,'Annex 2 Designated EHV charges'!$A:$O,2,0))</f>
        <v>0</v>
      </c>
      <c r="C198" s="95" t="str">
        <f>IF($A198="","",VLOOKUP($A198,'Annex 2 Designated EHV charges'!$A:$O,3,0))</f>
        <v>MSID: 7243</v>
      </c>
      <c r="D198" s="94" t="str">
        <f>IF($A198="","",VLOOKUP($A198,'Annex 2 Designated EHV charges'!$A:$O,7,0))</f>
        <v>GUNFLT</v>
      </c>
      <c r="E198" s="97">
        <f>IFERROR(IF(VLOOKUP($A198,'Annex 2 Designated EHV charges'!$A:$O,9,FALSE)=0,"",VLOOKUP($A198,'Annex 2 Designated EHV charges'!$A:$O,9,FALSE)),"")</f>
        <v>3.1E-2</v>
      </c>
      <c r="F198" s="194">
        <f>IFERROR(IF(VLOOKUP($A198,'Annex 2 Designated EHV charges'!$A:$O,10,FALSE)=0,"",VLOOKUP($A198,'Annex 2 Designated EHV charges'!$A:$O,10,FALSE)),"")</f>
        <v>25.68</v>
      </c>
      <c r="G198" s="194">
        <f>IFERROR(IF(VLOOKUP($A198,'Annex 2 Designated EHV charges'!$A:$O,11,FALSE)=0,"",VLOOKUP($A198,'Annex 2 Designated EHV charges'!$A:$O,11,FALSE)),"")</f>
        <v>1.63</v>
      </c>
      <c r="H198" s="194">
        <f>IFERROR(IF(VLOOKUP($A198,'Annex 2 Designated EHV charges'!$A:$O,12,FALSE)=0,"",VLOOKUP($A198,'Annex 2 Designated EHV charges'!$A:$O,12,FALSE)),"")</f>
        <v>1.63</v>
      </c>
    </row>
    <row r="199" spans="1:8" x14ac:dyDescent="0.2">
      <c r="A199" s="94" t="str" cm="1">
        <f t="array" ref="A199">IFERROR(INDEX('Annex 2 Designated EHV charges'!$A$10:$A$401, MATCH(0, IF(ISBLANK('Annex 2 Designated EHV charges'!$A$10:$A$401),1, COUNTIF(A$4:$A198, 'Annex 2 Designated EHV charges'!$A$10:$A$401)), 0)),"")</f>
        <v>HALEBS</v>
      </c>
      <c r="B199" s="94">
        <f>IF($A199="","",VLOOKUP($A199,'Annex 2 Designated EHV charges'!$A:$O,2,0))</f>
        <v>344</v>
      </c>
      <c r="C199" s="95">
        <f>IF($A199="","",VLOOKUP($A199,'Annex 2 Designated EHV charges'!$A:$O,3,0))</f>
        <v>1050002549087</v>
      </c>
      <c r="D199" s="94" t="str">
        <f>IF($A199="","",VLOOKUP($A199,'Annex 2 Designated EHV charges'!$A:$O,7,0))</f>
        <v>HALEBS</v>
      </c>
      <c r="E199" s="97" t="str">
        <f>IFERROR(IF(VLOOKUP($A199,'Annex 2 Designated EHV charges'!$A:$O,9,FALSE)=0,"",VLOOKUP($A199,'Annex 2 Designated EHV charges'!$A:$O,9,FALSE)),"")</f>
        <v/>
      </c>
      <c r="F199" s="194">
        <f>IFERROR(IF(VLOOKUP($A199,'Annex 2 Designated EHV charges'!$A:$O,10,FALSE)=0,"",VLOOKUP($A199,'Annex 2 Designated EHV charges'!$A:$O,10,FALSE)),"")</f>
        <v>1937.07</v>
      </c>
      <c r="G199" s="194">
        <f>IFERROR(IF(VLOOKUP($A199,'Annex 2 Designated EHV charges'!$A:$O,11,FALSE)=0,"",VLOOKUP($A199,'Annex 2 Designated EHV charges'!$A:$O,11,FALSE)),"")</f>
        <v>2.48</v>
      </c>
      <c r="H199" s="194">
        <f>IFERROR(IF(VLOOKUP($A199,'Annex 2 Designated EHV charges'!$A:$O,12,FALSE)=0,"",VLOOKUP($A199,'Annex 2 Designated EHV charges'!$A:$O,12,FALSE)),"")</f>
        <v>2.48</v>
      </c>
    </row>
    <row r="200" spans="1:8" x14ac:dyDescent="0.2">
      <c r="A200" s="94" t="str" cm="1">
        <f t="array" ref="A200">IFERROR(INDEX('Annex 2 Designated EHV charges'!$A$10:$A$401, MATCH(0, IF(ISBLANK('Annex 2 Designated EHV charges'!$A$10:$A$401),1, COUNTIF(A$4:$A199, 'Annex 2 Designated EHV charges'!$A$10:$A$401)), 0)),"")</f>
        <v>HALLFM</v>
      </c>
      <c r="B200" s="94">
        <f>IF($A200="","",VLOOKUP($A200,'Annex 2 Designated EHV charges'!$A:$O,2,0))</f>
        <v>888</v>
      </c>
      <c r="C200" s="95">
        <f>IF($A200="","",VLOOKUP($A200,'Annex 2 Designated EHV charges'!$A:$O,3,0))</f>
        <v>1050000834219</v>
      </c>
      <c r="D200" s="94" t="str">
        <f>IF($A200="","",VLOOKUP($A200,'Annex 2 Designated EHV charges'!$A:$O,7,0))</f>
        <v>HALLFM</v>
      </c>
      <c r="E200" s="97" t="str">
        <f>IFERROR(IF(VLOOKUP($A200,'Annex 2 Designated EHV charges'!$A:$O,9,FALSE)=0,"",VLOOKUP($A200,'Annex 2 Designated EHV charges'!$A:$O,9,FALSE)),"")</f>
        <v/>
      </c>
      <c r="F200" s="194">
        <f>IFERROR(IF(VLOOKUP($A200,'Annex 2 Designated EHV charges'!$A:$O,10,FALSE)=0,"",VLOOKUP($A200,'Annex 2 Designated EHV charges'!$A:$O,10,FALSE)),"")</f>
        <v>25.46</v>
      </c>
      <c r="G200" s="194">
        <f>IFERROR(IF(VLOOKUP($A200,'Annex 2 Designated EHV charges'!$A:$O,11,FALSE)=0,"",VLOOKUP($A200,'Annex 2 Designated EHV charges'!$A:$O,11,FALSE)),"")</f>
        <v>7.14</v>
      </c>
      <c r="H200" s="194">
        <f>IFERROR(IF(VLOOKUP($A200,'Annex 2 Designated EHV charges'!$A:$O,12,FALSE)=0,"",VLOOKUP($A200,'Annex 2 Designated EHV charges'!$A:$O,12,FALSE)),"")</f>
        <v>7.14</v>
      </c>
    </row>
    <row r="201" spans="1:8" x14ac:dyDescent="0.2">
      <c r="A201" s="94" t="str" cm="1">
        <f t="array" ref="A201">IFERROR(INDEX('Annex 2 Designated EHV charges'!$A$10:$A$401, MATCH(0, IF(ISBLANK('Annex 2 Designated EHV charges'!$A$10:$A$401),1, COUNTIF(A$4:$A200, 'Annex 2 Designated EHV charges'!$A$10:$A$401)), 0)),"")</f>
        <v>HDATTP</v>
      </c>
      <c r="B201" s="94">
        <f>IF($A201="","",VLOOKUP($A201,'Annex 2 Designated EHV charges'!$A:$O,2,0))</f>
        <v>571</v>
      </c>
      <c r="C201" s="95">
        <f>IF($A201="","",VLOOKUP($A201,'Annex 2 Designated EHV charges'!$A:$O,3,0))</f>
        <v>1050001197873</v>
      </c>
      <c r="D201" s="94" t="str">
        <f>IF($A201="","",VLOOKUP($A201,'Annex 2 Designated EHV charges'!$A:$O,7,0))</f>
        <v>HDATTP</v>
      </c>
      <c r="E201" s="97" t="str">
        <f>IFERROR(IF(VLOOKUP($A201,'Annex 2 Designated EHV charges'!$A:$O,9,FALSE)=0,"",VLOOKUP($A201,'Annex 2 Designated EHV charges'!$A:$O,9,FALSE)),"")</f>
        <v/>
      </c>
      <c r="F201" s="194">
        <f>IFERROR(IF(VLOOKUP($A201,'Annex 2 Designated EHV charges'!$A:$O,10,FALSE)=0,"",VLOOKUP($A201,'Annex 2 Designated EHV charges'!$A:$O,10,FALSE)),"")</f>
        <v>4882.43</v>
      </c>
      <c r="G201" s="194">
        <f>IFERROR(IF(VLOOKUP($A201,'Annex 2 Designated EHV charges'!$A:$O,11,FALSE)=0,"",VLOOKUP($A201,'Annex 2 Designated EHV charges'!$A:$O,11,FALSE)),"")</f>
        <v>1.59</v>
      </c>
      <c r="H201" s="194">
        <f>IFERROR(IF(VLOOKUP($A201,'Annex 2 Designated EHV charges'!$A:$O,12,FALSE)=0,"",VLOOKUP($A201,'Annex 2 Designated EHV charges'!$A:$O,12,FALSE)),"")</f>
        <v>1.59</v>
      </c>
    </row>
    <row r="202" spans="1:8" x14ac:dyDescent="0.2">
      <c r="A202" s="94" t="str" cm="1">
        <f t="array" ref="A202">IFERROR(INDEX('Annex 2 Designated EHV charges'!$A$10:$A$401, MATCH(0, IF(ISBLANK('Annex 2 Designated EHV charges'!$A$10:$A$401),1, COUNTIF(A$4:$A201, 'Annex 2 Designated EHV charges'!$A$10:$A$401)), 0)),"")</f>
        <v>HDGMSF</v>
      </c>
      <c r="B202" s="94">
        <f>IF($A202="","",VLOOKUP($A202,'Annex 2 Designated EHV charges'!$A:$O,2,0))</f>
        <v>884</v>
      </c>
      <c r="C202" s="95">
        <f>IF($A202="","",VLOOKUP($A202,'Annex 2 Designated EHV charges'!$A:$O,3,0))</f>
        <v>1050000521726</v>
      </c>
      <c r="D202" s="94" t="str">
        <f>IF($A202="","",VLOOKUP($A202,'Annex 2 Designated EHV charges'!$A:$O,7,0))</f>
        <v>HDGMSF</v>
      </c>
      <c r="E202" s="97" t="str">
        <f>IFERROR(IF(VLOOKUP($A202,'Annex 2 Designated EHV charges'!$A:$O,9,FALSE)=0,"",VLOOKUP($A202,'Annex 2 Designated EHV charges'!$A:$O,9,FALSE)),"")</f>
        <v/>
      </c>
      <c r="F202" s="194">
        <f>IFERROR(IF(VLOOKUP($A202,'Annex 2 Designated EHV charges'!$A:$O,10,FALSE)=0,"",VLOOKUP($A202,'Annex 2 Designated EHV charges'!$A:$O,10,FALSE)),"")</f>
        <v>8.57</v>
      </c>
      <c r="G202" s="194">
        <f>IFERROR(IF(VLOOKUP($A202,'Annex 2 Designated EHV charges'!$A:$O,11,FALSE)=0,"",VLOOKUP($A202,'Annex 2 Designated EHV charges'!$A:$O,11,FALSE)),"")</f>
        <v>4.0599999999999996</v>
      </c>
      <c r="H202" s="194">
        <f>IFERROR(IF(VLOOKUP($A202,'Annex 2 Designated EHV charges'!$A:$O,12,FALSE)=0,"",VLOOKUP($A202,'Annex 2 Designated EHV charges'!$A:$O,12,FALSE)),"")</f>
        <v>4.0599999999999996</v>
      </c>
    </row>
    <row r="203" spans="1:8" x14ac:dyDescent="0.2">
      <c r="A203" s="94" t="str" cm="1">
        <f t="array" ref="A203">IFERROR(INDEX('Annex 2 Designated EHV charges'!$A$10:$A$401, MATCH(0, IF(ISBLANK('Annex 2 Designated EHV charges'!$A$10:$A$401),1, COUNTIF(A$4:$A202, 'Annex 2 Designated EHV charges'!$A$10:$A$401)), 0)),"")</f>
        <v>HGHFLD</v>
      </c>
      <c r="B203" s="94">
        <f>IF($A203="","",VLOOKUP($A203,'Annex 2 Designated EHV charges'!$A:$O,2,0))</f>
        <v>885</v>
      </c>
      <c r="C203" s="95">
        <f>IF($A203="","",VLOOKUP($A203,'Annex 2 Designated EHV charges'!$A:$O,3,0))</f>
        <v>1050000563150</v>
      </c>
      <c r="D203" s="94" t="str">
        <f>IF($A203="","",VLOOKUP($A203,'Annex 2 Designated EHV charges'!$A:$O,7,0))</f>
        <v>HGHFLD</v>
      </c>
      <c r="E203" s="97">
        <f>IFERROR(IF(VLOOKUP($A203,'Annex 2 Designated EHV charges'!$A:$O,9,FALSE)=0,"",VLOOKUP($A203,'Annex 2 Designated EHV charges'!$A:$O,9,FALSE)),"")</f>
        <v>4.1139999999999999</v>
      </c>
      <c r="F203" s="194">
        <f>IFERROR(IF(VLOOKUP($A203,'Annex 2 Designated EHV charges'!$A:$O,10,FALSE)=0,"",VLOOKUP($A203,'Annex 2 Designated EHV charges'!$A:$O,10,FALSE)),"")</f>
        <v>11.25</v>
      </c>
      <c r="G203" s="194">
        <f>IFERROR(IF(VLOOKUP($A203,'Annex 2 Designated EHV charges'!$A:$O,11,FALSE)=0,"",VLOOKUP($A203,'Annex 2 Designated EHV charges'!$A:$O,11,FALSE)),"")</f>
        <v>5.33</v>
      </c>
      <c r="H203" s="194">
        <f>IFERROR(IF(VLOOKUP($A203,'Annex 2 Designated EHV charges'!$A:$O,12,FALSE)=0,"",VLOOKUP($A203,'Annex 2 Designated EHV charges'!$A:$O,12,FALSE)),"")</f>
        <v>5.33</v>
      </c>
    </row>
    <row r="204" spans="1:8" x14ac:dyDescent="0.2">
      <c r="A204" s="94" t="str" cm="1">
        <f t="array" ref="A204">IFERROR(INDEX('Annex 2 Designated EHV charges'!$A$10:$A$401, MATCH(0, IF(ISBLANK('Annex 2 Designated EHV charges'!$A$10:$A$401),1, COUNTIF(A$4:$A203, 'Annex 2 Designated EHV charges'!$A$10:$A$401)), 0)),"")</f>
        <v>HHFARM</v>
      </c>
      <c r="B204" s="94">
        <f>IF($A204="","",VLOOKUP($A204,'Annex 2 Designated EHV charges'!$A:$O,2,0))</f>
        <v>570</v>
      </c>
      <c r="C204" s="95">
        <f>IF($A204="","",VLOOKUP($A204,'Annex 2 Designated EHV charges'!$A:$O,3,0))</f>
        <v>1050001231451</v>
      </c>
      <c r="D204" s="94" t="str">
        <f>IF($A204="","",VLOOKUP($A204,'Annex 2 Designated EHV charges'!$A:$O,7,0))</f>
        <v>HHFARM</v>
      </c>
      <c r="E204" s="97">
        <f>IFERROR(IF(VLOOKUP($A204,'Annex 2 Designated EHV charges'!$A:$O,9,FALSE)=0,"",VLOOKUP($A204,'Annex 2 Designated EHV charges'!$A:$O,9,FALSE)),"")</f>
        <v>1.877</v>
      </c>
      <c r="F204" s="194">
        <f>IFERROR(IF(VLOOKUP($A204,'Annex 2 Designated EHV charges'!$A:$O,10,FALSE)=0,"",VLOOKUP($A204,'Annex 2 Designated EHV charges'!$A:$O,10,FALSE)),"")</f>
        <v>32.229999999999997</v>
      </c>
      <c r="G204" s="194">
        <f>IFERROR(IF(VLOOKUP($A204,'Annex 2 Designated EHV charges'!$A:$O,11,FALSE)=0,"",VLOOKUP($A204,'Annex 2 Designated EHV charges'!$A:$O,11,FALSE)),"")</f>
        <v>2.2000000000000002</v>
      </c>
      <c r="H204" s="194">
        <f>IFERROR(IF(VLOOKUP($A204,'Annex 2 Designated EHV charges'!$A:$O,12,FALSE)=0,"",VLOOKUP($A204,'Annex 2 Designated EHV charges'!$A:$O,12,FALSE)),"")</f>
        <v>2.2000000000000002</v>
      </c>
    </row>
    <row r="205" spans="1:8" x14ac:dyDescent="0.2">
      <c r="A205" s="94" t="str" cm="1">
        <f t="array" ref="A205">IFERROR(INDEX('Annex 2 Designated EHV charges'!$A$10:$A$401, MATCH(0, IF(ISBLANK('Annex 2 Designated EHV charges'!$A$10:$A$401),1, COUNTIF(A$4:$A204, 'Annex 2 Designated EHV charges'!$A$10:$A$401)), 0)),"")</f>
        <v>HOBACK</v>
      </c>
      <c r="B205" s="94">
        <f>IF($A205="","",VLOOKUP($A205,'Annex 2 Designated EHV charges'!$A:$O,2,0))</f>
        <v>517</v>
      </c>
      <c r="C205" s="95">
        <f>IF($A205="","",VLOOKUP($A205,'Annex 2 Designated EHV charges'!$A:$O,3,0))</f>
        <v>1050000708514</v>
      </c>
      <c r="D205" s="94" t="str">
        <f>IF($A205="","",VLOOKUP($A205,'Annex 2 Designated EHV charges'!$A:$O,7,0))</f>
        <v>HOBACK</v>
      </c>
      <c r="E205" s="97">
        <f>IFERROR(IF(VLOOKUP($A205,'Annex 2 Designated EHV charges'!$A:$O,9,FALSE)=0,"",VLOOKUP($A205,'Annex 2 Designated EHV charges'!$A:$O,9,FALSE)),"")</f>
        <v>0.156</v>
      </c>
      <c r="F205" s="194">
        <f>IFERROR(IF(VLOOKUP($A205,'Annex 2 Designated EHV charges'!$A:$O,10,FALSE)=0,"",VLOOKUP($A205,'Annex 2 Designated EHV charges'!$A:$O,10,FALSE)),"")</f>
        <v>5.42</v>
      </c>
      <c r="G205" s="194">
        <f>IFERROR(IF(VLOOKUP($A205,'Annex 2 Designated EHV charges'!$A:$O,11,FALSE)=0,"",VLOOKUP($A205,'Annex 2 Designated EHV charges'!$A:$O,11,FALSE)),"")</f>
        <v>3.01</v>
      </c>
      <c r="H205" s="194">
        <f>IFERROR(IF(VLOOKUP($A205,'Annex 2 Designated EHV charges'!$A:$O,12,FALSE)=0,"",VLOOKUP($A205,'Annex 2 Designated EHV charges'!$A:$O,12,FALSE)),"")</f>
        <v>3.01</v>
      </c>
    </row>
    <row r="206" spans="1:8" x14ac:dyDescent="0.2">
      <c r="A206" s="94" t="str" cm="1">
        <f t="array" ref="A206">IFERROR(INDEX('Annex 2 Designated EHV charges'!$A$10:$A$401, MATCH(0, IF(ISBLANK('Annex 2 Designated EHV charges'!$A$10:$A$401),1, COUNTIF(A$4:$A205, 'Annex 2 Designated EHV charges'!$A$10:$A$401)), 0)),"")</f>
        <v>HOLTON</v>
      </c>
      <c r="B206" s="94">
        <f>IF($A206="","",VLOOKUP($A206,'Annex 2 Designated EHV charges'!$A:$O,2,0))</f>
        <v>547</v>
      </c>
      <c r="C206" s="95">
        <f>IF($A206="","",VLOOKUP($A206,'Annex 2 Designated EHV charges'!$A:$O,3,0))</f>
        <v>1050000769118</v>
      </c>
      <c r="D206" s="94" t="str">
        <f>IF($A206="","",VLOOKUP($A206,'Annex 2 Designated EHV charges'!$A:$O,7,0))</f>
        <v>HOLTON</v>
      </c>
      <c r="E206" s="97">
        <f>IFERROR(IF(VLOOKUP($A206,'Annex 2 Designated EHV charges'!$A:$O,9,FALSE)=0,"",VLOOKUP($A206,'Annex 2 Designated EHV charges'!$A:$O,9,FALSE)),"")</f>
        <v>6.9969999999999999</v>
      </c>
      <c r="F206" s="194">
        <f>IFERROR(IF(VLOOKUP($A206,'Annex 2 Designated EHV charges'!$A:$O,10,FALSE)=0,"",VLOOKUP($A206,'Annex 2 Designated EHV charges'!$A:$O,10,FALSE)),"")</f>
        <v>31.28</v>
      </c>
      <c r="G206" s="194">
        <f>IFERROR(IF(VLOOKUP($A206,'Annex 2 Designated EHV charges'!$A:$O,11,FALSE)=0,"",VLOOKUP($A206,'Annex 2 Designated EHV charges'!$A:$O,11,FALSE)),"")</f>
        <v>1.76</v>
      </c>
      <c r="H206" s="194">
        <f>IFERROR(IF(VLOOKUP($A206,'Annex 2 Designated EHV charges'!$A:$O,12,FALSE)=0,"",VLOOKUP($A206,'Annex 2 Designated EHV charges'!$A:$O,12,FALSE)),"")</f>
        <v>1.76</v>
      </c>
    </row>
    <row r="207" spans="1:8" x14ac:dyDescent="0.2">
      <c r="A207" s="94" t="str" cm="1">
        <f t="array" ref="A207">IFERROR(INDEX('Annex 2 Designated EHV charges'!$A$10:$A$401, MATCH(0, IF(ISBLANK('Annex 2 Designated EHV charges'!$A$10:$A$401),1, COUNTIF(A$4:$A206, 'Annex 2 Designated EHV charges'!$A$10:$A$401)), 0)),"")</f>
        <v>HONYSM</v>
      </c>
      <c r="B207" s="94">
        <f>IF($A207="","",VLOOKUP($A207,'Annex 2 Designated EHV charges'!$A:$O,2,0))</f>
        <v>548</v>
      </c>
      <c r="C207" s="95">
        <f>IF($A207="","",VLOOKUP($A207,'Annex 2 Designated EHV charges'!$A:$O,3,0))</f>
        <v>1050001036670</v>
      </c>
      <c r="D207" s="94" t="str">
        <f>IF($A207="","",VLOOKUP($A207,'Annex 2 Designated EHV charges'!$A:$O,7,0))</f>
        <v>HONYSM</v>
      </c>
      <c r="E207" s="97">
        <f>IFERROR(IF(VLOOKUP($A207,'Annex 2 Designated EHV charges'!$A:$O,9,FALSE)=0,"",VLOOKUP($A207,'Annex 2 Designated EHV charges'!$A:$O,9,FALSE)),"")</f>
        <v>0.10299999999999999</v>
      </c>
      <c r="F207" s="194">
        <f>IFERROR(IF(VLOOKUP($A207,'Annex 2 Designated EHV charges'!$A:$O,10,FALSE)=0,"",VLOOKUP($A207,'Annex 2 Designated EHV charges'!$A:$O,10,FALSE)),"")</f>
        <v>20.39</v>
      </c>
      <c r="G207" s="194">
        <f>IFERROR(IF(VLOOKUP($A207,'Annex 2 Designated EHV charges'!$A:$O,11,FALSE)=0,"",VLOOKUP($A207,'Annex 2 Designated EHV charges'!$A:$O,11,FALSE)),"")</f>
        <v>1.24</v>
      </c>
      <c r="H207" s="194">
        <f>IFERROR(IF(VLOOKUP($A207,'Annex 2 Designated EHV charges'!$A:$O,12,FALSE)=0,"",VLOOKUP($A207,'Annex 2 Designated EHV charges'!$A:$O,12,FALSE)),"")</f>
        <v>1.24</v>
      </c>
    </row>
    <row r="208" spans="1:8" x14ac:dyDescent="0.2">
      <c r="A208" s="94" t="str" cm="1">
        <f t="array" ref="A208">IFERROR(INDEX('Annex 2 Designated EHV charges'!$A$10:$A$401, MATCH(0, IF(ISBLANK('Annex 2 Designated EHV charges'!$A$10:$A$401),1, COUNTIF(A$4:$A207, 'Annex 2 Designated EHV charges'!$A$10:$A$401)), 0)),"")</f>
        <v>HRMT_B</v>
      </c>
      <c r="B208" s="94">
        <f>IF($A208="","",VLOOKUP($A208,'Annex 2 Designated EHV charges'!$A:$O,2,0))</f>
        <v>312</v>
      </c>
      <c r="C208" s="95">
        <f>IF($A208="","",VLOOKUP($A208,'Annex 2 Designated EHV charges'!$A:$O,3,0))</f>
        <v>1050001324390</v>
      </c>
      <c r="D208" s="94" t="str">
        <f>IF($A208="","",VLOOKUP($A208,'Annex 2 Designated EHV charges'!$A:$O,7,0))</f>
        <v>HRMT_B</v>
      </c>
      <c r="E208" s="97">
        <f>IFERROR(IF(VLOOKUP($A208,'Annex 2 Designated EHV charges'!$A:$O,9,FALSE)=0,"",VLOOKUP($A208,'Annex 2 Designated EHV charges'!$A:$O,9,FALSE)),"")</f>
        <v>2.5000000000000001E-2</v>
      </c>
      <c r="F208" s="194">
        <f>IFERROR(IF(VLOOKUP($A208,'Annex 2 Designated EHV charges'!$A:$O,10,FALSE)=0,"",VLOOKUP($A208,'Annex 2 Designated EHV charges'!$A:$O,10,FALSE)),"")</f>
        <v>275.36</v>
      </c>
      <c r="G208" s="194">
        <f>IFERROR(IF(VLOOKUP($A208,'Annex 2 Designated EHV charges'!$A:$O,11,FALSE)=0,"",VLOOKUP($A208,'Annex 2 Designated EHV charges'!$A:$O,11,FALSE)),"")</f>
        <v>1.35</v>
      </c>
      <c r="H208" s="194">
        <f>IFERROR(IF(VLOOKUP($A208,'Annex 2 Designated EHV charges'!$A:$O,12,FALSE)=0,"",VLOOKUP($A208,'Annex 2 Designated EHV charges'!$A:$O,12,FALSE)),"")</f>
        <v>1.35</v>
      </c>
    </row>
    <row r="209" spans="1:8" x14ac:dyDescent="0.2">
      <c r="A209" s="94" t="str" cm="1">
        <f t="array" ref="A209">IFERROR(INDEX('Annex 2 Designated EHV charges'!$A$10:$A$401, MATCH(0, IF(ISBLANK('Annex 2 Designated EHV charges'!$A$10:$A$401),1, COUNTIF(A$4:$A208, 'Annex 2 Designated EHV charges'!$A$10:$A$401)), 0)),"")</f>
        <v>HRMT_P</v>
      </c>
      <c r="B209" s="94">
        <f>IF($A209="","",VLOOKUP($A209,'Annex 2 Designated EHV charges'!$A:$O,2,0))</f>
        <v>569</v>
      </c>
      <c r="C209" s="95">
        <f>IF($A209="","",VLOOKUP($A209,'Annex 2 Designated EHV charges'!$A:$O,3,0))</f>
        <v>1050001324414</v>
      </c>
      <c r="D209" s="94" t="str">
        <f>IF($A209="","",VLOOKUP($A209,'Annex 2 Designated EHV charges'!$A:$O,7,0))</f>
        <v>HRMT_P</v>
      </c>
      <c r="E209" s="97">
        <f>IFERROR(IF(VLOOKUP($A209,'Annex 2 Designated EHV charges'!$A:$O,9,FALSE)=0,"",VLOOKUP($A209,'Annex 2 Designated EHV charges'!$A:$O,9,FALSE)),"")</f>
        <v>2.5000000000000001E-2</v>
      </c>
      <c r="F209" s="194">
        <f>IFERROR(IF(VLOOKUP($A209,'Annex 2 Designated EHV charges'!$A:$O,10,FALSE)=0,"",VLOOKUP($A209,'Annex 2 Designated EHV charges'!$A:$O,10,FALSE)),"")</f>
        <v>10.8</v>
      </c>
      <c r="G209" s="194">
        <f>IFERROR(IF(VLOOKUP($A209,'Annex 2 Designated EHV charges'!$A:$O,11,FALSE)=0,"",VLOOKUP($A209,'Annex 2 Designated EHV charges'!$A:$O,11,FALSE)),"")</f>
        <v>1.55</v>
      </c>
      <c r="H209" s="194">
        <f>IFERROR(IF(VLOOKUP($A209,'Annex 2 Designated EHV charges'!$A:$O,12,FALSE)=0,"",VLOOKUP($A209,'Annex 2 Designated EHV charges'!$A:$O,12,FALSE)),"")</f>
        <v>1.55</v>
      </c>
    </row>
    <row r="210" spans="1:8" x14ac:dyDescent="0.2">
      <c r="A210" s="94" t="str" cm="1">
        <f t="array" ref="A210">IFERROR(INDEX('Annex 2 Designated EHV charges'!$A$10:$A$401, MATCH(0, IF(ISBLANK('Annex 2 Designated EHV charges'!$A$10:$A$401),1, COUNTIF(A$4:$A209, 'Annex 2 Designated EHV charges'!$A$10:$A$401)), 0)),"")</f>
        <v>HRSFEN</v>
      </c>
      <c r="B210" s="94">
        <f>IF($A210="","",VLOOKUP($A210,'Annex 2 Designated EHV charges'!$A:$O,2,0))</f>
        <v>313</v>
      </c>
      <c r="C210" s="95">
        <f>IF($A210="","",VLOOKUP($A210,'Annex 2 Designated EHV charges'!$A:$O,3,0))</f>
        <v>1050001041642</v>
      </c>
      <c r="D210" s="94" t="str">
        <f>IF($A210="","",VLOOKUP($A210,'Annex 2 Designated EHV charges'!$A:$O,7,0))</f>
        <v>HRSFEN</v>
      </c>
      <c r="E210" s="97">
        <f>IFERROR(IF(VLOOKUP($A210,'Annex 2 Designated EHV charges'!$A:$O,9,FALSE)=0,"",VLOOKUP($A210,'Annex 2 Designated EHV charges'!$A:$O,9,FALSE)),"")</f>
        <v>0.32900000000000001</v>
      </c>
      <c r="F210" s="194">
        <f>IFERROR(IF(VLOOKUP($A210,'Annex 2 Designated EHV charges'!$A:$O,10,FALSE)=0,"",VLOOKUP($A210,'Annex 2 Designated EHV charges'!$A:$O,10,FALSE)),"")</f>
        <v>4668.3599999999997</v>
      </c>
      <c r="G210" s="194">
        <f>IFERROR(IF(VLOOKUP($A210,'Annex 2 Designated EHV charges'!$A:$O,11,FALSE)=0,"",VLOOKUP($A210,'Annex 2 Designated EHV charges'!$A:$O,11,FALSE)),"")</f>
        <v>1.31</v>
      </c>
      <c r="H210" s="194">
        <f>IFERROR(IF(VLOOKUP($A210,'Annex 2 Designated EHV charges'!$A:$O,12,FALSE)=0,"",VLOOKUP($A210,'Annex 2 Designated EHV charges'!$A:$O,12,FALSE)),"")</f>
        <v>1.31</v>
      </c>
    </row>
    <row r="211" spans="1:8" x14ac:dyDescent="0.2">
      <c r="A211" s="94" t="str" cm="1">
        <f t="array" ref="A211">IFERROR(INDEX('Annex 2 Designated EHV charges'!$A$10:$A$401, MATCH(0, IF(ISBLANK('Annex 2 Designated EHV charges'!$A$10:$A$401),1, COUNTIF(A$4:$A210, 'Annex 2 Designated EHV charges'!$A$10:$A$401)), 0)),"")</f>
        <v>HUTBAT</v>
      </c>
      <c r="B211" s="94">
        <f>IF($A211="","",VLOOKUP($A211,'Annex 2 Designated EHV charges'!$A:$O,2,0))</f>
        <v>0</v>
      </c>
      <c r="C211" s="95" t="str">
        <f>IF($A211="","",VLOOKUP($A211,'Annex 2 Designated EHV charges'!$A:$O,3,0))</f>
        <v>MSID: 7432</v>
      </c>
      <c r="D211" s="94" t="str">
        <f>IF($A211="","",VLOOKUP($A211,'Annex 2 Designated EHV charges'!$A:$O,7,0))</f>
        <v>HUTBAT</v>
      </c>
      <c r="E211" s="97">
        <f>IFERROR(IF(VLOOKUP($A211,'Annex 2 Designated EHV charges'!$A:$O,9,FALSE)=0,"",VLOOKUP($A211,'Annex 2 Designated EHV charges'!$A:$O,9,FALSE)),"")</f>
        <v>1.913</v>
      </c>
      <c r="F211" s="194">
        <f>IFERROR(IF(VLOOKUP($A211,'Annex 2 Designated EHV charges'!$A:$O,10,FALSE)=0,"",VLOOKUP($A211,'Annex 2 Designated EHV charges'!$A:$O,10,FALSE)),"")</f>
        <v>826.09</v>
      </c>
      <c r="G211" s="194">
        <f>IFERROR(IF(VLOOKUP($A211,'Annex 2 Designated EHV charges'!$A:$O,11,FALSE)=0,"",VLOOKUP($A211,'Annex 2 Designated EHV charges'!$A:$O,11,FALSE)),"")</f>
        <v>1.19</v>
      </c>
      <c r="H211" s="194">
        <f>IFERROR(IF(VLOOKUP($A211,'Annex 2 Designated EHV charges'!$A:$O,12,FALSE)=0,"",VLOOKUP($A211,'Annex 2 Designated EHV charges'!$A:$O,12,FALSE)),"")</f>
        <v>1.19</v>
      </c>
    </row>
    <row r="212" spans="1:8" x14ac:dyDescent="0.2">
      <c r="A212" s="94" t="str" cm="1">
        <f t="array" ref="A212">IFERROR(INDEX('Annex 2 Designated EHV charges'!$A$10:$A$401, MATCH(0, IF(ISBLANK('Annex 2 Designated EHV charges'!$A$10:$A$401),1, COUNTIF(A$4:$A211, 'Annex 2 Designated EHV charges'!$A$10:$A$401)), 0)),"")</f>
        <v>HYDESF</v>
      </c>
      <c r="B212" s="94">
        <f>IF($A212="","",VLOOKUP($A212,'Annex 2 Designated EHV charges'!$A:$O,2,0))</f>
        <v>518</v>
      </c>
      <c r="C212" s="95">
        <f>IF($A212="","",VLOOKUP($A212,'Annex 2 Designated EHV charges'!$A:$O,3,0))</f>
        <v>1050000759713</v>
      </c>
      <c r="D212" s="94" t="str">
        <f>IF($A212="","",VLOOKUP($A212,'Annex 2 Designated EHV charges'!$A:$O,7,0))</f>
        <v>HYDESF</v>
      </c>
      <c r="E212" s="97">
        <f>IFERROR(IF(VLOOKUP($A212,'Annex 2 Designated EHV charges'!$A:$O,9,FALSE)=0,"",VLOOKUP($A212,'Annex 2 Designated EHV charges'!$A:$O,9,FALSE)),"")</f>
        <v>1.21</v>
      </c>
      <c r="F212" s="194">
        <f>IFERROR(IF(VLOOKUP($A212,'Annex 2 Designated EHV charges'!$A:$O,10,FALSE)=0,"",VLOOKUP($A212,'Annex 2 Designated EHV charges'!$A:$O,10,FALSE)),"")</f>
        <v>27.17</v>
      </c>
      <c r="G212" s="194">
        <f>IFERROR(IF(VLOOKUP($A212,'Annex 2 Designated EHV charges'!$A:$O,11,FALSE)=0,"",VLOOKUP($A212,'Annex 2 Designated EHV charges'!$A:$O,11,FALSE)),"")</f>
        <v>1.84</v>
      </c>
      <c r="H212" s="194">
        <f>IFERROR(IF(VLOOKUP($A212,'Annex 2 Designated EHV charges'!$A:$O,12,FALSE)=0,"",VLOOKUP($A212,'Annex 2 Designated EHV charges'!$A:$O,12,FALSE)),"")</f>
        <v>1.84</v>
      </c>
    </row>
    <row r="213" spans="1:8" x14ac:dyDescent="0.2">
      <c r="A213" s="94" t="str" cm="1">
        <f t="array" ref="A213">IFERROR(INDEX('Annex 2 Designated EHV charges'!$A$10:$A$401, MATCH(0, IF(ISBLANK('Annex 2 Designated EHV charges'!$A$10:$A$401),1, COUNTIF(A$4:$A212, 'Annex 2 Designated EHV charges'!$A$10:$A$401)), 0)),"")</f>
        <v>ICGLTD</v>
      </c>
      <c r="B213" s="94">
        <f>IF($A213="","",VLOOKUP($A213,'Annex 2 Designated EHV charges'!$A:$O,2,0))</f>
        <v>866</v>
      </c>
      <c r="C213" s="95">
        <f>IF($A213="","",VLOOKUP($A213,'Annex 2 Designated EHV charges'!$A:$O,3,0))</f>
        <v>1030075706342</v>
      </c>
      <c r="D213" s="94" t="str">
        <f>IF($A213="","",VLOOKUP($A213,'Annex 2 Designated EHV charges'!$A:$O,7,0))</f>
        <v>ICGLTD</v>
      </c>
      <c r="E213" s="97">
        <f>IFERROR(IF(VLOOKUP($A213,'Annex 2 Designated EHV charges'!$A:$O,9,FALSE)=0,"",VLOOKUP($A213,'Annex 2 Designated EHV charges'!$A:$O,9,FALSE)),"")</f>
        <v>1E-3</v>
      </c>
      <c r="F213" s="194">
        <f>IFERROR(IF(VLOOKUP($A213,'Annex 2 Designated EHV charges'!$A:$O,10,FALSE)=0,"",VLOOKUP($A213,'Annex 2 Designated EHV charges'!$A:$O,10,FALSE)),"")</f>
        <v>52498.25</v>
      </c>
      <c r="G213" s="194">
        <f>IFERROR(IF(VLOOKUP($A213,'Annex 2 Designated EHV charges'!$A:$O,11,FALSE)=0,"",VLOOKUP($A213,'Annex 2 Designated EHV charges'!$A:$O,11,FALSE)),"")</f>
        <v>2.79</v>
      </c>
      <c r="H213" s="194">
        <f>IFERROR(IF(VLOOKUP($A213,'Annex 2 Designated EHV charges'!$A:$O,12,FALSE)=0,"",VLOOKUP($A213,'Annex 2 Designated EHV charges'!$A:$O,12,FALSE)),"")</f>
        <v>2.79</v>
      </c>
    </row>
    <row r="214" spans="1:8" x14ac:dyDescent="0.2">
      <c r="A214" s="94" t="str" cm="1">
        <f t="array" ref="A214">IFERROR(INDEX('Annex 2 Designated EHV charges'!$A$10:$A$401, MATCH(0, IF(ISBLANK('Annex 2 Designated EHV charges'!$A$10:$A$401),1, COUNTIF(A$4:$A213, 'Annex 2 Designated EHV charges'!$A$10:$A$401)), 0)),"")</f>
        <v>ILMEBS</v>
      </c>
      <c r="B214" s="94">
        <f>IF($A214="","",VLOOKUP($A214,'Annex 2 Designated EHV charges'!$A:$O,2,0))</f>
        <v>0</v>
      </c>
      <c r="C214" s="95" t="str">
        <f>IF($A214="","",VLOOKUP($A214,'Annex 2 Designated EHV charges'!$A:$O,3,0))</f>
        <v>MSID: 7537</v>
      </c>
      <c r="D214" s="94" t="str">
        <f>IF($A214="","",VLOOKUP($A214,'Annex 2 Designated EHV charges'!$A:$O,7,0))</f>
        <v>ILMEBS</v>
      </c>
      <c r="E214" s="97" t="str">
        <f>IFERROR(IF(VLOOKUP($A214,'Annex 2 Designated EHV charges'!$A:$O,9,FALSE)=0,"",VLOOKUP($A214,'Annex 2 Designated EHV charges'!$A:$O,9,FALSE)),"")</f>
        <v/>
      </c>
      <c r="F214" s="194">
        <f>IFERROR(IF(VLOOKUP($A214,'Annex 2 Designated EHV charges'!$A:$O,10,FALSE)=0,"",VLOOKUP($A214,'Annex 2 Designated EHV charges'!$A:$O,10,FALSE)),"")</f>
        <v>2362.2399999999998</v>
      </c>
      <c r="G214" s="194">
        <f>IFERROR(IF(VLOOKUP($A214,'Annex 2 Designated EHV charges'!$A:$O,11,FALSE)=0,"",VLOOKUP($A214,'Annex 2 Designated EHV charges'!$A:$O,11,FALSE)),"")</f>
        <v>2.0299999999999998</v>
      </c>
      <c r="H214" s="194">
        <f>IFERROR(IF(VLOOKUP($A214,'Annex 2 Designated EHV charges'!$A:$O,12,FALSE)=0,"",VLOOKUP($A214,'Annex 2 Designated EHV charges'!$A:$O,12,FALSE)),"")</f>
        <v>2.0299999999999998</v>
      </c>
    </row>
    <row r="215" spans="1:8" x14ac:dyDescent="0.2">
      <c r="A215" s="94" t="str" cm="1">
        <f t="array" ref="A215">IFERROR(INDEX('Annex 2 Designated EHV charges'!$A$10:$A$401, MATCH(0, IF(ISBLANK('Annex 2 Designated EHV charges'!$A$10:$A$401),1, COUNTIF(A$4:$A214, 'Annex 2 Designated EHV charges'!$A$10:$A$401)), 0)),"")</f>
        <v>INGMSF</v>
      </c>
      <c r="B215" s="94">
        <f>IF($A215="","",VLOOKUP($A215,'Annex 2 Designated EHV charges'!$A:$O,2,0))</f>
        <v>338</v>
      </c>
      <c r="C215" s="95">
        <f>IF($A215="","",VLOOKUP($A215,'Annex 2 Designated EHV charges'!$A:$O,3,0))</f>
        <v>1050002077454</v>
      </c>
      <c r="D215" s="94" t="str">
        <f>IF($A215="","",VLOOKUP($A215,'Annex 2 Designated EHV charges'!$A:$O,7,0))</f>
        <v>INGMSF</v>
      </c>
      <c r="E215" s="97">
        <f>IFERROR(IF(VLOOKUP($A215,'Annex 2 Designated EHV charges'!$A:$O,9,FALSE)=0,"",VLOOKUP($A215,'Annex 2 Designated EHV charges'!$A:$O,9,FALSE)),"")</f>
        <v>0.70699999999999996</v>
      </c>
      <c r="F215" s="194">
        <f>IFERROR(IF(VLOOKUP($A215,'Annex 2 Designated EHV charges'!$A:$O,10,FALSE)=0,"",VLOOKUP($A215,'Annex 2 Designated EHV charges'!$A:$O,10,FALSE)),"")</f>
        <v>1.57</v>
      </c>
      <c r="G215" s="194">
        <f>IFERROR(IF(VLOOKUP($A215,'Annex 2 Designated EHV charges'!$A:$O,11,FALSE)=0,"",VLOOKUP($A215,'Annex 2 Designated EHV charges'!$A:$O,11,FALSE)),"")</f>
        <v>2.54</v>
      </c>
      <c r="H215" s="194">
        <f>IFERROR(IF(VLOOKUP($A215,'Annex 2 Designated EHV charges'!$A:$O,12,FALSE)=0,"",VLOOKUP($A215,'Annex 2 Designated EHV charges'!$A:$O,12,FALSE)),"")</f>
        <v>2.54</v>
      </c>
    </row>
    <row r="216" spans="1:8" x14ac:dyDescent="0.2">
      <c r="A216" s="94" t="str" cm="1">
        <f t="array" ref="A216">IFERROR(INDEX('Annex 2 Designated EHV charges'!$A$10:$A$401, MATCH(0, IF(ISBLANK('Annex 2 Designated EHV charges'!$A$10:$A$401),1, COUNTIF(A$4:$A215, 'Annex 2 Designated EHV charges'!$A$10:$A$401)), 0)),"")</f>
        <v>JKSLNE</v>
      </c>
      <c r="B216" s="94">
        <f>IF($A216="","",VLOOKUP($A216,'Annex 2 Designated EHV charges'!$A:$O,2,0))</f>
        <v>519</v>
      </c>
      <c r="C216" s="95">
        <f>IF($A216="","",VLOOKUP($A216,'Annex 2 Designated EHV charges'!$A:$O,3,0))</f>
        <v>1050000556055</v>
      </c>
      <c r="D216" s="94" t="str">
        <f>IF($A216="","",VLOOKUP($A216,'Annex 2 Designated EHV charges'!$A:$O,7,0))</f>
        <v>JKSLNE</v>
      </c>
      <c r="E216" s="97">
        <f>IFERROR(IF(VLOOKUP($A216,'Annex 2 Designated EHV charges'!$A:$O,9,FALSE)=0,"",VLOOKUP($A216,'Annex 2 Designated EHV charges'!$A:$O,9,FALSE)),"")</f>
        <v>0.156</v>
      </c>
      <c r="F216" s="194">
        <f>IFERROR(IF(VLOOKUP($A216,'Annex 2 Designated EHV charges'!$A:$O,10,FALSE)=0,"",VLOOKUP($A216,'Annex 2 Designated EHV charges'!$A:$O,10,FALSE)),"")</f>
        <v>56.72</v>
      </c>
      <c r="G216" s="194">
        <f>IFERROR(IF(VLOOKUP($A216,'Annex 2 Designated EHV charges'!$A:$O,11,FALSE)=0,"",VLOOKUP($A216,'Annex 2 Designated EHV charges'!$A:$O,11,FALSE)),"")</f>
        <v>1.67</v>
      </c>
      <c r="H216" s="194">
        <f>IFERROR(IF(VLOOKUP($A216,'Annex 2 Designated EHV charges'!$A:$O,12,FALSE)=0,"",VLOOKUP($A216,'Annex 2 Designated EHV charges'!$A:$O,12,FALSE)),"")</f>
        <v>1.67</v>
      </c>
    </row>
    <row r="217" spans="1:8" x14ac:dyDescent="0.2">
      <c r="A217" s="94" t="str" cm="1">
        <f t="array" ref="A217">IFERROR(INDEX('Annex 2 Designated EHV charges'!$A$10:$A$401, MATCH(0, IF(ISBLANK('Annex 2 Designated EHV charges'!$A$10:$A$401),1, COUNTIF(A$4:$A216, 'Annex 2 Designated EHV charges'!$A$10:$A$401)), 0)),"")</f>
        <v>KNGSLN</v>
      </c>
      <c r="B217" s="94">
        <f>IF($A217="","",VLOOKUP($A217,'Annex 2 Designated EHV charges'!$A:$O,2,0))</f>
        <v>0</v>
      </c>
      <c r="C217" s="95" t="str">
        <f>IF($A217="","",VLOOKUP($A217,'Annex 2 Designated EHV charges'!$A:$O,3,0))</f>
        <v>MSID: 7044</v>
      </c>
      <c r="D217" s="94" t="str">
        <f>IF($A217="","",VLOOKUP($A217,'Annex 2 Designated EHV charges'!$A:$O,7,0))</f>
        <v>KNGSLN</v>
      </c>
      <c r="E217" s="97" t="str">
        <f>IFERROR(IF(VLOOKUP($A217,'Annex 2 Designated EHV charges'!$A:$O,9,FALSE)=0,"",VLOOKUP($A217,'Annex 2 Designated EHV charges'!$A:$O,9,FALSE)),"")</f>
        <v/>
      </c>
      <c r="F217" s="194">
        <f>IFERROR(IF(VLOOKUP($A217,'Annex 2 Designated EHV charges'!$A:$O,10,FALSE)=0,"",VLOOKUP($A217,'Annex 2 Designated EHV charges'!$A:$O,10,FALSE)),"")</f>
        <v>55.89</v>
      </c>
      <c r="G217" s="194">
        <f>IFERROR(IF(VLOOKUP($A217,'Annex 2 Designated EHV charges'!$A:$O,11,FALSE)=0,"",VLOOKUP($A217,'Annex 2 Designated EHV charges'!$A:$O,11,FALSE)),"")</f>
        <v>1.47</v>
      </c>
      <c r="H217" s="194">
        <f>IFERROR(IF(VLOOKUP($A217,'Annex 2 Designated EHV charges'!$A:$O,12,FALSE)=0,"",VLOOKUP($A217,'Annex 2 Designated EHV charges'!$A:$O,12,FALSE)),"")</f>
        <v>1.47</v>
      </c>
    </row>
    <row r="218" spans="1:8" x14ac:dyDescent="0.2">
      <c r="A218" s="94" t="str" cm="1">
        <f t="array" ref="A218">IFERROR(INDEX('Annex 2 Designated EHV charges'!$A$10:$A$401, MATCH(0, IF(ISBLANK('Annex 2 Designated EHV charges'!$A$10:$A$401),1, COUNTIF(A$4:$A217, 'Annex 2 Designated EHV charges'!$A$10:$A$401)), 0)),"")</f>
        <v>KNNING</v>
      </c>
      <c r="B218" s="94">
        <f>IF($A218="","",VLOOKUP($A218,'Annex 2 Designated EHV charges'!$A:$O,2,0))</f>
        <v>520</v>
      </c>
      <c r="C218" s="95">
        <f>IF($A218="","",VLOOKUP($A218,'Annex 2 Designated EHV charges'!$A:$O,3,0))</f>
        <v>1050000823458</v>
      </c>
      <c r="D218" s="94" t="str">
        <f>IF($A218="","",VLOOKUP($A218,'Annex 2 Designated EHV charges'!$A:$O,7,0))</f>
        <v>KNNING</v>
      </c>
      <c r="E218" s="97" t="str">
        <f>IFERROR(IF(VLOOKUP($A218,'Annex 2 Designated EHV charges'!$A:$O,9,FALSE)=0,"",VLOOKUP($A218,'Annex 2 Designated EHV charges'!$A:$O,9,FALSE)),"")</f>
        <v/>
      </c>
      <c r="F218" s="194">
        <f>IFERROR(IF(VLOOKUP($A218,'Annex 2 Designated EHV charges'!$A:$O,10,FALSE)=0,"",VLOOKUP($A218,'Annex 2 Designated EHV charges'!$A:$O,10,FALSE)),"")</f>
        <v>8.7200000000000006</v>
      </c>
      <c r="G218" s="194">
        <f>IFERROR(IF(VLOOKUP($A218,'Annex 2 Designated EHV charges'!$A:$O,11,FALSE)=0,"",VLOOKUP($A218,'Annex 2 Designated EHV charges'!$A:$O,11,FALSE)),"")</f>
        <v>9.3699999999999992</v>
      </c>
      <c r="H218" s="194">
        <f>IFERROR(IF(VLOOKUP($A218,'Annex 2 Designated EHV charges'!$A:$O,12,FALSE)=0,"",VLOOKUP($A218,'Annex 2 Designated EHV charges'!$A:$O,12,FALSE)),"")</f>
        <v>9.3699999999999992</v>
      </c>
    </row>
    <row r="219" spans="1:8" x14ac:dyDescent="0.2">
      <c r="A219" s="94" t="str" cm="1">
        <f t="array" ref="A219">IFERROR(INDEX('Annex 2 Designated EHV charges'!$A$10:$A$401, MATCH(0, IF(ISBLANK('Annex 2 Designated EHV charges'!$A$10:$A$401),1, COUNTIF(A$4:$A218, 'Annex 2 Designated EHV charges'!$A$10:$A$401)), 0)),"")</f>
        <v>LAYRSF</v>
      </c>
      <c r="B219" s="94">
        <f>IF($A219="","",VLOOKUP($A219,'Annex 2 Designated EHV charges'!$A:$O,2,0))</f>
        <v>0</v>
      </c>
      <c r="C219" s="95" t="str">
        <f>IF($A219="","",VLOOKUP($A219,'Annex 2 Designated EHV charges'!$A:$O,3,0))</f>
        <v>ENET</v>
      </c>
      <c r="D219" s="94" t="str">
        <f>IF($A219="","",VLOOKUP($A219,'Annex 2 Designated EHV charges'!$A:$O,7,0))</f>
        <v>LAYRSF</v>
      </c>
      <c r="E219" s="97" t="str">
        <f>IFERROR(IF(VLOOKUP($A219,'Annex 2 Designated EHV charges'!$A:$O,9,FALSE)=0,"",VLOOKUP($A219,'Annex 2 Designated EHV charges'!$A:$O,9,FALSE)),"")</f>
        <v/>
      </c>
      <c r="F219" s="194">
        <f>IFERROR(IF(VLOOKUP($A219,'Annex 2 Designated EHV charges'!$A:$O,10,FALSE)=0,"",VLOOKUP($A219,'Annex 2 Designated EHV charges'!$A:$O,10,FALSE)),"")</f>
        <v>2.13</v>
      </c>
      <c r="G219" s="194">
        <f>IFERROR(IF(VLOOKUP($A219,'Annex 2 Designated EHV charges'!$A:$O,11,FALSE)=0,"",VLOOKUP($A219,'Annex 2 Designated EHV charges'!$A:$O,11,FALSE)),"")</f>
        <v>1.68</v>
      </c>
      <c r="H219" s="194">
        <f>IFERROR(IF(VLOOKUP($A219,'Annex 2 Designated EHV charges'!$A:$O,12,FALSE)=0,"",VLOOKUP($A219,'Annex 2 Designated EHV charges'!$A:$O,12,FALSE)),"")</f>
        <v>1.68</v>
      </c>
    </row>
    <row r="220" spans="1:8" x14ac:dyDescent="0.2">
      <c r="A220" s="94" t="str" cm="1">
        <f t="array" ref="A220">IFERROR(INDEX('Annex 2 Designated EHV charges'!$A$10:$A$401, MATCH(0, IF(ISBLANK('Annex 2 Designated EHV charges'!$A$10:$A$401),1, COUNTIF(A$4:$A219, 'Annex 2 Designated EHV charges'!$A$10:$A$401)), 0)),"")</f>
        <v>LBZSNS</v>
      </c>
      <c r="B220" s="94">
        <f>IF($A220="","",VLOOKUP($A220,'Annex 2 Designated EHV charges'!$A:$O,2,0))</f>
        <v>549</v>
      </c>
      <c r="C220" s="95">
        <f>IF($A220="","",VLOOKUP($A220,'Annex 2 Designated EHV charges'!$A:$O,3,0))</f>
        <v>1050000687486</v>
      </c>
      <c r="D220" s="94" t="str">
        <f>IF($A220="","",VLOOKUP($A220,'Annex 2 Designated EHV charges'!$A:$O,7,0))</f>
        <v>LBZSNS</v>
      </c>
      <c r="E220" s="97">
        <f>IFERROR(IF(VLOOKUP($A220,'Annex 2 Designated EHV charges'!$A:$O,9,FALSE)=0,"",VLOOKUP($A220,'Annex 2 Designated EHV charges'!$A:$O,9,FALSE)),"")</f>
        <v>2.4430000000000001</v>
      </c>
      <c r="F220" s="194">
        <f>IFERROR(IF(VLOOKUP($A220,'Annex 2 Designated EHV charges'!$A:$O,10,FALSE)=0,"",VLOOKUP($A220,'Annex 2 Designated EHV charges'!$A:$O,10,FALSE)),"")</f>
        <v>15335.14</v>
      </c>
      <c r="G220" s="194">
        <f>IFERROR(IF(VLOOKUP($A220,'Annex 2 Designated EHV charges'!$A:$O,11,FALSE)=0,"",VLOOKUP($A220,'Annex 2 Designated EHV charges'!$A:$O,11,FALSE)),"")</f>
        <v>1.1499999999999999</v>
      </c>
      <c r="H220" s="194">
        <f>IFERROR(IF(VLOOKUP($A220,'Annex 2 Designated EHV charges'!$A:$O,12,FALSE)=0,"",VLOOKUP($A220,'Annex 2 Designated EHV charges'!$A:$O,12,FALSE)),"")</f>
        <v>1.1499999999999999</v>
      </c>
    </row>
    <row r="221" spans="1:8" x14ac:dyDescent="0.2">
      <c r="A221" s="94" t="str" cm="1">
        <f t="array" ref="A221">IFERROR(INDEX('Annex 2 Designated EHV charges'!$A$10:$A$401, MATCH(0, IF(ISBLANK('Annex 2 Designated EHV charges'!$A$10:$A$401),1, COUNTIF(A$4:$A220, 'Annex 2 Designated EHV charges'!$A$10:$A$401)), 0)),"")</f>
        <v>LCKFRD</v>
      </c>
      <c r="B221" s="94">
        <f>IF($A221="","",VLOOKUP($A221,'Annex 2 Designated EHV charges'!$A:$O,2,0))</f>
        <v>886</v>
      </c>
      <c r="C221" s="95">
        <f>IF($A221="","",VLOOKUP($A221,'Annex 2 Designated EHV charges'!$A:$O,3,0))</f>
        <v>1050000578704</v>
      </c>
      <c r="D221" s="94" t="str">
        <f>IF($A221="","",VLOOKUP($A221,'Annex 2 Designated EHV charges'!$A:$O,7,0))</f>
        <v>LCKFRD</v>
      </c>
      <c r="E221" s="97">
        <f>IFERROR(IF(VLOOKUP($A221,'Annex 2 Designated EHV charges'!$A:$O,9,FALSE)=0,"",VLOOKUP($A221,'Annex 2 Designated EHV charges'!$A:$O,9,FALSE)),"")</f>
        <v>0.21299999999999999</v>
      </c>
      <c r="F221" s="194">
        <f>IFERROR(IF(VLOOKUP($A221,'Annex 2 Designated EHV charges'!$A:$O,10,FALSE)=0,"",VLOOKUP($A221,'Annex 2 Designated EHV charges'!$A:$O,10,FALSE)),"")</f>
        <v>0.99</v>
      </c>
      <c r="G221" s="194">
        <f>IFERROR(IF(VLOOKUP($A221,'Annex 2 Designated EHV charges'!$A:$O,11,FALSE)=0,"",VLOOKUP($A221,'Annex 2 Designated EHV charges'!$A:$O,11,FALSE)),"")</f>
        <v>6.11</v>
      </c>
      <c r="H221" s="194">
        <f>IFERROR(IF(VLOOKUP($A221,'Annex 2 Designated EHV charges'!$A:$O,12,FALSE)=0,"",VLOOKUP($A221,'Annex 2 Designated EHV charges'!$A:$O,12,FALSE)),"")</f>
        <v>6.11</v>
      </c>
    </row>
    <row r="222" spans="1:8" x14ac:dyDescent="0.2">
      <c r="A222" s="94" t="str" cm="1">
        <f t="array" ref="A222">IFERROR(INDEX('Annex 2 Designated EHV charges'!$A$10:$A$401, MATCH(0, IF(ISBLANK('Annex 2 Designated EHV charges'!$A$10:$A$401),1, COUNTIF(A$4:$A221, 'Annex 2 Designated EHV charges'!$A$10:$A$401)), 0)),"")</f>
        <v>LDAHSF</v>
      </c>
      <c r="B222" s="94">
        <f>IF($A222="","",VLOOKUP($A222,'Annex 2 Designated EHV charges'!$A:$O,2,0))</f>
        <v>536</v>
      </c>
      <c r="C222" s="95">
        <f>IF($A222="","",VLOOKUP($A222,'Annex 2 Designated EHV charges'!$A:$O,3,0))</f>
        <v>1030083806024</v>
      </c>
      <c r="D222" s="94" t="str">
        <f>IF($A222="","",VLOOKUP($A222,'Annex 2 Designated EHV charges'!$A:$O,7,0))</f>
        <v>LDAHSF</v>
      </c>
      <c r="E222" s="97">
        <f>IFERROR(IF(VLOOKUP($A222,'Annex 2 Designated EHV charges'!$A:$O,9,FALSE)=0,"",VLOOKUP($A222,'Annex 2 Designated EHV charges'!$A:$O,9,FALSE)),"")</f>
        <v>0.152</v>
      </c>
      <c r="F222" s="194">
        <f>IFERROR(IF(VLOOKUP($A222,'Annex 2 Designated EHV charges'!$A:$O,10,FALSE)=0,"",VLOOKUP($A222,'Annex 2 Designated EHV charges'!$A:$O,10,FALSE)),"")</f>
        <v>10.87</v>
      </c>
      <c r="G222" s="194">
        <f>IFERROR(IF(VLOOKUP($A222,'Annex 2 Designated EHV charges'!$A:$O,11,FALSE)=0,"",VLOOKUP($A222,'Annex 2 Designated EHV charges'!$A:$O,11,FALSE)),"")</f>
        <v>2.73</v>
      </c>
      <c r="H222" s="194">
        <f>IFERROR(IF(VLOOKUP($A222,'Annex 2 Designated EHV charges'!$A:$O,12,FALSE)=0,"",VLOOKUP($A222,'Annex 2 Designated EHV charges'!$A:$O,12,FALSE)),"")</f>
        <v>2.73</v>
      </c>
    </row>
    <row r="223" spans="1:8" x14ac:dyDescent="0.2">
      <c r="A223" s="94" t="str" cm="1">
        <f t="array" ref="A223">IFERROR(INDEX('Annex 2 Designated EHV charges'!$A$10:$A$401, MATCH(0, IF(ISBLANK('Annex 2 Designated EHV charges'!$A$10:$A$401),1, COUNTIF(A$4:$A222, 'Annex 2 Designated EHV charges'!$A$10:$A$401)), 0)),"")</f>
        <v>LEICSQ</v>
      </c>
      <c r="B223" s="94">
        <f>IF($A223="","",VLOOKUP($A223,'Annex 2 Designated EHV charges'!$A:$O,2,0))</f>
        <v>550</v>
      </c>
      <c r="C223" s="95">
        <f>IF($A223="","",VLOOKUP($A223,'Annex 2 Designated EHV charges'!$A:$O,3,0))</f>
        <v>1050001008681</v>
      </c>
      <c r="D223" s="94" t="str">
        <f>IF($A223="","",VLOOKUP($A223,'Annex 2 Designated EHV charges'!$A:$O,7,0))</f>
        <v>LEICSQ</v>
      </c>
      <c r="E223" s="97" t="str">
        <f>IFERROR(IF(VLOOKUP($A223,'Annex 2 Designated EHV charges'!$A:$O,9,FALSE)=0,"",VLOOKUP($A223,'Annex 2 Designated EHV charges'!$A:$O,9,FALSE)),"")</f>
        <v/>
      </c>
      <c r="F223" s="194">
        <f>IFERROR(IF(VLOOKUP($A223,'Annex 2 Designated EHV charges'!$A:$O,10,FALSE)=0,"",VLOOKUP($A223,'Annex 2 Designated EHV charges'!$A:$O,10,FALSE)),"")</f>
        <v>15.8</v>
      </c>
      <c r="G223" s="194">
        <f>IFERROR(IF(VLOOKUP($A223,'Annex 2 Designated EHV charges'!$A:$O,11,FALSE)=0,"",VLOOKUP($A223,'Annex 2 Designated EHV charges'!$A:$O,11,FALSE)),"")</f>
        <v>3.93</v>
      </c>
      <c r="H223" s="194">
        <f>IFERROR(IF(VLOOKUP($A223,'Annex 2 Designated EHV charges'!$A:$O,12,FALSE)=0,"",VLOOKUP($A223,'Annex 2 Designated EHV charges'!$A:$O,12,FALSE)),"")</f>
        <v>3.93</v>
      </c>
    </row>
    <row r="224" spans="1:8" x14ac:dyDescent="0.2">
      <c r="A224" s="94" t="str" cm="1">
        <f t="array" ref="A224">IFERROR(INDEX('Annex 2 Designated EHV charges'!$A$10:$A$401, MATCH(0, IF(ISBLANK('Annex 2 Designated EHV charges'!$A$10:$A$401),1, COUNTIF(A$4:$A223, 'Annex 2 Designated EHV charges'!$A$10:$A$401)), 0)),"")</f>
        <v>LEXHSF</v>
      </c>
      <c r="B224" s="94">
        <f>IF($A224="","",VLOOKUP($A224,'Annex 2 Designated EHV charges'!$A:$O,2,0))</f>
        <v>889</v>
      </c>
      <c r="C224" s="95">
        <f>IF($A224="","",VLOOKUP($A224,'Annex 2 Designated EHV charges'!$A:$O,3,0))</f>
        <v>1030083805563</v>
      </c>
      <c r="D224" s="94" t="str">
        <f>IF($A224="","",VLOOKUP($A224,'Annex 2 Designated EHV charges'!$A:$O,7,0))</f>
        <v>LEXHSF</v>
      </c>
      <c r="E224" s="97">
        <f>IFERROR(IF(VLOOKUP($A224,'Annex 2 Designated EHV charges'!$A:$O,9,FALSE)=0,"",VLOOKUP($A224,'Annex 2 Designated EHV charges'!$A:$O,9,FALSE)),"")</f>
        <v>8.7999999999999995E-2</v>
      </c>
      <c r="F224" s="194">
        <f>IFERROR(IF(VLOOKUP($A224,'Annex 2 Designated EHV charges'!$A:$O,10,FALSE)=0,"",VLOOKUP($A224,'Annex 2 Designated EHV charges'!$A:$O,10,FALSE)),"")</f>
        <v>13.31</v>
      </c>
      <c r="G224" s="194">
        <f>IFERROR(IF(VLOOKUP($A224,'Annex 2 Designated EHV charges'!$A:$O,11,FALSE)=0,"",VLOOKUP($A224,'Annex 2 Designated EHV charges'!$A:$O,11,FALSE)),"")</f>
        <v>1.52</v>
      </c>
      <c r="H224" s="194">
        <f>IFERROR(IF(VLOOKUP($A224,'Annex 2 Designated EHV charges'!$A:$O,12,FALSE)=0,"",VLOOKUP($A224,'Annex 2 Designated EHV charges'!$A:$O,12,FALSE)),"")</f>
        <v>1.52</v>
      </c>
    </row>
    <row r="225" spans="1:8" x14ac:dyDescent="0.2">
      <c r="A225" s="94" t="str" cm="1">
        <f t="array" ref="A225">IFERROR(INDEX('Annex 2 Designated EHV charges'!$A$10:$A$401, MATCH(0, IF(ISBLANK('Annex 2 Designated EHV charges'!$A$10:$A$401),1, COUNTIF(A$4:$A224, 'Annex 2 Designated EHV charges'!$A$10:$A$401)), 0)),"")</f>
        <v>LIMKLN</v>
      </c>
      <c r="B225" s="94">
        <f>IF($A225="","",VLOOKUP($A225,'Annex 2 Designated EHV charges'!$A:$O,2,0))</f>
        <v>334</v>
      </c>
      <c r="C225" s="95">
        <f>IF($A225="","",VLOOKUP($A225,'Annex 2 Designated EHV charges'!$A:$O,3,0))</f>
        <v>1050002012030</v>
      </c>
      <c r="D225" s="94" t="str">
        <f>IF($A225="","",VLOOKUP($A225,'Annex 2 Designated EHV charges'!$A:$O,7,0))</f>
        <v>LIMKLN</v>
      </c>
      <c r="E225" s="97" t="str">
        <f>IFERROR(IF(VLOOKUP($A225,'Annex 2 Designated EHV charges'!$A:$O,9,FALSE)=0,"",VLOOKUP($A225,'Annex 2 Designated EHV charges'!$A:$O,9,FALSE)),"")</f>
        <v/>
      </c>
      <c r="F225" s="194">
        <f>IFERROR(IF(VLOOKUP($A225,'Annex 2 Designated EHV charges'!$A:$O,10,FALSE)=0,"",VLOOKUP($A225,'Annex 2 Designated EHV charges'!$A:$O,10,FALSE)),"")</f>
        <v>21.18</v>
      </c>
      <c r="G225" s="194">
        <f>IFERROR(IF(VLOOKUP($A225,'Annex 2 Designated EHV charges'!$A:$O,11,FALSE)=0,"",VLOOKUP($A225,'Annex 2 Designated EHV charges'!$A:$O,11,FALSE)),"")</f>
        <v>2.48</v>
      </c>
      <c r="H225" s="194">
        <f>IFERROR(IF(VLOOKUP($A225,'Annex 2 Designated EHV charges'!$A:$O,12,FALSE)=0,"",VLOOKUP($A225,'Annex 2 Designated EHV charges'!$A:$O,12,FALSE)),"")</f>
        <v>2.48</v>
      </c>
    </row>
    <row r="226" spans="1:8" x14ac:dyDescent="0.2">
      <c r="A226" s="94" t="str" cm="1">
        <f t="array" ref="A226">IFERROR(INDEX('Annex 2 Designated EHV charges'!$A$10:$A$401, MATCH(0, IF(ISBLANK('Annex 2 Designated EHV charges'!$A$10:$A$401),1, COUNTIF(A$4:$A225, 'Annex 2 Designated EHV charges'!$A$10:$A$401)), 0)),"")</f>
        <v>LINKSF</v>
      </c>
      <c r="B226" s="94">
        <f>IF($A226="","",VLOOKUP($A226,'Annex 2 Designated EHV charges'!$A:$O,2,0))</f>
        <v>355</v>
      </c>
      <c r="C226" s="95">
        <f>IF($A226="","",VLOOKUP($A226,'Annex 2 Designated EHV charges'!$A:$O,3,0))</f>
        <v>1050003008930</v>
      </c>
      <c r="D226" s="94" t="str">
        <f>IF($A226="","",VLOOKUP($A226,'Annex 2 Designated EHV charges'!$A:$O,7,0))</f>
        <v>LINKSF</v>
      </c>
      <c r="E226" s="97" t="str">
        <f>IFERROR(IF(VLOOKUP($A226,'Annex 2 Designated EHV charges'!$A:$O,9,FALSE)=0,"",VLOOKUP($A226,'Annex 2 Designated EHV charges'!$A:$O,9,FALSE)),"")</f>
        <v/>
      </c>
      <c r="F226" s="194">
        <f>IFERROR(IF(VLOOKUP($A226,'Annex 2 Designated EHV charges'!$A:$O,10,FALSE)=0,"",VLOOKUP($A226,'Annex 2 Designated EHV charges'!$A:$O,10,FALSE)),"")</f>
        <v>110.23</v>
      </c>
      <c r="G226" s="194">
        <f>IFERROR(IF(VLOOKUP($A226,'Annex 2 Designated EHV charges'!$A:$O,11,FALSE)=0,"",VLOOKUP($A226,'Annex 2 Designated EHV charges'!$A:$O,11,FALSE)),"")</f>
        <v>1.91</v>
      </c>
      <c r="H226" s="194">
        <f>IFERROR(IF(VLOOKUP($A226,'Annex 2 Designated EHV charges'!$A:$O,12,FALSE)=0,"",VLOOKUP($A226,'Annex 2 Designated EHV charges'!$A:$O,12,FALSE)),"")</f>
        <v>1.91</v>
      </c>
    </row>
    <row r="227" spans="1:8" x14ac:dyDescent="0.2">
      <c r="A227" s="94" t="str" cm="1">
        <f t="array" ref="A227">IFERROR(INDEX('Annex 2 Designated EHV charges'!$A$10:$A$401, MATCH(0, IF(ISBLANK('Annex 2 Designated EHV charges'!$A$10:$A$401),1, COUNTIF(A$4:$A226, 'Annex 2 Designated EHV charges'!$A$10:$A$401)), 0)),"")</f>
        <v>LITSTA</v>
      </c>
      <c r="B227" s="94">
        <f>IF($A227="","",VLOOKUP($A227,'Annex 2 Designated EHV charges'!$A:$O,2,0))</f>
        <v>427</v>
      </c>
      <c r="C227" s="95">
        <f>IF($A227="","",VLOOKUP($A227,'Annex 2 Designated EHV charges'!$A:$O,3,0))</f>
        <v>1050001858070</v>
      </c>
      <c r="D227" s="94" t="str">
        <f>IF($A227="","",VLOOKUP($A227,'Annex 2 Designated EHV charges'!$A:$O,7,0))</f>
        <v>LITSTA</v>
      </c>
      <c r="E227" s="97">
        <f>IFERROR(IF(VLOOKUP($A227,'Annex 2 Designated EHV charges'!$A:$O,9,FALSE)=0,"",VLOOKUP($A227,'Annex 2 Designated EHV charges'!$A:$O,9,FALSE)),"")</f>
        <v>8.7999999999999995E-2</v>
      </c>
      <c r="F227" s="194">
        <f>IFERROR(IF(VLOOKUP($A227,'Annex 2 Designated EHV charges'!$A:$O,10,FALSE)=0,"",VLOOKUP($A227,'Annex 2 Designated EHV charges'!$A:$O,10,FALSE)),"")</f>
        <v>6.91</v>
      </c>
      <c r="G227" s="194">
        <f>IFERROR(IF(VLOOKUP($A227,'Annex 2 Designated EHV charges'!$A:$O,11,FALSE)=0,"",VLOOKUP($A227,'Annex 2 Designated EHV charges'!$A:$O,11,FALSE)),"")</f>
        <v>2.95</v>
      </c>
      <c r="H227" s="194">
        <f>IFERROR(IF(VLOOKUP($A227,'Annex 2 Designated EHV charges'!$A:$O,12,FALSE)=0,"",VLOOKUP($A227,'Annex 2 Designated EHV charges'!$A:$O,12,FALSE)),"")</f>
        <v>2.95</v>
      </c>
    </row>
    <row r="228" spans="1:8" x14ac:dyDescent="0.2">
      <c r="A228" s="94" t="str" cm="1">
        <f t="array" ref="A228">IFERROR(INDEX('Annex 2 Designated EHV charges'!$A$10:$A$401, MATCH(0, IF(ISBLANK('Annex 2 Designated EHV charges'!$A$10:$A$401),1, COUNTIF(A$4:$A227, 'Annex 2 Designated EHV charges'!$A$10:$A$401)), 0)),"")</f>
        <v>LMEASF</v>
      </c>
      <c r="B228" s="94">
        <f>IF($A228="","",VLOOKUP($A228,'Annex 2 Designated EHV charges'!$A:$O,2,0))</f>
        <v>361</v>
      </c>
      <c r="C228" s="95">
        <f>IF($A228="","",VLOOKUP($A228,'Annex 2 Designated EHV charges'!$A:$O,3,0))</f>
        <v>1050003331176</v>
      </c>
      <c r="D228" s="94" t="str">
        <f>IF($A228="","",VLOOKUP($A228,'Annex 2 Designated EHV charges'!$A:$O,7,0))</f>
        <v>LMEASF</v>
      </c>
      <c r="E228" s="97">
        <f>IFERROR(IF(VLOOKUP($A228,'Annex 2 Designated EHV charges'!$A:$O,9,FALSE)=0,"",VLOOKUP($A228,'Annex 2 Designated EHV charges'!$A:$O,9,FALSE)),"")</f>
        <v>2.0299999999999998</v>
      </c>
      <c r="F228" s="194">
        <f>IFERROR(IF(VLOOKUP($A228,'Annex 2 Designated EHV charges'!$A:$O,10,FALSE)=0,"",VLOOKUP($A228,'Annex 2 Designated EHV charges'!$A:$O,10,FALSE)),"")</f>
        <v>12.05</v>
      </c>
      <c r="G228" s="194">
        <f>IFERROR(IF(VLOOKUP($A228,'Annex 2 Designated EHV charges'!$A:$O,11,FALSE)=0,"",VLOOKUP($A228,'Annex 2 Designated EHV charges'!$A:$O,11,FALSE)),"")</f>
        <v>3.25</v>
      </c>
      <c r="H228" s="194">
        <f>IFERROR(IF(VLOOKUP($A228,'Annex 2 Designated EHV charges'!$A:$O,12,FALSE)=0,"",VLOOKUP($A228,'Annex 2 Designated EHV charges'!$A:$O,12,FALSE)),"")</f>
        <v>3.25</v>
      </c>
    </row>
    <row r="229" spans="1:8" x14ac:dyDescent="0.2">
      <c r="A229" s="94" t="str" cm="1">
        <f t="array" ref="A229">IFERROR(INDEX('Annex 2 Designated EHV charges'!$A$10:$A$401, MATCH(0, IF(ISBLANK('Annex 2 Designated EHV charges'!$A$10:$A$401),1, COUNTIF(A$4:$A228, 'Annex 2 Designated EHV charges'!$A$10:$A$401)), 0)),"")</f>
        <v>LNGFRD</v>
      </c>
      <c r="B229" s="94">
        <f>IF($A229="","",VLOOKUP($A229,'Annex 2 Designated EHV charges'!$A:$O,2,0))</f>
        <v>521</v>
      </c>
      <c r="C229" s="95">
        <f>IF($A229="","",VLOOKUP($A229,'Annex 2 Designated EHV charges'!$A:$O,3,0))</f>
        <v>1050000698283</v>
      </c>
      <c r="D229" s="94" t="str">
        <f>IF($A229="","",VLOOKUP($A229,'Annex 2 Designated EHV charges'!$A:$O,7,0))</f>
        <v>LNGFRD</v>
      </c>
      <c r="E229" s="97" t="str">
        <f>IFERROR(IF(VLOOKUP($A229,'Annex 2 Designated EHV charges'!$A:$O,9,FALSE)=0,"",VLOOKUP($A229,'Annex 2 Designated EHV charges'!$A:$O,9,FALSE)),"")</f>
        <v/>
      </c>
      <c r="F229" s="194">
        <f>IFERROR(IF(VLOOKUP($A229,'Annex 2 Designated EHV charges'!$A:$O,10,FALSE)=0,"",VLOOKUP($A229,'Annex 2 Designated EHV charges'!$A:$O,10,FALSE)),"")</f>
        <v>25.27</v>
      </c>
      <c r="G229" s="194">
        <f>IFERROR(IF(VLOOKUP($A229,'Annex 2 Designated EHV charges'!$A:$O,11,FALSE)=0,"",VLOOKUP($A229,'Annex 2 Designated EHV charges'!$A:$O,11,FALSE)),"")</f>
        <v>5.79</v>
      </c>
      <c r="H229" s="194">
        <f>IFERROR(IF(VLOOKUP($A229,'Annex 2 Designated EHV charges'!$A:$O,12,FALSE)=0,"",VLOOKUP($A229,'Annex 2 Designated EHV charges'!$A:$O,12,FALSE)),"")</f>
        <v>5.79</v>
      </c>
    </row>
    <row r="230" spans="1:8" x14ac:dyDescent="0.2">
      <c r="A230" s="94" t="str" cm="1">
        <f t="array" ref="A230">IFERROR(INDEX('Annex 2 Designated EHV charges'!$A$10:$A$401, MATCH(0, IF(ISBLANK('Annex 2 Designated EHV charges'!$A$10:$A$401),1, COUNTIF(A$4:$A229, 'Annex 2 Designated EHV charges'!$A$10:$A$401)), 0)),"")</f>
        <v>LNGHO2</v>
      </c>
      <c r="B230" s="94">
        <f>IF($A230="","",VLOOKUP($A230,'Annex 2 Designated EHV charges'!$A:$O,2,0))</f>
        <v>523</v>
      </c>
      <c r="C230" s="95">
        <f>IF($A230="","",VLOOKUP($A230,'Annex 2 Designated EHV charges'!$A:$O,3,0))</f>
        <v>1050000802936</v>
      </c>
      <c r="D230" s="94" t="str">
        <f>IF($A230="","",VLOOKUP($A230,'Annex 2 Designated EHV charges'!$A:$O,7,0))</f>
        <v>LNGHO2</v>
      </c>
      <c r="E230" s="97">
        <f>IFERROR(IF(VLOOKUP($A230,'Annex 2 Designated EHV charges'!$A:$O,9,FALSE)=0,"",VLOOKUP($A230,'Annex 2 Designated EHV charges'!$A:$O,9,FALSE)),"")</f>
        <v>5.0350000000000001</v>
      </c>
      <c r="F230" s="194">
        <f>IFERROR(IF(VLOOKUP($A230,'Annex 2 Designated EHV charges'!$A:$O,10,FALSE)=0,"",VLOOKUP($A230,'Annex 2 Designated EHV charges'!$A:$O,10,FALSE)),"")</f>
        <v>56.75</v>
      </c>
      <c r="G230" s="194">
        <f>IFERROR(IF(VLOOKUP($A230,'Annex 2 Designated EHV charges'!$A:$O,11,FALSE)=0,"",VLOOKUP($A230,'Annex 2 Designated EHV charges'!$A:$O,11,FALSE)),"")</f>
        <v>1.79</v>
      </c>
      <c r="H230" s="194">
        <f>IFERROR(IF(VLOOKUP($A230,'Annex 2 Designated EHV charges'!$A:$O,12,FALSE)=0,"",VLOOKUP($A230,'Annex 2 Designated EHV charges'!$A:$O,12,FALSE)),"")</f>
        <v>1.79</v>
      </c>
    </row>
    <row r="231" spans="1:8" x14ac:dyDescent="0.2">
      <c r="A231" s="94" t="str" cm="1">
        <f t="array" ref="A231">IFERROR(INDEX('Annex 2 Designated EHV charges'!$A$10:$A$401, MATCH(0, IF(ISBLANK('Annex 2 Designated EHV charges'!$A$10:$A$401),1, COUNTIF(A$4:$A230, 'Annex 2 Designated EHV charges'!$A$10:$A$401)), 0)),"")</f>
        <v>LNGHOE</v>
      </c>
      <c r="B231" s="94">
        <f>IF($A231="","",VLOOKUP($A231,'Annex 2 Designated EHV charges'!$A:$O,2,0))</f>
        <v>522</v>
      </c>
      <c r="C231" s="95">
        <f>IF($A231="","",VLOOKUP($A231,'Annex 2 Designated EHV charges'!$A:$O,3,0))</f>
        <v>1050000774109</v>
      </c>
      <c r="D231" s="94" t="str">
        <f>IF($A231="","",VLOOKUP($A231,'Annex 2 Designated EHV charges'!$A:$O,7,0))</f>
        <v>LNGHOE</v>
      </c>
      <c r="E231" s="97">
        <f>IFERROR(IF(VLOOKUP($A231,'Annex 2 Designated EHV charges'!$A:$O,9,FALSE)=0,"",VLOOKUP($A231,'Annex 2 Designated EHV charges'!$A:$O,9,FALSE)),"")</f>
        <v>5.03</v>
      </c>
      <c r="F231" s="194">
        <f>IFERROR(IF(VLOOKUP($A231,'Annex 2 Designated EHV charges'!$A:$O,10,FALSE)=0,"",VLOOKUP($A231,'Annex 2 Designated EHV charges'!$A:$O,10,FALSE)),"")</f>
        <v>84.2</v>
      </c>
      <c r="G231" s="194">
        <f>IFERROR(IF(VLOOKUP($A231,'Annex 2 Designated EHV charges'!$A:$O,11,FALSE)=0,"",VLOOKUP($A231,'Annex 2 Designated EHV charges'!$A:$O,11,FALSE)),"")</f>
        <v>1.84</v>
      </c>
      <c r="H231" s="194">
        <f>IFERROR(IF(VLOOKUP($A231,'Annex 2 Designated EHV charges'!$A:$O,12,FALSE)=0,"",VLOOKUP($A231,'Annex 2 Designated EHV charges'!$A:$O,12,FALSE)),"")</f>
        <v>1.84</v>
      </c>
    </row>
    <row r="232" spans="1:8" x14ac:dyDescent="0.2">
      <c r="A232" s="94" t="str" cm="1">
        <f t="array" ref="A232">IFERROR(INDEX('Annex 2 Designated EHV charges'!$A$10:$A$401, MATCH(0, IF(ISBLANK('Annex 2 Designated EHV charges'!$A$10:$A$401),1, COUNTIF(A$4:$A231, 'Annex 2 Designated EHV charges'!$A$10:$A$401)), 0)),"")</f>
        <v>LONWST</v>
      </c>
      <c r="B232" s="94">
        <f>IF($A232="","",VLOOKUP($A232,'Annex 2 Designated EHV charges'!$A:$O,2,0))</f>
        <v>826</v>
      </c>
      <c r="C232" s="95">
        <f>IF($A232="","",VLOOKUP($A232,'Annex 2 Designated EHV charges'!$A:$O,3,0))</f>
        <v>1023497360519</v>
      </c>
      <c r="D232" s="94" t="str">
        <f>IF($A232="","",VLOOKUP($A232,'Annex 2 Designated EHV charges'!$A:$O,7,0))</f>
        <v>LONWST</v>
      </c>
      <c r="E232" s="97">
        <f>IFERROR(IF(VLOOKUP($A232,'Annex 2 Designated EHV charges'!$A:$O,9,FALSE)=0,"",VLOOKUP($A232,'Annex 2 Designated EHV charges'!$A:$O,9,FALSE)),"")</f>
        <v>6.7000000000000004E-2</v>
      </c>
      <c r="F232" s="194">
        <f>IFERROR(IF(VLOOKUP($A232,'Annex 2 Designated EHV charges'!$A:$O,10,FALSE)=0,"",VLOOKUP($A232,'Annex 2 Designated EHV charges'!$A:$O,10,FALSE)),"")</f>
        <v>15392.93</v>
      </c>
      <c r="G232" s="194">
        <f>IFERROR(IF(VLOOKUP($A232,'Annex 2 Designated EHV charges'!$A:$O,11,FALSE)=0,"",VLOOKUP($A232,'Annex 2 Designated EHV charges'!$A:$O,11,FALSE)),"")</f>
        <v>1.51</v>
      </c>
      <c r="H232" s="194">
        <f>IFERROR(IF(VLOOKUP($A232,'Annex 2 Designated EHV charges'!$A:$O,12,FALSE)=0,"",VLOOKUP($A232,'Annex 2 Designated EHV charges'!$A:$O,12,FALSE)),"")</f>
        <v>1.51</v>
      </c>
    </row>
    <row r="233" spans="1:8" x14ac:dyDescent="0.2">
      <c r="A233" s="94" t="str" cm="1">
        <f t="array" ref="A233">IFERROR(INDEX('Annex 2 Designated EHV charges'!$A$10:$A$401, MATCH(0, IF(ISBLANK('Annex 2 Designated EHV charges'!$A$10:$A$401),1, COUNTIF(A$4:$A232, 'Annex 2 Designated EHV charges'!$A$10:$A$401)), 0)),"")</f>
        <v>LORDSW</v>
      </c>
      <c r="B233" s="94">
        <f>IF($A233="","",VLOOKUP($A233,'Annex 2 Designated EHV charges'!$A:$O,2,0))</f>
        <v>481</v>
      </c>
      <c r="C233" s="95">
        <f>IF($A233="","",VLOOKUP($A233,'Annex 2 Designated EHV charges'!$A:$O,3,0))</f>
        <v>1050001905660</v>
      </c>
      <c r="D233" s="94" t="str">
        <f>IF($A233="","",VLOOKUP($A233,'Annex 2 Designated EHV charges'!$A:$O,7,0))</f>
        <v>LORDSW</v>
      </c>
      <c r="E233" s="97">
        <f>IFERROR(IF(VLOOKUP($A233,'Annex 2 Designated EHV charges'!$A:$O,9,FALSE)=0,"",VLOOKUP($A233,'Annex 2 Designated EHV charges'!$A:$O,9,FALSE)),"")</f>
        <v>2.1429999999999998</v>
      </c>
      <c r="F233" s="194">
        <f>IFERROR(IF(VLOOKUP($A233,'Annex 2 Designated EHV charges'!$A:$O,10,FALSE)=0,"",VLOOKUP($A233,'Annex 2 Designated EHV charges'!$A:$O,10,FALSE)),"")</f>
        <v>61.54</v>
      </c>
      <c r="G233" s="194">
        <f>IFERROR(IF(VLOOKUP($A233,'Annex 2 Designated EHV charges'!$A:$O,11,FALSE)=0,"",VLOOKUP($A233,'Annex 2 Designated EHV charges'!$A:$O,11,FALSE)),"")</f>
        <v>2.19</v>
      </c>
      <c r="H233" s="194">
        <f>IFERROR(IF(VLOOKUP($A233,'Annex 2 Designated EHV charges'!$A:$O,12,FALSE)=0,"",VLOOKUP($A233,'Annex 2 Designated EHV charges'!$A:$O,12,FALSE)),"")</f>
        <v>2.19</v>
      </c>
    </row>
    <row r="234" spans="1:8" x14ac:dyDescent="0.2">
      <c r="A234" s="94" t="str" cm="1">
        <f t="array" ref="A234">IFERROR(INDEX('Annex 2 Designated EHV charges'!$A$10:$A$401, MATCH(0, IF(ISBLANK('Annex 2 Designated EHV charges'!$A$10:$A$401),1, COUNTIF(A$4:$A233, 'Annex 2 Designated EHV charges'!$A$10:$A$401)), 0)),"")</f>
        <v>LWRNCE</v>
      </c>
      <c r="B234" s="94">
        <f>IF($A234="","",VLOOKUP($A234,'Annex 2 Designated EHV charges'!$A:$O,2,0))</f>
        <v>551</v>
      </c>
      <c r="C234" s="95">
        <f>IF($A234="","",VLOOKUP($A234,'Annex 2 Designated EHV charges'!$A:$O,3,0))</f>
        <v>1050001008645</v>
      </c>
      <c r="D234" s="94" t="str">
        <f>IF($A234="","",VLOOKUP($A234,'Annex 2 Designated EHV charges'!$A:$O,7,0))</f>
        <v>LWRNCE</v>
      </c>
      <c r="E234" s="97">
        <f>IFERROR(IF(VLOOKUP($A234,'Annex 2 Designated EHV charges'!$A:$O,9,FALSE)=0,"",VLOOKUP($A234,'Annex 2 Designated EHV charges'!$A:$O,9,FALSE)),"")</f>
        <v>0.33500000000000002</v>
      </c>
      <c r="F234" s="194">
        <f>IFERROR(IF(VLOOKUP($A234,'Annex 2 Designated EHV charges'!$A:$O,10,FALSE)=0,"",VLOOKUP($A234,'Annex 2 Designated EHV charges'!$A:$O,10,FALSE)),"")</f>
        <v>46.19</v>
      </c>
      <c r="G234" s="194">
        <f>IFERROR(IF(VLOOKUP($A234,'Annex 2 Designated EHV charges'!$A:$O,11,FALSE)=0,"",VLOOKUP($A234,'Annex 2 Designated EHV charges'!$A:$O,11,FALSE)),"")</f>
        <v>2.42</v>
      </c>
      <c r="H234" s="194">
        <f>IFERROR(IF(VLOOKUP($A234,'Annex 2 Designated EHV charges'!$A:$O,12,FALSE)=0,"",VLOOKUP($A234,'Annex 2 Designated EHV charges'!$A:$O,12,FALSE)),"")</f>
        <v>2.42</v>
      </c>
    </row>
    <row r="235" spans="1:8" x14ac:dyDescent="0.2">
      <c r="A235" s="94" t="str" cm="1">
        <f t="array" ref="A235">IFERROR(INDEX('Annex 2 Designated EHV charges'!$A$10:$A$401, MATCH(0, IF(ISBLANK('Annex 2 Designated EHV charges'!$A$10:$A$401),1, COUNTIF(A$4:$A234, 'Annex 2 Designated EHV charges'!$A$10:$A$401)), 0)),"")</f>
        <v>LYONSH</v>
      </c>
      <c r="B235" s="94">
        <f>IF($A235="","",VLOOKUP($A235,'Annex 2 Designated EHV charges'!$A:$O,2,0))</f>
        <v>572</v>
      </c>
      <c r="C235" s="95">
        <f>IF($A235="","",VLOOKUP($A235,'Annex 2 Designated EHV charges'!$A:$O,3,0))</f>
        <v>1050001205345</v>
      </c>
      <c r="D235" s="94" t="str">
        <f>IF($A235="","",VLOOKUP($A235,'Annex 2 Designated EHV charges'!$A:$O,7,0))</f>
        <v>LYONSH</v>
      </c>
      <c r="E235" s="97" t="str">
        <f>IFERROR(IF(VLOOKUP($A235,'Annex 2 Designated EHV charges'!$A:$O,9,FALSE)=0,"",VLOOKUP($A235,'Annex 2 Designated EHV charges'!$A:$O,9,FALSE)),"")</f>
        <v/>
      </c>
      <c r="F235" s="194">
        <f>IFERROR(IF(VLOOKUP($A235,'Annex 2 Designated EHV charges'!$A:$O,10,FALSE)=0,"",VLOOKUP($A235,'Annex 2 Designated EHV charges'!$A:$O,10,FALSE)),"")</f>
        <v>5.21</v>
      </c>
      <c r="G235" s="194">
        <f>IFERROR(IF(VLOOKUP($A235,'Annex 2 Designated EHV charges'!$A:$O,11,FALSE)=0,"",VLOOKUP($A235,'Annex 2 Designated EHV charges'!$A:$O,11,FALSE)),"")</f>
        <v>4.1100000000000003</v>
      </c>
      <c r="H235" s="194">
        <f>IFERROR(IF(VLOOKUP($A235,'Annex 2 Designated EHV charges'!$A:$O,12,FALSE)=0,"",VLOOKUP($A235,'Annex 2 Designated EHV charges'!$A:$O,12,FALSE)),"")</f>
        <v>4.1100000000000003</v>
      </c>
    </row>
    <row r="236" spans="1:8" x14ac:dyDescent="0.2">
      <c r="A236" s="94" t="str" cm="1">
        <f t="array" ref="A236">IFERROR(INDEX('Annex 2 Designated EHV charges'!$A$10:$A$401, MATCH(0, IF(ISBLANK('Annex 2 Designated EHV charges'!$A$10:$A$401),1, COUNTIF(A$4:$A235, 'Annex 2 Designated EHV charges'!$A$10:$A$401)), 0)),"")</f>
        <v>MALDBS</v>
      </c>
      <c r="B236" s="94">
        <f>IF($A236="","",VLOOKUP($A236,'Annex 2 Designated EHV charges'!$A:$O,2,0))</f>
        <v>346</v>
      </c>
      <c r="C236" s="95">
        <f>IF($A236="","",VLOOKUP($A236,'Annex 2 Designated EHV charges'!$A:$O,3,0))</f>
        <v>1050002444180</v>
      </c>
      <c r="D236" s="94" t="str">
        <f>IF($A236="","",VLOOKUP($A236,'Annex 2 Designated EHV charges'!$A:$O,7,0))</f>
        <v>MALDBS</v>
      </c>
      <c r="E236" s="97" t="str">
        <f>IFERROR(IF(VLOOKUP($A236,'Annex 2 Designated EHV charges'!$A:$O,9,FALSE)=0,"",VLOOKUP($A236,'Annex 2 Designated EHV charges'!$A:$O,9,FALSE)),"")</f>
        <v/>
      </c>
      <c r="F236" s="194">
        <f>IFERROR(IF(VLOOKUP($A236,'Annex 2 Designated EHV charges'!$A:$O,10,FALSE)=0,"",VLOOKUP($A236,'Annex 2 Designated EHV charges'!$A:$O,10,FALSE)),"")</f>
        <v>923.58</v>
      </c>
      <c r="G236" s="194">
        <f>IFERROR(IF(VLOOKUP($A236,'Annex 2 Designated EHV charges'!$A:$O,11,FALSE)=0,"",VLOOKUP($A236,'Annex 2 Designated EHV charges'!$A:$O,11,FALSE)),"")</f>
        <v>2.19</v>
      </c>
      <c r="H236" s="194">
        <f>IFERROR(IF(VLOOKUP($A236,'Annex 2 Designated EHV charges'!$A:$O,12,FALSE)=0,"",VLOOKUP($A236,'Annex 2 Designated EHV charges'!$A:$O,12,FALSE)),"")</f>
        <v>2.19</v>
      </c>
    </row>
    <row r="237" spans="1:8" x14ac:dyDescent="0.2">
      <c r="A237" s="94" t="str" cm="1">
        <f t="array" ref="A237">IFERROR(INDEX('Annex 2 Designated EHV charges'!$A$10:$A$401, MATCH(0, IF(ISBLANK('Annex 2 Designated EHV charges'!$A$10:$A$401),1, COUNTIF(A$4:$A236, 'Annex 2 Designated EHV charges'!$A$10:$A$401)), 0)),"")</f>
        <v>MANFRM</v>
      </c>
      <c r="B237" s="94">
        <f>IF($A237="","",VLOOKUP($A237,'Annex 2 Designated EHV charges'!$A:$O,2,0))</f>
        <v>552</v>
      </c>
      <c r="C237" s="95">
        <f>IF($A237="","",VLOOKUP($A237,'Annex 2 Designated EHV charges'!$A:$O,3,0))</f>
        <v>1050000961361</v>
      </c>
      <c r="D237" s="94" t="str">
        <f>IF($A237="","",VLOOKUP($A237,'Annex 2 Designated EHV charges'!$A:$O,7,0))</f>
        <v>MANFRM</v>
      </c>
      <c r="E237" s="97" t="str">
        <f>IFERROR(IF(VLOOKUP($A237,'Annex 2 Designated EHV charges'!$A:$O,9,FALSE)=0,"",VLOOKUP($A237,'Annex 2 Designated EHV charges'!$A:$O,9,FALSE)),"")</f>
        <v/>
      </c>
      <c r="F237" s="194">
        <f>IFERROR(IF(VLOOKUP($A237,'Annex 2 Designated EHV charges'!$A:$O,10,FALSE)=0,"",VLOOKUP($A237,'Annex 2 Designated EHV charges'!$A:$O,10,FALSE)),"")</f>
        <v>4649.79</v>
      </c>
      <c r="G237" s="194">
        <f>IFERROR(IF(VLOOKUP($A237,'Annex 2 Designated EHV charges'!$A:$O,11,FALSE)=0,"",VLOOKUP($A237,'Annex 2 Designated EHV charges'!$A:$O,11,FALSE)),"")</f>
        <v>4.0599999999999996</v>
      </c>
      <c r="H237" s="194">
        <f>IFERROR(IF(VLOOKUP($A237,'Annex 2 Designated EHV charges'!$A:$O,12,FALSE)=0,"",VLOOKUP($A237,'Annex 2 Designated EHV charges'!$A:$O,12,FALSE)),"")</f>
        <v>4.0599999999999996</v>
      </c>
    </row>
    <row r="238" spans="1:8" x14ac:dyDescent="0.2">
      <c r="A238" s="94" t="str" cm="1">
        <f t="array" ref="A238">IFERROR(INDEX('Annex 2 Designated EHV charges'!$A$10:$A$401, MATCH(0, IF(ISBLANK('Annex 2 Designated EHV charges'!$A$10:$A$401),1, COUNTIF(A$4:$A237, 'Annex 2 Designated EHV charges'!$A$10:$A$401)), 0)),"")</f>
        <v>MANORF</v>
      </c>
      <c r="B238" s="94">
        <f>IF($A238="","",VLOOKUP($A238,'Annex 2 Designated EHV charges'!$A:$O,2,0))</f>
        <v>524</v>
      </c>
      <c r="C238" s="95">
        <f>IF($A238="","",VLOOKUP($A238,'Annex 2 Designated EHV charges'!$A:$O,3,0))</f>
        <v>1050000843640</v>
      </c>
      <c r="D238" s="94" t="str">
        <f>IF($A238="","",VLOOKUP($A238,'Annex 2 Designated EHV charges'!$A:$O,7,0))</f>
        <v>MANORF</v>
      </c>
      <c r="E238" s="97" t="str">
        <f>IFERROR(IF(VLOOKUP($A238,'Annex 2 Designated EHV charges'!$A:$O,9,FALSE)=0,"",VLOOKUP($A238,'Annex 2 Designated EHV charges'!$A:$O,9,FALSE)),"")</f>
        <v/>
      </c>
      <c r="F238" s="194">
        <f>IFERROR(IF(VLOOKUP($A238,'Annex 2 Designated EHV charges'!$A:$O,10,FALSE)=0,"",VLOOKUP($A238,'Annex 2 Designated EHV charges'!$A:$O,10,FALSE)),"")</f>
        <v>99.04</v>
      </c>
      <c r="G238" s="194">
        <f>IFERROR(IF(VLOOKUP($A238,'Annex 2 Designated EHV charges'!$A:$O,11,FALSE)=0,"",VLOOKUP($A238,'Annex 2 Designated EHV charges'!$A:$O,11,FALSE)),"")</f>
        <v>3.65</v>
      </c>
      <c r="H238" s="194">
        <f>IFERROR(IF(VLOOKUP($A238,'Annex 2 Designated EHV charges'!$A:$O,12,FALSE)=0,"",VLOOKUP($A238,'Annex 2 Designated EHV charges'!$A:$O,12,FALSE)),"")</f>
        <v>3.65</v>
      </c>
    </row>
    <row r="239" spans="1:8" x14ac:dyDescent="0.2">
      <c r="A239" s="94" t="str" cm="1">
        <f t="array" ref="A239">IFERROR(INDEX('Annex 2 Designated EHV charges'!$A$10:$A$401, MATCH(0, IF(ISBLANK('Annex 2 Designated EHV charges'!$A$10:$A$401),1, COUNTIF(A$4:$A238, 'Annex 2 Designated EHV charges'!$A$10:$A$401)), 0)),"")</f>
        <v>MDLWCK</v>
      </c>
      <c r="B239" s="94">
        <f>IF($A239="","",VLOOKUP($A239,'Annex 2 Designated EHV charges'!$A:$O,2,0))</f>
        <v>892</v>
      </c>
      <c r="C239" s="95">
        <f>IF($A239="","",VLOOKUP($A239,'Annex 2 Designated EHV charges'!$A:$O,3,0))</f>
        <v>1050000543223</v>
      </c>
      <c r="D239" s="94" t="str">
        <f>IF($A239="","",VLOOKUP($A239,'Annex 2 Designated EHV charges'!$A:$O,7,0))</f>
        <v>MDLWCK</v>
      </c>
      <c r="E239" s="97">
        <f>IFERROR(IF(VLOOKUP($A239,'Annex 2 Designated EHV charges'!$A:$O,9,FALSE)=0,"",VLOOKUP($A239,'Annex 2 Designated EHV charges'!$A:$O,9,FALSE)),"")</f>
        <v>2.1230000000000002</v>
      </c>
      <c r="F239" s="194">
        <f>IFERROR(IF(VLOOKUP($A239,'Annex 2 Designated EHV charges'!$A:$O,10,FALSE)=0,"",VLOOKUP($A239,'Annex 2 Designated EHV charges'!$A:$O,10,FALSE)),"")</f>
        <v>51.81</v>
      </c>
      <c r="G239" s="194">
        <f>IFERROR(IF(VLOOKUP($A239,'Annex 2 Designated EHV charges'!$A:$O,11,FALSE)=0,"",VLOOKUP($A239,'Annex 2 Designated EHV charges'!$A:$O,11,FALSE)),"")</f>
        <v>2.54</v>
      </c>
      <c r="H239" s="194">
        <f>IFERROR(IF(VLOOKUP($A239,'Annex 2 Designated EHV charges'!$A:$O,12,FALSE)=0,"",VLOOKUP($A239,'Annex 2 Designated EHV charges'!$A:$O,12,FALSE)),"")</f>
        <v>2.54</v>
      </c>
    </row>
    <row r="240" spans="1:8" x14ac:dyDescent="0.2">
      <c r="A240" s="94" t="str" cm="1">
        <f t="array" ref="A240">IFERROR(INDEX('Annex 2 Designated EHV charges'!$A$10:$A$401, MATCH(0, IF(ISBLANK('Annex 2 Designated EHV charges'!$A$10:$A$401),1, COUNTIF(A$4:$A239, 'Annex 2 Designated EHV charges'!$A$10:$A$401)), 0)),"")</f>
        <v>MDWFRM</v>
      </c>
      <c r="B240" s="94">
        <f>IF($A240="","",VLOOKUP($A240,'Annex 2 Designated EHV charges'!$A:$O,2,0))</f>
        <v>891</v>
      </c>
      <c r="C240" s="95">
        <f>IF($A240="","",VLOOKUP($A240,'Annex 2 Designated EHV charges'!$A:$O,3,0))</f>
        <v>1050000589956</v>
      </c>
      <c r="D240" s="94" t="str">
        <f>IF($A240="","",VLOOKUP($A240,'Annex 2 Designated EHV charges'!$A:$O,7,0))</f>
        <v>MDWFRM</v>
      </c>
      <c r="E240" s="97">
        <f>IFERROR(IF(VLOOKUP($A240,'Annex 2 Designated EHV charges'!$A:$O,9,FALSE)=0,"",VLOOKUP($A240,'Annex 2 Designated EHV charges'!$A:$O,9,FALSE)),"")</f>
        <v>0.127</v>
      </c>
      <c r="F240" s="194">
        <f>IFERROR(IF(VLOOKUP($A240,'Annex 2 Designated EHV charges'!$A:$O,10,FALSE)=0,"",VLOOKUP($A240,'Annex 2 Designated EHV charges'!$A:$O,10,FALSE)),"")</f>
        <v>10.65</v>
      </c>
      <c r="G240" s="194">
        <f>IFERROR(IF(VLOOKUP($A240,'Annex 2 Designated EHV charges'!$A:$O,11,FALSE)=0,"",VLOOKUP($A240,'Annex 2 Designated EHV charges'!$A:$O,11,FALSE)),"")</f>
        <v>1.81</v>
      </c>
      <c r="H240" s="194">
        <f>IFERROR(IF(VLOOKUP($A240,'Annex 2 Designated EHV charges'!$A:$O,12,FALSE)=0,"",VLOOKUP($A240,'Annex 2 Designated EHV charges'!$A:$O,12,FALSE)),"")</f>
        <v>1.81</v>
      </c>
    </row>
    <row r="241" spans="1:8" x14ac:dyDescent="0.2">
      <c r="A241" s="94" t="str" cm="1">
        <f t="array" ref="A241">IFERROR(INDEX('Annex 2 Designated EHV charges'!$A$10:$A$401, MATCH(0, IF(ISBLANK('Annex 2 Designated EHV charges'!$A$10:$A$401),1, COUNTIF(A$4:$A240, 'Annex 2 Designated EHV charges'!$A$10:$A$401)), 0)),"")</f>
        <v>MEDESF</v>
      </c>
      <c r="B241" s="94">
        <f>IF($A241="","",VLOOKUP($A241,'Annex 2 Designated EHV charges'!$A:$O,2,0))</f>
        <v>280</v>
      </c>
      <c r="C241" s="95">
        <f>IF($A241="","",VLOOKUP($A241,'Annex 2 Designated EHV charges'!$A:$O,3,0))</f>
        <v>1050003405846</v>
      </c>
      <c r="D241" s="94" t="str">
        <f>IF($A241="","",VLOOKUP($A241,'Annex 2 Designated EHV charges'!$A:$O,7,0))</f>
        <v>MEDESF</v>
      </c>
      <c r="E241" s="97" t="str">
        <f>IFERROR(IF(VLOOKUP($A241,'Annex 2 Designated EHV charges'!$A:$O,9,FALSE)=0,"",VLOOKUP($A241,'Annex 2 Designated EHV charges'!$A:$O,9,FALSE)),"")</f>
        <v/>
      </c>
      <c r="F241" s="194">
        <f>IFERROR(IF(VLOOKUP($A241,'Annex 2 Designated EHV charges'!$A:$O,10,FALSE)=0,"",VLOOKUP($A241,'Annex 2 Designated EHV charges'!$A:$O,10,FALSE)),"")</f>
        <v>26.4</v>
      </c>
      <c r="G241" s="194">
        <f>IFERROR(IF(VLOOKUP($A241,'Annex 2 Designated EHV charges'!$A:$O,11,FALSE)=0,"",VLOOKUP($A241,'Annex 2 Designated EHV charges'!$A:$O,11,FALSE)),"")</f>
        <v>1.99</v>
      </c>
      <c r="H241" s="194">
        <f>IFERROR(IF(VLOOKUP($A241,'Annex 2 Designated EHV charges'!$A:$O,12,FALSE)=0,"",VLOOKUP($A241,'Annex 2 Designated EHV charges'!$A:$O,12,FALSE)),"")</f>
        <v>1.99</v>
      </c>
    </row>
    <row r="242" spans="1:8" x14ac:dyDescent="0.2">
      <c r="A242" s="94" t="str" cm="1">
        <f t="array" ref="A242">IFERROR(INDEX('Annex 2 Designated EHV charges'!$A$10:$A$401, MATCH(0, IF(ISBLANK('Annex 2 Designated EHV charges'!$A$10:$A$401),1, COUNTIF(A$4:$A241, 'Annex 2 Designated EHV charges'!$A$10:$A$401)), 0)),"")</f>
        <v>MELBRN</v>
      </c>
      <c r="B242" s="94">
        <f>IF($A242="","",VLOOKUP($A242,'Annex 2 Designated EHV charges'!$A:$O,2,0))</f>
        <v>537</v>
      </c>
      <c r="C242" s="95">
        <f>IF($A242="","",VLOOKUP($A242,'Annex 2 Designated EHV charges'!$A:$O,3,0))</f>
        <v>1050000810928</v>
      </c>
      <c r="D242" s="94" t="str">
        <f>IF($A242="","",VLOOKUP($A242,'Annex 2 Designated EHV charges'!$A:$O,7,0))</f>
        <v>MELBRN</v>
      </c>
      <c r="E242" s="97">
        <f>IFERROR(IF(VLOOKUP($A242,'Annex 2 Designated EHV charges'!$A:$O,9,FALSE)=0,"",VLOOKUP($A242,'Annex 2 Designated EHV charges'!$A:$O,9,FALSE)),"")</f>
        <v>8.6999999999999994E-2</v>
      </c>
      <c r="F242" s="194">
        <f>IFERROR(IF(VLOOKUP($A242,'Annex 2 Designated EHV charges'!$A:$O,10,FALSE)=0,"",VLOOKUP($A242,'Annex 2 Designated EHV charges'!$A:$O,10,FALSE)),"")</f>
        <v>22.27</v>
      </c>
      <c r="G242" s="194">
        <f>IFERROR(IF(VLOOKUP($A242,'Annex 2 Designated EHV charges'!$A:$O,11,FALSE)=0,"",VLOOKUP($A242,'Annex 2 Designated EHV charges'!$A:$O,11,FALSE)),"")</f>
        <v>2.35</v>
      </c>
      <c r="H242" s="194">
        <f>IFERROR(IF(VLOOKUP($A242,'Annex 2 Designated EHV charges'!$A:$O,12,FALSE)=0,"",VLOOKUP($A242,'Annex 2 Designated EHV charges'!$A:$O,12,FALSE)),"")</f>
        <v>2.35</v>
      </c>
    </row>
    <row r="243" spans="1:8" x14ac:dyDescent="0.2">
      <c r="A243" s="94" t="str" cm="1">
        <f t="array" ref="A243">IFERROR(INDEX('Annex 2 Designated EHV charges'!$A$10:$A$401, MATCH(0, IF(ISBLANK('Annex 2 Designated EHV charges'!$A$10:$A$401),1, COUNTIF(A$4:$A242, 'Annex 2 Designated EHV charges'!$A$10:$A$401)), 0)),"")</f>
        <v>MILLDR</v>
      </c>
      <c r="B243" s="94">
        <f>IF($A243="","",VLOOKUP($A243,'Annex 2 Designated EHV charges'!$A:$O,2,0))</f>
        <v>573</v>
      </c>
      <c r="C243" s="95">
        <f>IF($A243="","",VLOOKUP($A243,'Annex 2 Designated EHV charges'!$A:$O,3,0))</f>
        <v>1050001197855</v>
      </c>
      <c r="D243" s="94" t="str">
        <f>IF($A243="","",VLOOKUP($A243,'Annex 2 Designated EHV charges'!$A:$O,7,0))</f>
        <v>MILLDR</v>
      </c>
      <c r="E243" s="97">
        <f>IFERROR(IF(VLOOKUP($A243,'Annex 2 Designated EHV charges'!$A:$O,9,FALSE)=0,"",VLOOKUP($A243,'Annex 2 Designated EHV charges'!$A:$O,9,FALSE)),"")</f>
        <v>0.29699999999999999</v>
      </c>
      <c r="F243" s="194">
        <f>IFERROR(IF(VLOOKUP($A243,'Annex 2 Designated EHV charges'!$A:$O,10,FALSE)=0,"",VLOOKUP($A243,'Annex 2 Designated EHV charges'!$A:$O,10,FALSE)),"")</f>
        <v>4638.63</v>
      </c>
      <c r="G243" s="194">
        <f>IFERROR(IF(VLOOKUP($A243,'Annex 2 Designated EHV charges'!$A:$O,11,FALSE)=0,"",VLOOKUP($A243,'Annex 2 Designated EHV charges'!$A:$O,11,FALSE)),"")</f>
        <v>1.82</v>
      </c>
      <c r="H243" s="194">
        <f>IFERROR(IF(VLOOKUP($A243,'Annex 2 Designated EHV charges'!$A:$O,12,FALSE)=0,"",VLOOKUP($A243,'Annex 2 Designated EHV charges'!$A:$O,12,FALSE)),"")</f>
        <v>1.82</v>
      </c>
    </row>
    <row r="244" spans="1:8" x14ac:dyDescent="0.2">
      <c r="A244" s="94" t="str" cm="1">
        <f t="array" ref="A244">IFERROR(INDEX('Annex 2 Designated EHV charges'!$A$10:$A$401, MATCH(0, IF(ISBLANK('Annex 2 Designated EHV charges'!$A$10:$A$401),1, COUNTIF(A$4:$A243, 'Annex 2 Designated EHV charges'!$A$10:$A$401)), 0)),"")</f>
        <v>MILLFM</v>
      </c>
      <c r="B244" s="94">
        <f>IF($A244="","",VLOOKUP($A244,'Annex 2 Designated EHV charges'!$A:$O,2,0))</f>
        <v>574</v>
      </c>
      <c r="C244" s="95">
        <f>IF($A244="","",VLOOKUP($A244,'Annex 2 Designated EHV charges'!$A:$O,3,0))</f>
        <v>1050001261465</v>
      </c>
      <c r="D244" s="94" t="str">
        <f>IF($A244="","",VLOOKUP($A244,'Annex 2 Designated EHV charges'!$A:$O,7,0))</f>
        <v>MILLFM</v>
      </c>
      <c r="E244" s="97" t="str">
        <f>IFERROR(IF(VLOOKUP($A244,'Annex 2 Designated EHV charges'!$A:$O,9,FALSE)=0,"",VLOOKUP($A244,'Annex 2 Designated EHV charges'!$A:$O,9,FALSE)),"")</f>
        <v/>
      </c>
      <c r="F244" s="194">
        <f>IFERROR(IF(VLOOKUP($A244,'Annex 2 Designated EHV charges'!$A:$O,10,FALSE)=0,"",VLOOKUP($A244,'Annex 2 Designated EHV charges'!$A:$O,10,FALSE)),"")</f>
        <v>53.6</v>
      </c>
      <c r="G244" s="194">
        <f>IFERROR(IF(VLOOKUP($A244,'Annex 2 Designated EHV charges'!$A:$O,11,FALSE)=0,"",VLOOKUP($A244,'Annex 2 Designated EHV charges'!$A:$O,11,FALSE)),"")</f>
        <v>7.89</v>
      </c>
      <c r="H244" s="194">
        <f>IFERROR(IF(VLOOKUP($A244,'Annex 2 Designated EHV charges'!$A:$O,12,FALSE)=0,"",VLOOKUP($A244,'Annex 2 Designated EHV charges'!$A:$O,12,FALSE)),"")</f>
        <v>7.89</v>
      </c>
    </row>
    <row r="245" spans="1:8" x14ac:dyDescent="0.2">
      <c r="A245" s="94" t="str" cm="1">
        <f t="array" ref="A245">IFERROR(INDEX('Annex 2 Designated EHV charges'!$A$10:$A$401, MATCH(0, IF(ISBLANK('Annex 2 Designated EHV charges'!$A$10:$A$401),1, COUNTIF(A$4:$A244, 'Annex 2 Designated EHV charges'!$A$10:$A$401)), 0)),"")</f>
        <v>MINGAY</v>
      </c>
      <c r="B245" s="94">
        <f>IF($A245="","",VLOOKUP($A245,'Annex 2 Designated EHV charges'!$A:$O,2,0))</f>
        <v>893</v>
      </c>
      <c r="C245" s="95">
        <f>IF($A245="","",VLOOKUP($A245,'Annex 2 Designated EHV charges'!$A:$O,3,0))</f>
        <v>1050000574667</v>
      </c>
      <c r="D245" s="94" t="str">
        <f>IF($A245="","",VLOOKUP($A245,'Annex 2 Designated EHV charges'!$A:$O,7,0))</f>
        <v>MINGAY</v>
      </c>
      <c r="E245" s="97">
        <f>IFERROR(IF(VLOOKUP($A245,'Annex 2 Designated EHV charges'!$A:$O,9,FALSE)=0,"",VLOOKUP($A245,'Annex 2 Designated EHV charges'!$A:$O,9,FALSE)),"")</f>
        <v>5.3999999999999999E-2</v>
      </c>
      <c r="F245" s="194">
        <f>IFERROR(IF(VLOOKUP($A245,'Annex 2 Designated EHV charges'!$A:$O,10,FALSE)=0,"",VLOOKUP($A245,'Annex 2 Designated EHV charges'!$A:$O,10,FALSE)),"")</f>
        <v>6.92</v>
      </c>
      <c r="G245" s="194">
        <f>IFERROR(IF(VLOOKUP($A245,'Annex 2 Designated EHV charges'!$A:$O,11,FALSE)=0,"",VLOOKUP($A245,'Annex 2 Designated EHV charges'!$A:$O,11,FALSE)),"")</f>
        <v>3.26</v>
      </c>
      <c r="H245" s="194">
        <f>IFERROR(IF(VLOOKUP($A245,'Annex 2 Designated EHV charges'!$A:$O,12,FALSE)=0,"",VLOOKUP($A245,'Annex 2 Designated EHV charges'!$A:$O,12,FALSE)),"")</f>
        <v>3.26</v>
      </c>
    </row>
    <row r="246" spans="1:8" x14ac:dyDescent="0.2">
      <c r="A246" s="94" t="str" cm="1">
        <f t="array" ref="A246">IFERROR(INDEX('Annex 2 Designated EHV charges'!$A$10:$A$401, MATCH(0, IF(ISBLANK('Annex 2 Designated EHV charges'!$A$10:$A$401),1, COUNTIF(A$4:$A245, 'Annex 2 Designated EHV charges'!$A$10:$A$401)), 0)),"")</f>
        <v>MLLFLD</v>
      </c>
      <c r="B246" s="94">
        <f>IF($A246="","",VLOOKUP($A246,'Annex 2 Designated EHV charges'!$A:$O,2,0))</f>
        <v>314</v>
      </c>
      <c r="C246" s="95">
        <f>IF($A246="","",VLOOKUP($A246,'Annex 2 Designated EHV charges'!$A:$O,3,0))</f>
        <v>1050001060050</v>
      </c>
      <c r="D246" s="94" t="str">
        <f>IF($A246="","",VLOOKUP($A246,'Annex 2 Designated EHV charges'!$A:$O,7,0))</f>
        <v>MLLFLD</v>
      </c>
      <c r="E246" s="97" t="str">
        <f>IFERROR(IF(VLOOKUP($A246,'Annex 2 Designated EHV charges'!$A:$O,9,FALSE)=0,"",VLOOKUP($A246,'Annex 2 Designated EHV charges'!$A:$O,9,FALSE)),"")</f>
        <v/>
      </c>
      <c r="F246" s="194">
        <f>IFERROR(IF(VLOOKUP($A246,'Annex 2 Designated EHV charges'!$A:$O,10,FALSE)=0,"",VLOOKUP($A246,'Annex 2 Designated EHV charges'!$A:$O,10,FALSE)),"")</f>
        <v>1.98</v>
      </c>
      <c r="G246" s="194">
        <f>IFERROR(IF(VLOOKUP($A246,'Annex 2 Designated EHV charges'!$A:$O,11,FALSE)=0,"",VLOOKUP($A246,'Annex 2 Designated EHV charges'!$A:$O,11,FALSE)),"")</f>
        <v>10.37</v>
      </c>
      <c r="H246" s="194">
        <f>IFERROR(IF(VLOOKUP($A246,'Annex 2 Designated EHV charges'!$A:$O,12,FALSE)=0,"",VLOOKUP($A246,'Annex 2 Designated EHV charges'!$A:$O,12,FALSE)),"")</f>
        <v>10.37</v>
      </c>
    </row>
    <row r="247" spans="1:8" x14ac:dyDescent="0.2">
      <c r="A247" s="94" t="str" cm="1">
        <f t="array" ref="A247">IFERROR(INDEX('Annex 2 Designated EHV charges'!$A$10:$A$401, MATCH(0, IF(ISBLANK('Annex 2 Designated EHV charges'!$A$10:$A$401),1, COUNTIF(A$4:$A246, 'Annex 2 Designated EHV charges'!$A$10:$A$401)), 0)),"")</f>
        <v>MOATSF</v>
      </c>
      <c r="B247" s="94">
        <f>IF($A247="","",VLOOKUP($A247,'Annex 2 Designated EHV charges'!$A:$O,2,0))</f>
        <v>356</v>
      </c>
      <c r="C247" s="95">
        <f>IF($A247="","",VLOOKUP($A247,'Annex 2 Designated EHV charges'!$A:$O,3,0))</f>
        <v>1050002943499</v>
      </c>
      <c r="D247" s="94" t="str">
        <f>IF($A247="","",VLOOKUP($A247,'Annex 2 Designated EHV charges'!$A:$O,7,0))</f>
        <v>MOATSF</v>
      </c>
      <c r="E247" s="97">
        <f>IFERROR(IF(VLOOKUP($A247,'Annex 2 Designated EHV charges'!$A:$O,9,FALSE)=0,"",VLOOKUP($A247,'Annex 2 Designated EHV charges'!$A:$O,9,FALSE)),"")</f>
        <v>1.39</v>
      </c>
      <c r="F247" s="194">
        <f>IFERROR(IF(VLOOKUP($A247,'Annex 2 Designated EHV charges'!$A:$O,10,FALSE)=0,"",VLOOKUP($A247,'Annex 2 Designated EHV charges'!$A:$O,10,FALSE)),"")</f>
        <v>4627.12</v>
      </c>
      <c r="G247" s="194">
        <f>IFERROR(IF(VLOOKUP($A247,'Annex 2 Designated EHV charges'!$A:$O,11,FALSE)=0,"",VLOOKUP($A247,'Annex 2 Designated EHV charges'!$A:$O,11,FALSE)),"")</f>
        <v>3.06</v>
      </c>
      <c r="H247" s="194">
        <f>IFERROR(IF(VLOOKUP($A247,'Annex 2 Designated EHV charges'!$A:$O,12,FALSE)=0,"",VLOOKUP($A247,'Annex 2 Designated EHV charges'!$A:$O,12,FALSE)),"")</f>
        <v>3.06</v>
      </c>
    </row>
    <row r="248" spans="1:8" x14ac:dyDescent="0.2">
      <c r="A248" s="94" t="str" cm="1">
        <f t="array" ref="A248">IFERROR(INDEX('Annex 2 Designated EHV charges'!$A$10:$A$401, MATCH(0, IF(ISBLANK('Annex 2 Designated EHV charges'!$A$10:$A$401),1, COUNTIF(A$4:$A247, 'Annex 2 Designated EHV charges'!$A$10:$A$401)), 0)),"")</f>
        <v>MOLLAV</v>
      </c>
      <c r="B248" s="94">
        <f>IF($A248="","",VLOOKUP($A248,'Annex 2 Designated EHV charges'!$A:$O,2,0))</f>
        <v>428</v>
      </c>
      <c r="C248" s="95">
        <f>IF($A248="","",VLOOKUP($A248,'Annex 2 Designated EHV charges'!$A:$O,3,0))</f>
        <v>1050001620710</v>
      </c>
      <c r="D248" s="94" t="str">
        <f>IF($A248="","",VLOOKUP($A248,'Annex 2 Designated EHV charges'!$A:$O,7,0))</f>
        <v>MOLLAV</v>
      </c>
      <c r="E248" s="97">
        <f>IFERROR(IF(VLOOKUP($A248,'Annex 2 Designated EHV charges'!$A:$O,9,FALSE)=0,"",VLOOKUP($A248,'Annex 2 Designated EHV charges'!$A:$O,9,FALSE)),"")</f>
        <v>3.0000000000000001E-3</v>
      </c>
      <c r="F248" s="194">
        <f>IFERROR(IF(VLOOKUP($A248,'Annex 2 Designated EHV charges'!$A:$O,10,FALSE)=0,"",VLOOKUP($A248,'Annex 2 Designated EHV charges'!$A:$O,10,FALSE)),"")</f>
        <v>17.79</v>
      </c>
      <c r="G248" s="194">
        <f>IFERROR(IF(VLOOKUP($A248,'Annex 2 Designated EHV charges'!$A:$O,11,FALSE)=0,"",VLOOKUP($A248,'Annex 2 Designated EHV charges'!$A:$O,11,FALSE)),"")</f>
        <v>3.09</v>
      </c>
      <c r="H248" s="194">
        <f>IFERROR(IF(VLOOKUP($A248,'Annex 2 Designated EHV charges'!$A:$O,12,FALSE)=0,"",VLOOKUP($A248,'Annex 2 Designated EHV charges'!$A:$O,12,FALSE)),"")</f>
        <v>3.09</v>
      </c>
    </row>
    <row r="249" spans="1:8" x14ac:dyDescent="0.2">
      <c r="A249" s="94" t="str" cm="1">
        <f t="array" ref="A249">IFERROR(INDEX('Annex 2 Designated EHV charges'!$A$10:$A$401, MATCH(0, IF(ISBLANK('Annex 2 Designated EHV charges'!$A$10:$A$401),1, COUNTIF(A$4:$A248, 'Annex 2 Designated EHV charges'!$A$10:$A$401)), 0)),"")</f>
        <v>MOWLEM</v>
      </c>
      <c r="B249" s="94">
        <f>IF($A249="","",VLOOKUP($A249,'Annex 2 Designated EHV charges'!$A:$O,2,0))</f>
        <v>575</v>
      </c>
      <c r="C249" s="95">
        <f>IF($A249="","",VLOOKUP($A249,'Annex 2 Designated EHV charges'!$A:$O,3,0))</f>
        <v>1050001054233</v>
      </c>
      <c r="D249" s="94" t="str">
        <f>IF($A249="","",VLOOKUP($A249,'Annex 2 Designated EHV charges'!$A:$O,7,0))</f>
        <v>MOWLEM</v>
      </c>
      <c r="E249" s="97">
        <f>IFERROR(IF(VLOOKUP($A249,'Annex 2 Designated EHV charges'!$A:$O,9,FALSE)=0,"",VLOOKUP($A249,'Annex 2 Designated EHV charges'!$A:$O,9,FALSE)),"")</f>
        <v>1.7000000000000001E-2</v>
      </c>
      <c r="F249" s="194">
        <f>IFERROR(IF(VLOOKUP($A249,'Annex 2 Designated EHV charges'!$A:$O,10,FALSE)=0,"",VLOOKUP($A249,'Annex 2 Designated EHV charges'!$A:$O,10,FALSE)),"")</f>
        <v>41.93</v>
      </c>
      <c r="G249" s="194">
        <f>IFERROR(IF(VLOOKUP($A249,'Annex 2 Designated EHV charges'!$A:$O,11,FALSE)=0,"",VLOOKUP($A249,'Annex 2 Designated EHV charges'!$A:$O,11,FALSE)),"")</f>
        <v>1.94</v>
      </c>
      <c r="H249" s="194">
        <f>IFERROR(IF(VLOOKUP($A249,'Annex 2 Designated EHV charges'!$A:$O,12,FALSE)=0,"",VLOOKUP($A249,'Annex 2 Designated EHV charges'!$A:$O,12,FALSE)),"")</f>
        <v>1.94</v>
      </c>
    </row>
    <row r="250" spans="1:8" x14ac:dyDescent="0.2">
      <c r="A250" s="94" t="str" cm="1">
        <f t="array" ref="A250">IFERROR(INDEX('Annex 2 Designated EHV charges'!$A$10:$A$401, MATCH(0, IF(ISBLANK('Annex 2 Designated EHV charges'!$A$10:$A$401),1, COUNTIF(A$4:$A249, 'Annex 2 Designated EHV charges'!$A$10:$A$401)), 0)),"")</f>
        <v>NEVED2</v>
      </c>
      <c r="B250" s="94">
        <f>IF($A250="","",VLOOKUP($A250,'Annex 2 Designated EHV charges'!$A:$O,2,0))</f>
        <v>315</v>
      </c>
      <c r="C250" s="95">
        <f>IF($A250="","",VLOOKUP($A250,'Annex 2 Designated EHV charges'!$A:$O,3,0))</f>
        <v>1050003511410</v>
      </c>
      <c r="D250" s="94" t="str">
        <f>IF($A250="","",VLOOKUP($A250,'Annex 2 Designated EHV charges'!$A:$O,7,0))</f>
        <v>NEVED2</v>
      </c>
      <c r="E250" s="97">
        <f>IFERROR(IF(VLOOKUP($A250,'Annex 2 Designated EHV charges'!$A:$O,9,FALSE)=0,"",VLOOKUP($A250,'Annex 2 Designated EHV charges'!$A:$O,9,FALSE)),"")</f>
        <v>2.6309999999999998</v>
      </c>
      <c r="F250" s="194">
        <f>IFERROR(IF(VLOOKUP($A250,'Annex 2 Designated EHV charges'!$A:$O,10,FALSE)=0,"",VLOOKUP($A250,'Annex 2 Designated EHV charges'!$A:$O,10,FALSE)),"")</f>
        <v>317.02999999999997</v>
      </c>
      <c r="G250" s="194">
        <f>IFERROR(IF(VLOOKUP($A250,'Annex 2 Designated EHV charges'!$A:$O,11,FALSE)=0,"",VLOOKUP($A250,'Annex 2 Designated EHV charges'!$A:$O,11,FALSE)),"")</f>
        <v>1.26</v>
      </c>
      <c r="H250" s="194">
        <f>IFERROR(IF(VLOOKUP($A250,'Annex 2 Designated EHV charges'!$A:$O,12,FALSE)=0,"",VLOOKUP($A250,'Annex 2 Designated EHV charges'!$A:$O,12,FALSE)),"")</f>
        <v>1.26</v>
      </c>
    </row>
    <row r="251" spans="1:8" x14ac:dyDescent="0.2">
      <c r="A251" s="94" t="str" cm="1">
        <f t="array" ref="A251">IFERROR(INDEX('Annex 2 Designated EHV charges'!$A$10:$A$401, MATCH(0, IF(ISBLANK('Annex 2 Designated EHV charges'!$A$10:$A$401),1, COUNTIF(A$4:$A250, 'Annex 2 Designated EHV charges'!$A$10:$A$401)), 0)),"")</f>
        <v>NEVEDN</v>
      </c>
      <c r="B251" s="94">
        <f>IF($A251="","",VLOOKUP($A251,'Annex 2 Designated EHV charges'!$A:$O,2,0))</f>
        <v>315</v>
      </c>
      <c r="C251" s="95">
        <f>IF($A251="","",VLOOKUP($A251,'Annex 2 Designated EHV charges'!$A:$O,3,0))</f>
        <v>1050001507449</v>
      </c>
      <c r="D251" s="94" t="str">
        <f>IF($A251="","",VLOOKUP($A251,'Annex 2 Designated EHV charges'!$A:$O,7,0))</f>
        <v>NEVEDN</v>
      </c>
      <c r="E251" s="97">
        <f>IFERROR(IF(VLOOKUP($A251,'Annex 2 Designated EHV charges'!$A:$O,9,FALSE)=0,"",VLOOKUP($A251,'Annex 2 Designated EHV charges'!$A:$O,9,FALSE)),"")</f>
        <v>2.6309999999999998</v>
      </c>
      <c r="F251" s="194">
        <f>IFERROR(IF(VLOOKUP($A251,'Annex 2 Designated EHV charges'!$A:$O,10,FALSE)=0,"",VLOOKUP($A251,'Annex 2 Designated EHV charges'!$A:$O,10,FALSE)),"")</f>
        <v>475.54</v>
      </c>
      <c r="G251" s="194">
        <f>IFERROR(IF(VLOOKUP($A251,'Annex 2 Designated EHV charges'!$A:$O,11,FALSE)=0,"",VLOOKUP($A251,'Annex 2 Designated EHV charges'!$A:$O,11,FALSE)),"")</f>
        <v>1.26</v>
      </c>
      <c r="H251" s="194">
        <f>IFERROR(IF(VLOOKUP($A251,'Annex 2 Designated EHV charges'!$A:$O,12,FALSE)=0,"",VLOOKUP($A251,'Annex 2 Designated EHV charges'!$A:$O,12,FALSE)),"")</f>
        <v>1.26</v>
      </c>
    </row>
    <row r="252" spans="1:8" x14ac:dyDescent="0.2">
      <c r="A252" s="94" t="str" cm="1">
        <f t="array" ref="A252">IFERROR(INDEX('Annex 2 Designated EHV charges'!$A$10:$A$401, MATCH(0, IF(ISBLANK('Annex 2 Designated EHV charges'!$A$10:$A$401),1, COUNTIF(A$4:$A251, 'Annex 2 Designated EHV charges'!$A$10:$A$401)), 0)),"")</f>
        <v>NEWTON</v>
      </c>
      <c r="B252" s="94">
        <f>IF($A252="","",VLOOKUP($A252,'Annex 2 Designated EHV charges'!$A:$O,2,0))</f>
        <v>553</v>
      </c>
      <c r="C252" s="95">
        <f>IF($A252="","",VLOOKUP($A252,'Annex 2 Designated EHV charges'!$A:$O,3,0))</f>
        <v>1050001042238</v>
      </c>
      <c r="D252" s="94" t="str">
        <f>IF($A252="","",VLOOKUP($A252,'Annex 2 Designated EHV charges'!$A:$O,7,0))</f>
        <v>NEWTON</v>
      </c>
      <c r="E252" s="97">
        <f>IFERROR(IF(VLOOKUP($A252,'Annex 2 Designated EHV charges'!$A:$O,9,FALSE)=0,"",VLOOKUP($A252,'Annex 2 Designated EHV charges'!$A:$O,9,FALSE)),"")</f>
        <v>0.25900000000000001</v>
      </c>
      <c r="F252" s="194">
        <f>IFERROR(IF(VLOOKUP($A252,'Annex 2 Designated EHV charges'!$A:$O,10,FALSE)=0,"",VLOOKUP($A252,'Annex 2 Designated EHV charges'!$A:$O,10,FALSE)),"")</f>
        <v>10.87</v>
      </c>
      <c r="G252" s="194">
        <f>IFERROR(IF(VLOOKUP($A252,'Annex 2 Designated EHV charges'!$A:$O,11,FALSE)=0,"",VLOOKUP($A252,'Annex 2 Designated EHV charges'!$A:$O,11,FALSE)),"")</f>
        <v>1.78</v>
      </c>
      <c r="H252" s="194">
        <f>IFERROR(IF(VLOOKUP($A252,'Annex 2 Designated EHV charges'!$A:$O,12,FALSE)=0,"",VLOOKUP($A252,'Annex 2 Designated EHV charges'!$A:$O,12,FALSE)),"")</f>
        <v>1.78</v>
      </c>
    </row>
    <row r="253" spans="1:8" x14ac:dyDescent="0.2">
      <c r="A253" s="94" t="str" cm="1">
        <f t="array" ref="A253">IFERROR(INDEX('Annex 2 Designated EHV charges'!$A$10:$A$401, MATCH(0, IF(ISBLANK('Annex 2 Designated EHV charges'!$A$10:$A$401),1, COUNTIF(A$4:$A252, 'Annex 2 Designated EHV charges'!$A$10:$A$401)), 0)),"")</f>
        <v>NNFKSF</v>
      </c>
      <c r="B253" s="94">
        <f>IF($A253="","",VLOOKUP($A253,'Annex 2 Designated EHV charges'!$A:$O,2,0))</f>
        <v>894</v>
      </c>
      <c r="C253" s="95">
        <f>IF($A253="","",VLOOKUP($A253,'Annex 2 Designated EHV charges'!$A:$O,3,0))</f>
        <v>1050000599909</v>
      </c>
      <c r="D253" s="94" t="str">
        <f>IF($A253="","",VLOOKUP($A253,'Annex 2 Designated EHV charges'!$A:$O,7,0))</f>
        <v>NNFKSF</v>
      </c>
      <c r="E253" s="97" t="str">
        <f>IFERROR(IF(VLOOKUP($A253,'Annex 2 Designated EHV charges'!$A:$O,9,FALSE)=0,"",VLOOKUP($A253,'Annex 2 Designated EHV charges'!$A:$O,9,FALSE)),"")</f>
        <v/>
      </c>
      <c r="F253" s="194">
        <f>IFERROR(IF(VLOOKUP($A253,'Annex 2 Designated EHV charges'!$A:$O,10,FALSE)=0,"",VLOOKUP($A253,'Annex 2 Designated EHV charges'!$A:$O,10,FALSE)),"")</f>
        <v>13.2</v>
      </c>
      <c r="G253" s="194">
        <f>IFERROR(IF(VLOOKUP($A253,'Annex 2 Designated EHV charges'!$A:$O,11,FALSE)=0,"",VLOOKUP($A253,'Annex 2 Designated EHV charges'!$A:$O,11,FALSE)),"")</f>
        <v>9.19</v>
      </c>
      <c r="H253" s="194">
        <f>IFERROR(IF(VLOOKUP($A253,'Annex 2 Designated EHV charges'!$A:$O,12,FALSE)=0,"",VLOOKUP($A253,'Annex 2 Designated EHV charges'!$A:$O,12,FALSE)),"")</f>
        <v>9.19</v>
      </c>
    </row>
    <row r="254" spans="1:8" x14ac:dyDescent="0.2">
      <c r="A254" s="94" t="str" cm="1">
        <f t="array" ref="A254">IFERROR(INDEX('Annex 2 Designated EHV charges'!$A$10:$A$401, MATCH(0, IF(ISBLANK('Annex 2 Designated EHV charges'!$A$10:$A$401),1, COUNTIF(A$4:$A253, 'Annex 2 Designated EHV charges'!$A$10:$A$401)), 0)),"")</f>
        <v>NVASCT</v>
      </c>
      <c r="B254" s="94">
        <f>IF($A254="","",VLOOKUP($A254,'Annex 2 Designated EHV charges'!$A:$O,2,0))</f>
        <v>890</v>
      </c>
      <c r="C254" s="95">
        <f>IF($A254="","",VLOOKUP($A254,'Annex 2 Designated EHV charges'!$A:$O,3,0))</f>
        <v>1050000588206</v>
      </c>
      <c r="D254" s="94" t="str">
        <f>IF($A254="","",VLOOKUP($A254,'Annex 2 Designated EHV charges'!$A:$O,7,0))</f>
        <v>NVASCT</v>
      </c>
      <c r="E254" s="97">
        <f>IFERROR(IF(VLOOKUP($A254,'Annex 2 Designated EHV charges'!$A:$O,9,FALSE)=0,"",VLOOKUP($A254,'Annex 2 Designated EHV charges'!$A:$O,9,FALSE)),"")</f>
        <v>0.41699999999999998</v>
      </c>
      <c r="F254" s="194">
        <f>IFERROR(IF(VLOOKUP($A254,'Annex 2 Designated EHV charges'!$A:$O,10,FALSE)=0,"",VLOOKUP($A254,'Annex 2 Designated EHV charges'!$A:$O,10,FALSE)),"")</f>
        <v>80.44</v>
      </c>
      <c r="G254" s="194">
        <f>IFERROR(IF(VLOOKUP($A254,'Annex 2 Designated EHV charges'!$A:$O,11,FALSE)=0,"",VLOOKUP($A254,'Annex 2 Designated EHV charges'!$A:$O,11,FALSE)),"")</f>
        <v>2.92</v>
      </c>
      <c r="H254" s="194">
        <f>IFERROR(IF(VLOOKUP($A254,'Annex 2 Designated EHV charges'!$A:$O,12,FALSE)=0,"",VLOOKUP($A254,'Annex 2 Designated EHV charges'!$A:$O,12,FALSE)),"")</f>
        <v>2.92</v>
      </c>
    </row>
    <row r="255" spans="1:8" x14ac:dyDescent="0.2">
      <c r="A255" s="94" t="str" cm="1">
        <f t="array" ref="A255">IFERROR(INDEX('Annex 2 Designated EHV charges'!$A$10:$A$401, MATCH(0, IF(ISBLANK('Annex 2 Designated EHV charges'!$A$10:$A$401),1, COUNTIF(A$4:$A254, 'Annex 2 Designated EHV charges'!$A$10:$A$401)), 0)),"")</f>
        <v>OCKESF</v>
      </c>
      <c r="B255" s="94">
        <f>IF($A255="","",VLOOKUP($A255,'Annex 2 Designated EHV charges'!$A:$O,2,0))</f>
        <v>343</v>
      </c>
      <c r="C255" s="95">
        <f>IF($A255="","",VLOOKUP($A255,'Annex 2 Designated EHV charges'!$A:$O,3,0))</f>
        <v>1050003405828</v>
      </c>
      <c r="D255" s="94" t="str">
        <f>IF($A255="","",VLOOKUP($A255,'Annex 2 Designated EHV charges'!$A:$O,7,0))</f>
        <v>OCKESF</v>
      </c>
      <c r="E255" s="97" t="str">
        <f>IFERROR(IF(VLOOKUP($A255,'Annex 2 Designated EHV charges'!$A:$O,9,FALSE)=0,"",VLOOKUP($A255,'Annex 2 Designated EHV charges'!$A:$O,9,FALSE)),"")</f>
        <v/>
      </c>
      <c r="F255" s="194">
        <f>IFERROR(IF(VLOOKUP($A255,'Annex 2 Designated EHV charges'!$A:$O,10,FALSE)=0,"",VLOOKUP($A255,'Annex 2 Designated EHV charges'!$A:$O,10,FALSE)),"")</f>
        <v>27.75</v>
      </c>
      <c r="G255" s="194">
        <f>IFERROR(IF(VLOOKUP($A255,'Annex 2 Designated EHV charges'!$A:$O,11,FALSE)=0,"",VLOOKUP($A255,'Annex 2 Designated EHV charges'!$A:$O,11,FALSE)),"")</f>
        <v>2.42</v>
      </c>
      <c r="H255" s="194">
        <f>IFERROR(IF(VLOOKUP($A255,'Annex 2 Designated EHV charges'!$A:$O,12,FALSE)=0,"",VLOOKUP($A255,'Annex 2 Designated EHV charges'!$A:$O,12,FALSE)),"")</f>
        <v>2.42</v>
      </c>
    </row>
    <row r="256" spans="1:8" ht="25.5" x14ac:dyDescent="0.2">
      <c r="A256" s="94" t="str" cm="1">
        <f t="array" ref="A256">IFERROR(INDEX('Annex 2 Designated EHV charges'!$A$10:$A$401, MATCH(0, IF(ISBLANK('Annex 2 Designated EHV charges'!$A$10:$A$401),1, COUNTIF(A$4:$A255, 'Annex 2 Designated EHV charges'!$A$10:$A$401)), 0)),"")</f>
        <v>OLDAIR</v>
      </c>
      <c r="B256" s="94">
        <f>IF($A256="","",VLOOKUP($A256,'Annex 2 Designated EHV charges'!$A:$O,2,0))</f>
        <v>525</v>
      </c>
      <c r="C256" s="95" t="str">
        <f>IF($A256="","",VLOOKUP($A256,'Annex 2 Designated EHV charges'!$A:$O,3,0))</f>
        <v>1050000890756;1050001013812</v>
      </c>
      <c r="D256" s="94" t="str">
        <f>IF($A256="","",VLOOKUP($A256,'Annex 2 Designated EHV charges'!$A:$O,7,0))</f>
        <v>OLDAIR</v>
      </c>
      <c r="E256" s="97">
        <f>IFERROR(IF(VLOOKUP($A256,'Annex 2 Designated EHV charges'!$A:$O,9,FALSE)=0,"",VLOOKUP($A256,'Annex 2 Designated EHV charges'!$A:$O,9,FALSE)),"")</f>
        <v>2.4319999999999999</v>
      </c>
      <c r="F256" s="194">
        <f>IFERROR(IF(VLOOKUP($A256,'Annex 2 Designated EHV charges'!$A:$O,10,FALSE)=0,"",VLOOKUP($A256,'Annex 2 Designated EHV charges'!$A:$O,10,FALSE)),"")</f>
        <v>25.16</v>
      </c>
      <c r="G256" s="194">
        <f>IFERROR(IF(VLOOKUP($A256,'Annex 2 Designated EHV charges'!$A:$O,11,FALSE)=0,"",VLOOKUP($A256,'Annex 2 Designated EHV charges'!$A:$O,11,FALSE)),"")</f>
        <v>4.1399999999999997</v>
      </c>
      <c r="H256" s="194">
        <f>IFERROR(IF(VLOOKUP($A256,'Annex 2 Designated EHV charges'!$A:$O,12,FALSE)=0,"",VLOOKUP($A256,'Annex 2 Designated EHV charges'!$A:$O,12,FALSE)),"")</f>
        <v>4.1399999999999997</v>
      </c>
    </row>
    <row r="257" spans="1:8" x14ac:dyDescent="0.2">
      <c r="A257" s="94" t="str" cm="1">
        <f t="array" ref="A257">IFERROR(INDEX('Annex 2 Designated EHV charges'!$A$10:$A$401, MATCH(0, IF(ISBLANK('Annex 2 Designated EHV charges'!$A$10:$A$401),1, COUNTIF(A$4:$A256, 'Annex 2 Designated EHV charges'!$A$10:$A$401)), 0)),"")</f>
        <v>OULTON</v>
      </c>
      <c r="B257" s="94">
        <f>IF($A257="","",VLOOKUP($A257,'Annex 2 Designated EHV charges'!$A:$O,2,0))</f>
        <v>554</v>
      </c>
      <c r="C257" s="95">
        <f>IF($A257="","",VLOOKUP($A257,'Annex 2 Designated EHV charges'!$A:$O,3,0))</f>
        <v>1050001028544</v>
      </c>
      <c r="D257" s="94" t="str">
        <f>IF($A257="","",VLOOKUP($A257,'Annex 2 Designated EHV charges'!$A:$O,7,0))</f>
        <v>OULTON</v>
      </c>
      <c r="E257" s="97" t="str">
        <f>IFERROR(IF(VLOOKUP($A257,'Annex 2 Designated EHV charges'!$A:$O,9,FALSE)=0,"",VLOOKUP($A257,'Annex 2 Designated EHV charges'!$A:$O,9,FALSE)),"")</f>
        <v/>
      </c>
      <c r="F257" s="194">
        <f>IFERROR(IF(VLOOKUP($A257,'Annex 2 Designated EHV charges'!$A:$O,10,FALSE)=0,"",VLOOKUP($A257,'Annex 2 Designated EHV charges'!$A:$O,10,FALSE)),"")</f>
        <v>4.41</v>
      </c>
      <c r="G257" s="194">
        <f>IFERROR(IF(VLOOKUP($A257,'Annex 2 Designated EHV charges'!$A:$O,11,FALSE)=0,"",VLOOKUP($A257,'Annex 2 Designated EHV charges'!$A:$O,11,FALSE)),"")</f>
        <v>2.78</v>
      </c>
      <c r="H257" s="194">
        <f>IFERROR(IF(VLOOKUP($A257,'Annex 2 Designated EHV charges'!$A:$O,12,FALSE)=0,"",VLOOKUP($A257,'Annex 2 Designated EHV charges'!$A:$O,12,FALSE)),"")</f>
        <v>2.78</v>
      </c>
    </row>
    <row r="258" spans="1:8" x14ac:dyDescent="0.2">
      <c r="A258" s="94" t="str" cm="1">
        <f t="array" ref="A258">IFERROR(INDEX('Annex 2 Designated EHV charges'!$A$10:$A$401, MATCH(0, IF(ISBLANK('Annex 2 Designated EHV charges'!$A$10:$A$401),1, COUNTIF(A$4:$A257, 'Annex 2 Designated EHV charges'!$A$10:$A$401)), 0)),"")</f>
        <v>OUTWD2</v>
      </c>
      <c r="B258" s="94">
        <f>IF($A258="","",VLOOKUP($A258,'Annex 2 Designated EHV charges'!$A:$O,2,0))</f>
        <v>351</v>
      </c>
      <c r="C258" s="95">
        <f>IF($A258="","",VLOOKUP($A258,'Annex 2 Designated EHV charges'!$A:$O,3,0))</f>
        <v>1050002380321</v>
      </c>
      <c r="D258" s="94" t="str">
        <f>IF($A258="","",VLOOKUP($A258,'Annex 2 Designated EHV charges'!$A:$O,7,0))</f>
        <v>OUTWD2</v>
      </c>
      <c r="E258" s="97">
        <f>IFERROR(IF(VLOOKUP($A258,'Annex 2 Designated EHV charges'!$A:$O,9,FALSE)=0,"",VLOOKUP($A258,'Annex 2 Designated EHV charges'!$A:$O,9,FALSE)),"")</f>
        <v>2.0449999999999999</v>
      </c>
      <c r="F258" s="194">
        <f>IFERROR(IF(VLOOKUP($A258,'Annex 2 Designated EHV charges'!$A:$O,10,FALSE)=0,"",VLOOKUP($A258,'Annex 2 Designated EHV charges'!$A:$O,10,FALSE)),"")</f>
        <v>4633.0600000000004</v>
      </c>
      <c r="G258" s="194">
        <f>IFERROR(IF(VLOOKUP($A258,'Annex 2 Designated EHV charges'!$A:$O,11,FALSE)=0,"",VLOOKUP($A258,'Annex 2 Designated EHV charges'!$A:$O,11,FALSE)),"")</f>
        <v>1.94</v>
      </c>
      <c r="H258" s="194">
        <f>IFERROR(IF(VLOOKUP($A258,'Annex 2 Designated EHV charges'!$A:$O,12,FALSE)=0,"",VLOOKUP($A258,'Annex 2 Designated EHV charges'!$A:$O,12,FALSE)),"")</f>
        <v>1.94</v>
      </c>
    </row>
    <row r="259" spans="1:8" x14ac:dyDescent="0.2">
      <c r="A259" s="94" t="str" cm="1">
        <f t="array" ref="A259">IFERROR(INDEX('Annex 2 Designated EHV charges'!$A$10:$A$401, MATCH(0, IF(ISBLANK('Annex 2 Designated EHV charges'!$A$10:$A$401),1, COUNTIF(A$4:$A258, 'Annex 2 Designated EHV charges'!$A$10:$A$401)), 0)),"")</f>
        <v>OUTWDS</v>
      </c>
      <c r="B259" s="94">
        <f>IF($A259="","",VLOOKUP($A259,'Annex 2 Designated EHV charges'!$A:$O,2,0))</f>
        <v>576</v>
      </c>
      <c r="C259" s="95">
        <f>IF($A259="","",VLOOKUP($A259,'Annex 2 Designated EHV charges'!$A:$O,3,0))</f>
        <v>1050001054190</v>
      </c>
      <c r="D259" s="94" t="str">
        <f>IF($A259="","",VLOOKUP($A259,'Annex 2 Designated EHV charges'!$A:$O,7,0))</f>
        <v>OUTWDS</v>
      </c>
      <c r="E259" s="97">
        <f>IFERROR(IF(VLOOKUP($A259,'Annex 2 Designated EHV charges'!$A:$O,9,FALSE)=0,"",VLOOKUP($A259,'Annex 2 Designated EHV charges'!$A:$O,9,FALSE)),"")</f>
        <v>2.6190000000000002</v>
      </c>
      <c r="F259" s="194">
        <f>IFERROR(IF(VLOOKUP($A259,'Annex 2 Designated EHV charges'!$A:$O,10,FALSE)=0,"",VLOOKUP($A259,'Annex 2 Designated EHV charges'!$A:$O,10,FALSE)),"")</f>
        <v>27.79</v>
      </c>
      <c r="G259" s="194">
        <f>IFERROR(IF(VLOOKUP($A259,'Annex 2 Designated EHV charges'!$A:$O,11,FALSE)=0,"",VLOOKUP($A259,'Annex 2 Designated EHV charges'!$A:$O,11,FALSE)),"")</f>
        <v>1.46</v>
      </c>
      <c r="H259" s="194">
        <f>IFERROR(IF(VLOOKUP($A259,'Annex 2 Designated EHV charges'!$A:$O,12,FALSE)=0,"",VLOOKUP($A259,'Annex 2 Designated EHV charges'!$A:$O,12,FALSE)),"")</f>
        <v>1.46</v>
      </c>
    </row>
    <row r="260" spans="1:8" x14ac:dyDescent="0.2">
      <c r="A260" s="94" t="str" cm="1">
        <f t="array" ref="A260">IFERROR(INDEX('Annex 2 Designated EHV charges'!$A$10:$A$401, MATCH(0, IF(ISBLANK('Annex 2 Designated EHV charges'!$A$10:$A$401),1, COUNTIF(A$4:$A259, 'Annex 2 Designated EHV charges'!$A$10:$A$401)), 0)),"")</f>
        <v>PARKFM</v>
      </c>
      <c r="B260" s="94">
        <f>IF($A260="","",VLOOKUP($A260,'Annex 2 Designated EHV charges'!$A:$O,2,0))</f>
        <v>336</v>
      </c>
      <c r="C260" s="95">
        <f>IF($A260="","",VLOOKUP($A260,'Annex 2 Designated EHV charges'!$A:$O,3,0))</f>
        <v>1050001523760</v>
      </c>
      <c r="D260" s="94" t="str">
        <f>IF($A260="","",VLOOKUP($A260,'Annex 2 Designated EHV charges'!$A:$O,7,0))</f>
        <v>PARKFM</v>
      </c>
      <c r="E260" s="97">
        <f>IFERROR(IF(VLOOKUP($A260,'Annex 2 Designated EHV charges'!$A:$O,9,FALSE)=0,"",VLOOKUP($A260,'Annex 2 Designated EHV charges'!$A:$O,9,FALSE)),"")</f>
        <v>1.333</v>
      </c>
      <c r="F260" s="194">
        <f>IFERROR(IF(VLOOKUP($A260,'Annex 2 Designated EHV charges'!$A:$O,10,FALSE)=0,"",VLOOKUP($A260,'Annex 2 Designated EHV charges'!$A:$O,10,FALSE)),"")</f>
        <v>15397.08</v>
      </c>
      <c r="G260" s="194">
        <f>IFERROR(IF(VLOOKUP($A260,'Annex 2 Designated EHV charges'!$A:$O,11,FALSE)=0,"",VLOOKUP($A260,'Annex 2 Designated EHV charges'!$A:$O,11,FALSE)),"")</f>
        <v>1.31</v>
      </c>
      <c r="H260" s="194">
        <f>IFERROR(IF(VLOOKUP($A260,'Annex 2 Designated EHV charges'!$A:$O,12,FALSE)=0,"",VLOOKUP($A260,'Annex 2 Designated EHV charges'!$A:$O,12,FALSE)),"")</f>
        <v>1.31</v>
      </c>
    </row>
    <row r="261" spans="1:8" x14ac:dyDescent="0.2">
      <c r="A261" s="94" t="str" cm="1">
        <f t="array" ref="A261">IFERROR(INDEX('Annex 2 Designated EHV charges'!$A$10:$A$401, MATCH(0, IF(ISBLANK('Annex 2 Designated EHV charges'!$A$10:$A$401),1, COUNTIF(A$4:$A260, 'Annex 2 Designated EHV charges'!$A$10:$A$401)), 0)),"")</f>
        <v>PBPS_3</v>
      </c>
      <c r="B261" s="94">
        <f>IF($A261="","",VLOOKUP($A261,'Annex 2 Designated EHV charges'!$A:$O,2,0))</f>
        <v>0</v>
      </c>
      <c r="C261" s="95" t="str">
        <f>IF($A261="","",VLOOKUP($A261,'Annex 2 Designated EHV charges'!$A:$O,3,0))</f>
        <v>MSID: 7566</v>
      </c>
      <c r="D261" s="94" t="str">
        <f>IF($A261="","",VLOOKUP($A261,'Annex 2 Designated EHV charges'!$A:$O,7,0))</f>
        <v>PBPS_3</v>
      </c>
      <c r="E261" s="97" t="str">
        <f>IFERROR(IF(VLOOKUP($A261,'Annex 2 Designated EHV charges'!$A:$O,9,FALSE)=0,"",VLOOKUP($A261,'Annex 2 Designated EHV charges'!$A:$O,9,FALSE)),"")</f>
        <v/>
      </c>
      <c r="F261" s="194">
        <f>IFERROR(IF(VLOOKUP($A261,'Annex 2 Designated EHV charges'!$A:$O,10,FALSE)=0,"",VLOOKUP($A261,'Annex 2 Designated EHV charges'!$A:$O,10,FALSE)),"")</f>
        <v>13.94</v>
      </c>
      <c r="G261" s="194">
        <f>IFERROR(IF(VLOOKUP($A261,'Annex 2 Designated EHV charges'!$A:$O,11,FALSE)=0,"",VLOOKUP($A261,'Annex 2 Designated EHV charges'!$A:$O,11,FALSE)),"")</f>
        <v>2.75</v>
      </c>
      <c r="H261" s="194">
        <f>IFERROR(IF(VLOOKUP($A261,'Annex 2 Designated EHV charges'!$A:$O,12,FALSE)=0,"",VLOOKUP($A261,'Annex 2 Designated EHV charges'!$A:$O,12,FALSE)),"")</f>
        <v>2.75</v>
      </c>
    </row>
    <row r="262" spans="1:8" x14ac:dyDescent="0.2">
      <c r="A262" s="94" t="str" cm="1">
        <f t="array" ref="A262">IFERROR(INDEX('Annex 2 Designated EHV charges'!$A$10:$A$401, MATCH(0, IF(ISBLANK('Annex 2 Designated EHV charges'!$A$10:$A$401),1, COUNTIF(A$4:$A261, 'Annex 2 Designated EHV charges'!$A$10:$A$401)), 0)),"")</f>
        <v>PEMBSF</v>
      </c>
      <c r="B262" s="94">
        <f>IF($A262="","",VLOOKUP($A262,'Annex 2 Designated EHV charges'!$A:$O,2,0))</f>
        <v>357</v>
      </c>
      <c r="C262" s="95">
        <f>IF($A262="","",VLOOKUP($A262,'Annex 2 Designated EHV charges'!$A:$O,3,0))</f>
        <v>1050002899281</v>
      </c>
      <c r="D262" s="94" t="str">
        <f>IF($A262="","",VLOOKUP($A262,'Annex 2 Designated EHV charges'!$A:$O,7,0))</f>
        <v>PEMBSF</v>
      </c>
      <c r="E262" s="97">
        <f>IFERROR(IF(VLOOKUP($A262,'Annex 2 Designated EHV charges'!$A:$O,9,FALSE)=0,"",VLOOKUP($A262,'Annex 2 Designated EHV charges'!$A:$O,9,FALSE)),"")</f>
        <v>2.6579999999999999</v>
      </c>
      <c r="F262" s="194">
        <f>IFERROR(IF(VLOOKUP($A262,'Annex 2 Designated EHV charges'!$A:$O,10,FALSE)=0,"",VLOOKUP($A262,'Annex 2 Designated EHV charges'!$A:$O,10,FALSE)),"")</f>
        <v>1.17</v>
      </c>
      <c r="G262" s="194">
        <f>IFERROR(IF(VLOOKUP($A262,'Annex 2 Designated EHV charges'!$A:$O,11,FALSE)=0,"",VLOOKUP($A262,'Annex 2 Designated EHV charges'!$A:$O,11,FALSE)),"")</f>
        <v>2.81</v>
      </c>
      <c r="H262" s="194">
        <f>IFERROR(IF(VLOOKUP($A262,'Annex 2 Designated EHV charges'!$A:$O,12,FALSE)=0,"",VLOOKUP($A262,'Annex 2 Designated EHV charges'!$A:$O,12,FALSE)),"")</f>
        <v>2.81</v>
      </c>
    </row>
    <row r="263" spans="1:8" x14ac:dyDescent="0.2">
      <c r="A263" s="94" t="str" cm="1">
        <f t="array" ref="A263">IFERROR(INDEX('Annex 2 Designated EHV charges'!$A$10:$A$401, MATCH(0, IF(ISBLANK('Annex 2 Designated EHV charges'!$A$10:$A$401),1, COUNTIF(A$4:$A262, 'Annex 2 Designated EHV charges'!$A$10:$A$401)), 0)),"")</f>
        <v>PENTSF</v>
      </c>
      <c r="B263" s="94">
        <f>IF($A263="","",VLOOKUP($A263,'Annex 2 Designated EHV charges'!$A:$O,2,0))</f>
        <v>354</v>
      </c>
      <c r="C263" s="95">
        <f>IF($A263="","",VLOOKUP($A263,'Annex 2 Designated EHV charges'!$A:$O,3,0))</f>
        <v>1050002866365</v>
      </c>
      <c r="D263" s="94" t="str">
        <f>IF($A263="","",VLOOKUP($A263,'Annex 2 Designated EHV charges'!$A:$O,7,0))</f>
        <v>PENTSF</v>
      </c>
      <c r="E263" s="97">
        <f>IFERROR(IF(VLOOKUP($A263,'Annex 2 Designated EHV charges'!$A:$O,9,FALSE)=0,"",VLOOKUP($A263,'Annex 2 Designated EHV charges'!$A:$O,9,FALSE)),"")</f>
        <v>1.2969999999999999</v>
      </c>
      <c r="F263" s="194">
        <f>IFERROR(IF(VLOOKUP($A263,'Annex 2 Designated EHV charges'!$A:$O,10,FALSE)=0,"",VLOOKUP($A263,'Annex 2 Designated EHV charges'!$A:$O,10,FALSE)),"")</f>
        <v>16.78</v>
      </c>
      <c r="G263" s="194">
        <f>IFERROR(IF(VLOOKUP($A263,'Annex 2 Designated EHV charges'!$A:$O,11,FALSE)=0,"",VLOOKUP($A263,'Annex 2 Designated EHV charges'!$A:$O,11,FALSE)),"")</f>
        <v>2.04</v>
      </c>
      <c r="H263" s="194">
        <f>IFERROR(IF(VLOOKUP($A263,'Annex 2 Designated EHV charges'!$A:$O,12,FALSE)=0,"",VLOOKUP($A263,'Annex 2 Designated EHV charges'!$A:$O,12,FALSE)),"")</f>
        <v>2.04</v>
      </c>
    </row>
    <row r="264" spans="1:8" x14ac:dyDescent="0.2">
      <c r="A264" s="94" t="str" cm="1">
        <f t="array" ref="A264">IFERROR(INDEX('Annex 2 Designated EHV charges'!$A$10:$A$401, MATCH(0, IF(ISBLANK('Annex 2 Designated EHV charges'!$A$10:$A$401),1, COUNTIF(A$4:$A263, 'Annex 2 Designated EHV charges'!$A$10:$A$401)), 0)),"")</f>
        <v>PICKEN</v>
      </c>
      <c r="B264" s="94">
        <f>IF($A264="","",VLOOKUP($A264,'Annex 2 Designated EHV charges'!$A:$O,2,0))</f>
        <v>830</v>
      </c>
      <c r="C264" s="95">
        <f>IF($A264="","",VLOOKUP($A264,'Annex 2 Designated EHV charges'!$A:$O,3,0))</f>
        <v>1030030431071</v>
      </c>
      <c r="D264" s="94" t="str">
        <f>IF($A264="","",VLOOKUP($A264,'Annex 2 Designated EHV charges'!$A:$O,7,0))</f>
        <v>PICKEN</v>
      </c>
      <c r="E264" s="97">
        <f>IFERROR(IF(VLOOKUP($A264,'Annex 2 Designated EHV charges'!$A:$O,9,FALSE)=0,"",VLOOKUP($A264,'Annex 2 Designated EHV charges'!$A:$O,9,FALSE)),"")</f>
        <v>0.432</v>
      </c>
      <c r="F264" s="194">
        <f>IFERROR(IF(VLOOKUP($A264,'Annex 2 Designated EHV charges'!$A:$O,10,FALSE)=0,"",VLOOKUP($A264,'Annex 2 Designated EHV charges'!$A:$O,10,FALSE)),"")</f>
        <v>10.56</v>
      </c>
      <c r="G264" s="194">
        <f>IFERROR(IF(VLOOKUP($A264,'Annex 2 Designated EHV charges'!$A:$O,11,FALSE)=0,"",VLOOKUP($A264,'Annex 2 Designated EHV charges'!$A:$O,11,FALSE)),"")</f>
        <v>1.35</v>
      </c>
      <c r="H264" s="194">
        <f>IFERROR(IF(VLOOKUP($A264,'Annex 2 Designated EHV charges'!$A:$O,12,FALSE)=0,"",VLOOKUP($A264,'Annex 2 Designated EHV charges'!$A:$O,12,FALSE)),"")</f>
        <v>1.35</v>
      </c>
    </row>
    <row r="265" spans="1:8" x14ac:dyDescent="0.2">
      <c r="A265" s="94" t="str" cm="1">
        <f t="array" ref="A265">IFERROR(INDEX('Annex 2 Designated EHV charges'!$A$10:$A$401, MATCH(0, IF(ISBLANK('Annex 2 Designated EHV charges'!$A$10:$A$401),1, COUNTIF(A$4:$A264, 'Annex 2 Designated EHV charges'!$A$10:$A$401)), 0)),"")</f>
        <v>PLYTRS</v>
      </c>
      <c r="B265" s="94">
        <f>IF($A265="","",VLOOKUP($A265,'Annex 2 Designated EHV charges'!$A:$O,2,0))</f>
        <v>577</v>
      </c>
      <c r="C265" s="95">
        <f>IF($A265="","",VLOOKUP($A265,'Annex 2 Designated EHV charges'!$A:$O,3,0))</f>
        <v>1050000903165</v>
      </c>
      <c r="D265" s="94" t="str">
        <f>IF($A265="","",VLOOKUP($A265,'Annex 2 Designated EHV charges'!$A:$O,7,0))</f>
        <v>PLYTRS</v>
      </c>
      <c r="E265" s="97">
        <f>IFERROR(IF(VLOOKUP($A265,'Annex 2 Designated EHV charges'!$A:$O,9,FALSE)=0,"",VLOOKUP($A265,'Annex 2 Designated EHV charges'!$A:$O,9,FALSE)),"")</f>
        <v>3.8319999999999999</v>
      </c>
      <c r="F265" s="194">
        <f>IFERROR(IF(VLOOKUP($A265,'Annex 2 Designated EHV charges'!$A:$O,10,FALSE)=0,"",VLOOKUP($A265,'Annex 2 Designated EHV charges'!$A:$O,10,FALSE)),"")</f>
        <v>75.739999999999995</v>
      </c>
      <c r="G265" s="194">
        <f>IFERROR(IF(VLOOKUP($A265,'Annex 2 Designated EHV charges'!$A:$O,11,FALSE)=0,"",VLOOKUP($A265,'Annex 2 Designated EHV charges'!$A:$O,11,FALSE)),"")</f>
        <v>3.06</v>
      </c>
      <c r="H265" s="194">
        <f>IFERROR(IF(VLOOKUP($A265,'Annex 2 Designated EHV charges'!$A:$O,12,FALSE)=0,"",VLOOKUP($A265,'Annex 2 Designated EHV charges'!$A:$O,12,FALSE)),"")</f>
        <v>3.06</v>
      </c>
    </row>
    <row r="266" spans="1:8" x14ac:dyDescent="0.2">
      <c r="A266" s="94" t="str" cm="1">
        <f t="array" ref="A266">IFERROR(INDEX('Annex 2 Designated EHV charges'!$A$10:$A$401, MATCH(0, IF(ISBLANK('Annex 2 Designated EHV charges'!$A$10:$A$401),1, COUNTIF(A$4:$A265, 'Annex 2 Designated EHV charges'!$A$10:$A$401)), 0)),"")</f>
        <v>POBAIL</v>
      </c>
      <c r="B266" s="94">
        <f>IF($A266="","",VLOOKUP($A266,'Annex 2 Designated EHV charges'!$A:$O,2,0))</f>
        <v>565</v>
      </c>
      <c r="C266" s="95">
        <f>IF($A266="","",VLOOKUP($A266,'Annex 2 Designated EHV charges'!$A:$O,3,0))</f>
        <v>1050001118598</v>
      </c>
      <c r="D266" s="94" t="str">
        <f>IF($A266="","",VLOOKUP($A266,'Annex 2 Designated EHV charges'!$A:$O,7,0))</f>
        <v>POBAIL</v>
      </c>
      <c r="E266" s="97">
        <f>IFERROR(IF(VLOOKUP($A266,'Annex 2 Designated EHV charges'!$A:$O,9,FALSE)=0,"",VLOOKUP($A266,'Annex 2 Designated EHV charges'!$A:$O,9,FALSE)),"")</f>
        <v>0.80400000000000005</v>
      </c>
      <c r="F266" s="194">
        <f>IFERROR(IF(VLOOKUP($A266,'Annex 2 Designated EHV charges'!$A:$O,10,FALSE)=0,"",VLOOKUP($A266,'Annex 2 Designated EHV charges'!$A:$O,10,FALSE)),"")</f>
        <v>37.130000000000003</v>
      </c>
      <c r="G266" s="194">
        <f>IFERROR(IF(VLOOKUP($A266,'Annex 2 Designated EHV charges'!$A:$O,11,FALSE)=0,"",VLOOKUP($A266,'Annex 2 Designated EHV charges'!$A:$O,11,FALSE)),"")</f>
        <v>5.97</v>
      </c>
      <c r="H266" s="194">
        <f>IFERROR(IF(VLOOKUP($A266,'Annex 2 Designated EHV charges'!$A:$O,12,FALSE)=0,"",VLOOKUP($A266,'Annex 2 Designated EHV charges'!$A:$O,12,FALSE)),"")</f>
        <v>5.97</v>
      </c>
    </row>
    <row r="267" spans="1:8" x14ac:dyDescent="0.2">
      <c r="A267" s="94" t="str" cm="1">
        <f t="array" ref="A267">IFERROR(INDEX('Annex 2 Designated EHV charges'!$A$10:$A$401, MATCH(0, IF(ISBLANK('Annex 2 Designated EHV charges'!$A$10:$A$401),1, COUNTIF(A$4:$A266, 'Annex 2 Designated EHV charges'!$A$10:$A$401)), 0)),"")</f>
        <v>PRHMSF</v>
      </c>
      <c r="B267" s="94">
        <f>IF($A267="","",VLOOKUP($A267,'Annex 2 Designated EHV charges'!$A:$O,2,0))</f>
        <v>895</v>
      </c>
      <c r="C267" s="95">
        <f>IF($A267="","",VLOOKUP($A267,'Annex 2 Designated EHV charges'!$A:$O,3,0))</f>
        <v>1030085099084</v>
      </c>
      <c r="D267" s="94" t="str">
        <f>IF($A267="","",VLOOKUP($A267,'Annex 2 Designated EHV charges'!$A:$O,7,0))</f>
        <v>PRHMSF</v>
      </c>
      <c r="E267" s="97">
        <f>IFERROR(IF(VLOOKUP($A267,'Annex 2 Designated EHV charges'!$A:$O,9,FALSE)=0,"",VLOOKUP($A267,'Annex 2 Designated EHV charges'!$A:$O,9,FALSE)),"")</f>
        <v>0.49</v>
      </c>
      <c r="F267" s="194">
        <f>IFERROR(IF(VLOOKUP($A267,'Annex 2 Designated EHV charges'!$A:$O,10,FALSE)=0,"",VLOOKUP($A267,'Annex 2 Designated EHV charges'!$A:$O,10,FALSE)),"")</f>
        <v>12.95</v>
      </c>
      <c r="G267" s="194">
        <f>IFERROR(IF(VLOOKUP($A267,'Annex 2 Designated EHV charges'!$A:$O,11,FALSE)=0,"",VLOOKUP($A267,'Annex 2 Designated EHV charges'!$A:$O,11,FALSE)),"")</f>
        <v>11.62</v>
      </c>
      <c r="H267" s="194">
        <f>IFERROR(IF(VLOOKUP($A267,'Annex 2 Designated EHV charges'!$A:$O,12,FALSE)=0,"",VLOOKUP($A267,'Annex 2 Designated EHV charges'!$A:$O,12,FALSE)),"")</f>
        <v>11.62</v>
      </c>
    </row>
    <row r="268" spans="1:8" x14ac:dyDescent="0.2">
      <c r="A268" s="94" t="str" cm="1">
        <f t="array" ref="A268">IFERROR(INDEX('Annex 2 Designated EHV charges'!$A$10:$A$401, MATCH(0, IF(ISBLANK('Annex 2 Designated EHV charges'!$A$10:$A$401),1, COUNTIF(A$4:$A267, 'Annex 2 Designated EHV charges'!$A$10:$A$401)), 0)),"")</f>
        <v>PTRBRO</v>
      </c>
      <c r="B268" s="94">
        <f>IF($A268="","",VLOOKUP($A268,'Annex 2 Designated EHV charges'!$A:$O,2,0))</f>
        <v>0</v>
      </c>
      <c r="C268" s="95" t="str">
        <f>IF($A268="","",VLOOKUP($A268,'Annex 2 Designated EHV charges'!$A:$O,3,0))</f>
        <v>MSID: 7006</v>
      </c>
      <c r="D268" s="94" t="str">
        <f>IF($A268="","",VLOOKUP($A268,'Annex 2 Designated EHV charges'!$A:$O,7,0))</f>
        <v>PTRBRO</v>
      </c>
      <c r="E268" s="97" t="str">
        <f>IFERROR(IF(VLOOKUP($A268,'Annex 2 Designated EHV charges'!$A:$O,9,FALSE)=0,"",VLOOKUP($A268,'Annex 2 Designated EHV charges'!$A:$O,9,FALSE)),"")</f>
        <v/>
      </c>
      <c r="F268" s="194">
        <f>IFERROR(IF(VLOOKUP($A268,'Annex 2 Designated EHV charges'!$A:$O,10,FALSE)=0,"",VLOOKUP($A268,'Annex 2 Designated EHV charges'!$A:$O,10,FALSE)),"")</f>
        <v>2.19</v>
      </c>
      <c r="G268" s="194">
        <f>IFERROR(IF(VLOOKUP($A268,'Annex 2 Designated EHV charges'!$A:$O,11,FALSE)=0,"",VLOOKUP($A268,'Annex 2 Designated EHV charges'!$A:$O,11,FALSE)),"")</f>
        <v>1.53</v>
      </c>
      <c r="H268" s="194">
        <f>IFERROR(IF(VLOOKUP($A268,'Annex 2 Designated EHV charges'!$A:$O,12,FALSE)=0,"",VLOOKUP($A268,'Annex 2 Designated EHV charges'!$A:$O,12,FALSE)),"")</f>
        <v>1.53</v>
      </c>
    </row>
    <row r="269" spans="1:8" x14ac:dyDescent="0.2">
      <c r="A269" s="94" t="str" cm="1">
        <f t="array" ref="A269">IFERROR(INDEX('Annex 2 Designated EHV charges'!$A$10:$A$401, MATCH(0, IF(ISBLANK('Annex 2 Designated EHV charges'!$A$10:$A$401),1, COUNTIF(A$4:$A268, 'Annex 2 Designated EHV charges'!$A$10:$A$401)), 0)),"")</f>
        <v>QRRNDN</v>
      </c>
      <c r="B269" s="94">
        <f>IF($A269="","",VLOOKUP($A269,'Annex 2 Designated EHV charges'!$A:$O,2,0))</f>
        <v>526</v>
      </c>
      <c r="C269" s="95">
        <f>IF($A269="","",VLOOKUP($A269,'Annex 2 Designated EHV charges'!$A:$O,3,0))</f>
        <v>1050000768550</v>
      </c>
      <c r="D269" s="94" t="str">
        <f>IF($A269="","",VLOOKUP($A269,'Annex 2 Designated EHV charges'!$A:$O,7,0))</f>
        <v>QRRNDN</v>
      </c>
      <c r="E269" s="97">
        <f>IFERROR(IF(VLOOKUP($A269,'Annex 2 Designated EHV charges'!$A:$O,9,FALSE)=0,"",VLOOKUP($A269,'Annex 2 Designated EHV charges'!$A:$O,9,FALSE)),"")</f>
        <v>2.222</v>
      </c>
      <c r="F269" s="194">
        <f>IFERROR(IF(VLOOKUP($A269,'Annex 2 Designated EHV charges'!$A:$O,10,FALSE)=0,"",VLOOKUP($A269,'Annex 2 Designated EHV charges'!$A:$O,10,FALSE)),"")</f>
        <v>65.05</v>
      </c>
      <c r="G269" s="194">
        <f>IFERROR(IF(VLOOKUP($A269,'Annex 2 Designated EHV charges'!$A:$O,11,FALSE)=0,"",VLOOKUP($A269,'Annex 2 Designated EHV charges'!$A:$O,11,FALSE)),"")</f>
        <v>10.18</v>
      </c>
      <c r="H269" s="194">
        <f>IFERROR(IF(VLOOKUP($A269,'Annex 2 Designated EHV charges'!$A:$O,12,FALSE)=0,"",VLOOKUP($A269,'Annex 2 Designated EHV charges'!$A:$O,12,FALSE)),"")</f>
        <v>10.18</v>
      </c>
    </row>
    <row r="270" spans="1:8" ht="25.5" x14ac:dyDescent="0.2">
      <c r="A270" s="94" t="str" cm="1">
        <f t="array" ref="A270">IFERROR(INDEX('Annex 2 Designated EHV charges'!$A$10:$A$401, MATCH(0, IF(ISBLANK('Annex 2 Designated EHV charges'!$A$10:$A$401),1, COUNTIF(A$4:$A269, 'Annex 2 Designated EHV charges'!$A$10:$A$401)), 0)),"")</f>
        <v>RAINHM</v>
      </c>
      <c r="B270" s="94">
        <f>IF($A270="","",VLOOKUP($A270,'Annex 2 Designated EHV charges'!$A:$O,2,0))</f>
        <v>862</v>
      </c>
      <c r="C270" s="95" t="str">
        <f>IF($A270="","",VLOOKUP($A270,'Annex 2 Designated EHV charges'!$A:$O,3,0))</f>
        <v>1023487352751;1023487353212</v>
      </c>
      <c r="D270" s="94" t="str">
        <f>IF($A270="","",VLOOKUP($A270,'Annex 2 Designated EHV charges'!$A:$O,7,0))</f>
        <v>RAINHM</v>
      </c>
      <c r="E270" s="97">
        <f>IFERROR(IF(VLOOKUP($A270,'Annex 2 Designated EHV charges'!$A:$O,9,FALSE)=0,"",VLOOKUP($A270,'Annex 2 Designated EHV charges'!$A:$O,9,FALSE)),"")</f>
        <v>1.716</v>
      </c>
      <c r="F270" s="194">
        <f>IFERROR(IF(VLOOKUP($A270,'Annex 2 Designated EHV charges'!$A:$O,10,FALSE)=0,"",VLOOKUP($A270,'Annex 2 Designated EHV charges'!$A:$O,10,FALSE)),"")</f>
        <v>63.95</v>
      </c>
      <c r="G270" s="194">
        <f>IFERROR(IF(VLOOKUP($A270,'Annex 2 Designated EHV charges'!$A:$O,11,FALSE)=0,"",VLOOKUP($A270,'Annex 2 Designated EHV charges'!$A:$O,11,FALSE)),"")</f>
        <v>2.4900000000000002</v>
      </c>
      <c r="H270" s="194">
        <f>IFERROR(IF(VLOOKUP($A270,'Annex 2 Designated EHV charges'!$A:$O,12,FALSE)=0,"",VLOOKUP($A270,'Annex 2 Designated EHV charges'!$A:$O,12,FALSE)),"")</f>
        <v>2.4900000000000002</v>
      </c>
    </row>
    <row r="271" spans="1:8" x14ac:dyDescent="0.2">
      <c r="A271" s="94" t="str" cm="1">
        <f t="array" ref="A271">IFERROR(INDEX('Annex 2 Designated EHV charges'!$A$10:$A$401, MATCH(0, IF(ISBLANK('Annex 2 Designated EHV charges'!$A$10:$A$401),1, COUNTIF(A$4:$A270, 'Annex 2 Designated EHV charges'!$A$10:$A$401)), 0)),"")</f>
        <v>RANDCS</v>
      </c>
      <c r="B271" s="94">
        <f>IF($A271="","",VLOOKUP($A271,'Annex 2 Designated EHV charges'!$A:$O,2,0))</f>
        <v>555</v>
      </c>
      <c r="C271" s="95">
        <f>IF($A271="","",VLOOKUP($A271,'Annex 2 Designated EHV charges'!$A:$O,3,0))</f>
        <v>1050001041962</v>
      </c>
      <c r="D271" s="94" t="str">
        <f>IF($A271="","",VLOOKUP($A271,'Annex 2 Designated EHV charges'!$A:$O,7,0))</f>
        <v>RANDCS</v>
      </c>
      <c r="E271" s="97">
        <f>IFERROR(IF(VLOOKUP($A271,'Annex 2 Designated EHV charges'!$A:$O,9,FALSE)=0,"",VLOOKUP($A271,'Annex 2 Designated EHV charges'!$A:$O,9,FALSE)),"")</f>
        <v>9.5000000000000001E-2</v>
      </c>
      <c r="F271" s="194">
        <f>IFERROR(IF(VLOOKUP($A271,'Annex 2 Designated EHV charges'!$A:$O,10,FALSE)=0,"",VLOOKUP($A271,'Annex 2 Designated EHV charges'!$A:$O,10,FALSE)),"")</f>
        <v>12.63</v>
      </c>
      <c r="G271" s="194">
        <f>IFERROR(IF(VLOOKUP($A271,'Annex 2 Designated EHV charges'!$A:$O,11,FALSE)=0,"",VLOOKUP($A271,'Annex 2 Designated EHV charges'!$A:$O,11,FALSE)),"")</f>
        <v>2.2000000000000002</v>
      </c>
      <c r="H271" s="194">
        <f>IFERROR(IF(VLOOKUP($A271,'Annex 2 Designated EHV charges'!$A:$O,12,FALSE)=0,"",VLOOKUP($A271,'Annex 2 Designated EHV charges'!$A:$O,12,FALSE)),"")</f>
        <v>2.2000000000000002</v>
      </c>
    </row>
    <row r="272" spans="1:8" x14ac:dyDescent="0.2">
      <c r="A272" s="94" t="str" cm="1">
        <f t="array" ref="A272">IFERROR(INDEX('Annex 2 Designated EHV charges'!$A$10:$A$401, MATCH(0, IF(ISBLANK('Annex 2 Designated EHV charges'!$A$10:$A$401),1, COUNTIF(A$4:$A271, 'Annex 2 Designated EHV charges'!$A$10:$A$401)), 0)),"")</f>
        <v>RANSON</v>
      </c>
      <c r="B272" s="94">
        <f>IF($A272="","",VLOOKUP($A272,'Annex 2 Designated EHV charges'!$A:$O,2,0))</f>
        <v>834</v>
      </c>
      <c r="C272" s="95">
        <f>IF($A272="","",VLOOKUP($A272,'Annex 2 Designated EHV charges'!$A:$O,3,0))</f>
        <v>1030034117745</v>
      </c>
      <c r="D272" s="94" t="str">
        <f>IF($A272="","",VLOOKUP($A272,'Annex 2 Designated EHV charges'!$A:$O,7,0))</f>
        <v>RANSON</v>
      </c>
      <c r="E272" s="97">
        <f>IFERROR(IF(VLOOKUP($A272,'Annex 2 Designated EHV charges'!$A:$O,9,FALSE)=0,"",VLOOKUP($A272,'Annex 2 Designated EHV charges'!$A:$O,9,FALSE)),"")</f>
        <v>0.219</v>
      </c>
      <c r="F272" s="194">
        <f>IFERROR(IF(VLOOKUP($A272,'Annex 2 Designated EHV charges'!$A:$O,10,FALSE)=0,"",VLOOKUP($A272,'Annex 2 Designated EHV charges'!$A:$O,10,FALSE)),"")</f>
        <v>4.8</v>
      </c>
      <c r="G272" s="194">
        <f>IFERROR(IF(VLOOKUP($A272,'Annex 2 Designated EHV charges'!$A:$O,11,FALSE)=0,"",VLOOKUP($A272,'Annex 2 Designated EHV charges'!$A:$O,11,FALSE)),"")</f>
        <v>1.51</v>
      </c>
      <c r="H272" s="194">
        <f>IFERROR(IF(VLOOKUP($A272,'Annex 2 Designated EHV charges'!$A:$O,12,FALSE)=0,"",VLOOKUP($A272,'Annex 2 Designated EHV charges'!$A:$O,12,FALSE)),"")</f>
        <v>1.51</v>
      </c>
    </row>
    <row r="273" spans="1:8" ht="25.5" x14ac:dyDescent="0.2">
      <c r="A273" s="94" t="str" cm="1">
        <f t="array" ref="A273">IFERROR(INDEX('Annex 2 Designated EHV charges'!$A$10:$A$401, MATCH(0, IF(ISBLANK('Annex 2 Designated EHV charges'!$A$10:$A$401),1, COUNTIF(A$4:$A272, 'Annex 2 Designated EHV charges'!$A$10:$A$401)), 0)),"")</f>
        <v>REDTI1</v>
      </c>
      <c r="B273" s="94">
        <f>IF($A273="","",VLOOKUP($A273,'Annex 2 Designated EHV charges'!$A:$O,2,0))</f>
        <v>815</v>
      </c>
      <c r="C273" s="95" t="str">
        <f>IF($A273="","",VLOOKUP($A273,'Annex 2 Designated EHV charges'!$A:$O,3,0))</f>
        <v>1030037258165;1030037720697</v>
      </c>
      <c r="D273" s="94" t="str">
        <f>IF($A273="","",VLOOKUP($A273,'Annex 2 Designated EHV charges'!$A:$O,7,0))</f>
        <v>REDTI1</v>
      </c>
      <c r="E273" s="97">
        <f>IFERROR(IF(VLOOKUP($A273,'Annex 2 Designated EHV charges'!$A:$O,9,FALSE)=0,"",VLOOKUP($A273,'Annex 2 Designated EHV charges'!$A:$O,9,FALSE)),"")</f>
        <v>0.97299999999999998</v>
      </c>
      <c r="F273" s="194">
        <f>IFERROR(IF(VLOOKUP($A273,'Annex 2 Designated EHV charges'!$A:$O,10,FALSE)=0,"",VLOOKUP($A273,'Annex 2 Designated EHV charges'!$A:$O,10,FALSE)),"")</f>
        <v>328.69</v>
      </c>
      <c r="G273" s="194">
        <f>IFERROR(IF(VLOOKUP($A273,'Annex 2 Designated EHV charges'!$A:$O,11,FALSE)=0,"",VLOOKUP($A273,'Annex 2 Designated EHV charges'!$A:$O,11,FALSE)),"")</f>
        <v>3.18</v>
      </c>
      <c r="H273" s="194">
        <f>IFERROR(IF(VLOOKUP($A273,'Annex 2 Designated EHV charges'!$A:$O,12,FALSE)=0,"",VLOOKUP($A273,'Annex 2 Designated EHV charges'!$A:$O,12,FALSE)),"")</f>
        <v>3.18</v>
      </c>
    </row>
    <row r="274" spans="1:8" x14ac:dyDescent="0.2">
      <c r="A274" s="94" t="str" cm="1">
        <f t="array" ref="A274">IFERROR(INDEX('Annex 2 Designated EHV charges'!$A$10:$A$401, MATCH(0, IF(ISBLANK('Annex 2 Designated EHV charges'!$A$10:$A$401),1, COUNTIF(A$4:$A273, 'Annex 2 Designated EHV charges'!$A$10:$A$401)), 0)),"")</f>
        <v>REYDON</v>
      </c>
      <c r="B274" s="94">
        <f>IF($A274="","",VLOOKUP($A274,'Annex 2 Designated EHV charges'!$A:$O,2,0))</f>
        <v>896</v>
      </c>
      <c r="C274" s="95">
        <f>IF($A274="","",VLOOKUP($A274,'Annex 2 Designated EHV charges'!$A:$O,3,0))</f>
        <v>1050000612816</v>
      </c>
      <c r="D274" s="94" t="str">
        <f>IF($A274="","",VLOOKUP($A274,'Annex 2 Designated EHV charges'!$A:$O,7,0))</f>
        <v>REYDON</v>
      </c>
      <c r="E274" s="97">
        <f>IFERROR(IF(VLOOKUP($A274,'Annex 2 Designated EHV charges'!$A:$O,9,FALSE)=0,"",VLOOKUP($A274,'Annex 2 Designated EHV charges'!$A:$O,9,FALSE)),"")</f>
        <v>3.8460000000000001</v>
      </c>
      <c r="F274" s="194">
        <f>IFERROR(IF(VLOOKUP($A274,'Annex 2 Designated EHV charges'!$A:$O,10,FALSE)=0,"",VLOOKUP($A274,'Annex 2 Designated EHV charges'!$A:$O,10,FALSE)),"")</f>
        <v>4623.3900000000003</v>
      </c>
      <c r="G274" s="194">
        <f>IFERROR(IF(VLOOKUP($A274,'Annex 2 Designated EHV charges'!$A:$O,11,FALSE)=0,"",VLOOKUP($A274,'Annex 2 Designated EHV charges'!$A:$O,11,FALSE)),"")</f>
        <v>2.67</v>
      </c>
      <c r="H274" s="194">
        <f>IFERROR(IF(VLOOKUP($A274,'Annex 2 Designated EHV charges'!$A:$O,12,FALSE)=0,"",VLOOKUP($A274,'Annex 2 Designated EHV charges'!$A:$O,12,FALSE)),"")</f>
        <v>2.67</v>
      </c>
    </row>
    <row r="275" spans="1:8" x14ac:dyDescent="0.2">
      <c r="A275" s="94" t="str" cm="1">
        <f t="array" ref="A275">IFERROR(INDEX('Annex 2 Designated EHV charges'!$A$10:$A$401, MATCH(0, IF(ISBLANK('Annex 2 Designated EHV charges'!$A$10:$A$401),1, COUNTIF(A$4:$A274, 'Annex 2 Designated EHV charges'!$A$10:$A$401)), 0)),"")</f>
        <v>RIVERF</v>
      </c>
      <c r="B275" s="94">
        <f>IF($A275="","",VLOOKUP($A275,'Annex 2 Designated EHV charges'!$A:$O,2,0))</f>
        <v>347</v>
      </c>
      <c r="C275" s="95">
        <f>IF($A275="","",VLOOKUP($A275,'Annex 2 Designated EHV charges'!$A:$O,3,0))</f>
        <v>1050002912463</v>
      </c>
      <c r="D275" s="94" t="str">
        <f>IF($A275="","",VLOOKUP($A275,'Annex 2 Designated EHV charges'!$A:$O,7,0))</f>
        <v>RIVERF</v>
      </c>
      <c r="E275" s="97" t="str">
        <f>IFERROR(IF(VLOOKUP($A275,'Annex 2 Designated EHV charges'!$A:$O,9,FALSE)=0,"",VLOOKUP($A275,'Annex 2 Designated EHV charges'!$A:$O,9,FALSE)),"")</f>
        <v/>
      </c>
      <c r="F275" s="194">
        <f>IFERROR(IF(VLOOKUP($A275,'Annex 2 Designated EHV charges'!$A:$O,10,FALSE)=0,"",VLOOKUP($A275,'Annex 2 Designated EHV charges'!$A:$O,10,FALSE)),"")</f>
        <v>11655.55</v>
      </c>
      <c r="G275" s="194">
        <f>IFERROR(IF(VLOOKUP($A275,'Annex 2 Designated EHV charges'!$A:$O,11,FALSE)=0,"",VLOOKUP($A275,'Annex 2 Designated EHV charges'!$A:$O,11,FALSE)),"")</f>
        <v>1.4</v>
      </c>
      <c r="H275" s="194">
        <f>IFERROR(IF(VLOOKUP($A275,'Annex 2 Designated EHV charges'!$A:$O,12,FALSE)=0,"",VLOOKUP($A275,'Annex 2 Designated EHV charges'!$A:$O,12,FALSE)),"")</f>
        <v>1.4</v>
      </c>
    </row>
    <row r="276" spans="1:8" x14ac:dyDescent="0.2">
      <c r="A276" s="94" t="str" cm="1">
        <f t="array" ref="A276">IFERROR(INDEX('Annex 2 Designated EHV charges'!$A$10:$A$401, MATCH(0, IF(ISBLANK('Annex 2 Designated EHV charges'!$A$10:$A$401),1, COUNTIF(A$4:$A275, 'Annex 2 Designated EHV charges'!$A$10:$A$401)), 0)),"")</f>
        <v>RKYERF</v>
      </c>
      <c r="B276" s="94">
        <f>IF($A276="","",VLOOKUP($A276,'Annex 2 Designated EHV charges'!$A:$O,2,0))</f>
        <v>331</v>
      </c>
      <c r="C276" s="95">
        <f>IF($A276="","",VLOOKUP($A276,'Annex 2 Designated EHV charges'!$A:$O,3,0))</f>
        <v>1050001971040</v>
      </c>
      <c r="D276" s="94" t="str">
        <f>IF($A276="","",VLOOKUP($A276,'Annex 2 Designated EHV charges'!$A:$O,7,0))</f>
        <v>RKYERF</v>
      </c>
      <c r="E276" s="97">
        <f>IFERROR(IF(VLOOKUP($A276,'Annex 2 Designated EHV charges'!$A:$O,9,FALSE)=0,"",VLOOKUP($A276,'Annex 2 Designated EHV charges'!$A:$O,9,FALSE)),"")</f>
        <v>3.7999999999999999E-2</v>
      </c>
      <c r="F276" s="194">
        <f>IFERROR(IF(VLOOKUP($A276,'Annex 2 Designated EHV charges'!$A:$O,10,FALSE)=0,"",VLOOKUP($A276,'Annex 2 Designated EHV charges'!$A:$O,10,FALSE)),"")</f>
        <v>1547.37</v>
      </c>
      <c r="G276" s="194">
        <f>IFERROR(IF(VLOOKUP($A276,'Annex 2 Designated EHV charges'!$A:$O,11,FALSE)=0,"",VLOOKUP($A276,'Annex 2 Designated EHV charges'!$A:$O,11,FALSE)),"")</f>
        <v>1.8</v>
      </c>
      <c r="H276" s="194">
        <f>IFERROR(IF(VLOOKUP($A276,'Annex 2 Designated EHV charges'!$A:$O,12,FALSE)=0,"",VLOOKUP($A276,'Annex 2 Designated EHV charges'!$A:$O,12,FALSE)),"")</f>
        <v>1.8</v>
      </c>
    </row>
    <row r="277" spans="1:8" x14ac:dyDescent="0.2">
      <c r="A277" s="94" t="str" cm="1">
        <f t="array" ref="A277">IFERROR(INDEX('Annex 2 Designated EHV charges'!$A$10:$A$401, MATCH(0, IF(ISBLANK('Annex 2 Designated EHV charges'!$A$10:$A$401),1, COUNTIF(A$4:$A276, 'Annex 2 Designated EHV charges'!$A$10:$A$401)), 0)),"")</f>
        <v>RMSYSF</v>
      </c>
      <c r="B277" s="94">
        <f>IF($A277="","",VLOOKUP($A277,'Annex 2 Designated EHV charges'!$A:$O,2,0))</f>
        <v>556</v>
      </c>
      <c r="C277" s="95">
        <f>IF($A277="","",VLOOKUP($A277,'Annex 2 Designated EHV charges'!$A:$O,3,0))</f>
        <v>1050001036651</v>
      </c>
      <c r="D277" s="94" t="str">
        <f>IF($A277="","",VLOOKUP($A277,'Annex 2 Designated EHV charges'!$A:$O,7,0))</f>
        <v>RMSYSF</v>
      </c>
      <c r="E277" s="97">
        <f>IFERROR(IF(VLOOKUP($A277,'Annex 2 Designated EHV charges'!$A:$O,9,FALSE)=0,"",VLOOKUP($A277,'Annex 2 Designated EHV charges'!$A:$O,9,FALSE)),"")</f>
        <v>0.57599999999999996</v>
      </c>
      <c r="F277" s="194">
        <f>IFERROR(IF(VLOOKUP($A277,'Annex 2 Designated EHV charges'!$A:$O,10,FALSE)=0,"",VLOOKUP($A277,'Annex 2 Designated EHV charges'!$A:$O,10,FALSE)),"")</f>
        <v>162.26</v>
      </c>
      <c r="G277" s="194">
        <f>IFERROR(IF(VLOOKUP($A277,'Annex 2 Designated EHV charges'!$A:$O,11,FALSE)=0,"",VLOOKUP($A277,'Annex 2 Designated EHV charges'!$A:$O,11,FALSE)),"")</f>
        <v>1.55</v>
      </c>
      <c r="H277" s="194">
        <f>IFERROR(IF(VLOOKUP($A277,'Annex 2 Designated EHV charges'!$A:$O,12,FALSE)=0,"",VLOOKUP($A277,'Annex 2 Designated EHV charges'!$A:$O,12,FALSE)),"")</f>
        <v>1.55</v>
      </c>
    </row>
    <row r="278" spans="1:8" x14ac:dyDescent="0.2">
      <c r="A278" s="94" t="str" cm="1">
        <f t="array" ref="A278">IFERROR(INDEX('Annex 2 Designated EHV charges'!$A$10:$A$401, MATCH(0, IF(ISBLANK('Annex 2 Designated EHV charges'!$A$10:$A$401),1, COUNTIF(A$4:$A277, 'Annex 2 Designated EHV charges'!$A$10:$A$401)), 0)),"")</f>
        <v>RMWFII</v>
      </c>
      <c r="B278" s="94">
        <f>IF($A278="","",VLOOKUP($A278,'Annex 2 Designated EHV charges'!$A:$O,2,0))</f>
        <v>557</v>
      </c>
      <c r="C278" s="95">
        <f>IF($A278="","",VLOOKUP($A278,'Annex 2 Designated EHV charges'!$A:$O,3,0))</f>
        <v>1050000811220</v>
      </c>
      <c r="D278" s="94" t="str">
        <f>IF($A278="","",VLOOKUP($A278,'Annex 2 Designated EHV charges'!$A:$O,7,0))</f>
        <v>RMWFII</v>
      </c>
      <c r="E278" s="97">
        <f>IFERROR(IF(VLOOKUP($A278,'Annex 2 Designated EHV charges'!$A:$O,9,FALSE)=0,"",VLOOKUP($A278,'Annex 2 Designated EHV charges'!$A:$O,9,FALSE)),"")</f>
        <v>0.60299999999999998</v>
      </c>
      <c r="F278" s="194">
        <f>IFERROR(IF(VLOOKUP($A278,'Annex 2 Designated EHV charges'!$A:$O,10,FALSE)=0,"",VLOOKUP($A278,'Annex 2 Designated EHV charges'!$A:$O,10,FALSE)),"")</f>
        <v>26.98</v>
      </c>
      <c r="G278" s="194">
        <f>IFERROR(IF(VLOOKUP($A278,'Annex 2 Designated EHV charges'!$A:$O,11,FALSE)=0,"",VLOOKUP($A278,'Annex 2 Designated EHV charges'!$A:$O,11,FALSE)),"")</f>
        <v>2.06</v>
      </c>
      <c r="H278" s="194">
        <f>IFERROR(IF(VLOOKUP($A278,'Annex 2 Designated EHV charges'!$A:$O,12,FALSE)=0,"",VLOOKUP($A278,'Annex 2 Designated EHV charges'!$A:$O,12,FALSE)),"")</f>
        <v>2.06</v>
      </c>
    </row>
    <row r="279" spans="1:8" x14ac:dyDescent="0.2">
      <c r="A279" s="94" t="str" cm="1">
        <f t="array" ref="A279">IFERROR(INDEX('Annex 2 Designated EHV charges'!$A$10:$A$401, MATCH(0, IF(ISBLANK('Annex 2 Designated EHV charges'!$A$10:$A$401),1, COUNTIF(A$4:$A278, 'Annex 2 Designated EHV charges'!$A$10:$A$401)), 0)),"")</f>
        <v>ROOKRY</v>
      </c>
      <c r="B279" s="94">
        <f>IF($A279="","",VLOOKUP($A279,'Annex 2 Designated EHV charges'!$A:$O,2,0))</f>
        <v>558</v>
      </c>
      <c r="C279" s="95">
        <f>IF($A279="","",VLOOKUP($A279,'Annex 2 Designated EHV charges'!$A:$O,3,0))</f>
        <v>1050001028465</v>
      </c>
      <c r="D279" s="94" t="str">
        <f>IF($A279="","",VLOOKUP($A279,'Annex 2 Designated EHV charges'!$A:$O,7,0))</f>
        <v>ROOKRY</v>
      </c>
      <c r="E279" s="97" t="str">
        <f>IFERROR(IF(VLOOKUP($A279,'Annex 2 Designated EHV charges'!$A:$O,9,FALSE)=0,"",VLOOKUP($A279,'Annex 2 Designated EHV charges'!$A:$O,9,FALSE)),"")</f>
        <v/>
      </c>
      <c r="F279" s="194">
        <f>IFERROR(IF(VLOOKUP($A279,'Annex 2 Designated EHV charges'!$A:$O,10,FALSE)=0,"",VLOOKUP($A279,'Annex 2 Designated EHV charges'!$A:$O,10,FALSE)),"")</f>
        <v>11.3</v>
      </c>
      <c r="G279" s="194">
        <f>IFERROR(IF(VLOOKUP($A279,'Annex 2 Designated EHV charges'!$A:$O,11,FALSE)=0,"",VLOOKUP($A279,'Annex 2 Designated EHV charges'!$A:$O,11,FALSE)),"")</f>
        <v>8.1999999999999993</v>
      </c>
      <c r="H279" s="194">
        <f>IFERROR(IF(VLOOKUP($A279,'Annex 2 Designated EHV charges'!$A:$O,12,FALSE)=0,"",VLOOKUP($A279,'Annex 2 Designated EHV charges'!$A:$O,12,FALSE)),"")</f>
        <v>8.1999999999999993</v>
      </c>
    </row>
    <row r="280" spans="1:8" x14ac:dyDescent="0.2">
      <c r="A280" s="94" t="str" cm="1">
        <f t="array" ref="A280">IFERROR(INDEX('Annex 2 Designated EHV charges'!$A$10:$A$401, MATCH(0, IF(ISBLANK('Annex 2 Designated EHV charges'!$A$10:$A$401),1, COUNTIF(A$4:$A279, 'Annex 2 Designated EHV charges'!$A$10:$A$401)), 0)),"")</f>
        <v>ROYSTN</v>
      </c>
      <c r="B280" s="94">
        <f>IF($A280="","",VLOOKUP($A280,'Annex 2 Designated EHV charges'!$A:$O,2,0))</f>
        <v>559</v>
      </c>
      <c r="C280" s="95">
        <f>IF($A280="","",VLOOKUP($A280,'Annex 2 Designated EHV charges'!$A:$O,3,0))</f>
        <v>1050000996105</v>
      </c>
      <c r="D280" s="94" t="str">
        <f>IF($A280="","",VLOOKUP($A280,'Annex 2 Designated EHV charges'!$A:$O,7,0))</f>
        <v>ROYSTN</v>
      </c>
      <c r="E280" s="97" t="str">
        <f>IFERROR(IF(VLOOKUP($A280,'Annex 2 Designated EHV charges'!$A:$O,9,FALSE)=0,"",VLOOKUP($A280,'Annex 2 Designated EHV charges'!$A:$O,9,FALSE)),"")</f>
        <v/>
      </c>
      <c r="F280" s="194">
        <f>IFERROR(IF(VLOOKUP($A280,'Annex 2 Designated EHV charges'!$A:$O,10,FALSE)=0,"",VLOOKUP($A280,'Annex 2 Designated EHV charges'!$A:$O,10,FALSE)),"")</f>
        <v>8.0299999999999994</v>
      </c>
      <c r="G280" s="194">
        <f>IFERROR(IF(VLOOKUP($A280,'Annex 2 Designated EHV charges'!$A:$O,11,FALSE)=0,"",VLOOKUP($A280,'Annex 2 Designated EHV charges'!$A:$O,11,FALSE)),"")</f>
        <v>2.1800000000000002</v>
      </c>
      <c r="H280" s="194">
        <f>IFERROR(IF(VLOOKUP($A280,'Annex 2 Designated EHV charges'!$A:$O,12,FALSE)=0,"",VLOOKUP($A280,'Annex 2 Designated EHV charges'!$A:$O,12,FALSE)),"")</f>
        <v>2.1800000000000002</v>
      </c>
    </row>
    <row r="281" spans="1:8" x14ac:dyDescent="0.2">
      <c r="A281" s="94" t="str" cm="1">
        <f t="array" ref="A281">IFERROR(INDEX('Annex 2 Designated EHV charges'!$A$10:$A$401, MATCH(0, IF(ISBLANK('Annex 2 Designated EHV charges'!$A$10:$A$401),1, COUNTIF(A$4:$A280, 'Annex 2 Designated EHV charges'!$A$10:$A$401)), 0)),"")</f>
        <v>RYMESF</v>
      </c>
      <c r="B281" s="94">
        <f>IF($A281="","",VLOOKUP($A281,'Annex 2 Designated EHV charges'!$A:$O,2,0))</f>
        <v>367</v>
      </c>
      <c r="C281" s="95">
        <f>IF($A281="","",VLOOKUP($A281,'Annex 2 Designated EHV charges'!$A:$O,3,0))</f>
        <v>1050002509767</v>
      </c>
      <c r="D281" s="94" t="str">
        <f>IF($A281="","",VLOOKUP($A281,'Annex 2 Designated EHV charges'!$A:$O,7,0))</f>
        <v>RYMESF</v>
      </c>
      <c r="E281" s="97">
        <f>IFERROR(IF(VLOOKUP($A281,'Annex 2 Designated EHV charges'!$A:$O,9,FALSE)=0,"",VLOOKUP($A281,'Annex 2 Designated EHV charges'!$A:$O,9,FALSE)),"")</f>
        <v>5.5E-2</v>
      </c>
      <c r="F281" s="194">
        <f>IFERROR(IF(VLOOKUP($A281,'Annex 2 Designated EHV charges'!$A:$O,10,FALSE)=0,"",VLOOKUP($A281,'Annex 2 Designated EHV charges'!$A:$O,10,FALSE)),"")</f>
        <v>236.46</v>
      </c>
      <c r="G281" s="194">
        <f>IFERROR(IF(VLOOKUP($A281,'Annex 2 Designated EHV charges'!$A:$O,11,FALSE)=0,"",VLOOKUP($A281,'Annex 2 Designated EHV charges'!$A:$O,11,FALSE)),"")</f>
        <v>1.76</v>
      </c>
      <c r="H281" s="194">
        <f>IFERROR(IF(VLOOKUP($A281,'Annex 2 Designated EHV charges'!$A:$O,12,FALSE)=0,"",VLOOKUP($A281,'Annex 2 Designated EHV charges'!$A:$O,12,FALSE)),"")</f>
        <v>1.76</v>
      </c>
    </row>
    <row r="282" spans="1:8" x14ac:dyDescent="0.2">
      <c r="A282" s="94" t="str" cm="1">
        <f t="array" ref="A282">IFERROR(INDEX('Annex 2 Designated EHV charges'!$A$10:$A$401, MATCH(0, IF(ISBLANK('Annex 2 Designated EHV charges'!$A$10:$A$401),1, COUNTIF(A$4:$A281, 'Annex 2 Designated EHV charges'!$A$10:$A$401)), 0)),"")</f>
        <v>SALHSE</v>
      </c>
      <c r="B282" s="94">
        <f>IF($A282="","",VLOOKUP($A282,'Annex 2 Designated EHV charges'!$A:$O,2,0))</f>
        <v>317</v>
      </c>
      <c r="C282" s="95">
        <f>IF($A282="","",VLOOKUP($A282,'Annex 2 Designated EHV charges'!$A:$O,3,0))</f>
        <v>1050000946025</v>
      </c>
      <c r="D282" s="94" t="str">
        <f>IF($A282="","",VLOOKUP($A282,'Annex 2 Designated EHV charges'!$A:$O,7,0))</f>
        <v>SALHSE</v>
      </c>
      <c r="E282" s="97">
        <f>IFERROR(IF(VLOOKUP($A282,'Annex 2 Designated EHV charges'!$A:$O,9,FALSE)=0,"",VLOOKUP($A282,'Annex 2 Designated EHV charges'!$A:$O,9,FALSE)),"")</f>
        <v>0.14199999999999999</v>
      </c>
      <c r="F282" s="194">
        <f>IFERROR(IF(VLOOKUP($A282,'Annex 2 Designated EHV charges'!$A:$O,10,FALSE)=0,"",VLOOKUP($A282,'Annex 2 Designated EHV charges'!$A:$O,10,FALSE)),"")</f>
        <v>5.87</v>
      </c>
      <c r="G282" s="194">
        <f>IFERROR(IF(VLOOKUP($A282,'Annex 2 Designated EHV charges'!$A:$O,11,FALSE)=0,"",VLOOKUP($A282,'Annex 2 Designated EHV charges'!$A:$O,11,FALSE)),"")</f>
        <v>2.04</v>
      </c>
      <c r="H282" s="194">
        <f>IFERROR(IF(VLOOKUP($A282,'Annex 2 Designated EHV charges'!$A:$O,12,FALSE)=0,"",VLOOKUP($A282,'Annex 2 Designated EHV charges'!$A:$O,12,FALSE)),"")</f>
        <v>2.04</v>
      </c>
    </row>
    <row r="283" spans="1:8" x14ac:dyDescent="0.2">
      <c r="A283" s="94" t="str" cm="1">
        <f t="array" ref="A283">IFERROR(INDEX('Annex 2 Designated EHV charges'!$A$10:$A$401, MATCH(0, IF(ISBLANK('Annex 2 Designated EHV charges'!$A$10:$A$401),1, COUNTIF(A$4:$A282, 'Annex 2 Designated EHV charges'!$A$10:$A$401)), 0)),"")</f>
        <v>SANDSF</v>
      </c>
      <c r="B283" s="94">
        <f>IF($A283="","",VLOOKUP($A283,'Annex 2 Designated EHV charges'!$A:$O,2,0))</f>
        <v>0</v>
      </c>
      <c r="C283" s="95" t="str">
        <f>IF($A283="","",VLOOKUP($A283,'Annex 2 Designated EHV charges'!$A:$O,3,0))</f>
        <v>ENET</v>
      </c>
      <c r="D283" s="94" t="str">
        <f>IF($A283="","",VLOOKUP($A283,'Annex 2 Designated EHV charges'!$A:$O,7,0))</f>
        <v>SANDSF</v>
      </c>
      <c r="E283" s="97" t="str">
        <f>IFERROR(IF(VLOOKUP($A283,'Annex 2 Designated EHV charges'!$A:$O,9,FALSE)=0,"",VLOOKUP($A283,'Annex 2 Designated EHV charges'!$A:$O,9,FALSE)),"")</f>
        <v/>
      </c>
      <c r="F283" s="194">
        <f>IFERROR(IF(VLOOKUP($A283,'Annex 2 Designated EHV charges'!$A:$O,10,FALSE)=0,"",VLOOKUP($A283,'Annex 2 Designated EHV charges'!$A:$O,10,FALSE)),"")</f>
        <v>1297.3800000000001</v>
      </c>
      <c r="G283" s="194">
        <f>IFERROR(IF(VLOOKUP($A283,'Annex 2 Designated EHV charges'!$A:$O,11,FALSE)=0,"",VLOOKUP($A283,'Annex 2 Designated EHV charges'!$A:$O,11,FALSE)),"")</f>
        <v>1.34</v>
      </c>
      <c r="H283" s="194">
        <f>IFERROR(IF(VLOOKUP($A283,'Annex 2 Designated EHV charges'!$A:$O,12,FALSE)=0,"",VLOOKUP($A283,'Annex 2 Designated EHV charges'!$A:$O,12,FALSE)),"")</f>
        <v>1.34</v>
      </c>
    </row>
    <row r="284" spans="1:8" ht="63.75" x14ac:dyDescent="0.2">
      <c r="A284" s="94" t="str" cm="1">
        <f t="array" ref="A284">IFERROR(INDEX('Annex 2 Designated EHV charges'!$A$10:$A$401, MATCH(0, IF(ISBLANK('Annex 2 Designated EHV charges'!$A$10:$A$401),1, COUNTIF(A$4:$A283, 'Annex 2 Designated EHV charges'!$A$10:$A$401)), 0)),"")</f>
        <v>SCMOOR</v>
      </c>
      <c r="B284" s="94">
        <f>IF($A284="","",VLOOKUP($A284,'Annex 2 Designated EHV charges'!$A:$O,2,0))</f>
        <v>578</v>
      </c>
      <c r="C284" s="95" t="str">
        <f>IF($A284="","",VLOOKUP($A284,'Annex 2 Designated EHV charges'!$A:$O,3,0))</f>
        <v>1050001073468;1050001073459;1050001073440;1050001073412;1050001073342</v>
      </c>
      <c r="D284" s="94" t="str">
        <f>IF($A284="","",VLOOKUP($A284,'Annex 2 Designated EHV charges'!$A:$O,7,0))</f>
        <v>SCMOOR</v>
      </c>
      <c r="E284" s="97" t="str">
        <f>IFERROR(IF(VLOOKUP($A284,'Annex 2 Designated EHV charges'!$A:$O,9,FALSE)=0,"",VLOOKUP($A284,'Annex 2 Designated EHV charges'!$A:$O,9,FALSE)),"")</f>
        <v/>
      </c>
      <c r="F284" s="194">
        <f>IFERROR(IF(VLOOKUP($A284,'Annex 2 Designated EHV charges'!$A:$O,10,FALSE)=0,"",VLOOKUP($A284,'Annex 2 Designated EHV charges'!$A:$O,10,FALSE)),"")</f>
        <v>125.33</v>
      </c>
      <c r="G284" s="194">
        <f>IFERROR(IF(VLOOKUP($A284,'Annex 2 Designated EHV charges'!$A:$O,11,FALSE)=0,"",VLOOKUP($A284,'Annex 2 Designated EHV charges'!$A:$O,11,FALSE)),"")</f>
        <v>4.79</v>
      </c>
      <c r="H284" s="194">
        <f>IFERROR(IF(VLOOKUP($A284,'Annex 2 Designated EHV charges'!$A:$O,12,FALSE)=0,"",VLOOKUP($A284,'Annex 2 Designated EHV charges'!$A:$O,12,FALSE)),"")</f>
        <v>4.79</v>
      </c>
    </row>
    <row r="285" spans="1:8" x14ac:dyDescent="0.2">
      <c r="A285" s="94" t="str" cm="1">
        <f t="array" ref="A285">IFERROR(INDEX('Annex 2 Designated EHV charges'!$A$10:$A$401, MATCH(0, IF(ISBLANK('Annex 2 Designated EHV charges'!$A$10:$A$401),1, COUNTIF(A$4:$A284, 'Annex 2 Designated EHV charges'!$A$10:$A$401)), 0)),"")</f>
        <v>SCROBY</v>
      </c>
      <c r="B285" s="94">
        <f>IF($A285="","",VLOOKUP($A285,'Annex 2 Designated EHV charges'!$A:$O,2,0))</f>
        <v>836</v>
      </c>
      <c r="C285" s="95">
        <f>IF($A285="","",VLOOKUP($A285,'Annex 2 Designated EHV charges'!$A:$O,3,0))</f>
        <v>1023545564889</v>
      </c>
      <c r="D285" s="94" t="str">
        <f>IF($A285="","",VLOOKUP($A285,'Annex 2 Designated EHV charges'!$A:$O,7,0))</f>
        <v>SCROBY</v>
      </c>
      <c r="E285" s="97">
        <f>IFERROR(IF(VLOOKUP($A285,'Annex 2 Designated EHV charges'!$A:$O,9,FALSE)=0,"",VLOOKUP($A285,'Annex 2 Designated EHV charges'!$A:$O,9,FALSE)),"")</f>
        <v>0.05</v>
      </c>
      <c r="F285" s="194">
        <f>IFERROR(IF(VLOOKUP($A285,'Annex 2 Designated EHV charges'!$A:$O,10,FALSE)=0,"",VLOOKUP($A285,'Annex 2 Designated EHV charges'!$A:$O,10,FALSE)),"")</f>
        <v>39.39</v>
      </c>
      <c r="G285" s="194">
        <f>IFERROR(IF(VLOOKUP($A285,'Annex 2 Designated EHV charges'!$A:$O,11,FALSE)=0,"",VLOOKUP($A285,'Annex 2 Designated EHV charges'!$A:$O,11,FALSE)),"")</f>
        <v>2.0099999999999998</v>
      </c>
      <c r="H285" s="194">
        <f>IFERROR(IF(VLOOKUP($A285,'Annex 2 Designated EHV charges'!$A:$O,12,FALSE)=0,"",VLOOKUP($A285,'Annex 2 Designated EHV charges'!$A:$O,12,FALSE)),"")</f>
        <v>2.0099999999999998</v>
      </c>
    </row>
    <row r="286" spans="1:8" x14ac:dyDescent="0.2">
      <c r="A286" s="94" t="str" cm="1">
        <f t="array" ref="A286">IFERROR(INDEX('Annex 2 Designated EHV charges'!$A$10:$A$401, MATCH(0, IF(ISBLANK('Annex 2 Designated EHV charges'!$A$10:$A$401),1, COUNTIF(A$4:$A285, 'Annex 2 Designated EHV charges'!$A$10:$A$401)), 0)),"")</f>
        <v>SCTTOW</v>
      </c>
      <c r="B286" s="94">
        <f>IF($A286="","",VLOOKUP($A286,'Annex 2 Designated EHV charges'!$A:$O,2,0))</f>
        <v>527</v>
      </c>
      <c r="C286" s="95">
        <f>IF($A286="","",VLOOKUP($A286,'Annex 2 Designated EHV charges'!$A:$O,3,0))</f>
        <v>1050000841935</v>
      </c>
      <c r="D286" s="94" t="str">
        <f>IF($A286="","",VLOOKUP($A286,'Annex 2 Designated EHV charges'!$A:$O,7,0))</f>
        <v>SCTTOW</v>
      </c>
      <c r="E286" s="97" t="str">
        <f>IFERROR(IF(VLOOKUP($A286,'Annex 2 Designated EHV charges'!$A:$O,9,FALSE)=0,"",VLOOKUP($A286,'Annex 2 Designated EHV charges'!$A:$O,9,FALSE)),"")</f>
        <v/>
      </c>
      <c r="F286" s="194">
        <f>IFERROR(IF(VLOOKUP($A286,'Annex 2 Designated EHV charges'!$A:$O,10,FALSE)=0,"",VLOOKUP($A286,'Annex 2 Designated EHV charges'!$A:$O,10,FALSE)),"")</f>
        <v>88.94</v>
      </c>
      <c r="G286" s="194">
        <f>IFERROR(IF(VLOOKUP($A286,'Annex 2 Designated EHV charges'!$A:$O,11,FALSE)=0,"",VLOOKUP($A286,'Annex 2 Designated EHV charges'!$A:$O,11,FALSE)),"")</f>
        <v>5.05</v>
      </c>
      <c r="H286" s="194">
        <f>IFERROR(IF(VLOOKUP($A286,'Annex 2 Designated EHV charges'!$A:$O,12,FALSE)=0,"",VLOOKUP($A286,'Annex 2 Designated EHV charges'!$A:$O,12,FALSE)),"")</f>
        <v>5.05</v>
      </c>
    </row>
    <row r="287" spans="1:8" x14ac:dyDescent="0.2">
      <c r="A287" s="94" t="str" cm="1">
        <f t="array" ref="A287">IFERROR(INDEX('Annex 2 Designated EHV charges'!$A$10:$A$401, MATCH(0, IF(ISBLANK('Annex 2 Designated EHV charges'!$A$10:$A$401),1, COUNTIF(A$4:$A286, 'Annex 2 Designated EHV charges'!$A$10:$A$401)), 0)),"")</f>
        <v>SFAMSF</v>
      </c>
      <c r="B287" s="94">
        <f>IF($A287="","",VLOOKUP($A287,'Annex 2 Designated EHV charges'!$A:$O,2,0))</f>
        <v>368</v>
      </c>
      <c r="C287" s="95">
        <f>IF($A287="","",VLOOKUP($A287,'Annex 2 Designated EHV charges'!$A:$O,3,0))</f>
        <v>1050002707683</v>
      </c>
      <c r="D287" s="94" t="str">
        <f>IF($A287="","",VLOOKUP($A287,'Annex 2 Designated EHV charges'!$A:$O,7,0))</f>
        <v>SFAMSF</v>
      </c>
      <c r="E287" s="97" t="str">
        <f>IFERROR(IF(VLOOKUP($A287,'Annex 2 Designated EHV charges'!$A:$O,9,FALSE)=0,"",VLOOKUP($A287,'Annex 2 Designated EHV charges'!$A:$O,9,FALSE)),"")</f>
        <v/>
      </c>
      <c r="F287" s="194">
        <f>IFERROR(IF(VLOOKUP($A287,'Annex 2 Designated EHV charges'!$A:$O,10,FALSE)=0,"",VLOOKUP($A287,'Annex 2 Designated EHV charges'!$A:$O,10,FALSE)),"")</f>
        <v>4.67</v>
      </c>
      <c r="G287" s="194">
        <f>IFERROR(IF(VLOOKUP($A287,'Annex 2 Designated EHV charges'!$A:$O,11,FALSE)=0,"",VLOOKUP($A287,'Annex 2 Designated EHV charges'!$A:$O,11,FALSE)),"")</f>
        <v>2.64</v>
      </c>
      <c r="H287" s="194">
        <f>IFERROR(IF(VLOOKUP($A287,'Annex 2 Designated EHV charges'!$A:$O,12,FALSE)=0,"",VLOOKUP($A287,'Annex 2 Designated EHV charges'!$A:$O,12,FALSE)),"")</f>
        <v>2.64</v>
      </c>
    </row>
    <row r="288" spans="1:8" x14ac:dyDescent="0.2">
      <c r="A288" s="94" t="str" cm="1">
        <f t="array" ref="A288">IFERROR(INDEX('Annex 2 Designated EHV charges'!$A$10:$A$401, MATCH(0, IF(ISBLANK('Annex 2 Designated EHV charges'!$A$10:$A$401),1, COUNTIF(A$4:$A287, 'Annex 2 Designated EHV charges'!$A$10:$A$401)), 0)),"")</f>
        <v>SFKEFW</v>
      </c>
      <c r="B288" s="94">
        <f>IF($A288="","",VLOOKUP($A288,'Annex 2 Designated EHV charges'!$A:$O,2,0))</f>
        <v>502</v>
      </c>
      <c r="C288" s="95">
        <f>IF($A288="","",VLOOKUP($A288,'Annex 2 Designated EHV charges'!$A:$O,3,0))</f>
        <v>1050000628009</v>
      </c>
      <c r="D288" s="94" t="str">
        <f>IF($A288="","",VLOOKUP($A288,'Annex 2 Designated EHV charges'!$A:$O,7,0))</f>
        <v>SFKEFW</v>
      </c>
      <c r="E288" s="97">
        <f>IFERROR(IF(VLOOKUP($A288,'Annex 2 Designated EHV charges'!$A:$O,9,FALSE)=0,"",VLOOKUP($A288,'Annex 2 Designated EHV charges'!$A:$O,9,FALSE)),"")</f>
        <v>2.1219999999999999</v>
      </c>
      <c r="F288" s="194">
        <f>IFERROR(IF(VLOOKUP($A288,'Annex 2 Designated EHV charges'!$A:$O,10,FALSE)=0,"",VLOOKUP($A288,'Annex 2 Designated EHV charges'!$A:$O,10,FALSE)),"")</f>
        <v>16865.3</v>
      </c>
      <c r="G288" s="194">
        <f>IFERROR(IF(VLOOKUP($A288,'Annex 2 Designated EHV charges'!$A:$O,11,FALSE)=0,"",VLOOKUP($A288,'Annex 2 Designated EHV charges'!$A:$O,11,FALSE)),"")</f>
        <v>1.42</v>
      </c>
      <c r="H288" s="194">
        <f>IFERROR(IF(VLOOKUP($A288,'Annex 2 Designated EHV charges'!$A:$O,12,FALSE)=0,"",VLOOKUP($A288,'Annex 2 Designated EHV charges'!$A:$O,12,FALSE)),"")</f>
        <v>1.42</v>
      </c>
    </row>
    <row r="289" spans="1:8" x14ac:dyDescent="0.2">
      <c r="A289" s="94" t="str" cm="1">
        <f t="array" ref="A289">IFERROR(INDEX('Annex 2 Designated EHV charges'!$A$10:$A$401, MATCH(0, IF(ISBLANK('Annex 2 Designated EHV charges'!$A$10:$A$401),1, COUNTIF(A$4:$A288, 'Annex 2 Designated EHV charges'!$A$10:$A$401)), 0)),"")</f>
        <v>SHERSH</v>
      </c>
      <c r="B289" s="94">
        <f>IF($A289="","",VLOOKUP($A289,'Annex 2 Designated EHV charges'!$A:$O,2,0))</f>
        <v>0</v>
      </c>
      <c r="C289" s="95" t="str">
        <f>IF($A289="","",VLOOKUP($A289,'Annex 2 Designated EHV charges'!$A:$O,3,0))</f>
        <v>MSID: 7250</v>
      </c>
      <c r="D289" s="94" t="str">
        <f>IF($A289="","",VLOOKUP($A289,'Annex 2 Designated EHV charges'!$A:$O,7,0))</f>
        <v>SHERSH</v>
      </c>
      <c r="E289" s="97" t="str">
        <f>IFERROR(IF(VLOOKUP($A289,'Annex 2 Designated EHV charges'!$A:$O,9,FALSE)=0,"",VLOOKUP($A289,'Annex 2 Designated EHV charges'!$A:$O,9,FALSE)),"")</f>
        <v/>
      </c>
      <c r="F289" s="194">
        <f>IFERROR(IF(VLOOKUP($A289,'Annex 2 Designated EHV charges'!$A:$O,10,FALSE)=0,"",VLOOKUP($A289,'Annex 2 Designated EHV charges'!$A:$O,10,FALSE)),"")</f>
        <v>15068.12</v>
      </c>
      <c r="G289" s="194">
        <f>IFERROR(IF(VLOOKUP($A289,'Annex 2 Designated EHV charges'!$A:$O,11,FALSE)=0,"",VLOOKUP($A289,'Annex 2 Designated EHV charges'!$A:$O,11,FALSE)),"")</f>
        <v>1.39</v>
      </c>
      <c r="H289" s="194">
        <f>IFERROR(IF(VLOOKUP($A289,'Annex 2 Designated EHV charges'!$A:$O,12,FALSE)=0,"",VLOOKUP($A289,'Annex 2 Designated EHV charges'!$A:$O,12,FALSE)),"")</f>
        <v>1.39</v>
      </c>
    </row>
    <row r="290" spans="1:8" x14ac:dyDescent="0.2">
      <c r="A290" s="94" t="str" cm="1">
        <f t="array" ref="A290">IFERROR(INDEX('Annex 2 Designated EHV charges'!$A$10:$A$401, MATCH(0, IF(ISBLANK('Annex 2 Designated EHV charges'!$A$10:$A$401),1, COUNTIF(A$4:$A289, 'Annex 2 Designated EHV charges'!$A$10:$A$401)), 0)),"")</f>
        <v>SHOTSF</v>
      </c>
      <c r="B290" s="94">
        <f>IF($A290="","",VLOOKUP($A290,'Annex 2 Designated EHV charges'!$A:$O,2,0))</f>
        <v>329</v>
      </c>
      <c r="C290" s="95">
        <f>IF($A290="","",VLOOKUP($A290,'Annex 2 Designated EHV charges'!$A:$O,3,0))</f>
        <v>1050002464089</v>
      </c>
      <c r="D290" s="94" t="str">
        <f>IF($A290="","",VLOOKUP($A290,'Annex 2 Designated EHV charges'!$A:$O,7,0))</f>
        <v>SHOTSF</v>
      </c>
      <c r="E290" s="97" t="str">
        <f>IFERROR(IF(VLOOKUP($A290,'Annex 2 Designated EHV charges'!$A:$O,9,FALSE)=0,"",VLOOKUP($A290,'Annex 2 Designated EHV charges'!$A:$O,9,FALSE)),"")</f>
        <v/>
      </c>
      <c r="F290" s="194">
        <f>IFERROR(IF(VLOOKUP($A290,'Annex 2 Designated EHV charges'!$A:$O,10,FALSE)=0,"",VLOOKUP($A290,'Annex 2 Designated EHV charges'!$A:$O,10,FALSE)),"")</f>
        <v>16.670000000000002</v>
      </c>
      <c r="G290" s="194">
        <f>IFERROR(IF(VLOOKUP($A290,'Annex 2 Designated EHV charges'!$A:$O,11,FALSE)=0,"",VLOOKUP($A290,'Annex 2 Designated EHV charges'!$A:$O,11,FALSE)),"")</f>
        <v>2.81</v>
      </c>
      <c r="H290" s="194">
        <f>IFERROR(IF(VLOOKUP($A290,'Annex 2 Designated EHV charges'!$A:$O,12,FALSE)=0,"",VLOOKUP($A290,'Annex 2 Designated EHV charges'!$A:$O,12,FALSE)),"")</f>
        <v>2.81</v>
      </c>
    </row>
    <row r="291" spans="1:8" x14ac:dyDescent="0.2">
      <c r="A291" s="94" t="str" cm="1">
        <f t="array" ref="A291">IFERROR(INDEX('Annex 2 Designated EHV charges'!$A$10:$A$401, MATCH(0, IF(ISBLANK('Annex 2 Designated EHV charges'!$A$10:$A$401),1, COUNTIF(A$4:$A290, 'Annex 2 Designated EHV charges'!$A$10:$A$401)), 0)),"")</f>
        <v>SNTBRE</v>
      </c>
      <c r="B291" s="94">
        <f>IF($A291="","",VLOOKUP($A291,'Annex 2 Designated EHV charges'!$A:$O,2,0))</f>
        <v>579</v>
      </c>
      <c r="C291" s="95">
        <f>IF($A291="","",VLOOKUP($A291,'Annex 2 Designated EHV charges'!$A:$O,3,0))</f>
        <v>1050001084200</v>
      </c>
      <c r="D291" s="94" t="str">
        <f>IF($A291="","",VLOOKUP($A291,'Annex 2 Designated EHV charges'!$A:$O,7,0))</f>
        <v>SNTBRE</v>
      </c>
      <c r="E291" s="97">
        <f>IFERROR(IF(VLOOKUP($A291,'Annex 2 Designated EHV charges'!$A:$O,9,FALSE)=0,"",VLOOKUP($A291,'Annex 2 Designated EHV charges'!$A:$O,9,FALSE)),"")</f>
        <v>0.48599999999999999</v>
      </c>
      <c r="F291" s="194">
        <f>IFERROR(IF(VLOOKUP($A291,'Annex 2 Designated EHV charges'!$A:$O,10,FALSE)=0,"",VLOOKUP($A291,'Annex 2 Designated EHV charges'!$A:$O,10,FALSE)),"")</f>
        <v>214.63</v>
      </c>
      <c r="G291" s="194">
        <f>IFERROR(IF(VLOOKUP($A291,'Annex 2 Designated EHV charges'!$A:$O,11,FALSE)=0,"",VLOOKUP($A291,'Annex 2 Designated EHV charges'!$A:$O,11,FALSE)),"")</f>
        <v>1.39</v>
      </c>
      <c r="H291" s="194">
        <f>IFERROR(IF(VLOOKUP($A291,'Annex 2 Designated EHV charges'!$A:$O,12,FALSE)=0,"",VLOOKUP($A291,'Annex 2 Designated EHV charges'!$A:$O,12,FALSE)),"")</f>
        <v>1.39</v>
      </c>
    </row>
    <row r="292" spans="1:8" x14ac:dyDescent="0.2">
      <c r="A292" s="94" t="str" cm="1">
        <f t="array" ref="A292">IFERROR(INDEX('Annex 2 Designated EHV charges'!$A$10:$A$401, MATCH(0, IF(ISBLANK('Annex 2 Designated EHV charges'!$A$10:$A$401),1, COUNTIF(A$4:$A291, 'Annex 2 Designated EHV charges'!$A$10:$A$401)), 0)),"")</f>
        <v>SPRIGS</v>
      </c>
      <c r="B292" s="94">
        <f>IF($A292="","",VLOOKUP($A292,'Annex 2 Designated EHV charges'!$A:$O,2,0))</f>
        <v>897</v>
      </c>
      <c r="C292" s="95">
        <f>IF($A292="","",VLOOKUP($A292,'Annex 2 Designated EHV charges'!$A:$O,3,0))</f>
        <v>1050000540019</v>
      </c>
      <c r="D292" s="94" t="str">
        <f>IF($A292="","",VLOOKUP($A292,'Annex 2 Designated EHV charges'!$A:$O,7,0))</f>
        <v>SPRIGS</v>
      </c>
      <c r="E292" s="97">
        <f>IFERROR(IF(VLOOKUP($A292,'Annex 2 Designated EHV charges'!$A:$O,9,FALSE)=0,"",VLOOKUP($A292,'Annex 2 Designated EHV charges'!$A:$O,9,FALSE)),"")</f>
        <v>1.986</v>
      </c>
      <c r="F292" s="194">
        <f>IFERROR(IF(VLOOKUP($A292,'Annex 2 Designated EHV charges'!$A:$O,10,FALSE)=0,"",VLOOKUP($A292,'Annex 2 Designated EHV charges'!$A:$O,10,FALSE)),"")</f>
        <v>8.8000000000000007</v>
      </c>
      <c r="G292" s="194">
        <f>IFERROR(IF(VLOOKUP($A292,'Annex 2 Designated EHV charges'!$A:$O,11,FALSE)=0,"",VLOOKUP($A292,'Annex 2 Designated EHV charges'!$A:$O,11,FALSE)),"")</f>
        <v>3.23</v>
      </c>
      <c r="H292" s="194">
        <f>IFERROR(IF(VLOOKUP($A292,'Annex 2 Designated EHV charges'!$A:$O,12,FALSE)=0,"",VLOOKUP($A292,'Annex 2 Designated EHV charges'!$A:$O,12,FALSE)),"")</f>
        <v>3.23</v>
      </c>
    </row>
    <row r="293" spans="1:8" x14ac:dyDescent="0.2">
      <c r="A293" s="94" t="str" cm="1">
        <f t="array" ref="A293">IFERROR(INDEX('Annex 2 Designated EHV charges'!$A$10:$A$401, MATCH(0, IF(ISBLANK('Annex 2 Designated EHV charges'!$A$10:$A$401),1, COUNTIF(A$4:$A292, 'Annex 2 Designated EHV charges'!$A$10:$A$401)), 0)),"")</f>
        <v>STAGSH</v>
      </c>
      <c r="B293" s="94">
        <f>IF($A293="","",VLOOKUP($A293,'Annex 2 Designated EHV charges'!$A:$O,2,0))</f>
        <v>838</v>
      </c>
      <c r="C293" s="95">
        <f>IF($A293="","",VLOOKUP($A293,'Annex 2 Designated EHV charges'!$A:$O,3,0))</f>
        <v>1030037478730</v>
      </c>
      <c r="D293" s="94" t="str">
        <f>IF($A293="","",VLOOKUP($A293,'Annex 2 Designated EHV charges'!$A:$O,7,0))</f>
        <v>STAGSH</v>
      </c>
      <c r="E293" s="97">
        <f>IFERROR(IF(VLOOKUP($A293,'Annex 2 Designated EHV charges'!$A:$O,9,FALSE)=0,"",VLOOKUP($A293,'Annex 2 Designated EHV charges'!$A:$O,9,FALSE)),"")</f>
        <v>0.217</v>
      </c>
      <c r="F293" s="194">
        <f>IFERROR(IF(VLOOKUP($A293,'Annex 2 Designated EHV charges'!$A:$O,10,FALSE)=0,"",VLOOKUP($A293,'Annex 2 Designated EHV charges'!$A:$O,10,FALSE)),"")</f>
        <v>396</v>
      </c>
      <c r="G293" s="194">
        <f>IFERROR(IF(VLOOKUP($A293,'Annex 2 Designated EHV charges'!$A:$O,11,FALSE)=0,"",VLOOKUP($A293,'Annex 2 Designated EHV charges'!$A:$O,11,FALSE)),"")</f>
        <v>1.23</v>
      </c>
      <c r="H293" s="194">
        <f>IFERROR(IF(VLOOKUP($A293,'Annex 2 Designated EHV charges'!$A:$O,12,FALSE)=0,"",VLOOKUP($A293,'Annex 2 Designated EHV charges'!$A:$O,12,FALSE)),"")</f>
        <v>1.23</v>
      </c>
    </row>
    <row r="294" spans="1:8" x14ac:dyDescent="0.2">
      <c r="A294" s="94" t="str" cm="1">
        <f t="array" ref="A294">IFERROR(INDEX('Annex 2 Designated EHV charges'!$A$10:$A$401, MATCH(0, IF(ISBLANK('Annex 2 Designated EHV charges'!$A$10:$A$401),1, COUNTIF(A$4:$A293, 'Annex 2 Designated EHV charges'!$A$10:$A$401)), 0)),"")</f>
        <v>STCLSF</v>
      </c>
      <c r="B294" s="94">
        <f>IF($A294="","",VLOOKUP($A294,'Annex 2 Designated EHV charges'!$A:$O,2,0))</f>
        <v>352</v>
      </c>
      <c r="C294" s="95">
        <f>IF($A294="","",VLOOKUP($A294,'Annex 2 Designated EHV charges'!$A:$O,3,0))</f>
        <v>1050002797108</v>
      </c>
      <c r="D294" s="94" t="str">
        <f>IF($A294="","",VLOOKUP($A294,'Annex 2 Designated EHV charges'!$A:$O,7,0))</f>
        <v>STCLSF</v>
      </c>
      <c r="E294" s="97">
        <f>IFERROR(IF(VLOOKUP($A294,'Annex 2 Designated EHV charges'!$A:$O,9,FALSE)=0,"",VLOOKUP($A294,'Annex 2 Designated EHV charges'!$A:$O,9,FALSE)),"")</f>
        <v>0.72299999999999998</v>
      </c>
      <c r="F294" s="194">
        <f>IFERROR(IF(VLOOKUP($A294,'Annex 2 Designated EHV charges'!$A:$O,10,FALSE)=0,"",VLOOKUP($A294,'Annex 2 Designated EHV charges'!$A:$O,10,FALSE)),"")</f>
        <v>9.84</v>
      </c>
      <c r="G294" s="194">
        <f>IFERROR(IF(VLOOKUP($A294,'Annex 2 Designated EHV charges'!$A:$O,11,FALSE)=0,"",VLOOKUP($A294,'Annex 2 Designated EHV charges'!$A:$O,11,FALSE)),"")</f>
        <v>2.17</v>
      </c>
      <c r="H294" s="194">
        <f>IFERROR(IF(VLOOKUP($A294,'Annex 2 Designated EHV charges'!$A:$O,12,FALSE)=0,"",VLOOKUP($A294,'Annex 2 Designated EHV charges'!$A:$O,12,FALSE)),"")</f>
        <v>2.17</v>
      </c>
    </row>
    <row r="295" spans="1:8" x14ac:dyDescent="0.2">
      <c r="A295" s="94" t="str" cm="1">
        <f t="array" ref="A295">IFERROR(INDEX('Annex 2 Designated EHV charges'!$A$10:$A$401, MATCH(0, IF(ISBLANK('Annex 2 Designated EHV charges'!$A$10:$A$401),1, COUNTIF(A$4:$A294, 'Annex 2 Designated EHV charges'!$A$10:$A$401)), 0)),"")</f>
        <v>STNPTS</v>
      </c>
      <c r="B295" s="94">
        <f>IF($A295="","",VLOOKUP($A295,'Annex 2 Designated EHV charges'!$A:$O,2,0))</f>
        <v>581</v>
      </c>
      <c r="C295" s="95">
        <f>IF($A295="","",VLOOKUP($A295,'Annex 2 Designated EHV charges'!$A:$O,3,0))</f>
        <v>1050001232428</v>
      </c>
      <c r="D295" s="94" t="str">
        <f>IF($A295="","",VLOOKUP($A295,'Annex 2 Designated EHV charges'!$A:$O,7,0))</f>
        <v>STNPTS</v>
      </c>
      <c r="E295" s="97">
        <f>IFERROR(IF(VLOOKUP($A295,'Annex 2 Designated EHV charges'!$A:$O,9,FALSE)=0,"",VLOOKUP($A295,'Annex 2 Designated EHV charges'!$A:$O,9,FALSE)),"")</f>
        <v>0.155</v>
      </c>
      <c r="F295" s="194">
        <f>IFERROR(IF(VLOOKUP($A295,'Annex 2 Designated EHV charges'!$A:$O,10,FALSE)=0,"",VLOOKUP($A295,'Annex 2 Designated EHV charges'!$A:$O,10,FALSE)),"")</f>
        <v>6.7</v>
      </c>
      <c r="G295" s="194">
        <f>IFERROR(IF(VLOOKUP($A295,'Annex 2 Designated EHV charges'!$A:$O,11,FALSE)=0,"",VLOOKUP($A295,'Annex 2 Designated EHV charges'!$A:$O,11,FALSE)),"")</f>
        <v>4.03</v>
      </c>
      <c r="H295" s="194">
        <f>IFERROR(IF(VLOOKUP($A295,'Annex 2 Designated EHV charges'!$A:$O,12,FALSE)=0,"",VLOOKUP($A295,'Annex 2 Designated EHV charges'!$A:$O,12,FALSE)),"")</f>
        <v>4.03</v>
      </c>
    </row>
    <row r="296" spans="1:8" x14ac:dyDescent="0.2">
      <c r="A296" s="94" t="str" cm="1">
        <f t="array" ref="A296">IFERROR(INDEX('Annex 2 Designated EHV charges'!$A$10:$A$401, MATCH(0, IF(ISBLANK('Annex 2 Designated EHV charges'!$A$10:$A$401),1, COUNTIF(A$4:$A295, 'Annex 2 Designated EHV charges'!$A$10:$A$401)), 0)),"")</f>
        <v>STOSTH</v>
      </c>
      <c r="B296" s="94">
        <f>IF($A296="","",VLOOKUP($A296,'Annex 2 Designated EHV charges'!$A:$O,2,0))</f>
        <v>528</v>
      </c>
      <c r="C296" s="95">
        <f>IF($A296="","",VLOOKUP($A296,'Annex 2 Designated EHV charges'!$A:$O,3,0))</f>
        <v>1050000783238</v>
      </c>
      <c r="D296" s="94" t="str">
        <f>IF($A296="","",VLOOKUP($A296,'Annex 2 Designated EHV charges'!$A:$O,7,0))</f>
        <v>STOSTH</v>
      </c>
      <c r="E296" s="97">
        <f>IFERROR(IF(VLOOKUP($A296,'Annex 2 Designated EHV charges'!$A:$O,9,FALSE)=0,"",VLOOKUP($A296,'Annex 2 Designated EHV charges'!$A:$O,9,FALSE)),"")</f>
        <v>0.16300000000000001</v>
      </c>
      <c r="F296" s="194">
        <f>IFERROR(IF(VLOOKUP($A296,'Annex 2 Designated EHV charges'!$A:$O,10,FALSE)=0,"",VLOOKUP($A296,'Annex 2 Designated EHV charges'!$A:$O,10,FALSE)),"")</f>
        <v>47.89</v>
      </c>
      <c r="G296" s="194">
        <f>IFERROR(IF(VLOOKUP($A296,'Annex 2 Designated EHV charges'!$A:$O,11,FALSE)=0,"",VLOOKUP($A296,'Annex 2 Designated EHV charges'!$A:$O,11,FALSE)),"")</f>
        <v>2.19</v>
      </c>
      <c r="H296" s="194">
        <f>IFERROR(IF(VLOOKUP($A296,'Annex 2 Designated EHV charges'!$A:$O,12,FALSE)=0,"",VLOOKUP($A296,'Annex 2 Designated EHV charges'!$A:$O,12,FALSE)),"")</f>
        <v>2.19</v>
      </c>
    </row>
    <row r="297" spans="1:8" x14ac:dyDescent="0.2">
      <c r="A297" s="94" t="str" cm="1">
        <f t="array" ref="A297">IFERROR(INDEX('Annex 2 Designated EHV charges'!$A$10:$A$401, MATCH(0, IF(ISBLANK('Annex 2 Designated EHV charges'!$A$10:$A$401),1, COUNTIF(A$4:$A296, 'Annex 2 Designated EHV charges'!$A$10:$A$401)), 0)),"")</f>
        <v>STRTHL</v>
      </c>
      <c r="B297" s="94">
        <f>IF($A297="","",VLOOKUP($A297,'Annex 2 Designated EHV charges'!$A:$O,2,0))</f>
        <v>500</v>
      </c>
      <c r="C297" s="95">
        <f>IF($A297="","",VLOOKUP($A297,'Annex 2 Designated EHV charges'!$A:$O,3,0))</f>
        <v>1050000563372</v>
      </c>
      <c r="D297" s="94" t="str">
        <f>IF($A297="","",VLOOKUP($A297,'Annex 2 Designated EHV charges'!$A:$O,7,0))</f>
        <v>STRTHL</v>
      </c>
      <c r="E297" s="97" t="str">
        <f>IFERROR(IF(VLOOKUP($A297,'Annex 2 Designated EHV charges'!$A:$O,9,FALSE)=0,"",VLOOKUP($A297,'Annex 2 Designated EHV charges'!$A:$O,9,FALSE)),"")</f>
        <v/>
      </c>
      <c r="F297" s="194">
        <f>IFERROR(IF(VLOOKUP($A297,'Annex 2 Designated EHV charges'!$A:$O,10,FALSE)=0,"",VLOOKUP($A297,'Annex 2 Designated EHV charges'!$A:$O,10,FALSE)),"")</f>
        <v>4.76</v>
      </c>
      <c r="G297" s="194">
        <f>IFERROR(IF(VLOOKUP($A297,'Annex 2 Designated EHV charges'!$A:$O,11,FALSE)=0,"",VLOOKUP($A297,'Annex 2 Designated EHV charges'!$A:$O,11,FALSE)),"")</f>
        <v>4.45</v>
      </c>
      <c r="H297" s="194">
        <f>IFERROR(IF(VLOOKUP($A297,'Annex 2 Designated EHV charges'!$A:$O,12,FALSE)=0,"",VLOOKUP($A297,'Annex 2 Designated EHV charges'!$A:$O,12,FALSE)),"")</f>
        <v>4.45</v>
      </c>
    </row>
    <row r="298" spans="1:8" x14ac:dyDescent="0.2">
      <c r="A298" s="94" t="str" cm="1">
        <f t="array" ref="A298">IFERROR(INDEX('Annex 2 Designated EHV charges'!$A$10:$A$401, MATCH(0, IF(ISBLANK('Annex 2 Designated EHV charges'!$A$10:$A$401),1, COUNTIF(A$4:$A297, 'Annex 2 Designated EHV charges'!$A$10:$A$401)), 0)),"")</f>
        <v>STWBRG</v>
      </c>
      <c r="B298" s="94">
        <f>IF($A298="","",VLOOKUP($A298,'Annex 2 Designated EHV charges'!$A:$O,2,0))</f>
        <v>898</v>
      </c>
      <c r="C298" s="95">
        <f>IF($A298="","",VLOOKUP($A298,'Annex 2 Designated EHV charges'!$A:$O,3,0))</f>
        <v>1050000613847</v>
      </c>
      <c r="D298" s="94" t="str">
        <f>IF($A298="","",VLOOKUP($A298,'Annex 2 Designated EHV charges'!$A:$O,7,0))</f>
        <v>STWBRG</v>
      </c>
      <c r="E298" s="97">
        <f>IFERROR(IF(VLOOKUP($A298,'Annex 2 Designated EHV charges'!$A:$O,9,FALSE)=0,"",VLOOKUP($A298,'Annex 2 Designated EHV charges'!$A:$O,9,FALSE)),"")</f>
        <v>0.20100000000000001</v>
      </c>
      <c r="F298" s="194">
        <f>IFERROR(IF(VLOOKUP($A298,'Annex 2 Designated EHV charges'!$A:$O,10,FALSE)=0,"",VLOOKUP($A298,'Annex 2 Designated EHV charges'!$A:$O,10,FALSE)),"")</f>
        <v>17.21</v>
      </c>
      <c r="G298" s="194">
        <f>IFERROR(IF(VLOOKUP($A298,'Annex 2 Designated EHV charges'!$A:$O,11,FALSE)=0,"",VLOOKUP($A298,'Annex 2 Designated EHV charges'!$A:$O,11,FALSE)),"")</f>
        <v>3.4</v>
      </c>
      <c r="H298" s="194">
        <f>IFERROR(IF(VLOOKUP($A298,'Annex 2 Designated EHV charges'!$A:$O,12,FALSE)=0,"",VLOOKUP($A298,'Annex 2 Designated EHV charges'!$A:$O,12,FALSE)),"")</f>
        <v>3.4</v>
      </c>
    </row>
    <row r="299" spans="1:8" x14ac:dyDescent="0.2">
      <c r="A299" s="94" t="str" cm="1">
        <f t="array" ref="A299">IFERROR(INDEX('Annex 2 Designated EHV charges'!$A$10:$A$401, MATCH(0, IF(ISBLANK('Annex 2 Designated EHV charges'!$A$10:$A$401),1, COUNTIF(A$4:$A298, 'Annex 2 Designated EHV charges'!$A$10:$A$401)), 0)),"")</f>
        <v>SWNLND</v>
      </c>
      <c r="B299" s="94">
        <f>IF($A299="","",VLOOKUP($A299,'Annex 2 Designated EHV charges'!$A:$O,2,0))</f>
        <v>580</v>
      </c>
      <c r="C299" s="95">
        <f>IF($A299="","",VLOOKUP($A299,'Annex 2 Designated EHV charges'!$A:$O,3,0))</f>
        <v>1050001290011</v>
      </c>
      <c r="D299" s="94" t="str">
        <f>IF($A299="","",VLOOKUP($A299,'Annex 2 Designated EHV charges'!$A:$O,7,0))</f>
        <v>SWNLND</v>
      </c>
      <c r="E299" s="97" t="str">
        <f>IFERROR(IF(VLOOKUP($A299,'Annex 2 Designated EHV charges'!$A:$O,9,FALSE)=0,"",VLOOKUP($A299,'Annex 2 Designated EHV charges'!$A:$O,9,FALSE)),"")</f>
        <v/>
      </c>
      <c r="F299" s="194">
        <f>IFERROR(IF(VLOOKUP($A299,'Annex 2 Designated EHV charges'!$A:$O,10,FALSE)=0,"",VLOOKUP($A299,'Annex 2 Designated EHV charges'!$A:$O,10,FALSE)),"")</f>
        <v>14.31</v>
      </c>
      <c r="G299" s="194">
        <f>IFERROR(IF(VLOOKUP($A299,'Annex 2 Designated EHV charges'!$A:$O,11,FALSE)=0,"",VLOOKUP($A299,'Annex 2 Designated EHV charges'!$A:$O,11,FALSE)),"")</f>
        <v>7.08</v>
      </c>
      <c r="H299" s="194">
        <f>IFERROR(IF(VLOOKUP($A299,'Annex 2 Designated EHV charges'!$A:$O,12,FALSE)=0,"",VLOOKUP($A299,'Annex 2 Designated EHV charges'!$A:$O,12,FALSE)),"")</f>
        <v>7.08</v>
      </c>
    </row>
    <row r="300" spans="1:8" x14ac:dyDescent="0.2">
      <c r="A300" s="94" t="str" cm="1">
        <f t="array" ref="A300">IFERROR(INDEX('Annex 2 Designated EHV charges'!$A$10:$A$401, MATCH(0, IF(ISBLANK('Annex 2 Designated EHV charges'!$A$10:$A$401),1, COUNTIF(A$4:$A299, 'Annex 2 Designated EHV charges'!$A$10:$A$401)), 0)),"")</f>
        <v>THAMBS</v>
      </c>
      <c r="B300" s="94">
        <f>IF($A300="","",VLOOKUP($A300,'Annex 2 Designated EHV charges'!$A:$O,2,0))</f>
        <v>0</v>
      </c>
      <c r="C300" s="95" t="str">
        <f>IF($A300="","",VLOOKUP($A300,'Annex 2 Designated EHV charges'!$A:$O,3,0))</f>
        <v>MSID: 7539</v>
      </c>
      <c r="D300" s="94" t="str">
        <f>IF($A300="","",VLOOKUP($A300,'Annex 2 Designated EHV charges'!$A:$O,7,0))</f>
        <v>THAMBS</v>
      </c>
      <c r="E300" s="97" t="str">
        <f>IFERROR(IF(VLOOKUP($A300,'Annex 2 Designated EHV charges'!$A:$O,9,FALSE)=0,"",VLOOKUP($A300,'Annex 2 Designated EHV charges'!$A:$O,9,FALSE)),"")</f>
        <v/>
      </c>
      <c r="F300" s="194">
        <f>IFERROR(IF(VLOOKUP($A300,'Annex 2 Designated EHV charges'!$A:$O,10,FALSE)=0,"",VLOOKUP($A300,'Annex 2 Designated EHV charges'!$A:$O,10,FALSE)),"")</f>
        <v>2362.2399999999998</v>
      </c>
      <c r="G300" s="194">
        <f>IFERROR(IF(VLOOKUP($A300,'Annex 2 Designated EHV charges'!$A:$O,11,FALSE)=0,"",VLOOKUP($A300,'Annex 2 Designated EHV charges'!$A:$O,11,FALSE)),"")</f>
        <v>2.14</v>
      </c>
      <c r="H300" s="194">
        <f>IFERROR(IF(VLOOKUP($A300,'Annex 2 Designated EHV charges'!$A:$O,12,FALSE)=0,"",VLOOKUP($A300,'Annex 2 Designated EHV charges'!$A:$O,12,FALSE)),"")</f>
        <v>2.14</v>
      </c>
    </row>
    <row r="301" spans="1:8" x14ac:dyDescent="0.2">
      <c r="A301" s="94" t="str" cm="1">
        <f t="array" ref="A301">IFERROR(INDEX('Annex 2 Designated EHV charges'!$A$10:$A$401, MATCH(0, IF(ISBLANK('Annex 2 Designated EHV charges'!$A$10:$A$401),1, COUNTIF(A$4:$A300, 'Annex 2 Designated EHV charges'!$A$10:$A$401)), 0)),"")</f>
        <v>THAXSF</v>
      </c>
      <c r="B301" s="94">
        <f>IF($A301="","",VLOOKUP($A301,'Annex 2 Designated EHV charges'!$A:$O,2,0))</f>
        <v>339</v>
      </c>
      <c r="C301" s="95">
        <f>IF($A301="","",VLOOKUP($A301,'Annex 2 Designated EHV charges'!$A:$O,3,0))</f>
        <v>1050002190498</v>
      </c>
      <c r="D301" s="94" t="str">
        <f>IF($A301="","",VLOOKUP($A301,'Annex 2 Designated EHV charges'!$A:$O,7,0))</f>
        <v>THAXSF</v>
      </c>
      <c r="E301" s="97">
        <f>IFERROR(IF(VLOOKUP($A301,'Annex 2 Designated EHV charges'!$A:$O,9,FALSE)=0,"",VLOOKUP($A301,'Annex 2 Designated EHV charges'!$A:$O,9,FALSE)),"")</f>
        <v>1.9670000000000001</v>
      </c>
      <c r="F301" s="194">
        <f>IFERROR(IF(VLOOKUP($A301,'Annex 2 Designated EHV charges'!$A:$O,10,FALSE)=0,"",VLOOKUP($A301,'Annex 2 Designated EHV charges'!$A:$O,10,FALSE)),"")</f>
        <v>3.67</v>
      </c>
      <c r="G301" s="194">
        <f>IFERROR(IF(VLOOKUP($A301,'Annex 2 Designated EHV charges'!$A:$O,11,FALSE)=0,"",VLOOKUP($A301,'Annex 2 Designated EHV charges'!$A:$O,11,FALSE)),"")</f>
        <v>3.27</v>
      </c>
      <c r="H301" s="194">
        <f>IFERROR(IF(VLOOKUP($A301,'Annex 2 Designated EHV charges'!$A:$O,12,FALSE)=0,"",VLOOKUP($A301,'Annex 2 Designated EHV charges'!$A:$O,12,FALSE)),"")</f>
        <v>3.27</v>
      </c>
    </row>
    <row r="302" spans="1:8" x14ac:dyDescent="0.2">
      <c r="A302" s="94" t="str" cm="1">
        <f t="array" ref="A302">IFERROR(INDEX('Annex 2 Designated EHV charges'!$A$10:$A$401, MATCH(0, IF(ISBLANK('Annex 2 Designated EHV charges'!$A$10:$A$401),1, COUNTIF(A$4:$A301, 'Annex 2 Designated EHV charges'!$A$10:$A$401)), 0)),"")</f>
        <v>THORNM</v>
      </c>
      <c r="B302" s="94">
        <f>IF($A302="","",VLOOKUP($A302,'Annex 2 Designated EHV charges'!$A:$O,2,0))</f>
        <v>337</v>
      </c>
      <c r="C302" s="95">
        <f>IF($A302="","",VLOOKUP($A302,'Annex 2 Designated EHV charges'!$A:$O,3,0))</f>
        <v>1050002185390</v>
      </c>
      <c r="D302" s="94" t="str">
        <f>IF($A302="","",VLOOKUP($A302,'Annex 2 Designated EHV charges'!$A:$O,7,0))</f>
        <v>THORNM</v>
      </c>
      <c r="E302" s="97">
        <f>IFERROR(IF(VLOOKUP($A302,'Annex 2 Designated EHV charges'!$A:$O,9,FALSE)=0,"",VLOOKUP($A302,'Annex 2 Designated EHV charges'!$A:$O,9,FALSE)),"")</f>
        <v>8.3000000000000004E-2</v>
      </c>
      <c r="F302" s="194">
        <f>IFERROR(IF(VLOOKUP($A302,'Annex 2 Designated EHV charges'!$A:$O,10,FALSE)=0,"",VLOOKUP($A302,'Annex 2 Designated EHV charges'!$A:$O,10,FALSE)),"")</f>
        <v>3.28</v>
      </c>
      <c r="G302" s="194">
        <f>IFERROR(IF(VLOOKUP($A302,'Annex 2 Designated EHV charges'!$A:$O,11,FALSE)=0,"",VLOOKUP($A302,'Annex 2 Designated EHV charges'!$A:$O,11,FALSE)),"")</f>
        <v>2.57</v>
      </c>
      <c r="H302" s="194">
        <f>IFERROR(IF(VLOOKUP($A302,'Annex 2 Designated EHV charges'!$A:$O,12,FALSE)=0,"",VLOOKUP($A302,'Annex 2 Designated EHV charges'!$A:$O,12,FALSE)),"")</f>
        <v>2.57</v>
      </c>
    </row>
    <row r="303" spans="1:8" x14ac:dyDescent="0.2">
      <c r="A303" s="94" t="str" cm="1">
        <f t="array" ref="A303">IFERROR(INDEX('Annex 2 Designated EHV charges'!$A$10:$A$401, MATCH(0, IF(ISBLANK('Annex 2 Designated EHV charges'!$A$10:$A$401),1, COUNTIF(A$4:$A302, 'Annex 2 Designated EHV charges'!$A$10:$A$401)), 0)),"")</f>
        <v>TILGRN</v>
      </c>
      <c r="B303" s="94">
        <f>IF($A303="","",VLOOKUP($A303,'Annex 2 Designated EHV charges'!$A:$O,2,0))</f>
        <v>582</v>
      </c>
      <c r="C303" s="95">
        <f>IF($A303="","",VLOOKUP($A303,'Annex 2 Designated EHV charges'!$A:$O,3,0))</f>
        <v>1050001109352</v>
      </c>
      <c r="D303" s="94" t="str">
        <f>IF($A303="","",VLOOKUP($A303,'Annex 2 Designated EHV charges'!$A:$O,7,0))</f>
        <v>TILGRN</v>
      </c>
      <c r="E303" s="97" t="str">
        <f>IFERROR(IF(VLOOKUP($A303,'Annex 2 Designated EHV charges'!$A:$O,9,FALSE)=0,"",VLOOKUP($A303,'Annex 2 Designated EHV charges'!$A:$O,9,FALSE)),"")</f>
        <v/>
      </c>
      <c r="F303" s="194">
        <f>IFERROR(IF(VLOOKUP($A303,'Annex 2 Designated EHV charges'!$A:$O,10,FALSE)=0,"",VLOOKUP($A303,'Annex 2 Designated EHV charges'!$A:$O,10,FALSE)),"")</f>
        <v>17602.419999999998</v>
      </c>
      <c r="G303" s="194">
        <f>IFERROR(IF(VLOOKUP($A303,'Annex 2 Designated EHV charges'!$A:$O,11,FALSE)=0,"",VLOOKUP($A303,'Annex 2 Designated EHV charges'!$A:$O,11,FALSE)),"")</f>
        <v>1.32</v>
      </c>
      <c r="H303" s="194">
        <f>IFERROR(IF(VLOOKUP($A303,'Annex 2 Designated EHV charges'!$A:$O,12,FALSE)=0,"",VLOOKUP($A303,'Annex 2 Designated EHV charges'!$A:$O,12,FALSE)),"")</f>
        <v>1.32</v>
      </c>
    </row>
    <row r="304" spans="1:8" x14ac:dyDescent="0.2">
      <c r="A304" s="94" t="str" cm="1">
        <f t="array" ref="A304">IFERROR(INDEX('Annex 2 Designated EHV charges'!$A$10:$A$401, MATCH(0, IF(ISBLANK('Annex 2 Designated EHV charges'!$A$10:$A$401),1, COUNTIF(A$4:$A303, 'Annex 2 Designated EHV charges'!$A$10:$A$401)), 0)),"")</f>
        <v>TOGGAM</v>
      </c>
      <c r="B304" s="94">
        <f>IF($A304="","",VLOOKUP($A304,'Annex 2 Designated EHV charges'!$A:$O,2,0))</f>
        <v>560</v>
      </c>
      <c r="C304" s="95">
        <f>IF($A304="","",VLOOKUP($A304,'Annex 2 Designated EHV charges'!$A:$O,3,0))</f>
        <v>1050001059393</v>
      </c>
      <c r="D304" s="94" t="str">
        <f>IF($A304="","",VLOOKUP($A304,'Annex 2 Designated EHV charges'!$A:$O,7,0))</f>
        <v>TOGGAM</v>
      </c>
      <c r="E304" s="97">
        <f>IFERROR(IF(VLOOKUP($A304,'Annex 2 Designated EHV charges'!$A:$O,9,FALSE)=0,"",VLOOKUP($A304,'Annex 2 Designated EHV charges'!$A:$O,9,FALSE)),"")</f>
        <v>1.224</v>
      </c>
      <c r="F304" s="194">
        <f>IFERROR(IF(VLOOKUP($A304,'Annex 2 Designated EHV charges'!$A:$O,10,FALSE)=0,"",VLOOKUP($A304,'Annex 2 Designated EHV charges'!$A:$O,10,FALSE)),"")</f>
        <v>4697.96</v>
      </c>
      <c r="G304" s="194">
        <f>IFERROR(IF(VLOOKUP($A304,'Annex 2 Designated EHV charges'!$A:$O,11,FALSE)=0,"",VLOOKUP($A304,'Annex 2 Designated EHV charges'!$A:$O,11,FALSE)),"")</f>
        <v>2.29</v>
      </c>
      <c r="H304" s="194">
        <f>IFERROR(IF(VLOOKUP($A304,'Annex 2 Designated EHV charges'!$A:$O,12,FALSE)=0,"",VLOOKUP($A304,'Annex 2 Designated EHV charges'!$A:$O,12,FALSE)),"")</f>
        <v>2.29</v>
      </c>
    </row>
    <row r="305" spans="1:8" x14ac:dyDescent="0.2">
      <c r="A305" s="94" t="str" cm="1">
        <f t="array" ref="A305">IFERROR(INDEX('Annex 2 Designated EHV charges'!$A$10:$A$401, MATCH(0, IF(ISBLANK('Annex 2 Designated EHV charges'!$A$10:$A$401),1, COUNTIF(A$4:$A304, 'Annex 2 Designated EHV charges'!$A$10:$A$401)), 0)),"")</f>
        <v>TOLLBS</v>
      </c>
      <c r="B305" s="94">
        <f>IF($A305="","",VLOOKUP($A305,'Annex 2 Designated EHV charges'!$A:$O,2,0))</f>
        <v>0</v>
      </c>
      <c r="C305" s="95" t="str">
        <f>IF($A305="","",VLOOKUP($A305,'Annex 2 Designated EHV charges'!$A:$O,3,0))</f>
        <v>MSID: 7498</v>
      </c>
      <c r="D305" s="94" t="str">
        <f>IF($A305="","",VLOOKUP($A305,'Annex 2 Designated EHV charges'!$A:$O,7,0))</f>
        <v>TOLLBS</v>
      </c>
      <c r="E305" s="97">
        <f>IFERROR(IF(VLOOKUP($A305,'Annex 2 Designated EHV charges'!$A:$O,9,FALSE)=0,"",VLOOKUP($A305,'Annex 2 Designated EHV charges'!$A:$O,9,FALSE)),"")</f>
        <v>1.07</v>
      </c>
      <c r="F305" s="194">
        <f>IFERROR(IF(VLOOKUP($A305,'Annex 2 Designated EHV charges'!$A:$O,10,FALSE)=0,"",VLOOKUP($A305,'Annex 2 Designated EHV charges'!$A:$O,10,FALSE)),"")</f>
        <v>4674.71</v>
      </c>
      <c r="G305" s="194">
        <f>IFERROR(IF(VLOOKUP($A305,'Annex 2 Designated EHV charges'!$A:$O,11,FALSE)=0,"",VLOOKUP($A305,'Annex 2 Designated EHV charges'!$A:$O,11,FALSE)),"")</f>
        <v>1.27</v>
      </c>
      <c r="H305" s="194">
        <f>IFERROR(IF(VLOOKUP($A305,'Annex 2 Designated EHV charges'!$A:$O,12,FALSE)=0,"",VLOOKUP($A305,'Annex 2 Designated EHV charges'!$A:$O,12,FALSE)),"")</f>
        <v>1.27</v>
      </c>
    </row>
    <row r="306" spans="1:8" x14ac:dyDescent="0.2">
      <c r="A306" s="94" t="str" cm="1">
        <f t="array" ref="A306">IFERROR(INDEX('Annex 2 Designated EHV charges'!$A$10:$A$401, MATCH(0, IF(ISBLANK('Annex 2 Designated EHV charges'!$A$10:$A$401),1, COUNTIF(A$4:$A305, 'Annex 2 Designated EHV charges'!$A$10:$A$401)), 0)),"")</f>
        <v>TOOLEY</v>
      </c>
      <c r="B306" s="94">
        <f>IF($A306="","",VLOOKUP($A306,'Annex 2 Designated EHV charges'!$A:$O,2,0))</f>
        <v>561</v>
      </c>
      <c r="C306" s="95">
        <f>IF($A306="","",VLOOKUP($A306,'Annex 2 Designated EHV charges'!$A:$O,3,0))</f>
        <v>1050000903217</v>
      </c>
      <c r="D306" s="94" t="str">
        <f>IF($A306="","",VLOOKUP($A306,'Annex 2 Designated EHV charges'!$A:$O,7,0))</f>
        <v>TOOLEY</v>
      </c>
      <c r="E306" s="97">
        <f>IFERROR(IF(VLOOKUP($A306,'Annex 2 Designated EHV charges'!$A:$O,9,FALSE)=0,"",VLOOKUP($A306,'Annex 2 Designated EHV charges'!$A:$O,9,FALSE)),"")</f>
        <v>0.186</v>
      </c>
      <c r="F306" s="194">
        <f>IFERROR(IF(VLOOKUP($A306,'Annex 2 Designated EHV charges'!$A:$O,10,FALSE)=0,"",VLOOKUP($A306,'Annex 2 Designated EHV charges'!$A:$O,10,FALSE)),"")</f>
        <v>43.29</v>
      </c>
      <c r="G306" s="194">
        <f>IFERROR(IF(VLOOKUP($A306,'Annex 2 Designated EHV charges'!$A:$O,11,FALSE)=0,"",VLOOKUP($A306,'Annex 2 Designated EHV charges'!$A:$O,11,FALSE)),"")</f>
        <v>8.1300000000000008</v>
      </c>
      <c r="H306" s="194">
        <f>IFERROR(IF(VLOOKUP($A306,'Annex 2 Designated EHV charges'!$A:$O,12,FALSE)=0,"",VLOOKUP($A306,'Annex 2 Designated EHV charges'!$A:$O,12,FALSE)),"")</f>
        <v>8.1300000000000008</v>
      </c>
    </row>
    <row r="307" spans="1:8" x14ac:dyDescent="0.2">
      <c r="A307" s="94" t="str" cm="1">
        <f t="array" ref="A307">IFERROR(INDEX('Annex 2 Designated EHV charges'!$A$10:$A$401, MATCH(0, IF(ISBLANK('Annex 2 Designated EHV charges'!$A$10:$A$401),1, COUNTIF(A$4:$A306, 'Annex 2 Designated EHV charges'!$A$10:$A$401)), 0)),"")</f>
        <v>TRNCLE</v>
      </c>
      <c r="B307" s="94">
        <f>IF($A307="","",VLOOKUP($A307,'Annex 2 Designated EHV charges'!$A:$O,2,0))</f>
        <v>583</v>
      </c>
      <c r="C307" s="95">
        <f>IF($A307="","",VLOOKUP($A307,'Annex 2 Designated EHV charges'!$A:$O,3,0))</f>
        <v>1050001078642</v>
      </c>
      <c r="D307" s="94" t="str">
        <f>IF($A307="","",VLOOKUP($A307,'Annex 2 Designated EHV charges'!$A:$O,7,0))</f>
        <v>TRNCLE</v>
      </c>
      <c r="E307" s="97">
        <f>IFERROR(IF(VLOOKUP($A307,'Annex 2 Designated EHV charges'!$A:$O,9,FALSE)=0,"",VLOOKUP($A307,'Annex 2 Designated EHV charges'!$A:$O,9,FALSE)),"")</f>
        <v>2.081</v>
      </c>
      <c r="F307" s="194">
        <f>IFERROR(IF(VLOOKUP($A307,'Annex 2 Designated EHV charges'!$A:$O,10,FALSE)=0,"",VLOOKUP($A307,'Annex 2 Designated EHV charges'!$A:$O,10,FALSE)),"")</f>
        <v>229.92</v>
      </c>
      <c r="G307" s="194">
        <f>IFERROR(IF(VLOOKUP($A307,'Annex 2 Designated EHV charges'!$A:$O,11,FALSE)=0,"",VLOOKUP($A307,'Annex 2 Designated EHV charges'!$A:$O,11,FALSE)),"")</f>
        <v>2.16</v>
      </c>
      <c r="H307" s="194">
        <f>IFERROR(IF(VLOOKUP($A307,'Annex 2 Designated EHV charges'!$A:$O,12,FALSE)=0,"",VLOOKUP($A307,'Annex 2 Designated EHV charges'!$A:$O,12,FALSE)),"")</f>
        <v>2.16</v>
      </c>
    </row>
    <row r="308" spans="1:8" ht="25.5" x14ac:dyDescent="0.2">
      <c r="A308" s="94" t="str" cm="1">
        <f t="array" ref="A308">IFERROR(INDEX('Annex 2 Designated EHV charges'!$A$10:$A$401, MATCH(0, IF(ISBLANK('Annex 2 Designated EHV charges'!$A$10:$A$401),1, COUNTIF(A$4:$A307, 'Annex 2 Designated EHV charges'!$A$10:$A$401)), 0)),"")</f>
        <v>TROWSF</v>
      </c>
      <c r="B308" s="94">
        <f>IF($A308="","",VLOOKUP($A308,'Annex 2 Designated EHV charges'!$A:$O,2,0))</f>
        <v>822</v>
      </c>
      <c r="C308" s="95" t="str">
        <f>IF($A308="","",VLOOKUP($A308,'Annex 2 Designated EHV charges'!$A:$O,3,0))</f>
        <v>1050001541858;1050002380289</v>
      </c>
      <c r="D308" s="94" t="str">
        <f>IF($A308="","",VLOOKUP($A308,'Annex 2 Designated EHV charges'!$A:$O,7,0))</f>
        <v>TROWSF</v>
      </c>
      <c r="E308" s="97">
        <f>IFERROR(IF(VLOOKUP($A308,'Annex 2 Designated EHV charges'!$A:$O,9,FALSE)=0,"",VLOOKUP($A308,'Annex 2 Designated EHV charges'!$A:$O,9,FALSE)),"")</f>
        <v>0.25600000000000001</v>
      </c>
      <c r="F308" s="194">
        <f>IFERROR(IF(VLOOKUP($A308,'Annex 2 Designated EHV charges'!$A:$O,10,FALSE)=0,"",VLOOKUP($A308,'Annex 2 Designated EHV charges'!$A:$O,10,FALSE)),"")</f>
        <v>4627.25</v>
      </c>
      <c r="G308" s="194">
        <f>IFERROR(IF(VLOOKUP($A308,'Annex 2 Designated EHV charges'!$A:$O,11,FALSE)=0,"",VLOOKUP($A308,'Annex 2 Designated EHV charges'!$A:$O,11,FALSE)),"")</f>
        <v>1.74</v>
      </c>
      <c r="H308" s="194">
        <f>IFERROR(IF(VLOOKUP($A308,'Annex 2 Designated EHV charges'!$A:$O,12,FALSE)=0,"",VLOOKUP($A308,'Annex 2 Designated EHV charges'!$A:$O,12,FALSE)),"")</f>
        <v>1.74</v>
      </c>
    </row>
    <row r="309" spans="1:8" x14ac:dyDescent="0.2">
      <c r="A309" s="94" t="str" cm="1">
        <f t="array" ref="A309">IFERROR(INDEX('Annex 2 Designated EHV charges'!$A$10:$A$401, MATCH(0, IF(ISBLANK('Annex 2 Designated EHV charges'!$A$10:$A$401),1, COUNTIF(A$4:$A308, 'Annex 2 Designated EHV charges'!$A$10:$A$401)), 0)),"")</f>
        <v>UKPRST</v>
      </c>
      <c r="B309" s="94">
        <f>IF($A309="","",VLOOKUP($A309,'Annex 2 Designated EHV charges'!$A:$O,2,0))</f>
        <v>584</v>
      </c>
      <c r="C309" s="95">
        <f>IF($A309="","",VLOOKUP($A309,'Annex 2 Designated EHV charges'!$A:$O,3,0))</f>
        <v>1050001052193</v>
      </c>
      <c r="D309" s="94" t="str">
        <f>IF($A309="","",VLOOKUP($A309,'Annex 2 Designated EHV charges'!$A:$O,7,0))</f>
        <v>UKPRST</v>
      </c>
      <c r="E309" s="97">
        <f>IFERROR(IF(VLOOKUP($A309,'Annex 2 Designated EHV charges'!$A:$O,9,FALSE)=0,"",VLOOKUP($A309,'Annex 2 Designated EHV charges'!$A:$O,9,FALSE)),"")</f>
        <v>1.591</v>
      </c>
      <c r="F309" s="194">
        <f>IFERROR(IF(VLOOKUP($A309,'Annex 2 Designated EHV charges'!$A:$O,10,FALSE)=0,"",VLOOKUP($A309,'Annex 2 Designated EHV charges'!$A:$O,10,FALSE)),"")</f>
        <v>12.07</v>
      </c>
      <c r="G309" s="194">
        <f>IFERROR(IF(VLOOKUP($A309,'Annex 2 Designated EHV charges'!$A:$O,11,FALSE)=0,"",VLOOKUP($A309,'Annex 2 Designated EHV charges'!$A:$O,11,FALSE)),"")</f>
        <v>2.0699999999999998</v>
      </c>
      <c r="H309" s="194">
        <f>IFERROR(IF(VLOOKUP($A309,'Annex 2 Designated EHV charges'!$A:$O,12,FALSE)=0,"",VLOOKUP($A309,'Annex 2 Designated EHV charges'!$A:$O,12,FALSE)),"")</f>
        <v>2.0699999999999998</v>
      </c>
    </row>
    <row r="310" spans="1:8" x14ac:dyDescent="0.2">
      <c r="A310" s="94" t="str" cm="1">
        <f t="array" ref="A310">IFERROR(INDEX('Annex 2 Designated EHV charges'!$A$10:$A$401, MATCH(0, IF(ISBLANK('Annex 2 Designated EHV charges'!$A$10:$A$401),1, COUNTIF(A$4:$A309, 'Annex 2 Designated EHV charges'!$A$10:$A$401)), 0)),"")</f>
        <v>VINESF</v>
      </c>
      <c r="B310" s="94">
        <f>IF($A310="","",VLOOKUP($A310,'Annex 2 Designated EHV charges'!$A:$O,2,0))</f>
        <v>562</v>
      </c>
      <c r="C310" s="95">
        <f>IF($A310="","",VLOOKUP($A310,'Annex 2 Designated EHV charges'!$A:$O,3,0))</f>
        <v>1050000996141</v>
      </c>
      <c r="D310" s="94" t="str">
        <f>IF($A310="","",VLOOKUP($A310,'Annex 2 Designated EHV charges'!$A:$O,7,0))</f>
        <v>VINESF</v>
      </c>
      <c r="E310" s="97">
        <f>IFERROR(IF(VLOOKUP($A310,'Annex 2 Designated EHV charges'!$A:$O,9,FALSE)=0,"",VLOOKUP($A310,'Annex 2 Designated EHV charges'!$A:$O,9,FALSE)),"")</f>
        <v>8.6999999999999994E-2</v>
      </c>
      <c r="F310" s="194">
        <f>IFERROR(IF(VLOOKUP($A310,'Annex 2 Designated EHV charges'!$A:$O,10,FALSE)=0,"",VLOOKUP($A310,'Annex 2 Designated EHV charges'!$A:$O,10,FALSE)),"")</f>
        <v>90.05</v>
      </c>
      <c r="G310" s="194">
        <f>IFERROR(IF(VLOOKUP($A310,'Annex 2 Designated EHV charges'!$A:$O,11,FALSE)=0,"",VLOOKUP($A310,'Annex 2 Designated EHV charges'!$A:$O,11,FALSE)),"")</f>
        <v>3.29</v>
      </c>
      <c r="H310" s="194">
        <f>IFERROR(IF(VLOOKUP($A310,'Annex 2 Designated EHV charges'!$A:$O,12,FALSE)=0,"",VLOOKUP($A310,'Annex 2 Designated EHV charges'!$A:$O,12,FALSE)),"")</f>
        <v>3.29</v>
      </c>
    </row>
    <row r="311" spans="1:8" x14ac:dyDescent="0.2">
      <c r="A311" s="94" t="str" cm="1">
        <f t="array" ref="A311">IFERROR(INDEX('Annex 2 Designated EHV charges'!$A$10:$A$401, MATCH(0, IF(ISBLANK('Annex 2 Designated EHV charges'!$A$10:$A$401),1, COUNTIF(A$4:$A310, 'Annex 2 Designated EHV charges'!$A$10:$A$401)), 0)),"")</f>
        <v>WAIRWF</v>
      </c>
      <c r="B311" s="94">
        <f>IF($A311="","",VLOOKUP($A311,'Annex 2 Designated EHV charges'!$A:$O,2,0))</f>
        <v>501</v>
      </c>
      <c r="C311" s="95">
        <f>IF($A311="","",VLOOKUP($A311,'Annex 2 Designated EHV charges'!$A:$O,3,0))</f>
        <v>1050000529637</v>
      </c>
      <c r="D311" s="94" t="str">
        <f>IF($A311="","",VLOOKUP($A311,'Annex 2 Designated EHV charges'!$A:$O,7,0))</f>
        <v>WAIRWF</v>
      </c>
      <c r="E311" s="97" t="str">
        <f>IFERROR(IF(VLOOKUP($A311,'Annex 2 Designated EHV charges'!$A:$O,9,FALSE)=0,"",VLOOKUP($A311,'Annex 2 Designated EHV charges'!$A:$O,9,FALSE)),"")</f>
        <v/>
      </c>
      <c r="F311" s="194">
        <f>IFERROR(IF(VLOOKUP($A311,'Annex 2 Designated EHV charges'!$A:$O,10,FALSE)=0,"",VLOOKUP($A311,'Annex 2 Designated EHV charges'!$A:$O,10,FALSE)),"")</f>
        <v>33.78</v>
      </c>
      <c r="G311" s="194">
        <f>IFERROR(IF(VLOOKUP($A311,'Annex 2 Designated EHV charges'!$A:$O,11,FALSE)=0,"",VLOOKUP($A311,'Annex 2 Designated EHV charges'!$A:$O,11,FALSE)),"")</f>
        <v>5.98</v>
      </c>
      <c r="H311" s="194">
        <f>IFERROR(IF(VLOOKUP($A311,'Annex 2 Designated EHV charges'!$A:$O,12,FALSE)=0,"",VLOOKUP($A311,'Annex 2 Designated EHV charges'!$A:$O,12,FALSE)),"")</f>
        <v>5.98</v>
      </c>
    </row>
    <row r="312" spans="1:8" x14ac:dyDescent="0.2">
      <c r="A312" s="94" t="str" cm="1">
        <f t="array" ref="A312">IFERROR(INDEX('Annex 2 Designated EHV charges'!$A$10:$A$401, MATCH(0, IF(ISBLANK('Annex 2 Designated EHV charges'!$A$10:$A$401),1, COUNTIF(A$4:$A311, 'Annex 2 Designated EHV charges'!$A$10:$A$401)), 0)),"")</f>
        <v>WCKHAM</v>
      </c>
      <c r="B312" s="94">
        <f>IF($A312="","",VLOOKUP($A312,'Annex 2 Designated EHV charges'!$A:$O,2,0))</f>
        <v>342</v>
      </c>
      <c r="C312" s="95">
        <f>IF($A312="","",VLOOKUP($A312,'Annex 2 Designated EHV charges'!$A:$O,3,0))</f>
        <v>1050001967470</v>
      </c>
      <c r="D312" s="94" t="str">
        <f>IF($A312="","",VLOOKUP($A312,'Annex 2 Designated EHV charges'!$A:$O,7,0))</f>
        <v>WCKHAM</v>
      </c>
      <c r="E312" s="97">
        <f>IFERROR(IF(VLOOKUP($A312,'Annex 2 Designated EHV charges'!$A:$O,9,FALSE)=0,"",VLOOKUP($A312,'Annex 2 Designated EHV charges'!$A:$O,9,FALSE)),"")</f>
        <v>0.16400000000000001</v>
      </c>
      <c r="F312" s="194">
        <f>IFERROR(IF(VLOOKUP($A312,'Annex 2 Designated EHV charges'!$A:$O,10,FALSE)=0,"",VLOOKUP($A312,'Annex 2 Designated EHV charges'!$A:$O,10,FALSE)),"")</f>
        <v>1001.9</v>
      </c>
      <c r="G312" s="194">
        <f>IFERROR(IF(VLOOKUP($A312,'Annex 2 Designated EHV charges'!$A:$O,11,FALSE)=0,"",VLOOKUP($A312,'Annex 2 Designated EHV charges'!$A:$O,11,FALSE)),"")</f>
        <v>2.14</v>
      </c>
      <c r="H312" s="194">
        <f>IFERROR(IF(VLOOKUP($A312,'Annex 2 Designated EHV charges'!$A:$O,12,FALSE)=0,"",VLOOKUP($A312,'Annex 2 Designated EHV charges'!$A:$O,12,FALSE)),"")</f>
        <v>2.14</v>
      </c>
    </row>
    <row r="313" spans="1:8" x14ac:dyDescent="0.2">
      <c r="A313" s="94" t="str" cm="1">
        <f t="array" ref="A313">IFERROR(INDEX('Annex 2 Designated EHV charges'!$A$10:$A$401, MATCH(0, IF(ISBLANK('Annex 2 Designated EHV charges'!$A$10:$A$401),1, COUNTIF(A$4:$A312, 'Annex 2 Designated EHV charges'!$A$10:$A$401)), 0)),"")</f>
        <v>WDLWWF</v>
      </c>
      <c r="B313" s="94">
        <f>IF($A313="","",VLOOKUP($A313,'Annex 2 Designated EHV charges'!$A:$O,2,0))</f>
        <v>867</v>
      </c>
      <c r="C313" s="95">
        <f>IF($A313="","",VLOOKUP($A313,'Annex 2 Designated EHV charges'!$A:$O,3,0))</f>
        <v>1030078016464</v>
      </c>
      <c r="D313" s="94" t="str">
        <f>IF($A313="","",VLOOKUP($A313,'Annex 2 Designated EHV charges'!$A:$O,7,0))</f>
        <v>WDLWWF</v>
      </c>
      <c r="E313" s="97">
        <f>IFERROR(IF(VLOOKUP($A313,'Annex 2 Designated EHV charges'!$A:$O,9,FALSE)=0,"",VLOOKUP($A313,'Annex 2 Designated EHV charges'!$A:$O,9,FALSE)),"")</f>
        <v>0.49299999999999999</v>
      </c>
      <c r="F313" s="194">
        <f>IFERROR(IF(VLOOKUP($A313,'Annex 2 Designated EHV charges'!$A:$O,10,FALSE)=0,"",VLOOKUP($A313,'Annex 2 Designated EHV charges'!$A:$O,10,FALSE)),"")</f>
        <v>8.7200000000000006</v>
      </c>
      <c r="G313" s="194">
        <f>IFERROR(IF(VLOOKUP($A313,'Annex 2 Designated EHV charges'!$A:$O,11,FALSE)=0,"",VLOOKUP($A313,'Annex 2 Designated EHV charges'!$A:$O,11,FALSE)),"")</f>
        <v>4.0199999999999996</v>
      </c>
      <c r="H313" s="194">
        <f>IFERROR(IF(VLOOKUP($A313,'Annex 2 Designated EHV charges'!$A:$O,12,FALSE)=0,"",VLOOKUP($A313,'Annex 2 Designated EHV charges'!$A:$O,12,FALSE)),"")</f>
        <v>4.0199999999999996</v>
      </c>
    </row>
    <row r="314" spans="1:8" x14ac:dyDescent="0.2">
      <c r="A314" s="94" t="str" cm="1">
        <f t="array" ref="A314">IFERROR(INDEX('Annex 2 Designated EHV charges'!$A$10:$A$401, MATCH(0, IF(ISBLANK('Annex 2 Designated EHV charges'!$A$10:$A$401),1, COUNTIF(A$4:$A313, 'Annex 2 Designated EHV charges'!$A$10:$A$401)), 0)),"")</f>
        <v>WDLWWW</v>
      </c>
      <c r="B314" s="94">
        <f>IF($A314="","",VLOOKUP($A314,'Annex 2 Designated EHV charges'!$A:$O,2,0))</f>
        <v>430</v>
      </c>
      <c r="C314" s="95">
        <f>IF($A314="","",VLOOKUP($A314,'Annex 2 Designated EHV charges'!$A:$O,3,0))</f>
        <v>1030078016696</v>
      </c>
      <c r="D314" s="94" t="str">
        <f>IF($A314="","",VLOOKUP($A314,'Annex 2 Designated EHV charges'!$A:$O,7,0))</f>
        <v>WDLWWW</v>
      </c>
      <c r="E314" s="97">
        <f>IFERROR(IF(VLOOKUP($A314,'Annex 2 Designated EHV charges'!$A:$O,9,FALSE)=0,"",VLOOKUP($A314,'Annex 2 Designated EHV charges'!$A:$O,9,FALSE)),"")</f>
        <v>0.99</v>
      </c>
      <c r="F314" s="194">
        <f>IFERROR(IF(VLOOKUP($A314,'Annex 2 Designated EHV charges'!$A:$O,10,FALSE)=0,"",VLOOKUP($A314,'Annex 2 Designated EHV charges'!$A:$O,10,FALSE)),"")</f>
        <v>10.210000000000001</v>
      </c>
      <c r="G314" s="194">
        <f>IFERROR(IF(VLOOKUP($A314,'Annex 2 Designated EHV charges'!$A:$O,11,FALSE)=0,"",VLOOKUP($A314,'Annex 2 Designated EHV charges'!$A:$O,11,FALSE)),"")</f>
        <v>3.11</v>
      </c>
      <c r="H314" s="194">
        <f>IFERROR(IF(VLOOKUP($A314,'Annex 2 Designated EHV charges'!$A:$O,12,FALSE)=0,"",VLOOKUP($A314,'Annex 2 Designated EHV charges'!$A:$O,12,FALSE)),"")</f>
        <v>3.11</v>
      </c>
    </row>
    <row r="315" spans="1:8" x14ac:dyDescent="0.2">
      <c r="A315" s="94" t="str" cm="1">
        <f t="array" ref="A315">IFERROR(INDEX('Annex 2 Designated EHV charges'!$A$10:$A$401, MATCH(0, IF(ISBLANK('Annex 2 Designated EHV charges'!$A$10:$A$401),1, COUNTIF(A$4:$A314, 'Annex 2 Designated EHV charges'!$A$10:$A$401)), 0)),"")</f>
        <v>WHIRSF</v>
      </c>
      <c r="B315" s="94">
        <f>IF($A315="","",VLOOKUP($A315,'Annex 2 Designated EHV charges'!$A:$O,2,0))</f>
        <v>345</v>
      </c>
      <c r="C315" s="95">
        <f>IF($A315="","",VLOOKUP($A315,'Annex 2 Designated EHV charges'!$A:$O,3,0))</f>
        <v>1050002982113</v>
      </c>
      <c r="D315" s="94" t="str">
        <f>IF($A315="","",VLOOKUP($A315,'Annex 2 Designated EHV charges'!$A:$O,7,0))</f>
        <v>WHIRSF</v>
      </c>
      <c r="E315" s="97" t="str">
        <f>IFERROR(IF(VLOOKUP($A315,'Annex 2 Designated EHV charges'!$A:$O,9,FALSE)=0,"",VLOOKUP($A315,'Annex 2 Designated EHV charges'!$A:$O,9,FALSE)),"")</f>
        <v/>
      </c>
      <c r="F315" s="194">
        <f>IFERROR(IF(VLOOKUP($A315,'Annex 2 Designated EHV charges'!$A:$O,10,FALSE)=0,"",VLOOKUP($A315,'Annex 2 Designated EHV charges'!$A:$O,10,FALSE)),"")</f>
        <v>4694.34</v>
      </c>
      <c r="G315" s="194">
        <f>IFERROR(IF(VLOOKUP($A315,'Annex 2 Designated EHV charges'!$A:$O,11,FALSE)=0,"",VLOOKUP($A315,'Annex 2 Designated EHV charges'!$A:$O,11,FALSE)),"")</f>
        <v>1.9</v>
      </c>
      <c r="H315" s="194">
        <f>IFERROR(IF(VLOOKUP($A315,'Annex 2 Designated EHV charges'!$A:$O,12,FALSE)=0,"",VLOOKUP($A315,'Annex 2 Designated EHV charges'!$A:$O,12,FALSE)),"")</f>
        <v>1.9</v>
      </c>
    </row>
    <row r="316" spans="1:8" x14ac:dyDescent="0.2">
      <c r="A316" s="94" t="str" cm="1">
        <f t="array" ref="A316">IFERROR(INDEX('Annex 2 Designated EHV charges'!$A$10:$A$401, MATCH(0, IF(ISBLANK('Annex 2 Designated EHV charges'!$A$10:$A$401),1, COUNTIF(A$4:$A315, 'Annex 2 Designated EHV charges'!$A$10:$A$401)), 0)),"")</f>
        <v>WHMLWF</v>
      </c>
      <c r="B316" s="94">
        <f>IF($A316="","",VLOOKUP($A316,'Annex 2 Designated EHV charges'!$A:$O,2,0))</f>
        <v>868</v>
      </c>
      <c r="C316" s="95">
        <f>IF($A316="","",VLOOKUP($A316,'Annex 2 Designated EHV charges'!$A:$O,3,0))</f>
        <v>1030079196591</v>
      </c>
      <c r="D316" s="94" t="str">
        <f>IF($A316="","",VLOOKUP($A316,'Annex 2 Designated EHV charges'!$A:$O,7,0))</f>
        <v>WHMLWF</v>
      </c>
      <c r="E316" s="97">
        <f>IFERROR(IF(VLOOKUP($A316,'Annex 2 Designated EHV charges'!$A:$O,9,FALSE)=0,"",VLOOKUP($A316,'Annex 2 Designated EHV charges'!$A:$O,9,FALSE)),"")</f>
        <v>6.9000000000000006E-2</v>
      </c>
      <c r="F316" s="194">
        <f>IFERROR(IF(VLOOKUP($A316,'Annex 2 Designated EHV charges'!$A:$O,10,FALSE)=0,"",VLOOKUP($A316,'Annex 2 Designated EHV charges'!$A:$O,10,FALSE)),"")</f>
        <v>177.85</v>
      </c>
      <c r="G316" s="194">
        <f>IFERROR(IF(VLOOKUP($A316,'Annex 2 Designated EHV charges'!$A:$O,11,FALSE)=0,"",VLOOKUP($A316,'Annex 2 Designated EHV charges'!$A:$O,11,FALSE)),"")</f>
        <v>1.34</v>
      </c>
      <c r="H316" s="194">
        <f>IFERROR(IF(VLOOKUP($A316,'Annex 2 Designated EHV charges'!$A:$O,12,FALSE)=0,"",VLOOKUP($A316,'Annex 2 Designated EHV charges'!$A:$O,12,FALSE)),"")</f>
        <v>1.34</v>
      </c>
    </row>
    <row r="317" spans="1:8" x14ac:dyDescent="0.2">
      <c r="A317" s="94" t="str" cm="1">
        <f t="array" ref="A317">IFERROR(INDEX('Annex 2 Designated EHV charges'!$A$10:$A$401, MATCH(0, IF(ISBLANK('Annex 2 Designated EHV charges'!$A$10:$A$401),1, COUNTIF(A$4:$A316, 'Annex 2 Designated EHV charges'!$A$10:$A$401)), 0)),"")</f>
        <v>WIGGIN</v>
      </c>
      <c r="B317" s="94">
        <f>IF($A317="","",VLOOKUP($A317,'Annex 2 Designated EHV charges'!$A:$O,2,0))</f>
        <v>529</v>
      </c>
      <c r="C317" s="95">
        <f>IF($A317="","",VLOOKUP($A317,'Annex 2 Designated EHV charges'!$A:$O,3,0))</f>
        <v>1050000769145</v>
      </c>
      <c r="D317" s="94" t="str">
        <f>IF($A317="","",VLOOKUP($A317,'Annex 2 Designated EHV charges'!$A:$O,7,0))</f>
        <v>WIGGIN</v>
      </c>
      <c r="E317" s="97">
        <f>IFERROR(IF(VLOOKUP($A317,'Annex 2 Designated EHV charges'!$A:$O,9,FALSE)=0,"",VLOOKUP($A317,'Annex 2 Designated EHV charges'!$A:$O,9,FALSE)),"")</f>
        <v>1.6339999999999999</v>
      </c>
      <c r="F317" s="194">
        <f>IFERROR(IF(VLOOKUP($A317,'Annex 2 Designated EHV charges'!$A:$O,10,FALSE)=0,"",VLOOKUP($A317,'Annex 2 Designated EHV charges'!$A:$O,10,FALSE)),"")</f>
        <v>20.41</v>
      </c>
      <c r="G317" s="194">
        <f>IFERROR(IF(VLOOKUP($A317,'Annex 2 Designated EHV charges'!$A:$O,11,FALSE)=0,"",VLOOKUP($A317,'Annex 2 Designated EHV charges'!$A:$O,11,FALSE)),"")</f>
        <v>3.84</v>
      </c>
      <c r="H317" s="194">
        <f>IFERROR(IF(VLOOKUP($A317,'Annex 2 Designated EHV charges'!$A:$O,12,FALSE)=0,"",VLOOKUP($A317,'Annex 2 Designated EHV charges'!$A:$O,12,FALSE)),"")</f>
        <v>3.84</v>
      </c>
    </row>
    <row r="318" spans="1:8" x14ac:dyDescent="0.2">
      <c r="A318" s="94" t="str" cm="1">
        <f t="array" ref="A318">IFERROR(INDEX('Annex 2 Designated EHV charges'!$A$10:$A$401, MATCH(0, IF(ISBLANK('Annex 2 Designated EHV charges'!$A$10:$A$401),1, COUNTIF(A$4:$A317, 'Annex 2 Designated EHV charges'!$A$10:$A$401)), 0)),"")</f>
        <v>WLBRHM</v>
      </c>
      <c r="B318" s="94">
        <f>IF($A318="","",VLOOKUP($A318,'Annex 2 Designated EHV charges'!$A:$O,2,0))</f>
        <v>530</v>
      </c>
      <c r="C318" s="95">
        <f>IF($A318="","",VLOOKUP($A318,'Annex 2 Designated EHV charges'!$A:$O,3,0))</f>
        <v>1050000714155</v>
      </c>
      <c r="D318" s="94" t="str">
        <f>IF($A318="","",VLOOKUP($A318,'Annex 2 Designated EHV charges'!$A:$O,7,0))</f>
        <v>WLBRHM</v>
      </c>
      <c r="E318" s="97">
        <f>IFERROR(IF(VLOOKUP($A318,'Annex 2 Designated EHV charges'!$A:$O,9,FALSE)=0,"",VLOOKUP($A318,'Annex 2 Designated EHV charges'!$A:$O,9,FALSE)),"")</f>
        <v>0.90400000000000003</v>
      </c>
      <c r="F318" s="194">
        <f>IFERROR(IF(VLOOKUP($A318,'Annex 2 Designated EHV charges'!$A:$O,10,FALSE)=0,"",VLOOKUP($A318,'Annex 2 Designated EHV charges'!$A:$O,10,FALSE)),"")</f>
        <v>21.75</v>
      </c>
      <c r="G318" s="194">
        <f>IFERROR(IF(VLOOKUP($A318,'Annex 2 Designated EHV charges'!$A:$O,11,FALSE)=0,"",VLOOKUP($A318,'Annex 2 Designated EHV charges'!$A:$O,11,FALSE)),"")</f>
        <v>8.14</v>
      </c>
      <c r="H318" s="194">
        <f>IFERROR(IF(VLOOKUP($A318,'Annex 2 Designated EHV charges'!$A:$O,12,FALSE)=0,"",VLOOKUP($A318,'Annex 2 Designated EHV charges'!$A:$O,12,FALSE)),"")</f>
        <v>8.14</v>
      </c>
    </row>
    <row r="319" spans="1:8" x14ac:dyDescent="0.2">
      <c r="A319" s="94" t="str" cm="1">
        <f t="array" ref="A319">IFERROR(INDEX('Annex 2 Designated EHV charges'!$A$10:$A$401, MATCH(0, IF(ISBLANK('Annex 2 Designated EHV charges'!$A$10:$A$401),1, COUNTIF(A$4:$A318, 'Annex 2 Designated EHV charges'!$A$10:$A$401)), 0)),"")</f>
        <v>WOBRBS</v>
      </c>
      <c r="B319" s="94">
        <f>IF($A319="","",VLOOKUP($A319,'Annex 2 Designated EHV charges'!$A:$O,2,0))</f>
        <v>0</v>
      </c>
      <c r="C319" s="95" t="str">
        <f>IF($A319="","",VLOOKUP($A319,'Annex 2 Designated EHV charges'!$A:$O,3,0))</f>
        <v>ENET</v>
      </c>
      <c r="D319" s="94" t="str">
        <f>IF($A319="","",VLOOKUP($A319,'Annex 2 Designated EHV charges'!$A:$O,7,0))</f>
        <v>WOBRBS</v>
      </c>
      <c r="E319" s="97">
        <f>IFERROR(IF(VLOOKUP($A319,'Annex 2 Designated EHV charges'!$A:$O,9,FALSE)=0,"",VLOOKUP($A319,'Annex 2 Designated EHV charges'!$A:$O,9,FALSE)),"")</f>
        <v>1.552</v>
      </c>
      <c r="F319" s="194">
        <f>IFERROR(IF(VLOOKUP($A319,'Annex 2 Designated EHV charges'!$A:$O,10,FALSE)=0,"",VLOOKUP($A319,'Annex 2 Designated EHV charges'!$A:$O,10,FALSE)),"")</f>
        <v>241.09</v>
      </c>
      <c r="G319" s="194">
        <f>IFERROR(IF(VLOOKUP($A319,'Annex 2 Designated EHV charges'!$A:$O,11,FALSE)=0,"",VLOOKUP($A319,'Annex 2 Designated EHV charges'!$A:$O,11,FALSE)),"")</f>
        <v>0.83</v>
      </c>
      <c r="H319" s="194">
        <f>IFERROR(IF(VLOOKUP($A319,'Annex 2 Designated EHV charges'!$A:$O,12,FALSE)=0,"",VLOOKUP($A319,'Annex 2 Designated EHV charges'!$A:$O,12,FALSE)),"")</f>
        <v>0.83</v>
      </c>
    </row>
    <row r="320" spans="1:8" x14ac:dyDescent="0.2">
      <c r="A320" s="94" t="str" cm="1">
        <f t="array" ref="A320">IFERROR(INDEX('Annex 2 Designated EHV charges'!$A$10:$A$401, MATCH(0, IF(ISBLANK('Annex 2 Designated EHV charges'!$A$10:$A$401),1, COUNTIF(A$4:$A319, 'Annex 2 Designated EHV charges'!$A$10:$A$401)), 0)),"")</f>
        <v>WOOLLY</v>
      </c>
      <c r="B320" s="94">
        <f>IF($A320="","",VLOOKUP($A320,'Annex 2 Designated EHV charges'!$A:$O,2,0))</f>
        <v>532</v>
      </c>
      <c r="C320" s="95">
        <f>IF($A320="","",VLOOKUP($A320,'Annex 2 Designated EHV charges'!$A:$O,3,0))</f>
        <v>1050000555920</v>
      </c>
      <c r="D320" s="94" t="str">
        <f>IF($A320="","",VLOOKUP($A320,'Annex 2 Designated EHV charges'!$A:$O,7,0))</f>
        <v>WOOLLY</v>
      </c>
      <c r="E320" s="97" t="str">
        <f>IFERROR(IF(VLOOKUP($A320,'Annex 2 Designated EHV charges'!$A:$O,9,FALSE)=0,"",VLOOKUP($A320,'Annex 2 Designated EHV charges'!$A:$O,9,FALSE)),"")</f>
        <v/>
      </c>
      <c r="F320" s="194">
        <f>IFERROR(IF(VLOOKUP($A320,'Annex 2 Designated EHV charges'!$A:$O,10,FALSE)=0,"",VLOOKUP($A320,'Annex 2 Designated EHV charges'!$A:$O,10,FALSE)),"")</f>
        <v>119.79</v>
      </c>
      <c r="G320" s="194">
        <f>IFERROR(IF(VLOOKUP($A320,'Annex 2 Designated EHV charges'!$A:$O,11,FALSE)=0,"",VLOOKUP($A320,'Annex 2 Designated EHV charges'!$A:$O,11,FALSE)),"")</f>
        <v>2.69</v>
      </c>
      <c r="H320" s="194">
        <f>IFERROR(IF(VLOOKUP($A320,'Annex 2 Designated EHV charges'!$A:$O,12,FALSE)=0,"",VLOOKUP($A320,'Annex 2 Designated EHV charges'!$A:$O,12,FALSE)),"")</f>
        <v>2.69</v>
      </c>
    </row>
    <row r="321" spans="1:8" x14ac:dyDescent="0.2">
      <c r="A321" s="94" t="str" cm="1">
        <f t="array" ref="A321">IFERROR(INDEX('Annex 2 Designated EHV charges'!$A$10:$A$401, MATCH(0, IF(ISBLANK('Annex 2 Designated EHV charges'!$A$10:$A$401),1, COUNTIF(A$4:$A320, 'Annex 2 Designated EHV charges'!$A$10:$A$401)), 0)),"")</f>
        <v>WRGSTE</v>
      </c>
      <c r="B321" s="94">
        <f>IF($A321="","",VLOOKUP($A321,'Annex 2 Designated EHV charges'!$A:$O,2,0))</f>
        <v>839</v>
      </c>
      <c r="C321" s="95">
        <f>IF($A321="","",VLOOKUP($A321,'Annex 2 Designated EHV charges'!$A:$O,3,0))</f>
        <v>1023479303448</v>
      </c>
      <c r="D321" s="94" t="str">
        <f>IF($A321="","",VLOOKUP($A321,'Annex 2 Designated EHV charges'!$A:$O,7,0))</f>
        <v>WRGSTE</v>
      </c>
      <c r="E321" s="97">
        <f>IFERROR(IF(VLOOKUP($A321,'Annex 2 Designated EHV charges'!$A:$O,9,FALSE)=0,"",VLOOKUP($A321,'Annex 2 Designated EHV charges'!$A:$O,9,FALSE)),"")</f>
        <v>1.5840000000000001</v>
      </c>
      <c r="F321" s="194">
        <f>IFERROR(IF(VLOOKUP($A321,'Annex 2 Designated EHV charges'!$A:$O,10,FALSE)=0,"",VLOOKUP($A321,'Annex 2 Designated EHV charges'!$A:$O,10,FALSE)),"")</f>
        <v>149.97</v>
      </c>
      <c r="G321" s="194">
        <f>IFERROR(IF(VLOOKUP($A321,'Annex 2 Designated EHV charges'!$A:$O,11,FALSE)=0,"",VLOOKUP($A321,'Annex 2 Designated EHV charges'!$A:$O,11,FALSE)),"")</f>
        <v>1.18</v>
      </c>
      <c r="H321" s="194">
        <f>IFERROR(IF(VLOOKUP($A321,'Annex 2 Designated EHV charges'!$A:$O,12,FALSE)=0,"",VLOOKUP($A321,'Annex 2 Designated EHV charges'!$A:$O,12,FALSE)),"")</f>
        <v>1.18</v>
      </c>
    </row>
    <row r="322" spans="1:8" x14ac:dyDescent="0.2">
      <c r="A322" s="94" t="str" cm="1">
        <f t="array" ref="A322">IFERROR(INDEX('Annex 2 Designated EHV charges'!$A$10:$A$401, MATCH(0, IF(ISBLANK('Annex 2 Designated EHV charges'!$A$10:$A$401),1, COUNTIF(A$4:$A321, 'Annex 2 Designated EHV charges'!$A$10:$A$401)), 0)),"")</f>
        <v>WRYDEC</v>
      </c>
      <c r="B322" s="94">
        <f>IF($A322="","",VLOOKUP($A322,'Annex 2 Designated EHV charges'!$A:$O,2,0))</f>
        <v>563</v>
      </c>
      <c r="C322" s="95">
        <f>IF($A322="","",VLOOKUP($A322,'Annex 2 Designated EHV charges'!$A:$O,3,0))</f>
        <v>1050000948110</v>
      </c>
      <c r="D322" s="94" t="str">
        <f>IF($A322="","",VLOOKUP($A322,'Annex 2 Designated EHV charges'!$A:$O,7,0))</f>
        <v>WRYDEC</v>
      </c>
      <c r="E322" s="97">
        <f>IFERROR(IF(VLOOKUP($A322,'Annex 2 Designated EHV charges'!$A:$O,9,FALSE)=0,"",VLOOKUP($A322,'Annex 2 Designated EHV charges'!$A:$O,9,FALSE)),"")</f>
        <v>0.22</v>
      </c>
      <c r="F322" s="194">
        <f>IFERROR(IF(VLOOKUP($A322,'Annex 2 Designated EHV charges'!$A:$O,10,FALSE)=0,"",VLOOKUP($A322,'Annex 2 Designated EHV charges'!$A:$O,10,FALSE)),"")</f>
        <v>42.16</v>
      </c>
      <c r="G322" s="194">
        <f>IFERROR(IF(VLOOKUP($A322,'Annex 2 Designated EHV charges'!$A:$O,11,FALSE)=0,"",VLOOKUP($A322,'Annex 2 Designated EHV charges'!$A:$O,11,FALSE)),"")</f>
        <v>2.12</v>
      </c>
      <c r="H322" s="194">
        <f>IFERROR(IF(VLOOKUP($A322,'Annex 2 Designated EHV charges'!$A:$O,12,FALSE)=0,"",VLOOKUP($A322,'Annex 2 Designated EHV charges'!$A:$O,12,FALSE)),"")</f>
        <v>2.12</v>
      </c>
    </row>
    <row r="323" spans="1:8" x14ac:dyDescent="0.2">
      <c r="A323" s="94" t="str" cm="1">
        <f t="array" ref="A323">IFERROR(INDEX('Annex 2 Designated EHV charges'!$A$10:$A$401, MATCH(0, IF(ISBLANK('Annex 2 Designated EHV charges'!$A$10:$A$401),1, COUNTIF(A$4:$A322, 'Annex 2 Designated EHV charges'!$A$10:$A$401)), 0)),"")</f>
        <v>WSBRDG</v>
      </c>
      <c r="B323" s="94">
        <f>IF($A323="","",VLOOKUP($A323,'Annex 2 Designated EHV charges'!$A:$O,2,0))</f>
        <v>531</v>
      </c>
      <c r="C323" s="95">
        <f>IF($A323="","",VLOOKUP($A323,'Annex 2 Designated EHV charges'!$A:$O,3,0))</f>
        <v>1050000650690</v>
      </c>
      <c r="D323" s="94" t="str">
        <f>IF($A323="","",VLOOKUP($A323,'Annex 2 Designated EHV charges'!$A:$O,7,0))</f>
        <v>WSBRDG</v>
      </c>
      <c r="E323" s="97" t="str">
        <f>IFERROR(IF(VLOOKUP($A323,'Annex 2 Designated EHV charges'!$A:$O,9,FALSE)=0,"",VLOOKUP($A323,'Annex 2 Designated EHV charges'!$A:$O,9,FALSE)),"")</f>
        <v/>
      </c>
      <c r="F323" s="194">
        <f>IFERROR(IF(VLOOKUP($A323,'Annex 2 Designated EHV charges'!$A:$O,10,FALSE)=0,"",VLOOKUP($A323,'Annex 2 Designated EHV charges'!$A:$O,10,FALSE)),"")</f>
        <v>17.63</v>
      </c>
      <c r="G323" s="194">
        <f>IFERROR(IF(VLOOKUP($A323,'Annex 2 Designated EHV charges'!$A:$O,11,FALSE)=0,"",VLOOKUP($A323,'Annex 2 Designated EHV charges'!$A:$O,11,FALSE)),"")</f>
        <v>9.74</v>
      </c>
      <c r="H323" s="194">
        <f>IFERROR(IF(VLOOKUP($A323,'Annex 2 Designated EHV charges'!$A:$O,12,FALSE)=0,"",VLOOKUP($A323,'Annex 2 Designated EHV charges'!$A:$O,12,FALSE)),"")</f>
        <v>9.74</v>
      </c>
    </row>
    <row r="324" spans="1:8" x14ac:dyDescent="0.2">
      <c r="A324" s="94" t="str" cm="1">
        <f t="array" ref="A324">IFERROR(INDEX('Annex 2 Designated EHV charges'!$A$10:$A$401, MATCH(0, IF(ISBLANK('Annex 2 Designated EHV charges'!$A$10:$A$401),1, COUNTIF(A$4:$A323, 'Annex 2 Designated EHV charges'!$A$10:$A$401)), 0)),"")</f>
        <v>WSTNLV</v>
      </c>
      <c r="B324" s="94">
        <f>IF($A324="","",VLOOKUP($A324,'Annex 2 Designated EHV charges'!$A:$O,2,0))</f>
        <v>538</v>
      </c>
      <c r="C324" s="95">
        <f>IF($A324="","",VLOOKUP($A324,'Annex 2 Designated EHV charges'!$A:$O,3,0))</f>
        <v>1050000811596</v>
      </c>
      <c r="D324" s="94" t="str">
        <f>IF($A324="","",VLOOKUP($A324,'Annex 2 Designated EHV charges'!$A:$O,7,0))</f>
        <v>WSTNLV</v>
      </c>
      <c r="E324" s="97" t="str">
        <f>IFERROR(IF(VLOOKUP($A324,'Annex 2 Designated EHV charges'!$A:$O,9,FALSE)=0,"",VLOOKUP($A324,'Annex 2 Designated EHV charges'!$A:$O,9,FALSE)),"")</f>
        <v/>
      </c>
      <c r="F324" s="194">
        <f>IFERROR(IF(VLOOKUP($A324,'Annex 2 Designated EHV charges'!$A:$O,10,FALSE)=0,"",VLOOKUP($A324,'Annex 2 Designated EHV charges'!$A:$O,10,FALSE)),"")</f>
        <v>32.86</v>
      </c>
      <c r="G324" s="194">
        <f>IFERROR(IF(VLOOKUP($A324,'Annex 2 Designated EHV charges'!$A:$O,11,FALSE)=0,"",VLOOKUP($A324,'Annex 2 Designated EHV charges'!$A:$O,11,FALSE)),"")</f>
        <v>5.31</v>
      </c>
      <c r="H324" s="194">
        <f>IFERROR(IF(VLOOKUP($A324,'Annex 2 Designated EHV charges'!$A:$O,12,FALSE)=0,"",VLOOKUP($A324,'Annex 2 Designated EHV charges'!$A:$O,12,FALSE)),"")</f>
        <v>5.31</v>
      </c>
    </row>
    <row r="325" spans="1:8" x14ac:dyDescent="0.2">
      <c r="A325" s="94" t="str" cm="1">
        <f t="array" ref="A325">IFERROR(INDEX('Annex 2 Designated EHV charges'!$A$10:$A$401, MATCH(0, IF(ISBLANK('Annex 2 Designated EHV charges'!$A$10:$A$401),1, COUNTIF(A$4:$A324, 'Annex 2 Designated EHV charges'!$A$10:$A$401)), 0)),"")</f>
        <v>WTRLOO</v>
      </c>
      <c r="B325" s="94">
        <f>IF($A325="","",VLOOKUP($A325,'Annex 2 Designated EHV charges'!$A:$O,2,0))</f>
        <v>533</v>
      </c>
      <c r="C325" s="95">
        <f>IF($A325="","",VLOOKUP($A325,'Annex 2 Designated EHV charges'!$A:$O,3,0))</f>
        <v>1050000769163</v>
      </c>
      <c r="D325" s="94" t="str">
        <f>IF($A325="","",VLOOKUP($A325,'Annex 2 Designated EHV charges'!$A:$O,7,0))</f>
        <v>WTRLOO</v>
      </c>
      <c r="E325" s="97" t="str">
        <f>IFERROR(IF(VLOOKUP($A325,'Annex 2 Designated EHV charges'!$A:$O,9,FALSE)=0,"",VLOOKUP($A325,'Annex 2 Designated EHV charges'!$A:$O,9,FALSE)),"")</f>
        <v/>
      </c>
      <c r="F325" s="194">
        <f>IFERROR(IF(VLOOKUP($A325,'Annex 2 Designated EHV charges'!$A:$O,10,FALSE)=0,"",VLOOKUP($A325,'Annex 2 Designated EHV charges'!$A:$O,10,FALSE)),"")</f>
        <v>12.63</v>
      </c>
      <c r="G325" s="194">
        <f>IFERROR(IF(VLOOKUP($A325,'Annex 2 Designated EHV charges'!$A:$O,11,FALSE)=0,"",VLOOKUP($A325,'Annex 2 Designated EHV charges'!$A:$O,11,FALSE)),"")</f>
        <v>3.94</v>
      </c>
      <c r="H325" s="194">
        <f>IFERROR(IF(VLOOKUP($A325,'Annex 2 Designated EHV charges'!$A:$O,12,FALSE)=0,"",VLOOKUP($A325,'Annex 2 Designated EHV charges'!$A:$O,12,FALSE)),"")</f>
        <v>3.94</v>
      </c>
    </row>
    <row r="326" spans="1:8" x14ac:dyDescent="0.2">
      <c r="A326" s="48" t="str" cm="1">
        <f t="array" ref="A326">IFERROR(INDEX('Annex 2 Designated EHV charges'!$A$10:$A$401, MATCH(0, IF(ISBLANK('Annex 2 Designated EHV charges'!$A$10:$A$401),1, COUNTIF(A$4:$A325, 'Annex 2 Designated EHV charges'!$A$10:$A$401)), 0)),"")</f>
        <v/>
      </c>
      <c r="B326" s="48" t="str">
        <f>IF($A326="","",VLOOKUP($A326,'Annex 2 Designated EHV charges'!$A:$O,2,0))</f>
        <v/>
      </c>
      <c r="C326" s="56" t="str">
        <f>IF($A326="","",VLOOKUP($A326,'Annex 2 Designated EHV charges'!$A:$O,3,0))</f>
        <v/>
      </c>
      <c r="D326" s="56" t="str">
        <f>IF($A326="","",VLOOKUP($A326,'Annex 2 Designated EHV charges'!$A:$O,7,0))</f>
        <v/>
      </c>
      <c r="E326" s="57" t="str">
        <f>IFERROR(IF(VLOOKUP($A326,'Annex 2 Designated EHV charges'!$A:$O,9,FALSE)=0,"",VLOOKUP($A326,'Annex 2 Designated EHV charges'!$A:$O,9,FALSE)),"")</f>
        <v/>
      </c>
      <c r="F326" s="58" t="str">
        <f>IFERROR(IF(VLOOKUP($A326,'Annex 2 Designated EHV charges'!$A:$O,10,FALSE)=0,"",VLOOKUP($A326,'Annex 2 Designated EHV charges'!$A:$O,10,FALSE)),"")</f>
        <v/>
      </c>
      <c r="G326" s="58" t="str">
        <f>IFERROR(IF(VLOOKUP($A326,'Annex 2 Designated EHV charges'!$A:$O,11,FALSE)=0,"",VLOOKUP($A326,'Annex 2 Designated EHV charges'!$A:$O,11,FALSE)),"")</f>
        <v/>
      </c>
      <c r="H326" s="48" t="str">
        <f>IFERROR(IF(VLOOKUP($A326,'Annex 2 Designated EHV charges'!$A:$O,12,FALSE)=0,"",VLOOKUP($A326,'Annex 2 Designated EHV charges'!$A:$O,12,FALSE)),"")</f>
        <v/>
      </c>
    </row>
    <row r="327" spans="1:8" x14ac:dyDescent="0.2">
      <c r="A327" s="48" t="str" cm="1">
        <f t="array" ref="A327">IFERROR(INDEX('Annex 2 Designated EHV charges'!$A$10:$A$401, MATCH(0, IF(ISBLANK('Annex 2 Designated EHV charges'!$A$10:$A$401),1, COUNTIF(A$4:$A326, 'Annex 2 Designated EHV charges'!$A$10:$A$401)), 0)),"")</f>
        <v/>
      </c>
      <c r="B327" s="48" t="str">
        <f>IF($A327="","",VLOOKUP($A327,'Annex 2 Designated EHV charges'!$A:$O,2,0))</f>
        <v/>
      </c>
      <c r="C327" s="56" t="str">
        <f>IF($A327="","",VLOOKUP($A327,'Annex 2 Designated EHV charges'!$A:$O,3,0))</f>
        <v/>
      </c>
      <c r="D327" s="56" t="str">
        <f>IF($A327="","",VLOOKUP($A327,'Annex 2 Designated EHV charges'!$A:$O,7,0))</f>
        <v/>
      </c>
      <c r="E327" s="57" t="str">
        <f>IFERROR(IF(VLOOKUP($A327,'Annex 2 Designated EHV charges'!$A:$O,9,FALSE)=0,"",VLOOKUP($A327,'Annex 2 Designated EHV charges'!$A:$O,9,FALSE)),"")</f>
        <v/>
      </c>
      <c r="F327" s="58" t="str">
        <f>IFERROR(IF(VLOOKUP($A327,'Annex 2 Designated EHV charges'!$A:$O,10,FALSE)=0,"",VLOOKUP($A327,'Annex 2 Designated EHV charges'!$A:$O,10,FALSE)),"")</f>
        <v/>
      </c>
      <c r="G327" s="58" t="str">
        <f>IFERROR(IF(VLOOKUP($A327,'Annex 2 Designated EHV charges'!$A:$O,11,FALSE)=0,"",VLOOKUP($A327,'Annex 2 Designated EHV charges'!$A:$O,11,FALSE)),"")</f>
        <v/>
      </c>
      <c r="H327" s="48" t="str">
        <f>IFERROR(IF(VLOOKUP($A327,'Annex 2 Designated EHV charges'!$A:$O,12,FALSE)=0,"",VLOOKUP($A327,'Annex 2 Designated EHV charges'!$A:$O,12,FALSE)),"")</f>
        <v/>
      </c>
    </row>
    <row r="328" spans="1:8" x14ac:dyDescent="0.2">
      <c r="A328" s="48" t="str" cm="1">
        <f t="array" ref="A328">IFERROR(INDEX('Annex 2 Designated EHV charges'!$A$10:$A$401, MATCH(0, IF(ISBLANK('Annex 2 Designated EHV charges'!$A$10:$A$401),1, COUNTIF(A$4:$A327, 'Annex 2 Designated EHV charges'!$A$10:$A$401)), 0)),"")</f>
        <v/>
      </c>
      <c r="B328" s="48" t="str">
        <f>IF($A328="","",VLOOKUP($A328,'Annex 2 Designated EHV charges'!$A:$O,2,0))</f>
        <v/>
      </c>
      <c r="C328" s="56" t="str">
        <f>IF($A328="","",VLOOKUP($A328,'Annex 2 Designated EHV charges'!$A:$O,3,0))</f>
        <v/>
      </c>
      <c r="D328" s="56" t="str">
        <f>IF($A328="","",VLOOKUP($A328,'Annex 2 Designated EHV charges'!$A:$O,7,0))</f>
        <v/>
      </c>
      <c r="E328" s="57" t="str">
        <f>IFERROR(IF(VLOOKUP($A328,'Annex 2 Designated EHV charges'!$A:$O,9,FALSE)=0,"",VLOOKUP($A328,'Annex 2 Designated EHV charges'!$A:$O,9,FALSE)),"")</f>
        <v/>
      </c>
      <c r="F328" s="58" t="str">
        <f>IFERROR(IF(VLOOKUP($A328,'Annex 2 Designated EHV charges'!$A:$O,10,FALSE)=0,"",VLOOKUP($A328,'Annex 2 Designated EHV charges'!$A:$O,10,FALSE)),"")</f>
        <v/>
      </c>
      <c r="G328" s="58" t="str">
        <f>IFERROR(IF(VLOOKUP($A328,'Annex 2 Designated EHV charges'!$A:$O,11,FALSE)=0,"",VLOOKUP($A328,'Annex 2 Designated EHV charges'!$A:$O,11,FALSE)),"")</f>
        <v/>
      </c>
      <c r="H328" s="48" t="str">
        <f>IFERROR(IF(VLOOKUP($A328,'Annex 2 Designated EHV charges'!$A:$O,12,FALSE)=0,"",VLOOKUP($A328,'Annex 2 Designated EHV charges'!$A:$O,12,FALSE)),"")</f>
        <v/>
      </c>
    </row>
    <row r="329" spans="1:8" x14ac:dyDescent="0.2">
      <c r="A329" s="48" t="str" cm="1">
        <f t="array" ref="A329">IFERROR(INDEX('Annex 2 Designated EHV charges'!$A$10:$A$401, MATCH(0, IF(ISBLANK('Annex 2 Designated EHV charges'!$A$10:$A$401),1, COUNTIF(A$4:$A328, 'Annex 2 Designated EHV charges'!$A$10:$A$401)), 0)),"")</f>
        <v/>
      </c>
      <c r="B329" s="48" t="str">
        <f>IF($A329="","",VLOOKUP($A329,'Annex 2 Designated EHV charges'!$A:$O,2,0))</f>
        <v/>
      </c>
      <c r="C329" s="56" t="str">
        <f>IF($A329="","",VLOOKUP($A329,'Annex 2 Designated EHV charges'!$A:$O,3,0))</f>
        <v/>
      </c>
      <c r="D329" s="56" t="str">
        <f>IF($A329="","",VLOOKUP($A329,'Annex 2 Designated EHV charges'!$A:$O,7,0))</f>
        <v/>
      </c>
      <c r="E329" s="57" t="str">
        <f>IFERROR(IF(VLOOKUP($A329,'Annex 2 Designated EHV charges'!$A:$O,9,FALSE)=0,"",VLOOKUP($A329,'Annex 2 Designated EHV charges'!$A:$O,9,FALSE)),"")</f>
        <v/>
      </c>
      <c r="F329" s="58" t="str">
        <f>IFERROR(IF(VLOOKUP($A329,'Annex 2 Designated EHV charges'!$A:$O,10,FALSE)=0,"",VLOOKUP($A329,'Annex 2 Designated EHV charges'!$A:$O,10,FALSE)),"")</f>
        <v/>
      </c>
      <c r="G329" s="58" t="str">
        <f>IFERROR(IF(VLOOKUP($A329,'Annex 2 Designated EHV charges'!$A:$O,11,FALSE)=0,"",VLOOKUP($A329,'Annex 2 Designated EHV charges'!$A:$O,11,FALSE)),"")</f>
        <v/>
      </c>
      <c r="H329" s="48" t="str">
        <f>IFERROR(IF(VLOOKUP($A329,'Annex 2 Designated EHV charges'!$A:$O,12,FALSE)=0,"",VLOOKUP($A329,'Annex 2 Designated EHV charges'!$A:$O,12,FALSE)),"")</f>
        <v/>
      </c>
    </row>
    <row r="330" spans="1:8" x14ac:dyDescent="0.2">
      <c r="A330" s="48" t="str" cm="1">
        <f t="array" ref="A330">IFERROR(INDEX('Annex 2 Designated EHV charges'!$A$10:$A$401, MATCH(0, IF(ISBLANK('Annex 2 Designated EHV charges'!$A$10:$A$401),1, COUNTIF(A$4:$A329, 'Annex 2 Designated EHV charges'!$A$10:$A$401)), 0)),"")</f>
        <v/>
      </c>
      <c r="B330" s="48" t="str">
        <f>IF($A330="","",VLOOKUP($A330,'Annex 2 Designated EHV charges'!$A:$O,2,0))</f>
        <v/>
      </c>
      <c r="C330" s="56" t="str">
        <f>IF($A330="","",VLOOKUP($A330,'Annex 2 Designated EHV charges'!$A:$O,3,0))</f>
        <v/>
      </c>
      <c r="D330" s="56" t="str">
        <f>IF($A330="","",VLOOKUP($A330,'Annex 2 Designated EHV charges'!$A:$O,7,0))</f>
        <v/>
      </c>
      <c r="E330" s="57" t="str">
        <f>IFERROR(IF(VLOOKUP($A330,'Annex 2 Designated EHV charges'!$A:$O,9,FALSE)=0,"",VLOOKUP($A330,'Annex 2 Designated EHV charges'!$A:$O,9,FALSE)),"")</f>
        <v/>
      </c>
      <c r="F330" s="58" t="str">
        <f>IFERROR(IF(VLOOKUP($A330,'Annex 2 Designated EHV charges'!$A:$O,10,FALSE)=0,"",VLOOKUP($A330,'Annex 2 Designated EHV charges'!$A:$O,10,FALSE)),"")</f>
        <v/>
      </c>
      <c r="G330" s="58" t="str">
        <f>IFERROR(IF(VLOOKUP($A330,'Annex 2 Designated EHV charges'!$A:$O,11,FALSE)=0,"",VLOOKUP($A330,'Annex 2 Designated EHV charges'!$A:$O,11,FALSE)),"")</f>
        <v/>
      </c>
      <c r="H330" s="48" t="str">
        <f>IFERROR(IF(VLOOKUP($A330,'Annex 2 Designated EHV charges'!$A:$O,12,FALSE)=0,"",VLOOKUP($A330,'Annex 2 Designated EHV charges'!$A:$O,12,FALSE)),"")</f>
        <v/>
      </c>
    </row>
    <row r="331" spans="1:8" x14ac:dyDescent="0.2">
      <c r="A331" s="48" t="str" cm="1">
        <f t="array" ref="A331">IFERROR(INDEX('Annex 2 Designated EHV charges'!$A$10:$A$401, MATCH(0, IF(ISBLANK('Annex 2 Designated EHV charges'!$A$10:$A$401),1, COUNTIF(A$4:$A330, 'Annex 2 Designated EHV charges'!$A$10:$A$401)), 0)),"")</f>
        <v/>
      </c>
      <c r="B331" s="48" t="str">
        <f>IF($A331="","",VLOOKUP($A331,'Annex 2 Designated EHV charges'!$A:$O,2,0))</f>
        <v/>
      </c>
      <c r="C331" s="56" t="str">
        <f>IF($A331="","",VLOOKUP($A331,'Annex 2 Designated EHV charges'!$A:$O,3,0))</f>
        <v/>
      </c>
      <c r="D331" s="56" t="str">
        <f>IF($A331="","",VLOOKUP($A331,'Annex 2 Designated EHV charges'!$A:$O,7,0))</f>
        <v/>
      </c>
      <c r="E331" s="57" t="str">
        <f>IFERROR(IF(VLOOKUP($A331,'Annex 2 Designated EHV charges'!$A:$O,9,FALSE)=0,"",VLOOKUP($A331,'Annex 2 Designated EHV charges'!$A:$O,9,FALSE)),"")</f>
        <v/>
      </c>
      <c r="F331" s="58" t="str">
        <f>IFERROR(IF(VLOOKUP($A331,'Annex 2 Designated EHV charges'!$A:$O,10,FALSE)=0,"",VLOOKUP($A331,'Annex 2 Designated EHV charges'!$A:$O,10,FALSE)),"")</f>
        <v/>
      </c>
      <c r="G331" s="58" t="str">
        <f>IFERROR(IF(VLOOKUP($A331,'Annex 2 Designated EHV charges'!$A:$O,11,FALSE)=0,"",VLOOKUP($A331,'Annex 2 Designated EHV charges'!$A:$O,11,FALSE)),"")</f>
        <v/>
      </c>
      <c r="H331" s="48" t="str">
        <f>IFERROR(IF(VLOOKUP($A331,'Annex 2 Designated EHV charges'!$A:$O,12,FALSE)=0,"",VLOOKUP($A331,'Annex 2 Designated EHV charges'!$A:$O,12,FALSE)),"")</f>
        <v/>
      </c>
    </row>
    <row r="332" spans="1:8" x14ac:dyDescent="0.2">
      <c r="A332" s="48" t="str" cm="1">
        <f t="array" ref="A332">IFERROR(INDEX('Annex 2 Designated EHV charges'!$A$10:$A$401, MATCH(0, IF(ISBLANK('Annex 2 Designated EHV charges'!$A$10:$A$401),1, COUNTIF(A$4:$A331, 'Annex 2 Designated EHV charges'!$A$10:$A$401)), 0)),"")</f>
        <v/>
      </c>
      <c r="B332" s="48" t="str">
        <f>IF($A332="","",VLOOKUP($A332,'Annex 2 Designated EHV charges'!$A:$O,2,0))</f>
        <v/>
      </c>
      <c r="C332" s="56" t="str">
        <f>IF($A332="","",VLOOKUP($A332,'Annex 2 Designated EHV charges'!$A:$O,3,0))</f>
        <v/>
      </c>
      <c r="D332" s="56" t="str">
        <f>IF($A332="","",VLOOKUP($A332,'Annex 2 Designated EHV charges'!$A:$O,7,0))</f>
        <v/>
      </c>
      <c r="E332" s="57" t="str">
        <f>IFERROR(IF(VLOOKUP($A332,'Annex 2 Designated EHV charges'!$A:$O,9,FALSE)=0,"",VLOOKUP($A332,'Annex 2 Designated EHV charges'!$A:$O,9,FALSE)),"")</f>
        <v/>
      </c>
      <c r="F332" s="58" t="str">
        <f>IFERROR(IF(VLOOKUP($A332,'Annex 2 Designated EHV charges'!$A:$O,10,FALSE)=0,"",VLOOKUP($A332,'Annex 2 Designated EHV charges'!$A:$O,10,FALSE)),"")</f>
        <v/>
      </c>
      <c r="G332" s="58" t="str">
        <f>IFERROR(IF(VLOOKUP($A332,'Annex 2 Designated EHV charges'!$A:$O,11,FALSE)=0,"",VLOOKUP($A332,'Annex 2 Designated EHV charges'!$A:$O,11,FALSE)),"")</f>
        <v/>
      </c>
      <c r="H332" s="48" t="str">
        <f>IFERROR(IF(VLOOKUP($A332,'Annex 2 Designated EHV charges'!$A:$O,12,FALSE)=0,"",VLOOKUP($A332,'Annex 2 Designated EHV charges'!$A:$O,12,FALSE)),"")</f>
        <v/>
      </c>
    </row>
    <row r="333" spans="1:8" x14ac:dyDescent="0.2">
      <c r="A333" s="48" t="str" cm="1">
        <f t="array" ref="A333">IFERROR(INDEX('Annex 2 Designated EHV charges'!$A$10:$A$401, MATCH(0, IF(ISBLANK('Annex 2 Designated EHV charges'!$A$10:$A$401),1, COUNTIF(A$4:$A332, 'Annex 2 Designated EHV charges'!$A$10:$A$401)), 0)),"")</f>
        <v/>
      </c>
      <c r="B333" s="48" t="str">
        <f>IF($A333="","",VLOOKUP($A333,'Annex 2 Designated EHV charges'!$A:$O,2,0))</f>
        <v/>
      </c>
      <c r="C333" s="56" t="str">
        <f>IF($A333="","",VLOOKUP($A333,'Annex 2 Designated EHV charges'!$A:$O,3,0))</f>
        <v/>
      </c>
      <c r="D333" s="56" t="str">
        <f>IF($A333="","",VLOOKUP($A333,'Annex 2 Designated EHV charges'!$A:$O,7,0))</f>
        <v/>
      </c>
      <c r="E333" s="57" t="str">
        <f>IFERROR(IF(VLOOKUP($A333,'Annex 2 Designated EHV charges'!$A:$O,9,FALSE)=0,"",VLOOKUP($A333,'Annex 2 Designated EHV charges'!$A:$O,9,FALSE)),"")</f>
        <v/>
      </c>
      <c r="F333" s="58" t="str">
        <f>IFERROR(IF(VLOOKUP($A333,'Annex 2 Designated EHV charges'!$A:$O,10,FALSE)=0,"",VLOOKUP($A333,'Annex 2 Designated EHV charges'!$A:$O,10,FALSE)),"")</f>
        <v/>
      </c>
      <c r="G333" s="58" t="str">
        <f>IFERROR(IF(VLOOKUP($A333,'Annex 2 Designated EHV charges'!$A:$O,11,FALSE)=0,"",VLOOKUP($A333,'Annex 2 Designated EHV charges'!$A:$O,11,FALSE)),"")</f>
        <v/>
      </c>
      <c r="H333" s="48" t="str">
        <f>IFERROR(IF(VLOOKUP($A333,'Annex 2 Designated EHV charges'!$A:$O,12,FALSE)=0,"",VLOOKUP($A333,'Annex 2 Designated EHV charges'!$A:$O,12,FALSE)),"")</f>
        <v/>
      </c>
    </row>
    <row r="334" spans="1:8" x14ac:dyDescent="0.2">
      <c r="A334" s="48" t="str" cm="1">
        <f t="array" ref="A334">IFERROR(INDEX('Annex 2 Designated EHV charges'!$A$10:$A$401, MATCH(0, IF(ISBLANK('Annex 2 Designated EHV charges'!$A$10:$A$401),1, COUNTIF(A$4:$A333, 'Annex 2 Designated EHV charges'!$A$10:$A$401)), 0)),"")</f>
        <v/>
      </c>
      <c r="B334" s="48" t="str">
        <f>IF($A334="","",VLOOKUP($A334,'Annex 2 Designated EHV charges'!$A:$O,2,0))</f>
        <v/>
      </c>
      <c r="C334" s="56" t="str">
        <f>IF($A334="","",VLOOKUP($A334,'Annex 2 Designated EHV charges'!$A:$O,3,0))</f>
        <v/>
      </c>
      <c r="D334" s="56" t="str">
        <f>IF($A334="","",VLOOKUP($A334,'Annex 2 Designated EHV charges'!$A:$O,7,0))</f>
        <v/>
      </c>
      <c r="E334" s="57" t="str">
        <f>IFERROR(IF(VLOOKUP($A334,'Annex 2 Designated EHV charges'!$A:$O,9,FALSE)=0,"",VLOOKUP($A334,'Annex 2 Designated EHV charges'!$A:$O,9,FALSE)),"")</f>
        <v/>
      </c>
      <c r="F334" s="58" t="str">
        <f>IFERROR(IF(VLOOKUP($A334,'Annex 2 Designated EHV charges'!$A:$O,10,FALSE)=0,"",VLOOKUP($A334,'Annex 2 Designated EHV charges'!$A:$O,10,FALSE)),"")</f>
        <v/>
      </c>
      <c r="G334" s="58" t="str">
        <f>IFERROR(IF(VLOOKUP($A334,'Annex 2 Designated EHV charges'!$A:$O,11,FALSE)=0,"",VLOOKUP($A334,'Annex 2 Designated EHV charges'!$A:$O,11,FALSE)),"")</f>
        <v/>
      </c>
      <c r="H334" s="48" t="str">
        <f>IFERROR(IF(VLOOKUP($A334,'Annex 2 Designated EHV charges'!$A:$O,12,FALSE)=0,"",VLOOKUP($A334,'Annex 2 Designated EHV charges'!$A:$O,12,FALSE)),"")</f>
        <v/>
      </c>
    </row>
    <row r="335" spans="1:8" x14ac:dyDescent="0.2">
      <c r="A335" s="48" t="str" cm="1">
        <f t="array" ref="A335">IFERROR(INDEX('Annex 2 Designated EHV charges'!$A$10:$A$401, MATCH(0, IF(ISBLANK('Annex 2 Designated EHV charges'!$A$10:$A$401),1, COUNTIF(A$4:$A334, 'Annex 2 Designated EHV charges'!$A$10:$A$401)), 0)),"")</f>
        <v/>
      </c>
      <c r="B335" s="48" t="str">
        <f>IF($A335="","",VLOOKUP($A335,'Annex 2 Designated EHV charges'!$A:$O,2,0))</f>
        <v/>
      </c>
      <c r="C335" s="56" t="str">
        <f>IF($A335="","",VLOOKUP($A335,'Annex 2 Designated EHV charges'!$A:$O,3,0))</f>
        <v/>
      </c>
      <c r="D335" s="56" t="str">
        <f>IF($A335="","",VLOOKUP($A335,'Annex 2 Designated EHV charges'!$A:$O,7,0))</f>
        <v/>
      </c>
      <c r="E335" s="57" t="str">
        <f>IFERROR(IF(VLOOKUP($A335,'Annex 2 Designated EHV charges'!$A:$O,9,FALSE)=0,"",VLOOKUP($A335,'Annex 2 Designated EHV charges'!$A:$O,9,FALSE)),"")</f>
        <v/>
      </c>
      <c r="F335" s="58" t="str">
        <f>IFERROR(IF(VLOOKUP($A335,'Annex 2 Designated EHV charges'!$A:$O,10,FALSE)=0,"",VLOOKUP($A335,'Annex 2 Designated EHV charges'!$A:$O,10,FALSE)),"")</f>
        <v/>
      </c>
      <c r="G335" s="58" t="str">
        <f>IFERROR(IF(VLOOKUP($A335,'Annex 2 Designated EHV charges'!$A:$O,11,FALSE)=0,"",VLOOKUP($A335,'Annex 2 Designated EHV charges'!$A:$O,11,FALSE)),"")</f>
        <v/>
      </c>
      <c r="H335" s="48" t="str">
        <f>IFERROR(IF(VLOOKUP($A335,'Annex 2 Designated EHV charges'!$A:$O,12,FALSE)=0,"",VLOOKUP($A335,'Annex 2 Designated EHV charges'!$A:$O,12,FALSE)),"")</f>
        <v/>
      </c>
    </row>
    <row r="336" spans="1:8" x14ac:dyDescent="0.2">
      <c r="A336" s="48" t="str" cm="1">
        <f t="array" ref="A336">IFERROR(INDEX('Annex 2 Designated EHV charges'!$A$10:$A$401, MATCH(0, IF(ISBLANK('Annex 2 Designated EHV charges'!$A$10:$A$401),1, COUNTIF(A$4:$A335, 'Annex 2 Designated EHV charges'!$A$10:$A$401)), 0)),"")</f>
        <v/>
      </c>
      <c r="B336" s="48" t="str">
        <f>IF($A336="","",VLOOKUP($A336,'Annex 2 Designated EHV charges'!$A:$O,2,0))</f>
        <v/>
      </c>
      <c r="C336" s="56" t="str">
        <f>IF($A336="","",VLOOKUP($A336,'Annex 2 Designated EHV charges'!$A:$O,3,0))</f>
        <v/>
      </c>
      <c r="D336" s="56" t="str">
        <f>IF($A336="","",VLOOKUP($A336,'Annex 2 Designated EHV charges'!$A:$O,7,0))</f>
        <v/>
      </c>
      <c r="E336" s="57" t="str">
        <f>IFERROR(IF(VLOOKUP($A336,'Annex 2 Designated EHV charges'!$A:$O,9,FALSE)=0,"",VLOOKUP($A336,'Annex 2 Designated EHV charges'!$A:$O,9,FALSE)),"")</f>
        <v/>
      </c>
      <c r="F336" s="58" t="str">
        <f>IFERROR(IF(VLOOKUP($A336,'Annex 2 Designated EHV charges'!$A:$O,10,FALSE)=0,"",VLOOKUP($A336,'Annex 2 Designated EHV charges'!$A:$O,10,FALSE)),"")</f>
        <v/>
      </c>
      <c r="G336" s="58" t="str">
        <f>IFERROR(IF(VLOOKUP($A336,'Annex 2 Designated EHV charges'!$A:$O,11,FALSE)=0,"",VLOOKUP($A336,'Annex 2 Designated EHV charges'!$A:$O,11,FALSE)),"")</f>
        <v/>
      </c>
      <c r="H336" s="48" t="str">
        <f>IFERROR(IF(VLOOKUP($A336,'Annex 2 Designated EHV charges'!$A:$O,12,FALSE)=0,"",VLOOKUP($A336,'Annex 2 Designated EHV charges'!$A:$O,12,FALSE)),"")</f>
        <v/>
      </c>
    </row>
    <row r="337" spans="1:8" x14ac:dyDescent="0.2">
      <c r="A337" s="48" t="str" cm="1">
        <f t="array" ref="A337">IFERROR(INDEX('Annex 2 Designated EHV charges'!$A$10:$A$401, MATCH(0, IF(ISBLANK('Annex 2 Designated EHV charges'!$A$10:$A$401),1, COUNTIF(A$4:$A336, 'Annex 2 Designated EHV charges'!$A$10:$A$401)), 0)),"")</f>
        <v/>
      </c>
      <c r="B337" s="48" t="str">
        <f>IF($A337="","",VLOOKUP($A337,'Annex 2 Designated EHV charges'!$A:$O,2,0))</f>
        <v/>
      </c>
      <c r="C337" s="56" t="str">
        <f>IF($A337="","",VLOOKUP($A337,'Annex 2 Designated EHV charges'!$A:$O,3,0))</f>
        <v/>
      </c>
      <c r="D337" s="56" t="str">
        <f>IF($A337="","",VLOOKUP($A337,'Annex 2 Designated EHV charges'!$A:$O,7,0))</f>
        <v/>
      </c>
      <c r="E337" s="57" t="str">
        <f>IFERROR(IF(VLOOKUP($A337,'Annex 2 Designated EHV charges'!$A:$O,9,FALSE)=0,"",VLOOKUP($A337,'Annex 2 Designated EHV charges'!$A:$O,9,FALSE)),"")</f>
        <v/>
      </c>
      <c r="F337" s="58" t="str">
        <f>IFERROR(IF(VLOOKUP($A337,'Annex 2 Designated EHV charges'!$A:$O,10,FALSE)=0,"",VLOOKUP($A337,'Annex 2 Designated EHV charges'!$A:$O,10,FALSE)),"")</f>
        <v/>
      </c>
      <c r="G337" s="58" t="str">
        <f>IFERROR(IF(VLOOKUP($A337,'Annex 2 Designated EHV charges'!$A:$O,11,FALSE)=0,"",VLOOKUP($A337,'Annex 2 Designated EHV charges'!$A:$O,11,FALSE)),"")</f>
        <v/>
      </c>
      <c r="H337" s="48" t="str">
        <f>IFERROR(IF(VLOOKUP($A337,'Annex 2 Designated EHV charges'!$A:$O,12,FALSE)=0,"",VLOOKUP($A337,'Annex 2 Designated EHV charges'!$A:$O,12,FALSE)),"")</f>
        <v/>
      </c>
    </row>
    <row r="338" spans="1:8" x14ac:dyDescent="0.2">
      <c r="A338" s="48" t="str" cm="1">
        <f t="array" ref="A338">IFERROR(INDEX('Annex 2 Designated EHV charges'!$A$10:$A$401, MATCH(0, IF(ISBLANK('Annex 2 Designated EHV charges'!$A$10:$A$401),1, COUNTIF(A$4:$A337, 'Annex 2 Designated EHV charges'!$A$10:$A$401)), 0)),"")</f>
        <v/>
      </c>
      <c r="B338" s="48" t="str">
        <f>IF($A338="","",VLOOKUP($A338,'Annex 2 Designated EHV charges'!$A:$O,2,0))</f>
        <v/>
      </c>
      <c r="C338" s="56" t="str">
        <f>IF($A338="","",VLOOKUP($A338,'Annex 2 Designated EHV charges'!$A:$O,3,0))</f>
        <v/>
      </c>
      <c r="D338" s="56" t="str">
        <f>IF($A338="","",VLOOKUP($A338,'Annex 2 Designated EHV charges'!$A:$O,7,0))</f>
        <v/>
      </c>
      <c r="E338" s="57" t="str">
        <f>IFERROR(IF(VLOOKUP($A338,'Annex 2 Designated EHV charges'!$A:$O,9,FALSE)=0,"",VLOOKUP($A338,'Annex 2 Designated EHV charges'!$A:$O,9,FALSE)),"")</f>
        <v/>
      </c>
      <c r="F338" s="58" t="str">
        <f>IFERROR(IF(VLOOKUP($A338,'Annex 2 Designated EHV charges'!$A:$O,10,FALSE)=0,"",VLOOKUP($A338,'Annex 2 Designated EHV charges'!$A:$O,10,FALSE)),"")</f>
        <v/>
      </c>
      <c r="G338" s="58" t="str">
        <f>IFERROR(IF(VLOOKUP($A338,'Annex 2 Designated EHV charges'!$A:$O,11,FALSE)=0,"",VLOOKUP($A338,'Annex 2 Designated EHV charges'!$A:$O,11,FALSE)),"")</f>
        <v/>
      </c>
      <c r="H338" s="48" t="str">
        <f>IFERROR(IF(VLOOKUP($A338,'Annex 2 Designated EHV charges'!$A:$O,12,FALSE)=0,"",VLOOKUP($A338,'Annex 2 Designated EHV charges'!$A:$O,12,FALSE)),"")</f>
        <v/>
      </c>
    </row>
    <row r="339" spans="1:8" x14ac:dyDescent="0.2">
      <c r="A339" s="48" t="str" cm="1">
        <f t="array" ref="A339">IFERROR(INDEX('Annex 2 Designated EHV charges'!$A$10:$A$401, MATCH(0, IF(ISBLANK('Annex 2 Designated EHV charges'!$A$10:$A$401),1, COUNTIF(A$4:$A338, 'Annex 2 Designated EHV charges'!$A$10:$A$401)), 0)),"")</f>
        <v/>
      </c>
      <c r="B339" s="48" t="str">
        <f>IF($A339="","",VLOOKUP($A339,'Annex 2 Designated EHV charges'!$A:$O,2,0))</f>
        <v/>
      </c>
      <c r="C339" s="56" t="str">
        <f>IF($A339="","",VLOOKUP($A339,'Annex 2 Designated EHV charges'!$A:$O,3,0))</f>
        <v/>
      </c>
      <c r="D339" s="56" t="str">
        <f>IF($A339="","",VLOOKUP($A339,'Annex 2 Designated EHV charges'!$A:$O,7,0))</f>
        <v/>
      </c>
      <c r="E339" s="57" t="str">
        <f>IFERROR(IF(VLOOKUP($A339,'Annex 2 Designated EHV charges'!$A:$O,9,FALSE)=0,"",VLOOKUP($A339,'Annex 2 Designated EHV charges'!$A:$O,9,FALSE)),"")</f>
        <v/>
      </c>
      <c r="F339" s="58" t="str">
        <f>IFERROR(IF(VLOOKUP($A339,'Annex 2 Designated EHV charges'!$A:$O,10,FALSE)=0,"",VLOOKUP($A339,'Annex 2 Designated EHV charges'!$A:$O,10,FALSE)),"")</f>
        <v/>
      </c>
      <c r="G339" s="58" t="str">
        <f>IFERROR(IF(VLOOKUP($A339,'Annex 2 Designated EHV charges'!$A:$O,11,FALSE)=0,"",VLOOKUP($A339,'Annex 2 Designated EHV charges'!$A:$O,11,FALSE)),"")</f>
        <v/>
      </c>
      <c r="H339" s="48" t="str">
        <f>IFERROR(IF(VLOOKUP($A339,'Annex 2 Designated EHV charges'!$A:$O,12,FALSE)=0,"",VLOOKUP($A339,'Annex 2 Designated EHV charges'!$A:$O,12,FALSE)),"")</f>
        <v/>
      </c>
    </row>
    <row r="340" spans="1:8" x14ac:dyDescent="0.2">
      <c r="A340" s="48" t="str" cm="1">
        <f t="array" ref="A340">IFERROR(INDEX('Annex 2 Designated EHV charges'!$A$10:$A$401, MATCH(0, IF(ISBLANK('Annex 2 Designated EHV charges'!$A$10:$A$401),1, COUNTIF(A$4:$A339, 'Annex 2 Designated EHV charges'!$A$10:$A$401)), 0)),"")</f>
        <v/>
      </c>
      <c r="B340" s="48" t="str">
        <f>IF($A340="","",VLOOKUP($A340,'Annex 2 Designated EHV charges'!$A:$O,2,0))</f>
        <v/>
      </c>
      <c r="C340" s="56" t="str">
        <f>IF($A340="","",VLOOKUP($A340,'Annex 2 Designated EHV charges'!$A:$O,3,0))</f>
        <v/>
      </c>
      <c r="D340" s="56" t="str">
        <f>IF($A340="","",VLOOKUP($A340,'Annex 2 Designated EHV charges'!$A:$O,7,0))</f>
        <v/>
      </c>
      <c r="E340" s="57" t="str">
        <f>IFERROR(IF(VLOOKUP($A340,'Annex 2 Designated EHV charges'!$A:$O,9,FALSE)=0,"",VLOOKUP($A340,'Annex 2 Designated EHV charges'!$A:$O,9,FALSE)),"")</f>
        <v/>
      </c>
      <c r="F340" s="58" t="str">
        <f>IFERROR(IF(VLOOKUP($A340,'Annex 2 Designated EHV charges'!$A:$O,10,FALSE)=0,"",VLOOKUP($A340,'Annex 2 Designated EHV charges'!$A:$O,10,FALSE)),"")</f>
        <v/>
      </c>
      <c r="G340" s="58" t="str">
        <f>IFERROR(IF(VLOOKUP($A340,'Annex 2 Designated EHV charges'!$A:$O,11,FALSE)=0,"",VLOOKUP($A340,'Annex 2 Designated EHV charges'!$A:$O,11,FALSE)),"")</f>
        <v/>
      </c>
      <c r="H340" s="48" t="str">
        <f>IFERROR(IF(VLOOKUP($A340,'Annex 2 Designated EHV charges'!$A:$O,12,FALSE)=0,"",VLOOKUP($A340,'Annex 2 Designated EHV charges'!$A:$O,12,FALSE)),"")</f>
        <v/>
      </c>
    </row>
    <row r="341" spans="1:8" x14ac:dyDescent="0.2">
      <c r="A341" s="48" t="str" cm="1">
        <f t="array" ref="A341">IFERROR(INDEX('Annex 2 Designated EHV charges'!$A$10:$A$401, MATCH(0, IF(ISBLANK('Annex 2 Designated EHV charges'!$A$10:$A$401),1, COUNTIF(A$4:$A340, 'Annex 2 Designated EHV charges'!$A$10:$A$401)), 0)),"")</f>
        <v/>
      </c>
      <c r="B341" s="48" t="str">
        <f>IF($A341="","",VLOOKUP($A341,'Annex 2 Designated EHV charges'!$A:$O,2,0))</f>
        <v/>
      </c>
      <c r="C341" s="56" t="str">
        <f>IF($A341="","",VLOOKUP($A341,'Annex 2 Designated EHV charges'!$A:$O,3,0))</f>
        <v/>
      </c>
      <c r="D341" s="56" t="str">
        <f>IF($A341="","",VLOOKUP($A341,'Annex 2 Designated EHV charges'!$A:$O,7,0))</f>
        <v/>
      </c>
      <c r="E341" s="57" t="str">
        <f>IFERROR(IF(VLOOKUP($A341,'Annex 2 Designated EHV charges'!$A:$O,9,FALSE)=0,"",VLOOKUP($A341,'Annex 2 Designated EHV charges'!$A:$O,9,FALSE)),"")</f>
        <v/>
      </c>
      <c r="F341" s="58" t="str">
        <f>IFERROR(IF(VLOOKUP($A341,'Annex 2 Designated EHV charges'!$A:$O,10,FALSE)=0,"",VLOOKUP($A341,'Annex 2 Designated EHV charges'!$A:$O,10,FALSE)),"")</f>
        <v/>
      </c>
      <c r="G341" s="58" t="str">
        <f>IFERROR(IF(VLOOKUP($A341,'Annex 2 Designated EHV charges'!$A:$O,11,FALSE)=0,"",VLOOKUP($A341,'Annex 2 Designated EHV charges'!$A:$O,11,FALSE)),"")</f>
        <v/>
      </c>
      <c r="H341" s="48" t="str">
        <f>IFERROR(IF(VLOOKUP($A341,'Annex 2 Designated EHV charges'!$A:$O,12,FALSE)=0,"",VLOOKUP($A341,'Annex 2 Designated EHV charges'!$A:$O,12,FALSE)),"")</f>
        <v/>
      </c>
    </row>
    <row r="342" spans="1:8" x14ac:dyDescent="0.2">
      <c r="A342" s="48" t="str" cm="1">
        <f t="array" ref="A342">IFERROR(INDEX('Annex 2 Designated EHV charges'!$A$10:$A$401, MATCH(0, IF(ISBLANK('Annex 2 Designated EHV charges'!$A$10:$A$401),1, COUNTIF(A$4:$A341, 'Annex 2 Designated EHV charges'!$A$10:$A$401)), 0)),"")</f>
        <v/>
      </c>
      <c r="B342" s="48" t="str">
        <f>IF($A342="","",VLOOKUP($A342,'Annex 2 Designated EHV charges'!$A:$O,2,0))</f>
        <v/>
      </c>
      <c r="C342" s="56" t="str">
        <f>IF($A342="","",VLOOKUP($A342,'Annex 2 Designated EHV charges'!$A:$O,3,0))</f>
        <v/>
      </c>
      <c r="D342" s="56" t="str">
        <f>IF($A342="","",VLOOKUP($A342,'Annex 2 Designated EHV charges'!$A:$O,7,0))</f>
        <v/>
      </c>
      <c r="E342" s="57" t="str">
        <f>IFERROR(IF(VLOOKUP($A342,'Annex 2 Designated EHV charges'!$A:$O,9,FALSE)=0,"",VLOOKUP($A342,'Annex 2 Designated EHV charges'!$A:$O,9,FALSE)),"")</f>
        <v/>
      </c>
      <c r="F342" s="58" t="str">
        <f>IFERROR(IF(VLOOKUP($A342,'Annex 2 Designated EHV charges'!$A:$O,10,FALSE)=0,"",VLOOKUP($A342,'Annex 2 Designated EHV charges'!$A:$O,10,FALSE)),"")</f>
        <v/>
      </c>
      <c r="G342" s="58" t="str">
        <f>IFERROR(IF(VLOOKUP($A342,'Annex 2 Designated EHV charges'!$A:$O,11,FALSE)=0,"",VLOOKUP($A342,'Annex 2 Designated EHV charges'!$A:$O,11,FALSE)),"")</f>
        <v/>
      </c>
      <c r="H342" s="48" t="str">
        <f>IFERROR(IF(VLOOKUP($A342,'Annex 2 Designated EHV charges'!$A:$O,12,FALSE)=0,"",VLOOKUP($A342,'Annex 2 Designated EHV charges'!$A:$O,12,FALSE)),"")</f>
        <v/>
      </c>
    </row>
    <row r="343" spans="1:8" x14ac:dyDescent="0.2">
      <c r="A343" s="48" t="str" cm="1">
        <f t="array" ref="A343">IFERROR(INDEX('Annex 2 Designated EHV charges'!$A$10:$A$401, MATCH(0, IF(ISBLANK('Annex 2 Designated EHV charges'!$A$10:$A$401),1, COUNTIF(A$4:$A342, 'Annex 2 Designated EHV charges'!$A$10:$A$401)), 0)),"")</f>
        <v/>
      </c>
      <c r="B343" s="48" t="str">
        <f>IF($A343="","",VLOOKUP($A343,'Annex 2 Designated EHV charges'!$A:$O,2,0))</f>
        <v/>
      </c>
      <c r="C343" s="56" t="str">
        <f>IF($A343="","",VLOOKUP($A343,'Annex 2 Designated EHV charges'!$A:$O,3,0))</f>
        <v/>
      </c>
      <c r="D343" s="56" t="str">
        <f>IF($A343="","",VLOOKUP($A343,'Annex 2 Designated EHV charges'!$A:$O,7,0))</f>
        <v/>
      </c>
      <c r="E343" s="57" t="str">
        <f>IFERROR(IF(VLOOKUP($A343,'Annex 2 Designated EHV charges'!$A:$O,9,FALSE)=0,"",VLOOKUP($A343,'Annex 2 Designated EHV charges'!$A:$O,9,FALSE)),"")</f>
        <v/>
      </c>
      <c r="F343" s="58" t="str">
        <f>IFERROR(IF(VLOOKUP($A343,'Annex 2 Designated EHV charges'!$A:$O,10,FALSE)=0,"",VLOOKUP($A343,'Annex 2 Designated EHV charges'!$A:$O,10,FALSE)),"")</f>
        <v/>
      </c>
      <c r="G343" s="58" t="str">
        <f>IFERROR(IF(VLOOKUP($A343,'Annex 2 Designated EHV charges'!$A:$O,11,FALSE)=0,"",VLOOKUP($A343,'Annex 2 Designated EHV charges'!$A:$O,11,FALSE)),"")</f>
        <v/>
      </c>
      <c r="H343" s="48" t="str">
        <f>IFERROR(IF(VLOOKUP($A343,'Annex 2 Designated EHV charges'!$A:$O,12,FALSE)=0,"",VLOOKUP($A343,'Annex 2 Designated EHV charges'!$A:$O,12,FALSE)),"")</f>
        <v/>
      </c>
    </row>
    <row r="344" spans="1:8" x14ac:dyDescent="0.2">
      <c r="A344" s="48" t="str" cm="1">
        <f t="array" ref="A344">IFERROR(INDEX('Annex 2 Designated EHV charges'!$A$10:$A$401, MATCH(0, IF(ISBLANK('Annex 2 Designated EHV charges'!$A$10:$A$401),1, COUNTIF(A$4:$A343, 'Annex 2 Designated EHV charges'!$A$10:$A$401)), 0)),"")</f>
        <v/>
      </c>
      <c r="B344" s="48" t="str">
        <f>IF($A344="","",VLOOKUP($A344,'Annex 2 Designated EHV charges'!$A:$O,2,0))</f>
        <v/>
      </c>
      <c r="C344" s="56" t="str">
        <f>IF($A344="","",VLOOKUP($A344,'Annex 2 Designated EHV charges'!$A:$O,3,0))</f>
        <v/>
      </c>
      <c r="D344" s="56" t="str">
        <f>IF($A344="","",VLOOKUP($A344,'Annex 2 Designated EHV charges'!$A:$O,7,0))</f>
        <v/>
      </c>
      <c r="E344" s="57" t="str">
        <f>IFERROR(IF(VLOOKUP($A344,'Annex 2 Designated EHV charges'!$A:$O,9,FALSE)=0,"",VLOOKUP($A344,'Annex 2 Designated EHV charges'!$A:$O,9,FALSE)),"")</f>
        <v/>
      </c>
      <c r="F344" s="58" t="str">
        <f>IFERROR(IF(VLOOKUP($A344,'Annex 2 Designated EHV charges'!$A:$O,10,FALSE)=0,"",VLOOKUP($A344,'Annex 2 Designated EHV charges'!$A:$O,10,FALSE)),"")</f>
        <v/>
      </c>
      <c r="G344" s="58" t="str">
        <f>IFERROR(IF(VLOOKUP($A344,'Annex 2 Designated EHV charges'!$A:$O,11,FALSE)=0,"",VLOOKUP($A344,'Annex 2 Designated EHV charges'!$A:$O,11,FALSE)),"")</f>
        <v/>
      </c>
      <c r="H344" s="48" t="str">
        <f>IFERROR(IF(VLOOKUP($A344,'Annex 2 Designated EHV charges'!$A:$O,12,FALSE)=0,"",VLOOKUP($A344,'Annex 2 Designated EHV charges'!$A:$O,12,FALSE)),"")</f>
        <v/>
      </c>
    </row>
    <row r="345" spans="1:8" x14ac:dyDescent="0.2">
      <c r="A345" s="48" t="str" cm="1">
        <f t="array" ref="A345">IFERROR(INDEX('Annex 2 Designated EHV charges'!$A$10:$A$401, MATCH(0, IF(ISBLANK('Annex 2 Designated EHV charges'!$A$10:$A$401),1, COUNTIF(A$4:$A344, 'Annex 2 Designated EHV charges'!$A$10:$A$401)), 0)),"")</f>
        <v/>
      </c>
      <c r="B345" s="48" t="str">
        <f>IF($A345="","",VLOOKUP($A345,'Annex 2 Designated EHV charges'!$A:$O,2,0))</f>
        <v/>
      </c>
      <c r="C345" s="56" t="str">
        <f>IF($A345="","",VLOOKUP($A345,'Annex 2 Designated EHV charges'!$A:$O,3,0))</f>
        <v/>
      </c>
      <c r="D345" s="56" t="str">
        <f>IF($A345="","",VLOOKUP($A345,'Annex 2 Designated EHV charges'!$A:$O,7,0))</f>
        <v/>
      </c>
      <c r="E345" s="57" t="str">
        <f>IFERROR(IF(VLOOKUP($A345,'Annex 2 Designated EHV charges'!$A:$O,9,FALSE)=0,"",VLOOKUP($A345,'Annex 2 Designated EHV charges'!$A:$O,9,FALSE)),"")</f>
        <v/>
      </c>
      <c r="F345" s="58" t="str">
        <f>IFERROR(IF(VLOOKUP($A345,'Annex 2 Designated EHV charges'!$A:$O,10,FALSE)=0,"",VLOOKUP($A345,'Annex 2 Designated EHV charges'!$A:$O,10,FALSE)),"")</f>
        <v/>
      </c>
      <c r="G345" s="58" t="str">
        <f>IFERROR(IF(VLOOKUP($A345,'Annex 2 Designated EHV charges'!$A:$O,11,FALSE)=0,"",VLOOKUP($A345,'Annex 2 Designated EHV charges'!$A:$O,11,FALSE)),"")</f>
        <v/>
      </c>
      <c r="H345" s="48" t="str">
        <f>IFERROR(IF(VLOOKUP($A345,'Annex 2 Designated EHV charges'!$A:$O,12,FALSE)=0,"",VLOOKUP($A345,'Annex 2 Designated EHV charges'!$A:$O,12,FALSE)),"")</f>
        <v/>
      </c>
    </row>
    <row r="346" spans="1:8" x14ac:dyDescent="0.2">
      <c r="A346" s="48" t="str" cm="1">
        <f t="array" ref="A346">IFERROR(INDEX('Annex 2 Designated EHV charges'!$A$10:$A$401, MATCH(0, IF(ISBLANK('Annex 2 Designated EHV charges'!$A$10:$A$401),1, COUNTIF(A$4:$A345, 'Annex 2 Designated EHV charges'!$A$10:$A$401)), 0)),"")</f>
        <v/>
      </c>
      <c r="B346" s="48" t="str">
        <f>IF($A346="","",VLOOKUP($A346,'Annex 2 Designated EHV charges'!$A:$O,2,0))</f>
        <v/>
      </c>
      <c r="C346" s="56" t="str">
        <f>IF($A346="","",VLOOKUP($A346,'Annex 2 Designated EHV charges'!$A:$O,3,0))</f>
        <v/>
      </c>
      <c r="D346" s="56" t="str">
        <f>IF($A346="","",VLOOKUP($A346,'Annex 2 Designated EHV charges'!$A:$O,7,0))</f>
        <v/>
      </c>
      <c r="E346" s="57" t="str">
        <f>IFERROR(IF(VLOOKUP($A346,'Annex 2 Designated EHV charges'!$A:$O,9,FALSE)=0,"",VLOOKUP($A346,'Annex 2 Designated EHV charges'!$A:$O,9,FALSE)),"")</f>
        <v/>
      </c>
      <c r="F346" s="58" t="str">
        <f>IFERROR(IF(VLOOKUP($A346,'Annex 2 Designated EHV charges'!$A:$O,10,FALSE)=0,"",VLOOKUP($A346,'Annex 2 Designated EHV charges'!$A:$O,10,FALSE)),"")</f>
        <v/>
      </c>
      <c r="G346" s="58" t="str">
        <f>IFERROR(IF(VLOOKUP($A346,'Annex 2 Designated EHV charges'!$A:$O,11,FALSE)=0,"",VLOOKUP($A346,'Annex 2 Designated EHV charges'!$A:$O,11,FALSE)),"")</f>
        <v/>
      </c>
      <c r="H346" s="48" t="str">
        <f>IFERROR(IF(VLOOKUP($A346,'Annex 2 Designated EHV charges'!$A:$O,12,FALSE)=0,"",VLOOKUP($A346,'Annex 2 Designated EHV charges'!$A:$O,12,FALSE)),"")</f>
        <v/>
      </c>
    </row>
    <row r="347" spans="1:8" x14ac:dyDescent="0.2">
      <c r="A347" s="48" t="str" cm="1">
        <f t="array" ref="A347">IFERROR(INDEX('Annex 2 Designated EHV charges'!$A$10:$A$401, MATCH(0, IF(ISBLANK('Annex 2 Designated EHV charges'!$A$10:$A$401),1, COUNTIF(A$4:$A346, 'Annex 2 Designated EHV charges'!$A$10:$A$401)), 0)),"")</f>
        <v/>
      </c>
      <c r="B347" s="48" t="str">
        <f>IF($A347="","",VLOOKUP($A347,'Annex 2 Designated EHV charges'!$A:$O,2,0))</f>
        <v/>
      </c>
      <c r="C347" s="56" t="str">
        <f>IF($A347="","",VLOOKUP($A347,'Annex 2 Designated EHV charges'!$A:$O,3,0))</f>
        <v/>
      </c>
      <c r="D347" s="56" t="str">
        <f>IF($A347="","",VLOOKUP($A347,'Annex 2 Designated EHV charges'!$A:$O,7,0))</f>
        <v/>
      </c>
      <c r="E347" s="57" t="str">
        <f>IFERROR(IF(VLOOKUP($A347,'Annex 2 Designated EHV charges'!$A:$O,9,FALSE)=0,"",VLOOKUP($A347,'Annex 2 Designated EHV charges'!$A:$O,9,FALSE)),"")</f>
        <v/>
      </c>
      <c r="F347" s="58" t="str">
        <f>IFERROR(IF(VLOOKUP($A347,'Annex 2 Designated EHV charges'!$A:$O,10,FALSE)=0,"",VLOOKUP($A347,'Annex 2 Designated EHV charges'!$A:$O,10,FALSE)),"")</f>
        <v/>
      </c>
      <c r="G347" s="58" t="str">
        <f>IFERROR(IF(VLOOKUP($A347,'Annex 2 Designated EHV charges'!$A:$O,11,FALSE)=0,"",VLOOKUP($A347,'Annex 2 Designated EHV charges'!$A:$O,11,FALSE)),"")</f>
        <v/>
      </c>
      <c r="H347" s="48" t="str">
        <f>IFERROR(IF(VLOOKUP($A347,'Annex 2 Designated EHV charges'!$A:$O,12,FALSE)=0,"",VLOOKUP($A347,'Annex 2 Designated EHV charges'!$A:$O,12,FALSE)),"")</f>
        <v/>
      </c>
    </row>
    <row r="348" spans="1:8" x14ac:dyDescent="0.2">
      <c r="A348" s="48" t="str" cm="1">
        <f t="array" ref="A348">IFERROR(INDEX('Annex 2 Designated EHV charges'!$A$10:$A$401, MATCH(0, IF(ISBLANK('Annex 2 Designated EHV charges'!$A$10:$A$401),1, COUNTIF(A$4:$A347, 'Annex 2 Designated EHV charges'!$A$10:$A$401)), 0)),"")</f>
        <v/>
      </c>
      <c r="B348" s="48" t="str">
        <f>IF($A348="","",VLOOKUP($A348,'Annex 2 Designated EHV charges'!$A:$O,2,0))</f>
        <v/>
      </c>
      <c r="C348" s="56" t="str">
        <f>IF($A348="","",VLOOKUP($A348,'Annex 2 Designated EHV charges'!$A:$O,3,0))</f>
        <v/>
      </c>
      <c r="D348" s="56" t="str">
        <f>IF($A348="","",VLOOKUP($A348,'Annex 2 Designated EHV charges'!$A:$O,7,0))</f>
        <v/>
      </c>
      <c r="E348" s="57" t="str">
        <f>IFERROR(IF(VLOOKUP($A348,'Annex 2 Designated EHV charges'!$A:$O,9,FALSE)=0,"",VLOOKUP($A348,'Annex 2 Designated EHV charges'!$A:$O,9,FALSE)),"")</f>
        <v/>
      </c>
      <c r="F348" s="58" t="str">
        <f>IFERROR(IF(VLOOKUP($A348,'Annex 2 Designated EHV charges'!$A:$O,10,FALSE)=0,"",VLOOKUP($A348,'Annex 2 Designated EHV charges'!$A:$O,10,FALSE)),"")</f>
        <v/>
      </c>
      <c r="G348" s="58" t="str">
        <f>IFERROR(IF(VLOOKUP($A348,'Annex 2 Designated EHV charges'!$A:$O,11,FALSE)=0,"",VLOOKUP($A348,'Annex 2 Designated EHV charges'!$A:$O,11,FALSE)),"")</f>
        <v/>
      </c>
      <c r="H348" s="48" t="str">
        <f>IFERROR(IF(VLOOKUP($A348,'Annex 2 Designated EHV charges'!$A:$O,12,FALSE)=0,"",VLOOKUP($A348,'Annex 2 Designated EHV charges'!$A:$O,12,FALSE)),"")</f>
        <v/>
      </c>
    </row>
    <row r="349" spans="1:8" x14ac:dyDescent="0.2">
      <c r="A349" s="48" t="str" cm="1">
        <f t="array" ref="A349">IFERROR(INDEX('Annex 2 Designated EHV charges'!$A$10:$A$401, MATCH(0, IF(ISBLANK('Annex 2 Designated EHV charges'!$A$10:$A$401),1, COUNTIF(A$4:$A348, 'Annex 2 Designated EHV charges'!$A$10:$A$401)), 0)),"")</f>
        <v/>
      </c>
      <c r="B349" s="48" t="str">
        <f>IF($A349="","",VLOOKUP($A349,'Annex 2 Designated EHV charges'!$A:$O,2,0))</f>
        <v/>
      </c>
      <c r="C349" s="56" t="str">
        <f>IF($A349="","",VLOOKUP($A349,'Annex 2 Designated EHV charges'!$A:$O,3,0))</f>
        <v/>
      </c>
      <c r="D349" s="56" t="str">
        <f>IF($A349="","",VLOOKUP($A349,'Annex 2 Designated EHV charges'!$A:$O,7,0))</f>
        <v/>
      </c>
      <c r="E349" s="57" t="str">
        <f>IFERROR(IF(VLOOKUP($A349,'Annex 2 Designated EHV charges'!$A:$O,9,FALSE)=0,"",VLOOKUP($A349,'Annex 2 Designated EHV charges'!$A:$O,9,FALSE)),"")</f>
        <v/>
      </c>
      <c r="F349" s="58" t="str">
        <f>IFERROR(IF(VLOOKUP($A349,'Annex 2 Designated EHV charges'!$A:$O,10,FALSE)=0,"",VLOOKUP($A349,'Annex 2 Designated EHV charges'!$A:$O,10,FALSE)),"")</f>
        <v/>
      </c>
      <c r="G349" s="58" t="str">
        <f>IFERROR(IF(VLOOKUP($A349,'Annex 2 Designated EHV charges'!$A:$O,11,FALSE)=0,"",VLOOKUP($A349,'Annex 2 Designated EHV charges'!$A:$O,11,FALSE)),"")</f>
        <v/>
      </c>
      <c r="H349" s="48" t="str">
        <f>IFERROR(IF(VLOOKUP($A349,'Annex 2 Designated EHV charges'!$A:$O,12,FALSE)=0,"",VLOOKUP($A349,'Annex 2 Designated EHV charges'!$A:$O,12,FALSE)),"")</f>
        <v/>
      </c>
    </row>
    <row r="350" spans="1:8" x14ac:dyDescent="0.2">
      <c r="A350" s="48" t="str" cm="1">
        <f t="array" ref="A350">IFERROR(INDEX('Annex 2 Designated EHV charges'!$A$10:$A$401, MATCH(0, IF(ISBLANK('Annex 2 Designated EHV charges'!$A$10:$A$401),1, COUNTIF(A$4:$A349, 'Annex 2 Designated EHV charges'!$A$10:$A$401)), 0)),"")</f>
        <v/>
      </c>
      <c r="B350" s="48" t="str">
        <f>IF($A350="","",VLOOKUP($A350,'Annex 2 Designated EHV charges'!$A:$O,2,0))</f>
        <v/>
      </c>
      <c r="C350" s="56" t="str">
        <f>IF($A350="","",VLOOKUP($A350,'Annex 2 Designated EHV charges'!$A:$O,3,0))</f>
        <v/>
      </c>
      <c r="D350" s="56" t="str">
        <f>IF($A350="","",VLOOKUP($A350,'Annex 2 Designated EHV charges'!$A:$O,7,0))</f>
        <v/>
      </c>
      <c r="E350" s="57" t="str">
        <f>IFERROR(IF(VLOOKUP($A350,'Annex 2 Designated EHV charges'!$A:$O,9,FALSE)=0,"",VLOOKUP($A350,'Annex 2 Designated EHV charges'!$A:$O,9,FALSE)),"")</f>
        <v/>
      </c>
      <c r="F350" s="58" t="str">
        <f>IFERROR(IF(VLOOKUP($A350,'Annex 2 Designated EHV charges'!$A:$O,10,FALSE)=0,"",VLOOKUP($A350,'Annex 2 Designated EHV charges'!$A:$O,10,FALSE)),"")</f>
        <v/>
      </c>
      <c r="G350" s="58" t="str">
        <f>IFERROR(IF(VLOOKUP($A350,'Annex 2 Designated EHV charges'!$A:$O,11,FALSE)=0,"",VLOOKUP($A350,'Annex 2 Designated EHV charges'!$A:$O,11,FALSE)),"")</f>
        <v/>
      </c>
      <c r="H350" s="48" t="str">
        <f>IFERROR(IF(VLOOKUP($A350,'Annex 2 Designated EHV charges'!$A:$O,12,FALSE)=0,"",VLOOKUP($A350,'Annex 2 Designated EHV charges'!$A:$O,12,FALSE)),"")</f>
        <v/>
      </c>
    </row>
    <row r="351" spans="1:8" x14ac:dyDescent="0.2">
      <c r="A351" s="48" t="str" cm="1">
        <f t="array" ref="A351">IFERROR(INDEX('Annex 2 Designated EHV charges'!$A$10:$A$401, MATCH(0, IF(ISBLANK('Annex 2 Designated EHV charges'!$A$10:$A$401),1, COUNTIF(A$4:$A350, 'Annex 2 Designated EHV charges'!$A$10:$A$401)), 0)),"")</f>
        <v/>
      </c>
      <c r="B351" s="48" t="str">
        <f>IF($A351="","",VLOOKUP($A351,'Annex 2 Designated EHV charges'!$A:$O,2,0))</f>
        <v/>
      </c>
      <c r="C351" s="56" t="str">
        <f>IF($A351="","",VLOOKUP($A351,'Annex 2 Designated EHV charges'!$A:$O,3,0))</f>
        <v/>
      </c>
      <c r="D351" s="56" t="str">
        <f>IF($A351="","",VLOOKUP($A351,'Annex 2 Designated EHV charges'!$A:$O,7,0))</f>
        <v/>
      </c>
      <c r="E351" s="57" t="str">
        <f>IFERROR(IF(VLOOKUP($A351,'Annex 2 Designated EHV charges'!$A:$O,9,FALSE)=0,"",VLOOKUP($A351,'Annex 2 Designated EHV charges'!$A:$O,9,FALSE)),"")</f>
        <v/>
      </c>
      <c r="F351" s="58" t="str">
        <f>IFERROR(IF(VLOOKUP($A351,'Annex 2 Designated EHV charges'!$A:$O,10,FALSE)=0,"",VLOOKUP($A351,'Annex 2 Designated EHV charges'!$A:$O,10,FALSE)),"")</f>
        <v/>
      </c>
      <c r="G351" s="58" t="str">
        <f>IFERROR(IF(VLOOKUP($A351,'Annex 2 Designated EHV charges'!$A:$O,11,FALSE)=0,"",VLOOKUP($A351,'Annex 2 Designated EHV charges'!$A:$O,11,FALSE)),"")</f>
        <v/>
      </c>
      <c r="H351" s="48" t="str">
        <f>IFERROR(IF(VLOOKUP($A351,'Annex 2 Designated EHV charges'!$A:$O,12,FALSE)=0,"",VLOOKUP($A351,'Annex 2 Designated EHV charges'!$A:$O,12,FALSE)),"")</f>
        <v/>
      </c>
    </row>
    <row r="352" spans="1:8" x14ac:dyDescent="0.2">
      <c r="A352" s="48" t="str" cm="1">
        <f t="array" ref="A352">IFERROR(INDEX('Annex 2 Designated EHV charges'!$A$10:$A$401, MATCH(0, IF(ISBLANK('Annex 2 Designated EHV charges'!$A$10:$A$401),1, COUNTIF(A$4:$A351, 'Annex 2 Designated EHV charges'!$A$10:$A$401)), 0)),"")</f>
        <v/>
      </c>
      <c r="B352" s="48" t="str">
        <f>IF($A352="","",VLOOKUP($A352,'Annex 2 Designated EHV charges'!$A:$O,2,0))</f>
        <v/>
      </c>
      <c r="C352" s="56" t="str">
        <f>IF($A352="","",VLOOKUP($A352,'Annex 2 Designated EHV charges'!$A:$O,3,0))</f>
        <v/>
      </c>
      <c r="D352" s="56" t="str">
        <f>IF($A352="","",VLOOKUP($A352,'Annex 2 Designated EHV charges'!$A:$O,7,0))</f>
        <v/>
      </c>
      <c r="E352" s="57" t="str">
        <f>IFERROR(IF(VLOOKUP($A352,'Annex 2 Designated EHV charges'!$A:$O,9,FALSE)=0,"",VLOOKUP($A352,'Annex 2 Designated EHV charges'!$A:$O,9,FALSE)),"")</f>
        <v/>
      </c>
      <c r="F352" s="58" t="str">
        <f>IFERROR(IF(VLOOKUP($A352,'Annex 2 Designated EHV charges'!$A:$O,10,FALSE)=0,"",VLOOKUP($A352,'Annex 2 Designated EHV charges'!$A:$O,10,FALSE)),"")</f>
        <v/>
      </c>
      <c r="G352" s="58" t="str">
        <f>IFERROR(IF(VLOOKUP($A352,'Annex 2 Designated EHV charges'!$A:$O,11,FALSE)=0,"",VLOOKUP($A352,'Annex 2 Designated EHV charges'!$A:$O,11,FALSE)),"")</f>
        <v/>
      </c>
      <c r="H352" s="48" t="str">
        <f>IFERROR(IF(VLOOKUP($A352,'Annex 2 Designated EHV charges'!$A:$O,12,FALSE)=0,"",VLOOKUP($A352,'Annex 2 Designated EHV charges'!$A:$O,12,FALSE)),"")</f>
        <v/>
      </c>
    </row>
    <row r="353" spans="1:8" x14ac:dyDescent="0.2">
      <c r="A353" s="48" t="str" cm="1">
        <f t="array" ref="A353">IFERROR(INDEX('Annex 2 Designated EHV charges'!$A$10:$A$401, MATCH(0, IF(ISBLANK('Annex 2 Designated EHV charges'!$A$10:$A$401),1, COUNTIF(A$4:$A352, 'Annex 2 Designated EHV charges'!$A$10:$A$401)), 0)),"")</f>
        <v/>
      </c>
      <c r="B353" s="48" t="str">
        <f>IF($A353="","",VLOOKUP($A353,'Annex 2 Designated EHV charges'!$A:$O,2,0))</f>
        <v/>
      </c>
      <c r="C353" s="56" t="str">
        <f>IF($A353="","",VLOOKUP($A353,'Annex 2 Designated EHV charges'!$A:$O,3,0))</f>
        <v/>
      </c>
      <c r="D353" s="56" t="str">
        <f>IF($A353="","",VLOOKUP($A353,'Annex 2 Designated EHV charges'!$A:$O,7,0))</f>
        <v/>
      </c>
      <c r="E353" s="57" t="str">
        <f>IFERROR(IF(VLOOKUP($A353,'Annex 2 Designated EHV charges'!$A:$O,9,FALSE)=0,"",VLOOKUP($A353,'Annex 2 Designated EHV charges'!$A:$O,9,FALSE)),"")</f>
        <v/>
      </c>
      <c r="F353" s="58" t="str">
        <f>IFERROR(IF(VLOOKUP($A353,'Annex 2 Designated EHV charges'!$A:$O,10,FALSE)=0,"",VLOOKUP($A353,'Annex 2 Designated EHV charges'!$A:$O,10,FALSE)),"")</f>
        <v/>
      </c>
      <c r="G353" s="58" t="str">
        <f>IFERROR(IF(VLOOKUP($A353,'Annex 2 Designated EHV charges'!$A:$O,11,FALSE)=0,"",VLOOKUP($A353,'Annex 2 Designated EHV charges'!$A:$O,11,FALSE)),"")</f>
        <v/>
      </c>
      <c r="H353" s="48" t="str">
        <f>IFERROR(IF(VLOOKUP($A353,'Annex 2 Designated EHV charges'!$A:$O,12,FALSE)=0,"",VLOOKUP($A353,'Annex 2 Designated EHV charges'!$A:$O,12,FALSE)),"")</f>
        <v/>
      </c>
    </row>
    <row r="354" spans="1:8" x14ac:dyDescent="0.2">
      <c r="A354" s="48" t="str" cm="1">
        <f t="array" ref="A354">IFERROR(INDEX('Annex 2 Designated EHV charges'!$A$10:$A$401, MATCH(0, IF(ISBLANK('Annex 2 Designated EHV charges'!$A$10:$A$401),1, COUNTIF(A$4:$A353, 'Annex 2 Designated EHV charges'!$A$10:$A$401)), 0)),"")</f>
        <v/>
      </c>
      <c r="B354" s="48" t="str">
        <f>IF($A354="","",VLOOKUP($A354,'Annex 2 Designated EHV charges'!$A:$O,2,0))</f>
        <v/>
      </c>
      <c r="C354" s="56" t="str">
        <f>IF($A354="","",VLOOKUP($A354,'Annex 2 Designated EHV charges'!$A:$O,3,0))</f>
        <v/>
      </c>
      <c r="D354" s="56" t="str">
        <f>IF($A354="","",VLOOKUP($A354,'Annex 2 Designated EHV charges'!$A:$O,7,0))</f>
        <v/>
      </c>
      <c r="E354" s="57" t="str">
        <f>IFERROR(IF(VLOOKUP($A354,'Annex 2 Designated EHV charges'!$A:$O,9,FALSE)=0,"",VLOOKUP($A354,'Annex 2 Designated EHV charges'!$A:$O,9,FALSE)),"")</f>
        <v/>
      </c>
      <c r="F354" s="58" t="str">
        <f>IFERROR(IF(VLOOKUP($A354,'Annex 2 Designated EHV charges'!$A:$O,10,FALSE)=0,"",VLOOKUP($A354,'Annex 2 Designated EHV charges'!$A:$O,10,FALSE)),"")</f>
        <v/>
      </c>
      <c r="G354" s="58" t="str">
        <f>IFERROR(IF(VLOOKUP($A354,'Annex 2 Designated EHV charges'!$A:$O,11,FALSE)=0,"",VLOOKUP($A354,'Annex 2 Designated EHV charges'!$A:$O,11,FALSE)),"")</f>
        <v/>
      </c>
      <c r="H354" s="48" t="str">
        <f>IFERROR(IF(VLOOKUP($A354,'Annex 2 Designated EHV charges'!$A:$O,12,FALSE)=0,"",VLOOKUP($A354,'Annex 2 Designated EHV charges'!$A:$O,12,FALSE)),"")</f>
        <v/>
      </c>
    </row>
    <row r="355" spans="1:8" x14ac:dyDescent="0.2">
      <c r="A355" s="48" t="str" cm="1">
        <f t="array" ref="A355">IFERROR(INDEX('Annex 2 Designated EHV charges'!$A$10:$A$401, MATCH(0, IF(ISBLANK('Annex 2 Designated EHV charges'!$A$10:$A$401),1, COUNTIF(A$4:$A354, 'Annex 2 Designated EHV charges'!$A$10:$A$401)), 0)),"")</f>
        <v/>
      </c>
      <c r="B355" s="48" t="str">
        <f>IF($A355="","",VLOOKUP($A355,'Annex 2 Designated EHV charges'!$A:$O,2,0))</f>
        <v/>
      </c>
      <c r="C355" s="56" t="str">
        <f>IF($A355="","",VLOOKUP($A355,'Annex 2 Designated EHV charges'!$A:$O,3,0))</f>
        <v/>
      </c>
      <c r="D355" s="56" t="str">
        <f>IF($A355="","",VLOOKUP($A355,'Annex 2 Designated EHV charges'!$A:$O,7,0))</f>
        <v/>
      </c>
      <c r="E355" s="57" t="str">
        <f>IFERROR(IF(VLOOKUP($A355,'Annex 2 Designated EHV charges'!$A:$O,9,FALSE)=0,"",VLOOKUP($A355,'Annex 2 Designated EHV charges'!$A:$O,9,FALSE)),"")</f>
        <v/>
      </c>
      <c r="F355" s="58" t="str">
        <f>IFERROR(IF(VLOOKUP($A355,'Annex 2 Designated EHV charges'!$A:$O,10,FALSE)=0,"",VLOOKUP($A355,'Annex 2 Designated EHV charges'!$A:$O,10,FALSE)),"")</f>
        <v/>
      </c>
      <c r="G355" s="58" t="str">
        <f>IFERROR(IF(VLOOKUP($A355,'Annex 2 Designated EHV charges'!$A:$O,11,FALSE)=0,"",VLOOKUP($A355,'Annex 2 Designated EHV charges'!$A:$O,11,FALSE)),"")</f>
        <v/>
      </c>
      <c r="H355" s="48" t="str">
        <f>IFERROR(IF(VLOOKUP($A355,'Annex 2 Designated EHV charges'!$A:$O,12,FALSE)=0,"",VLOOKUP($A355,'Annex 2 Designated EHV charges'!$A:$O,12,FALSE)),"")</f>
        <v/>
      </c>
    </row>
    <row r="356" spans="1:8" x14ac:dyDescent="0.2">
      <c r="A356" s="48" t="str" cm="1">
        <f t="array" ref="A356">IFERROR(INDEX('Annex 2 Designated EHV charges'!$A$10:$A$401, MATCH(0, IF(ISBLANK('Annex 2 Designated EHV charges'!$A$10:$A$401),1, COUNTIF(A$4:$A355, 'Annex 2 Designated EHV charges'!$A$10:$A$401)), 0)),"")</f>
        <v/>
      </c>
      <c r="B356" s="48" t="str">
        <f>IF($A356="","",VLOOKUP($A356,'Annex 2 Designated EHV charges'!$A:$O,2,0))</f>
        <v/>
      </c>
      <c r="C356" s="56" t="str">
        <f>IF($A356="","",VLOOKUP($A356,'Annex 2 Designated EHV charges'!$A:$O,3,0))</f>
        <v/>
      </c>
      <c r="D356" s="56" t="str">
        <f>IF($A356="","",VLOOKUP($A356,'Annex 2 Designated EHV charges'!$A:$O,7,0))</f>
        <v/>
      </c>
      <c r="E356" s="57" t="str">
        <f>IFERROR(IF(VLOOKUP($A356,'Annex 2 Designated EHV charges'!$A:$O,9,FALSE)=0,"",VLOOKUP($A356,'Annex 2 Designated EHV charges'!$A:$O,9,FALSE)),"")</f>
        <v/>
      </c>
      <c r="F356" s="58" t="str">
        <f>IFERROR(IF(VLOOKUP($A356,'Annex 2 Designated EHV charges'!$A:$O,10,FALSE)=0,"",VLOOKUP($A356,'Annex 2 Designated EHV charges'!$A:$O,10,FALSE)),"")</f>
        <v/>
      </c>
      <c r="G356" s="58" t="str">
        <f>IFERROR(IF(VLOOKUP($A356,'Annex 2 Designated EHV charges'!$A:$O,11,FALSE)=0,"",VLOOKUP($A356,'Annex 2 Designated EHV charges'!$A:$O,11,FALSE)),"")</f>
        <v/>
      </c>
      <c r="H356" s="48" t="str">
        <f>IFERROR(IF(VLOOKUP($A356,'Annex 2 Designated EHV charges'!$A:$O,12,FALSE)=0,"",VLOOKUP($A356,'Annex 2 Designated EHV charges'!$A:$O,12,FALSE)),"")</f>
        <v/>
      </c>
    </row>
    <row r="357" spans="1:8" x14ac:dyDescent="0.2">
      <c r="A357" s="48" t="str" cm="1">
        <f t="array" ref="A357">IFERROR(INDEX('Annex 2 Designated EHV charges'!$A$10:$A$401, MATCH(0, IF(ISBLANK('Annex 2 Designated EHV charges'!$A$10:$A$401),1, COUNTIF(A$4:$A356, 'Annex 2 Designated EHV charges'!$A$10:$A$401)), 0)),"")</f>
        <v/>
      </c>
      <c r="B357" s="48" t="str">
        <f>IF($A357="","",VLOOKUP($A357,'Annex 2 Designated EHV charges'!$A:$O,2,0))</f>
        <v/>
      </c>
      <c r="C357" s="56" t="str">
        <f>IF($A357="","",VLOOKUP($A357,'Annex 2 Designated EHV charges'!$A:$O,3,0))</f>
        <v/>
      </c>
      <c r="D357" s="56" t="str">
        <f>IF($A357="","",VLOOKUP($A357,'Annex 2 Designated EHV charges'!$A:$O,7,0))</f>
        <v/>
      </c>
      <c r="E357" s="57" t="str">
        <f>IFERROR(IF(VLOOKUP($A357,'Annex 2 Designated EHV charges'!$A:$O,9,FALSE)=0,"",VLOOKUP($A357,'Annex 2 Designated EHV charges'!$A:$O,9,FALSE)),"")</f>
        <v/>
      </c>
      <c r="F357" s="58" t="str">
        <f>IFERROR(IF(VLOOKUP($A357,'Annex 2 Designated EHV charges'!$A:$O,10,FALSE)=0,"",VLOOKUP($A357,'Annex 2 Designated EHV charges'!$A:$O,10,FALSE)),"")</f>
        <v/>
      </c>
      <c r="G357" s="58" t="str">
        <f>IFERROR(IF(VLOOKUP($A357,'Annex 2 Designated EHV charges'!$A:$O,11,FALSE)=0,"",VLOOKUP($A357,'Annex 2 Designated EHV charges'!$A:$O,11,FALSE)),"")</f>
        <v/>
      </c>
      <c r="H357" s="48" t="str">
        <f>IFERROR(IF(VLOOKUP($A357,'Annex 2 Designated EHV charges'!$A:$O,12,FALSE)=0,"",VLOOKUP($A357,'Annex 2 Designated EHV charges'!$A:$O,12,FALSE)),"")</f>
        <v/>
      </c>
    </row>
    <row r="358" spans="1:8" x14ac:dyDescent="0.2">
      <c r="A358" s="48" t="str" cm="1">
        <f t="array" ref="A358">IFERROR(INDEX('Annex 2 Designated EHV charges'!$A$10:$A$401, MATCH(0, IF(ISBLANK('Annex 2 Designated EHV charges'!$A$10:$A$401),1, COUNTIF(A$4:$A357, 'Annex 2 Designated EHV charges'!$A$10:$A$401)), 0)),"")</f>
        <v/>
      </c>
      <c r="B358" s="48" t="str">
        <f>IF($A358="","",VLOOKUP($A358,'Annex 2 Designated EHV charges'!$A:$O,2,0))</f>
        <v/>
      </c>
      <c r="C358" s="56" t="str">
        <f>IF($A358="","",VLOOKUP($A358,'Annex 2 Designated EHV charges'!$A:$O,3,0))</f>
        <v/>
      </c>
      <c r="D358" s="56" t="str">
        <f>IF($A358="","",VLOOKUP($A358,'Annex 2 Designated EHV charges'!$A:$O,7,0))</f>
        <v/>
      </c>
      <c r="E358" s="57" t="str">
        <f>IFERROR(IF(VLOOKUP($A358,'Annex 2 Designated EHV charges'!$A:$O,9,FALSE)=0,"",VLOOKUP($A358,'Annex 2 Designated EHV charges'!$A:$O,9,FALSE)),"")</f>
        <v/>
      </c>
      <c r="F358" s="58" t="str">
        <f>IFERROR(IF(VLOOKUP($A358,'Annex 2 Designated EHV charges'!$A:$O,10,FALSE)=0,"",VLOOKUP($A358,'Annex 2 Designated EHV charges'!$A:$O,10,FALSE)),"")</f>
        <v/>
      </c>
      <c r="G358" s="58" t="str">
        <f>IFERROR(IF(VLOOKUP($A358,'Annex 2 Designated EHV charges'!$A:$O,11,FALSE)=0,"",VLOOKUP($A358,'Annex 2 Designated EHV charges'!$A:$O,11,FALSE)),"")</f>
        <v/>
      </c>
      <c r="H358" s="48" t="str">
        <f>IFERROR(IF(VLOOKUP($A358,'Annex 2 Designated EHV charges'!$A:$O,12,FALSE)=0,"",VLOOKUP($A358,'Annex 2 Designated EHV charges'!$A:$O,12,FALSE)),"")</f>
        <v/>
      </c>
    </row>
    <row r="359" spans="1:8" x14ac:dyDescent="0.2">
      <c r="A359" s="48" t="str" cm="1">
        <f t="array" ref="A359">IFERROR(INDEX('Annex 2 Designated EHV charges'!$A$10:$A$401, MATCH(0, IF(ISBLANK('Annex 2 Designated EHV charges'!$A$10:$A$401),1, COUNTIF(A$4:$A358, 'Annex 2 Designated EHV charges'!$A$10:$A$401)), 0)),"")</f>
        <v/>
      </c>
      <c r="B359" s="48" t="str">
        <f>IF($A359="","",VLOOKUP($A359,'Annex 2 Designated EHV charges'!$A:$O,2,0))</f>
        <v/>
      </c>
      <c r="C359" s="56" t="str">
        <f>IF($A359="","",VLOOKUP($A359,'Annex 2 Designated EHV charges'!$A:$O,3,0))</f>
        <v/>
      </c>
      <c r="D359" s="56" t="str">
        <f>IF($A359="","",VLOOKUP($A359,'Annex 2 Designated EHV charges'!$A:$O,7,0))</f>
        <v/>
      </c>
      <c r="E359" s="57" t="str">
        <f>IFERROR(IF(VLOOKUP($A359,'Annex 2 Designated EHV charges'!$A:$O,9,FALSE)=0,"",VLOOKUP($A359,'Annex 2 Designated EHV charges'!$A:$O,9,FALSE)),"")</f>
        <v/>
      </c>
      <c r="F359" s="58" t="str">
        <f>IFERROR(IF(VLOOKUP($A359,'Annex 2 Designated EHV charges'!$A:$O,10,FALSE)=0,"",VLOOKUP($A359,'Annex 2 Designated EHV charges'!$A:$O,10,FALSE)),"")</f>
        <v/>
      </c>
      <c r="G359" s="58" t="str">
        <f>IFERROR(IF(VLOOKUP($A359,'Annex 2 Designated EHV charges'!$A:$O,11,FALSE)=0,"",VLOOKUP($A359,'Annex 2 Designated EHV charges'!$A:$O,11,FALSE)),"")</f>
        <v/>
      </c>
      <c r="H359" s="48" t="str">
        <f>IFERROR(IF(VLOOKUP($A359,'Annex 2 Designated EHV charges'!$A:$O,12,FALSE)=0,"",VLOOKUP($A359,'Annex 2 Designated EHV charges'!$A:$O,12,FALSE)),"")</f>
        <v/>
      </c>
    </row>
    <row r="360" spans="1:8" x14ac:dyDescent="0.2">
      <c r="A360" s="48" t="str" cm="1">
        <f t="array" ref="A360">IFERROR(INDEX('Annex 2 Designated EHV charges'!$A$10:$A$401, MATCH(0, IF(ISBLANK('Annex 2 Designated EHV charges'!$A$10:$A$401),1, COUNTIF(A$4:$A359, 'Annex 2 Designated EHV charges'!$A$10:$A$401)), 0)),"")</f>
        <v/>
      </c>
      <c r="B360" s="48" t="str">
        <f>IF($A360="","",VLOOKUP($A360,'Annex 2 Designated EHV charges'!$A:$O,2,0))</f>
        <v/>
      </c>
      <c r="C360" s="56" t="str">
        <f>IF($A360="","",VLOOKUP($A360,'Annex 2 Designated EHV charges'!$A:$O,3,0))</f>
        <v/>
      </c>
      <c r="D360" s="56" t="str">
        <f>IF($A360="","",VLOOKUP($A360,'Annex 2 Designated EHV charges'!$A:$O,7,0))</f>
        <v/>
      </c>
      <c r="E360" s="57" t="str">
        <f>IFERROR(IF(VLOOKUP($A360,'Annex 2 Designated EHV charges'!$A:$O,9,FALSE)=0,"",VLOOKUP($A360,'Annex 2 Designated EHV charges'!$A:$O,9,FALSE)),"")</f>
        <v/>
      </c>
      <c r="F360" s="58" t="str">
        <f>IFERROR(IF(VLOOKUP($A360,'Annex 2 Designated EHV charges'!$A:$O,10,FALSE)=0,"",VLOOKUP($A360,'Annex 2 Designated EHV charges'!$A:$O,10,FALSE)),"")</f>
        <v/>
      </c>
      <c r="G360" s="58" t="str">
        <f>IFERROR(IF(VLOOKUP($A360,'Annex 2 Designated EHV charges'!$A:$O,11,FALSE)=0,"",VLOOKUP($A360,'Annex 2 Designated EHV charges'!$A:$O,11,FALSE)),"")</f>
        <v/>
      </c>
      <c r="H360" s="48" t="str">
        <f>IFERROR(IF(VLOOKUP($A360,'Annex 2 Designated EHV charges'!$A:$O,12,FALSE)=0,"",VLOOKUP($A360,'Annex 2 Designated EHV charges'!$A:$O,12,FALSE)),"")</f>
        <v/>
      </c>
    </row>
    <row r="361" spans="1:8" x14ac:dyDescent="0.2">
      <c r="A361" s="48" t="str" cm="1">
        <f t="array" ref="A361">IFERROR(INDEX('Annex 2 Designated EHV charges'!$A$10:$A$401, MATCH(0, IF(ISBLANK('Annex 2 Designated EHV charges'!$A$10:$A$401),1, COUNTIF(A$4:$A360, 'Annex 2 Designated EHV charges'!$A$10:$A$401)), 0)),"")</f>
        <v/>
      </c>
      <c r="B361" s="48" t="str">
        <f>IF($A361="","",VLOOKUP($A361,'Annex 2 Designated EHV charges'!$A:$O,2,0))</f>
        <v/>
      </c>
      <c r="C361" s="56" t="str">
        <f>IF($A361="","",VLOOKUP($A361,'Annex 2 Designated EHV charges'!$A:$O,3,0))</f>
        <v/>
      </c>
      <c r="D361" s="56" t="str">
        <f>IF($A361="","",VLOOKUP($A361,'Annex 2 Designated EHV charges'!$A:$O,7,0))</f>
        <v/>
      </c>
      <c r="E361" s="57" t="str">
        <f>IFERROR(IF(VLOOKUP($A361,'Annex 2 Designated EHV charges'!$A:$O,9,FALSE)=0,"",VLOOKUP($A361,'Annex 2 Designated EHV charges'!$A:$O,9,FALSE)),"")</f>
        <v/>
      </c>
      <c r="F361" s="58" t="str">
        <f>IFERROR(IF(VLOOKUP($A361,'Annex 2 Designated EHV charges'!$A:$O,10,FALSE)=0,"",VLOOKUP($A361,'Annex 2 Designated EHV charges'!$A:$O,10,FALSE)),"")</f>
        <v/>
      </c>
      <c r="G361" s="58" t="str">
        <f>IFERROR(IF(VLOOKUP($A361,'Annex 2 Designated EHV charges'!$A:$O,11,FALSE)=0,"",VLOOKUP($A361,'Annex 2 Designated EHV charges'!$A:$O,11,FALSE)),"")</f>
        <v/>
      </c>
      <c r="H361" s="48" t="str">
        <f>IFERROR(IF(VLOOKUP($A361,'Annex 2 Designated EHV charges'!$A:$O,12,FALSE)=0,"",VLOOKUP($A361,'Annex 2 Designated EHV charges'!$A:$O,12,FALSE)),"")</f>
        <v/>
      </c>
    </row>
    <row r="362" spans="1:8" x14ac:dyDescent="0.2">
      <c r="A362" s="48" t="str" cm="1">
        <f t="array" ref="A362">IFERROR(INDEX('Annex 2 Designated EHV charges'!$A$10:$A$401, MATCH(0, IF(ISBLANK('Annex 2 Designated EHV charges'!$A$10:$A$401),1, COUNTIF(A$4:$A361, 'Annex 2 Designated EHV charges'!$A$10:$A$401)), 0)),"")</f>
        <v/>
      </c>
      <c r="B362" s="48" t="str">
        <f>IF($A362="","",VLOOKUP($A362,'Annex 2 Designated EHV charges'!$A:$O,2,0))</f>
        <v/>
      </c>
      <c r="C362" s="56" t="str">
        <f>IF($A362="","",VLOOKUP($A362,'Annex 2 Designated EHV charges'!$A:$O,3,0))</f>
        <v/>
      </c>
      <c r="D362" s="56" t="str">
        <f>IF($A362="","",VLOOKUP($A362,'Annex 2 Designated EHV charges'!$A:$O,7,0))</f>
        <v/>
      </c>
      <c r="E362" s="57" t="str">
        <f>IFERROR(IF(VLOOKUP($A362,'Annex 2 Designated EHV charges'!$A:$O,9,FALSE)=0,"",VLOOKUP($A362,'Annex 2 Designated EHV charges'!$A:$O,9,FALSE)),"")</f>
        <v/>
      </c>
      <c r="F362" s="58" t="str">
        <f>IFERROR(IF(VLOOKUP($A362,'Annex 2 Designated EHV charges'!$A:$O,10,FALSE)=0,"",VLOOKUP($A362,'Annex 2 Designated EHV charges'!$A:$O,10,FALSE)),"")</f>
        <v/>
      </c>
      <c r="G362" s="58" t="str">
        <f>IFERROR(IF(VLOOKUP($A362,'Annex 2 Designated EHV charges'!$A:$O,11,FALSE)=0,"",VLOOKUP($A362,'Annex 2 Designated EHV charges'!$A:$O,11,FALSE)),"")</f>
        <v/>
      </c>
      <c r="H362" s="48" t="str">
        <f>IFERROR(IF(VLOOKUP($A362,'Annex 2 Designated EHV charges'!$A:$O,12,FALSE)=0,"",VLOOKUP($A362,'Annex 2 Designated EHV charges'!$A:$O,12,FALSE)),"")</f>
        <v/>
      </c>
    </row>
    <row r="363" spans="1:8" x14ac:dyDescent="0.2">
      <c r="A363" s="48" t="str" cm="1">
        <f t="array" ref="A363">IFERROR(INDEX('Annex 2 Designated EHV charges'!$A$10:$A$401, MATCH(0, IF(ISBLANK('Annex 2 Designated EHV charges'!$A$10:$A$401),1, COUNTIF(A$4:$A362, 'Annex 2 Designated EHV charges'!$A$10:$A$401)), 0)),"")</f>
        <v/>
      </c>
      <c r="B363" s="48" t="str">
        <f>IF($A363="","",VLOOKUP($A363,'Annex 2 Designated EHV charges'!$A:$O,2,0))</f>
        <v/>
      </c>
      <c r="C363" s="56" t="str">
        <f>IF($A363="","",VLOOKUP($A363,'Annex 2 Designated EHV charges'!$A:$O,3,0))</f>
        <v/>
      </c>
      <c r="D363" s="56" t="str">
        <f>IF($A363="","",VLOOKUP($A363,'Annex 2 Designated EHV charges'!$A:$O,7,0))</f>
        <v/>
      </c>
      <c r="E363" s="57" t="str">
        <f>IFERROR(IF(VLOOKUP($A363,'Annex 2 Designated EHV charges'!$A:$O,9,FALSE)=0,"",VLOOKUP($A363,'Annex 2 Designated EHV charges'!$A:$O,9,FALSE)),"")</f>
        <v/>
      </c>
      <c r="F363" s="58" t="str">
        <f>IFERROR(IF(VLOOKUP($A363,'Annex 2 Designated EHV charges'!$A:$O,10,FALSE)=0,"",VLOOKUP($A363,'Annex 2 Designated EHV charges'!$A:$O,10,FALSE)),"")</f>
        <v/>
      </c>
      <c r="G363" s="58" t="str">
        <f>IFERROR(IF(VLOOKUP($A363,'Annex 2 Designated EHV charges'!$A:$O,11,FALSE)=0,"",VLOOKUP($A363,'Annex 2 Designated EHV charges'!$A:$O,11,FALSE)),"")</f>
        <v/>
      </c>
      <c r="H363" s="48" t="str">
        <f>IFERROR(IF(VLOOKUP($A363,'Annex 2 Designated EHV charges'!$A:$O,12,FALSE)=0,"",VLOOKUP($A363,'Annex 2 Designated EHV charges'!$A:$O,12,FALSE)),"")</f>
        <v/>
      </c>
    </row>
    <row r="364" spans="1:8" x14ac:dyDescent="0.2">
      <c r="A364" s="48" t="str" cm="1">
        <f t="array" ref="A364">IFERROR(INDEX('Annex 2 Designated EHV charges'!$A$10:$A$401, MATCH(0, IF(ISBLANK('Annex 2 Designated EHV charges'!$A$10:$A$401),1, COUNTIF(A$4:$A363, 'Annex 2 Designated EHV charges'!$A$10:$A$401)), 0)),"")</f>
        <v/>
      </c>
      <c r="B364" s="48" t="str">
        <f>IF($A364="","",VLOOKUP($A364,'Annex 2 Designated EHV charges'!$A:$O,2,0))</f>
        <v/>
      </c>
      <c r="C364" s="56" t="str">
        <f>IF($A364="","",VLOOKUP($A364,'Annex 2 Designated EHV charges'!$A:$O,3,0))</f>
        <v/>
      </c>
      <c r="D364" s="56" t="str">
        <f>IF($A364="","",VLOOKUP($A364,'Annex 2 Designated EHV charges'!$A:$O,7,0))</f>
        <v/>
      </c>
      <c r="E364" s="57" t="str">
        <f>IFERROR(IF(VLOOKUP($A364,'Annex 2 Designated EHV charges'!$A:$O,9,FALSE)=0,"",VLOOKUP($A364,'Annex 2 Designated EHV charges'!$A:$O,9,FALSE)),"")</f>
        <v/>
      </c>
      <c r="F364" s="58" t="str">
        <f>IFERROR(IF(VLOOKUP($A364,'Annex 2 Designated EHV charges'!$A:$O,10,FALSE)=0,"",VLOOKUP($A364,'Annex 2 Designated EHV charges'!$A:$O,10,FALSE)),"")</f>
        <v/>
      </c>
      <c r="G364" s="58" t="str">
        <f>IFERROR(IF(VLOOKUP($A364,'Annex 2 Designated EHV charges'!$A:$O,11,FALSE)=0,"",VLOOKUP($A364,'Annex 2 Designated EHV charges'!$A:$O,11,FALSE)),"")</f>
        <v/>
      </c>
      <c r="H364" s="48" t="str">
        <f>IFERROR(IF(VLOOKUP($A364,'Annex 2 Designated EHV charges'!$A:$O,12,FALSE)=0,"",VLOOKUP($A364,'Annex 2 Designated EHV charges'!$A:$O,12,FALSE)),"")</f>
        <v/>
      </c>
    </row>
    <row r="365" spans="1:8" x14ac:dyDescent="0.2">
      <c r="A365" s="48" t="str" cm="1">
        <f t="array" ref="A365">IFERROR(INDEX('Annex 2 Designated EHV charges'!$A$10:$A$401, MATCH(0, IF(ISBLANK('Annex 2 Designated EHV charges'!$A$10:$A$401),1, COUNTIF(A$4:$A364, 'Annex 2 Designated EHV charges'!$A$10:$A$401)), 0)),"")</f>
        <v/>
      </c>
      <c r="B365" s="48" t="str">
        <f>IF($A365="","",VLOOKUP($A365,'Annex 2 Designated EHV charges'!$A:$O,2,0))</f>
        <v/>
      </c>
      <c r="C365" s="56" t="str">
        <f>IF($A365="","",VLOOKUP($A365,'Annex 2 Designated EHV charges'!$A:$O,3,0))</f>
        <v/>
      </c>
      <c r="D365" s="56" t="str">
        <f>IF($A365="","",VLOOKUP($A365,'Annex 2 Designated EHV charges'!$A:$O,7,0))</f>
        <v/>
      </c>
      <c r="E365" s="57" t="str">
        <f>IFERROR(IF(VLOOKUP($A365,'Annex 2 Designated EHV charges'!$A:$O,9,FALSE)=0,"",VLOOKUP($A365,'Annex 2 Designated EHV charges'!$A:$O,9,FALSE)),"")</f>
        <v/>
      </c>
      <c r="F365" s="58" t="str">
        <f>IFERROR(IF(VLOOKUP($A365,'Annex 2 Designated EHV charges'!$A:$O,10,FALSE)=0,"",VLOOKUP($A365,'Annex 2 Designated EHV charges'!$A:$O,10,FALSE)),"")</f>
        <v/>
      </c>
      <c r="G365" s="58" t="str">
        <f>IFERROR(IF(VLOOKUP($A365,'Annex 2 Designated EHV charges'!$A:$O,11,FALSE)=0,"",VLOOKUP($A365,'Annex 2 Designated EHV charges'!$A:$O,11,FALSE)),"")</f>
        <v/>
      </c>
      <c r="H365" s="48" t="str">
        <f>IFERROR(IF(VLOOKUP($A365,'Annex 2 Designated EHV charges'!$A:$O,12,FALSE)=0,"",VLOOKUP($A365,'Annex 2 Designated EHV charges'!$A:$O,12,FALSE)),"")</f>
        <v/>
      </c>
    </row>
    <row r="366" spans="1:8" x14ac:dyDescent="0.2">
      <c r="A366" s="48" t="str" cm="1">
        <f t="array" ref="A366">IFERROR(INDEX('Annex 2 Designated EHV charges'!$A$10:$A$401, MATCH(0, IF(ISBLANK('Annex 2 Designated EHV charges'!$A$10:$A$401),1, COUNTIF(A$4:$A365, 'Annex 2 Designated EHV charges'!$A$10:$A$401)), 0)),"")</f>
        <v/>
      </c>
      <c r="B366" s="48" t="str">
        <f>IF($A366="","",VLOOKUP($A366,'Annex 2 Designated EHV charges'!$A:$O,2,0))</f>
        <v/>
      </c>
      <c r="C366" s="56" t="str">
        <f>IF($A366="","",VLOOKUP($A366,'Annex 2 Designated EHV charges'!$A:$O,3,0))</f>
        <v/>
      </c>
      <c r="D366" s="56" t="str">
        <f>IF($A366="","",VLOOKUP($A366,'Annex 2 Designated EHV charges'!$A:$O,7,0))</f>
        <v/>
      </c>
      <c r="E366" s="57" t="str">
        <f>IFERROR(IF(VLOOKUP($A366,'Annex 2 Designated EHV charges'!$A:$O,9,FALSE)=0,"",VLOOKUP($A366,'Annex 2 Designated EHV charges'!$A:$O,9,FALSE)),"")</f>
        <v/>
      </c>
      <c r="F366" s="58" t="str">
        <f>IFERROR(IF(VLOOKUP($A366,'Annex 2 Designated EHV charges'!$A:$O,10,FALSE)=0,"",VLOOKUP($A366,'Annex 2 Designated EHV charges'!$A:$O,10,FALSE)),"")</f>
        <v/>
      </c>
      <c r="G366" s="58" t="str">
        <f>IFERROR(IF(VLOOKUP($A366,'Annex 2 Designated EHV charges'!$A:$O,11,FALSE)=0,"",VLOOKUP($A366,'Annex 2 Designated EHV charges'!$A:$O,11,FALSE)),"")</f>
        <v/>
      </c>
      <c r="H366" s="48" t="str">
        <f>IFERROR(IF(VLOOKUP($A366,'Annex 2 Designated EHV charges'!$A:$O,12,FALSE)=0,"",VLOOKUP($A366,'Annex 2 Designated EHV charges'!$A:$O,12,FALSE)),"")</f>
        <v/>
      </c>
    </row>
    <row r="367" spans="1:8" x14ac:dyDescent="0.2">
      <c r="A367" s="48" t="str" cm="1">
        <f t="array" ref="A367">IFERROR(INDEX('Annex 2 Designated EHV charges'!$A$10:$A$401, MATCH(0, IF(ISBLANK('Annex 2 Designated EHV charges'!$A$10:$A$401),1, COUNTIF(A$4:$A366, 'Annex 2 Designated EHV charges'!$A$10:$A$401)), 0)),"")</f>
        <v/>
      </c>
      <c r="B367" s="48" t="str">
        <f>IF($A367="","",VLOOKUP($A367,'Annex 2 Designated EHV charges'!$A:$O,2,0))</f>
        <v/>
      </c>
      <c r="C367" s="56" t="str">
        <f>IF($A367="","",VLOOKUP($A367,'Annex 2 Designated EHV charges'!$A:$O,3,0))</f>
        <v/>
      </c>
      <c r="D367" s="56" t="str">
        <f>IF($A367="","",VLOOKUP($A367,'Annex 2 Designated EHV charges'!$A:$O,7,0))</f>
        <v/>
      </c>
      <c r="E367" s="57" t="str">
        <f>IFERROR(IF(VLOOKUP($A367,'Annex 2 Designated EHV charges'!$A:$O,9,FALSE)=0,"",VLOOKUP($A367,'Annex 2 Designated EHV charges'!$A:$O,9,FALSE)),"")</f>
        <v/>
      </c>
      <c r="F367" s="58" t="str">
        <f>IFERROR(IF(VLOOKUP($A367,'Annex 2 Designated EHV charges'!$A:$O,10,FALSE)=0,"",VLOOKUP($A367,'Annex 2 Designated EHV charges'!$A:$O,10,FALSE)),"")</f>
        <v/>
      </c>
      <c r="G367" s="58" t="str">
        <f>IFERROR(IF(VLOOKUP($A367,'Annex 2 Designated EHV charges'!$A:$O,11,FALSE)=0,"",VLOOKUP($A367,'Annex 2 Designated EHV charges'!$A:$O,11,FALSE)),"")</f>
        <v/>
      </c>
      <c r="H367" s="48" t="str">
        <f>IFERROR(IF(VLOOKUP($A367,'Annex 2 Designated EHV charges'!$A:$O,12,FALSE)=0,"",VLOOKUP($A367,'Annex 2 Designated EHV charges'!$A:$O,12,FALSE)),"")</f>
        <v/>
      </c>
    </row>
    <row r="368" spans="1:8" x14ac:dyDescent="0.2">
      <c r="A368" s="48" t="str" cm="1">
        <f t="array" ref="A368">IFERROR(INDEX('Annex 2 Designated EHV charges'!$A$10:$A$401, MATCH(0, IF(ISBLANK('Annex 2 Designated EHV charges'!$A$10:$A$401),1, COUNTIF(A$4:$A367, 'Annex 2 Designated EHV charges'!$A$10:$A$401)), 0)),"")</f>
        <v/>
      </c>
      <c r="B368" s="48" t="str">
        <f>IF($A368="","",VLOOKUP($A368,'Annex 2 Designated EHV charges'!$A:$O,2,0))</f>
        <v/>
      </c>
      <c r="C368" s="56" t="str">
        <f>IF($A368="","",VLOOKUP($A368,'Annex 2 Designated EHV charges'!$A:$O,3,0))</f>
        <v/>
      </c>
      <c r="D368" s="56" t="str">
        <f>IF($A368="","",VLOOKUP($A368,'Annex 2 Designated EHV charges'!$A:$O,7,0))</f>
        <v/>
      </c>
      <c r="E368" s="57" t="str">
        <f>IFERROR(IF(VLOOKUP($A368,'Annex 2 Designated EHV charges'!$A:$O,9,FALSE)=0,"",VLOOKUP($A368,'Annex 2 Designated EHV charges'!$A:$O,9,FALSE)),"")</f>
        <v/>
      </c>
      <c r="F368" s="58" t="str">
        <f>IFERROR(IF(VLOOKUP($A368,'Annex 2 Designated EHV charges'!$A:$O,10,FALSE)=0,"",VLOOKUP($A368,'Annex 2 Designated EHV charges'!$A:$O,10,FALSE)),"")</f>
        <v/>
      </c>
      <c r="G368" s="58" t="str">
        <f>IFERROR(IF(VLOOKUP($A368,'Annex 2 Designated EHV charges'!$A:$O,11,FALSE)=0,"",VLOOKUP($A368,'Annex 2 Designated EHV charges'!$A:$O,11,FALSE)),"")</f>
        <v/>
      </c>
      <c r="H368" s="48" t="str">
        <f>IFERROR(IF(VLOOKUP($A368,'Annex 2 Designated EHV charges'!$A:$O,12,FALSE)=0,"",VLOOKUP($A368,'Annex 2 Designated EHV charges'!$A:$O,12,FALSE)),"")</f>
        <v/>
      </c>
    </row>
    <row r="369" spans="1:8" x14ac:dyDescent="0.2">
      <c r="A369" s="48" t="str" cm="1">
        <f t="array" ref="A369">IFERROR(INDEX('Annex 2 Designated EHV charges'!$A$10:$A$401, MATCH(0, IF(ISBLANK('Annex 2 Designated EHV charges'!$A$10:$A$401),1, COUNTIF(A$4:$A368, 'Annex 2 Designated EHV charges'!$A$10:$A$401)), 0)),"")</f>
        <v/>
      </c>
      <c r="B369" s="48" t="str">
        <f>IF($A369="","",VLOOKUP($A369,'Annex 2 Designated EHV charges'!$A:$O,2,0))</f>
        <v/>
      </c>
      <c r="C369" s="56" t="str">
        <f>IF($A369="","",VLOOKUP($A369,'Annex 2 Designated EHV charges'!$A:$O,3,0))</f>
        <v/>
      </c>
      <c r="D369" s="56" t="str">
        <f>IF($A369="","",VLOOKUP($A369,'Annex 2 Designated EHV charges'!$A:$O,7,0))</f>
        <v/>
      </c>
      <c r="E369" s="57" t="str">
        <f>IFERROR(IF(VLOOKUP($A369,'Annex 2 Designated EHV charges'!$A:$O,9,FALSE)=0,"",VLOOKUP($A369,'Annex 2 Designated EHV charges'!$A:$O,9,FALSE)),"")</f>
        <v/>
      </c>
      <c r="F369" s="58" t="str">
        <f>IFERROR(IF(VLOOKUP($A369,'Annex 2 Designated EHV charges'!$A:$O,10,FALSE)=0,"",VLOOKUP($A369,'Annex 2 Designated EHV charges'!$A:$O,10,FALSE)),"")</f>
        <v/>
      </c>
      <c r="G369" s="58" t="str">
        <f>IFERROR(IF(VLOOKUP($A369,'Annex 2 Designated EHV charges'!$A:$O,11,FALSE)=0,"",VLOOKUP($A369,'Annex 2 Designated EHV charges'!$A:$O,11,FALSE)),"")</f>
        <v/>
      </c>
      <c r="H369" s="48" t="str">
        <f>IFERROR(IF(VLOOKUP($A369,'Annex 2 Designated EHV charges'!$A:$O,12,FALSE)=0,"",VLOOKUP($A369,'Annex 2 Designated EHV charges'!$A:$O,12,FALSE)),"")</f>
        <v/>
      </c>
    </row>
    <row r="370" spans="1:8" x14ac:dyDescent="0.2">
      <c r="A370" s="48" t="str" cm="1">
        <f t="array" ref="A370">IFERROR(INDEX('Annex 2 Designated EHV charges'!$A$10:$A$401, MATCH(0, IF(ISBLANK('Annex 2 Designated EHV charges'!$A$10:$A$401),1, COUNTIF(A$4:$A369, 'Annex 2 Designated EHV charges'!$A$10:$A$401)), 0)),"")</f>
        <v/>
      </c>
      <c r="B370" s="48" t="str">
        <f>IF($A370="","",VLOOKUP($A370,'Annex 2 Designated EHV charges'!$A:$O,2,0))</f>
        <v/>
      </c>
      <c r="C370" s="56" t="str">
        <f>IF($A370="","",VLOOKUP($A370,'Annex 2 Designated EHV charges'!$A:$O,3,0))</f>
        <v/>
      </c>
      <c r="D370" s="56" t="str">
        <f>IF($A370="","",VLOOKUP($A370,'Annex 2 Designated EHV charges'!$A:$O,7,0))</f>
        <v/>
      </c>
      <c r="E370" s="57" t="str">
        <f>IFERROR(IF(VLOOKUP($A370,'Annex 2 Designated EHV charges'!$A:$O,9,FALSE)=0,"",VLOOKUP($A370,'Annex 2 Designated EHV charges'!$A:$O,9,FALSE)),"")</f>
        <v/>
      </c>
      <c r="F370" s="58" t="str">
        <f>IFERROR(IF(VLOOKUP($A370,'Annex 2 Designated EHV charges'!$A:$O,10,FALSE)=0,"",VLOOKUP($A370,'Annex 2 Designated EHV charges'!$A:$O,10,FALSE)),"")</f>
        <v/>
      </c>
      <c r="G370" s="58" t="str">
        <f>IFERROR(IF(VLOOKUP($A370,'Annex 2 Designated EHV charges'!$A:$O,11,FALSE)=0,"",VLOOKUP($A370,'Annex 2 Designated EHV charges'!$A:$O,11,FALSE)),"")</f>
        <v/>
      </c>
      <c r="H370" s="48" t="str">
        <f>IFERROR(IF(VLOOKUP($A370,'Annex 2 Designated EHV charges'!$A:$O,12,FALSE)=0,"",VLOOKUP($A370,'Annex 2 Designated EHV charges'!$A:$O,12,FALSE)),"")</f>
        <v/>
      </c>
    </row>
    <row r="371" spans="1:8" x14ac:dyDescent="0.2">
      <c r="A371" s="48" t="str" cm="1">
        <f t="array" ref="A371">IFERROR(INDEX('Annex 2 Designated EHV charges'!$A$10:$A$401, MATCH(0, IF(ISBLANK('Annex 2 Designated EHV charges'!$A$10:$A$401),1, COUNTIF(A$4:$A370, 'Annex 2 Designated EHV charges'!$A$10:$A$401)), 0)),"")</f>
        <v/>
      </c>
      <c r="B371" s="48" t="str">
        <f>IF($A371="","",VLOOKUP($A371,'Annex 2 Designated EHV charges'!$A:$O,2,0))</f>
        <v/>
      </c>
      <c r="C371" s="56" t="str">
        <f>IF($A371="","",VLOOKUP($A371,'Annex 2 Designated EHV charges'!$A:$O,3,0))</f>
        <v/>
      </c>
      <c r="D371" s="56" t="str">
        <f>IF($A371="","",VLOOKUP($A371,'Annex 2 Designated EHV charges'!$A:$O,7,0))</f>
        <v/>
      </c>
      <c r="E371" s="57" t="str">
        <f>IFERROR(IF(VLOOKUP($A371,'Annex 2 Designated EHV charges'!$A:$O,9,FALSE)=0,"",VLOOKUP($A371,'Annex 2 Designated EHV charges'!$A:$O,9,FALSE)),"")</f>
        <v/>
      </c>
      <c r="F371" s="58" t="str">
        <f>IFERROR(IF(VLOOKUP($A371,'Annex 2 Designated EHV charges'!$A:$O,10,FALSE)=0,"",VLOOKUP($A371,'Annex 2 Designated EHV charges'!$A:$O,10,FALSE)),"")</f>
        <v/>
      </c>
      <c r="G371" s="58" t="str">
        <f>IFERROR(IF(VLOOKUP($A371,'Annex 2 Designated EHV charges'!$A:$O,11,FALSE)=0,"",VLOOKUP($A371,'Annex 2 Designated EHV charges'!$A:$O,11,FALSE)),"")</f>
        <v/>
      </c>
      <c r="H371" s="48" t="str">
        <f>IFERROR(IF(VLOOKUP($A371,'Annex 2 Designated EHV charges'!$A:$O,12,FALSE)=0,"",VLOOKUP($A371,'Annex 2 Designated EHV charges'!$A:$O,12,FALSE)),"")</f>
        <v/>
      </c>
    </row>
    <row r="372" spans="1:8" x14ac:dyDescent="0.2">
      <c r="A372" s="48" t="str" cm="1">
        <f t="array" ref="A372">IFERROR(INDEX('Annex 2 Designated EHV charges'!$A$10:$A$401, MATCH(0, IF(ISBLANK('Annex 2 Designated EHV charges'!$A$10:$A$401),1, COUNTIF(A$4:$A371, 'Annex 2 Designated EHV charges'!$A$10:$A$401)), 0)),"")</f>
        <v/>
      </c>
      <c r="B372" s="48" t="str">
        <f>IF($A372="","",VLOOKUP($A372,'Annex 2 Designated EHV charges'!$A:$O,2,0))</f>
        <v/>
      </c>
      <c r="C372" s="56" t="str">
        <f>IF($A372="","",VLOOKUP($A372,'Annex 2 Designated EHV charges'!$A:$O,3,0))</f>
        <v/>
      </c>
      <c r="D372" s="56" t="str">
        <f>IF($A372="","",VLOOKUP($A372,'Annex 2 Designated EHV charges'!$A:$O,7,0))</f>
        <v/>
      </c>
      <c r="E372" s="57" t="str">
        <f>IFERROR(IF(VLOOKUP($A372,'Annex 2 Designated EHV charges'!$A:$O,9,FALSE)=0,"",VLOOKUP($A372,'Annex 2 Designated EHV charges'!$A:$O,9,FALSE)),"")</f>
        <v/>
      </c>
      <c r="F372" s="58" t="str">
        <f>IFERROR(IF(VLOOKUP($A372,'Annex 2 Designated EHV charges'!$A:$O,10,FALSE)=0,"",VLOOKUP($A372,'Annex 2 Designated EHV charges'!$A:$O,10,FALSE)),"")</f>
        <v/>
      </c>
      <c r="G372" s="58" t="str">
        <f>IFERROR(IF(VLOOKUP($A372,'Annex 2 Designated EHV charges'!$A:$O,11,FALSE)=0,"",VLOOKUP($A372,'Annex 2 Designated EHV charges'!$A:$O,11,FALSE)),"")</f>
        <v/>
      </c>
      <c r="H372" s="48" t="str">
        <f>IFERROR(IF(VLOOKUP($A372,'Annex 2 Designated EHV charges'!$A:$O,12,FALSE)=0,"",VLOOKUP($A372,'Annex 2 Designated EHV charges'!$A:$O,12,FALSE)),"")</f>
        <v/>
      </c>
    </row>
    <row r="373" spans="1:8" x14ac:dyDescent="0.2">
      <c r="A373" s="48" t="str" cm="1">
        <f t="array" ref="A373">IFERROR(INDEX('Annex 2 Designated EHV charges'!$A$10:$A$401, MATCH(0, IF(ISBLANK('Annex 2 Designated EHV charges'!$A$10:$A$401),1, COUNTIF(A$4:$A372, 'Annex 2 Designated EHV charges'!$A$10:$A$401)), 0)),"")</f>
        <v/>
      </c>
      <c r="B373" s="48" t="str">
        <f>IF($A373="","",VLOOKUP($A373,'Annex 2 Designated EHV charges'!$A:$O,2,0))</f>
        <v/>
      </c>
      <c r="C373" s="56" t="str">
        <f>IF($A373="","",VLOOKUP($A373,'Annex 2 Designated EHV charges'!$A:$O,3,0))</f>
        <v/>
      </c>
      <c r="D373" s="56" t="str">
        <f>IF($A373="","",VLOOKUP($A373,'Annex 2 Designated EHV charges'!$A:$O,7,0))</f>
        <v/>
      </c>
      <c r="E373" s="57" t="str">
        <f>IFERROR(IF(VLOOKUP($A373,'Annex 2 Designated EHV charges'!$A:$O,9,FALSE)=0,"",VLOOKUP($A373,'Annex 2 Designated EHV charges'!$A:$O,9,FALSE)),"")</f>
        <v/>
      </c>
      <c r="F373" s="58" t="str">
        <f>IFERROR(IF(VLOOKUP($A373,'Annex 2 Designated EHV charges'!$A:$O,10,FALSE)=0,"",VLOOKUP($A373,'Annex 2 Designated EHV charges'!$A:$O,10,FALSE)),"")</f>
        <v/>
      </c>
      <c r="G373" s="58" t="str">
        <f>IFERROR(IF(VLOOKUP($A373,'Annex 2 Designated EHV charges'!$A:$O,11,FALSE)=0,"",VLOOKUP($A373,'Annex 2 Designated EHV charges'!$A:$O,11,FALSE)),"")</f>
        <v/>
      </c>
      <c r="H373" s="48" t="str">
        <f>IFERROR(IF(VLOOKUP($A373,'Annex 2 Designated EHV charges'!$A:$O,12,FALSE)=0,"",VLOOKUP($A373,'Annex 2 Designated EHV charges'!$A:$O,12,FALSE)),"")</f>
        <v/>
      </c>
    </row>
    <row r="374" spans="1:8" x14ac:dyDescent="0.2">
      <c r="A374" s="48" t="str" cm="1">
        <f t="array" ref="A374">IFERROR(INDEX('Annex 2 Designated EHV charges'!$A$10:$A$401, MATCH(0, IF(ISBLANK('Annex 2 Designated EHV charges'!$A$10:$A$401),1, COUNTIF(A$4:$A373, 'Annex 2 Designated EHV charges'!$A$10:$A$401)), 0)),"")</f>
        <v/>
      </c>
      <c r="B374" s="48" t="str">
        <f>IF($A374="","",VLOOKUP($A374,'Annex 2 Designated EHV charges'!$A:$O,2,0))</f>
        <v/>
      </c>
      <c r="C374" s="56" t="str">
        <f>IF($A374="","",VLOOKUP($A374,'Annex 2 Designated EHV charges'!$A:$O,3,0))</f>
        <v/>
      </c>
      <c r="D374" s="56" t="str">
        <f>IF($A374="","",VLOOKUP($A374,'Annex 2 Designated EHV charges'!$A:$O,7,0))</f>
        <v/>
      </c>
      <c r="E374" s="57" t="str">
        <f>IFERROR(IF(VLOOKUP($A374,'Annex 2 Designated EHV charges'!$A:$O,9,FALSE)=0,"",VLOOKUP($A374,'Annex 2 Designated EHV charges'!$A:$O,9,FALSE)),"")</f>
        <v/>
      </c>
      <c r="F374" s="58" t="str">
        <f>IFERROR(IF(VLOOKUP($A374,'Annex 2 Designated EHV charges'!$A:$O,10,FALSE)=0,"",VLOOKUP($A374,'Annex 2 Designated EHV charges'!$A:$O,10,FALSE)),"")</f>
        <v/>
      </c>
      <c r="G374" s="58" t="str">
        <f>IFERROR(IF(VLOOKUP($A374,'Annex 2 Designated EHV charges'!$A:$O,11,FALSE)=0,"",VLOOKUP($A374,'Annex 2 Designated EHV charges'!$A:$O,11,FALSE)),"")</f>
        <v/>
      </c>
      <c r="H374" s="48" t="str">
        <f>IFERROR(IF(VLOOKUP($A374,'Annex 2 Designated EHV charges'!$A:$O,12,FALSE)=0,"",VLOOKUP($A374,'Annex 2 Designated EHV charges'!$A:$O,12,FALSE)),"")</f>
        <v/>
      </c>
    </row>
    <row r="375" spans="1:8" x14ac:dyDescent="0.2">
      <c r="A375" s="48" t="str" cm="1">
        <f t="array" ref="A375">IFERROR(INDEX('Annex 2 Designated EHV charges'!$A$10:$A$401, MATCH(0, IF(ISBLANK('Annex 2 Designated EHV charges'!$A$10:$A$401),1, COUNTIF(A$4:$A374, 'Annex 2 Designated EHV charges'!$A$10:$A$401)), 0)),"")</f>
        <v/>
      </c>
      <c r="B375" s="48" t="str">
        <f>IF($A375="","",VLOOKUP($A375,'Annex 2 Designated EHV charges'!$A:$O,2,0))</f>
        <v/>
      </c>
      <c r="C375" s="56" t="str">
        <f>IF($A375="","",VLOOKUP($A375,'Annex 2 Designated EHV charges'!$A:$O,3,0))</f>
        <v/>
      </c>
      <c r="D375" s="56" t="str">
        <f>IF($A375="","",VLOOKUP($A375,'Annex 2 Designated EHV charges'!$A:$O,7,0))</f>
        <v/>
      </c>
      <c r="E375" s="57" t="str">
        <f>IFERROR(IF(VLOOKUP($A375,'Annex 2 Designated EHV charges'!$A:$O,9,FALSE)=0,"",VLOOKUP($A375,'Annex 2 Designated EHV charges'!$A:$O,9,FALSE)),"")</f>
        <v/>
      </c>
      <c r="F375" s="58" t="str">
        <f>IFERROR(IF(VLOOKUP($A375,'Annex 2 Designated EHV charges'!$A:$O,10,FALSE)=0,"",VLOOKUP($A375,'Annex 2 Designated EHV charges'!$A:$O,10,FALSE)),"")</f>
        <v/>
      </c>
      <c r="G375" s="58" t="str">
        <f>IFERROR(IF(VLOOKUP($A375,'Annex 2 Designated EHV charges'!$A:$O,11,FALSE)=0,"",VLOOKUP($A375,'Annex 2 Designated EHV charges'!$A:$O,11,FALSE)),"")</f>
        <v/>
      </c>
      <c r="H375" s="48" t="str">
        <f>IFERROR(IF(VLOOKUP($A375,'Annex 2 Designated EHV charges'!$A:$O,12,FALSE)=0,"",VLOOKUP($A375,'Annex 2 Designated EHV charges'!$A:$O,12,FALSE)),"")</f>
        <v/>
      </c>
    </row>
    <row r="376" spans="1:8" x14ac:dyDescent="0.2">
      <c r="A376" s="48" t="str" cm="1">
        <f t="array" ref="A376">IFERROR(INDEX('Annex 2 Designated EHV charges'!$A$10:$A$401, MATCH(0, IF(ISBLANK('Annex 2 Designated EHV charges'!$A$10:$A$401),1, COUNTIF(A$4:$A375, 'Annex 2 Designated EHV charges'!$A$10:$A$401)), 0)),"")</f>
        <v/>
      </c>
      <c r="B376" s="48" t="str">
        <f>IF($A376="","",VLOOKUP($A376,'Annex 2 Designated EHV charges'!$A:$O,2,0))</f>
        <v/>
      </c>
      <c r="C376" s="56" t="str">
        <f>IF($A376="","",VLOOKUP($A376,'Annex 2 Designated EHV charges'!$A:$O,3,0))</f>
        <v/>
      </c>
      <c r="D376" s="56" t="str">
        <f>IF($A376="","",VLOOKUP($A376,'Annex 2 Designated EHV charges'!$A:$O,7,0))</f>
        <v/>
      </c>
      <c r="E376" s="57" t="str">
        <f>IFERROR(IF(VLOOKUP($A376,'Annex 2 Designated EHV charges'!$A:$O,9,FALSE)=0,"",VLOOKUP($A376,'Annex 2 Designated EHV charges'!$A:$O,9,FALSE)),"")</f>
        <v/>
      </c>
      <c r="F376" s="58" t="str">
        <f>IFERROR(IF(VLOOKUP($A376,'Annex 2 Designated EHV charges'!$A:$O,10,FALSE)=0,"",VLOOKUP($A376,'Annex 2 Designated EHV charges'!$A:$O,10,FALSE)),"")</f>
        <v/>
      </c>
      <c r="G376" s="58" t="str">
        <f>IFERROR(IF(VLOOKUP($A376,'Annex 2 Designated EHV charges'!$A:$O,11,FALSE)=0,"",VLOOKUP($A376,'Annex 2 Designated EHV charges'!$A:$O,11,FALSE)),"")</f>
        <v/>
      </c>
      <c r="H376" s="48" t="str">
        <f>IFERROR(IF(VLOOKUP($A376,'Annex 2 Designated EHV charges'!$A:$O,12,FALSE)=0,"",VLOOKUP($A376,'Annex 2 Designated EHV charges'!$A:$O,12,FALSE)),"")</f>
        <v/>
      </c>
    </row>
    <row r="377" spans="1:8" x14ac:dyDescent="0.2">
      <c r="A377" s="48" t="str" cm="1">
        <f t="array" ref="A377">IFERROR(INDEX('Annex 2 Designated EHV charges'!$A$10:$A$401, MATCH(0, IF(ISBLANK('Annex 2 Designated EHV charges'!$A$10:$A$401),1, COUNTIF(A$4:$A376, 'Annex 2 Designated EHV charges'!$A$10:$A$401)), 0)),"")</f>
        <v/>
      </c>
      <c r="B377" s="48" t="str">
        <f>IF($A377="","",VLOOKUP($A377,'Annex 2 Designated EHV charges'!$A:$O,2,0))</f>
        <v/>
      </c>
      <c r="C377" s="56" t="str">
        <f>IF($A377="","",VLOOKUP($A377,'Annex 2 Designated EHV charges'!$A:$O,3,0))</f>
        <v/>
      </c>
      <c r="D377" s="56" t="str">
        <f>IF($A377="","",VLOOKUP($A377,'Annex 2 Designated EHV charges'!$A:$O,7,0))</f>
        <v/>
      </c>
      <c r="E377" s="57" t="str">
        <f>IFERROR(IF(VLOOKUP($A377,'Annex 2 Designated EHV charges'!$A:$O,9,FALSE)=0,"",VLOOKUP($A377,'Annex 2 Designated EHV charges'!$A:$O,9,FALSE)),"")</f>
        <v/>
      </c>
      <c r="F377" s="58" t="str">
        <f>IFERROR(IF(VLOOKUP($A377,'Annex 2 Designated EHV charges'!$A:$O,10,FALSE)=0,"",VLOOKUP($A377,'Annex 2 Designated EHV charges'!$A:$O,10,FALSE)),"")</f>
        <v/>
      </c>
      <c r="G377" s="58" t="str">
        <f>IFERROR(IF(VLOOKUP($A377,'Annex 2 Designated EHV charges'!$A:$O,11,FALSE)=0,"",VLOOKUP($A377,'Annex 2 Designated EHV charges'!$A:$O,11,FALSE)),"")</f>
        <v/>
      </c>
      <c r="H377" s="48" t="str">
        <f>IFERROR(IF(VLOOKUP($A377,'Annex 2 Designated EHV charges'!$A:$O,12,FALSE)=0,"",VLOOKUP($A377,'Annex 2 Designated EHV charges'!$A:$O,12,FALSE)),"")</f>
        <v/>
      </c>
    </row>
    <row r="378" spans="1:8" x14ac:dyDescent="0.2">
      <c r="A378" s="48" t="str" cm="1">
        <f t="array" ref="A378">IFERROR(INDEX('Annex 2 Designated EHV charges'!$A$10:$A$401, MATCH(0, IF(ISBLANK('Annex 2 Designated EHV charges'!$A$10:$A$401),1, COUNTIF(A$4:$A377, 'Annex 2 Designated EHV charges'!$A$10:$A$401)), 0)),"")</f>
        <v/>
      </c>
      <c r="B378" s="48" t="str">
        <f>IF($A378="","",VLOOKUP($A378,'Annex 2 Designated EHV charges'!$A:$O,2,0))</f>
        <v/>
      </c>
      <c r="C378" s="56" t="str">
        <f>IF($A378="","",VLOOKUP($A378,'Annex 2 Designated EHV charges'!$A:$O,3,0))</f>
        <v/>
      </c>
      <c r="D378" s="56" t="str">
        <f>IF($A378="","",VLOOKUP($A378,'Annex 2 Designated EHV charges'!$A:$O,7,0))</f>
        <v/>
      </c>
      <c r="E378" s="57" t="str">
        <f>IFERROR(IF(VLOOKUP($A378,'Annex 2 Designated EHV charges'!$A:$O,9,FALSE)=0,"",VLOOKUP($A378,'Annex 2 Designated EHV charges'!$A:$O,9,FALSE)),"")</f>
        <v/>
      </c>
      <c r="F378" s="58" t="str">
        <f>IFERROR(IF(VLOOKUP($A378,'Annex 2 Designated EHV charges'!$A:$O,10,FALSE)=0,"",VLOOKUP($A378,'Annex 2 Designated EHV charges'!$A:$O,10,FALSE)),"")</f>
        <v/>
      </c>
      <c r="G378" s="58" t="str">
        <f>IFERROR(IF(VLOOKUP($A378,'Annex 2 Designated EHV charges'!$A:$O,11,FALSE)=0,"",VLOOKUP($A378,'Annex 2 Designated EHV charges'!$A:$O,11,FALSE)),"")</f>
        <v/>
      </c>
      <c r="H378" s="48" t="str">
        <f>IFERROR(IF(VLOOKUP($A378,'Annex 2 Designated EHV charges'!$A:$O,12,FALSE)=0,"",VLOOKUP($A378,'Annex 2 Designated EHV charges'!$A:$O,12,FALSE)),"")</f>
        <v/>
      </c>
    </row>
    <row r="379" spans="1:8" x14ac:dyDescent="0.2">
      <c r="A379" s="48" t="str" cm="1">
        <f t="array" ref="A379">IFERROR(INDEX('Annex 2 Designated EHV charges'!$A$10:$A$401, MATCH(0, IF(ISBLANK('Annex 2 Designated EHV charges'!$A$10:$A$401),1, COUNTIF(A$4:$A378, 'Annex 2 Designated EHV charges'!$A$10:$A$401)), 0)),"")</f>
        <v/>
      </c>
      <c r="B379" s="48" t="str">
        <f>IF($A379="","",VLOOKUP($A379,'Annex 2 Designated EHV charges'!$A:$O,2,0))</f>
        <v/>
      </c>
      <c r="C379" s="56" t="str">
        <f>IF($A379="","",VLOOKUP($A379,'Annex 2 Designated EHV charges'!$A:$O,3,0))</f>
        <v/>
      </c>
      <c r="D379" s="56" t="str">
        <f>IF($A379="","",VLOOKUP($A379,'Annex 2 Designated EHV charges'!$A:$O,7,0))</f>
        <v/>
      </c>
      <c r="E379" s="57" t="str">
        <f>IFERROR(IF(VLOOKUP($A379,'Annex 2 Designated EHV charges'!$A:$O,9,FALSE)=0,"",VLOOKUP($A379,'Annex 2 Designated EHV charges'!$A:$O,9,FALSE)),"")</f>
        <v/>
      </c>
      <c r="F379" s="58" t="str">
        <f>IFERROR(IF(VLOOKUP($A379,'Annex 2 Designated EHV charges'!$A:$O,10,FALSE)=0,"",VLOOKUP($A379,'Annex 2 Designated EHV charges'!$A:$O,10,FALSE)),"")</f>
        <v/>
      </c>
      <c r="G379" s="58" t="str">
        <f>IFERROR(IF(VLOOKUP($A379,'Annex 2 Designated EHV charges'!$A:$O,11,FALSE)=0,"",VLOOKUP($A379,'Annex 2 Designated EHV charges'!$A:$O,11,FALSE)),"")</f>
        <v/>
      </c>
      <c r="H379" s="48" t="str">
        <f>IFERROR(IF(VLOOKUP($A379,'Annex 2 Designated EHV charges'!$A:$O,12,FALSE)=0,"",VLOOKUP($A379,'Annex 2 Designated EHV charges'!$A:$O,12,FALSE)),"")</f>
        <v/>
      </c>
    </row>
    <row r="380" spans="1:8" x14ac:dyDescent="0.2">
      <c r="A380" s="48" t="str" cm="1">
        <f t="array" ref="A380">IFERROR(INDEX('Annex 2 Designated EHV charges'!$A$10:$A$401, MATCH(0, IF(ISBLANK('Annex 2 Designated EHV charges'!$A$10:$A$401),1, COUNTIF(A$4:$A379, 'Annex 2 Designated EHV charges'!$A$10:$A$401)), 0)),"")</f>
        <v/>
      </c>
      <c r="B380" s="48" t="str">
        <f>IF($A380="","",VLOOKUP($A380,'Annex 2 Designated EHV charges'!$A:$O,2,0))</f>
        <v/>
      </c>
      <c r="C380" s="56" t="str">
        <f>IF($A380="","",VLOOKUP($A380,'Annex 2 Designated EHV charges'!$A:$O,3,0))</f>
        <v/>
      </c>
      <c r="D380" s="56" t="str">
        <f>IF($A380="","",VLOOKUP($A380,'Annex 2 Designated EHV charges'!$A:$O,7,0))</f>
        <v/>
      </c>
      <c r="E380" s="57" t="str">
        <f>IFERROR(IF(VLOOKUP($A380,'Annex 2 Designated EHV charges'!$A:$O,9,FALSE)=0,"",VLOOKUP($A380,'Annex 2 Designated EHV charges'!$A:$O,9,FALSE)),"")</f>
        <v/>
      </c>
      <c r="F380" s="58" t="str">
        <f>IFERROR(IF(VLOOKUP($A380,'Annex 2 Designated EHV charges'!$A:$O,10,FALSE)=0,"",VLOOKUP($A380,'Annex 2 Designated EHV charges'!$A:$O,10,FALSE)),"")</f>
        <v/>
      </c>
      <c r="G380" s="58" t="str">
        <f>IFERROR(IF(VLOOKUP($A380,'Annex 2 Designated EHV charges'!$A:$O,11,FALSE)=0,"",VLOOKUP($A380,'Annex 2 Designated EHV charges'!$A:$O,11,FALSE)),"")</f>
        <v/>
      </c>
      <c r="H380" s="48" t="str">
        <f>IFERROR(IF(VLOOKUP($A380,'Annex 2 Designated EHV charges'!$A:$O,12,FALSE)=0,"",VLOOKUP($A380,'Annex 2 Designated EHV charges'!$A:$O,12,FALSE)),"")</f>
        <v/>
      </c>
    </row>
    <row r="381" spans="1:8" x14ac:dyDescent="0.2">
      <c r="A381" s="48" t="str" cm="1">
        <f t="array" ref="A381">IFERROR(INDEX('Annex 2 Designated EHV charges'!$A$10:$A$401, MATCH(0, IF(ISBLANK('Annex 2 Designated EHV charges'!$A$10:$A$401),1, COUNTIF(A$4:$A380, 'Annex 2 Designated EHV charges'!$A$10:$A$401)), 0)),"")</f>
        <v/>
      </c>
      <c r="B381" s="48" t="str">
        <f>IF($A381="","",VLOOKUP($A381,'Annex 2 Designated EHV charges'!$A:$O,2,0))</f>
        <v/>
      </c>
      <c r="C381" s="56" t="str">
        <f>IF($A381="","",VLOOKUP($A381,'Annex 2 Designated EHV charges'!$A:$O,3,0))</f>
        <v/>
      </c>
      <c r="D381" s="56" t="str">
        <f>IF($A381="","",VLOOKUP($A381,'Annex 2 Designated EHV charges'!$A:$O,7,0))</f>
        <v/>
      </c>
      <c r="E381" s="57" t="str">
        <f>IFERROR(IF(VLOOKUP($A381,'Annex 2 Designated EHV charges'!$A:$O,9,FALSE)=0,"",VLOOKUP($A381,'Annex 2 Designated EHV charges'!$A:$O,9,FALSE)),"")</f>
        <v/>
      </c>
      <c r="F381" s="58" t="str">
        <f>IFERROR(IF(VLOOKUP($A381,'Annex 2 Designated EHV charges'!$A:$O,10,FALSE)=0,"",VLOOKUP($A381,'Annex 2 Designated EHV charges'!$A:$O,10,FALSE)),"")</f>
        <v/>
      </c>
      <c r="G381" s="58" t="str">
        <f>IFERROR(IF(VLOOKUP($A381,'Annex 2 Designated EHV charges'!$A:$O,11,FALSE)=0,"",VLOOKUP($A381,'Annex 2 Designated EHV charges'!$A:$O,11,FALSE)),"")</f>
        <v/>
      </c>
      <c r="H381" s="48" t="str">
        <f>IFERROR(IF(VLOOKUP($A381,'Annex 2 Designated EHV charges'!$A:$O,12,FALSE)=0,"",VLOOKUP($A381,'Annex 2 Designated EHV charges'!$A:$O,12,FALSE)),"")</f>
        <v/>
      </c>
    </row>
    <row r="382" spans="1:8" x14ac:dyDescent="0.2">
      <c r="A382" s="48" t="str" cm="1">
        <f t="array" ref="A382">IFERROR(INDEX('Annex 2 Designated EHV charges'!$A$10:$A$401, MATCH(0, IF(ISBLANK('Annex 2 Designated EHV charges'!$A$10:$A$401),1, COUNTIF(A$4:$A381, 'Annex 2 Designated EHV charges'!$A$10:$A$401)), 0)),"")</f>
        <v/>
      </c>
      <c r="B382" s="48" t="str">
        <f>IF($A382="","",VLOOKUP($A382,'Annex 2 Designated EHV charges'!$A:$O,2,0))</f>
        <v/>
      </c>
      <c r="C382" s="56" t="str">
        <f>IF($A382="","",VLOOKUP($A382,'Annex 2 Designated EHV charges'!$A:$O,3,0))</f>
        <v/>
      </c>
      <c r="D382" s="56" t="str">
        <f>IF($A382="","",VLOOKUP($A382,'Annex 2 Designated EHV charges'!$A:$O,7,0))</f>
        <v/>
      </c>
      <c r="E382" s="57" t="str">
        <f>IFERROR(IF(VLOOKUP($A382,'Annex 2 Designated EHV charges'!$A:$O,9,FALSE)=0,"",VLOOKUP($A382,'Annex 2 Designated EHV charges'!$A:$O,9,FALSE)),"")</f>
        <v/>
      </c>
      <c r="F382" s="58" t="str">
        <f>IFERROR(IF(VLOOKUP($A382,'Annex 2 Designated EHV charges'!$A:$O,10,FALSE)=0,"",VLOOKUP($A382,'Annex 2 Designated EHV charges'!$A:$O,10,FALSE)),"")</f>
        <v/>
      </c>
      <c r="G382" s="58" t="str">
        <f>IFERROR(IF(VLOOKUP($A382,'Annex 2 Designated EHV charges'!$A:$O,11,FALSE)=0,"",VLOOKUP($A382,'Annex 2 Designated EHV charges'!$A:$O,11,FALSE)),"")</f>
        <v/>
      </c>
      <c r="H382" s="48" t="str">
        <f>IFERROR(IF(VLOOKUP($A382,'Annex 2 Designated EHV charges'!$A:$O,12,FALSE)=0,"",VLOOKUP($A382,'Annex 2 Designated EHV charges'!$A:$O,12,FALSE)),"")</f>
        <v/>
      </c>
    </row>
    <row r="383" spans="1:8" x14ac:dyDescent="0.2">
      <c r="A383" s="48" t="str" cm="1">
        <f t="array" ref="A383">IFERROR(INDEX('Annex 2 Designated EHV charges'!$A$10:$A$401, MATCH(0, IF(ISBLANK('Annex 2 Designated EHV charges'!$A$10:$A$401),1, COUNTIF(A$4:$A382, 'Annex 2 Designated EHV charges'!$A$10:$A$401)), 0)),"")</f>
        <v/>
      </c>
      <c r="B383" s="48" t="str">
        <f>IF($A383="","",VLOOKUP($A383,'Annex 2 Designated EHV charges'!$A:$O,2,0))</f>
        <v/>
      </c>
      <c r="C383" s="56" t="str">
        <f>IF($A383="","",VLOOKUP($A383,'Annex 2 Designated EHV charges'!$A:$O,3,0))</f>
        <v/>
      </c>
      <c r="D383" s="56" t="str">
        <f>IF($A383="","",VLOOKUP($A383,'Annex 2 Designated EHV charges'!$A:$O,7,0))</f>
        <v/>
      </c>
      <c r="E383" s="57" t="str">
        <f>IFERROR(IF(VLOOKUP($A383,'Annex 2 Designated EHV charges'!$A:$O,9,FALSE)=0,"",VLOOKUP($A383,'Annex 2 Designated EHV charges'!$A:$O,9,FALSE)),"")</f>
        <v/>
      </c>
      <c r="F383" s="58" t="str">
        <f>IFERROR(IF(VLOOKUP($A383,'Annex 2 Designated EHV charges'!$A:$O,10,FALSE)=0,"",VLOOKUP($A383,'Annex 2 Designated EHV charges'!$A:$O,10,FALSE)),"")</f>
        <v/>
      </c>
      <c r="G383" s="58" t="str">
        <f>IFERROR(IF(VLOOKUP($A383,'Annex 2 Designated EHV charges'!$A:$O,11,FALSE)=0,"",VLOOKUP($A383,'Annex 2 Designated EHV charges'!$A:$O,11,FALSE)),"")</f>
        <v/>
      </c>
      <c r="H383" s="48" t="str">
        <f>IFERROR(IF(VLOOKUP($A383,'Annex 2 Designated EHV charges'!$A:$O,12,FALSE)=0,"",VLOOKUP($A383,'Annex 2 Designated EHV charges'!$A:$O,12,FALSE)),"")</f>
        <v/>
      </c>
    </row>
    <row r="384" spans="1:8" x14ac:dyDescent="0.2">
      <c r="A384" s="48" t="str" cm="1">
        <f t="array" ref="A384">IFERROR(INDEX('Annex 2 Designated EHV charges'!$A$10:$A$401, MATCH(0, IF(ISBLANK('Annex 2 Designated EHV charges'!$A$10:$A$401),1, COUNTIF(A$4:$A383, 'Annex 2 Designated EHV charges'!$A$10:$A$401)), 0)),"")</f>
        <v/>
      </c>
      <c r="B384" s="48" t="str">
        <f>IF($A384="","",VLOOKUP($A384,'Annex 2 Designated EHV charges'!$A:$O,2,0))</f>
        <v/>
      </c>
      <c r="C384" s="56" t="str">
        <f>IF($A384="","",VLOOKUP($A384,'Annex 2 Designated EHV charges'!$A:$O,3,0))</f>
        <v/>
      </c>
      <c r="D384" s="56" t="str">
        <f>IF($A384="","",VLOOKUP($A384,'Annex 2 Designated EHV charges'!$A:$O,7,0))</f>
        <v/>
      </c>
      <c r="E384" s="57" t="str">
        <f>IFERROR(IF(VLOOKUP($A384,'Annex 2 Designated EHV charges'!$A:$O,9,FALSE)=0,"",VLOOKUP($A384,'Annex 2 Designated EHV charges'!$A:$O,9,FALSE)),"")</f>
        <v/>
      </c>
      <c r="F384" s="58" t="str">
        <f>IFERROR(IF(VLOOKUP($A384,'Annex 2 Designated EHV charges'!$A:$O,10,FALSE)=0,"",VLOOKUP($A384,'Annex 2 Designated EHV charges'!$A:$O,10,FALSE)),"")</f>
        <v/>
      </c>
      <c r="G384" s="58" t="str">
        <f>IFERROR(IF(VLOOKUP($A384,'Annex 2 Designated EHV charges'!$A:$O,11,FALSE)=0,"",VLOOKUP($A384,'Annex 2 Designated EHV charges'!$A:$O,11,FALSE)),"")</f>
        <v/>
      </c>
      <c r="H384" s="48" t="str">
        <f>IFERROR(IF(VLOOKUP($A384,'Annex 2 Designated EHV charges'!$A:$O,12,FALSE)=0,"",VLOOKUP($A384,'Annex 2 Designated EHV charges'!$A:$O,12,FALSE)),"")</f>
        <v/>
      </c>
    </row>
    <row r="385" spans="1:8" x14ac:dyDescent="0.2">
      <c r="A385" s="48" t="str" cm="1">
        <f t="array" ref="A385">IFERROR(INDEX('Annex 2 Designated EHV charges'!$A$10:$A$401, MATCH(0, IF(ISBLANK('Annex 2 Designated EHV charges'!$A$10:$A$401),1, COUNTIF(A$4:$A384, 'Annex 2 Designated EHV charges'!$A$10:$A$401)), 0)),"")</f>
        <v/>
      </c>
      <c r="B385" s="48" t="str">
        <f>IF($A385="","",VLOOKUP($A385,'Annex 2 Designated EHV charges'!$A:$O,2,0))</f>
        <v/>
      </c>
      <c r="C385" s="56" t="str">
        <f>IF($A385="","",VLOOKUP($A385,'Annex 2 Designated EHV charges'!$A:$O,3,0))</f>
        <v/>
      </c>
      <c r="D385" s="56" t="str">
        <f>IF($A385="","",VLOOKUP($A385,'Annex 2 Designated EHV charges'!$A:$O,7,0))</f>
        <v/>
      </c>
      <c r="E385" s="57" t="str">
        <f>IFERROR(IF(VLOOKUP($A385,'Annex 2 Designated EHV charges'!$A:$O,9,FALSE)=0,"",VLOOKUP($A385,'Annex 2 Designated EHV charges'!$A:$O,9,FALSE)),"")</f>
        <v/>
      </c>
      <c r="F385" s="58" t="str">
        <f>IFERROR(IF(VLOOKUP($A385,'Annex 2 Designated EHV charges'!$A:$O,10,FALSE)=0,"",VLOOKUP($A385,'Annex 2 Designated EHV charges'!$A:$O,10,FALSE)),"")</f>
        <v/>
      </c>
      <c r="G385" s="58" t="str">
        <f>IFERROR(IF(VLOOKUP($A385,'Annex 2 Designated EHV charges'!$A:$O,11,FALSE)=0,"",VLOOKUP($A385,'Annex 2 Designated EHV charges'!$A:$O,11,FALSE)),"")</f>
        <v/>
      </c>
      <c r="H385" s="48" t="str">
        <f>IFERROR(IF(VLOOKUP($A385,'Annex 2 Designated EHV charges'!$A:$O,12,FALSE)=0,"",VLOOKUP($A385,'Annex 2 Designated EHV charges'!$A:$O,12,FALSE)),"")</f>
        <v/>
      </c>
    </row>
    <row r="386" spans="1:8" x14ac:dyDescent="0.2">
      <c r="A386" s="48" t="str" cm="1">
        <f t="array" ref="A386">IFERROR(INDEX('Annex 2 Designated EHV charges'!$A$10:$A$401, MATCH(0, IF(ISBLANK('Annex 2 Designated EHV charges'!$A$10:$A$401),1, COUNTIF(A$4:$A385, 'Annex 2 Designated EHV charges'!$A$10:$A$401)), 0)),"")</f>
        <v/>
      </c>
      <c r="B386" s="48" t="str">
        <f>IF($A386="","",VLOOKUP($A386,'Annex 2 Designated EHV charges'!$A:$O,2,0))</f>
        <v/>
      </c>
      <c r="C386" s="56" t="str">
        <f>IF($A386="","",VLOOKUP($A386,'Annex 2 Designated EHV charges'!$A:$O,3,0))</f>
        <v/>
      </c>
      <c r="D386" s="56" t="str">
        <f>IF($A386="","",VLOOKUP($A386,'Annex 2 Designated EHV charges'!$A:$O,7,0))</f>
        <v/>
      </c>
      <c r="E386" s="57" t="str">
        <f>IFERROR(IF(VLOOKUP($A386,'Annex 2 Designated EHV charges'!$A:$O,9,FALSE)=0,"",VLOOKUP($A386,'Annex 2 Designated EHV charges'!$A:$O,9,FALSE)),"")</f>
        <v/>
      </c>
      <c r="F386" s="58" t="str">
        <f>IFERROR(IF(VLOOKUP($A386,'Annex 2 Designated EHV charges'!$A:$O,10,FALSE)=0,"",VLOOKUP($A386,'Annex 2 Designated EHV charges'!$A:$O,10,FALSE)),"")</f>
        <v/>
      </c>
      <c r="G386" s="58" t="str">
        <f>IFERROR(IF(VLOOKUP($A386,'Annex 2 Designated EHV charges'!$A:$O,11,FALSE)=0,"",VLOOKUP($A386,'Annex 2 Designated EHV charges'!$A:$O,11,FALSE)),"")</f>
        <v/>
      </c>
      <c r="H386" s="48" t="str">
        <f>IFERROR(IF(VLOOKUP($A386,'Annex 2 Designated EHV charges'!$A:$O,12,FALSE)=0,"",VLOOKUP($A386,'Annex 2 Designated EHV charges'!$A:$O,12,FALSE)),"")</f>
        <v/>
      </c>
    </row>
    <row r="387" spans="1:8" x14ac:dyDescent="0.2">
      <c r="A387" s="48" t="str" cm="1">
        <f t="array" ref="A387">IFERROR(INDEX('Annex 2 Designated EHV charges'!$A$10:$A$401, MATCH(0, IF(ISBLANK('Annex 2 Designated EHV charges'!$A$10:$A$401),1, COUNTIF(A$4:$A386, 'Annex 2 Designated EHV charges'!$A$10:$A$401)), 0)),"")</f>
        <v/>
      </c>
      <c r="B387" s="48" t="str">
        <f>IF($A387="","",VLOOKUP($A387,'Annex 2 Designated EHV charges'!$A:$O,2,0))</f>
        <v/>
      </c>
      <c r="C387" s="56" t="str">
        <f>IF($A387="","",VLOOKUP($A387,'Annex 2 Designated EHV charges'!$A:$O,3,0))</f>
        <v/>
      </c>
      <c r="D387" s="56" t="str">
        <f>IF($A387="","",VLOOKUP($A387,'Annex 2 Designated EHV charges'!$A:$O,7,0))</f>
        <v/>
      </c>
      <c r="E387" s="57" t="str">
        <f>IFERROR(IF(VLOOKUP($A387,'Annex 2 Designated EHV charges'!$A:$O,9,FALSE)=0,"",VLOOKUP($A387,'Annex 2 Designated EHV charges'!$A:$O,9,FALSE)),"")</f>
        <v/>
      </c>
      <c r="F387" s="58" t="str">
        <f>IFERROR(IF(VLOOKUP($A387,'Annex 2 Designated EHV charges'!$A:$O,10,FALSE)=0,"",VLOOKUP($A387,'Annex 2 Designated EHV charges'!$A:$O,10,FALSE)),"")</f>
        <v/>
      </c>
      <c r="G387" s="58" t="str">
        <f>IFERROR(IF(VLOOKUP($A387,'Annex 2 Designated EHV charges'!$A:$O,11,FALSE)=0,"",VLOOKUP($A387,'Annex 2 Designated EHV charges'!$A:$O,11,FALSE)),"")</f>
        <v/>
      </c>
      <c r="H387" s="48" t="str">
        <f>IFERROR(IF(VLOOKUP($A387,'Annex 2 Designated EHV charges'!$A:$O,12,FALSE)=0,"",VLOOKUP($A387,'Annex 2 Designated EHV charges'!$A:$O,12,FALSE)),"")</f>
        <v/>
      </c>
    </row>
    <row r="388" spans="1:8" x14ac:dyDescent="0.2">
      <c r="A388" s="48" t="str" cm="1">
        <f t="array" ref="A388">IFERROR(INDEX('Annex 2 Designated EHV charges'!$A$10:$A$401, MATCH(0, IF(ISBLANK('Annex 2 Designated EHV charges'!$A$10:$A$401),1, COUNTIF(A$4:$A387, 'Annex 2 Designated EHV charges'!$A$10:$A$401)), 0)),"")</f>
        <v/>
      </c>
      <c r="B388" s="48" t="str">
        <f>IF($A388="","",VLOOKUP($A388,'Annex 2 Designated EHV charges'!$A:$O,2,0))</f>
        <v/>
      </c>
      <c r="C388" s="56" t="str">
        <f>IF($A388="","",VLOOKUP($A388,'Annex 2 Designated EHV charges'!$A:$O,3,0))</f>
        <v/>
      </c>
      <c r="D388" s="56" t="str">
        <f>IF($A388="","",VLOOKUP($A388,'Annex 2 Designated EHV charges'!$A:$O,7,0))</f>
        <v/>
      </c>
      <c r="E388" s="57" t="str">
        <f>IFERROR(IF(VLOOKUP($A388,'Annex 2 Designated EHV charges'!$A:$O,9,FALSE)=0,"",VLOOKUP($A388,'Annex 2 Designated EHV charges'!$A:$O,9,FALSE)),"")</f>
        <v/>
      </c>
      <c r="F388" s="58" t="str">
        <f>IFERROR(IF(VLOOKUP($A388,'Annex 2 Designated EHV charges'!$A:$O,10,FALSE)=0,"",VLOOKUP($A388,'Annex 2 Designated EHV charges'!$A:$O,10,FALSE)),"")</f>
        <v/>
      </c>
      <c r="G388" s="58" t="str">
        <f>IFERROR(IF(VLOOKUP($A388,'Annex 2 Designated EHV charges'!$A:$O,11,FALSE)=0,"",VLOOKUP($A388,'Annex 2 Designated EHV charges'!$A:$O,11,FALSE)),"")</f>
        <v/>
      </c>
      <c r="H388" s="48" t="str">
        <f>IFERROR(IF(VLOOKUP($A388,'Annex 2 Designated EHV charges'!$A:$O,12,FALSE)=0,"",VLOOKUP($A388,'Annex 2 Designated EHV charges'!$A:$O,12,FALSE)),"")</f>
        <v/>
      </c>
    </row>
    <row r="389" spans="1:8" x14ac:dyDescent="0.2">
      <c r="A389" s="48" t="str" cm="1">
        <f t="array" ref="A389">IFERROR(INDEX('Annex 2 Designated EHV charges'!$A$10:$A$401, MATCH(0, IF(ISBLANK('Annex 2 Designated EHV charges'!$A$10:$A$401),1, COUNTIF(A$4:$A388, 'Annex 2 Designated EHV charges'!$A$10:$A$401)), 0)),"")</f>
        <v/>
      </c>
      <c r="B389" s="48" t="str">
        <f>IF($A389="","",VLOOKUP($A389,'Annex 2 Designated EHV charges'!$A:$O,2,0))</f>
        <v/>
      </c>
      <c r="C389" s="56" t="str">
        <f>IF($A389="","",VLOOKUP($A389,'Annex 2 Designated EHV charges'!$A:$O,3,0))</f>
        <v/>
      </c>
      <c r="D389" s="56" t="str">
        <f>IF($A389="","",VLOOKUP($A389,'Annex 2 Designated EHV charges'!$A:$O,7,0))</f>
        <v/>
      </c>
      <c r="E389" s="57" t="str">
        <f>IFERROR(IF(VLOOKUP($A389,'Annex 2 Designated EHV charges'!$A:$O,9,FALSE)=0,"",VLOOKUP($A389,'Annex 2 Designated EHV charges'!$A:$O,9,FALSE)),"")</f>
        <v/>
      </c>
      <c r="F389" s="58" t="str">
        <f>IFERROR(IF(VLOOKUP($A389,'Annex 2 Designated EHV charges'!$A:$O,10,FALSE)=0,"",VLOOKUP($A389,'Annex 2 Designated EHV charges'!$A:$O,10,FALSE)),"")</f>
        <v/>
      </c>
      <c r="G389" s="58" t="str">
        <f>IFERROR(IF(VLOOKUP($A389,'Annex 2 Designated EHV charges'!$A:$O,11,FALSE)=0,"",VLOOKUP($A389,'Annex 2 Designated EHV charges'!$A:$O,11,FALSE)),"")</f>
        <v/>
      </c>
      <c r="H389" s="48" t="str">
        <f>IFERROR(IF(VLOOKUP($A389,'Annex 2 Designated EHV charges'!$A:$O,12,FALSE)=0,"",VLOOKUP($A389,'Annex 2 Designated EHV charges'!$A:$O,12,FALSE)),"")</f>
        <v/>
      </c>
    </row>
    <row r="390" spans="1:8" x14ac:dyDescent="0.2">
      <c r="A390" s="48" t="str" cm="1">
        <f t="array" ref="A390">IFERROR(INDEX('Annex 2 Designated EHV charges'!$A$10:$A$401, MATCH(0, IF(ISBLANK('Annex 2 Designated EHV charges'!$A$10:$A$401),1, COUNTIF(A$4:$A389, 'Annex 2 Designated EHV charges'!$A$10:$A$401)), 0)),"")</f>
        <v/>
      </c>
      <c r="B390" s="48" t="str">
        <f>IF($A390="","",VLOOKUP($A390,'Annex 2 Designated EHV charges'!$A:$O,2,0))</f>
        <v/>
      </c>
      <c r="C390" s="56" t="str">
        <f>IF($A390="","",VLOOKUP($A390,'Annex 2 Designated EHV charges'!$A:$O,3,0))</f>
        <v/>
      </c>
      <c r="D390" s="56" t="str">
        <f>IF($A390="","",VLOOKUP($A390,'Annex 2 Designated EHV charges'!$A:$O,7,0))</f>
        <v/>
      </c>
      <c r="E390" s="57" t="str">
        <f>IFERROR(IF(VLOOKUP($A390,'Annex 2 Designated EHV charges'!$A:$O,9,FALSE)=0,"",VLOOKUP($A390,'Annex 2 Designated EHV charges'!$A:$O,9,FALSE)),"")</f>
        <v/>
      </c>
      <c r="F390" s="58" t="str">
        <f>IFERROR(IF(VLOOKUP($A390,'Annex 2 Designated EHV charges'!$A:$O,10,FALSE)=0,"",VLOOKUP($A390,'Annex 2 Designated EHV charges'!$A:$O,10,FALSE)),"")</f>
        <v/>
      </c>
      <c r="G390" s="58" t="str">
        <f>IFERROR(IF(VLOOKUP($A390,'Annex 2 Designated EHV charges'!$A:$O,11,FALSE)=0,"",VLOOKUP($A390,'Annex 2 Designated EHV charges'!$A:$O,11,FALSE)),"")</f>
        <v/>
      </c>
      <c r="H390" s="48" t="str">
        <f>IFERROR(IF(VLOOKUP($A390,'Annex 2 Designated EHV charges'!$A:$O,12,FALSE)=0,"",VLOOKUP($A390,'Annex 2 Designated EHV charges'!$A:$O,12,FALSE)),"")</f>
        <v/>
      </c>
    </row>
    <row r="391" spans="1:8" x14ac:dyDescent="0.2">
      <c r="A391" s="48" t="str" cm="1">
        <f t="array" ref="A391">IFERROR(INDEX('Annex 2 Designated EHV charges'!$A$10:$A$401, MATCH(0, IF(ISBLANK('Annex 2 Designated EHV charges'!$A$10:$A$401),1, COUNTIF(A$4:$A390, 'Annex 2 Designated EHV charges'!$A$10:$A$401)), 0)),"")</f>
        <v/>
      </c>
      <c r="B391" s="48" t="str">
        <f>IF($A391="","",VLOOKUP($A391,'Annex 2 Designated EHV charges'!$A:$O,2,0))</f>
        <v/>
      </c>
      <c r="C391" s="56" t="str">
        <f>IF($A391="","",VLOOKUP($A391,'Annex 2 Designated EHV charges'!$A:$O,3,0))</f>
        <v/>
      </c>
      <c r="D391" s="56" t="str">
        <f>IF($A391="","",VLOOKUP($A391,'Annex 2 Designated EHV charges'!$A:$O,7,0))</f>
        <v/>
      </c>
      <c r="E391" s="57" t="str">
        <f>IFERROR(IF(VLOOKUP($A391,'Annex 2 Designated EHV charges'!$A:$O,9,FALSE)=0,"",VLOOKUP($A391,'Annex 2 Designated EHV charges'!$A:$O,9,FALSE)),"")</f>
        <v/>
      </c>
      <c r="F391" s="58" t="str">
        <f>IFERROR(IF(VLOOKUP($A391,'Annex 2 Designated EHV charges'!$A:$O,10,FALSE)=0,"",VLOOKUP($A391,'Annex 2 Designated EHV charges'!$A:$O,10,FALSE)),"")</f>
        <v/>
      </c>
      <c r="G391" s="58" t="str">
        <f>IFERROR(IF(VLOOKUP($A391,'Annex 2 Designated EHV charges'!$A:$O,11,FALSE)=0,"",VLOOKUP($A391,'Annex 2 Designated EHV charges'!$A:$O,11,FALSE)),"")</f>
        <v/>
      </c>
      <c r="H391" s="48" t="str">
        <f>IFERROR(IF(VLOOKUP($A391,'Annex 2 Designated EHV charges'!$A:$O,12,FALSE)=0,"",VLOOKUP($A391,'Annex 2 Designated EHV charges'!$A:$O,12,FALSE)),"")</f>
        <v/>
      </c>
    </row>
    <row r="392" spans="1:8" x14ac:dyDescent="0.2">
      <c r="A392" s="48" t="str" cm="1">
        <f t="array" ref="A392">IFERROR(INDEX('Annex 2 Designated EHV charges'!$A$10:$A$401, MATCH(0, IF(ISBLANK('Annex 2 Designated EHV charges'!$A$10:$A$401),1, COUNTIF(A$4:$A391, 'Annex 2 Designated EHV charges'!$A$10:$A$401)), 0)),"")</f>
        <v/>
      </c>
      <c r="B392" s="48" t="str">
        <f>IF($A392="","",VLOOKUP($A392,'Annex 2 Designated EHV charges'!$A:$O,2,0))</f>
        <v/>
      </c>
      <c r="C392" s="56" t="str">
        <f>IF($A392="","",VLOOKUP($A392,'Annex 2 Designated EHV charges'!$A:$O,3,0))</f>
        <v/>
      </c>
      <c r="D392" s="56" t="str">
        <f>IF($A392="","",VLOOKUP($A392,'Annex 2 Designated EHV charges'!$A:$O,7,0))</f>
        <v/>
      </c>
      <c r="E392" s="57" t="str">
        <f>IFERROR(IF(VLOOKUP($A392,'Annex 2 Designated EHV charges'!$A:$O,9,FALSE)=0,"",VLOOKUP($A392,'Annex 2 Designated EHV charges'!$A:$O,9,FALSE)),"")</f>
        <v/>
      </c>
      <c r="F392" s="58" t="str">
        <f>IFERROR(IF(VLOOKUP($A392,'Annex 2 Designated EHV charges'!$A:$O,10,FALSE)=0,"",VLOOKUP($A392,'Annex 2 Designated EHV charges'!$A:$O,10,FALSE)),"")</f>
        <v/>
      </c>
      <c r="G392" s="58" t="str">
        <f>IFERROR(IF(VLOOKUP($A392,'Annex 2 Designated EHV charges'!$A:$O,11,FALSE)=0,"",VLOOKUP($A392,'Annex 2 Designated EHV charges'!$A:$O,11,FALSE)),"")</f>
        <v/>
      </c>
      <c r="H392" s="48" t="str">
        <f>IFERROR(IF(VLOOKUP($A392,'Annex 2 Designated EHV charges'!$A:$O,12,FALSE)=0,"",VLOOKUP($A392,'Annex 2 Designated EHV charges'!$A:$O,12,FALSE)),"")</f>
        <v/>
      </c>
    </row>
    <row r="393" spans="1:8" x14ac:dyDescent="0.2">
      <c r="A393" s="48" t="str" cm="1">
        <f t="array" ref="A393">IFERROR(INDEX('Annex 2 Designated EHV charges'!$A$10:$A$401, MATCH(0, IF(ISBLANK('Annex 2 Designated EHV charges'!$A$10:$A$401),1, COUNTIF(A$4:$A392, 'Annex 2 Designated EHV charges'!$A$10:$A$401)), 0)),"")</f>
        <v/>
      </c>
      <c r="B393" s="48" t="str">
        <f>IF($A393="","",VLOOKUP($A393,'Annex 2 Designated EHV charges'!$A:$O,2,0))</f>
        <v/>
      </c>
      <c r="C393" s="56" t="str">
        <f>IF($A393="","",VLOOKUP($A393,'Annex 2 Designated EHV charges'!$A:$O,3,0))</f>
        <v/>
      </c>
      <c r="D393" s="56" t="str">
        <f>IF($A393="","",VLOOKUP($A393,'Annex 2 Designated EHV charges'!$A:$O,7,0))</f>
        <v/>
      </c>
      <c r="E393" s="57" t="str">
        <f>IFERROR(IF(VLOOKUP($A393,'Annex 2 Designated EHV charges'!$A:$O,9,FALSE)=0,"",VLOOKUP($A393,'Annex 2 Designated EHV charges'!$A:$O,9,FALSE)),"")</f>
        <v/>
      </c>
      <c r="F393" s="58" t="str">
        <f>IFERROR(IF(VLOOKUP($A393,'Annex 2 Designated EHV charges'!$A:$O,10,FALSE)=0,"",VLOOKUP($A393,'Annex 2 Designated EHV charges'!$A:$O,10,FALSE)),"")</f>
        <v/>
      </c>
      <c r="G393" s="58" t="str">
        <f>IFERROR(IF(VLOOKUP($A393,'Annex 2 Designated EHV charges'!$A:$O,11,FALSE)=0,"",VLOOKUP($A393,'Annex 2 Designated EHV charges'!$A:$O,11,FALSE)),"")</f>
        <v/>
      </c>
      <c r="H393" s="48" t="str">
        <f>IFERROR(IF(VLOOKUP($A393,'Annex 2 Designated EHV charges'!$A:$O,12,FALSE)=0,"",VLOOKUP($A393,'Annex 2 Designated EHV charges'!$A:$O,12,FALSE)),"")</f>
        <v/>
      </c>
    </row>
    <row r="394" spans="1:8" x14ac:dyDescent="0.2">
      <c r="A394" s="48" t="str" cm="1">
        <f t="array" ref="A394">IFERROR(INDEX('Annex 2 Designated EHV charges'!$A$10:$A$401, MATCH(0, IF(ISBLANK('Annex 2 Designated EHV charges'!$A$10:$A$401),1, COUNTIF(A$4:$A393, 'Annex 2 Designated EHV charges'!$A$10:$A$401)), 0)),"")</f>
        <v/>
      </c>
      <c r="B394" s="48" t="str">
        <f>IF($A394="","",VLOOKUP($A394,'Annex 2 Designated EHV charges'!$A:$O,2,0))</f>
        <v/>
      </c>
      <c r="C394" s="56" t="str">
        <f>IF($A394="","",VLOOKUP($A394,'Annex 2 Designated EHV charges'!$A:$O,3,0))</f>
        <v/>
      </c>
      <c r="D394" s="56" t="str">
        <f>IF($A394="","",VLOOKUP($A394,'Annex 2 Designated EHV charges'!$A:$O,7,0))</f>
        <v/>
      </c>
      <c r="E394" s="57" t="str">
        <f>IFERROR(IF(VLOOKUP($A394,'Annex 2 Designated EHV charges'!$A:$O,9,FALSE)=0,"",VLOOKUP($A394,'Annex 2 Designated EHV charges'!$A:$O,9,FALSE)),"")</f>
        <v/>
      </c>
      <c r="F394" s="58" t="str">
        <f>IFERROR(IF(VLOOKUP($A394,'Annex 2 Designated EHV charges'!$A:$O,10,FALSE)=0,"",VLOOKUP($A394,'Annex 2 Designated EHV charges'!$A:$O,10,FALSE)),"")</f>
        <v/>
      </c>
      <c r="G394" s="58" t="str">
        <f>IFERROR(IF(VLOOKUP($A394,'Annex 2 Designated EHV charges'!$A:$O,11,FALSE)=0,"",VLOOKUP($A394,'Annex 2 Designated EHV charges'!$A:$O,11,FALSE)),"")</f>
        <v/>
      </c>
      <c r="H394" s="48" t="str">
        <f>IFERROR(IF(VLOOKUP($A394,'Annex 2 Designated EHV charges'!$A:$O,12,FALSE)=0,"",VLOOKUP($A394,'Annex 2 Designated EHV charges'!$A:$O,12,FALSE)),"")</f>
        <v/>
      </c>
    </row>
    <row r="395" spans="1:8" x14ac:dyDescent="0.2">
      <c r="A395" s="48" t="str" cm="1">
        <f t="array" ref="A395">IFERROR(INDEX('Annex 2 Designated EHV charges'!$A$10:$A$401, MATCH(0, IF(ISBLANK('Annex 2 Designated EHV charges'!$A$10:$A$401),1, COUNTIF(A$4:$A394, 'Annex 2 Designated EHV charges'!$A$10:$A$401)), 0)),"")</f>
        <v/>
      </c>
      <c r="B395" s="48" t="str">
        <f>IF($A395="","",VLOOKUP($A395,'Annex 2 Designated EHV charges'!$A:$O,2,0))</f>
        <v/>
      </c>
      <c r="C395" s="56" t="str">
        <f>IF($A395="","",VLOOKUP($A395,'Annex 2 Designated EHV charges'!$A:$O,3,0))</f>
        <v/>
      </c>
      <c r="D395" s="56" t="str">
        <f>IF($A395="","",VLOOKUP($A395,'Annex 2 Designated EHV charges'!$A:$O,7,0))</f>
        <v/>
      </c>
      <c r="E395" s="57" t="str">
        <f>IFERROR(IF(VLOOKUP($A395,'Annex 2 Designated EHV charges'!$A:$O,9,FALSE)=0,"",VLOOKUP($A395,'Annex 2 Designated EHV charges'!$A:$O,9,FALSE)),"")</f>
        <v/>
      </c>
      <c r="F395" s="58" t="str">
        <f>IFERROR(IF(VLOOKUP($A395,'Annex 2 Designated EHV charges'!$A:$O,10,FALSE)=0,"",VLOOKUP($A395,'Annex 2 Designated EHV charges'!$A:$O,10,FALSE)),"")</f>
        <v/>
      </c>
      <c r="G395" s="58" t="str">
        <f>IFERROR(IF(VLOOKUP($A395,'Annex 2 Designated EHV charges'!$A:$O,11,FALSE)=0,"",VLOOKUP($A395,'Annex 2 Designated EHV charges'!$A:$O,11,FALSE)),"")</f>
        <v/>
      </c>
      <c r="H395" s="48" t="str">
        <f>IFERROR(IF(VLOOKUP($A395,'Annex 2 Designated EHV charges'!$A:$O,12,FALSE)=0,"",VLOOKUP($A395,'Annex 2 Designated EHV charges'!$A:$O,12,FALSE)),"")</f>
        <v/>
      </c>
    </row>
    <row r="396" spans="1:8" x14ac:dyDescent="0.2">
      <c r="A396" s="48" t="str" cm="1">
        <f t="array" ref="A396">IFERROR(INDEX('Annex 2 Designated EHV charges'!$A$10:$A$401, MATCH(0, IF(ISBLANK('Annex 2 Designated EHV charges'!$A$10:$A$401),1, COUNTIF(A$4:$A395, 'Annex 2 Designated EHV charges'!$A$10:$A$401)), 0)),"")</f>
        <v/>
      </c>
      <c r="B396" s="48" t="str">
        <f>IF($A396="","",VLOOKUP($A396,'Annex 2 Designated EHV charges'!$A:$O,2,0))</f>
        <v/>
      </c>
      <c r="C396" s="56" t="str">
        <f>IF($A396="","",VLOOKUP($A396,'Annex 2 Designated EHV charges'!$A:$O,3,0))</f>
        <v/>
      </c>
      <c r="D396" s="56" t="str">
        <f>IF($A396="","",VLOOKUP($A396,'Annex 2 Designated EHV charges'!$A:$O,7,0))</f>
        <v/>
      </c>
      <c r="E396" s="57" t="str">
        <f>IFERROR(IF(VLOOKUP($A396,'Annex 2 Designated EHV charges'!$A:$O,9,FALSE)=0,"",VLOOKUP($A396,'Annex 2 Designated EHV charges'!$A:$O,9,FALSE)),"")</f>
        <v/>
      </c>
      <c r="F396" s="58" t="str">
        <f>IFERROR(IF(VLOOKUP($A396,'Annex 2 Designated EHV charges'!$A:$O,10,FALSE)=0,"",VLOOKUP($A396,'Annex 2 Designated EHV charges'!$A:$O,10,FALSE)),"")</f>
        <v/>
      </c>
      <c r="G396" s="58" t="str">
        <f>IFERROR(IF(VLOOKUP($A396,'Annex 2 Designated EHV charges'!$A:$O,11,FALSE)=0,"",VLOOKUP($A396,'Annex 2 Designated EHV charges'!$A:$O,11,FALSE)),"")</f>
        <v/>
      </c>
      <c r="H396" s="48" t="str">
        <f>IFERROR(IF(VLOOKUP($A396,'Annex 2 Designated EHV charges'!$A:$O,12,FALSE)=0,"",VLOOKUP($A396,'Annex 2 Designated EHV charges'!$A:$O,12,FALSE)),"")</f>
        <v/>
      </c>
    </row>
    <row r="397" spans="1:8" x14ac:dyDescent="0.2">
      <c r="A397" s="48" t="str" cm="1">
        <f t="array" ref="A397">IFERROR(INDEX('Annex 2 Designated EHV charges'!$A$10:$A$401, MATCH(0, IF(ISBLANK('Annex 2 Designated EHV charges'!$A$10:$A$401),1, COUNTIF(A$4:$A396, 'Annex 2 Designated EHV charges'!$A$10:$A$401)), 0)),"")</f>
        <v/>
      </c>
      <c r="B397" s="48" t="str">
        <f>IF($A397="","",VLOOKUP($A397,'Annex 2 Designated EHV charges'!$A:$O,2,0))</f>
        <v/>
      </c>
      <c r="C397" s="56" t="str">
        <f>IF($A397="","",VLOOKUP($A397,'Annex 2 Designated EHV charges'!$A:$O,3,0))</f>
        <v/>
      </c>
      <c r="D397" s="56" t="str">
        <f>IF($A397="","",VLOOKUP($A397,'Annex 2 Designated EHV charges'!$A:$O,7,0))</f>
        <v/>
      </c>
      <c r="E397" s="57" t="str">
        <f>IFERROR(IF(VLOOKUP($A397,'Annex 2 Designated EHV charges'!$A:$O,9,FALSE)=0,"",VLOOKUP($A397,'Annex 2 Designated EHV charges'!$A:$O,9,FALSE)),"")</f>
        <v/>
      </c>
      <c r="F397" s="58" t="str">
        <f>IFERROR(IF(VLOOKUP($A397,'Annex 2 Designated EHV charges'!$A:$O,10,FALSE)=0,"",VLOOKUP($A397,'Annex 2 Designated EHV charges'!$A:$O,10,FALSE)),"")</f>
        <v/>
      </c>
      <c r="G397" s="58" t="str">
        <f>IFERROR(IF(VLOOKUP($A397,'Annex 2 Designated EHV charges'!$A:$O,11,FALSE)=0,"",VLOOKUP($A397,'Annex 2 Designated EHV charges'!$A:$O,11,FALSE)),"")</f>
        <v/>
      </c>
      <c r="H397" s="48" t="str">
        <f>IFERROR(IF(VLOOKUP($A397,'Annex 2 Designated EHV charges'!$A:$O,12,FALSE)=0,"",VLOOKUP($A397,'Annex 2 Designated EHV charges'!$A:$O,12,FALSE)),"")</f>
        <v/>
      </c>
    </row>
    <row r="398" spans="1:8" x14ac:dyDescent="0.2">
      <c r="A398" s="48" t="str" cm="1">
        <f t="array" ref="A398">IFERROR(INDEX('Annex 2 Designated EHV charges'!$A$10:$A$401, MATCH(0, IF(ISBLANK('Annex 2 Designated EHV charges'!$A$10:$A$401),1, COUNTIF(A$4:$A397, 'Annex 2 Designated EHV charges'!$A$10:$A$401)), 0)),"")</f>
        <v/>
      </c>
      <c r="B398" s="48" t="str">
        <f>IF($A398="","",VLOOKUP($A398,'Annex 2 Designated EHV charges'!$A:$O,2,0))</f>
        <v/>
      </c>
      <c r="C398" s="56" t="str">
        <f>IF($A398="","",VLOOKUP($A398,'Annex 2 Designated EHV charges'!$A:$O,3,0))</f>
        <v/>
      </c>
      <c r="D398" s="56" t="str">
        <f>IF($A398="","",VLOOKUP($A398,'Annex 2 Designated EHV charges'!$A:$O,7,0))</f>
        <v/>
      </c>
      <c r="E398" s="57" t="str">
        <f>IFERROR(IF(VLOOKUP($A398,'Annex 2 Designated EHV charges'!$A:$O,9,FALSE)=0,"",VLOOKUP($A398,'Annex 2 Designated EHV charges'!$A:$O,9,FALSE)),"")</f>
        <v/>
      </c>
      <c r="F398" s="58" t="str">
        <f>IFERROR(IF(VLOOKUP($A398,'Annex 2 Designated EHV charges'!$A:$O,10,FALSE)=0,"",VLOOKUP($A398,'Annex 2 Designated EHV charges'!$A:$O,10,FALSE)),"")</f>
        <v/>
      </c>
      <c r="G398" s="58" t="str">
        <f>IFERROR(IF(VLOOKUP($A398,'Annex 2 Designated EHV charges'!$A:$O,11,FALSE)=0,"",VLOOKUP($A398,'Annex 2 Designated EHV charges'!$A:$O,11,FALSE)),"")</f>
        <v/>
      </c>
      <c r="H398" s="48" t="str">
        <f>IFERROR(IF(VLOOKUP($A398,'Annex 2 Designated EHV charges'!$A:$O,12,FALSE)=0,"",VLOOKUP($A398,'Annex 2 Designated EHV charges'!$A:$O,12,FALSE)),"")</f>
        <v/>
      </c>
    </row>
    <row r="399" spans="1:8" x14ac:dyDescent="0.2">
      <c r="A399" s="48" t="str" cm="1">
        <f t="array" ref="A399">IFERROR(INDEX('Annex 2 Designated EHV charges'!$A$10:$A$401, MATCH(0, IF(ISBLANK('Annex 2 Designated EHV charges'!$A$10:$A$401),1, COUNTIF(A$4:$A398, 'Annex 2 Designated EHV charges'!$A$10:$A$401)), 0)),"")</f>
        <v/>
      </c>
      <c r="B399" s="48" t="str">
        <f>IF($A399="","",VLOOKUP($A399,'Annex 2 Designated EHV charges'!$A:$O,2,0))</f>
        <v/>
      </c>
      <c r="C399" s="56" t="str">
        <f>IF($A399="","",VLOOKUP($A399,'Annex 2 Designated EHV charges'!$A:$O,3,0))</f>
        <v/>
      </c>
      <c r="D399" s="56" t="str">
        <f>IF($A399="","",VLOOKUP($A399,'Annex 2 Designated EHV charges'!$A:$O,7,0))</f>
        <v/>
      </c>
      <c r="E399" s="57" t="str">
        <f>IFERROR(IF(VLOOKUP($A399,'Annex 2 Designated EHV charges'!$A:$O,9,FALSE)=0,"",VLOOKUP($A399,'Annex 2 Designated EHV charges'!$A:$O,9,FALSE)),"")</f>
        <v/>
      </c>
      <c r="F399" s="58" t="str">
        <f>IFERROR(IF(VLOOKUP($A399,'Annex 2 Designated EHV charges'!$A:$O,10,FALSE)=0,"",VLOOKUP($A399,'Annex 2 Designated EHV charges'!$A:$O,10,FALSE)),"")</f>
        <v/>
      </c>
      <c r="G399" s="58" t="str">
        <f>IFERROR(IF(VLOOKUP($A399,'Annex 2 Designated EHV charges'!$A:$O,11,FALSE)=0,"",VLOOKUP($A399,'Annex 2 Designated EHV charges'!$A:$O,11,FALSE)),"")</f>
        <v/>
      </c>
      <c r="H399" s="48" t="str">
        <f>IFERROR(IF(VLOOKUP($A399,'Annex 2 Designated EHV charges'!$A:$O,12,FALSE)=0,"",VLOOKUP($A399,'Annex 2 Designated EHV charges'!$A:$O,12,FALSE)),"")</f>
        <v/>
      </c>
    </row>
    <row r="400" spans="1:8" x14ac:dyDescent="0.2">
      <c r="A400" s="48" t="str" cm="1">
        <f t="array" ref="A400">IFERROR(INDEX('Annex 2 Designated EHV charges'!$A$10:$A$401, MATCH(0, IF(ISBLANK('Annex 2 Designated EHV charges'!$A$10:$A$401),1, COUNTIF(A$4:$A399, 'Annex 2 Designated EHV charges'!$A$10:$A$401)), 0)),"")</f>
        <v/>
      </c>
      <c r="B400" s="48" t="str">
        <f>IF($A400="","",VLOOKUP($A400,'Annex 2 Designated EHV charges'!$A:$O,2,0))</f>
        <v/>
      </c>
      <c r="C400" s="56" t="str">
        <f>IF($A400="","",VLOOKUP($A400,'Annex 2 Designated EHV charges'!$A:$O,3,0))</f>
        <v/>
      </c>
      <c r="D400" s="56" t="str">
        <f>IF($A400="","",VLOOKUP($A400,'Annex 2 Designated EHV charges'!$A:$O,7,0))</f>
        <v/>
      </c>
      <c r="E400" s="57" t="str">
        <f>IFERROR(IF(VLOOKUP($A400,'Annex 2 Designated EHV charges'!$A:$O,9,FALSE)=0,"",VLOOKUP($A400,'Annex 2 Designated EHV charges'!$A:$O,9,FALSE)),"")</f>
        <v/>
      </c>
      <c r="F400" s="58" t="str">
        <f>IFERROR(IF(VLOOKUP($A400,'Annex 2 Designated EHV charges'!$A:$O,10,FALSE)=0,"",VLOOKUP($A400,'Annex 2 Designated EHV charges'!$A:$O,10,FALSE)),"")</f>
        <v/>
      </c>
      <c r="G400" s="58" t="str">
        <f>IFERROR(IF(VLOOKUP($A400,'Annex 2 Designated EHV charges'!$A:$O,11,FALSE)=0,"",VLOOKUP($A400,'Annex 2 Designated EHV charges'!$A:$O,11,FALSE)),"")</f>
        <v/>
      </c>
      <c r="H400" s="48" t="str">
        <f>IFERROR(IF(VLOOKUP($A400,'Annex 2 Designated EHV charges'!$A:$O,12,FALSE)=0,"",VLOOKUP($A400,'Annex 2 Designated EHV charges'!$A:$O,12,FALSE)),"")</f>
        <v/>
      </c>
    </row>
    <row r="401" spans="1:8" x14ac:dyDescent="0.2">
      <c r="A401" s="48" t="str" cm="1">
        <f t="array" ref="A401">IFERROR(INDEX('Annex 2 Designated EHV charges'!$A$10:$A$401, MATCH(0, IF(ISBLANK('Annex 2 Designated EHV charges'!$A$10:$A$401),1, COUNTIF(A$4:$A400, 'Annex 2 Designated EHV charges'!$A$10:$A$401)), 0)),"")</f>
        <v/>
      </c>
      <c r="B401" s="48" t="str">
        <f>IF($A401="","",VLOOKUP($A401,'Annex 2 Designated EHV charges'!$A:$O,2,0))</f>
        <v/>
      </c>
      <c r="C401" s="56" t="str">
        <f>IF($A401="","",VLOOKUP($A401,'Annex 2 Designated EHV charges'!$A:$O,3,0))</f>
        <v/>
      </c>
      <c r="D401" s="56" t="str">
        <f>IF($A401="","",VLOOKUP($A401,'Annex 2 Designated EHV charges'!$A:$O,7,0))</f>
        <v/>
      </c>
      <c r="E401" s="57" t="str">
        <f>IFERROR(IF(VLOOKUP($A401,'Annex 2 Designated EHV charges'!$A:$O,9,FALSE)=0,"",VLOOKUP($A401,'Annex 2 Designated EHV charges'!$A:$O,9,FALSE)),"")</f>
        <v/>
      </c>
      <c r="F401" s="58" t="str">
        <f>IFERROR(IF(VLOOKUP($A401,'Annex 2 Designated EHV charges'!$A:$O,10,FALSE)=0,"",VLOOKUP($A401,'Annex 2 Designated EHV charges'!$A:$O,10,FALSE)),"")</f>
        <v/>
      </c>
      <c r="G401" s="58" t="str">
        <f>IFERROR(IF(VLOOKUP($A401,'Annex 2 Designated EHV charges'!$A:$O,11,FALSE)=0,"",VLOOKUP($A401,'Annex 2 Designated EHV charges'!$A:$O,11,FALSE)),"")</f>
        <v/>
      </c>
      <c r="H401" s="48" t="str">
        <f>IFERROR(IF(VLOOKUP($A401,'Annex 2 Designated EHV charges'!$A:$O,12,FALSE)=0,"",VLOOKUP($A401,'Annex 2 Designated EHV charges'!$A:$O,12,FALSE)),"")</f>
        <v/>
      </c>
    </row>
    <row r="402" spans="1:8" x14ac:dyDescent="0.2">
      <c r="A402" s="48" t="str" cm="1">
        <f t="array" ref="A402">IFERROR(INDEX('Annex 2 Designated EHV charges'!$A$10:$A$401, MATCH(0, IF(ISBLANK('Annex 2 Designated EHV charges'!$A$10:$A$401),1, COUNTIF(A$4:$A401, 'Annex 2 Designated EHV charges'!$A$10:$A$401)), 0)),"")</f>
        <v/>
      </c>
      <c r="B402" s="48" t="str">
        <f>IF($A402="","",VLOOKUP($A402,'Annex 2 Designated EHV charges'!$A:$O,2,0))</f>
        <v/>
      </c>
      <c r="C402" s="56" t="str">
        <f>IF($A402="","",VLOOKUP($A402,'Annex 2 Designated EHV charges'!$A:$O,3,0))</f>
        <v/>
      </c>
      <c r="D402" s="56" t="str">
        <f>IF($A402="","",VLOOKUP($A402,'Annex 2 Designated EHV charges'!$A:$O,7,0))</f>
        <v/>
      </c>
      <c r="E402" s="57" t="str">
        <f>IFERROR(IF(VLOOKUP($A402,'Annex 2 Designated EHV charges'!$A:$O,9,FALSE)=0,"",VLOOKUP($A402,'Annex 2 Designated EHV charges'!$A:$O,9,FALSE)),"")</f>
        <v/>
      </c>
      <c r="F402" s="58" t="str">
        <f>IFERROR(IF(VLOOKUP($A402,'Annex 2 Designated EHV charges'!$A:$O,10,FALSE)=0,"",VLOOKUP($A402,'Annex 2 Designated EHV charges'!$A:$O,10,FALSE)),"")</f>
        <v/>
      </c>
      <c r="G402" s="58" t="str">
        <f>IFERROR(IF(VLOOKUP($A402,'Annex 2 Designated EHV charges'!$A:$O,11,FALSE)=0,"",VLOOKUP($A402,'Annex 2 Designated EHV charges'!$A:$O,11,FALSE)),"")</f>
        <v/>
      </c>
      <c r="H402" s="48" t="str">
        <f>IFERROR(IF(VLOOKUP($A402,'Annex 2 Designated EHV charges'!$A:$O,12,FALSE)=0,"",VLOOKUP($A402,'Annex 2 Designated EHV charges'!$A:$O,12,FALSE)),"")</f>
        <v/>
      </c>
    </row>
    <row r="403" spans="1:8" x14ac:dyDescent="0.2">
      <c r="A403" s="48" t="str" cm="1">
        <f t="array" ref="A403">IFERROR(INDEX('Annex 2 Designated EHV charges'!$A$10:$A$401, MATCH(0, IF(ISBLANK('Annex 2 Designated EHV charges'!$A$10:$A$401),1, COUNTIF(A$4:$A402, 'Annex 2 Designated EHV charges'!$A$10:$A$401)), 0)),"")</f>
        <v/>
      </c>
      <c r="B403" s="48" t="str">
        <f>IF($A403="","",VLOOKUP($A403,'Annex 2 Designated EHV charges'!$A:$O,2,0))</f>
        <v/>
      </c>
      <c r="C403" s="56" t="str">
        <f>IF($A403="","",VLOOKUP($A403,'Annex 2 Designated EHV charges'!$A:$O,3,0))</f>
        <v/>
      </c>
      <c r="D403" s="56" t="str">
        <f>IF($A403="","",VLOOKUP($A403,'Annex 2 Designated EHV charges'!$A:$O,7,0))</f>
        <v/>
      </c>
      <c r="E403" s="57" t="str">
        <f>IFERROR(IF(VLOOKUP($A403,'Annex 2 Designated EHV charges'!$A:$O,9,FALSE)=0,"",VLOOKUP($A403,'Annex 2 Designated EHV charges'!$A:$O,9,FALSE)),"")</f>
        <v/>
      </c>
      <c r="F403" s="58" t="str">
        <f>IFERROR(IF(VLOOKUP($A403,'Annex 2 Designated EHV charges'!$A:$O,10,FALSE)=0,"",VLOOKUP($A403,'Annex 2 Designated EHV charges'!$A:$O,10,FALSE)),"")</f>
        <v/>
      </c>
      <c r="G403" s="58" t="str">
        <f>IFERROR(IF(VLOOKUP($A403,'Annex 2 Designated EHV charges'!$A:$O,11,FALSE)=0,"",VLOOKUP($A403,'Annex 2 Designated EHV charges'!$A:$O,11,FALSE)),"")</f>
        <v/>
      </c>
      <c r="H403" s="48" t="str">
        <f>IFERROR(IF(VLOOKUP($A403,'Annex 2 Designated EHV charges'!$A:$O,12,FALSE)=0,"",VLOOKUP($A403,'Annex 2 Designated EHV charges'!$A:$O,12,FALSE)),"")</f>
        <v/>
      </c>
    </row>
    <row r="404" spans="1:8" x14ac:dyDescent="0.2">
      <c r="A404" s="48" t="str" cm="1">
        <f t="array" ref="A404">IFERROR(INDEX('Annex 2 Designated EHV charges'!$A$10:$A$401, MATCH(0, IF(ISBLANK('Annex 2 Designated EHV charges'!$A$10:$A$401),1, COUNTIF(A$4:$A403, 'Annex 2 Designated EHV charges'!$A$10:$A$401)), 0)),"")</f>
        <v/>
      </c>
      <c r="B404" s="48" t="str">
        <f>IF($A404="","",VLOOKUP($A404,'Annex 2 Designated EHV charges'!$A:$O,2,0))</f>
        <v/>
      </c>
      <c r="C404" s="56" t="str">
        <f>IF($A404="","",VLOOKUP($A404,'Annex 2 Designated EHV charges'!$A:$O,3,0))</f>
        <v/>
      </c>
      <c r="D404" s="56" t="str">
        <f>IF($A404="","",VLOOKUP($A404,'Annex 2 Designated EHV charges'!$A:$O,7,0))</f>
        <v/>
      </c>
      <c r="E404" s="57" t="str">
        <f>IFERROR(IF(VLOOKUP($A404,'Annex 2 Designated EHV charges'!$A:$O,9,FALSE)=0,"",VLOOKUP($A404,'Annex 2 Designated EHV charges'!$A:$O,9,FALSE)),"")</f>
        <v/>
      </c>
      <c r="F404" s="58" t="str">
        <f>IFERROR(IF(VLOOKUP($A404,'Annex 2 Designated EHV charges'!$A:$O,10,FALSE)=0,"",VLOOKUP($A404,'Annex 2 Designated EHV charges'!$A:$O,10,FALSE)),"")</f>
        <v/>
      </c>
      <c r="G404" s="58" t="str">
        <f>IFERROR(IF(VLOOKUP($A404,'Annex 2 Designated EHV charges'!$A:$O,11,FALSE)=0,"",VLOOKUP($A404,'Annex 2 Designated EHV charges'!$A:$O,11,FALSE)),"")</f>
        <v/>
      </c>
      <c r="H404" s="48" t="str">
        <f>IFERROR(IF(VLOOKUP($A404,'Annex 2 Designated EHV charges'!$A:$O,12,FALSE)=0,"",VLOOKUP($A404,'Annex 2 Designated EHV charges'!$A:$O,12,FALSE)),"")</f>
        <v/>
      </c>
    </row>
    <row r="405" spans="1:8" x14ac:dyDescent="0.2">
      <c r="A405" s="48" t="str" cm="1">
        <f t="array" ref="A405">IFERROR(INDEX('Annex 2 Designated EHV charges'!$A$10:$A$401, MATCH(0, IF(ISBLANK('Annex 2 Designated EHV charges'!$A$10:$A$401),1, COUNTIF(A$4:$A404, 'Annex 2 Designated EHV charges'!$A$10:$A$401)), 0)),"")</f>
        <v/>
      </c>
      <c r="B405" s="48" t="str">
        <f>IF($A405="","",VLOOKUP($A405,'Annex 2 Designated EHV charges'!$A:$O,2,0))</f>
        <v/>
      </c>
      <c r="C405" s="56" t="str">
        <f>IF($A405="","",VLOOKUP($A405,'Annex 2 Designated EHV charges'!$A:$O,3,0))</f>
        <v/>
      </c>
      <c r="D405" s="56" t="str">
        <f>IF($A405="","",VLOOKUP($A405,'Annex 2 Designated EHV charges'!$A:$O,7,0))</f>
        <v/>
      </c>
      <c r="E405" s="57" t="str">
        <f>IFERROR(IF(VLOOKUP($A405,'Annex 2 Designated EHV charges'!$A:$O,9,FALSE)=0,"",VLOOKUP($A405,'Annex 2 Designated EHV charges'!$A:$O,9,FALSE)),"")</f>
        <v/>
      </c>
      <c r="F405" s="58" t="str">
        <f>IFERROR(IF(VLOOKUP($A405,'Annex 2 Designated EHV charges'!$A:$O,10,FALSE)=0,"",VLOOKUP($A405,'Annex 2 Designated EHV charges'!$A:$O,10,FALSE)),"")</f>
        <v/>
      </c>
      <c r="G405" s="58" t="str">
        <f>IFERROR(IF(VLOOKUP($A405,'Annex 2 Designated EHV charges'!$A:$O,11,FALSE)=0,"",VLOOKUP($A405,'Annex 2 Designated EHV charges'!$A:$O,11,FALSE)),"")</f>
        <v/>
      </c>
      <c r="H405" s="48" t="str">
        <f>IFERROR(IF(VLOOKUP($A405,'Annex 2 Designated EHV charges'!$A:$O,12,FALSE)=0,"",VLOOKUP($A405,'Annex 2 Designated EHV charges'!$A:$O,12,FALSE)),"")</f>
        <v/>
      </c>
    </row>
    <row r="406" spans="1:8" x14ac:dyDescent="0.2">
      <c r="A406" s="48" t="str" cm="1">
        <f t="array" ref="A406">IFERROR(INDEX('Annex 2 Designated EHV charges'!$A$10:$A$401, MATCH(0, IF(ISBLANK('Annex 2 Designated EHV charges'!$A$10:$A$401),1, COUNTIF(A$4:$A405, 'Annex 2 Designated EHV charges'!$A$10:$A$401)), 0)),"")</f>
        <v/>
      </c>
      <c r="B406" s="48" t="str">
        <f>IF($A406="","",VLOOKUP($A406,'Annex 2 Designated EHV charges'!$A:$O,2,0))</f>
        <v/>
      </c>
      <c r="C406" s="56" t="str">
        <f>IF($A406="","",VLOOKUP($A406,'Annex 2 Designated EHV charges'!$A:$O,3,0))</f>
        <v/>
      </c>
      <c r="D406" s="56" t="str">
        <f>IF($A406="","",VLOOKUP($A406,'Annex 2 Designated EHV charges'!$A:$O,7,0))</f>
        <v/>
      </c>
      <c r="E406" s="57" t="str">
        <f>IFERROR(IF(VLOOKUP($A406,'Annex 2 Designated EHV charges'!$A:$O,9,FALSE)=0,"",VLOOKUP($A406,'Annex 2 Designated EHV charges'!$A:$O,9,FALSE)),"")</f>
        <v/>
      </c>
      <c r="F406" s="58" t="str">
        <f>IFERROR(IF(VLOOKUP($A406,'Annex 2 Designated EHV charges'!$A:$O,10,FALSE)=0,"",VLOOKUP($A406,'Annex 2 Designated EHV charges'!$A:$O,10,FALSE)),"")</f>
        <v/>
      </c>
      <c r="G406" s="58" t="str">
        <f>IFERROR(IF(VLOOKUP($A406,'Annex 2 Designated EHV charges'!$A:$O,11,FALSE)=0,"",VLOOKUP($A406,'Annex 2 Designated EHV charges'!$A:$O,11,FALSE)),"")</f>
        <v/>
      </c>
      <c r="H406" s="48" t="str">
        <f>IFERROR(IF(VLOOKUP($A406,'Annex 2 Designated EHV charges'!$A:$O,12,FALSE)=0,"",VLOOKUP($A406,'Annex 2 Designated EHV charges'!$A:$O,12,FALSE)),"")</f>
        <v/>
      </c>
    </row>
    <row r="407" spans="1:8" x14ac:dyDescent="0.2">
      <c r="A407" s="48" t="str" cm="1">
        <f t="array" ref="A407">IFERROR(INDEX('Annex 2 Designated EHV charges'!$A$10:$A$401, MATCH(0, IF(ISBLANK('Annex 2 Designated EHV charges'!$A$10:$A$401),1, COUNTIF(A$4:$A406, 'Annex 2 Designated EHV charges'!$A$10:$A$401)), 0)),"")</f>
        <v/>
      </c>
      <c r="B407" s="48" t="str">
        <f>IF($A407="","",VLOOKUP($A407,'Annex 2 Designated EHV charges'!$A:$O,2,0))</f>
        <v/>
      </c>
      <c r="C407" s="56" t="str">
        <f>IF($A407="","",VLOOKUP($A407,'Annex 2 Designated EHV charges'!$A:$O,3,0))</f>
        <v/>
      </c>
      <c r="D407" s="56" t="str">
        <f>IF($A407="","",VLOOKUP($A407,'Annex 2 Designated EHV charges'!$A:$O,7,0))</f>
        <v/>
      </c>
      <c r="E407" s="57" t="str">
        <f>IFERROR(IF(VLOOKUP($A407,'Annex 2 Designated EHV charges'!$A:$O,9,FALSE)=0,"",VLOOKUP($A407,'Annex 2 Designated EHV charges'!$A:$O,9,FALSE)),"")</f>
        <v/>
      </c>
      <c r="F407" s="58" t="str">
        <f>IFERROR(IF(VLOOKUP($A407,'Annex 2 Designated EHV charges'!$A:$O,10,FALSE)=0,"",VLOOKUP($A407,'Annex 2 Designated EHV charges'!$A:$O,10,FALSE)),"")</f>
        <v/>
      </c>
      <c r="G407" s="58" t="str">
        <f>IFERROR(IF(VLOOKUP($A407,'Annex 2 Designated EHV charges'!$A:$O,11,FALSE)=0,"",VLOOKUP($A407,'Annex 2 Designated EHV charges'!$A:$O,11,FALSE)),"")</f>
        <v/>
      </c>
      <c r="H407" s="48" t="str">
        <f>IFERROR(IF(VLOOKUP($A407,'Annex 2 Designated EHV charges'!$A:$O,12,FALSE)=0,"",VLOOKUP($A407,'Annex 2 Designated EHV charges'!$A:$O,12,FALSE)),"")</f>
        <v/>
      </c>
    </row>
    <row r="408" spans="1:8" x14ac:dyDescent="0.2">
      <c r="A408" s="48" t="str" cm="1">
        <f t="array" ref="A408">IFERROR(INDEX('Annex 2 Designated EHV charges'!$A$10:$A$401, MATCH(0, IF(ISBLANK('Annex 2 Designated EHV charges'!$A$10:$A$401),1, COUNTIF(A$4:$A407, 'Annex 2 Designated EHV charges'!$A$10:$A$401)), 0)),"")</f>
        <v/>
      </c>
      <c r="B408" s="48" t="str">
        <f>IF($A408="","",VLOOKUP($A408,'Annex 2 Designated EHV charges'!$A:$O,2,0))</f>
        <v/>
      </c>
      <c r="C408" s="56" t="str">
        <f>IF($A408="","",VLOOKUP($A408,'Annex 2 Designated EHV charges'!$A:$O,3,0))</f>
        <v/>
      </c>
      <c r="D408" s="56" t="str">
        <f>IF($A408="","",VLOOKUP($A408,'Annex 2 Designated EHV charges'!$A:$O,7,0))</f>
        <v/>
      </c>
      <c r="E408" s="57" t="str">
        <f>IFERROR(IF(VLOOKUP($A408,'Annex 2 Designated EHV charges'!$A:$O,9,FALSE)=0,"",VLOOKUP($A408,'Annex 2 Designated EHV charges'!$A:$O,9,FALSE)),"")</f>
        <v/>
      </c>
      <c r="F408" s="58" t="str">
        <f>IFERROR(IF(VLOOKUP($A408,'Annex 2 Designated EHV charges'!$A:$O,10,FALSE)=0,"",VLOOKUP($A408,'Annex 2 Designated EHV charges'!$A:$O,10,FALSE)),"")</f>
        <v/>
      </c>
      <c r="G408" s="58" t="str">
        <f>IFERROR(IF(VLOOKUP($A408,'Annex 2 Designated EHV charges'!$A:$O,11,FALSE)=0,"",VLOOKUP($A408,'Annex 2 Designated EHV charges'!$A:$O,11,FALSE)),"")</f>
        <v/>
      </c>
      <c r="H408" s="48" t="str">
        <f>IFERROR(IF(VLOOKUP($A408,'Annex 2 Designated EHV charges'!$A:$O,12,FALSE)=0,"",VLOOKUP($A408,'Annex 2 Designated EHV charges'!$A:$O,12,FALSE)),"")</f>
        <v/>
      </c>
    </row>
    <row r="409" spans="1:8" x14ac:dyDescent="0.2">
      <c r="A409" s="48" t="str" cm="1">
        <f t="array" ref="A409">IFERROR(INDEX('Annex 2 Designated EHV charges'!$A$10:$A$401, MATCH(0, IF(ISBLANK('Annex 2 Designated EHV charges'!$A$10:$A$401),1, COUNTIF(A$4:$A408, 'Annex 2 Designated EHV charges'!$A$10:$A$401)), 0)),"")</f>
        <v/>
      </c>
      <c r="B409" s="48" t="str">
        <f>IF($A409="","",VLOOKUP($A409,'Annex 2 Designated EHV charges'!$A:$O,2,0))</f>
        <v/>
      </c>
      <c r="C409" s="56" t="str">
        <f>IF($A409="","",VLOOKUP($A409,'Annex 2 Designated EHV charges'!$A:$O,3,0))</f>
        <v/>
      </c>
      <c r="D409" s="56" t="str">
        <f>IF($A409="","",VLOOKUP($A409,'Annex 2 Designated EHV charges'!$A:$O,7,0))</f>
        <v/>
      </c>
      <c r="E409" s="57" t="str">
        <f>IFERROR(IF(VLOOKUP($A409,'Annex 2 Designated EHV charges'!$A:$O,9,FALSE)=0,"",VLOOKUP($A409,'Annex 2 Designated EHV charges'!$A:$O,9,FALSE)),"")</f>
        <v/>
      </c>
      <c r="F409" s="58" t="str">
        <f>IFERROR(IF(VLOOKUP($A409,'Annex 2 Designated EHV charges'!$A:$O,10,FALSE)=0,"",VLOOKUP($A409,'Annex 2 Designated EHV charges'!$A:$O,10,FALSE)),"")</f>
        <v/>
      </c>
      <c r="G409" s="58" t="str">
        <f>IFERROR(IF(VLOOKUP($A409,'Annex 2 Designated EHV charges'!$A:$O,11,FALSE)=0,"",VLOOKUP($A409,'Annex 2 Designated EHV charges'!$A:$O,11,FALSE)),"")</f>
        <v/>
      </c>
      <c r="H409" s="48" t="str">
        <f>IFERROR(IF(VLOOKUP($A409,'Annex 2 Designated EHV charges'!$A:$O,12,FALSE)=0,"",VLOOKUP($A409,'Annex 2 Designated EHV charges'!$A:$O,12,FALSE)),"")</f>
        <v/>
      </c>
    </row>
    <row r="410" spans="1:8" x14ac:dyDescent="0.2">
      <c r="A410" s="48" t="str" cm="1">
        <f t="array" ref="A410">IFERROR(INDEX('Annex 2 Designated EHV charges'!$A$10:$A$401, MATCH(0, IF(ISBLANK('Annex 2 Designated EHV charges'!$A$10:$A$401),1, COUNTIF(A$4:$A409, 'Annex 2 Designated EHV charges'!$A$10:$A$401)), 0)),"")</f>
        <v/>
      </c>
      <c r="B410" s="48" t="str">
        <f>IF($A410="","",VLOOKUP($A410,'Annex 2 Designated EHV charges'!$A:$O,2,0))</f>
        <v/>
      </c>
      <c r="C410" s="56" t="str">
        <f>IF($A410="","",VLOOKUP($A410,'Annex 2 Designated EHV charges'!$A:$O,3,0))</f>
        <v/>
      </c>
      <c r="D410" s="56" t="str">
        <f>IF($A410="","",VLOOKUP($A410,'Annex 2 Designated EHV charges'!$A:$O,7,0))</f>
        <v/>
      </c>
      <c r="E410" s="57" t="str">
        <f>IFERROR(IF(VLOOKUP($A410,'Annex 2 Designated EHV charges'!$A:$O,9,FALSE)=0,"",VLOOKUP($A410,'Annex 2 Designated EHV charges'!$A:$O,9,FALSE)),"")</f>
        <v/>
      </c>
      <c r="F410" s="58" t="str">
        <f>IFERROR(IF(VLOOKUP($A410,'Annex 2 Designated EHV charges'!$A:$O,10,FALSE)=0,"",VLOOKUP($A410,'Annex 2 Designated EHV charges'!$A:$O,10,FALSE)),"")</f>
        <v/>
      </c>
      <c r="G410" s="58" t="str">
        <f>IFERROR(IF(VLOOKUP($A410,'Annex 2 Designated EHV charges'!$A:$O,11,FALSE)=0,"",VLOOKUP($A410,'Annex 2 Designated EHV charges'!$A:$O,11,FALSE)),"")</f>
        <v/>
      </c>
      <c r="H410" s="48" t="str">
        <f>IFERROR(IF(VLOOKUP($A410,'Annex 2 Designated EHV charges'!$A:$O,12,FALSE)=0,"",VLOOKUP($A410,'Annex 2 Designated EHV charges'!$A:$O,12,FALSE)),"")</f>
        <v/>
      </c>
    </row>
    <row r="411" spans="1:8" x14ac:dyDescent="0.2">
      <c r="A411" s="48" t="str" cm="1">
        <f t="array" ref="A411">IFERROR(INDEX('Annex 2 Designated EHV charges'!$A$10:$A$401, MATCH(0, IF(ISBLANK('Annex 2 Designated EHV charges'!$A$10:$A$401),1, COUNTIF(A$4:$A410, 'Annex 2 Designated EHV charges'!$A$10:$A$401)), 0)),"")</f>
        <v/>
      </c>
      <c r="B411" s="48" t="str">
        <f>IF($A411="","",VLOOKUP($A411,'Annex 2 Designated EHV charges'!$A:$O,2,0))</f>
        <v/>
      </c>
      <c r="C411" s="56" t="str">
        <f>IF($A411="","",VLOOKUP($A411,'Annex 2 Designated EHV charges'!$A:$O,3,0))</f>
        <v/>
      </c>
      <c r="D411" s="56" t="str">
        <f>IF($A411="","",VLOOKUP($A411,'Annex 2 Designated EHV charges'!$A:$O,7,0))</f>
        <v/>
      </c>
      <c r="E411" s="57" t="str">
        <f>IFERROR(IF(VLOOKUP($A411,'Annex 2 Designated EHV charges'!$A:$O,9,FALSE)=0,"",VLOOKUP($A411,'Annex 2 Designated EHV charges'!$A:$O,9,FALSE)),"")</f>
        <v/>
      </c>
      <c r="F411" s="58" t="str">
        <f>IFERROR(IF(VLOOKUP($A411,'Annex 2 Designated EHV charges'!$A:$O,10,FALSE)=0,"",VLOOKUP($A411,'Annex 2 Designated EHV charges'!$A:$O,10,FALSE)),"")</f>
        <v/>
      </c>
      <c r="G411" s="58" t="str">
        <f>IFERROR(IF(VLOOKUP($A411,'Annex 2 Designated EHV charges'!$A:$O,11,FALSE)=0,"",VLOOKUP($A411,'Annex 2 Designated EHV charges'!$A:$O,11,FALSE)),"")</f>
        <v/>
      </c>
      <c r="H411" s="48" t="str">
        <f>IFERROR(IF(VLOOKUP($A411,'Annex 2 Designated EHV charges'!$A:$O,12,FALSE)=0,"",VLOOKUP($A411,'Annex 2 Designated EHV charges'!$A:$O,12,FALSE)),"")</f>
        <v/>
      </c>
    </row>
    <row r="412" spans="1:8" x14ac:dyDescent="0.2">
      <c r="A412" s="48" t="str" cm="1">
        <f t="array" ref="A412">IFERROR(INDEX('Annex 2 Designated EHV charges'!$A$10:$A$401, MATCH(0, IF(ISBLANK('Annex 2 Designated EHV charges'!$A$10:$A$401),1, COUNTIF(A$4:$A411, 'Annex 2 Designated EHV charges'!$A$10:$A$401)), 0)),"")</f>
        <v/>
      </c>
      <c r="B412" s="48" t="str">
        <f>IF($A412="","",VLOOKUP($A412,'Annex 2 Designated EHV charges'!$A:$O,2,0))</f>
        <v/>
      </c>
      <c r="C412" s="56" t="str">
        <f>IF($A412="","",VLOOKUP($A412,'Annex 2 Designated EHV charges'!$A:$O,3,0))</f>
        <v/>
      </c>
      <c r="D412" s="56" t="str">
        <f>IF($A412="","",VLOOKUP($A412,'Annex 2 Designated EHV charges'!$A:$O,7,0))</f>
        <v/>
      </c>
      <c r="E412" s="57" t="str">
        <f>IFERROR(IF(VLOOKUP($A412,'Annex 2 Designated EHV charges'!$A:$O,9,FALSE)=0,"",VLOOKUP($A412,'Annex 2 Designated EHV charges'!$A:$O,9,FALSE)),"")</f>
        <v/>
      </c>
      <c r="F412" s="58" t="str">
        <f>IFERROR(IF(VLOOKUP($A412,'Annex 2 Designated EHV charges'!$A:$O,10,FALSE)=0,"",VLOOKUP($A412,'Annex 2 Designated EHV charges'!$A:$O,10,FALSE)),"")</f>
        <v/>
      </c>
      <c r="G412" s="58" t="str">
        <f>IFERROR(IF(VLOOKUP($A412,'Annex 2 Designated EHV charges'!$A:$O,11,FALSE)=0,"",VLOOKUP($A412,'Annex 2 Designated EHV charges'!$A:$O,11,FALSE)),"")</f>
        <v/>
      </c>
      <c r="H412" s="48" t="str">
        <f>IFERROR(IF(VLOOKUP($A412,'Annex 2 Designated EHV charges'!$A:$O,12,FALSE)=0,"",VLOOKUP($A412,'Annex 2 Designated EHV charges'!$A:$O,12,FALSE)),"")</f>
        <v/>
      </c>
    </row>
    <row r="413" spans="1:8" x14ac:dyDescent="0.2">
      <c r="A413" s="48" t="str" cm="1">
        <f t="array" ref="A413">IFERROR(INDEX('Annex 2 Designated EHV charges'!$A$10:$A$401, MATCH(0, IF(ISBLANK('Annex 2 Designated EHV charges'!$A$10:$A$401),1, COUNTIF(A$4:$A412, 'Annex 2 Designated EHV charges'!$A$10:$A$401)), 0)),"")</f>
        <v/>
      </c>
      <c r="B413" s="48" t="str">
        <f>IF($A413="","",VLOOKUP($A413,'Annex 2 Designated EHV charges'!$A:$O,2,0))</f>
        <v/>
      </c>
      <c r="C413" s="56" t="str">
        <f>IF($A413="","",VLOOKUP($A413,'Annex 2 Designated EHV charges'!$A:$O,3,0))</f>
        <v/>
      </c>
      <c r="D413" s="56" t="str">
        <f>IF($A413="","",VLOOKUP($A413,'Annex 2 Designated EHV charges'!$A:$O,7,0))</f>
        <v/>
      </c>
      <c r="E413" s="57" t="str">
        <f>IFERROR(IF(VLOOKUP($A413,'Annex 2 Designated EHV charges'!$A:$O,9,FALSE)=0,"",VLOOKUP($A413,'Annex 2 Designated EHV charges'!$A:$O,9,FALSE)),"")</f>
        <v/>
      </c>
      <c r="F413" s="58" t="str">
        <f>IFERROR(IF(VLOOKUP($A413,'Annex 2 Designated EHV charges'!$A:$O,10,FALSE)=0,"",VLOOKUP($A413,'Annex 2 Designated EHV charges'!$A:$O,10,FALSE)),"")</f>
        <v/>
      </c>
      <c r="G413" s="58" t="str">
        <f>IFERROR(IF(VLOOKUP($A413,'Annex 2 Designated EHV charges'!$A:$O,11,FALSE)=0,"",VLOOKUP($A413,'Annex 2 Designated EHV charges'!$A:$O,11,FALSE)),"")</f>
        <v/>
      </c>
      <c r="H413" s="48" t="str">
        <f>IFERROR(IF(VLOOKUP($A413,'Annex 2 Designated EHV charges'!$A:$O,12,FALSE)=0,"",VLOOKUP($A413,'Annex 2 Designated EHV charges'!$A:$O,12,FALSE)),"")</f>
        <v/>
      </c>
    </row>
  </sheetData>
  <mergeCells count="2">
    <mergeCell ref="A2:H2"/>
    <mergeCell ref="A1:H1"/>
  </mergeCells>
  <pageMargins left="0.70866141732283472" right="0.70866141732283472" top="0.94488188976377963" bottom="0.74803149606299213" header="0.31496062992125984" footer="0.31496062992125984"/>
  <pageSetup paperSize="9" scale="89" fitToHeight="0" orientation="landscape" r:id="rId1"/>
  <headerFooter differentFirst="1" scaleWithDoc="0">
    <oddFooter>&amp;L&amp;8Note: The list of MPANs / MSIDs provided may be incomplete; the DNO reserves the right to apply the listed charges to any other MPANs / MSIDs associated with the site.&amp;R&amp;P of &amp;N</oddFooter>
    <firstHeader>&amp;L
Annex 2a - Schedule of Import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pageSetUpPr fitToPage="1"/>
  </sheetPr>
  <dimension ref="A1:O458"/>
  <sheetViews>
    <sheetView zoomScale="90" zoomScaleNormal="90" zoomScaleSheetLayoutView="100" workbookViewId="0">
      <selection sqref="A1:H1"/>
    </sheetView>
  </sheetViews>
  <sheetFormatPr defaultColWidth="9.140625" defaultRowHeight="12.75" x14ac:dyDescent="0.2"/>
  <cols>
    <col min="1" max="1" width="14.7109375" style="48" customWidth="1"/>
    <col min="2" max="2" width="8.7109375" style="48" customWidth="1"/>
    <col min="3" max="3" width="15.7109375" style="56" bestFit="1" customWidth="1"/>
    <col min="4" max="4" width="50.7109375" style="56" customWidth="1"/>
    <col min="5" max="5" width="14.7109375" style="57" customWidth="1"/>
    <col min="6" max="7" width="14.7109375" style="58" customWidth="1"/>
    <col min="8" max="8" width="14.7109375" style="48" customWidth="1"/>
    <col min="9" max="9" width="15.5703125" style="48" customWidth="1"/>
    <col min="10" max="16384" width="9.140625" style="48"/>
  </cols>
  <sheetData>
    <row r="1" spans="1:15" ht="66.75" customHeight="1" x14ac:dyDescent="0.2">
      <c r="A1" s="257" t="s">
        <v>2931</v>
      </c>
      <c r="B1" s="257"/>
      <c r="C1" s="257"/>
      <c r="D1" s="257"/>
      <c r="E1" s="257"/>
      <c r="F1" s="257"/>
      <c r="G1" s="257"/>
      <c r="H1" s="257"/>
    </row>
    <row r="2" spans="1:15" s="49" customFormat="1" ht="25.5" customHeight="1" x14ac:dyDescent="0.2">
      <c r="A2" s="248" t="str">
        <f>Overview!B4&amp; " - Effective from "&amp;Overview!D4&amp;" - "&amp;Overview!E4&amp;" Designated EHV export charges"</f>
        <v>Eastern Power Networks - Effective from 1 April 2027 - Final Designated EHV export charges</v>
      </c>
      <c r="B2" s="249"/>
      <c r="C2" s="249"/>
      <c r="D2" s="249"/>
      <c r="E2" s="249"/>
      <c r="F2" s="249"/>
      <c r="G2" s="249"/>
      <c r="H2" s="250"/>
    </row>
    <row r="3" spans="1:15" s="82" customFormat="1" ht="18" x14ac:dyDescent="0.2">
      <c r="A3" s="86"/>
      <c r="B3" s="86"/>
      <c r="C3" s="86"/>
      <c r="D3" s="87"/>
      <c r="E3" s="88"/>
      <c r="F3" s="88"/>
      <c r="G3" s="89"/>
      <c r="H3" s="89"/>
      <c r="I3" s="81"/>
      <c r="J3" s="81"/>
      <c r="K3" s="81"/>
      <c r="L3" s="81"/>
      <c r="M3" s="81"/>
      <c r="N3" s="81"/>
      <c r="O3" s="81"/>
    </row>
    <row r="4" spans="1:15" ht="60.75" customHeight="1" x14ac:dyDescent="0.2">
      <c r="A4" s="50" t="s">
        <v>47</v>
      </c>
      <c r="B4" s="51" t="s">
        <v>649</v>
      </c>
      <c r="C4" s="50" t="s">
        <v>32</v>
      </c>
      <c r="D4" s="52" t="s">
        <v>26</v>
      </c>
      <c r="E4" s="52" t="str">
        <f>'Annex 2 Designated EHV charges'!M9</f>
        <v>Export
Super Red
unit charge
(p/kWh)</v>
      </c>
      <c r="F4" s="52" t="str">
        <f>'Annex 2 Designated EHV charges'!N9</f>
        <v>Export
fixed charge
(p/day)</v>
      </c>
      <c r="G4" s="52" t="str">
        <f>'Annex 2 Designated EHV charges'!O9</f>
        <v>Export
capacity charge
(p/kVA/day)</v>
      </c>
      <c r="H4" s="52" t="str">
        <f>'Annex 2 Designated EHV charges'!P9</f>
        <v>Export
exceeded capacity charge
(p/kVA/day)</v>
      </c>
    </row>
    <row r="5" spans="1:15" ht="25.5" x14ac:dyDescent="0.2">
      <c r="A5" s="95" t="str" cm="1">
        <f t="array" ref="A5">IFERROR(INDEX('Annex 2 Designated EHV charges'!$D$10:$D$401, MATCH(0, IF(ISBLANK('Annex 2 Designated EHV charges'!$D$10:$D$401),1, COUNTIF(A$4:$A4, 'Annex 2 Designated EHV charges'!$D$10:$D$401)), 0)),"")</f>
        <v>ARLAFD</v>
      </c>
      <c r="B5" s="94">
        <f>IF($A5="","",VLOOKUP($A5,'Annex 2 Designated EHV charges'!$D:$O,2,0))</f>
        <v>710</v>
      </c>
      <c r="C5" s="95" t="str">
        <f>IF($A5="","",VLOOKUP($A5,'Annex 2 Designated EHV charges'!$D:$O,3,0))</f>
        <v>1030085114723;1030085114955</v>
      </c>
      <c r="D5" s="94" t="str">
        <f>IF($A5="","",VLOOKUP($A5,'Annex 2 Designated EHV charges'!$D:$O,4,0))</f>
        <v>ARLAFD</v>
      </c>
      <c r="E5" s="96">
        <f>IFERROR(IF(VLOOKUP($A5,'Annex 2 Designated EHV charges'!$D:$P,10,FALSE)=0,"",VLOOKUP($A5,'Annex 2 Designated EHV charges'!$D:$P,10,FALSE)),"")</f>
        <v>-2.867</v>
      </c>
      <c r="F5" s="195">
        <f>IFERROR(IF(VLOOKUP($A5,'Annex 2 Designated EHV charges'!$D:$P,11,FALSE)=0,"",VLOOKUP($A5,'Annex 2 Designated EHV charges'!$D:$P,11,FALSE)),"")</f>
        <v>163.91</v>
      </c>
      <c r="G5" s="195">
        <f>IFERROR(IF(VLOOKUP($A5,'Annex 2 Designated EHV charges'!$D:$P,12,FALSE)=0,"",VLOOKUP($A5,'Annex 2 Designated EHV charges'!$D:$P,12,FALSE)),"")</f>
        <v>0.05</v>
      </c>
      <c r="H5" s="195">
        <f>IFERROR(IF(VLOOKUP($A5,'Annex 2 Designated EHV charges'!$D:$P,13,FALSE)=0,"",VLOOKUP($A5,'Annex 2 Designated EHV charges'!$D:$P,13,FALSE)),"")</f>
        <v>0.05</v>
      </c>
    </row>
    <row r="6" spans="1:15" ht="25.5" x14ac:dyDescent="0.2">
      <c r="A6" s="95" t="str" cm="1">
        <f t="array" ref="A6">IFERROR(INDEX('Annex 2 Designated EHV charges'!$D$10:$D$401, MATCH(0, IF(ISBLANK('Annex 2 Designated EHV charges'!$D$10:$D$401),1, COUNTIF(A$4:$A5, 'Annex 2 Designated EHV charges'!$D$10:$D$401)), 0)),"")</f>
        <v>AW_GRA</v>
      </c>
      <c r="B6" s="94">
        <f>IF($A6="","",VLOOKUP($A6,'Annex 2 Designated EHV charges'!$D:$O,2,0))</f>
        <v>400</v>
      </c>
      <c r="C6" s="95" t="str">
        <f>IF($A6="","",VLOOKUP($A6,'Annex 2 Designated EHV charges'!$D:$O,3,0))</f>
        <v>1050001872410;1050001872400</v>
      </c>
      <c r="D6" s="94" t="str">
        <f>IF($A6="","",VLOOKUP($A6,'Annex 2 Designated EHV charges'!$D:$O,4,0))</f>
        <v>AW_GRA</v>
      </c>
      <c r="E6" s="96" t="str">
        <f>IFERROR(IF(VLOOKUP($A6,'Annex 2 Designated EHV charges'!$D:$P,10,FALSE)=0,"",VLOOKUP($A6,'Annex 2 Designated EHV charges'!$D:$P,10,FALSE)),"")</f>
        <v/>
      </c>
      <c r="F6" s="195">
        <f>IFERROR(IF(VLOOKUP($A6,'Annex 2 Designated EHV charges'!$D:$P,11,FALSE)=0,"",VLOOKUP($A6,'Annex 2 Designated EHV charges'!$D:$P,11,FALSE)),"")</f>
        <v>102.3</v>
      </c>
      <c r="G6" s="195">
        <f>IFERROR(IF(VLOOKUP($A6,'Annex 2 Designated EHV charges'!$D:$P,12,FALSE)=0,"",VLOOKUP($A6,'Annex 2 Designated EHV charges'!$D:$P,12,FALSE)),"")</f>
        <v>0.05</v>
      </c>
      <c r="H6" s="195">
        <f>IFERROR(IF(VLOOKUP($A6,'Annex 2 Designated EHV charges'!$D:$P,13,FALSE)=0,"",VLOOKUP($A6,'Annex 2 Designated EHV charges'!$D:$P,13,FALSE)),"")</f>
        <v>0.05</v>
      </c>
    </row>
    <row r="7" spans="1:15" x14ac:dyDescent="0.2">
      <c r="A7" s="95" t="str" cm="1">
        <f t="array" ref="A7">IFERROR(INDEX('Annex 2 Designated EHV charges'!$D$10:$D$401, MATCH(0, IF(ISBLANK('Annex 2 Designated EHV charges'!$D$10:$D$401),1, COUNTIF(A$4:$A6, 'Annex 2 Designated EHV charges'!$D$10:$D$401)), 0)),"")</f>
        <v>BREFC2</v>
      </c>
      <c r="B7" s="94">
        <f>IF($A7="","",VLOOKUP($A7,'Annex 2 Designated EHV charges'!$D:$O,2,0))</f>
        <v>410</v>
      </c>
      <c r="C7" s="95">
        <f>IF($A7="","",VLOOKUP($A7,'Annex 2 Designated EHV charges'!$D:$O,3,0))</f>
        <v>1050002055567</v>
      </c>
      <c r="D7" s="94" t="str">
        <f>IF($A7="","",VLOOKUP($A7,'Annex 2 Designated EHV charges'!$D:$O,4,0))</f>
        <v>BREFC2</v>
      </c>
      <c r="E7" s="96" t="str">
        <f>IFERROR(IF(VLOOKUP($A7,'Annex 2 Designated EHV charges'!$D:$P,10,FALSE)=0,"",VLOOKUP($A7,'Annex 2 Designated EHV charges'!$D:$P,10,FALSE)),"")</f>
        <v/>
      </c>
      <c r="F7" s="195">
        <f>IFERROR(IF(VLOOKUP($A7,'Annex 2 Designated EHV charges'!$D:$P,11,FALSE)=0,"",VLOOKUP($A7,'Annex 2 Designated EHV charges'!$D:$P,11,FALSE)),"")</f>
        <v>46.85</v>
      </c>
      <c r="G7" s="195">
        <f>IFERROR(IF(VLOOKUP($A7,'Annex 2 Designated EHV charges'!$D:$P,12,FALSE)=0,"",VLOOKUP($A7,'Annex 2 Designated EHV charges'!$D:$P,12,FALSE)),"")</f>
        <v>0.05</v>
      </c>
      <c r="H7" s="195">
        <f>IFERROR(IF(VLOOKUP($A7,'Annex 2 Designated EHV charges'!$D:$P,13,FALSE)=0,"",VLOOKUP($A7,'Annex 2 Designated EHV charges'!$D:$P,13,FALSE)),"")</f>
        <v>0.05</v>
      </c>
    </row>
    <row r="8" spans="1:15" x14ac:dyDescent="0.2">
      <c r="A8" s="95" t="str" cm="1">
        <f t="array" ref="A8">IFERROR(INDEX('Annex 2 Designated EHV charges'!$D$10:$D$401, MATCH(0, IF(ISBLANK('Annex 2 Designated EHV charges'!$D$10:$D$401),1, COUNTIF(A$4:$A7, 'Annex 2 Designated EHV charges'!$D$10:$D$401)), 0)),"")</f>
        <v>CROWNP</v>
      </c>
      <c r="B8" s="94">
        <f>IF($A8="","",VLOOKUP($A8,'Annex 2 Designated EHV charges'!$D:$O,2,0))</f>
        <v>413</v>
      </c>
      <c r="C8" s="95">
        <f>IF($A8="","",VLOOKUP($A8,'Annex 2 Designated EHV charges'!$D:$O,3,0))</f>
        <v>1050002018370</v>
      </c>
      <c r="D8" s="94" t="str">
        <f>IF($A8="","",VLOOKUP($A8,'Annex 2 Designated EHV charges'!$D:$O,4,0))</f>
        <v>CROWNP</v>
      </c>
      <c r="E8" s="96" t="str">
        <f>IFERROR(IF(VLOOKUP($A8,'Annex 2 Designated EHV charges'!$D:$P,10,FALSE)=0,"",VLOOKUP($A8,'Annex 2 Designated EHV charges'!$D:$P,10,FALSE)),"")</f>
        <v/>
      </c>
      <c r="F8" s="195">
        <f>IFERROR(IF(VLOOKUP($A8,'Annex 2 Designated EHV charges'!$D:$P,11,FALSE)=0,"",VLOOKUP($A8,'Annex 2 Designated EHV charges'!$D:$P,11,FALSE)),"")</f>
        <v>1246.3699999999999</v>
      </c>
      <c r="G8" s="195">
        <f>IFERROR(IF(VLOOKUP($A8,'Annex 2 Designated EHV charges'!$D:$P,12,FALSE)=0,"",VLOOKUP($A8,'Annex 2 Designated EHV charges'!$D:$P,12,FALSE)),"")</f>
        <v>0.05</v>
      </c>
      <c r="H8" s="195">
        <f>IFERROR(IF(VLOOKUP($A8,'Annex 2 Designated EHV charges'!$D:$P,13,FALSE)=0,"",VLOOKUP($A8,'Annex 2 Designated EHV charges'!$D:$P,13,FALSE)),"")</f>
        <v>0.05</v>
      </c>
    </row>
    <row r="9" spans="1:15" ht="25.5" x14ac:dyDescent="0.2">
      <c r="A9" s="95" t="str" cm="1">
        <f t="array" ref="A9">IFERROR(INDEX('Annex 2 Designated EHV charges'!$D$10:$D$401, MATCH(0, IF(ISBLANK('Annex 2 Designated EHV charges'!$D$10:$D$401),1, COUNTIF(A$4:$A8, 'Annex 2 Designated EHV charges'!$D$10:$D$401)), 0)),"")</f>
        <v>ESWMID</v>
      </c>
      <c r="B9" s="94">
        <f>IF($A9="","",VLOOKUP($A9,'Annex 2 Designated EHV charges'!$D:$O,2,0))</f>
        <v>432</v>
      </c>
      <c r="C9" s="95" t="str">
        <f>IF($A9="","",VLOOKUP($A9,'Annex 2 Designated EHV charges'!$D:$O,3,0))</f>
        <v>1023518907371;1023518908064</v>
      </c>
      <c r="D9" s="94" t="str">
        <f>IF($A9="","",VLOOKUP($A9,'Annex 2 Designated EHV charges'!$D:$O,4,0))</f>
        <v>ESWMID</v>
      </c>
      <c r="E9" s="96">
        <f>IFERROR(IF(VLOOKUP($A9,'Annex 2 Designated EHV charges'!$D:$P,10,FALSE)=0,"",VLOOKUP($A9,'Annex 2 Designated EHV charges'!$D:$P,10,FALSE)),"")</f>
        <v>-4.6079999999999997</v>
      </c>
      <c r="F9" s="195">
        <f>IFERROR(IF(VLOOKUP($A9,'Annex 2 Designated EHV charges'!$D:$P,11,FALSE)=0,"",VLOOKUP($A9,'Annex 2 Designated EHV charges'!$D:$P,11,FALSE)),"")</f>
        <v>29.14</v>
      </c>
      <c r="G9" s="195">
        <f>IFERROR(IF(VLOOKUP($A9,'Annex 2 Designated EHV charges'!$D:$P,12,FALSE)=0,"",VLOOKUP($A9,'Annex 2 Designated EHV charges'!$D:$P,12,FALSE)),"")</f>
        <v>0.05</v>
      </c>
      <c r="H9" s="195">
        <f>IFERROR(IF(VLOOKUP($A9,'Annex 2 Designated EHV charges'!$D:$P,13,FALSE)=0,"",VLOOKUP($A9,'Annex 2 Designated EHV charges'!$D:$P,13,FALSE)),"")</f>
        <v>0.05</v>
      </c>
    </row>
    <row r="10" spans="1:15" ht="25.5" x14ac:dyDescent="0.2">
      <c r="A10" s="95" t="str" cm="1">
        <f t="array" ref="A10">IFERROR(INDEX('Annex 2 Designated EHV charges'!$D$10:$D$401, MATCH(0, IF(ISBLANK('Annex 2 Designated EHV charges'!$D$10:$D$401),1, COUNTIF(A$4:$A9, 'Annex 2 Designated EHV charges'!$D$10:$D$401)), 0)),"")</f>
        <v>GLXOWR</v>
      </c>
      <c r="B10" s="94">
        <f>IF($A10="","",VLOOKUP($A10,'Annex 2 Designated EHV charges'!$D:$O,2,0))</f>
        <v>433</v>
      </c>
      <c r="C10" s="95" t="str">
        <f>IF($A10="","",VLOOKUP($A10,'Annex 2 Designated EHV charges'!$D:$O,3,0))</f>
        <v>1030074763118;1030074763340</v>
      </c>
      <c r="D10" s="94" t="str">
        <f>IF($A10="","",VLOOKUP($A10,'Annex 2 Designated EHV charges'!$D:$O,4,0))</f>
        <v>GLXOWR</v>
      </c>
      <c r="E10" s="96" t="str">
        <f>IFERROR(IF(VLOOKUP($A10,'Annex 2 Designated EHV charges'!$D:$P,10,FALSE)=0,"",VLOOKUP($A10,'Annex 2 Designated EHV charges'!$D:$P,10,FALSE)),"")</f>
        <v/>
      </c>
      <c r="F10" s="195" t="str">
        <f>IFERROR(IF(VLOOKUP($A10,'Annex 2 Designated EHV charges'!$D:$P,11,FALSE)=0,"",VLOOKUP($A10,'Annex 2 Designated EHV charges'!$D:$P,11,FALSE)),"")</f>
        <v/>
      </c>
      <c r="G10" s="195" t="str">
        <f>IFERROR(IF(VLOOKUP($A10,'Annex 2 Designated EHV charges'!$D:$P,12,FALSE)=0,"",VLOOKUP($A10,'Annex 2 Designated EHV charges'!$D:$P,12,FALSE)),"")</f>
        <v/>
      </c>
      <c r="H10" s="195" t="str">
        <f>IFERROR(IF(VLOOKUP($A10,'Annex 2 Designated EHV charges'!$D:$P,13,FALSE)=0,"",VLOOKUP($A10,'Annex 2 Designated EHV charges'!$D:$P,13,FALSE)),"")</f>
        <v/>
      </c>
    </row>
    <row r="11" spans="1:15" x14ac:dyDescent="0.2">
      <c r="A11" s="95" t="str" cm="1">
        <f t="array" ref="A11">IFERROR(INDEX('Annex 2 Designated EHV charges'!$D$10:$D$401, MATCH(0, IF(ISBLANK('Annex 2 Designated EHV charges'!$D$10:$D$401),1, COUNTIF(A$4:$A10, 'Annex 2 Designated EHV charges'!$D$10:$D$401)), 0)),"")</f>
        <v>NR_BAS</v>
      </c>
      <c r="B11" s="94">
        <f>IF($A11="","",VLOOKUP($A11,'Annex 2 Designated EHV charges'!$D:$O,2,0))</f>
        <v>722</v>
      </c>
      <c r="C11" s="95">
        <f>IF($A11="","",VLOOKUP($A11,'Annex 2 Designated EHV charges'!$D:$O,3,0))</f>
        <v>1023545945010</v>
      </c>
      <c r="D11" s="94" t="str">
        <f>IF($A11="","",VLOOKUP($A11,'Annex 2 Designated EHV charges'!$D:$O,4,0))</f>
        <v>NR_BAS</v>
      </c>
      <c r="E11" s="96" t="str">
        <f>IFERROR(IF(VLOOKUP($A11,'Annex 2 Designated EHV charges'!$D:$P,10,FALSE)=0,"",VLOOKUP($A11,'Annex 2 Designated EHV charges'!$D:$P,10,FALSE)),"")</f>
        <v/>
      </c>
      <c r="F11" s="195" t="str">
        <f>IFERROR(IF(VLOOKUP($A11,'Annex 2 Designated EHV charges'!$D:$P,11,FALSE)=0,"",VLOOKUP($A11,'Annex 2 Designated EHV charges'!$D:$P,11,FALSE)),"")</f>
        <v/>
      </c>
      <c r="G11" s="195" t="str">
        <f>IFERROR(IF(VLOOKUP($A11,'Annex 2 Designated EHV charges'!$D:$P,12,FALSE)=0,"",VLOOKUP($A11,'Annex 2 Designated EHV charges'!$D:$P,12,FALSE)),"")</f>
        <v/>
      </c>
      <c r="H11" s="195" t="str">
        <f>IFERROR(IF(VLOOKUP($A11,'Annex 2 Designated EHV charges'!$D:$P,13,FALSE)=0,"",VLOOKUP($A11,'Annex 2 Designated EHV charges'!$D:$P,13,FALSE)),"")</f>
        <v/>
      </c>
    </row>
    <row r="12" spans="1:15" ht="25.5" x14ac:dyDescent="0.2">
      <c r="A12" s="95" t="str" cm="1">
        <f t="array" ref="A12">IFERROR(INDEX('Annex 2 Designated EHV charges'!$D$10:$D$401, MATCH(0, IF(ISBLANK('Annex 2 Designated EHV charges'!$D$10:$D$401),1, COUNTIF(A$4:$A11, 'Annex 2 Designated EHV charges'!$D$10:$D$401)), 0)),"")</f>
        <v>NR_COL</v>
      </c>
      <c r="B12" s="94">
        <f>IF($A12="","",VLOOKUP($A12,'Annex 2 Designated EHV charges'!$D:$O,2,0))</f>
        <v>720</v>
      </c>
      <c r="C12" s="95" t="str">
        <f>IF($A12="","",VLOOKUP($A12,'Annex 2 Designated EHV charges'!$D:$O,3,0))</f>
        <v>1023545945047;1030077668707</v>
      </c>
      <c r="D12" s="94" t="str">
        <f>IF($A12="","",VLOOKUP($A12,'Annex 2 Designated EHV charges'!$D:$O,4,0))</f>
        <v>NR_COL</v>
      </c>
      <c r="E12" s="96" t="str">
        <f>IFERROR(IF(VLOOKUP($A12,'Annex 2 Designated EHV charges'!$D:$P,10,FALSE)=0,"",VLOOKUP($A12,'Annex 2 Designated EHV charges'!$D:$P,10,FALSE)),"")</f>
        <v/>
      </c>
      <c r="F12" s="195">
        <f>IFERROR(IF(VLOOKUP($A12,'Annex 2 Designated EHV charges'!$D:$P,11,FALSE)=0,"",VLOOKUP($A12,'Annex 2 Designated EHV charges'!$D:$P,11,FALSE)),"")</f>
        <v>3831.63</v>
      </c>
      <c r="G12" s="195">
        <f>IFERROR(IF(VLOOKUP($A12,'Annex 2 Designated EHV charges'!$D:$P,12,FALSE)=0,"",VLOOKUP($A12,'Annex 2 Designated EHV charges'!$D:$P,12,FALSE)),"")</f>
        <v>0.05</v>
      </c>
      <c r="H12" s="195">
        <f>IFERROR(IF(VLOOKUP($A12,'Annex 2 Designated EHV charges'!$D:$P,13,FALSE)=0,"",VLOOKUP($A12,'Annex 2 Designated EHV charges'!$D:$P,13,FALSE)),"")</f>
        <v>0.05</v>
      </c>
    </row>
    <row r="13" spans="1:15" x14ac:dyDescent="0.2">
      <c r="A13" s="95" t="str" cm="1">
        <f t="array" ref="A13">IFERROR(INDEX('Annex 2 Designated EHV charges'!$D$10:$D$401, MATCH(0, IF(ISBLANK('Annex 2 Designated EHV charges'!$D$10:$D$401),1, COUNTIF(A$4:$A12, 'Annex 2 Designated EHV charges'!$D$10:$D$401)), 0)),"")</f>
        <v>NR_CRW</v>
      </c>
      <c r="B13" s="94">
        <f>IF($A13="","",VLOOKUP($A13,'Annex 2 Designated EHV charges'!$D:$O,2,0))</f>
        <v>721</v>
      </c>
      <c r="C13" s="95">
        <f>IF($A13="","",VLOOKUP($A13,'Annex 2 Designated EHV charges'!$D:$O,3,0))</f>
        <v>1023545945029</v>
      </c>
      <c r="D13" s="94" t="str">
        <f>IF($A13="","",VLOOKUP($A13,'Annex 2 Designated EHV charges'!$D:$O,4,0))</f>
        <v>NR_CRW</v>
      </c>
      <c r="E13" s="96" t="str">
        <f>IFERROR(IF(VLOOKUP($A13,'Annex 2 Designated EHV charges'!$D:$P,10,FALSE)=0,"",VLOOKUP($A13,'Annex 2 Designated EHV charges'!$D:$P,10,FALSE)),"")</f>
        <v/>
      </c>
      <c r="F13" s="195" t="str">
        <f>IFERROR(IF(VLOOKUP($A13,'Annex 2 Designated EHV charges'!$D:$P,11,FALSE)=0,"",VLOOKUP($A13,'Annex 2 Designated EHV charges'!$D:$P,11,FALSE)),"")</f>
        <v/>
      </c>
      <c r="G13" s="195" t="str">
        <f>IFERROR(IF(VLOOKUP($A13,'Annex 2 Designated EHV charges'!$D:$P,12,FALSE)=0,"",VLOOKUP($A13,'Annex 2 Designated EHV charges'!$D:$P,12,FALSE)),"")</f>
        <v/>
      </c>
      <c r="H13" s="195" t="str">
        <f>IFERROR(IF(VLOOKUP($A13,'Annex 2 Designated EHV charges'!$D:$P,13,FALSE)=0,"",VLOOKUP($A13,'Annex 2 Designated EHV charges'!$D:$P,13,FALSE)),"")</f>
        <v/>
      </c>
    </row>
    <row r="14" spans="1:15" x14ac:dyDescent="0.2">
      <c r="A14" s="95" t="str" cm="1">
        <f t="array" ref="A14">IFERROR(INDEX('Annex 2 Designated EHV charges'!$D$10:$D$401, MATCH(0, IF(ISBLANK('Annex 2 Designated EHV charges'!$D$10:$D$401),1, COUNTIF(A$4:$A13, 'Annex 2 Designated EHV charges'!$D$10:$D$401)), 0)),"")</f>
        <v>NR_KNG</v>
      </c>
      <c r="B14" s="94">
        <f>IF($A14="","",VLOOKUP($A14,'Annex 2 Designated EHV charges'!$D:$O,2,0))</f>
        <v>472</v>
      </c>
      <c r="C14" s="95">
        <f>IF($A14="","",VLOOKUP($A14,'Annex 2 Designated EHV charges'!$D:$O,3,0))</f>
        <v>1050000419767</v>
      </c>
      <c r="D14" s="94" t="str">
        <f>IF($A14="","",VLOOKUP($A14,'Annex 2 Designated EHV charges'!$D:$O,4,0))</f>
        <v>NR_KNG</v>
      </c>
      <c r="E14" s="96" t="str">
        <f>IFERROR(IF(VLOOKUP($A14,'Annex 2 Designated EHV charges'!$D:$P,10,FALSE)=0,"",VLOOKUP($A14,'Annex 2 Designated EHV charges'!$D:$P,10,FALSE)),"")</f>
        <v/>
      </c>
      <c r="F14" s="195" t="str">
        <f>IFERROR(IF(VLOOKUP($A14,'Annex 2 Designated EHV charges'!$D:$P,11,FALSE)=0,"",VLOOKUP($A14,'Annex 2 Designated EHV charges'!$D:$P,11,FALSE)),"")</f>
        <v/>
      </c>
      <c r="G14" s="195" t="str">
        <f>IFERROR(IF(VLOOKUP($A14,'Annex 2 Designated EHV charges'!$D:$P,12,FALSE)=0,"",VLOOKUP($A14,'Annex 2 Designated EHV charges'!$D:$P,12,FALSE)),"")</f>
        <v/>
      </c>
      <c r="H14" s="195" t="str">
        <f>IFERROR(IF(VLOOKUP($A14,'Annex 2 Designated EHV charges'!$D:$P,13,FALSE)=0,"",VLOOKUP($A14,'Annex 2 Designated EHV charges'!$D:$P,13,FALSE)),"")</f>
        <v/>
      </c>
    </row>
    <row r="15" spans="1:15" x14ac:dyDescent="0.2">
      <c r="A15" s="95" t="str" cm="1">
        <f t="array" ref="A15">IFERROR(INDEX('Annex 2 Designated EHV charges'!$D$10:$D$401, MATCH(0, IF(ISBLANK('Annex 2 Designated EHV charges'!$D$10:$D$401),1, COUNTIF(A$4:$A14, 'Annex 2 Designated EHV charges'!$D$10:$D$401)), 0)),"")</f>
        <v>NR_MAN</v>
      </c>
      <c r="B15" s="94">
        <f>IF($A15="","",VLOOKUP($A15,'Annex 2 Designated EHV charges'!$D:$O,2,0))</f>
        <v>723</v>
      </c>
      <c r="C15" s="95">
        <f>IF($A15="","",VLOOKUP($A15,'Annex 2 Designated EHV charges'!$D:$O,3,0))</f>
        <v>1023545947499</v>
      </c>
      <c r="D15" s="94" t="str">
        <f>IF($A15="","",VLOOKUP($A15,'Annex 2 Designated EHV charges'!$D:$O,4,0))</f>
        <v>NR_MAN</v>
      </c>
      <c r="E15" s="96" t="str">
        <f>IFERROR(IF(VLOOKUP($A15,'Annex 2 Designated EHV charges'!$D:$P,10,FALSE)=0,"",VLOOKUP($A15,'Annex 2 Designated EHV charges'!$D:$P,10,FALSE)),"")</f>
        <v/>
      </c>
      <c r="F15" s="195" t="str">
        <f>IFERROR(IF(VLOOKUP($A15,'Annex 2 Designated EHV charges'!$D:$P,11,FALSE)=0,"",VLOOKUP($A15,'Annex 2 Designated EHV charges'!$D:$P,11,FALSE)),"")</f>
        <v/>
      </c>
      <c r="G15" s="195" t="str">
        <f>IFERROR(IF(VLOOKUP($A15,'Annex 2 Designated EHV charges'!$D:$P,12,FALSE)=0,"",VLOOKUP($A15,'Annex 2 Designated EHV charges'!$D:$P,12,FALSE)),"")</f>
        <v/>
      </c>
      <c r="H15" s="195" t="str">
        <f>IFERROR(IF(VLOOKUP($A15,'Annex 2 Designated EHV charges'!$D:$P,13,FALSE)=0,"",VLOOKUP($A15,'Annex 2 Designated EHV charges'!$D:$P,13,FALSE)),"")</f>
        <v/>
      </c>
    </row>
    <row r="16" spans="1:15" x14ac:dyDescent="0.2">
      <c r="A16" s="95" t="str" cm="1">
        <f t="array" ref="A16">IFERROR(INDEX('Annex 2 Designated EHV charges'!$D$10:$D$401, MATCH(0, IF(ISBLANK('Annex 2 Designated EHV charges'!$D$10:$D$401),1, COUNTIF(A$4:$A15, 'Annex 2 Designated EHV charges'!$D$10:$D$401)), 0)),"")</f>
        <v>NR_MIL</v>
      </c>
      <c r="B16" s="94">
        <f>IF($A16="","",VLOOKUP($A16,'Annex 2 Designated EHV charges'!$D:$O,2,0))</f>
        <v>473</v>
      </c>
      <c r="C16" s="95">
        <f>IF($A16="","",VLOOKUP($A16,'Annex 2 Designated EHV charges'!$D:$O,3,0))</f>
        <v>1050000419785</v>
      </c>
      <c r="D16" s="94" t="str">
        <f>IF($A16="","",VLOOKUP($A16,'Annex 2 Designated EHV charges'!$D:$O,4,0))</f>
        <v>NR_MIL</v>
      </c>
      <c r="E16" s="96" t="str">
        <f>IFERROR(IF(VLOOKUP($A16,'Annex 2 Designated EHV charges'!$D:$P,10,FALSE)=0,"",VLOOKUP($A16,'Annex 2 Designated EHV charges'!$D:$P,10,FALSE)),"")</f>
        <v/>
      </c>
      <c r="F16" s="195" t="str">
        <f>IFERROR(IF(VLOOKUP($A16,'Annex 2 Designated EHV charges'!$D:$P,11,FALSE)=0,"",VLOOKUP($A16,'Annex 2 Designated EHV charges'!$D:$P,11,FALSE)),"")</f>
        <v/>
      </c>
      <c r="G16" s="195" t="str">
        <f>IFERROR(IF(VLOOKUP($A16,'Annex 2 Designated EHV charges'!$D:$P,12,FALSE)=0,"",VLOOKUP($A16,'Annex 2 Designated EHV charges'!$D:$P,12,FALSE)),"")</f>
        <v/>
      </c>
      <c r="H16" s="195" t="str">
        <f>IFERROR(IF(VLOOKUP($A16,'Annex 2 Designated EHV charges'!$D:$P,13,FALSE)=0,"",VLOOKUP($A16,'Annex 2 Designated EHV charges'!$D:$P,13,FALSE)),"")</f>
        <v/>
      </c>
    </row>
    <row r="17" spans="1:8" x14ac:dyDescent="0.2">
      <c r="A17" s="95" t="str" cm="1">
        <f t="array" ref="A17">IFERROR(INDEX('Annex 2 Designated EHV charges'!$D$10:$D$401, MATCH(0, IF(ISBLANK('Annex 2 Designated EHV charges'!$D$10:$D$401),1, COUNTIF(A$4:$A16, 'Annex 2 Designated EHV charges'!$D$10:$D$401)), 0)),"")</f>
        <v>NR_NRW</v>
      </c>
      <c r="B17" s="94">
        <f>IF($A17="","",VLOOKUP($A17,'Annex 2 Designated EHV charges'!$D:$O,2,0))</f>
        <v>724</v>
      </c>
      <c r="C17" s="95">
        <f>IF($A17="","",VLOOKUP($A17,'Annex 2 Designated EHV charges'!$D:$O,3,0))</f>
        <v>1023545944902</v>
      </c>
      <c r="D17" s="94" t="str">
        <f>IF($A17="","",VLOOKUP($A17,'Annex 2 Designated EHV charges'!$D:$O,4,0))</f>
        <v>NR_NRW</v>
      </c>
      <c r="E17" s="96" t="str">
        <f>IFERROR(IF(VLOOKUP($A17,'Annex 2 Designated EHV charges'!$D:$P,10,FALSE)=0,"",VLOOKUP($A17,'Annex 2 Designated EHV charges'!$D:$P,10,FALSE)),"")</f>
        <v/>
      </c>
      <c r="F17" s="195" t="str">
        <f>IFERROR(IF(VLOOKUP($A17,'Annex 2 Designated EHV charges'!$D:$P,11,FALSE)=0,"",VLOOKUP($A17,'Annex 2 Designated EHV charges'!$D:$P,11,FALSE)),"")</f>
        <v/>
      </c>
      <c r="G17" s="195" t="str">
        <f>IFERROR(IF(VLOOKUP($A17,'Annex 2 Designated EHV charges'!$D:$P,12,FALSE)=0,"",VLOOKUP($A17,'Annex 2 Designated EHV charges'!$D:$P,12,FALSE)),"")</f>
        <v/>
      </c>
      <c r="H17" s="195" t="str">
        <f>IFERROR(IF(VLOOKUP($A17,'Annex 2 Designated EHV charges'!$D:$P,13,FALSE)=0,"",VLOOKUP($A17,'Annex 2 Designated EHV charges'!$D:$P,13,FALSE)),"")</f>
        <v/>
      </c>
    </row>
    <row r="18" spans="1:8" x14ac:dyDescent="0.2">
      <c r="A18" s="95" t="str" cm="1">
        <f t="array" ref="A18">IFERROR(INDEX('Annex 2 Designated EHV charges'!$D$10:$D$401, MATCH(0, IF(ISBLANK('Annex 2 Designated EHV charges'!$D$10:$D$401),1, COUNTIF(A$4:$A17, 'Annex 2 Designated EHV charges'!$D$10:$D$401)), 0)),"")</f>
        <v>NR_RAY</v>
      </c>
      <c r="B18" s="94">
        <f>IF($A18="","",VLOOKUP($A18,'Annex 2 Designated EHV charges'!$D:$O,2,0))</f>
        <v>725</v>
      </c>
      <c r="C18" s="95">
        <f>IF($A18="","",VLOOKUP($A18,'Annex 2 Designated EHV charges'!$D:$O,3,0))</f>
        <v>1023545944911</v>
      </c>
      <c r="D18" s="94" t="str">
        <f>IF($A18="","",VLOOKUP($A18,'Annex 2 Designated EHV charges'!$D:$O,4,0))</f>
        <v>NR_RAY</v>
      </c>
      <c r="E18" s="96" t="str">
        <f>IFERROR(IF(VLOOKUP($A18,'Annex 2 Designated EHV charges'!$D:$P,10,FALSE)=0,"",VLOOKUP($A18,'Annex 2 Designated EHV charges'!$D:$P,10,FALSE)),"")</f>
        <v/>
      </c>
      <c r="F18" s="195" t="str">
        <f>IFERROR(IF(VLOOKUP($A18,'Annex 2 Designated EHV charges'!$D:$P,11,FALSE)=0,"",VLOOKUP($A18,'Annex 2 Designated EHV charges'!$D:$P,11,FALSE)),"")</f>
        <v/>
      </c>
      <c r="G18" s="195" t="str">
        <f>IFERROR(IF(VLOOKUP($A18,'Annex 2 Designated EHV charges'!$D:$P,12,FALSE)=0,"",VLOOKUP($A18,'Annex 2 Designated EHV charges'!$D:$P,12,FALSE)),"")</f>
        <v/>
      </c>
      <c r="H18" s="195" t="str">
        <f>IFERROR(IF(VLOOKUP($A18,'Annex 2 Designated EHV charges'!$D:$P,13,FALSE)=0,"",VLOOKUP($A18,'Annex 2 Designated EHV charges'!$D:$P,13,FALSE)),"")</f>
        <v/>
      </c>
    </row>
    <row r="19" spans="1:8" x14ac:dyDescent="0.2">
      <c r="A19" s="95" t="str" cm="1">
        <f t="array" ref="A19">IFERROR(INDEX('Annex 2 Designated EHV charges'!$D$10:$D$401, MATCH(0, IF(ISBLANK('Annex 2 Designated EHV charges'!$D$10:$D$401),1, COUNTIF(A$4:$A18, 'Annex 2 Designated EHV charges'!$D$10:$D$401)), 0)),"")</f>
        <v>NR_RYE</v>
      </c>
      <c r="B19" s="94">
        <f>IF($A19="","",VLOOKUP($A19,'Annex 2 Designated EHV charges'!$D:$O,2,0))</f>
        <v>405</v>
      </c>
      <c r="C19" s="95">
        <f>IF($A19="","",VLOOKUP($A19,'Annex 2 Designated EHV charges'!$D:$O,3,0))</f>
        <v>1050000419837</v>
      </c>
      <c r="D19" s="94" t="str">
        <f>IF($A19="","",VLOOKUP($A19,'Annex 2 Designated EHV charges'!$D:$O,4,0))</f>
        <v>NR_RYE</v>
      </c>
      <c r="E19" s="96" t="str">
        <f>IFERROR(IF(VLOOKUP($A19,'Annex 2 Designated EHV charges'!$D:$P,10,FALSE)=0,"",VLOOKUP($A19,'Annex 2 Designated EHV charges'!$D:$P,10,FALSE)),"")</f>
        <v/>
      </c>
      <c r="F19" s="195" t="str">
        <f>IFERROR(IF(VLOOKUP($A19,'Annex 2 Designated EHV charges'!$D:$P,11,FALSE)=0,"",VLOOKUP($A19,'Annex 2 Designated EHV charges'!$D:$P,11,FALSE)),"")</f>
        <v/>
      </c>
      <c r="G19" s="195" t="str">
        <f>IFERROR(IF(VLOOKUP($A19,'Annex 2 Designated EHV charges'!$D:$P,12,FALSE)=0,"",VLOOKUP($A19,'Annex 2 Designated EHV charges'!$D:$P,12,FALSE)),"")</f>
        <v/>
      </c>
      <c r="H19" s="195" t="str">
        <f>IFERROR(IF(VLOOKUP($A19,'Annex 2 Designated EHV charges'!$D:$P,13,FALSE)=0,"",VLOOKUP($A19,'Annex 2 Designated EHV charges'!$D:$P,13,FALSE)),"")</f>
        <v/>
      </c>
    </row>
    <row r="20" spans="1:8" x14ac:dyDescent="0.2">
      <c r="A20" s="95" t="str" cm="1">
        <f t="array" ref="A20">IFERROR(INDEX('Annex 2 Designated EHV charges'!$D$10:$D$401, MATCH(0, IF(ISBLANK('Annex 2 Designated EHV charges'!$D$10:$D$401),1, COUNTIF(A$4:$A19, 'Annex 2 Designated EHV charges'!$D$10:$D$401)), 0)),"")</f>
        <v>NR_SED</v>
      </c>
      <c r="B20" s="94">
        <f>IF($A20="","",VLOOKUP($A20,'Annex 2 Designated EHV charges'!$D:$O,2,0))</f>
        <v>727</v>
      </c>
      <c r="C20" s="95">
        <f>IF($A20="","",VLOOKUP($A20,'Annex 2 Designated EHV charges'!$D:$O,3,0))</f>
        <v>1023545944920</v>
      </c>
      <c r="D20" s="94" t="str">
        <f>IF($A20="","",VLOOKUP($A20,'Annex 2 Designated EHV charges'!$D:$O,4,0))</f>
        <v>NR_SED</v>
      </c>
      <c r="E20" s="96" t="str">
        <f>IFERROR(IF(VLOOKUP($A20,'Annex 2 Designated EHV charges'!$D:$P,10,FALSE)=0,"",VLOOKUP($A20,'Annex 2 Designated EHV charges'!$D:$P,10,FALSE)),"")</f>
        <v/>
      </c>
      <c r="F20" s="195" t="str">
        <f>IFERROR(IF(VLOOKUP($A20,'Annex 2 Designated EHV charges'!$D:$P,11,FALSE)=0,"",VLOOKUP($A20,'Annex 2 Designated EHV charges'!$D:$P,11,FALSE)),"")</f>
        <v/>
      </c>
      <c r="G20" s="195" t="str">
        <f>IFERROR(IF(VLOOKUP($A20,'Annex 2 Designated EHV charges'!$D:$P,12,FALSE)=0,"",VLOOKUP($A20,'Annex 2 Designated EHV charges'!$D:$P,12,FALSE)),"")</f>
        <v/>
      </c>
      <c r="H20" s="195" t="str">
        <f>IFERROR(IF(VLOOKUP($A20,'Annex 2 Designated EHV charges'!$D:$P,13,FALSE)=0,"",VLOOKUP($A20,'Annex 2 Designated EHV charges'!$D:$P,13,FALSE)),"")</f>
        <v/>
      </c>
    </row>
    <row r="21" spans="1:8" x14ac:dyDescent="0.2">
      <c r="A21" s="95" t="str" cm="1">
        <f t="array" ref="A21">IFERROR(INDEX('Annex 2 Designated EHV charges'!$D$10:$D$401, MATCH(0, IF(ISBLANK('Annex 2 Designated EHV charges'!$D$10:$D$401),1, COUNTIF(A$4:$A20, 'Annex 2 Designated EHV charges'!$D$10:$D$401)), 0)),"")</f>
        <v>NR_SHN</v>
      </c>
      <c r="B21" s="94">
        <f>IF($A21="","",VLOOKUP($A21,'Annex 2 Designated EHV charges'!$D:$O,2,0))</f>
        <v>726</v>
      </c>
      <c r="C21" s="95">
        <f>IF($A21="","",VLOOKUP($A21,'Annex 2 Designated EHV charges'!$D:$O,3,0))</f>
        <v>1023545945056</v>
      </c>
      <c r="D21" s="94" t="str">
        <f>IF($A21="","",VLOOKUP($A21,'Annex 2 Designated EHV charges'!$D:$O,4,0))</f>
        <v>NR_SHN</v>
      </c>
      <c r="E21" s="96" t="str">
        <f>IFERROR(IF(VLOOKUP($A21,'Annex 2 Designated EHV charges'!$D:$P,10,FALSE)=0,"",VLOOKUP($A21,'Annex 2 Designated EHV charges'!$D:$P,10,FALSE)),"")</f>
        <v/>
      </c>
      <c r="F21" s="195" t="str">
        <f>IFERROR(IF(VLOOKUP($A21,'Annex 2 Designated EHV charges'!$D:$P,11,FALSE)=0,"",VLOOKUP($A21,'Annex 2 Designated EHV charges'!$D:$P,11,FALSE)),"")</f>
        <v/>
      </c>
      <c r="G21" s="195" t="str">
        <f>IFERROR(IF(VLOOKUP($A21,'Annex 2 Designated EHV charges'!$D:$P,12,FALSE)=0,"",VLOOKUP($A21,'Annex 2 Designated EHV charges'!$D:$P,12,FALSE)),"")</f>
        <v/>
      </c>
      <c r="H21" s="195" t="str">
        <f>IFERROR(IF(VLOOKUP($A21,'Annex 2 Designated EHV charges'!$D:$P,13,FALSE)=0,"",VLOOKUP($A21,'Annex 2 Designated EHV charges'!$D:$P,13,FALSE)),"")</f>
        <v/>
      </c>
    </row>
    <row r="22" spans="1:8" x14ac:dyDescent="0.2">
      <c r="A22" s="95" t="str" cm="1">
        <f t="array" ref="A22">IFERROR(INDEX('Annex 2 Designated EHV charges'!$D$10:$D$401, MATCH(0, IF(ISBLANK('Annex 2 Designated EHV charges'!$D$10:$D$401),1, COUNTIF(A$4:$A21, 'Annex 2 Designated EHV charges'!$D$10:$D$401)), 0)),"")</f>
        <v>NR_SPR</v>
      </c>
      <c r="B22" s="94">
        <f>IF($A22="","",VLOOKUP($A22,'Annex 2 Designated EHV charges'!$D:$O,2,0))</f>
        <v>728</v>
      </c>
      <c r="C22" s="95">
        <f>IF($A22="","",VLOOKUP($A22,'Annex 2 Designated EHV charges'!$D:$O,3,0))</f>
        <v>1023545944930</v>
      </c>
      <c r="D22" s="94" t="str">
        <f>IF($A22="","",VLOOKUP($A22,'Annex 2 Designated EHV charges'!$D:$O,4,0))</f>
        <v>NR_SPR</v>
      </c>
      <c r="E22" s="96" t="str">
        <f>IFERROR(IF(VLOOKUP($A22,'Annex 2 Designated EHV charges'!$D:$P,10,FALSE)=0,"",VLOOKUP($A22,'Annex 2 Designated EHV charges'!$D:$P,10,FALSE)),"")</f>
        <v/>
      </c>
      <c r="F22" s="195" t="str">
        <f>IFERROR(IF(VLOOKUP($A22,'Annex 2 Designated EHV charges'!$D:$P,11,FALSE)=0,"",VLOOKUP($A22,'Annex 2 Designated EHV charges'!$D:$P,11,FALSE)),"")</f>
        <v/>
      </c>
      <c r="G22" s="195" t="str">
        <f>IFERROR(IF(VLOOKUP($A22,'Annex 2 Designated EHV charges'!$D:$P,12,FALSE)=0,"",VLOOKUP($A22,'Annex 2 Designated EHV charges'!$D:$P,12,FALSE)),"")</f>
        <v/>
      </c>
      <c r="H22" s="195" t="str">
        <f>IFERROR(IF(VLOOKUP($A22,'Annex 2 Designated EHV charges'!$D:$P,13,FALSE)=0,"",VLOOKUP($A22,'Annex 2 Designated EHV charges'!$D:$P,13,FALSE)),"")</f>
        <v/>
      </c>
    </row>
    <row r="23" spans="1:8" x14ac:dyDescent="0.2">
      <c r="A23" s="95" t="str" cm="1">
        <f t="array" ref="A23">IFERROR(INDEX('Annex 2 Designated EHV charges'!$D$10:$D$401, MATCH(0, IF(ISBLANK('Annex 2 Designated EHV charges'!$D$10:$D$401),1, COUNTIF(A$4:$A22, 'Annex 2 Designated EHV charges'!$D$10:$D$401)), 0)),"")</f>
        <v>NR_STW</v>
      </c>
      <c r="B23" s="94">
        <f>IF($A23="","",VLOOKUP($A23,'Annex 2 Designated EHV charges'!$D:$O,2,0))</f>
        <v>729</v>
      </c>
      <c r="C23" s="95">
        <f>IF($A23="","",VLOOKUP($A23,'Annex 2 Designated EHV charges'!$D:$O,3,0))</f>
        <v>1023545947968</v>
      </c>
      <c r="D23" s="94" t="str">
        <f>IF($A23="","",VLOOKUP($A23,'Annex 2 Designated EHV charges'!$D:$O,4,0))</f>
        <v>NR_STW</v>
      </c>
      <c r="E23" s="96" t="str">
        <f>IFERROR(IF(VLOOKUP($A23,'Annex 2 Designated EHV charges'!$D:$P,10,FALSE)=0,"",VLOOKUP($A23,'Annex 2 Designated EHV charges'!$D:$P,10,FALSE)),"")</f>
        <v/>
      </c>
      <c r="F23" s="195" t="str">
        <f>IFERROR(IF(VLOOKUP($A23,'Annex 2 Designated EHV charges'!$D:$P,11,FALSE)=0,"",VLOOKUP($A23,'Annex 2 Designated EHV charges'!$D:$P,11,FALSE)),"")</f>
        <v/>
      </c>
      <c r="G23" s="195" t="str">
        <f>IFERROR(IF(VLOOKUP($A23,'Annex 2 Designated EHV charges'!$D:$P,12,FALSE)=0,"",VLOOKUP($A23,'Annex 2 Designated EHV charges'!$D:$P,12,FALSE)),"")</f>
        <v/>
      </c>
      <c r="H23" s="195" t="str">
        <f>IFERROR(IF(VLOOKUP($A23,'Annex 2 Designated EHV charges'!$D:$P,13,FALSE)=0,"",VLOOKUP($A23,'Annex 2 Designated EHV charges'!$D:$P,13,FALSE)),"")</f>
        <v/>
      </c>
    </row>
    <row r="24" spans="1:8" ht="25.5" x14ac:dyDescent="0.2">
      <c r="A24" s="95" t="str" cm="1">
        <f t="array" ref="A24">IFERROR(INDEX('Annex 2 Designated EHV charges'!$D$10:$D$401, MATCH(0, IF(ISBLANK('Annex 2 Designated EHV charges'!$D$10:$D$401),1, COUNTIF(A$4:$A23, 'Annex 2 Designated EHV charges'!$D$10:$D$401)), 0)),"")</f>
        <v>PLMPPR</v>
      </c>
      <c r="B24" s="94">
        <f>IF($A24="","",VLOOKUP($A24,'Annex 2 Designated EHV charges'!$D:$O,2,0))</f>
        <v>434</v>
      </c>
      <c r="C24" s="95" t="str">
        <f>IF($A24="","",VLOOKUP($A24,'Annex 2 Designated EHV charges'!$D:$O,3,0))</f>
        <v>1050001450466;1050001450475</v>
      </c>
      <c r="D24" s="94" t="str">
        <f>IF($A24="","",VLOOKUP($A24,'Annex 2 Designated EHV charges'!$D:$O,4,0))</f>
        <v>PLMPPR</v>
      </c>
      <c r="E24" s="96" t="str">
        <f>IFERROR(IF(VLOOKUP($A24,'Annex 2 Designated EHV charges'!$D:$P,10,FALSE)=0,"",VLOOKUP($A24,'Annex 2 Designated EHV charges'!$D:$P,10,FALSE)),"")</f>
        <v/>
      </c>
      <c r="F24" s="195">
        <f>IFERROR(IF(VLOOKUP($A24,'Annex 2 Designated EHV charges'!$D:$P,11,FALSE)=0,"",VLOOKUP($A24,'Annex 2 Designated EHV charges'!$D:$P,11,FALSE)),"")</f>
        <v>1447.85</v>
      </c>
      <c r="G24" s="195">
        <f>IFERROR(IF(VLOOKUP($A24,'Annex 2 Designated EHV charges'!$D:$P,12,FALSE)=0,"",VLOOKUP($A24,'Annex 2 Designated EHV charges'!$D:$P,12,FALSE)),"")</f>
        <v>0.05</v>
      </c>
      <c r="H24" s="195">
        <f>IFERROR(IF(VLOOKUP($A24,'Annex 2 Designated EHV charges'!$D:$P,13,FALSE)=0,"",VLOOKUP($A24,'Annex 2 Designated EHV charges'!$D:$P,13,FALSE)),"")</f>
        <v>0.05</v>
      </c>
    </row>
    <row r="25" spans="1:8" ht="38.25" x14ac:dyDescent="0.2">
      <c r="A25" s="95" t="str" cm="1">
        <f t="array" ref="A25">IFERROR(INDEX('Annex 2 Designated EHV charges'!$D$10:$D$401, MATCH(0, IF(ISBLANK('Annex 2 Designated EHV charges'!$D$10:$D$401),1, COUNTIF(A$4:$A24, 'Annex 2 Designated EHV charges'!$D$10:$D$401)), 0)),"")</f>
        <v>TILBUR</v>
      </c>
      <c r="B25" s="94">
        <f>IF($A25="","",VLOOKUP($A25,'Annex 2 Designated EHV charges'!$D:$O,2,0))</f>
        <v>733</v>
      </c>
      <c r="C25" s="95" t="str">
        <f>IF($A25="","",VLOOKUP($A25,'Annex 2 Designated EHV charges'!$D:$O,3,0))</f>
        <v>1030084129409;1030084129630;1030084129862</v>
      </c>
      <c r="D25" s="94" t="str">
        <f>IF($A25="","",VLOOKUP($A25,'Annex 2 Designated EHV charges'!$D:$O,4,0))</f>
        <v>TILBUR</v>
      </c>
      <c r="E25" s="96" t="str">
        <f>IFERROR(IF(VLOOKUP($A25,'Annex 2 Designated EHV charges'!$D:$P,10,FALSE)=0,"",VLOOKUP($A25,'Annex 2 Designated EHV charges'!$D:$P,10,FALSE)),"")</f>
        <v/>
      </c>
      <c r="F25" s="195">
        <f>IFERROR(IF(VLOOKUP($A25,'Annex 2 Designated EHV charges'!$D:$P,11,FALSE)=0,"",VLOOKUP($A25,'Annex 2 Designated EHV charges'!$D:$P,11,FALSE)),"")</f>
        <v>2917.17</v>
      </c>
      <c r="G25" s="195">
        <f>IFERROR(IF(VLOOKUP($A25,'Annex 2 Designated EHV charges'!$D:$P,12,FALSE)=0,"",VLOOKUP($A25,'Annex 2 Designated EHV charges'!$D:$P,12,FALSE)),"")</f>
        <v>0.05</v>
      </c>
      <c r="H25" s="195">
        <f>IFERROR(IF(VLOOKUP($A25,'Annex 2 Designated EHV charges'!$D:$P,13,FALSE)=0,"",VLOOKUP($A25,'Annex 2 Designated EHV charges'!$D:$P,13,FALSE)),"")</f>
        <v>0.05</v>
      </c>
    </row>
    <row r="26" spans="1:8" x14ac:dyDescent="0.2">
      <c r="A26" s="95" t="str" cm="1">
        <f t="array" ref="A26">IFERROR(INDEX('Annex 2 Designated EHV charges'!$D$10:$D$401, MATCH(0, IF(ISBLANK('Annex 2 Designated EHV charges'!$D$10:$D$401),1, COUNTIF(A$4:$A25, 'Annex 2 Designated EHV charges'!$D$10:$D$401)), 0)),"")</f>
        <v>ABSRSF</v>
      </c>
      <c r="B26" s="94">
        <f>IF($A26="","",VLOOKUP($A26,'Annex 2 Designated EHV charges'!$D:$O,2,0))</f>
        <v>744</v>
      </c>
      <c r="C26" s="95">
        <f>IF($A26="","",VLOOKUP($A26,'Annex 2 Designated EHV charges'!$D:$O,3,0))</f>
        <v>1050000574694</v>
      </c>
      <c r="D26" s="94" t="str">
        <f>IF($A26="","",VLOOKUP($A26,'Annex 2 Designated EHV charges'!$D:$O,4,0))</f>
        <v>ABSRSF</v>
      </c>
      <c r="E26" s="96" t="str">
        <f>IFERROR(IF(VLOOKUP($A26,'Annex 2 Designated EHV charges'!$D:$P,10,FALSE)=0,"",VLOOKUP($A26,'Annex 2 Designated EHV charges'!$D:$P,10,FALSE)),"")</f>
        <v/>
      </c>
      <c r="F26" s="195">
        <f>IFERROR(IF(VLOOKUP($A26,'Annex 2 Designated EHV charges'!$D:$P,11,FALSE)=0,"",VLOOKUP($A26,'Annex 2 Designated EHV charges'!$D:$P,11,FALSE)),"")</f>
        <v>3819.78</v>
      </c>
      <c r="G26" s="195">
        <f>IFERROR(IF(VLOOKUP($A26,'Annex 2 Designated EHV charges'!$D:$P,12,FALSE)=0,"",VLOOKUP($A26,'Annex 2 Designated EHV charges'!$D:$P,12,FALSE)),"")</f>
        <v>0.05</v>
      </c>
      <c r="H26" s="195">
        <f>IFERROR(IF(VLOOKUP($A26,'Annex 2 Designated EHV charges'!$D:$P,13,FALSE)=0,"",VLOOKUP($A26,'Annex 2 Designated EHV charges'!$D:$P,13,FALSE)),"")</f>
        <v>0.05</v>
      </c>
    </row>
    <row r="27" spans="1:8" x14ac:dyDescent="0.2">
      <c r="A27" s="95" t="str" cm="1">
        <f t="array" ref="A27">IFERROR(INDEX('Annex 2 Designated EHV charges'!$D$10:$D$401, MATCH(0, IF(ISBLANK('Annex 2 Designated EHV charges'!$D$10:$D$401),1, COUNTIF(A$4:$A26, 'Annex 2 Designated EHV charges'!$D$10:$D$401)), 0)),"")</f>
        <v>AIAMAN</v>
      </c>
      <c r="B27" s="94">
        <f>IF($A27="","",VLOOKUP($A27,'Annex 2 Designated EHV charges'!$D:$O,2,0))</f>
        <v>435</v>
      </c>
      <c r="C27" s="95">
        <f>IF($A27="","",VLOOKUP($A27,'Annex 2 Designated EHV charges'!$D:$O,3,0))</f>
        <v>1030054607984</v>
      </c>
      <c r="D27" s="94" t="str">
        <f>IF($A27="","",VLOOKUP($A27,'Annex 2 Designated EHV charges'!$D:$O,4,0))</f>
        <v>AIAMAN</v>
      </c>
      <c r="E27" s="96">
        <f>IFERROR(IF(VLOOKUP($A27,'Annex 2 Designated EHV charges'!$D:$P,10,FALSE)=0,"",VLOOKUP($A27,'Annex 2 Designated EHV charges'!$D:$P,10,FALSE)),"")</f>
        <v>-5.4009999999999998</v>
      </c>
      <c r="F27" s="195">
        <f>IFERROR(IF(VLOOKUP($A27,'Annex 2 Designated EHV charges'!$D:$P,11,FALSE)=0,"",VLOOKUP($A27,'Annex 2 Designated EHV charges'!$D:$P,11,FALSE)),"")</f>
        <v>416.27</v>
      </c>
      <c r="G27" s="195">
        <f>IFERROR(IF(VLOOKUP($A27,'Annex 2 Designated EHV charges'!$D:$P,12,FALSE)=0,"",VLOOKUP($A27,'Annex 2 Designated EHV charges'!$D:$P,12,FALSE)),"")</f>
        <v>0.05</v>
      </c>
      <c r="H27" s="195">
        <f>IFERROR(IF(VLOOKUP($A27,'Annex 2 Designated EHV charges'!$D:$P,13,FALSE)=0,"",VLOOKUP($A27,'Annex 2 Designated EHV charges'!$D:$P,13,FALSE)),"")</f>
        <v>0.05</v>
      </c>
    </row>
    <row r="28" spans="1:8" x14ac:dyDescent="0.2">
      <c r="A28" s="95" t="str" cm="1">
        <f t="array" ref="A28">IFERROR(INDEX('Annex 2 Designated EHV charges'!$D$10:$D$401, MATCH(0, IF(ISBLANK('Annex 2 Designated EHV charges'!$D$10:$D$401),1, COUNTIF(A$4:$A27, 'Annex 2 Designated EHV charges'!$D$10:$D$401)), 0)),"")</f>
        <v>ALCORG</v>
      </c>
      <c r="B28" s="94">
        <f>IF($A28="","",VLOOKUP($A28,'Annex 2 Designated EHV charges'!$D:$O,2,0))</f>
        <v>651</v>
      </c>
      <c r="C28" s="95">
        <f>IF($A28="","",VLOOKUP($A28,'Annex 2 Designated EHV charges'!$D:$O,3,0))</f>
        <v>1050000998050</v>
      </c>
      <c r="D28" s="94" t="str">
        <f>IF($A28="","",VLOOKUP($A28,'Annex 2 Designated EHV charges'!$D:$O,4,0))</f>
        <v>ALCORG</v>
      </c>
      <c r="E28" s="96" t="str">
        <f>IFERROR(IF(VLOOKUP($A28,'Annex 2 Designated EHV charges'!$D:$P,10,FALSE)=0,"",VLOOKUP($A28,'Annex 2 Designated EHV charges'!$D:$P,10,FALSE)),"")</f>
        <v/>
      </c>
      <c r="F28" s="195">
        <f>IFERROR(IF(VLOOKUP($A28,'Annex 2 Designated EHV charges'!$D:$P,11,FALSE)=0,"",VLOOKUP($A28,'Annex 2 Designated EHV charges'!$D:$P,11,FALSE)),"")</f>
        <v>3750.05</v>
      </c>
      <c r="G28" s="195">
        <f>IFERROR(IF(VLOOKUP($A28,'Annex 2 Designated EHV charges'!$D:$P,12,FALSE)=0,"",VLOOKUP($A28,'Annex 2 Designated EHV charges'!$D:$P,12,FALSE)),"")</f>
        <v>0.05</v>
      </c>
      <c r="H28" s="195">
        <f>IFERROR(IF(VLOOKUP($A28,'Annex 2 Designated EHV charges'!$D:$P,13,FALSE)=0,"",VLOOKUP($A28,'Annex 2 Designated EHV charges'!$D:$P,13,FALSE)),"")</f>
        <v>0.05</v>
      </c>
    </row>
    <row r="29" spans="1:8" x14ac:dyDescent="0.2">
      <c r="A29" s="95" t="str" cm="1">
        <f t="array" ref="A29">IFERROR(INDEX('Annex 2 Designated EHV charges'!$D$10:$D$401, MATCH(0, IF(ISBLANK('Annex 2 Designated EHV charges'!$D$10:$D$401),1, COUNTIF(A$4:$A28, 'Annex 2 Designated EHV charges'!$D$10:$D$401)), 0)),"")</f>
        <v>ARDLGH</v>
      </c>
      <c r="B29" s="94">
        <f>IF($A29="","",VLOOKUP($A29,'Annex 2 Designated EHV charges'!$D:$O,2,0))</f>
        <v>666</v>
      </c>
      <c r="C29" s="95">
        <f>IF($A29="","",VLOOKUP($A29,'Annex 2 Designated EHV charges'!$D:$O,3,0))</f>
        <v>1050001061602</v>
      </c>
      <c r="D29" s="94" t="str">
        <f>IF($A29="","",VLOOKUP($A29,'Annex 2 Designated EHV charges'!$D:$O,4,0))</f>
        <v>ARDLGH</v>
      </c>
      <c r="E29" s="96" t="str">
        <f>IFERROR(IF(VLOOKUP($A29,'Annex 2 Designated EHV charges'!$D:$P,10,FALSE)=0,"",VLOOKUP($A29,'Annex 2 Designated EHV charges'!$D:$P,10,FALSE)),"")</f>
        <v/>
      </c>
      <c r="F29" s="195">
        <f>IFERROR(IF(VLOOKUP($A29,'Annex 2 Designated EHV charges'!$D:$P,11,FALSE)=0,"",VLOOKUP($A29,'Annex 2 Designated EHV charges'!$D:$P,11,FALSE)),"")</f>
        <v>1544.52</v>
      </c>
      <c r="G29" s="195">
        <f>IFERROR(IF(VLOOKUP($A29,'Annex 2 Designated EHV charges'!$D:$P,12,FALSE)=0,"",VLOOKUP($A29,'Annex 2 Designated EHV charges'!$D:$P,12,FALSE)),"")</f>
        <v>0.05</v>
      </c>
      <c r="H29" s="195">
        <f>IFERROR(IF(VLOOKUP($A29,'Annex 2 Designated EHV charges'!$D:$P,13,FALSE)=0,"",VLOOKUP($A29,'Annex 2 Designated EHV charges'!$D:$P,13,FALSE)),"")</f>
        <v>0.05</v>
      </c>
    </row>
    <row r="30" spans="1:8" x14ac:dyDescent="0.2">
      <c r="A30" s="95" t="str" cm="1">
        <f t="array" ref="A30">IFERROR(INDEX('Annex 2 Designated EHV charges'!$D$10:$D$401, MATCH(0, IF(ISBLANK('Annex 2 Designated EHV charges'!$D$10:$D$401),1, COUNTIF(A$4:$A29, 'Annex 2 Designated EHV charges'!$D$10:$D$401)), 0)),"")</f>
        <v>ARLBES</v>
      </c>
      <c r="B30" s="94">
        <f>IF($A30="","",VLOOKUP($A30,'Annex 2 Designated EHV charges'!$D:$O,2,0))</f>
        <v>0</v>
      </c>
      <c r="C30" s="95" t="str">
        <f>IF($A30="","",VLOOKUP($A30,'Annex 2 Designated EHV charges'!$D:$O,3,0))</f>
        <v>MSID: 7402</v>
      </c>
      <c r="D30" s="94" t="str">
        <f>IF($A30="","",VLOOKUP($A30,'Annex 2 Designated EHV charges'!$D:$O,4,0))</f>
        <v>ARLBES</v>
      </c>
      <c r="E30" s="96" t="str">
        <f>IFERROR(IF(VLOOKUP($A30,'Annex 2 Designated EHV charges'!$D:$P,10,FALSE)=0,"",VLOOKUP($A30,'Annex 2 Designated EHV charges'!$D:$P,10,FALSE)),"")</f>
        <v/>
      </c>
      <c r="F30" s="195">
        <f>IFERROR(IF(VLOOKUP($A30,'Annex 2 Designated EHV charges'!$D:$P,11,FALSE)=0,"",VLOOKUP($A30,'Annex 2 Designated EHV charges'!$D:$P,11,FALSE)),"")</f>
        <v>1822.74</v>
      </c>
      <c r="G30" s="195">
        <f>IFERROR(IF(VLOOKUP($A30,'Annex 2 Designated EHV charges'!$D:$P,12,FALSE)=0,"",VLOOKUP($A30,'Annex 2 Designated EHV charges'!$D:$P,12,FALSE)),"")</f>
        <v>0.05</v>
      </c>
      <c r="H30" s="195">
        <f>IFERROR(IF(VLOOKUP($A30,'Annex 2 Designated EHV charges'!$D:$P,13,FALSE)=0,"",VLOOKUP($A30,'Annex 2 Designated EHV charges'!$D:$P,13,FALSE)),"")</f>
        <v>0.05</v>
      </c>
    </row>
    <row r="31" spans="1:8" x14ac:dyDescent="0.2">
      <c r="A31" s="95" t="str" cm="1">
        <f t="array" ref="A31">IFERROR(INDEX('Annex 2 Designated EHV charges'!$D$10:$D$401, MATCH(0, IF(ISBLANK('Annex 2 Designated EHV charges'!$D$10:$D$401),1, COUNTIF(A$4:$A30, 'Annex 2 Designated EHV charges'!$D$10:$D$401)), 0)),"")</f>
        <v>ASTONC</v>
      </c>
      <c r="B31" s="94">
        <f>IF($A31="","",VLOOKUP($A31,'Annex 2 Designated EHV charges'!$D:$O,2,0))</f>
        <v>780</v>
      </c>
      <c r="C31" s="95">
        <f>IF($A31="","",VLOOKUP($A31,'Annex 2 Designated EHV charges'!$D:$O,3,0))</f>
        <v>1050000834255</v>
      </c>
      <c r="D31" s="94" t="str">
        <f>IF($A31="","",VLOOKUP($A31,'Annex 2 Designated EHV charges'!$D:$O,4,0))</f>
        <v>ASTONC</v>
      </c>
      <c r="E31" s="96" t="str">
        <f>IFERROR(IF(VLOOKUP($A31,'Annex 2 Designated EHV charges'!$D:$P,10,FALSE)=0,"",VLOOKUP($A31,'Annex 2 Designated EHV charges'!$D:$P,10,FALSE)),"")</f>
        <v/>
      </c>
      <c r="F31" s="195">
        <f>IFERROR(IF(VLOOKUP($A31,'Annex 2 Designated EHV charges'!$D:$P,11,FALSE)=0,"",VLOOKUP($A31,'Annex 2 Designated EHV charges'!$D:$P,11,FALSE)),"")</f>
        <v>1001.58</v>
      </c>
      <c r="G31" s="195">
        <f>IFERROR(IF(VLOOKUP($A31,'Annex 2 Designated EHV charges'!$D:$P,12,FALSE)=0,"",VLOOKUP($A31,'Annex 2 Designated EHV charges'!$D:$P,12,FALSE)),"")</f>
        <v>0.05</v>
      </c>
      <c r="H31" s="195">
        <f>IFERROR(IF(VLOOKUP($A31,'Annex 2 Designated EHV charges'!$D:$P,13,FALSE)=0,"",VLOOKUP($A31,'Annex 2 Designated EHV charges'!$D:$P,13,FALSE)),"")</f>
        <v>0.05</v>
      </c>
    </row>
    <row r="32" spans="1:8" x14ac:dyDescent="0.2">
      <c r="A32" s="95" t="str" cm="1">
        <f t="array" ref="A32">IFERROR(INDEX('Annex 2 Designated EHV charges'!$D$10:$D$401, MATCH(0, IF(ISBLANK('Annex 2 Designated EHV charges'!$D$10:$D$401),1, COUNTIF(A$4:$A31, 'Annex 2 Designated EHV charges'!$D$10:$D$401)), 0)),"")</f>
        <v>AVENUE</v>
      </c>
      <c r="B32" s="94">
        <f>IF($A32="","",VLOOKUP($A32,'Annex 2 Designated EHV charges'!$D:$O,2,0))</f>
        <v>781</v>
      </c>
      <c r="C32" s="95">
        <f>IF($A32="","",VLOOKUP($A32,'Annex 2 Designated EHV charges'!$D:$O,3,0))</f>
        <v>1050000774980</v>
      </c>
      <c r="D32" s="94" t="str">
        <f>IF($A32="","",VLOOKUP($A32,'Annex 2 Designated EHV charges'!$D:$O,4,0))</f>
        <v>AVENUE</v>
      </c>
      <c r="E32" s="96" t="str">
        <f>IFERROR(IF(VLOOKUP($A32,'Annex 2 Designated EHV charges'!$D:$P,10,FALSE)=0,"",VLOOKUP($A32,'Annex 2 Designated EHV charges'!$D:$P,10,FALSE)),"")</f>
        <v/>
      </c>
      <c r="F32" s="195">
        <f>IFERROR(IF(VLOOKUP($A32,'Annex 2 Designated EHV charges'!$D:$P,11,FALSE)=0,"",VLOOKUP($A32,'Annex 2 Designated EHV charges'!$D:$P,11,FALSE)),"")</f>
        <v>1954.07</v>
      </c>
      <c r="G32" s="195">
        <f>IFERROR(IF(VLOOKUP($A32,'Annex 2 Designated EHV charges'!$D:$P,12,FALSE)=0,"",VLOOKUP($A32,'Annex 2 Designated EHV charges'!$D:$P,12,FALSE)),"")</f>
        <v>0.05</v>
      </c>
      <c r="H32" s="195">
        <f>IFERROR(IF(VLOOKUP($A32,'Annex 2 Designated EHV charges'!$D:$P,13,FALSE)=0,"",VLOOKUP($A32,'Annex 2 Designated EHV charges'!$D:$P,13,FALSE)),"")</f>
        <v>0.05</v>
      </c>
    </row>
    <row r="33" spans="1:8" x14ac:dyDescent="0.2">
      <c r="A33" s="95" t="str" cm="1">
        <f t="array" ref="A33">IFERROR(INDEX('Annex 2 Designated EHV charges'!$D$10:$D$401, MATCH(0, IF(ISBLANK('Annex 2 Designated EHV charges'!$D$10:$D$401),1, COUNTIF(A$4:$A32, 'Annex 2 Designated EHV charges'!$D$10:$D$401)), 0)),"")</f>
        <v>BARNFM</v>
      </c>
      <c r="B33" s="94">
        <f>IF($A33="","",VLOOKUP($A33,'Annex 2 Designated EHV charges'!$D:$O,2,0))</f>
        <v>652</v>
      </c>
      <c r="C33" s="95">
        <f>IF($A33="","",VLOOKUP($A33,'Annex 2 Designated EHV charges'!$D:$O,3,0))</f>
        <v>1050000775005</v>
      </c>
      <c r="D33" s="94" t="str">
        <f>IF($A33="","",VLOOKUP($A33,'Annex 2 Designated EHV charges'!$D:$O,4,0))</f>
        <v>BARNFM</v>
      </c>
      <c r="E33" s="96" t="str">
        <f>IFERROR(IF(VLOOKUP($A33,'Annex 2 Designated EHV charges'!$D:$P,10,FALSE)=0,"",VLOOKUP($A33,'Annex 2 Designated EHV charges'!$D:$P,10,FALSE)),"")</f>
        <v/>
      </c>
      <c r="F33" s="195">
        <f>IFERROR(IF(VLOOKUP($A33,'Annex 2 Designated EHV charges'!$D:$P,11,FALSE)=0,"",VLOOKUP($A33,'Annex 2 Designated EHV charges'!$D:$P,11,FALSE)),"")</f>
        <v>3149.37</v>
      </c>
      <c r="G33" s="195">
        <f>IFERROR(IF(VLOOKUP($A33,'Annex 2 Designated EHV charges'!$D:$P,12,FALSE)=0,"",VLOOKUP($A33,'Annex 2 Designated EHV charges'!$D:$P,12,FALSE)),"")</f>
        <v>0.05</v>
      </c>
      <c r="H33" s="195">
        <f>IFERROR(IF(VLOOKUP($A33,'Annex 2 Designated EHV charges'!$D:$P,13,FALSE)=0,"",VLOOKUP($A33,'Annex 2 Designated EHV charges'!$D:$P,13,FALSE)),"")</f>
        <v>0.05</v>
      </c>
    </row>
    <row r="34" spans="1:8" x14ac:dyDescent="0.2">
      <c r="A34" s="95" t="str" cm="1">
        <f t="array" ref="A34">IFERROR(INDEX('Annex 2 Designated EHV charges'!$D$10:$D$401, MATCH(0, IF(ISBLANK('Annex 2 Designated EHV charges'!$D$10:$D$401),1, COUNTIF(A$4:$A33, 'Annex 2 Designated EHV charges'!$D$10:$D$401)), 0)),"")</f>
        <v>BAYFMS</v>
      </c>
      <c r="B34" s="94">
        <f>IF($A34="","",VLOOKUP($A34,'Annex 2 Designated EHV charges'!$D:$O,2,0))</f>
        <v>745</v>
      </c>
      <c r="C34" s="95">
        <f>IF($A34="","",VLOOKUP($A34,'Annex 2 Designated EHV charges'!$D:$O,3,0))</f>
        <v>1050000579327</v>
      </c>
      <c r="D34" s="94" t="str">
        <f>IF($A34="","",VLOOKUP($A34,'Annex 2 Designated EHV charges'!$D:$O,4,0))</f>
        <v>BAYFMS</v>
      </c>
      <c r="E34" s="96" t="str">
        <f>IFERROR(IF(VLOOKUP($A34,'Annex 2 Designated EHV charges'!$D:$P,10,FALSE)=0,"",VLOOKUP($A34,'Annex 2 Designated EHV charges'!$D:$P,10,FALSE)),"")</f>
        <v/>
      </c>
      <c r="F34" s="195">
        <f>IFERROR(IF(VLOOKUP($A34,'Annex 2 Designated EHV charges'!$D:$P,11,FALSE)=0,"",VLOOKUP($A34,'Annex 2 Designated EHV charges'!$D:$P,11,FALSE)),"")</f>
        <v>5655.33</v>
      </c>
      <c r="G34" s="195">
        <f>IFERROR(IF(VLOOKUP($A34,'Annex 2 Designated EHV charges'!$D:$P,12,FALSE)=0,"",VLOOKUP($A34,'Annex 2 Designated EHV charges'!$D:$P,12,FALSE)),"")</f>
        <v>0.05</v>
      </c>
      <c r="H34" s="195">
        <f>IFERROR(IF(VLOOKUP($A34,'Annex 2 Designated EHV charges'!$D:$P,13,FALSE)=0,"",VLOOKUP($A34,'Annex 2 Designated EHV charges'!$D:$P,13,FALSE)),"")</f>
        <v>0.05</v>
      </c>
    </row>
    <row r="35" spans="1:8" x14ac:dyDescent="0.2">
      <c r="A35" s="95" t="str" cm="1">
        <f t="array" ref="A35">IFERROR(INDEX('Annex 2 Designated EHV charges'!$D$10:$D$401, MATCH(0, IF(ISBLANK('Annex 2 Designated EHV charges'!$D$10:$D$401),1, COUNTIF(A$4:$A34, 'Annex 2 Designated EHV charges'!$D$10:$D$401)), 0)),"")</f>
        <v>BDGHSE</v>
      </c>
      <c r="B35" s="94">
        <f>IF($A35="","",VLOOKUP($A35,'Annex 2 Designated EHV charges'!$D:$O,2,0))</f>
        <v>782</v>
      </c>
      <c r="C35" s="95">
        <f>IF($A35="","",VLOOKUP($A35,'Annex 2 Designated EHV charges'!$D:$O,3,0))</f>
        <v>1050000669539</v>
      </c>
      <c r="D35" s="94" t="str">
        <f>IF($A35="","",VLOOKUP($A35,'Annex 2 Designated EHV charges'!$D:$O,4,0))</f>
        <v>BDGHSE</v>
      </c>
      <c r="E35" s="96" t="str">
        <f>IFERROR(IF(VLOOKUP($A35,'Annex 2 Designated EHV charges'!$D:$P,10,FALSE)=0,"",VLOOKUP($A35,'Annex 2 Designated EHV charges'!$D:$P,10,FALSE)),"")</f>
        <v/>
      </c>
      <c r="F35" s="195">
        <f>IFERROR(IF(VLOOKUP($A35,'Annex 2 Designated EHV charges'!$D:$P,11,FALSE)=0,"",VLOOKUP($A35,'Annex 2 Designated EHV charges'!$D:$P,11,FALSE)),"")</f>
        <v>1660.26</v>
      </c>
      <c r="G35" s="195">
        <f>IFERROR(IF(VLOOKUP($A35,'Annex 2 Designated EHV charges'!$D:$P,12,FALSE)=0,"",VLOOKUP($A35,'Annex 2 Designated EHV charges'!$D:$P,12,FALSE)),"")</f>
        <v>0.05</v>
      </c>
      <c r="H35" s="195">
        <f>IFERROR(IF(VLOOKUP($A35,'Annex 2 Designated EHV charges'!$D:$P,13,FALSE)=0,"",VLOOKUP($A35,'Annex 2 Designated EHV charges'!$D:$P,13,FALSE)),"")</f>
        <v>0.05</v>
      </c>
    </row>
    <row r="36" spans="1:8" x14ac:dyDescent="0.2">
      <c r="A36" s="95" t="str" cm="1">
        <f t="array" ref="A36">IFERROR(INDEX('Annex 2 Designated EHV charges'!$D$10:$D$401, MATCH(0, IF(ISBLANK('Annex 2 Designated EHV charges'!$D$10:$D$401),1, COUNTIF(A$4:$A35, 'Annex 2 Designated EHV charges'!$D$10:$D$401)), 0)),"")</f>
        <v>BDWLWF</v>
      </c>
      <c r="B36" s="94">
        <f>IF($A36="","",VLOOKUP($A36,'Annex 2 Designated EHV charges'!$D:$O,2,0))</f>
        <v>734</v>
      </c>
      <c r="C36" s="95">
        <f>IF($A36="","",VLOOKUP($A36,'Annex 2 Designated EHV charges'!$D:$O,3,0))</f>
        <v>1030082700647</v>
      </c>
      <c r="D36" s="94" t="str">
        <f>IF($A36="","",VLOOKUP($A36,'Annex 2 Designated EHV charges'!$D:$O,4,0))</f>
        <v>BDWLWF</v>
      </c>
      <c r="E36" s="96" t="str">
        <f>IFERROR(IF(VLOOKUP($A36,'Annex 2 Designated EHV charges'!$D:$P,10,FALSE)=0,"",VLOOKUP($A36,'Annex 2 Designated EHV charges'!$D:$P,10,FALSE)),"")</f>
        <v/>
      </c>
      <c r="F36" s="195">
        <f>IFERROR(IF(VLOOKUP($A36,'Annex 2 Designated EHV charges'!$D:$P,11,FALSE)=0,"",VLOOKUP($A36,'Annex 2 Designated EHV charges'!$D:$P,11,FALSE)),"")</f>
        <v>8641.5</v>
      </c>
      <c r="G36" s="195">
        <f>IFERROR(IF(VLOOKUP($A36,'Annex 2 Designated EHV charges'!$D:$P,12,FALSE)=0,"",VLOOKUP($A36,'Annex 2 Designated EHV charges'!$D:$P,12,FALSE)),"")</f>
        <v>0.05</v>
      </c>
      <c r="H36" s="195">
        <f>IFERROR(IF(VLOOKUP($A36,'Annex 2 Designated EHV charges'!$D:$P,13,FALSE)=0,"",VLOOKUP($A36,'Annex 2 Designated EHV charges'!$D:$P,13,FALSE)),"")</f>
        <v>0.05</v>
      </c>
    </row>
    <row r="37" spans="1:8" x14ac:dyDescent="0.2">
      <c r="A37" s="95" t="str" cm="1">
        <f t="array" ref="A37">IFERROR(INDEX('Annex 2 Designated EHV charges'!$D$10:$D$401, MATCH(0, IF(ISBLANK('Annex 2 Designated EHV charges'!$D$10:$D$401),1, COUNTIF(A$4:$A36, 'Annex 2 Designated EHV charges'!$D$10:$D$401)), 0)),"")</f>
        <v>BERDHF</v>
      </c>
      <c r="B37" s="94">
        <f>IF($A37="","",VLOOKUP($A37,'Annex 2 Designated EHV charges'!$D:$O,2,0))</f>
        <v>436</v>
      </c>
      <c r="C37" s="95">
        <f>IF($A37="","",VLOOKUP($A37,'Annex 2 Designated EHV charges'!$D:$O,3,0))</f>
        <v>1050001382531</v>
      </c>
      <c r="D37" s="94" t="str">
        <f>IF($A37="","",VLOOKUP($A37,'Annex 2 Designated EHV charges'!$D:$O,4,0))</f>
        <v>BERDHF</v>
      </c>
      <c r="E37" s="96">
        <f>IFERROR(IF(VLOOKUP($A37,'Annex 2 Designated EHV charges'!$D:$P,10,FALSE)=0,"",VLOOKUP($A37,'Annex 2 Designated EHV charges'!$D:$P,10,FALSE)),"")</f>
        <v>-0.34300000000000003</v>
      </c>
      <c r="F37" s="195">
        <f>IFERROR(IF(VLOOKUP($A37,'Annex 2 Designated EHV charges'!$D:$P,11,FALSE)=0,"",VLOOKUP($A37,'Annex 2 Designated EHV charges'!$D:$P,11,FALSE)),"")</f>
        <v>2042.84</v>
      </c>
      <c r="G37" s="195">
        <f>IFERROR(IF(VLOOKUP($A37,'Annex 2 Designated EHV charges'!$D:$P,12,FALSE)=0,"",VLOOKUP($A37,'Annex 2 Designated EHV charges'!$D:$P,12,FALSE)),"")</f>
        <v>0.05</v>
      </c>
      <c r="H37" s="195">
        <f>IFERROR(IF(VLOOKUP($A37,'Annex 2 Designated EHV charges'!$D:$P,13,FALSE)=0,"",VLOOKUP($A37,'Annex 2 Designated EHV charges'!$D:$P,13,FALSE)),"")</f>
        <v>0.05</v>
      </c>
    </row>
    <row r="38" spans="1:8" x14ac:dyDescent="0.2">
      <c r="A38" s="95" t="str" cm="1">
        <f t="array" ref="A38">IFERROR(INDEX('Annex 2 Designated EHV charges'!$D$10:$D$401, MATCH(0, IF(ISBLANK('Annex 2 Designated EHV charges'!$D$10:$D$401),1, COUNTIF(A$4:$A37, 'Annex 2 Designated EHV charges'!$D$10:$D$401)), 0)),"")</f>
        <v>BGWDWF</v>
      </c>
      <c r="B38" s="94">
        <f>IF($A38="","",VLOOKUP($A38,'Annex 2 Designated EHV charges'!$D:$O,2,0))</f>
        <v>746</v>
      </c>
      <c r="C38" s="95">
        <f>IF($A38="","",VLOOKUP($A38,'Annex 2 Designated EHV charges'!$D:$O,3,0))</f>
        <v>1030083931142</v>
      </c>
      <c r="D38" s="94" t="str">
        <f>IF($A38="","",VLOOKUP($A38,'Annex 2 Designated EHV charges'!$D:$O,4,0))</f>
        <v>BGWDWF</v>
      </c>
      <c r="E38" s="96" t="str">
        <f>IFERROR(IF(VLOOKUP($A38,'Annex 2 Designated EHV charges'!$D:$P,10,FALSE)=0,"",VLOOKUP($A38,'Annex 2 Designated EHV charges'!$D:$P,10,FALSE)),"")</f>
        <v/>
      </c>
      <c r="F38" s="195">
        <f>IFERROR(IF(VLOOKUP($A38,'Annex 2 Designated EHV charges'!$D:$P,11,FALSE)=0,"",VLOOKUP($A38,'Annex 2 Designated EHV charges'!$D:$P,11,FALSE)),"")</f>
        <v>544.09</v>
      </c>
      <c r="G38" s="195">
        <f>IFERROR(IF(VLOOKUP($A38,'Annex 2 Designated EHV charges'!$D:$P,12,FALSE)=0,"",VLOOKUP($A38,'Annex 2 Designated EHV charges'!$D:$P,12,FALSE)),"")</f>
        <v>0.05</v>
      </c>
      <c r="H38" s="195">
        <f>IFERROR(IF(VLOOKUP($A38,'Annex 2 Designated EHV charges'!$D:$P,13,FALSE)=0,"",VLOOKUP($A38,'Annex 2 Designated EHV charges'!$D:$P,13,FALSE)),"")</f>
        <v>0.05</v>
      </c>
    </row>
    <row r="39" spans="1:8" x14ac:dyDescent="0.2">
      <c r="A39" s="95" t="str" cm="1">
        <f t="array" ref="A39">IFERROR(INDEX('Annex 2 Designated EHV charges'!$D$10:$D$401, MATCH(0, IF(ISBLANK('Annex 2 Designated EHV charges'!$D$10:$D$401),1, COUNTIF(A$4:$A38, 'Annex 2 Designated EHV charges'!$D$10:$D$401)), 0)),"")</f>
        <v>BLCAMB</v>
      </c>
      <c r="B39" s="94">
        <f>IF($A39="","",VLOOKUP($A39,'Annex 2 Designated EHV charges'!$D:$O,2,0))</f>
        <v>653</v>
      </c>
      <c r="C39" s="95">
        <f>IF($A39="","",VLOOKUP($A39,'Annex 2 Designated EHV charges'!$D:$O,3,0))</f>
        <v>1050001036624</v>
      </c>
      <c r="D39" s="94" t="str">
        <f>IF($A39="","",VLOOKUP($A39,'Annex 2 Designated EHV charges'!$D:$O,4,0))</f>
        <v>BLCAMB</v>
      </c>
      <c r="E39" s="96" t="str">
        <f>IFERROR(IF(VLOOKUP($A39,'Annex 2 Designated EHV charges'!$D:$P,10,FALSE)=0,"",VLOOKUP($A39,'Annex 2 Designated EHV charges'!$D:$P,10,FALSE)),"")</f>
        <v/>
      </c>
      <c r="F39" s="195">
        <f>IFERROR(IF(VLOOKUP($A39,'Annex 2 Designated EHV charges'!$D:$P,11,FALSE)=0,"",VLOOKUP($A39,'Annex 2 Designated EHV charges'!$D:$P,11,FALSE)),"")</f>
        <v>2127.67</v>
      </c>
      <c r="G39" s="195">
        <f>IFERROR(IF(VLOOKUP($A39,'Annex 2 Designated EHV charges'!$D:$P,12,FALSE)=0,"",VLOOKUP($A39,'Annex 2 Designated EHV charges'!$D:$P,12,FALSE)),"")</f>
        <v>0.05</v>
      </c>
      <c r="H39" s="195">
        <f>IFERROR(IF(VLOOKUP($A39,'Annex 2 Designated EHV charges'!$D:$P,13,FALSE)=0,"",VLOOKUP($A39,'Annex 2 Designated EHV charges'!$D:$P,13,FALSE)),"")</f>
        <v>0.05</v>
      </c>
    </row>
    <row r="40" spans="1:8" x14ac:dyDescent="0.2">
      <c r="A40" s="95" t="str" cm="1">
        <f t="array" ref="A40">IFERROR(INDEX('Annex 2 Designated EHV charges'!$D$10:$D$401, MATCH(0, IF(ISBLANK('Annex 2 Designated EHV charges'!$D$10:$D$401),1, COUNTIF(A$4:$A39, 'Annex 2 Designated EHV charges'!$D$10:$D$401)), 0)),"")</f>
        <v>BLDOCK</v>
      </c>
      <c r="B40" s="94">
        <f>IF($A40="","",VLOOKUP($A40,'Annex 2 Designated EHV charges'!$D:$O,2,0))</f>
        <v>0</v>
      </c>
      <c r="C40" s="95" t="str">
        <f>IF($A40="","",VLOOKUP($A40,'Annex 2 Designated EHV charges'!$D:$O,3,0))</f>
        <v>MSID: 7308</v>
      </c>
      <c r="D40" s="94" t="str">
        <f>IF($A40="","",VLOOKUP($A40,'Annex 2 Designated EHV charges'!$D:$O,4,0))</f>
        <v>BLDOCK</v>
      </c>
      <c r="E40" s="96">
        <f>IFERROR(IF(VLOOKUP($A40,'Annex 2 Designated EHV charges'!$D:$P,10,FALSE)=0,"",VLOOKUP($A40,'Annex 2 Designated EHV charges'!$D:$P,10,FALSE)),"")</f>
        <v>-0.91100000000000003</v>
      </c>
      <c r="F40" s="195">
        <f>IFERROR(IF(VLOOKUP($A40,'Annex 2 Designated EHV charges'!$D:$P,11,FALSE)=0,"",VLOOKUP($A40,'Annex 2 Designated EHV charges'!$D:$P,11,FALSE)),"")</f>
        <v>1519.23</v>
      </c>
      <c r="G40" s="195">
        <f>IFERROR(IF(VLOOKUP($A40,'Annex 2 Designated EHV charges'!$D:$P,12,FALSE)=0,"",VLOOKUP($A40,'Annex 2 Designated EHV charges'!$D:$P,12,FALSE)),"")</f>
        <v>0.05</v>
      </c>
      <c r="H40" s="195">
        <f>IFERROR(IF(VLOOKUP($A40,'Annex 2 Designated EHV charges'!$D:$P,13,FALSE)=0,"",VLOOKUP($A40,'Annex 2 Designated EHV charges'!$D:$P,13,FALSE)),"")</f>
        <v>0.05</v>
      </c>
    </row>
    <row r="41" spans="1:8" x14ac:dyDescent="0.2">
      <c r="A41" s="95" t="str" cm="1">
        <f t="array" ref="A41">IFERROR(INDEX('Annex 2 Designated EHV charges'!$D$10:$D$401, MATCH(0, IF(ISBLANK('Annex 2 Designated EHV charges'!$D$10:$D$401),1, COUNTIF(A$4:$A40, 'Annex 2 Designated EHV charges'!$D$10:$D$401)), 0)),"")</f>
        <v>BLGTSF</v>
      </c>
      <c r="B41" s="94">
        <f>IF($A41="","",VLOOKUP($A41,'Annex 2 Designated EHV charges'!$D:$O,2,0))</f>
        <v>466</v>
      </c>
      <c r="C41" s="95">
        <f>IF($A41="","",VLOOKUP($A41,'Annex 2 Designated EHV charges'!$D:$O,3,0))</f>
        <v>1050000769048</v>
      </c>
      <c r="D41" s="94" t="str">
        <f>IF($A41="","",VLOOKUP($A41,'Annex 2 Designated EHV charges'!$D:$O,4,0))</f>
        <v>BLGTSF</v>
      </c>
      <c r="E41" s="96" t="str">
        <f>IFERROR(IF(VLOOKUP($A41,'Annex 2 Designated EHV charges'!$D:$P,10,FALSE)=0,"",VLOOKUP($A41,'Annex 2 Designated EHV charges'!$D:$P,10,FALSE)),"")</f>
        <v/>
      </c>
      <c r="F41" s="195">
        <f>IFERROR(IF(VLOOKUP($A41,'Annex 2 Designated EHV charges'!$D:$P,11,FALSE)=0,"",VLOOKUP($A41,'Annex 2 Designated EHV charges'!$D:$P,11,FALSE)),"")</f>
        <v>2198.86</v>
      </c>
      <c r="G41" s="195">
        <f>IFERROR(IF(VLOOKUP($A41,'Annex 2 Designated EHV charges'!$D:$P,12,FALSE)=0,"",VLOOKUP($A41,'Annex 2 Designated EHV charges'!$D:$P,12,FALSE)),"")</f>
        <v>0.05</v>
      </c>
      <c r="H41" s="195">
        <f>IFERROR(IF(VLOOKUP($A41,'Annex 2 Designated EHV charges'!$D:$P,13,FALSE)=0,"",VLOOKUP($A41,'Annex 2 Designated EHV charges'!$D:$P,13,FALSE)),"")</f>
        <v>0.05</v>
      </c>
    </row>
    <row r="42" spans="1:8" x14ac:dyDescent="0.2">
      <c r="A42" s="95" t="str" cm="1">
        <f t="array" ref="A42">IFERROR(INDEX('Annex 2 Designated EHV charges'!$D$10:$D$401, MATCH(0, IF(ISBLANK('Annex 2 Designated EHV charges'!$D$10:$D$401),1, COUNTIF(A$4:$A41, 'Annex 2 Designated EHV charges'!$D$10:$D$401)), 0)),"")</f>
        <v>BMPFM2</v>
      </c>
      <c r="B42" s="94">
        <f>IF($A42="","",VLOOKUP($A42,'Annex 2 Designated EHV charges'!$D:$O,2,0))</f>
        <v>407</v>
      </c>
      <c r="C42" s="95">
        <f>IF($A42="","",VLOOKUP($A42,'Annex 2 Designated EHV charges'!$D:$O,3,0))</f>
        <v>1050001658148</v>
      </c>
      <c r="D42" s="94" t="str">
        <f>IF($A42="","",VLOOKUP($A42,'Annex 2 Designated EHV charges'!$D:$O,4,0))</f>
        <v>BMPFM2</v>
      </c>
      <c r="E42" s="96" t="str">
        <f>IFERROR(IF(VLOOKUP($A42,'Annex 2 Designated EHV charges'!$D:$P,10,FALSE)=0,"",VLOOKUP($A42,'Annex 2 Designated EHV charges'!$D:$P,10,FALSE)),"")</f>
        <v/>
      </c>
      <c r="F42" s="195">
        <f>IFERROR(IF(VLOOKUP($A42,'Annex 2 Designated EHV charges'!$D:$P,11,FALSE)=0,"",VLOOKUP($A42,'Annex 2 Designated EHV charges'!$D:$P,11,FALSE)),"")</f>
        <v>1191.8900000000001</v>
      </c>
      <c r="G42" s="195">
        <f>IFERROR(IF(VLOOKUP($A42,'Annex 2 Designated EHV charges'!$D:$P,12,FALSE)=0,"",VLOOKUP($A42,'Annex 2 Designated EHV charges'!$D:$P,12,FALSE)),"")</f>
        <v>0.05</v>
      </c>
      <c r="H42" s="195">
        <f>IFERROR(IF(VLOOKUP($A42,'Annex 2 Designated EHV charges'!$D:$P,13,FALSE)=0,"",VLOOKUP($A42,'Annex 2 Designated EHV charges'!$D:$P,13,FALSE)),"")</f>
        <v>0.05</v>
      </c>
    </row>
    <row r="43" spans="1:8" x14ac:dyDescent="0.2">
      <c r="A43" s="95" t="str" cm="1">
        <f t="array" ref="A43">IFERROR(INDEX('Annex 2 Designated EHV charges'!$D$10:$D$401, MATCH(0, IF(ISBLANK('Annex 2 Designated EHV charges'!$D$10:$D$401),1, COUNTIF(A$4:$A42, 'Annex 2 Designated EHV charges'!$D$10:$D$401)), 0)),"")</f>
        <v>BMPTSF</v>
      </c>
      <c r="B43" s="94">
        <f>IF($A43="","",VLOOKUP($A43,'Annex 2 Designated EHV charges'!$D:$O,2,0))</f>
        <v>385</v>
      </c>
      <c r="C43" s="95">
        <f>IF($A43="","",VLOOKUP($A43,'Annex 2 Designated EHV charges'!$D:$O,3,0))</f>
        <v>1050003106520</v>
      </c>
      <c r="D43" s="94" t="str">
        <f>IF($A43="","",VLOOKUP($A43,'Annex 2 Designated EHV charges'!$D:$O,4,0))</f>
        <v>BMPTSF</v>
      </c>
      <c r="E43" s="96" t="str">
        <f>IFERROR(IF(VLOOKUP($A43,'Annex 2 Designated EHV charges'!$D:$P,10,FALSE)=0,"",VLOOKUP($A43,'Annex 2 Designated EHV charges'!$D:$P,10,FALSE)),"")</f>
        <v/>
      </c>
      <c r="F43" s="195">
        <f>IFERROR(IF(VLOOKUP($A43,'Annex 2 Designated EHV charges'!$D:$P,11,FALSE)=0,"",VLOOKUP($A43,'Annex 2 Designated EHV charges'!$D:$P,11,FALSE)),"")</f>
        <v>1312.45</v>
      </c>
      <c r="G43" s="195">
        <f>IFERROR(IF(VLOOKUP($A43,'Annex 2 Designated EHV charges'!$D:$P,12,FALSE)=0,"",VLOOKUP($A43,'Annex 2 Designated EHV charges'!$D:$P,12,FALSE)),"")</f>
        <v>0.05</v>
      </c>
      <c r="H43" s="195">
        <f>IFERROR(IF(VLOOKUP($A43,'Annex 2 Designated EHV charges'!$D:$P,13,FALSE)=0,"",VLOOKUP($A43,'Annex 2 Designated EHV charges'!$D:$P,13,FALSE)),"")</f>
        <v>0.05</v>
      </c>
    </row>
    <row r="44" spans="1:8" x14ac:dyDescent="0.2">
      <c r="A44" s="95" t="str" cm="1">
        <f t="array" ref="A44">IFERROR(INDEX('Annex 2 Designated EHV charges'!$D$10:$D$401, MATCH(0, IF(ISBLANK('Annex 2 Designated EHV charges'!$D$10:$D$401),1, COUNTIF(A$4:$A43, 'Annex 2 Designated EHV charges'!$D$10:$D$401)), 0)),"")</f>
        <v>BNNSHL</v>
      </c>
      <c r="B44" s="94">
        <f>IF($A44="","",VLOOKUP($A44,'Annex 2 Designated EHV charges'!$D:$O,2,0))</f>
        <v>654</v>
      </c>
      <c r="C44" s="95">
        <f>IF($A44="","",VLOOKUP($A44,'Annex 2 Designated EHV charges'!$D:$O,3,0))</f>
        <v>1050001021423</v>
      </c>
      <c r="D44" s="94" t="str">
        <f>IF($A44="","",VLOOKUP($A44,'Annex 2 Designated EHV charges'!$D:$O,4,0))</f>
        <v>BNNSHL</v>
      </c>
      <c r="E44" s="96" t="str">
        <f>IFERROR(IF(VLOOKUP($A44,'Annex 2 Designated EHV charges'!$D:$P,10,FALSE)=0,"",VLOOKUP($A44,'Annex 2 Designated EHV charges'!$D:$P,10,FALSE)),"")</f>
        <v/>
      </c>
      <c r="F44" s="195">
        <f>IFERROR(IF(VLOOKUP($A44,'Annex 2 Designated EHV charges'!$D:$P,11,FALSE)=0,"",VLOOKUP($A44,'Annex 2 Designated EHV charges'!$D:$P,11,FALSE)),"")</f>
        <v>2051.15</v>
      </c>
      <c r="G44" s="195">
        <f>IFERROR(IF(VLOOKUP($A44,'Annex 2 Designated EHV charges'!$D:$P,12,FALSE)=0,"",VLOOKUP($A44,'Annex 2 Designated EHV charges'!$D:$P,12,FALSE)),"")</f>
        <v>0.05</v>
      </c>
      <c r="H44" s="195">
        <f>IFERROR(IF(VLOOKUP($A44,'Annex 2 Designated EHV charges'!$D:$P,13,FALSE)=0,"",VLOOKUP($A44,'Annex 2 Designated EHV charges'!$D:$P,13,FALSE)),"")</f>
        <v>0.05</v>
      </c>
    </row>
    <row r="45" spans="1:8" ht="25.5" x14ac:dyDescent="0.2">
      <c r="A45" s="95" t="str" cm="1">
        <f t="array" ref="A45">IFERROR(INDEX('Annex 2 Designated EHV charges'!$D$10:$D$401, MATCH(0, IF(ISBLANK('Annex 2 Designated EHV charges'!$D$10:$D$401),1, COUNTIF(A$4:$A44, 'Annex 2 Designated EHV charges'!$D$10:$D$401)), 0)),"")</f>
        <v>BOXTED</v>
      </c>
      <c r="B45" s="94">
        <f>IF($A45="","",VLOOKUP($A45,'Annex 2 Designated EHV charges'!$D:$O,2,0))</f>
        <v>783</v>
      </c>
      <c r="C45" s="95" t="str">
        <f>IF($A45="","",VLOOKUP($A45,'Annex 2 Designated EHV charges'!$D:$O,3,0))</f>
        <v>1050000774289;1050001847566</v>
      </c>
      <c r="D45" s="94" t="str">
        <f>IF($A45="","",VLOOKUP($A45,'Annex 2 Designated EHV charges'!$D:$O,4,0))</f>
        <v>BOXTED</v>
      </c>
      <c r="E45" s="96" t="str">
        <f>IFERROR(IF(VLOOKUP($A45,'Annex 2 Designated EHV charges'!$D:$P,10,FALSE)=0,"",VLOOKUP($A45,'Annex 2 Designated EHV charges'!$D:$P,10,FALSE)),"")</f>
        <v/>
      </c>
      <c r="F45" s="195">
        <f>IFERROR(IF(VLOOKUP($A45,'Annex 2 Designated EHV charges'!$D:$P,11,FALSE)=0,"",VLOOKUP($A45,'Annex 2 Designated EHV charges'!$D:$P,11,FALSE)),"")</f>
        <v>477.19</v>
      </c>
      <c r="G45" s="195">
        <f>IFERROR(IF(VLOOKUP($A45,'Annex 2 Designated EHV charges'!$D:$P,12,FALSE)=0,"",VLOOKUP($A45,'Annex 2 Designated EHV charges'!$D:$P,12,FALSE)),"")</f>
        <v>0.05</v>
      </c>
      <c r="H45" s="195">
        <f>IFERROR(IF(VLOOKUP($A45,'Annex 2 Designated EHV charges'!$D:$P,13,FALSE)=0,"",VLOOKUP($A45,'Annex 2 Designated EHV charges'!$D:$P,13,FALSE)),"")</f>
        <v>0.05</v>
      </c>
    </row>
    <row r="46" spans="1:8" x14ac:dyDescent="0.2">
      <c r="A46" s="95" t="str" cm="1">
        <f t="array" ref="A46">IFERROR(INDEX('Annex 2 Designated EHV charges'!$D$10:$D$401, MATCH(0, IF(ISBLANK('Annex 2 Designated EHV charges'!$D$10:$D$401),1, COUNTIF(A$4:$A45, 'Annex 2 Designated EHV charges'!$D$10:$D$401)), 0)),"")</f>
        <v>BRACSF</v>
      </c>
      <c r="B46" s="94">
        <f>IF($A46="","",VLOOKUP($A46,'Annex 2 Designated EHV charges'!$D:$O,2,0))</f>
        <v>388</v>
      </c>
      <c r="C46" s="95">
        <f>IF($A46="","",VLOOKUP($A46,'Annex 2 Designated EHV charges'!$D:$O,3,0))</f>
        <v>1050002478338</v>
      </c>
      <c r="D46" s="94" t="str">
        <f>IF($A46="","",VLOOKUP($A46,'Annex 2 Designated EHV charges'!$D:$O,4,0))</f>
        <v>BRACSF</v>
      </c>
      <c r="E46" s="96" t="str">
        <f>IFERROR(IF(VLOOKUP($A46,'Annex 2 Designated EHV charges'!$D:$P,10,FALSE)=0,"",VLOOKUP($A46,'Annex 2 Designated EHV charges'!$D:$P,10,FALSE)),"")</f>
        <v/>
      </c>
      <c r="F46" s="195">
        <f>IFERROR(IF(VLOOKUP($A46,'Annex 2 Designated EHV charges'!$D:$P,11,FALSE)=0,"",VLOOKUP($A46,'Annex 2 Designated EHV charges'!$D:$P,11,FALSE)),"")</f>
        <v>482.79</v>
      </c>
      <c r="G46" s="195">
        <f>IFERROR(IF(VLOOKUP($A46,'Annex 2 Designated EHV charges'!$D:$P,12,FALSE)=0,"",VLOOKUP($A46,'Annex 2 Designated EHV charges'!$D:$P,12,FALSE)),"")</f>
        <v>0.05</v>
      </c>
      <c r="H46" s="195">
        <f>IFERROR(IF(VLOOKUP($A46,'Annex 2 Designated EHV charges'!$D:$P,13,FALSE)=0,"",VLOOKUP($A46,'Annex 2 Designated EHV charges'!$D:$P,13,FALSE)),"")</f>
        <v>0.05</v>
      </c>
    </row>
    <row r="47" spans="1:8" ht="25.5" x14ac:dyDescent="0.2">
      <c r="A47" s="95" t="str" cm="1">
        <f t="array" ref="A47">IFERROR(INDEX('Annex 2 Designated EHV charges'!$D$10:$D$401, MATCH(0, IF(ISBLANK('Annex 2 Designated EHV charges'!$D$10:$D$401),1, COUNTIF(A$4:$A46, 'Annex 2 Designated EHV charges'!$D$10:$D$401)), 0)),"")</f>
        <v>BRASSF</v>
      </c>
      <c r="B47" s="94">
        <f>IF($A47="","",VLOOKUP($A47,'Annex 2 Designated EHV charges'!$D:$O,2,0))</f>
        <v>397</v>
      </c>
      <c r="C47" s="95" t="str">
        <f>IF($A47="","",VLOOKUP($A47,'Annex 2 Designated EHV charges'!$D:$O,3,0))</f>
        <v>1050003081726;1050003145575</v>
      </c>
      <c r="D47" s="94" t="str">
        <f>IF($A47="","",VLOOKUP($A47,'Annex 2 Designated EHV charges'!$D:$O,4,0))</f>
        <v>BRASSF</v>
      </c>
      <c r="E47" s="96" t="str">
        <f>IFERROR(IF(VLOOKUP($A47,'Annex 2 Designated EHV charges'!$D:$P,10,FALSE)=0,"",VLOOKUP($A47,'Annex 2 Designated EHV charges'!$D:$P,10,FALSE)),"")</f>
        <v/>
      </c>
      <c r="F47" s="195">
        <f>IFERROR(IF(VLOOKUP($A47,'Annex 2 Designated EHV charges'!$D:$P,11,FALSE)=0,"",VLOOKUP($A47,'Annex 2 Designated EHV charges'!$D:$P,11,FALSE)),"")</f>
        <v>489.96</v>
      </c>
      <c r="G47" s="195">
        <f>IFERROR(IF(VLOOKUP($A47,'Annex 2 Designated EHV charges'!$D:$P,12,FALSE)=0,"",VLOOKUP($A47,'Annex 2 Designated EHV charges'!$D:$P,12,FALSE)),"")</f>
        <v>0.05</v>
      </c>
      <c r="H47" s="195">
        <f>IFERROR(IF(VLOOKUP($A47,'Annex 2 Designated EHV charges'!$D:$P,13,FALSE)=0,"",VLOOKUP($A47,'Annex 2 Designated EHV charges'!$D:$P,13,FALSE)),"")</f>
        <v>0.05</v>
      </c>
    </row>
    <row r="48" spans="1:8" x14ac:dyDescent="0.2">
      <c r="A48" s="95" t="str" cm="1">
        <f t="array" ref="A48">IFERROR(INDEX('Annex 2 Designated EHV charges'!$D$10:$D$401, MATCH(0, IF(ISBLANK('Annex 2 Designated EHV charges'!$D$10:$D$401),1, COUNTIF(A$4:$A47, 'Annex 2 Designated EHV charges'!$D$10:$D$401)), 0)),"")</f>
        <v>BRCHBS</v>
      </c>
      <c r="B48" s="94">
        <f>IF($A48="","",VLOOKUP($A48,'Annex 2 Designated EHV charges'!$D:$O,2,0))</f>
        <v>0</v>
      </c>
      <c r="C48" s="95" t="str">
        <f>IF($A48="","",VLOOKUP($A48,'Annex 2 Designated EHV charges'!$D:$O,3,0))</f>
        <v>ENET</v>
      </c>
      <c r="D48" s="94" t="str">
        <f>IF($A48="","",VLOOKUP($A48,'Annex 2 Designated EHV charges'!$D:$O,4,0))</f>
        <v>BRCHBS</v>
      </c>
      <c r="E48" s="96">
        <f>IFERROR(IF(VLOOKUP($A48,'Annex 2 Designated EHV charges'!$D:$P,10,FALSE)=0,"",VLOOKUP($A48,'Annex 2 Designated EHV charges'!$D:$P,10,FALSE)),"")</f>
        <v>-1.024</v>
      </c>
      <c r="F48" s="195">
        <f>IFERROR(IF(VLOOKUP($A48,'Annex 2 Designated EHV charges'!$D:$P,11,FALSE)=0,"",VLOOKUP($A48,'Annex 2 Designated EHV charges'!$D:$P,11,FALSE)),"")</f>
        <v>306.88</v>
      </c>
      <c r="G48" s="195">
        <f>IFERROR(IF(VLOOKUP($A48,'Annex 2 Designated EHV charges'!$D:$P,12,FALSE)=0,"",VLOOKUP($A48,'Annex 2 Designated EHV charges'!$D:$P,12,FALSE)),"")</f>
        <v>0.05</v>
      </c>
      <c r="H48" s="195">
        <f>IFERROR(IF(VLOOKUP($A48,'Annex 2 Designated EHV charges'!$D:$P,13,FALSE)=0,"",VLOOKUP($A48,'Annex 2 Designated EHV charges'!$D:$P,13,FALSE)),"")</f>
        <v>0.05</v>
      </c>
    </row>
    <row r="49" spans="1:8" x14ac:dyDescent="0.2">
      <c r="A49" s="95" t="str" cm="1">
        <f t="array" ref="A49">IFERROR(INDEX('Annex 2 Designated EHV charges'!$D$10:$D$401, MATCH(0, IF(ISBLANK('Annex 2 Designated EHV charges'!$D$10:$D$401),1, COUNTIF(A$4:$A48, 'Annex 2 Designated EHV charges'!$D$10:$D$401)), 0)),"")</f>
        <v>BRCHGP</v>
      </c>
      <c r="B49" s="94">
        <f>IF($A49="","",VLOOKUP($A49,'Annex 2 Designated EHV charges'!$D:$O,2,0))</f>
        <v>457</v>
      </c>
      <c r="C49" s="95">
        <f>IF($A49="","",VLOOKUP($A49,'Annex 2 Designated EHV charges'!$D:$O,3,0))</f>
        <v>1050000961965</v>
      </c>
      <c r="D49" s="94" t="str">
        <f>IF($A49="","",VLOOKUP($A49,'Annex 2 Designated EHV charges'!$D:$O,4,0))</f>
        <v>BRCHGP</v>
      </c>
      <c r="E49" s="96" t="str">
        <f>IFERROR(IF(VLOOKUP($A49,'Annex 2 Designated EHV charges'!$D:$P,10,FALSE)=0,"",VLOOKUP($A49,'Annex 2 Designated EHV charges'!$D:$P,10,FALSE)),"")</f>
        <v/>
      </c>
      <c r="F49" s="195">
        <f>IFERROR(IF(VLOOKUP($A49,'Annex 2 Designated EHV charges'!$D:$P,11,FALSE)=0,"",VLOOKUP($A49,'Annex 2 Designated EHV charges'!$D:$P,11,FALSE)),"")</f>
        <v>486.94</v>
      </c>
      <c r="G49" s="195">
        <f>IFERROR(IF(VLOOKUP($A49,'Annex 2 Designated EHV charges'!$D:$P,12,FALSE)=0,"",VLOOKUP($A49,'Annex 2 Designated EHV charges'!$D:$P,12,FALSE)),"")</f>
        <v>0.05</v>
      </c>
      <c r="H49" s="195">
        <f>IFERROR(IF(VLOOKUP($A49,'Annex 2 Designated EHV charges'!$D:$P,13,FALSE)=0,"",VLOOKUP($A49,'Annex 2 Designated EHV charges'!$D:$P,13,FALSE)),"")</f>
        <v>0.05</v>
      </c>
    </row>
    <row r="50" spans="1:8" x14ac:dyDescent="0.2">
      <c r="A50" s="95" t="str" cm="1">
        <f t="array" ref="A50">IFERROR(INDEX('Annex 2 Designated EHV charges'!$D$10:$D$401, MATCH(0, IF(ISBLANK('Annex 2 Designated EHV charges'!$D$10:$D$401),1, COUNTIF(A$4:$A49, 'Annex 2 Designated EHV charges'!$D$10:$D$401)), 0)),"")</f>
        <v>BREFC1</v>
      </c>
      <c r="B50" s="94">
        <f>IF($A50="","",VLOOKUP($A50,'Annex 2 Designated EHV charges'!$D:$O,2,0))</f>
        <v>409</v>
      </c>
      <c r="C50" s="95">
        <f>IF($A50="","",VLOOKUP($A50,'Annex 2 Designated EHV charges'!$D:$O,3,0))</f>
        <v>1050002055549</v>
      </c>
      <c r="D50" s="94" t="str">
        <f>IF($A50="","",VLOOKUP($A50,'Annex 2 Designated EHV charges'!$D:$O,4,0))</f>
        <v>BREFC1</v>
      </c>
      <c r="E50" s="96">
        <f>IFERROR(IF(VLOOKUP($A50,'Annex 2 Designated EHV charges'!$D:$P,10,FALSE)=0,"",VLOOKUP($A50,'Annex 2 Designated EHV charges'!$D:$P,10,FALSE)),"")</f>
        <v>-2.6389999999999998</v>
      </c>
      <c r="F50" s="195">
        <f>IFERROR(IF(VLOOKUP($A50,'Annex 2 Designated EHV charges'!$D:$P,11,FALSE)=0,"",VLOOKUP($A50,'Annex 2 Designated EHV charges'!$D:$P,11,FALSE)),"")</f>
        <v>195.86</v>
      </c>
      <c r="G50" s="195">
        <f>IFERROR(IF(VLOOKUP($A50,'Annex 2 Designated EHV charges'!$D:$P,12,FALSE)=0,"",VLOOKUP($A50,'Annex 2 Designated EHV charges'!$D:$P,12,FALSE)),"")</f>
        <v>0.05</v>
      </c>
      <c r="H50" s="195">
        <f>IFERROR(IF(VLOOKUP($A50,'Annex 2 Designated EHV charges'!$D:$P,13,FALSE)=0,"",VLOOKUP($A50,'Annex 2 Designated EHV charges'!$D:$P,13,FALSE)),"")</f>
        <v>0.05</v>
      </c>
    </row>
    <row r="51" spans="1:8" x14ac:dyDescent="0.2">
      <c r="A51" s="95" t="str" cm="1">
        <f t="array" ref="A51">IFERROR(INDEX('Annex 2 Designated EHV charges'!$D$10:$D$401, MATCH(0, IF(ISBLANK('Annex 2 Designated EHV charges'!$D$10:$D$401),1, COUNTIF(A$4:$A50, 'Annex 2 Designated EHV charges'!$D$10:$D$401)), 0)),"")</f>
        <v>BRENBS</v>
      </c>
      <c r="B51" s="94">
        <f>IF($A51="","",VLOOKUP($A51,'Annex 2 Designated EHV charges'!$D:$O,2,0))</f>
        <v>0</v>
      </c>
      <c r="C51" s="95" t="str">
        <f>IF($A51="","",VLOOKUP($A51,'Annex 2 Designated EHV charges'!$D:$O,3,0))</f>
        <v>MSID: 7509</v>
      </c>
      <c r="D51" s="94" t="str">
        <f>IF($A51="","",VLOOKUP($A51,'Annex 2 Designated EHV charges'!$D:$O,4,0))</f>
        <v>BRENBS</v>
      </c>
      <c r="E51" s="96">
        <f>IFERROR(IF(VLOOKUP($A51,'Annex 2 Designated EHV charges'!$D:$P,10,FALSE)=0,"",VLOOKUP($A51,'Annex 2 Designated EHV charges'!$D:$P,10,FALSE)),"")</f>
        <v>-1.401</v>
      </c>
      <c r="F51" s="195">
        <f>IFERROR(IF(VLOOKUP($A51,'Annex 2 Designated EHV charges'!$D:$P,11,FALSE)=0,"",VLOOKUP($A51,'Annex 2 Designated EHV charges'!$D:$P,11,FALSE)),"")</f>
        <v>946.06</v>
      </c>
      <c r="G51" s="195">
        <f>IFERROR(IF(VLOOKUP($A51,'Annex 2 Designated EHV charges'!$D:$P,12,FALSE)=0,"",VLOOKUP($A51,'Annex 2 Designated EHV charges'!$D:$P,12,FALSE)),"")</f>
        <v>0.05</v>
      </c>
      <c r="H51" s="195">
        <f>IFERROR(IF(VLOOKUP($A51,'Annex 2 Designated EHV charges'!$D:$P,13,FALSE)=0,"",VLOOKUP($A51,'Annex 2 Designated EHV charges'!$D:$P,13,FALSE)),"")</f>
        <v>0.05</v>
      </c>
    </row>
    <row r="52" spans="1:8" x14ac:dyDescent="0.2">
      <c r="A52" s="95" t="str" cm="1">
        <f t="array" ref="A52">IFERROR(INDEX('Annex 2 Designated EHV charges'!$D$10:$D$401, MATCH(0, IF(ISBLANK('Annex 2 Designated EHV charges'!$D$10:$D$401),1, COUNTIF(A$4:$A51, 'Annex 2 Designated EHV charges'!$D$10:$D$401)), 0)),"")</f>
        <v>BRKESF</v>
      </c>
      <c r="B52" s="94">
        <f>IF($A52="","",VLOOKUP($A52,'Annex 2 Designated EHV charges'!$D:$O,2,0))</f>
        <v>0</v>
      </c>
      <c r="C52" s="95" t="str">
        <f>IF($A52="","",VLOOKUP($A52,'Annex 2 Designated EHV charges'!$D:$O,3,0))</f>
        <v>MSID: 7473</v>
      </c>
      <c r="D52" s="94" t="str">
        <f>IF($A52="","",VLOOKUP($A52,'Annex 2 Designated EHV charges'!$D:$O,4,0))</f>
        <v>BRKESF</v>
      </c>
      <c r="E52" s="96">
        <f>IFERROR(IF(VLOOKUP($A52,'Annex 2 Designated EHV charges'!$D:$P,10,FALSE)=0,"",VLOOKUP($A52,'Annex 2 Designated EHV charges'!$D:$P,10,FALSE)),"")</f>
        <v>-1.4E-2</v>
      </c>
      <c r="F52" s="195">
        <f>IFERROR(IF(VLOOKUP($A52,'Annex 2 Designated EHV charges'!$D:$P,11,FALSE)=0,"",VLOOKUP($A52,'Annex 2 Designated EHV charges'!$D:$P,11,FALSE)),"")</f>
        <v>5308.94</v>
      </c>
      <c r="G52" s="195">
        <f>IFERROR(IF(VLOOKUP($A52,'Annex 2 Designated EHV charges'!$D:$P,12,FALSE)=0,"",VLOOKUP($A52,'Annex 2 Designated EHV charges'!$D:$P,12,FALSE)),"")</f>
        <v>0.05</v>
      </c>
      <c r="H52" s="195">
        <f>IFERROR(IF(VLOOKUP($A52,'Annex 2 Designated EHV charges'!$D:$P,13,FALSE)=0,"",VLOOKUP($A52,'Annex 2 Designated EHV charges'!$D:$P,13,FALSE)),"")</f>
        <v>0.05</v>
      </c>
    </row>
    <row r="53" spans="1:8" ht="63.75" x14ac:dyDescent="0.2">
      <c r="A53" s="95" t="str" cm="1">
        <f t="array" ref="A53">IFERROR(INDEX('Annex 2 Designated EHV charges'!$D$10:$D$401, MATCH(0, IF(ISBLANK('Annex 2 Designated EHV charges'!$D$10:$D$401),1, COUNTIF(A$4:$A52, 'Annex 2 Designated EHV charges'!$D$10:$D$401)), 0)),"")</f>
        <v>BROGB_</v>
      </c>
      <c r="B53" s="94">
        <f>IF($A53="","",VLOOKUP($A53,'Annex 2 Designated EHV charges'!$D:$O,2,0))</f>
        <v>701</v>
      </c>
      <c r="C53" s="95" t="str">
        <f>IF($A53="","",VLOOKUP($A53,'Annex 2 Designated EHV charges'!$D:$O,3,0))</f>
        <v>1030041591590;1030041591828;1030041592050;1030041592282;1050000011309</v>
      </c>
      <c r="D53" s="94" t="str">
        <f>IF($A53="","",VLOOKUP($A53,'Annex 2 Designated EHV charges'!$D:$O,4,0))</f>
        <v>BROGB_</v>
      </c>
      <c r="E53" s="96">
        <f>IFERROR(IF(VLOOKUP($A53,'Annex 2 Designated EHV charges'!$D:$P,10,FALSE)=0,"",VLOOKUP($A53,'Annex 2 Designated EHV charges'!$D:$P,10,FALSE)),"")</f>
        <v>-3.6739999999999999</v>
      </c>
      <c r="F53" s="195">
        <f>IFERROR(IF(VLOOKUP($A53,'Annex 2 Designated EHV charges'!$D:$P,11,FALSE)=0,"",VLOOKUP($A53,'Annex 2 Designated EHV charges'!$D:$P,11,FALSE)),"")</f>
        <v>7100.76</v>
      </c>
      <c r="G53" s="195">
        <f>IFERROR(IF(VLOOKUP($A53,'Annex 2 Designated EHV charges'!$D:$P,12,FALSE)=0,"",VLOOKUP($A53,'Annex 2 Designated EHV charges'!$D:$P,12,FALSE)),"")</f>
        <v>0.05</v>
      </c>
      <c r="H53" s="195">
        <f>IFERROR(IF(VLOOKUP($A53,'Annex 2 Designated EHV charges'!$D:$P,13,FALSE)=0,"",VLOOKUP($A53,'Annex 2 Designated EHV charges'!$D:$P,13,FALSE)),"")</f>
        <v>0.05</v>
      </c>
    </row>
    <row r="54" spans="1:8" x14ac:dyDescent="0.2">
      <c r="A54" s="95" t="str" cm="1">
        <f t="array" ref="A54">IFERROR(INDEX('Annex 2 Designated EHV charges'!$D$10:$D$401, MATCH(0, IF(ISBLANK('Annex 2 Designated EHV charges'!$D$10:$D$401),1, COUNTIF(A$4:$A53, 'Annex 2 Designated EHV charges'!$D$10:$D$401)), 0)),"")</f>
        <v>BROXSF</v>
      </c>
      <c r="B54" s="94">
        <f>IF($A54="","",VLOOKUP($A54,'Annex 2 Designated EHV charges'!$D:$O,2,0))</f>
        <v>747</v>
      </c>
      <c r="C54" s="95">
        <f>IF($A54="","",VLOOKUP($A54,'Annex 2 Designated EHV charges'!$D:$O,3,0))</f>
        <v>1030085039971</v>
      </c>
      <c r="D54" s="94" t="str">
        <f>IF($A54="","",VLOOKUP($A54,'Annex 2 Designated EHV charges'!$D:$O,4,0))</f>
        <v>BROXSF</v>
      </c>
      <c r="E54" s="96" t="str">
        <f>IFERROR(IF(VLOOKUP($A54,'Annex 2 Designated EHV charges'!$D:$P,10,FALSE)=0,"",VLOOKUP($A54,'Annex 2 Designated EHV charges'!$D:$P,10,FALSE)),"")</f>
        <v/>
      </c>
      <c r="F54" s="195">
        <f>IFERROR(IF(VLOOKUP($A54,'Annex 2 Designated EHV charges'!$D:$P,11,FALSE)=0,"",VLOOKUP($A54,'Annex 2 Designated EHV charges'!$D:$P,11,FALSE)),"")</f>
        <v>5657.85</v>
      </c>
      <c r="G54" s="195">
        <f>IFERROR(IF(VLOOKUP($A54,'Annex 2 Designated EHV charges'!$D:$P,12,FALSE)=0,"",VLOOKUP($A54,'Annex 2 Designated EHV charges'!$D:$P,12,FALSE)),"")</f>
        <v>0.05</v>
      </c>
      <c r="H54" s="195">
        <f>IFERROR(IF(VLOOKUP($A54,'Annex 2 Designated EHV charges'!$D:$P,13,FALSE)=0,"",VLOOKUP($A54,'Annex 2 Designated EHV charges'!$D:$P,13,FALSE)),"")</f>
        <v>0.05</v>
      </c>
    </row>
    <row r="55" spans="1:8" x14ac:dyDescent="0.2">
      <c r="A55" s="95" t="str" cm="1">
        <f t="array" ref="A55">IFERROR(INDEX('Annex 2 Designated EHV charges'!$D$10:$D$401, MATCH(0, IF(ISBLANK('Annex 2 Designated EHV charges'!$D$10:$D$401),1, COUNTIF(A$4:$A54, 'Annex 2 Designated EHV charges'!$D$10:$D$401)), 0)),"")</f>
        <v>BRTHS2</v>
      </c>
      <c r="B55" s="94">
        <f>IF($A55="","",VLOOKUP($A55,'Annex 2 Designated EHV charges'!$D:$O,2,0))</f>
        <v>785</v>
      </c>
      <c r="C55" s="95">
        <f>IF($A55="","",VLOOKUP($A55,'Annex 2 Designated EHV charges'!$D:$O,3,0))</f>
        <v>1050000773842</v>
      </c>
      <c r="D55" s="94" t="str">
        <f>IF($A55="","",VLOOKUP($A55,'Annex 2 Designated EHV charges'!$D:$O,4,0))</f>
        <v>BRTHS2</v>
      </c>
      <c r="E55" s="96" t="str">
        <f>IFERROR(IF(VLOOKUP($A55,'Annex 2 Designated EHV charges'!$D:$P,10,FALSE)=0,"",VLOOKUP($A55,'Annex 2 Designated EHV charges'!$D:$P,10,FALSE)),"")</f>
        <v/>
      </c>
      <c r="F55" s="195">
        <f>IFERROR(IF(VLOOKUP($A55,'Annex 2 Designated EHV charges'!$D:$P,11,FALSE)=0,"",VLOOKUP($A55,'Annex 2 Designated EHV charges'!$D:$P,11,FALSE)),"")</f>
        <v>492.4</v>
      </c>
      <c r="G55" s="195">
        <f>IFERROR(IF(VLOOKUP($A55,'Annex 2 Designated EHV charges'!$D:$P,12,FALSE)=0,"",VLOOKUP($A55,'Annex 2 Designated EHV charges'!$D:$P,12,FALSE)),"")</f>
        <v>0.05</v>
      </c>
      <c r="H55" s="195">
        <f>IFERROR(IF(VLOOKUP($A55,'Annex 2 Designated EHV charges'!$D:$P,13,FALSE)=0,"",VLOOKUP($A55,'Annex 2 Designated EHV charges'!$D:$P,13,FALSE)),"")</f>
        <v>0.05</v>
      </c>
    </row>
    <row r="56" spans="1:8" x14ac:dyDescent="0.2">
      <c r="A56" s="95" t="str" cm="1">
        <f t="array" ref="A56">IFERROR(INDEX('Annex 2 Designated EHV charges'!$D$10:$D$401, MATCH(0, IF(ISBLANK('Annex 2 Designated EHV charges'!$D$10:$D$401),1, COUNTIF(A$4:$A55, 'Annex 2 Designated EHV charges'!$D$10:$D$401)), 0)),"")</f>
        <v>BRTHSS</v>
      </c>
      <c r="B56" s="94">
        <f>IF($A56="","",VLOOKUP($A56,'Annex 2 Designated EHV charges'!$D:$O,2,0))</f>
        <v>735</v>
      </c>
      <c r="C56" s="95">
        <f>IF($A56="","",VLOOKUP($A56,'Annex 2 Designated EHV charges'!$D:$O,3,0))</f>
        <v>1030083941034</v>
      </c>
      <c r="D56" s="94" t="str">
        <f>IF($A56="","",VLOOKUP($A56,'Annex 2 Designated EHV charges'!$D:$O,4,0))</f>
        <v>BRTHSS</v>
      </c>
      <c r="E56" s="96" t="str">
        <f>IFERROR(IF(VLOOKUP($A56,'Annex 2 Designated EHV charges'!$D:$P,10,FALSE)=0,"",VLOOKUP($A56,'Annex 2 Designated EHV charges'!$D:$P,10,FALSE)),"")</f>
        <v/>
      </c>
      <c r="F56" s="195">
        <f>IFERROR(IF(VLOOKUP($A56,'Annex 2 Designated EHV charges'!$D:$P,11,FALSE)=0,"",VLOOKUP($A56,'Annex 2 Designated EHV charges'!$D:$P,11,FALSE)),"")</f>
        <v>489.4</v>
      </c>
      <c r="G56" s="195">
        <f>IFERROR(IF(VLOOKUP($A56,'Annex 2 Designated EHV charges'!$D:$P,12,FALSE)=0,"",VLOOKUP($A56,'Annex 2 Designated EHV charges'!$D:$P,12,FALSE)),"")</f>
        <v>0.05</v>
      </c>
      <c r="H56" s="195">
        <f>IFERROR(IF(VLOOKUP($A56,'Annex 2 Designated EHV charges'!$D:$P,13,FALSE)=0,"",VLOOKUP($A56,'Annex 2 Designated EHV charges'!$D:$P,13,FALSE)),"")</f>
        <v>0.05</v>
      </c>
    </row>
    <row r="57" spans="1:8" x14ac:dyDescent="0.2">
      <c r="A57" s="95" t="str" cm="1">
        <f t="array" ref="A57">IFERROR(INDEX('Annex 2 Designated EHV charges'!$D$10:$D$401, MATCH(0, IF(ISBLANK('Annex 2 Designated EHV charges'!$D$10:$D$401),1, COUNTIF(A$4:$A56, 'Annex 2 Designated EHV charges'!$D$10:$D$401)), 0)),"")</f>
        <v>BRTHSW</v>
      </c>
      <c r="B57" s="94">
        <f>IF($A57="","",VLOOKUP($A57,'Annex 2 Designated EHV charges'!$D:$O,2,0))</f>
        <v>748</v>
      </c>
      <c r="C57" s="95">
        <f>IF($A57="","",VLOOKUP($A57,'Annex 2 Designated EHV charges'!$D:$O,3,0))</f>
        <v>1030083917802</v>
      </c>
      <c r="D57" s="94" t="str">
        <f>IF($A57="","",VLOOKUP($A57,'Annex 2 Designated EHV charges'!$D:$O,4,0))</f>
        <v>BRTHSW</v>
      </c>
      <c r="E57" s="96" t="str">
        <f>IFERROR(IF(VLOOKUP($A57,'Annex 2 Designated EHV charges'!$D:$P,10,FALSE)=0,"",VLOOKUP($A57,'Annex 2 Designated EHV charges'!$D:$P,10,FALSE)),"")</f>
        <v/>
      </c>
      <c r="F57" s="195">
        <f>IFERROR(IF(VLOOKUP($A57,'Annex 2 Designated EHV charges'!$D:$P,11,FALSE)=0,"",VLOOKUP($A57,'Annex 2 Designated EHV charges'!$D:$P,11,FALSE)),"")</f>
        <v>480.85</v>
      </c>
      <c r="G57" s="195">
        <f>IFERROR(IF(VLOOKUP($A57,'Annex 2 Designated EHV charges'!$D:$P,12,FALSE)=0,"",VLOOKUP($A57,'Annex 2 Designated EHV charges'!$D:$P,12,FALSE)),"")</f>
        <v>0.05</v>
      </c>
      <c r="H57" s="195">
        <f>IFERROR(IF(VLOOKUP($A57,'Annex 2 Designated EHV charges'!$D:$P,13,FALSE)=0,"",VLOOKUP($A57,'Annex 2 Designated EHV charges'!$D:$P,13,FALSE)),"")</f>
        <v>0.05</v>
      </c>
    </row>
    <row r="58" spans="1:8" ht="25.5" x14ac:dyDescent="0.2">
      <c r="A58" s="95" t="str" cm="1">
        <f t="array" ref="A58">IFERROR(INDEX('Annex 2 Designated EHV charges'!$D$10:$D$401, MATCH(0, IF(ISBLANK('Annex 2 Designated EHV charges'!$D$10:$D$401),1, COUNTIF(A$4:$A57, 'Annex 2 Designated EHV charges'!$D$10:$D$401)), 0)),"")</f>
        <v>BS_BUR</v>
      </c>
      <c r="B58" s="94">
        <f>IF($A58="","",VLOOKUP($A58,'Annex 2 Designated EHV charges'!$D:$O,2,0))</f>
        <v>700</v>
      </c>
      <c r="C58" s="95" t="str">
        <f>IF($A58="","",VLOOKUP($A58,'Annex 2 Designated EHV charges'!$D:$O,3,0))</f>
        <v>1023485782546;1050000914900</v>
      </c>
      <c r="D58" s="94" t="str">
        <f>IF($A58="","",VLOOKUP($A58,'Annex 2 Designated EHV charges'!$D:$O,4,0))</f>
        <v>BS_BUR</v>
      </c>
      <c r="E58" s="96">
        <f>IFERROR(IF(VLOOKUP($A58,'Annex 2 Designated EHV charges'!$D:$P,10,FALSE)=0,"",VLOOKUP($A58,'Annex 2 Designated EHV charges'!$D:$P,10,FALSE)),"")</f>
        <v>-1.8720000000000001</v>
      </c>
      <c r="F58" s="195">
        <f>IFERROR(IF(VLOOKUP($A58,'Annex 2 Designated EHV charges'!$D:$P,11,FALSE)=0,"",VLOOKUP($A58,'Annex 2 Designated EHV charges'!$D:$P,11,FALSE)),"")</f>
        <v>1049.8699999999999</v>
      </c>
      <c r="G58" s="195">
        <f>IFERROR(IF(VLOOKUP($A58,'Annex 2 Designated EHV charges'!$D:$P,12,FALSE)=0,"",VLOOKUP($A58,'Annex 2 Designated EHV charges'!$D:$P,12,FALSE)),"")</f>
        <v>0.05</v>
      </c>
      <c r="H58" s="195">
        <f>IFERROR(IF(VLOOKUP($A58,'Annex 2 Designated EHV charges'!$D:$P,13,FALSE)=0,"",VLOOKUP($A58,'Annex 2 Designated EHV charges'!$D:$P,13,FALSE)),"")</f>
        <v>0.05</v>
      </c>
    </row>
    <row r="59" spans="1:8" x14ac:dyDescent="0.2">
      <c r="A59" s="95" t="str" cm="1">
        <f t="array" ref="A59">IFERROR(INDEX('Annex 2 Designated EHV charges'!$D$10:$D$401, MATCH(0, IF(ISBLANK('Annex 2 Designated EHV charges'!$D$10:$D$401),1, COUNTIF(A$4:$A58, 'Annex 2 Designated EHV charges'!$D$10:$D$401)), 0)),"")</f>
        <v>BS_WIS</v>
      </c>
      <c r="B59" s="94">
        <f>IF($A59="","",VLOOKUP($A59,'Annex 2 Designated EHV charges'!$D:$O,2,0))</f>
        <v>719</v>
      </c>
      <c r="C59" s="95">
        <f>IF($A59="","",VLOOKUP($A59,'Annex 2 Designated EHV charges'!$D:$O,3,0))</f>
        <v>1023470427970</v>
      </c>
      <c r="D59" s="94" t="str">
        <f>IF($A59="","",VLOOKUP($A59,'Annex 2 Designated EHV charges'!$D:$O,4,0))</f>
        <v>BS_WIS</v>
      </c>
      <c r="E59" s="96">
        <f>IFERROR(IF(VLOOKUP($A59,'Annex 2 Designated EHV charges'!$D:$P,10,FALSE)=0,"",VLOOKUP($A59,'Annex 2 Designated EHV charges'!$D:$P,10,FALSE)),"")</f>
        <v>-0.13600000000000001</v>
      </c>
      <c r="F59" s="195">
        <f>IFERROR(IF(VLOOKUP($A59,'Annex 2 Designated EHV charges'!$D:$P,11,FALSE)=0,"",VLOOKUP($A59,'Annex 2 Designated EHV charges'!$D:$P,11,FALSE)),"")</f>
        <v>469.93</v>
      </c>
      <c r="G59" s="195">
        <f>IFERROR(IF(VLOOKUP($A59,'Annex 2 Designated EHV charges'!$D:$P,12,FALSE)=0,"",VLOOKUP($A59,'Annex 2 Designated EHV charges'!$D:$P,12,FALSE)),"")</f>
        <v>0.05</v>
      </c>
      <c r="H59" s="195">
        <f>IFERROR(IF(VLOOKUP($A59,'Annex 2 Designated EHV charges'!$D:$P,13,FALSE)=0,"",VLOOKUP($A59,'Annex 2 Designated EHV charges'!$D:$P,13,FALSE)),"")</f>
        <v>0.05</v>
      </c>
    </row>
    <row r="60" spans="1:8" x14ac:dyDescent="0.2">
      <c r="A60" s="95" t="str" cm="1">
        <f t="array" ref="A60">IFERROR(INDEX('Annex 2 Designated EHV charges'!$D$10:$D$401, MATCH(0, IF(ISBLANK('Annex 2 Designated EHV charges'!$D$10:$D$401),1, COUNTIF(A$4:$A59, 'Annex 2 Designated EHV charges'!$D$10:$D$401)), 0)),"")</f>
        <v>BSGBRN</v>
      </c>
      <c r="B60" s="94">
        <f>IF($A60="","",VLOOKUP($A60,'Annex 2 Designated EHV charges'!$D:$O,2,0))</f>
        <v>784</v>
      </c>
      <c r="C60" s="95">
        <f>IF($A60="","",VLOOKUP($A60,'Annex 2 Designated EHV charges'!$D:$O,3,0))</f>
        <v>1050000773860</v>
      </c>
      <c r="D60" s="94" t="str">
        <f>IF($A60="","",VLOOKUP($A60,'Annex 2 Designated EHV charges'!$D:$O,4,0))</f>
        <v>BSGBRN</v>
      </c>
      <c r="E60" s="96" t="str">
        <f>IFERROR(IF(VLOOKUP($A60,'Annex 2 Designated EHV charges'!$D:$P,10,FALSE)=0,"",VLOOKUP($A60,'Annex 2 Designated EHV charges'!$D:$P,10,FALSE)),"")</f>
        <v/>
      </c>
      <c r="F60" s="195">
        <f>IFERROR(IF(VLOOKUP($A60,'Annex 2 Designated EHV charges'!$D:$P,11,FALSE)=0,"",VLOOKUP($A60,'Annex 2 Designated EHV charges'!$D:$P,11,FALSE)),"")</f>
        <v>3009.33</v>
      </c>
      <c r="G60" s="195">
        <f>IFERROR(IF(VLOOKUP($A60,'Annex 2 Designated EHV charges'!$D:$P,12,FALSE)=0,"",VLOOKUP($A60,'Annex 2 Designated EHV charges'!$D:$P,12,FALSE)),"")</f>
        <v>0.05</v>
      </c>
      <c r="H60" s="195">
        <f>IFERROR(IF(VLOOKUP($A60,'Annex 2 Designated EHV charges'!$D:$P,13,FALSE)=0,"",VLOOKUP($A60,'Annex 2 Designated EHV charges'!$D:$P,13,FALSE)),"")</f>
        <v>0.05</v>
      </c>
    </row>
    <row r="61" spans="1:8" x14ac:dyDescent="0.2">
      <c r="A61" s="95" t="str" cm="1">
        <f t="array" ref="A61">IFERROR(INDEX('Annex 2 Designated EHV charges'!$D$10:$D$401, MATCH(0, IF(ISBLANK('Annex 2 Designated EHV charges'!$D$10:$D$401),1, COUNTIF(A$4:$A60, 'Annex 2 Designated EHV charges'!$D$10:$D$401)), 0)),"")</f>
        <v>BURGSF</v>
      </c>
      <c r="B61" s="94">
        <f>IF($A61="","",VLOOKUP($A61,'Annex 2 Designated EHV charges'!$D:$O,2,0))</f>
        <v>396</v>
      </c>
      <c r="C61" s="95">
        <f>IF($A61="","",VLOOKUP($A61,'Annex 2 Designated EHV charges'!$D:$O,3,0))</f>
        <v>1050002552406</v>
      </c>
      <c r="D61" s="94" t="str">
        <f>IF($A61="","",VLOOKUP($A61,'Annex 2 Designated EHV charges'!$D:$O,4,0))</f>
        <v>BURGSF</v>
      </c>
      <c r="E61" s="96">
        <f>IFERROR(IF(VLOOKUP($A61,'Annex 2 Designated EHV charges'!$D:$P,10,FALSE)=0,"",VLOOKUP($A61,'Annex 2 Designated EHV charges'!$D:$P,10,FALSE)),"")</f>
        <v>-6.7000000000000004E-2</v>
      </c>
      <c r="F61" s="195">
        <f>IFERROR(IF(VLOOKUP($A61,'Annex 2 Designated EHV charges'!$D:$P,11,FALSE)=0,"",VLOOKUP($A61,'Annex 2 Designated EHV charges'!$D:$P,11,FALSE)),"")</f>
        <v>559.79</v>
      </c>
      <c r="G61" s="195">
        <f>IFERROR(IF(VLOOKUP($A61,'Annex 2 Designated EHV charges'!$D:$P,12,FALSE)=0,"",VLOOKUP($A61,'Annex 2 Designated EHV charges'!$D:$P,12,FALSE)),"")</f>
        <v>0.05</v>
      </c>
      <c r="H61" s="195">
        <f>IFERROR(IF(VLOOKUP($A61,'Annex 2 Designated EHV charges'!$D:$P,13,FALSE)=0,"",VLOOKUP($A61,'Annex 2 Designated EHV charges'!$D:$P,13,FALSE)),"")</f>
        <v>0.05</v>
      </c>
    </row>
    <row r="62" spans="1:8" x14ac:dyDescent="0.2">
      <c r="A62" s="95" t="str" cm="1">
        <f t="array" ref="A62">IFERROR(INDEX('Annex 2 Designated EHV charges'!$D$10:$D$401, MATCH(0, IF(ISBLANK('Annex 2 Designated EHV charges'!$D$10:$D$401),1, COUNTIF(A$4:$A61, 'Annex 2 Designated EHV charges'!$D$10:$D$401)), 0)),"")</f>
        <v>BURWBS</v>
      </c>
      <c r="B62" s="94">
        <f>IF($A62="","",VLOOKUP($A62,'Annex 2 Designated EHV charges'!$D:$O,2,0))</f>
        <v>0</v>
      </c>
      <c r="C62" s="95" t="str">
        <f>IF($A62="","",VLOOKUP($A62,'Annex 2 Designated EHV charges'!$D:$O,3,0))</f>
        <v>MSID: 7440</v>
      </c>
      <c r="D62" s="94" t="str">
        <f>IF($A62="","",VLOOKUP($A62,'Annex 2 Designated EHV charges'!$D:$O,4,0))</f>
        <v>BURWBS</v>
      </c>
      <c r="E62" s="96" t="str">
        <f>IFERROR(IF(VLOOKUP($A62,'Annex 2 Designated EHV charges'!$D:$P,10,FALSE)=0,"",VLOOKUP($A62,'Annex 2 Designated EHV charges'!$D:$P,10,FALSE)),"")</f>
        <v/>
      </c>
      <c r="F62" s="195">
        <f>IFERROR(IF(VLOOKUP($A62,'Annex 2 Designated EHV charges'!$D:$P,11,FALSE)=0,"",VLOOKUP($A62,'Annex 2 Designated EHV charges'!$D:$P,11,FALSE)),"")</f>
        <v>968.53</v>
      </c>
      <c r="G62" s="195">
        <f>IFERROR(IF(VLOOKUP($A62,'Annex 2 Designated EHV charges'!$D:$P,12,FALSE)=0,"",VLOOKUP($A62,'Annex 2 Designated EHV charges'!$D:$P,12,FALSE)),"")</f>
        <v>0.05</v>
      </c>
      <c r="H62" s="195">
        <f>IFERROR(IF(VLOOKUP($A62,'Annex 2 Designated EHV charges'!$D:$P,13,FALSE)=0,"",VLOOKUP($A62,'Annex 2 Designated EHV charges'!$D:$P,13,FALSE)),"")</f>
        <v>0.05</v>
      </c>
    </row>
    <row r="63" spans="1:8" x14ac:dyDescent="0.2">
      <c r="A63" s="95" t="str" cm="1">
        <f t="array" ref="A63">IFERROR(INDEX('Annex 2 Designated EHV charges'!$D$10:$D$401, MATCH(0, IF(ISBLANK('Annex 2 Designated EHV charges'!$D$10:$D$401),1, COUNTIF(A$4:$A62, 'Annex 2 Designated EHV charges'!$D$10:$D$401)), 0)),"")</f>
        <v>BURYLN</v>
      </c>
      <c r="B63" s="94">
        <f>IF($A63="","",VLOOKUP($A63,'Annex 2 Designated EHV charges'!$D:$O,2,0))</f>
        <v>786</v>
      </c>
      <c r="C63" s="95">
        <f>IF($A63="","",VLOOKUP($A63,'Annex 2 Designated EHV charges'!$D:$O,3,0))</f>
        <v>1050000729667</v>
      </c>
      <c r="D63" s="94" t="str">
        <f>IF($A63="","",VLOOKUP($A63,'Annex 2 Designated EHV charges'!$D:$O,4,0))</f>
        <v>BURYLN</v>
      </c>
      <c r="E63" s="96" t="str">
        <f>IFERROR(IF(VLOOKUP($A63,'Annex 2 Designated EHV charges'!$D:$P,10,FALSE)=0,"",VLOOKUP($A63,'Annex 2 Designated EHV charges'!$D:$P,10,FALSE)),"")</f>
        <v/>
      </c>
      <c r="F63" s="195">
        <f>IFERROR(IF(VLOOKUP($A63,'Annex 2 Designated EHV charges'!$D:$P,11,FALSE)=0,"",VLOOKUP($A63,'Annex 2 Designated EHV charges'!$D:$P,11,FALSE)),"")</f>
        <v>1008.03</v>
      </c>
      <c r="G63" s="195">
        <f>IFERROR(IF(VLOOKUP($A63,'Annex 2 Designated EHV charges'!$D:$P,12,FALSE)=0,"",VLOOKUP($A63,'Annex 2 Designated EHV charges'!$D:$P,12,FALSE)),"")</f>
        <v>0.05</v>
      </c>
      <c r="H63" s="195">
        <f>IFERROR(IF(VLOOKUP($A63,'Annex 2 Designated EHV charges'!$D:$P,13,FALSE)=0,"",VLOOKUP($A63,'Annex 2 Designated EHV charges'!$D:$P,13,FALSE)),"")</f>
        <v>0.05</v>
      </c>
    </row>
    <row r="64" spans="1:8" x14ac:dyDescent="0.2">
      <c r="A64" s="95" t="str" cm="1">
        <f t="array" ref="A64">IFERROR(INDEX('Annex 2 Designated EHV charges'!$D$10:$D$401, MATCH(0, IF(ISBLANK('Annex 2 Designated EHV charges'!$D$10:$D$401),1, COUNTIF(A$4:$A63, 'Annex 2 Designated EHV charges'!$D$10:$D$401)), 0)),"")</f>
        <v>CANTSF</v>
      </c>
      <c r="B64" s="94">
        <f>IF($A64="","",VLOOKUP($A64,'Annex 2 Designated EHV charges'!$D:$O,2,0))</f>
        <v>749</v>
      </c>
      <c r="C64" s="95">
        <f>IF($A64="","",VLOOKUP($A64,'Annex 2 Designated EHV charges'!$D:$O,3,0))</f>
        <v>1030081926920</v>
      </c>
      <c r="D64" s="94" t="str">
        <f>IF($A64="","",VLOOKUP($A64,'Annex 2 Designated EHV charges'!$D:$O,4,0))</f>
        <v>CANTSF</v>
      </c>
      <c r="E64" s="96" t="str">
        <f>IFERROR(IF(VLOOKUP($A64,'Annex 2 Designated EHV charges'!$D:$P,10,FALSE)=0,"",VLOOKUP($A64,'Annex 2 Designated EHV charges'!$D:$P,10,FALSE)),"")</f>
        <v/>
      </c>
      <c r="F64" s="195">
        <f>IFERROR(IF(VLOOKUP($A64,'Annex 2 Designated EHV charges'!$D:$P,11,FALSE)=0,"",VLOOKUP($A64,'Annex 2 Designated EHV charges'!$D:$P,11,FALSE)),"")</f>
        <v>1493.92</v>
      </c>
      <c r="G64" s="195">
        <f>IFERROR(IF(VLOOKUP($A64,'Annex 2 Designated EHV charges'!$D:$P,12,FALSE)=0,"",VLOOKUP($A64,'Annex 2 Designated EHV charges'!$D:$P,12,FALSE)),"")</f>
        <v>0.05</v>
      </c>
      <c r="H64" s="195">
        <f>IFERROR(IF(VLOOKUP($A64,'Annex 2 Designated EHV charges'!$D:$P,13,FALSE)=0,"",VLOOKUP($A64,'Annex 2 Designated EHV charges'!$D:$P,13,FALSE)),"")</f>
        <v>0.05</v>
      </c>
    </row>
    <row r="65" spans="1:8" x14ac:dyDescent="0.2">
      <c r="A65" s="95" t="str" cm="1">
        <f t="array" ref="A65">IFERROR(INDEX('Annex 2 Designated EHV charges'!$D$10:$D$401, MATCH(0, IF(ISBLANK('Annex 2 Designated EHV charges'!$D$10:$D$401),1, COUNTIF(A$4:$A64, 'Annex 2 Designated EHV charges'!$D$10:$D$401)), 0)),"")</f>
        <v>CAVDRD</v>
      </c>
      <c r="B65" s="94">
        <f>IF($A65="","",VLOOKUP($A65,'Annex 2 Designated EHV charges'!$D:$O,2,0))</f>
        <v>773</v>
      </c>
      <c r="C65" s="95">
        <f>IF($A65="","",VLOOKUP($A65,'Annex 2 Designated EHV charges'!$D:$O,3,0))</f>
        <v>1050001791578</v>
      </c>
      <c r="D65" s="94" t="str">
        <f>IF($A65="","",VLOOKUP($A65,'Annex 2 Designated EHV charges'!$D:$O,4,0))</f>
        <v>CAVDRD</v>
      </c>
      <c r="E65" s="96">
        <f>IFERROR(IF(VLOOKUP($A65,'Annex 2 Designated EHV charges'!$D:$P,10,FALSE)=0,"",VLOOKUP($A65,'Annex 2 Designated EHV charges'!$D:$P,10,FALSE)),"")</f>
        <v>-1.3160000000000001</v>
      </c>
      <c r="F65" s="195">
        <f>IFERROR(IF(VLOOKUP($A65,'Annex 2 Designated EHV charges'!$D:$P,11,FALSE)=0,"",VLOOKUP($A65,'Annex 2 Designated EHV charges'!$D:$P,11,FALSE)),"")</f>
        <v>1489.25</v>
      </c>
      <c r="G65" s="195">
        <f>IFERROR(IF(VLOOKUP($A65,'Annex 2 Designated EHV charges'!$D:$P,12,FALSE)=0,"",VLOOKUP($A65,'Annex 2 Designated EHV charges'!$D:$P,12,FALSE)),"")</f>
        <v>0.05</v>
      </c>
      <c r="H65" s="195">
        <f>IFERROR(IF(VLOOKUP($A65,'Annex 2 Designated EHV charges'!$D:$P,13,FALSE)=0,"",VLOOKUP($A65,'Annex 2 Designated EHV charges'!$D:$P,13,FALSE)),"")</f>
        <v>0.05</v>
      </c>
    </row>
    <row r="66" spans="1:8" x14ac:dyDescent="0.2">
      <c r="A66" s="95" t="str" cm="1">
        <f t="array" ref="A66">IFERROR(INDEX('Annex 2 Designated EHV charges'!$D$10:$D$401, MATCH(0, IF(ISBLANK('Annex 2 Designated EHV charges'!$D$10:$D$401),1, COUNTIF(A$4:$A65, 'Annex 2 Designated EHV charges'!$D$10:$D$401)), 0)),"")</f>
        <v>CEDABS</v>
      </c>
      <c r="B66" s="94">
        <f>IF($A66="","",VLOOKUP($A66,'Annex 2 Designated EHV charges'!$D:$O,2,0))</f>
        <v>398</v>
      </c>
      <c r="C66" s="95">
        <f>IF($A66="","",VLOOKUP($A66,'Annex 2 Designated EHV charges'!$D:$O,3,0))</f>
        <v>1050003229668</v>
      </c>
      <c r="D66" s="94" t="str">
        <f>IF($A66="","",VLOOKUP($A66,'Annex 2 Designated EHV charges'!$D:$O,4,0))</f>
        <v>CEDABS</v>
      </c>
      <c r="E66" s="96" t="str">
        <f>IFERROR(IF(VLOOKUP($A66,'Annex 2 Designated EHV charges'!$D:$P,10,FALSE)=0,"",VLOOKUP($A66,'Annex 2 Designated EHV charges'!$D:$P,10,FALSE)),"")</f>
        <v/>
      </c>
      <c r="F66" s="195">
        <f>IFERROR(IF(VLOOKUP($A66,'Annex 2 Designated EHV charges'!$D:$P,11,FALSE)=0,"",VLOOKUP($A66,'Annex 2 Designated EHV charges'!$D:$P,11,FALSE)),"")</f>
        <v>909.89</v>
      </c>
      <c r="G66" s="195">
        <f>IFERROR(IF(VLOOKUP($A66,'Annex 2 Designated EHV charges'!$D:$P,12,FALSE)=0,"",VLOOKUP($A66,'Annex 2 Designated EHV charges'!$D:$P,12,FALSE)),"")</f>
        <v>0.05</v>
      </c>
      <c r="H66" s="195">
        <f>IFERROR(IF(VLOOKUP($A66,'Annex 2 Designated EHV charges'!$D:$P,13,FALSE)=0,"",VLOOKUP($A66,'Annex 2 Designated EHV charges'!$D:$P,13,FALSE)),"")</f>
        <v>0.05</v>
      </c>
    </row>
    <row r="67" spans="1:8" x14ac:dyDescent="0.2">
      <c r="A67" s="95" t="str" cm="1">
        <f t="array" ref="A67">IFERROR(INDEX('Annex 2 Designated EHV charges'!$D$10:$D$401, MATCH(0, IF(ISBLANK('Annex 2 Designated EHV charges'!$D$10:$D$401),1, COUNTIF(A$4:$A66, 'Annex 2 Designated EHV charges'!$D$10:$D$401)), 0)),"")</f>
        <v>CHAPBS</v>
      </c>
      <c r="B67" s="94">
        <f>IF($A67="","",VLOOKUP($A67,'Annex 2 Designated EHV charges'!$D:$O,2,0))</f>
        <v>0</v>
      </c>
      <c r="C67" s="95" t="str">
        <f>IF($A67="","",VLOOKUP($A67,'Annex 2 Designated EHV charges'!$D:$O,3,0))</f>
        <v>MSID: 7511</v>
      </c>
      <c r="D67" s="94" t="str">
        <f>IF($A67="","",VLOOKUP($A67,'Annex 2 Designated EHV charges'!$D:$O,4,0))</f>
        <v>CHAPBS</v>
      </c>
      <c r="E67" s="96">
        <f>IFERROR(IF(VLOOKUP($A67,'Annex 2 Designated EHV charges'!$D:$P,10,FALSE)=0,"",VLOOKUP($A67,'Annex 2 Designated EHV charges'!$D:$P,10,FALSE)),"")</f>
        <v>-0.317</v>
      </c>
      <c r="F67" s="195">
        <f>IFERROR(IF(VLOOKUP($A67,'Annex 2 Designated EHV charges'!$D:$P,11,FALSE)=0,"",VLOOKUP($A67,'Annex 2 Designated EHV charges'!$D:$P,11,FALSE)),"")</f>
        <v>909.89</v>
      </c>
      <c r="G67" s="195">
        <f>IFERROR(IF(VLOOKUP($A67,'Annex 2 Designated EHV charges'!$D:$P,12,FALSE)=0,"",VLOOKUP($A67,'Annex 2 Designated EHV charges'!$D:$P,12,FALSE)),"")</f>
        <v>0.05</v>
      </c>
      <c r="H67" s="195">
        <f>IFERROR(IF(VLOOKUP($A67,'Annex 2 Designated EHV charges'!$D:$P,13,FALSE)=0,"",VLOOKUP($A67,'Annex 2 Designated EHV charges'!$D:$P,13,FALSE)),"")</f>
        <v>0.05</v>
      </c>
    </row>
    <row r="68" spans="1:8" x14ac:dyDescent="0.2">
      <c r="A68" s="95" t="str" cm="1">
        <f t="array" ref="A68">IFERROR(INDEX('Annex 2 Designated EHV charges'!$D$10:$D$401, MATCH(0, IF(ISBLANK('Annex 2 Designated EHV charges'!$D$10:$D$401),1, COUNTIF(A$4:$A67, 'Annex 2 Designated EHV charges'!$D$10:$D$401)), 0)),"")</f>
        <v>CHEARF</v>
      </c>
      <c r="B68" s="94">
        <f>IF($A68="","",VLOOKUP($A68,'Annex 2 Designated EHV charges'!$D:$O,2,0))</f>
        <v>418</v>
      </c>
      <c r="C68" s="95">
        <f>IF($A68="","",VLOOKUP($A68,'Annex 2 Designated EHV charges'!$D:$O,3,0))</f>
        <v>1050002211711</v>
      </c>
      <c r="D68" s="94" t="str">
        <f>IF($A68="","",VLOOKUP($A68,'Annex 2 Designated EHV charges'!$D:$O,4,0))</f>
        <v>CHEARF</v>
      </c>
      <c r="E68" s="96">
        <f>IFERROR(IF(VLOOKUP($A68,'Annex 2 Designated EHV charges'!$D:$P,10,FALSE)=0,"",VLOOKUP($A68,'Annex 2 Designated EHV charges'!$D:$P,10,FALSE)),"")</f>
        <v>-3.13</v>
      </c>
      <c r="F68" s="195">
        <f>IFERROR(IF(VLOOKUP($A68,'Annex 2 Designated EHV charges'!$D:$P,11,FALSE)=0,"",VLOOKUP($A68,'Annex 2 Designated EHV charges'!$D:$P,11,FALSE)),"")</f>
        <v>4935.21</v>
      </c>
      <c r="G68" s="195">
        <f>IFERROR(IF(VLOOKUP($A68,'Annex 2 Designated EHV charges'!$D:$P,12,FALSE)=0,"",VLOOKUP($A68,'Annex 2 Designated EHV charges'!$D:$P,12,FALSE)),"")</f>
        <v>0.05</v>
      </c>
      <c r="H68" s="195">
        <f>IFERROR(IF(VLOOKUP($A68,'Annex 2 Designated EHV charges'!$D:$P,13,FALSE)=0,"",VLOOKUP($A68,'Annex 2 Designated EHV charges'!$D:$P,13,FALSE)),"")</f>
        <v>0.05</v>
      </c>
    </row>
    <row r="69" spans="1:8" x14ac:dyDescent="0.2">
      <c r="A69" s="95" t="str" cm="1">
        <f t="array" ref="A69">IFERROR(INDEX('Annex 2 Designated EHV charges'!$D$10:$D$401, MATCH(0, IF(ISBLANK('Annex 2 Designated EHV charges'!$D$10:$D$401),1, COUNTIF(A$4:$A68, 'Annex 2 Designated EHV charges'!$D$10:$D$401)), 0)),"")</f>
        <v>CHEDSF</v>
      </c>
      <c r="B69" s="94">
        <f>IF($A69="","",VLOOKUP($A69,'Annex 2 Designated EHV charges'!$D:$O,2,0))</f>
        <v>750</v>
      </c>
      <c r="C69" s="95">
        <f>IF($A69="","",VLOOKUP($A69,'Annex 2 Designated EHV charges'!$D:$O,3,0))</f>
        <v>1030083806256</v>
      </c>
      <c r="D69" s="94" t="str">
        <f>IF($A69="","",VLOOKUP($A69,'Annex 2 Designated EHV charges'!$D:$O,4,0))</f>
        <v>CHEDSF</v>
      </c>
      <c r="E69" s="96" t="str">
        <f>IFERROR(IF(VLOOKUP($A69,'Annex 2 Designated EHV charges'!$D:$P,10,FALSE)=0,"",VLOOKUP($A69,'Annex 2 Designated EHV charges'!$D:$P,10,FALSE)),"")</f>
        <v/>
      </c>
      <c r="F69" s="195">
        <f>IFERROR(IF(VLOOKUP($A69,'Annex 2 Designated EHV charges'!$D:$P,11,FALSE)=0,"",VLOOKUP($A69,'Annex 2 Designated EHV charges'!$D:$P,11,FALSE)),"")</f>
        <v>1480.65</v>
      </c>
      <c r="G69" s="195">
        <f>IFERROR(IF(VLOOKUP($A69,'Annex 2 Designated EHV charges'!$D:$P,12,FALSE)=0,"",VLOOKUP($A69,'Annex 2 Designated EHV charges'!$D:$P,12,FALSE)),"")</f>
        <v>0.05</v>
      </c>
      <c r="H69" s="195">
        <f>IFERROR(IF(VLOOKUP($A69,'Annex 2 Designated EHV charges'!$D:$P,13,FALSE)=0,"",VLOOKUP($A69,'Annex 2 Designated EHV charges'!$D:$P,13,FALSE)),"")</f>
        <v>0.05</v>
      </c>
    </row>
    <row r="70" spans="1:8" x14ac:dyDescent="0.2">
      <c r="A70" s="95" t="str" cm="1">
        <f t="array" ref="A70">IFERROR(INDEX('Annex 2 Designated EHV charges'!$D$10:$D$401, MATCH(0, IF(ISBLANK('Annex 2 Designated EHV charges'!$D$10:$D$401),1, COUNTIF(A$4:$A69, 'Annex 2 Designated EHV charges'!$D$10:$D$401)), 0)),"")</f>
        <v>CHFARM</v>
      </c>
      <c r="B70" s="94">
        <f>IF($A70="","",VLOOKUP($A70,'Annex 2 Designated EHV charges'!$D:$O,2,0))</f>
        <v>683</v>
      </c>
      <c r="C70" s="95">
        <f>IF($A70="","",VLOOKUP($A70,'Annex 2 Designated EHV charges'!$D:$O,3,0))</f>
        <v>1050000961992</v>
      </c>
      <c r="D70" s="94" t="str">
        <f>IF($A70="","",VLOOKUP($A70,'Annex 2 Designated EHV charges'!$D:$O,4,0))</f>
        <v>CHFARM</v>
      </c>
      <c r="E70" s="96" t="str">
        <f>IFERROR(IF(VLOOKUP($A70,'Annex 2 Designated EHV charges'!$D:$P,10,FALSE)=0,"",VLOOKUP($A70,'Annex 2 Designated EHV charges'!$D:$P,10,FALSE)),"")</f>
        <v/>
      </c>
      <c r="F70" s="195">
        <f>IFERROR(IF(VLOOKUP($A70,'Annex 2 Designated EHV charges'!$D:$P,11,FALSE)=0,"",VLOOKUP($A70,'Annex 2 Designated EHV charges'!$D:$P,11,FALSE)),"")</f>
        <v>4202.75</v>
      </c>
      <c r="G70" s="195">
        <f>IFERROR(IF(VLOOKUP($A70,'Annex 2 Designated EHV charges'!$D:$P,12,FALSE)=0,"",VLOOKUP($A70,'Annex 2 Designated EHV charges'!$D:$P,12,FALSE)),"")</f>
        <v>0.05</v>
      </c>
      <c r="H70" s="195">
        <f>IFERROR(IF(VLOOKUP($A70,'Annex 2 Designated EHV charges'!$D:$P,13,FALSE)=0,"",VLOOKUP($A70,'Annex 2 Designated EHV charges'!$D:$P,13,FALSE)),"")</f>
        <v>0.05</v>
      </c>
    </row>
    <row r="71" spans="1:8" x14ac:dyDescent="0.2">
      <c r="A71" s="95" t="str" cm="1">
        <f t="array" ref="A71">IFERROR(INDEX('Annex 2 Designated EHV charges'!$D$10:$D$401, MATCH(0, IF(ISBLANK('Annex 2 Designated EHV charges'!$D$10:$D$401),1, COUNTIF(A$4:$A70, 'Annex 2 Designated EHV charges'!$D$10:$D$401)), 0)),"")</f>
        <v>CHPLOW</v>
      </c>
      <c r="B71" s="94">
        <f>IF($A71="","",VLOOKUP($A71,'Annex 2 Designated EHV charges'!$D:$O,2,0))</f>
        <v>655</v>
      </c>
      <c r="C71" s="95">
        <f>IF($A71="","",VLOOKUP($A71,'Annex 2 Designated EHV charges'!$D:$O,3,0))</f>
        <v>1050000948031</v>
      </c>
      <c r="D71" s="94" t="str">
        <f>IF($A71="","",VLOOKUP($A71,'Annex 2 Designated EHV charges'!$D:$O,4,0))</f>
        <v>CHPLOW</v>
      </c>
      <c r="E71" s="96" t="str">
        <f>IFERROR(IF(VLOOKUP($A71,'Annex 2 Designated EHV charges'!$D:$P,10,FALSE)=0,"",VLOOKUP($A71,'Annex 2 Designated EHV charges'!$D:$P,10,FALSE)),"")</f>
        <v/>
      </c>
      <c r="F71" s="195">
        <f>IFERROR(IF(VLOOKUP($A71,'Annex 2 Designated EHV charges'!$D:$P,11,FALSE)=0,"",VLOOKUP($A71,'Annex 2 Designated EHV charges'!$D:$P,11,FALSE)),"")</f>
        <v>8815.65</v>
      </c>
      <c r="G71" s="195">
        <f>IFERROR(IF(VLOOKUP($A71,'Annex 2 Designated EHV charges'!$D:$P,12,FALSE)=0,"",VLOOKUP($A71,'Annex 2 Designated EHV charges'!$D:$P,12,FALSE)),"")</f>
        <v>0.05</v>
      </c>
      <c r="H71" s="195">
        <f>IFERROR(IF(VLOOKUP($A71,'Annex 2 Designated EHV charges'!$D:$P,13,FALSE)=0,"",VLOOKUP($A71,'Annex 2 Designated EHV charges'!$D:$P,13,FALSE)),"")</f>
        <v>0.05</v>
      </c>
    </row>
    <row r="72" spans="1:8" x14ac:dyDescent="0.2">
      <c r="A72" s="95" t="str" cm="1">
        <f t="array" ref="A72">IFERROR(INDEX('Annex 2 Designated EHV charges'!$D$10:$D$401, MATCH(0, IF(ISBLANK('Annex 2 Designated EHV charges'!$D$10:$D$401),1, COUNTIF(A$4:$A71, 'Annex 2 Designated EHV charges'!$D$10:$D$401)), 0)),"")</f>
        <v>CLAYB1</v>
      </c>
      <c r="B72" s="94">
        <f>IF($A72="","",VLOOKUP($A72,'Annex 2 Designated EHV charges'!$D:$O,2,0))</f>
        <v>0</v>
      </c>
      <c r="C72" s="95" t="str">
        <f>IF($A72="","",VLOOKUP($A72,'Annex 2 Designated EHV charges'!$D:$O,3,0))</f>
        <v>MSID: 7503</v>
      </c>
      <c r="D72" s="94" t="str">
        <f>IF($A72="","",VLOOKUP($A72,'Annex 2 Designated EHV charges'!$D:$O,4,0))</f>
        <v>CLAYB1</v>
      </c>
      <c r="E72" s="96">
        <f>IFERROR(IF(VLOOKUP($A72,'Annex 2 Designated EHV charges'!$D:$P,10,FALSE)=0,"",VLOOKUP($A72,'Annex 2 Designated EHV charges'!$D:$P,10,FALSE)),"")</f>
        <v>-4.2999999999999997E-2</v>
      </c>
      <c r="F72" s="195">
        <f>IFERROR(IF(VLOOKUP($A72,'Annex 2 Designated EHV charges'!$D:$P,11,FALSE)=0,"",VLOOKUP($A72,'Annex 2 Designated EHV charges'!$D:$P,11,FALSE)),"")</f>
        <v>1577.4</v>
      </c>
      <c r="G72" s="195">
        <f>IFERROR(IF(VLOOKUP($A72,'Annex 2 Designated EHV charges'!$D:$P,12,FALSE)=0,"",VLOOKUP($A72,'Annex 2 Designated EHV charges'!$D:$P,12,FALSE)),"")</f>
        <v>0.05</v>
      </c>
      <c r="H72" s="195">
        <f>IFERROR(IF(VLOOKUP($A72,'Annex 2 Designated EHV charges'!$D:$P,13,FALSE)=0,"",VLOOKUP($A72,'Annex 2 Designated EHV charges'!$D:$P,13,FALSE)),"")</f>
        <v>0.05</v>
      </c>
    </row>
    <row r="73" spans="1:8" x14ac:dyDescent="0.2">
      <c r="A73" s="95" t="str" cm="1">
        <f t="array" ref="A73">IFERROR(INDEX('Annex 2 Designated EHV charges'!$D$10:$D$401, MATCH(0, IF(ISBLANK('Annex 2 Designated EHV charges'!$D$10:$D$401),1, COUNTIF(A$4:$A72, 'Annex 2 Designated EHV charges'!$D$10:$D$401)), 0)),"")</f>
        <v>CLAYB2</v>
      </c>
      <c r="B73" s="94">
        <f>IF($A73="","",VLOOKUP($A73,'Annex 2 Designated EHV charges'!$D:$O,2,0))</f>
        <v>0</v>
      </c>
      <c r="C73" s="95" t="str">
        <f>IF($A73="","",VLOOKUP($A73,'Annex 2 Designated EHV charges'!$D:$O,3,0))</f>
        <v>MSID: 7505</v>
      </c>
      <c r="D73" s="94" t="str">
        <f>IF($A73="","",VLOOKUP($A73,'Annex 2 Designated EHV charges'!$D:$O,4,0))</f>
        <v>CLAYB2</v>
      </c>
      <c r="E73" s="96">
        <f>IFERROR(IF(VLOOKUP($A73,'Annex 2 Designated EHV charges'!$D:$P,10,FALSE)=0,"",VLOOKUP($A73,'Annex 2 Designated EHV charges'!$D:$P,10,FALSE)),"")</f>
        <v>-4.2999999999999997E-2</v>
      </c>
      <c r="F73" s="195">
        <f>IFERROR(IF(VLOOKUP($A73,'Annex 2 Designated EHV charges'!$D:$P,11,FALSE)=0,"",VLOOKUP($A73,'Annex 2 Designated EHV charges'!$D:$P,11,FALSE)),"")</f>
        <v>1577.4</v>
      </c>
      <c r="G73" s="195">
        <f>IFERROR(IF(VLOOKUP($A73,'Annex 2 Designated EHV charges'!$D:$P,12,FALSE)=0,"",VLOOKUP($A73,'Annex 2 Designated EHV charges'!$D:$P,12,FALSE)),"")</f>
        <v>0.05</v>
      </c>
      <c r="H73" s="195">
        <f>IFERROR(IF(VLOOKUP($A73,'Annex 2 Designated EHV charges'!$D:$P,13,FALSE)=0,"",VLOOKUP($A73,'Annex 2 Designated EHV charges'!$D:$P,13,FALSE)),"")</f>
        <v>0.05</v>
      </c>
    </row>
    <row r="74" spans="1:8" x14ac:dyDescent="0.2">
      <c r="A74" s="95" t="str" cm="1">
        <f t="array" ref="A74">IFERROR(INDEX('Annex 2 Designated EHV charges'!$D$10:$D$401, MATCH(0, IF(ISBLANK('Annex 2 Designated EHV charges'!$D$10:$D$401),1, COUNTIF(A$4:$A73, 'Annex 2 Designated EHV charges'!$D$10:$D$401)), 0)),"")</f>
        <v>CLAYPV</v>
      </c>
      <c r="B74" s="94">
        <f>IF($A74="","",VLOOKUP($A74,'Annex 2 Designated EHV charges'!$D:$O,2,0))</f>
        <v>437</v>
      </c>
      <c r="C74" s="95">
        <f>IF($A74="","",VLOOKUP($A74,'Annex 2 Designated EHV charges'!$D:$O,3,0))</f>
        <v>1050001382355</v>
      </c>
      <c r="D74" s="94" t="str">
        <f>IF($A74="","",VLOOKUP($A74,'Annex 2 Designated EHV charges'!$D:$O,4,0))</f>
        <v>CLAYPV</v>
      </c>
      <c r="E74" s="96">
        <f>IFERROR(IF(VLOOKUP($A74,'Annex 2 Designated EHV charges'!$D:$P,10,FALSE)=0,"",VLOOKUP($A74,'Annex 2 Designated EHV charges'!$D:$P,10,FALSE)),"")</f>
        <v>-5.0999999999999997E-2</v>
      </c>
      <c r="F74" s="195">
        <f>IFERROR(IF(VLOOKUP($A74,'Annex 2 Designated EHV charges'!$D:$P,11,FALSE)=0,"",VLOOKUP($A74,'Annex 2 Designated EHV charges'!$D:$P,11,FALSE)),"")</f>
        <v>770.74</v>
      </c>
      <c r="G74" s="195">
        <f>IFERROR(IF(VLOOKUP($A74,'Annex 2 Designated EHV charges'!$D:$P,12,FALSE)=0,"",VLOOKUP($A74,'Annex 2 Designated EHV charges'!$D:$P,12,FALSE)),"")</f>
        <v>0.05</v>
      </c>
      <c r="H74" s="195">
        <f>IFERROR(IF(VLOOKUP($A74,'Annex 2 Designated EHV charges'!$D:$P,13,FALSE)=0,"",VLOOKUP($A74,'Annex 2 Designated EHV charges'!$D:$P,13,FALSE)),"")</f>
        <v>0.05</v>
      </c>
    </row>
    <row r="75" spans="1:8" x14ac:dyDescent="0.2">
      <c r="A75" s="95" t="str" cm="1">
        <f t="array" ref="A75">IFERROR(INDEX('Annex 2 Designated EHV charges'!$D$10:$D$401, MATCH(0, IF(ISBLANK('Annex 2 Designated EHV charges'!$D$10:$D$401),1, COUNTIF(A$4:$A74, 'Annex 2 Designated EHV charges'!$D$10:$D$401)), 0)),"")</f>
        <v>CLDECT</v>
      </c>
      <c r="B75" s="94">
        <f>IF($A75="","",VLOOKUP($A75,'Annex 2 Designated EHV charges'!$D:$O,2,0))</f>
        <v>656</v>
      </c>
      <c r="C75" s="95">
        <f>IF($A75="","",VLOOKUP($A75,'Annex 2 Designated EHV charges'!$D:$O,3,0))</f>
        <v>1050000714182</v>
      </c>
      <c r="D75" s="94" t="str">
        <f>IF($A75="","",VLOOKUP($A75,'Annex 2 Designated EHV charges'!$D:$O,4,0))</f>
        <v>CLDECT</v>
      </c>
      <c r="E75" s="96" t="str">
        <f>IFERROR(IF(VLOOKUP($A75,'Annex 2 Designated EHV charges'!$D:$P,10,FALSE)=0,"",VLOOKUP($A75,'Annex 2 Designated EHV charges'!$D:$P,10,FALSE)),"")</f>
        <v/>
      </c>
      <c r="F75" s="195">
        <f>IFERROR(IF(VLOOKUP($A75,'Annex 2 Designated EHV charges'!$D:$P,11,FALSE)=0,"",VLOOKUP($A75,'Annex 2 Designated EHV charges'!$D:$P,11,FALSE)),"")</f>
        <v>4814.6400000000003</v>
      </c>
      <c r="G75" s="195">
        <f>IFERROR(IF(VLOOKUP($A75,'Annex 2 Designated EHV charges'!$D:$P,12,FALSE)=0,"",VLOOKUP($A75,'Annex 2 Designated EHV charges'!$D:$P,12,FALSE)),"")</f>
        <v>0.05</v>
      </c>
      <c r="H75" s="195">
        <f>IFERROR(IF(VLOOKUP($A75,'Annex 2 Designated EHV charges'!$D:$P,13,FALSE)=0,"",VLOOKUP($A75,'Annex 2 Designated EHV charges'!$D:$P,13,FALSE)),"")</f>
        <v>0.05</v>
      </c>
    </row>
    <row r="76" spans="1:8" ht="38.25" x14ac:dyDescent="0.2">
      <c r="A76" s="95" t="str" cm="1">
        <f t="array" ref="A76">IFERROR(INDEX('Annex 2 Designated EHV charges'!$D$10:$D$401, MATCH(0, IF(ISBLANK('Annex 2 Designated EHV charges'!$D$10:$D$401),1, COUNTIF(A$4:$A75, 'Annex 2 Designated EHV charges'!$D$10:$D$401)), 0)),"")</f>
        <v>CLFFQY</v>
      </c>
      <c r="B76" s="94">
        <f>IF($A76="","",VLOOKUP($A76,'Annex 2 Designated EHV charges'!$D:$O,2,0))</f>
        <v>438</v>
      </c>
      <c r="C76" s="95" t="str">
        <f>IF($A76="","",VLOOKUP($A76,'Annex 2 Designated EHV charges'!$D:$O,3,0))</f>
        <v>1050001439417;1050001444620;1050001444602</v>
      </c>
      <c r="D76" s="94" t="str">
        <f>IF($A76="","",VLOOKUP($A76,'Annex 2 Designated EHV charges'!$D:$O,4,0))</f>
        <v>CLFFQY</v>
      </c>
      <c r="E76" s="96" t="str">
        <f>IFERROR(IF(VLOOKUP($A76,'Annex 2 Designated EHV charges'!$D:$P,10,FALSE)=0,"",VLOOKUP($A76,'Annex 2 Designated EHV charges'!$D:$P,10,FALSE)),"")</f>
        <v/>
      </c>
      <c r="F76" s="195">
        <f>IFERROR(IF(VLOOKUP($A76,'Annex 2 Designated EHV charges'!$D:$P,11,FALSE)=0,"",VLOOKUP($A76,'Annex 2 Designated EHV charges'!$D:$P,11,FALSE)),"")</f>
        <v>4623.28</v>
      </c>
      <c r="G76" s="195">
        <f>IFERROR(IF(VLOOKUP($A76,'Annex 2 Designated EHV charges'!$D:$P,12,FALSE)=0,"",VLOOKUP($A76,'Annex 2 Designated EHV charges'!$D:$P,12,FALSE)),"")</f>
        <v>0.05</v>
      </c>
      <c r="H76" s="195">
        <f>IFERROR(IF(VLOOKUP($A76,'Annex 2 Designated EHV charges'!$D:$P,13,FALSE)=0,"",VLOOKUP($A76,'Annex 2 Designated EHV charges'!$D:$P,13,FALSE)),"")</f>
        <v>0.05</v>
      </c>
    </row>
    <row r="77" spans="1:8" x14ac:dyDescent="0.2">
      <c r="A77" s="95" t="str" cm="1">
        <f t="array" ref="A77">IFERROR(INDEX('Annex 2 Designated EHV charges'!$D$10:$D$401, MATCH(0, IF(ISBLANK('Annex 2 Designated EHV charges'!$D$10:$D$401),1, COUNTIF(A$4:$A76, 'Annex 2 Designated EHV charges'!$D$10:$D$401)), 0)),"")</f>
        <v>CLRDWN</v>
      </c>
      <c r="B77" s="94">
        <f>IF($A77="","",VLOOKUP($A77,'Annex 2 Designated EHV charges'!$D:$O,2,0))</f>
        <v>439</v>
      </c>
      <c r="C77" s="95">
        <f>IF($A77="","",VLOOKUP($A77,'Annex 2 Designated EHV charges'!$D:$O,3,0))</f>
        <v>1050001495183</v>
      </c>
      <c r="D77" s="94" t="str">
        <f>IF($A77="","",VLOOKUP($A77,'Annex 2 Designated EHV charges'!$D:$O,4,0))</f>
        <v>CLRDWN</v>
      </c>
      <c r="E77" s="96">
        <f>IFERROR(IF(VLOOKUP($A77,'Annex 2 Designated EHV charges'!$D:$P,10,FALSE)=0,"",VLOOKUP($A77,'Annex 2 Designated EHV charges'!$D:$P,10,FALSE)),"")</f>
        <v>-4.17</v>
      </c>
      <c r="F77" s="195">
        <f>IFERROR(IF(VLOOKUP($A77,'Annex 2 Designated EHV charges'!$D:$P,11,FALSE)=0,"",VLOOKUP($A77,'Annex 2 Designated EHV charges'!$D:$P,11,FALSE)),"")</f>
        <v>909.89</v>
      </c>
      <c r="G77" s="195">
        <f>IFERROR(IF(VLOOKUP($A77,'Annex 2 Designated EHV charges'!$D:$P,12,FALSE)=0,"",VLOOKUP($A77,'Annex 2 Designated EHV charges'!$D:$P,12,FALSE)),"")</f>
        <v>0.05</v>
      </c>
      <c r="H77" s="195">
        <f>IFERROR(IF(VLOOKUP($A77,'Annex 2 Designated EHV charges'!$D:$P,13,FALSE)=0,"",VLOOKUP($A77,'Annex 2 Designated EHV charges'!$D:$P,13,FALSE)),"")</f>
        <v>0.05</v>
      </c>
    </row>
    <row r="78" spans="1:8" x14ac:dyDescent="0.2">
      <c r="A78" s="95" t="str" cm="1">
        <f t="array" ref="A78">IFERROR(INDEX('Annex 2 Designated EHV charges'!$D$10:$D$401, MATCH(0, IF(ISBLANK('Annex 2 Designated EHV charges'!$D$10:$D$401),1, COUNTIF(A$4:$A77, 'Annex 2 Designated EHV charges'!$D$10:$D$401)), 0)),"")</f>
        <v>CLTSHL</v>
      </c>
      <c r="B78" s="94">
        <f>IF($A78="","",VLOOKUP($A78,'Annex 2 Designated EHV charges'!$D:$O,2,0))</f>
        <v>467</v>
      </c>
      <c r="C78" s="95">
        <f>IF($A78="","",VLOOKUP($A78,'Annex 2 Designated EHV charges'!$D:$O,3,0))</f>
        <v>1050000841926</v>
      </c>
      <c r="D78" s="94" t="str">
        <f>IF($A78="","",VLOOKUP($A78,'Annex 2 Designated EHV charges'!$D:$O,4,0))</f>
        <v>CLTSHL</v>
      </c>
      <c r="E78" s="96" t="str">
        <f>IFERROR(IF(VLOOKUP($A78,'Annex 2 Designated EHV charges'!$D:$P,10,FALSE)=0,"",VLOOKUP($A78,'Annex 2 Designated EHV charges'!$D:$P,10,FALSE)),"")</f>
        <v/>
      </c>
      <c r="F78" s="195">
        <f>IFERROR(IF(VLOOKUP($A78,'Annex 2 Designated EHV charges'!$D:$P,11,FALSE)=0,"",VLOOKUP($A78,'Annex 2 Designated EHV charges'!$D:$P,11,FALSE)),"")</f>
        <v>1701.88</v>
      </c>
      <c r="G78" s="195">
        <f>IFERROR(IF(VLOOKUP($A78,'Annex 2 Designated EHV charges'!$D:$P,12,FALSE)=0,"",VLOOKUP($A78,'Annex 2 Designated EHV charges'!$D:$P,12,FALSE)),"")</f>
        <v>0.05</v>
      </c>
      <c r="H78" s="195">
        <f>IFERROR(IF(VLOOKUP($A78,'Annex 2 Designated EHV charges'!$D:$P,13,FALSE)=0,"",VLOOKUP($A78,'Annex 2 Designated EHV charges'!$D:$P,13,FALSE)),"")</f>
        <v>0.05</v>
      </c>
    </row>
    <row r="79" spans="1:8" ht="25.5" x14ac:dyDescent="0.2">
      <c r="A79" s="95" t="str" cm="1">
        <f t="array" ref="A79">IFERROR(INDEX('Annex 2 Designated EHV charges'!$D$10:$D$401, MATCH(0, IF(ISBLANK('Annex 2 Designated EHV charges'!$D$10:$D$401),1, COUNTIF(A$4:$A78, 'Annex 2 Designated EHV charges'!$D$10:$D$401)), 0)),"")</f>
        <v>COLDHA</v>
      </c>
      <c r="B79" s="94">
        <f>IF($A79="","",VLOOKUP($A79,'Annex 2 Designated EHV charges'!$D:$O,2,0))</f>
        <v>715</v>
      </c>
      <c r="C79" s="95" t="str">
        <f>IF($A79="","",VLOOKUP($A79,'Annex 2 Designated EHV charges'!$D:$O,3,0))</f>
        <v>1030017556135;1050003019630</v>
      </c>
      <c r="D79" s="94" t="str">
        <f>IF($A79="","",VLOOKUP($A79,'Annex 2 Designated EHV charges'!$D:$O,4,0))</f>
        <v>COLDHA</v>
      </c>
      <c r="E79" s="96" t="str">
        <f>IFERROR(IF(VLOOKUP($A79,'Annex 2 Designated EHV charges'!$D:$P,10,FALSE)=0,"",VLOOKUP($A79,'Annex 2 Designated EHV charges'!$D:$P,10,FALSE)),"")</f>
        <v/>
      </c>
      <c r="F79" s="195" t="str">
        <f>IFERROR(IF(VLOOKUP($A79,'Annex 2 Designated EHV charges'!$D:$P,11,FALSE)=0,"",VLOOKUP($A79,'Annex 2 Designated EHV charges'!$D:$P,11,FALSE)),"")</f>
        <v/>
      </c>
      <c r="G79" s="195" t="str">
        <f>IFERROR(IF(VLOOKUP($A79,'Annex 2 Designated EHV charges'!$D:$P,12,FALSE)=0,"",VLOOKUP($A79,'Annex 2 Designated EHV charges'!$D:$P,12,FALSE)),"")</f>
        <v/>
      </c>
      <c r="H79" s="195" t="str">
        <f>IFERROR(IF(VLOOKUP($A79,'Annex 2 Designated EHV charges'!$D:$P,13,FALSE)=0,"",VLOOKUP($A79,'Annex 2 Designated EHV charges'!$D:$P,13,FALSE)),"")</f>
        <v/>
      </c>
    </row>
    <row r="80" spans="1:8" x14ac:dyDescent="0.2">
      <c r="A80" s="95" t="str" cm="1">
        <f t="array" ref="A80">IFERROR(INDEX('Annex 2 Designated EHV charges'!$D$10:$D$401, MATCH(0, IF(ISBLANK('Annex 2 Designated EHV charges'!$D$10:$D$401),1, COUNTIF(A$4:$A79, 'Annex 2 Designated EHV charges'!$D$10:$D$401)), 0)),"")</f>
        <v>COMBRN</v>
      </c>
      <c r="B80" s="94">
        <f>IF($A80="","",VLOOKUP($A80,'Annex 2 Designated EHV charges'!$D:$O,2,0))</f>
        <v>440</v>
      </c>
      <c r="C80" s="95">
        <f>IF($A80="","",VLOOKUP($A80,'Annex 2 Designated EHV charges'!$D:$O,3,0))</f>
        <v>1050001662250</v>
      </c>
      <c r="D80" s="94" t="str">
        <f>IF($A80="","",VLOOKUP($A80,'Annex 2 Designated EHV charges'!$D:$O,4,0))</f>
        <v>COMBRN</v>
      </c>
      <c r="E80" s="96" t="str">
        <f>IFERROR(IF(VLOOKUP($A80,'Annex 2 Designated EHV charges'!$D:$P,10,FALSE)=0,"",VLOOKUP($A80,'Annex 2 Designated EHV charges'!$D:$P,10,FALSE)),"")</f>
        <v/>
      </c>
      <c r="F80" s="195">
        <f>IFERROR(IF(VLOOKUP($A80,'Annex 2 Designated EHV charges'!$D:$P,11,FALSE)=0,"",VLOOKUP($A80,'Annex 2 Designated EHV charges'!$D:$P,11,FALSE)),"")</f>
        <v>1591.31</v>
      </c>
      <c r="G80" s="195">
        <f>IFERROR(IF(VLOOKUP($A80,'Annex 2 Designated EHV charges'!$D:$P,12,FALSE)=0,"",VLOOKUP($A80,'Annex 2 Designated EHV charges'!$D:$P,12,FALSE)),"")</f>
        <v>0.05</v>
      </c>
      <c r="H80" s="195">
        <f>IFERROR(IF(VLOOKUP($A80,'Annex 2 Designated EHV charges'!$D:$P,13,FALSE)=0,"",VLOOKUP($A80,'Annex 2 Designated EHV charges'!$D:$P,13,FALSE)),"")</f>
        <v>0.05</v>
      </c>
    </row>
    <row r="81" spans="1:8" x14ac:dyDescent="0.2">
      <c r="A81" s="95" t="str" cm="1">
        <f t="array" ref="A81">IFERROR(INDEX('Annex 2 Designated EHV charges'!$D$10:$D$401, MATCH(0, IF(ISBLANK('Annex 2 Designated EHV charges'!$D$10:$D$401),1, COUNTIF(A$4:$A80, 'Annex 2 Designated EHV charges'!$D$10:$D$401)), 0)),"")</f>
        <v>CORYBS</v>
      </c>
      <c r="B81" s="94">
        <f>IF($A81="","",VLOOKUP($A81,'Annex 2 Designated EHV charges'!$D:$O,2,0))</f>
        <v>0</v>
      </c>
      <c r="C81" s="95" t="str">
        <f>IF($A81="","",VLOOKUP($A81,'Annex 2 Designated EHV charges'!$D:$O,3,0))</f>
        <v>ENET</v>
      </c>
      <c r="D81" s="94" t="str">
        <f>IF($A81="","",VLOOKUP($A81,'Annex 2 Designated EHV charges'!$D:$O,4,0))</f>
        <v>CORYBS</v>
      </c>
      <c r="E81" s="96">
        <f>IFERROR(IF(VLOOKUP($A81,'Annex 2 Designated EHV charges'!$D:$P,10,FALSE)=0,"",VLOOKUP($A81,'Annex 2 Designated EHV charges'!$D:$P,10,FALSE)),"")</f>
        <v>-0.13200000000000001</v>
      </c>
      <c r="F81" s="195">
        <f>IFERROR(IF(VLOOKUP($A81,'Annex 2 Designated EHV charges'!$D:$P,11,FALSE)=0,"",VLOOKUP($A81,'Annex 2 Designated EHV charges'!$D:$P,11,FALSE)),"")</f>
        <v>139.97</v>
      </c>
      <c r="G81" s="195">
        <f>IFERROR(IF(VLOOKUP($A81,'Annex 2 Designated EHV charges'!$D:$P,12,FALSE)=0,"",VLOOKUP($A81,'Annex 2 Designated EHV charges'!$D:$P,12,FALSE)),"")</f>
        <v>0.05</v>
      </c>
      <c r="H81" s="195">
        <f>IFERROR(IF(VLOOKUP($A81,'Annex 2 Designated EHV charges'!$D:$P,13,FALSE)=0,"",VLOOKUP($A81,'Annex 2 Designated EHV charges'!$D:$P,13,FALSE)),"")</f>
        <v>0.05</v>
      </c>
    </row>
    <row r="82" spans="1:8" x14ac:dyDescent="0.2">
      <c r="A82" s="95" t="str" cm="1">
        <f t="array" ref="A82">IFERROR(INDEX('Annex 2 Designated EHV charges'!$D$10:$D$401, MATCH(0, IF(ISBLANK('Annex 2 Designated EHV charges'!$D$10:$D$401),1, COUNTIF(A$4:$A81, 'Annex 2 Designated EHV charges'!$D$10:$D$401)), 0)),"")</f>
        <v>CORYGE</v>
      </c>
      <c r="B82" s="94">
        <f>IF($A82="","",VLOOKUP($A82,'Annex 2 Designated EHV charges'!$D:$O,2,0))</f>
        <v>0</v>
      </c>
      <c r="C82" s="95" t="str">
        <f>IF($A82="","",VLOOKUP($A82,'Annex 2 Designated EHV charges'!$D:$O,3,0))</f>
        <v>ENET</v>
      </c>
      <c r="D82" s="94" t="str">
        <f>IF($A82="","",VLOOKUP($A82,'Annex 2 Designated EHV charges'!$D:$O,4,0))</f>
        <v>CORYGE</v>
      </c>
      <c r="E82" s="96">
        <f>IFERROR(IF(VLOOKUP($A82,'Annex 2 Designated EHV charges'!$D:$P,10,FALSE)=0,"",VLOOKUP($A82,'Annex 2 Designated EHV charges'!$D:$P,10,FALSE)),"")</f>
        <v>-0.13200000000000001</v>
      </c>
      <c r="F82" s="195">
        <f>IFERROR(IF(VLOOKUP($A82,'Annex 2 Designated EHV charges'!$D:$P,11,FALSE)=0,"",VLOOKUP($A82,'Annex 2 Designated EHV charges'!$D:$P,11,FALSE)),"")</f>
        <v>216.22</v>
      </c>
      <c r="G82" s="195">
        <f>IFERROR(IF(VLOOKUP($A82,'Annex 2 Designated EHV charges'!$D:$P,12,FALSE)=0,"",VLOOKUP($A82,'Annex 2 Designated EHV charges'!$D:$P,12,FALSE)),"")</f>
        <v>0.05</v>
      </c>
      <c r="H82" s="195">
        <f>IFERROR(IF(VLOOKUP($A82,'Annex 2 Designated EHV charges'!$D:$P,13,FALSE)=0,"",VLOOKUP($A82,'Annex 2 Designated EHV charges'!$D:$P,13,FALSE)),"")</f>
        <v>0.05</v>
      </c>
    </row>
    <row r="83" spans="1:8" x14ac:dyDescent="0.2">
      <c r="A83" s="95" t="str" cm="1">
        <f t="array" ref="A83">IFERROR(INDEX('Annex 2 Designated EHV charges'!$D$10:$D$401, MATCH(0, IF(ISBLANK('Annex 2 Designated EHV charges'!$D$10:$D$401),1, COUNTIF(A$4:$A82, 'Annex 2 Designated EHV charges'!$D$10:$D$401)), 0)),"")</f>
        <v>CPENSS</v>
      </c>
      <c r="B83" s="94">
        <f>IF($A83="","",VLOOKUP($A83,'Annex 2 Designated EHV charges'!$D:$O,2,0))</f>
        <v>406</v>
      </c>
      <c r="C83" s="95">
        <f>IF($A83="","",VLOOKUP($A83,'Annex 2 Designated EHV charges'!$D:$O,3,0))</f>
        <v>1050003069905</v>
      </c>
      <c r="D83" s="94" t="str">
        <f>IF($A83="","",VLOOKUP($A83,'Annex 2 Designated EHV charges'!$D:$O,4,0))</f>
        <v>CPENSS</v>
      </c>
      <c r="E83" s="96" t="str">
        <f>IFERROR(IF(VLOOKUP($A83,'Annex 2 Designated EHV charges'!$D:$P,10,FALSE)=0,"",VLOOKUP($A83,'Annex 2 Designated EHV charges'!$D:$P,10,FALSE)),"")</f>
        <v/>
      </c>
      <c r="F83" s="195">
        <f>IFERROR(IF(VLOOKUP($A83,'Annex 2 Designated EHV charges'!$D:$P,11,FALSE)=0,"",VLOOKUP($A83,'Annex 2 Designated EHV charges'!$D:$P,11,FALSE)),"")</f>
        <v>1934.6</v>
      </c>
      <c r="G83" s="195">
        <f>IFERROR(IF(VLOOKUP($A83,'Annex 2 Designated EHV charges'!$D:$P,12,FALSE)=0,"",VLOOKUP($A83,'Annex 2 Designated EHV charges'!$D:$P,12,FALSE)),"")</f>
        <v>0.05</v>
      </c>
      <c r="H83" s="195">
        <f>IFERROR(IF(VLOOKUP($A83,'Annex 2 Designated EHV charges'!$D:$P,13,FALSE)=0,"",VLOOKUP($A83,'Annex 2 Designated EHV charges'!$D:$P,13,FALSE)),"")</f>
        <v>0.05</v>
      </c>
    </row>
    <row r="84" spans="1:8" x14ac:dyDescent="0.2">
      <c r="A84" s="95" t="str" cm="1">
        <f t="array" ref="A84">IFERROR(INDEX('Annex 2 Designated EHV charges'!$D$10:$D$401, MATCH(0, IF(ISBLANK('Annex 2 Designated EHV charges'!$D$10:$D$401),1, COUNTIF(A$4:$A83, 'Annex 2 Designated EHV charges'!$D$10:$D$401)), 0)),"")</f>
        <v>CRANHM</v>
      </c>
      <c r="B84" s="94">
        <f>IF($A84="","",VLOOKUP($A84,'Annex 2 Designated EHV charges'!$D:$O,2,0))</f>
        <v>684</v>
      </c>
      <c r="C84" s="95">
        <f>IF($A84="","",VLOOKUP($A84,'Annex 2 Designated EHV charges'!$D:$O,3,0))</f>
        <v>1050001191808</v>
      </c>
      <c r="D84" s="94" t="str">
        <f>IF($A84="","",VLOOKUP($A84,'Annex 2 Designated EHV charges'!$D:$O,4,0))</f>
        <v>CRANHM</v>
      </c>
      <c r="E84" s="96" t="str">
        <f>IFERROR(IF(VLOOKUP($A84,'Annex 2 Designated EHV charges'!$D:$P,10,FALSE)=0,"",VLOOKUP($A84,'Annex 2 Designated EHV charges'!$D:$P,10,FALSE)),"")</f>
        <v/>
      </c>
      <c r="F84" s="195">
        <f>IFERROR(IF(VLOOKUP($A84,'Annex 2 Designated EHV charges'!$D:$P,11,FALSE)=0,"",VLOOKUP($A84,'Annex 2 Designated EHV charges'!$D:$P,11,FALSE)),"")</f>
        <v>971.98</v>
      </c>
      <c r="G84" s="195">
        <f>IFERROR(IF(VLOOKUP($A84,'Annex 2 Designated EHV charges'!$D:$P,12,FALSE)=0,"",VLOOKUP($A84,'Annex 2 Designated EHV charges'!$D:$P,12,FALSE)),"")</f>
        <v>0.05</v>
      </c>
      <c r="H84" s="195">
        <f>IFERROR(IF(VLOOKUP($A84,'Annex 2 Designated EHV charges'!$D:$P,13,FALSE)=0,"",VLOOKUP($A84,'Annex 2 Designated EHV charges'!$D:$P,13,FALSE)),"")</f>
        <v>0.05</v>
      </c>
    </row>
    <row r="85" spans="1:8" x14ac:dyDescent="0.2">
      <c r="A85" s="95" t="str" cm="1">
        <f t="array" ref="A85">IFERROR(INDEX('Annex 2 Designated EHV charges'!$D$10:$D$401, MATCH(0, IF(ISBLANK('Annex 2 Designated EHV charges'!$D$10:$D$401),1, COUNTIF(A$4:$A84, 'Annex 2 Designated EHV charges'!$D$10:$D$401)), 0)),"")</f>
        <v>CROUSF</v>
      </c>
      <c r="B85" s="94">
        <f>IF($A85="","",VLOOKUP($A85,'Annex 2 Designated EHV charges'!$D:$O,2,0))</f>
        <v>391</v>
      </c>
      <c r="C85" s="95">
        <f>IF($A85="","",VLOOKUP($A85,'Annex 2 Designated EHV charges'!$D:$O,3,0))</f>
        <v>1050002962297</v>
      </c>
      <c r="D85" s="94" t="str">
        <f>IF($A85="","",VLOOKUP($A85,'Annex 2 Designated EHV charges'!$D:$O,4,0))</f>
        <v>CROUSF</v>
      </c>
      <c r="E85" s="96" t="str">
        <f>IFERROR(IF(VLOOKUP($A85,'Annex 2 Designated EHV charges'!$D:$P,10,FALSE)=0,"",VLOOKUP($A85,'Annex 2 Designated EHV charges'!$D:$P,10,FALSE)),"")</f>
        <v/>
      </c>
      <c r="F85" s="195">
        <f>IFERROR(IF(VLOOKUP($A85,'Annex 2 Designated EHV charges'!$D:$P,11,FALSE)=0,"",VLOOKUP($A85,'Annex 2 Designated EHV charges'!$D:$P,11,FALSE)),"")</f>
        <v>6045.07</v>
      </c>
      <c r="G85" s="195">
        <f>IFERROR(IF(VLOOKUP($A85,'Annex 2 Designated EHV charges'!$D:$P,12,FALSE)=0,"",VLOOKUP($A85,'Annex 2 Designated EHV charges'!$D:$P,12,FALSE)),"")</f>
        <v>0.05</v>
      </c>
      <c r="H85" s="195">
        <f>IFERROR(IF(VLOOKUP($A85,'Annex 2 Designated EHV charges'!$D:$P,13,FALSE)=0,"",VLOOKUP($A85,'Annex 2 Designated EHV charges'!$D:$P,13,FALSE)),"")</f>
        <v>0.05</v>
      </c>
    </row>
    <row r="86" spans="1:8" x14ac:dyDescent="0.2">
      <c r="A86" s="95" t="str" cm="1">
        <f t="array" ref="A86">IFERROR(INDEX('Annex 2 Designated EHV charges'!$D$10:$D$401, MATCH(0, IF(ISBLANK('Annex 2 Designated EHV charges'!$D$10:$D$401),1, COUNTIF(A$4:$A85, 'Annex 2 Designated EHV charges'!$D$10:$D$401)), 0)),"")</f>
        <v>CROYDN</v>
      </c>
      <c r="B86" s="94">
        <f>IF($A86="","",VLOOKUP($A86,'Annex 2 Designated EHV charges'!$D:$O,2,0))</f>
        <v>787</v>
      </c>
      <c r="C86" s="95">
        <f>IF($A86="","",VLOOKUP($A86,'Annex 2 Designated EHV charges'!$D:$O,3,0))</f>
        <v>1050000808868</v>
      </c>
      <c r="D86" s="94" t="str">
        <f>IF($A86="","",VLOOKUP($A86,'Annex 2 Designated EHV charges'!$D:$O,4,0))</f>
        <v>CROYDN</v>
      </c>
      <c r="E86" s="96" t="str">
        <f>IFERROR(IF(VLOOKUP($A86,'Annex 2 Designated EHV charges'!$D:$P,10,FALSE)=0,"",VLOOKUP($A86,'Annex 2 Designated EHV charges'!$D:$P,10,FALSE)),"")</f>
        <v/>
      </c>
      <c r="F86" s="195">
        <f>IFERROR(IF(VLOOKUP($A86,'Annex 2 Designated EHV charges'!$D:$P,11,FALSE)=0,"",VLOOKUP($A86,'Annex 2 Designated EHV charges'!$D:$P,11,FALSE)),"")</f>
        <v>493.93</v>
      </c>
      <c r="G86" s="195">
        <f>IFERROR(IF(VLOOKUP($A86,'Annex 2 Designated EHV charges'!$D:$P,12,FALSE)=0,"",VLOOKUP($A86,'Annex 2 Designated EHV charges'!$D:$P,12,FALSE)),"")</f>
        <v>0.05</v>
      </c>
      <c r="H86" s="195">
        <f>IFERROR(IF(VLOOKUP($A86,'Annex 2 Designated EHV charges'!$D:$P,13,FALSE)=0,"",VLOOKUP($A86,'Annex 2 Designated EHV charges'!$D:$P,13,FALSE)),"")</f>
        <v>0.05</v>
      </c>
    </row>
    <row r="87" spans="1:8" x14ac:dyDescent="0.2">
      <c r="A87" s="95" t="str" cm="1">
        <f t="array" ref="A87">IFERROR(INDEX('Annex 2 Designated EHV charges'!$D$10:$D$401, MATCH(0, IF(ISBLANK('Annex 2 Designated EHV charges'!$D$10:$D$401),1, COUNTIF(A$4:$A86, 'Annex 2 Designated EHV charges'!$D$10:$D$401)), 0)),"")</f>
        <v>CRSSNG</v>
      </c>
      <c r="B87" s="94">
        <f>IF($A87="","",VLOOKUP($A87,'Annex 2 Designated EHV charges'!$D:$O,2,0))</f>
        <v>657</v>
      </c>
      <c r="C87" s="95">
        <f>IF($A87="","",VLOOKUP($A87,'Annex 2 Designated EHV charges'!$D:$O,3,0))</f>
        <v>1050001047078</v>
      </c>
      <c r="D87" s="94" t="str">
        <f>IF($A87="","",VLOOKUP($A87,'Annex 2 Designated EHV charges'!$D:$O,4,0))</f>
        <v>CRSSNG</v>
      </c>
      <c r="E87" s="96" t="str">
        <f>IFERROR(IF(VLOOKUP($A87,'Annex 2 Designated EHV charges'!$D:$P,10,FALSE)=0,"",VLOOKUP($A87,'Annex 2 Designated EHV charges'!$D:$P,10,FALSE)),"")</f>
        <v/>
      </c>
      <c r="F87" s="195">
        <f>IFERROR(IF(VLOOKUP($A87,'Annex 2 Designated EHV charges'!$D:$P,11,FALSE)=0,"",VLOOKUP($A87,'Annex 2 Designated EHV charges'!$D:$P,11,FALSE)),"")</f>
        <v>1043.5</v>
      </c>
      <c r="G87" s="195">
        <f>IFERROR(IF(VLOOKUP($A87,'Annex 2 Designated EHV charges'!$D:$P,12,FALSE)=0,"",VLOOKUP($A87,'Annex 2 Designated EHV charges'!$D:$P,12,FALSE)),"")</f>
        <v>0.05</v>
      </c>
      <c r="H87" s="195">
        <f>IFERROR(IF(VLOOKUP($A87,'Annex 2 Designated EHV charges'!$D:$P,13,FALSE)=0,"",VLOOKUP($A87,'Annex 2 Designated EHV charges'!$D:$P,13,FALSE)),"")</f>
        <v>0.05</v>
      </c>
    </row>
    <row r="88" spans="1:8" x14ac:dyDescent="0.2">
      <c r="A88" s="95" t="str" cm="1">
        <f t="array" ref="A88">IFERROR(INDEX('Annex 2 Designated EHV charges'!$D$10:$D$401, MATCH(0, IF(ISBLANK('Annex 2 Designated EHV charges'!$D$10:$D$401),1, COUNTIF(A$4:$A87, 'Annex 2 Designated EHV charges'!$D$10:$D$401)), 0)),"")</f>
        <v>CTWDFM</v>
      </c>
      <c r="B88" s="94">
        <f>IF($A88="","",VLOOKUP($A88,'Annex 2 Designated EHV charges'!$D:$O,2,0))</f>
        <v>736</v>
      </c>
      <c r="C88" s="95">
        <f>IF($A88="","",VLOOKUP($A88,'Annex 2 Designated EHV charges'!$D:$O,3,0))</f>
        <v>1030079564823</v>
      </c>
      <c r="D88" s="94" t="str">
        <f>IF($A88="","",VLOOKUP($A88,'Annex 2 Designated EHV charges'!$D:$O,4,0))</f>
        <v>CTWDFM</v>
      </c>
      <c r="E88" s="96" t="str">
        <f>IFERROR(IF(VLOOKUP($A88,'Annex 2 Designated EHV charges'!$D:$P,10,FALSE)=0,"",VLOOKUP($A88,'Annex 2 Designated EHV charges'!$D:$P,10,FALSE)),"")</f>
        <v/>
      </c>
      <c r="F88" s="195">
        <f>IFERROR(IF(VLOOKUP($A88,'Annex 2 Designated EHV charges'!$D:$P,11,FALSE)=0,"",VLOOKUP($A88,'Annex 2 Designated EHV charges'!$D:$P,11,FALSE)),"")</f>
        <v>1631.39</v>
      </c>
      <c r="G88" s="195">
        <f>IFERROR(IF(VLOOKUP($A88,'Annex 2 Designated EHV charges'!$D:$P,12,FALSE)=0,"",VLOOKUP($A88,'Annex 2 Designated EHV charges'!$D:$P,12,FALSE)),"")</f>
        <v>0.05</v>
      </c>
      <c r="H88" s="195">
        <f>IFERROR(IF(VLOOKUP($A88,'Annex 2 Designated EHV charges'!$D:$P,13,FALSE)=0,"",VLOOKUP($A88,'Annex 2 Designated EHV charges'!$D:$P,13,FALSE)),"")</f>
        <v>0.05</v>
      </c>
    </row>
    <row r="89" spans="1:8" x14ac:dyDescent="0.2">
      <c r="A89" s="95" t="str" cm="1">
        <f t="array" ref="A89">IFERROR(INDEX('Annex 2 Designated EHV charges'!$D$10:$D$401, MATCH(0, IF(ISBLANK('Annex 2 Designated EHV charges'!$D$10:$D$401),1, COUNTIF(A$4:$A88, 'Annex 2 Designated EHV charges'!$D$10:$D$401)), 0)),"")</f>
        <v>DBLANE</v>
      </c>
      <c r="B89" s="94">
        <f>IF($A89="","",VLOOKUP($A89,'Annex 2 Designated EHV charges'!$D:$O,2,0))</f>
        <v>752</v>
      </c>
      <c r="C89" s="95">
        <f>IF($A89="","",VLOOKUP($A89,'Annex 2 Designated EHV charges'!$D:$O,3,0))</f>
        <v>1050000612940</v>
      </c>
      <c r="D89" s="94" t="str">
        <f>IF($A89="","",VLOOKUP($A89,'Annex 2 Designated EHV charges'!$D:$O,4,0))</f>
        <v>DBLANE</v>
      </c>
      <c r="E89" s="96" t="str">
        <f>IFERROR(IF(VLOOKUP($A89,'Annex 2 Designated EHV charges'!$D:$P,10,FALSE)=0,"",VLOOKUP($A89,'Annex 2 Designated EHV charges'!$D:$P,10,FALSE)),"")</f>
        <v/>
      </c>
      <c r="F89" s="195">
        <f>IFERROR(IF(VLOOKUP($A89,'Annex 2 Designated EHV charges'!$D:$P,11,FALSE)=0,"",VLOOKUP($A89,'Annex 2 Designated EHV charges'!$D:$P,11,FALSE)),"")</f>
        <v>2976.53</v>
      </c>
      <c r="G89" s="195">
        <f>IFERROR(IF(VLOOKUP($A89,'Annex 2 Designated EHV charges'!$D:$P,12,FALSE)=0,"",VLOOKUP($A89,'Annex 2 Designated EHV charges'!$D:$P,12,FALSE)),"")</f>
        <v>0.05</v>
      </c>
      <c r="H89" s="195">
        <f>IFERROR(IF(VLOOKUP($A89,'Annex 2 Designated EHV charges'!$D:$P,13,FALSE)=0,"",VLOOKUP($A89,'Annex 2 Designated EHV charges'!$D:$P,13,FALSE)),"")</f>
        <v>0.05</v>
      </c>
    </row>
    <row r="90" spans="1:8" x14ac:dyDescent="0.2">
      <c r="A90" s="95" t="str" cm="1">
        <f t="array" ref="A90">IFERROR(INDEX('Annex 2 Designated EHV charges'!$D$10:$D$401, MATCH(0, IF(ISBLANK('Annex 2 Designated EHV charges'!$D$10:$D$401),1, COUNTIF(A$4:$A89, 'Annex 2 Designated EHV charges'!$D$10:$D$401)), 0)),"")</f>
        <v>DOLLBS</v>
      </c>
      <c r="B90" s="94">
        <f>IF($A90="","",VLOOKUP($A90,'Annex 2 Designated EHV charges'!$D:$O,2,0))</f>
        <v>0</v>
      </c>
      <c r="C90" s="95" t="str">
        <f>IF($A90="","",VLOOKUP($A90,'Annex 2 Designated EHV charges'!$D:$O,3,0))</f>
        <v>MSID: 7524</v>
      </c>
      <c r="D90" s="94" t="str">
        <f>IF($A90="","",VLOOKUP($A90,'Annex 2 Designated EHV charges'!$D:$O,4,0))</f>
        <v>DOLLBS</v>
      </c>
      <c r="E90" s="96">
        <f>IFERROR(IF(VLOOKUP($A90,'Annex 2 Designated EHV charges'!$D:$P,10,FALSE)=0,"",VLOOKUP($A90,'Annex 2 Designated EHV charges'!$D:$P,10,FALSE)),"")</f>
        <v>-0.73299999999999998</v>
      </c>
      <c r="F90" s="195">
        <f>IFERROR(IF(VLOOKUP($A90,'Annex 2 Designated EHV charges'!$D:$P,11,FALSE)=0,"",VLOOKUP($A90,'Annex 2 Designated EHV charges'!$D:$P,11,FALSE)),"")</f>
        <v>1629.1</v>
      </c>
      <c r="G90" s="195">
        <f>IFERROR(IF(VLOOKUP($A90,'Annex 2 Designated EHV charges'!$D:$P,12,FALSE)=0,"",VLOOKUP($A90,'Annex 2 Designated EHV charges'!$D:$P,12,FALSE)),"")</f>
        <v>0.05</v>
      </c>
      <c r="H90" s="195">
        <f>IFERROR(IF(VLOOKUP($A90,'Annex 2 Designated EHV charges'!$D:$P,13,FALSE)=0,"",VLOOKUP($A90,'Annex 2 Designated EHV charges'!$D:$P,13,FALSE)),"")</f>
        <v>0.05</v>
      </c>
    </row>
    <row r="91" spans="1:8" x14ac:dyDescent="0.2">
      <c r="A91" s="95" t="str" cm="1">
        <f t="array" ref="A91">IFERROR(INDEX('Annex 2 Designated EHV charges'!$D$10:$D$401, MATCH(0, IF(ISBLANK('Annex 2 Designated EHV charges'!$D$10:$D$401),1, COUNTIF(A$4:$A90, 'Annex 2 Designated EHV charges'!$D$10:$D$401)), 0)),"")</f>
        <v>DRAPER</v>
      </c>
      <c r="B91" s="94">
        <f>IF($A91="","",VLOOKUP($A91,'Annex 2 Designated EHV charges'!$D:$O,2,0))</f>
        <v>753</v>
      </c>
      <c r="C91" s="95">
        <f>IF($A91="","",VLOOKUP($A91,'Annex 2 Designated EHV charges'!$D:$O,3,0))</f>
        <v>1050000581441</v>
      </c>
      <c r="D91" s="94" t="str">
        <f>IF($A91="","",VLOOKUP($A91,'Annex 2 Designated EHV charges'!$D:$O,4,0))</f>
        <v>DRAPER</v>
      </c>
      <c r="E91" s="96" t="str">
        <f>IFERROR(IF(VLOOKUP($A91,'Annex 2 Designated EHV charges'!$D:$P,10,FALSE)=0,"",VLOOKUP($A91,'Annex 2 Designated EHV charges'!$D:$P,10,FALSE)),"")</f>
        <v/>
      </c>
      <c r="F91" s="195">
        <f>IFERROR(IF(VLOOKUP($A91,'Annex 2 Designated EHV charges'!$D:$P,11,FALSE)=0,"",VLOOKUP($A91,'Annex 2 Designated EHV charges'!$D:$P,11,FALSE)),"")</f>
        <v>1179.05</v>
      </c>
      <c r="G91" s="195">
        <f>IFERROR(IF(VLOOKUP($A91,'Annex 2 Designated EHV charges'!$D:$P,12,FALSE)=0,"",VLOOKUP($A91,'Annex 2 Designated EHV charges'!$D:$P,12,FALSE)),"")</f>
        <v>0.05</v>
      </c>
      <c r="H91" s="195">
        <f>IFERROR(IF(VLOOKUP($A91,'Annex 2 Designated EHV charges'!$D:$P,13,FALSE)=0,"",VLOOKUP($A91,'Annex 2 Designated EHV charges'!$D:$P,13,FALSE)),"")</f>
        <v>0.05</v>
      </c>
    </row>
    <row r="92" spans="1:8" x14ac:dyDescent="0.2">
      <c r="A92" s="95" t="str" cm="1">
        <f t="array" ref="A92">IFERROR(INDEX('Annex 2 Designated EHV charges'!$D$10:$D$401, MATCH(0, IF(ISBLANK('Annex 2 Designated EHV charges'!$D$10:$D$401),1, COUNTIF(A$4:$A91, 'Annex 2 Designated EHV charges'!$D$10:$D$401)), 0)),"")</f>
        <v>DRAYTN</v>
      </c>
      <c r="B92" s="94">
        <f>IF($A92="","",VLOOKUP($A92,'Annex 2 Designated EHV charges'!$D:$O,2,0))</f>
        <v>658</v>
      </c>
      <c r="C92" s="95">
        <f>IF($A92="","",VLOOKUP($A92,'Annex 2 Designated EHV charges'!$D:$O,3,0))</f>
        <v>1050001047263</v>
      </c>
      <c r="D92" s="94" t="str">
        <f>IF($A92="","",VLOOKUP($A92,'Annex 2 Designated EHV charges'!$D:$O,4,0))</f>
        <v>DRAYTN</v>
      </c>
      <c r="E92" s="96" t="str">
        <f>IFERROR(IF(VLOOKUP($A92,'Annex 2 Designated EHV charges'!$D:$P,10,FALSE)=0,"",VLOOKUP($A92,'Annex 2 Designated EHV charges'!$D:$P,10,FALSE)),"")</f>
        <v/>
      </c>
      <c r="F92" s="195">
        <f>IFERROR(IF(VLOOKUP($A92,'Annex 2 Designated EHV charges'!$D:$P,11,FALSE)=0,"",VLOOKUP($A92,'Annex 2 Designated EHV charges'!$D:$P,11,FALSE)),"")</f>
        <v>992.25</v>
      </c>
      <c r="G92" s="195">
        <f>IFERROR(IF(VLOOKUP($A92,'Annex 2 Designated EHV charges'!$D:$P,12,FALSE)=0,"",VLOOKUP($A92,'Annex 2 Designated EHV charges'!$D:$P,12,FALSE)),"")</f>
        <v>0.05</v>
      </c>
      <c r="H92" s="195">
        <f>IFERROR(IF(VLOOKUP($A92,'Annex 2 Designated EHV charges'!$D:$P,13,FALSE)=0,"",VLOOKUP($A92,'Annex 2 Designated EHV charges'!$D:$P,13,FALSE)),"")</f>
        <v>0.05</v>
      </c>
    </row>
    <row r="93" spans="1:8" x14ac:dyDescent="0.2">
      <c r="A93" s="95" t="str" cm="1">
        <f t="array" ref="A93">IFERROR(INDEX('Annex 2 Designated EHV charges'!$D$10:$D$401, MATCH(0, IF(ISBLANK('Annex 2 Designated EHV charges'!$D$10:$D$401),1, COUNTIF(A$4:$A92, 'Annex 2 Designated EHV charges'!$D$10:$D$401)), 0)),"")</f>
        <v>DRYHSE</v>
      </c>
      <c r="B93" s="94">
        <f>IF($A93="","",VLOOKUP($A93,'Annex 2 Designated EHV charges'!$D:$O,2,0))</f>
        <v>751</v>
      </c>
      <c r="C93" s="95">
        <f>IF($A93="","",VLOOKUP($A93,'Annex 2 Designated EHV charges'!$D:$O,3,0))</f>
        <v>1050000609380</v>
      </c>
      <c r="D93" s="94" t="str">
        <f>IF($A93="","",VLOOKUP($A93,'Annex 2 Designated EHV charges'!$D:$O,4,0))</f>
        <v>DRYHSE</v>
      </c>
      <c r="E93" s="96" t="str">
        <f>IFERROR(IF(VLOOKUP($A93,'Annex 2 Designated EHV charges'!$D:$P,10,FALSE)=0,"",VLOOKUP($A93,'Annex 2 Designated EHV charges'!$D:$P,10,FALSE)),"")</f>
        <v/>
      </c>
      <c r="F93" s="195">
        <f>IFERROR(IF(VLOOKUP($A93,'Annex 2 Designated EHV charges'!$D:$P,11,FALSE)=0,"",VLOOKUP($A93,'Annex 2 Designated EHV charges'!$D:$P,11,FALSE)),"")</f>
        <v>1130.0899999999999</v>
      </c>
      <c r="G93" s="195">
        <f>IFERROR(IF(VLOOKUP($A93,'Annex 2 Designated EHV charges'!$D:$P,12,FALSE)=0,"",VLOOKUP($A93,'Annex 2 Designated EHV charges'!$D:$P,12,FALSE)),"")</f>
        <v>0.05</v>
      </c>
      <c r="H93" s="195">
        <f>IFERROR(IF(VLOOKUP($A93,'Annex 2 Designated EHV charges'!$D:$P,13,FALSE)=0,"",VLOOKUP($A93,'Annex 2 Designated EHV charges'!$D:$P,13,FALSE)),"")</f>
        <v>0.05</v>
      </c>
    </row>
    <row r="94" spans="1:8" x14ac:dyDescent="0.2">
      <c r="A94" s="95" t="str" cm="1">
        <f t="array" ref="A94">IFERROR(INDEX('Annex 2 Designated EHV charges'!$D$10:$D$401, MATCH(0, IF(ISBLANK('Annex 2 Designated EHV charges'!$D$10:$D$401),1, COUNTIF(A$4:$A93, 'Annex 2 Designated EHV charges'!$D$10:$D$401)), 0)),"")</f>
        <v>EARLHF</v>
      </c>
      <c r="B94" s="94">
        <f>IF($A94="","",VLOOKUP($A94,'Annex 2 Designated EHV charges'!$D:$O,2,0))</f>
        <v>737</v>
      </c>
      <c r="C94" s="95">
        <f>IF($A94="","",VLOOKUP($A94,'Annex 2 Designated EHV charges'!$D:$O,3,0))</f>
        <v>1030081316960</v>
      </c>
      <c r="D94" s="94" t="str">
        <f>IF($A94="","",VLOOKUP($A94,'Annex 2 Designated EHV charges'!$D:$O,4,0))</f>
        <v>EARLHF</v>
      </c>
      <c r="E94" s="96" t="str">
        <f>IFERROR(IF(VLOOKUP($A94,'Annex 2 Designated EHV charges'!$D:$P,10,FALSE)=0,"",VLOOKUP($A94,'Annex 2 Designated EHV charges'!$D:$P,10,FALSE)),"")</f>
        <v/>
      </c>
      <c r="F94" s="195">
        <f>IFERROR(IF(VLOOKUP($A94,'Annex 2 Designated EHV charges'!$D:$P,11,FALSE)=0,"",VLOOKUP($A94,'Annex 2 Designated EHV charges'!$D:$P,11,FALSE)),"")</f>
        <v>734.44</v>
      </c>
      <c r="G94" s="195">
        <f>IFERROR(IF(VLOOKUP($A94,'Annex 2 Designated EHV charges'!$D:$P,12,FALSE)=0,"",VLOOKUP($A94,'Annex 2 Designated EHV charges'!$D:$P,12,FALSE)),"")</f>
        <v>0.05</v>
      </c>
      <c r="H94" s="195">
        <f>IFERROR(IF(VLOOKUP($A94,'Annex 2 Designated EHV charges'!$D:$P,13,FALSE)=0,"",VLOOKUP($A94,'Annex 2 Designated EHV charges'!$D:$P,13,FALSE)),"")</f>
        <v>0.05</v>
      </c>
    </row>
    <row r="95" spans="1:8" x14ac:dyDescent="0.2">
      <c r="A95" s="95" t="str" cm="1">
        <f t="array" ref="A95">IFERROR(INDEX('Annex 2 Designated EHV charges'!$D$10:$D$401, MATCH(0, IF(ISBLANK('Annex 2 Designated EHV charges'!$D$10:$D$401),1, COUNTIF(A$4:$A94, 'Annex 2 Designated EHV charges'!$D$10:$D$401)), 0)),"")</f>
        <v>EBCKHM</v>
      </c>
      <c r="B95" s="94">
        <f>IF($A95="","",VLOOKUP($A95,'Annex 2 Designated EHV charges'!$D:$O,2,0))</f>
        <v>761</v>
      </c>
      <c r="C95" s="95">
        <f>IF($A95="","",VLOOKUP($A95,'Annex 2 Designated EHV charges'!$D:$O,3,0))</f>
        <v>1050000563595</v>
      </c>
      <c r="D95" s="94" t="str">
        <f>IF($A95="","",VLOOKUP($A95,'Annex 2 Designated EHV charges'!$D:$O,4,0))</f>
        <v>EBCKHM</v>
      </c>
      <c r="E95" s="96" t="str">
        <f>IFERROR(IF(VLOOKUP($A95,'Annex 2 Designated EHV charges'!$D:$P,10,FALSE)=0,"",VLOOKUP($A95,'Annex 2 Designated EHV charges'!$D:$P,10,FALSE)),"")</f>
        <v/>
      </c>
      <c r="F95" s="195">
        <f>IFERROR(IF(VLOOKUP($A95,'Annex 2 Designated EHV charges'!$D:$P,11,FALSE)=0,"",VLOOKUP($A95,'Annex 2 Designated EHV charges'!$D:$P,11,FALSE)),"")</f>
        <v>1232.42</v>
      </c>
      <c r="G95" s="195">
        <f>IFERROR(IF(VLOOKUP($A95,'Annex 2 Designated EHV charges'!$D:$P,12,FALSE)=0,"",VLOOKUP($A95,'Annex 2 Designated EHV charges'!$D:$P,12,FALSE)),"")</f>
        <v>0.05</v>
      </c>
      <c r="H95" s="195">
        <f>IFERROR(IF(VLOOKUP($A95,'Annex 2 Designated EHV charges'!$D:$P,13,FALSE)=0,"",VLOOKUP($A95,'Annex 2 Designated EHV charges'!$D:$P,13,FALSE)),"")</f>
        <v>0.05</v>
      </c>
    </row>
    <row r="96" spans="1:8" ht="51" x14ac:dyDescent="0.2">
      <c r="A96" s="95" t="str" cm="1">
        <f t="array" ref="A96">IFERROR(INDEX('Annex 2 Designated EHV charges'!$D$10:$D$401, MATCH(0, IF(ISBLANK('Annex 2 Designated EHV charges'!$D$10:$D$401),1, COUNTIF(A$4:$A95, 'Annex 2 Designated EHV charges'!$D$10:$D$401)), 0)),"")</f>
        <v>EDLMUC</v>
      </c>
      <c r="B96" s="94">
        <f>IF($A96="","",VLOOKUP($A96,'Annex 2 Designated EHV charges'!$D:$O,2,0))</f>
        <v>702</v>
      </c>
      <c r="C96" s="95" t="str">
        <f>IF($A96="","",VLOOKUP($A96,'Annex 2 Designated EHV charges'!$D:$O,3,0))</f>
        <v>1023497821664;1023497821896;1023514686185;1030010107580</v>
      </c>
      <c r="D96" s="94" t="str">
        <f>IF($A96="","",VLOOKUP($A96,'Annex 2 Designated EHV charges'!$D:$O,4,0))</f>
        <v>EDLMUC</v>
      </c>
      <c r="E96" s="96">
        <f>IFERROR(IF(VLOOKUP($A96,'Annex 2 Designated EHV charges'!$D:$P,10,FALSE)=0,"",VLOOKUP($A96,'Annex 2 Designated EHV charges'!$D:$P,10,FALSE)),"")</f>
        <v>-0.28599999999999998</v>
      </c>
      <c r="F96" s="195">
        <f>IFERROR(IF(VLOOKUP($A96,'Annex 2 Designated EHV charges'!$D:$P,11,FALSE)=0,"",VLOOKUP($A96,'Annex 2 Designated EHV charges'!$D:$P,11,FALSE)),"")</f>
        <v>1700.76</v>
      </c>
      <c r="G96" s="195">
        <f>IFERROR(IF(VLOOKUP($A96,'Annex 2 Designated EHV charges'!$D:$P,12,FALSE)=0,"",VLOOKUP($A96,'Annex 2 Designated EHV charges'!$D:$P,12,FALSE)),"")</f>
        <v>0.05</v>
      </c>
      <c r="H96" s="195">
        <f>IFERROR(IF(VLOOKUP($A96,'Annex 2 Designated EHV charges'!$D:$P,13,FALSE)=0,"",VLOOKUP($A96,'Annex 2 Designated EHV charges'!$D:$P,13,FALSE)),"")</f>
        <v>0.05</v>
      </c>
    </row>
    <row r="97" spans="1:8" x14ac:dyDescent="0.2">
      <c r="A97" s="95" t="str" cm="1">
        <f t="array" ref="A97">IFERROR(INDEX('Annex 2 Designated EHV charges'!$D$10:$D$401, MATCH(0, IF(ISBLANK('Annex 2 Designated EHV charges'!$D$10:$D$401),1, COUNTIF(A$4:$A96, 'Annex 2 Designated EHV charges'!$D$10:$D$401)), 0)),"")</f>
        <v>EDLPIT</v>
      </c>
      <c r="B97" s="94">
        <f>IF($A97="","",VLOOKUP($A97,'Annex 2 Designated EHV charges'!$D:$O,2,0))</f>
        <v>713</v>
      </c>
      <c r="C97" s="95">
        <f>IF($A97="","",VLOOKUP($A97,'Annex 2 Designated EHV charges'!$D:$O,3,0))</f>
        <v>1030020271056</v>
      </c>
      <c r="D97" s="94" t="str">
        <f>IF($A97="","",VLOOKUP($A97,'Annex 2 Designated EHV charges'!$D:$O,4,0))</f>
        <v>EDLPIT</v>
      </c>
      <c r="E97" s="96" t="str">
        <f>IFERROR(IF(VLOOKUP($A97,'Annex 2 Designated EHV charges'!$D:$P,10,FALSE)=0,"",VLOOKUP($A97,'Annex 2 Designated EHV charges'!$D:$P,10,FALSE)),"")</f>
        <v/>
      </c>
      <c r="F97" s="195" t="str">
        <f>IFERROR(IF(VLOOKUP($A97,'Annex 2 Designated EHV charges'!$D:$P,11,FALSE)=0,"",VLOOKUP($A97,'Annex 2 Designated EHV charges'!$D:$P,11,FALSE)),"")</f>
        <v/>
      </c>
      <c r="G97" s="195" t="str">
        <f>IFERROR(IF(VLOOKUP($A97,'Annex 2 Designated EHV charges'!$D:$P,12,FALSE)=0,"",VLOOKUP($A97,'Annex 2 Designated EHV charges'!$D:$P,12,FALSE)),"")</f>
        <v/>
      </c>
      <c r="H97" s="195" t="str">
        <f>IFERROR(IF(VLOOKUP($A97,'Annex 2 Designated EHV charges'!$D:$P,13,FALSE)=0,"",VLOOKUP($A97,'Annex 2 Designated EHV charges'!$D:$P,13,FALSE)),"")</f>
        <v/>
      </c>
    </row>
    <row r="98" spans="1:8" x14ac:dyDescent="0.2">
      <c r="A98" s="95" t="str" cm="1">
        <f t="array" ref="A98">IFERROR(INDEX('Annex 2 Designated EHV charges'!$D$10:$D$401, MATCH(0, IF(ISBLANK('Annex 2 Designated EHV charges'!$D$10:$D$401),1, COUNTIF(A$4:$A97, 'Annex 2 Designated EHV charges'!$D$10:$D$401)), 0)),"")</f>
        <v>EGMRSF</v>
      </c>
      <c r="B98" s="94">
        <f>IF($A98="","",VLOOKUP($A98,'Annex 2 Designated EHV charges'!$D:$O,2,0))</f>
        <v>754</v>
      </c>
      <c r="C98" s="95">
        <f>IF($A98="","",VLOOKUP($A98,'Annex 2 Designated EHV charges'!$D:$O,3,0))</f>
        <v>1050000567492</v>
      </c>
      <c r="D98" s="94" t="str">
        <f>IF($A98="","",VLOOKUP($A98,'Annex 2 Designated EHV charges'!$D:$O,4,0))</f>
        <v>EGMRSF</v>
      </c>
      <c r="E98" s="96" t="str">
        <f>IFERROR(IF(VLOOKUP($A98,'Annex 2 Designated EHV charges'!$D:$P,10,FALSE)=0,"",VLOOKUP($A98,'Annex 2 Designated EHV charges'!$D:$P,10,FALSE)),"")</f>
        <v/>
      </c>
      <c r="F98" s="195">
        <f>IFERROR(IF(VLOOKUP($A98,'Annex 2 Designated EHV charges'!$D:$P,11,FALSE)=0,"",VLOOKUP($A98,'Annex 2 Designated EHV charges'!$D:$P,11,FALSE)),"")</f>
        <v>1038.03</v>
      </c>
      <c r="G98" s="195">
        <f>IFERROR(IF(VLOOKUP($A98,'Annex 2 Designated EHV charges'!$D:$P,12,FALSE)=0,"",VLOOKUP($A98,'Annex 2 Designated EHV charges'!$D:$P,12,FALSE)),"")</f>
        <v>0.05</v>
      </c>
      <c r="H98" s="195">
        <f>IFERROR(IF(VLOOKUP($A98,'Annex 2 Designated EHV charges'!$D:$P,13,FALSE)=0,"",VLOOKUP($A98,'Annex 2 Designated EHV charges'!$D:$P,13,FALSE)),"")</f>
        <v>0.05</v>
      </c>
    </row>
    <row r="99" spans="1:8" ht="38.25" x14ac:dyDescent="0.2">
      <c r="A99" s="95" t="str" cm="1">
        <f t="array" ref="A99">IFERROR(INDEX('Annex 2 Designated EHV charges'!$D$10:$D$401, MATCH(0, IF(ISBLANK('Annex 2 Designated EHV charges'!$D$10:$D$401),1, COUNTIF(A$4:$A98, 'Annex 2 Designated EHV charges'!$D$10:$D$401)), 0)),"")</f>
        <v>ELLOSF</v>
      </c>
      <c r="B99" s="94">
        <f>IF($A99="","",VLOOKUP($A99,'Annex 2 Designated EHV charges'!$D:$O,2,0))</f>
        <v>755</v>
      </c>
      <c r="C99" s="95" t="str">
        <f>IF($A99="","",VLOOKUP($A99,'Annex 2 Designated EHV charges'!$D:$O,3,0))</f>
        <v>1050000612870;1050001004915;1050001004924</v>
      </c>
      <c r="D99" s="94" t="str">
        <f>IF($A99="","",VLOOKUP($A99,'Annex 2 Designated EHV charges'!$D:$O,4,0))</f>
        <v>ELLOSF</v>
      </c>
      <c r="E99" s="96" t="str">
        <f>IFERROR(IF(VLOOKUP($A99,'Annex 2 Designated EHV charges'!$D:$P,10,FALSE)=0,"",VLOOKUP($A99,'Annex 2 Designated EHV charges'!$D:$P,10,FALSE)),"")</f>
        <v/>
      </c>
      <c r="F99" s="195">
        <f>IFERROR(IF(VLOOKUP($A99,'Annex 2 Designated EHV charges'!$D:$P,11,FALSE)=0,"",VLOOKUP($A99,'Annex 2 Designated EHV charges'!$D:$P,11,FALSE)),"")</f>
        <v>2159.1</v>
      </c>
      <c r="G99" s="195">
        <f>IFERROR(IF(VLOOKUP($A99,'Annex 2 Designated EHV charges'!$D:$P,12,FALSE)=0,"",VLOOKUP($A99,'Annex 2 Designated EHV charges'!$D:$P,12,FALSE)),"")</f>
        <v>0.05</v>
      </c>
      <c r="H99" s="195">
        <f>IFERROR(IF(VLOOKUP($A99,'Annex 2 Designated EHV charges'!$D:$P,13,FALSE)=0,"",VLOOKUP($A99,'Annex 2 Designated EHV charges'!$D:$P,13,FALSE)),"")</f>
        <v>0.05</v>
      </c>
    </row>
    <row r="100" spans="1:8" x14ac:dyDescent="0.2">
      <c r="A100" s="95" t="str" cm="1">
        <f t="array" ref="A100">IFERROR(INDEX('Annex 2 Designated EHV charges'!$D$10:$D$401, MATCH(0, IF(ISBLANK('Annex 2 Designated EHV charges'!$D$10:$D$401),1, COUNTIF(A$4:$A99, 'Annex 2 Designated EHV charges'!$D$10:$D$401)), 0)),"")</f>
        <v>ELSAGE</v>
      </c>
      <c r="B100" s="94">
        <f>IF($A100="","",VLOOKUP($A100,'Annex 2 Designated EHV charges'!$D:$O,2,0))</f>
        <v>659</v>
      </c>
      <c r="C100" s="95">
        <f>IF($A100="","",VLOOKUP($A100,'Annex 2 Designated EHV charges'!$D:$O,3,0))</f>
        <v>1050000923677</v>
      </c>
      <c r="D100" s="94" t="str">
        <f>IF($A100="","",VLOOKUP($A100,'Annex 2 Designated EHV charges'!$D:$O,4,0))</f>
        <v>ELSAGE</v>
      </c>
      <c r="E100" s="96" t="str">
        <f>IFERROR(IF(VLOOKUP($A100,'Annex 2 Designated EHV charges'!$D:$P,10,FALSE)=0,"",VLOOKUP($A100,'Annex 2 Designated EHV charges'!$D:$P,10,FALSE)),"")</f>
        <v/>
      </c>
      <c r="F100" s="195">
        <f>IFERROR(IF(VLOOKUP($A100,'Annex 2 Designated EHV charges'!$D:$P,11,FALSE)=0,"",VLOOKUP($A100,'Annex 2 Designated EHV charges'!$D:$P,11,FALSE)),"")</f>
        <v>1962.59</v>
      </c>
      <c r="G100" s="195">
        <f>IFERROR(IF(VLOOKUP($A100,'Annex 2 Designated EHV charges'!$D:$P,12,FALSE)=0,"",VLOOKUP($A100,'Annex 2 Designated EHV charges'!$D:$P,12,FALSE)),"")</f>
        <v>0.05</v>
      </c>
      <c r="H100" s="195">
        <f>IFERROR(IF(VLOOKUP($A100,'Annex 2 Designated EHV charges'!$D:$P,13,FALSE)=0,"",VLOOKUP($A100,'Annex 2 Designated EHV charges'!$D:$P,13,FALSE)),"")</f>
        <v>0.05</v>
      </c>
    </row>
    <row r="101" spans="1:8" x14ac:dyDescent="0.2">
      <c r="A101" s="95" t="str" cm="1">
        <f t="array" ref="A101">IFERROR(INDEX('Annex 2 Designated EHV charges'!$D$10:$D$401, MATCH(0, IF(ISBLANK('Annex 2 Designated EHV charges'!$D$10:$D$401),1, COUNTIF(A$4:$A100, 'Annex 2 Designated EHV charges'!$D$10:$D$401)), 0)),"")</f>
        <v>EPRSUT</v>
      </c>
      <c r="B101" s="94">
        <f>IF($A101="","",VLOOKUP($A101,'Annex 2 Designated EHV charges'!$D:$O,2,0))</f>
        <v>705</v>
      </c>
      <c r="C101" s="95">
        <f>IF($A101="","",VLOOKUP($A101,'Annex 2 Designated EHV charges'!$D:$O,3,0))</f>
        <v>1023503165023</v>
      </c>
      <c r="D101" s="94" t="str">
        <f>IF($A101="","",VLOOKUP($A101,'Annex 2 Designated EHV charges'!$D:$O,4,0))</f>
        <v>EPRSUT</v>
      </c>
      <c r="E101" s="96">
        <f>IFERROR(IF(VLOOKUP($A101,'Annex 2 Designated EHV charges'!$D:$P,10,FALSE)=0,"",VLOOKUP($A101,'Annex 2 Designated EHV charges'!$D:$P,10,FALSE)),"")</f>
        <v>-3.786</v>
      </c>
      <c r="F101" s="195">
        <f>IFERROR(IF(VLOOKUP($A101,'Annex 2 Designated EHV charges'!$D:$P,11,FALSE)=0,"",VLOOKUP($A101,'Annex 2 Designated EHV charges'!$D:$P,11,FALSE)),"")</f>
        <v>1287.3699999999999</v>
      </c>
      <c r="G101" s="195">
        <f>IFERROR(IF(VLOOKUP($A101,'Annex 2 Designated EHV charges'!$D:$P,12,FALSE)=0,"",VLOOKUP($A101,'Annex 2 Designated EHV charges'!$D:$P,12,FALSE)),"")</f>
        <v>0.05</v>
      </c>
      <c r="H101" s="195">
        <f>IFERROR(IF(VLOOKUP($A101,'Annex 2 Designated EHV charges'!$D:$P,13,FALSE)=0,"",VLOOKUP($A101,'Annex 2 Designated EHV charges'!$D:$P,13,FALSE)),"")</f>
        <v>0.05</v>
      </c>
    </row>
    <row r="102" spans="1:8" ht="38.25" x14ac:dyDescent="0.2">
      <c r="A102" s="95" t="str" cm="1">
        <f t="array" ref="A102">IFERROR(INDEX('Annex 2 Designated EHV charges'!$D$10:$D$401, MATCH(0, IF(ISBLANK('Annex 2 Designated EHV charges'!$D$10:$D$401),1, COUNTIF(A$4:$A101, 'Annex 2 Designated EHV charges'!$D$10:$D$401)), 0)),"")</f>
        <v>ERNUNN</v>
      </c>
      <c r="B102" s="94">
        <f>IF($A102="","",VLOOKUP($A102,'Annex 2 Designated EHV charges'!$D:$O,2,0))</f>
        <v>441</v>
      </c>
      <c r="C102" s="95" t="str">
        <f>IF($A102="","",VLOOKUP($A102,'Annex 2 Designated EHV charges'!$D:$O,3,0))</f>
        <v>1050001440529;1050001466280;1050001466304</v>
      </c>
      <c r="D102" s="94" t="str">
        <f>IF($A102="","",VLOOKUP($A102,'Annex 2 Designated EHV charges'!$D:$O,4,0))</f>
        <v>ERNUNN</v>
      </c>
      <c r="E102" s="96" t="str">
        <f>IFERROR(IF(VLOOKUP($A102,'Annex 2 Designated EHV charges'!$D:$P,10,FALSE)=0,"",VLOOKUP($A102,'Annex 2 Designated EHV charges'!$D:$P,10,FALSE)),"")</f>
        <v/>
      </c>
      <c r="F102" s="195">
        <f>IFERROR(IF(VLOOKUP($A102,'Annex 2 Designated EHV charges'!$D:$P,11,FALSE)=0,"",VLOOKUP($A102,'Annex 2 Designated EHV charges'!$D:$P,11,FALSE)),"")</f>
        <v>2666.69</v>
      </c>
      <c r="G102" s="195">
        <f>IFERROR(IF(VLOOKUP($A102,'Annex 2 Designated EHV charges'!$D:$P,12,FALSE)=0,"",VLOOKUP($A102,'Annex 2 Designated EHV charges'!$D:$P,12,FALSE)),"")</f>
        <v>0.05</v>
      </c>
      <c r="H102" s="195">
        <f>IFERROR(IF(VLOOKUP($A102,'Annex 2 Designated EHV charges'!$D:$P,13,FALSE)=0,"",VLOOKUP($A102,'Annex 2 Designated EHV charges'!$D:$P,13,FALSE)),"")</f>
        <v>0.05</v>
      </c>
    </row>
    <row r="103" spans="1:8" x14ac:dyDescent="0.2">
      <c r="A103" s="95" t="str" cm="1">
        <f t="array" ref="A103">IFERROR(INDEX('Annex 2 Designated EHV charges'!$D$10:$D$401, MATCH(0, IF(ISBLANK('Annex 2 Designated EHV charges'!$D$10:$D$401),1, COUNTIF(A$4:$A102, 'Annex 2 Designated EHV charges'!$D$10:$D$401)), 0)),"")</f>
        <v>EUSTSF</v>
      </c>
      <c r="B103" s="94">
        <f>IF($A103="","",VLOOKUP($A103,'Annex 2 Designated EHV charges'!$D:$O,2,0))</f>
        <v>756</v>
      </c>
      <c r="C103" s="95">
        <f>IF($A103="","",VLOOKUP($A103,'Annex 2 Designated EHV charges'!$D:$O,3,0))</f>
        <v>1050000628170</v>
      </c>
      <c r="D103" s="94" t="str">
        <f>IF($A103="","",VLOOKUP($A103,'Annex 2 Designated EHV charges'!$D:$O,4,0))</f>
        <v>EUSTSF</v>
      </c>
      <c r="E103" s="96" t="str">
        <f>IFERROR(IF(VLOOKUP($A103,'Annex 2 Designated EHV charges'!$D:$P,10,FALSE)=0,"",VLOOKUP($A103,'Annex 2 Designated EHV charges'!$D:$P,10,FALSE)),"")</f>
        <v/>
      </c>
      <c r="F103" s="195">
        <f>IFERROR(IF(VLOOKUP($A103,'Annex 2 Designated EHV charges'!$D:$P,11,FALSE)=0,"",VLOOKUP($A103,'Annex 2 Designated EHV charges'!$D:$P,11,FALSE)),"")</f>
        <v>2257.66</v>
      </c>
      <c r="G103" s="195">
        <f>IFERROR(IF(VLOOKUP($A103,'Annex 2 Designated EHV charges'!$D:$P,12,FALSE)=0,"",VLOOKUP($A103,'Annex 2 Designated EHV charges'!$D:$P,12,FALSE)),"")</f>
        <v>0.05</v>
      </c>
      <c r="H103" s="195">
        <f>IFERROR(IF(VLOOKUP($A103,'Annex 2 Designated EHV charges'!$D:$P,13,FALSE)=0,"",VLOOKUP($A103,'Annex 2 Designated EHV charges'!$D:$P,13,FALSE)),"")</f>
        <v>0.05</v>
      </c>
    </row>
    <row r="104" spans="1:8" x14ac:dyDescent="0.2">
      <c r="A104" s="95" t="str" cm="1">
        <f t="array" ref="A104">IFERROR(INDEX('Annex 2 Designated EHV charges'!$D$10:$D$401, MATCH(0, IF(ISBLANK('Annex 2 Designated EHV charges'!$D$10:$D$401),1, COUNTIF(A$4:$A103, 'Annex 2 Designated EHV charges'!$D$10:$D$401)), 0)),"")</f>
        <v>EXNING</v>
      </c>
      <c r="B104" s="94">
        <f>IF($A104="","",VLOOKUP($A104,'Annex 2 Designated EHV charges'!$D:$O,2,0))</f>
        <v>788</v>
      </c>
      <c r="C104" s="95">
        <f>IF($A104="","",VLOOKUP($A104,'Annex 2 Designated EHV charges'!$D:$O,3,0))</f>
        <v>1050000784393</v>
      </c>
      <c r="D104" s="94" t="str">
        <f>IF($A104="","",VLOOKUP($A104,'Annex 2 Designated EHV charges'!$D:$O,4,0))</f>
        <v>EXNING</v>
      </c>
      <c r="E104" s="96" t="str">
        <f>IFERROR(IF(VLOOKUP($A104,'Annex 2 Designated EHV charges'!$D:$P,10,FALSE)=0,"",VLOOKUP($A104,'Annex 2 Designated EHV charges'!$D:$P,10,FALSE)),"")</f>
        <v/>
      </c>
      <c r="F104" s="195">
        <f>IFERROR(IF(VLOOKUP($A104,'Annex 2 Designated EHV charges'!$D:$P,11,FALSE)=0,"",VLOOKUP($A104,'Annex 2 Designated EHV charges'!$D:$P,11,FALSE)),"")</f>
        <v>6245.14</v>
      </c>
      <c r="G104" s="195">
        <f>IFERROR(IF(VLOOKUP($A104,'Annex 2 Designated EHV charges'!$D:$P,12,FALSE)=0,"",VLOOKUP($A104,'Annex 2 Designated EHV charges'!$D:$P,12,FALSE)),"")</f>
        <v>0.05</v>
      </c>
      <c r="H104" s="195">
        <f>IFERROR(IF(VLOOKUP($A104,'Annex 2 Designated EHV charges'!$D:$P,13,FALSE)=0,"",VLOOKUP($A104,'Annex 2 Designated EHV charges'!$D:$P,13,FALSE)),"")</f>
        <v>0.05</v>
      </c>
    </row>
    <row r="105" spans="1:8" x14ac:dyDescent="0.2">
      <c r="A105" s="95" t="str" cm="1">
        <f t="array" ref="A105">IFERROR(INDEX('Annex 2 Designated EHV charges'!$D$10:$D$401, MATCH(0, IF(ISBLANK('Annex 2 Designated EHV charges'!$D$10:$D$401),1, COUNTIF(A$4:$A104, 'Annex 2 Designated EHV charges'!$D$10:$D$401)), 0)),"")</f>
        <v>EYEWFM</v>
      </c>
      <c r="B105" s="94">
        <f>IF($A105="","",VLOOKUP($A105,'Annex 2 Designated EHV charges'!$D:$O,2,0))</f>
        <v>757</v>
      </c>
      <c r="C105" s="95">
        <f>IF($A105="","",VLOOKUP($A105,'Annex 2 Designated EHV charges'!$D:$O,3,0))</f>
        <v>1030085020190</v>
      </c>
      <c r="D105" s="94" t="str">
        <f>IF($A105="","",VLOOKUP($A105,'Annex 2 Designated EHV charges'!$D:$O,4,0))</f>
        <v>EYEWFM</v>
      </c>
      <c r="E105" s="96" t="str">
        <f>IFERROR(IF(VLOOKUP($A105,'Annex 2 Designated EHV charges'!$D:$P,10,FALSE)=0,"",VLOOKUP($A105,'Annex 2 Designated EHV charges'!$D:$P,10,FALSE)),"")</f>
        <v/>
      </c>
      <c r="F105" s="195">
        <f>IFERROR(IF(VLOOKUP($A105,'Annex 2 Designated EHV charges'!$D:$P,11,FALSE)=0,"",VLOOKUP($A105,'Annex 2 Designated EHV charges'!$D:$P,11,FALSE)),"")</f>
        <v>983.19</v>
      </c>
      <c r="G105" s="195">
        <f>IFERROR(IF(VLOOKUP($A105,'Annex 2 Designated EHV charges'!$D:$P,12,FALSE)=0,"",VLOOKUP($A105,'Annex 2 Designated EHV charges'!$D:$P,12,FALSE)),"")</f>
        <v>0.05</v>
      </c>
      <c r="H105" s="195">
        <f>IFERROR(IF(VLOOKUP($A105,'Annex 2 Designated EHV charges'!$D:$P,13,FALSE)=0,"",VLOOKUP($A105,'Annex 2 Designated EHV charges'!$D:$P,13,FALSE)),"")</f>
        <v>0.05</v>
      </c>
    </row>
    <row r="106" spans="1:8" x14ac:dyDescent="0.2">
      <c r="A106" s="95" t="str" cm="1">
        <f t="array" ref="A106">IFERROR(INDEX('Annex 2 Designated EHV charges'!$D$10:$D$401, MATCH(0, IF(ISBLANK('Annex 2 Designated EHV charges'!$D$10:$D$401),1, COUNTIF(A$4:$A105, 'Annex 2 Designated EHV charges'!$D$10:$D$401)), 0)),"")</f>
        <v>FBWTHE</v>
      </c>
      <c r="B106" s="94">
        <f>IF($A106="","",VLOOKUP($A106,'Annex 2 Designated EHV charges'!$D:$O,2,0))</f>
        <v>718</v>
      </c>
      <c r="C106" s="95">
        <f>IF($A106="","",VLOOKUP($A106,'Annex 2 Designated EHV charges'!$D:$O,3,0))</f>
        <v>1023507304560</v>
      </c>
      <c r="D106" s="94" t="str">
        <f>IF($A106="","",VLOOKUP($A106,'Annex 2 Designated EHV charges'!$D:$O,4,0))</f>
        <v>FBWTHE</v>
      </c>
      <c r="E106" s="96">
        <f>IFERROR(IF(VLOOKUP($A106,'Annex 2 Designated EHV charges'!$D:$P,10,FALSE)=0,"",VLOOKUP($A106,'Annex 2 Designated EHV charges'!$D:$P,10,FALSE)),"")</f>
        <v>-2.2669999999999999</v>
      </c>
      <c r="F106" s="195">
        <f>IFERROR(IF(VLOOKUP($A106,'Annex 2 Designated EHV charges'!$D:$P,11,FALSE)=0,"",VLOOKUP($A106,'Annex 2 Designated EHV charges'!$D:$P,11,FALSE)),"")</f>
        <v>448.26</v>
      </c>
      <c r="G106" s="195">
        <f>IFERROR(IF(VLOOKUP($A106,'Annex 2 Designated EHV charges'!$D:$P,12,FALSE)=0,"",VLOOKUP($A106,'Annex 2 Designated EHV charges'!$D:$P,12,FALSE)),"")</f>
        <v>0.05</v>
      </c>
      <c r="H106" s="195">
        <f>IFERROR(IF(VLOOKUP($A106,'Annex 2 Designated EHV charges'!$D:$P,13,FALSE)=0,"",VLOOKUP($A106,'Annex 2 Designated EHV charges'!$D:$P,13,FALSE)),"")</f>
        <v>0.05</v>
      </c>
    </row>
    <row r="107" spans="1:8" x14ac:dyDescent="0.2">
      <c r="A107" s="95" t="str" cm="1">
        <f t="array" ref="A107">IFERROR(INDEX('Annex 2 Designated EHV charges'!$D$10:$D$401, MATCH(0, IF(ISBLANK('Annex 2 Designated EHV charges'!$D$10:$D$401),1, COUNTIF(A$4:$A106, 'Annex 2 Designated EHV charges'!$D$10:$D$401)), 0)),"")</f>
        <v>FENLND</v>
      </c>
      <c r="B107" s="94">
        <f>IF($A107="","",VLOOKUP($A107,'Annex 2 Designated EHV charges'!$D:$O,2,0))</f>
        <v>789</v>
      </c>
      <c r="C107" s="95">
        <f>IF($A107="","",VLOOKUP($A107,'Annex 2 Designated EHV charges'!$D:$O,3,0))</f>
        <v>1050000774172</v>
      </c>
      <c r="D107" s="94" t="str">
        <f>IF($A107="","",VLOOKUP($A107,'Annex 2 Designated EHV charges'!$D:$O,4,0))</f>
        <v>FENLND</v>
      </c>
      <c r="E107" s="96" t="str">
        <f>IFERROR(IF(VLOOKUP($A107,'Annex 2 Designated EHV charges'!$D:$P,10,FALSE)=0,"",VLOOKUP($A107,'Annex 2 Designated EHV charges'!$D:$P,10,FALSE)),"")</f>
        <v/>
      </c>
      <c r="F107" s="195">
        <f>IFERROR(IF(VLOOKUP($A107,'Annex 2 Designated EHV charges'!$D:$P,11,FALSE)=0,"",VLOOKUP($A107,'Annex 2 Designated EHV charges'!$D:$P,11,FALSE)),"")</f>
        <v>7830.84</v>
      </c>
      <c r="G107" s="195">
        <f>IFERROR(IF(VLOOKUP($A107,'Annex 2 Designated EHV charges'!$D:$P,12,FALSE)=0,"",VLOOKUP($A107,'Annex 2 Designated EHV charges'!$D:$P,12,FALSE)),"")</f>
        <v>0.05</v>
      </c>
      <c r="H107" s="195">
        <f>IFERROR(IF(VLOOKUP($A107,'Annex 2 Designated EHV charges'!$D:$P,13,FALSE)=0,"",VLOOKUP($A107,'Annex 2 Designated EHV charges'!$D:$P,13,FALSE)),"")</f>
        <v>0.05</v>
      </c>
    </row>
    <row r="108" spans="1:8" x14ac:dyDescent="0.2">
      <c r="A108" s="95" t="str" cm="1">
        <f t="array" ref="A108">IFERROR(INDEX('Annex 2 Designated EHV charges'!$D$10:$D$401, MATCH(0, IF(ISBLANK('Annex 2 Designated EHV charges'!$D$10:$D$401),1, COUNTIF(A$4:$A107, 'Annex 2 Designated EHV charges'!$D$10:$D$401)), 0)),"")</f>
        <v>FIBEYE</v>
      </c>
      <c r="B108" s="94">
        <f>IF($A108="","",VLOOKUP($A108,'Annex 2 Designated EHV charges'!$D:$O,2,0))</f>
        <v>707</v>
      </c>
      <c r="C108" s="95">
        <f>IF($A108="","",VLOOKUP($A108,'Annex 2 Designated EHV charges'!$D:$O,3,0))</f>
        <v>1023479132320</v>
      </c>
      <c r="D108" s="94" t="str">
        <f>IF($A108="","",VLOOKUP($A108,'Annex 2 Designated EHV charges'!$D:$O,4,0))</f>
        <v>FIBEYE</v>
      </c>
      <c r="E108" s="96">
        <f>IFERROR(IF(VLOOKUP($A108,'Annex 2 Designated EHV charges'!$D:$P,10,FALSE)=0,"",VLOOKUP($A108,'Annex 2 Designated EHV charges'!$D:$P,10,FALSE)),"")</f>
        <v>-2.1960000000000002</v>
      </c>
      <c r="F108" s="195">
        <f>IFERROR(IF(VLOOKUP($A108,'Annex 2 Designated EHV charges'!$D:$P,11,FALSE)=0,"",VLOOKUP($A108,'Annex 2 Designated EHV charges'!$D:$P,11,FALSE)),"")</f>
        <v>491.51</v>
      </c>
      <c r="G108" s="195">
        <f>IFERROR(IF(VLOOKUP($A108,'Annex 2 Designated EHV charges'!$D:$P,12,FALSE)=0,"",VLOOKUP($A108,'Annex 2 Designated EHV charges'!$D:$P,12,FALSE)),"")</f>
        <v>0.05</v>
      </c>
      <c r="H108" s="195">
        <f>IFERROR(IF(VLOOKUP($A108,'Annex 2 Designated EHV charges'!$D:$P,13,FALSE)=0,"",VLOOKUP($A108,'Annex 2 Designated EHV charges'!$D:$P,13,FALSE)),"")</f>
        <v>0.05</v>
      </c>
    </row>
    <row r="109" spans="1:8" x14ac:dyDescent="0.2">
      <c r="A109" s="95" t="str" cm="1">
        <f t="array" ref="A109">IFERROR(INDEX('Annex 2 Designated EHV charges'!$D$10:$D$401, MATCH(0, IF(ISBLANK('Annex 2 Designated EHV charges'!$D$10:$D$401),1, COUNTIF(A$4:$A108, 'Annex 2 Designated EHV charges'!$D$10:$D$401)), 0)),"")</f>
        <v>FLYFRM</v>
      </c>
      <c r="B109" s="94">
        <f>IF($A109="","",VLOOKUP($A109,'Annex 2 Designated EHV charges'!$D:$O,2,0))</f>
        <v>790</v>
      </c>
      <c r="C109" s="95">
        <f>IF($A109="","",VLOOKUP($A109,'Annex 2 Designated EHV charges'!$D:$O,3,0))</f>
        <v>1050000822472</v>
      </c>
      <c r="D109" s="94" t="str">
        <f>IF($A109="","",VLOOKUP($A109,'Annex 2 Designated EHV charges'!$D:$O,4,0))</f>
        <v>FLYFRM</v>
      </c>
      <c r="E109" s="96" t="str">
        <f>IFERROR(IF(VLOOKUP($A109,'Annex 2 Designated EHV charges'!$D:$P,10,FALSE)=0,"",VLOOKUP($A109,'Annex 2 Designated EHV charges'!$D:$P,10,FALSE)),"")</f>
        <v/>
      </c>
      <c r="F109" s="195">
        <f>IFERROR(IF(VLOOKUP($A109,'Annex 2 Designated EHV charges'!$D:$P,11,FALSE)=0,"",VLOOKUP($A109,'Annex 2 Designated EHV charges'!$D:$P,11,FALSE)),"")</f>
        <v>2537.0500000000002</v>
      </c>
      <c r="G109" s="195">
        <f>IFERROR(IF(VLOOKUP($A109,'Annex 2 Designated EHV charges'!$D:$P,12,FALSE)=0,"",VLOOKUP($A109,'Annex 2 Designated EHV charges'!$D:$P,12,FALSE)),"")</f>
        <v>0.05</v>
      </c>
      <c r="H109" s="195">
        <f>IFERROR(IF(VLOOKUP($A109,'Annex 2 Designated EHV charges'!$D:$P,13,FALSE)=0,"",VLOOKUP($A109,'Annex 2 Designated EHV charges'!$D:$P,13,FALSE)),"")</f>
        <v>0.05</v>
      </c>
    </row>
    <row r="110" spans="1:8" x14ac:dyDescent="0.2">
      <c r="A110" s="95" t="str" cm="1">
        <f t="array" ref="A110">IFERROR(INDEX('Annex 2 Designated EHV charges'!$D$10:$D$401, MATCH(0, IF(ISBLANK('Annex 2 Designated EHV charges'!$D$10:$D$401),1, COUNTIF(A$4:$A109, 'Annex 2 Designated EHV charges'!$D$10:$D$401)), 0)),"")</f>
        <v>FWINDS</v>
      </c>
      <c r="B110" s="94">
        <f>IF($A110="","",VLOOKUP($A110,'Annex 2 Designated EHV charges'!$D:$O,2,0))</f>
        <v>766</v>
      </c>
      <c r="C110" s="95">
        <f>IF($A110="","",VLOOKUP($A110,'Annex 2 Designated EHV charges'!$D:$O,3,0))</f>
        <v>1050000709730</v>
      </c>
      <c r="D110" s="94" t="str">
        <f>IF($A110="","",VLOOKUP($A110,'Annex 2 Designated EHV charges'!$D:$O,4,0))</f>
        <v>FWINDS</v>
      </c>
      <c r="E110" s="96" t="str">
        <f>IFERROR(IF(VLOOKUP($A110,'Annex 2 Designated EHV charges'!$D:$P,10,FALSE)=0,"",VLOOKUP($A110,'Annex 2 Designated EHV charges'!$D:$P,10,FALSE)),"")</f>
        <v/>
      </c>
      <c r="F110" s="195">
        <f>IFERROR(IF(VLOOKUP($A110,'Annex 2 Designated EHV charges'!$D:$P,11,FALSE)=0,"",VLOOKUP($A110,'Annex 2 Designated EHV charges'!$D:$P,11,FALSE)),"")</f>
        <v>1580.51</v>
      </c>
      <c r="G110" s="195">
        <f>IFERROR(IF(VLOOKUP($A110,'Annex 2 Designated EHV charges'!$D:$P,12,FALSE)=0,"",VLOOKUP($A110,'Annex 2 Designated EHV charges'!$D:$P,12,FALSE)),"")</f>
        <v>0.05</v>
      </c>
      <c r="H110" s="195">
        <f>IFERROR(IF(VLOOKUP($A110,'Annex 2 Designated EHV charges'!$D:$P,13,FALSE)=0,"",VLOOKUP($A110,'Annex 2 Designated EHV charges'!$D:$P,13,FALSE)),"")</f>
        <v>0.05</v>
      </c>
    </row>
    <row r="111" spans="1:8" x14ac:dyDescent="0.2">
      <c r="A111" s="95" t="str" cm="1">
        <f t="array" ref="A111">IFERROR(INDEX('Annex 2 Designated EHV charges'!$D$10:$D$401, MATCH(0, IF(ISBLANK('Annex 2 Designated EHV charges'!$D$10:$D$401),1, COUNTIF(A$4:$A110, 'Annex 2 Designated EHV charges'!$D$10:$D$401)), 0)),"")</f>
        <v>GDE132</v>
      </c>
      <c r="B111" s="94">
        <f>IF($A111="","",VLOOKUP($A111,'Annex 2 Designated EHV charges'!$D:$O,2,0))</f>
        <v>767</v>
      </c>
      <c r="C111" s="95">
        <f>IF($A111="","",VLOOKUP($A111,'Annex 2 Designated EHV charges'!$D:$O,3,0))</f>
        <v>1050000738290</v>
      </c>
      <c r="D111" s="94" t="str">
        <f>IF($A111="","",VLOOKUP($A111,'Annex 2 Designated EHV charges'!$D:$O,4,0))</f>
        <v>GDE132</v>
      </c>
      <c r="E111" s="96" t="str">
        <f>IFERROR(IF(VLOOKUP($A111,'Annex 2 Designated EHV charges'!$D:$P,10,FALSE)=0,"",VLOOKUP($A111,'Annex 2 Designated EHV charges'!$D:$P,10,FALSE)),"")</f>
        <v/>
      </c>
      <c r="F111" s="195">
        <f>IFERROR(IF(VLOOKUP($A111,'Annex 2 Designated EHV charges'!$D:$P,11,FALSE)=0,"",VLOOKUP($A111,'Annex 2 Designated EHV charges'!$D:$P,11,FALSE)),"")</f>
        <v>1943.09</v>
      </c>
      <c r="G111" s="195">
        <f>IFERROR(IF(VLOOKUP($A111,'Annex 2 Designated EHV charges'!$D:$P,12,FALSE)=0,"",VLOOKUP($A111,'Annex 2 Designated EHV charges'!$D:$P,12,FALSE)),"")</f>
        <v>0.05</v>
      </c>
      <c r="H111" s="195">
        <f>IFERROR(IF(VLOOKUP($A111,'Annex 2 Designated EHV charges'!$D:$P,13,FALSE)=0,"",VLOOKUP($A111,'Annex 2 Designated EHV charges'!$D:$P,13,FALSE)),"")</f>
        <v>0.05</v>
      </c>
    </row>
    <row r="112" spans="1:8" x14ac:dyDescent="0.2">
      <c r="A112" s="95" t="str" cm="1">
        <f t="array" ref="A112">IFERROR(INDEX('Annex 2 Designated EHV charges'!$D$10:$D$401, MATCH(0, IF(ISBLANK('Annex 2 Designated EHV charges'!$D$10:$D$401),1, COUNTIF(A$4:$A111, 'Annex 2 Designated EHV charges'!$D$10:$D$401)), 0)),"")</f>
        <v>GFTHRN</v>
      </c>
      <c r="B112" s="94">
        <f>IF($A112="","",VLOOKUP($A112,'Annex 2 Designated EHV charges'!$D:$O,2,0))</f>
        <v>660</v>
      </c>
      <c r="C112" s="95">
        <f>IF($A112="","",VLOOKUP($A112,'Annex 2 Designated EHV charges'!$D:$O,3,0))</f>
        <v>1050000903253</v>
      </c>
      <c r="D112" s="94" t="str">
        <f>IF($A112="","",VLOOKUP($A112,'Annex 2 Designated EHV charges'!$D:$O,4,0))</f>
        <v>GFTHRN</v>
      </c>
      <c r="E112" s="96">
        <f>IFERROR(IF(VLOOKUP($A112,'Annex 2 Designated EHV charges'!$D:$P,10,FALSE)=0,"",VLOOKUP($A112,'Annex 2 Designated EHV charges'!$D:$P,10,FALSE)),"")</f>
        <v>-0.69399999999999995</v>
      </c>
      <c r="F112" s="195">
        <f>IFERROR(IF(VLOOKUP($A112,'Annex 2 Designated EHV charges'!$D:$P,11,FALSE)=0,"",VLOOKUP($A112,'Annex 2 Designated EHV charges'!$D:$P,11,FALSE)),"")</f>
        <v>1236.01</v>
      </c>
      <c r="G112" s="195">
        <f>IFERROR(IF(VLOOKUP($A112,'Annex 2 Designated EHV charges'!$D:$P,12,FALSE)=0,"",VLOOKUP($A112,'Annex 2 Designated EHV charges'!$D:$P,12,FALSE)),"")</f>
        <v>0.05</v>
      </c>
      <c r="H112" s="195">
        <f>IFERROR(IF(VLOOKUP($A112,'Annex 2 Designated EHV charges'!$D:$P,13,FALSE)=0,"",VLOOKUP($A112,'Annex 2 Designated EHV charges'!$D:$P,13,FALSE)),"")</f>
        <v>0.05</v>
      </c>
    </row>
    <row r="113" spans="1:8" x14ac:dyDescent="0.2">
      <c r="A113" s="95" t="str" cm="1">
        <f t="array" ref="A113">IFERROR(INDEX('Annex 2 Designated EHV charges'!$D$10:$D$401, MATCH(0, IF(ISBLANK('Annex 2 Designated EHV charges'!$D$10:$D$401),1, COUNTIF(A$4:$A112, 'Annex 2 Designated EHV charges'!$D$10:$D$401)), 0)),"")</f>
        <v>GLASM2</v>
      </c>
      <c r="B113" s="94">
        <f>IF($A113="","",VLOOKUP($A113,'Annex 2 Designated EHV charges'!$D:$O,2,0))</f>
        <v>738</v>
      </c>
      <c r="C113" s="95">
        <f>IF($A113="","",VLOOKUP($A113,'Annex 2 Designated EHV charges'!$D:$O,3,0))</f>
        <v>1030083962656</v>
      </c>
      <c r="D113" s="94" t="str">
        <f>IF($A113="","",VLOOKUP($A113,'Annex 2 Designated EHV charges'!$D:$O,4,0))</f>
        <v>GLASM2</v>
      </c>
      <c r="E113" s="96" t="str">
        <f>IFERROR(IF(VLOOKUP($A113,'Annex 2 Designated EHV charges'!$D:$P,10,FALSE)=0,"",VLOOKUP($A113,'Annex 2 Designated EHV charges'!$D:$P,10,FALSE)),"")</f>
        <v/>
      </c>
      <c r="F113" s="195">
        <f>IFERROR(IF(VLOOKUP($A113,'Annex 2 Designated EHV charges'!$D:$P,11,FALSE)=0,"",VLOOKUP($A113,'Annex 2 Designated EHV charges'!$D:$P,11,FALSE)),"")</f>
        <v>10407.219999999999</v>
      </c>
      <c r="G113" s="195">
        <f>IFERROR(IF(VLOOKUP($A113,'Annex 2 Designated EHV charges'!$D:$P,12,FALSE)=0,"",VLOOKUP($A113,'Annex 2 Designated EHV charges'!$D:$P,12,FALSE)),"")</f>
        <v>0.05</v>
      </c>
      <c r="H113" s="195">
        <f>IFERROR(IF(VLOOKUP($A113,'Annex 2 Designated EHV charges'!$D:$P,13,FALSE)=0,"",VLOOKUP($A113,'Annex 2 Designated EHV charges'!$D:$P,13,FALSE)),"")</f>
        <v>0.05</v>
      </c>
    </row>
    <row r="114" spans="1:8" x14ac:dyDescent="0.2">
      <c r="A114" s="95" t="str" cm="1">
        <f t="array" ref="A114">IFERROR(INDEX('Annex 2 Designated EHV charges'!$D$10:$D$401, MATCH(0, IF(ISBLANK('Annex 2 Designated EHV charges'!$D$10:$D$401),1, COUNTIF(A$4:$A113, 'Annex 2 Designated EHV charges'!$D$10:$D$401)), 0)),"")</f>
        <v>GLASSM</v>
      </c>
      <c r="B114" s="94">
        <f>IF($A114="","",VLOOKUP($A114,'Annex 2 Designated EHV charges'!$D:$O,2,0))</f>
        <v>709</v>
      </c>
      <c r="C114" s="95">
        <f>IF($A114="","",VLOOKUP($A114,'Annex 2 Designated EHV charges'!$D:$O,3,0))</f>
        <v>1030024800447</v>
      </c>
      <c r="D114" s="94" t="str">
        <f>IF($A114="","",VLOOKUP($A114,'Annex 2 Designated EHV charges'!$D:$O,4,0))</f>
        <v>GLASSM</v>
      </c>
      <c r="E114" s="96" t="str">
        <f>IFERROR(IF(VLOOKUP($A114,'Annex 2 Designated EHV charges'!$D:$P,10,FALSE)=0,"",VLOOKUP($A114,'Annex 2 Designated EHV charges'!$D:$P,10,FALSE)),"")</f>
        <v/>
      </c>
      <c r="F114" s="195" t="str">
        <f>IFERROR(IF(VLOOKUP($A114,'Annex 2 Designated EHV charges'!$D:$P,11,FALSE)=0,"",VLOOKUP($A114,'Annex 2 Designated EHV charges'!$D:$P,11,FALSE)),"")</f>
        <v/>
      </c>
      <c r="G114" s="195" t="str">
        <f>IFERROR(IF(VLOOKUP($A114,'Annex 2 Designated EHV charges'!$D:$P,12,FALSE)=0,"",VLOOKUP($A114,'Annex 2 Designated EHV charges'!$D:$P,12,FALSE)),"")</f>
        <v/>
      </c>
      <c r="H114" s="195" t="str">
        <f>IFERROR(IF(VLOOKUP($A114,'Annex 2 Designated EHV charges'!$D:$P,13,FALSE)=0,"",VLOOKUP($A114,'Annex 2 Designated EHV charges'!$D:$P,13,FALSE)),"")</f>
        <v/>
      </c>
    </row>
    <row r="115" spans="1:8" x14ac:dyDescent="0.2">
      <c r="A115" s="95" t="str" cm="1">
        <f t="array" ref="A115">IFERROR(INDEX('Annex 2 Designated EHV charges'!$D$10:$D$401, MATCH(0, IF(ISBLANK('Annex 2 Designated EHV charges'!$D$10:$D$401),1, COUNTIF(A$4:$A114, 'Annex 2 Designated EHV charges'!$D$10:$D$401)), 0)),"")</f>
        <v>GOOSFM</v>
      </c>
      <c r="B115" s="94">
        <f>IF($A115="","",VLOOKUP($A115,'Annex 2 Designated EHV charges'!$D:$O,2,0))</f>
        <v>442</v>
      </c>
      <c r="C115" s="95">
        <f>IF($A115="","",VLOOKUP($A115,'Annex 2 Designated EHV charges'!$D:$O,3,0))</f>
        <v>1050001727962</v>
      </c>
      <c r="D115" s="94" t="str">
        <f>IF($A115="","",VLOOKUP($A115,'Annex 2 Designated EHV charges'!$D:$O,4,0))</f>
        <v>GOOSFM</v>
      </c>
      <c r="E115" s="96" t="str">
        <f>IFERROR(IF(VLOOKUP($A115,'Annex 2 Designated EHV charges'!$D:$P,10,FALSE)=0,"",VLOOKUP($A115,'Annex 2 Designated EHV charges'!$D:$P,10,FALSE)),"")</f>
        <v/>
      </c>
      <c r="F115" s="195">
        <f>IFERROR(IF(VLOOKUP($A115,'Annex 2 Designated EHV charges'!$D:$P,11,FALSE)=0,"",VLOOKUP($A115,'Annex 2 Designated EHV charges'!$D:$P,11,FALSE)),"")</f>
        <v>4411.32</v>
      </c>
      <c r="G115" s="195">
        <f>IFERROR(IF(VLOOKUP($A115,'Annex 2 Designated EHV charges'!$D:$P,12,FALSE)=0,"",VLOOKUP($A115,'Annex 2 Designated EHV charges'!$D:$P,12,FALSE)),"")</f>
        <v>0.05</v>
      </c>
      <c r="H115" s="195">
        <f>IFERROR(IF(VLOOKUP($A115,'Annex 2 Designated EHV charges'!$D:$P,13,FALSE)=0,"",VLOOKUP($A115,'Annex 2 Designated EHV charges'!$D:$P,13,FALSE)),"")</f>
        <v>0.05</v>
      </c>
    </row>
    <row r="116" spans="1:8" x14ac:dyDescent="0.2">
      <c r="A116" s="95" t="str" cm="1">
        <f t="array" ref="A116">IFERROR(INDEX('Annex 2 Designated EHV charges'!$D$10:$D$401, MATCH(0, IF(ISBLANK('Annex 2 Designated EHV charges'!$D$10:$D$401),1, COUNTIF(A$4:$A115, 'Annex 2 Designated EHV charges'!$D$10:$D$401)), 0)),"")</f>
        <v>GOSFLD</v>
      </c>
      <c r="B116" s="94">
        <f>IF($A116="","",VLOOKUP($A116,'Annex 2 Designated EHV charges'!$D:$O,2,0))</f>
        <v>768</v>
      </c>
      <c r="C116" s="95">
        <f>IF($A116="","",VLOOKUP($A116,'Annex 2 Designated EHV charges'!$D:$O,3,0))</f>
        <v>1050000714207</v>
      </c>
      <c r="D116" s="94" t="str">
        <f>IF($A116="","",VLOOKUP($A116,'Annex 2 Designated EHV charges'!$D:$O,4,0))</f>
        <v>GOSFLD</v>
      </c>
      <c r="E116" s="96" t="str">
        <f>IFERROR(IF(VLOOKUP($A116,'Annex 2 Designated EHV charges'!$D:$P,10,FALSE)=0,"",VLOOKUP($A116,'Annex 2 Designated EHV charges'!$D:$P,10,FALSE)),"")</f>
        <v/>
      </c>
      <c r="F116" s="195">
        <f>IFERROR(IF(VLOOKUP($A116,'Annex 2 Designated EHV charges'!$D:$P,11,FALSE)=0,"",VLOOKUP($A116,'Annex 2 Designated EHV charges'!$D:$P,11,FALSE)),"")</f>
        <v>972.32</v>
      </c>
      <c r="G116" s="195">
        <f>IFERROR(IF(VLOOKUP($A116,'Annex 2 Designated EHV charges'!$D:$P,12,FALSE)=0,"",VLOOKUP($A116,'Annex 2 Designated EHV charges'!$D:$P,12,FALSE)),"")</f>
        <v>0.05</v>
      </c>
      <c r="H116" s="195">
        <f>IFERROR(IF(VLOOKUP($A116,'Annex 2 Designated EHV charges'!$D:$P,13,FALSE)=0,"",VLOOKUP($A116,'Annex 2 Designated EHV charges'!$D:$P,13,FALSE)),"")</f>
        <v>0.05</v>
      </c>
    </row>
    <row r="117" spans="1:8" x14ac:dyDescent="0.2">
      <c r="A117" s="95" t="str" cm="1">
        <f t="array" ref="A117">IFERROR(INDEX('Annex 2 Designated EHV charges'!$D$10:$D$401, MATCH(0, IF(ISBLANK('Annex 2 Designated EHV charges'!$D$10:$D$401),1, COUNTIF(A$4:$A116, 'Annex 2 Designated EHV charges'!$D$10:$D$401)), 0)),"")</f>
        <v>GREYSH</v>
      </c>
      <c r="B117" s="94">
        <f>IF($A117="","",VLOOKUP($A117,'Annex 2 Designated EHV charges'!$D:$O,2,0))</f>
        <v>443</v>
      </c>
      <c r="C117" s="95">
        <f>IF($A117="","",VLOOKUP($A117,'Annex 2 Designated EHV charges'!$D:$O,3,0))</f>
        <v>1050001391475</v>
      </c>
      <c r="D117" s="94" t="str">
        <f>IF($A117="","",VLOOKUP($A117,'Annex 2 Designated EHV charges'!$D:$O,4,0))</f>
        <v>GREYSH</v>
      </c>
      <c r="E117" s="96">
        <f>IFERROR(IF(VLOOKUP($A117,'Annex 2 Designated EHV charges'!$D:$P,10,FALSE)=0,"",VLOOKUP($A117,'Annex 2 Designated EHV charges'!$D:$P,10,FALSE)),"")</f>
        <v>-8.6389999999999993</v>
      </c>
      <c r="F117" s="195">
        <f>IFERROR(IF(VLOOKUP($A117,'Annex 2 Designated EHV charges'!$D:$P,11,FALSE)=0,"",VLOOKUP($A117,'Annex 2 Designated EHV charges'!$D:$P,11,FALSE)),"")</f>
        <v>4334.8999999999996</v>
      </c>
      <c r="G117" s="195">
        <f>IFERROR(IF(VLOOKUP($A117,'Annex 2 Designated EHV charges'!$D:$P,12,FALSE)=0,"",VLOOKUP($A117,'Annex 2 Designated EHV charges'!$D:$P,12,FALSE)),"")</f>
        <v>0.05</v>
      </c>
      <c r="H117" s="195">
        <f>IFERROR(IF(VLOOKUP($A117,'Annex 2 Designated EHV charges'!$D:$P,13,FALSE)=0,"",VLOOKUP($A117,'Annex 2 Designated EHV charges'!$D:$P,13,FALSE)),"")</f>
        <v>0.05</v>
      </c>
    </row>
    <row r="118" spans="1:8" x14ac:dyDescent="0.2">
      <c r="A118" s="95" t="str" cm="1">
        <f t="array" ref="A118">IFERROR(INDEX('Annex 2 Designated EHV charges'!$D$10:$D$401, MATCH(0, IF(ISBLANK('Annex 2 Designated EHV charges'!$D$10:$D$401),1, COUNTIF(A$4:$A117, 'Annex 2 Designated EHV charges'!$D$10:$D$401)), 0)),"")</f>
        <v>GRNDSF</v>
      </c>
      <c r="B118" s="94">
        <f>IF($A118="","",VLOOKUP($A118,'Annex 2 Designated EHV charges'!$D:$O,2,0))</f>
        <v>386</v>
      </c>
      <c r="C118" s="95">
        <f>IF($A118="","",VLOOKUP($A118,'Annex 2 Designated EHV charges'!$D:$O,3,0))</f>
        <v>1050003517030</v>
      </c>
      <c r="D118" s="94" t="str">
        <f>IF($A118="","",VLOOKUP($A118,'Annex 2 Designated EHV charges'!$D:$O,4,0))</f>
        <v>GRNDSF</v>
      </c>
      <c r="E118" s="96" t="str">
        <f>IFERROR(IF(VLOOKUP($A118,'Annex 2 Designated EHV charges'!$D:$P,10,FALSE)=0,"",VLOOKUP($A118,'Annex 2 Designated EHV charges'!$D:$P,10,FALSE)),"")</f>
        <v/>
      </c>
      <c r="F118" s="195">
        <f>IFERROR(IF(VLOOKUP($A118,'Annex 2 Designated EHV charges'!$D:$P,11,FALSE)=0,"",VLOOKUP($A118,'Annex 2 Designated EHV charges'!$D:$P,11,FALSE)),"")</f>
        <v>2447.29</v>
      </c>
      <c r="G118" s="195">
        <f>IFERROR(IF(VLOOKUP($A118,'Annex 2 Designated EHV charges'!$D:$P,12,FALSE)=0,"",VLOOKUP($A118,'Annex 2 Designated EHV charges'!$D:$P,12,FALSE)),"")</f>
        <v>0.05</v>
      </c>
      <c r="H118" s="195">
        <f>IFERROR(IF(VLOOKUP($A118,'Annex 2 Designated EHV charges'!$D:$P,13,FALSE)=0,"",VLOOKUP($A118,'Annex 2 Designated EHV charges'!$D:$P,13,FALSE)),"")</f>
        <v>0.05</v>
      </c>
    </row>
    <row r="119" spans="1:8" x14ac:dyDescent="0.2">
      <c r="A119" s="95" t="str" cm="1">
        <f t="array" ref="A119">IFERROR(INDEX('Annex 2 Designated EHV charges'!$D$10:$D$401, MATCH(0, IF(ISBLANK('Annex 2 Designated EHV charges'!$D$10:$D$401),1, COUNTIF(A$4:$A118, 'Annex 2 Designated EHV charges'!$D$10:$D$401)), 0)),"")</f>
        <v>GRNEND</v>
      </c>
      <c r="B119" s="94">
        <f>IF($A119="","",VLOOKUP($A119,'Annex 2 Designated EHV charges'!$D:$O,2,0))</f>
        <v>769</v>
      </c>
      <c r="C119" s="95">
        <f>IF($A119="","",VLOOKUP($A119,'Annex 2 Designated EHV charges'!$D:$O,3,0))</f>
        <v>1050000774224</v>
      </c>
      <c r="D119" s="94" t="str">
        <f>IF($A119="","",VLOOKUP($A119,'Annex 2 Designated EHV charges'!$D:$O,4,0))</f>
        <v>GRNEND</v>
      </c>
      <c r="E119" s="96" t="str">
        <f>IFERROR(IF(VLOOKUP($A119,'Annex 2 Designated EHV charges'!$D:$P,10,FALSE)=0,"",VLOOKUP($A119,'Annex 2 Designated EHV charges'!$D:$P,10,FALSE)),"")</f>
        <v/>
      </c>
      <c r="F119" s="195">
        <f>IFERROR(IF(VLOOKUP($A119,'Annex 2 Designated EHV charges'!$D:$P,11,FALSE)=0,"",VLOOKUP($A119,'Annex 2 Designated EHV charges'!$D:$P,11,FALSE)),"")</f>
        <v>8970.2800000000007</v>
      </c>
      <c r="G119" s="195">
        <f>IFERROR(IF(VLOOKUP($A119,'Annex 2 Designated EHV charges'!$D:$P,12,FALSE)=0,"",VLOOKUP($A119,'Annex 2 Designated EHV charges'!$D:$P,12,FALSE)),"")</f>
        <v>0.05</v>
      </c>
      <c r="H119" s="195">
        <f>IFERROR(IF(VLOOKUP($A119,'Annex 2 Designated EHV charges'!$D:$P,13,FALSE)=0,"",VLOOKUP($A119,'Annex 2 Designated EHV charges'!$D:$P,13,FALSE)),"")</f>
        <v>0.05</v>
      </c>
    </row>
    <row r="120" spans="1:8" x14ac:dyDescent="0.2">
      <c r="A120" s="95" t="str" cm="1">
        <f t="array" ref="A120">IFERROR(INDEX('Annex 2 Designated EHV charges'!$D$10:$D$401, MATCH(0, IF(ISBLANK('Annex 2 Designated EHV charges'!$D$10:$D$401),1, COUNTIF(A$4:$A119, 'Annex 2 Designated EHV charges'!$D$10:$D$401)), 0)),"")</f>
        <v>GRNFRM</v>
      </c>
      <c r="B120" s="94">
        <f>IF($A120="","",VLOOKUP($A120,'Annex 2 Designated EHV charges'!$D:$O,2,0))</f>
        <v>661</v>
      </c>
      <c r="C120" s="95">
        <f>IF($A120="","",VLOOKUP($A120,'Annex 2 Designated EHV charges'!$D:$O,3,0))</f>
        <v>1050001003257</v>
      </c>
      <c r="D120" s="94" t="str">
        <f>IF($A120="","",VLOOKUP($A120,'Annex 2 Designated EHV charges'!$D:$O,4,0))</f>
        <v>GRNFRM</v>
      </c>
      <c r="E120" s="96" t="str">
        <f>IFERROR(IF(VLOOKUP($A120,'Annex 2 Designated EHV charges'!$D:$P,10,FALSE)=0,"",VLOOKUP($A120,'Annex 2 Designated EHV charges'!$D:$P,10,FALSE)),"")</f>
        <v/>
      </c>
      <c r="F120" s="195">
        <f>IFERROR(IF(VLOOKUP($A120,'Annex 2 Designated EHV charges'!$D:$P,11,FALSE)=0,"",VLOOKUP($A120,'Annex 2 Designated EHV charges'!$D:$P,11,FALSE)),"")</f>
        <v>3742.86</v>
      </c>
      <c r="G120" s="195">
        <f>IFERROR(IF(VLOOKUP($A120,'Annex 2 Designated EHV charges'!$D:$P,12,FALSE)=0,"",VLOOKUP($A120,'Annex 2 Designated EHV charges'!$D:$P,12,FALSE)),"")</f>
        <v>0.05</v>
      </c>
      <c r="H120" s="195">
        <f>IFERROR(IF(VLOOKUP($A120,'Annex 2 Designated EHV charges'!$D:$P,13,FALSE)=0,"",VLOOKUP($A120,'Annex 2 Designated EHV charges'!$D:$P,13,FALSE)),"")</f>
        <v>0.05</v>
      </c>
    </row>
    <row r="121" spans="1:8" x14ac:dyDescent="0.2">
      <c r="A121" s="95" t="str" cm="1">
        <f t="array" ref="A121">IFERROR(INDEX('Annex 2 Designated EHV charges'!$D$10:$D$401, MATCH(0, IF(ISBLANK('Annex 2 Designated EHV charges'!$D$10:$D$401),1, COUNTIF(A$4:$A120, 'Annex 2 Designated EHV charges'!$D$10:$D$401)), 0)),"")</f>
        <v>GRNILM</v>
      </c>
      <c r="B121" s="94">
        <f>IF($A121="","",VLOOKUP($A121,'Annex 2 Designated EHV charges'!$D:$O,2,0))</f>
        <v>685</v>
      </c>
      <c r="C121" s="95">
        <f>IF($A121="","",VLOOKUP($A121,'Annex 2 Designated EHV charges'!$D:$O,3,0))</f>
        <v>1050001299895</v>
      </c>
      <c r="D121" s="94" t="str">
        <f>IF($A121="","",VLOOKUP($A121,'Annex 2 Designated EHV charges'!$D:$O,4,0))</f>
        <v>GRNILM</v>
      </c>
      <c r="E121" s="96" t="str">
        <f>IFERROR(IF(VLOOKUP($A121,'Annex 2 Designated EHV charges'!$D:$P,10,FALSE)=0,"",VLOOKUP($A121,'Annex 2 Designated EHV charges'!$D:$P,10,FALSE)),"")</f>
        <v/>
      </c>
      <c r="F121" s="195">
        <f>IFERROR(IF(VLOOKUP($A121,'Annex 2 Designated EHV charges'!$D:$P,11,FALSE)=0,"",VLOOKUP($A121,'Annex 2 Designated EHV charges'!$D:$P,11,FALSE)),"")</f>
        <v>1750.6</v>
      </c>
      <c r="G121" s="195">
        <f>IFERROR(IF(VLOOKUP($A121,'Annex 2 Designated EHV charges'!$D:$P,12,FALSE)=0,"",VLOOKUP($A121,'Annex 2 Designated EHV charges'!$D:$P,12,FALSE)),"")</f>
        <v>0.05</v>
      </c>
      <c r="H121" s="195">
        <f>IFERROR(IF(VLOOKUP($A121,'Annex 2 Designated EHV charges'!$D:$P,13,FALSE)=0,"",VLOOKUP($A121,'Annex 2 Designated EHV charges'!$D:$P,13,FALSE)),"")</f>
        <v>0.05</v>
      </c>
    </row>
    <row r="122" spans="1:8" x14ac:dyDescent="0.2">
      <c r="A122" s="95" t="str" cm="1">
        <f t="array" ref="A122">IFERROR(INDEX('Annex 2 Designated EHV charges'!$D$10:$D$401, MATCH(0, IF(ISBLANK('Annex 2 Designated EHV charges'!$D$10:$D$401),1, COUNTIF(A$4:$A121, 'Annex 2 Designated EHV charges'!$D$10:$D$401)), 0)),"")</f>
        <v>GRTYAR</v>
      </c>
      <c r="B122" s="94">
        <f>IF($A122="","",VLOOKUP($A122,'Annex 2 Designated EHV charges'!$D:$O,2,0))</f>
        <v>0</v>
      </c>
      <c r="C122" s="95" t="str">
        <f>IF($A122="","",VLOOKUP($A122,'Annex 2 Designated EHV charges'!$D:$O,3,0))</f>
        <v>MSID: 7111</v>
      </c>
      <c r="D122" s="94" t="str">
        <f>IF($A122="","",VLOOKUP($A122,'Annex 2 Designated EHV charges'!$D:$O,4,0))</f>
        <v>GRTYAR</v>
      </c>
      <c r="E122" s="96" t="str">
        <f>IFERROR(IF(VLOOKUP($A122,'Annex 2 Designated EHV charges'!$D:$P,10,FALSE)=0,"",VLOOKUP($A122,'Annex 2 Designated EHV charges'!$D:$P,10,FALSE)),"")</f>
        <v/>
      </c>
      <c r="F122" s="195" t="str">
        <f>IFERROR(IF(VLOOKUP($A122,'Annex 2 Designated EHV charges'!$D:$P,11,FALSE)=0,"",VLOOKUP($A122,'Annex 2 Designated EHV charges'!$D:$P,11,FALSE)),"")</f>
        <v/>
      </c>
      <c r="G122" s="195">
        <f>IFERROR(IF(VLOOKUP($A122,'Annex 2 Designated EHV charges'!$D:$P,12,FALSE)=0,"",VLOOKUP($A122,'Annex 2 Designated EHV charges'!$D:$P,12,FALSE)),"")</f>
        <v>0.05</v>
      </c>
      <c r="H122" s="195">
        <f>IFERROR(IF(VLOOKUP($A122,'Annex 2 Designated EHV charges'!$D:$P,13,FALSE)=0,"",VLOOKUP($A122,'Annex 2 Designated EHV charges'!$D:$P,13,FALSE)),"")</f>
        <v>0.05</v>
      </c>
    </row>
    <row r="123" spans="1:8" x14ac:dyDescent="0.2">
      <c r="A123" s="95" t="str" cm="1">
        <f t="array" ref="A123">IFERROR(INDEX('Annex 2 Designated EHV charges'!$D$10:$D$401, MATCH(0, IF(ISBLANK('Annex 2 Designated EHV charges'!$D$10:$D$401),1, COUNTIF(A$4:$A122, 'Annex 2 Designated EHV charges'!$D$10:$D$401)), 0)),"")</f>
        <v>GUNFL3</v>
      </c>
      <c r="B123" s="94">
        <f>IF($A123="","",VLOOKUP($A123,'Annex 2 Designated EHV charges'!$D:$O,2,0))</f>
        <v>0</v>
      </c>
      <c r="C123" s="95" t="str">
        <f>IF($A123="","",VLOOKUP($A123,'Annex 2 Designated EHV charges'!$D:$O,3,0))</f>
        <v>MSID: 7277</v>
      </c>
      <c r="D123" s="94" t="str">
        <f>IF($A123="","",VLOOKUP($A123,'Annex 2 Designated EHV charges'!$D:$O,4,0))</f>
        <v>GUNFL3</v>
      </c>
      <c r="E123" s="96" t="str">
        <f>IFERROR(IF(VLOOKUP($A123,'Annex 2 Designated EHV charges'!$D:$P,10,FALSE)=0,"",VLOOKUP($A123,'Annex 2 Designated EHV charges'!$D:$P,10,FALSE)),"")</f>
        <v/>
      </c>
      <c r="F123" s="195">
        <f>IFERROR(IF(VLOOKUP($A123,'Annex 2 Designated EHV charges'!$D:$P,11,FALSE)=0,"",VLOOKUP($A123,'Annex 2 Designated EHV charges'!$D:$P,11,FALSE)),"")</f>
        <v>389.67</v>
      </c>
      <c r="G123" s="195">
        <f>IFERROR(IF(VLOOKUP($A123,'Annex 2 Designated EHV charges'!$D:$P,12,FALSE)=0,"",VLOOKUP($A123,'Annex 2 Designated EHV charges'!$D:$P,12,FALSE)),"")</f>
        <v>0.05</v>
      </c>
      <c r="H123" s="195">
        <f>IFERROR(IF(VLOOKUP($A123,'Annex 2 Designated EHV charges'!$D:$P,13,FALSE)=0,"",VLOOKUP($A123,'Annex 2 Designated EHV charges'!$D:$P,13,FALSE)),"")</f>
        <v>0.05</v>
      </c>
    </row>
    <row r="124" spans="1:8" x14ac:dyDescent="0.2">
      <c r="A124" s="95" t="str" cm="1">
        <f t="array" ref="A124">IFERROR(INDEX('Annex 2 Designated EHV charges'!$D$10:$D$401, MATCH(0, IF(ISBLANK('Annex 2 Designated EHV charges'!$D$10:$D$401),1, COUNTIF(A$4:$A123, 'Annex 2 Designated EHV charges'!$D$10:$D$401)), 0)),"")</f>
        <v>GUNFLT</v>
      </c>
      <c r="B124" s="94">
        <f>IF($A124="","",VLOOKUP($A124,'Annex 2 Designated EHV charges'!$D:$O,2,0))</f>
        <v>0</v>
      </c>
      <c r="C124" s="95" t="str">
        <f>IF($A124="","",VLOOKUP($A124,'Annex 2 Designated EHV charges'!$D:$O,3,0))</f>
        <v>MSID: 7243</v>
      </c>
      <c r="D124" s="94" t="str">
        <f>IF($A124="","",VLOOKUP($A124,'Annex 2 Designated EHV charges'!$D:$O,4,0))</f>
        <v>GUNFLT</v>
      </c>
      <c r="E124" s="96" t="str">
        <f>IFERROR(IF(VLOOKUP($A124,'Annex 2 Designated EHV charges'!$D:$P,10,FALSE)=0,"",VLOOKUP($A124,'Annex 2 Designated EHV charges'!$D:$P,10,FALSE)),"")</f>
        <v/>
      </c>
      <c r="F124" s="195" t="str">
        <f>IFERROR(IF(VLOOKUP($A124,'Annex 2 Designated EHV charges'!$D:$P,11,FALSE)=0,"",VLOOKUP($A124,'Annex 2 Designated EHV charges'!$D:$P,11,FALSE)),"")</f>
        <v/>
      </c>
      <c r="G124" s="195" t="str">
        <f>IFERROR(IF(VLOOKUP($A124,'Annex 2 Designated EHV charges'!$D:$P,12,FALSE)=0,"",VLOOKUP($A124,'Annex 2 Designated EHV charges'!$D:$P,12,FALSE)),"")</f>
        <v/>
      </c>
      <c r="H124" s="195" t="str">
        <f>IFERROR(IF(VLOOKUP($A124,'Annex 2 Designated EHV charges'!$D:$P,13,FALSE)=0,"",VLOOKUP($A124,'Annex 2 Designated EHV charges'!$D:$P,13,FALSE)),"")</f>
        <v/>
      </c>
    </row>
    <row r="125" spans="1:8" x14ac:dyDescent="0.2">
      <c r="A125" s="95" t="str" cm="1">
        <f t="array" ref="A125">IFERROR(INDEX('Annex 2 Designated EHV charges'!$D$10:$D$401, MATCH(0, IF(ISBLANK('Annex 2 Designated EHV charges'!$D$10:$D$401),1, COUNTIF(A$4:$A124, 'Annex 2 Designated EHV charges'!$D$10:$D$401)), 0)),"")</f>
        <v>HALEBS</v>
      </c>
      <c r="B125" s="94">
        <f>IF($A125="","",VLOOKUP($A125,'Annex 2 Designated EHV charges'!$D:$O,2,0))</f>
        <v>421</v>
      </c>
      <c r="C125" s="95">
        <f>IF($A125="","",VLOOKUP($A125,'Annex 2 Designated EHV charges'!$D:$O,3,0))</f>
        <v>1050002549096</v>
      </c>
      <c r="D125" s="94" t="str">
        <f>IF($A125="","",VLOOKUP($A125,'Annex 2 Designated EHV charges'!$D:$O,4,0))</f>
        <v>HALEBS</v>
      </c>
      <c r="E125" s="96">
        <f>IFERROR(IF(VLOOKUP($A125,'Annex 2 Designated EHV charges'!$D:$P,10,FALSE)=0,"",VLOOKUP($A125,'Annex 2 Designated EHV charges'!$D:$P,10,FALSE)),"")</f>
        <v>-1.4059999999999999</v>
      </c>
      <c r="F125" s="195">
        <f>IFERROR(IF(VLOOKUP($A125,'Annex 2 Designated EHV charges'!$D:$P,11,FALSE)=0,"",VLOOKUP($A125,'Annex 2 Designated EHV charges'!$D:$P,11,FALSE)),"")</f>
        <v>1937.07</v>
      </c>
      <c r="G125" s="195">
        <f>IFERROR(IF(VLOOKUP($A125,'Annex 2 Designated EHV charges'!$D:$P,12,FALSE)=0,"",VLOOKUP($A125,'Annex 2 Designated EHV charges'!$D:$P,12,FALSE)),"")</f>
        <v>0.05</v>
      </c>
      <c r="H125" s="195">
        <f>IFERROR(IF(VLOOKUP($A125,'Annex 2 Designated EHV charges'!$D:$P,13,FALSE)=0,"",VLOOKUP($A125,'Annex 2 Designated EHV charges'!$D:$P,13,FALSE)),"")</f>
        <v>0.05</v>
      </c>
    </row>
    <row r="126" spans="1:8" x14ac:dyDescent="0.2">
      <c r="A126" s="95" t="str" cm="1">
        <f t="array" ref="A126">IFERROR(INDEX('Annex 2 Designated EHV charges'!$D$10:$D$401, MATCH(0, IF(ISBLANK('Annex 2 Designated EHV charges'!$D$10:$D$401),1, COUNTIF(A$4:$A125, 'Annex 2 Designated EHV charges'!$D$10:$D$401)), 0)),"")</f>
        <v>HALLFM</v>
      </c>
      <c r="B126" s="94">
        <f>IF($A126="","",VLOOKUP($A126,'Annex 2 Designated EHV charges'!$D:$O,2,0))</f>
        <v>762</v>
      </c>
      <c r="C126" s="95">
        <f>IF($A126="","",VLOOKUP($A126,'Annex 2 Designated EHV charges'!$D:$O,3,0))</f>
        <v>1050000834228</v>
      </c>
      <c r="D126" s="94" t="str">
        <f>IF($A126="","",VLOOKUP($A126,'Annex 2 Designated EHV charges'!$D:$O,4,0))</f>
        <v>HALLFM</v>
      </c>
      <c r="E126" s="96" t="str">
        <f>IFERROR(IF(VLOOKUP($A126,'Annex 2 Designated EHV charges'!$D:$P,10,FALSE)=0,"",VLOOKUP($A126,'Annex 2 Designated EHV charges'!$D:$P,10,FALSE)),"")</f>
        <v/>
      </c>
      <c r="F126" s="195">
        <f>IFERROR(IF(VLOOKUP($A126,'Annex 2 Designated EHV charges'!$D:$P,11,FALSE)=0,"",VLOOKUP($A126,'Annex 2 Designated EHV charges'!$D:$P,11,FALSE)),"")</f>
        <v>3402.49</v>
      </c>
      <c r="G126" s="195">
        <f>IFERROR(IF(VLOOKUP($A126,'Annex 2 Designated EHV charges'!$D:$P,12,FALSE)=0,"",VLOOKUP($A126,'Annex 2 Designated EHV charges'!$D:$P,12,FALSE)),"")</f>
        <v>0.05</v>
      </c>
      <c r="H126" s="195">
        <f>IFERROR(IF(VLOOKUP($A126,'Annex 2 Designated EHV charges'!$D:$P,13,FALSE)=0,"",VLOOKUP($A126,'Annex 2 Designated EHV charges'!$D:$P,13,FALSE)),"")</f>
        <v>0.05</v>
      </c>
    </row>
    <row r="127" spans="1:8" x14ac:dyDescent="0.2">
      <c r="A127" s="95" t="str" cm="1">
        <f t="array" ref="A127">IFERROR(INDEX('Annex 2 Designated EHV charges'!$D$10:$D$401, MATCH(0, IF(ISBLANK('Annex 2 Designated EHV charges'!$D$10:$D$401),1, COUNTIF(A$4:$A126, 'Annex 2 Designated EHV charges'!$D$10:$D$401)), 0)),"")</f>
        <v>HDATTP</v>
      </c>
      <c r="B127" s="94">
        <f>IF($A127="","",VLOOKUP($A127,'Annex 2 Designated EHV charges'!$D:$O,2,0))</f>
        <v>444</v>
      </c>
      <c r="C127" s="95">
        <f>IF($A127="","",VLOOKUP($A127,'Annex 2 Designated EHV charges'!$D:$O,3,0))</f>
        <v>1050001197864</v>
      </c>
      <c r="D127" s="94" t="str">
        <f>IF($A127="","",VLOOKUP($A127,'Annex 2 Designated EHV charges'!$D:$O,4,0))</f>
        <v>HDATTP</v>
      </c>
      <c r="E127" s="96">
        <f>IFERROR(IF(VLOOKUP($A127,'Annex 2 Designated EHV charges'!$D:$P,10,FALSE)=0,"",VLOOKUP($A127,'Annex 2 Designated EHV charges'!$D:$P,10,FALSE)),"")</f>
        <v>-0.35199999999999998</v>
      </c>
      <c r="F127" s="195">
        <f>IFERROR(IF(VLOOKUP($A127,'Annex 2 Designated EHV charges'!$D:$P,11,FALSE)=0,"",VLOOKUP($A127,'Annex 2 Designated EHV charges'!$D:$P,11,FALSE)),"")</f>
        <v>1330.26</v>
      </c>
      <c r="G127" s="195">
        <f>IFERROR(IF(VLOOKUP($A127,'Annex 2 Designated EHV charges'!$D:$P,12,FALSE)=0,"",VLOOKUP($A127,'Annex 2 Designated EHV charges'!$D:$P,12,FALSE)),"")</f>
        <v>0.05</v>
      </c>
      <c r="H127" s="195">
        <f>IFERROR(IF(VLOOKUP($A127,'Annex 2 Designated EHV charges'!$D:$P,13,FALSE)=0,"",VLOOKUP($A127,'Annex 2 Designated EHV charges'!$D:$P,13,FALSE)),"")</f>
        <v>0.05</v>
      </c>
    </row>
    <row r="128" spans="1:8" x14ac:dyDescent="0.2">
      <c r="A128" s="95" t="str" cm="1">
        <f t="array" ref="A128">IFERROR(INDEX('Annex 2 Designated EHV charges'!$D$10:$D$401, MATCH(0, IF(ISBLANK('Annex 2 Designated EHV charges'!$D$10:$D$401),1, COUNTIF(A$4:$A127, 'Annex 2 Designated EHV charges'!$D$10:$D$401)), 0)),"")</f>
        <v>HDGMSF</v>
      </c>
      <c r="B128" s="94">
        <f>IF($A128="","",VLOOKUP($A128,'Annex 2 Designated EHV charges'!$D:$O,2,0))</f>
        <v>758</v>
      </c>
      <c r="C128" s="95">
        <f>IF($A128="","",VLOOKUP($A128,'Annex 2 Designated EHV charges'!$D:$O,3,0))</f>
        <v>1050000521735</v>
      </c>
      <c r="D128" s="94" t="str">
        <f>IF($A128="","",VLOOKUP($A128,'Annex 2 Designated EHV charges'!$D:$O,4,0))</f>
        <v>HDGMSF</v>
      </c>
      <c r="E128" s="96" t="str">
        <f>IFERROR(IF(VLOOKUP($A128,'Annex 2 Designated EHV charges'!$D:$P,10,FALSE)=0,"",VLOOKUP($A128,'Annex 2 Designated EHV charges'!$D:$P,10,FALSE)),"")</f>
        <v/>
      </c>
      <c r="F128" s="195">
        <f>IFERROR(IF(VLOOKUP($A128,'Annex 2 Designated EHV charges'!$D:$P,11,FALSE)=0,"",VLOOKUP($A128,'Annex 2 Designated EHV charges'!$D:$P,11,FALSE)),"")</f>
        <v>1037.01</v>
      </c>
      <c r="G128" s="195">
        <f>IFERROR(IF(VLOOKUP($A128,'Annex 2 Designated EHV charges'!$D:$P,12,FALSE)=0,"",VLOOKUP($A128,'Annex 2 Designated EHV charges'!$D:$P,12,FALSE)),"")</f>
        <v>0.05</v>
      </c>
      <c r="H128" s="195">
        <f>IFERROR(IF(VLOOKUP($A128,'Annex 2 Designated EHV charges'!$D:$P,13,FALSE)=0,"",VLOOKUP($A128,'Annex 2 Designated EHV charges'!$D:$P,13,FALSE)),"")</f>
        <v>0.05</v>
      </c>
    </row>
    <row r="129" spans="1:8" x14ac:dyDescent="0.2">
      <c r="A129" s="95" t="str" cm="1">
        <f t="array" ref="A129">IFERROR(INDEX('Annex 2 Designated EHV charges'!$D$10:$D$401, MATCH(0, IF(ISBLANK('Annex 2 Designated EHV charges'!$D$10:$D$401),1, COUNTIF(A$4:$A128, 'Annex 2 Designated EHV charges'!$D$10:$D$401)), 0)),"")</f>
        <v>HGHFLD</v>
      </c>
      <c r="B129" s="94">
        <f>IF($A129="","",VLOOKUP($A129,'Annex 2 Designated EHV charges'!$D:$O,2,0))</f>
        <v>759</v>
      </c>
      <c r="C129" s="95">
        <f>IF($A129="","",VLOOKUP($A129,'Annex 2 Designated EHV charges'!$D:$O,3,0))</f>
        <v>1050000563169</v>
      </c>
      <c r="D129" s="94" t="str">
        <f>IF($A129="","",VLOOKUP($A129,'Annex 2 Designated EHV charges'!$D:$O,4,0))</f>
        <v>HGHFLD</v>
      </c>
      <c r="E129" s="96" t="str">
        <f>IFERROR(IF(VLOOKUP($A129,'Annex 2 Designated EHV charges'!$D:$P,10,FALSE)=0,"",VLOOKUP($A129,'Annex 2 Designated EHV charges'!$D:$P,10,FALSE)),"")</f>
        <v/>
      </c>
      <c r="F129" s="195">
        <f>IFERROR(IF(VLOOKUP($A129,'Annex 2 Designated EHV charges'!$D:$P,11,FALSE)=0,"",VLOOKUP($A129,'Annex 2 Designated EHV charges'!$D:$P,11,FALSE)),"")</f>
        <v>3548.29</v>
      </c>
      <c r="G129" s="195">
        <f>IFERROR(IF(VLOOKUP($A129,'Annex 2 Designated EHV charges'!$D:$P,12,FALSE)=0,"",VLOOKUP($A129,'Annex 2 Designated EHV charges'!$D:$P,12,FALSE)),"")</f>
        <v>0.05</v>
      </c>
      <c r="H129" s="195">
        <f>IFERROR(IF(VLOOKUP($A129,'Annex 2 Designated EHV charges'!$D:$P,13,FALSE)=0,"",VLOOKUP($A129,'Annex 2 Designated EHV charges'!$D:$P,13,FALSE)),"")</f>
        <v>0.05</v>
      </c>
    </row>
    <row r="130" spans="1:8" x14ac:dyDescent="0.2">
      <c r="A130" s="95" t="str" cm="1">
        <f t="array" ref="A130">IFERROR(INDEX('Annex 2 Designated EHV charges'!$D$10:$D$401, MATCH(0, IF(ISBLANK('Annex 2 Designated EHV charges'!$D$10:$D$401),1, COUNTIF(A$4:$A129, 'Annex 2 Designated EHV charges'!$D$10:$D$401)), 0)),"")</f>
        <v>HHFARM</v>
      </c>
      <c r="B130" s="94">
        <f>IF($A130="","",VLOOKUP($A130,'Annex 2 Designated EHV charges'!$D:$O,2,0))</f>
        <v>687</v>
      </c>
      <c r="C130" s="95">
        <f>IF($A130="","",VLOOKUP($A130,'Annex 2 Designated EHV charges'!$D:$O,3,0))</f>
        <v>1050001231460</v>
      </c>
      <c r="D130" s="94" t="str">
        <f>IF($A130="","",VLOOKUP($A130,'Annex 2 Designated EHV charges'!$D:$O,4,0))</f>
        <v>HHFARM</v>
      </c>
      <c r="E130" s="96" t="str">
        <f>IFERROR(IF(VLOOKUP($A130,'Annex 2 Designated EHV charges'!$D:$P,10,FALSE)=0,"",VLOOKUP($A130,'Annex 2 Designated EHV charges'!$D:$P,10,FALSE)),"")</f>
        <v/>
      </c>
      <c r="F130" s="195">
        <f>IFERROR(IF(VLOOKUP($A130,'Annex 2 Designated EHV charges'!$D:$P,11,FALSE)=0,"",VLOOKUP($A130,'Annex 2 Designated EHV charges'!$D:$P,11,FALSE)),"")</f>
        <v>1934.02</v>
      </c>
      <c r="G130" s="195">
        <f>IFERROR(IF(VLOOKUP($A130,'Annex 2 Designated EHV charges'!$D:$P,12,FALSE)=0,"",VLOOKUP($A130,'Annex 2 Designated EHV charges'!$D:$P,12,FALSE)),"")</f>
        <v>0.05</v>
      </c>
      <c r="H130" s="195">
        <f>IFERROR(IF(VLOOKUP($A130,'Annex 2 Designated EHV charges'!$D:$P,13,FALSE)=0,"",VLOOKUP($A130,'Annex 2 Designated EHV charges'!$D:$P,13,FALSE)),"")</f>
        <v>0.05</v>
      </c>
    </row>
    <row r="131" spans="1:8" x14ac:dyDescent="0.2">
      <c r="A131" s="95" t="str" cm="1">
        <f t="array" ref="A131">IFERROR(INDEX('Annex 2 Designated EHV charges'!$D$10:$D$401, MATCH(0, IF(ISBLANK('Annex 2 Designated EHV charges'!$D$10:$D$401),1, COUNTIF(A$4:$A130, 'Annex 2 Designated EHV charges'!$D$10:$D$401)), 0)),"")</f>
        <v>HOBACK</v>
      </c>
      <c r="B131" s="94">
        <f>IF($A131="","",VLOOKUP($A131,'Annex 2 Designated EHV charges'!$D:$O,2,0))</f>
        <v>770</v>
      </c>
      <c r="C131" s="95">
        <f>IF($A131="","",VLOOKUP($A131,'Annex 2 Designated EHV charges'!$D:$O,3,0))</f>
        <v>1050000698405</v>
      </c>
      <c r="D131" s="94" t="str">
        <f>IF($A131="","",VLOOKUP($A131,'Annex 2 Designated EHV charges'!$D:$O,4,0))</f>
        <v>HOBACK</v>
      </c>
      <c r="E131" s="96" t="str">
        <f>IFERROR(IF(VLOOKUP($A131,'Annex 2 Designated EHV charges'!$D:$P,10,FALSE)=0,"",VLOOKUP($A131,'Annex 2 Designated EHV charges'!$D:$P,10,FALSE)),"")</f>
        <v/>
      </c>
      <c r="F131" s="195">
        <f>IFERROR(IF(VLOOKUP($A131,'Annex 2 Designated EHV charges'!$D:$P,11,FALSE)=0,"",VLOOKUP($A131,'Annex 2 Designated EHV charges'!$D:$P,11,FALSE)),"")</f>
        <v>1003.29</v>
      </c>
      <c r="G131" s="195">
        <f>IFERROR(IF(VLOOKUP($A131,'Annex 2 Designated EHV charges'!$D:$P,12,FALSE)=0,"",VLOOKUP($A131,'Annex 2 Designated EHV charges'!$D:$P,12,FALSE)),"")</f>
        <v>0.05</v>
      </c>
      <c r="H131" s="195">
        <f>IFERROR(IF(VLOOKUP($A131,'Annex 2 Designated EHV charges'!$D:$P,13,FALSE)=0,"",VLOOKUP($A131,'Annex 2 Designated EHV charges'!$D:$P,13,FALSE)),"")</f>
        <v>0.05</v>
      </c>
    </row>
    <row r="132" spans="1:8" x14ac:dyDescent="0.2">
      <c r="A132" s="95" t="str" cm="1">
        <f t="array" ref="A132">IFERROR(INDEX('Annex 2 Designated EHV charges'!$D$10:$D$401, MATCH(0, IF(ISBLANK('Annex 2 Designated EHV charges'!$D$10:$D$401),1, COUNTIF(A$4:$A131, 'Annex 2 Designated EHV charges'!$D$10:$D$401)), 0)),"")</f>
        <v>HOLTON</v>
      </c>
      <c r="B132" s="94">
        <f>IF($A132="","",VLOOKUP($A132,'Annex 2 Designated EHV charges'!$D:$O,2,0))</f>
        <v>662</v>
      </c>
      <c r="C132" s="95">
        <f>IF($A132="","",VLOOKUP($A132,'Annex 2 Designated EHV charges'!$D:$O,3,0))</f>
        <v>1050000769127</v>
      </c>
      <c r="D132" s="94" t="str">
        <f>IF($A132="","",VLOOKUP($A132,'Annex 2 Designated EHV charges'!$D:$O,4,0))</f>
        <v>HOLTON</v>
      </c>
      <c r="E132" s="96" t="str">
        <f>IFERROR(IF(VLOOKUP($A132,'Annex 2 Designated EHV charges'!$D:$P,10,FALSE)=0,"",VLOOKUP($A132,'Annex 2 Designated EHV charges'!$D:$P,10,FALSE)),"")</f>
        <v/>
      </c>
      <c r="F132" s="195">
        <f>IFERROR(IF(VLOOKUP($A132,'Annex 2 Designated EHV charges'!$D:$P,11,FALSE)=0,"",VLOOKUP($A132,'Annex 2 Designated EHV charges'!$D:$P,11,FALSE)),"")</f>
        <v>1251.29</v>
      </c>
      <c r="G132" s="195">
        <f>IFERROR(IF(VLOOKUP($A132,'Annex 2 Designated EHV charges'!$D:$P,12,FALSE)=0,"",VLOOKUP($A132,'Annex 2 Designated EHV charges'!$D:$P,12,FALSE)),"")</f>
        <v>0.05</v>
      </c>
      <c r="H132" s="195">
        <f>IFERROR(IF(VLOOKUP($A132,'Annex 2 Designated EHV charges'!$D:$P,13,FALSE)=0,"",VLOOKUP($A132,'Annex 2 Designated EHV charges'!$D:$P,13,FALSE)),"")</f>
        <v>0.05</v>
      </c>
    </row>
    <row r="133" spans="1:8" x14ac:dyDescent="0.2">
      <c r="A133" s="95" t="str" cm="1">
        <f t="array" ref="A133">IFERROR(INDEX('Annex 2 Designated EHV charges'!$D$10:$D$401, MATCH(0, IF(ISBLANK('Annex 2 Designated EHV charges'!$D$10:$D$401),1, COUNTIF(A$4:$A132, 'Annex 2 Designated EHV charges'!$D$10:$D$401)), 0)),"")</f>
        <v>HONYSM</v>
      </c>
      <c r="B133" s="94">
        <f>IF($A133="","",VLOOKUP($A133,'Annex 2 Designated EHV charges'!$D:$O,2,0))</f>
        <v>663</v>
      </c>
      <c r="C133" s="95">
        <f>IF($A133="","",VLOOKUP($A133,'Annex 2 Designated EHV charges'!$D:$O,3,0))</f>
        <v>1050001036689</v>
      </c>
      <c r="D133" s="94" t="str">
        <f>IF($A133="","",VLOOKUP($A133,'Annex 2 Designated EHV charges'!$D:$O,4,0))</f>
        <v>HONYSM</v>
      </c>
      <c r="E133" s="96" t="str">
        <f>IFERROR(IF(VLOOKUP($A133,'Annex 2 Designated EHV charges'!$D:$P,10,FALSE)=0,"",VLOOKUP($A133,'Annex 2 Designated EHV charges'!$D:$P,10,FALSE)),"")</f>
        <v/>
      </c>
      <c r="F133" s="195">
        <f>IFERROR(IF(VLOOKUP($A133,'Annex 2 Designated EHV charges'!$D:$P,11,FALSE)=0,"",VLOOKUP($A133,'Annex 2 Designated EHV charges'!$D:$P,11,FALSE)),"")</f>
        <v>1019.61</v>
      </c>
      <c r="G133" s="195">
        <f>IFERROR(IF(VLOOKUP($A133,'Annex 2 Designated EHV charges'!$D:$P,12,FALSE)=0,"",VLOOKUP($A133,'Annex 2 Designated EHV charges'!$D:$P,12,FALSE)),"")</f>
        <v>0.05</v>
      </c>
      <c r="H133" s="195">
        <f>IFERROR(IF(VLOOKUP($A133,'Annex 2 Designated EHV charges'!$D:$P,13,FALSE)=0,"",VLOOKUP($A133,'Annex 2 Designated EHV charges'!$D:$P,13,FALSE)),"")</f>
        <v>0.05</v>
      </c>
    </row>
    <row r="134" spans="1:8" x14ac:dyDescent="0.2">
      <c r="A134" s="95" t="str" cm="1">
        <f t="array" ref="A134">IFERROR(INDEX('Annex 2 Designated EHV charges'!$D$10:$D$401, MATCH(0, IF(ISBLANK('Annex 2 Designated EHV charges'!$D$10:$D$401),1, COUNTIF(A$4:$A133, 'Annex 2 Designated EHV charges'!$D$10:$D$401)), 0)),"")</f>
        <v>HRMT_B</v>
      </c>
      <c r="B134" s="94">
        <f>IF($A134="","",VLOOKUP($A134,'Annex 2 Designated EHV charges'!$D:$O,2,0))</f>
        <v>445</v>
      </c>
      <c r="C134" s="95">
        <f>IF($A134="","",VLOOKUP($A134,'Annex 2 Designated EHV charges'!$D:$O,3,0))</f>
        <v>1050001324405</v>
      </c>
      <c r="D134" s="94" t="str">
        <f>IF($A134="","",VLOOKUP($A134,'Annex 2 Designated EHV charges'!$D:$O,4,0))</f>
        <v>HRMT_B</v>
      </c>
      <c r="E134" s="96">
        <f>IFERROR(IF(VLOOKUP($A134,'Annex 2 Designated EHV charges'!$D:$P,10,FALSE)=0,"",VLOOKUP($A134,'Annex 2 Designated EHV charges'!$D:$P,10,FALSE)),"")</f>
        <v>-0.11799999999999999</v>
      </c>
      <c r="F134" s="195">
        <f>IFERROR(IF(VLOOKUP($A134,'Annex 2 Designated EHV charges'!$D:$P,11,FALSE)=0,"",VLOOKUP($A134,'Annex 2 Designated EHV charges'!$D:$P,11,FALSE)),"")</f>
        <v>275.36</v>
      </c>
      <c r="G134" s="195">
        <f>IFERROR(IF(VLOOKUP($A134,'Annex 2 Designated EHV charges'!$D:$P,12,FALSE)=0,"",VLOOKUP($A134,'Annex 2 Designated EHV charges'!$D:$P,12,FALSE)),"")</f>
        <v>0.05</v>
      </c>
      <c r="H134" s="195">
        <f>IFERROR(IF(VLOOKUP($A134,'Annex 2 Designated EHV charges'!$D:$P,13,FALSE)=0,"",VLOOKUP($A134,'Annex 2 Designated EHV charges'!$D:$P,13,FALSE)),"")</f>
        <v>0.05</v>
      </c>
    </row>
    <row r="135" spans="1:8" x14ac:dyDescent="0.2">
      <c r="A135" s="95" t="str" cm="1">
        <f t="array" ref="A135">IFERROR(INDEX('Annex 2 Designated EHV charges'!$D$10:$D$401, MATCH(0, IF(ISBLANK('Annex 2 Designated EHV charges'!$D$10:$D$401),1, COUNTIF(A$4:$A134, 'Annex 2 Designated EHV charges'!$D$10:$D$401)), 0)),"")</f>
        <v>HRMT_P</v>
      </c>
      <c r="B135" s="94">
        <f>IF($A135="","",VLOOKUP($A135,'Annex 2 Designated EHV charges'!$D:$O,2,0))</f>
        <v>686</v>
      </c>
      <c r="C135" s="95">
        <f>IF($A135="","",VLOOKUP($A135,'Annex 2 Designated EHV charges'!$D:$O,3,0))</f>
        <v>1050001324423</v>
      </c>
      <c r="D135" s="94" t="str">
        <f>IF($A135="","",VLOOKUP($A135,'Annex 2 Designated EHV charges'!$D:$O,4,0))</f>
        <v>HRMT_P</v>
      </c>
      <c r="E135" s="96" t="str">
        <f>IFERROR(IF(VLOOKUP($A135,'Annex 2 Designated EHV charges'!$D:$P,10,FALSE)=0,"",VLOOKUP($A135,'Annex 2 Designated EHV charges'!$D:$P,10,FALSE)),"")</f>
        <v/>
      </c>
      <c r="F135" s="195">
        <f>IFERROR(IF(VLOOKUP($A135,'Annex 2 Designated EHV charges'!$D:$P,11,FALSE)=0,"",VLOOKUP($A135,'Annex 2 Designated EHV charges'!$D:$P,11,FALSE)),"")</f>
        <v>539.92999999999995</v>
      </c>
      <c r="G135" s="195">
        <f>IFERROR(IF(VLOOKUP($A135,'Annex 2 Designated EHV charges'!$D:$P,12,FALSE)=0,"",VLOOKUP($A135,'Annex 2 Designated EHV charges'!$D:$P,12,FALSE)),"")</f>
        <v>0.05</v>
      </c>
      <c r="H135" s="195">
        <f>IFERROR(IF(VLOOKUP($A135,'Annex 2 Designated EHV charges'!$D:$P,13,FALSE)=0,"",VLOOKUP($A135,'Annex 2 Designated EHV charges'!$D:$P,13,FALSE)),"")</f>
        <v>0.05</v>
      </c>
    </row>
    <row r="136" spans="1:8" ht="25.5" x14ac:dyDescent="0.2">
      <c r="A136" s="95" t="str" cm="1">
        <f t="array" ref="A136">IFERROR(INDEX('Annex 2 Designated EHV charges'!$D$10:$D$401, MATCH(0, IF(ISBLANK('Annex 2 Designated EHV charges'!$D$10:$D$401),1, COUNTIF(A$4:$A135, 'Annex 2 Designated EHV charges'!$D$10:$D$401)), 0)),"")</f>
        <v>HRSFEN</v>
      </c>
      <c r="B136" s="94">
        <f>IF($A136="","",VLOOKUP($A136,'Annex 2 Designated EHV charges'!$D:$O,2,0))</f>
        <v>689</v>
      </c>
      <c r="C136" s="95" t="str">
        <f>IF($A136="","",VLOOKUP($A136,'Annex 2 Designated EHV charges'!$D:$O,3,0))</f>
        <v>1050001041651;1050002366470</v>
      </c>
      <c r="D136" s="94" t="str">
        <f>IF($A136="","",VLOOKUP($A136,'Annex 2 Designated EHV charges'!$D:$O,4,0))</f>
        <v>HRSFEN</v>
      </c>
      <c r="E136" s="96">
        <f>IFERROR(IF(VLOOKUP($A136,'Annex 2 Designated EHV charges'!$D:$P,10,FALSE)=0,"",VLOOKUP($A136,'Annex 2 Designated EHV charges'!$D:$P,10,FALSE)),"")</f>
        <v>-0.32900000000000001</v>
      </c>
      <c r="F136" s="195">
        <f>IFERROR(IF(VLOOKUP($A136,'Annex 2 Designated EHV charges'!$D:$P,11,FALSE)=0,"",VLOOKUP($A136,'Annex 2 Designated EHV charges'!$D:$P,11,FALSE)),"")</f>
        <v>7641.63</v>
      </c>
      <c r="G136" s="195">
        <f>IFERROR(IF(VLOOKUP($A136,'Annex 2 Designated EHV charges'!$D:$P,12,FALSE)=0,"",VLOOKUP($A136,'Annex 2 Designated EHV charges'!$D:$P,12,FALSE)),"")</f>
        <v>0.05</v>
      </c>
      <c r="H136" s="195">
        <f>IFERROR(IF(VLOOKUP($A136,'Annex 2 Designated EHV charges'!$D:$P,13,FALSE)=0,"",VLOOKUP($A136,'Annex 2 Designated EHV charges'!$D:$P,13,FALSE)),"")</f>
        <v>0.05</v>
      </c>
    </row>
    <row r="137" spans="1:8" x14ac:dyDescent="0.2">
      <c r="A137" s="95" t="str" cm="1">
        <f t="array" ref="A137">IFERROR(INDEX('Annex 2 Designated EHV charges'!$D$10:$D$401, MATCH(0, IF(ISBLANK('Annex 2 Designated EHV charges'!$D$10:$D$401),1, COUNTIF(A$4:$A136, 'Annex 2 Designated EHV charges'!$D$10:$D$401)), 0)),"")</f>
        <v>HUTBAT</v>
      </c>
      <c r="B137" s="94">
        <f>IF($A137="","",VLOOKUP($A137,'Annex 2 Designated EHV charges'!$D:$O,2,0))</f>
        <v>0</v>
      </c>
      <c r="C137" s="95" t="str">
        <f>IF($A137="","",VLOOKUP($A137,'Annex 2 Designated EHV charges'!$D:$O,3,0))</f>
        <v>MSID: 7433</v>
      </c>
      <c r="D137" s="94" t="str">
        <f>IF($A137="","",VLOOKUP($A137,'Annex 2 Designated EHV charges'!$D:$O,4,0))</f>
        <v>HUTBAT</v>
      </c>
      <c r="E137" s="96">
        <f>IFERROR(IF(VLOOKUP($A137,'Annex 2 Designated EHV charges'!$D:$P,10,FALSE)=0,"",VLOOKUP($A137,'Annex 2 Designated EHV charges'!$D:$P,10,FALSE)),"")</f>
        <v>-1.8440000000000001</v>
      </c>
      <c r="F137" s="195">
        <f>IFERROR(IF(VLOOKUP($A137,'Annex 2 Designated EHV charges'!$D:$P,11,FALSE)=0,"",VLOOKUP($A137,'Annex 2 Designated EHV charges'!$D:$P,11,FALSE)),"")</f>
        <v>826.09</v>
      </c>
      <c r="G137" s="195">
        <f>IFERROR(IF(VLOOKUP($A137,'Annex 2 Designated EHV charges'!$D:$P,12,FALSE)=0,"",VLOOKUP($A137,'Annex 2 Designated EHV charges'!$D:$P,12,FALSE)),"")</f>
        <v>0.05</v>
      </c>
      <c r="H137" s="195">
        <f>IFERROR(IF(VLOOKUP($A137,'Annex 2 Designated EHV charges'!$D:$P,13,FALSE)=0,"",VLOOKUP($A137,'Annex 2 Designated EHV charges'!$D:$P,13,FALSE)),"")</f>
        <v>0.05</v>
      </c>
    </row>
    <row r="138" spans="1:8" x14ac:dyDescent="0.2">
      <c r="A138" s="95" t="str" cm="1">
        <f t="array" ref="A138">IFERROR(INDEX('Annex 2 Designated EHV charges'!$D$10:$D$401, MATCH(0, IF(ISBLANK('Annex 2 Designated EHV charges'!$D$10:$D$401),1, COUNTIF(A$4:$A137, 'Annex 2 Designated EHV charges'!$D$10:$D$401)), 0)),"")</f>
        <v>HYDESF</v>
      </c>
      <c r="B138" s="94">
        <f>IF($A138="","",VLOOKUP($A138,'Annex 2 Designated EHV charges'!$D:$O,2,0))</f>
        <v>450</v>
      </c>
      <c r="C138" s="95">
        <f>IF($A138="","",VLOOKUP($A138,'Annex 2 Designated EHV charges'!$D:$O,3,0))</f>
        <v>1050000759722</v>
      </c>
      <c r="D138" s="94" t="str">
        <f>IF($A138="","",VLOOKUP($A138,'Annex 2 Designated EHV charges'!$D:$O,4,0))</f>
        <v>HYDESF</v>
      </c>
      <c r="E138" s="96" t="str">
        <f>IFERROR(IF(VLOOKUP($A138,'Annex 2 Designated EHV charges'!$D:$P,10,FALSE)=0,"",VLOOKUP($A138,'Annex 2 Designated EHV charges'!$D:$P,10,FALSE)),"")</f>
        <v/>
      </c>
      <c r="F138" s="195">
        <f>IFERROR(IF(VLOOKUP($A138,'Annex 2 Designated EHV charges'!$D:$P,11,FALSE)=0,"",VLOOKUP($A138,'Annex 2 Designated EHV charges'!$D:$P,11,FALSE)),"")</f>
        <v>2445.23</v>
      </c>
      <c r="G138" s="195">
        <f>IFERROR(IF(VLOOKUP($A138,'Annex 2 Designated EHV charges'!$D:$P,12,FALSE)=0,"",VLOOKUP($A138,'Annex 2 Designated EHV charges'!$D:$P,12,FALSE)),"")</f>
        <v>0.05</v>
      </c>
      <c r="H138" s="195">
        <f>IFERROR(IF(VLOOKUP($A138,'Annex 2 Designated EHV charges'!$D:$P,13,FALSE)=0,"",VLOOKUP($A138,'Annex 2 Designated EHV charges'!$D:$P,13,FALSE)),"")</f>
        <v>0.05</v>
      </c>
    </row>
    <row r="139" spans="1:8" x14ac:dyDescent="0.2">
      <c r="A139" s="95" t="str" cm="1">
        <f t="array" ref="A139">IFERROR(INDEX('Annex 2 Designated EHV charges'!$D$10:$D$401, MATCH(0, IF(ISBLANK('Annex 2 Designated EHV charges'!$D$10:$D$401),1, COUNTIF(A$4:$A138, 'Annex 2 Designated EHV charges'!$D$10:$D$401)), 0)),"")</f>
        <v>ICGLTD</v>
      </c>
      <c r="B139" s="94">
        <f>IF($A139="","",VLOOKUP($A139,'Annex 2 Designated EHV charges'!$D:$O,2,0))</f>
        <v>649</v>
      </c>
      <c r="C139" s="95">
        <f>IF($A139="","",VLOOKUP($A139,'Annex 2 Designated EHV charges'!$D:$O,3,0))</f>
        <v>1050001431630</v>
      </c>
      <c r="D139" s="94" t="str">
        <f>IF($A139="","",VLOOKUP($A139,'Annex 2 Designated EHV charges'!$D:$O,4,0))</f>
        <v>ICGLTD</v>
      </c>
      <c r="E139" s="96">
        <f>IFERROR(IF(VLOOKUP($A139,'Annex 2 Designated EHV charges'!$D:$P,10,FALSE)=0,"",VLOOKUP($A139,'Annex 2 Designated EHV charges'!$D:$P,10,FALSE)),"")</f>
        <v>-1.6E-2</v>
      </c>
      <c r="F139" s="195">
        <f>IFERROR(IF(VLOOKUP($A139,'Annex 2 Designated EHV charges'!$D:$P,11,FALSE)=0,"",VLOOKUP($A139,'Annex 2 Designated EHV charges'!$D:$P,11,FALSE)),"")</f>
        <v>983.97</v>
      </c>
      <c r="G139" s="195">
        <f>IFERROR(IF(VLOOKUP($A139,'Annex 2 Designated EHV charges'!$D:$P,12,FALSE)=0,"",VLOOKUP($A139,'Annex 2 Designated EHV charges'!$D:$P,12,FALSE)),"")</f>
        <v>0.05</v>
      </c>
      <c r="H139" s="195">
        <f>IFERROR(IF(VLOOKUP($A139,'Annex 2 Designated EHV charges'!$D:$P,13,FALSE)=0,"",VLOOKUP($A139,'Annex 2 Designated EHV charges'!$D:$P,13,FALSE)),"")</f>
        <v>0.05</v>
      </c>
    </row>
    <row r="140" spans="1:8" x14ac:dyDescent="0.2">
      <c r="A140" s="95" t="str" cm="1">
        <f t="array" ref="A140">IFERROR(INDEX('Annex 2 Designated EHV charges'!$D$10:$D$401, MATCH(0, IF(ISBLANK('Annex 2 Designated EHV charges'!$D$10:$D$401),1, COUNTIF(A$4:$A139, 'Annex 2 Designated EHV charges'!$D$10:$D$401)), 0)),"")</f>
        <v>ILMEBS</v>
      </c>
      <c r="B140" s="94">
        <f>IF($A140="","",VLOOKUP($A140,'Annex 2 Designated EHV charges'!$D:$O,2,0))</f>
        <v>0</v>
      </c>
      <c r="C140" s="95" t="str">
        <f>IF($A140="","",VLOOKUP($A140,'Annex 2 Designated EHV charges'!$D:$O,3,0))</f>
        <v>MSID: 7538</v>
      </c>
      <c r="D140" s="94" t="str">
        <f>IF($A140="","",VLOOKUP($A140,'Annex 2 Designated EHV charges'!$D:$O,4,0))</f>
        <v>ILMEBS</v>
      </c>
      <c r="E140" s="96">
        <f>IFERROR(IF(VLOOKUP($A140,'Annex 2 Designated EHV charges'!$D:$P,10,FALSE)=0,"",VLOOKUP($A140,'Annex 2 Designated EHV charges'!$D:$P,10,FALSE)),"")</f>
        <v>-0.86799999999999999</v>
      </c>
      <c r="F140" s="195">
        <f>IFERROR(IF(VLOOKUP($A140,'Annex 2 Designated EHV charges'!$D:$P,11,FALSE)=0,"",VLOOKUP($A140,'Annex 2 Designated EHV charges'!$D:$P,11,FALSE)),"")</f>
        <v>2362.2399999999998</v>
      </c>
      <c r="G140" s="195">
        <f>IFERROR(IF(VLOOKUP($A140,'Annex 2 Designated EHV charges'!$D:$P,12,FALSE)=0,"",VLOOKUP($A140,'Annex 2 Designated EHV charges'!$D:$P,12,FALSE)),"")</f>
        <v>0.05</v>
      </c>
      <c r="H140" s="195">
        <f>IFERROR(IF(VLOOKUP($A140,'Annex 2 Designated EHV charges'!$D:$P,13,FALSE)=0,"",VLOOKUP($A140,'Annex 2 Designated EHV charges'!$D:$P,13,FALSE)),"")</f>
        <v>0.05</v>
      </c>
    </row>
    <row r="141" spans="1:8" x14ac:dyDescent="0.2">
      <c r="A141" s="95" t="str" cm="1">
        <f t="array" ref="A141">IFERROR(INDEX('Annex 2 Designated EHV charges'!$D$10:$D$401, MATCH(0, IF(ISBLANK('Annex 2 Designated EHV charges'!$D$10:$D$401),1, COUNTIF(A$4:$A140, 'Annex 2 Designated EHV charges'!$D$10:$D$401)), 0)),"")</f>
        <v>INGMSF</v>
      </c>
      <c r="B141" s="94">
        <f>IF($A141="","",VLOOKUP($A141,'Annex 2 Designated EHV charges'!$D:$O,2,0))</f>
        <v>416</v>
      </c>
      <c r="C141" s="95">
        <f>IF($A141="","",VLOOKUP($A141,'Annex 2 Designated EHV charges'!$D:$O,3,0))</f>
        <v>1050002077463</v>
      </c>
      <c r="D141" s="94" t="str">
        <f>IF($A141="","",VLOOKUP($A141,'Annex 2 Designated EHV charges'!$D:$O,4,0))</f>
        <v>INGMSF</v>
      </c>
      <c r="E141" s="96" t="str">
        <f>IFERROR(IF(VLOOKUP($A141,'Annex 2 Designated EHV charges'!$D:$P,10,FALSE)=0,"",VLOOKUP($A141,'Annex 2 Designated EHV charges'!$D:$P,10,FALSE)),"")</f>
        <v/>
      </c>
      <c r="F141" s="195">
        <f>IFERROR(IF(VLOOKUP($A141,'Annex 2 Designated EHV charges'!$D:$P,11,FALSE)=0,"",VLOOKUP($A141,'Annex 2 Designated EHV charges'!$D:$P,11,FALSE)),"")</f>
        <v>627.37</v>
      </c>
      <c r="G141" s="195">
        <f>IFERROR(IF(VLOOKUP($A141,'Annex 2 Designated EHV charges'!$D:$P,12,FALSE)=0,"",VLOOKUP($A141,'Annex 2 Designated EHV charges'!$D:$P,12,FALSE)),"")</f>
        <v>0.05</v>
      </c>
      <c r="H141" s="195">
        <f>IFERROR(IF(VLOOKUP($A141,'Annex 2 Designated EHV charges'!$D:$P,13,FALSE)=0,"",VLOOKUP($A141,'Annex 2 Designated EHV charges'!$D:$P,13,FALSE)),"")</f>
        <v>0.05</v>
      </c>
    </row>
    <row r="142" spans="1:8" x14ac:dyDescent="0.2">
      <c r="A142" s="95" t="str" cm="1">
        <f t="array" ref="A142">IFERROR(INDEX('Annex 2 Designated EHV charges'!$D$10:$D$401, MATCH(0, IF(ISBLANK('Annex 2 Designated EHV charges'!$D$10:$D$401),1, COUNTIF(A$4:$A141, 'Annex 2 Designated EHV charges'!$D$10:$D$401)), 0)),"")</f>
        <v>JKSLNE</v>
      </c>
      <c r="B142" s="94">
        <f>IF($A142="","",VLOOKUP($A142,'Annex 2 Designated EHV charges'!$D:$O,2,0))</f>
        <v>451</v>
      </c>
      <c r="C142" s="95">
        <f>IF($A142="","",VLOOKUP($A142,'Annex 2 Designated EHV charges'!$D:$O,3,0))</f>
        <v>1050000556046</v>
      </c>
      <c r="D142" s="94" t="str">
        <f>IF($A142="","",VLOOKUP($A142,'Annex 2 Designated EHV charges'!$D:$O,4,0))</f>
        <v>JKSLNE</v>
      </c>
      <c r="E142" s="96" t="str">
        <f>IFERROR(IF(VLOOKUP($A142,'Annex 2 Designated EHV charges'!$D:$P,10,FALSE)=0,"",VLOOKUP($A142,'Annex 2 Designated EHV charges'!$D:$P,10,FALSE)),"")</f>
        <v/>
      </c>
      <c r="F142" s="195">
        <f>IFERROR(IF(VLOOKUP($A142,'Annex 2 Designated EHV charges'!$D:$P,11,FALSE)=0,"",VLOOKUP($A142,'Annex 2 Designated EHV charges'!$D:$P,11,FALSE)),"")</f>
        <v>8508.4</v>
      </c>
      <c r="G142" s="195">
        <f>IFERROR(IF(VLOOKUP($A142,'Annex 2 Designated EHV charges'!$D:$P,12,FALSE)=0,"",VLOOKUP($A142,'Annex 2 Designated EHV charges'!$D:$P,12,FALSE)),"")</f>
        <v>0.05</v>
      </c>
      <c r="H142" s="195">
        <f>IFERROR(IF(VLOOKUP($A142,'Annex 2 Designated EHV charges'!$D:$P,13,FALSE)=0,"",VLOOKUP($A142,'Annex 2 Designated EHV charges'!$D:$P,13,FALSE)),"")</f>
        <v>0.05</v>
      </c>
    </row>
    <row r="143" spans="1:8" x14ac:dyDescent="0.2">
      <c r="A143" s="95" t="str" cm="1">
        <f t="array" ref="A143">IFERROR(INDEX('Annex 2 Designated EHV charges'!$D$10:$D$401, MATCH(0, IF(ISBLANK('Annex 2 Designated EHV charges'!$D$10:$D$401),1, COUNTIF(A$4:$A142, 'Annex 2 Designated EHV charges'!$D$10:$D$401)), 0)),"")</f>
        <v>KNGSLN</v>
      </c>
      <c r="B143" s="94">
        <f>IF($A143="","",VLOOKUP($A143,'Annex 2 Designated EHV charges'!$D:$O,2,0))</f>
        <v>0</v>
      </c>
      <c r="C143" s="95" t="str">
        <f>IF($A143="","",VLOOKUP($A143,'Annex 2 Designated EHV charges'!$D:$O,3,0))</f>
        <v>MSID: 7044</v>
      </c>
      <c r="D143" s="94" t="str">
        <f>IF($A143="","",VLOOKUP($A143,'Annex 2 Designated EHV charges'!$D:$O,4,0))</f>
        <v>KNGSLN</v>
      </c>
      <c r="E143" s="96">
        <f>IFERROR(IF(VLOOKUP($A143,'Annex 2 Designated EHV charges'!$D:$P,10,FALSE)=0,"",VLOOKUP($A143,'Annex 2 Designated EHV charges'!$D:$P,10,FALSE)),"")</f>
        <v>-6.8000000000000005E-2</v>
      </c>
      <c r="F143" s="195">
        <f>IFERROR(IF(VLOOKUP($A143,'Annex 2 Designated EHV charges'!$D:$P,11,FALSE)=0,"",VLOOKUP($A143,'Annex 2 Designated EHV charges'!$D:$P,11,FALSE)),"")</f>
        <v>1296.72</v>
      </c>
      <c r="G143" s="195">
        <f>IFERROR(IF(VLOOKUP($A143,'Annex 2 Designated EHV charges'!$D:$P,12,FALSE)=0,"",VLOOKUP($A143,'Annex 2 Designated EHV charges'!$D:$P,12,FALSE)),"")</f>
        <v>0.05</v>
      </c>
      <c r="H143" s="195">
        <f>IFERROR(IF(VLOOKUP($A143,'Annex 2 Designated EHV charges'!$D:$P,13,FALSE)=0,"",VLOOKUP($A143,'Annex 2 Designated EHV charges'!$D:$P,13,FALSE)),"")</f>
        <v>0.05</v>
      </c>
    </row>
    <row r="144" spans="1:8" x14ac:dyDescent="0.2">
      <c r="A144" s="95" t="str" cm="1">
        <f t="array" ref="A144">IFERROR(INDEX('Annex 2 Designated EHV charges'!$D$10:$D$401, MATCH(0, IF(ISBLANK('Annex 2 Designated EHV charges'!$D$10:$D$401),1, COUNTIF(A$4:$A143, 'Annex 2 Designated EHV charges'!$D$10:$D$401)), 0)),"")</f>
        <v>KNNING</v>
      </c>
      <c r="B144" s="94">
        <f>IF($A144="","",VLOOKUP($A144,'Annex 2 Designated EHV charges'!$D:$O,2,0))</f>
        <v>452</v>
      </c>
      <c r="C144" s="95">
        <f>IF($A144="","",VLOOKUP($A144,'Annex 2 Designated EHV charges'!$D:$O,3,0))</f>
        <v>1050000823467</v>
      </c>
      <c r="D144" s="94" t="str">
        <f>IF($A144="","",VLOOKUP($A144,'Annex 2 Designated EHV charges'!$D:$O,4,0))</f>
        <v>KNNING</v>
      </c>
      <c r="E144" s="96" t="str">
        <f>IFERROR(IF(VLOOKUP($A144,'Annex 2 Designated EHV charges'!$D:$P,10,FALSE)=0,"",VLOOKUP($A144,'Annex 2 Designated EHV charges'!$D:$P,10,FALSE)),"")</f>
        <v/>
      </c>
      <c r="F144" s="195">
        <f>IFERROR(IF(VLOOKUP($A144,'Annex 2 Designated EHV charges'!$D:$P,11,FALSE)=0,"",VLOOKUP($A144,'Annex 2 Designated EHV charges'!$D:$P,11,FALSE)),"")</f>
        <v>1045.81</v>
      </c>
      <c r="G144" s="195">
        <f>IFERROR(IF(VLOOKUP($A144,'Annex 2 Designated EHV charges'!$D:$P,12,FALSE)=0,"",VLOOKUP($A144,'Annex 2 Designated EHV charges'!$D:$P,12,FALSE)),"")</f>
        <v>0.05</v>
      </c>
      <c r="H144" s="195">
        <f>IFERROR(IF(VLOOKUP($A144,'Annex 2 Designated EHV charges'!$D:$P,13,FALSE)=0,"",VLOOKUP($A144,'Annex 2 Designated EHV charges'!$D:$P,13,FALSE)),"")</f>
        <v>0.05</v>
      </c>
    </row>
    <row r="145" spans="1:8" x14ac:dyDescent="0.2">
      <c r="A145" s="95" t="str" cm="1">
        <f t="array" ref="A145">IFERROR(INDEX('Annex 2 Designated EHV charges'!$D$10:$D$401, MATCH(0, IF(ISBLANK('Annex 2 Designated EHV charges'!$D$10:$D$401),1, COUNTIF(A$4:$A144, 'Annex 2 Designated EHV charges'!$D$10:$D$401)), 0)),"")</f>
        <v>LAYRSF</v>
      </c>
      <c r="B145" s="94">
        <f>IF($A145="","",VLOOKUP($A145,'Annex 2 Designated EHV charges'!$D:$O,2,0))</f>
        <v>0</v>
      </c>
      <c r="C145" s="95" t="str">
        <f>IF($A145="","",VLOOKUP($A145,'Annex 2 Designated EHV charges'!$D:$O,3,0))</f>
        <v>ENET</v>
      </c>
      <c r="D145" s="94" t="str">
        <f>IF($A145="","",VLOOKUP($A145,'Annex 2 Designated EHV charges'!$D:$O,4,0))</f>
        <v>LAYRSF</v>
      </c>
      <c r="E145" s="96" t="str">
        <f>IFERROR(IF(VLOOKUP($A145,'Annex 2 Designated EHV charges'!$D:$P,10,FALSE)=0,"",VLOOKUP($A145,'Annex 2 Designated EHV charges'!$D:$P,10,FALSE)),"")</f>
        <v/>
      </c>
      <c r="F145" s="195">
        <f>IFERROR(IF(VLOOKUP($A145,'Annex 2 Designated EHV charges'!$D:$P,11,FALSE)=0,"",VLOOKUP($A145,'Annex 2 Designated EHV charges'!$D:$P,11,FALSE)),"")</f>
        <v>674.17</v>
      </c>
      <c r="G145" s="195">
        <f>IFERROR(IF(VLOOKUP($A145,'Annex 2 Designated EHV charges'!$D:$P,12,FALSE)=0,"",VLOOKUP($A145,'Annex 2 Designated EHV charges'!$D:$P,12,FALSE)),"")</f>
        <v>0.05</v>
      </c>
      <c r="H145" s="195">
        <f>IFERROR(IF(VLOOKUP($A145,'Annex 2 Designated EHV charges'!$D:$P,13,FALSE)=0,"",VLOOKUP($A145,'Annex 2 Designated EHV charges'!$D:$P,13,FALSE)),"")</f>
        <v>0.05</v>
      </c>
    </row>
    <row r="146" spans="1:8" x14ac:dyDescent="0.2">
      <c r="A146" s="95" t="str" cm="1">
        <f t="array" ref="A146">IFERROR(INDEX('Annex 2 Designated EHV charges'!$D$10:$D$401, MATCH(0, IF(ISBLANK('Annex 2 Designated EHV charges'!$D$10:$D$401),1, COUNTIF(A$4:$A145, 'Annex 2 Designated EHV charges'!$D$10:$D$401)), 0)),"")</f>
        <v>LBZSNS</v>
      </c>
      <c r="B146" s="94">
        <f>IF($A146="","",VLOOKUP($A146,'Annex 2 Designated EHV charges'!$D:$O,2,0))</f>
        <v>664</v>
      </c>
      <c r="C146" s="95">
        <f>IF($A146="","",VLOOKUP($A146,'Annex 2 Designated EHV charges'!$D:$O,3,0))</f>
        <v>1050000687495</v>
      </c>
      <c r="D146" s="94" t="str">
        <f>IF($A146="","",VLOOKUP($A146,'Annex 2 Designated EHV charges'!$D:$O,4,0))</f>
        <v>LBZSNS</v>
      </c>
      <c r="E146" s="96">
        <f>IFERROR(IF(VLOOKUP($A146,'Annex 2 Designated EHV charges'!$D:$P,10,FALSE)=0,"",VLOOKUP($A146,'Annex 2 Designated EHV charges'!$D:$P,10,FALSE)),"")</f>
        <v>-2.379</v>
      </c>
      <c r="F146" s="195">
        <f>IFERROR(IF(VLOOKUP($A146,'Annex 2 Designated EHV charges'!$D:$P,11,FALSE)=0,"",VLOOKUP($A146,'Annex 2 Designated EHV charges'!$D:$P,11,FALSE)),"")</f>
        <v>327.81</v>
      </c>
      <c r="G146" s="195">
        <f>IFERROR(IF(VLOOKUP($A146,'Annex 2 Designated EHV charges'!$D:$P,12,FALSE)=0,"",VLOOKUP($A146,'Annex 2 Designated EHV charges'!$D:$P,12,FALSE)),"")</f>
        <v>0.05</v>
      </c>
      <c r="H146" s="195">
        <f>IFERROR(IF(VLOOKUP($A146,'Annex 2 Designated EHV charges'!$D:$P,13,FALSE)=0,"",VLOOKUP($A146,'Annex 2 Designated EHV charges'!$D:$P,13,FALSE)),"")</f>
        <v>0.05</v>
      </c>
    </row>
    <row r="147" spans="1:8" x14ac:dyDescent="0.2">
      <c r="A147" s="95" t="str" cm="1">
        <f t="array" ref="A147">IFERROR(INDEX('Annex 2 Designated EHV charges'!$D$10:$D$401, MATCH(0, IF(ISBLANK('Annex 2 Designated EHV charges'!$D$10:$D$401),1, COUNTIF(A$4:$A146, 'Annex 2 Designated EHV charges'!$D$10:$D$401)), 0)),"")</f>
        <v>LCKFRD</v>
      </c>
      <c r="B147" s="94">
        <f>IF($A147="","",VLOOKUP($A147,'Annex 2 Designated EHV charges'!$D:$O,2,0))</f>
        <v>760</v>
      </c>
      <c r="C147" s="95">
        <f>IF($A147="","",VLOOKUP($A147,'Annex 2 Designated EHV charges'!$D:$O,3,0))</f>
        <v>1050000578699</v>
      </c>
      <c r="D147" s="94" t="str">
        <f>IF($A147="","",VLOOKUP($A147,'Annex 2 Designated EHV charges'!$D:$O,4,0))</f>
        <v>LCKFRD</v>
      </c>
      <c r="E147" s="96" t="str">
        <f>IFERROR(IF(VLOOKUP($A147,'Annex 2 Designated EHV charges'!$D:$P,10,FALSE)=0,"",VLOOKUP($A147,'Annex 2 Designated EHV charges'!$D:$P,10,FALSE)),"")</f>
        <v/>
      </c>
      <c r="F147" s="195">
        <f>IFERROR(IF(VLOOKUP($A147,'Annex 2 Designated EHV charges'!$D:$P,11,FALSE)=0,"",VLOOKUP($A147,'Annex 2 Designated EHV charges'!$D:$P,11,FALSE)),"")</f>
        <v>493.87</v>
      </c>
      <c r="G147" s="195">
        <f>IFERROR(IF(VLOOKUP($A147,'Annex 2 Designated EHV charges'!$D:$P,12,FALSE)=0,"",VLOOKUP($A147,'Annex 2 Designated EHV charges'!$D:$P,12,FALSE)),"")</f>
        <v>0.05</v>
      </c>
      <c r="H147" s="195">
        <f>IFERROR(IF(VLOOKUP($A147,'Annex 2 Designated EHV charges'!$D:$P,13,FALSE)=0,"",VLOOKUP($A147,'Annex 2 Designated EHV charges'!$D:$P,13,FALSE)),"")</f>
        <v>0.05</v>
      </c>
    </row>
    <row r="148" spans="1:8" x14ac:dyDescent="0.2">
      <c r="A148" s="95" t="str" cm="1">
        <f t="array" ref="A148">IFERROR(INDEX('Annex 2 Designated EHV charges'!$D$10:$D$401, MATCH(0, IF(ISBLANK('Annex 2 Designated EHV charges'!$D$10:$D$401),1, COUNTIF(A$4:$A147, 'Annex 2 Designated EHV charges'!$D$10:$D$401)), 0)),"")</f>
        <v>LDAHSF</v>
      </c>
      <c r="B148" s="94">
        <f>IF($A148="","",VLOOKUP($A148,'Annex 2 Designated EHV charges'!$D:$O,2,0))</f>
        <v>468</v>
      </c>
      <c r="C148" s="95">
        <f>IF($A148="","",VLOOKUP($A148,'Annex 2 Designated EHV charges'!$D:$O,3,0))</f>
        <v>1030083805795</v>
      </c>
      <c r="D148" s="94" t="str">
        <f>IF($A148="","",VLOOKUP($A148,'Annex 2 Designated EHV charges'!$D:$O,4,0))</f>
        <v>LDAHSF</v>
      </c>
      <c r="E148" s="96" t="str">
        <f>IFERROR(IF(VLOOKUP($A148,'Annex 2 Designated EHV charges'!$D:$P,10,FALSE)=0,"",VLOOKUP($A148,'Annex 2 Designated EHV charges'!$D:$P,10,FALSE)),"")</f>
        <v/>
      </c>
      <c r="F148" s="195">
        <f>IFERROR(IF(VLOOKUP($A148,'Annex 2 Designated EHV charges'!$D:$P,11,FALSE)=0,"",VLOOKUP($A148,'Annex 2 Designated EHV charges'!$D:$P,11,FALSE)),"")</f>
        <v>1034.72</v>
      </c>
      <c r="G148" s="195">
        <f>IFERROR(IF(VLOOKUP($A148,'Annex 2 Designated EHV charges'!$D:$P,12,FALSE)=0,"",VLOOKUP($A148,'Annex 2 Designated EHV charges'!$D:$P,12,FALSE)),"")</f>
        <v>0.05</v>
      </c>
      <c r="H148" s="195">
        <f>IFERROR(IF(VLOOKUP($A148,'Annex 2 Designated EHV charges'!$D:$P,13,FALSE)=0,"",VLOOKUP($A148,'Annex 2 Designated EHV charges'!$D:$P,13,FALSE)),"")</f>
        <v>0.05</v>
      </c>
    </row>
    <row r="149" spans="1:8" x14ac:dyDescent="0.2">
      <c r="A149" s="95" t="str" cm="1">
        <f t="array" ref="A149">IFERROR(INDEX('Annex 2 Designated EHV charges'!$D$10:$D$401, MATCH(0, IF(ISBLANK('Annex 2 Designated EHV charges'!$D$10:$D$401),1, COUNTIF(A$4:$A148, 'Annex 2 Designated EHV charges'!$D$10:$D$401)), 0)),"")</f>
        <v>LEICSQ</v>
      </c>
      <c r="B149" s="94">
        <f>IF($A149="","",VLOOKUP($A149,'Annex 2 Designated EHV charges'!$D:$O,2,0))</f>
        <v>665</v>
      </c>
      <c r="C149" s="95">
        <f>IF($A149="","",VLOOKUP($A149,'Annex 2 Designated EHV charges'!$D:$O,3,0))</f>
        <v>1050001008690</v>
      </c>
      <c r="D149" s="94" t="str">
        <f>IF($A149="","",VLOOKUP($A149,'Annex 2 Designated EHV charges'!$D:$O,4,0))</f>
        <v>LEICSQ</v>
      </c>
      <c r="E149" s="96" t="str">
        <f>IFERROR(IF(VLOOKUP($A149,'Annex 2 Designated EHV charges'!$D:$P,10,FALSE)=0,"",VLOOKUP($A149,'Annex 2 Designated EHV charges'!$D:$P,10,FALSE)),"")</f>
        <v/>
      </c>
      <c r="F149" s="195">
        <f>IFERROR(IF(VLOOKUP($A149,'Annex 2 Designated EHV charges'!$D:$P,11,FALSE)=0,"",VLOOKUP($A149,'Annex 2 Designated EHV charges'!$D:$P,11,FALSE)),"")</f>
        <v>3633.55</v>
      </c>
      <c r="G149" s="195">
        <f>IFERROR(IF(VLOOKUP($A149,'Annex 2 Designated EHV charges'!$D:$P,12,FALSE)=0,"",VLOOKUP($A149,'Annex 2 Designated EHV charges'!$D:$P,12,FALSE)),"")</f>
        <v>0.05</v>
      </c>
      <c r="H149" s="195">
        <f>IFERROR(IF(VLOOKUP($A149,'Annex 2 Designated EHV charges'!$D:$P,13,FALSE)=0,"",VLOOKUP($A149,'Annex 2 Designated EHV charges'!$D:$P,13,FALSE)),"")</f>
        <v>0.05</v>
      </c>
    </row>
    <row r="150" spans="1:8" x14ac:dyDescent="0.2">
      <c r="A150" s="95" t="str" cm="1">
        <f t="array" ref="A150">IFERROR(INDEX('Annex 2 Designated EHV charges'!$D$10:$D$401, MATCH(0, IF(ISBLANK('Annex 2 Designated EHV charges'!$D$10:$D$401),1, COUNTIF(A$4:$A149, 'Annex 2 Designated EHV charges'!$D$10:$D$401)), 0)),"")</f>
        <v>LEXHSF</v>
      </c>
      <c r="B150" s="94">
        <f>IF($A150="","",VLOOKUP($A150,'Annex 2 Designated EHV charges'!$D:$O,2,0))</f>
        <v>763</v>
      </c>
      <c r="C150" s="95">
        <f>IF($A150="","",VLOOKUP($A150,'Annex 2 Designated EHV charges'!$D:$O,3,0))</f>
        <v>1030083805331</v>
      </c>
      <c r="D150" s="94" t="str">
        <f>IF($A150="","",VLOOKUP($A150,'Annex 2 Designated EHV charges'!$D:$O,4,0))</f>
        <v>LEXHSF</v>
      </c>
      <c r="E150" s="96" t="str">
        <f>IFERROR(IF(VLOOKUP($A150,'Annex 2 Designated EHV charges'!$D:$P,10,FALSE)=0,"",VLOOKUP($A150,'Annex 2 Designated EHV charges'!$D:$P,10,FALSE)),"")</f>
        <v/>
      </c>
      <c r="F150" s="195">
        <f>IFERROR(IF(VLOOKUP($A150,'Annex 2 Designated EHV charges'!$D:$P,11,FALSE)=0,"",VLOOKUP($A150,'Annex 2 Designated EHV charges'!$D:$P,11,FALSE)),"")</f>
        <v>1266.9100000000001</v>
      </c>
      <c r="G150" s="195">
        <f>IFERROR(IF(VLOOKUP($A150,'Annex 2 Designated EHV charges'!$D:$P,12,FALSE)=0,"",VLOOKUP($A150,'Annex 2 Designated EHV charges'!$D:$P,12,FALSE)),"")</f>
        <v>0.05</v>
      </c>
      <c r="H150" s="195">
        <f>IFERROR(IF(VLOOKUP($A150,'Annex 2 Designated EHV charges'!$D:$P,13,FALSE)=0,"",VLOOKUP($A150,'Annex 2 Designated EHV charges'!$D:$P,13,FALSE)),"")</f>
        <v>0.05</v>
      </c>
    </row>
    <row r="151" spans="1:8" x14ac:dyDescent="0.2">
      <c r="A151" s="95" t="str" cm="1">
        <f t="array" ref="A151">IFERROR(INDEX('Annex 2 Designated EHV charges'!$D$10:$D$401, MATCH(0, IF(ISBLANK('Annex 2 Designated EHV charges'!$D$10:$D$401),1, COUNTIF(A$4:$A150, 'Annex 2 Designated EHV charges'!$D$10:$D$401)), 0)),"")</f>
        <v>LIMKLN</v>
      </c>
      <c r="B151" s="94">
        <f>IF($A151="","",VLOOKUP($A151,'Annex 2 Designated EHV charges'!$D:$O,2,0))</f>
        <v>412</v>
      </c>
      <c r="C151" s="95">
        <f>IF($A151="","",VLOOKUP($A151,'Annex 2 Designated EHV charges'!$D:$O,3,0))</f>
        <v>1050002012049</v>
      </c>
      <c r="D151" s="94" t="str">
        <f>IF($A151="","",VLOOKUP($A151,'Annex 2 Designated EHV charges'!$D:$O,4,0))</f>
        <v>LIMKLN</v>
      </c>
      <c r="E151" s="96" t="str">
        <f>IFERROR(IF(VLOOKUP($A151,'Annex 2 Designated EHV charges'!$D:$P,10,FALSE)=0,"",VLOOKUP($A151,'Annex 2 Designated EHV charges'!$D:$P,10,FALSE)),"")</f>
        <v/>
      </c>
      <c r="F151" s="195">
        <f>IFERROR(IF(VLOOKUP($A151,'Annex 2 Designated EHV charges'!$D:$P,11,FALSE)=0,"",VLOOKUP($A151,'Annex 2 Designated EHV charges'!$D:$P,11,FALSE)),"")</f>
        <v>2022.05</v>
      </c>
      <c r="G151" s="195">
        <f>IFERROR(IF(VLOOKUP($A151,'Annex 2 Designated EHV charges'!$D:$P,12,FALSE)=0,"",VLOOKUP($A151,'Annex 2 Designated EHV charges'!$D:$P,12,FALSE)),"")</f>
        <v>0.05</v>
      </c>
      <c r="H151" s="195">
        <f>IFERROR(IF(VLOOKUP($A151,'Annex 2 Designated EHV charges'!$D:$P,13,FALSE)=0,"",VLOOKUP($A151,'Annex 2 Designated EHV charges'!$D:$P,13,FALSE)),"")</f>
        <v>0.05</v>
      </c>
    </row>
    <row r="152" spans="1:8" x14ac:dyDescent="0.2">
      <c r="A152" s="95" t="str" cm="1">
        <f t="array" ref="A152">IFERROR(INDEX('Annex 2 Designated EHV charges'!$D$10:$D$401, MATCH(0, IF(ISBLANK('Annex 2 Designated EHV charges'!$D$10:$D$401),1, COUNTIF(A$4:$A151, 'Annex 2 Designated EHV charges'!$D$10:$D$401)), 0)),"")</f>
        <v>LINKSF</v>
      </c>
      <c r="B152" s="94">
        <f>IF($A152="","",VLOOKUP($A152,'Annex 2 Designated EHV charges'!$D:$O,2,0))</f>
        <v>393</v>
      </c>
      <c r="C152" s="95">
        <f>IF($A152="","",VLOOKUP($A152,'Annex 2 Designated EHV charges'!$D:$O,3,0))</f>
        <v>1050003008949</v>
      </c>
      <c r="D152" s="94" t="str">
        <f>IF($A152="","",VLOOKUP($A152,'Annex 2 Designated EHV charges'!$D:$O,4,0))</f>
        <v>LINKSF</v>
      </c>
      <c r="E152" s="96" t="str">
        <f>IFERROR(IF(VLOOKUP($A152,'Annex 2 Designated EHV charges'!$D:$P,10,FALSE)=0,"",VLOOKUP($A152,'Annex 2 Designated EHV charges'!$D:$P,10,FALSE)),"")</f>
        <v/>
      </c>
      <c r="F152" s="195">
        <f>IFERROR(IF(VLOOKUP($A152,'Annex 2 Designated EHV charges'!$D:$P,11,FALSE)=0,"",VLOOKUP($A152,'Annex 2 Designated EHV charges'!$D:$P,11,FALSE)),"")</f>
        <v>6033.56</v>
      </c>
      <c r="G152" s="195">
        <f>IFERROR(IF(VLOOKUP($A152,'Annex 2 Designated EHV charges'!$D:$P,12,FALSE)=0,"",VLOOKUP($A152,'Annex 2 Designated EHV charges'!$D:$P,12,FALSE)),"")</f>
        <v>0.05</v>
      </c>
      <c r="H152" s="195">
        <f>IFERROR(IF(VLOOKUP($A152,'Annex 2 Designated EHV charges'!$D:$P,13,FALSE)=0,"",VLOOKUP($A152,'Annex 2 Designated EHV charges'!$D:$P,13,FALSE)),"")</f>
        <v>0.05</v>
      </c>
    </row>
    <row r="153" spans="1:8" x14ac:dyDescent="0.2">
      <c r="A153" s="95" t="str" cm="1">
        <f t="array" ref="A153">IFERROR(INDEX('Annex 2 Designated EHV charges'!$D$10:$D$401, MATCH(0, IF(ISBLANK('Annex 2 Designated EHV charges'!$D$10:$D$401),1, COUNTIF(A$4:$A152, 'Annex 2 Designated EHV charges'!$D$10:$D$401)), 0)),"")</f>
        <v>LITSTA</v>
      </c>
      <c r="B153" s="94">
        <f>IF($A153="","",VLOOKUP($A153,'Annex 2 Designated EHV charges'!$D:$O,2,0))</f>
        <v>648</v>
      </c>
      <c r="C153" s="95">
        <f>IF($A153="","",VLOOKUP($A153,'Annex 2 Designated EHV charges'!$D:$O,3,0))</f>
        <v>1050001858080</v>
      </c>
      <c r="D153" s="94" t="str">
        <f>IF($A153="","",VLOOKUP($A153,'Annex 2 Designated EHV charges'!$D:$O,4,0))</f>
        <v>LITSTA</v>
      </c>
      <c r="E153" s="96" t="str">
        <f>IFERROR(IF(VLOOKUP($A153,'Annex 2 Designated EHV charges'!$D:$P,10,FALSE)=0,"",VLOOKUP($A153,'Annex 2 Designated EHV charges'!$D:$P,10,FALSE)),"")</f>
        <v/>
      </c>
      <c r="F153" s="195">
        <f>IFERROR(IF(VLOOKUP($A153,'Annex 2 Designated EHV charges'!$D:$P,11,FALSE)=0,"",VLOOKUP($A153,'Annex 2 Designated EHV charges'!$D:$P,11,FALSE)),"")</f>
        <v>1381.62</v>
      </c>
      <c r="G153" s="195">
        <f>IFERROR(IF(VLOOKUP($A153,'Annex 2 Designated EHV charges'!$D:$P,12,FALSE)=0,"",VLOOKUP($A153,'Annex 2 Designated EHV charges'!$D:$P,12,FALSE)),"")</f>
        <v>0.05</v>
      </c>
      <c r="H153" s="195">
        <f>IFERROR(IF(VLOOKUP($A153,'Annex 2 Designated EHV charges'!$D:$P,13,FALSE)=0,"",VLOOKUP($A153,'Annex 2 Designated EHV charges'!$D:$P,13,FALSE)),"")</f>
        <v>0.05</v>
      </c>
    </row>
    <row r="154" spans="1:8" x14ac:dyDescent="0.2">
      <c r="A154" s="95" t="str" cm="1">
        <f t="array" ref="A154">IFERROR(INDEX('Annex 2 Designated EHV charges'!$D$10:$D$401, MATCH(0, IF(ISBLANK('Annex 2 Designated EHV charges'!$D$10:$D$401),1, COUNTIF(A$4:$A153, 'Annex 2 Designated EHV charges'!$D$10:$D$401)), 0)),"")</f>
        <v>LMEASF</v>
      </c>
      <c r="B154" s="94">
        <f>IF($A154="","",VLOOKUP($A154,'Annex 2 Designated EHV charges'!$D:$O,2,0))</f>
        <v>399</v>
      </c>
      <c r="C154" s="95">
        <f>IF($A154="","",VLOOKUP($A154,'Annex 2 Designated EHV charges'!$D:$O,3,0))</f>
        <v>1050003331185</v>
      </c>
      <c r="D154" s="94" t="str">
        <f>IF($A154="","",VLOOKUP($A154,'Annex 2 Designated EHV charges'!$D:$O,4,0))</f>
        <v>LMEASF</v>
      </c>
      <c r="E154" s="96" t="str">
        <f>IFERROR(IF(VLOOKUP($A154,'Annex 2 Designated EHV charges'!$D:$P,10,FALSE)=0,"",VLOOKUP($A154,'Annex 2 Designated EHV charges'!$D:$P,10,FALSE)),"")</f>
        <v/>
      </c>
      <c r="F154" s="195">
        <f>IFERROR(IF(VLOOKUP($A154,'Annex 2 Designated EHV charges'!$D:$P,11,FALSE)=0,"",VLOOKUP($A154,'Annex 2 Designated EHV charges'!$D:$P,11,FALSE)),"")</f>
        <v>1497.22</v>
      </c>
      <c r="G154" s="195">
        <f>IFERROR(IF(VLOOKUP($A154,'Annex 2 Designated EHV charges'!$D:$P,12,FALSE)=0,"",VLOOKUP($A154,'Annex 2 Designated EHV charges'!$D:$P,12,FALSE)),"")</f>
        <v>0.05</v>
      </c>
      <c r="H154" s="195">
        <f>IFERROR(IF(VLOOKUP($A154,'Annex 2 Designated EHV charges'!$D:$P,13,FALSE)=0,"",VLOOKUP($A154,'Annex 2 Designated EHV charges'!$D:$P,13,FALSE)),"")</f>
        <v>0.05</v>
      </c>
    </row>
    <row r="155" spans="1:8" x14ac:dyDescent="0.2">
      <c r="A155" s="95" t="str" cm="1">
        <f t="array" ref="A155">IFERROR(INDEX('Annex 2 Designated EHV charges'!$D$10:$D$401, MATCH(0, IF(ISBLANK('Annex 2 Designated EHV charges'!$D$10:$D$401),1, COUNTIF(A$4:$A154, 'Annex 2 Designated EHV charges'!$D$10:$D$401)), 0)),"")</f>
        <v>LNGFRD</v>
      </c>
      <c r="B155" s="94">
        <f>IF($A155="","",VLOOKUP($A155,'Annex 2 Designated EHV charges'!$D:$O,2,0))</f>
        <v>453</v>
      </c>
      <c r="C155" s="95">
        <f>IF($A155="","",VLOOKUP($A155,'Annex 2 Designated EHV charges'!$D:$O,3,0))</f>
        <v>1050000698247</v>
      </c>
      <c r="D155" s="94" t="str">
        <f>IF($A155="","",VLOOKUP($A155,'Annex 2 Designated EHV charges'!$D:$O,4,0))</f>
        <v>LNGFRD</v>
      </c>
      <c r="E155" s="96" t="str">
        <f>IFERROR(IF(VLOOKUP($A155,'Annex 2 Designated EHV charges'!$D:$P,10,FALSE)=0,"",VLOOKUP($A155,'Annex 2 Designated EHV charges'!$D:$P,10,FALSE)),"")</f>
        <v/>
      </c>
      <c r="F155" s="195">
        <f>IFERROR(IF(VLOOKUP($A155,'Annex 2 Designated EHV charges'!$D:$P,11,FALSE)=0,"",VLOOKUP($A155,'Annex 2 Designated EHV charges'!$D:$P,11,FALSE)),"")</f>
        <v>4422.54</v>
      </c>
      <c r="G155" s="195">
        <f>IFERROR(IF(VLOOKUP($A155,'Annex 2 Designated EHV charges'!$D:$P,12,FALSE)=0,"",VLOOKUP($A155,'Annex 2 Designated EHV charges'!$D:$P,12,FALSE)),"")</f>
        <v>0.05</v>
      </c>
      <c r="H155" s="195">
        <f>IFERROR(IF(VLOOKUP($A155,'Annex 2 Designated EHV charges'!$D:$P,13,FALSE)=0,"",VLOOKUP($A155,'Annex 2 Designated EHV charges'!$D:$P,13,FALSE)),"")</f>
        <v>0.05</v>
      </c>
    </row>
    <row r="156" spans="1:8" x14ac:dyDescent="0.2">
      <c r="A156" s="95" t="str" cm="1">
        <f t="array" ref="A156">IFERROR(INDEX('Annex 2 Designated EHV charges'!$D$10:$D$401, MATCH(0, IF(ISBLANK('Annex 2 Designated EHV charges'!$D$10:$D$401),1, COUNTIF(A$4:$A155, 'Annex 2 Designated EHV charges'!$D$10:$D$401)), 0)),"")</f>
        <v>LNGHO2</v>
      </c>
      <c r="B156" s="94">
        <f>IF($A156="","",VLOOKUP($A156,'Annex 2 Designated EHV charges'!$D:$O,2,0))</f>
        <v>455</v>
      </c>
      <c r="C156" s="95">
        <f>IF($A156="","",VLOOKUP($A156,'Annex 2 Designated EHV charges'!$D:$O,3,0))</f>
        <v>1050000802945</v>
      </c>
      <c r="D156" s="94" t="str">
        <f>IF($A156="","",VLOOKUP($A156,'Annex 2 Designated EHV charges'!$D:$O,4,0))</f>
        <v>LNGHO2</v>
      </c>
      <c r="E156" s="96" t="str">
        <f>IFERROR(IF(VLOOKUP($A156,'Annex 2 Designated EHV charges'!$D:$P,10,FALSE)=0,"",VLOOKUP($A156,'Annex 2 Designated EHV charges'!$D:$P,10,FALSE)),"")</f>
        <v/>
      </c>
      <c r="F156" s="195">
        <f>IFERROR(IF(VLOOKUP($A156,'Annex 2 Designated EHV charges'!$D:$P,11,FALSE)=0,"",VLOOKUP($A156,'Annex 2 Designated EHV charges'!$D:$P,11,FALSE)),"")</f>
        <v>2497.21</v>
      </c>
      <c r="G156" s="195">
        <f>IFERROR(IF(VLOOKUP($A156,'Annex 2 Designated EHV charges'!$D:$P,12,FALSE)=0,"",VLOOKUP($A156,'Annex 2 Designated EHV charges'!$D:$P,12,FALSE)),"")</f>
        <v>0.05</v>
      </c>
      <c r="H156" s="195">
        <f>IFERROR(IF(VLOOKUP($A156,'Annex 2 Designated EHV charges'!$D:$P,13,FALSE)=0,"",VLOOKUP($A156,'Annex 2 Designated EHV charges'!$D:$P,13,FALSE)),"")</f>
        <v>0.05</v>
      </c>
    </row>
    <row r="157" spans="1:8" x14ac:dyDescent="0.2">
      <c r="A157" s="95" t="str" cm="1">
        <f t="array" ref="A157">IFERROR(INDEX('Annex 2 Designated EHV charges'!$D$10:$D$401, MATCH(0, IF(ISBLANK('Annex 2 Designated EHV charges'!$D$10:$D$401),1, COUNTIF(A$4:$A156, 'Annex 2 Designated EHV charges'!$D$10:$D$401)), 0)),"")</f>
        <v>LNGHOE</v>
      </c>
      <c r="B157" s="94">
        <f>IF($A157="","",VLOOKUP($A157,'Annex 2 Designated EHV charges'!$D:$O,2,0))</f>
        <v>454</v>
      </c>
      <c r="C157" s="95">
        <f>IF($A157="","",VLOOKUP($A157,'Annex 2 Designated EHV charges'!$D:$O,3,0))</f>
        <v>1050000774118</v>
      </c>
      <c r="D157" s="94" t="str">
        <f>IF($A157="","",VLOOKUP($A157,'Annex 2 Designated EHV charges'!$D:$O,4,0))</f>
        <v>LNGHOE</v>
      </c>
      <c r="E157" s="96" t="str">
        <f>IFERROR(IF(VLOOKUP($A157,'Annex 2 Designated EHV charges'!$D:$P,10,FALSE)=0,"",VLOOKUP($A157,'Annex 2 Designated EHV charges'!$D:$P,10,FALSE)),"")</f>
        <v/>
      </c>
      <c r="F157" s="195">
        <f>IFERROR(IF(VLOOKUP($A157,'Annex 2 Designated EHV charges'!$D:$P,11,FALSE)=0,"",VLOOKUP($A157,'Annex 2 Designated EHV charges'!$D:$P,11,FALSE)),"")</f>
        <v>2469.77</v>
      </c>
      <c r="G157" s="195">
        <f>IFERROR(IF(VLOOKUP($A157,'Annex 2 Designated EHV charges'!$D:$P,12,FALSE)=0,"",VLOOKUP($A157,'Annex 2 Designated EHV charges'!$D:$P,12,FALSE)),"")</f>
        <v>0.05</v>
      </c>
      <c r="H157" s="195">
        <f>IFERROR(IF(VLOOKUP($A157,'Annex 2 Designated EHV charges'!$D:$P,13,FALSE)=0,"",VLOOKUP($A157,'Annex 2 Designated EHV charges'!$D:$P,13,FALSE)),"")</f>
        <v>0.05</v>
      </c>
    </row>
    <row r="158" spans="1:8" x14ac:dyDescent="0.2">
      <c r="A158" s="95" t="str" cm="1">
        <f t="array" ref="A158">IFERROR(INDEX('Annex 2 Designated EHV charges'!$D$10:$D$401, MATCH(0, IF(ISBLANK('Annex 2 Designated EHV charges'!$D$10:$D$401),1, COUNTIF(A$4:$A157, 'Annex 2 Designated EHV charges'!$D$10:$D$401)), 0)),"")</f>
        <v>LONWST</v>
      </c>
      <c r="B158" s="94">
        <f>IF($A158="","",VLOOKUP($A158,'Annex 2 Designated EHV charges'!$D:$O,2,0))</f>
        <v>704</v>
      </c>
      <c r="C158" s="95">
        <f>IF($A158="","",VLOOKUP($A158,'Annex 2 Designated EHV charges'!$D:$O,3,0))</f>
        <v>1023479109093</v>
      </c>
      <c r="D158" s="94" t="str">
        <f>IF($A158="","",VLOOKUP($A158,'Annex 2 Designated EHV charges'!$D:$O,4,0))</f>
        <v>LONWST</v>
      </c>
      <c r="E158" s="96">
        <f>IFERROR(IF(VLOOKUP($A158,'Annex 2 Designated EHV charges'!$D:$P,10,FALSE)=0,"",VLOOKUP($A158,'Annex 2 Designated EHV charges'!$D:$P,10,FALSE)),"")</f>
        <v>-0.25800000000000001</v>
      </c>
      <c r="F158" s="195">
        <f>IFERROR(IF(VLOOKUP($A158,'Annex 2 Designated EHV charges'!$D:$P,11,FALSE)=0,"",VLOOKUP($A158,'Annex 2 Designated EHV charges'!$D:$P,11,FALSE)),"")</f>
        <v>5784</v>
      </c>
      <c r="G158" s="195">
        <f>IFERROR(IF(VLOOKUP($A158,'Annex 2 Designated EHV charges'!$D:$P,12,FALSE)=0,"",VLOOKUP($A158,'Annex 2 Designated EHV charges'!$D:$P,12,FALSE)),"")</f>
        <v>0.05</v>
      </c>
      <c r="H158" s="195">
        <f>IFERROR(IF(VLOOKUP($A158,'Annex 2 Designated EHV charges'!$D:$P,13,FALSE)=0,"",VLOOKUP($A158,'Annex 2 Designated EHV charges'!$D:$P,13,FALSE)),"")</f>
        <v>0.05</v>
      </c>
    </row>
    <row r="159" spans="1:8" x14ac:dyDescent="0.2">
      <c r="A159" s="95" t="str" cm="1">
        <f t="array" ref="A159">IFERROR(INDEX('Annex 2 Designated EHV charges'!$D$10:$D$401, MATCH(0, IF(ISBLANK('Annex 2 Designated EHV charges'!$D$10:$D$401),1, COUNTIF(A$4:$A158, 'Annex 2 Designated EHV charges'!$D$10:$D$401)), 0)),"")</f>
        <v>LORDSW</v>
      </c>
      <c r="B159" s="94">
        <f>IF($A159="","",VLOOKUP($A159,'Annex 2 Designated EHV charges'!$D:$O,2,0))</f>
        <v>411</v>
      </c>
      <c r="C159" s="95">
        <f>IF($A159="","",VLOOKUP($A159,'Annex 2 Designated EHV charges'!$D:$O,3,0))</f>
        <v>1050001905679</v>
      </c>
      <c r="D159" s="94" t="str">
        <f>IF($A159="","",VLOOKUP($A159,'Annex 2 Designated EHV charges'!$D:$O,4,0))</f>
        <v>LORDSW</v>
      </c>
      <c r="E159" s="96">
        <f>IFERROR(IF(VLOOKUP($A159,'Annex 2 Designated EHV charges'!$D:$P,10,FALSE)=0,"",VLOOKUP($A159,'Annex 2 Designated EHV charges'!$D:$P,10,FALSE)),"")</f>
        <v>-2.8490000000000002</v>
      </c>
      <c r="F159" s="195">
        <f>IFERROR(IF(VLOOKUP($A159,'Annex 2 Designated EHV charges'!$D:$P,11,FALSE)=0,"",VLOOKUP($A159,'Annex 2 Designated EHV charges'!$D:$P,11,FALSE)),"")</f>
        <v>2539.34</v>
      </c>
      <c r="G159" s="195">
        <f>IFERROR(IF(VLOOKUP($A159,'Annex 2 Designated EHV charges'!$D:$P,12,FALSE)=0,"",VLOOKUP($A159,'Annex 2 Designated EHV charges'!$D:$P,12,FALSE)),"")</f>
        <v>0.05</v>
      </c>
      <c r="H159" s="195">
        <f>IFERROR(IF(VLOOKUP($A159,'Annex 2 Designated EHV charges'!$D:$P,13,FALSE)=0,"",VLOOKUP($A159,'Annex 2 Designated EHV charges'!$D:$P,13,FALSE)),"")</f>
        <v>0.05</v>
      </c>
    </row>
    <row r="160" spans="1:8" x14ac:dyDescent="0.2">
      <c r="A160" s="95" t="str" cm="1">
        <f t="array" ref="A160">IFERROR(INDEX('Annex 2 Designated EHV charges'!$D$10:$D$401, MATCH(0, IF(ISBLANK('Annex 2 Designated EHV charges'!$D$10:$D$401),1, COUNTIF(A$4:$A159, 'Annex 2 Designated EHV charges'!$D$10:$D$401)), 0)),"")</f>
        <v>LWRNCE</v>
      </c>
      <c r="B160" s="94">
        <f>IF($A160="","",VLOOKUP($A160,'Annex 2 Designated EHV charges'!$D:$O,2,0))</f>
        <v>667</v>
      </c>
      <c r="C160" s="95">
        <f>IF($A160="","",VLOOKUP($A160,'Annex 2 Designated EHV charges'!$D:$O,3,0))</f>
        <v>1050001008636</v>
      </c>
      <c r="D160" s="94" t="str">
        <f>IF($A160="","",VLOOKUP($A160,'Annex 2 Designated EHV charges'!$D:$O,4,0))</f>
        <v>LWRNCE</v>
      </c>
      <c r="E160" s="96" t="str">
        <f>IFERROR(IF(VLOOKUP($A160,'Annex 2 Designated EHV charges'!$D:$P,10,FALSE)=0,"",VLOOKUP($A160,'Annex 2 Designated EHV charges'!$D:$P,10,FALSE)),"")</f>
        <v/>
      </c>
      <c r="F160" s="195">
        <f>IFERROR(IF(VLOOKUP($A160,'Annex 2 Designated EHV charges'!$D:$P,11,FALSE)=0,"",VLOOKUP($A160,'Annex 2 Designated EHV charges'!$D:$P,11,FALSE)),"")</f>
        <v>4619.5</v>
      </c>
      <c r="G160" s="195">
        <f>IFERROR(IF(VLOOKUP($A160,'Annex 2 Designated EHV charges'!$D:$P,12,FALSE)=0,"",VLOOKUP($A160,'Annex 2 Designated EHV charges'!$D:$P,12,FALSE)),"")</f>
        <v>0.05</v>
      </c>
      <c r="H160" s="195">
        <f>IFERROR(IF(VLOOKUP($A160,'Annex 2 Designated EHV charges'!$D:$P,13,FALSE)=0,"",VLOOKUP($A160,'Annex 2 Designated EHV charges'!$D:$P,13,FALSE)),"")</f>
        <v>0.05</v>
      </c>
    </row>
    <row r="161" spans="1:8" x14ac:dyDescent="0.2">
      <c r="A161" s="95" t="str" cm="1">
        <f t="array" ref="A161">IFERROR(INDEX('Annex 2 Designated EHV charges'!$D$10:$D$401, MATCH(0, IF(ISBLANK('Annex 2 Designated EHV charges'!$D$10:$D$401),1, COUNTIF(A$4:$A160, 'Annex 2 Designated EHV charges'!$D$10:$D$401)), 0)),"")</f>
        <v>LYONSH</v>
      </c>
      <c r="B161" s="94">
        <f>IF($A161="","",VLOOKUP($A161,'Annex 2 Designated EHV charges'!$D:$O,2,0))</f>
        <v>688</v>
      </c>
      <c r="C161" s="95">
        <f>IF($A161="","",VLOOKUP($A161,'Annex 2 Designated EHV charges'!$D:$O,3,0))</f>
        <v>1050001205354</v>
      </c>
      <c r="D161" s="94" t="str">
        <f>IF($A161="","",VLOOKUP($A161,'Annex 2 Designated EHV charges'!$D:$O,4,0))</f>
        <v>LYONSH</v>
      </c>
      <c r="E161" s="96" t="str">
        <f>IFERROR(IF(VLOOKUP($A161,'Annex 2 Designated EHV charges'!$D:$P,10,FALSE)=0,"",VLOOKUP($A161,'Annex 2 Designated EHV charges'!$D:$P,10,FALSE)),"")</f>
        <v/>
      </c>
      <c r="F161" s="195">
        <f>IFERROR(IF(VLOOKUP($A161,'Annex 2 Designated EHV charges'!$D:$P,11,FALSE)=0,"",VLOOKUP($A161,'Annex 2 Designated EHV charges'!$D:$P,11,FALSE)),"")</f>
        <v>1135.8599999999999</v>
      </c>
      <c r="G161" s="195">
        <f>IFERROR(IF(VLOOKUP($A161,'Annex 2 Designated EHV charges'!$D:$P,12,FALSE)=0,"",VLOOKUP($A161,'Annex 2 Designated EHV charges'!$D:$P,12,FALSE)),"")</f>
        <v>0.05</v>
      </c>
      <c r="H161" s="195">
        <f>IFERROR(IF(VLOOKUP($A161,'Annex 2 Designated EHV charges'!$D:$P,13,FALSE)=0,"",VLOOKUP($A161,'Annex 2 Designated EHV charges'!$D:$P,13,FALSE)),"")</f>
        <v>0.05</v>
      </c>
    </row>
    <row r="162" spans="1:8" x14ac:dyDescent="0.2">
      <c r="A162" s="95" t="str" cm="1">
        <f t="array" ref="A162">IFERROR(INDEX('Annex 2 Designated EHV charges'!$D$10:$D$401, MATCH(0, IF(ISBLANK('Annex 2 Designated EHV charges'!$D$10:$D$401),1, COUNTIF(A$4:$A161, 'Annex 2 Designated EHV charges'!$D$10:$D$401)), 0)),"")</f>
        <v>MALDBS</v>
      </c>
      <c r="B162" s="94">
        <f>IF($A162="","",VLOOKUP($A162,'Annex 2 Designated EHV charges'!$D:$O,2,0))</f>
        <v>423</v>
      </c>
      <c r="C162" s="95">
        <f>IF($A162="","",VLOOKUP($A162,'Annex 2 Designated EHV charges'!$D:$O,3,0))</f>
        <v>1050002444199</v>
      </c>
      <c r="D162" s="94" t="str">
        <f>IF($A162="","",VLOOKUP($A162,'Annex 2 Designated EHV charges'!$D:$O,4,0))</f>
        <v>MALDBS</v>
      </c>
      <c r="E162" s="96">
        <f>IFERROR(IF(VLOOKUP($A162,'Annex 2 Designated EHV charges'!$D:$P,10,FALSE)=0,"",VLOOKUP($A162,'Annex 2 Designated EHV charges'!$D:$P,10,FALSE)),"")</f>
        <v>-1.214</v>
      </c>
      <c r="F162" s="195">
        <f>IFERROR(IF(VLOOKUP($A162,'Annex 2 Designated EHV charges'!$D:$P,11,FALSE)=0,"",VLOOKUP($A162,'Annex 2 Designated EHV charges'!$D:$P,11,FALSE)),"")</f>
        <v>923.58</v>
      </c>
      <c r="G162" s="195">
        <f>IFERROR(IF(VLOOKUP($A162,'Annex 2 Designated EHV charges'!$D:$P,12,FALSE)=0,"",VLOOKUP($A162,'Annex 2 Designated EHV charges'!$D:$P,12,FALSE)),"")</f>
        <v>0.05</v>
      </c>
      <c r="H162" s="195">
        <f>IFERROR(IF(VLOOKUP($A162,'Annex 2 Designated EHV charges'!$D:$P,13,FALSE)=0,"",VLOOKUP($A162,'Annex 2 Designated EHV charges'!$D:$P,13,FALSE)),"")</f>
        <v>0.05</v>
      </c>
    </row>
    <row r="163" spans="1:8" x14ac:dyDescent="0.2">
      <c r="A163" s="95" t="str" cm="1">
        <f t="array" ref="A163">IFERROR(INDEX('Annex 2 Designated EHV charges'!$D$10:$D$401, MATCH(0, IF(ISBLANK('Annex 2 Designated EHV charges'!$D$10:$D$401),1, COUNTIF(A$4:$A162, 'Annex 2 Designated EHV charges'!$D$10:$D$401)), 0)),"")</f>
        <v>MANFRM</v>
      </c>
      <c r="B163" s="94">
        <f>IF($A163="","",VLOOKUP($A163,'Annex 2 Designated EHV charges'!$D:$O,2,0))</f>
        <v>668</v>
      </c>
      <c r="C163" s="95">
        <f>IF($A163="","",VLOOKUP($A163,'Annex 2 Designated EHV charges'!$D:$O,3,0))</f>
        <v>1050000961370</v>
      </c>
      <c r="D163" s="94" t="str">
        <f>IF($A163="","",VLOOKUP($A163,'Annex 2 Designated EHV charges'!$D:$O,4,0))</f>
        <v>MANFRM</v>
      </c>
      <c r="E163" s="96" t="str">
        <f>IFERROR(IF(VLOOKUP($A163,'Annex 2 Designated EHV charges'!$D:$P,10,FALSE)=0,"",VLOOKUP($A163,'Annex 2 Designated EHV charges'!$D:$P,10,FALSE)),"")</f>
        <v/>
      </c>
      <c r="F163" s="195">
        <f>IFERROR(IF(VLOOKUP($A163,'Annex 2 Designated EHV charges'!$D:$P,11,FALSE)=0,"",VLOOKUP($A163,'Annex 2 Designated EHV charges'!$D:$P,11,FALSE)),"")</f>
        <v>7262.45</v>
      </c>
      <c r="G163" s="195">
        <f>IFERROR(IF(VLOOKUP($A163,'Annex 2 Designated EHV charges'!$D:$P,12,FALSE)=0,"",VLOOKUP($A163,'Annex 2 Designated EHV charges'!$D:$P,12,FALSE)),"")</f>
        <v>0.05</v>
      </c>
      <c r="H163" s="195">
        <f>IFERROR(IF(VLOOKUP($A163,'Annex 2 Designated EHV charges'!$D:$P,13,FALSE)=0,"",VLOOKUP($A163,'Annex 2 Designated EHV charges'!$D:$P,13,FALSE)),"")</f>
        <v>0.05</v>
      </c>
    </row>
    <row r="164" spans="1:8" x14ac:dyDescent="0.2">
      <c r="A164" s="95" t="str" cm="1">
        <f t="array" ref="A164">IFERROR(INDEX('Annex 2 Designated EHV charges'!$D$10:$D$401, MATCH(0, IF(ISBLANK('Annex 2 Designated EHV charges'!$D$10:$D$401),1, COUNTIF(A$4:$A163, 'Annex 2 Designated EHV charges'!$D$10:$D$401)), 0)),"")</f>
        <v>MANORF</v>
      </c>
      <c r="B164" s="94">
        <f>IF($A164="","",VLOOKUP($A164,'Annex 2 Designated EHV charges'!$D:$O,2,0))</f>
        <v>456</v>
      </c>
      <c r="C164" s="95">
        <f>IF($A164="","",VLOOKUP($A164,'Annex 2 Designated EHV charges'!$D:$O,3,0))</f>
        <v>1050000843659</v>
      </c>
      <c r="D164" s="94" t="str">
        <f>IF($A164="","",VLOOKUP($A164,'Annex 2 Designated EHV charges'!$D:$O,4,0))</f>
        <v>MANORF</v>
      </c>
      <c r="E164" s="96" t="str">
        <f>IFERROR(IF(VLOOKUP($A164,'Annex 2 Designated EHV charges'!$D:$P,10,FALSE)=0,"",VLOOKUP($A164,'Annex 2 Designated EHV charges'!$D:$P,10,FALSE)),"")</f>
        <v/>
      </c>
      <c r="F164" s="195">
        <f>IFERROR(IF(VLOOKUP($A164,'Annex 2 Designated EHV charges'!$D:$P,11,FALSE)=0,"",VLOOKUP($A164,'Annex 2 Designated EHV charges'!$D:$P,11,FALSE)),"")</f>
        <v>1449.34</v>
      </c>
      <c r="G164" s="195">
        <f>IFERROR(IF(VLOOKUP($A164,'Annex 2 Designated EHV charges'!$D:$P,12,FALSE)=0,"",VLOOKUP($A164,'Annex 2 Designated EHV charges'!$D:$P,12,FALSE)),"")</f>
        <v>0.05</v>
      </c>
      <c r="H164" s="195">
        <f>IFERROR(IF(VLOOKUP($A164,'Annex 2 Designated EHV charges'!$D:$P,13,FALSE)=0,"",VLOOKUP($A164,'Annex 2 Designated EHV charges'!$D:$P,13,FALSE)),"")</f>
        <v>0.05</v>
      </c>
    </row>
    <row r="165" spans="1:8" x14ac:dyDescent="0.2">
      <c r="A165" s="95" t="str" cm="1">
        <f t="array" ref="A165">IFERROR(INDEX('Annex 2 Designated EHV charges'!$D$10:$D$401, MATCH(0, IF(ISBLANK('Annex 2 Designated EHV charges'!$D$10:$D$401),1, COUNTIF(A$4:$A164, 'Annex 2 Designated EHV charges'!$D$10:$D$401)), 0)),"")</f>
        <v>MDLWCK</v>
      </c>
      <c r="B165" s="94">
        <f>IF($A165="","",VLOOKUP($A165,'Annex 2 Designated EHV charges'!$D:$O,2,0))</f>
        <v>711</v>
      </c>
      <c r="C165" s="95">
        <f>IF($A165="","",VLOOKUP($A165,'Annex 2 Designated EHV charges'!$D:$O,3,0))</f>
        <v>1050000543241</v>
      </c>
      <c r="D165" s="94" t="str">
        <f>IF($A165="","",VLOOKUP($A165,'Annex 2 Designated EHV charges'!$D:$O,4,0))</f>
        <v>MDLWCK</v>
      </c>
      <c r="E165" s="96" t="str">
        <f>IFERROR(IF(VLOOKUP($A165,'Annex 2 Designated EHV charges'!$D:$P,10,FALSE)=0,"",VLOOKUP($A165,'Annex 2 Designated EHV charges'!$D:$P,10,FALSE)),"")</f>
        <v/>
      </c>
      <c r="F165" s="195">
        <f>IFERROR(IF(VLOOKUP($A165,'Annex 2 Designated EHV charges'!$D:$P,11,FALSE)=0,"",VLOOKUP($A165,'Annex 2 Designated EHV charges'!$D:$P,11,FALSE)),"")</f>
        <v>7150.19</v>
      </c>
      <c r="G165" s="195">
        <f>IFERROR(IF(VLOOKUP($A165,'Annex 2 Designated EHV charges'!$D:$P,12,FALSE)=0,"",VLOOKUP($A165,'Annex 2 Designated EHV charges'!$D:$P,12,FALSE)),"")</f>
        <v>0.05</v>
      </c>
      <c r="H165" s="195">
        <f>IFERROR(IF(VLOOKUP($A165,'Annex 2 Designated EHV charges'!$D:$P,13,FALSE)=0,"",VLOOKUP($A165,'Annex 2 Designated EHV charges'!$D:$P,13,FALSE)),"")</f>
        <v>0.05</v>
      </c>
    </row>
    <row r="166" spans="1:8" x14ac:dyDescent="0.2">
      <c r="A166" s="95" t="str" cm="1">
        <f t="array" ref="A166">IFERROR(INDEX('Annex 2 Designated EHV charges'!$D$10:$D$401, MATCH(0, IF(ISBLANK('Annex 2 Designated EHV charges'!$D$10:$D$401),1, COUNTIF(A$4:$A165, 'Annex 2 Designated EHV charges'!$D$10:$D$401)), 0)),"")</f>
        <v>MDWFRM</v>
      </c>
      <c r="B166" s="94">
        <f>IF($A166="","",VLOOKUP($A166,'Annex 2 Designated EHV charges'!$D:$O,2,0))</f>
        <v>765</v>
      </c>
      <c r="C166" s="95">
        <f>IF($A166="","",VLOOKUP($A166,'Annex 2 Designated EHV charges'!$D:$O,3,0))</f>
        <v>1050000579266</v>
      </c>
      <c r="D166" s="94" t="str">
        <f>IF($A166="","",VLOOKUP($A166,'Annex 2 Designated EHV charges'!$D:$O,4,0))</f>
        <v>MDWFRM</v>
      </c>
      <c r="E166" s="96" t="str">
        <f>IFERROR(IF(VLOOKUP($A166,'Annex 2 Designated EHV charges'!$D:$P,10,FALSE)=0,"",VLOOKUP($A166,'Annex 2 Designated EHV charges'!$D:$P,10,FALSE)),"")</f>
        <v/>
      </c>
      <c r="F166" s="195">
        <f>IFERROR(IF(VLOOKUP($A166,'Annex 2 Designated EHV charges'!$D:$P,11,FALSE)=0,"",VLOOKUP($A166,'Annex 2 Designated EHV charges'!$D:$P,11,FALSE)),"")</f>
        <v>1065.0999999999999</v>
      </c>
      <c r="G166" s="195">
        <f>IFERROR(IF(VLOOKUP($A166,'Annex 2 Designated EHV charges'!$D:$P,12,FALSE)=0,"",VLOOKUP($A166,'Annex 2 Designated EHV charges'!$D:$P,12,FALSE)),"")</f>
        <v>0.05</v>
      </c>
      <c r="H166" s="195">
        <f>IFERROR(IF(VLOOKUP($A166,'Annex 2 Designated EHV charges'!$D:$P,13,FALSE)=0,"",VLOOKUP($A166,'Annex 2 Designated EHV charges'!$D:$P,13,FALSE)),"")</f>
        <v>0.05</v>
      </c>
    </row>
    <row r="167" spans="1:8" x14ac:dyDescent="0.2">
      <c r="A167" s="95" t="str" cm="1">
        <f t="array" ref="A167">IFERROR(INDEX('Annex 2 Designated EHV charges'!$D$10:$D$401, MATCH(0, IF(ISBLANK('Annex 2 Designated EHV charges'!$D$10:$D$401),1, COUNTIF(A$4:$A166, 'Annex 2 Designated EHV charges'!$D$10:$D$401)), 0)),"")</f>
        <v>MEDESF</v>
      </c>
      <c r="B167" s="94">
        <f>IF($A167="","",VLOOKUP($A167,'Annex 2 Designated EHV charges'!$D:$O,2,0))</f>
        <v>426</v>
      </c>
      <c r="C167" s="95">
        <f>IF($A167="","",VLOOKUP($A167,'Annex 2 Designated EHV charges'!$D:$O,3,0))</f>
        <v>1050003405882</v>
      </c>
      <c r="D167" s="94" t="str">
        <f>IF($A167="","",VLOOKUP($A167,'Annex 2 Designated EHV charges'!$D:$O,4,0))</f>
        <v>MEDESF</v>
      </c>
      <c r="E167" s="96" t="str">
        <f>IFERROR(IF(VLOOKUP($A167,'Annex 2 Designated EHV charges'!$D:$P,10,FALSE)=0,"",VLOOKUP($A167,'Annex 2 Designated EHV charges'!$D:$P,10,FALSE)),"")</f>
        <v/>
      </c>
      <c r="F167" s="195">
        <f>IFERROR(IF(VLOOKUP($A167,'Annex 2 Designated EHV charges'!$D:$P,11,FALSE)=0,"",VLOOKUP($A167,'Annex 2 Designated EHV charges'!$D:$P,11,FALSE)),"")</f>
        <v>12790.58</v>
      </c>
      <c r="G167" s="195">
        <f>IFERROR(IF(VLOOKUP($A167,'Annex 2 Designated EHV charges'!$D:$P,12,FALSE)=0,"",VLOOKUP($A167,'Annex 2 Designated EHV charges'!$D:$P,12,FALSE)),"")</f>
        <v>0.05</v>
      </c>
      <c r="H167" s="195">
        <f>IFERROR(IF(VLOOKUP($A167,'Annex 2 Designated EHV charges'!$D:$P,13,FALSE)=0,"",VLOOKUP($A167,'Annex 2 Designated EHV charges'!$D:$P,13,FALSE)),"")</f>
        <v>0.05</v>
      </c>
    </row>
    <row r="168" spans="1:8" x14ac:dyDescent="0.2">
      <c r="A168" s="95" t="str" cm="1">
        <f t="array" ref="A168">IFERROR(INDEX('Annex 2 Designated EHV charges'!$D$10:$D$401, MATCH(0, IF(ISBLANK('Annex 2 Designated EHV charges'!$D$10:$D$401),1, COUNTIF(A$4:$A167, 'Annex 2 Designated EHV charges'!$D$10:$D$401)), 0)),"")</f>
        <v>MELBRN</v>
      </c>
      <c r="B168" s="94">
        <f>IF($A168="","",VLOOKUP($A168,'Annex 2 Designated EHV charges'!$D:$O,2,0))</f>
        <v>469</v>
      </c>
      <c r="C168" s="95">
        <f>IF($A168="","",VLOOKUP($A168,'Annex 2 Designated EHV charges'!$D:$O,3,0))</f>
        <v>1050000810937</v>
      </c>
      <c r="D168" s="94" t="str">
        <f>IF($A168="","",VLOOKUP($A168,'Annex 2 Designated EHV charges'!$D:$O,4,0))</f>
        <v>MELBRN</v>
      </c>
      <c r="E168" s="96" t="str">
        <f>IFERROR(IF(VLOOKUP($A168,'Annex 2 Designated EHV charges'!$D:$P,10,FALSE)=0,"",VLOOKUP($A168,'Annex 2 Designated EHV charges'!$D:$P,10,FALSE)),"")</f>
        <v/>
      </c>
      <c r="F168" s="195">
        <f>IFERROR(IF(VLOOKUP($A168,'Annex 2 Designated EHV charges'!$D:$P,11,FALSE)=0,"",VLOOKUP($A168,'Annex 2 Designated EHV charges'!$D:$P,11,FALSE)),"")</f>
        <v>2004.71</v>
      </c>
      <c r="G168" s="195">
        <f>IFERROR(IF(VLOOKUP($A168,'Annex 2 Designated EHV charges'!$D:$P,12,FALSE)=0,"",VLOOKUP($A168,'Annex 2 Designated EHV charges'!$D:$P,12,FALSE)),"")</f>
        <v>0.05</v>
      </c>
      <c r="H168" s="195">
        <f>IFERROR(IF(VLOOKUP($A168,'Annex 2 Designated EHV charges'!$D:$P,13,FALSE)=0,"",VLOOKUP($A168,'Annex 2 Designated EHV charges'!$D:$P,13,FALSE)),"")</f>
        <v>0.05</v>
      </c>
    </row>
    <row r="169" spans="1:8" x14ac:dyDescent="0.2">
      <c r="A169" s="95" t="str" cm="1">
        <f t="array" ref="A169">IFERROR(INDEX('Annex 2 Designated EHV charges'!$D$10:$D$401, MATCH(0, IF(ISBLANK('Annex 2 Designated EHV charges'!$D$10:$D$401),1, COUNTIF(A$4:$A168, 'Annex 2 Designated EHV charges'!$D$10:$D$401)), 0)),"")</f>
        <v>MILLDR</v>
      </c>
      <c r="B169" s="94">
        <f>IF($A169="","",VLOOKUP($A169,'Annex 2 Designated EHV charges'!$D:$O,2,0))</f>
        <v>690</v>
      </c>
      <c r="C169" s="95">
        <f>IF($A169="","",VLOOKUP($A169,'Annex 2 Designated EHV charges'!$D:$O,3,0))</f>
        <v>1050001197846</v>
      </c>
      <c r="D169" s="94" t="str">
        <f>IF($A169="","",VLOOKUP($A169,'Annex 2 Designated EHV charges'!$D:$O,4,0))</f>
        <v>MILLDR</v>
      </c>
      <c r="E169" s="96" t="str">
        <f>IFERROR(IF(VLOOKUP($A169,'Annex 2 Designated EHV charges'!$D:$P,10,FALSE)=0,"",VLOOKUP($A169,'Annex 2 Designated EHV charges'!$D:$P,10,FALSE)),"")</f>
        <v/>
      </c>
      <c r="F169" s="195">
        <f>IFERROR(IF(VLOOKUP($A169,'Annex 2 Designated EHV charges'!$D:$P,11,FALSE)=0,"",VLOOKUP($A169,'Annex 2 Designated EHV charges'!$D:$P,11,FALSE)),"")</f>
        <v>1112.72</v>
      </c>
      <c r="G169" s="195">
        <f>IFERROR(IF(VLOOKUP($A169,'Annex 2 Designated EHV charges'!$D:$P,12,FALSE)=0,"",VLOOKUP($A169,'Annex 2 Designated EHV charges'!$D:$P,12,FALSE)),"")</f>
        <v>0.05</v>
      </c>
      <c r="H169" s="195">
        <f>IFERROR(IF(VLOOKUP($A169,'Annex 2 Designated EHV charges'!$D:$P,13,FALSE)=0,"",VLOOKUP($A169,'Annex 2 Designated EHV charges'!$D:$P,13,FALSE)),"")</f>
        <v>0.05</v>
      </c>
    </row>
    <row r="170" spans="1:8" x14ac:dyDescent="0.2">
      <c r="A170" s="95" t="str" cm="1">
        <f t="array" ref="A170">IFERROR(INDEX('Annex 2 Designated EHV charges'!$D$10:$D$401, MATCH(0, IF(ISBLANK('Annex 2 Designated EHV charges'!$D$10:$D$401),1, COUNTIF(A$4:$A169, 'Annex 2 Designated EHV charges'!$D$10:$D$401)), 0)),"")</f>
        <v>MILLFM</v>
      </c>
      <c r="B170" s="94">
        <f>IF($A170="","",VLOOKUP($A170,'Annex 2 Designated EHV charges'!$D:$O,2,0))</f>
        <v>691</v>
      </c>
      <c r="C170" s="95">
        <f>IF($A170="","",VLOOKUP($A170,'Annex 2 Designated EHV charges'!$D:$O,3,0))</f>
        <v>1050001261429</v>
      </c>
      <c r="D170" s="94" t="str">
        <f>IF($A170="","",VLOOKUP($A170,'Annex 2 Designated EHV charges'!$D:$O,4,0))</f>
        <v>MILLFM</v>
      </c>
      <c r="E170" s="96" t="str">
        <f>IFERROR(IF(VLOOKUP($A170,'Annex 2 Designated EHV charges'!$D:$P,10,FALSE)=0,"",VLOOKUP($A170,'Annex 2 Designated EHV charges'!$D:$P,10,FALSE)),"")</f>
        <v/>
      </c>
      <c r="F170" s="195">
        <f>IFERROR(IF(VLOOKUP($A170,'Annex 2 Designated EHV charges'!$D:$P,11,FALSE)=0,"",VLOOKUP($A170,'Annex 2 Designated EHV charges'!$D:$P,11,FALSE)),"")</f>
        <v>4288.07</v>
      </c>
      <c r="G170" s="195">
        <f>IFERROR(IF(VLOOKUP($A170,'Annex 2 Designated EHV charges'!$D:$P,12,FALSE)=0,"",VLOOKUP($A170,'Annex 2 Designated EHV charges'!$D:$P,12,FALSE)),"")</f>
        <v>0.05</v>
      </c>
      <c r="H170" s="195">
        <f>IFERROR(IF(VLOOKUP($A170,'Annex 2 Designated EHV charges'!$D:$P,13,FALSE)=0,"",VLOOKUP($A170,'Annex 2 Designated EHV charges'!$D:$P,13,FALSE)),"")</f>
        <v>0.05</v>
      </c>
    </row>
    <row r="171" spans="1:8" x14ac:dyDescent="0.2">
      <c r="A171" s="95" t="str" cm="1">
        <f t="array" ref="A171">IFERROR(INDEX('Annex 2 Designated EHV charges'!$D$10:$D$401, MATCH(0, IF(ISBLANK('Annex 2 Designated EHV charges'!$D$10:$D$401),1, COUNTIF(A$4:$A170, 'Annex 2 Designated EHV charges'!$D$10:$D$401)), 0)),"")</f>
        <v>MINGAY</v>
      </c>
      <c r="B171" s="94">
        <f>IF($A171="","",VLOOKUP($A171,'Annex 2 Designated EHV charges'!$D:$O,2,0))</f>
        <v>730</v>
      </c>
      <c r="C171" s="95">
        <f>IF($A171="","",VLOOKUP($A171,'Annex 2 Designated EHV charges'!$D:$O,3,0))</f>
        <v>1050000574676</v>
      </c>
      <c r="D171" s="94" t="str">
        <f>IF($A171="","",VLOOKUP($A171,'Annex 2 Designated EHV charges'!$D:$O,4,0))</f>
        <v>MINGAY</v>
      </c>
      <c r="E171" s="96" t="str">
        <f>IFERROR(IF(VLOOKUP($A171,'Annex 2 Designated EHV charges'!$D:$P,10,FALSE)=0,"",VLOOKUP($A171,'Annex 2 Designated EHV charges'!$D:$P,10,FALSE)),"")</f>
        <v/>
      </c>
      <c r="F171" s="195">
        <f>IFERROR(IF(VLOOKUP($A171,'Annex 2 Designated EHV charges'!$D:$P,11,FALSE)=0,"",VLOOKUP($A171,'Annex 2 Designated EHV charges'!$D:$P,11,FALSE)),"")</f>
        <v>1037.6300000000001</v>
      </c>
      <c r="G171" s="195">
        <f>IFERROR(IF(VLOOKUP($A171,'Annex 2 Designated EHV charges'!$D:$P,12,FALSE)=0,"",VLOOKUP($A171,'Annex 2 Designated EHV charges'!$D:$P,12,FALSE)),"")</f>
        <v>0.05</v>
      </c>
      <c r="H171" s="195">
        <f>IFERROR(IF(VLOOKUP($A171,'Annex 2 Designated EHV charges'!$D:$P,13,FALSE)=0,"",VLOOKUP($A171,'Annex 2 Designated EHV charges'!$D:$P,13,FALSE)),"")</f>
        <v>0.05</v>
      </c>
    </row>
    <row r="172" spans="1:8" x14ac:dyDescent="0.2">
      <c r="A172" s="95" t="str" cm="1">
        <f t="array" ref="A172">IFERROR(INDEX('Annex 2 Designated EHV charges'!$D$10:$D$401, MATCH(0, IF(ISBLANK('Annex 2 Designated EHV charges'!$D$10:$D$401),1, COUNTIF(A$4:$A171, 'Annex 2 Designated EHV charges'!$D$10:$D$401)), 0)),"")</f>
        <v>MLLFLD</v>
      </c>
      <c r="B172" s="94">
        <f>IF($A172="","",VLOOKUP($A172,'Annex 2 Designated EHV charges'!$D:$O,2,0))</f>
        <v>669</v>
      </c>
      <c r="C172" s="95">
        <f>IF($A172="","",VLOOKUP($A172,'Annex 2 Designated EHV charges'!$D:$O,3,0))</f>
        <v>1050001060060</v>
      </c>
      <c r="D172" s="94" t="str">
        <f>IF($A172="","",VLOOKUP($A172,'Annex 2 Designated EHV charges'!$D:$O,4,0))</f>
        <v>MLLFLD</v>
      </c>
      <c r="E172" s="96" t="str">
        <f>IFERROR(IF(VLOOKUP($A172,'Annex 2 Designated EHV charges'!$D:$P,10,FALSE)=0,"",VLOOKUP($A172,'Annex 2 Designated EHV charges'!$D:$P,10,FALSE)),"")</f>
        <v/>
      </c>
      <c r="F172" s="195">
        <f>IFERROR(IF(VLOOKUP($A172,'Annex 2 Designated EHV charges'!$D:$P,11,FALSE)=0,"",VLOOKUP($A172,'Annex 2 Designated EHV charges'!$D:$P,11,FALSE)),"")</f>
        <v>492.88</v>
      </c>
      <c r="G172" s="195">
        <f>IFERROR(IF(VLOOKUP($A172,'Annex 2 Designated EHV charges'!$D:$P,12,FALSE)=0,"",VLOOKUP($A172,'Annex 2 Designated EHV charges'!$D:$P,12,FALSE)),"")</f>
        <v>0.05</v>
      </c>
      <c r="H172" s="195">
        <f>IFERROR(IF(VLOOKUP($A172,'Annex 2 Designated EHV charges'!$D:$P,13,FALSE)=0,"",VLOOKUP($A172,'Annex 2 Designated EHV charges'!$D:$P,13,FALSE)),"")</f>
        <v>0.05</v>
      </c>
    </row>
    <row r="173" spans="1:8" x14ac:dyDescent="0.2">
      <c r="A173" s="95" t="str" cm="1">
        <f t="array" ref="A173">IFERROR(INDEX('Annex 2 Designated EHV charges'!$D$10:$D$401, MATCH(0, IF(ISBLANK('Annex 2 Designated EHV charges'!$D$10:$D$401),1, COUNTIF(A$4:$A172, 'Annex 2 Designated EHV charges'!$D$10:$D$401)), 0)),"")</f>
        <v>MOATSF</v>
      </c>
      <c r="B173" s="94">
        <f>IF($A173="","",VLOOKUP($A173,'Annex 2 Designated EHV charges'!$D:$O,2,0))</f>
        <v>394</v>
      </c>
      <c r="C173" s="95">
        <f>IF($A173="","",VLOOKUP($A173,'Annex 2 Designated EHV charges'!$D:$O,3,0))</f>
        <v>1050002943504</v>
      </c>
      <c r="D173" s="94" t="str">
        <f>IF($A173="","",VLOOKUP($A173,'Annex 2 Designated EHV charges'!$D:$O,4,0))</f>
        <v>MOATSF</v>
      </c>
      <c r="E173" s="96" t="str">
        <f>IFERROR(IF(VLOOKUP($A173,'Annex 2 Designated EHV charges'!$D:$P,10,FALSE)=0,"",VLOOKUP($A173,'Annex 2 Designated EHV charges'!$D:$P,10,FALSE)),"")</f>
        <v/>
      </c>
      <c r="F173" s="195">
        <f>IFERROR(IF(VLOOKUP($A173,'Annex 2 Designated EHV charges'!$D:$P,11,FALSE)=0,"",VLOOKUP($A173,'Annex 2 Designated EHV charges'!$D:$P,11,FALSE)),"")</f>
        <v>2680.54</v>
      </c>
      <c r="G173" s="195">
        <f>IFERROR(IF(VLOOKUP($A173,'Annex 2 Designated EHV charges'!$D:$P,12,FALSE)=0,"",VLOOKUP($A173,'Annex 2 Designated EHV charges'!$D:$P,12,FALSE)),"")</f>
        <v>0.05</v>
      </c>
      <c r="H173" s="195">
        <f>IFERROR(IF(VLOOKUP($A173,'Annex 2 Designated EHV charges'!$D:$P,13,FALSE)=0,"",VLOOKUP($A173,'Annex 2 Designated EHV charges'!$D:$P,13,FALSE)),"")</f>
        <v>0.05</v>
      </c>
    </row>
    <row r="174" spans="1:8" x14ac:dyDescent="0.2">
      <c r="A174" s="95" t="str" cm="1">
        <f t="array" ref="A174">IFERROR(INDEX('Annex 2 Designated EHV charges'!$D$10:$D$401, MATCH(0, IF(ISBLANK('Annex 2 Designated EHV charges'!$D$10:$D$401),1, COUNTIF(A$4:$A173, 'Annex 2 Designated EHV charges'!$D$10:$D$401)), 0)),"")</f>
        <v>MOLLAV</v>
      </c>
      <c r="B174" s="94">
        <f>IF($A174="","",VLOOKUP($A174,'Annex 2 Designated EHV charges'!$D:$O,2,0))</f>
        <v>774</v>
      </c>
      <c r="C174" s="95">
        <f>IF($A174="","",VLOOKUP($A174,'Annex 2 Designated EHV charges'!$D:$O,3,0))</f>
        <v>1050001620720</v>
      </c>
      <c r="D174" s="94" t="str">
        <f>IF($A174="","",VLOOKUP($A174,'Annex 2 Designated EHV charges'!$D:$O,4,0))</f>
        <v>MOLLAV</v>
      </c>
      <c r="E174" s="96">
        <f>IFERROR(IF(VLOOKUP($A174,'Annex 2 Designated EHV charges'!$D:$P,10,FALSE)=0,"",VLOOKUP($A174,'Annex 2 Designated EHV charges'!$D:$P,10,FALSE)),"")</f>
        <v>-6.8000000000000005E-2</v>
      </c>
      <c r="F174" s="195">
        <f>IFERROR(IF(VLOOKUP($A174,'Annex 2 Designated EHV charges'!$D:$P,11,FALSE)=0,"",VLOOKUP($A174,'Annex 2 Designated EHV charges'!$D:$P,11,FALSE)),"")</f>
        <v>1778.52</v>
      </c>
      <c r="G174" s="195">
        <f>IFERROR(IF(VLOOKUP($A174,'Annex 2 Designated EHV charges'!$D:$P,12,FALSE)=0,"",VLOOKUP($A174,'Annex 2 Designated EHV charges'!$D:$P,12,FALSE)),"")</f>
        <v>0.05</v>
      </c>
      <c r="H174" s="195">
        <f>IFERROR(IF(VLOOKUP($A174,'Annex 2 Designated EHV charges'!$D:$P,13,FALSE)=0,"",VLOOKUP($A174,'Annex 2 Designated EHV charges'!$D:$P,13,FALSE)),"")</f>
        <v>0.05</v>
      </c>
    </row>
    <row r="175" spans="1:8" x14ac:dyDescent="0.2">
      <c r="A175" s="95" t="str" cm="1">
        <f t="array" ref="A175">IFERROR(INDEX('Annex 2 Designated EHV charges'!$D$10:$D$401, MATCH(0, IF(ISBLANK('Annex 2 Designated EHV charges'!$D$10:$D$401),1, COUNTIF(A$4:$A174, 'Annex 2 Designated EHV charges'!$D$10:$D$401)), 0)),"")</f>
        <v>MOWLEM</v>
      </c>
      <c r="B175" s="94">
        <f>IF($A175="","",VLOOKUP($A175,'Annex 2 Designated EHV charges'!$D:$O,2,0))</f>
        <v>692</v>
      </c>
      <c r="C175" s="95">
        <f>IF($A175="","",VLOOKUP($A175,'Annex 2 Designated EHV charges'!$D:$O,3,0))</f>
        <v>1050001054242</v>
      </c>
      <c r="D175" s="94" t="str">
        <f>IF($A175="","",VLOOKUP($A175,'Annex 2 Designated EHV charges'!$D:$O,4,0))</f>
        <v>MOWLEM</v>
      </c>
      <c r="E175" s="96">
        <f>IFERROR(IF(VLOOKUP($A175,'Annex 2 Designated EHV charges'!$D:$P,10,FALSE)=0,"",VLOOKUP($A175,'Annex 2 Designated EHV charges'!$D:$P,10,FALSE)),"")</f>
        <v>-0.155</v>
      </c>
      <c r="F175" s="195">
        <f>IFERROR(IF(VLOOKUP($A175,'Annex 2 Designated EHV charges'!$D:$P,11,FALSE)=0,"",VLOOKUP($A175,'Annex 2 Designated EHV charges'!$D:$P,11,FALSE)),"")</f>
        <v>1677.28</v>
      </c>
      <c r="G175" s="195">
        <f>IFERROR(IF(VLOOKUP($A175,'Annex 2 Designated EHV charges'!$D:$P,12,FALSE)=0,"",VLOOKUP($A175,'Annex 2 Designated EHV charges'!$D:$P,12,FALSE)),"")</f>
        <v>0.05</v>
      </c>
      <c r="H175" s="195">
        <f>IFERROR(IF(VLOOKUP($A175,'Annex 2 Designated EHV charges'!$D:$P,13,FALSE)=0,"",VLOOKUP($A175,'Annex 2 Designated EHV charges'!$D:$P,13,FALSE)),"")</f>
        <v>0.05</v>
      </c>
    </row>
    <row r="176" spans="1:8" x14ac:dyDescent="0.2">
      <c r="A176" s="95" t="str" cm="1">
        <f t="array" ref="A176">IFERROR(INDEX('Annex 2 Designated EHV charges'!$D$10:$D$401, MATCH(0, IF(ISBLANK('Annex 2 Designated EHV charges'!$D$10:$D$401),1, COUNTIF(A$4:$A175, 'Annex 2 Designated EHV charges'!$D$10:$D$401)), 0)),"")</f>
        <v>NEVED2</v>
      </c>
      <c r="B176" s="94">
        <f>IF($A176="","",VLOOKUP($A176,'Annex 2 Designated EHV charges'!$D:$O,2,0))</f>
        <v>446</v>
      </c>
      <c r="C176" s="95">
        <f>IF($A176="","",VLOOKUP($A176,'Annex 2 Designated EHV charges'!$D:$O,3,0))</f>
        <v>1050003511429</v>
      </c>
      <c r="D176" s="94" t="str">
        <f>IF($A176="","",VLOOKUP($A176,'Annex 2 Designated EHV charges'!$D:$O,4,0))</f>
        <v>NEVED2</v>
      </c>
      <c r="E176" s="96">
        <f>IFERROR(IF(VLOOKUP($A176,'Annex 2 Designated EHV charges'!$D:$P,10,FALSE)=0,"",VLOOKUP($A176,'Annex 2 Designated EHV charges'!$D:$P,10,FALSE)),"")</f>
        <v>-2.6179999999999999</v>
      </c>
      <c r="F176" s="195">
        <f>IFERROR(IF(VLOOKUP($A176,'Annex 2 Designated EHV charges'!$D:$P,11,FALSE)=0,"",VLOOKUP($A176,'Annex 2 Designated EHV charges'!$D:$P,11,FALSE)),"")</f>
        <v>317.02999999999997</v>
      </c>
      <c r="G176" s="195">
        <f>IFERROR(IF(VLOOKUP($A176,'Annex 2 Designated EHV charges'!$D:$P,12,FALSE)=0,"",VLOOKUP($A176,'Annex 2 Designated EHV charges'!$D:$P,12,FALSE)),"")</f>
        <v>0.05</v>
      </c>
      <c r="H176" s="195">
        <f>IFERROR(IF(VLOOKUP($A176,'Annex 2 Designated EHV charges'!$D:$P,13,FALSE)=0,"",VLOOKUP($A176,'Annex 2 Designated EHV charges'!$D:$P,13,FALSE)),"")</f>
        <v>0.05</v>
      </c>
    </row>
    <row r="177" spans="1:8" x14ac:dyDescent="0.2">
      <c r="A177" s="95" t="str" cm="1">
        <f t="array" ref="A177">IFERROR(INDEX('Annex 2 Designated EHV charges'!$D$10:$D$401, MATCH(0, IF(ISBLANK('Annex 2 Designated EHV charges'!$D$10:$D$401),1, COUNTIF(A$4:$A176, 'Annex 2 Designated EHV charges'!$D$10:$D$401)), 0)),"")</f>
        <v>NEVEDN</v>
      </c>
      <c r="B177" s="94">
        <f>IF($A177="","",VLOOKUP($A177,'Annex 2 Designated EHV charges'!$D:$O,2,0))</f>
        <v>446</v>
      </c>
      <c r="C177" s="95">
        <f>IF($A177="","",VLOOKUP($A177,'Annex 2 Designated EHV charges'!$D:$O,3,0))</f>
        <v>1050001507458</v>
      </c>
      <c r="D177" s="94" t="str">
        <f>IF($A177="","",VLOOKUP($A177,'Annex 2 Designated EHV charges'!$D:$O,4,0))</f>
        <v>NEVEDN</v>
      </c>
      <c r="E177" s="96">
        <f>IFERROR(IF(VLOOKUP($A177,'Annex 2 Designated EHV charges'!$D:$P,10,FALSE)=0,"",VLOOKUP($A177,'Annex 2 Designated EHV charges'!$D:$P,10,FALSE)),"")</f>
        <v>-2.6179999999999999</v>
      </c>
      <c r="F177" s="195">
        <f>IFERROR(IF(VLOOKUP($A177,'Annex 2 Designated EHV charges'!$D:$P,11,FALSE)=0,"",VLOOKUP($A177,'Annex 2 Designated EHV charges'!$D:$P,11,FALSE)),"")</f>
        <v>475.54</v>
      </c>
      <c r="G177" s="195">
        <f>IFERROR(IF(VLOOKUP($A177,'Annex 2 Designated EHV charges'!$D:$P,12,FALSE)=0,"",VLOOKUP($A177,'Annex 2 Designated EHV charges'!$D:$P,12,FALSE)),"")</f>
        <v>0.05</v>
      </c>
      <c r="H177" s="195">
        <f>IFERROR(IF(VLOOKUP($A177,'Annex 2 Designated EHV charges'!$D:$P,13,FALSE)=0,"",VLOOKUP($A177,'Annex 2 Designated EHV charges'!$D:$P,13,FALSE)),"")</f>
        <v>0.05</v>
      </c>
    </row>
    <row r="178" spans="1:8" x14ac:dyDescent="0.2">
      <c r="A178" s="95" t="str" cm="1">
        <f t="array" ref="A178">IFERROR(INDEX('Annex 2 Designated EHV charges'!$D$10:$D$401, MATCH(0, IF(ISBLANK('Annex 2 Designated EHV charges'!$D$10:$D$401),1, COUNTIF(A$4:$A177, 'Annex 2 Designated EHV charges'!$D$10:$D$401)), 0)),"")</f>
        <v>NEWTON</v>
      </c>
      <c r="B178" s="94">
        <f>IF($A178="","",VLOOKUP($A178,'Annex 2 Designated EHV charges'!$D:$O,2,0))</f>
        <v>670</v>
      </c>
      <c r="C178" s="95">
        <f>IF($A178="","",VLOOKUP($A178,'Annex 2 Designated EHV charges'!$D:$O,3,0))</f>
        <v>1050001042229</v>
      </c>
      <c r="D178" s="94" t="str">
        <f>IF($A178="","",VLOOKUP($A178,'Annex 2 Designated EHV charges'!$D:$O,4,0))</f>
        <v>NEWTON</v>
      </c>
      <c r="E178" s="96" t="str">
        <f>IFERROR(IF(VLOOKUP($A178,'Annex 2 Designated EHV charges'!$D:$P,10,FALSE)=0,"",VLOOKUP($A178,'Annex 2 Designated EHV charges'!$D:$P,10,FALSE)),"")</f>
        <v/>
      </c>
      <c r="F178" s="195">
        <f>IFERROR(IF(VLOOKUP($A178,'Annex 2 Designated EHV charges'!$D:$P,11,FALSE)=0,"",VLOOKUP($A178,'Annex 2 Designated EHV charges'!$D:$P,11,FALSE)),"")</f>
        <v>1087.23</v>
      </c>
      <c r="G178" s="195">
        <f>IFERROR(IF(VLOOKUP($A178,'Annex 2 Designated EHV charges'!$D:$P,12,FALSE)=0,"",VLOOKUP($A178,'Annex 2 Designated EHV charges'!$D:$P,12,FALSE)),"")</f>
        <v>0.05</v>
      </c>
      <c r="H178" s="195">
        <f>IFERROR(IF(VLOOKUP($A178,'Annex 2 Designated EHV charges'!$D:$P,13,FALSE)=0,"",VLOOKUP($A178,'Annex 2 Designated EHV charges'!$D:$P,13,FALSE)),"")</f>
        <v>0.05</v>
      </c>
    </row>
    <row r="179" spans="1:8" x14ac:dyDescent="0.2">
      <c r="A179" s="95" t="str" cm="1">
        <f t="array" ref="A179">IFERROR(INDEX('Annex 2 Designated EHV charges'!$D$10:$D$401, MATCH(0, IF(ISBLANK('Annex 2 Designated EHV charges'!$D$10:$D$401),1, COUNTIF(A$4:$A178, 'Annex 2 Designated EHV charges'!$D$10:$D$401)), 0)),"")</f>
        <v>NNFKSF</v>
      </c>
      <c r="B179" s="94">
        <f>IF($A179="","",VLOOKUP($A179,'Annex 2 Designated EHV charges'!$D:$O,2,0))</f>
        <v>731</v>
      </c>
      <c r="C179" s="95">
        <f>IF($A179="","",VLOOKUP($A179,'Annex 2 Designated EHV charges'!$D:$O,3,0))</f>
        <v>1050000599893</v>
      </c>
      <c r="D179" s="94" t="str">
        <f>IF($A179="","",VLOOKUP($A179,'Annex 2 Designated EHV charges'!$D:$O,4,0))</f>
        <v>NNFKSF</v>
      </c>
      <c r="E179" s="96" t="str">
        <f>IFERROR(IF(VLOOKUP($A179,'Annex 2 Designated EHV charges'!$D:$P,10,FALSE)=0,"",VLOOKUP($A179,'Annex 2 Designated EHV charges'!$D:$P,10,FALSE)),"")</f>
        <v/>
      </c>
      <c r="F179" s="195">
        <f>IFERROR(IF(VLOOKUP($A179,'Annex 2 Designated EHV charges'!$D:$P,11,FALSE)=0,"",VLOOKUP($A179,'Annex 2 Designated EHV charges'!$D:$P,11,FALSE)),"")</f>
        <v>1959.76</v>
      </c>
      <c r="G179" s="195">
        <f>IFERROR(IF(VLOOKUP($A179,'Annex 2 Designated EHV charges'!$D:$P,12,FALSE)=0,"",VLOOKUP($A179,'Annex 2 Designated EHV charges'!$D:$P,12,FALSE)),"")</f>
        <v>0.05</v>
      </c>
      <c r="H179" s="195">
        <f>IFERROR(IF(VLOOKUP($A179,'Annex 2 Designated EHV charges'!$D:$P,13,FALSE)=0,"",VLOOKUP($A179,'Annex 2 Designated EHV charges'!$D:$P,13,FALSE)),"")</f>
        <v>0.05</v>
      </c>
    </row>
    <row r="180" spans="1:8" x14ac:dyDescent="0.2">
      <c r="A180" s="95" t="str" cm="1">
        <f t="array" ref="A180">IFERROR(INDEX('Annex 2 Designated EHV charges'!$D$10:$D$401, MATCH(0, IF(ISBLANK('Annex 2 Designated EHV charges'!$D$10:$D$401),1, COUNTIF(A$4:$A179, 'Annex 2 Designated EHV charges'!$D$10:$D$401)), 0)),"")</f>
        <v>NVASCT</v>
      </c>
      <c r="B180" s="94">
        <f>IF($A180="","",VLOOKUP($A180,'Annex 2 Designated EHV charges'!$D:$O,2,0))</f>
        <v>764</v>
      </c>
      <c r="C180" s="95">
        <f>IF($A180="","",VLOOKUP($A180,'Annex 2 Designated EHV charges'!$D:$O,3,0))</f>
        <v>1050000588215</v>
      </c>
      <c r="D180" s="94" t="str">
        <f>IF($A180="","",VLOOKUP($A180,'Annex 2 Designated EHV charges'!$D:$O,4,0))</f>
        <v>NVASCT</v>
      </c>
      <c r="E180" s="96" t="str">
        <f>IFERROR(IF(VLOOKUP($A180,'Annex 2 Designated EHV charges'!$D:$P,10,FALSE)=0,"",VLOOKUP($A180,'Annex 2 Designated EHV charges'!$D:$P,10,FALSE)),"")</f>
        <v/>
      </c>
      <c r="F180" s="195">
        <f>IFERROR(IF(VLOOKUP($A180,'Annex 2 Designated EHV charges'!$D:$P,11,FALSE)=0,"",VLOOKUP($A180,'Annex 2 Designated EHV charges'!$D:$P,11,FALSE)),"")</f>
        <v>1467.94</v>
      </c>
      <c r="G180" s="195">
        <f>IFERROR(IF(VLOOKUP($A180,'Annex 2 Designated EHV charges'!$D:$P,12,FALSE)=0,"",VLOOKUP($A180,'Annex 2 Designated EHV charges'!$D:$P,12,FALSE)),"")</f>
        <v>0.05</v>
      </c>
      <c r="H180" s="195">
        <f>IFERROR(IF(VLOOKUP($A180,'Annex 2 Designated EHV charges'!$D:$P,13,FALSE)=0,"",VLOOKUP($A180,'Annex 2 Designated EHV charges'!$D:$P,13,FALSE)),"")</f>
        <v>0.05</v>
      </c>
    </row>
    <row r="181" spans="1:8" x14ac:dyDescent="0.2">
      <c r="A181" s="95" t="str" cm="1">
        <f t="array" ref="A181">IFERROR(INDEX('Annex 2 Designated EHV charges'!$D$10:$D$401, MATCH(0, IF(ISBLANK('Annex 2 Designated EHV charges'!$D$10:$D$401),1, COUNTIF(A$4:$A180, 'Annex 2 Designated EHV charges'!$D$10:$D$401)), 0)),"")</f>
        <v>OCKESF</v>
      </c>
      <c r="B181" s="94">
        <f>IF($A181="","",VLOOKUP($A181,'Annex 2 Designated EHV charges'!$D:$O,2,0))</f>
        <v>420</v>
      </c>
      <c r="C181" s="95">
        <f>IF($A181="","",VLOOKUP($A181,'Annex 2 Designated EHV charges'!$D:$O,3,0))</f>
        <v>1050003405873</v>
      </c>
      <c r="D181" s="94" t="str">
        <f>IF($A181="","",VLOOKUP($A181,'Annex 2 Designated EHV charges'!$D:$O,4,0))</f>
        <v>OCKESF</v>
      </c>
      <c r="E181" s="96" t="str">
        <f>IFERROR(IF(VLOOKUP($A181,'Annex 2 Designated EHV charges'!$D:$P,10,FALSE)=0,"",VLOOKUP($A181,'Annex 2 Designated EHV charges'!$D:$P,10,FALSE)),"")</f>
        <v/>
      </c>
      <c r="F181" s="195">
        <f>IFERROR(IF(VLOOKUP($A181,'Annex 2 Designated EHV charges'!$D:$P,11,FALSE)=0,"",VLOOKUP($A181,'Annex 2 Designated EHV charges'!$D:$P,11,FALSE)),"")</f>
        <v>12789.23</v>
      </c>
      <c r="G181" s="195">
        <f>IFERROR(IF(VLOOKUP($A181,'Annex 2 Designated EHV charges'!$D:$P,12,FALSE)=0,"",VLOOKUP($A181,'Annex 2 Designated EHV charges'!$D:$P,12,FALSE)),"")</f>
        <v>0.05</v>
      </c>
      <c r="H181" s="195">
        <f>IFERROR(IF(VLOOKUP($A181,'Annex 2 Designated EHV charges'!$D:$P,13,FALSE)=0,"",VLOOKUP($A181,'Annex 2 Designated EHV charges'!$D:$P,13,FALSE)),"")</f>
        <v>0.05</v>
      </c>
    </row>
    <row r="182" spans="1:8" ht="25.5" x14ac:dyDescent="0.2">
      <c r="A182" s="95" t="str" cm="1">
        <f t="array" ref="A182">IFERROR(INDEX('Annex 2 Designated EHV charges'!$D$10:$D$401, MATCH(0, IF(ISBLANK('Annex 2 Designated EHV charges'!$D$10:$D$401),1, COUNTIF(A$4:$A181, 'Annex 2 Designated EHV charges'!$D$10:$D$401)), 0)),"")</f>
        <v>OLDAIR</v>
      </c>
      <c r="B182" s="94">
        <f>IF($A182="","",VLOOKUP($A182,'Annex 2 Designated EHV charges'!$D:$O,2,0))</f>
        <v>457</v>
      </c>
      <c r="C182" s="95" t="str">
        <f>IF($A182="","",VLOOKUP($A182,'Annex 2 Designated EHV charges'!$D:$O,3,0))</f>
        <v>1050000890765;1050001013803</v>
      </c>
      <c r="D182" s="94" t="str">
        <f>IF($A182="","",VLOOKUP($A182,'Annex 2 Designated EHV charges'!$D:$O,4,0))</f>
        <v>OLDAIR</v>
      </c>
      <c r="E182" s="96" t="str">
        <f>IFERROR(IF(VLOOKUP($A182,'Annex 2 Designated EHV charges'!$D:$P,10,FALSE)=0,"",VLOOKUP($A182,'Annex 2 Designated EHV charges'!$D:$P,10,FALSE)),"")</f>
        <v/>
      </c>
      <c r="F182" s="195">
        <f>IFERROR(IF(VLOOKUP($A182,'Annex 2 Designated EHV charges'!$D:$P,11,FALSE)=0,"",VLOOKUP($A182,'Annex 2 Designated EHV charges'!$D:$P,11,FALSE)),"")</f>
        <v>469.7</v>
      </c>
      <c r="G182" s="195">
        <f>IFERROR(IF(VLOOKUP($A182,'Annex 2 Designated EHV charges'!$D:$P,12,FALSE)=0,"",VLOOKUP($A182,'Annex 2 Designated EHV charges'!$D:$P,12,FALSE)),"")</f>
        <v>0.05</v>
      </c>
      <c r="H182" s="195">
        <f>IFERROR(IF(VLOOKUP($A182,'Annex 2 Designated EHV charges'!$D:$P,13,FALSE)=0,"",VLOOKUP($A182,'Annex 2 Designated EHV charges'!$D:$P,13,FALSE)),"")</f>
        <v>0.05</v>
      </c>
    </row>
    <row r="183" spans="1:8" x14ac:dyDescent="0.2">
      <c r="A183" s="95" t="str" cm="1">
        <f t="array" ref="A183">IFERROR(INDEX('Annex 2 Designated EHV charges'!$D$10:$D$401, MATCH(0, IF(ISBLANK('Annex 2 Designated EHV charges'!$D$10:$D$401),1, COUNTIF(A$4:$A182, 'Annex 2 Designated EHV charges'!$D$10:$D$401)), 0)),"")</f>
        <v>OULTON</v>
      </c>
      <c r="B183" s="94">
        <f>IF($A183="","",VLOOKUP($A183,'Annex 2 Designated EHV charges'!$D:$O,2,0))</f>
        <v>671</v>
      </c>
      <c r="C183" s="95">
        <f>IF($A183="","",VLOOKUP($A183,'Annex 2 Designated EHV charges'!$D:$O,3,0))</f>
        <v>1050001028553</v>
      </c>
      <c r="D183" s="94" t="str">
        <f>IF($A183="","",VLOOKUP($A183,'Annex 2 Designated EHV charges'!$D:$O,4,0))</f>
        <v>OULTON</v>
      </c>
      <c r="E183" s="96" t="str">
        <f>IFERROR(IF(VLOOKUP($A183,'Annex 2 Designated EHV charges'!$D:$P,10,FALSE)=0,"",VLOOKUP($A183,'Annex 2 Designated EHV charges'!$D:$P,10,FALSE)),"")</f>
        <v/>
      </c>
      <c r="F183" s="195">
        <f>IFERROR(IF(VLOOKUP($A183,'Annex 2 Designated EHV charges'!$D:$P,11,FALSE)=0,"",VLOOKUP($A183,'Annex 2 Designated EHV charges'!$D:$P,11,FALSE)),"")</f>
        <v>490.45</v>
      </c>
      <c r="G183" s="195">
        <f>IFERROR(IF(VLOOKUP($A183,'Annex 2 Designated EHV charges'!$D:$P,12,FALSE)=0,"",VLOOKUP($A183,'Annex 2 Designated EHV charges'!$D:$P,12,FALSE)),"")</f>
        <v>0.05</v>
      </c>
      <c r="H183" s="195">
        <f>IFERROR(IF(VLOOKUP($A183,'Annex 2 Designated EHV charges'!$D:$P,13,FALSE)=0,"",VLOOKUP($A183,'Annex 2 Designated EHV charges'!$D:$P,13,FALSE)),"")</f>
        <v>0.05</v>
      </c>
    </row>
    <row r="184" spans="1:8" x14ac:dyDescent="0.2">
      <c r="A184" s="95" t="str" cm="1">
        <f t="array" ref="A184">IFERROR(INDEX('Annex 2 Designated EHV charges'!$D$10:$D$401, MATCH(0, IF(ISBLANK('Annex 2 Designated EHV charges'!$D$10:$D$401),1, COUNTIF(A$4:$A183, 'Annex 2 Designated EHV charges'!$D$10:$D$401)), 0)),"")</f>
        <v>OUTWD2</v>
      </c>
      <c r="B184" s="94">
        <f>IF($A184="","",VLOOKUP($A184,'Annex 2 Designated EHV charges'!$D:$O,2,0))</f>
        <v>739</v>
      </c>
      <c r="C184" s="95">
        <f>IF($A184="","",VLOOKUP($A184,'Annex 2 Designated EHV charges'!$D:$O,3,0))</f>
        <v>1050002380330</v>
      </c>
      <c r="D184" s="94" t="str">
        <f>IF($A184="","",VLOOKUP($A184,'Annex 2 Designated EHV charges'!$D:$O,4,0))</f>
        <v>OUTWD2</v>
      </c>
      <c r="E184" s="96" t="str">
        <f>IFERROR(IF(VLOOKUP($A184,'Annex 2 Designated EHV charges'!$D:$P,10,FALSE)=0,"",VLOOKUP($A184,'Annex 2 Designated EHV charges'!$D:$P,10,FALSE)),"")</f>
        <v/>
      </c>
      <c r="F184" s="195">
        <f>IFERROR(IF(VLOOKUP($A184,'Annex 2 Designated EHV charges'!$D:$P,11,FALSE)=0,"",VLOOKUP($A184,'Annex 2 Designated EHV charges'!$D:$P,11,FALSE)),"")</f>
        <v>1334.49</v>
      </c>
      <c r="G184" s="195">
        <f>IFERROR(IF(VLOOKUP($A184,'Annex 2 Designated EHV charges'!$D:$P,12,FALSE)=0,"",VLOOKUP($A184,'Annex 2 Designated EHV charges'!$D:$P,12,FALSE)),"")</f>
        <v>0.05</v>
      </c>
      <c r="H184" s="195">
        <f>IFERROR(IF(VLOOKUP($A184,'Annex 2 Designated EHV charges'!$D:$P,13,FALSE)=0,"",VLOOKUP($A184,'Annex 2 Designated EHV charges'!$D:$P,13,FALSE)),"")</f>
        <v>0.05</v>
      </c>
    </row>
    <row r="185" spans="1:8" x14ac:dyDescent="0.2">
      <c r="A185" s="95" t="str" cm="1">
        <f t="array" ref="A185">IFERROR(INDEX('Annex 2 Designated EHV charges'!$D$10:$D$401, MATCH(0, IF(ISBLANK('Annex 2 Designated EHV charges'!$D$10:$D$401),1, COUNTIF(A$4:$A184, 'Annex 2 Designated EHV charges'!$D$10:$D$401)), 0)),"")</f>
        <v>OUTWDS</v>
      </c>
      <c r="B185" s="94">
        <f>IF($A185="","",VLOOKUP($A185,'Annex 2 Designated EHV charges'!$D:$O,2,0))</f>
        <v>672</v>
      </c>
      <c r="C185" s="95">
        <f>IF($A185="","",VLOOKUP($A185,'Annex 2 Designated EHV charges'!$D:$O,3,0))</f>
        <v>1050001054206</v>
      </c>
      <c r="D185" s="94" t="str">
        <f>IF($A185="","",VLOOKUP($A185,'Annex 2 Designated EHV charges'!$D:$O,4,0))</f>
        <v>OUTWDS</v>
      </c>
      <c r="E185" s="96" t="str">
        <f>IFERROR(IF(VLOOKUP($A185,'Annex 2 Designated EHV charges'!$D:$P,10,FALSE)=0,"",VLOOKUP($A185,'Annex 2 Designated EHV charges'!$D:$P,10,FALSE)),"")</f>
        <v/>
      </c>
      <c r="F185" s="195">
        <f>IFERROR(IF(VLOOKUP($A185,'Annex 2 Designated EHV charges'!$D:$P,11,FALSE)=0,"",VLOOKUP($A185,'Annex 2 Designated EHV charges'!$D:$P,11,FALSE)),"")</f>
        <v>1389.31</v>
      </c>
      <c r="G185" s="195">
        <f>IFERROR(IF(VLOOKUP($A185,'Annex 2 Designated EHV charges'!$D:$P,12,FALSE)=0,"",VLOOKUP($A185,'Annex 2 Designated EHV charges'!$D:$P,12,FALSE)),"")</f>
        <v>0.05</v>
      </c>
      <c r="H185" s="195">
        <f>IFERROR(IF(VLOOKUP($A185,'Annex 2 Designated EHV charges'!$D:$P,13,FALSE)=0,"",VLOOKUP($A185,'Annex 2 Designated EHV charges'!$D:$P,13,FALSE)),"")</f>
        <v>0.05</v>
      </c>
    </row>
    <row r="186" spans="1:8" x14ac:dyDescent="0.2">
      <c r="A186" s="95" t="str" cm="1">
        <f t="array" ref="A186">IFERROR(INDEX('Annex 2 Designated EHV charges'!$D$10:$D$401, MATCH(0, IF(ISBLANK('Annex 2 Designated EHV charges'!$D$10:$D$401),1, COUNTIF(A$4:$A185, 'Annex 2 Designated EHV charges'!$D$10:$D$401)), 0)),"")</f>
        <v>PARKFM</v>
      </c>
      <c r="B186" s="94">
        <f>IF($A186="","",VLOOKUP($A186,'Annex 2 Designated EHV charges'!$D:$O,2,0))</f>
        <v>414</v>
      </c>
      <c r="C186" s="95">
        <f>IF($A186="","",VLOOKUP($A186,'Annex 2 Designated EHV charges'!$D:$O,3,0))</f>
        <v>1050002018468</v>
      </c>
      <c r="D186" s="94" t="str">
        <f>IF($A186="","",VLOOKUP($A186,'Annex 2 Designated EHV charges'!$D:$O,4,0))</f>
        <v>PARKFM</v>
      </c>
      <c r="E186" s="96">
        <f>IFERROR(IF(VLOOKUP($A186,'Annex 2 Designated EHV charges'!$D:$P,10,FALSE)=0,"",VLOOKUP($A186,'Annex 2 Designated EHV charges'!$D:$P,10,FALSE)),"")</f>
        <v>-1.222</v>
      </c>
      <c r="F186" s="195">
        <f>IFERROR(IF(VLOOKUP($A186,'Annex 2 Designated EHV charges'!$D:$P,11,FALSE)=0,"",VLOOKUP($A186,'Annex 2 Designated EHV charges'!$D:$P,11,FALSE)),"")</f>
        <v>105.1</v>
      </c>
      <c r="G186" s="195">
        <f>IFERROR(IF(VLOOKUP($A186,'Annex 2 Designated EHV charges'!$D:$P,12,FALSE)=0,"",VLOOKUP($A186,'Annex 2 Designated EHV charges'!$D:$P,12,FALSE)),"")</f>
        <v>0.05</v>
      </c>
      <c r="H186" s="195">
        <f>IFERROR(IF(VLOOKUP($A186,'Annex 2 Designated EHV charges'!$D:$P,13,FALSE)=0,"",VLOOKUP($A186,'Annex 2 Designated EHV charges'!$D:$P,13,FALSE)),"")</f>
        <v>0.05</v>
      </c>
    </row>
    <row r="187" spans="1:8" x14ac:dyDescent="0.2">
      <c r="A187" s="95" t="str" cm="1">
        <f t="array" ref="A187">IFERROR(INDEX('Annex 2 Designated EHV charges'!$D$10:$D$401, MATCH(0, IF(ISBLANK('Annex 2 Designated EHV charges'!$D$10:$D$401),1, COUNTIF(A$4:$A186, 'Annex 2 Designated EHV charges'!$D$10:$D$401)), 0)),"")</f>
        <v>PBPS_3</v>
      </c>
      <c r="B187" s="94">
        <f>IF($A187="","",VLOOKUP($A187,'Annex 2 Designated EHV charges'!$D:$O,2,0))</f>
        <v>0</v>
      </c>
      <c r="C187" s="95" t="str">
        <f>IF($A187="","",VLOOKUP($A187,'Annex 2 Designated EHV charges'!$D:$O,3,0))</f>
        <v>MSID: 7567</v>
      </c>
      <c r="D187" s="94" t="str">
        <f>IF($A187="","",VLOOKUP($A187,'Annex 2 Designated EHV charges'!$D:$O,4,0))</f>
        <v>PBPS_3</v>
      </c>
      <c r="E187" s="96">
        <f>IFERROR(IF(VLOOKUP($A187,'Annex 2 Designated EHV charges'!$D:$P,10,FALSE)=0,"",VLOOKUP($A187,'Annex 2 Designated EHV charges'!$D:$P,10,FALSE)),"")</f>
        <v>-0.19900000000000001</v>
      </c>
      <c r="F187" s="195">
        <f>IFERROR(IF(VLOOKUP($A187,'Annex 2 Designated EHV charges'!$D:$P,11,FALSE)=0,"",VLOOKUP($A187,'Annex 2 Designated EHV charges'!$D:$P,11,FALSE)),"")</f>
        <v>1338.67</v>
      </c>
      <c r="G187" s="195">
        <f>IFERROR(IF(VLOOKUP($A187,'Annex 2 Designated EHV charges'!$D:$P,12,FALSE)=0,"",VLOOKUP($A187,'Annex 2 Designated EHV charges'!$D:$P,12,FALSE)),"")</f>
        <v>0.05</v>
      </c>
      <c r="H187" s="195">
        <f>IFERROR(IF(VLOOKUP($A187,'Annex 2 Designated EHV charges'!$D:$P,13,FALSE)=0,"",VLOOKUP($A187,'Annex 2 Designated EHV charges'!$D:$P,13,FALSE)),"")</f>
        <v>0.05</v>
      </c>
    </row>
    <row r="188" spans="1:8" x14ac:dyDescent="0.2">
      <c r="A188" s="95" t="str" cm="1">
        <f t="array" ref="A188">IFERROR(INDEX('Annex 2 Designated EHV charges'!$D$10:$D$401, MATCH(0, IF(ISBLANK('Annex 2 Designated EHV charges'!$D$10:$D$401),1, COUNTIF(A$4:$A187, 'Annex 2 Designated EHV charges'!$D$10:$D$401)), 0)),"")</f>
        <v>PEMBSF</v>
      </c>
      <c r="B188" s="94">
        <f>IF($A188="","",VLOOKUP($A188,'Annex 2 Designated EHV charges'!$D:$O,2,0))</f>
        <v>395</v>
      </c>
      <c r="C188" s="95">
        <f>IF($A188="","",VLOOKUP($A188,'Annex 2 Designated EHV charges'!$D:$O,3,0))</f>
        <v>1050002899290</v>
      </c>
      <c r="D188" s="94" t="str">
        <f>IF($A188="","",VLOOKUP($A188,'Annex 2 Designated EHV charges'!$D:$O,4,0))</f>
        <v>PEMBSF</v>
      </c>
      <c r="E188" s="96" t="str">
        <f>IFERROR(IF(VLOOKUP($A188,'Annex 2 Designated EHV charges'!$D:$P,10,FALSE)=0,"",VLOOKUP($A188,'Annex 2 Designated EHV charges'!$D:$P,10,FALSE)),"")</f>
        <v/>
      </c>
      <c r="F188" s="195">
        <f>IFERROR(IF(VLOOKUP($A188,'Annex 2 Designated EHV charges'!$D:$P,11,FALSE)=0,"",VLOOKUP($A188,'Annex 2 Designated EHV charges'!$D:$P,11,FALSE)),"")</f>
        <v>493.69</v>
      </c>
      <c r="G188" s="195">
        <f>IFERROR(IF(VLOOKUP($A188,'Annex 2 Designated EHV charges'!$D:$P,12,FALSE)=0,"",VLOOKUP($A188,'Annex 2 Designated EHV charges'!$D:$P,12,FALSE)),"")</f>
        <v>0.05</v>
      </c>
      <c r="H188" s="195">
        <f>IFERROR(IF(VLOOKUP($A188,'Annex 2 Designated EHV charges'!$D:$P,13,FALSE)=0,"",VLOOKUP($A188,'Annex 2 Designated EHV charges'!$D:$P,13,FALSE)),"")</f>
        <v>0.05</v>
      </c>
    </row>
    <row r="189" spans="1:8" x14ac:dyDescent="0.2">
      <c r="A189" s="95" t="str" cm="1">
        <f t="array" ref="A189">IFERROR(INDEX('Annex 2 Designated EHV charges'!$D$10:$D$401, MATCH(0, IF(ISBLANK('Annex 2 Designated EHV charges'!$D$10:$D$401),1, COUNTIF(A$4:$A188, 'Annex 2 Designated EHV charges'!$D$10:$D$401)), 0)),"")</f>
        <v>PENTSF</v>
      </c>
      <c r="B189" s="94">
        <f>IF($A189="","",VLOOKUP($A189,'Annex 2 Designated EHV charges'!$D:$O,2,0))</f>
        <v>392</v>
      </c>
      <c r="C189" s="95">
        <f>IF($A189="","",VLOOKUP($A189,'Annex 2 Designated EHV charges'!$D:$O,3,0))</f>
        <v>1050002866374</v>
      </c>
      <c r="D189" s="94" t="str">
        <f>IF($A189="","",VLOOKUP($A189,'Annex 2 Designated EHV charges'!$D:$O,4,0))</f>
        <v>PENTSF</v>
      </c>
      <c r="E189" s="96" t="str">
        <f>IFERROR(IF(VLOOKUP($A189,'Annex 2 Designated EHV charges'!$D:$P,10,FALSE)=0,"",VLOOKUP($A189,'Annex 2 Designated EHV charges'!$D:$P,10,FALSE)),"")</f>
        <v/>
      </c>
      <c r="F189" s="195">
        <f>IFERROR(IF(VLOOKUP($A189,'Annex 2 Designated EHV charges'!$D:$P,11,FALSE)=0,"",VLOOKUP($A189,'Annex 2 Designated EHV charges'!$D:$P,11,FALSE)),"")</f>
        <v>2648.92</v>
      </c>
      <c r="G189" s="195">
        <f>IFERROR(IF(VLOOKUP($A189,'Annex 2 Designated EHV charges'!$D:$P,12,FALSE)=0,"",VLOOKUP($A189,'Annex 2 Designated EHV charges'!$D:$P,12,FALSE)),"")</f>
        <v>0.05</v>
      </c>
      <c r="H189" s="195">
        <f>IFERROR(IF(VLOOKUP($A189,'Annex 2 Designated EHV charges'!$D:$P,13,FALSE)=0,"",VLOOKUP($A189,'Annex 2 Designated EHV charges'!$D:$P,13,FALSE)),"")</f>
        <v>0.05</v>
      </c>
    </row>
    <row r="190" spans="1:8" x14ac:dyDescent="0.2">
      <c r="A190" s="95" t="str" cm="1">
        <f t="array" ref="A190">IFERROR(INDEX('Annex 2 Designated EHV charges'!$D$10:$D$401, MATCH(0, IF(ISBLANK('Annex 2 Designated EHV charges'!$D$10:$D$401),1, COUNTIF(A$4:$A189, 'Annex 2 Designated EHV charges'!$D$10:$D$401)), 0)),"")</f>
        <v>PICKEN</v>
      </c>
      <c r="B190" s="94">
        <f>IF($A190="","",VLOOKUP($A190,'Annex 2 Designated EHV charges'!$D:$O,2,0))</f>
        <v>706</v>
      </c>
      <c r="C190" s="95">
        <f>IF($A190="","",VLOOKUP($A190,'Annex 2 Designated EHV charges'!$D:$O,3,0))</f>
        <v>1030030430849</v>
      </c>
      <c r="D190" s="94" t="str">
        <f>IF($A190="","",VLOOKUP($A190,'Annex 2 Designated EHV charges'!$D:$O,4,0))</f>
        <v>PICKEN</v>
      </c>
      <c r="E190" s="96" t="str">
        <f>IFERROR(IF(VLOOKUP($A190,'Annex 2 Designated EHV charges'!$D:$P,10,FALSE)=0,"",VLOOKUP($A190,'Annex 2 Designated EHV charges'!$D:$P,10,FALSE)),"")</f>
        <v/>
      </c>
      <c r="F190" s="195" t="str">
        <f>IFERROR(IF(VLOOKUP($A190,'Annex 2 Designated EHV charges'!$D:$P,11,FALSE)=0,"",VLOOKUP($A190,'Annex 2 Designated EHV charges'!$D:$P,11,FALSE)),"")</f>
        <v/>
      </c>
      <c r="G190" s="195" t="str">
        <f>IFERROR(IF(VLOOKUP($A190,'Annex 2 Designated EHV charges'!$D:$P,12,FALSE)=0,"",VLOOKUP($A190,'Annex 2 Designated EHV charges'!$D:$P,12,FALSE)),"")</f>
        <v/>
      </c>
      <c r="H190" s="195" t="str">
        <f>IFERROR(IF(VLOOKUP($A190,'Annex 2 Designated EHV charges'!$D:$P,13,FALSE)=0,"",VLOOKUP($A190,'Annex 2 Designated EHV charges'!$D:$P,13,FALSE)),"")</f>
        <v/>
      </c>
    </row>
    <row r="191" spans="1:8" x14ac:dyDescent="0.2">
      <c r="A191" s="95" t="str" cm="1">
        <f t="array" ref="A191">IFERROR(INDEX('Annex 2 Designated EHV charges'!$D$10:$D$401, MATCH(0, IF(ISBLANK('Annex 2 Designated EHV charges'!$D$10:$D$401),1, COUNTIF(A$4:$A190, 'Annex 2 Designated EHV charges'!$D$10:$D$401)), 0)),"")</f>
        <v>PLYTRS</v>
      </c>
      <c r="B191" s="94">
        <f>IF($A191="","",VLOOKUP($A191,'Annex 2 Designated EHV charges'!$D:$O,2,0))</f>
        <v>693</v>
      </c>
      <c r="C191" s="95">
        <f>IF($A191="","",VLOOKUP($A191,'Annex 2 Designated EHV charges'!$D:$O,3,0))</f>
        <v>1050000903174</v>
      </c>
      <c r="D191" s="94" t="str">
        <f>IF($A191="","",VLOOKUP($A191,'Annex 2 Designated EHV charges'!$D:$O,4,0))</f>
        <v>PLYTRS</v>
      </c>
      <c r="E191" s="96" t="str">
        <f>IFERROR(IF(VLOOKUP($A191,'Annex 2 Designated EHV charges'!$D:$P,10,FALSE)=0,"",VLOOKUP($A191,'Annex 2 Designated EHV charges'!$D:$P,10,FALSE)),"")</f>
        <v/>
      </c>
      <c r="F191" s="195">
        <f>IFERROR(IF(VLOOKUP($A191,'Annex 2 Designated EHV charges'!$D:$P,11,FALSE)=0,"",VLOOKUP($A191,'Annex 2 Designated EHV charges'!$D:$P,11,FALSE)),"")</f>
        <v>7574.08</v>
      </c>
      <c r="G191" s="195">
        <f>IFERROR(IF(VLOOKUP($A191,'Annex 2 Designated EHV charges'!$D:$P,12,FALSE)=0,"",VLOOKUP($A191,'Annex 2 Designated EHV charges'!$D:$P,12,FALSE)),"")</f>
        <v>0.05</v>
      </c>
      <c r="H191" s="195">
        <f>IFERROR(IF(VLOOKUP($A191,'Annex 2 Designated EHV charges'!$D:$P,13,FALSE)=0,"",VLOOKUP($A191,'Annex 2 Designated EHV charges'!$D:$P,13,FALSE)),"")</f>
        <v>0.05</v>
      </c>
    </row>
    <row r="192" spans="1:8" x14ac:dyDescent="0.2">
      <c r="A192" s="95" t="str" cm="1">
        <f t="array" ref="A192">IFERROR(INDEX('Annex 2 Designated EHV charges'!$D$10:$D$401, MATCH(0, IF(ISBLANK('Annex 2 Designated EHV charges'!$D$10:$D$401),1, COUNTIF(A$4:$A191, 'Annex 2 Designated EHV charges'!$D$10:$D$401)), 0)),"")</f>
        <v>POBAIL</v>
      </c>
      <c r="B192" s="94">
        <f>IF($A192="","",VLOOKUP($A192,'Annex 2 Designated EHV charges'!$D:$O,2,0))</f>
        <v>448</v>
      </c>
      <c r="C192" s="95">
        <f>IF($A192="","",VLOOKUP($A192,'Annex 2 Designated EHV charges'!$D:$O,3,0))</f>
        <v>1050001118490</v>
      </c>
      <c r="D192" s="94" t="str">
        <f>IF($A192="","",VLOOKUP($A192,'Annex 2 Designated EHV charges'!$D:$O,4,0))</f>
        <v>POBAIL</v>
      </c>
      <c r="E192" s="96" t="str">
        <f>IFERROR(IF(VLOOKUP($A192,'Annex 2 Designated EHV charges'!$D:$P,10,FALSE)=0,"",VLOOKUP($A192,'Annex 2 Designated EHV charges'!$D:$P,10,FALSE)),"")</f>
        <v/>
      </c>
      <c r="F192" s="195">
        <f>IFERROR(IF(VLOOKUP($A192,'Annex 2 Designated EHV charges'!$D:$P,11,FALSE)=0,"",VLOOKUP($A192,'Annex 2 Designated EHV charges'!$D:$P,11,FALSE)),"")</f>
        <v>3712.92</v>
      </c>
      <c r="G192" s="195">
        <f>IFERROR(IF(VLOOKUP($A192,'Annex 2 Designated EHV charges'!$D:$P,12,FALSE)=0,"",VLOOKUP($A192,'Annex 2 Designated EHV charges'!$D:$P,12,FALSE)),"")</f>
        <v>0.05</v>
      </c>
      <c r="H192" s="195">
        <f>IFERROR(IF(VLOOKUP($A192,'Annex 2 Designated EHV charges'!$D:$P,13,FALSE)=0,"",VLOOKUP($A192,'Annex 2 Designated EHV charges'!$D:$P,13,FALSE)),"")</f>
        <v>0.05</v>
      </c>
    </row>
    <row r="193" spans="1:8" x14ac:dyDescent="0.2">
      <c r="A193" s="95" t="str" cm="1">
        <f t="array" ref="A193">IFERROR(INDEX('Annex 2 Designated EHV charges'!$D$10:$D$401, MATCH(0, IF(ISBLANK('Annex 2 Designated EHV charges'!$D$10:$D$401),1, COUNTIF(A$4:$A192, 'Annex 2 Designated EHV charges'!$D$10:$D$401)), 0)),"")</f>
        <v>PRHMSF</v>
      </c>
      <c r="B193" s="94">
        <f>IF($A193="","",VLOOKUP($A193,'Annex 2 Designated EHV charges'!$D:$O,2,0))</f>
        <v>777</v>
      </c>
      <c r="C193" s="95">
        <f>IF($A193="","",VLOOKUP($A193,'Annex 2 Designated EHV charges'!$D:$O,3,0))</f>
        <v>1030085040202</v>
      </c>
      <c r="D193" s="94" t="str">
        <f>IF($A193="","",VLOOKUP($A193,'Annex 2 Designated EHV charges'!$D:$O,4,0))</f>
        <v>PRHMSF</v>
      </c>
      <c r="E193" s="96" t="str">
        <f>IFERROR(IF(VLOOKUP($A193,'Annex 2 Designated EHV charges'!$D:$P,10,FALSE)=0,"",VLOOKUP($A193,'Annex 2 Designated EHV charges'!$D:$P,10,FALSE)),"")</f>
        <v/>
      </c>
      <c r="F193" s="195">
        <f>IFERROR(IF(VLOOKUP($A193,'Annex 2 Designated EHV charges'!$D:$P,11,FALSE)=0,"",VLOOKUP($A193,'Annex 2 Designated EHV charges'!$D:$P,11,FALSE)),"")</f>
        <v>3885.14</v>
      </c>
      <c r="G193" s="195">
        <f>IFERROR(IF(VLOOKUP($A193,'Annex 2 Designated EHV charges'!$D:$P,12,FALSE)=0,"",VLOOKUP($A193,'Annex 2 Designated EHV charges'!$D:$P,12,FALSE)),"")</f>
        <v>0.05</v>
      </c>
      <c r="H193" s="195">
        <f>IFERROR(IF(VLOOKUP($A193,'Annex 2 Designated EHV charges'!$D:$P,13,FALSE)=0,"",VLOOKUP($A193,'Annex 2 Designated EHV charges'!$D:$P,13,FALSE)),"")</f>
        <v>0.05</v>
      </c>
    </row>
    <row r="194" spans="1:8" x14ac:dyDescent="0.2">
      <c r="A194" s="95" t="str" cm="1">
        <f t="array" ref="A194">IFERROR(INDEX('Annex 2 Designated EHV charges'!$D$10:$D$401, MATCH(0, IF(ISBLANK('Annex 2 Designated EHV charges'!$D$10:$D$401),1, COUNTIF(A$4:$A193, 'Annex 2 Designated EHV charges'!$D$10:$D$401)), 0)),"")</f>
        <v>PTRBRO</v>
      </c>
      <c r="B194" s="94">
        <f>IF($A194="","",VLOOKUP($A194,'Annex 2 Designated EHV charges'!$D:$O,2,0))</f>
        <v>0</v>
      </c>
      <c r="C194" s="95" t="str">
        <f>IF($A194="","",VLOOKUP($A194,'Annex 2 Designated EHV charges'!$D:$O,3,0))</f>
        <v>MSID: 7006</v>
      </c>
      <c r="D194" s="94" t="str">
        <f>IF($A194="","",VLOOKUP($A194,'Annex 2 Designated EHV charges'!$D:$O,4,0))</f>
        <v>PTRBRO</v>
      </c>
      <c r="E194" s="96">
        <f>IFERROR(IF(VLOOKUP($A194,'Annex 2 Designated EHV charges'!$D:$P,10,FALSE)=0,"",VLOOKUP($A194,'Annex 2 Designated EHV charges'!$D:$P,10,FALSE)),"")</f>
        <v>-0.4</v>
      </c>
      <c r="F194" s="195">
        <f>IFERROR(IF(VLOOKUP($A194,'Annex 2 Designated EHV charges'!$D:$P,11,FALSE)=0,"",VLOOKUP($A194,'Annex 2 Designated EHV charges'!$D:$P,11,FALSE)),"")</f>
        <v>2703.03</v>
      </c>
      <c r="G194" s="195">
        <f>IFERROR(IF(VLOOKUP($A194,'Annex 2 Designated EHV charges'!$D:$P,12,FALSE)=0,"",VLOOKUP($A194,'Annex 2 Designated EHV charges'!$D:$P,12,FALSE)),"")</f>
        <v>0.05</v>
      </c>
      <c r="H194" s="195">
        <f>IFERROR(IF(VLOOKUP($A194,'Annex 2 Designated EHV charges'!$D:$P,13,FALSE)=0,"",VLOOKUP($A194,'Annex 2 Designated EHV charges'!$D:$P,13,FALSE)),"")</f>
        <v>0.05</v>
      </c>
    </row>
    <row r="195" spans="1:8" x14ac:dyDescent="0.2">
      <c r="A195" s="95" t="str" cm="1">
        <f t="array" ref="A195">IFERROR(INDEX('Annex 2 Designated EHV charges'!$D$10:$D$401, MATCH(0, IF(ISBLANK('Annex 2 Designated EHV charges'!$D$10:$D$401),1, COUNTIF(A$4:$A194, 'Annex 2 Designated EHV charges'!$D$10:$D$401)), 0)),"")</f>
        <v>QRRNDN</v>
      </c>
      <c r="B195" s="94">
        <f>IF($A195="","",VLOOKUP($A195,'Annex 2 Designated EHV charges'!$D:$O,2,0))</f>
        <v>458</v>
      </c>
      <c r="C195" s="95">
        <f>IF($A195="","",VLOOKUP($A195,'Annex 2 Designated EHV charges'!$D:$O,3,0))</f>
        <v>1050000768693</v>
      </c>
      <c r="D195" s="94" t="str">
        <f>IF($A195="","",VLOOKUP($A195,'Annex 2 Designated EHV charges'!$D:$O,4,0))</f>
        <v>QRRNDN</v>
      </c>
      <c r="E195" s="96" t="str">
        <f>IFERROR(IF(VLOOKUP($A195,'Annex 2 Designated EHV charges'!$D:$P,10,FALSE)=0,"",VLOOKUP($A195,'Annex 2 Designated EHV charges'!$D:$P,10,FALSE)),"")</f>
        <v/>
      </c>
      <c r="F195" s="195">
        <f>IFERROR(IF(VLOOKUP($A195,'Annex 2 Designated EHV charges'!$D:$P,11,FALSE)=0,"",VLOOKUP($A195,'Annex 2 Designated EHV charges'!$D:$P,11,FALSE)),"")</f>
        <v>1951.48</v>
      </c>
      <c r="G195" s="195">
        <f>IFERROR(IF(VLOOKUP($A195,'Annex 2 Designated EHV charges'!$D:$P,12,FALSE)=0,"",VLOOKUP($A195,'Annex 2 Designated EHV charges'!$D:$P,12,FALSE)),"")</f>
        <v>0.05</v>
      </c>
      <c r="H195" s="195">
        <f>IFERROR(IF(VLOOKUP($A195,'Annex 2 Designated EHV charges'!$D:$P,13,FALSE)=0,"",VLOOKUP($A195,'Annex 2 Designated EHV charges'!$D:$P,13,FALSE)),"")</f>
        <v>0.05</v>
      </c>
    </row>
    <row r="196" spans="1:8" ht="25.5" x14ac:dyDescent="0.2">
      <c r="A196" s="95" t="str" cm="1">
        <f t="array" ref="A196">IFERROR(INDEX('Annex 2 Designated EHV charges'!$D$10:$D$401, MATCH(0, IF(ISBLANK('Annex 2 Designated EHV charges'!$D$10:$D$401),1, COUNTIF(A$4:$A195, 'Annex 2 Designated EHV charges'!$D$10:$D$401)), 0)),"")</f>
        <v>RAINHM</v>
      </c>
      <c r="B196" s="94">
        <f>IF($A196="","",VLOOKUP($A196,'Annex 2 Designated EHV charges'!$D:$O,2,0))</f>
        <v>703</v>
      </c>
      <c r="C196" s="95" t="str">
        <f>IF($A196="","",VLOOKUP($A196,'Annex 2 Designated EHV charges'!$D:$O,3,0))</f>
        <v>1023487353444;1023525149808</v>
      </c>
      <c r="D196" s="94" t="str">
        <f>IF($A196="","",VLOOKUP($A196,'Annex 2 Designated EHV charges'!$D:$O,4,0))</f>
        <v>RAINHM</v>
      </c>
      <c r="E196" s="96">
        <f>IFERROR(IF(VLOOKUP($A196,'Annex 2 Designated EHV charges'!$D:$P,10,FALSE)=0,"",VLOOKUP($A196,'Annex 2 Designated EHV charges'!$D:$P,10,FALSE)),"")</f>
        <v>-3.4550000000000001</v>
      </c>
      <c r="F196" s="195">
        <f>IFERROR(IF(VLOOKUP($A196,'Annex 2 Designated EHV charges'!$D:$P,11,FALSE)=0,"",VLOOKUP($A196,'Annex 2 Designated EHV charges'!$D:$P,11,FALSE)),"")</f>
        <v>4950.45</v>
      </c>
      <c r="G196" s="195">
        <f>IFERROR(IF(VLOOKUP($A196,'Annex 2 Designated EHV charges'!$D:$P,12,FALSE)=0,"",VLOOKUP($A196,'Annex 2 Designated EHV charges'!$D:$P,12,FALSE)),"")</f>
        <v>0.05</v>
      </c>
      <c r="H196" s="195">
        <f>IFERROR(IF(VLOOKUP($A196,'Annex 2 Designated EHV charges'!$D:$P,13,FALSE)=0,"",VLOOKUP($A196,'Annex 2 Designated EHV charges'!$D:$P,13,FALSE)),"")</f>
        <v>0.05</v>
      </c>
    </row>
    <row r="197" spans="1:8" x14ac:dyDescent="0.2">
      <c r="A197" s="95" t="str" cm="1">
        <f t="array" ref="A197">IFERROR(INDEX('Annex 2 Designated EHV charges'!$D$10:$D$401, MATCH(0, IF(ISBLANK('Annex 2 Designated EHV charges'!$D$10:$D$401),1, COUNTIF(A$4:$A196, 'Annex 2 Designated EHV charges'!$D$10:$D$401)), 0)),"")</f>
        <v>RANDCS</v>
      </c>
      <c r="B197" s="94">
        <f>IF($A197="","",VLOOKUP($A197,'Annex 2 Designated EHV charges'!$D:$O,2,0))</f>
        <v>673</v>
      </c>
      <c r="C197" s="95">
        <f>IF($A197="","",VLOOKUP($A197,'Annex 2 Designated EHV charges'!$D:$O,3,0))</f>
        <v>1050001041935</v>
      </c>
      <c r="D197" s="94" t="str">
        <f>IF($A197="","",VLOOKUP($A197,'Annex 2 Designated EHV charges'!$D:$O,4,0))</f>
        <v>RANDCS</v>
      </c>
      <c r="E197" s="96" t="str">
        <f>IFERROR(IF(VLOOKUP($A197,'Annex 2 Designated EHV charges'!$D:$P,10,FALSE)=0,"",VLOOKUP($A197,'Annex 2 Designated EHV charges'!$D:$P,10,FALSE)),"")</f>
        <v/>
      </c>
      <c r="F197" s="195">
        <f>IFERROR(IF(VLOOKUP($A197,'Annex 2 Designated EHV charges'!$D:$P,11,FALSE)=0,"",VLOOKUP($A197,'Annex 2 Designated EHV charges'!$D:$P,11,FALSE)),"")</f>
        <v>2905.07</v>
      </c>
      <c r="G197" s="195">
        <f>IFERROR(IF(VLOOKUP($A197,'Annex 2 Designated EHV charges'!$D:$P,12,FALSE)=0,"",VLOOKUP($A197,'Annex 2 Designated EHV charges'!$D:$P,12,FALSE)),"")</f>
        <v>0.05</v>
      </c>
      <c r="H197" s="195">
        <f>IFERROR(IF(VLOOKUP($A197,'Annex 2 Designated EHV charges'!$D:$P,13,FALSE)=0,"",VLOOKUP($A197,'Annex 2 Designated EHV charges'!$D:$P,13,FALSE)),"")</f>
        <v>0.05</v>
      </c>
    </row>
    <row r="198" spans="1:8" x14ac:dyDescent="0.2">
      <c r="A198" s="95" t="str" cm="1">
        <f t="array" ref="A198">IFERROR(INDEX('Annex 2 Designated EHV charges'!$D$10:$D$401, MATCH(0, IF(ISBLANK('Annex 2 Designated EHV charges'!$D$10:$D$401),1, COUNTIF(A$4:$A197, 'Annex 2 Designated EHV charges'!$D$10:$D$401)), 0)),"")</f>
        <v>RANSON</v>
      </c>
      <c r="B198" s="94">
        <f>IF($A198="","",VLOOKUP($A198,'Annex 2 Designated EHV charges'!$D:$O,2,0))</f>
        <v>714</v>
      </c>
      <c r="C198" s="95">
        <f>IF($A198="","",VLOOKUP($A198,'Annex 2 Designated EHV charges'!$D:$O,3,0))</f>
        <v>1030034117513</v>
      </c>
      <c r="D198" s="94" t="str">
        <f>IF($A198="","",VLOOKUP($A198,'Annex 2 Designated EHV charges'!$D:$O,4,0))</f>
        <v>RANSON</v>
      </c>
      <c r="E198" s="96" t="str">
        <f>IFERROR(IF(VLOOKUP($A198,'Annex 2 Designated EHV charges'!$D:$P,10,FALSE)=0,"",VLOOKUP($A198,'Annex 2 Designated EHV charges'!$D:$P,10,FALSE)),"")</f>
        <v/>
      </c>
      <c r="F198" s="195" t="str">
        <f>IFERROR(IF(VLOOKUP($A198,'Annex 2 Designated EHV charges'!$D:$P,11,FALSE)=0,"",VLOOKUP($A198,'Annex 2 Designated EHV charges'!$D:$P,11,FALSE)),"")</f>
        <v/>
      </c>
      <c r="G198" s="195" t="str">
        <f>IFERROR(IF(VLOOKUP($A198,'Annex 2 Designated EHV charges'!$D:$P,12,FALSE)=0,"",VLOOKUP($A198,'Annex 2 Designated EHV charges'!$D:$P,12,FALSE)),"")</f>
        <v/>
      </c>
      <c r="H198" s="195" t="str">
        <f>IFERROR(IF(VLOOKUP($A198,'Annex 2 Designated EHV charges'!$D:$P,13,FALSE)=0,"",VLOOKUP($A198,'Annex 2 Designated EHV charges'!$D:$P,13,FALSE)),"")</f>
        <v/>
      </c>
    </row>
    <row r="199" spans="1:8" ht="25.5" x14ac:dyDescent="0.2">
      <c r="A199" s="95" t="str" cm="1">
        <f t="array" ref="A199">IFERROR(INDEX('Annex 2 Designated EHV charges'!$D$10:$D$401, MATCH(0, IF(ISBLANK('Annex 2 Designated EHV charges'!$D$10:$D$401),1, COUNTIF(A$4:$A198, 'Annex 2 Designated EHV charges'!$D$10:$D$401)), 0)),"")</f>
        <v>REDTI1</v>
      </c>
      <c r="B199" s="94">
        <f>IF($A199="","",VLOOKUP($A199,'Annex 2 Designated EHV charges'!$D:$O,2,0))</f>
        <v>708</v>
      </c>
      <c r="C199" s="95" t="str">
        <f>IF($A199="","",VLOOKUP($A199,'Annex 2 Designated EHV charges'!$D:$O,3,0))</f>
        <v>1030037258397;1030037258625</v>
      </c>
      <c r="D199" s="94" t="str">
        <f>IF($A199="","",VLOOKUP($A199,'Annex 2 Designated EHV charges'!$D:$O,4,0))</f>
        <v>REDTI1</v>
      </c>
      <c r="E199" s="96" t="str">
        <f>IFERROR(IF(VLOOKUP($A199,'Annex 2 Designated EHV charges'!$D:$P,10,FALSE)=0,"",VLOOKUP($A199,'Annex 2 Designated EHV charges'!$D:$P,10,FALSE)),"")</f>
        <v/>
      </c>
      <c r="F199" s="195">
        <f>IFERROR(IF(VLOOKUP($A199,'Annex 2 Designated EHV charges'!$D:$P,11,FALSE)=0,"",VLOOKUP($A199,'Annex 2 Designated EHV charges'!$D:$P,11,FALSE)),"")</f>
        <v>17126.919999999998</v>
      </c>
      <c r="G199" s="195">
        <f>IFERROR(IF(VLOOKUP($A199,'Annex 2 Designated EHV charges'!$D:$P,12,FALSE)=0,"",VLOOKUP($A199,'Annex 2 Designated EHV charges'!$D:$P,12,FALSE)),"")</f>
        <v>0.05</v>
      </c>
      <c r="H199" s="195">
        <f>IFERROR(IF(VLOOKUP($A199,'Annex 2 Designated EHV charges'!$D:$P,13,FALSE)=0,"",VLOOKUP($A199,'Annex 2 Designated EHV charges'!$D:$P,13,FALSE)),"")</f>
        <v>0.05</v>
      </c>
    </row>
    <row r="200" spans="1:8" x14ac:dyDescent="0.2">
      <c r="A200" s="95" t="str" cm="1">
        <f t="array" ref="A200">IFERROR(INDEX('Annex 2 Designated EHV charges'!$D$10:$D$401, MATCH(0, IF(ISBLANK('Annex 2 Designated EHV charges'!$D$10:$D$401),1, COUNTIF(A$4:$A199, 'Annex 2 Designated EHV charges'!$D$10:$D$401)), 0)),"")</f>
        <v>REYDON</v>
      </c>
      <c r="B200" s="94">
        <f>IF($A200="","",VLOOKUP($A200,'Annex 2 Designated EHV charges'!$D:$O,2,0))</f>
        <v>776</v>
      </c>
      <c r="C200" s="95">
        <f>IF($A200="","",VLOOKUP($A200,'Annex 2 Designated EHV charges'!$D:$O,3,0))</f>
        <v>1050000612807</v>
      </c>
      <c r="D200" s="94" t="str">
        <f>IF($A200="","",VLOOKUP($A200,'Annex 2 Designated EHV charges'!$D:$O,4,0))</f>
        <v>REYDON</v>
      </c>
      <c r="E200" s="96" t="str">
        <f>IFERROR(IF(VLOOKUP($A200,'Annex 2 Designated EHV charges'!$D:$P,10,FALSE)=0,"",VLOOKUP($A200,'Annex 2 Designated EHV charges'!$D:$P,10,FALSE)),"")</f>
        <v/>
      </c>
      <c r="F200" s="195">
        <f>IFERROR(IF(VLOOKUP($A200,'Annex 2 Designated EHV charges'!$D:$P,11,FALSE)=0,"",VLOOKUP($A200,'Annex 2 Designated EHV charges'!$D:$P,11,FALSE)),"")</f>
        <v>1122.3699999999999</v>
      </c>
      <c r="G200" s="195">
        <f>IFERROR(IF(VLOOKUP($A200,'Annex 2 Designated EHV charges'!$D:$P,12,FALSE)=0,"",VLOOKUP($A200,'Annex 2 Designated EHV charges'!$D:$P,12,FALSE)),"")</f>
        <v>0.05</v>
      </c>
      <c r="H200" s="195">
        <f>IFERROR(IF(VLOOKUP($A200,'Annex 2 Designated EHV charges'!$D:$P,13,FALSE)=0,"",VLOOKUP($A200,'Annex 2 Designated EHV charges'!$D:$P,13,FALSE)),"")</f>
        <v>0.05</v>
      </c>
    </row>
    <row r="201" spans="1:8" x14ac:dyDescent="0.2">
      <c r="A201" s="95" t="str" cm="1">
        <f t="array" ref="A201">IFERROR(INDEX('Annex 2 Designated EHV charges'!$D$10:$D$401, MATCH(0, IF(ISBLANK('Annex 2 Designated EHV charges'!$D$10:$D$401),1, COUNTIF(A$4:$A200, 'Annex 2 Designated EHV charges'!$D$10:$D$401)), 0)),"")</f>
        <v>RIVERF</v>
      </c>
      <c r="B201" s="94">
        <f>IF($A201="","",VLOOKUP($A201,'Annex 2 Designated EHV charges'!$D:$O,2,0))</f>
        <v>425</v>
      </c>
      <c r="C201" s="95">
        <f>IF($A201="","",VLOOKUP($A201,'Annex 2 Designated EHV charges'!$D:$O,3,0))</f>
        <v>1050002912472</v>
      </c>
      <c r="D201" s="94" t="str">
        <f>IF($A201="","",VLOOKUP($A201,'Annex 2 Designated EHV charges'!$D:$O,4,0))</f>
        <v>RIVERF</v>
      </c>
      <c r="E201" s="96" t="str">
        <f>IFERROR(IF(VLOOKUP($A201,'Annex 2 Designated EHV charges'!$D:$P,10,FALSE)=0,"",VLOOKUP($A201,'Annex 2 Designated EHV charges'!$D:$P,10,FALSE)),"")</f>
        <v/>
      </c>
      <c r="F201" s="195">
        <f>IFERROR(IF(VLOOKUP($A201,'Annex 2 Designated EHV charges'!$D:$P,11,FALSE)=0,"",VLOOKUP($A201,'Annex 2 Designated EHV charges'!$D:$P,11,FALSE)),"")</f>
        <v>26566.73</v>
      </c>
      <c r="G201" s="195">
        <f>IFERROR(IF(VLOOKUP($A201,'Annex 2 Designated EHV charges'!$D:$P,12,FALSE)=0,"",VLOOKUP($A201,'Annex 2 Designated EHV charges'!$D:$P,12,FALSE)),"")</f>
        <v>0.05</v>
      </c>
      <c r="H201" s="195">
        <f>IFERROR(IF(VLOOKUP($A201,'Annex 2 Designated EHV charges'!$D:$P,13,FALSE)=0,"",VLOOKUP($A201,'Annex 2 Designated EHV charges'!$D:$P,13,FALSE)),"")</f>
        <v>0.05</v>
      </c>
    </row>
    <row r="202" spans="1:8" x14ac:dyDescent="0.2">
      <c r="A202" s="95" t="str" cm="1">
        <f t="array" ref="A202">IFERROR(INDEX('Annex 2 Designated EHV charges'!$D$10:$D$401, MATCH(0, IF(ISBLANK('Annex 2 Designated EHV charges'!$D$10:$D$401),1, COUNTIF(A$4:$A201, 'Annex 2 Designated EHV charges'!$D$10:$D$401)), 0)),"")</f>
        <v>RKYERF</v>
      </c>
      <c r="B202" s="94">
        <f>IF($A202="","",VLOOKUP($A202,'Annex 2 Designated EHV charges'!$D:$O,2,0))</f>
        <v>408</v>
      </c>
      <c r="C202" s="95">
        <f>IF($A202="","",VLOOKUP($A202,'Annex 2 Designated EHV charges'!$D:$O,3,0))</f>
        <v>1050001971050</v>
      </c>
      <c r="D202" s="94" t="str">
        <f>IF($A202="","",VLOOKUP($A202,'Annex 2 Designated EHV charges'!$D:$O,4,0))</f>
        <v>RKYERF</v>
      </c>
      <c r="E202" s="96">
        <f>IFERROR(IF(VLOOKUP($A202,'Annex 2 Designated EHV charges'!$D:$P,10,FALSE)=0,"",VLOOKUP($A202,'Annex 2 Designated EHV charges'!$D:$P,10,FALSE)),"")</f>
        <v>-0.74199999999999999</v>
      </c>
      <c r="F202" s="195">
        <f>IFERROR(IF(VLOOKUP($A202,'Annex 2 Designated EHV charges'!$D:$P,11,FALSE)=0,"",VLOOKUP($A202,'Annex 2 Designated EHV charges'!$D:$P,11,FALSE)),"")</f>
        <v>12843.15</v>
      </c>
      <c r="G202" s="195">
        <f>IFERROR(IF(VLOOKUP($A202,'Annex 2 Designated EHV charges'!$D:$P,12,FALSE)=0,"",VLOOKUP($A202,'Annex 2 Designated EHV charges'!$D:$P,12,FALSE)),"")</f>
        <v>0.05</v>
      </c>
      <c r="H202" s="195">
        <f>IFERROR(IF(VLOOKUP($A202,'Annex 2 Designated EHV charges'!$D:$P,13,FALSE)=0,"",VLOOKUP($A202,'Annex 2 Designated EHV charges'!$D:$P,13,FALSE)),"")</f>
        <v>0.05</v>
      </c>
    </row>
    <row r="203" spans="1:8" x14ac:dyDescent="0.2">
      <c r="A203" s="95" t="str" cm="1">
        <f t="array" ref="A203">IFERROR(INDEX('Annex 2 Designated EHV charges'!$D$10:$D$401, MATCH(0, IF(ISBLANK('Annex 2 Designated EHV charges'!$D$10:$D$401),1, COUNTIF(A$4:$A202, 'Annex 2 Designated EHV charges'!$D$10:$D$401)), 0)),"")</f>
        <v>RMSYSF</v>
      </c>
      <c r="B203" s="94">
        <f>IF($A203="","",VLOOKUP($A203,'Annex 2 Designated EHV charges'!$D:$O,2,0))</f>
        <v>674</v>
      </c>
      <c r="C203" s="95">
        <f>IF($A203="","",VLOOKUP($A203,'Annex 2 Designated EHV charges'!$D:$O,3,0))</f>
        <v>1050001036660</v>
      </c>
      <c r="D203" s="94" t="str">
        <f>IF($A203="","",VLOOKUP($A203,'Annex 2 Designated EHV charges'!$D:$O,4,0))</f>
        <v>RMSYSF</v>
      </c>
      <c r="E203" s="96" t="str">
        <f>IFERROR(IF(VLOOKUP($A203,'Annex 2 Designated EHV charges'!$D:$P,10,FALSE)=0,"",VLOOKUP($A203,'Annex 2 Designated EHV charges'!$D:$P,10,FALSE)),"")</f>
        <v/>
      </c>
      <c r="F203" s="195">
        <f>IFERROR(IF(VLOOKUP($A203,'Annex 2 Designated EHV charges'!$D:$P,11,FALSE)=0,"",VLOOKUP($A203,'Annex 2 Designated EHV charges'!$D:$P,11,FALSE)),"")</f>
        <v>2007.96</v>
      </c>
      <c r="G203" s="195">
        <f>IFERROR(IF(VLOOKUP($A203,'Annex 2 Designated EHV charges'!$D:$P,12,FALSE)=0,"",VLOOKUP($A203,'Annex 2 Designated EHV charges'!$D:$P,12,FALSE)),"")</f>
        <v>0.05</v>
      </c>
      <c r="H203" s="195">
        <f>IFERROR(IF(VLOOKUP($A203,'Annex 2 Designated EHV charges'!$D:$P,13,FALSE)=0,"",VLOOKUP($A203,'Annex 2 Designated EHV charges'!$D:$P,13,FALSE)),"")</f>
        <v>0.05</v>
      </c>
    </row>
    <row r="204" spans="1:8" x14ac:dyDescent="0.2">
      <c r="A204" s="95" t="str" cm="1">
        <f t="array" ref="A204">IFERROR(INDEX('Annex 2 Designated EHV charges'!$D$10:$D$401, MATCH(0, IF(ISBLANK('Annex 2 Designated EHV charges'!$D$10:$D$401),1, COUNTIF(A$4:$A203, 'Annex 2 Designated EHV charges'!$D$10:$D$401)), 0)),"")</f>
        <v>RMWFII</v>
      </c>
      <c r="B204" s="94">
        <f>IF($A204="","",VLOOKUP($A204,'Annex 2 Designated EHV charges'!$D:$O,2,0))</f>
        <v>675</v>
      </c>
      <c r="C204" s="95">
        <f>IF($A204="","",VLOOKUP($A204,'Annex 2 Designated EHV charges'!$D:$O,3,0))</f>
        <v>1050000811230</v>
      </c>
      <c r="D204" s="94" t="str">
        <f>IF($A204="","",VLOOKUP($A204,'Annex 2 Designated EHV charges'!$D:$O,4,0))</f>
        <v>RMWFII</v>
      </c>
      <c r="E204" s="96" t="str">
        <f>IFERROR(IF(VLOOKUP($A204,'Annex 2 Designated EHV charges'!$D:$P,10,FALSE)=0,"",VLOOKUP($A204,'Annex 2 Designated EHV charges'!$D:$P,10,FALSE)),"")</f>
        <v/>
      </c>
      <c r="F204" s="195">
        <f>IFERROR(IF(VLOOKUP($A204,'Annex 2 Designated EHV charges'!$D:$P,11,FALSE)=0,"",VLOOKUP($A204,'Annex 2 Designated EHV charges'!$D:$P,11,FALSE)),"")</f>
        <v>2158.27</v>
      </c>
      <c r="G204" s="195">
        <f>IFERROR(IF(VLOOKUP($A204,'Annex 2 Designated EHV charges'!$D:$P,12,FALSE)=0,"",VLOOKUP($A204,'Annex 2 Designated EHV charges'!$D:$P,12,FALSE)),"")</f>
        <v>0.05</v>
      </c>
      <c r="H204" s="195">
        <f>IFERROR(IF(VLOOKUP($A204,'Annex 2 Designated EHV charges'!$D:$P,13,FALSE)=0,"",VLOOKUP($A204,'Annex 2 Designated EHV charges'!$D:$P,13,FALSE)),"")</f>
        <v>0.05</v>
      </c>
    </row>
    <row r="205" spans="1:8" x14ac:dyDescent="0.2">
      <c r="A205" s="95" t="str" cm="1">
        <f t="array" ref="A205">IFERROR(INDEX('Annex 2 Designated EHV charges'!$D$10:$D$401, MATCH(0, IF(ISBLANK('Annex 2 Designated EHV charges'!$D$10:$D$401),1, COUNTIF(A$4:$A204, 'Annex 2 Designated EHV charges'!$D$10:$D$401)), 0)),"")</f>
        <v>ROOKRY</v>
      </c>
      <c r="B205" s="94">
        <f>IF($A205="","",VLOOKUP($A205,'Annex 2 Designated EHV charges'!$D:$O,2,0))</f>
        <v>676</v>
      </c>
      <c r="C205" s="95">
        <f>IF($A205="","",VLOOKUP($A205,'Annex 2 Designated EHV charges'!$D:$O,3,0))</f>
        <v>1050001028474</v>
      </c>
      <c r="D205" s="94" t="str">
        <f>IF($A205="","",VLOOKUP($A205,'Annex 2 Designated EHV charges'!$D:$O,4,0))</f>
        <v>ROOKRY</v>
      </c>
      <c r="E205" s="96" t="str">
        <f>IFERROR(IF(VLOOKUP($A205,'Annex 2 Designated EHV charges'!$D:$P,10,FALSE)=0,"",VLOOKUP($A205,'Annex 2 Designated EHV charges'!$D:$P,10,FALSE)),"")</f>
        <v/>
      </c>
      <c r="F205" s="195">
        <f>IFERROR(IF(VLOOKUP($A205,'Annex 2 Designated EHV charges'!$D:$P,11,FALSE)=0,"",VLOOKUP($A205,'Annex 2 Designated EHV charges'!$D:$P,11,FALSE)),"")</f>
        <v>483.56</v>
      </c>
      <c r="G205" s="195">
        <f>IFERROR(IF(VLOOKUP($A205,'Annex 2 Designated EHV charges'!$D:$P,12,FALSE)=0,"",VLOOKUP($A205,'Annex 2 Designated EHV charges'!$D:$P,12,FALSE)),"")</f>
        <v>0.05</v>
      </c>
      <c r="H205" s="195">
        <f>IFERROR(IF(VLOOKUP($A205,'Annex 2 Designated EHV charges'!$D:$P,13,FALSE)=0,"",VLOOKUP($A205,'Annex 2 Designated EHV charges'!$D:$P,13,FALSE)),"")</f>
        <v>0.05</v>
      </c>
    </row>
    <row r="206" spans="1:8" x14ac:dyDescent="0.2">
      <c r="A206" s="95" t="str" cm="1">
        <f t="array" ref="A206">IFERROR(INDEX('Annex 2 Designated EHV charges'!$D$10:$D$401, MATCH(0, IF(ISBLANK('Annex 2 Designated EHV charges'!$D$10:$D$401),1, COUNTIF(A$4:$A205, 'Annex 2 Designated EHV charges'!$D$10:$D$401)), 0)),"")</f>
        <v>ROYSTN</v>
      </c>
      <c r="B206" s="94">
        <f>IF($A206="","",VLOOKUP($A206,'Annex 2 Designated EHV charges'!$D:$O,2,0))</f>
        <v>677</v>
      </c>
      <c r="C206" s="95">
        <f>IF($A206="","",VLOOKUP($A206,'Annex 2 Designated EHV charges'!$D:$O,3,0))</f>
        <v>1050000996114</v>
      </c>
      <c r="D206" s="94" t="str">
        <f>IF($A206="","",VLOOKUP($A206,'Annex 2 Designated EHV charges'!$D:$O,4,0))</f>
        <v>ROYSTN</v>
      </c>
      <c r="E206" s="96" t="str">
        <f>IFERROR(IF(VLOOKUP($A206,'Annex 2 Designated EHV charges'!$D:$P,10,FALSE)=0,"",VLOOKUP($A206,'Annex 2 Designated EHV charges'!$D:$P,10,FALSE)),"")</f>
        <v/>
      </c>
      <c r="F206" s="195">
        <f>IFERROR(IF(VLOOKUP($A206,'Annex 2 Designated EHV charges'!$D:$P,11,FALSE)=0,"",VLOOKUP($A206,'Annex 2 Designated EHV charges'!$D:$P,11,FALSE)),"")</f>
        <v>1205.1500000000001</v>
      </c>
      <c r="G206" s="195">
        <f>IFERROR(IF(VLOOKUP($A206,'Annex 2 Designated EHV charges'!$D:$P,12,FALSE)=0,"",VLOOKUP($A206,'Annex 2 Designated EHV charges'!$D:$P,12,FALSE)),"")</f>
        <v>0.05</v>
      </c>
      <c r="H206" s="195">
        <f>IFERROR(IF(VLOOKUP($A206,'Annex 2 Designated EHV charges'!$D:$P,13,FALSE)=0,"",VLOOKUP($A206,'Annex 2 Designated EHV charges'!$D:$P,13,FALSE)),"")</f>
        <v>0.05</v>
      </c>
    </row>
    <row r="207" spans="1:8" x14ac:dyDescent="0.2">
      <c r="A207" s="95" t="str" cm="1">
        <f t="array" ref="A207">IFERROR(INDEX('Annex 2 Designated EHV charges'!$D$10:$D$401, MATCH(0, IF(ISBLANK('Annex 2 Designated EHV charges'!$D$10:$D$401),1, COUNTIF(A$4:$A206, 'Annex 2 Designated EHV charges'!$D$10:$D$401)), 0)),"")</f>
        <v>RYMESF</v>
      </c>
      <c r="B207" s="94">
        <f>IF($A207="","",VLOOKUP($A207,'Annex 2 Designated EHV charges'!$D:$O,2,0))</f>
        <v>424</v>
      </c>
      <c r="C207" s="95">
        <f>IF($A207="","",VLOOKUP($A207,'Annex 2 Designated EHV charges'!$D:$O,3,0))</f>
        <v>1050002509776</v>
      </c>
      <c r="D207" s="94" t="str">
        <f>IF($A207="","",VLOOKUP($A207,'Annex 2 Designated EHV charges'!$D:$O,4,0))</f>
        <v>RYMESF</v>
      </c>
      <c r="E207" s="96" t="str">
        <f>IFERROR(IF(VLOOKUP($A207,'Annex 2 Designated EHV charges'!$D:$P,10,FALSE)=0,"",VLOOKUP($A207,'Annex 2 Designated EHV charges'!$D:$P,10,FALSE)),"")</f>
        <v/>
      </c>
      <c r="F207" s="195">
        <f>IFERROR(IF(VLOOKUP($A207,'Annex 2 Designated EHV charges'!$D:$P,11,FALSE)=0,"",VLOOKUP($A207,'Annex 2 Designated EHV charges'!$D:$P,11,FALSE)),"")</f>
        <v>23599.16</v>
      </c>
      <c r="G207" s="195">
        <f>IFERROR(IF(VLOOKUP($A207,'Annex 2 Designated EHV charges'!$D:$P,12,FALSE)=0,"",VLOOKUP($A207,'Annex 2 Designated EHV charges'!$D:$P,12,FALSE)),"")</f>
        <v>0.05</v>
      </c>
      <c r="H207" s="195">
        <f>IFERROR(IF(VLOOKUP($A207,'Annex 2 Designated EHV charges'!$D:$P,13,FALSE)=0,"",VLOOKUP($A207,'Annex 2 Designated EHV charges'!$D:$P,13,FALSE)),"")</f>
        <v>0.05</v>
      </c>
    </row>
    <row r="208" spans="1:8" x14ac:dyDescent="0.2">
      <c r="A208" s="95" t="str" cm="1">
        <f t="array" ref="A208">IFERROR(INDEX('Annex 2 Designated EHV charges'!$D$10:$D$401, MATCH(0, IF(ISBLANK('Annex 2 Designated EHV charges'!$D$10:$D$401),1, COUNTIF(A$4:$A207, 'Annex 2 Designated EHV charges'!$D$10:$D$401)), 0)),"")</f>
        <v>SALHSE</v>
      </c>
      <c r="B208" s="94">
        <f>IF($A208="","",VLOOKUP($A208,'Annex 2 Designated EHV charges'!$D:$O,2,0))</f>
        <v>678</v>
      </c>
      <c r="C208" s="95">
        <f>IF($A208="","",VLOOKUP($A208,'Annex 2 Designated EHV charges'!$D:$O,3,0))</f>
        <v>1050000946034</v>
      </c>
      <c r="D208" s="94" t="str">
        <f>IF($A208="","",VLOOKUP($A208,'Annex 2 Designated EHV charges'!$D:$O,4,0))</f>
        <v>SALHSE</v>
      </c>
      <c r="E208" s="96" t="str">
        <f>IFERROR(IF(VLOOKUP($A208,'Annex 2 Designated EHV charges'!$D:$P,10,FALSE)=0,"",VLOOKUP($A208,'Annex 2 Designated EHV charges'!$D:$P,10,FALSE)),"")</f>
        <v/>
      </c>
      <c r="F208" s="195">
        <f>IFERROR(IF(VLOOKUP($A208,'Annex 2 Designated EHV charges'!$D:$P,11,FALSE)=0,"",VLOOKUP($A208,'Annex 2 Designated EHV charges'!$D:$P,11,FALSE)),"")</f>
        <v>488.99</v>
      </c>
      <c r="G208" s="195">
        <f>IFERROR(IF(VLOOKUP($A208,'Annex 2 Designated EHV charges'!$D:$P,12,FALSE)=0,"",VLOOKUP($A208,'Annex 2 Designated EHV charges'!$D:$P,12,FALSE)),"")</f>
        <v>0.05</v>
      </c>
      <c r="H208" s="195">
        <f>IFERROR(IF(VLOOKUP($A208,'Annex 2 Designated EHV charges'!$D:$P,13,FALSE)=0,"",VLOOKUP($A208,'Annex 2 Designated EHV charges'!$D:$P,13,FALSE)),"")</f>
        <v>0.05</v>
      </c>
    </row>
    <row r="209" spans="1:8" x14ac:dyDescent="0.2">
      <c r="A209" s="95" t="str" cm="1">
        <f t="array" ref="A209">IFERROR(INDEX('Annex 2 Designated EHV charges'!$D$10:$D$401, MATCH(0, IF(ISBLANK('Annex 2 Designated EHV charges'!$D$10:$D$401),1, COUNTIF(A$4:$A208, 'Annex 2 Designated EHV charges'!$D$10:$D$401)), 0)),"")</f>
        <v>SANDSF</v>
      </c>
      <c r="B209" s="94">
        <f>IF($A209="","",VLOOKUP($A209,'Annex 2 Designated EHV charges'!$D:$O,2,0))</f>
        <v>0</v>
      </c>
      <c r="C209" s="95" t="str">
        <f>IF($A209="","",VLOOKUP($A209,'Annex 2 Designated EHV charges'!$D:$O,3,0))</f>
        <v>ENET</v>
      </c>
      <c r="D209" s="94" t="str">
        <f>IF($A209="","",VLOOKUP($A209,'Annex 2 Designated EHV charges'!$D:$O,4,0))</f>
        <v>SANDSF</v>
      </c>
      <c r="E209" s="96">
        <f>IFERROR(IF(VLOOKUP($A209,'Annex 2 Designated EHV charges'!$D:$P,10,FALSE)=0,"",VLOOKUP($A209,'Annex 2 Designated EHV charges'!$D:$P,10,FALSE)),"")</f>
        <v>-0.51400000000000001</v>
      </c>
      <c r="F209" s="195">
        <f>IFERROR(IF(VLOOKUP($A209,'Annex 2 Designated EHV charges'!$D:$P,11,FALSE)=0,"",VLOOKUP($A209,'Annex 2 Designated EHV charges'!$D:$P,11,FALSE)),"")</f>
        <v>1849.7</v>
      </c>
      <c r="G209" s="195">
        <f>IFERROR(IF(VLOOKUP($A209,'Annex 2 Designated EHV charges'!$D:$P,12,FALSE)=0,"",VLOOKUP($A209,'Annex 2 Designated EHV charges'!$D:$P,12,FALSE)),"")</f>
        <v>0.05</v>
      </c>
      <c r="H209" s="195">
        <f>IFERROR(IF(VLOOKUP($A209,'Annex 2 Designated EHV charges'!$D:$P,13,FALSE)=0,"",VLOOKUP($A209,'Annex 2 Designated EHV charges'!$D:$P,13,FALSE)),"")</f>
        <v>0.05</v>
      </c>
    </row>
    <row r="210" spans="1:8" ht="63.75" x14ac:dyDescent="0.2">
      <c r="A210" s="95" t="str" cm="1">
        <f t="array" ref="A210">IFERROR(INDEX('Annex 2 Designated EHV charges'!$D$10:$D$401, MATCH(0, IF(ISBLANK('Annex 2 Designated EHV charges'!$D$10:$D$401),1, COUNTIF(A$4:$A209, 'Annex 2 Designated EHV charges'!$D$10:$D$401)), 0)),"")</f>
        <v>SCMOOR</v>
      </c>
      <c r="B210" s="94">
        <f>IF($A210="","",VLOOKUP($A210,'Annex 2 Designated EHV charges'!$D:$O,2,0))</f>
        <v>694</v>
      </c>
      <c r="C210" s="95" t="str">
        <f>IF($A210="","",VLOOKUP($A210,'Annex 2 Designated EHV charges'!$D:$O,3,0))</f>
        <v>1050001073500;1050001073510;1050001073547;1050001073538;1050001073529</v>
      </c>
      <c r="D210" s="94" t="str">
        <f>IF($A210="","",VLOOKUP($A210,'Annex 2 Designated EHV charges'!$D:$O,4,0))</f>
        <v>SCMOOR</v>
      </c>
      <c r="E210" s="96" t="str">
        <f>IFERROR(IF(VLOOKUP($A210,'Annex 2 Designated EHV charges'!$D:$P,10,FALSE)=0,"",VLOOKUP($A210,'Annex 2 Designated EHV charges'!$D:$P,10,FALSE)),"")</f>
        <v/>
      </c>
      <c r="F210" s="195">
        <f>IFERROR(IF(VLOOKUP($A210,'Annex 2 Designated EHV charges'!$D:$P,11,FALSE)=0,"",VLOOKUP($A210,'Annex 2 Designated EHV charges'!$D:$P,11,FALSE)),"")</f>
        <v>6266.5</v>
      </c>
      <c r="G210" s="195">
        <f>IFERROR(IF(VLOOKUP($A210,'Annex 2 Designated EHV charges'!$D:$P,12,FALSE)=0,"",VLOOKUP($A210,'Annex 2 Designated EHV charges'!$D:$P,12,FALSE)),"")</f>
        <v>0.05</v>
      </c>
      <c r="H210" s="195">
        <f>IFERROR(IF(VLOOKUP($A210,'Annex 2 Designated EHV charges'!$D:$P,13,FALSE)=0,"",VLOOKUP($A210,'Annex 2 Designated EHV charges'!$D:$P,13,FALSE)),"")</f>
        <v>0.05</v>
      </c>
    </row>
    <row r="211" spans="1:8" x14ac:dyDescent="0.2">
      <c r="A211" s="95" t="str" cm="1">
        <f t="array" ref="A211">IFERROR(INDEX('Annex 2 Designated EHV charges'!$D$10:$D$401, MATCH(0, IF(ISBLANK('Annex 2 Designated EHV charges'!$D$10:$D$401),1, COUNTIF(A$4:$A210, 'Annex 2 Designated EHV charges'!$D$10:$D$401)), 0)),"")</f>
        <v>SCROBY</v>
      </c>
      <c r="B211" s="94">
        <f>IF($A211="","",VLOOKUP($A211,'Annex 2 Designated EHV charges'!$D:$O,2,0))</f>
        <v>716</v>
      </c>
      <c r="C211" s="95">
        <f>IF($A211="","",VLOOKUP($A211,'Annex 2 Designated EHV charges'!$D:$O,3,0))</f>
        <v>1023545564903</v>
      </c>
      <c r="D211" s="94" t="str">
        <f>IF($A211="","",VLOOKUP($A211,'Annex 2 Designated EHV charges'!$D:$O,4,0))</f>
        <v>SCROBY</v>
      </c>
      <c r="E211" s="96" t="str">
        <f>IFERROR(IF(VLOOKUP($A211,'Annex 2 Designated EHV charges'!$D:$P,10,FALSE)=0,"",VLOOKUP($A211,'Annex 2 Designated EHV charges'!$D:$P,10,FALSE)),"")</f>
        <v/>
      </c>
      <c r="F211" s="195" t="str">
        <f>IFERROR(IF(VLOOKUP($A211,'Annex 2 Designated EHV charges'!$D:$P,11,FALSE)=0,"",VLOOKUP($A211,'Annex 2 Designated EHV charges'!$D:$P,11,FALSE)),"")</f>
        <v/>
      </c>
      <c r="G211" s="195" t="str">
        <f>IFERROR(IF(VLOOKUP($A211,'Annex 2 Designated EHV charges'!$D:$P,12,FALSE)=0,"",VLOOKUP($A211,'Annex 2 Designated EHV charges'!$D:$P,12,FALSE)),"")</f>
        <v/>
      </c>
      <c r="H211" s="195" t="str">
        <f>IFERROR(IF(VLOOKUP($A211,'Annex 2 Designated EHV charges'!$D:$P,13,FALSE)=0,"",VLOOKUP($A211,'Annex 2 Designated EHV charges'!$D:$P,13,FALSE)),"")</f>
        <v/>
      </c>
    </row>
    <row r="212" spans="1:8" x14ac:dyDescent="0.2">
      <c r="A212" s="95" t="str" cm="1">
        <f t="array" ref="A212">IFERROR(INDEX('Annex 2 Designated EHV charges'!$D$10:$D$401, MATCH(0, IF(ISBLANK('Annex 2 Designated EHV charges'!$D$10:$D$401),1, COUNTIF(A$4:$A211, 'Annex 2 Designated EHV charges'!$D$10:$D$401)), 0)),"")</f>
        <v>SCTTOW</v>
      </c>
      <c r="B212" s="94">
        <f>IF($A212="","",VLOOKUP($A212,'Annex 2 Designated EHV charges'!$D:$O,2,0))</f>
        <v>459</v>
      </c>
      <c r="C212" s="95">
        <f>IF($A212="","",VLOOKUP($A212,'Annex 2 Designated EHV charges'!$D:$O,3,0))</f>
        <v>1050000841971</v>
      </c>
      <c r="D212" s="94" t="str">
        <f>IF($A212="","",VLOOKUP($A212,'Annex 2 Designated EHV charges'!$D:$O,4,0))</f>
        <v>SCTTOW</v>
      </c>
      <c r="E212" s="96" t="str">
        <f>IFERROR(IF(VLOOKUP($A212,'Annex 2 Designated EHV charges'!$D:$P,10,FALSE)=0,"",VLOOKUP($A212,'Annex 2 Designated EHV charges'!$D:$P,10,FALSE)),"")</f>
        <v/>
      </c>
      <c r="F212" s="195">
        <f>IFERROR(IF(VLOOKUP($A212,'Annex 2 Designated EHV charges'!$D:$P,11,FALSE)=0,"",VLOOKUP($A212,'Annex 2 Designated EHV charges'!$D:$P,11,FALSE)),"")</f>
        <v>3068.37</v>
      </c>
      <c r="G212" s="195">
        <f>IFERROR(IF(VLOOKUP($A212,'Annex 2 Designated EHV charges'!$D:$P,12,FALSE)=0,"",VLOOKUP($A212,'Annex 2 Designated EHV charges'!$D:$P,12,FALSE)),"")</f>
        <v>0.05</v>
      </c>
      <c r="H212" s="195">
        <f>IFERROR(IF(VLOOKUP($A212,'Annex 2 Designated EHV charges'!$D:$P,13,FALSE)=0,"",VLOOKUP($A212,'Annex 2 Designated EHV charges'!$D:$P,13,FALSE)),"")</f>
        <v>0.05</v>
      </c>
    </row>
    <row r="213" spans="1:8" x14ac:dyDescent="0.2">
      <c r="A213" s="95" t="str" cm="1">
        <f t="array" ref="A213">IFERROR(INDEX('Annex 2 Designated EHV charges'!$D$10:$D$401, MATCH(0, IF(ISBLANK('Annex 2 Designated EHV charges'!$D$10:$D$401),1, COUNTIF(A$4:$A212, 'Annex 2 Designated EHV charges'!$D$10:$D$401)), 0)),"")</f>
        <v>SFAMSF</v>
      </c>
      <c r="B213" s="94">
        <f>IF($A213="","",VLOOKUP($A213,'Annex 2 Designated EHV charges'!$D:$O,2,0))</f>
        <v>941</v>
      </c>
      <c r="C213" s="95">
        <f>IF($A213="","",VLOOKUP($A213,'Annex 2 Designated EHV charges'!$D:$O,3,0))</f>
        <v>1050002707692</v>
      </c>
      <c r="D213" s="94" t="str">
        <f>IF($A213="","",VLOOKUP($A213,'Annex 2 Designated EHV charges'!$D:$O,4,0))</f>
        <v>SFAMSF</v>
      </c>
      <c r="E213" s="96" t="str">
        <f>IFERROR(IF(VLOOKUP($A213,'Annex 2 Designated EHV charges'!$D:$P,10,FALSE)=0,"",VLOOKUP($A213,'Annex 2 Designated EHV charges'!$D:$P,10,FALSE)),"")</f>
        <v/>
      </c>
      <c r="F213" s="195">
        <f>IFERROR(IF(VLOOKUP($A213,'Annex 2 Designated EHV charges'!$D:$P,11,FALSE)=0,"",VLOOKUP($A213,'Annex 2 Designated EHV charges'!$D:$P,11,FALSE)),"")</f>
        <v>2022.32</v>
      </c>
      <c r="G213" s="195">
        <f>IFERROR(IF(VLOOKUP($A213,'Annex 2 Designated EHV charges'!$D:$P,12,FALSE)=0,"",VLOOKUP($A213,'Annex 2 Designated EHV charges'!$D:$P,12,FALSE)),"")</f>
        <v>0.05</v>
      </c>
      <c r="H213" s="195">
        <f>IFERROR(IF(VLOOKUP($A213,'Annex 2 Designated EHV charges'!$D:$P,13,FALSE)=0,"",VLOOKUP($A213,'Annex 2 Designated EHV charges'!$D:$P,13,FALSE)),"")</f>
        <v>0.05</v>
      </c>
    </row>
    <row r="214" spans="1:8" x14ac:dyDescent="0.2">
      <c r="A214" s="95" t="str" cm="1">
        <f t="array" ref="A214">IFERROR(INDEX('Annex 2 Designated EHV charges'!$D$10:$D$401, MATCH(0, IF(ISBLANK('Annex 2 Designated EHV charges'!$D$10:$D$401),1, COUNTIF(A$4:$A213, 'Annex 2 Designated EHV charges'!$D$10:$D$401)), 0)),"")</f>
        <v>SFKEFW</v>
      </c>
      <c r="B214" s="94">
        <f>IF($A214="","",VLOOKUP($A214,'Annex 2 Designated EHV charges'!$D:$O,2,0))</f>
        <v>470</v>
      </c>
      <c r="C214" s="95">
        <f>IF($A214="","",VLOOKUP($A214,'Annex 2 Designated EHV charges'!$D:$O,3,0))</f>
        <v>1050000628018</v>
      </c>
      <c r="D214" s="94" t="str">
        <f>IF($A214="","",VLOOKUP($A214,'Annex 2 Designated EHV charges'!$D:$O,4,0))</f>
        <v>SFKEFW</v>
      </c>
      <c r="E214" s="96">
        <f>IFERROR(IF(VLOOKUP($A214,'Annex 2 Designated EHV charges'!$D:$P,10,FALSE)=0,"",VLOOKUP($A214,'Annex 2 Designated EHV charges'!$D:$P,10,FALSE)),"")</f>
        <v>-2.335</v>
      </c>
      <c r="F214" s="195">
        <f>IFERROR(IF(VLOOKUP($A214,'Annex 2 Designated EHV charges'!$D:$P,11,FALSE)=0,"",VLOOKUP($A214,'Annex 2 Designated EHV charges'!$D:$P,11,FALSE)),"")</f>
        <v>12902.56</v>
      </c>
      <c r="G214" s="195">
        <f>IFERROR(IF(VLOOKUP($A214,'Annex 2 Designated EHV charges'!$D:$P,12,FALSE)=0,"",VLOOKUP($A214,'Annex 2 Designated EHV charges'!$D:$P,12,FALSE)),"")</f>
        <v>0.05</v>
      </c>
      <c r="H214" s="195">
        <f>IFERROR(IF(VLOOKUP($A214,'Annex 2 Designated EHV charges'!$D:$P,13,FALSE)=0,"",VLOOKUP($A214,'Annex 2 Designated EHV charges'!$D:$P,13,FALSE)),"")</f>
        <v>0.05</v>
      </c>
    </row>
    <row r="215" spans="1:8" x14ac:dyDescent="0.2">
      <c r="A215" s="95" t="str" cm="1">
        <f t="array" ref="A215">IFERROR(INDEX('Annex 2 Designated EHV charges'!$D$10:$D$401, MATCH(0, IF(ISBLANK('Annex 2 Designated EHV charges'!$D$10:$D$401),1, COUNTIF(A$4:$A214, 'Annex 2 Designated EHV charges'!$D$10:$D$401)), 0)),"")</f>
        <v>SHERSH</v>
      </c>
      <c r="B215" s="94">
        <f>IF($A215="","",VLOOKUP($A215,'Annex 2 Designated EHV charges'!$D:$O,2,0))</f>
        <v>0</v>
      </c>
      <c r="C215" s="95" t="str">
        <f>IF($A215="","",VLOOKUP($A215,'Annex 2 Designated EHV charges'!$D:$O,3,0))</f>
        <v>MSID: 7250</v>
      </c>
      <c r="D215" s="94" t="str">
        <f>IF($A215="","",VLOOKUP($A215,'Annex 2 Designated EHV charges'!$D:$O,4,0))</f>
        <v>SHERSH</v>
      </c>
      <c r="E215" s="96" t="str">
        <f>IFERROR(IF(VLOOKUP($A215,'Annex 2 Designated EHV charges'!$D:$P,10,FALSE)=0,"",VLOOKUP($A215,'Annex 2 Designated EHV charges'!$D:$P,10,FALSE)),"")</f>
        <v/>
      </c>
      <c r="F215" s="195">
        <f>IFERROR(IF(VLOOKUP($A215,'Annex 2 Designated EHV charges'!$D:$P,11,FALSE)=0,"",VLOOKUP($A215,'Annex 2 Designated EHV charges'!$D:$P,11,FALSE)),"")</f>
        <v>3363.76</v>
      </c>
      <c r="G215" s="195">
        <f>IFERROR(IF(VLOOKUP($A215,'Annex 2 Designated EHV charges'!$D:$P,12,FALSE)=0,"",VLOOKUP($A215,'Annex 2 Designated EHV charges'!$D:$P,12,FALSE)),"")</f>
        <v>0.05</v>
      </c>
      <c r="H215" s="195">
        <f>IFERROR(IF(VLOOKUP($A215,'Annex 2 Designated EHV charges'!$D:$P,13,FALSE)=0,"",VLOOKUP($A215,'Annex 2 Designated EHV charges'!$D:$P,13,FALSE)),"")</f>
        <v>0.05</v>
      </c>
    </row>
    <row r="216" spans="1:8" x14ac:dyDescent="0.2">
      <c r="A216" s="95" t="str" cm="1">
        <f t="array" ref="A216">IFERROR(INDEX('Annex 2 Designated EHV charges'!$D$10:$D$401, MATCH(0, IF(ISBLANK('Annex 2 Designated EHV charges'!$D$10:$D$401),1, COUNTIF(A$4:$A215, 'Annex 2 Designated EHV charges'!$D$10:$D$401)), 0)),"")</f>
        <v>SHOTSF</v>
      </c>
      <c r="B216" s="94">
        <f>IF($A216="","",VLOOKUP($A216,'Annex 2 Designated EHV charges'!$D:$O,2,0))</f>
        <v>389</v>
      </c>
      <c r="C216" s="95">
        <f>IF($A216="","",VLOOKUP($A216,'Annex 2 Designated EHV charges'!$D:$O,3,0))</f>
        <v>1050002464098</v>
      </c>
      <c r="D216" s="94" t="str">
        <f>IF($A216="","",VLOOKUP($A216,'Annex 2 Designated EHV charges'!$D:$O,4,0))</f>
        <v>SHOTSF</v>
      </c>
      <c r="E216" s="96">
        <f>IFERROR(IF(VLOOKUP($A216,'Annex 2 Designated EHV charges'!$D:$P,10,FALSE)=0,"",VLOOKUP($A216,'Annex 2 Designated EHV charges'!$D:$P,10,FALSE)),"")</f>
        <v>-0.84</v>
      </c>
      <c r="F216" s="195">
        <f>IFERROR(IF(VLOOKUP($A216,'Annex 2 Designated EHV charges'!$D:$P,11,FALSE)=0,"",VLOOKUP($A216,'Annex 2 Designated EHV charges'!$D:$P,11,FALSE)),"")</f>
        <v>3300.42</v>
      </c>
      <c r="G216" s="195">
        <f>IFERROR(IF(VLOOKUP($A216,'Annex 2 Designated EHV charges'!$D:$P,12,FALSE)=0,"",VLOOKUP($A216,'Annex 2 Designated EHV charges'!$D:$P,12,FALSE)),"")</f>
        <v>0.05</v>
      </c>
      <c r="H216" s="195">
        <f>IFERROR(IF(VLOOKUP($A216,'Annex 2 Designated EHV charges'!$D:$P,13,FALSE)=0,"",VLOOKUP($A216,'Annex 2 Designated EHV charges'!$D:$P,13,FALSE)),"")</f>
        <v>0.05</v>
      </c>
    </row>
    <row r="217" spans="1:8" x14ac:dyDescent="0.2">
      <c r="A217" s="95" t="str" cm="1">
        <f t="array" ref="A217">IFERROR(INDEX('Annex 2 Designated EHV charges'!$D$10:$D$401, MATCH(0, IF(ISBLANK('Annex 2 Designated EHV charges'!$D$10:$D$401),1, COUNTIF(A$4:$A216, 'Annex 2 Designated EHV charges'!$D$10:$D$401)), 0)),"")</f>
        <v>SNTBRE</v>
      </c>
      <c r="B217" s="94">
        <f>IF($A217="","",VLOOKUP($A217,'Annex 2 Designated EHV charges'!$D:$O,2,0))</f>
        <v>695</v>
      </c>
      <c r="C217" s="95">
        <f>IF($A217="","",VLOOKUP($A217,'Annex 2 Designated EHV charges'!$D:$O,3,0))</f>
        <v>1050001084229</v>
      </c>
      <c r="D217" s="94" t="str">
        <f>IF($A217="","",VLOOKUP($A217,'Annex 2 Designated EHV charges'!$D:$O,4,0))</f>
        <v>SNTBRE</v>
      </c>
      <c r="E217" s="96">
        <f>IFERROR(IF(VLOOKUP($A217,'Annex 2 Designated EHV charges'!$D:$P,10,FALSE)=0,"",VLOOKUP($A217,'Annex 2 Designated EHV charges'!$D:$P,10,FALSE)),"")</f>
        <v>-0.48599999999999999</v>
      </c>
      <c r="F217" s="195">
        <f>IFERROR(IF(VLOOKUP($A217,'Annex 2 Designated EHV charges'!$D:$P,11,FALSE)=0,"",VLOOKUP($A217,'Annex 2 Designated EHV charges'!$D:$P,11,FALSE)),"")</f>
        <v>2575.5300000000002</v>
      </c>
      <c r="G217" s="195">
        <f>IFERROR(IF(VLOOKUP($A217,'Annex 2 Designated EHV charges'!$D:$P,12,FALSE)=0,"",VLOOKUP($A217,'Annex 2 Designated EHV charges'!$D:$P,12,FALSE)),"")</f>
        <v>0.05</v>
      </c>
      <c r="H217" s="195">
        <f>IFERROR(IF(VLOOKUP($A217,'Annex 2 Designated EHV charges'!$D:$P,13,FALSE)=0,"",VLOOKUP($A217,'Annex 2 Designated EHV charges'!$D:$P,13,FALSE)),"")</f>
        <v>0.05</v>
      </c>
    </row>
    <row r="218" spans="1:8" x14ac:dyDescent="0.2">
      <c r="A218" s="95" t="str" cm="1">
        <f t="array" ref="A218">IFERROR(INDEX('Annex 2 Designated EHV charges'!$D$10:$D$401, MATCH(0, IF(ISBLANK('Annex 2 Designated EHV charges'!$D$10:$D$401),1, COUNTIF(A$4:$A217, 'Annex 2 Designated EHV charges'!$D$10:$D$401)), 0)),"")</f>
        <v>SPRIGS</v>
      </c>
      <c r="B218" s="94">
        <f>IF($A218="","",VLOOKUP($A218,'Annex 2 Designated EHV charges'!$D:$O,2,0))</f>
        <v>778</v>
      </c>
      <c r="C218" s="95">
        <f>IF($A218="","",VLOOKUP($A218,'Annex 2 Designated EHV charges'!$D:$O,3,0))</f>
        <v>1050000540028</v>
      </c>
      <c r="D218" s="94" t="str">
        <f>IF($A218="","",VLOOKUP($A218,'Annex 2 Designated EHV charges'!$D:$O,4,0))</f>
        <v>SPRIGS</v>
      </c>
      <c r="E218" s="96" t="str">
        <f>IFERROR(IF(VLOOKUP($A218,'Annex 2 Designated EHV charges'!$D:$P,10,FALSE)=0,"",VLOOKUP($A218,'Annex 2 Designated EHV charges'!$D:$P,10,FALSE)),"")</f>
        <v/>
      </c>
      <c r="F218" s="195">
        <f>IFERROR(IF(VLOOKUP($A218,'Annex 2 Designated EHV charges'!$D:$P,11,FALSE)=0,"",VLOOKUP($A218,'Annex 2 Designated EHV charges'!$D:$P,11,FALSE)),"")</f>
        <v>2112.65</v>
      </c>
      <c r="G218" s="195">
        <f>IFERROR(IF(VLOOKUP($A218,'Annex 2 Designated EHV charges'!$D:$P,12,FALSE)=0,"",VLOOKUP($A218,'Annex 2 Designated EHV charges'!$D:$P,12,FALSE)),"")</f>
        <v>0.05</v>
      </c>
      <c r="H218" s="195">
        <f>IFERROR(IF(VLOOKUP($A218,'Annex 2 Designated EHV charges'!$D:$P,13,FALSE)=0,"",VLOOKUP($A218,'Annex 2 Designated EHV charges'!$D:$P,13,FALSE)),"")</f>
        <v>0.05</v>
      </c>
    </row>
    <row r="219" spans="1:8" x14ac:dyDescent="0.2">
      <c r="A219" s="95" t="str" cm="1">
        <f t="array" ref="A219">IFERROR(INDEX('Annex 2 Designated EHV charges'!$D$10:$D$401, MATCH(0, IF(ISBLANK('Annex 2 Designated EHV charges'!$D$10:$D$401),1, COUNTIF(A$4:$A218, 'Annex 2 Designated EHV charges'!$D$10:$D$401)), 0)),"")</f>
        <v>STAGSH</v>
      </c>
      <c r="B219" s="94">
        <f>IF($A219="","",VLOOKUP($A219,'Annex 2 Designated EHV charges'!$D:$O,2,0))</f>
        <v>717</v>
      </c>
      <c r="C219" s="95">
        <f>IF($A219="","",VLOOKUP($A219,'Annex 2 Designated EHV charges'!$D:$O,3,0))</f>
        <v>1030037478509</v>
      </c>
      <c r="D219" s="94" t="str">
        <f>IF($A219="","",VLOOKUP($A219,'Annex 2 Designated EHV charges'!$D:$O,4,0))</f>
        <v>STAGSH</v>
      </c>
      <c r="E219" s="96" t="str">
        <f>IFERROR(IF(VLOOKUP($A219,'Annex 2 Designated EHV charges'!$D:$P,10,FALSE)=0,"",VLOOKUP($A219,'Annex 2 Designated EHV charges'!$D:$P,10,FALSE)),"")</f>
        <v/>
      </c>
      <c r="F219" s="195">
        <f>IFERROR(IF(VLOOKUP($A219,'Annex 2 Designated EHV charges'!$D:$P,11,FALSE)=0,"",VLOOKUP($A219,'Annex 2 Designated EHV charges'!$D:$P,11,FALSE)),"")</f>
        <v>7919.96</v>
      </c>
      <c r="G219" s="195">
        <f>IFERROR(IF(VLOOKUP($A219,'Annex 2 Designated EHV charges'!$D:$P,12,FALSE)=0,"",VLOOKUP($A219,'Annex 2 Designated EHV charges'!$D:$P,12,FALSE)),"")</f>
        <v>0.05</v>
      </c>
      <c r="H219" s="195">
        <f>IFERROR(IF(VLOOKUP($A219,'Annex 2 Designated EHV charges'!$D:$P,13,FALSE)=0,"",VLOOKUP($A219,'Annex 2 Designated EHV charges'!$D:$P,13,FALSE)),"")</f>
        <v>0.05</v>
      </c>
    </row>
    <row r="220" spans="1:8" x14ac:dyDescent="0.2">
      <c r="A220" s="95" t="str" cm="1">
        <f t="array" ref="A220">IFERROR(INDEX('Annex 2 Designated EHV charges'!$D$10:$D$401, MATCH(0, IF(ISBLANK('Annex 2 Designated EHV charges'!$D$10:$D$401),1, COUNTIF(A$4:$A219, 'Annex 2 Designated EHV charges'!$D$10:$D$401)), 0)),"")</f>
        <v>STCLSF</v>
      </c>
      <c r="B220" s="94">
        <f>IF($A220="","",VLOOKUP($A220,'Annex 2 Designated EHV charges'!$D:$O,2,0))</f>
        <v>390</v>
      </c>
      <c r="C220" s="95">
        <f>IF($A220="","",VLOOKUP($A220,'Annex 2 Designated EHV charges'!$D:$O,3,0))</f>
        <v>1050002797117</v>
      </c>
      <c r="D220" s="94" t="str">
        <f>IF($A220="","",VLOOKUP($A220,'Annex 2 Designated EHV charges'!$D:$O,4,0))</f>
        <v>STCLSF</v>
      </c>
      <c r="E220" s="96" t="str">
        <f>IFERROR(IF(VLOOKUP($A220,'Annex 2 Designated EHV charges'!$D:$P,10,FALSE)=0,"",VLOOKUP($A220,'Annex 2 Designated EHV charges'!$D:$P,10,FALSE)),"")</f>
        <v/>
      </c>
      <c r="F220" s="195">
        <f>IFERROR(IF(VLOOKUP($A220,'Annex 2 Designated EHV charges'!$D:$P,11,FALSE)=0,"",VLOOKUP($A220,'Annex 2 Designated EHV charges'!$D:$P,11,FALSE)),"")</f>
        <v>1554.18</v>
      </c>
      <c r="G220" s="195">
        <f>IFERROR(IF(VLOOKUP($A220,'Annex 2 Designated EHV charges'!$D:$P,12,FALSE)=0,"",VLOOKUP($A220,'Annex 2 Designated EHV charges'!$D:$P,12,FALSE)),"")</f>
        <v>0.05</v>
      </c>
      <c r="H220" s="195">
        <f>IFERROR(IF(VLOOKUP($A220,'Annex 2 Designated EHV charges'!$D:$P,13,FALSE)=0,"",VLOOKUP($A220,'Annex 2 Designated EHV charges'!$D:$P,13,FALSE)),"")</f>
        <v>0.05</v>
      </c>
    </row>
    <row r="221" spans="1:8" x14ac:dyDescent="0.2">
      <c r="A221" s="95" t="str" cm="1">
        <f t="array" ref="A221">IFERROR(INDEX('Annex 2 Designated EHV charges'!$D$10:$D$401, MATCH(0, IF(ISBLANK('Annex 2 Designated EHV charges'!$D$10:$D$401),1, COUNTIF(A$4:$A220, 'Annex 2 Designated EHV charges'!$D$10:$D$401)), 0)),"")</f>
        <v>STNPTS</v>
      </c>
      <c r="B221" s="94">
        <f>IF($A221="","",VLOOKUP($A221,'Annex 2 Designated EHV charges'!$D:$O,2,0))</f>
        <v>697</v>
      </c>
      <c r="C221" s="95">
        <f>IF($A221="","",VLOOKUP($A221,'Annex 2 Designated EHV charges'!$D:$O,3,0))</f>
        <v>1050001232437</v>
      </c>
      <c r="D221" s="94" t="str">
        <f>IF($A221="","",VLOOKUP($A221,'Annex 2 Designated EHV charges'!$D:$O,4,0))</f>
        <v>STNPTS</v>
      </c>
      <c r="E221" s="96" t="str">
        <f>IFERROR(IF(VLOOKUP($A221,'Annex 2 Designated EHV charges'!$D:$P,10,FALSE)=0,"",VLOOKUP($A221,'Annex 2 Designated EHV charges'!$D:$P,10,FALSE)),"")</f>
        <v/>
      </c>
      <c r="F221" s="195">
        <f>IFERROR(IF(VLOOKUP($A221,'Annex 2 Designated EHV charges'!$D:$P,11,FALSE)=0,"",VLOOKUP($A221,'Annex 2 Designated EHV charges'!$D:$P,11,FALSE)),"")</f>
        <v>1206.48</v>
      </c>
      <c r="G221" s="195">
        <f>IFERROR(IF(VLOOKUP($A221,'Annex 2 Designated EHV charges'!$D:$P,12,FALSE)=0,"",VLOOKUP($A221,'Annex 2 Designated EHV charges'!$D:$P,12,FALSE)),"")</f>
        <v>0.05</v>
      </c>
      <c r="H221" s="195">
        <f>IFERROR(IF(VLOOKUP($A221,'Annex 2 Designated EHV charges'!$D:$P,13,FALSE)=0,"",VLOOKUP($A221,'Annex 2 Designated EHV charges'!$D:$P,13,FALSE)),"")</f>
        <v>0.05</v>
      </c>
    </row>
    <row r="222" spans="1:8" x14ac:dyDescent="0.2">
      <c r="A222" s="95" t="str" cm="1">
        <f t="array" ref="A222">IFERROR(INDEX('Annex 2 Designated EHV charges'!$D$10:$D$401, MATCH(0, IF(ISBLANK('Annex 2 Designated EHV charges'!$D$10:$D$401),1, COUNTIF(A$4:$A221, 'Annex 2 Designated EHV charges'!$D$10:$D$401)), 0)),"")</f>
        <v>STOSTH</v>
      </c>
      <c r="B222" s="94">
        <f>IF($A222="","",VLOOKUP($A222,'Annex 2 Designated EHV charges'!$D:$O,2,0))</f>
        <v>460</v>
      </c>
      <c r="C222" s="95">
        <f>IF($A222="","",VLOOKUP($A222,'Annex 2 Designated EHV charges'!$D:$O,3,0))</f>
        <v>1050000759740</v>
      </c>
      <c r="D222" s="94" t="str">
        <f>IF($A222="","",VLOOKUP($A222,'Annex 2 Designated EHV charges'!$D:$O,4,0))</f>
        <v>STOSTH</v>
      </c>
      <c r="E222" s="96" t="str">
        <f>IFERROR(IF(VLOOKUP($A222,'Annex 2 Designated EHV charges'!$D:$P,10,FALSE)=0,"",VLOOKUP($A222,'Annex 2 Designated EHV charges'!$D:$P,10,FALSE)),"")</f>
        <v/>
      </c>
      <c r="F222" s="195">
        <f>IFERROR(IF(VLOOKUP($A222,'Annex 2 Designated EHV charges'!$D:$P,11,FALSE)=0,"",VLOOKUP($A222,'Annex 2 Designated EHV charges'!$D:$P,11,FALSE)),"")</f>
        <v>5746.29</v>
      </c>
      <c r="G222" s="195">
        <f>IFERROR(IF(VLOOKUP($A222,'Annex 2 Designated EHV charges'!$D:$P,12,FALSE)=0,"",VLOOKUP($A222,'Annex 2 Designated EHV charges'!$D:$P,12,FALSE)),"")</f>
        <v>0.05</v>
      </c>
      <c r="H222" s="195">
        <f>IFERROR(IF(VLOOKUP($A222,'Annex 2 Designated EHV charges'!$D:$P,13,FALSE)=0,"",VLOOKUP($A222,'Annex 2 Designated EHV charges'!$D:$P,13,FALSE)),"")</f>
        <v>0.05</v>
      </c>
    </row>
    <row r="223" spans="1:8" x14ac:dyDescent="0.2">
      <c r="A223" s="95" t="str" cm="1">
        <f t="array" ref="A223">IFERROR(INDEX('Annex 2 Designated EHV charges'!$D$10:$D$401, MATCH(0, IF(ISBLANK('Annex 2 Designated EHV charges'!$D$10:$D$401),1, COUNTIF(A$4:$A222, 'Annex 2 Designated EHV charges'!$D$10:$D$401)), 0)),"")</f>
        <v>STRTHL</v>
      </c>
      <c r="B223" s="94">
        <f>IF($A223="","",VLOOKUP($A223,'Annex 2 Designated EHV charges'!$D:$O,2,0))</f>
        <v>775</v>
      </c>
      <c r="C223" s="95">
        <f>IF($A223="","",VLOOKUP($A223,'Annex 2 Designated EHV charges'!$D:$O,3,0))</f>
        <v>1050000563381</v>
      </c>
      <c r="D223" s="94" t="str">
        <f>IF($A223="","",VLOOKUP($A223,'Annex 2 Designated EHV charges'!$D:$O,4,0))</f>
        <v>STRTHL</v>
      </c>
      <c r="E223" s="96" t="str">
        <f>IFERROR(IF(VLOOKUP($A223,'Annex 2 Designated EHV charges'!$D:$P,10,FALSE)=0,"",VLOOKUP($A223,'Annex 2 Designated EHV charges'!$D:$P,10,FALSE)),"")</f>
        <v/>
      </c>
      <c r="F223" s="195">
        <f>IFERROR(IF(VLOOKUP($A223,'Annex 2 Designated EHV charges'!$D:$P,11,FALSE)=0,"",VLOOKUP($A223,'Annex 2 Designated EHV charges'!$D:$P,11,FALSE)),"")</f>
        <v>1039.8599999999999</v>
      </c>
      <c r="G223" s="195">
        <f>IFERROR(IF(VLOOKUP($A223,'Annex 2 Designated EHV charges'!$D:$P,12,FALSE)=0,"",VLOOKUP($A223,'Annex 2 Designated EHV charges'!$D:$P,12,FALSE)),"")</f>
        <v>0.05</v>
      </c>
      <c r="H223" s="195">
        <f>IFERROR(IF(VLOOKUP($A223,'Annex 2 Designated EHV charges'!$D:$P,13,FALSE)=0,"",VLOOKUP($A223,'Annex 2 Designated EHV charges'!$D:$P,13,FALSE)),"")</f>
        <v>0.05</v>
      </c>
    </row>
    <row r="224" spans="1:8" x14ac:dyDescent="0.2">
      <c r="A224" s="95" t="str" cm="1">
        <f t="array" ref="A224">IFERROR(INDEX('Annex 2 Designated EHV charges'!$D$10:$D$401, MATCH(0, IF(ISBLANK('Annex 2 Designated EHV charges'!$D$10:$D$401),1, COUNTIF(A$4:$A223, 'Annex 2 Designated EHV charges'!$D$10:$D$401)), 0)),"")</f>
        <v>STWBRG</v>
      </c>
      <c r="B224" s="94">
        <f>IF($A224="","",VLOOKUP($A224,'Annex 2 Designated EHV charges'!$D:$O,2,0))</f>
        <v>732</v>
      </c>
      <c r="C224" s="95">
        <f>IF($A224="","",VLOOKUP($A224,'Annex 2 Designated EHV charges'!$D:$O,3,0))</f>
        <v>1050000613856</v>
      </c>
      <c r="D224" s="94" t="str">
        <f>IF($A224="","",VLOOKUP($A224,'Annex 2 Designated EHV charges'!$D:$O,4,0))</f>
        <v>STWBRG</v>
      </c>
      <c r="E224" s="96" t="str">
        <f>IFERROR(IF(VLOOKUP($A224,'Annex 2 Designated EHV charges'!$D:$P,10,FALSE)=0,"",VLOOKUP($A224,'Annex 2 Designated EHV charges'!$D:$P,10,FALSE)),"")</f>
        <v/>
      </c>
      <c r="F224" s="195">
        <f>IFERROR(IF(VLOOKUP($A224,'Annex 2 Designated EHV charges'!$D:$P,11,FALSE)=0,"",VLOOKUP($A224,'Annex 2 Designated EHV charges'!$D:$P,11,FALSE)),"")</f>
        <v>3614.96</v>
      </c>
      <c r="G224" s="195">
        <f>IFERROR(IF(VLOOKUP($A224,'Annex 2 Designated EHV charges'!$D:$P,12,FALSE)=0,"",VLOOKUP($A224,'Annex 2 Designated EHV charges'!$D:$P,12,FALSE)),"")</f>
        <v>0.05</v>
      </c>
      <c r="H224" s="195">
        <f>IFERROR(IF(VLOOKUP($A224,'Annex 2 Designated EHV charges'!$D:$P,13,FALSE)=0,"",VLOOKUP($A224,'Annex 2 Designated EHV charges'!$D:$P,13,FALSE)),"")</f>
        <v>0.05</v>
      </c>
    </row>
    <row r="225" spans="1:8" x14ac:dyDescent="0.2">
      <c r="A225" s="95" t="str" cm="1">
        <f t="array" ref="A225">IFERROR(INDEX('Annex 2 Designated EHV charges'!$D$10:$D$401, MATCH(0, IF(ISBLANK('Annex 2 Designated EHV charges'!$D$10:$D$401),1, COUNTIF(A$4:$A224, 'Annex 2 Designated EHV charges'!$D$10:$D$401)), 0)),"")</f>
        <v>SWNLND</v>
      </c>
      <c r="B225" s="94">
        <f>IF($A225="","",VLOOKUP($A225,'Annex 2 Designated EHV charges'!$D:$O,2,0))</f>
        <v>696</v>
      </c>
      <c r="C225" s="95">
        <f>IF($A225="","",VLOOKUP($A225,'Annex 2 Designated EHV charges'!$D:$O,3,0))</f>
        <v>1050001290020</v>
      </c>
      <c r="D225" s="94" t="str">
        <f>IF($A225="","",VLOOKUP($A225,'Annex 2 Designated EHV charges'!$D:$O,4,0))</f>
        <v>SWNLND</v>
      </c>
      <c r="E225" s="96" t="str">
        <f>IFERROR(IF(VLOOKUP($A225,'Annex 2 Designated EHV charges'!$D:$P,10,FALSE)=0,"",VLOOKUP($A225,'Annex 2 Designated EHV charges'!$D:$P,10,FALSE)),"")</f>
        <v/>
      </c>
      <c r="F225" s="195">
        <f>IFERROR(IF(VLOOKUP($A225,'Annex 2 Designated EHV charges'!$D:$P,11,FALSE)=0,"",VLOOKUP($A225,'Annex 2 Designated EHV charges'!$D:$P,11,FALSE)),"")</f>
        <v>1170.94</v>
      </c>
      <c r="G225" s="195">
        <f>IFERROR(IF(VLOOKUP($A225,'Annex 2 Designated EHV charges'!$D:$P,12,FALSE)=0,"",VLOOKUP($A225,'Annex 2 Designated EHV charges'!$D:$P,12,FALSE)),"")</f>
        <v>0.05</v>
      </c>
      <c r="H225" s="195">
        <f>IFERROR(IF(VLOOKUP($A225,'Annex 2 Designated EHV charges'!$D:$P,13,FALSE)=0,"",VLOOKUP($A225,'Annex 2 Designated EHV charges'!$D:$P,13,FALSE)),"")</f>
        <v>0.05</v>
      </c>
    </row>
    <row r="226" spans="1:8" x14ac:dyDescent="0.2">
      <c r="A226" s="95" t="str" cm="1">
        <f t="array" ref="A226">IFERROR(INDEX('Annex 2 Designated EHV charges'!$D$10:$D$401, MATCH(0, IF(ISBLANK('Annex 2 Designated EHV charges'!$D$10:$D$401),1, COUNTIF(A$4:$A225, 'Annex 2 Designated EHV charges'!$D$10:$D$401)), 0)),"")</f>
        <v>THAMBS</v>
      </c>
      <c r="B226" s="94">
        <f>IF($A226="","",VLOOKUP($A226,'Annex 2 Designated EHV charges'!$D:$O,2,0))</f>
        <v>0</v>
      </c>
      <c r="C226" s="95" t="str">
        <f>IF($A226="","",VLOOKUP($A226,'Annex 2 Designated EHV charges'!$D:$O,3,0))</f>
        <v>MSID: 7540</v>
      </c>
      <c r="D226" s="94" t="str">
        <f>IF($A226="","",VLOOKUP($A226,'Annex 2 Designated EHV charges'!$D:$O,4,0))</f>
        <v>THAMBS</v>
      </c>
      <c r="E226" s="96">
        <f>IFERROR(IF(VLOOKUP($A226,'Annex 2 Designated EHV charges'!$D:$P,10,FALSE)=0,"",VLOOKUP($A226,'Annex 2 Designated EHV charges'!$D:$P,10,FALSE)),"")</f>
        <v>-0.91800000000000004</v>
      </c>
      <c r="F226" s="195">
        <f>IFERROR(IF(VLOOKUP($A226,'Annex 2 Designated EHV charges'!$D:$P,11,FALSE)=0,"",VLOOKUP($A226,'Annex 2 Designated EHV charges'!$D:$P,11,FALSE)),"")</f>
        <v>2362.2399999999998</v>
      </c>
      <c r="G226" s="195">
        <f>IFERROR(IF(VLOOKUP($A226,'Annex 2 Designated EHV charges'!$D:$P,12,FALSE)=0,"",VLOOKUP($A226,'Annex 2 Designated EHV charges'!$D:$P,12,FALSE)),"")</f>
        <v>0.05</v>
      </c>
      <c r="H226" s="195">
        <f>IFERROR(IF(VLOOKUP($A226,'Annex 2 Designated EHV charges'!$D:$P,13,FALSE)=0,"",VLOOKUP($A226,'Annex 2 Designated EHV charges'!$D:$P,13,FALSE)),"")</f>
        <v>0.05</v>
      </c>
    </row>
    <row r="227" spans="1:8" x14ac:dyDescent="0.2">
      <c r="A227" s="95" t="str" cm="1">
        <f t="array" ref="A227">IFERROR(INDEX('Annex 2 Designated EHV charges'!$D$10:$D$401, MATCH(0, IF(ISBLANK('Annex 2 Designated EHV charges'!$D$10:$D$401),1, COUNTIF(A$4:$A226, 'Annex 2 Designated EHV charges'!$D$10:$D$401)), 0)),"")</f>
        <v>THAXSF</v>
      </c>
      <c r="B227" s="94">
        <f>IF($A227="","",VLOOKUP($A227,'Annex 2 Designated EHV charges'!$D:$O,2,0))</f>
        <v>417</v>
      </c>
      <c r="C227" s="95">
        <f>IF($A227="","",VLOOKUP($A227,'Annex 2 Designated EHV charges'!$D:$O,3,0))</f>
        <v>1050002190503</v>
      </c>
      <c r="D227" s="94" t="str">
        <f>IF($A227="","",VLOOKUP($A227,'Annex 2 Designated EHV charges'!$D:$O,4,0))</f>
        <v>THAXSF</v>
      </c>
      <c r="E227" s="96" t="str">
        <f>IFERROR(IF(VLOOKUP($A227,'Annex 2 Designated EHV charges'!$D:$P,10,FALSE)=0,"",VLOOKUP($A227,'Annex 2 Designated EHV charges'!$D:$P,10,FALSE)),"")</f>
        <v/>
      </c>
      <c r="F227" s="195">
        <f>IFERROR(IF(VLOOKUP($A227,'Annex 2 Designated EHV charges'!$D:$P,11,FALSE)=0,"",VLOOKUP($A227,'Annex 2 Designated EHV charges'!$D:$P,11,FALSE)),"")</f>
        <v>1606.05</v>
      </c>
      <c r="G227" s="195">
        <f>IFERROR(IF(VLOOKUP($A227,'Annex 2 Designated EHV charges'!$D:$P,12,FALSE)=0,"",VLOOKUP($A227,'Annex 2 Designated EHV charges'!$D:$P,12,FALSE)),"")</f>
        <v>0.05</v>
      </c>
      <c r="H227" s="195">
        <f>IFERROR(IF(VLOOKUP($A227,'Annex 2 Designated EHV charges'!$D:$P,13,FALSE)=0,"",VLOOKUP($A227,'Annex 2 Designated EHV charges'!$D:$P,13,FALSE)),"")</f>
        <v>0.05</v>
      </c>
    </row>
    <row r="228" spans="1:8" x14ac:dyDescent="0.2">
      <c r="A228" s="95" t="str" cm="1">
        <f t="array" ref="A228">IFERROR(INDEX('Annex 2 Designated EHV charges'!$D$10:$D$401, MATCH(0, IF(ISBLANK('Annex 2 Designated EHV charges'!$D$10:$D$401),1, COUNTIF(A$4:$A227, 'Annex 2 Designated EHV charges'!$D$10:$D$401)), 0)),"")</f>
        <v>THORNM</v>
      </c>
      <c r="B228" s="94">
        <f>IF($A228="","",VLOOKUP($A228,'Annex 2 Designated EHV charges'!$D:$O,2,0))</f>
        <v>415</v>
      </c>
      <c r="C228" s="95">
        <f>IF($A228="","",VLOOKUP($A228,'Annex 2 Designated EHV charges'!$D:$O,3,0))</f>
        <v>1050002185406</v>
      </c>
      <c r="D228" s="94" t="str">
        <f>IF($A228="","",VLOOKUP($A228,'Annex 2 Designated EHV charges'!$D:$O,4,0))</f>
        <v>THORNM</v>
      </c>
      <c r="E228" s="96" t="str">
        <f>IFERROR(IF(VLOOKUP($A228,'Annex 2 Designated EHV charges'!$D:$P,10,FALSE)=0,"",VLOOKUP($A228,'Annex 2 Designated EHV charges'!$D:$P,10,FALSE)),"")</f>
        <v/>
      </c>
      <c r="F228" s="195">
        <f>IFERROR(IF(VLOOKUP($A228,'Annex 2 Designated EHV charges'!$D:$P,11,FALSE)=0,"",VLOOKUP($A228,'Annex 2 Designated EHV charges'!$D:$P,11,FALSE)),"")</f>
        <v>491.58</v>
      </c>
      <c r="G228" s="195">
        <f>IFERROR(IF(VLOOKUP($A228,'Annex 2 Designated EHV charges'!$D:$P,12,FALSE)=0,"",VLOOKUP($A228,'Annex 2 Designated EHV charges'!$D:$P,12,FALSE)),"")</f>
        <v>0.05</v>
      </c>
      <c r="H228" s="195">
        <f>IFERROR(IF(VLOOKUP($A228,'Annex 2 Designated EHV charges'!$D:$P,13,FALSE)=0,"",VLOOKUP($A228,'Annex 2 Designated EHV charges'!$D:$P,13,FALSE)),"")</f>
        <v>0.05</v>
      </c>
    </row>
    <row r="229" spans="1:8" x14ac:dyDescent="0.2">
      <c r="A229" s="95" t="str" cm="1">
        <f t="array" ref="A229">IFERROR(INDEX('Annex 2 Designated EHV charges'!$D$10:$D$401, MATCH(0, IF(ISBLANK('Annex 2 Designated EHV charges'!$D$10:$D$401),1, COUNTIF(A$4:$A228, 'Annex 2 Designated EHV charges'!$D$10:$D$401)), 0)),"")</f>
        <v>TILGRN</v>
      </c>
      <c r="B229" s="94">
        <f>IF($A229="","",VLOOKUP($A229,'Annex 2 Designated EHV charges'!$D:$O,2,0))</f>
        <v>0</v>
      </c>
      <c r="C229" s="95" t="str">
        <f>IF($A229="","",VLOOKUP($A229,'Annex 2 Designated EHV charges'!$D:$O,3,0))</f>
        <v>MSID: 7323</v>
      </c>
      <c r="D229" s="94" t="str">
        <f>IF($A229="","",VLOOKUP($A229,'Annex 2 Designated EHV charges'!$D:$O,4,0))</f>
        <v>TILGRN</v>
      </c>
      <c r="E229" s="96">
        <f>IFERROR(IF(VLOOKUP($A229,'Annex 2 Designated EHV charges'!$D:$P,10,FALSE)=0,"",VLOOKUP($A229,'Annex 2 Designated EHV charges'!$D:$P,10,FALSE)),"")</f>
        <v>-3.6999999999999998E-2</v>
      </c>
      <c r="F229" s="195">
        <f>IFERROR(IF(VLOOKUP($A229,'Annex 2 Designated EHV charges'!$D:$P,11,FALSE)=0,"",VLOOKUP($A229,'Annex 2 Designated EHV charges'!$D:$P,11,FALSE)),"")</f>
        <v>23492.31</v>
      </c>
      <c r="G229" s="195">
        <f>IFERROR(IF(VLOOKUP($A229,'Annex 2 Designated EHV charges'!$D:$P,12,FALSE)=0,"",VLOOKUP($A229,'Annex 2 Designated EHV charges'!$D:$P,12,FALSE)),"")</f>
        <v>0.05</v>
      </c>
      <c r="H229" s="195">
        <f>IFERROR(IF(VLOOKUP($A229,'Annex 2 Designated EHV charges'!$D:$P,13,FALSE)=0,"",VLOOKUP($A229,'Annex 2 Designated EHV charges'!$D:$P,13,FALSE)),"")</f>
        <v>0.05</v>
      </c>
    </row>
    <row r="230" spans="1:8" x14ac:dyDescent="0.2">
      <c r="A230" s="95" t="str" cm="1">
        <f t="array" ref="A230">IFERROR(INDEX('Annex 2 Designated EHV charges'!$D$10:$D$401, MATCH(0, IF(ISBLANK('Annex 2 Designated EHV charges'!$D$10:$D$401),1, COUNTIF(A$4:$A229, 'Annex 2 Designated EHV charges'!$D$10:$D$401)), 0)),"")</f>
        <v>TOGGAM</v>
      </c>
      <c r="B230" s="94">
        <f>IF($A230="","",VLOOKUP($A230,'Annex 2 Designated EHV charges'!$D:$O,2,0))</f>
        <v>679</v>
      </c>
      <c r="C230" s="95">
        <f>IF($A230="","",VLOOKUP($A230,'Annex 2 Designated EHV charges'!$D:$O,3,0))</f>
        <v>1050001059384</v>
      </c>
      <c r="D230" s="94" t="str">
        <f>IF($A230="","",VLOOKUP($A230,'Annex 2 Designated EHV charges'!$D:$O,4,0))</f>
        <v>TOGGAM</v>
      </c>
      <c r="E230" s="96" t="str">
        <f>IFERROR(IF(VLOOKUP($A230,'Annex 2 Designated EHV charges'!$D:$P,10,FALSE)=0,"",VLOOKUP($A230,'Annex 2 Designated EHV charges'!$D:$P,10,FALSE)),"")</f>
        <v/>
      </c>
      <c r="F230" s="195">
        <f>IFERROR(IF(VLOOKUP($A230,'Annex 2 Designated EHV charges'!$D:$P,11,FALSE)=0,"",VLOOKUP($A230,'Annex 2 Designated EHV charges'!$D:$P,11,FALSE)),"")</f>
        <v>8654.39</v>
      </c>
      <c r="G230" s="195">
        <f>IFERROR(IF(VLOOKUP($A230,'Annex 2 Designated EHV charges'!$D:$P,12,FALSE)=0,"",VLOOKUP($A230,'Annex 2 Designated EHV charges'!$D:$P,12,FALSE)),"")</f>
        <v>0.05</v>
      </c>
      <c r="H230" s="195">
        <f>IFERROR(IF(VLOOKUP($A230,'Annex 2 Designated EHV charges'!$D:$P,13,FALSE)=0,"",VLOOKUP($A230,'Annex 2 Designated EHV charges'!$D:$P,13,FALSE)),"")</f>
        <v>0.05</v>
      </c>
    </row>
    <row r="231" spans="1:8" x14ac:dyDescent="0.2">
      <c r="A231" s="95" t="str" cm="1">
        <f t="array" ref="A231">IFERROR(INDEX('Annex 2 Designated EHV charges'!$D$10:$D$401, MATCH(0, IF(ISBLANK('Annex 2 Designated EHV charges'!$D$10:$D$401),1, COUNTIF(A$4:$A230, 'Annex 2 Designated EHV charges'!$D$10:$D$401)), 0)),"")</f>
        <v>TOLLBS</v>
      </c>
      <c r="B231" s="94">
        <f>IF($A231="","",VLOOKUP($A231,'Annex 2 Designated EHV charges'!$D:$O,2,0))</f>
        <v>0</v>
      </c>
      <c r="C231" s="95" t="str">
        <f>IF($A231="","",VLOOKUP($A231,'Annex 2 Designated EHV charges'!$D:$O,3,0))</f>
        <v>MSID: 7499</v>
      </c>
      <c r="D231" s="94" t="str">
        <f>IF($A231="","",VLOOKUP($A231,'Annex 2 Designated EHV charges'!$D:$O,4,0))</f>
        <v>TOLLBS</v>
      </c>
      <c r="E231" s="96">
        <f>IFERROR(IF(VLOOKUP($A231,'Annex 2 Designated EHV charges'!$D:$P,10,FALSE)=0,"",VLOOKUP($A231,'Annex 2 Designated EHV charges'!$D:$P,10,FALSE)),"")</f>
        <v>-1.0269999999999999</v>
      </c>
      <c r="F231" s="195">
        <f>IFERROR(IF(VLOOKUP($A231,'Annex 2 Designated EHV charges'!$D:$P,11,FALSE)=0,"",VLOOKUP($A231,'Annex 2 Designated EHV charges'!$D:$P,11,FALSE)),"")</f>
        <v>4674.71</v>
      </c>
      <c r="G231" s="195">
        <f>IFERROR(IF(VLOOKUP($A231,'Annex 2 Designated EHV charges'!$D:$P,12,FALSE)=0,"",VLOOKUP($A231,'Annex 2 Designated EHV charges'!$D:$P,12,FALSE)),"")</f>
        <v>0.05</v>
      </c>
      <c r="H231" s="195">
        <f>IFERROR(IF(VLOOKUP($A231,'Annex 2 Designated EHV charges'!$D:$P,13,FALSE)=0,"",VLOOKUP($A231,'Annex 2 Designated EHV charges'!$D:$P,13,FALSE)),"")</f>
        <v>0.05</v>
      </c>
    </row>
    <row r="232" spans="1:8" x14ac:dyDescent="0.2">
      <c r="A232" s="95" t="str" cm="1">
        <f t="array" ref="A232">IFERROR(INDEX('Annex 2 Designated EHV charges'!$D$10:$D$401, MATCH(0, IF(ISBLANK('Annex 2 Designated EHV charges'!$D$10:$D$401),1, COUNTIF(A$4:$A231, 'Annex 2 Designated EHV charges'!$D$10:$D$401)), 0)),"")</f>
        <v>TOOLEY</v>
      </c>
      <c r="B232" s="94">
        <f>IF($A232="","",VLOOKUP($A232,'Annex 2 Designated EHV charges'!$D:$O,2,0))</f>
        <v>680</v>
      </c>
      <c r="C232" s="95">
        <f>IF($A232="","",VLOOKUP($A232,'Annex 2 Designated EHV charges'!$D:$O,3,0))</f>
        <v>1050000903226</v>
      </c>
      <c r="D232" s="94" t="str">
        <f>IF($A232="","",VLOOKUP($A232,'Annex 2 Designated EHV charges'!$D:$O,4,0))</f>
        <v>TOOLEY</v>
      </c>
      <c r="E232" s="96" t="str">
        <f>IFERROR(IF(VLOOKUP($A232,'Annex 2 Designated EHV charges'!$D:$P,10,FALSE)=0,"",VLOOKUP($A232,'Annex 2 Designated EHV charges'!$D:$P,10,FALSE)),"")</f>
        <v/>
      </c>
      <c r="F232" s="195">
        <f>IFERROR(IF(VLOOKUP($A232,'Annex 2 Designated EHV charges'!$D:$P,11,FALSE)=0,"",VLOOKUP($A232,'Annex 2 Designated EHV charges'!$D:$P,11,FALSE)),"")</f>
        <v>2164.31</v>
      </c>
      <c r="G232" s="195">
        <f>IFERROR(IF(VLOOKUP($A232,'Annex 2 Designated EHV charges'!$D:$P,12,FALSE)=0,"",VLOOKUP($A232,'Annex 2 Designated EHV charges'!$D:$P,12,FALSE)),"")</f>
        <v>0.05</v>
      </c>
      <c r="H232" s="195">
        <f>IFERROR(IF(VLOOKUP($A232,'Annex 2 Designated EHV charges'!$D:$P,13,FALSE)=0,"",VLOOKUP($A232,'Annex 2 Designated EHV charges'!$D:$P,13,FALSE)),"")</f>
        <v>0.05</v>
      </c>
    </row>
    <row r="233" spans="1:8" x14ac:dyDescent="0.2">
      <c r="A233" s="95" t="str" cm="1">
        <f t="array" ref="A233">IFERROR(INDEX('Annex 2 Designated EHV charges'!$D$10:$D$401, MATCH(0, IF(ISBLANK('Annex 2 Designated EHV charges'!$D$10:$D$401),1, COUNTIF(A$4:$A232, 'Annex 2 Designated EHV charges'!$D$10:$D$401)), 0)),"")</f>
        <v>TRNCLE</v>
      </c>
      <c r="B233" s="94">
        <f>IF($A233="","",VLOOKUP($A233,'Annex 2 Designated EHV charges'!$D:$O,2,0))</f>
        <v>698</v>
      </c>
      <c r="C233" s="95">
        <f>IF($A233="","",VLOOKUP($A233,'Annex 2 Designated EHV charges'!$D:$O,3,0))</f>
        <v>1050001078651</v>
      </c>
      <c r="D233" s="94" t="str">
        <f>IF($A233="","",VLOOKUP($A233,'Annex 2 Designated EHV charges'!$D:$O,4,0))</f>
        <v>TRNCLE</v>
      </c>
      <c r="E233" s="96" t="str">
        <f>IFERROR(IF(VLOOKUP($A233,'Annex 2 Designated EHV charges'!$D:$P,10,FALSE)=0,"",VLOOKUP($A233,'Annex 2 Designated EHV charges'!$D:$P,10,FALSE)),"")</f>
        <v/>
      </c>
      <c r="F233" s="195">
        <f>IFERROR(IF(VLOOKUP($A233,'Annex 2 Designated EHV charges'!$D:$P,11,FALSE)=0,"",VLOOKUP($A233,'Annex 2 Designated EHV charges'!$D:$P,11,FALSE)),"")</f>
        <v>21366.35</v>
      </c>
      <c r="G233" s="195">
        <f>IFERROR(IF(VLOOKUP($A233,'Annex 2 Designated EHV charges'!$D:$P,12,FALSE)=0,"",VLOOKUP($A233,'Annex 2 Designated EHV charges'!$D:$P,12,FALSE)),"")</f>
        <v>0.05</v>
      </c>
      <c r="H233" s="195">
        <f>IFERROR(IF(VLOOKUP($A233,'Annex 2 Designated EHV charges'!$D:$P,13,FALSE)=0,"",VLOOKUP($A233,'Annex 2 Designated EHV charges'!$D:$P,13,FALSE)),"")</f>
        <v>0.05</v>
      </c>
    </row>
    <row r="234" spans="1:8" ht="25.5" x14ac:dyDescent="0.2">
      <c r="A234" s="95" t="str" cm="1">
        <f t="array" ref="A234">IFERROR(INDEX('Annex 2 Designated EHV charges'!$D$10:$D$401, MATCH(0, IF(ISBLANK('Annex 2 Designated EHV charges'!$D$10:$D$401),1, COUNTIF(A$4:$A233, 'Annex 2 Designated EHV charges'!$D$10:$D$401)), 0)),"")</f>
        <v>TROWSF</v>
      </c>
      <c r="B234" s="94">
        <f>IF($A234="","",VLOOKUP($A234,'Annex 2 Designated EHV charges'!$D:$O,2,0))</f>
        <v>449</v>
      </c>
      <c r="C234" s="95" t="str">
        <f>IF($A234="","",VLOOKUP($A234,'Annex 2 Designated EHV charges'!$D:$O,3,0))</f>
        <v>1050001541867;1050002380298</v>
      </c>
      <c r="D234" s="94" t="str">
        <f>IF($A234="","",VLOOKUP($A234,'Annex 2 Designated EHV charges'!$D:$O,4,0))</f>
        <v>TROWSF</v>
      </c>
      <c r="E234" s="96" t="str">
        <f>IFERROR(IF(VLOOKUP($A234,'Annex 2 Designated EHV charges'!$D:$P,10,FALSE)=0,"",VLOOKUP($A234,'Annex 2 Designated EHV charges'!$D:$P,10,FALSE)),"")</f>
        <v/>
      </c>
      <c r="F234" s="195">
        <f>IFERROR(IF(VLOOKUP($A234,'Annex 2 Designated EHV charges'!$D:$P,11,FALSE)=0,"",VLOOKUP($A234,'Annex 2 Designated EHV charges'!$D:$P,11,FALSE)),"")</f>
        <v>1087.23</v>
      </c>
      <c r="G234" s="195">
        <f>IFERROR(IF(VLOOKUP($A234,'Annex 2 Designated EHV charges'!$D:$P,12,FALSE)=0,"",VLOOKUP($A234,'Annex 2 Designated EHV charges'!$D:$P,12,FALSE)),"")</f>
        <v>0.05</v>
      </c>
      <c r="H234" s="195">
        <f>IFERROR(IF(VLOOKUP($A234,'Annex 2 Designated EHV charges'!$D:$P,13,FALSE)=0,"",VLOOKUP($A234,'Annex 2 Designated EHV charges'!$D:$P,13,FALSE)),"")</f>
        <v>0.05</v>
      </c>
    </row>
    <row r="235" spans="1:8" x14ac:dyDescent="0.2">
      <c r="A235" s="95" t="str" cm="1">
        <f t="array" ref="A235">IFERROR(INDEX('Annex 2 Designated EHV charges'!$D$10:$D$401, MATCH(0, IF(ISBLANK('Annex 2 Designated EHV charges'!$D$10:$D$401),1, COUNTIF(A$4:$A234, 'Annex 2 Designated EHV charges'!$D$10:$D$401)), 0)),"")</f>
        <v>UKPRST</v>
      </c>
      <c r="B235" s="94">
        <f>IF($A235="","",VLOOKUP($A235,'Annex 2 Designated EHV charges'!$D:$O,2,0))</f>
        <v>699</v>
      </c>
      <c r="C235" s="95">
        <f>IF($A235="","",VLOOKUP($A235,'Annex 2 Designated EHV charges'!$D:$O,3,0))</f>
        <v>1050001052184</v>
      </c>
      <c r="D235" s="94" t="str">
        <f>IF($A235="","",VLOOKUP($A235,'Annex 2 Designated EHV charges'!$D:$O,4,0))</f>
        <v>UKPRST</v>
      </c>
      <c r="E235" s="96">
        <f>IFERROR(IF(VLOOKUP($A235,'Annex 2 Designated EHV charges'!$D:$P,10,FALSE)=0,"",VLOOKUP($A235,'Annex 2 Designated EHV charges'!$D:$P,10,FALSE)),"")</f>
        <v>-1.8109999999999999</v>
      </c>
      <c r="F235" s="195">
        <f>IFERROR(IF(VLOOKUP($A235,'Annex 2 Designated EHV charges'!$D:$P,11,FALSE)=0,"",VLOOKUP($A235,'Annex 2 Designated EHV charges'!$D:$P,11,FALSE)),"")</f>
        <v>482.79</v>
      </c>
      <c r="G235" s="195">
        <f>IFERROR(IF(VLOOKUP($A235,'Annex 2 Designated EHV charges'!$D:$P,12,FALSE)=0,"",VLOOKUP($A235,'Annex 2 Designated EHV charges'!$D:$P,12,FALSE)),"")</f>
        <v>0.05</v>
      </c>
      <c r="H235" s="195">
        <f>IFERROR(IF(VLOOKUP($A235,'Annex 2 Designated EHV charges'!$D:$P,13,FALSE)=0,"",VLOOKUP($A235,'Annex 2 Designated EHV charges'!$D:$P,13,FALSE)),"")</f>
        <v>0.05</v>
      </c>
    </row>
    <row r="236" spans="1:8" x14ac:dyDescent="0.2">
      <c r="A236" s="95" t="str" cm="1">
        <f t="array" ref="A236">IFERROR(INDEX('Annex 2 Designated EHV charges'!$D$10:$D$401, MATCH(0, IF(ISBLANK('Annex 2 Designated EHV charges'!$D$10:$D$401),1, COUNTIF(A$4:$A235, 'Annex 2 Designated EHV charges'!$D$10:$D$401)), 0)),"")</f>
        <v>VINESF</v>
      </c>
      <c r="B236" s="94">
        <f>IF($A236="","",VLOOKUP($A236,'Annex 2 Designated EHV charges'!$D:$O,2,0))</f>
        <v>681</v>
      </c>
      <c r="C236" s="95">
        <f>IF($A236="","",VLOOKUP($A236,'Annex 2 Designated EHV charges'!$D:$O,3,0))</f>
        <v>1050000996150</v>
      </c>
      <c r="D236" s="94" t="str">
        <f>IF($A236="","",VLOOKUP($A236,'Annex 2 Designated EHV charges'!$D:$O,4,0))</f>
        <v>VINESF</v>
      </c>
      <c r="E236" s="96" t="str">
        <f>IFERROR(IF(VLOOKUP($A236,'Annex 2 Designated EHV charges'!$D:$P,10,FALSE)=0,"",VLOOKUP($A236,'Annex 2 Designated EHV charges'!$D:$P,10,FALSE)),"")</f>
        <v/>
      </c>
      <c r="F236" s="195">
        <f>IFERROR(IF(VLOOKUP($A236,'Annex 2 Designated EHV charges'!$D:$P,11,FALSE)=0,"",VLOOKUP($A236,'Annex 2 Designated EHV charges'!$D:$P,11,FALSE)),"")</f>
        <v>36019.19</v>
      </c>
      <c r="G236" s="195">
        <f>IFERROR(IF(VLOOKUP($A236,'Annex 2 Designated EHV charges'!$D:$P,12,FALSE)=0,"",VLOOKUP($A236,'Annex 2 Designated EHV charges'!$D:$P,12,FALSE)),"")</f>
        <v>0.05</v>
      </c>
      <c r="H236" s="195">
        <f>IFERROR(IF(VLOOKUP($A236,'Annex 2 Designated EHV charges'!$D:$P,13,FALSE)=0,"",VLOOKUP($A236,'Annex 2 Designated EHV charges'!$D:$P,13,FALSE)),"")</f>
        <v>0.05</v>
      </c>
    </row>
    <row r="237" spans="1:8" x14ac:dyDescent="0.2">
      <c r="A237" s="95" t="str" cm="1">
        <f t="array" ref="A237">IFERROR(INDEX('Annex 2 Designated EHV charges'!$D$10:$D$401, MATCH(0, IF(ISBLANK('Annex 2 Designated EHV charges'!$D$10:$D$401),1, COUNTIF(A$4:$A236, 'Annex 2 Designated EHV charges'!$D$10:$D$401)), 0)),"")</f>
        <v>WAIRWF</v>
      </c>
      <c r="B237" s="94">
        <f>IF($A237="","",VLOOKUP($A237,'Annex 2 Designated EHV charges'!$D:$O,2,0))</f>
        <v>779</v>
      </c>
      <c r="C237" s="95">
        <f>IF($A237="","",VLOOKUP($A237,'Annex 2 Designated EHV charges'!$D:$O,3,0))</f>
        <v>1050000529664</v>
      </c>
      <c r="D237" s="94" t="str">
        <f>IF($A237="","",VLOOKUP($A237,'Annex 2 Designated EHV charges'!$D:$O,4,0))</f>
        <v>WAIRWF</v>
      </c>
      <c r="E237" s="96" t="str">
        <f>IFERROR(IF(VLOOKUP($A237,'Annex 2 Designated EHV charges'!$D:$P,10,FALSE)=0,"",VLOOKUP($A237,'Annex 2 Designated EHV charges'!$D:$P,10,FALSE)),"")</f>
        <v/>
      </c>
      <c r="F237" s="195">
        <f>IFERROR(IF(VLOOKUP($A237,'Annex 2 Designated EHV charges'!$D:$P,11,FALSE)=0,"",VLOOKUP($A237,'Annex 2 Designated EHV charges'!$D:$P,11,FALSE)),"")</f>
        <v>1857.73</v>
      </c>
      <c r="G237" s="195">
        <f>IFERROR(IF(VLOOKUP($A237,'Annex 2 Designated EHV charges'!$D:$P,12,FALSE)=0,"",VLOOKUP($A237,'Annex 2 Designated EHV charges'!$D:$P,12,FALSE)),"")</f>
        <v>0.05</v>
      </c>
      <c r="H237" s="195">
        <f>IFERROR(IF(VLOOKUP($A237,'Annex 2 Designated EHV charges'!$D:$P,13,FALSE)=0,"",VLOOKUP($A237,'Annex 2 Designated EHV charges'!$D:$P,13,FALSE)),"")</f>
        <v>0.05</v>
      </c>
    </row>
    <row r="238" spans="1:8" x14ac:dyDescent="0.2">
      <c r="A238" s="95" t="str" cm="1">
        <f t="array" ref="A238">IFERROR(INDEX('Annex 2 Designated EHV charges'!$D$10:$D$401, MATCH(0, IF(ISBLANK('Annex 2 Designated EHV charges'!$D$10:$D$401),1, COUNTIF(A$4:$A237, 'Annex 2 Designated EHV charges'!$D$10:$D$401)), 0)),"")</f>
        <v>WCKHAM</v>
      </c>
      <c r="B238" s="94">
        <f>IF($A238="","",VLOOKUP($A238,'Annex 2 Designated EHV charges'!$D:$O,2,0))</f>
        <v>419</v>
      </c>
      <c r="C238" s="95">
        <f>IF($A238="","",VLOOKUP($A238,'Annex 2 Designated EHV charges'!$D:$O,3,0))</f>
        <v>1050001967480</v>
      </c>
      <c r="D238" s="94" t="str">
        <f>IF($A238="","",VLOOKUP($A238,'Annex 2 Designated EHV charges'!$D:$O,4,0))</f>
        <v>WCKHAM</v>
      </c>
      <c r="E238" s="96">
        <f>IFERROR(IF(VLOOKUP($A238,'Annex 2 Designated EHV charges'!$D:$P,10,FALSE)=0,"",VLOOKUP($A238,'Annex 2 Designated EHV charges'!$D:$P,10,FALSE)),"")</f>
        <v>-1.079</v>
      </c>
      <c r="F238" s="195">
        <f>IFERROR(IF(VLOOKUP($A238,'Annex 2 Designated EHV charges'!$D:$P,11,FALSE)=0,"",VLOOKUP($A238,'Annex 2 Designated EHV charges'!$D:$P,11,FALSE)),"")</f>
        <v>1249.8699999999999</v>
      </c>
      <c r="G238" s="195">
        <f>IFERROR(IF(VLOOKUP($A238,'Annex 2 Designated EHV charges'!$D:$P,12,FALSE)=0,"",VLOOKUP($A238,'Annex 2 Designated EHV charges'!$D:$P,12,FALSE)),"")</f>
        <v>0.05</v>
      </c>
      <c r="H238" s="195">
        <f>IFERROR(IF(VLOOKUP($A238,'Annex 2 Designated EHV charges'!$D:$P,13,FALSE)=0,"",VLOOKUP($A238,'Annex 2 Designated EHV charges'!$D:$P,13,FALSE)),"")</f>
        <v>0.05</v>
      </c>
    </row>
    <row r="239" spans="1:8" x14ac:dyDescent="0.2">
      <c r="A239" s="95" t="str" cm="1">
        <f t="array" ref="A239">IFERROR(INDEX('Annex 2 Designated EHV charges'!$D$10:$D$401, MATCH(0, IF(ISBLANK('Annex 2 Designated EHV charges'!$D$10:$D$401),1, COUNTIF(A$4:$A238, 'Annex 2 Designated EHV charges'!$D$10:$D$401)), 0)),"")</f>
        <v>WDLWWF</v>
      </c>
      <c r="B239" s="94">
        <f>IF($A239="","",VLOOKUP($A239,'Annex 2 Designated EHV charges'!$D:$O,2,0))</f>
        <v>742</v>
      </c>
      <c r="C239" s="95">
        <f>IF($A239="","",VLOOKUP($A239,'Annex 2 Designated EHV charges'!$D:$O,3,0))</f>
        <v>1030078016924</v>
      </c>
      <c r="D239" s="94" t="str">
        <f>IF($A239="","",VLOOKUP($A239,'Annex 2 Designated EHV charges'!$D:$O,4,0))</f>
        <v>WDLWWF</v>
      </c>
      <c r="E239" s="96" t="str">
        <f>IFERROR(IF(VLOOKUP($A239,'Annex 2 Designated EHV charges'!$D:$P,10,FALSE)=0,"",VLOOKUP($A239,'Annex 2 Designated EHV charges'!$D:$P,10,FALSE)),"")</f>
        <v/>
      </c>
      <c r="F239" s="195">
        <f>IFERROR(IF(VLOOKUP($A239,'Annex 2 Designated EHV charges'!$D:$P,11,FALSE)=0,"",VLOOKUP($A239,'Annex 2 Designated EHV charges'!$D:$P,11,FALSE)),"")</f>
        <v>1447.03</v>
      </c>
      <c r="G239" s="195">
        <f>IFERROR(IF(VLOOKUP($A239,'Annex 2 Designated EHV charges'!$D:$P,12,FALSE)=0,"",VLOOKUP($A239,'Annex 2 Designated EHV charges'!$D:$P,12,FALSE)),"")</f>
        <v>0.05</v>
      </c>
      <c r="H239" s="195">
        <f>IFERROR(IF(VLOOKUP($A239,'Annex 2 Designated EHV charges'!$D:$P,13,FALSE)=0,"",VLOOKUP($A239,'Annex 2 Designated EHV charges'!$D:$P,13,FALSE)),"")</f>
        <v>0.05</v>
      </c>
    </row>
    <row r="240" spans="1:8" x14ac:dyDescent="0.2">
      <c r="A240" s="95" t="str" cm="1">
        <f t="array" ref="A240">IFERROR(INDEX('Annex 2 Designated EHV charges'!$D$10:$D$401, MATCH(0, IF(ISBLANK('Annex 2 Designated EHV charges'!$D$10:$D$401),1, COUNTIF(A$4:$A239, 'Annex 2 Designated EHV charges'!$D$10:$D$401)), 0)),"")</f>
        <v>WDLWWW</v>
      </c>
      <c r="B240" s="94">
        <f>IF($A240="","",VLOOKUP($A240,'Annex 2 Designated EHV charges'!$D:$O,2,0))</f>
        <v>650</v>
      </c>
      <c r="C240" s="95">
        <f>IF($A240="","",VLOOKUP($A240,'Annex 2 Designated EHV charges'!$D:$O,3,0))</f>
        <v>1030078017157</v>
      </c>
      <c r="D240" s="94" t="str">
        <f>IF($A240="","",VLOOKUP($A240,'Annex 2 Designated EHV charges'!$D:$O,4,0))</f>
        <v>WDLWWW</v>
      </c>
      <c r="E240" s="96" t="str">
        <f>IFERROR(IF(VLOOKUP($A240,'Annex 2 Designated EHV charges'!$D:$P,10,FALSE)=0,"",VLOOKUP($A240,'Annex 2 Designated EHV charges'!$D:$P,10,FALSE)),"")</f>
        <v/>
      </c>
      <c r="F240" s="195">
        <f>IFERROR(IF(VLOOKUP($A240,'Annex 2 Designated EHV charges'!$D:$P,11,FALSE)=0,"",VLOOKUP($A240,'Annex 2 Designated EHV charges'!$D:$P,11,FALSE)),"")</f>
        <v>1445.54</v>
      </c>
      <c r="G240" s="195">
        <f>IFERROR(IF(VLOOKUP($A240,'Annex 2 Designated EHV charges'!$D:$P,12,FALSE)=0,"",VLOOKUP($A240,'Annex 2 Designated EHV charges'!$D:$P,12,FALSE)),"")</f>
        <v>0.05</v>
      </c>
      <c r="H240" s="195">
        <f>IFERROR(IF(VLOOKUP($A240,'Annex 2 Designated EHV charges'!$D:$P,13,FALSE)=0,"",VLOOKUP($A240,'Annex 2 Designated EHV charges'!$D:$P,13,FALSE)),"")</f>
        <v>0.05</v>
      </c>
    </row>
    <row r="241" spans="1:9" x14ac:dyDescent="0.2">
      <c r="A241" s="95" t="str" cm="1">
        <f t="array" ref="A241">IFERROR(INDEX('Annex 2 Designated EHV charges'!$D$10:$D$401, MATCH(0, IF(ISBLANK('Annex 2 Designated EHV charges'!$D$10:$D$401),1, COUNTIF(A$4:$A240, 'Annex 2 Designated EHV charges'!$D$10:$D$401)), 0)),"")</f>
        <v>WHIRSF</v>
      </c>
      <c r="B241" s="94">
        <f>IF($A241="","",VLOOKUP($A241,'Annex 2 Designated EHV charges'!$D:$O,2,0))</f>
        <v>422</v>
      </c>
      <c r="C241" s="95">
        <f>IF($A241="","",VLOOKUP($A241,'Annex 2 Designated EHV charges'!$D:$O,3,0))</f>
        <v>1050002982122</v>
      </c>
      <c r="D241" s="94" t="str">
        <f>IF($A241="","",VLOOKUP($A241,'Annex 2 Designated EHV charges'!$D:$O,4,0))</f>
        <v>WHIRSF</v>
      </c>
      <c r="E241" s="96" t="str">
        <f>IFERROR(IF(VLOOKUP($A241,'Annex 2 Designated EHV charges'!$D:$P,10,FALSE)=0,"",VLOOKUP($A241,'Annex 2 Designated EHV charges'!$D:$P,10,FALSE)),"")</f>
        <v/>
      </c>
      <c r="F241" s="195">
        <f>IFERROR(IF(VLOOKUP($A241,'Annex 2 Designated EHV charges'!$D:$P,11,FALSE)=0,"",VLOOKUP($A241,'Annex 2 Designated EHV charges'!$D:$P,11,FALSE)),"")</f>
        <v>8018.4</v>
      </c>
      <c r="G241" s="195">
        <f>IFERROR(IF(VLOOKUP($A241,'Annex 2 Designated EHV charges'!$D:$P,12,FALSE)=0,"",VLOOKUP($A241,'Annex 2 Designated EHV charges'!$D:$P,12,FALSE)),"")</f>
        <v>0.05</v>
      </c>
      <c r="H241" s="195">
        <f>IFERROR(IF(VLOOKUP($A241,'Annex 2 Designated EHV charges'!$D:$P,13,FALSE)=0,"",VLOOKUP($A241,'Annex 2 Designated EHV charges'!$D:$P,13,FALSE)),"")</f>
        <v>0.05</v>
      </c>
    </row>
    <row r="242" spans="1:9" x14ac:dyDescent="0.2">
      <c r="A242" s="95" t="str" cm="1">
        <f t="array" ref="A242">IFERROR(INDEX('Annex 2 Designated EHV charges'!$D$10:$D$401, MATCH(0, IF(ISBLANK('Annex 2 Designated EHV charges'!$D$10:$D$401),1, COUNTIF(A$4:$A241, 'Annex 2 Designated EHV charges'!$D$10:$D$401)), 0)),"")</f>
        <v>WHMLWF</v>
      </c>
      <c r="B242" s="94">
        <f>IF($A242="","",VLOOKUP($A242,'Annex 2 Designated EHV charges'!$D:$O,2,0))</f>
        <v>743</v>
      </c>
      <c r="C242" s="95">
        <f>IF($A242="","",VLOOKUP($A242,'Annex 2 Designated EHV charges'!$D:$O,3,0))</f>
        <v>1030079196820</v>
      </c>
      <c r="D242" s="94" t="str">
        <f>IF($A242="","",VLOOKUP($A242,'Annex 2 Designated EHV charges'!$D:$O,4,0))</f>
        <v>WHMLWF</v>
      </c>
      <c r="E242" s="96" t="str">
        <f>IFERROR(IF(VLOOKUP($A242,'Annex 2 Designated EHV charges'!$D:$P,10,FALSE)=0,"",VLOOKUP($A242,'Annex 2 Designated EHV charges'!$D:$P,10,FALSE)),"")</f>
        <v/>
      </c>
      <c r="F242" s="195">
        <f>IFERROR(IF(VLOOKUP($A242,'Annex 2 Designated EHV charges'!$D:$P,11,FALSE)=0,"",VLOOKUP($A242,'Annex 2 Designated EHV charges'!$D:$P,11,FALSE)),"")</f>
        <v>6558.11</v>
      </c>
      <c r="G242" s="195">
        <f>IFERROR(IF(VLOOKUP($A242,'Annex 2 Designated EHV charges'!$D:$P,12,FALSE)=0,"",VLOOKUP($A242,'Annex 2 Designated EHV charges'!$D:$P,12,FALSE)),"")</f>
        <v>0.05</v>
      </c>
      <c r="H242" s="195">
        <f>IFERROR(IF(VLOOKUP($A242,'Annex 2 Designated EHV charges'!$D:$P,13,FALSE)=0,"",VLOOKUP($A242,'Annex 2 Designated EHV charges'!$D:$P,13,FALSE)),"")</f>
        <v>0.05</v>
      </c>
    </row>
    <row r="243" spans="1:9" x14ac:dyDescent="0.2">
      <c r="A243" s="95" t="str" cm="1">
        <f t="array" ref="A243">IFERROR(INDEX('Annex 2 Designated EHV charges'!$D$10:$D$401, MATCH(0, IF(ISBLANK('Annex 2 Designated EHV charges'!$D$10:$D$401),1, COUNTIF(A$4:$A242, 'Annex 2 Designated EHV charges'!$D$10:$D$401)), 0)),"")</f>
        <v>WIGGIN</v>
      </c>
      <c r="B243" s="94">
        <f>IF($A243="","",VLOOKUP($A243,'Annex 2 Designated EHV charges'!$D:$O,2,0))</f>
        <v>461</v>
      </c>
      <c r="C243" s="95">
        <f>IF($A243="","",VLOOKUP($A243,'Annex 2 Designated EHV charges'!$D:$O,3,0))</f>
        <v>1050000769154</v>
      </c>
      <c r="D243" s="94" t="str">
        <f>IF($A243="","",VLOOKUP($A243,'Annex 2 Designated EHV charges'!$D:$O,4,0))</f>
        <v>WIGGIN</v>
      </c>
      <c r="E243" s="96" t="str">
        <f>IFERROR(IF(VLOOKUP($A243,'Annex 2 Designated EHV charges'!$D:$P,10,FALSE)=0,"",VLOOKUP($A243,'Annex 2 Designated EHV charges'!$D:$P,10,FALSE)),"")</f>
        <v/>
      </c>
      <c r="F243" s="195">
        <f>IFERROR(IF(VLOOKUP($A243,'Annex 2 Designated EHV charges'!$D:$P,11,FALSE)=0,"",VLOOKUP($A243,'Annex 2 Designated EHV charges'!$D:$P,11,FALSE)),"")</f>
        <v>2041.04</v>
      </c>
      <c r="G243" s="195">
        <f>IFERROR(IF(VLOOKUP($A243,'Annex 2 Designated EHV charges'!$D:$P,12,FALSE)=0,"",VLOOKUP($A243,'Annex 2 Designated EHV charges'!$D:$P,12,FALSE)),"")</f>
        <v>0.05</v>
      </c>
      <c r="H243" s="195">
        <f>IFERROR(IF(VLOOKUP($A243,'Annex 2 Designated EHV charges'!$D:$P,13,FALSE)=0,"",VLOOKUP($A243,'Annex 2 Designated EHV charges'!$D:$P,13,FALSE)),"")</f>
        <v>0.05</v>
      </c>
    </row>
    <row r="244" spans="1:9" x14ac:dyDescent="0.2">
      <c r="A244" s="95" t="str" cm="1">
        <f t="array" ref="A244">IFERROR(INDEX('Annex 2 Designated EHV charges'!$D$10:$D$401, MATCH(0, IF(ISBLANK('Annex 2 Designated EHV charges'!$D$10:$D$401),1, COUNTIF(A$4:$A243, 'Annex 2 Designated EHV charges'!$D$10:$D$401)), 0)),"")</f>
        <v>WLBRHM</v>
      </c>
      <c r="B244" s="94">
        <f>IF($A244="","",VLOOKUP($A244,'Annex 2 Designated EHV charges'!$D:$O,2,0))</f>
        <v>462</v>
      </c>
      <c r="C244" s="95">
        <f>IF($A244="","",VLOOKUP($A244,'Annex 2 Designated EHV charges'!$D:$O,3,0))</f>
        <v>1050000714164</v>
      </c>
      <c r="D244" s="94" t="str">
        <f>IF($A244="","",VLOOKUP($A244,'Annex 2 Designated EHV charges'!$D:$O,4,0))</f>
        <v>WLBRHM</v>
      </c>
      <c r="E244" s="96" t="str">
        <f>IFERROR(IF(VLOOKUP($A244,'Annex 2 Designated EHV charges'!$D:$P,10,FALSE)=0,"",VLOOKUP($A244,'Annex 2 Designated EHV charges'!$D:$P,10,FALSE)),"")</f>
        <v/>
      </c>
      <c r="F244" s="195">
        <f>IFERROR(IF(VLOOKUP($A244,'Annex 2 Designated EHV charges'!$D:$P,11,FALSE)=0,"",VLOOKUP($A244,'Annex 2 Designated EHV charges'!$D:$P,11,FALSE)),"")</f>
        <v>13051.74</v>
      </c>
      <c r="G244" s="195">
        <f>IFERROR(IF(VLOOKUP($A244,'Annex 2 Designated EHV charges'!$D:$P,12,FALSE)=0,"",VLOOKUP($A244,'Annex 2 Designated EHV charges'!$D:$P,12,FALSE)),"")</f>
        <v>0.05</v>
      </c>
      <c r="H244" s="195">
        <f>IFERROR(IF(VLOOKUP($A244,'Annex 2 Designated EHV charges'!$D:$P,13,FALSE)=0,"",VLOOKUP($A244,'Annex 2 Designated EHV charges'!$D:$P,13,FALSE)),"")</f>
        <v>0.05</v>
      </c>
    </row>
    <row r="245" spans="1:9" x14ac:dyDescent="0.2">
      <c r="A245" s="95" t="str" cm="1">
        <f t="array" ref="A245">IFERROR(INDEX('Annex 2 Designated EHV charges'!$D$10:$D$401, MATCH(0, IF(ISBLANK('Annex 2 Designated EHV charges'!$D$10:$D$401),1, COUNTIF(A$4:$A244, 'Annex 2 Designated EHV charges'!$D$10:$D$401)), 0)),"")</f>
        <v>WOBRBS</v>
      </c>
      <c r="B245" s="94">
        <f>IF($A245="","",VLOOKUP($A245,'Annex 2 Designated EHV charges'!$D:$O,2,0))</f>
        <v>0</v>
      </c>
      <c r="C245" s="95" t="str">
        <f>IF($A245="","",VLOOKUP($A245,'Annex 2 Designated EHV charges'!$D:$O,3,0))</f>
        <v>ENET</v>
      </c>
      <c r="D245" s="94" t="str">
        <f>IF($A245="","",VLOOKUP($A245,'Annex 2 Designated EHV charges'!$D:$O,4,0))</f>
        <v>WOBRBS</v>
      </c>
      <c r="E245" s="96">
        <f>IFERROR(IF(VLOOKUP($A245,'Annex 2 Designated EHV charges'!$D:$P,10,FALSE)=0,"",VLOOKUP($A245,'Annex 2 Designated EHV charges'!$D:$P,10,FALSE)),"")</f>
        <v>-1.5580000000000001</v>
      </c>
      <c r="F245" s="195">
        <f>IFERROR(IF(VLOOKUP($A245,'Annex 2 Designated EHV charges'!$D:$P,11,FALSE)=0,"",VLOOKUP($A245,'Annex 2 Designated EHV charges'!$D:$P,11,FALSE)),"")</f>
        <v>253.77</v>
      </c>
      <c r="G245" s="195">
        <f>IFERROR(IF(VLOOKUP($A245,'Annex 2 Designated EHV charges'!$D:$P,12,FALSE)=0,"",VLOOKUP($A245,'Annex 2 Designated EHV charges'!$D:$P,12,FALSE)),"")</f>
        <v>0.05</v>
      </c>
      <c r="H245" s="195">
        <f>IFERROR(IF(VLOOKUP($A245,'Annex 2 Designated EHV charges'!$D:$P,13,FALSE)=0,"",VLOOKUP($A245,'Annex 2 Designated EHV charges'!$D:$P,13,FALSE)),"")</f>
        <v>0.05</v>
      </c>
    </row>
    <row r="246" spans="1:9" x14ac:dyDescent="0.2">
      <c r="A246" s="95" t="str" cm="1">
        <f t="array" ref="A246">IFERROR(INDEX('Annex 2 Designated EHV charges'!$D$10:$D$401, MATCH(0, IF(ISBLANK('Annex 2 Designated EHV charges'!$D$10:$D$401),1, COUNTIF(A$4:$A245, 'Annex 2 Designated EHV charges'!$D$10:$D$401)), 0)),"")</f>
        <v>WOOLLY</v>
      </c>
      <c r="B246" s="94">
        <f>IF($A246="","",VLOOKUP($A246,'Annex 2 Designated EHV charges'!$D:$O,2,0))</f>
        <v>464</v>
      </c>
      <c r="C246" s="95">
        <f>IF($A246="","",VLOOKUP($A246,'Annex 2 Designated EHV charges'!$D:$O,3,0))</f>
        <v>1050000555910</v>
      </c>
      <c r="D246" s="94" t="str">
        <f>IF($A246="","",VLOOKUP($A246,'Annex 2 Designated EHV charges'!$D:$O,4,0))</f>
        <v>WOOLLY</v>
      </c>
      <c r="E246" s="96" t="str">
        <f>IFERROR(IF(VLOOKUP($A246,'Annex 2 Designated EHV charges'!$D:$P,10,FALSE)=0,"",VLOOKUP($A246,'Annex 2 Designated EHV charges'!$D:$P,10,FALSE)),"")</f>
        <v/>
      </c>
      <c r="F246" s="195">
        <f>IFERROR(IF(VLOOKUP($A246,'Annex 2 Designated EHV charges'!$D:$P,11,FALSE)=0,"",VLOOKUP($A246,'Annex 2 Designated EHV charges'!$D:$P,11,FALSE)),"")</f>
        <v>11979.29</v>
      </c>
      <c r="G246" s="195">
        <f>IFERROR(IF(VLOOKUP($A246,'Annex 2 Designated EHV charges'!$D:$P,12,FALSE)=0,"",VLOOKUP($A246,'Annex 2 Designated EHV charges'!$D:$P,12,FALSE)),"")</f>
        <v>0.05</v>
      </c>
      <c r="H246" s="195">
        <f>IFERROR(IF(VLOOKUP($A246,'Annex 2 Designated EHV charges'!$D:$P,13,FALSE)=0,"",VLOOKUP($A246,'Annex 2 Designated EHV charges'!$D:$P,13,FALSE)),"")</f>
        <v>0.05</v>
      </c>
    </row>
    <row r="247" spans="1:9" x14ac:dyDescent="0.2">
      <c r="A247" s="95" t="str" cm="1">
        <f t="array" ref="A247">IFERROR(INDEX('Annex 2 Designated EHV charges'!$D$10:$D$401, MATCH(0, IF(ISBLANK('Annex 2 Designated EHV charges'!$D$10:$D$401),1, COUNTIF(A$4:$A246, 'Annex 2 Designated EHV charges'!$D$10:$D$401)), 0)),"")</f>
        <v>WRGSTE</v>
      </c>
      <c r="B247" s="94">
        <f>IF($A247="","",VLOOKUP($A247,'Annex 2 Designated EHV charges'!$D:$O,2,0))</f>
        <v>712</v>
      </c>
      <c r="C247" s="95">
        <f>IF($A247="","",VLOOKUP($A247,'Annex 2 Designated EHV charges'!$D:$O,3,0))</f>
        <v>1023477563953</v>
      </c>
      <c r="D247" s="94" t="str">
        <f>IF($A247="","",VLOOKUP($A247,'Annex 2 Designated EHV charges'!$D:$O,4,0))</f>
        <v>WRGSTE</v>
      </c>
      <c r="E247" s="96">
        <f>IFERROR(IF(VLOOKUP($A247,'Annex 2 Designated EHV charges'!$D:$P,10,FALSE)=0,"",VLOOKUP($A247,'Annex 2 Designated EHV charges'!$D:$P,10,FALSE)),"")</f>
        <v>-1.593</v>
      </c>
      <c r="F247" s="195">
        <f>IFERROR(IF(VLOOKUP($A247,'Annex 2 Designated EHV charges'!$D:$P,11,FALSE)=0,"",VLOOKUP($A247,'Annex 2 Designated EHV charges'!$D:$P,11,FALSE)),"")</f>
        <v>2062.09</v>
      </c>
      <c r="G247" s="195">
        <f>IFERROR(IF(VLOOKUP($A247,'Annex 2 Designated EHV charges'!$D:$P,12,FALSE)=0,"",VLOOKUP($A247,'Annex 2 Designated EHV charges'!$D:$P,12,FALSE)),"")</f>
        <v>0.05</v>
      </c>
      <c r="H247" s="195">
        <f>IFERROR(IF(VLOOKUP($A247,'Annex 2 Designated EHV charges'!$D:$P,13,FALSE)=0,"",VLOOKUP($A247,'Annex 2 Designated EHV charges'!$D:$P,13,FALSE)),"")</f>
        <v>0.05</v>
      </c>
    </row>
    <row r="248" spans="1:9" x14ac:dyDescent="0.2">
      <c r="A248" s="95" t="str" cm="1">
        <f t="array" ref="A248">IFERROR(INDEX('Annex 2 Designated EHV charges'!$D$10:$D$401, MATCH(0, IF(ISBLANK('Annex 2 Designated EHV charges'!$D$10:$D$401),1, COUNTIF(A$4:$A247, 'Annex 2 Designated EHV charges'!$D$10:$D$401)), 0)),"")</f>
        <v>WRYDEC</v>
      </c>
      <c r="B248" s="94">
        <f>IF($A248="","",VLOOKUP($A248,'Annex 2 Designated EHV charges'!$D:$O,2,0))</f>
        <v>682</v>
      </c>
      <c r="C248" s="95">
        <f>IF($A248="","",VLOOKUP($A248,'Annex 2 Designated EHV charges'!$D:$O,3,0))</f>
        <v>1050000948120</v>
      </c>
      <c r="D248" s="94" t="str">
        <f>IF($A248="","",VLOOKUP($A248,'Annex 2 Designated EHV charges'!$D:$O,4,0))</f>
        <v>WRYDEC</v>
      </c>
      <c r="E248" s="96" t="str">
        <f>IFERROR(IF(VLOOKUP($A248,'Annex 2 Designated EHV charges'!$D:$P,10,FALSE)=0,"",VLOOKUP($A248,'Annex 2 Designated EHV charges'!$D:$P,10,FALSE)),"")</f>
        <v/>
      </c>
      <c r="F248" s="195">
        <f>IFERROR(IF(VLOOKUP($A248,'Annex 2 Designated EHV charges'!$D:$P,11,FALSE)=0,"",VLOOKUP($A248,'Annex 2 Designated EHV charges'!$D:$P,11,FALSE)),"")</f>
        <v>10961.84</v>
      </c>
      <c r="G248" s="195">
        <f>IFERROR(IF(VLOOKUP($A248,'Annex 2 Designated EHV charges'!$D:$P,12,FALSE)=0,"",VLOOKUP($A248,'Annex 2 Designated EHV charges'!$D:$P,12,FALSE)),"")</f>
        <v>0.05</v>
      </c>
      <c r="H248" s="195">
        <f>IFERROR(IF(VLOOKUP($A248,'Annex 2 Designated EHV charges'!$D:$P,13,FALSE)=0,"",VLOOKUP($A248,'Annex 2 Designated EHV charges'!$D:$P,13,FALSE)),"")</f>
        <v>0.05</v>
      </c>
    </row>
    <row r="249" spans="1:9" x14ac:dyDescent="0.2">
      <c r="A249" s="95" t="str" cm="1">
        <f t="array" ref="A249">IFERROR(INDEX('Annex 2 Designated EHV charges'!$D$10:$D$401, MATCH(0, IF(ISBLANK('Annex 2 Designated EHV charges'!$D$10:$D$401),1, COUNTIF(A$4:$A248, 'Annex 2 Designated EHV charges'!$D$10:$D$401)), 0)),"")</f>
        <v>WSBRDG</v>
      </c>
      <c r="B249" s="94">
        <f>IF($A249="","",VLOOKUP($A249,'Annex 2 Designated EHV charges'!$D:$O,2,0))</f>
        <v>463</v>
      </c>
      <c r="C249" s="95">
        <f>IF($A249="","",VLOOKUP($A249,'Annex 2 Designated EHV charges'!$D:$O,3,0))</f>
        <v>1050000650680</v>
      </c>
      <c r="D249" s="94" t="str">
        <f>IF($A249="","",VLOOKUP($A249,'Annex 2 Designated EHV charges'!$D:$O,4,0))</f>
        <v>WSBRDG</v>
      </c>
      <c r="E249" s="96" t="str">
        <f>IFERROR(IF(VLOOKUP($A249,'Annex 2 Designated EHV charges'!$D:$P,10,FALSE)=0,"",VLOOKUP($A249,'Annex 2 Designated EHV charges'!$D:$P,10,FALSE)),"")</f>
        <v/>
      </c>
      <c r="F249" s="195">
        <f>IFERROR(IF(VLOOKUP($A249,'Annex 2 Designated EHV charges'!$D:$P,11,FALSE)=0,"",VLOOKUP($A249,'Annex 2 Designated EHV charges'!$D:$P,11,FALSE)),"")</f>
        <v>1410.73</v>
      </c>
      <c r="G249" s="195">
        <f>IFERROR(IF(VLOOKUP($A249,'Annex 2 Designated EHV charges'!$D:$P,12,FALSE)=0,"",VLOOKUP($A249,'Annex 2 Designated EHV charges'!$D:$P,12,FALSE)),"")</f>
        <v>0.05</v>
      </c>
      <c r="H249" s="195">
        <f>IFERROR(IF(VLOOKUP($A249,'Annex 2 Designated EHV charges'!$D:$P,13,FALSE)=0,"",VLOOKUP($A249,'Annex 2 Designated EHV charges'!$D:$P,13,FALSE)),"")</f>
        <v>0.05</v>
      </c>
    </row>
    <row r="250" spans="1:9" x14ac:dyDescent="0.2">
      <c r="A250" s="95" t="str" cm="1">
        <f t="array" ref="A250">IFERROR(INDEX('Annex 2 Designated EHV charges'!$D$10:$D$401, MATCH(0, IF(ISBLANK('Annex 2 Designated EHV charges'!$D$10:$D$401),1, COUNTIF(A$4:$A249, 'Annex 2 Designated EHV charges'!$D$10:$D$401)), 0)),"")</f>
        <v>WSTNLV</v>
      </c>
      <c r="B250" s="94">
        <f>IF($A250="","",VLOOKUP($A250,'Annex 2 Designated EHV charges'!$D:$O,2,0))</f>
        <v>471</v>
      </c>
      <c r="C250" s="95">
        <f>IF($A250="","",VLOOKUP($A250,'Annex 2 Designated EHV charges'!$D:$O,3,0))</f>
        <v>1050000811601</v>
      </c>
      <c r="D250" s="94" t="str">
        <f>IF($A250="","",VLOOKUP($A250,'Annex 2 Designated EHV charges'!$D:$O,4,0))</f>
        <v>WSTNLV</v>
      </c>
      <c r="E250" s="96" t="str">
        <f>IFERROR(IF(VLOOKUP($A250,'Annex 2 Designated EHV charges'!$D:$P,10,FALSE)=0,"",VLOOKUP($A250,'Annex 2 Designated EHV charges'!$D:$P,10,FALSE)),"")</f>
        <v/>
      </c>
      <c r="F250" s="195">
        <f>IFERROR(IF(VLOOKUP($A250,'Annex 2 Designated EHV charges'!$D:$P,11,FALSE)=0,"",VLOOKUP($A250,'Annex 2 Designated EHV charges'!$D:$P,11,FALSE)),"")</f>
        <v>2409.38</v>
      </c>
      <c r="G250" s="195">
        <f>IFERROR(IF(VLOOKUP($A250,'Annex 2 Designated EHV charges'!$D:$P,12,FALSE)=0,"",VLOOKUP($A250,'Annex 2 Designated EHV charges'!$D:$P,12,FALSE)),"")</f>
        <v>0.05</v>
      </c>
      <c r="H250" s="195">
        <f>IFERROR(IF(VLOOKUP($A250,'Annex 2 Designated EHV charges'!$D:$P,13,FALSE)=0,"",VLOOKUP($A250,'Annex 2 Designated EHV charges'!$D:$P,13,FALSE)),"")</f>
        <v>0.05</v>
      </c>
    </row>
    <row r="251" spans="1:9" x14ac:dyDescent="0.2">
      <c r="A251" s="95" t="str" cm="1">
        <f t="array" ref="A251">IFERROR(INDEX('Annex 2 Designated EHV charges'!$D$10:$D$401, MATCH(0, IF(ISBLANK('Annex 2 Designated EHV charges'!$D$10:$D$401),1, COUNTIF(A$4:$A250, 'Annex 2 Designated EHV charges'!$D$10:$D$401)), 0)),"")</f>
        <v>WTRLOO</v>
      </c>
      <c r="B251" s="94">
        <f>IF($A251="","",VLOOKUP($A251,'Annex 2 Designated EHV charges'!$D:$O,2,0))</f>
        <v>465</v>
      </c>
      <c r="C251" s="95">
        <f>IF($A251="","",VLOOKUP($A251,'Annex 2 Designated EHV charges'!$D:$O,3,0))</f>
        <v>1050000769172</v>
      </c>
      <c r="D251" s="94" t="str">
        <f>IF($A251="","",VLOOKUP($A251,'Annex 2 Designated EHV charges'!$D:$O,4,0))</f>
        <v>WTRLOO</v>
      </c>
      <c r="E251" s="96" t="str">
        <f>IFERROR(IF(VLOOKUP($A251,'Annex 2 Designated EHV charges'!$D:$P,10,FALSE)=0,"",VLOOKUP($A251,'Annex 2 Designated EHV charges'!$D:$P,10,FALSE)),"")</f>
        <v/>
      </c>
      <c r="F251" s="195">
        <f>IFERROR(IF(VLOOKUP($A251,'Annex 2 Designated EHV charges'!$D:$P,11,FALSE)=0,"",VLOOKUP($A251,'Annex 2 Designated EHV charges'!$D:$P,11,FALSE)),"")</f>
        <v>1263.1199999999999</v>
      </c>
      <c r="G251" s="195">
        <f>IFERROR(IF(VLOOKUP($A251,'Annex 2 Designated EHV charges'!$D:$P,12,FALSE)=0,"",VLOOKUP($A251,'Annex 2 Designated EHV charges'!$D:$P,12,FALSE)),"")</f>
        <v>0.05</v>
      </c>
      <c r="H251" s="195">
        <f>IFERROR(IF(VLOOKUP($A251,'Annex 2 Designated EHV charges'!$D:$P,13,FALSE)=0,"",VLOOKUP($A251,'Annex 2 Designated EHV charges'!$D:$P,13,FALSE)),"")</f>
        <v>0.05</v>
      </c>
    </row>
    <row r="252" spans="1:9" x14ac:dyDescent="0.2">
      <c r="A252" s="56" t="str" cm="1">
        <f t="array" ref="A252">IFERROR(INDEX('Annex 2 Designated EHV charges'!$D$10:$D$401, MATCH(0, IF(ISBLANK('Annex 2 Designated EHV charges'!$D$10:$D$401),1, COUNTIF(A$4:$A251, 'Annex 2 Designated EHV charges'!$D$10:$D$401)), 0)),"")</f>
        <v/>
      </c>
      <c r="B252" s="56" t="str">
        <f>IF($A252="","",VLOOKUP($A252,'Annex 2 Designated EHV charges'!$D:$O,2,0))</f>
        <v/>
      </c>
      <c r="C252" s="56" t="str">
        <f>IF($A252="","",VLOOKUP($A252,'Annex 2 Designated EHV charges'!$D:$O,3,0))</f>
        <v/>
      </c>
      <c r="D252" s="56" t="str">
        <f>IF($A252="","",VLOOKUP($A252,'Annex 2 Designated EHV charges'!$D:$O,4,0))</f>
        <v/>
      </c>
      <c r="E252" s="56" t="str">
        <f>IFERROR(IF(VLOOKUP($A252,'Annex 2 Designated EHV charges'!$D:$P,10,FALSE)=0,"",VLOOKUP($A252,'Annex 2 Designated EHV charges'!$D:$P,10,FALSE)),"")</f>
        <v/>
      </c>
      <c r="F252" s="56" t="str">
        <f>IFERROR(IF(VLOOKUP($A252,'Annex 2 Designated EHV charges'!$D:$P,11,FALSE)=0,"",VLOOKUP($A252,'Annex 2 Designated EHV charges'!$D:$P,11,FALSE)),"")</f>
        <v/>
      </c>
      <c r="G252" s="56" t="str">
        <f>IFERROR(IF(VLOOKUP($A252,'Annex 2 Designated EHV charges'!$D:$P,12,FALSE)=0,"",VLOOKUP($A252,'Annex 2 Designated EHV charges'!$D:$P,12,FALSE)),"")</f>
        <v/>
      </c>
      <c r="H252" s="56" t="str">
        <f>IFERROR(IF(VLOOKUP($A252,'Annex 2 Designated EHV charges'!$D:$P,13,FALSE)=0,"",VLOOKUP($A252,'Annex 2 Designated EHV charges'!$D:$P,13,FALSE)),"")</f>
        <v/>
      </c>
      <c r="I252" s="56"/>
    </row>
    <row r="253" spans="1:9" x14ac:dyDescent="0.2">
      <c r="A253" s="56" t="str" cm="1">
        <f t="array" ref="A253">IFERROR(INDEX('Annex 2 Designated EHV charges'!$D$10:$D$401, MATCH(0, IF(ISBLANK('Annex 2 Designated EHV charges'!$D$10:$D$401),1, COUNTIF(A$4:$A252, 'Annex 2 Designated EHV charges'!$D$10:$D$401)), 0)),"")</f>
        <v/>
      </c>
      <c r="B253" s="56" t="str">
        <f>IF($A253="","",VLOOKUP($A253,'Annex 2 Designated EHV charges'!$D:$O,2,0))</f>
        <v/>
      </c>
      <c r="C253" s="56" t="str">
        <f>IF($A253="","",VLOOKUP($A253,'Annex 2 Designated EHV charges'!$D:$O,3,0))</f>
        <v/>
      </c>
      <c r="D253" s="56" t="str">
        <f>IF($A253="","",VLOOKUP($A253,'Annex 2 Designated EHV charges'!$D:$O,4,0))</f>
        <v/>
      </c>
      <c r="E253" s="56" t="str">
        <f>IFERROR(IF(VLOOKUP($A253,'Annex 2 Designated EHV charges'!$D:$P,10,FALSE)=0,"",VLOOKUP($A253,'Annex 2 Designated EHV charges'!$D:$P,10,FALSE)),"")</f>
        <v/>
      </c>
      <c r="F253" s="56" t="str">
        <f>IFERROR(IF(VLOOKUP($A253,'Annex 2 Designated EHV charges'!$D:$P,11,FALSE)=0,"",VLOOKUP($A253,'Annex 2 Designated EHV charges'!$D:$P,11,FALSE)),"")</f>
        <v/>
      </c>
      <c r="G253" s="56" t="str">
        <f>IFERROR(IF(VLOOKUP($A253,'Annex 2 Designated EHV charges'!$D:$P,12,FALSE)=0,"",VLOOKUP($A253,'Annex 2 Designated EHV charges'!$D:$P,12,FALSE)),"")</f>
        <v/>
      </c>
      <c r="H253" s="56" t="str">
        <f>IFERROR(IF(VLOOKUP($A253,'Annex 2 Designated EHV charges'!$D:$P,13,FALSE)=0,"",VLOOKUP($A253,'Annex 2 Designated EHV charges'!$D:$P,13,FALSE)),"")</f>
        <v/>
      </c>
      <c r="I253" s="56"/>
    </row>
    <row r="254" spans="1:9" x14ac:dyDescent="0.2">
      <c r="A254" s="56" t="str" cm="1">
        <f t="array" ref="A254">IFERROR(INDEX('Annex 2 Designated EHV charges'!$D$10:$D$401, MATCH(0, IF(ISBLANK('Annex 2 Designated EHV charges'!$D$10:$D$401),1, COUNTIF(A$4:$A253, 'Annex 2 Designated EHV charges'!$D$10:$D$401)), 0)),"")</f>
        <v/>
      </c>
      <c r="B254" s="56" t="str">
        <f>IF($A254="","",VLOOKUP($A254,'Annex 2 Designated EHV charges'!$D:$O,2,0))</f>
        <v/>
      </c>
      <c r="C254" s="56" t="str">
        <f>IF($A254="","",VLOOKUP($A254,'Annex 2 Designated EHV charges'!$D:$O,3,0))</f>
        <v/>
      </c>
      <c r="D254" s="56" t="str">
        <f>IF($A254="","",VLOOKUP($A254,'Annex 2 Designated EHV charges'!$D:$O,4,0))</f>
        <v/>
      </c>
      <c r="E254" s="56" t="str">
        <f>IFERROR(IF(VLOOKUP($A254,'Annex 2 Designated EHV charges'!$D:$P,10,FALSE)=0,"",VLOOKUP($A254,'Annex 2 Designated EHV charges'!$D:$P,10,FALSE)),"")</f>
        <v/>
      </c>
      <c r="F254" s="56" t="str">
        <f>IFERROR(IF(VLOOKUP($A254,'Annex 2 Designated EHV charges'!$D:$P,11,FALSE)=0,"",VLOOKUP($A254,'Annex 2 Designated EHV charges'!$D:$P,11,FALSE)),"")</f>
        <v/>
      </c>
      <c r="G254" s="56" t="str">
        <f>IFERROR(IF(VLOOKUP($A254,'Annex 2 Designated EHV charges'!$D:$P,12,FALSE)=0,"",VLOOKUP($A254,'Annex 2 Designated EHV charges'!$D:$P,12,FALSE)),"")</f>
        <v/>
      </c>
      <c r="H254" s="56" t="str">
        <f>IFERROR(IF(VLOOKUP($A254,'Annex 2 Designated EHV charges'!$D:$P,13,FALSE)=0,"",VLOOKUP($A254,'Annex 2 Designated EHV charges'!$D:$P,13,FALSE)),"")</f>
        <v/>
      </c>
      <c r="I254" s="56"/>
    </row>
    <row r="255" spans="1:9" x14ac:dyDescent="0.2">
      <c r="A255" s="56" t="str" cm="1">
        <f t="array" ref="A255">IFERROR(INDEX('Annex 2 Designated EHV charges'!$D$10:$D$401, MATCH(0, IF(ISBLANK('Annex 2 Designated EHV charges'!$D$10:$D$401),1, COUNTIF(A$4:$A254, 'Annex 2 Designated EHV charges'!$D$10:$D$401)), 0)),"")</f>
        <v/>
      </c>
      <c r="B255" s="56"/>
      <c r="E255" s="56"/>
      <c r="F255" s="56"/>
      <c r="G255" s="56"/>
      <c r="H255" s="56"/>
      <c r="I255" s="56"/>
    </row>
    <row r="256" spans="1:9" x14ac:dyDescent="0.2">
      <c r="A256" s="56" t="str" cm="1">
        <f t="array" ref="A256">IFERROR(INDEX('Annex 2 Designated EHV charges'!$D$10:$D$401, MATCH(0, IF(ISBLANK('Annex 2 Designated EHV charges'!$D$10:$D$401),1, COUNTIF(A$4:$A255, 'Annex 2 Designated EHV charges'!$D$10:$D$401)), 0)),"")</f>
        <v/>
      </c>
      <c r="B256" s="56"/>
      <c r="E256" s="56"/>
      <c r="F256" s="56"/>
      <c r="G256" s="56"/>
      <c r="H256" s="56"/>
      <c r="I256" s="56"/>
    </row>
    <row r="257" spans="1:9" x14ac:dyDescent="0.2">
      <c r="A257" s="56" t="str" cm="1">
        <f t="array" ref="A257">IFERROR(INDEX('Annex 2 Designated EHV charges'!$D$10:$D$401, MATCH(0, IF(ISBLANK('Annex 2 Designated EHV charges'!$D$10:$D$401),1, COUNTIF(A$4:$A256, 'Annex 2 Designated EHV charges'!$D$10:$D$401)), 0)),"")</f>
        <v/>
      </c>
      <c r="B257" s="56"/>
      <c r="E257" s="56"/>
      <c r="F257" s="56"/>
      <c r="G257" s="56"/>
      <c r="H257" s="56"/>
      <c r="I257" s="56"/>
    </row>
    <row r="258" spans="1:9" x14ac:dyDescent="0.2">
      <c r="A258" s="56" t="str" cm="1">
        <f t="array" ref="A258">IFERROR(INDEX('Annex 2 Designated EHV charges'!$D$10:$D$401, MATCH(0, IF(ISBLANK('Annex 2 Designated EHV charges'!$D$10:$D$401),1, COUNTIF(A$4:$A257, 'Annex 2 Designated EHV charges'!$D$10:$D$401)), 0)),"")</f>
        <v/>
      </c>
      <c r="B258" s="56"/>
      <c r="E258" s="56"/>
      <c r="F258" s="56"/>
      <c r="G258" s="56"/>
      <c r="H258" s="56"/>
      <c r="I258" s="56"/>
    </row>
    <row r="259" spans="1:9" x14ac:dyDescent="0.2">
      <c r="A259" s="56" t="str" cm="1">
        <f t="array" ref="A259">IFERROR(INDEX('Annex 2 Designated EHV charges'!$D$10:$D$401, MATCH(0, IF(ISBLANK('Annex 2 Designated EHV charges'!$D$10:$D$401),1, COUNTIF(A$4:$A258, 'Annex 2 Designated EHV charges'!$D$10:$D$401)), 0)),"")</f>
        <v/>
      </c>
      <c r="B259" s="56"/>
      <c r="E259" s="56"/>
      <c r="F259" s="56"/>
      <c r="G259" s="56"/>
      <c r="H259" s="56"/>
      <c r="I259" s="56"/>
    </row>
    <row r="260" spans="1:9" x14ac:dyDescent="0.2">
      <c r="A260" s="56" t="str" cm="1">
        <f t="array" ref="A260">IFERROR(INDEX('Annex 2 Designated EHV charges'!$D$10:$D$401, MATCH(0, IF(ISBLANK('Annex 2 Designated EHV charges'!$D$10:$D$401),1, COUNTIF(A$4:$A259, 'Annex 2 Designated EHV charges'!$D$10:$D$401)), 0)),"")</f>
        <v/>
      </c>
      <c r="B260" s="56"/>
      <c r="E260" s="56"/>
      <c r="F260" s="56"/>
      <c r="G260" s="56"/>
      <c r="H260" s="56"/>
      <c r="I260" s="56"/>
    </row>
    <row r="261" spans="1:9" x14ac:dyDescent="0.2">
      <c r="A261" s="56" t="str" cm="1">
        <f t="array" ref="A261">IFERROR(INDEX('Annex 2 Designated EHV charges'!$D$10:$D$401, MATCH(0, IF(ISBLANK('Annex 2 Designated EHV charges'!$D$10:$D$401),1, COUNTIF(A$4:$A260, 'Annex 2 Designated EHV charges'!$D$10:$D$401)), 0)),"")</f>
        <v/>
      </c>
      <c r="B261" s="56"/>
      <c r="E261" s="56"/>
      <c r="F261" s="56"/>
      <c r="G261" s="56"/>
      <c r="H261" s="56"/>
      <c r="I261" s="56"/>
    </row>
    <row r="262" spans="1:9" x14ac:dyDescent="0.2">
      <c r="A262" s="56" t="str" cm="1">
        <f t="array" ref="A262">IFERROR(INDEX('Annex 2 Designated EHV charges'!$D$10:$D$401, MATCH(0, IF(ISBLANK('Annex 2 Designated EHV charges'!$D$10:$D$401),1, COUNTIF(A$4:$A261, 'Annex 2 Designated EHV charges'!$D$10:$D$401)), 0)),"")</f>
        <v/>
      </c>
      <c r="B262" s="56"/>
      <c r="E262" s="56"/>
      <c r="F262" s="56"/>
      <c r="G262" s="56"/>
      <c r="H262" s="56"/>
      <c r="I262" s="56"/>
    </row>
    <row r="263" spans="1:9" x14ac:dyDescent="0.2">
      <c r="A263" s="56" t="str" cm="1">
        <f t="array" ref="A263">IFERROR(INDEX('Annex 2 Designated EHV charges'!$D$10:$D$401, MATCH(0, IF(ISBLANK('Annex 2 Designated EHV charges'!$D$10:$D$401),1, COUNTIF(A$4:$A262, 'Annex 2 Designated EHV charges'!$D$10:$D$401)), 0)),"")</f>
        <v/>
      </c>
      <c r="B263" s="56"/>
      <c r="E263" s="56"/>
      <c r="F263" s="56"/>
      <c r="G263" s="56"/>
      <c r="H263" s="56"/>
      <c r="I263" s="56"/>
    </row>
    <row r="264" spans="1:9" x14ac:dyDescent="0.2">
      <c r="A264" s="56" t="str" cm="1">
        <f t="array" ref="A264">IFERROR(INDEX('Annex 2 Designated EHV charges'!$D$10:$D$401, MATCH(0, IF(ISBLANK('Annex 2 Designated EHV charges'!$D$10:$D$401),1, COUNTIF(A$4:$A263, 'Annex 2 Designated EHV charges'!$D$10:$D$401)), 0)),"")</f>
        <v/>
      </c>
      <c r="B264" s="56"/>
      <c r="E264" s="56"/>
      <c r="F264" s="56"/>
      <c r="G264" s="56"/>
      <c r="H264" s="56"/>
      <c r="I264" s="56"/>
    </row>
    <row r="265" spans="1:9" x14ac:dyDescent="0.2">
      <c r="A265" s="56" t="str" cm="1">
        <f t="array" ref="A265">IFERROR(INDEX('Annex 2 Designated EHV charges'!$D$10:$D$401, MATCH(0, IF(ISBLANK('Annex 2 Designated EHV charges'!$D$10:$D$401),1, COUNTIF(A$4:$A264, 'Annex 2 Designated EHV charges'!$D$10:$D$401)), 0)),"")</f>
        <v/>
      </c>
      <c r="B265" s="56"/>
      <c r="E265" s="56"/>
      <c r="F265" s="56"/>
      <c r="G265" s="56"/>
      <c r="H265" s="56"/>
      <c r="I265" s="56"/>
    </row>
    <row r="266" spans="1:9" x14ac:dyDescent="0.2">
      <c r="A266" s="56" t="str" cm="1">
        <f t="array" ref="A266">IFERROR(INDEX('Annex 2 Designated EHV charges'!$D$10:$D$401, MATCH(0, IF(ISBLANK('Annex 2 Designated EHV charges'!$D$10:$D$401),1, COUNTIF(A$4:$A265, 'Annex 2 Designated EHV charges'!$D$10:$D$401)), 0)),"")</f>
        <v/>
      </c>
      <c r="B266" s="56"/>
      <c r="E266" s="56"/>
      <c r="F266" s="56"/>
      <c r="G266" s="56"/>
      <c r="H266" s="56"/>
      <c r="I266" s="56"/>
    </row>
    <row r="267" spans="1:9" x14ac:dyDescent="0.2">
      <c r="A267" s="56" t="str" cm="1">
        <f t="array" ref="A267">IFERROR(INDEX('Annex 2 Designated EHV charges'!$D$10:$D$401, MATCH(0, IF(ISBLANK('Annex 2 Designated EHV charges'!$D$10:$D$401),1, COUNTIF(A$4:$A266, 'Annex 2 Designated EHV charges'!$D$10:$D$401)), 0)),"")</f>
        <v/>
      </c>
      <c r="B267" s="56"/>
      <c r="E267" s="56"/>
      <c r="F267" s="56"/>
      <c r="G267" s="56"/>
      <c r="H267" s="56"/>
      <c r="I267" s="56"/>
    </row>
    <row r="268" spans="1:9" x14ac:dyDescent="0.2">
      <c r="A268" s="56" t="str" cm="1">
        <f t="array" ref="A268">IFERROR(INDEX('Annex 2 Designated EHV charges'!$D$10:$D$401, MATCH(0, IF(ISBLANK('Annex 2 Designated EHV charges'!$D$10:$D$401),1, COUNTIF(A$4:$A267, 'Annex 2 Designated EHV charges'!$D$10:$D$401)), 0)),"")</f>
        <v/>
      </c>
      <c r="B268" s="56"/>
      <c r="E268" s="56"/>
      <c r="F268" s="56"/>
      <c r="G268" s="56"/>
      <c r="H268" s="56"/>
      <c r="I268" s="56"/>
    </row>
    <row r="269" spans="1:9" x14ac:dyDescent="0.2">
      <c r="A269" s="56" t="str" cm="1">
        <f t="array" ref="A269">IFERROR(INDEX('Annex 2 Designated EHV charges'!$D$10:$D$401, MATCH(0, IF(ISBLANK('Annex 2 Designated EHV charges'!$D$10:$D$401),1, COUNTIF(A$4:$A268, 'Annex 2 Designated EHV charges'!$D$10:$D$401)), 0)),"")</f>
        <v/>
      </c>
      <c r="B269" s="56"/>
      <c r="E269" s="56"/>
      <c r="F269" s="56"/>
      <c r="G269" s="56"/>
      <c r="H269" s="56"/>
      <c r="I269" s="56"/>
    </row>
    <row r="270" spans="1:9" x14ac:dyDescent="0.2">
      <c r="A270" s="56" t="str" cm="1">
        <f t="array" ref="A270">IFERROR(INDEX('Annex 2 Designated EHV charges'!$D$10:$D$401, MATCH(0, IF(ISBLANK('Annex 2 Designated EHV charges'!$D$10:$D$401),1, COUNTIF(A$4:$A269, 'Annex 2 Designated EHV charges'!$D$10:$D$401)), 0)),"")</f>
        <v/>
      </c>
      <c r="B270" s="56"/>
      <c r="E270" s="56"/>
      <c r="F270" s="56"/>
      <c r="G270" s="56"/>
      <c r="H270" s="56"/>
      <c r="I270" s="56"/>
    </row>
    <row r="271" spans="1:9" x14ac:dyDescent="0.2">
      <c r="A271" s="56" t="str" cm="1">
        <f t="array" ref="A271">IFERROR(INDEX('Annex 2 Designated EHV charges'!$D$10:$D$401, MATCH(0, IF(ISBLANK('Annex 2 Designated EHV charges'!$D$10:$D$401),1, COUNTIF(A$4:$A270, 'Annex 2 Designated EHV charges'!$D$10:$D$401)), 0)),"")</f>
        <v/>
      </c>
      <c r="B271" s="56"/>
      <c r="E271" s="56"/>
      <c r="F271" s="56"/>
      <c r="G271" s="56"/>
      <c r="H271" s="56"/>
      <c r="I271" s="56"/>
    </row>
    <row r="272" spans="1:9" x14ac:dyDescent="0.2">
      <c r="A272" s="56" t="str" cm="1">
        <f t="array" ref="A272">IFERROR(INDEX('Annex 2 Designated EHV charges'!$D$10:$D$401, MATCH(0, IF(ISBLANK('Annex 2 Designated EHV charges'!$D$10:$D$401),1, COUNTIF(A$4:$A271, 'Annex 2 Designated EHV charges'!$D$10:$D$401)), 0)),"")</f>
        <v/>
      </c>
      <c r="B272" s="56"/>
      <c r="E272" s="56"/>
      <c r="F272" s="56"/>
      <c r="G272" s="56"/>
      <c r="H272" s="56"/>
      <c r="I272" s="56"/>
    </row>
    <row r="273" spans="1:9" x14ac:dyDescent="0.2">
      <c r="A273" s="56" t="str" cm="1">
        <f t="array" ref="A273">IFERROR(INDEX('Annex 2 Designated EHV charges'!$D$10:$D$401, MATCH(0, IF(ISBLANK('Annex 2 Designated EHV charges'!$D$10:$D$401),1, COUNTIF(A$4:$A272, 'Annex 2 Designated EHV charges'!$D$10:$D$401)), 0)),"")</f>
        <v/>
      </c>
      <c r="B273" s="56"/>
      <c r="E273" s="56"/>
      <c r="F273" s="56"/>
      <c r="G273" s="56"/>
      <c r="H273" s="56"/>
      <c r="I273" s="56"/>
    </row>
    <row r="274" spans="1:9" x14ac:dyDescent="0.2">
      <c r="A274" s="56" t="str" cm="1">
        <f t="array" ref="A274">IFERROR(INDEX('Annex 2 Designated EHV charges'!$D$10:$D$401, MATCH(0, IF(ISBLANK('Annex 2 Designated EHV charges'!$D$10:$D$401),1, COUNTIF(A$4:$A273, 'Annex 2 Designated EHV charges'!$D$10:$D$401)), 0)),"")</f>
        <v/>
      </c>
      <c r="B274" s="56"/>
      <c r="E274" s="56"/>
      <c r="F274" s="56"/>
      <c r="G274" s="56"/>
      <c r="H274" s="56"/>
      <c r="I274" s="56"/>
    </row>
    <row r="275" spans="1:9" x14ac:dyDescent="0.2">
      <c r="A275" s="56" t="str" cm="1">
        <f t="array" ref="A275">IFERROR(INDEX('Annex 2 Designated EHV charges'!$D$10:$D$401, MATCH(0, IF(ISBLANK('Annex 2 Designated EHV charges'!$D$10:$D$401),1, COUNTIF(A$4:$A274, 'Annex 2 Designated EHV charges'!$D$10:$D$401)), 0)),"")</f>
        <v/>
      </c>
      <c r="B275" s="56"/>
      <c r="E275" s="56"/>
      <c r="F275" s="56"/>
      <c r="G275" s="56"/>
      <c r="H275" s="56"/>
      <c r="I275" s="56"/>
    </row>
    <row r="276" spans="1:9" x14ac:dyDescent="0.2">
      <c r="A276" s="56" t="str" cm="1">
        <f t="array" ref="A276">IFERROR(INDEX('Annex 2 Designated EHV charges'!$D$10:$D$401, MATCH(0, IF(ISBLANK('Annex 2 Designated EHV charges'!$D$10:$D$401),1, COUNTIF(A$4:$A275, 'Annex 2 Designated EHV charges'!$D$10:$D$401)), 0)),"")</f>
        <v/>
      </c>
      <c r="B276" s="56"/>
      <c r="E276" s="56"/>
      <c r="F276" s="56"/>
      <c r="G276" s="56"/>
      <c r="H276" s="56"/>
      <c r="I276" s="56"/>
    </row>
    <row r="277" spans="1:9" x14ac:dyDescent="0.2">
      <c r="A277" s="56" t="str" cm="1">
        <f t="array" ref="A277">IFERROR(INDEX('Annex 2 Designated EHV charges'!$D$10:$D$401, MATCH(0, IF(ISBLANK('Annex 2 Designated EHV charges'!$D$10:$D$401),1, COUNTIF(A$4:$A276, 'Annex 2 Designated EHV charges'!$D$10:$D$401)), 0)),"")</f>
        <v/>
      </c>
      <c r="B277" s="56"/>
      <c r="E277" s="56"/>
      <c r="F277" s="56"/>
      <c r="G277" s="56"/>
      <c r="H277" s="56"/>
      <c r="I277" s="56"/>
    </row>
    <row r="278" spans="1:9" x14ac:dyDescent="0.2">
      <c r="A278" s="56" t="str" cm="1">
        <f t="array" ref="A278">IFERROR(INDEX('Annex 2 Designated EHV charges'!$D$10:$D$401, MATCH(0, IF(ISBLANK('Annex 2 Designated EHV charges'!$D$10:$D$401),1, COUNTIF(A$4:$A277, 'Annex 2 Designated EHV charges'!$D$10:$D$401)), 0)),"")</f>
        <v/>
      </c>
      <c r="B278" s="56"/>
      <c r="E278" s="56"/>
      <c r="F278" s="56"/>
      <c r="G278" s="56"/>
      <c r="H278" s="56"/>
      <c r="I278" s="56"/>
    </row>
    <row r="279" spans="1:9" x14ac:dyDescent="0.2">
      <c r="A279" s="56" t="str" cm="1">
        <f t="array" ref="A279">IFERROR(INDEX('Annex 2 Designated EHV charges'!$D$10:$D$401, MATCH(0, IF(ISBLANK('Annex 2 Designated EHV charges'!$D$10:$D$401),1, COUNTIF(A$4:$A278, 'Annex 2 Designated EHV charges'!$D$10:$D$401)), 0)),"")</f>
        <v/>
      </c>
      <c r="B279" s="56"/>
      <c r="E279" s="56"/>
      <c r="F279" s="56"/>
      <c r="G279" s="56"/>
      <c r="H279" s="56"/>
      <c r="I279" s="56"/>
    </row>
    <row r="280" spans="1:9" x14ac:dyDescent="0.2">
      <c r="A280" s="56" t="str" cm="1">
        <f t="array" ref="A280">IFERROR(INDEX('Annex 2 Designated EHV charges'!$D$10:$D$401, MATCH(0, IF(ISBLANK('Annex 2 Designated EHV charges'!$D$10:$D$401),1, COUNTIF(A$4:$A279, 'Annex 2 Designated EHV charges'!$D$10:$D$401)), 0)),"")</f>
        <v/>
      </c>
      <c r="B280" s="56"/>
      <c r="E280" s="56"/>
      <c r="F280" s="56"/>
      <c r="G280" s="56"/>
      <c r="H280" s="56"/>
      <c r="I280" s="56"/>
    </row>
    <row r="281" spans="1:9" x14ac:dyDescent="0.2">
      <c r="A281" s="56" t="str" cm="1">
        <f t="array" ref="A281">IFERROR(INDEX('Annex 2 Designated EHV charges'!$D$10:$D$401, MATCH(0, IF(ISBLANK('Annex 2 Designated EHV charges'!$D$10:$D$401),1, COUNTIF(A$4:$A280, 'Annex 2 Designated EHV charges'!$D$10:$D$401)), 0)),"")</f>
        <v/>
      </c>
      <c r="B281" s="56"/>
      <c r="E281" s="56"/>
      <c r="F281" s="56"/>
      <c r="G281" s="56"/>
      <c r="H281" s="56"/>
      <c r="I281" s="56"/>
    </row>
    <row r="282" spans="1:9" x14ac:dyDescent="0.2">
      <c r="A282" s="56" t="str" cm="1">
        <f t="array" ref="A282">IFERROR(INDEX('Annex 2 Designated EHV charges'!$D$10:$D$401, MATCH(0, IF(ISBLANK('Annex 2 Designated EHV charges'!$D$10:$D$401),1, COUNTIF(A$4:$A281, 'Annex 2 Designated EHV charges'!$D$10:$D$401)), 0)),"")</f>
        <v/>
      </c>
      <c r="B282" s="56"/>
      <c r="E282" s="56"/>
      <c r="F282" s="56"/>
      <c r="G282" s="56"/>
      <c r="H282" s="56"/>
      <c r="I282" s="56"/>
    </row>
    <row r="283" spans="1:9" x14ac:dyDescent="0.2">
      <c r="A283" s="56" t="str" cm="1">
        <f t="array" ref="A283">IFERROR(INDEX('Annex 2 Designated EHV charges'!$D$10:$D$401, MATCH(0, IF(ISBLANK('Annex 2 Designated EHV charges'!$D$10:$D$401),1, COUNTIF(A$4:$A282, 'Annex 2 Designated EHV charges'!$D$10:$D$401)), 0)),"")</f>
        <v/>
      </c>
      <c r="B283" s="56"/>
      <c r="E283" s="56"/>
      <c r="F283" s="56"/>
      <c r="G283" s="56"/>
      <c r="H283" s="56"/>
      <c r="I283" s="56"/>
    </row>
    <row r="284" spans="1:9" x14ac:dyDescent="0.2">
      <c r="A284" s="56" t="str" cm="1">
        <f t="array" ref="A284">IFERROR(INDEX('Annex 2 Designated EHV charges'!$D$10:$D$401, MATCH(0, IF(ISBLANK('Annex 2 Designated EHV charges'!$D$10:$D$401),1, COUNTIF(A$4:$A283, 'Annex 2 Designated EHV charges'!$D$10:$D$401)), 0)),"")</f>
        <v/>
      </c>
      <c r="B284" s="56"/>
      <c r="E284" s="56"/>
      <c r="F284" s="56"/>
      <c r="G284" s="56"/>
      <c r="H284" s="56"/>
      <c r="I284" s="56"/>
    </row>
    <row r="285" spans="1:9" x14ac:dyDescent="0.2">
      <c r="A285" s="56" t="str" cm="1">
        <f t="array" ref="A285">IFERROR(INDEX('Annex 2 Designated EHV charges'!$D$10:$D$401, MATCH(0, IF(ISBLANK('Annex 2 Designated EHV charges'!$D$10:$D$401),1, COUNTIF(A$4:$A284, 'Annex 2 Designated EHV charges'!$D$10:$D$401)), 0)),"")</f>
        <v/>
      </c>
      <c r="B285" s="56"/>
      <c r="E285" s="56"/>
      <c r="F285" s="56"/>
      <c r="G285" s="56"/>
      <c r="H285" s="56"/>
      <c r="I285" s="56"/>
    </row>
    <row r="286" spans="1:9" x14ac:dyDescent="0.2">
      <c r="A286" s="56" t="str" cm="1">
        <f t="array" ref="A286">IFERROR(INDEX('Annex 2 Designated EHV charges'!$D$10:$D$401, MATCH(0, IF(ISBLANK('Annex 2 Designated EHV charges'!$D$10:$D$401),1, COUNTIF(A$4:$A285, 'Annex 2 Designated EHV charges'!$D$10:$D$401)), 0)),"")</f>
        <v/>
      </c>
      <c r="B286" s="56"/>
      <c r="E286" s="56"/>
      <c r="F286" s="56"/>
      <c r="G286" s="56"/>
      <c r="H286" s="56"/>
      <c r="I286" s="56"/>
    </row>
    <row r="287" spans="1:9" x14ac:dyDescent="0.2">
      <c r="A287" s="56" t="str" cm="1">
        <f t="array" ref="A287">IFERROR(INDEX('Annex 2 Designated EHV charges'!$D$10:$D$401, MATCH(0, IF(ISBLANK('Annex 2 Designated EHV charges'!$D$10:$D$401),1, COUNTIF(A$4:$A286, 'Annex 2 Designated EHV charges'!$D$10:$D$401)), 0)),"")</f>
        <v/>
      </c>
      <c r="B287" s="56"/>
      <c r="E287" s="56"/>
      <c r="F287" s="56"/>
      <c r="G287" s="56"/>
      <c r="H287" s="56"/>
      <c r="I287" s="56"/>
    </row>
    <row r="288" spans="1:9" x14ac:dyDescent="0.2">
      <c r="A288" s="56" t="str" cm="1">
        <f t="array" ref="A288">IFERROR(INDEX('Annex 2 Designated EHV charges'!$D$10:$D$401, MATCH(0, IF(ISBLANK('Annex 2 Designated EHV charges'!$D$10:$D$401),1, COUNTIF(A$4:$A287, 'Annex 2 Designated EHV charges'!$D$10:$D$401)), 0)),"")</f>
        <v/>
      </c>
      <c r="B288" s="56"/>
      <c r="E288" s="56"/>
      <c r="F288" s="56"/>
      <c r="G288" s="56"/>
      <c r="H288" s="56"/>
      <c r="I288" s="56"/>
    </row>
    <row r="289" spans="1:9" x14ac:dyDescent="0.2">
      <c r="A289" s="56" t="str" cm="1">
        <f t="array" ref="A289">IFERROR(INDEX('Annex 2 Designated EHV charges'!$D$10:$D$401, MATCH(0, IF(ISBLANK('Annex 2 Designated EHV charges'!$D$10:$D$401),1, COUNTIF(A$4:$A288, 'Annex 2 Designated EHV charges'!$D$10:$D$401)), 0)),"")</f>
        <v/>
      </c>
      <c r="B289" s="56"/>
      <c r="E289" s="56"/>
      <c r="F289" s="56"/>
      <c r="G289" s="56"/>
      <c r="H289" s="56"/>
      <c r="I289" s="56"/>
    </row>
    <row r="290" spans="1:9" x14ac:dyDescent="0.2">
      <c r="A290" s="56" t="str" cm="1">
        <f t="array" ref="A290">IFERROR(INDEX('Annex 2 Designated EHV charges'!$D$10:$D$401, MATCH(0, IF(ISBLANK('Annex 2 Designated EHV charges'!$D$10:$D$401),1, COUNTIF(A$4:$A289, 'Annex 2 Designated EHV charges'!$D$10:$D$401)), 0)),"")</f>
        <v/>
      </c>
      <c r="B290" s="56"/>
      <c r="E290" s="56"/>
      <c r="F290" s="56"/>
      <c r="G290" s="56"/>
      <c r="H290" s="56"/>
      <c r="I290" s="56"/>
    </row>
    <row r="291" spans="1:9" x14ac:dyDescent="0.2">
      <c r="A291" s="56" t="str" cm="1">
        <f t="array" ref="A291">IFERROR(INDEX('Annex 2 Designated EHV charges'!$D$10:$D$401, MATCH(0, IF(ISBLANK('Annex 2 Designated EHV charges'!$D$10:$D$401),1, COUNTIF(A$4:$A290, 'Annex 2 Designated EHV charges'!$D$10:$D$401)), 0)),"")</f>
        <v/>
      </c>
      <c r="B291" s="56"/>
      <c r="E291" s="56"/>
      <c r="F291" s="56"/>
      <c r="G291" s="56"/>
      <c r="H291" s="56"/>
      <c r="I291" s="56"/>
    </row>
    <row r="292" spans="1:9" x14ac:dyDescent="0.2">
      <c r="A292" s="56" t="str" cm="1">
        <f t="array" ref="A292">IFERROR(INDEX('Annex 2 Designated EHV charges'!$D$10:$D$401, MATCH(0, IF(ISBLANK('Annex 2 Designated EHV charges'!$D$10:$D$401),1, COUNTIF(A$4:$A291, 'Annex 2 Designated EHV charges'!$D$10:$D$401)), 0)),"")</f>
        <v/>
      </c>
      <c r="B292" s="56"/>
      <c r="E292" s="56"/>
      <c r="F292" s="56"/>
      <c r="G292" s="56"/>
      <c r="H292" s="56"/>
      <c r="I292" s="56"/>
    </row>
    <row r="293" spans="1:9" x14ac:dyDescent="0.2">
      <c r="A293" s="56" t="str" cm="1">
        <f t="array" ref="A293">IFERROR(INDEX('Annex 2 Designated EHV charges'!$D$10:$D$401, MATCH(0, IF(ISBLANK('Annex 2 Designated EHV charges'!$D$10:$D$401),1, COUNTIF(A$4:$A292, 'Annex 2 Designated EHV charges'!$D$10:$D$401)), 0)),"")</f>
        <v/>
      </c>
      <c r="B293" s="56"/>
      <c r="E293" s="56"/>
      <c r="F293" s="56"/>
      <c r="G293" s="56"/>
      <c r="H293" s="56"/>
      <c r="I293" s="56"/>
    </row>
    <row r="294" spans="1:9" x14ac:dyDescent="0.2">
      <c r="A294" s="56" t="str" cm="1">
        <f t="array" ref="A294">IFERROR(INDEX('Annex 2 Designated EHV charges'!$D$10:$D$401, MATCH(0, IF(ISBLANK('Annex 2 Designated EHV charges'!$D$10:$D$401),1, COUNTIF(A$4:$A293, 'Annex 2 Designated EHV charges'!$D$10:$D$401)), 0)),"")</f>
        <v/>
      </c>
      <c r="B294" s="56"/>
      <c r="E294" s="56"/>
      <c r="F294" s="56"/>
      <c r="G294" s="56"/>
      <c r="H294" s="56"/>
      <c r="I294" s="56"/>
    </row>
    <row r="295" spans="1:9" x14ac:dyDescent="0.2">
      <c r="A295" s="56" t="str" cm="1">
        <f t="array" ref="A295">IFERROR(INDEX('Annex 2 Designated EHV charges'!$D$10:$D$401, MATCH(0, IF(ISBLANK('Annex 2 Designated EHV charges'!$D$10:$D$401),1, COUNTIF(A$4:$A294, 'Annex 2 Designated EHV charges'!$D$10:$D$401)), 0)),"")</f>
        <v/>
      </c>
      <c r="B295" s="56"/>
      <c r="E295" s="56"/>
      <c r="F295" s="56"/>
      <c r="G295" s="56"/>
      <c r="H295" s="56"/>
      <c r="I295" s="56"/>
    </row>
    <row r="296" spans="1:9" x14ac:dyDescent="0.2">
      <c r="A296" s="56" t="str" cm="1">
        <f t="array" ref="A296">IFERROR(INDEX('Annex 2 Designated EHV charges'!$D$10:$D$401, MATCH(0, IF(ISBLANK('Annex 2 Designated EHV charges'!$D$10:$D$401),1, COUNTIF(A$4:$A295, 'Annex 2 Designated EHV charges'!$D$10:$D$401)), 0)),"")</f>
        <v/>
      </c>
      <c r="B296" s="56"/>
      <c r="E296" s="56"/>
      <c r="F296" s="56"/>
      <c r="G296" s="56"/>
      <c r="H296" s="56"/>
      <c r="I296" s="56"/>
    </row>
    <row r="297" spans="1:9" x14ac:dyDescent="0.2">
      <c r="A297" s="56" t="str" cm="1">
        <f t="array" ref="A297">IFERROR(INDEX('Annex 2 Designated EHV charges'!$D$10:$D$401, MATCH(0, IF(ISBLANK('Annex 2 Designated EHV charges'!$D$10:$D$401),1, COUNTIF(A$4:$A296, 'Annex 2 Designated EHV charges'!$D$10:$D$401)), 0)),"")</f>
        <v/>
      </c>
      <c r="B297" s="56"/>
      <c r="E297" s="56"/>
      <c r="F297" s="56"/>
      <c r="G297" s="56"/>
      <c r="H297" s="56"/>
      <c r="I297" s="56"/>
    </row>
    <row r="298" spans="1:9" x14ac:dyDescent="0.2">
      <c r="A298" s="56" t="str" cm="1">
        <f t="array" ref="A298">IFERROR(INDEX('Annex 2 Designated EHV charges'!$D$10:$D$401, MATCH(0, IF(ISBLANK('Annex 2 Designated EHV charges'!$D$10:$D$401),1, COUNTIF(A$4:$A297, 'Annex 2 Designated EHV charges'!$D$10:$D$401)), 0)),"")</f>
        <v/>
      </c>
      <c r="B298" s="56"/>
      <c r="E298" s="56"/>
      <c r="F298" s="56"/>
      <c r="G298" s="56"/>
      <c r="H298" s="56"/>
      <c r="I298" s="56"/>
    </row>
    <row r="299" spans="1:9" x14ac:dyDescent="0.2">
      <c r="A299" s="56" t="str" cm="1">
        <f t="array" ref="A299">IFERROR(INDEX('Annex 2 Designated EHV charges'!$D$10:$D$401, MATCH(0, IF(ISBLANK('Annex 2 Designated EHV charges'!$D$10:$D$401),1, COUNTIF(A$4:$A298, 'Annex 2 Designated EHV charges'!$D$10:$D$401)), 0)),"")</f>
        <v/>
      </c>
      <c r="B299" s="56"/>
      <c r="E299" s="56"/>
      <c r="F299" s="56"/>
      <c r="G299" s="56"/>
      <c r="H299" s="56"/>
      <c r="I299" s="56"/>
    </row>
    <row r="300" spans="1:9" x14ac:dyDescent="0.2">
      <c r="A300" s="56" t="str" cm="1">
        <f t="array" ref="A300">IFERROR(INDEX('Annex 2 Designated EHV charges'!$D$10:$D$401, MATCH(0, IF(ISBLANK('Annex 2 Designated EHV charges'!$D$10:$D$401),1, COUNTIF(A$4:$A299, 'Annex 2 Designated EHV charges'!$D$10:$D$401)), 0)),"")</f>
        <v/>
      </c>
      <c r="B300" s="56"/>
      <c r="E300" s="56"/>
      <c r="F300" s="56"/>
      <c r="G300" s="56"/>
      <c r="H300" s="56"/>
      <c r="I300" s="56"/>
    </row>
    <row r="301" spans="1:9" x14ac:dyDescent="0.2">
      <c r="A301" s="56" t="str" cm="1">
        <f t="array" ref="A301">IFERROR(INDEX('Annex 2 Designated EHV charges'!$D$10:$D$401, MATCH(0, IF(ISBLANK('Annex 2 Designated EHV charges'!$D$10:$D$401),1, COUNTIF(A$4:$A300, 'Annex 2 Designated EHV charges'!$D$10:$D$401)), 0)),"")</f>
        <v/>
      </c>
      <c r="B301" s="56"/>
      <c r="E301" s="56"/>
      <c r="F301" s="56"/>
      <c r="G301" s="56"/>
      <c r="H301" s="56"/>
      <c r="I301" s="56"/>
    </row>
    <row r="302" spans="1:9" x14ac:dyDescent="0.2">
      <c r="A302" s="56" t="str" cm="1">
        <f t="array" ref="A302">IFERROR(INDEX('Annex 2 Designated EHV charges'!$D$10:$D$401, MATCH(0, IF(ISBLANK('Annex 2 Designated EHV charges'!$D$10:$D$401),1, COUNTIF(A$4:$A301, 'Annex 2 Designated EHV charges'!$D$10:$D$401)), 0)),"")</f>
        <v/>
      </c>
      <c r="B302" s="56"/>
      <c r="E302" s="56"/>
      <c r="F302" s="56"/>
      <c r="G302" s="56"/>
      <c r="H302" s="56"/>
      <c r="I302" s="56"/>
    </row>
    <row r="303" spans="1:9" x14ac:dyDescent="0.2">
      <c r="A303" s="56" t="str" cm="1">
        <f t="array" ref="A303">IFERROR(INDEX('Annex 2 Designated EHV charges'!$D$10:$D$401, MATCH(0, IF(ISBLANK('Annex 2 Designated EHV charges'!$D$10:$D$401),1, COUNTIF(A$4:$A302, 'Annex 2 Designated EHV charges'!$D$10:$D$401)), 0)),"")</f>
        <v/>
      </c>
      <c r="B303" s="56"/>
      <c r="E303" s="56"/>
      <c r="F303" s="56"/>
      <c r="G303" s="56"/>
      <c r="H303" s="56"/>
      <c r="I303" s="56"/>
    </row>
    <row r="304" spans="1:9" x14ac:dyDescent="0.2">
      <c r="A304" s="56" t="str" cm="1">
        <f t="array" ref="A304">IFERROR(INDEX('Annex 2 Designated EHV charges'!$D$10:$D$401, MATCH(0, IF(ISBLANK('Annex 2 Designated EHV charges'!$D$10:$D$401),1, COUNTIF(A$4:$A303, 'Annex 2 Designated EHV charges'!$D$10:$D$401)), 0)),"")</f>
        <v/>
      </c>
      <c r="B304" s="56"/>
      <c r="E304" s="56"/>
      <c r="F304" s="56"/>
      <c r="G304" s="56"/>
      <c r="H304" s="56"/>
      <c r="I304" s="56"/>
    </row>
    <row r="305" spans="1:9" x14ac:dyDescent="0.2">
      <c r="A305" s="56" t="str" cm="1">
        <f t="array" ref="A305">IFERROR(INDEX('Annex 2 Designated EHV charges'!$D$10:$D$401, MATCH(0, IF(ISBLANK('Annex 2 Designated EHV charges'!$D$10:$D$401),1, COUNTIF(A$4:$A304, 'Annex 2 Designated EHV charges'!$D$10:$D$401)), 0)),"")</f>
        <v/>
      </c>
      <c r="B305" s="56"/>
      <c r="E305" s="56"/>
      <c r="F305" s="56"/>
      <c r="G305" s="56"/>
      <c r="H305" s="56"/>
      <c r="I305" s="56"/>
    </row>
    <row r="306" spans="1:9" x14ac:dyDescent="0.2">
      <c r="A306" s="56" t="str" cm="1">
        <f t="array" ref="A306">IFERROR(INDEX('Annex 2 Designated EHV charges'!$D$10:$D$401, MATCH(0, IF(ISBLANK('Annex 2 Designated EHV charges'!$D$10:$D$401),1, COUNTIF(A$4:$A305, 'Annex 2 Designated EHV charges'!$D$10:$D$401)), 0)),"")</f>
        <v/>
      </c>
      <c r="B306" s="56"/>
      <c r="E306" s="56"/>
      <c r="F306" s="56"/>
      <c r="G306" s="56"/>
      <c r="H306" s="56"/>
      <c r="I306" s="56"/>
    </row>
    <row r="307" spans="1:9" x14ac:dyDescent="0.2">
      <c r="A307" s="56" t="str" cm="1">
        <f t="array" ref="A307">IFERROR(INDEX('Annex 2 Designated EHV charges'!$D$10:$D$401, MATCH(0, IF(ISBLANK('Annex 2 Designated EHV charges'!$D$10:$D$401),1, COUNTIF(A$4:$A306, 'Annex 2 Designated EHV charges'!$D$10:$D$401)), 0)),"")</f>
        <v/>
      </c>
      <c r="B307" s="56"/>
      <c r="E307" s="56"/>
      <c r="F307" s="56"/>
      <c r="G307" s="56"/>
      <c r="H307" s="56"/>
      <c r="I307" s="56"/>
    </row>
    <row r="308" spans="1:9" x14ac:dyDescent="0.2">
      <c r="A308" s="56" t="str" cm="1">
        <f t="array" ref="A308">IFERROR(INDEX('Annex 2 Designated EHV charges'!$D$10:$D$401, MATCH(0, IF(ISBLANK('Annex 2 Designated EHV charges'!$D$10:$D$401),1, COUNTIF(A$4:$A307, 'Annex 2 Designated EHV charges'!$D$10:$D$401)), 0)),"")</f>
        <v/>
      </c>
      <c r="B308" s="56"/>
      <c r="E308" s="56"/>
      <c r="F308" s="56"/>
      <c r="G308" s="56"/>
      <c r="H308" s="56"/>
      <c r="I308" s="56"/>
    </row>
    <row r="309" spans="1:9" x14ac:dyDescent="0.2">
      <c r="A309" s="56" t="str" cm="1">
        <f t="array" ref="A309">IFERROR(INDEX('Annex 2 Designated EHV charges'!$D$10:$D$401, MATCH(0, IF(ISBLANK('Annex 2 Designated EHV charges'!$D$10:$D$401),1, COUNTIF(A$4:$A308, 'Annex 2 Designated EHV charges'!$D$10:$D$401)), 0)),"")</f>
        <v/>
      </c>
      <c r="B309" s="56"/>
      <c r="E309" s="56"/>
      <c r="F309" s="56"/>
      <c r="G309" s="56"/>
      <c r="H309" s="56"/>
      <c r="I309" s="56"/>
    </row>
    <row r="310" spans="1:9" x14ac:dyDescent="0.2">
      <c r="A310" s="56" t="str" cm="1">
        <f t="array" ref="A310">IFERROR(INDEX('Annex 2 Designated EHV charges'!$D$10:$D$401, MATCH(0, IF(ISBLANK('Annex 2 Designated EHV charges'!$D$10:$D$401),1, COUNTIF(A$4:$A309, 'Annex 2 Designated EHV charges'!$D$10:$D$401)), 0)),"")</f>
        <v/>
      </c>
      <c r="B310" s="56"/>
      <c r="E310" s="56"/>
      <c r="F310" s="56"/>
      <c r="G310" s="56"/>
      <c r="H310" s="56"/>
      <c r="I310" s="56"/>
    </row>
    <row r="311" spans="1:9" x14ac:dyDescent="0.2">
      <c r="A311" s="56" t="str" cm="1">
        <f t="array" ref="A311">IFERROR(INDEX('Annex 2 Designated EHV charges'!$D$10:$D$401, MATCH(0, IF(ISBLANK('Annex 2 Designated EHV charges'!$D$10:$D$401),1, COUNTIF(A$4:$A310, 'Annex 2 Designated EHV charges'!$D$10:$D$401)), 0)),"")</f>
        <v/>
      </c>
      <c r="B311" s="56"/>
      <c r="E311" s="56"/>
      <c r="F311" s="56"/>
      <c r="G311" s="56"/>
      <c r="H311" s="56"/>
      <c r="I311" s="56"/>
    </row>
    <row r="312" spans="1:9" x14ac:dyDescent="0.2">
      <c r="A312" s="56" t="str" cm="1">
        <f t="array" ref="A312">IFERROR(INDEX('Annex 2 Designated EHV charges'!$D$10:$D$401, MATCH(0, IF(ISBLANK('Annex 2 Designated EHV charges'!$D$10:$D$401),1, COUNTIF(A$4:$A311, 'Annex 2 Designated EHV charges'!$D$10:$D$401)), 0)),"")</f>
        <v/>
      </c>
      <c r="B312" s="56"/>
      <c r="E312" s="56"/>
      <c r="F312" s="56"/>
      <c r="G312" s="56"/>
      <c r="H312" s="56"/>
      <c r="I312" s="56"/>
    </row>
    <row r="313" spans="1:9" x14ac:dyDescent="0.2">
      <c r="A313" s="56" t="str" cm="1">
        <f t="array" ref="A313">IFERROR(INDEX('Annex 2 Designated EHV charges'!$D$10:$D$401, MATCH(0, IF(ISBLANK('Annex 2 Designated EHV charges'!$D$10:$D$401),1, COUNTIF(A$4:$A312, 'Annex 2 Designated EHV charges'!$D$10:$D$401)), 0)),"")</f>
        <v/>
      </c>
      <c r="B313" s="56"/>
      <c r="E313" s="56"/>
      <c r="F313" s="56"/>
      <c r="G313" s="56"/>
      <c r="H313" s="56"/>
      <c r="I313" s="56"/>
    </row>
    <row r="314" spans="1:9" x14ac:dyDescent="0.2">
      <c r="A314" s="56" t="str" cm="1">
        <f t="array" ref="A314">IFERROR(INDEX('Annex 2 Designated EHV charges'!$D$10:$D$401, MATCH(0, IF(ISBLANK('Annex 2 Designated EHV charges'!$D$10:$D$401),1, COUNTIF(A$4:$A313, 'Annex 2 Designated EHV charges'!$D$10:$D$401)), 0)),"")</f>
        <v/>
      </c>
      <c r="B314" s="56"/>
      <c r="E314" s="56"/>
      <c r="F314" s="56"/>
      <c r="G314" s="56"/>
      <c r="H314" s="56"/>
      <c r="I314" s="56"/>
    </row>
    <row r="315" spans="1:9" x14ac:dyDescent="0.2">
      <c r="A315" s="56" t="str" cm="1">
        <f t="array" ref="A315">IFERROR(INDEX('Annex 2 Designated EHV charges'!$D$10:$D$401, MATCH(0, IF(ISBLANK('Annex 2 Designated EHV charges'!$D$10:$D$401),1, COUNTIF(A$4:$A314, 'Annex 2 Designated EHV charges'!$D$10:$D$401)), 0)),"")</f>
        <v/>
      </c>
      <c r="B315" s="56"/>
      <c r="E315" s="56"/>
      <c r="F315" s="56"/>
      <c r="G315" s="56"/>
      <c r="H315" s="56"/>
      <c r="I315" s="56"/>
    </row>
    <row r="316" spans="1:9" x14ac:dyDescent="0.2">
      <c r="A316" s="56" t="str" cm="1">
        <f t="array" ref="A316">IFERROR(INDEX('Annex 2 Designated EHV charges'!$D$10:$D$401, MATCH(0, IF(ISBLANK('Annex 2 Designated EHV charges'!$D$10:$D$401),1, COUNTIF(A$4:$A315, 'Annex 2 Designated EHV charges'!$D$10:$D$401)), 0)),"")</f>
        <v/>
      </c>
      <c r="B316" s="56"/>
      <c r="E316" s="56"/>
      <c r="F316" s="56"/>
      <c r="G316" s="56"/>
      <c r="H316" s="56"/>
      <c r="I316" s="56"/>
    </row>
    <row r="317" spans="1:9" x14ac:dyDescent="0.2">
      <c r="A317" s="56" t="str" cm="1">
        <f t="array" ref="A317">IFERROR(INDEX('Annex 2 Designated EHV charges'!$D$10:$D$401, MATCH(0, IF(ISBLANK('Annex 2 Designated EHV charges'!$D$10:$D$401),1, COUNTIF(A$4:$A316, 'Annex 2 Designated EHV charges'!$D$10:$D$401)), 0)),"")</f>
        <v/>
      </c>
      <c r="B317" s="56"/>
      <c r="E317" s="56"/>
      <c r="F317" s="56"/>
      <c r="G317" s="56"/>
      <c r="H317" s="56"/>
      <c r="I317" s="56"/>
    </row>
    <row r="318" spans="1:9" x14ac:dyDescent="0.2">
      <c r="A318" s="56" t="str" cm="1">
        <f t="array" ref="A318">IFERROR(INDEX('Annex 2 Designated EHV charges'!$D$10:$D$401, MATCH(0, IF(ISBLANK('Annex 2 Designated EHV charges'!$D$10:$D$401),1, COUNTIF(A$4:$A317, 'Annex 2 Designated EHV charges'!$D$10:$D$401)), 0)),"")</f>
        <v/>
      </c>
      <c r="B318" s="56"/>
      <c r="E318" s="56"/>
      <c r="F318" s="56"/>
      <c r="G318" s="56"/>
      <c r="H318" s="56"/>
      <c r="I318" s="56"/>
    </row>
    <row r="319" spans="1:9" x14ac:dyDescent="0.2">
      <c r="A319" s="56" t="str" cm="1">
        <f t="array" ref="A319">IFERROR(INDEX('Annex 2 Designated EHV charges'!$D$10:$D$401, MATCH(0, IF(ISBLANK('Annex 2 Designated EHV charges'!$D$10:$D$401),1, COUNTIF(A$4:$A318, 'Annex 2 Designated EHV charges'!$D$10:$D$401)), 0)),"")</f>
        <v/>
      </c>
      <c r="B319" s="56"/>
      <c r="E319" s="56"/>
      <c r="F319" s="56"/>
      <c r="G319" s="56"/>
      <c r="H319" s="56"/>
      <c r="I319" s="56"/>
    </row>
    <row r="320" spans="1:9" x14ac:dyDescent="0.2">
      <c r="A320" s="56" t="str" cm="1">
        <f t="array" ref="A320">IFERROR(INDEX('Annex 2 Designated EHV charges'!$D$10:$D$401, MATCH(0, IF(ISBLANK('Annex 2 Designated EHV charges'!$D$10:$D$401),1, COUNTIF(A$4:$A319, 'Annex 2 Designated EHV charges'!$D$10:$D$401)), 0)),"")</f>
        <v/>
      </c>
      <c r="B320" s="56"/>
      <c r="E320" s="56"/>
      <c r="F320" s="56"/>
      <c r="G320" s="56"/>
      <c r="H320" s="56"/>
      <c r="I320" s="56"/>
    </row>
    <row r="321" spans="1:9" x14ac:dyDescent="0.2">
      <c r="A321" s="56" t="str" cm="1">
        <f t="array" ref="A321">IFERROR(INDEX('Annex 2 Designated EHV charges'!$D$10:$D$401, MATCH(0, IF(ISBLANK('Annex 2 Designated EHV charges'!$D$10:$D$401),1, COUNTIF(A$4:$A320, 'Annex 2 Designated EHV charges'!$D$10:$D$401)), 0)),"")</f>
        <v/>
      </c>
      <c r="B321" s="56"/>
      <c r="E321" s="56"/>
      <c r="F321" s="56"/>
      <c r="G321" s="56"/>
      <c r="H321" s="56"/>
      <c r="I321" s="56"/>
    </row>
    <row r="322" spans="1:9" x14ac:dyDescent="0.2">
      <c r="A322" s="56" t="str" cm="1">
        <f t="array" ref="A322">IFERROR(INDEX('Annex 2 Designated EHV charges'!$D$10:$D$401, MATCH(0, IF(ISBLANK('Annex 2 Designated EHV charges'!$D$10:$D$401),1, COUNTIF(A$4:$A321, 'Annex 2 Designated EHV charges'!$D$10:$D$401)), 0)),"")</f>
        <v/>
      </c>
      <c r="B322" s="56"/>
      <c r="E322" s="56"/>
      <c r="F322" s="56"/>
      <c r="G322" s="56"/>
      <c r="H322" s="56"/>
      <c r="I322" s="56"/>
    </row>
    <row r="323" spans="1:9" x14ac:dyDescent="0.2">
      <c r="A323" s="56" t="str" cm="1">
        <f t="array" ref="A323">IFERROR(INDEX('Annex 2 Designated EHV charges'!$D$10:$D$401, MATCH(0, IF(ISBLANK('Annex 2 Designated EHV charges'!$D$10:$D$401),1, COUNTIF(A$4:$A322, 'Annex 2 Designated EHV charges'!$D$10:$D$401)), 0)),"")</f>
        <v/>
      </c>
      <c r="B323" s="56"/>
      <c r="E323" s="56"/>
      <c r="F323" s="56"/>
      <c r="G323" s="56"/>
      <c r="H323" s="56"/>
      <c r="I323" s="56"/>
    </row>
    <row r="324" spans="1:9" x14ac:dyDescent="0.2">
      <c r="A324" s="56" t="str" cm="1">
        <f t="array" ref="A324">IFERROR(INDEX('Annex 2 Designated EHV charges'!$D$10:$D$401, MATCH(0, IF(ISBLANK('Annex 2 Designated EHV charges'!$D$10:$D$401),1, COUNTIF(A$4:$A323, 'Annex 2 Designated EHV charges'!$D$10:$D$401)), 0)),"")</f>
        <v/>
      </c>
      <c r="B324" s="56"/>
      <c r="E324" s="56"/>
      <c r="F324" s="56"/>
      <c r="G324" s="56"/>
      <c r="H324" s="56"/>
      <c r="I324" s="56"/>
    </row>
    <row r="325" spans="1:9" x14ac:dyDescent="0.2">
      <c r="A325" s="56" t="str" cm="1">
        <f t="array" ref="A325">IFERROR(INDEX('Annex 2 Designated EHV charges'!$D$10:$D$401, MATCH(0, IF(ISBLANK('Annex 2 Designated EHV charges'!$D$10:$D$401),1, COUNTIF(A$4:$A324, 'Annex 2 Designated EHV charges'!$D$10:$D$401)), 0)),"")</f>
        <v/>
      </c>
      <c r="B325" s="56"/>
      <c r="E325" s="56"/>
      <c r="F325" s="56"/>
      <c r="G325" s="56"/>
      <c r="H325" s="56"/>
      <c r="I325" s="56"/>
    </row>
    <row r="326" spans="1:9" x14ac:dyDescent="0.2">
      <c r="A326" s="56" t="str" cm="1">
        <f t="array" ref="A326">IFERROR(INDEX('Annex 2 Designated EHV charges'!$D$10:$D$401, MATCH(0, IF(ISBLANK('Annex 2 Designated EHV charges'!$D$10:$D$401),1, COUNTIF(A$4:$A325, 'Annex 2 Designated EHV charges'!$D$10:$D$401)), 0)),"")</f>
        <v/>
      </c>
      <c r="B326" s="56"/>
      <c r="E326" s="56"/>
      <c r="F326" s="56"/>
      <c r="G326" s="56"/>
      <c r="H326" s="56"/>
      <c r="I326" s="56"/>
    </row>
    <row r="327" spans="1:9" x14ac:dyDescent="0.2">
      <c r="A327" s="56" t="str" cm="1">
        <f t="array" ref="A327">IFERROR(INDEX('Annex 2 Designated EHV charges'!$D$10:$D$401, MATCH(0, IF(ISBLANK('Annex 2 Designated EHV charges'!$D$10:$D$401),1, COUNTIF(A$4:$A326, 'Annex 2 Designated EHV charges'!$D$10:$D$401)), 0)),"")</f>
        <v/>
      </c>
      <c r="B327" s="56"/>
      <c r="E327" s="56"/>
      <c r="F327" s="56"/>
      <c r="G327" s="56"/>
      <c r="H327" s="56"/>
      <c r="I327" s="56"/>
    </row>
    <row r="328" spans="1:9" x14ac:dyDescent="0.2">
      <c r="A328" s="56" t="str" cm="1">
        <f t="array" ref="A328">IFERROR(INDEX('Annex 2 Designated EHV charges'!$D$10:$D$401, MATCH(0, IF(ISBLANK('Annex 2 Designated EHV charges'!$D$10:$D$401),1, COUNTIF(A$4:$A327, 'Annex 2 Designated EHV charges'!$D$10:$D$401)), 0)),"")</f>
        <v/>
      </c>
      <c r="B328" s="56"/>
      <c r="E328" s="56"/>
      <c r="F328" s="56"/>
      <c r="G328" s="56"/>
      <c r="H328" s="56"/>
      <c r="I328" s="56"/>
    </row>
    <row r="329" spans="1:9" x14ac:dyDescent="0.2">
      <c r="A329" s="56" t="str" cm="1">
        <f t="array" ref="A329">IFERROR(INDEX('Annex 2 Designated EHV charges'!$D$10:$D$401, MATCH(0, IF(ISBLANK('Annex 2 Designated EHV charges'!$D$10:$D$401),1, COUNTIF(A$4:$A328, 'Annex 2 Designated EHV charges'!$D$10:$D$401)), 0)),"")</f>
        <v/>
      </c>
      <c r="B329" s="56"/>
      <c r="E329" s="56"/>
      <c r="F329" s="56"/>
      <c r="G329" s="56"/>
      <c r="H329" s="56"/>
      <c r="I329" s="56"/>
    </row>
    <row r="330" spans="1:9" x14ac:dyDescent="0.2">
      <c r="A330" s="56" t="str" cm="1">
        <f t="array" ref="A330">IFERROR(INDEX('Annex 2 Designated EHV charges'!$D$10:$D$401, MATCH(0, IF(ISBLANK('Annex 2 Designated EHV charges'!$D$10:$D$401),1, COUNTIF(A$4:$A329, 'Annex 2 Designated EHV charges'!$D$10:$D$401)), 0)),"")</f>
        <v/>
      </c>
      <c r="B330" s="56"/>
      <c r="E330" s="56"/>
      <c r="F330" s="56"/>
      <c r="G330" s="56"/>
      <c r="H330" s="56"/>
      <c r="I330" s="56"/>
    </row>
    <row r="331" spans="1:9" x14ac:dyDescent="0.2">
      <c r="A331" s="56" t="str" cm="1">
        <f t="array" ref="A331">IFERROR(INDEX('Annex 2 Designated EHV charges'!$D$10:$D$401, MATCH(0, IF(ISBLANK('Annex 2 Designated EHV charges'!$D$10:$D$401),1, COUNTIF(A$4:$A330, 'Annex 2 Designated EHV charges'!$D$10:$D$401)), 0)),"")</f>
        <v/>
      </c>
      <c r="B331" s="56"/>
      <c r="E331" s="56"/>
      <c r="F331" s="56"/>
      <c r="G331" s="56"/>
      <c r="H331" s="56"/>
      <c r="I331" s="56"/>
    </row>
    <row r="332" spans="1:9" x14ac:dyDescent="0.2">
      <c r="A332" s="56" t="str" cm="1">
        <f t="array" ref="A332">IFERROR(INDEX('Annex 2 Designated EHV charges'!$D$10:$D$401, MATCH(0, IF(ISBLANK('Annex 2 Designated EHV charges'!$D$10:$D$401),1, COUNTIF(A$4:$A331, 'Annex 2 Designated EHV charges'!$D$10:$D$401)), 0)),"")</f>
        <v/>
      </c>
      <c r="B332" s="56"/>
      <c r="E332" s="56"/>
      <c r="F332" s="56"/>
      <c r="G332" s="56"/>
      <c r="H332" s="56"/>
      <c r="I332" s="56"/>
    </row>
    <row r="333" spans="1:9" x14ac:dyDescent="0.2">
      <c r="A333" s="56" t="str" cm="1">
        <f t="array" ref="A333">IFERROR(INDEX('Annex 2 Designated EHV charges'!$D$10:$D$401, MATCH(0, IF(ISBLANK('Annex 2 Designated EHV charges'!$D$10:$D$401),1, COUNTIF(A$4:$A332, 'Annex 2 Designated EHV charges'!$D$10:$D$401)), 0)),"")</f>
        <v/>
      </c>
      <c r="B333" s="56"/>
      <c r="E333" s="56"/>
      <c r="F333" s="56"/>
      <c r="G333" s="56"/>
      <c r="H333" s="56"/>
      <c r="I333" s="56"/>
    </row>
    <row r="334" spans="1:9" x14ac:dyDescent="0.2">
      <c r="A334" s="56" t="str" cm="1">
        <f t="array" ref="A334">IFERROR(INDEX('Annex 2 Designated EHV charges'!$D$10:$D$401, MATCH(0, IF(ISBLANK('Annex 2 Designated EHV charges'!$D$10:$D$401),1, COUNTIF(A$4:$A333, 'Annex 2 Designated EHV charges'!$D$10:$D$401)), 0)),"")</f>
        <v/>
      </c>
      <c r="B334" s="56"/>
      <c r="E334" s="56"/>
      <c r="F334" s="56"/>
      <c r="G334" s="56"/>
      <c r="H334" s="56"/>
      <c r="I334" s="56"/>
    </row>
    <row r="335" spans="1:9" x14ac:dyDescent="0.2">
      <c r="A335" s="56" t="str" cm="1">
        <f t="array" ref="A335">IFERROR(INDEX('Annex 2 Designated EHV charges'!$D$10:$D$401, MATCH(0, IF(ISBLANK('Annex 2 Designated EHV charges'!$D$10:$D$401),1, COUNTIF(A$4:$A334, 'Annex 2 Designated EHV charges'!$D$10:$D$401)), 0)),"")</f>
        <v/>
      </c>
      <c r="B335" s="56"/>
      <c r="E335" s="56"/>
      <c r="F335" s="56"/>
      <c r="G335" s="56"/>
      <c r="H335" s="56"/>
      <c r="I335" s="56"/>
    </row>
    <row r="336" spans="1:9" x14ac:dyDescent="0.2">
      <c r="A336" s="56" t="str" cm="1">
        <f t="array" ref="A336">IFERROR(INDEX('Annex 2 Designated EHV charges'!$D$10:$D$401, MATCH(0, IF(ISBLANK('Annex 2 Designated EHV charges'!$D$10:$D$401),1, COUNTIF(A$4:$A335, 'Annex 2 Designated EHV charges'!$D$10:$D$401)), 0)),"")</f>
        <v/>
      </c>
      <c r="B336" s="56"/>
      <c r="E336" s="56"/>
      <c r="F336" s="56"/>
      <c r="G336" s="56"/>
      <c r="H336" s="56"/>
      <c r="I336" s="56"/>
    </row>
    <row r="337" spans="1:9" x14ac:dyDescent="0.2">
      <c r="A337" s="56" t="str" cm="1">
        <f t="array" ref="A337">IFERROR(INDEX('Annex 2 Designated EHV charges'!$D$10:$D$401, MATCH(0, IF(ISBLANK('Annex 2 Designated EHV charges'!$D$10:$D$401),1, COUNTIF(A$4:$A336, 'Annex 2 Designated EHV charges'!$D$10:$D$401)), 0)),"")</f>
        <v/>
      </c>
      <c r="B337" s="56"/>
      <c r="E337" s="56"/>
      <c r="F337" s="56"/>
      <c r="G337" s="56"/>
      <c r="H337" s="56"/>
      <c r="I337" s="56"/>
    </row>
    <row r="338" spans="1:9" x14ac:dyDescent="0.2">
      <c r="A338" s="56" t="str" cm="1">
        <f t="array" ref="A338">IFERROR(INDEX('Annex 2 Designated EHV charges'!$D$10:$D$401, MATCH(0, IF(ISBLANK('Annex 2 Designated EHV charges'!$D$10:$D$401),1, COUNTIF(A$4:$A337, 'Annex 2 Designated EHV charges'!$D$10:$D$401)), 0)),"")</f>
        <v/>
      </c>
      <c r="B338" s="56"/>
      <c r="E338" s="56"/>
      <c r="F338" s="56"/>
      <c r="G338" s="56"/>
      <c r="H338" s="56"/>
      <c r="I338" s="56"/>
    </row>
    <row r="339" spans="1:9" x14ac:dyDescent="0.2">
      <c r="A339" s="56" t="str" cm="1">
        <f t="array" ref="A339">IFERROR(INDEX('Annex 2 Designated EHV charges'!$D$10:$D$401, MATCH(0, IF(ISBLANK('Annex 2 Designated EHV charges'!$D$10:$D$401),1, COUNTIF(A$4:$A338, 'Annex 2 Designated EHV charges'!$D$10:$D$401)), 0)),"")</f>
        <v/>
      </c>
      <c r="B339" s="56"/>
      <c r="E339" s="56"/>
      <c r="F339" s="56"/>
      <c r="G339" s="56"/>
      <c r="H339" s="56"/>
      <c r="I339" s="56"/>
    </row>
    <row r="340" spans="1:9" x14ac:dyDescent="0.2">
      <c r="A340" s="56" t="str" cm="1">
        <f t="array" ref="A340">IFERROR(INDEX('Annex 2 Designated EHV charges'!$D$10:$D$401, MATCH(0, IF(ISBLANK('Annex 2 Designated EHV charges'!$D$10:$D$401),1, COUNTIF(A$4:$A339, 'Annex 2 Designated EHV charges'!$D$10:$D$401)), 0)),"")</f>
        <v/>
      </c>
      <c r="B340" s="56"/>
      <c r="E340" s="56"/>
      <c r="F340" s="56"/>
      <c r="G340" s="56"/>
      <c r="H340" s="56"/>
      <c r="I340" s="56"/>
    </row>
    <row r="341" spans="1:9" x14ac:dyDescent="0.2">
      <c r="A341" s="56" t="str" cm="1">
        <f t="array" ref="A341">IFERROR(INDEX('Annex 2 Designated EHV charges'!$D$10:$D$401, MATCH(0, IF(ISBLANK('Annex 2 Designated EHV charges'!$D$10:$D$401),1, COUNTIF(A$4:$A340, 'Annex 2 Designated EHV charges'!$D$10:$D$401)), 0)),"")</f>
        <v/>
      </c>
      <c r="B341" s="56"/>
      <c r="E341" s="56"/>
      <c r="F341" s="56"/>
      <c r="G341" s="56"/>
      <c r="H341" s="56"/>
      <c r="I341" s="56"/>
    </row>
    <row r="342" spans="1:9" x14ac:dyDescent="0.2">
      <c r="A342" s="56" t="str" cm="1">
        <f t="array" ref="A342">IFERROR(INDEX('Annex 2 Designated EHV charges'!$D$10:$D$401, MATCH(0, IF(ISBLANK('Annex 2 Designated EHV charges'!$D$10:$D$401),1, COUNTIF(A$4:$A341, 'Annex 2 Designated EHV charges'!$D$10:$D$401)), 0)),"")</f>
        <v/>
      </c>
      <c r="B342" s="56"/>
      <c r="E342" s="56"/>
      <c r="F342" s="56"/>
      <c r="G342" s="56"/>
      <c r="H342" s="56"/>
      <c r="I342" s="56"/>
    </row>
    <row r="343" spans="1:9" x14ac:dyDescent="0.2">
      <c r="A343" s="56" t="str" cm="1">
        <f t="array" ref="A343">IFERROR(INDEX('Annex 2 Designated EHV charges'!$D$10:$D$401, MATCH(0, IF(ISBLANK('Annex 2 Designated EHV charges'!$D$10:$D$401),1, COUNTIF(A$4:$A342, 'Annex 2 Designated EHV charges'!$D$10:$D$401)), 0)),"")</f>
        <v/>
      </c>
      <c r="B343" s="56"/>
      <c r="E343" s="56"/>
      <c r="F343" s="56"/>
      <c r="G343" s="56"/>
      <c r="H343" s="56"/>
      <c r="I343" s="56"/>
    </row>
    <row r="344" spans="1:9" x14ac:dyDescent="0.2">
      <c r="A344" s="56" t="str" cm="1">
        <f t="array" ref="A344">IFERROR(INDEX('Annex 2 Designated EHV charges'!$D$10:$D$401, MATCH(0, IF(ISBLANK('Annex 2 Designated EHV charges'!$D$10:$D$401),1, COUNTIF(A$4:$A343, 'Annex 2 Designated EHV charges'!$D$10:$D$401)), 0)),"")</f>
        <v/>
      </c>
      <c r="B344" s="56"/>
      <c r="E344" s="56"/>
      <c r="F344" s="56"/>
      <c r="G344" s="56"/>
      <c r="H344" s="56"/>
      <c r="I344" s="56"/>
    </row>
    <row r="345" spans="1:9" x14ac:dyDescent="0.2">
      <c r="A345" s="56" t="str" cm="1">
        <f t="array" ref="A345">IFERROR(INDEX('Annex 2 Designated EHV charges'!$D$10:$D$401, MATCH(0, IF(ISBLANK('Annex 2 Designated EHV charges'!$D$10:$D$401),1, COUNTIF(A$4:$A344, 'Annex 2 Designated EHV charges'!$D$10:$D$401)), 0)),"")</f>
        <v/>
      </c>
      <c r="B345" s="56"/>
      <c r="E345" s="56"/>
      <c r="F345" s="56"/>
      <c r="G345" s="56"/>
      <c r="H345" s="56"/>
      <c r="I345" s="56"/>
    </row>
    <row r="346" spans="1:9" x14ac:dyDescent="0.2">
      <c r="A346" s="56" t="str" cm="1">
        <f t="array" ref="A346">IFERROR(INDEX('Annex 2 Designated EHV charges'!$D$10:$D$401, MATCH(0, IF(ISBLANK('Annex 2 Designated EHV charges'!$D$10:$D$401),1, COUNTIF(A$4:$A345, 'Annex 2 Designated EHV charges'!$D$10:$D$401)), 0)),"")</f>
        <v/>
      </c>
      <c r="B346" s="56"/>
      <c r="E346" s="56"/>
      <c r="F346" s="56"/>
      <c r="G346" s="56"/>
      <c r="H346" s="56"/>
      <c r="I346" s="56"/>
    </row>
    <row r="347" spans="1:9" x14ac:dyDescent="0.2">
      <c r="A347" s="56" t="str" cm="1">
        <f t="array" ref="A347">IFERROR(INDEX('Annex 2 Designated EHV charges'!$D$10:$D$401, MATCH(0, IF(ISBLANK('Annex 2 Designated EHV charges'!$D$10:$D$401),1, COUNTIF(A$4:$A346, 'Annex 2 Designated EHV charges'!$D$10:$D$401)), 0)),"")</f>
        <v/>
      </c>
      <c r="B347" s="56"/>
      <c r="E347" s="56"/>
      <c r="F347" s="56"/>
      <c r="G347" s="56"/>
      <c r="H347" s="56"/>
      <c r="I347" s="56"/>
    </row>
    <row r="348" spans="1:9" x14ac:dyDescent="0.2">
      <c r="A348" s="56" t="str" cm="1">
        <f t="array" ref="A348">IFERROR(INDEX('Annex 2 Designated EHV charges'!$D$10:$D$401, MATCH(0, IF(ISBLANK('Annex 2 Designated EHV charges'!$D$10:$D$401),1, COUNTIF(A$4:$A347, 'Annex 2 Designated EHV charges'!$D$10:$D$401)), 0)),"")</f>
        <v/>
      </c>
      <c r="B348" s="56"/>
      <c r="E348" s="56"/>
      <c r="F348" s="56"/>
      <c r="G348" s="56"/>
      <c r="H348" s="56"/>
      <c r="I348" s="56"/>
    </row>
    <row r="349" spans="1:9" x14ac:dyDescent="0.2">
      <c r="A349" s="56" t="str" cm="1">
        <f t="array" ref="A349">IFERROR(INDEX('Annex 2 Designated EHV charges'!$D$10:$D$401, MATCH(0, IF(ISBLANK('Annex 2 Designated EHV charges'!$D$10:$D$401),1, COUNTIF(A$4:$A348, 'Annex 2 Designated EHV charges'!$D$10:$D$401)), 0)),"")</f>
        <v/>
      </c>
      <c r="B349" s="56"/>
      <c r="E349" s="56"/>
      <c r="F349" s="56"/>
      <c r="G349" s="56"/>
      <c r="H349" s="56"/>
      <c r="I349" s="56"/>
    </row>
    <row r="350" spans="1:9" x14ac:dyDescent="0.2">
      <c r="A350" s="56" t="str" cm="1">
        <f t="array" ref="A350">IFERROR(INDEX('Annex 2 Designated EHV charges'!$D$10:$D$401, MATCH(0, IF(ISBLANK('Annex 2 Designated EHV charges'!$D$10:$D$401),1, COUNTIF(A$4:$A349, 'Annex 2 Designated EHV charges'!$D$10:$D$401)), 0)),"")</f>
        <v/>
      </c>
      <c r="B350" s="56"/>
      <c r="E350" s="56"/>
      <c r="F350" s="56"/>
      <c r="G350" s="56"/>
      <c r="H350" s="56"/>
      <c r="I350" s="56"/>
    </row>
    <row r="351" spans="1:9" x14ac:dyDescent="0.2">
      <c r="A351" s="56" t="str" cm="1">
        <f t="array" ref="A351">IFERROR(INDEX('Annex 2 Designated EHV charges'!$D$10:$D$401, MATCH(0, IF(ISBLANK('Annex 2 Designated EHV charges'!$D$10:$D$401),1, COUNTIF(A$4:$A350, 'Annex 2 Designated EHV charges'!$D$10:$D$401)), 0)),"")</f>
        <v/>
      </c>
      <c r="B351" s="56"/>
      <c r="E351" s="56"/>
      <c r="F351" s="56"/>
      <c r="G351" s="56"/>
      <c r="H351" s="56"/>
      <c r="I351" s="56"/>
    </row>
    <row r="352" spans="1:9" x14ac:dyDescent="0.2">
      <c r="A352" s="56" t="str" cm="1">
        <f t="array" ref="A352">IFERROR(INDEX('Annex 2 Designated EHV charges'!$D$10:$D$401, MATCH(0, IF(ISBLANK('Annex 2 Designated EHV charges'!$D$10:$D$401),1, COUNTIF(A$4:$A351, 'Annex 2 Designated EHV charges'!$D$10:$D$401)), 0)),"")</f>
        <v/>
      </c>
      <c r="B352" s="56"/>
      <c r="E352" s="56"/>
      <c r="F352" s="56"/>
      <c r="G352" s="56"/>
      <c r="H352" s="56"/>
      <c r="I352" s="56"/>
    </row>
    <row r="353" spans="1:9" x14ac:dyDescent="0.2">
      <c r="A353" s="56" t="str" cm="1">
        <f t="array" ref="A353">IFERROR(INDEX('Annex 2 Designated EHV charges'!$D$10:$D$401, MATCH(0, IF(ISBLANK('Annex 2 Designated EHV charges'!$D$10:$D$401),1, COUNTIF(A$4:$A352, 'Annex 2 Designated EHV charges'!$D$10:$D$401)), 0)),"")</f>
        <v/>
      </c>
      <c r="B353" s="56"/>
      <c r="E353" s="56"/>
      <c r="F353" s="56"/>
      <c r="G353" s="56"/>
      <c r="H353" s="56"/>
      <c r="I353" s="56"/>
    </row>
    <row r="354" spans="1:9" x14ac:dyDescent="0.2">
      <c r="A354" s="56" t="str" cm="1">
        <f t="array" ref="A354">IFERROR(INDEX('Annex 2 Designated EHV charges'!$D$10:$D$401, MATCH(0, IF(ISBLANK('Annex 2 Designated EHV charges'!$D$10:$D$401),1, COUNTIF(A$4:$A353, 'Annex 2 Designated EHV charges'!$D$10:$D$401)), 0)),"")</f>
        <v/>
      </c>
      <c r="B354" s="56"/>
      <c r="E354" s="56"/>
      <c r="F354" s="56"/>
      <c r="G354" s="56"/>
      <c r="H354" s="56"/>
      <c r="I354" s="56"/>
    </row>
    <row r="355" spans="1:9" x14ac:dyDescent="0.2">
      <c r="A355" s="56" t="str" cm="1">
        <f t="array" ref="A355">IFERROR(INDEX('Annex 2 Designated EHV charges'!$D$10:$D$401, MATCH(0, IF(ISBLANK('Annex 2 Designated EHV charges'!$D$10:$D$401),1, COUNTIF(A$4:$A354, 'Annex 2 Designated EHV charges'!$D$10:$D$401)), 0)),"")</f>
        <v/>
      </c>
      <c r="B355" s="56"/>
      <c r="E355" s="56"/>
      <c r="F355" s="56"/>
      <c r="G355" s="56"/>
      <c r="H355" s="56"/>
      <c r="I355" s="56"/>
    </row>
    <row r="356" spans="1:9" x14ac:dyDescent="0.2">
      <c r="A356" s="56" t="str" cm="1">
        <f t="array" ref="A356">IFERROR(INDEX('Annex 2 Designated EHV charges'!$D$10:$D$401, MATCH(0, IF(ISBLANK('Annex 2 Designated EHV charges'!$D$10:$D$401),1, COUNTIF(A$4:$A355, 'Annex 2 Designated EHV charges'!$D$10:$D$401)), 0)),"")</f>
        <v/>
      </c>
      <c r="B356" s="56"/>
      <c r="E356" s="56"/>
      <c r="F356" s="56"/>
      <c r="G356" s="56"/>
      <c r="H356" s="56"/>
      <c r="I356" s="56"/>
    </row>
    <row r="357" spans="1:9" x14ac:dyDescent="0.2">
      <c r="A357" s="56" t="str" cm="1">
        <f t="array" ref="A357">IFERROR(INDEX('Annex 2 Designated EHV charges'!$D$10:$D$401, MATCH(0, IF(ISBLANK('Annex 2 Designated EHV charges'!$D$10:$D$401),1, COUNTIF(A$4:$A356, 'Annex 2 Designated EHV charges'!$D$10:$D$401)), 0)),"")</f>
        <v/>
      </c>
      <c r="B357" s="56"/>
      <c r="E357" s="56"/>
      <c r="F357" s="56"/>
      <c r="G357" s="56"/>
      <c r="H357" s="56"/>
      <c r="I357" s="56"/>
    </row>
    <row r="358" spans="1:9" x14ac:dyDescent="0.2">
      <c r="A358" s="56" t="str" cm="1">
        <f t="array" ref="A358">IFERROR(INDEX('Annex 2 Designated EHV charges'!$D$10:$D$401, MATCH(0, IF(ISBLANK('Annex 2 Designated EHV charges'!$D$10:$D$401),1, COUNTIF(A$4:$A357, 'Annex 2 Designated EHV charges'!$D$10:$D$401)), 0)),"")</f>
        <v/>
      </c>
      <c r="B358" s="56"/>
      <c r="E358" s="56"/>
      <c r="F358" s="56"/>
      <c r="G358" s="56"/>
      <c r="H358" s="56"/>
      <c r="I358" s="56"/>
    </row>
    <row r="359" spans="1:9" x14ac:dyDescent="0.2">
      <c r="A359" s="56" t="str" cm="1">
        <f t="array" ref="A359">IFERROR(INDEX('Annex 2 Designated EHV charges'!$D$10:$D$401, MATCH(0, IF(ISBLANK('Annex 2 Designated EHV charges'!$D$10:$D$401),1, COUNTIF(A$4:$A358, 'Annex 2 Designated EHV charges'!$D$10:$D$401)), 0)),"")</f>
        <v/>
      </c>
      <c r="B359" s="56"/>
      <c r="E359" s="56"/>
      <c r="F359" s="56"/>
      <c r="G359" s="56"/>
      <c r="H359" s="56"/>
      <c r="I359" s="56"/>
    </row>
    <row r="360" spans="1:9" x14ac:dyDescent="0.2">
      <c r="A360" s="56" t="str" cm="1">
        <f t="array" ref="A360">IFERROR(INDEX('Annex 2 Designated EHV charges'!$D$10:$D$401, MATCH(0, IF(ISBLANK('Annex 2 Designated EHV charges'!$D$10:$D$401),1, COUNTIF(A$4:$A359, 'Annex 2 Designated EHV charges'!$D$10:$D$401)), 0)),"")</f>
        <v/>
      </c>
      <c r="B360" s="56"/>
      <c r="E360" s="56"/>
      <c r="F360" s="56"/>
      <c r="G360" s="56"/>
      <c r="H360" s="56"/>
      <c r="I360" s="56"/>
    </row>
    <row r="361" spans="1:9" x14ac:dyDescent="0.2">
      <c r="A361" s="56" t="str" cm="1">
        <f t="array" ref="A361">IFERROR(INDEX('Annex 2 Designated EHV charges'!$D$10:$D$401, MATCH(0, IF(ISBLANK('Annex 2 Designated EHV charges'!$D$10:$D$401),1, COUNTIF(A$4:$A360, 'Annex 2 Designated EHV charges'!$D$10:$D$401)), 0)),"")</f>
        <v/>
      </c>
      <c r="B361" s="56"/>
      <c r="E361" s="56"/>
      <c r="F361" s="56"/>
      <c r="G361" s="56"/>
      <c r="H361" s="56"/>
      <c r="I361" s="56"/>
    </row>
    <row r="362" spans="1:9" x14ac:dyDescent="0.2">
      <c r="A362" s="56" t="str" cm="1">
        <f t="array" ref="A362">IFERROR(INDEX('Annex 2 Designated EHV charges'!$D$10:$D$401, MATCH(0, IF(ISBLANK('Annex 2 Designated EHV charges'!$D$10:$D$401),1, COUNTIF(A$4:$A361, 'Annex 2 Designated EHV charges'!$D$10:$D$401)), 0)),"")</f>
        <v/>
      </c>
      <c r="B362" s="56"/>
      <c r="E362" s="56"/>
      <c r="F362" s="56"/>
      <c r="G362" s="56"/>
      <c r="H362" s="56"/>
      <c r="I362" s="56"/>
    </row>
    <row r="363" spans="1:9" x14ac:dyDescent="0.2">
      <c r="A363" s="56" t="str" cm="1">
        <f t="array" ref="A363">IFERROR(INDEX('Annex 2 Designated EHV charges'!$D$10:$D$401, MATCH(0, IF(ISBLANK('Annex 2 Designated EHV charges'!$D$10:$D$401),1, COUNTIF(A$4:$A362, 'Annex 2 Designated EHV charges'!$D$10:$D$401)), 0)),"")</f>
        <v/>
      </c>
      <c r="B363" s="56"/>
      <c r="E363" s="56"/>
      <c r="F363" s="56"/>
      <c r="G363" s="56"/>
      <c r="H363" s="56"/>
      <c r="I363" s="56"/>
    </row>
    <row r="364" spans="1:9" x14ac:dyDescent="0.2">
      <c r="A364" s="56" t="str" cm="1">
        <f t="array" ref="A364">IFERROR(INDEX('Annex 2 Designated EHV charges'!$D$10:$D$401, MATCH(0, IF(ISBLANK('Annex 2 Designated EHV charges'!$D$10:$D$401),1, COUNTIF(A$4:$A363, 'Annex 2 Designated EHV charges'!$D$10:$D$401)), 0)),"")</f>
        <v/>
      </c>
      <c r="B364" s="56"/>
      <c r="E364" s="56"/>
      <c r="F364" s="56"/>
      <c r="G364" s="56"/>
      <c r="H364" s="56"/>
      <c r="I364" s="56"/>
    </row>
    <row r="365" spans="1:9" x14ac:dyDescent="0.2">
      <c r="A365" s="56" t="str" cm="1">
        <f t="array" ref="A365">IFERROR(INDEX('Annex 2 Designated EHV charges'!$D$10:$D$401, MATCH(0, IF(ISBLANK('Annex 2 Designated EHV charges'!$D$10:$D$401),1, COUNTIF(A$4:$A364, 'Annex 2 Designated EHV charges'!$D$10:$D$401)), 0)),"")</f>
        <v/>
      </c>
      <c r="B365" s="56"/>
      <c r="E365" s="56"/>
      <c r="F365" s="56"/>
      <c r="G365" s="56"/>
      <c r="H365" s="56"/>
      <c r="I365" s="56"/>
    </row>
    <row r="366" spans="1:9" x14ac:dyDescent="0.2">
      <c r="A366" s="56" t="str" cm="1">
        <f t="array" ref="A366">IFERROR(INDEX('Annex 2 Designated EHV charges'!$D$10:$D$401, MATCH(0, IF(ISBLANK('Annex 2 Designated EHV charges'!$D$10:$D$401),1, COUNTIF(A$4:$A365, 'Annex 2 Designated EHV charges'!$D$10:$D$401)), 0)),"")</f>
        <v/>
      </c>
      <c r="B366" s="56"/>
      <c r="E366" s="56"/>
      <c r="F366" s="56"/>
      <c r="G366" s="56"/>
      <c r="H366" s="56"/>
      <c r="I366" s="56"/>
    </row>
    <row r="367" spans="1:9" x14ac:dyDescent="0.2">
      <c r="A367" s="56" t="str" cm="1">
        <f t="array" ref="A367">IFERROR(INDEX('Annex 2 Designated EHV charges'!$D$10:$D$401, MATCH(0, IF(ISBLANK('Annex 2 Designated EHV charges'!$D$10:$D$401),1, COUNTIF(A$4:$A366, 'Annex 2 Designated EHV charges'!$D$10:$D$401)), 0)),"")</f>
        <v/>
      </c>
      <c r="B367" s="56"/>
      <c r="E367" s="56"/>
      <c r="F367" s="56"/>
      <c r="G367" s="56"/>
      <c r="H367" s="56"/>
      <c r="I367" s="56"/>
    </row>
    <row r="368" spans="1:9" x14ac:dyDescent="0.2">
      <c r="A368" s="56" t="str" cm="1">
        <f t="array" ref="A368">IFERROR(INDEX('Annex 2 Designated EHV charges'!$D$10:$D$401, MATCH(0, IF(ISBLANK('Annex 2 Designated EHV charges'!$D$10:$D$401),1, COUNTIF(A$4:$A367, 'Annex 2 Designated EHV charges'!$D$10:$D$401)), 0)),"")</f>
        <v/>
      </c>
      <c r="B368" s="56"/>
      <c r="E368" s="56"/>
      <c r="F368" s="56"/>
      <c r="G368" s="56"/>
      <c r="H368" s="56"/>
      <c r="I368" s="56"/>
    </row>
    <row r="369" spans="1:9" x14ac:dyDescent="0.2">
      <c r="A369" s="56" t="str" cm="1">
        <f t="array" ref="A369">IFERROR(INDEX('Annex 2 Designated EHV charges'!$D$10:$D$401, MATCH(0, IF(ISBLANK('Annex 2 Designated EHV charges'!$D$10:$D$401),1, COUNTIF(A$4:$A368, 'Annex 2 Designated EHV charges'!$D$10:$D$401)), 0)),"")</f>
        <v/>
      </c>
      <c r="B369" s="56"/>
      <c r="E369" s="56"/>
      <c r="F369" s="56"/>
      <c r="G369" s="56"/>
      <c r="H369" s="56"/>
      <c r="I369" s="56"/>
    </row>
    <row r="370" spans="1:9" x14ac:dyDescent="0.2">
      <c r="A370" s="56" t="str" cm="1">
        <f t="array" ref="A370">IFERROR(INDEX('Annex 2 Designated EHV charges'!$D$10:$D$401, MATCH(0, IF(ISBLANK('Annex 2 Designated EHV charges'!$D$10:$D$401),1, COUNTIF(A$4:$A369, 'Annex 2 Designated EHV charges'!$D$10:$D$401)), 0)),"")</f>
        <v/>
      </c>
      <c r="B370" s="56"/>
      <c r="E370" s="56"/>
      <c r="F370" s="56"/>
      <c r="G370" s="56"/>
      <c r="H370" s="56"/>
      <c r="I370" s="56"/>
    </row>
    <row r="371" spans="1:9" x14ac:dyDescent="0.2">
      <c r="A371" s="56" t="str" cm="1">
        <f t="array" ref="A371">IFERROR(INDEX('Annex 2 Designated EHV charges'!$D$10:$D$401, MATCH(0, IF(ISBLANK('Annex 2 Designated EHV charges'!$D$10:$D$401),1, COUNTIF(A$4:$A370, 'Annex 2 Designated EHV charges'!$D$10:$D$401)), 0)),"")</f>
        <v/>
      </c>
      <c r="B371" s="56"/>
      <c r="E371" s="56"/>
      <c r="F371" s="56"/>
      <c r="G371" s="56"/>
      <c r="H371" s="56"/>
      <c r="I371" s="56"/>
    </row>
    <row r="372" spans="1:9" x14ac:dyDescent="0.2">
      <c r="A372" s="56" t="str" cm="1">
        <f t="array" ref="A372">IFERROR(INDEX('Annex 2 Designated EHV charges'!$D$10:$D$401, MATCH(0, IF(ISBLANK('Annex 2 Designated EHV charges'!$D$10:$D$401),1, COUNTIF(A$4:$A371, 'Annex 2 Designated EHV charges'!$D$10:$D$401)), 0)),"")</f>
        <v/>
      </c>
      <c r="B372" s="56"/>
      <c r="E372" s="56"/>
      <c r="F372" s="56"/>
      <c r="G372" s="56"/>
      <c r="H372" s="56"/>
      <c r="I372" s="56"/>
    </row>
    <row r="373" spans="1:9" x14ac:dyDescent="0.2">
      <c r="A373" s="56" t="str" cm="1">
        <f t="array" ref="A373">IFERROR(INDEX('Annex 2 Designated EHV charges'!$D$10:$D$401, MATCH(0, IF(ISBLANK('Annex 2 Designated EHV charges'!$D$10:$D$401),1, COUNTIF(A$4:$A372, 'Annex 2 Designated EHV charges'!$D$10:$D$401)), 0)),"")</f>
        <v/>
      </c>
      <c r="B373" s="56"/>
      <c r="E373" s="56"/>
      <c r="F373" s="56"/>
      <c r="G373" s="56"/>
      <c r="H373" s="56"/>
      <c r="I373" s="56"/>
    </row>
    <row r="374" spans="1:9" x14ac:dyDescent="0.2">
      <c r="A374" s="56" t="str" cm="1">
        <f t="array" ref="A374">IFERROR(INDEX('Annex 2 Designated EHV charges'!$D$10:$D$401, MATCH(0, IF(ISBLANK('Annex 2 Designated EHV charges'!$D$10:$D$401),1, COUNTIF(A$4:$A373, 'Annex 2 Designated EHV charges'!$D$10:$D$401)), 0)),"")</f>
        <v/>
      </c>
      <c r="B374" s="56"/>
      <c r="E374" s="56"/>
      <c r="F374" s="56"/>
      <c r="G374" s="56"/>
      <c r="H374" s="56"/>
      <c r="I374" s="56"/>
    </row>
    <row r="375" spans="1:9" x14ac:dyDescent="0.2">
      <c r="A375" s="56" t="str" cm="1">
        <f t="array" ref="A375">IFERROR(INDEX('Annex 2 Designated EHV charges'!$D$10:$D$401, MATCH(0, IF(ISBLANK('Annex 2 Designated EHV charges'!$D$10:$D$401),1, COUNTIF(A$4:$A374, 'Annex 2 Designated EHV charges'!$D$10:$D$401)), 0)),"")</f>
        <v/>
      </c>
      <c r="B375" s="56"/>
      <c r="E375" s="56"/>
      <c r="F375" s="56"/>
      <c r="G375" s="56"/>
      <c r="H375" s="56"/>
      <c r="I375" s="56"/>
    </row>
    <row r="376" spans="1:9" x14ac:dyDescent="0.2">
      <c r="A376" s="56" t="str" cm="1">
        <f t="array" ref="A376">IFERROR(INDEX('Annex 2 Designated EHV charges'!$D$10:$D$401, MATCH(0, IF(ISBLANK('Annex 2 Designated EHV charges'!$D$10:$D$401),1, COUNTIF(A$4:$A375, 'Annex 2 Designated EHV charges'!$D$10:$D$401)), 0)),"")</f>
        <v/>
      </c>
      <c r="B376" s="56"/>
      <c r="E376" s="56"/>
      <c r="F376" s="56"/>
      <c r="G376" s="56"/>
      <c r="H376" s="56"/>
      <c r="I376" s="56"/>
    </row>
    <row r="377" spans="1:9" x14ac:dyDescent="0.2">
      <c r="A377" s="56" t="str" cm="1">
        <f t="array" ref="A377">IFERROR(INDEX('Annex 2 Designated EHV charges'!$D$10:$D$401, MATCH(0, IF(ISBLANK('Annex 2 Designated EHV charges'!$D$10:$D$401),1, COUNTIF(A$4:$A376, 'Annex 2 Designated EHV charges'!$D$10:$D$401)), 0)),"")</f>
        <v/>
      </c>
      <c r="B377" s="56"/>
      <c r="E377" s="56"/>
      <c r="F377" s="56"/>
      <c r="G377" s="56"/>
      <c r="H377" s="56"/>
      <c r="I377" s="56"/>
    </row>
    <row r="378" spans="1:9" x14ac:dyDescent="0.2">
      <c r="A378" s="56" t="str" cm="1">
        <f t="array" ref="A378">IFERROR(INDEX('Annex 2 Designated EHV charges'!$D$10:$D$401, MATCH(0, IF(ISBLANK('Annex 2 Designated EHV charges'!$D$10:$D$401),1, COUNTIF(A$4:$A377, 'Annex 2 Designated EHV charges'!$D$10:$D$401)), 0)),"")</f>
        <v/>
      </c>
      <c r="B378" s="56"/>
      <c r="E378" s="56"/>
      <c r="F378" s="56"/>
      <c r="G378" s="56"/>
      <c r="H378" s="56"/>
      <c r="I378" s="56"/>
    </row>
    <row r="379" spans="1:9" x14ac:dyDescent="0.2">
      <c r="A379" s="56" t="str" cm="1">
        <f t="array" ref="A379">IFERROR(INDEX('Annex 2 Designated EHV charges'!$D$10:$D$401, MATCH(0, IF(ISBLANK('Annex 2 Designated EHV charges'!$D$10:$D$401),1, COUNTIF(A$4:$A378, 'Annex 2 Designated EHV charges'!$D$10:$D$401)), 0)),"")</f>
        <v/>
      </c>
      <c r="B379" s="56"/>
      <c r="E379" s="56"/>
      <c r="F379" s="56"/>
      <c r="G379" s="56"/>
      <c r="H379" s="56"/>
      <c r="I379" s="56"/>
    </row>
    <row r="380" spans="1:9" x14ac:dyDescent="0.2">
      <c r="A380" s="56" t="str" cm="1">
        <f t="array" ref="A380">IFERROR(INDEX('Annex 2 Designated EHV charges'!$D$10:$D$401, MATCH(0, IF(ISBLANK('Annex 2 Designated EHV charges'!$D$10:$D$401),1, COUNTIF(A$4:$A379, 'Annex 2 Designated EHV charges'!$D$10:$D$401)), 0)),"")</f>
        <v/>
      </c>
      <c r="B380" s="56"/>
      <c r="E380" s="56"/>
      <c r="F380" s="56"/>
      <c r="G380" s="56"/>
      <c r="H380" s="56"/>
      <c r="I380" s="56"/>
    </row>
    <row r="381" spans="1:9" x14ac:dyDescent="0.2">
      <c r="A381" s="56" t="str" cm="1">
        <f t="array" ref="A381">IFERROR(INDEX('Annex 2 Designated EHV charges'!$D$10:$D$401, MATCH(0, IF(ISBLANK('Annex 2 Designated EHV charges'!$D$10:$D$401),1, COUNTIF(A$4:$A380, 'Annex 2 Designated EHV charges'!$D$10:$D$401)), 0)),"")</f>
        <v/>
      </c>
      <c r="B381" s="56"/>
      <c r="E381" s="56"/>
      <c r="F381" s="56"/>
      <c r="G381" s="56"/>
      <c r="H381" s="56"/>
      <c r="I381" s="56"/>
    </row>
    <row r="382" spans="1:9" x14ac:dyDescent="0.2">
      <c r="A382" s="56" t="str" cm="1">
        <f t="array" ref="A382">IFERROR(INDEX('Annex 2 Designated EHV charges'!$D$10:$D$401, MATCH(0, IF(ISBLANK('Annex 2 Designated EHV charges'!$D$10:$D$401),1, COUNTIF(A$4:$A381, 'Annex 2 Designated EHV charges'!$D$10:$D$401)), 0)),"")</f>
        <v/>
      </c>
      <c r="B382" s="56"/>
      <c r="E382" s="56"/>
      <c r="F382" s="56"/>
      <c r="G382" s="56"/>
      <c r="H382" s="56"/>
      <c r="I382" s="56"/>
    </row>
    <row r="383" spans="1:9" x14ac:dyDescent="0.2">
      <c r="A383" s="56" t="str" cm="1">
        <f t="array" ref="A383">IFERROR(INDEX('Annex 2 Designated EHV charges'!$D$10:$D$401, MATCH(0, IF(ISBLANK('Annex 2 Designated EHV charges'!$D$10:$D$401),1, COUNTIF(A$4:$A382, 'Annex 2 Designated EHV charges'!$D$10:$D$401)), 0)),"")</f>
        <v/>
      </c>
      <c r="B383" s="56"/>
      <c r="E383" s="56"/>
      <c r="F383" s="56"/>
      <c r="G383" s="56"/>
      <c r="H383" s="56"/>
      <c r="I383" s="56"/>
    </row>
    <row r="384" spans="1:9" x14ac:dyDescent="0.2">
      <c r="A384" s="56" t="str" cm="1">
        <f t="array" ref="A384">IFERROR(INDEX('Annex 2 Designated EHV charges'!$D$10:$D$401, MATCH(0, IF(ISBLANK('Annex 2 Designated EHV charges'!$D$10:$D$401),1, COUNTIF(A$4:$A383, 'Annex 2 Designated EHV charges'!$D$10:$D$401)), 0)),"")</f>
        <v/>
      </c>
      <c r="B384" s="56"/>
      <c r="E384" s="56"/>
      <c r="F384" s="56"/>
      <c r="G384" s="56"/>
      <c r="H384" s="56"/>
      <c r="I384" s="56"/>
    </row>
    <row r="385" spans="1:9" x14ac:dyDescent="0.2">
      <c r="A385" s="56" t="str" cm="1">
        <f t="array" ref="A385">IFERROR(INDEX('Annex 2 Designated EHV charges'!$D$10:$D$401, MATCH(0, IF(ISBLANK('Annex 2 Designated EHV charges'!$D$10:$D$401),1, COUNTIF(A$4:$A384, 'Annex 2 Designated EHV charges'!$D$10:$D$401)), 0)),"")</f>
        <v/>
      </c>
      <c r="B385" s="56"/>
      <c r="E385" s="56"/>
      <c r="F385" s="56"/>
      <c r="G385" s="56"/>
      <c r="H385" s="56"/>
      <c r="I385" s="56"/>
    </row>
    <row r="386" spans="1:9" x14ac:dyDescent="0.2">
      <c r="A386" s="56" t="str" cm="1">
        <f t="array" ref="A386">IFERROR(INDEX('Annex 2 Designated EHV charges'!$D$10:$D$401, MATCH(0, IF(ISBLANK('Annex 2 Designated EHV charges'!$D$10:$D$401),1, COUNTIF(A$4:$A385, 'Annex 2 Designated EHV charges'!$D$10:$D$401)), 0)),"")</f>
        <v/>
      </c>
      <c r="B386" s="56"/>
      <c r="E386" s="56"/>
      <c r="F386" s="56"/>
      <c r="G386" s="56"/>
      <c r="H386" s="56"/>
      <c r="I386" s="56"/>
    </row>
    <row r="387" spans="1:9" x14ac:dyDescent="0.2">
      <c r="A387" s="56" t="str" cm="1">
        <f t="array" ref="A387">IFERROR(INDEX('Annex 2 Designated EHV charges'!$D$10:$D$401, MATCH(0, IF(ISBLANK('Annex 2 Designated EHV charges'!$D$10:$D$401),1, COUNTIF(A$4:$A386, 'Annex 2 Designated EHV charges'!$D$10:$D$401)), 0)),"")</f>
        <v/>
      </c>
      <c r="B387" s="56"/>
      <c r="E387" s="56"/>
      <c r="F387" s="56"/>
      <c r="G387" s="56"/>
      <c r="H387" s="56"/>
      <c r="I387" s="56"/>
    </row>
    <row r="388" spans="1:9" x14ac:dyDescent="0.2">
      <c r="A388" s="56" t="str" cm="1">
        <f t="array" ref="A388">IFERROR(INDEX('Annex 2 Designated EHV charges'!$D$10:$D$401, MATCH(0, IF(ISBLANK('Annex 2 Designated EHV charges'!$D$10:$D$401),1, COUNTIF(A$4:$A387, 'Annex 2 Designated EHV charges'!$D$10:$D$401)), 0)),"")</f>
        <v/>
      </c>
      <c r="B388" s="56"/>
      <c r="E388" s="56"/>
      <c r="F388" s="56"/>
      <c r="G388" s="56"/>
      <c r="H388" s="56"/>
      <c r="I388" s="56"/>
    </row>
    <row r="389" spans="1:9" x14ac:dyDescent="0.2">
      <c r="A389" s="56" t="str" cm="1">
        <f t="array" ref="A389">IFERROR(INDEX('Annex 2 Designated EHV charges'!$D$10:$D$401, MATCH(0, IF(ISBLANK('Annex 2 Designated EHV charges'!$D$10:$D$401),1, COUNTIF(A$4:$A388, 'Annex 2 Designated EHV charges'!$D$10:$D$401)), 0)),"")</f>
        <v/>
      </c>
      <c r="B389" s="56"/>
      <c r="E389" s="56"/>
      <c r="F389" s="56"/>
      <c r="G389" s="56"/>
      <c r="H389" s="56"/>
      <c r="I389" s="56"/>
    </row>
    <row r="390" spans="1:9" x14ac:dyDescent="0.2">
      <c r="A390" s="56" t="str" cm="1">
        <f t="array" ref="A390">IFERROR(INDEX('Annex 2 Designated EHV charges'!$D$10:$D$401, MATCH(0, IF(ISBLANK('Annex 2 Designated EHV charges'!$D$10:$D$401),1, COUNTIF(A$4:$A389, 'Annex 2 Designated EHV charges'!$D$10:$D$401)), 0)),"")</f>
        <v/>
      </c>
      <c r="B390" s="56"/>
      <c r="E390" s="56"/>
      <c r="F390" s="56"/>
      <c r="G390" s="56"/>
      <c r="H390" s="56"/>
      <c r="I390" s="56"/>
    </row>
    <row r="391" spans="1:9" x14ac:dyDescent="0.2">
      <c r="A391" s="56" t="str" cm="1">
        <f t="array" ref="A391">IFERROR(INDEX('Annex 2 Designated EHV charges'!$D$10:$D$401, MATCH(0, IF(ISBLANK('Annex 2 Designated EHV charges'!$D$10:$D$401),1, COUNTIF(A$4:$A390, 'Annex 2 Designated EHV charges'!$D$10:$D$401)), 0)),"")</f>
        <v/>
      </c>
      <c r="B391" s="56"/>
      <c r="E391" s="56"/>
      <c r="F391" s="56"/>
      <c r="G391" s="56"/>
      <c r="H391" s="56"/>
      <c r="I391" s="56"/>
    </row>
    <row r="392" spans="1:9" x14ac:dyDescent="0.2">
      <c r="A392" s="56" t="str" cm="1">
        <f t="array" ref="A392">IFERROR(INDEX('Annex 2 Designated EHV charges'!$D$10:$D$401, MATCH(0, IF(ISBLANK('Annex 2 Designated EHV charges'!$D$10:$D$401),1, COUNTIF(A$4:$A391, 'Annex 2 Designated EHV charges'!$D$10:$D$401)), 0)),"")</f>
        <v/>
      </c>
      <c r="B392" s="56"/>
      <c r="E392" s="56"/>
      <c r="F392" s="56"/>
      <c r="G392" s="56"/>
      <c r="H392" s="56"/>
      <c r="I392" s="56"/>
    </row>
    <row r="393" spans="1:9" x14ac:dyDescent="0.2">
      <c r="A393" s="56" t="str" cm="1">
        <f t="array" ref="A393">IFERROR(INDEX('Annex 2 Designated EHV charges'!$D$10:$D$401, MATCH(0, IF(ISBLANK('Annex 2 Designated EHV charges'!$D$10:$D$401),1, COUNTIF(A$4:$A392, 'Annex 2 Designated EHV charges'!$D$10:$D$401)), 0)),"")</f>
        <v/>
      </c>
      <c r="B393" s="56"/>
      <c r="E393" s="56"/>
      <c r="F393" s="56"/>
      <c r="G393" s="56"/>
      <c r="H393" s="56"/>
      <c r="I393" s="56"/>
    </row>
    <row r="394" spans="1:9" x14ac:dyDescent="0.2">
      <c r="A394" s="56" t="str" cm="1">
        <f t="array" ref="A394">IFERROR(INDEX('Annex 2 Designated EHV charges'!$D$10:$D$401, MATCH(0, IF(ISBLANK('Annex 2 Designated EHV charges'!$D$10:$D$401),1, COUNTIF(A$4:$A393, 'Annex 2 Designated EHV charges'!$D$10:$D$401)), 0)),"")</f>
        <v/>
      </c>
      <c r="B394" s="56"/>
      <c r="E394" s="56"/>
      <c r="F394" s="56"/>
      <c r="G394" s="56"/>
      <c r="H394" s="56"/>
      <c r="I394" s="56"/>
    </row>
    <row r="395" spans="1:9" x14ac:dyDescent="0.2">
      <c r="A395" s="56" t="str" cm="1">
        <f t="array" ref="A395">IFERROR(INDEX('Annex 2 Designated EHV charges'!$D$10:$D$401, MATCH(0, IF(ISBLANK('Annex 2 Designated EHV charges'!$D$10:$D$401),1, COUNTIF(A$4:$A394, 'Annex 2 Designated EHV charges'!$D$10:$D$401)), 0)),"")</f>
        <v/>
      </c>
      <c r="B395" s="56"/>
      <c r="E395" s="56"/>
      <c r="F395" s="56"/>
      <c r="G395" s="56"/>
      <c r="H395" s="56"/>
      <c r="I395" s="56"/>
    </row>
    <row r="396" spans="1:9" x14ac:dyDescent="0.2">
      <c r="A396" s="56" t="str" cm="1">
        <f t="array" ref="A396">IFERROR(INDEX('Annex 2 Designated EHV charges'!$D$10:$D$401, MATCH(0, IF(ISBLANK('Annex 2 Designated EHV charges'!$D$10:$D$401),1, COUNTIF(A$4:$A395, 'Annex 2 Designated EHV charges'!$D$10:$D$401)), 0)),"")</f>
        <v/>
      </c>
      <c r="B396" s="56"/>
      <c r="E396" s="56"/>
      <c r="F396" s="56"/>
      <c r="G396" s="56"/>
      <c r="H396" s="56"/>
      <c r="I396" s="56"/>
    </row>
    <row r="397" spans="1:9" x14ac:dyDescent="0.2">
      <c r="A397" s="56" t="str" cm="1">
        <f t="array" ref="A397">IFERROR(INDEX('Annex 2 Designated EHV charges'!$D$10:$D$401, MATCH(0, IF(ISBLANK('Annex 2 Designated EHV charges'!$D$10:$D$401),1, COUNTIF(A$4:$A396, 'Annex 2 Designated EHV charges'!$D$10:$D$401)), 0)),"")</f>
        <v/>
      </c>
      <c r="B397" s="56"/>
      <c r="E397" s="56"/>
      <c r="F397" s="56"/>
      <c r="G397" s="56"/>
      <c r="H397" s="56"/>
      <c r="I397" s="56"/>
    </row>
    <row r="398" spans="1:9" x14ac:dyDescent="0.2">
      <c r="A398" s="56" t="str" cm="1">
        <f t="array" ref="A398">IFERROR(INDEX('Annex 2 Designated EHV charges'!$D$10:$D$401, MATCH(0, IF(ISBLANK('Annex 2 Designated EHV charges'!$D$10:$D$401),1, COUNTIF(A$4:$A397, 'Annex 2 Designated EHV charges'!$D$10:$D$401)), 0)),"")</f>
        <v/>
      </c>
      <c r="B398" s="56"/>
      <c r="E398" s="56"/>
      <c r="F398" s="56"/>
      <c r="G398" s="56"/>
      <c r="H398" s="56"/>
      <c r="I398" s="56"/>
    </row>
    <row r="399" spans="1:9" x14ac:dyDescent="0.2">
      <c r="A399" s="56" t="str" cm="1">
        <f t="array" ref="A399">IFERROR(INDEX('Annex 2 Designated EHV charges'!$D$10:$D$401, MATCH(0, IF(ISBLANK('Annex 2 Designated EHV charges'!$D$10:$D$401),1, COUNTIF(A$4:$A398, 'Annex 2 Designated EHV charges'!$D$10:$D$401)), 0)),"")</f>
        <v/>
      </c>
      <c r="B399" s="56"/>
      <c r="E399" s="56"/>
      <c r="F399" s="56"/>
      <c r="G399" s="56"/>
      <c r="H399" s="56"/>
      <c r="I399" s="56"/>
    </row>
    <row r="400" spans="1:9" x14ac:dyDescent="0.2">
      <c r="A400" s="56" t="str" cm="1">
        <f t="array" ref="A400">IFERROR(INDEX('Annex 2 Designated EHV charges'!$D$10:$D$401, MATCH(0, IF(ISBLANK('Annex 2 Designated EHV charges'!$D$10:$D$401),1, COUNTIF(A$4:$A399, 'Annex 2 Designated EHV charges'!$D$10:$D$401)), 0)),"")</f>
        <v/>
      </c>
      <c r="B400" s="56"/>
      <c r="E400" s="56"/>
      <c r="F400" s="56"/>
      <c r="G400" s="56"/>
      <c r="H400" s="56"/>
      <c r="I400" s="56"/>
    </row>
    <row r="401" spans="1:9" x14ac:dyDescent="0.2">
      <c r="A401" s="56" t="str" cm="1">
        <f t="array" ref="A401">IFERROR(INDEX('Annex 2 Designated EHV charges'!$D$10:$D$401, MATCH(0, IF(ISBLANK('Annex 2 Designated EHV charges'!$D$10:$D$401),1, COUNTIF(A$4:$A400, 'Annex 2 Designated EHV charges'!$D$10:$D$401)), 0)),"")</f>
        <v/>
      </c>
      <c r="B401" s="56"/>
      <c r="E401" s="56"/>
      <c r="F401" s="56"/>
      <c r="G401" s="56"/>
      <c r="H401" s="56"/>
      <c r="I401" s="56"/>
    </row>
    <row r="402" spans="1:9" x14ac:dyDescent="0.2">
      <c r="A402" s="56" t="str" cm="1">
        <f t="array" ref="A402">IFERROR(INDEX('Annex 2 Designated EHV charges'!$D$10:$D$401, MATCH(0, IF(ISBLANK('Annex 2 Designated EHV charges'!$D$10:$D$401),1, COUNTIF(A$4:$A401, 'Annex 2 Designated EHV charges'!$D$10:$D$401)), 0)),"")</f>
        <v/>
      </c>
      <c r="B402" s="56"/>
      <c r="E402" s="56"/>
      <c r="F402" s="56"/>
      <c r="G402" s="56"/>
      <c r="H402" s="56"/>
      <c r="I402" s="56"/>
    </row>
    <row r="403" spans="1:9" x14ac:dyDescent="0.2">
      <c r="A403" s="56" t="str" cm="1">
        <f t="array" ref="A403">IFERROR(INDEX('Annex 2 Designated EHV charges'!$D$10:$D$401, MATCH(0, IF(ISBLANK('Annex 2 Designated EHV charges'!$D$10:$D$401),1, COUNTIF(A$4:$A402, 'Annex 2 Designated EHV charges'!$D$10:$D$401)), 0)),"")</f>
        <v/>
      </c>
      <c r="B403" s="56"/>
      <c r="E403" s="56"/>
      <c r="F403" s="56"/>
      <c r="G403" s="56"/>
      <c r="H403" s="56"/>
      <c r="I403" s="56"/>
    </row>
    <row r="404" spans="1:9" x14ac:dyDescent="0.2">
      <c r="A404" s="56" t="str" cm="1">
        <f t="array" ref="A404">IFERROR(INDEX('Annex 2 Designated EHV charges'!$D$10:$D$401, MATCH(0, IF(ISBLANK('Annex 2 Designated EHV charges'!$D$10:$D$401),1, COUNTIF(A$4:$A403, 'Annex 2 Designated EHV charges'!$D$10:$D$401)), 0)),"")</f>
        <v/>
      </c>
      <c r="B404" s="56"/>
      <c r="E404" s="56"/>
      <c r="F404" s="56"/>
      <c r="G404" s="56"/>
      <c r="H404" s="56"/>
      <c r="I404" s="56"/>
    </row>
    <row r="405" spans="1:9" x14ac:dyDescent="0.2">
      <c r="A405" s="56" t="str" cm="1">
        <f t="array" ref="A405">IFERROR(INDEX('Annex 2 Designated EHV charges'!$D$10:$D$401, MATCH(0, IF(ISBLANK('Annex 2 Designated EHV charges'!$D$10:$D$401),1, COUNTIF(A$4:$A404, 'Annex 2 Designated EHV charges'!$D$10:$D$401)), 0)),"")</f>
        <v/>
      </c>
      <c r="B405" s="56"/>
      <c r="E405" s="56"/>
      <c r="F405" s="56"/>
      <c r="G405" s="56"/>
      <c r="H405" s="56"/>
      <c r="I405" s="56"/>
    </row>
    <row r="406" spans="1:9" x14ac:dyDescent="0.2">
      <c r="A406" s="56" t="str" cm="1">
        <f t="array" ref="A406">IFERROR(INDEX('Annex 2 Designated EHV charges'!$D$10:$D$401, MATCH(0, IF(ISBLANK('Annex 2 Designated EHV charges'!$D$10:$D$401),1, COUNTIF(A$4:$A405, 'Annex 2 Designated EHV charges'!$D$10:$D$401)), 0)),"")</f>
        <v/>
      </c>
      <c r="B406" s="56"/>
      <c r="E406" s="56"/>
      <c r="F406" s="56"/>
      <c r="G406" s="56"/>
      <c r="H406" s="56"/>
      <c r="I406" s="56"/>
    </row>
    <row r="407" spans="1:9" x14ac:dyDescent="0.2">
      <c r="A407" s="56" t="str" cm="1">
        <f t="array" ref="A407">IFERROR(INDEX('Annex 2 Designated EHV charges'!$D$10:$D$401, MATCH(0, IF(ISBLANK('Annex 2 Designated EHV charges'!$D$10:$D$401),1, COUNTIF(A$4:$A406, 'Annex 2 Designated EHV charges'!$D$10:$D$401)), 0)),"")</f>
        <v/>
      </c>
      <c r="B407" s="56"/>
      <c r="E407" s="56"/>
      <c r="F407" s="56"/>
      <c r="G407" s="56"/>
      <c r="H407" s="56"/>
      <c r="I407" s="56"/>
    </row>
    <row r="408" spans="1:9" x14ac:dyDescent="0.2">
      <c r="A408" s="56" t="str" cm="1">
        <f t="array" ref="A408">IFERROR(INDEX('Annex 2 Designated EHV charges'!$D$10:$D$401, MATCH(0, IF(ISBLANK('Annex 2 Designated EHV charges'!$D$10:$D$401),1, COUNTIF(A$4:$A407, 'Annex 2 Designated EHV charges'!$D$10:$D$401)), 0)),"")</f>
        <v/>
      </c>
      <c r="B408" s="56"/>
      <c r="E408" s="56"/>
      <c r="F408" s="56"/>
      <c r="G408" s="56"/>
      <c r="H408" s="56"/>
      <c r="I408" s="56"/>
    </row>
    <row r="409" spans="1:9" x14ac:dyDescent="0.2">
      <c r="A409" s="56" t="str" cm="1">
        <f t="array" ref="A409">IFERROR(INDEX('Annex 2 Designated EHV charges'!$D$10:$D$401, MATCH(0, IF(ISBLANK('Annex 2 Designated EHV charges'!$D$10:$D$401),1, COUNTIF(A$4:$A408, 'Annex 2 Designated EHV charges'!$D$10:$D$401)), 0)),"")</f>
        <v/>
      </c>
      <c r="B409" s="56"/>
      <c r="E409" s="56"/>
      <c r="F409" s="56"/>
      <c r="G409" s="56"/>
      <c r="H409" s="56"/>
      <c r="I409" s="56"/>
    </row>
    <row r="410" spans="1:9" x14ac:dyDescent="0.2">
      <c r="A410" s="56" t="str" cm="1">
        <f t="array" ref="A410">IFERROR(INDEX('Annex 2 Designated EHV charges'!$D$10:$D$401, MATCH(0, IF(ISBLANK('Annex 2 Designated EHV charges'!$D$10:$D$401),1, COUNTIF(A$4:$A409, 'Annex 2 Designated EHV charges'!$D$10:$D$401)), 0)),"")</f>
        <v/>
      </c>
      <c r="B410" s="56"/>
      <c r="E410" s="56"/>
      <c r="F410" s="56"/>
      <c r="G410" s="56"/>
      <c r="H410" s="56"/>
      <c r="I410" s="56"/>
    </row>
    <row r="411" spans="1:9" x14ac:dyDescent="0.2">
      <c r="A411" s="56" t="str" cm="1">
        <f t="array" ref="A411">IFERROR(INDEX('Annex 2 Designated EHV charges'!$D$10:$D$401, MATCH(0, IF(ISBLANK('Annex 2 Designated EHV charges'!$D$10:$D$401),1, COUNTIF(A$4:$A410, 'Annex 2 Designated EHV charges'!$D$10:$D$401)), 0)),"")</f>
        <v/>
      </c>
      <c r="B411" s="56"/>
      <c r="E411" s="56"/>
      <c r="F411" s="56"/>
      <c r="G411" s="56"/>
      <c r="H411" s="56"/>
      <c r="I411" s="56"/>
    </row>
    <row r="412" spans="1:9" x14ac:dyDescent="0.2">
      <c r="A412" s="56" t="str" cm="1">
        <f t="array" ref="A412">IFERROR(INDEX('Annex 2 Designated EHV charges'!$D$10:$D$401, MATCH(0, IF(ISBLANK('Annex 2 Designated EHV charges'!$D$10:$D$401),1, COUNTIF(A$4:$A411, 'Annex 2 Designated EHV charges'!$D$10:$D$401)), 0)),"")</f>
        <v/>
      </c>
      <c r="B412" s="56"/>
      <c r="E412" s="56"/>
      <c r="F412" s="56"/>
      <c r="G412" s="56"/>
      <c r="H412" s="56"/>
      <c r="I412" s="56"/>
    </row>
    <row r="413" spans="1:9" x14ac:dyDescent="0.2">
      <c r="A413" s="56" t="str" cm="1">
        <f t="array" ref="A413">IFERROR(INDEX('Annex 2 Designated EHV charges'!$D$10:$D$401, MATCH(0, IF(ISBLANK('Annex 2 Designated EHV charges'!$D$10:$D$401),1, COUNTIF(A$4:$A412, 'Annex 2 Designated EHV charges'!$D$10:$D$401)), 0)),"")</f>
        <v/>
      </c>
      <c r="B413" s="56"/>
      <c r="E413" s="56"/>
      <c r="F413" s="56"/>
      <c r="G413" s="56"/>
      <c r="H413" s="56"/>
      <c r="I413" s="56"/>
    </row>
    <row r="414" spans="1:9" x14ac:dyDescent="0.2">
      <c r="A414" s="56" t="str" cm="1">
        <f t="array" ref="A414">IFERROR(INDEX('Annex 2 Designated EHV charges'!$D$10:$D$401, MATCH(0, IF(ISBLANK('Annex 2 Designated EHV charges'!$D$10:$D$401),1, COUNTIF(A$4:$A413, 'Annex 2 Designated EHV charges'!$D$10:$D$401)), 0)),"")</f>
        <v/>
      </c>
      <c r="B414" s="56"/>
      <c r="E414" s="56"/>
      <c r="F414" s="56"/>
      <c r="G414" s="56"/>
      <c r="H414" s="56"/>
      <c r="I414" s="56"/>
    </row>
    <row r="415" spans="1:9" x14ac:dyDescent="0.2">
      <c r="A415" s="56" t="str" cm="1">
        <f t="array" ref="A415">IFERROR(INDEX('Annex 2 Designated EHV charges'!$D$10:$D$401, MATCH(0, IF(ISBLANK('Annex 2 Designated EHV charges'!$D$10:$D$401),1, COUNTIF(A$4:$A414, 'Annex 2 Designated EHV charges'!$D$10:$D$401)), 0)),"")</f>
        <v/>
      </c>
      <c r="B415" s="56"/>
      <c r="E415" s="56"/>
      <c r="F415" s="56"/>
      <c r="G415" s="56"/>
      <c r="H415" s="56"/>
      <c r="I415" s="56"/>
    </row>
    <row r="416" spans="1:9" x14ac:dyDescent="0.2">
      <c r="A416" s="56" t="str" cm="1">
        <f t="array" ref="A416">IFERROR(INDEX('Annex 2 Designated EHV charges'!$D$10:$D$401, MATCH(0, IF(ISBLANK('Annex 2 Designated EHV charges'!$D$10:$D$401),1, COUNTIF(A$4:$A415, 'Annex 2 Designated EHV charges'!$D$10:$D$401)), 0)),"")</f>
        <v/>
      </c>
      <c r="B416" s="56"/>
      <c r="E416" s="56"/>
      <c r="F416" s="56"/>
      <c r="G416" s="56"/>
      <c r="H416" s="56"/>
      <c r="I416" s="56"/>
    </row>
    <row r="417" spans="1:9" x14ac:dyDescent="0.2">
      <c r="A417" s="56" t="str" cm="1">
        <f t="array" ref="A417">IFERROR(INDEX('Annex 2 Designated EHV charges'!$D$10:$D$401, MATCH(0, IF(ISBLANK('Annex 2 Designated EHV charges'!$D$10:$D$401),1, COUNTIF(A$4:$A416, 'Annex 2 Designated EHV charges'!$D$10:$D$401)), 0)),"")</f>
        <v/>
      </c>
      <c r="B417" s="56"/>
      <c r="E417" s="56"/>
      <c r="F417" s="56"/>
      <c r="G417" s="56"/>
      <c r="H417" s="56"/>
      <c r="I417" s="56"/>
    </row>
    <row r="418" spans="1:9" x14ac:dyDescent="0.2">
      <c r="A418" s="56" t="str" cm="1">
        <f t="array" ref="A418">IFERROR(INDEX('Annex 2 Designated EHV charges'!$D$10:$D$401, MATCH(0, IF(ISBLANK('Annex 2 Designated EHV charges'!$D$10:$D$401),1, COUNTIF(A$4:$A417, 'Annex 2 Designated EHV charges'!$D$10:$D$401)), 0)),"")</f>
        <v/>
      </c>
      <c r="B418" s="56"/>
      <c r="E418" s="56"/>
      <c r="F418" s="56"/>
      <c r="G418" s="56"/>
      <c r="H418" s="56"/>
      <c r="I418" s="56"/>
    </row>
    <row r="419" spans="1:9" x14ac:dyDescent="0.2">
      <c r="A419" s="56" t="str" cm="1">
        <f t="array" ref="A419">IFERROR(INDEX('Annex 2 Designated EHV charges'!$D$10:$D$401, MATCH(0, IF(ISBLANK('Annex 2 Designated EHV charges'!$D$10:$D$401),1, COUNTIF(A$4:$A418, 'Annex 2 Designated EHV charges'!$D$10:$D$401)), 0)),"")</f>
        <v/>
      </c>
      <c r="B419" s="56"/>
      <c r="E419" s="56"/>
      <c r="F419" s="56"/>
      <c r="G419" s="56"/>
      <c r="H419" s="56"/>
      <c r="I419" s="56"/>
    </row>
    <row r="420" spans="1:9" x14ac:dyDescent="0.2">
      <c r="A420" s="56" t="str" cm="1">
        <f t="array" ref="A420">IFERROR(INDEX('Annex 2 Designated EHV charges'!$D$10:$D$401, MATCH(0, IF(ISBLANK('Annex 2 Designated EHV charges'!$D$10:$D$401),1, COUNTIF(A$4:$A419, 'Annex 2 Designated EHV charges'!$D$10:$D$401)), 0)),"")</f>
        <v/>
      </c>
      <c r="B420" s="56"/>
      <c r="E420" s="56"/>
      <c r="F420" s="56"/>
      <c r="G420" s="56"/>
      <c r="H420" s="56"/>
      <c r="I420" s="56"/>
    </row>
    <row r="421" spans="1:9" x14ac:dyDescent="0.2">
      <c r="A421" s="56" t="str" cm="1">
        <f t="array" ref="A421">IFERROR(INDEX('Annex 2 Designated EHV charges'!$D$10:$D$401, MATCH(0, IF(ISBLANK('Annex 2 Designated EHV charges'!$D$10:$D$401),1, COUNTIF(A$4:$A420, 'Annex 2 Designated EHV charges'!$D$10:$D$401)), 0)),"")</f>
        <v/>
      </c>
      <c r="B421" s="56"/>
      <c r="E421" s="56"/>
      <c r="F421" s="56"/>
      <c r="G421" s="56"/>
      <c r="H421" s="56"/>
      <c r="I421" s="56"/>
    </row>
    <row r="422" spans="1:9" x14ac:dyDescent="0.2">
      <c r="A422" s="56" t="str" cm="1">
        <f t="array" ref="A422">IFERROR(INDEX('Annex 2 Designated EHV charges'!$D$10:$D$401, MATCH(0, IF(ISBLANK('Annex 2 Designated EHV charges'!$D$10:$D$401),1, COUNTIF(A$4:$A421, 'Annex 2 Designated EHV charges'!$D$10:$D$401)), 0)),"")</f>
        <v/>
      </c>
      <c r="B422" s="56"/>
      <c r="E422" s="56"/>
      <c r="F422" s="56"/>
      <c r="G422" s="56"/>
      <c r="H422" s="56"/>
      <c r="I422" s="56"/>
    </row>
    <row r="423" spans="1:9" x14ac:dyDescent="0.2">
      <c r="A423" s="56" t="str" cm="1">
        <f t="array" ref="A423">IFERROR(INDEX('Annex 2 Designated EHV charges'!$D$10:$D$401, MATCH(0, IF(ISBLANK('Annex 2 Designated EHV charges'!$D$10:$D$401),1, COUNTIF(A$4:$A422, 'Annex 2 Designated EHV charges'!$D$10:$D$401)), 0)),"")</f>
        <v/>
      </c>
      <c r="B423" s="56"/>
      <c r="E423" s="56"/>
      <c r="F423" s="56"/>
      <c r="G423" s="56"/>
      <c r="H423" s="56"/>
      <c r="I423" s="56"/>
    </row>
    <row r="424" spans="1:9" x14ac:dyDescent="0.2">
      <c r="A424" s="56" t="str" cm="1">
        <f t="array" ref="A424">IFERROR(INDEX('Annex 2 Designated EHV charges'!$D$10:$D$401, MATCH(0, IF(ISBLANK('Annex 2 Designated EHV charges'!$D$10:$D$401),1, COUNTIF(A$4:$A423, 'Annex 2 Designated EHV charges'!$D$10:$D$401)), 0)),"")</f>
        <v/>
      </c>
      <c r="B424" s="56"/>
      <c r="E424" s="56"/>
      <c r="F424" s="56"/>
      <c r="G424" s="56"/>
      <c r="H424" s="56"/>
      <c r="I424" s="56"/>
    </row>
    <row r="425" spans="1:9" x14ac:dyDescent="0.2">
      <c r="A425" s="56" t="str" cm="1">
        <f t="array" ref="A425">IFERROR(INDEX('Annex 2 Designated EHV charges'!$D$10:$D$401, MATCH(0, IF(ISBLANK('Annex 2 Designated EHV charges'!$D$10:$D$401),1, COUNTIF(A$4:$A424, 'Annex 2 Designated EHV charges'!$D$10:$D$401)), 0)),"")</f>
        <v/>
      </c>
      <c r="B425" s="56"/>
      <c r="E425" s="56"/>
      <c r="F425" s="56"/>
      <c r="G425" s="56"/>
      <c r="H425" s="56"/>
      <c r="I425" s="56"/>
    </row>
    <row r="426" spans="1:9" x14ac:dyDescent="0.2">
      <c r="A426" s="56" t="str" cm="1">
        <f t="array" ref="A426">IFERROR(INDEX('Annex 2 Designated EHV charges'!$D$10:$D$401, MATCH(0, IF(ISBLANK('Annex 2 Designated EHV charges'!$D$10:$D$401),1, COUNTIF(A$4:$A425, 'Annex 2 Designated EHV charges'!$D$10:$D$401)), 0)),"")</f>
        <v/>
      </c>
      <c r="B426" s="56"/>
      <c r="E426" s="56"/>
      <c r="F426" s="56"/>
      <c r="G426" s="56"/>
      <c r="H426" s="56"/>
      <c r="I426" s="56"/>
    </row>
    <row r="427" spans="1:9" x14ac:dyDescent="0.2">
      <c r="A427" s="56" t="str" cm="1">
        <f t="array" ref="A427">IFERROR(INDEX('Annex 2 Designated EHV charges'!$D$10:$D$401, MATCH(0, IF(ISBLANK('Annex 2 Designated EHV charges'!$D$10:$D$401),1, COUNTIF(A$4:$A426, 'Annex 2 Designated EHV charges'!$D$10:$D$401)), 0)),"")</f>
        <v/>
      </c>
      <c r="B427" s="56"/>
      <c r="E427" s="56"/>
      <c r="F427" s="56"/>
      <c r="G427" s="56"/>
      <c r="H427" s="56"/>
      <c r="I427" s="56"/>
    </row>
    <row r="428" spans="1:9" x14ac:dyDescent="0.2">
      <c r="A428" s="56" t="str" cm="1">
        <f t="array" ref="A428">IFERROR(INDEX('Annex 2 Designated EHV charges'!$D$10:$D$401, MATCH(0, IF(ISBLANK('Annex 2 Designated EHV charges'!$D$10:$D$401),1, COUNTIF(A$4:$A427, 'Annex 2 Designated EHV charges'!$D$10:$D$401)), 0)),"")</f>
        <v/>
      </c>
      <c r="B428" s="56"/>
      <c r="E428" s="56"/>
      <c r="F428" s="56"/>
      <c r="G428" s="56"/>
      <c r="H428" s="56"/>
      <c r="I428" s="56"/>
    </row>
    <row r="429" spans="1:9" x14ac:dyDescent="0.2">
      <c r="A429" s="56" t="str" cm="1">
        <f t="array" ref="A429">IFERROR(INDEX('Annex 2 Designated EHV charges'!$D$10:$D$401, MATCH(0, IF(ISBLANK('Annex 2 Designated EHV charges'!$D$10:$D$401),1, COUNTIF(A$4:$A428, 'Annex 2 Designated EHV charges'!$D$10:$D$401)), 0)),"")</f>
        <v/>
      </c>
      <c r="B429" s="56"/>
      <c r="E429" s="56"/>
      <c r="F429" s="56"/>
      <c r="G429" s="56"/>
      <c r="H429" s="56"/>
      <c r="I429" s="56"/>
    </row>
    <row r="430" spans="1:9" x14ac:dyDescent="0.2">
      <c r="A430" s="56" t="str" cm="1">
        <f t="array" ref="A430">IFERROR(INDEX('Annex 2 Designated EHV charges'!$D$10:$D$401, MATCH(0, IF(ISBLANK('Annex 2 Designated EHV charges'!$D$10:$D$401),1, COUNTIF(A$4:$A429, 'Annex 2 Designated EHV charges'!$D$10:$D$401)), 0)),"")</f>
        <v/>
      </c>
      <c r="B430" s="56"/>
      <c r="E430" s="56"/>
      <c r="F430" s="56"/>
      <c r="G430" s="56"/>
      <c r="H430" s="56"/>
      <c r="I430" s="56"/>
    </row>
    <row r="431" spans="1:9" x14ac:dyDescent="0.2">
      <c r="A431" s="56" t="str" cm="1">
        <f t="array" ref="A431">IFERROR(INDEX('Annex 2 Designated EHV charges'!$D$10:$D$401, MATCH(0, IF(ISBLANK('Annex 2 Designated EHV charges'!$D$10:$D$401),1, COUNTIF(A$4:$A430, 'Annex 2 Designated EHV charges'!$D$10:$D$401)), 0)),"")</f>
        <v/>
      </c>
      <c r="B431" s="56"/>
      <c r="E431" s="56"/>
      <c r="F431" s="56"/>
      <c r="G431" s="56"/>
      <c r="H431" s="56"/>
      <c r="I431" s="56"/>
    </row>
    <row r="432" spans="1:9" x14ac:dyDescent="0.2">
      <c r="A432" s="56" t="str" cm="1">
        <f t="array" ref="A432">IFERROR(INDEX('Annex 2 Designated EHV charges'!$D$10:$D$401, MATCH(0, IF(ISBLANK('Annex 2 Designated EHV charges'!$D$10:$D$401),1, COUNTIF(A$4:$A431, 'Annex 2 Designated EHV charges'!$D$10:$D$401)), 0)),"")</f>
        <v/>
      </c>
      <c r="B432" s="56"/>
      <c r="E432" s="56"/>
      <c r="F432" s="56"/>
      <c r="G432" s="56"/>
      <c r="H432" s="56"/>
      <c r="I432" s="56"/>
    </row>
    <row r="433" spans="1:9" x14ac:dyDescent="0.2">
      <c r="A433" s="56" t="str" cm="1">
        <f t="array" ref="A433">IFERROR(INDEX('Annex 2 Designated EHV charges'!$D$10:$D$401, MATCH(0, IF(ISBLANK('Annex 2 Designated EHV charges'!$D$10:$D$401),1, COUNTIF(A$4:$A432, 'Annex 2 Designated EHV charges'!$D$10:$D$401)), 0)),"")</f>
        <v/>
      </c>
      <c r="B433" s="56"/>
      <c r="E433" s="56"/>
      <c r="F433" s="56"/>
      <c r="G433" s="56"/>
      <c r="H433" s="56"/>
      <c r="I433" s="56"/>
    </row>
    <row r="434" spans="1:9" x14ac:dyDescent="0.2">
      <c r="A434" s="56" t="str" cm="1">
        <f t="array" ref="A434">IFERROR(INDEX('Annex 2 Designated EHV charges'!$D$10:$D$401, MATCH(0, IF(ISBLANK('Annex 2 Designated EHV charges'!$D$10:$D$401),1, COUNTIF(A$4:$A433, 'Annex 2 Designated EHV charges'!$D$10:$D$401)), 0)),"")</f>
        <v/>
      </c>
      <c r="B434" s="56"/>
      <c r="E434" s="56"/>
      <c r="F434" s="56"/>
      <c r="G434" s="56"/>
      <c r="H434" s="56"/>
      <c r="I434" s="56"/>
    </row>
    <row r="435" spans="1:9" x14ac:dyDescent="0.2">
      <c r="A435" s="56" t="str" cm="1">
        <f t="array" ref="A435">IFERROR(INDEX('Annex 2 Designated EHV charges'!$D$10:$D$401, MATCH(0, IF(ISBLANK('Annex 2 Designated EHV charges'!$D$10:$D$401),1, COUNTIF(A$4:$A434, 'Annex 2 Designated EHV charges'!$D$10:$D$401)), 0)),"")</f>
        <v/>
      </c>
      <c r="B435" s="56"/>
      <c r="E435" s="56"/>
      <c r="F435" s="56"/>
      <c r="G435" s="56"/>
      <c r="H435" s="56"/>
      <c r="I435" s="56"/>
    </row>
    <row r="436" spans="1:9" x14ac:dyDescent="0.2">
      <c r="A436" s="56" t="str" cm="1">
        <f t="array" ref="A436">IFERROR(INDEX('Annex 2 Designated EHV charges'!$D$10:$D$401, MATCH(0, IF(ISBLANK('Annex 2 Designated EHV charges'!$D$10:$D$401),1, COUNTIF(A$4:$A435, 'Annex 2 Designated EHV charges'!$D$10:$D$401)), 0)),"")</f>
        <v/>
      </c>
      <c r="B436" s="56"/>
      <c r="E436" s="56"/>
      <c r="F436" s="56"/>
      <c r="G436" s="56"/>
      <c r="H436" s="56"/>
      <c r="I436" s="56"/>
    </row>
    <row r="437" spans="1:9" x14ac:dyDescent="0.2">
      <c r="A437" s="56" t="str" cm="1">
        <f t="array" ref="A437">IFERROR(INDEX('Annex 2 Designated EHV charges'!$D$10:$D$401, MATCH(0, IF(ISBLANK('Annex 2 Designated EHV charges'!$D$10:$D$401),1, COUNTIF(A$4:$A436, 'Annex 2 Designated EHV charges'!$D$10:$D$401)), 0)),"")</f>
        <v/>
      </c>
      <c r="B437" s="56"/>
      <c r="E437" s="56"/>
      <c r="F437" s="56"/>
      <c r="G437" s="56"/>
      <c r="H437" s="56"/>
      <c r="I437" s="56"/>
    </row>
    <row r="438" spans="1:9" x14ac:dyDescent="0.2">
      <c r="A438" s="56" t="str" cm="1">
        <f t="array" ref="A438">IFERROR(INDEX('Annex 2 Designated EHV charges'!$D$10:$D$401, MATCH(0, IF(ISBLANK('Annex 2 Designated EHV charges'!$D$10:$D$401),1, COUNTIF(A$4:$A437, 'Annex 2 Designated EHV charges'!$D$10:$D$401)), 0)),"")</f>
        <v/>
      </c>
      <c r="B438" s="56"/>
      <c r="E438" s="56"/>
      <c r="F438" s="56"/>
      <c r="G438" s="56"/>
      <c r="H438" s="56"/>
      <c r="I438" s="56"/>
    </row>
    <row r="439" spans="1:9" x14ac:dyDescent="0.2">
      <c r="A439" s="56" t="str" cm="1">
        <f t="array" ref="A439">IFERROR(INDEX('Annex 2 Designated EHV charges'!$D$10:$D$401, MATCH(0, IF(ISBLANK('Annex 2 Designated EHV charges'!$D$10:$D$401),1, COUNTIF(A$4:$A438, 'Annex 2 Designated EHV charges'!$D$10:$D$401)), 0)),"")</f>
        <v/>
      </c>
      <c r="B439" s="56"/>
      <c r="E439" s="56"/>
      <c r="F439" s="56"/>
      <c r="G439" s="56"/>
      <c r="H439" s="56"/>
      <c r="I439" s="56"/>
    </row>
    <row r="440" spans="1:9" x14ac:dyDescent="0.2">
      <c r="A440" s="56" t="str" cm="1">
        <f t="array" ref="A440">IFERROR(INDEX('Annex 2 Designated EHV charges'!$D$10:$D$401, MATCH(0, IF(ISBLANK('Annex 2 Designated EHV charges'!$D$10:$D$401),1, COUNTIF(A$4:$A439, 'Annex 2 Designated EHV charges'!$D$10:$D$401)), 0)),"")</f>
        <v/>
      </c>
      <c r="B440" s="56"/>
      <c r="E440" s="56"/>
      <c r="F440" s="56"/>
      <c r="G440" s="56"/>
      <c r="H440" s="56"/>
      <c r="I440" s="56"/>
    </row>
    <row r="441" spans="1:9" x14ac:dyDescent="0.2">
      <c r="A441" s="56" t="str" cm="1">
        <f t="array" ref="A441">IFERROR(INDEX('Annex 2 Designated EHV charges'!$D$10:$D$401, MATCH(0, IF(ISBLANK('Annex 2 Designated EHV charges'!$D$10:$D$401),1, COUNTIF(A$4:$A440, 'Annex 2 Designated EHV charges'!$D$10:$D$401)), 0)),"")</f>
        <v/>
      </c>
      <c r="B441" s="56"/>
      <c r="E441" s="56"/>
      <c r="F441" s="56"/>
      <c r="G441" s="56"/>
      <c r="H441" s="56"/>
      <c r="I441" s="56"/>
    </row>
    <row r="442" spans="1:9" x14ac:dyDescent="0.2">
      <c r="A442" s="56" t="str" cm="1">
        <f t="array" ref="A442">IFERROR(INDEX('Annex 2 Designated EHV charges'!$D$10:$D$401, MATCH(0, IF(ISBLANK('Annex 2 Designated EHV charges'!$D$10:$D$401),1, COUNTIF(A$4:$A441, 'Annex 2 Designated EHV charges'!$D$10:$D$401)), 0)),"")</f>
        <v/>
      </c>
      <c r="B442" s="56"/>
      <c r="E442" s="56"/>
      <c r="F442" s="56"/>
      <c r="G442" s="56"/>
      <c r="H442" s="56"/>
      <c r="I442" s="56"/>
    </row>
    <row r="443" spans="1:9" x14ac:dyDescent="0.2">
      <c r="A443" s="56" t="str" cm="1">
        <f t="array" ref="A443">IFERROR(INDEX('Annex 2 Designated EHV charges'!$D$10:$D$401, MATCH(0, IF(ISBLANK('Annex 2 Designated EHV charges'!$D$10:$D$401),1, COUNTIF(A$4:$A442, 'Annex 2 Designated EHV charges'!$D$10:$D$401)), 0)),"")</f>
        <v/>
      </c>
      <c r="B443" s="56"/>
      <c r="E443" s="56"/>
      <c r="F443" s="56"/>
      <c r="G443" s="56"/>
      <c r="H443" s="56"/>
      <c r="I443" s="56"/>
    </row>
    <row r="444" spans="1:9" x14ac:dyDescent="0.2">
      <c r="A444" s="56" t="str" cm="1">
        <f t="array" ref="A444">IFERROR(INDEX('Annex 2 Designated EHV charges'!$D$10:$D$401, MATCH(0, IF(ISBLANK('Annex 2 Designated EHV charges'!$D$10:$D$401),1, COUNTIF(A$4:$A443, 'Annex 2 Designated EHV charges'!$D$10:$D$401)), 0)),"")</f>
        <v/>
      </c>
      <c r="B444" s="56"/>
      <c r="E444" s="56"/>
      <c r="F444" s="56"/>
      <c r="G444" s="56"/>
      <c r="H444" s="56"/>
      <c r="I444" s="56"/>
    </row>
    <row r="445" spans="1:9" x14ac:dyDescent="0.2">
      <c r="A445" s="56" t="str" cm="1">
        <f t="array" ref="A445">IFERROR(INDEX('Annex 2 Designated EHV charges'!$D$10:$D$401, MATCH(0, IF(ISBLANK('Annex 2 Designated EHV charges'!$D$10:$D$401),1, COUNTIF(A$4:$A444, 'Annex 2 Designated EHV charges'!$D$10:$D$401)), 0)),"")</f>
        <v/>
      </c>
      <c r="B445" s="56"/>
      <c r="E445" s="56"/>
      <c r="F445" s="56"/>
      <c r="G445" s="56"/>
      <c r="H445" s="56"/>
      <c r="I445" s="56"/>
    </row>
    <row r="446" spans="1:9" x14ac:dyDescent="0.2">
      <c r="A446" s="56" t="str" cm="1">
        <f t="array" ref="A446">IFERROR(INDEX('Annex 2 Designated EHV charges'!$D$10:$D$401, MATCH(0, IF(ISBLANK('Annex 2 Designated EHV charges'!$D$10:$D$401),1, COUNTIF(A$4:$A445, 'Annex 2 Designated EHV charges'!$D$10:$D$401)), 0)),"")</f>
        <v/>
      </c>
      <c r="B446" s="56"/>
      <c r="E446" s="56"/>
      <c r="F446" s="56"/>
      <c r="G446" s="56"/>
      <c r="H446" s="56"/>
      <c r="I446" s="56"/>
    </row>
    <row r="447" spans="1:9" x14ac:dyDescent="0.2">
      <c r="A447" s="56"/>
      <c r="B447" s="56"/>
      <c r="E447" s="56"/>
      <c r="F447" s="56"/>
      <c r="G447" s="56"/>
      <c r="H447" s="56"/>
      <c r="I447" s="56"/>
    </row>
    <row r="448" spans="1:9" x14ac:dyDescent="0.2">
      <c r="A448" s="56"/>
      <c r="B448" s="56"/>
      <c r="E448" s="56"/>
      <c r="F448" s="56"/>
      <c r="G448" s="56"/>
      <c r="H448" s="56"/>
      <c r="I448" s="56"/>
    </row>
    <row r="449" spans="1:9" x14ac:dyDescent="0.2">
      <c r="A449" s="56"/>
      <c r="B449" s="56"/>
      <c r="E449" s="56"/>
      <c r="F449" s="56"/>
      <c r="G449" s="56"/>
      <c r="H449" s="56"/>
      <c r="I449" s="56"/>
    </row>
    <row r="450" spans="1:9" x14ac:dyDescent="0.2">
      <c r="A450" s="56"/>
      <c r="B450" s="56"/>
      <c r="E450" s="56"/>
      <c r="F450" s="56"/>
      <c r="G450" s="56"/>
      <c r="H450" s="56"/>
      <c r="I450" s="56"/>
    </row>
    <row r="451" spans="1:9" x14ac:dyDescent="0.2">
      <c r="A451" s="56"/>
      <c r="B451" s="56"/>
      <c r="E451" s="56"/>
      <c r="F451" s="56"/>
      <c r="G451" s="56"/>
      <c r="H451" s="56"/>
      <c r="I451" s="56"/>
    </row>
    <row r="452" spans="1:9" x14ac:dyDescent="0.2">
      <c r="A452" s="56"/>
      <c r="B452" s="56"/>
      <c r="E452" s="56"/>
      <c r="F452" s="56"/>
      <c r="G452" s="56"/>
      <c r="H452" s="56"/>
      <c r="I452" s="56"/>
    </row>
    <row r="453" spans="1:9" x14ac:dyDescent="0.2">
      <c r="A453" s="56"/>
      <c r="B453" s="56"/>
      <c r="E453" s="56"/>
      <c r="F453" s="56"/>
      <c r="G453" s="56"/>
      <c r="H453" s="56"/>
      <c r="I453" s="56"/>
    </row>
    <row r="454" spans="1:9" x14ac:dyDescent="0.2">
      <c r="A454" s="56"/>
      <c r="B454" s="56"/>
      <c r="E454" s="56"/>
      <c r="F454" s="56"/>
      <c r="G454" s="56"/>
      <c r="H454" s="56"/>
      <c r="I454" s="56"/>
    </row>
    <row r="455" spans="1:9" x14ac:dyDescent="0.2">
      <c r="A455" s="56"/>
      <c r="B455" s="56"/>
      <c r="E455" s="56"/>
      <c r="F455" s="56"/>
      <c r="G455" s="56"/>
      <c r="H455" s="56"/>
      <c r="I455" s="56"/>
    </row>
    <row r="456" spans="1:9" x14ac:dyDescent="0.2">
      <c r="A456" s="56"/>
      <c r="B456" s="56"/>
      <c r="E456" s="56"/>
      <c r="F456" s="56"/>
      <c r="G456" s="56"/>
      <c r="H456" s="56"/>
      <c r="I456" s="56"/>
    </row>
    <row r="457" spans="1:9" x14ac:dyDescent="0.2">
      <c r="A457" s="56"/>
      <c r="B457" s="56"/>
      <c r="E457" s="56"/>
      <c r="F457" s="56"/>
      <c r="G457" s="56"/>
      <c r="H457" s="56"/>
      <c r="I457" s="56"/>
    </row>
    <row r="458" spans="1:9" x14ac:dyDescent="0.2">
      <c r="A458" s="56"/>
      <c r="B458" s="56"/>
      <c r="E458" s="56"/>
      <c r="F458" s="56"/>
      <c r="G458" s="56"/>
      <c r="H458" s="56"/>
      <c r="I458" s="56"/>
    </row>
  </sheetData>
  <mergeCells count="2">
    <mergeCell ref="A2:H2"/>
    <mergeCell ref="A1:H1"/>
  </mergeCells>
  <pageMargins left="0.70866141732283472" right="0.70866141732283472" top="0.94488188976377963" bottom="0.74803149606299213" header="0.31496062992125984" footer="0.31496062992125984"/>
  <pageSetup paperSize="9" scale="89" fitToHeight="0" orientation="landscape" r:id="rId1"/>
  <headerFooter differentFirst="1" scaleWithDoc="0">
    <oddFooter>&amp;L&amp;8Note: The list of MPANs / MSIDs provided may be incomplete; the DNO reserves the right to apply the listed charges to any other MPANs / MSIDs associated with the site.&amp;R&amp;P of &amp;N</oddFooter>
    <firstHeader>&amp;L
Annex 2b - Schedule of Export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pageSetUpPr fitToPage="1"/>
  </sheetPr>
  <dimension ref="A1:L17"/>
  <sheetViews>
    <sheetView showGridLines="0" zoomScale="80" zoomScaleNormal="80" zoomScaleSheetLayoutView="100" workbookViewId="0"/>
  </sheetViews>
  <sheetFormatPr defaultRowHeight="12.75" x14ac:dyDescent="0.2"/>
  <cols>
    <col min="1" max="1" width="27.42578125" customWidth="1"/>
    <col min="2" max="2" width="11" customWidth="1"/>
    <col min="4" max="10" width="16.5703125" customWidth="1"/>
  </cols>
  <sheetData>
    <row r="1" spans="1:12" s="1" customFormat="1" ht="27.75" customHeight="1" x14ac:dyDescent="0.2">
      <c r="A1" s="12" t="s">
        <v>16</v>
      </c>
      <c r="B1" s="2"/>
      <c r="D1" s="2"/>
      <c r="E1" s="2"/>
      <c r="F1" s="2"/>
      <c r="G1" s="9"/>
      <c r="H1" s="3"/>
      <c r="I1" s="3"/>
    </row>
    <row r="2" spans="1:12" s="1" customFormat="1" ht="27.75" customHeight="1" x14ac:dyDescent="0.2">
      <c r="A2" s="237" t="str">
        <f>Overview!B4&amp; " - Effective from "&amp;Overview!D4&amp;" - "&amp;Overview!E4&amp;" LV and HV tariffs"</f>
        <v>Eastern Power Networks - Effective from 1 April 2027 - Final LV and HV tariffs</v>
      </c>
      <c r="B2" s="237"/>
      <c r="C2" s="237"/>
      <c r="D2" s="237"/>
      <c r="E2" s="237"/>
      <c r="F2" s="237"/>
      <c r="G2" s="237"/>
      <c r="H2" s="237"/>
      <c r="I2" s="237"/>
      <c r="J2" s="237"/>
      <c r="K2" s="3"/>
      <c r="L2" s="3"/>
    </row>
    <row r="3" spans="1:12" s="1" customFormat="1" ht="9" customHeight="1" x14ac:dyDescent="0.2">
      <c r="A3" s="3"/>
      <c r="B3" s="3"/>
      <c r="C3" s="3"/>
      <c r="D3" s="3"/>
      <c r="E3" s="3"/>
      <c r="F3" s="3"/>
      <c r="G3" s="3"/>
      <c r="H3" s="3"/>
      <c r="I3" s="3"/>
      <c r="J3" s="3"/>
      <c r="K3" s="3"/>
      <c r="L3" s="3"/>
    </row>
    <row r="4" spans="1:12" s="1" customFormat="1" ht="27" customHeight="1" x14ac:dyDescent="0.2">
      <c r="A4" s="270" t="s">
        <v>646</v>
      </c>
      <c r="B4" s="270"/>
      <c r="C4" s="270"/>
      <c r="D4" s="270"/>
      <c r="E4" s="270"/>
      <c r="F4" s="270"/>
      <c r="G4" s="270"/>
      <c r="H4" s="270"/>
      <c r="I4" s="270"/>
      <c r="J4" s="270"/>
      <c r="K4" s="3"/>
      <c r="L4" s="3"/>
    </row>
    <row r="5" spans="1:12" s="1" customFormat="1" ht="71.25" customHeight="1" x14ac:dyDescent="0.2">
      <c r="A5" s="14"/>
      <c r="B5" s="26" t="s">
        <v>645</v>
      </c>
      <c r="C5" s="13" t="s">
        <v>20</v>
      </c>
      <c r="D5" s="50" t="s">
        <v>140</v>
      </c>
      <c r="E5" s="50" t="s">
        <v>142</v>
      </c>
      <c r="F5" s="50" t="s">
        <v>141</v>
      </c>
      <c r="G5" s="13" t="s">
        <v>21</v>
      </c>
      <c r="H5" s="13"/>
      <c r="I5" s="13"/>
      <c r="J5" s="13"/>
      <c r="K5" s="3"/>
      <c r="L5" s="3"/>
    </row>
    <row r="6" spans="1:12" s="1" customFormat="1" ht="32.25" customHeight="1" x14ac:dyDescent="0.2">
      <c r="A6" s="15"/>
      <c r="B6" s="25"/>
      <c r="C6" s="16"/>
      <c r="D6" s="17"/>
      <c r="E6" s="17"/>
      <c r="F6" s="17"/>
      <c r="G6" s="18"/>
      <c r="H6" s="24"/>
      <c r="I6" s="24"/>
      <c r="J6" s="24"/>
      <c r="K6" s="3"/>
      <c r="L6" s="3"/>
    </row>
    <row r="7" spans="1:12" ht="12.75" customHeight="1" x14ac:dyDescent="0.2">
      <c r="A7" s="271" t="s">
        <v>1</v>
      </c>
      <c r="B7" s="258" t="s">
        <v>650</v>
      </c>
      <c r="C7" s="259"/>
      <c r="D7" s="259"/>
      <c r="E7" s="259"/>
      <c r="F7" s="259"/>
      <c r="G7" s="259"/>
      <c r="H7" s="259"/>
      <c r="I7" s="259"/>
      <c r="J7" s="267"/>
    </row>
    <row r="8" spans="1:12" x14ac:dyDescent="0.2">
      <c r="A8" s="271"/>
      <c r="B8" s="261"/>
      <c r="C8" s="262"/>
      <c r="D8" s="262"/>
      <c r="E8" s="262"/>
      <c r="F8" s="262"/>
      <c r="G8" s="262"/>
      <c r="H8" s="262"/>
      <c r="I8" s="262"/>
      <c r="J8" s="268"/>
    </row>
    <row r="9" spans="1:12" x14ac:dyDescent="0.2">
      <c r="A9" s="271"/>
      <c r="B9" s="264"/>
      <c r="C9" s="265"/>
      <c r="D9" s="265"/>
      <c r="E9" s="265"/>
      <c r="F9" s="265"/>
      <c r="G9" s="265"/>
      <c r="H9" s="265"/>
      <c r="I9" s="265"/>
      <c r="J9" s="269"/>
    </row>
    <row r="10" spans="1:12" ht="9" customHeight="1" x14ac:dyDescent="0.2">
      <c r="A10" s="45"/>
      <c r="B10" s="45"/>
      <c r="C10" s="45"/>
      <c r="D10" s="45"/>
      <c r="E10" s="45"/>
      <c r="F10" s="45"/>
      <c r="G10" s="45"/>
      <c r="H10" s="45"/>
      <c r="I10" s="45"/>
      <c r="J10" s="45"/>
    </row>
    <row r="11" spans="1:12" ht="9" customHeight="1" x14ac:dyDescent="0.2">
      <c r="A11" s="45"/>
      <c r="B11" s="45"/>
      <c r="C11" s="45"/>
      <c r="D11" s="45"/>
      <c r="E11" s="45"/>
      <c r="F11" s="45"/>
      <c r="G11" s="45"/>
      <c r="H11" s="45"/>
      <c r="I11" s="45"/>
      <c r="J11" s="45"/>
    </row>
    <row r="12" spans="1:12" s="1" customFormat="1" ht="27" customHeight="1" x14ac:dyDescent="0.2">
      <c r="A12" s="270" t="s">
        <v>647</v>
      </c>
      <c r="B12" s="270"/>
      <c r="C12" s="270"/>
      <c r="D12" s="270"/>
      <c r="E12" s="270"/>
      <c r="F12" s="270"/>
      <c r="G12" s="270"/>
      <c r="H12" s="270"/>
      <c r="I12" s="270"/>
      <c r="J12" s="270"/>
      <c r="K12" s="3"/>
      <c r="L12" s="3"/>
    </row>
    <row r="13" spans="1:12" s="1" customFormat="1" ht="58.5" customHeight="1" x14ac:dyDescent="0.2">
      <c r="A13" s="14"/>
      <c r="B13" s="26" t="s">
        <v>645</v>
      </c>
      <c r="C13" s="13" t="s">
        <v>20</v>
      </c>
      <c r="D13" s="50" t="s">
        <v>140</v>
      </c>
      <c r="E13" s="50" t="s">
        <v>142</v>
      </c>
      <c r="F13" s="50" t="s">
        <v>141</v>
      </c>
      <c r="G13" s="13" t="s">
        <v>21</v>
      </c>
      <c r="H13" s="13" t="s">
        <v>22</v>
      </c>
      <c r="I13" s="26" t="s">
        <v>116</v>
      </c>
      <c r="J13" s="13" t="s">
        <v>28</v>
      </c>
      <c r="K13" s="3"/>
      <c r="L13" s="3"/>
    </row>
    <row r="14" spans="1:12" s="1" customFormat="1" ht="32.25" customHeight="1" x14ac:dyDescent="0.2">
      <c r="A14" s="15"/>
      <c r="B14" s="25"/>
      <c r="C14" s="16"/>
      <c r="D14" s="17"/>
      <c r="E14" s="17"/>
      <c r="F14" s="17"/>
      <c r="G14" s="18"/>
      <c r="H14" s="18"/>
      <c r="I14" s="18"/>
      <c r="J14" s="17"/>
      <c r="K14" s="3"/>
      <c r="L14" s="3"/>
    </row>
    <row r="15" spans="1:12" x14ac:dyDescent="0.2">
      <c r="A15" s="271" t="s">
        <v>1</v>
      </c>
      <c r="B15" s="258" t="s">
        <v>651</v>
      </c>
      <c r="C15" s="259"/>
      <c r="D15" s="259"/>
      <c r="E15" s="259"/>
      <c r="F15" s="259"/>
      <c r="G15" s="259"/>
      <c r="H15" s="259"/>
      <c r="I15" s="259"/>
      <c r="J15" s="260"/>
    </row>
    <row r="16" spans="1:12" x14ac:dyDescent="0.2">
      <c r="A16" s="271"/>
      <c r="B16" s="261"/>
      <c r="C16" s="262"/>
      <c r="D16" s="262"/>
      <c r="E16" s="262"/>
      <c r="F16" s="262"/>
      <c r="G16" s="262"/>
      <c r="H16" s="262"/>
      <c r="I16" s="262"/>
      <c r="J16" s="263"/>
    </row>
    <row r="17" spans="1:10" x14ac:dyDescent="0.2">
      <c r="A17" s="271"/>
      <c r="B17" s="264"/>
      <c r="C17" s="265"/>
      <c r="D17" s="265"/>
      <c r="E17" s="265"/>
      <c r="F17" s="265"/>
      <c r="G17" s="265"/>
      <c r="H17" s="265"/>
      <c r="I17" s="265"/>
      <c r="J17" s="266"/>
    </row>
  </sheetData>
  <customSheetViews>
    <customSheetView guid="{5032A364-B81A-48DA-88DA-AB3B86B47EE9}" scale="80" fitToPage="1">
      <selection activeCell="A2" sqref="A2:J2"/>
      <pageMargins left="0.70866141732283472" right="0.70866141732283472" top="1.0236220472440944" bottom="0.74803149606299213" header="0.31496062992125984" footer="0.31496062992125984"/>
      <pageSetup paperSize="9" scale="57" fitToHeight="0" orientation="portrait" r:id="rId1"/>
      <headerFooter scaleWithDoc="0">
        <oddHeader>&amp;L
&amp;"Arial,Bold"Annex 3&amp;"Arial,Regular" - Schedule of Chargesfor use of the Distribution System to Preserved/Additional LLFC Classes</oddHeader>
        <oddFooter>&amp;C&amp;P of &amp;N</oddFooter>
      </headerFooter>
    </customSheetView>
  </customSheetViews>
  <mergeCells count="7">
    <mergeCell ref="B15:J17"/>
    <mergeCell ref="B7:J9"/>
    <mergeCell ref="A2:J2"/>
    <mergeCell ref="A4:J4"/>
    <mergeCell ref="A7:A9"/>
    <mergeCell ref="A12:J12"/>
    <mergeCell ref="A15:A17"/>
  </mergeCells>
  <phoneticPr fontId="10" type="noConversion"/>
  <hyperlinks>
    <hyperlink ref="A1" location="Overview!A1" display="Back to Overview" xr:uid="{00000000-0004-0000-0500-000000000000}"/>
  </hyperlinks>
  <pageMargins left="0.70866141732283472" right="0.70866141732283472" top="1.0236220472440944" bottom="0.74803149606299213" header="0.31496062992125984" footer="0.31496062992125984"/>
  <pageSetup paperSize="9" scale="54" fitToHeight="0" orientation="portrait" r:id="rId2"/>
  <headerFooter scaleWithDoc="0">
    <oddHeader>&amp;L
Annex 3 - Schedule of Charges for use of the Distribution System to Preserved/Additional LLFC Classes</oddHeader>
    <oddFooter>&amp;C&amp;P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
    <pageSetUpPr fitToPage="1"/>
  </sheetPr>
  <dimension ref="A1:M201"/>
  <sheetViews>
    <sheetView zoomScale="80" zoomScaleNormal="80" zoomScaleSheetLayoutView="85" workbookViewId="0"/>
  </sheetViews>
  <sheetFormatPr defaultColWidth="9.140625" defaultRowHeight="27.75" customHeight="1" x14ac:dyDescent="0.2"/>
  <cols>
    <col min="1" max="1" width="58" style="1" bestFit="1" customWidth="1"/>
    <col min="2" max="2" width="17.7109375" style="2" customWidth="1"/>
    <col min="3" max="4" width="17.7109375" style="1" customWidth="1"/>
    <col min="5" max="7" width="17.7109375" style="2" customWidth="1"/>
    <col min="8" max="9" width="17.7109375" style="8" customWidth="1"/>
    <col min="10" max="10" width="17.7109375" style="3" customWidth="1"/>
    <col min="11" max="11" width="15.5703125" style="3" customWidth="1"/>
    <col min="12" max="17" width="15.5703125" style="1" customWidth="1"/>
    <col min="18" max="16384" width="9.140625" style="1"/>
  </cols>
  <sheetData>
    <row r="1" spans="1:13" ht="27.75" customHeight="1" x14ac:dyDescent="0.2">
      <c r="A1" s="12" t="s">
        <v>16</v>
      </c>
      <c r="B1" s="3"/>
      <c r="C1" s="3"/>
      <c r="D1" s="3"/>
      <c r="E1" s="3"/>
      <c r="F1" s="3"/>
      <c r="G1" s="3"/>
      <c r="H1" s="3"/>
      <c r="I1" s="3"/>
      <c r="J1" s="1"/>
      <c r="K1" s="1"/>
    </row>
    <row r="2" spans="1:13" ht="27.75" customHeight="1" x14ac:dyDescent="0.2">
      <c r="A2" s="272" t="str">
        <f>Overview!B4&amp; " - Effective from "&amp;Overview!D4&amp;" - "&amp;Overview!E4&amp;" LDNO tariffs"</f>
        <v>Eastern Power Networks - Effective from 1 April 2027 - Final LDNO tariffs</v>
      </c>
      <c r="B2" s="272"/>
      <c r="C2" s="272"/>
      <c r="D2" s="272"/>
      <c r="E2" s="272"/>
      <c r="F2" s="272"/>
      <c r="G2" s="272"/>
      <c r="H2" s="272"/>
      <c r="I2" s="272"/>
      <c r="J2" s="272"/>
    </row>
    <row r="3" spans="1:13" ht="8.25" customHeight="1" x14ac:dyDescent="0.2">
      <c r="A3" s="83"/>
      <c r="B3" s="83"/>
      <c r="C3" s="83"/>
      <c r="D3" s="83"/>
      <c r="E3" s="83"/>
      <c r="F3" s="83"/>
      <c r="G3" s="83"/>
      <c r="H3" s="83"/>
      <c r="I3" s="83"/>
      <c r="J3" s="83"/>
    </row>
    <row r="4" spans="1:13" ht="27" customHeight="1" x14ac:dyDescent="0.2">
      <c r="A4" s="237" t="s">
        <v>138</v>
      </c>
      <c r="B4" s="237"/>
      <c r="C4" s="237"/>
      <c r="D4" s="237"/>
      <c r="E4" s="85"/>
      <c r="F4" s="237" t="s">
        <v>139</v>
      </c>
      <c r="G4" s="237"/>
      <c r="H4" s="237"/>
      <c r="I4" s="237"/>
      <c r="J4" s="237"/>
      <c r="L4" s="3"/>
    </row>
    <row r="5" spans="1:13" ht="32.25" customHeight="1" x14ac:dyDescent="0.2">
      <c r="A5" s="72" t="s">
        <v>9</v>
      </c>
      <c r="B5" s="77" t="s">
        <v>51</v>
      </c>
      <c r="C5" s="90" t="s">
        <v>52</v>
      </c>
      <c r="D5" s="74" t="s">
        <v>53</v>
      </c>
      <c r="E5" s="81"/>
      <c r="F5" s="241"/>
      <c r="G5" s="242"/>
      <c r="H5" s="78" t="s">
        <v>57</v>
      </c>
      <c r="I5" s="79" t="s">
        <v>58</v>
      </c>
      <c r="J5" s="74" t="s">
        <v>53</v>
      </c>
      <c r="K5" s="81"/>
      <c r="L5" s="3"/>
      <c r="M5" s="3"/>
    </row>
    <row r="6" spans="1:13" ht="56.25" customHeight="1" x14ac:dyDescent="0.2">
      <c r="A6" s="191" t="s">
        <v>54</v>
      </c>
      <c r="B6" s="80" t="s">
        <v>612</v>
      </c>
      <c r="C6" s="80" t="s">
        <v>613</v>
      </c>
      <c r="D6" s="180" t="s">
        <v>614</v>
      </c>
      <c r="E6" s="81"/>
      <c r="F6" s="245" t="s">
        <v>55</v>
      </c>
      <c r="G6" s="246"/>
      <c r="H6" s="80" t="s">
        <v>612</v>
      </c>
      <c r="I6" s="80" t="s">
        <v>613</v>
      </c>
      <c r="J6" s="180" t="s">
        <v>614</v>
      </c>
      <c r="K6" s="81"/>
      <c r="L6" s="3"/>
      <c r="M6" s="3"/>
    </row>
    <row r="7" spans="1:13" ht="56.25" customHeight="1" x14ac:dyDescent="0.2">
      <c r="A7" s="191" t="s">
        <v>12</v>
      </c>
      <c r="B7" s="20"/>
      <c r="C7" s="181"/>
      <c r="D7" s="80" t="s">
        <v>615</v>
      </c>
      <c r="E7" s="81"/>
      <c r="F7" s="245" t="s">
        <v>617</v>
      </c>
      <c r="G7" s="246"/>
      <c r="H7" s="20"/>
      <c r="I7" s="80" t="s">
        <v>616</v>
      </c>
      <c r="J7" s="180" t="s">
        <v>614</v>
      </c>
      <c r="K7" s="81"/>
      <c r="L7" s="3"/>
      <c r="M7" s="3"/>
    </row>
    <row r="8" spans="1:13" ht="55.5" customHeight="1" x14ac:dyDescent="0.2">
      <c r="A8" s="184" t="s">
        <v>10</v>
      </c>
      <c r="B8" s="233" t="s">
        <v>11</v>
      </c>
      <c r="C8" s="234"/>
      <c r="D8" s="235"/>
      <c r="E8" s="81"/>
      <c r="F8" s="245" t="s">
        <v>12</v>
      </c>
      <c r="G8" s="246"/>
      <c r="H8" s="20"/>
      <c r="I8" s="20"/>
      <c r="J8" s="80" t="s">
        <v>615</v>
      </c>
      <c r="K8" s="81"/>
      <c r="L8" s="3"/>
      <c r="M8" s="3"/>
    </row>
    <row r="9" spans="1:13" s="73" customFormat="1" ht="30" customHeight="1" x14ac:dyDescent="0.2">
      <c r="E9" s="84"/>
      <c r="F9" s="243" t="s">
        <v>10</v>
      </c>
      <c r="G9" s="243"/>
      <c r="H9" s="233" t="s">
        <v>11</v>
      </c>
      <c r="I9" s="234"/>
      <c r="J9" s="235"/>
      <c r="K9" s="81"/>
      <c r="L9" s="45"/>
      <c r="M9" s="45"/>
    </row>
    <row r="11" spans="1:13" ht="49.5" customHeight="1" x14ac:dyDescent="0.2">
      <c r="A11" s="26" t="s">
        <v>115</v>
      </c>
      <c r="B11" s="26" t="s">
        <v>397</v>
      </c>
      <c r="C11" s="13" t="s">
        <v>20</v>
      </c>
      <c r="D11" s="50" t="s">
        <v>140</v>
      </c>
      <c r="E11" s="50" t="s">
        <v>142</v>
      </c>
      <c r="F11" s="50" t="s">
        <v>141</v>
      </c>
      <c r="G11" s="13" t="s">
        <v>21</v>
      </c>
      <c r="H11" s="13" t="s">
        <v>22</v>
      </c>
      <c r="I11" s="13" t="s">
        <v>116</v>
      </c>
      <c r="J11" s="13" t="s">
        <v>28</v>
      </c>
    </row>
    <row r="12" spans="1:13" ht="27.75" customHeight="1" x14ac:dyDescent="0.2">
      <c r="A12" s="161" t="s">
        <v>535</v>
      </c>
      <c r="B12" s="25" t="s">
        <v>730</v>
      </c>
      <c r="C12" s="162" t="s">
        <v>662</v>
      </c>
      <c r="D12" s="133">
        <v>9.69</v>
      </c>
      <c r="E12" s="134">
        <v>1.5880000000000001</v>
      </c>
      <c r="F12" s="135">
        <v>0.214</v>
      </c>
      <c r="G12" s="163">
        <v>7.57</v>
      </c>
      <c r="H12" s="164"/>
      <c r="I12" s="166"/>
      <c r="J12" s="38"/>
    </row>
    <row r="13" spans="1:13" ht="27.75" customHeight="1" x14ac:dyDescent="0.2">
      <c r="A13" s="161" t="s">
        <v>677</v>
      </c>
      <c r="B13" s="25" t="s">
        <v>731</v>
      </c>
      <c r="C13" s="162">
        <v>2</v>
      </c>
      <c r="D13" s="133">
        <v>9.69</v>
      </c>
      <c r="E13" s="134">
        <v>1.5880000000000001</v>
      </c>
      <c r="F13" s="135">
        <v>0.214</v>
      </c>
      <c r="G13" s="164"/>
      <c r="H13" s="164"/>
      <c r="I13" s="166"/>
      <c r="J13" s="38"/>
    </row>
    <row r="14" spans="1:13" ht="27.75" customHeight="1" x14ac:dyDescent="0.2">
      <c r="A14" s="161" t="s">
        <v>536</v>
      </c>
      <c r="B14" s="25" t="s">
        <v>732</v>
      </c>
      <c r="C14" s="162" t="s">
        <v>664</v>
      </c>
      <c r="D14" s="133">
        <v>7.4809999999999999</v>
      </c>
      <c r="E14" s="134">
        <v>1.226</v>
      </c>
      <c r="F14" s="135">
        <v>0.16500000000000001</v>
      </c>
      <c r="G14" s="163">
        <v>6.68</v>
      </c>
      <c r="H14" s="164"/>
      <c r="I14" s="166"/>
      <c r="J14" s="38"/>
    </row>
    <row r="15" spans="1:13" ht="27.75" customHeight="1" x14ac:dyDescent="0.2">
      <c r="A15" s="161" t="s">
        <v>537</v>
      </c>
      <c r="B15" s="25" t="s">
        <v>733</v>
      </c>
      <c r="C15" s="162" t="s">
        <v>664</v>
      </c>
      <c r="D15" s="133">
        <v>7.4809999999999999</v>
      </c>
      <c r="E15" s="134">
        <v>1.226</v>
      </c>
      <c r="F15" s="135">
        <v>0.16500000000000001</v>
      </c>
      <c r="G15" s="163">
        <v>7.94</v>
      </c>
      <c r="H15" s="164"/>
      <c r="I15" s="166"/>
      <c r="J15" s="38"/>
    </row>
    <row r="16" spans="1:13" ht="27.75" customHeight="1" x14ac:dyDescent="0.2">
      <c r="A16" s="161" t="s">
        <v>538</v>
      </c>
      <c r="B16" s="25" t="s">
        <v>734</v>
      </c>
      <c r="C16" s="162" t="s">
        <v>664</v>
      </c>
      <c r="D16" s="133">
        <v>7.4809999999999999</v>
      </c>
      <c r="E16" s="134">
        <v>1.226</v>
      </c>
      <c r="F16" s="135">
        <v>0.16500000000000001</v>
      </c>
      <c r="G16" s="163">
        <v>10.07</v>
      </c>
      <c r="H16" s="164"/>
      <c r="I16" s="166"/>
      <c r="J16" s="38"/>
    </row>
    <row r="17" spans="1:10" ht="27.75" customHeight="1" x14ac:dyDescent="0.2">
      <c r="A17" s="161" t="s">
        <v>539</v>
      </c>
      <c r="B17" s="25" t="s">
        <v>735</v>
      </c>
      <c r="C17" s="162" t="s">
        <v>664</v>
      </c>
      <c r="D17" s="133">
        <v>7.4809999999999999</v>
      </c>
      <c r="E17" s="134">
        <v>1.226</v>
      </c>
      <c r="F17" s="135">
        <v>0.16500000000000001</v>
      </c>
      <c r="G17" s="163">
        <v>13.44</v>
      </c>
      <c r="H17" s="164"/>
      <c r="I17" s="166"/>
      <c r="J17" s="38"/>
    </row>
    <row r="18" spans="1:10" ht="27.75" customHeight="1" x14ac:dyDescent="0.2">
      <c r="A18" s="161" t="s">
        <v>540</v>
      </c>
      <c r="B18" s="25" t="s">
        <v>736</v>
      </c>
      <c r="C18" s="162" t="s">
        <v>664</v>
      </c>
      <c r="D18" s="133">
        <v>7.4809999999999999</v>
      </c>
      <c r="E18" s="134">
        <v>1.226</v>
      </c>
      <c r="F18" s="135">
        <v>0.16500000000000001</v>
      </c>
      <c r="G18" s="163">
        <v>25.52</v>
      </c>
      <c r="H18" s="164"/>
      <c r="I18" s="166"/>
      <c r="J18" s="38"/>
    </row>
    <row r="19" spans="1:10" ht="27.75" customHeight="1" x14ac:dyDescent="0.2">
      <c r="A19" s="161" t="s">
        <v>678</v>
      </c>
      <c r="B19" s="25" t="s">
        <v>737</v>
      </c>
      <c r="C19" s="162">
        <v>4</v>
      </c>
      <c r="D19" s="133">
        <v>7.4809999999999999</v>
      </c>
      <c r="E19" s="134">
        <v>1.226</v>
      </c>
      <c r="F19" s="135">
        <v>0.16500000000000001</v>
      </c>
      <c r="G19" s="164"/>
      <c r="H19" s="164"/>
      <c r="I19" s="166"/>
      <c r="J19" s="38"/>
    </row>
    <row r="20" spans="1:10" ht="27.75" customHeight="1" x14ac:dyDescent="0.2">
      <c r="A20" s="161" t="s">
        <v>417</v>
      </c>
      <c r="B20" s="25" t="s">
        <v>738</v>
      </c>
      <c r="C20" s="162">
        <v>0</v>
      </c>
      <c r="D20" s="133">
        <v>5.4779999999999998</v>
      </c>
      <c r="E20" s="134">
        <v>0.85399999999999998</v>
      </c>
      <c r="F20" s="135">
        <v>0.108</v>
      </c>
      <c r="G20" s="163">
        <v>15.98</v>
      </c>
      <c r="H20" s="163">
        <v>5.64</v>
      </c>
      <c r="I20" s="167">
        <v>5.64</v>
      </c>
      <c r="J20" s="37">
        <v>0.27400000000000002</v>
      </c>
    </row>
    <row r="21" spans="1:10" ht="27.75" customHeight="1" x14ac:dyDescent="0.2">
      <c r="A21" s="161" t="s">
        <v>418</v>
      </c>
      <c r="B21" s="25" t="s">
        <v>739</v>
      </c>
      <c r="C21" s="162">
        <v>0</v>
      </c>
      <c r="D21" s="133">
        <v>5.4779999999999998</v>
      </c>
      <c r="E21" s="134">
        <v>0.85399999999999998</v>
      </c>
      <c r="F21" s="135">
        <v>0.108</v>
      </c>
      <c r="G21" s="163">
        <v>55.87</v>
      </c>
      <c r="H21" s="163">
        <v>5.64</v>
      </c>
      <c r="I21" s="167">
        <v>5.64</v>
      </c>
      <c r="J21" s="37">
        <v>0.27400000000000002</v>
      </c>
    </row>
    <row r="22" spans="1:10" ht="27.75" customHeight="1" x14ac:dyDescent="0.2">
      <c r="A22" s="161" t="s">
        <v>419</v>
      </c>
      <c r="B22" s="25" t="s">
        <v>740</v>
      </c>
      <c r="C22" s="162">
        <v>0</v>
      </c>
      <c r="D22" s="133">
        <v>5.4779999999999998</v>
      </c>
      <c r="E22" s="134">
        <v>0.85399999999999998</v>
      </c>
      <c r="F22" s="135">
        <v>0.108</v>
      </c>
      <c r="G22" s="163">
        <v>79.069999999999993</v>
      </c>
      <c r="H22" s="163">
        <v>5.64</v>
      </c>
      <c r="I22" s="167">
        <v>5.64</v>
      </c>
      <c r="J22" s="37">
        <v>0.27400000000000002</v>
      </c>
    </row>
    <row r="23" spans="1:10" ht="27.75" customHeight="1" x14ac:dyDescent="0.2">
      <c r="A23" s="161" t="s">
        <v>420</v>
      </c>
      <c r="B23" s="25" t="s">
        <v>741</v>
      </c>
      <c r="C23" s="162">
        <v>0</v>
      </c>
      <c r="D23" s="133">
        <v>5.4779999999999998</v>
      </c>
      <c r="E23" s="134">
        <v>0.85399999999999998</v>
      </c>
      <c r="F23" s="135">
        <v>0.108</v>
      </c>
      <c r="G23" s="163">
        <v>111.45</v>
      </c>
      <c r="H23" s="163">
        <v>5.64</v>
      </c>
      <c r="I23" s="167">
        <v>5.64</v>
      </c>
      <c r="J23" s="37">
        <v>0.27400000000000002</v>
      </c>
    </row>
    <row r="24" spans="1:10" ht="27.75" customHeight="1" x14ac:dyDescent="0.2">
      <c r="A24" s="161" t="s">
        <v>421</v>
      </c>
      <c r="B24" s="25" t="s">
        <v>742</v>
      </c>
      <c r="C24" s="162">
        <v>0</v>
      </c>
      <c r="D24" s="133">
        <v>5.4779999999999998</v>
      </c>
      <c r="E24" s="134">
        <v>0.85399999999999998</v>
      </c>
      <c r="F24" s="135">
        <v>0.108</v>
      </c>
      <c r="G24" s="163">
        <v>237.71</v>
      </c>
      <c r="H24" s="163">
        <v>5.64</v>
      </c>
      <c r="I24" s="167">
        <v>5.64</v>
      </c>
      <c r="J24" s="37">
        <v>0.27400000000000002</v>
      </c>
    </row>
    <row r="25" spans="1:10" ht="27.75" customHeight="1" x14ac:dyDescent="0.2">
      <c r="A25" s="161" t="s">
        <v>679</v>
      </c>
      <c r="B25" s="25" t="s">
        <v>743</v>
      </c>
      <c r="C25" s="168" t="s">
        <v>670</v>
      </c>
      <c r="D25" s="136">
        <v>28.539000000000001</v>
      </c>
      <c r="E25" s="137">
        <v>2.94</v>
      </c>
      <c r="F25" s="135">
        <v>1.7050000000000001</v>
      </c>
      <c r="G25" s="164"/>
      <c r="H25" s="164"/>
      <c r="I25" s="166"/>
      <c r="J25" s="38"/>
    </row>
    <row r="26" spans="1:10" ht="27.75" customHeight="1" x14ac:dyDescent="0.2">
      <c r="A26" s="161" t="s">
        <v>680</v>
      </c>
      <c r="B26" s="25" t="s">
        <v>744</v>
      </c>
      <c r="C26" s="168" t="s">
        <v>672</v>
      </c>
      <c r="D26" s="133">
        <v>-8.76</v>
      </c>
      <c r="E26" s="134">
        <v>-1.4350000000000001</v>
      </c>
      <c r="F26" s="135">
        <v>-0.19400000000000001</v>
      </c>
      <c r="G26" s="163">
        <v>0</v>
      </c>
      <c r="H26" s="164"/>
      <c r="I26" s="166"/>
      <c r="J26" s="38"/>
    </row>
    <row r="27" spans="1:10" ht="27.75" customHeight="1" x14ac:dyDescent="0.2">
      <c r="A27" s="161" t="s">
        <v>681</v>
      </c>
      <c r="B27" s="25" t="s">
        <v>745</v>
      </c>
      <c r="C27" s="168">
        <v>0</v>
      </c>
      <c r="D27" s="133">
        <v>-8.76</v>
      </c>
      <c r="E27" s="134">
        <v>-1.4350000000000001</v>
      </c>
      <c r="F27" s="135">
        <v>-0.19400000000000001</v>
      </c>
      <c r="G27" s="163">
        <v>0</v>
      </c>
      <c r="H27" s="164"/>
      <c r="I27" s="166"/>
      <c r="J27" s="37">
        <v>0.5</v>
      </c>
    </row>
    <row r="28" spans="1:10" ht="27.75" customHeight="1" x14ac:dyDescent="0.2">
      <c r="A28" s="165" t="s">
        <v>541</v>
      </c>
      <c r="B28" s="25" t="s">
        <v>746</v>
      </c>
      <c r="C28" s="168" t="s">
        <v>662</v>
      </c>
      <c r="D28" s="133">
        <v>7.5190000000000001</v>
      </c>
      <c r="E28" s="134">
        <v>1.232</v>
      </c>
      <c r="F28" s="135">
        <v>0.16600000000000001</v>
      </c>
      <c r="G28" s="163">
        <v>5.87</v>
      </c>
      <c r="H28" s="164"/>
      <c r="I28" s="166"/>
      <c r="J28" s="38"/>
    </row>
    <row r="29" spans="1:10" ht="27.75" customHeight="1" x14ac:dyDescent="0.2">
      <c r="A29" s="165" t="s">
        <v>682</v>
      </c>
      <c r="B29" s="25" t="s">
        <v>747</v>
      </c>
      <c r="C29" s="168">
        <v>2</v>
      </c>
      <c r="D29" s="133">
        <v>7.5190000000000001</v>
      </c>
      <c r="E29" s="134">
        <v>1.232</v>
      </c>
      <c r="F29" s="135">
        <v>0.16600000000000001</v>
      </c>
      <c r="G29" s="164"/>
      <c r="H29" s="164"/>
      <c r="I29" s="166"/>
      <c r="J29" s="38"/>
    </row>
    <row r="30" spans="1:10" ht="27.75" customHeight="1" x14ac:dyDescent="0.2">
      <c r="A30" s="165" t="s">
        <v>542</v>
      </c>
      <c r="B30" s="25" t="s">
        <v>748</v>
      </c>
      <c r="C30" s="168" t="s">
        <v>664</v>
      </c>
      <c r="D30" s="133">
        <v>5.8049999999999997</v>
      </c>
      <c r="E30" s="134">
        <v>0.95099999999999996</v>
      </c>
      <c r="F30" s="135">
        <v>0.128</v>
      </c>
      <c r="G30" s="163">
        <v>5.18</v>
      </c>
      <c r="H30" s="164"/>
      <c r="I30" s="166"/>
      <c r="J30" s="38"/>
    </row>
    <row r="31" spans="1:10" ht="27.75" customHeight="1" x14ac:dyDescent="0.2">
      <c r="A31" s="165" t="s">
        <v>543</v>
      </c>
      <c r="B31" s="25" t="s">
        <v>749</v>
      </c>
      <c r="C31" s="168" t="s">
        <v>664</v>
      </c>
      <c r="D31" s="133">
        <v>5.8049999999999997</v>
      </c>
      <c r="E31" s="134">
        <v>0.95099999999999996</v>
      </c>
      <c r="F31" s="135">
        <v>0.128</v>
      </c>
      <c r="G31" s="163">
        <v>6.16</v>
      </c>
      <c r="H31" s="164"/>
      <c r="I31" s="166"/>
      <c r="J31" s="38"/>
    </row>
    <row r="32" spans="1:10" ht="27.75" customHeight="1" x14ac:dyDescent="0.2">
      <c r="A32" s="165" t="s">
        <v>544</v>
      </c>
      <c r="B32" s="25" t="s">
        <v>750</v>
      </c>
      <c r="C32" s="168" t="s">
        <v>664</v>
      </c>
      <c r="D32" s="133">
        <v>5.8049999999999997</v>
      </c>
      <c r="E32" s="134">
        <v>0.95099999999999996</v>
      </c>
      <c r="F32" s="135">
        <v>0.128</v>
      </c>
      <c r="G32" s="163">
        <v>7.81</v>
      </c>
      <c r="H32" s="164"/>
      <c r="I32" s="166"/>
      <c r="J32" s="38"/>
    </row>
    <row r="33" spans="1:10" ht="27.75" customHeight="1" x14ac:dyDescent="0.2">
      <c r="A33" s="165" t="s">
        <v>545</v>
      </c>
      <c r="B33" s="25" t="s">
        <v>751</v>
      </c>
      <c r="C33" s="168" t="s">
        <v>664</v>
      </c>
      <c r="D33" s="133">
        <v>5.8049999999999997</v>
      </c>
      <c r="E33" s="134">
        <v>0.95099999999999996</v>
      </c>
      <c r="F33" s="135">
        <v>0.128</v>
      </c>
      <c r="G33" s="163">
        <v>10.43</v>
      </c>
      <c r="H33" s="164"/>
      <c r="I33" s="166"/>
      <c r="J33" s="38"/>
    </row>
    <row r="34" spans="1:10" ht="27.75" customHeight="1" x14ac:dyDescent="0.2">
      <c r="A34" s="165" t="s">
        <v>546</v>
      </c>
      <c r="B34" s="25" t="s">
        <v>752</v>
      </c>
      <c r="C34" s="168" t="s">
        <v>664</v>
      </c>
      <c r="D34" s="133">
        <v>5.8049999999999997</v>
      </c>
      <c r="E34" s="134">
        <v>0.95099999999999996</v>
      </c>
      <c r="F34" s="135">
        <v>0.128</v>
      </c>
      <c r="G34" s="163">
        <v>19.809999999999999</v>
      </c>
      <c r="H34" s="164"/>
      <c r="I34" s="166"/>
      <c r="J34" s="38"/>
    </row>
    <row r="35" spans="1:10" ht="27.75" customHeight="1" x14ac:dyDescent="0.2">
      <c r="A35" s="165" t="s">
        <v>683</v>
      </c>
      <c r="B35" s="25" t="s">
        <v>753</v>
      </c>
      <c r="C35" s="168">
        <v>4</v>
      </c>
      <c r="D35" s="133">
        <v>5.8049999999999997</v>
      </c>
      <c r="E35" s="134">
        <v>0.95099999999999996</v>
      </c>
      <c r="F35" s="135">
        <v>0.128</v>
      </c>
      <c r="G35" s="164"/>
      <c r="H35" s="164"/>
      <c r="I35" s="166"/>
      <c r="J35" s="38"/>
    </row>
    <row r="36" spans="1:10" ht="27.75" customHeight="1" x14ac:dyDescent="0.2">
      <c r="A36" s="165" t="s">
        <v>422</v>
      </c>
      <c r="B36" s="25" t="s">
        <v>754</v>
      </c>
      <c r="C36" s="168">
        <v>0</v>
      </c>
      <c r="D36" s="133">
        <v>4.2510000000000003</v>
      </c>
      <c r="E36" s="134">
        <v>0.66300000000000003</v>
      </c>
      <c r="F36" s="135">
        <v>8.4000000000000005E-2</v>
      </c>
      <c r="G36" s="163">
        <v>12.4</v>
      </c>
      <c r="H36" s="163">
        <v>4.38</v>
      </c>
      <c r="I36" s="167">
        <v>4.38</v>
      </c>
      <c r="J36" s="37">
        <v>0.21299999999999999</v>
      </c>
    </row>
    <row r="37" spans="1:10" ht="27.75" customHeight="1" x14ac:dyDescent="0.2">
      <c r="A37" s="165" t="s">
        <v>423</v>
      </c>
      <c r="B37" s="25" t="s">
        <v>755</v>
      </c>
      <c r="C37" s="168">
        <v>0</v>
      </c>
      <c r="D37" s="133">
        <v>4.2510000000000003</v>
      </c>
      <c r="E37" s="134">
        <v>0.66300000000000003</v>
      </c>
      <c r="F37" s="135">
        <v>8.4000000000000005E-2</v>
      </c>
      <c r="G37" s="163">
        <v>43.35</v>
      </c>
      <c r="H37" s="163">
        <v>4.38</v>
      </c>
      <c r="I37" s="167">
        <v>4.38</v>
      </c>
      <c r="J37" s="37">
        <v>0.21299999999999999</v>
      </c>
    </row>
    <row r="38" spans="1:10" ht="27.75" customHeight="1" x14ac:dyDescent="0.2">
      <c r="A38" s="165" t="s">
        <v>424</v>
      </c>
      <c r="B38" s="25" t="s">
        <v>756</v>
      </c>
      <c r="C38" s="168">
        <v>0</v>
      </c>
      <c r="D38" s="133">
        <v>4.2510000000000003</v>
      </c>
      <c r="E38" s="134">
        <v>0.66300000000000003</v>
      </c>
      <c r="F38" s="135">
        <v>8.4000000000000005E-2</v>
      </c>
      <c r="G38" s="163">
        <v>61.35</v>
      </c>
      <c r="H38" s="163">
        <v>4.38</v>
      </c>
      <c r="I38" s="167">
        <v>4.38</v>
      </c>
      <c r="J38" s="37">
        <v>0.21299999999999999</v>
      </c>
    </row>
    <row r="39" spans="1:10" ht="27.75" customHeight="1" x14ac:dyDescent="0.2">
      <c r="A39" s="165" t="s">
        <v>425</v>
      </c>
      <c r="B39" s="25" t="s">
        <v>757</v>
      </c>
      <c r="C39" s="168">
        <v>0</v>
      </c>
      <c r="D39" s="133">
        <v>4.2510000000000003</v>
      </c>
      <c r="E39" s="134">
        <v>0.66300000000000003</v>
      </c>
      <c r="F39" s="135">
        <v>8.4000000000000005E-2</v>
      </c>
      <c r="G39" s="163">
        <v>86.48</v>
      </c>
      <c r="H39" s="163">
        <v>4.38</v>
      </c>
      <c r="I39" s="167">
        <v>4.38</v>
      </c>
      <c r="J39" s="37">
        <v>0.21299999999999999</v>
      </c>
    </row>
    <row r="40" spans="1:10" ht="27.75" customHeight="1" x14ac:dyDescent="0.2">
      <c r="A40" s="165" t="s">
        <v>426</v>
      </c>
      <c r="B40" s="25" t="s">
        <v>758</v>
      </c>
      <c r="C40" s="168">
        <v>0</v>
      </c>
      <c r="D40" s="133">
        <v>4.2510000000000003</v>
      </c>
      <c r="E40" s="134">
        <v>0.66300000000000003</v>
      </c>
      <c r="F40" s="135">
        <v>8.4000000000000005E-2</v>
      </c>
      <c r="G40" s="163">
        <v>184.45</v>
      </c>
      <c r="H40" s="163">
        <v>4.38</v>
      </c>
      <c r="I40" s="167">
        <v>4.38</v>
      </c>
      <c r="J40" s="37">
        <v>0.21299999999999999</v>
      </c>
    </row>
    <row r="41" spans="1:10" ht="27.75" customHeight="1" x14ac:dyDescent="0.2">
      <c r="A41" s="165" t="s">
        <v>427</v>
      </c>
      <c r="B41" s="25" t="s">
        <v>759</v>
      </c>
      <c r="C41" s="168">
        <v>0</v>
      </c>
      <c r="D41" s="133">
        <v>4.2720000000000002</v>
      </c>
      <c r="E41" s="134">
        <v>0.61199999999999999</v>
      </c>
      <c r="F41" s="135">
        <v>6.8000000000000005E-2</v>
      </c>
      <c r="G41" s="163">
        <v>16.48</v>
      </c>
      <c r="H41" s="163">
        <v>5.0199999999999996</v>
      </c>
      <c r="I41" s="167">
        <v>5.0199999999999996</v>
      </c>
      <c r="J41" s="37">
        <v>0.19700000000000001</v>
      </c>
    </row>
    <row r="42" spans="1:10" ht="27.75" customHeight="1" x14ac:dyDescent="0.2">
      <c r="A42" s="165" t="s">
        <v>428</v>
      </c>
      <c r="B42" s="25" t="s">
        <v>760</v>
      </c>
      <c r="C42" s="168">
        <v>0</v>
      </c>
      <c r="D42" s="133">
        <v>4.2720000000000002</v>
      </c>
      <c r="E42" s="134">
        <v>0.61199999999999999</v>
      </c>
      <c r="F42" s="135">
        <v>6.8000000000000005E-2</v>
      </c>
      <c r="G42" s="163">
        <v>65.36</v>
      </c>
      <c r="H42" s="163">
        <v>5.0199999999999996</v>
      </c>
      <c r="I42" s="167">
        <v>5.0199999999999996</v>
      </c>
      <c r="J42" s="37">
        <v>0.19700000000000001</v>
      </c>
    </row>
    <row r="43" spans="1:10" ht="27.75" customHeight="1" x14ac:dyDescent="0.2">
      <c r="A43" s="165" t="s">
        <v>429</v>
      </c>
      <c r="B43" s="25" t="s">
        <v>761</v>
      </c>
      <c r="C43" s="168">
        <v>0</v>
      </c>
      <c r="D43" s="133">
        <v>4.2720000000000002</v>
      </c>
      <c r="E43" s="134">
        <v>0.61199999999999999</v>
      </c>
      <c r="F43" s="135">
        <v>6.8000000000000005E-2</v>
      </c>
      <c r="G43" s="163">
        <v>93.79</v>
      </c>
      <c r="H43" s="163">
        <v>5.0199999999999996</v>
      </c>
      <c r="I43" s="167">
        <v>5.0199999999999996</v>
      </c>
      <c r="J43" s="37">
        <v>0.19700000000000001</v>
      </c>
    </row>
    <row r="44" spans="1:10" ht="27.75" customHeight="1" x14ac:dyDescent="0.2">
      <c r="A44" s="165" t="s">
        <v>430</v>
      </c>
      <c r="B44" s="25" t="s">
        <v>762</v>
      </c>
      <c r="C44" s="168">
        <v>0</v>
      </c>
      <c r="D44" s="133">
        <v>4.2720000000000002</v>
      </c>
      <c r="E44" s="134">
        <v>0.61199999999999999</v>
      </c>
      <c r="F44" s="135">
        <v>6.8000000000000005E-2</v>
      </c>
      <c r="G44" s="163">
        <v>133.47999999999999</v>
      </c>
      <c r="H44" s="163">
        <v>5.0199999999999996</v>
      </c>
      <c r="I44" s="167">
        <v>5.0199999999999996</v>
      </c>
      <c r="J44" s="37">
        <v>0.19700000000000001</v>
      </c>
    </row>
    <row r="45" spans="1:10" ht="27.75" customHeight="1" x14ac:dyDescent="0.2">
      <c r="A45" s="165" t="s">
        <v>431</v>
      </c>
      <c r="B45" s="25" t="s">
        <v>763</v>
      </c>
      <c r="C45" s="168">
        <v>0</v>
      </c>
      <c r="D45" s="133">
        <v>4.2720000000000002</v>
      </c>
      <c r="E45" s="134">
        <v>0.61199999999999999</v>
      </c>
      <c r="F45" s="135">
        <v>6.8000000000000005E-2</v>
      </c>
      <c r="G45" s="163">
        <v>288.2</v>
      </c>
      <c r="H45" s="163">
        <v>5.0199999999999996</v>
      </c>
      <c r="I45" s="167">
        <v>5.0199999999999996</v>
      </c>
      <c r="J45" s="37">
        <v>0.19700000000000001</v>
      </c>
    </row>
    <row r="46" spans="1:10" ht="27.75" customHeight="1" x14ac:dyDescent="0.2">
      <c r="A46" s="165" t="s">
        <v>432</v>
      </c>
      <c r="B46" s="25" t="s">
        <v>764</v>
      </c>
      <c r="C46" s="168">
        <v>0</v>
      </c>
      <c r="D46" s="133">
        <v>4.0960000000000001</v>
      </c>
      <c r="E46" s="134">
        <v>0.55500000000000005</v>
      </c>
      <c r="F46" s="135">
        <v>5.8999999999999997E-2</v>
      </c>
      <c r="G46" s="163">
        <v>195.33</v>
      </c>
      <c r="H46" s="163">
        <v>4.92</v>
      </c>
      <c r="I46" s="167">
        <v>4.92</v>
      </c>
      <c r="J46" s="37">
        <v>0.17799999999999999</v>
      </c>
    </row>
    <row r="47" spans="1:10" ht="27.75" customHeight="1" x14ac:dyDescent="0.2">
      <c r="A47" s="165" t="s">
        <v>433</v>
      </c>
      <c r="B47" s="25" t="s">
        <v>765</v>
      </c>
      <c r="C47" s="168">
        <v>0</v>
      </c>
      <c r="D47" s="133">
        <v>4.0960000000000001</v>
      </c>
      <c r="E47" s="134">
        <v>0.55500000000000005</v>
      </c>
      <c r="F47" s="135">
        <v>5.8999999999999997E-2</v>
      </c>
      <c r="G47" s="163">
        <v>673.78</v>
      </c>
      <c r="H47" s="163">
        <v>4.92</v>
      </c>
      <c r="I47" s="167">
        <v>4.92</v>
      </c>
      <c r="J47" s="37">
        <v>0.17799999999999999</v>
      </c>
    </row>
    <row r="48" spans="1:10" ht="27.75" customHeight="1" x14ac:dyDescent="0.2">
      <c r="A48" s="165" t="s">
        <v>434</v>
      </c>
      <c r="B48" s="25" t="s">
        <v>766</v>
      </c>
      <c r="C48" s="168">
        <v>0</v>
      </c>
      <c r="D48" s="133">
        <v>4.0960000000000001</v>
      </c>
      <c r="E48" s="134">
        <v>0.55500000000000005</v>
      </c>
      <c r="F48" s="135">
        <v>5.8999999999999997E-2</v>
      </c>
      <c r="G48" s="163">
        <v>1216.6199999999999</v>
      </c>
      <c r="H48" s="163">
        <v>4.92</v>
      </c>
      <c r="I48" s="167">
        <v>4.92</v>
      </c>
      <c r="J48" s="37">
        <v>0.17799999999999999</v>
      </c>
    </row>
    <row r="49" spans="1:10" ht="27.75" customHeight="1" x14ac:dyDescent="0.2">
      <c r="A49" s="165" t="s">
        <v>435</v>
      </c>
      <c r="B49" s="25" t="s">
        <v>767</v>
      </c>
      <c r="C49" s="168">
        <v>0</v>
      </c>
      <c r="D49" s="133">
        <v>4.0960000000000001</v>
      </c>
      <c r="E49" s="134">
        <v>0.55500000000000005</v>
      </c>
      <c r="F49" s="135">
        <v>5.8999999999999997E-2</v>
      </c>
      <c r="G49" s="163">
        <v>1998.85</v>
      </c>
      <c r="H49" s="163">
        <v>4.92</v>
      </c>
      <c r="I49" s="167">
        <v>4.92</v>
      </c>
      <c r="J49" s="37">
        <v>0.17799999999999999</v>
      </c>
    </row>
    <row r="50" spans="1:10" ht="27.75" customHeight="1" x14ac:dyDescent="0.2">
      <c r="A50" s="165" t="s">
        <v>436</v>
      </c>
      <c r="B50" s="25" t="s">
        <v>768</v>
      </c>
      <c r="C50" s="168">
        <v>0</v>
      </c>
      <c r="D50" s="133">
        <v>4.0960000000000001</v>
      </c>
      <c r="E50" s="134">
        <v>0.55500000000000005</v>
      </c>
      <c r="F50" s="135">
        <v>5.8999999999999997E-2</v>
      </c>
      <c r="G50" s="163">
        <v>5459.35</v>
      </c>
      <c r="H50" s="163">
        <v>4.92</v>
      </c>
      <c r="I50" s="167">
        <v>4.92</v>
      </c>
      <c r="J50" s="37">
        <v>0.17799999999999999</v>
      </c>
    </row>
    <row r="51" spans="1:10" ht="27.75" customHeight="1" x14ac:dyDescent="0.2">
      <c r="A51" s="165" t="s">
        <v>684</v>
      </c>
      <c r="B51" s="25" t="s">
        <v>769</v>
      </c>
      <c r="C51" s="168" t="s">
        <v>670</v>
      </c>
      <c r="D51" s="136">
        <v>22.145</v>
      </c>
      <c r="E51" s="137">
        <v>2.282</v>
      </c>
      <c r="F51" s="135">
        <v>1.323</v>
      </c>
      <c r="G51" s="164"/>
      <c r="H51" s="164"/>
      <c r="I51" s="166"/>
      <c r="J51" s="38"/>
    </row>
    <row r="52" spans="1:10" ht="27.75" customHeight="1" x14ac:dyDescent="0.2">
      <c r="A52" s="165" t="s">
        <v>685</v>
      </c>
      <c r="B52" s="25" t="s">
        <v>770</v>
      </c>
      <c r="C52" s="168" t="s">
        <v>672</v>
      </c>
      <c r="D52" s="133">
        <v>-8.76</v>
      </c>
      <c r="E52" s="134">
        <v>-1.4350000000000001</v>
      </c>
      <c r="F52" s="135">
        <v>-0.19400000000000001</v>
      </c>
      <c r="G52" s="163">
        <v>0</v>
      </c>
      <c r="H52" s="164"/>
      <c r="I52" s="166"/>
      <c r="J52" s="38"/>
    </row>
    <row r="53" spans="1:10" ht="27.75" customHeight="1" x14ac:dyDescent="0.2">
      <c r="A53" s="165" t="s">
        <v>686</v>
      </c>
      <c r="B53" s="25" t="s">
        <v>771</v>
      </c>
      <c r="C53" s="168">
        <v>0</v>
      </c>
      <c r="D53" s="133">
        <v>-6.9880000000000004</v>
      </c>
      <c r="E53" s="134">
        <v>-1.1060000000000001</v>
      </c>
      <c r="F53" s="135">
        <v>-0.14299999999999999</v>
      </c>
      <c r="G53" s="163">
        <v>0</v>
      </c>
      <c r="H53" s="164"/>
      <c r="I53" s="166"/>
      <c r="J53" s="38"/>
    </row>
    <row r="54" spans="1:10" ht="27.75" customHeight="1" x14ac:dyDescent="0.2">
      <c r="A54" s="165" t="s">
        <v>687</v>
      </c>
      <c r="B54" s="25" t="s">
        <v>772</v>
      </c>
      <c r="C54" s="168">
        <v>0</v>
      </c>
      <c r="D54" s="133">
        <v>-8.76</v>
      </c>
      <c r="E54" s="134">
        <v>-1.4350000000000001</v>
      </c>
      <c r="F54" s="135">
        <v>-0.19400000000000001</v>
      </c>
      <c r="G54" s="163">
        <v>0</v>
      </c>
      <c r="H54" s="164"/>
      <c r="I54" s="166"/>
      <c r="J54" s="37">
        <v>0.5</v>
      </c>
    </row>
    <row r="55" spans="1:10" ht="27.75" customHeight="1" x14ac:dyDescent="0.2">
      <c r="A55" s="165" t="s">
        <v>688</v>
      </c>
      <c r="B55" s="25" t="s">
        <v>773</v>
      </c>
      <c r="C55" s="168">
        <v>0</v>
      </c>
      <c r="D55" s="133">
        <v>-6.9880000000000004</v>
      </c>
      <c r="E55" s="134">
        <v>-1.1060000000000001</v>
      </c>
      <c r="F55" s="135">
        <v>-0.14299999999999999</v>
      </c>
      <c r="G55" s="163">
        <v>0</v>
      </c>
      <c r="H55" s="164"/>
      <c r="I55" s="166"/>
      <c r="J55" s="37">
        <v>0.35399999999999998</v>
      </c>
    </row>
    <row r="56" spans="1:10" ht="27.75" customHeight="1" x14ac:dyDescent="0.2">
      <c r="A56" s="165" t="s">
        <v>689</v>
      </c>
      <c r="B56" s="25" t="s">
        <v>774</v>
      </c>
      <c r="C56" s="168">
        <v>0</v>
      </c>
      <c r="D56" s="133">
        <v>-5.1269999999999998</v>
      </c>
      <c r="E56" s="134">
        <v>-0.73499999999999999</v>
      </c>
      <c r="F56" s="135">
        <v>-8.2000000000000003E-2</v>
      </c>
      <c r="G56" s="163">
        <v>0</v>
      </c>
      <c r="H56" s="164"/>
      <c r="I56" s="166"/>
      <c r="J56" s="37">
        <v>0.29899999999999999</v>
      </c>
    </row>
    <row r="57" spans="1:10" ht="27.75" customHeight="1" x14ac:dyDescent="0.2">
      <c r="A57" s="161" t="s">
        <v>547</v>
      </c>
      <c r="B57" s="25" t="s">
        <v>775</v>
      </c>
      <c r="C57" s="168" t="s">
        <v>662</v>
      </c>
      <c r="D57" s="133">
        <v>6.5149999999999997</v>
      </c>
      <c r="E57" s="134">
        <v>1.0680000000000001</v>
      </c>
      <c r="F57" s="135">
        <v>0.14399999999999999</v>
      </c>
      <c r="G57" s="163">
        <v>5.09</v>
      </c>
      <c r="H57" s="164"/>
      <c r="I57" s="166"/>
      <c r="J57" s="38"/>
    </row>
    <row r="58" spans="1:10" ht="27.75" customHeight="1" x14ac:dyDescent="0.2">
      <c r="A58" s="161" t="s">
        <v>690</v>
      </c>
      <c r="B58" s="25" t="s">
        <v>776</v>
      </c>
      <c r="C58" s="168">
        <v>2</v>
      </c>
      <c r="D58" s="133">
        <v>6.5149999999999997</v>
      </c>
      <c r="E58" s="134">
        <v>1.0680000000000001</v>
      </c>
      <c r="F58" s="135">
        <v>0.14399999999999999</v>
      </c>
      <c r="G58" s="164"/>
      <c r="H58" s="164"/>
      <c r="I58" s="166"/>
      <c r="J58" s="38"/>
    </row>
    <row r="59" spans="1:10" ht="27.75" customHeight="1" x14ac:dyDescent="0.2">
      <c r="A59" s="161" t="s">
        <v>548</v>
      </c>
      <c r="B59" s="25" t="s">
        <v>777</v>
      </c>
      <c r="C59" s="168" t="s">
        <v>664</v>
      </c>
      <c r="D59" s="133">
        <v>5.03</v>
      </c>
      <c r="E59" s="134">
        <v>0.82399999999999995</v>
      </c>
      <c r="F59" s="135">
        <v>0.111</v>
      </c>
      <c r="G59" s="163">
        <v>4.49</v>
      </c>
      <c r="H59" s="164"/>
      <c r="I59" s="166"/>
      <c r="J59" s="38"/>
    </row>
    <row r="60" spans="1:10" ht="27.75" customHeight="1" x14ac:dyDescent="0.2">
      <c r="A60" s="161" t="s">
        <v>549</v>
      </c>
      <c r="B60" s="25" t="s">
        <v>778</v>
      </c>
      <c r="C60" s="168" t="s">
        <v>664</v>
      </c>
      <c r="D60" s="133">
        <v>5.03</v>
      </c>
      <c r="E60" s="134">
        <v>0.82399999999999995</v>
      </c>
      <c r="F60" s="135">
        <v>0.111</v>
      </c>
      <c r="G60" s="163">
        <v>5.34</v>
      </c>
      <c r="H60" s="164"/>
      <c r="I60" s="166"/>
      <c r="J60" s="38"/>
    </row>
    <row r="61" spans="1:10" ht="27.75" customHeight="1" x14ac:dyDescent="0.2">
      <c r="A61" s="161" t="s">
        <v>550</v>
      </c>
      <c r="B61" s="25" t="s">
        <v>779</v>
      </c>
      <c r="C61" s="168" t="s">
        <v>664</v>
      </c>
      <c r="D61" s="133">
        <v>5.03</v>
      </c>
      <c r="E61" s="134">
        <v>0.82399999999999995</v>
      </c>
      <c r="F61" s="135">
        <v>0.111</v>
      </c>
      <c r="G61" s="163">
        <v>6.77</v>
      </c>
      <c r="H61" s="164"/>
      <c r="I61" s="166"/>
      <c r="J61" s="38"/>
    </row>
    <row r="62" spans="1:10" ht="27.75" customHeight="1" x14ac:dyDescent="0.2">
      <c r="A62" s="161" t="s">
        <v>551</v>
      </c>
      <c r="B62" s="25" t="s">
        <v>780</v>
      </c>
      <c r="C62" s="168" t="s">
        <v>664</v>
      </c>
      <c r="D62" s="133">
        <v>5.03</v>
      </c>
      <c r="E62" s="134">
        <v>0.82399999999999995</v>
      </c>
      <c r="F62" s="135">
        <v>0.111</v>
      </c>
      <c r="G62" s="163">
        <v>9.0399999999999991</v>
      </c>
      <c r="H62" s="164"/>
      <c r="I62" s="166"/>
      <c r="J62" s="38"/>
    </row>
    <row r="63" spans="1:10" ht="27.75" customHeight="1" x14ac:dyDescent="0.2">
      <c r="A63" s="161" t="s">
        <v>552</v>
      </c>
      <c r="B63" s="25" t="s">
        <v>781</v>
      </c>
      <c r="C63" s="168" t="s">
        <v>664</v>
      </c>
      <c r="D63" s="133">
        <v>5.03</v>
      </c>
      <c r="E63" s="134">
        <v>0.82399999999999995</v>
      </c>
      <c r="F63" s="135">
        <v>0.111</v>
      </c>
      <c r="G63" s="163">
        <v>17.16</v>
      </c>
      <c r="H63" s="164"/>
      <c r="I63" s="166"/>
      <c r="J63" s="38"/>
    </row>
    <row r="64" spans="1:10" ht="27.75" customHeight="1" x14ac:dyDescent="0.2">
      <c r="A64" s="161" t="s">
        <v>691</v>
      </c>
      <c r="B64" s="25" t="s">
        <v>782</v>
      </c>
      <c r="C64" s="168">
        <v>4</v>
      </c>
      <c r="D64" s="133">
        <v>5.03</v>
      </c>
      <c r="E64" s="134">
        <v>0.82399999999999995</v>
      </c>
      <c r="F64" s="135">
        <v>0.111</v>
      </c>
      <c r="G64" s="164"/>
      <c r="H64" s="164"/>
      <c r="I64" s="166"/>
      <c r="J64" s="38"/>
    </row>
    <row r="65" spans="1:10" ht="27.75" customHeight="1" x14ac:dyDescent="0.2">
      <c r="A65" s="161" t="s">
        <v>497</v>
      </c>
      <c r="B65" s="25" t="s">
        <v>783</v>
      </c>
      <c r="C65" s="168">
        <v>0</v>
      </c>
      <c r="D65" s="133">
        <v>3.6829999999999998</v>
      </c>
      <c r="E65" s="134">
        <v>0.57399999999999995</v>
      </c>
      <c r="F65" s="135">
        <v>7.2999999999999995E-2</v>
      </c>
      <c r="G65" s="163">
        <v>10.75</v>
      </c>
      <c r="H65" s="163">
        <v>3.8</v>
      </c>
      <c r="I65" s="167">
        <v>3.8</v>
      </c>
      <c r="J65" s="37">
        <v>0.184</v>
      </c>
    </row>
    <row r="66" spans="1:10" ht="27.75" customHeight="1" x14ac:dyDescent="0.2">
      <c r="A66" s="161" t="s">
        <v>498</v>
      </c>
      <c r="B66" s="25" t="s">
        <v>784</v>
      </c>
      <c r="C66" s="168">
        <v>0</v>
      </c>
      <c r="D66" s="133">
        <v>3.6829999999999998</v>
      </c>
      <c r="E66" s="134">
        <v>0.57399999999999995</v>
      </c>
      <c r="F66" s="135">
        <v>7.2999999999999995E-2</v>
      </c>
      <c r="G66" s="163">
        <v>37.57</v>
      </c>
      <c r="H66" s="163">
        <v>3.8</v>
      </c>
      <c r="I66" s="167">
        <v>3.8</v>
      </c>
      <c r="J66" s="37">
        <v>0.184</v>
      </c>
    </row>
    <row r="67" spans="1:10" ht="27.75" customHeight="1" x14ac:dyDescent="0.2">
      <c r="A67" s="161" t="s">
        <v>499</v>
      </c>
      <c r="B67" s="25" t="s">
        <v>785</v>
      </c>
      <c r="C67" s="168">
        <v>0</v>
      </c>
      <c r="D67" s="133">
        <v>3.6829999999999998</v>
      </c>
      <c r="E67" s="134">
        <v>0.57399999999999995</v>
      </c>
      <c r="F67" s="135">
        <v>7.2999999999999995E-2</v>
      </c>
      <c r="G67" s="163">
        <v>53.16</v>
      </c>
      <c r="H67" s="163">
        <v>3.8</v>
      </c>
      <c r="I67" s="167">
        <v>3.8</v>
      </c>
      <c r="J67" s="37">
        <v>0.184</v>
      </c>
    </row>
    <row r="68" spans="1:10" ht="27.75" customHeight="1" x14ac:dyDescent="0.2">
      <c r="A68" s="161" t="s">
        <v>500</v>
      </c>
      <c r="B68" s="25" t="s">
        <v>786</v>
      </c>
      <c r="C68" s="168">
        <v>0</v>
      </c>
      <c r="D68" s="133">
        <v>3.6829999999999998</v>
      </c>
      <c r="E68" s="134">
        <v>0.57399999999999995</v>
      </c>
      <c r="F68" s="135">
        <v>7.2999999999999995E-2</v>
      </c>
      <c r="G68" s="163">
        <v>74.94</v>
      </c>
      <c r="H68" s="163">
        <v>3.8</v>
      </c>
      <c r="I68" s="167">
        <v>3.8</v>
      </c>
      <c r="J68" s="37">
        <v>0.184</v>
      </c>
    </row>
    <row r="69" spans="1:10" ht="27.75" customHeight="1" x14ac:dyDescent="0.2">
      <c r="A69" s="161" t="s">
        <v>501</v>
      </c>
      <c r="B69" s="25" t="s">
        <v>787</v>
      </c>
      <c r="C69" s="168">
        <v>0</v>
      </c>
      <c r="D69" s="133">
        <v>3.6829999999999998</v>
      </c>
      <c r="E69" s="134">
        <v>0.57399999999999995</v>
      </c>
      <c r="F69" s="135">
        <v>7.2999999999999995E-2</v>
      </c>
      <c r="G69" s="163">
        <v>159.83000000000001</v>
      </c>
      <c r="H69" s="163">
        <v>3.8</v>
      </c>
      <c r="I69" s="167">
        <v>3.8</v>
      </c>
      <c r="J69" s="37">
        <v>0.184</v>
      </c>
    </row>
    <row r="70" spans="1:10" ht="27.75" customHeight="1" x14ac:dyDescent="0.2">
      <c r="A70" s="161" t="s">
        <v>502</v>
      </c>
      <c r="B70" s="25" t="s">
        <v>788</v>
      </c>
      <c r="C70" s="168">
        <v>0</v>
      </c>
      <c r="D70" s="133">
        <v>3.6019999999999999</v>
      </c>
      <c r="E70" s="134">
        <v>0.51600000000000001</v>
      </c>
      <c r="F70" s="135">
        <v>5.7000000000000002E-2</v>
      </c>
      <c r="G70" s="163">
        <v>13.9</v>
      </c>
      <c r="H70" s="163">
        <v>4.2300000000000004</v>
      </c>
      <c r="I70" s="167">
        <v>4.2300000000000004</v>
      </c>
      <c r="J70" s="37">
        <v>0.16600000000000001</v>
      </c>
    </row>
    <row r="71" spans="1:10" ht="27.75" customHeight="1" x14ac:dyDescent="0.2">
      <c r="A71" s="161" t="s">
        <v>503</v>
      </c>
      <c r="B71" s="25" t="s">
        <v>789</v>
      </c>
      <c r="C71" s="168">
        <v>0</v>
      </c>
      <c r="D71" s="133">
        <v>3.6019999999999999</v>
      </c>
      <c r="E71" s="134">
        <v>0.51600000000000001</v>
      </c>
      <c r="F71" s="135">
        <v>5.7000000000000002E-2</v>
      </c>
      <c r="G71" s="163">
        <v>55.11</v>
      </c>
      <c r="H71" s="163">
        <v>4.2300000000000004</v>
      </c>
      <c r="I71" s="167">
        <v>4.2300000000000004</v>
      </c>
      <c r="J71" s="37">
        <v>0.16600000000000001</v>
      </c>
    </row>
    <row r="72" spans="1:10" ht="27.75" customHeight="1" x14ac:dyDescent="0.2">
      <c r="A72" s="161" t="s">
        <v>504</v>
      </c>
      <c r="B72" s="25" t="s">
        <v>790</v>
      </c>
      <c r="C72" s="168">
        <v>0</v>
      </c>
      <c r="D72" s="133">
        <v>3.6019999999999999</v>
      </c>
      <c r="E72" s="134">
        <v>0.51600000000000001</v>
      </c>
      <c r="F72" s="135">
        <v>5.7000000000000002E-2</v>
      </c>
      <c r="G72" s="163">
        <v>79.08</v>
      </c>
      <c r="H72" s="163">
        <v>4.2300000000000004</v>
      </c>
      <c r="I72" s="167">
        <v>4.2300000000000004</v>
      </c>
      <c r="J72" s="37">
        <v>0.16600000000000001</v>
      </c>
    </row>
    <row r="73" spans="1:10" ht="27.75" customHeight="1" x14ac:dyDescent="0.2">
      <c r="A73" s="161" t="s">
        <v>505</v>
      </c>
      <c r="B73" s="25" t="s">
        <v>791</v>
      </c>
      <c r="C73" s="168">
        <v>0</v>
      </c>
      <c r="D73" s="133">
        <v>3.6019999999999999</v>
      </c>
      <c r="E73" s="134">
        <v>0.51600000000000001</v>
      </c>
      <c r="F73" s="135">
        <v>5.7000000000000002E-2</v>
      </c>
      <c r="G73" s="163">
        <v>112.54</v>
      </c>
      <c r="H73" s="163">
        <v>4.2300000000000004</v>
      </c>
      <c r="I73" s="167">
        <v>4.2300000000000004</v>
      </c>
      <c r="J73" s="37">
        <v>0.16600000000000001</v>
      </c>
    </row>
    <row r="74" spans="1:10" ht="27.75" customHeight="1" x14ac:dyDescent="0.2">
      <c r="A74" s="161" t="s">
        <v>506</v>
      </c>
      <c r="B74" s="25" t="s">
        <v>792</v>
      </c>
      <c r="C74" s="168">
        <v>0</v>
      </c>
      <c r="D74" s="133">
        <v>3.6019999999999999</v>
      </c>
      <c r="E74" s="134">
        <v>0.51600000000000001</v>
      </c>
      <c r="F74" s="135">
        <v>5.7000000000000002E-2</v>
      </c>
      <c r="G74" s="163">
        <v>243</v>
      </c>
      <c r="H74" s="163">
        <v>4.2300000000000004</v>
      </c>
      <c r="I74" s="167">
        <v>4.2300000000000004</v>
      </c>
      <c r="J74" s="37">
        <v>0.16600000000000001</v>
      </c>
    </row>
    <row r="75" spans="1:10" ht="27.75" customHeight="1" x14ac:dyDescent="0.2">
      <c r="A75" s="161" t="s">
        <v>507</v>
      </c>
      <c r="B75" s="25" t="s">
        <v>793</v>
      </c>
      <c r="C75" s="168">
        <v>0</v>
      </c>
      <c r="D75" s="133">
        <v>3.4119999999999999</v>
      </c>
      <c r="E75" s="134">
        <v>0.46300000000000002</v>
      </c>
      <c r="F75" s="135">
        <v>4.9000000000000002E-2</v>
      </c>
      <c r="G75" s="163">
        <v>162.72999999999999</v>
      </c>
      <c r="H75" s="163">
        <v>4.0999999999999996</v>
      </c>
      <c r="I75" s="167">
        <v>4.0999999999999996</v>
      </c>
      <c r="J75" s="37">
        <v>0.14799999999999999</v>
      </c>
    </row>
    <row r="76" spans="1:10" ht="27.75" customHeight="1" x14ac:dyDescent="0.2">
      <c r="A76" s="161" t="s">
        <v>508</v>
      </c>
      <c r="B76" s="25" t="s">
        <v>794</v>
      </c>
      <c r="C76" s="168">
        <v>0</v>
      </c>
      <c r="D76" s="133">
        <v>3.4119999999999999</v>
      </c>
      <c r="E76" s="134">
        <v>0.46300000000000002</v>
      </c>
      <c r="F76" s="135">
        <v>4.9000000000000002E-2</v>
      </c>
      <c r="G76" s="163">
        <v>561.33000000000004</v>
      </c>
      <c r="H76" s="163">
        <v>4.0999999999999996</v>
      </c>
      <c r="I76" s="167">
        <v>4.0999999999999996</v>
      </c>
      <c r="J76" s="37">
        <v>0.14799999999999999</v>
      </c>
    </row>
    <row r="77" spans="1:10" ht="27.75" customHeight="1" x14ac:dyDescent="0.2">
      <c r="A77" s="161" t="s">
        <v>509</v>
      </c>
      <c r="B77" s="25" t="s">
        <v>795</v>
      </c>
      <c r="C77" s="168">
        <v>0</v>
      </c>
      <c r="D77" s="133">
        <v>3.4119999999999999</v>
      </c>
      <c r="E77" s="134">
        <v>0.46300000000000002</v>
      </c>
      <c r="F77" s="135">
        <v>4.9000000000000002E-2</v>
      </c>
      <c r="G77" s="163">
        <v>1013.57</v>
      </c>
      <c r="H77" s="163">
        <v>4.0999999999999996</v>
      </c>
      <c r="I77" s="167">
        <v>4.0999999999999996</v>
      </c>
      <c r="J77" s="37">
        <v>0.14799999999999999</v>
      </c>
    </row>
    <row r="78" spans="1:10" ht="27.75" customHeight="1" x14ac:dyDescent="0.2">
      <c r="A78" s="161" t="s">
        <v>510</v>
      </c>
      <c r="B78" s="25" t="s">
        <v>796</v>
      </c>
      <c r="C78" s="168">
        <v>0</v>
      </c>
      <c r="D78" s="133">
        <v>3.4119999999999999</v>
      </c>
      <c r="E78" s="134">
        <v>0.46300000000000002</v>
      </c>
      <c r="F78" s="135">
        <v>4.9000000000000002E-2</v>
      </c>
      <c r="G78" s="163">
        <v>1665.25</v>
      </c>
      <c r="H78" s="163">
        <v>4.0999999999999996</v>
      </c>
      <c r="I78" s="167">
        <v>4.0999999999999996</v>
      </c>
      <c r="J78" s="37">
        <v>0.14799999999999999</v>
      </c>
    </row>
    <row r="79" spans="1:10" ht="27.75" customHeight="1" x14ac:dyDescent="0.2">
      <c r="A79" s="161" t="s">
        <v>511</v>
      </c>
      <c r="B79" s="25" t="s">
        <v>797</v>
      </c>
      <c r="C79" s="168">
        <v>0</v>
      </c>
      <c r="D79" s="133">
        <v>3.4119999999999999</v>
      </c>
      <c r="E79" s="134">
        <v>0.46300000000000002</v>
      </c>
      <c r="F79" s="135">
        <v>4.9000000000000002E-2</v>
      </c>
      <c r="G79" s="163">
        <v>4548.21</v>
      </c>
      <c r="H79" s="163">
        <v>4.0999999999999996</v>
      </c>
      <c r="I79" s="167">
        <v>4.0999999999999996</v>
      </c>
      <c r="J79" s="37">
        <v>0.14799999999999999</v>
      </c>
    </row>
    <row r="80" spans="1:10" ht="27.75" customHeight="1" x14ac:dyDescent="0.2">
      <c r="A80" s="161" t="s">
        <v>692</v>
      </c>
      <c r="B80" s="25" t="s">
        <v>798</v>
      </c>
      <c r="C80" s="168" t="s">
        <v>670</v>
      </c>
      <c r="D80" s="136">
        <v>19.189</v>
      </c>
      <c r="E80" s="137">
        <v>1.9770000000000001</v>
      </c>
      <c r="F80" s="135">
        <v>1.1459999999999999</v>
      </c>
      <c r="G80" s="164"/>
      <c r="H80" s="164"/>
      <c r="I80" s="166"/>
      <c r="J80" s="38"/>
    </row>
    <row r="81" spans="1:10" ht="27.75" customHeight="1" x14ac:dyDescent="0.2">
      <c r="A81" s="161" t="s">
        <v>693</v>
      </c>
      <c r="B81" s="25" t="s">
        <v>799</v>
      </c>
      <c r="C81" s="168" t="s">
        <v>672</v>
      </c>
      <c r="D81" s="133">
        <v>-5.8140000000000001</v>
      </c>
      <c r="E81" s="134">
        <v>-0.95299999999999996</v>
      </c>
      <c r="F81" s="135">
        <v>-0.128</v>
      </c>
      <c r="G81" s="163">
        <v>0</v>
      </c>
      <c r="H81" s="164"/>
      <c r="I81" s="166"/>
      <c r="J81" s="38"/>
    </row>
    <row r="82" spans="1:10" ht="27.75" customHeight="1" x14ac:dyDescent="0.2">
      <c r="A82" s="161" t="s">
        <v>694</v>
      </c>
      <c r="B82" s="25" t="s">
        <v>800</v>
      </c>
      <c r="C82" s="168">
        <v>0</v>
      </c>
      <c r="D82" s="133">
        <v>-5.1219999999999999</v>
      </c>
      <c r="E82" s="134">
        <v>-0.81</v>
      </c>
      <c r="F82" s="135">
        <v>-0.105</v>
      </c>
      <c r="G82" s="163">
        <v>0</v>
      </c>
      <c r="H82" s="164"/>
      <c r="I82" s="166"/>
      <c r="J82" s="38"/>
    </row>
    <row r="83" spans="1:10" ht="27.75" customHeight="1" x14ac:dyDescent="0.2">
      <c r="A83" s="161" t="s">
        <v>695</v>
      </c>
      <c r="B83" s="25" t="s">
        <v>801</v>
      </c>
      <c r="C83" s="168">
        <v>0</v>
      </c>
      <c r="D83" s="133">
        <v>-5.8140000000000001</v>
      </c>
      <c r="E83" s="134">
        <v>-0.95299999999999996</v>
      </c>
      <c r="F83" s="135">
        <v>-0.128</v>
      </c>
      <c r="G83" s="163">
        <v>0</v>
      </c>
      <c r="H83" s="164"/>
      <c r="I83" s="166"/>
      <c r="J83" s="37">
        <v>0.33200000000000002</v>
      </c>
    </row>
    <row r="84" spans="1:10" ht="27.75" customHeight="1" x14ac:dyDescent="0.2">
      <c r="A84" s="161" t="s">
        <v>696</v>
      </c>
      <c r="B84" s="25" t="s">
        <v>802</v>
      </c>
      <c r="C84" s="168">
        <v>0</v>
      </c>
      <c r="D84" s="133">
        <v>-5.1219999999999999</v>
      </c>
      <c r="E84" s="134">
        <v>-0.81</v>
      </c>
      <c r="F84" s="135">
        <v>-0.105</v>
      </c>
      <c r="G84" s="163">
        <v>0</v>
      </c>
      <c r="H84" s="164"/>
      <c r="I84" s="166"/>
      <c r="J84" s="37">
        <v>0.25900000000000001</v>
      </c>
    </row>
    <row r="85" spans="1:10" ht="27.75" customHeight="1" x14ac:dyDescent="0.2">
      <c r="A85" s="161" t="s">
        <v>697</v>
      </c>
      <c r="B85" s="25" t="s">
        <v>803</v>
      </c>
      <c r="C85" s="168">
        <v>0</v>
      </c>
      <c r="D85" s="133">
        <v>-5.1269999999999998</v>
      </c>
      <c r="E85" s="134">
        <v>-0.73499999999999999</v>
      </c>
      <c r="F85" s="135">
        <v>-8.2000000000000003E-2</v>
      </c>
      <c r="G85" s="163">
        <v>15.58</v>
      </c>
      <c r="H85" s="164"/>
      <c r="I85" s="166"/>
      <c r="J85" s="37">
        <v>0.29899999999999999</v>
      </c>
    </row>
    <row r="86" spans="1:10" ht="27.75" customHeight="1" x14ac:dyDescent="0.2">
      <c r="A86" s="161" t="s">
        <v>553</v>
      </c>
      <c r="B86" s="25" t="s">
        <v>804</v>
      </c>
      <c r="C86" s="168" t="s">
        <v>662</v>
      </c>
      <c r="D86" s="133">
        <v>5.0039999999999996</v>
      </c>
      <c r="E86" s="134">
        <v>0.82</v>
      </c>
      <c r="F86" s="135">
        <v>0.111</v>
      </c>
      <c r="G86" s="163">
        <v>3.91</v>
      </c>
      <c r="H86" s="164"/>
      <c r="I86" s="166"/>
      <c r="J86" s="38"/>
    </row>
    <row r="87" spans="1:10" ht="27.75" customHeight="1" x14ac:dyDescent="0.2">
      <c r="A87" s="161" t="s">
        <v>698</v>
      </c>
      <c r="B87" s="25" t="s">
        <v>805</v>
      </c>
      <c r="C87" s="168">
        <v>2</v>
      </c>
      <c r="D87" s="133">
        <v>5.0039999999999996</v>
      </c>
      <c r="E87" s="134">
        <v>0.82</v>
      </c>
      <c r="F87" s="135">
        <v>0.111</v>
      </c>
      <c r="G87" s="164"/>
      <c r="H87" s="164"/>
      <c r="I87" s="166"/>
      <c r="J87" s="38"/>
    </row>
    <row r="88" spans="1:10" ht="27.75" customHeight="1" x14ac:dyDescent="0.2">
      <c r="A88" s="161" t="s">
        <v>554</v>
      </c>
      <c r="B88" s="25" t="s">
        <v>806</v>
      </c>
      <c r="C88" s="168" t="s">
        <v>664</v>
      </c>
      <c r="D88" s="133">
        <v>3.863</v>
      </c>
      <c r="E88" s="134">
        <v>0.63300000000000001</v>
      </c>
      <c r="F88" s="135">
        <v>8.5000000000000006E-2</v>
      </c>
      <c r="G88" s="163">
        <v>3.45</v>
      </c>
      <c r="H88" s="164"/>
      <c r="I88" s="166"/>
      <c r="J88" s="38"/>
    </row>
    <row r="89" spans="1:10" ht="27.75" customHeight="1" x14ac:dyDescent="0.2">
      <c r="A89" s="161" t="s">
        <v>555</v>
      </c>
      <c r="B89" s="25" t="s">
        <v>807</v>
      </c>
      <c r="C89" s="168" t="s">
        <v>664</v>
      </c>
      <c r="D89" s="133">
        <v>3.863</v>
      </c>
      <c r="E89" s="134">
        <v>0.63300000000000001</v>
      </c>
      <c r="F89" s="135">
        <v>8.5000000000000006E-2</v>
      </c>
      <c r="G89" s="163">
        <v>4.0999999999999996</v>
      </c>
      <c r="H89" s="164"/>
      <c r="I89" s="166"/>
      <c r="J89" s="38"/>
    </row>
    <row r="90" spans="1:10" ht="27.75" customHeight="1" x14ac:dyDescent="0.2">
      <c r="A90" s="161" t="s">
        <v>556</v>
      </c>
      <c r="B90" s="25" t="s">
        <v>808</v>
      </c>
      <c r="C90" s="168" t="s">
        <v>664</v>
      </c>
      <c r="D90" s="133">
        <v>3.863</v>
      </c>
      <c r="E90" s="134">
        <v>0.63300000000000001</v>
      </c>
      <c r="F90" s="135">
        <v>8.5000000000000006E-2</v>
      </c>
      <c r="G90" s="163">
        <v>5.2</v>
      </c>
      <c r="H90" s="164"/>
      <c r="I90" s="166"/>
      <c r="J90" s="38"/>
    </row>
    <row r="91" spans="1:10" ht="27.75" customHeight="1" x14ac:dyDescent="0.2">
      <c r="A91" s="161" t="s">
        <v>557</v>
      </c>
      <c r="B91" s="25" t="s">
        <v>809</v>
      </c>
      <c r="C91" s="168" t="s">
        <v>664</v>
      </c>
      <c r="D91" s="133">
        <v>3.863</v>
      </c>
      <c r="E91" s="134">
        <v>0.63300000000000001</v>
      </c>
      <c r="F91" s="135">
        <v>8.5000000000000006E-2</v>
      </c>
      <c r="G91" s="163">
        <v>6.94</v>
      </c>
      <c r="H91" s="164"/>
      <c r="I91" s="166"/>
      <c r="J91" s="38"/>
    </row>
    <row r="92" spans="1:10" ht="27.75" customHeight="1" x14ac:dyDescent="0.2">
      <c r="A92" s="161" t="s">
        <v>558</v>
      </c>
      <c r="B92" s="25" t="s">
        <v>810</v>
      </c>
      <c r="C92" s="168" t="s">
        <v>664</v>
      </c>
      <c r="D92" s="133">
        <v>3.863</v>
      </c>
      <c r="E92" s="134">
        <v>0.63300000000000001</v>
      </c>
      <c r="F92" s="135">
        <v>8.5000000000000006E-2</v>
      </c>
      <c r="G92" s="163">
        <v>13.18</v>
      </c>
      <c r="H92" s="164"/>
      <c r="I92" s="166"/>
      <c r="J92" s="38"/>
    </row>
    <row r="93" spans="1:10" ht="27.75" customHeight="1" x14ac:dyDescent="0.2">
      <c r="A93" s="161" t="s">
        <v>699</v>
      </c>
      <c r="B93" s="25" t="s">
        <v>811</v>
      </c>
      <c r="C93" s="168">
        <v>4</v>
      </c>
      <c r="D93" s="133">
        <v>3.863</v>
      </c>
      <c r="E93" s="134">
        <v>0.63300000000000001</v>
      </c>
      <c r="F93" s="135">
        <v>8.5000000000000006E-2</v>
      </c>
      <c r="G93" s="164"/>
      <c r="H93" s="164"/>
      <c r="I93" s="166"/>
      <c r="J93" s="38"/>
    </row>
    <row r="94" spans="1:10" ht="27.75" customHeight="1" x14ac:dyDescent="0.2">
      <c r="A94" s="161" t="s">
        <v>482</v>
      </c>
      <c r="B94" s="25" t="s">
        <v>812</v>
      </c>
      <c r="C94" s="168">
        <v>0</v>
      </c>
      <c r="D94" s="133">
        <v>2.8290000000000002</v>
      </c>
      <c r="E94" s="134">
        <v>0.441</v>
      </c>
      <c r="F94" s="135">
        <v>5.6000000000000001E-2</v>
      </c>
      <c r="G94" s="163">
        <v>8.25</v>
      </c>
      <c r="H94" s="163">
        <v>2.91</v>
      </c>
      <c r="I94" s="167">
        <v>2.91</v>
      </c>
      <c r="J94" s="37">
        <v>0.14199999999999999</v>
      </c>
    </row>
    <row r="95" spans="1:10" ht="27.75" customHeight="1" x14ac:dyDescent="0.2">
      <c r="A95" s="161" t="s">
        <v>483</v>
      </c>
      <c r="B95" s="25" t="s">
        <v>813</v>
      </c>
      <c r="C95" s="168">
        <v>0</v>
      </c>
      <c r="D95" s="133">
        <v>2.8290000000000002</v>
      </c>
      <c r="E95" s="134">
        <v>0.441</v>
      </c>
      <c r="F95" s="135">
        <v>5.6000000000000001E-2</v>
      </c>
      <c r="G95" s="163">
        <v>28.85</v>
      </c>
      <c r="H95" s="163">
        <v>2.91</v>
      </c>
      <c r="I95" s="167">
        <v>2.91</v>
      </c>
      <c r="J95" s="37">
        <v>0.14199999999999999</v>
      </c>
    </row>
    <row r="96" spans="1:10" ht="27.75" customHeight="1" x14ac:dyDescent="0.2">
      <c r="A96" s="161" t="s">
        <v>484</v>
      </c>
      <c r="B96" s="25" t="s">
        <v>814</v>
      </c>
      <c r="C96" s="168">
        <v>0</v>
      </c>
      <c r="D96" s="133">
        <v>2.8290000000000002</v>
      </c>
      <c r="E96" s="134">
        <v>0.441</v>
      </c>
      <c r="F96" s="135">
        <v>5.6000000000000001E-2</v>
      </c>
      <c r="G96" s="163">
        <v>40.83</v>
      </c>
      <c r="H96" s="163">
        <v>2.91</v>
      </c>
      <c r="I96" s="167">
        <v>2.91</v>
      </c>
      <c r="J96" s="37">
        <v>0.14199999999999999</v>
      </c>
    </row>
    <row r="97" spans="1:10" ht="27.75" customHeight="1" x14ac:dyDescent="0.2">
      <c r="A97" s="161" t="s">
        <v>485</v>
      </c>
      <c r="B97" s="25" t="s">
        <v>815</v>
      </c>
      <c r="C97" s="168">
        <v>0</v>
      </c>
      <c r="D97" s="133">
        <v>2.8290000000000002</v>
      </c>
      <c r="E97" s="134">
        <v>0.441</v>
      </c>
      <c r="F97" s="135">
        <v>5.6000000000000001E-2</v>
      </c>
      <c r="G97" s="163">
        <v>57.55</v>
      </c>
      <c r="H97" s="163">
        <v>2.91</v>
      </c>
      <c r="I97" s="167">
        <v>2.91</v>
      </c>
      <c r="J97" s="37">
        <v>0.14199999999999999</v>
      </c>
    </row>
    <row r="98" spans="1:10" ht="27.75" customHeight="1" x14ac:dyDescent="0.2">
      <c r="A98" s="161" t="s">
        <v>486</v>
      </c>
      <c r="B98" s="25" t="s">
        <v>816</v>
      </c>
      <c r="C98" s="168">
        <v>0</v>
      </c>
      <c r="D98" s="133">
        <v>2.8290000000000002</v>
      </c>
      <c r="E98" s="134">
        <v>0.441</v>
      </c>
      <c r="F98" s="135">
        <v>5.6000000000000001E-2</v>
      </c>
      <c r="G98" s="163">
        <v>122.75</v>
      </c>
      <c r="H98" s="163">
        <v>2.91</v>
      </c>
      <c r="I98" s="167">
        <v>2.91</v>
      </c>
      <c r="J98" s="37">
        <v>0.14199999999999999</v>
      </c>
    </row>
    <row r="99" spans="1:10" ht="27.75" customHeight="1" x14ac:dyDescent="0.2">
      <c r="A99" s="161" t="s">
        <v>487</v>
      </c>
      <c r="B99" s="25" t="s">
        <v>817</v>
      </c>
      <c r="C99" s="168">
        <v>0</v>
      </c>
      <c r="D99" s="133">
        <v>2.766</v>
      </c>
      <c r="E99" s="134">
        <v>0.39600000000000002</v>
      </c>
      <c r="F99" s="135">
        <v>4.3999999999999997E-2</v>
      </c>
      <c r="G99" s="163">
        <v>10.67</v>
      </c>
      <c r="H99" s="163">
        <v>3.25</v>
      </c>
      <c r="I99" s="167">
        <v>3.25</v>
      </c>
      <c r="J99" s="37">
        <v>0.127</v>
      </c>
    </row>
    <row r="100" spans="1:10" ht="27.75" customHeight="1" x14ac:dyDescent="0.2">
      <c r="A100" s="161" t="s">
        <v>488</v>
      </c>
      <c r="B100" s="25" t="s">
        <v>818</v>
      </c>
      <c r="C100" s="168">
        <v>0</v>
      </c>
      <c r="D100" s="133">
        <v>2.766</v>
      </c>
      <c r="E100" s="134">
        <v>0.39600000000000002</v>
      </c>
      <c r="F100" s="135">
        <v>4.3999999999999997E-2</v>
      </c>
      <c r="G100" s="163">
        <v>42.33</v>
      </c>
      <c r="H100" s="163">
        <v>3.25</v>
      </c>
      <c r="I100" s="167">
        <v>3.25</v>
      </c>
      <c r="J100" s="37">
        <v>0.127</v>
      </c>
    </row>
    <row r="101" spans="1:10" ht="27.75" customHeight="1" x14ac:dyDescent="0.2">
      <c r="A101" s="161" t="s">
        <v>489</v>
      </c>
      <c r="B101" s="25" t="s">
        <v>819</v>
      </c>
      <c r="C101" s="168">
        <v>0</v>
      </c>
      <c r="D101" s="133">
        <v>2.766</v>
      </c>
      <c r="E101" s="134">
        <v>0.39600000000000002</v>
      </c>
      <c r="F101" s="135">
        <v>4.3999999999999997E-2</v>
      </c>
      <c r="G101" s="163">
        <v>60.73</v>
      </c>
      <c r="H101" s="163">
        <v>3.25</v>
      </c>
      <c r="I101" s="167">
        <v>3.25</v>
      </c>
      <c r="J101" s="37">
        <v>0.127</v>
      </c>
    </row>
    <row r="102" spans="1:10" ht="27.75" customHeight="1" x14ac:dyDescent="0.2">
      <c r="A102" s="161" t="s">
        <v>490</v>
      </c>
      <c r="B102" s="25" t="s">
        <v>820</v>
      </c>
      <c r="C102" s="168">
        <v>0</v>
      </c>
      <c r="D102" s="133">
        <v>2.766</v>
      </c>
      <c r="E102" s="134">
        <v>0.39600000000000002</v>
      </c>
      <c r="F102" s="135">
        <v>4.3999999999999997E-2</v>
      </c>
      <c r="G102" s="163">
        <v>86.43</v>
      </c>
      <c r="H102" s="163">
        <v>3.25</v>
      </c>
      <c r="I102" s="167">
        <v>3.25</v>
      </c>
      <c r="J102" s="37">
        <v>0.127</v>
      </c>
    </row>
    <row r="103" spans="1:10" ht="27.75" customHeight="1" x14ac:dyDescent="0.2">
      <c r="A103" s="161" t="s">
        <v>491</v>
      </c>
      <c r="B103" s="25" t="s">
        <v>821</v>
      </c>
      <c r="C103" s="168">
        <v>0</v>
      </c>
      <c r="D103" s="133">
        <v>2.766</v>
      </c>
      <c r="E103" s="134">
        <v>0.39600000000000002</v>
      </c>
      <c r="F103" s="135">
        <v>4.3999999999999997E-2</v>
      </c>
      <c r="G103" s="163">
        <v>186.62</v>
      </c>
      <c r="H103" s="163">
        <v>3.25</v>
      </c>
      <c r="I103" s="167">
        <v>3.25</v>
      </c>
      <c r="J103" s="37">
        <v>0.127</v>
      </c>
    </row>
    <row r="104" spans="1:10" ht="27.75" customHeight="1" x14ac:dyDescent="0.2">
      <c r="A104" s="161" t="s">
        <v>492</v>
      </c>
      <c r="B104" s="25" t="s">
        <v>822</v>
      </c>
      <c r="C104" s="168">
        <v>0</v>
      </c>
      <c r="D104" s="133">
        <v>2.621</v>
      </c>
      <c r="E104" s="134">
        <v>0.35499999999999998</v>
      </c>
      <c r="F104" s="135">
        <v>3.6999999999999998E-2</v>
      </c>
      <c r="G104" s="163">
        <v>124.97</v>
      </c>
      <c r="H104" s="163">
        <v>3.15</v>
      </c>
      <c r="I104" s="167">
        <v>3.15</v>
      </c>
      <c r="J104" s="37">
        <v>0.114</v>
      </c>
    </row>
    <row r="105" spans="1:10" ht="27.75" customHeight="1" x14ac:dyDescent="0.2">
      <c r="A105" s="161" t="s">
        <v>493</v>
      </c>
      <c r="B105" s="25" t="s">
        <v>823</v>
      </c>
      <c r="C105" s="168">
        <v>0</v>
      </c>
      <c r="D105" s="133">
        <v>2.621</v>
      </c>
      <c r="E105" s="134">
        <v>0.35499999999999998</v>
      </c>
      <c r="F105" s="135">
        <v>3.6999999999999998E-2</v>
      </c>
      <c r="G105" s="163">
        <v>431.1</v>
      </c>
      <c r="H105" s="163">
        <v>3.15</v>
      </c>
      <c r="I105" s="167">
        <v>3.15</v>
      </c>
      <c r="J105" s="37">
        <v>0.114</v>
      </c>
    </row>
    <row r="106" spans="1:10" ht="27.75" customHeight="1" x14ac:dyDescent="0.2">
      <c r="A106" s="161" t="s">
        <v>494</v>
      </c>
      <c r="B106" s="25" t="s">
        <v>824</v>
      </c>
      <c r="C106" s="168">
        <v>0</v>
      </c>
      <c r="D106" s="133">
        <v>2.621</v>
      </c>
      <c r="E106" s="134">
        <v>0.35499999999999998</v>
      </c>
      <c r="F106" s="135">
        <v>3.6999999999999998E-2</v>
      </c>
      <c r="G106" s="163">
        <v>778.41</v>
      </c>
      <c r="H106" s="163">
        <v>3.15</v>
      </c>
      <c r="I106" s="167">
        <v>3.15</v>
      </c>
      <c r="J106" s="37">
        <v>0.114</v>
      </c>
    </row>
    <row r="107" spans="1:10" ht="27.75" customHeight="1" x14ac:dyDescent="0.2">
      <c r="A107" s="161" t="s">
        <v>495</v>
      </c>
      <c r="B107" s="25" t="s">
        <v>825</v>
      </c>
      <c r="C107" s="168">
        <v>0</v>
      </c>
      <c r="D107" s="133">
        <v>2.621</v>
      </c>
      <c r="E107" s="134">
        <v>0.35499999999999998</v>
      </c>
      <c r="F107" s="135">
        <v>3.6999999999999998E-2</v>
      </c>
      <c r="G107" s="163">
        <v>1278.9000000000001</v>
      </c>
      <c r="H107" s="163">
        <v>3.15</v>
      </c>
      <c r="I107" s="167">
        <v>3.15</v>
      </c>
      <c r="J107" s="37">
        <v>0.114</v>
      </c>
    </row>
    <row r="108" spans="1:10" ht="27.75" customHeight="1" x14ac:dyDescent="0.2">
      <c r="A108" s="161" t="s">
        <v>496</v>
      </c>
      <c r="B108" s="25" t="s">
        <v>826</v>
      </c>
      <c r="C108" s="168">
        <v>0</v>
      </c>
      <c r="D108" s="133">
        <v>2.621</v>
      </c>
      <c r="E108" s="134">
        <v>0.35499999999999998</v>
      </c>
      <c r="F108" s="135">
        <v>3.6999999999999998E-2</v>
      </c>
      <c r="G108" s="163">
        <v>3492.99</v>
      </c>
      <c r="H108" s="163">
        <v>3.15</v>
      </c>
      <c r="I108" s="167">
        <v>3.15</v>
      </c>
      <c r="J108" s="37">
        <v>0.114</v>
      </c>
    </row>
    <row r="109" spans="1:10" ht="27.75" customHeight="1" x14ac:dyDescent="0.2">
      <c r="A109" s="161" t="s">
        <v>700</v>
      </c>
      <c r="B109" s="25" t="s">
        <v>827</v>
      </c>
      <c r="C109" s="168" t="s">
        <v>670</v>
      </c>
      <c r="D109" s="136">
        <v>14.737</v>
      </c>
      <c r="E109" s="137">
        <v>1.518</v>
      </c>
      <c r="F109" s="135">
        <v>0.88</v>
      </c>
      <c r="G109" s="164"/>
      <c r="H109" s="164"/>
      <c r="I109" s="166"/>
      <c r="J109" s="38"/>
    </row>
    <row r="110" spans="1:10" ht="27.75" customHeight="1" x14ac:dyDescent="0.2">
      <c r="A110" s="161" t="s">
        <v>701</v>
      </c>
      <c r="B110" s="25" t="s">
        <v>828</v>
      </c>
      <c r="C110" s="168" t="s">
        <v>672</v>
      </c>
      <c r="D110" s="133">
        <v>-4.4649999999999999</v>
      </c>
      <c r="E110" s="134">
        <v>-0.73199999999999998</v>
      </c>
      <c r="F110" s="135">
        <v>-9.9000000000000005E-2</v>
      </c>
      <c r="G110" s="163">
        <v>0</v>
      </c>
      <c r="H110" s="164"/>
      <c r="I110" s="166"/>
      <c r="J110" s="38"/>
    </row>
    <row r="111" spans="1:10" ht="27.75" customHeight="1" x14ac:dyDescent="0.2">
      <c r="A111" s="161" t="s">
        <v>702</v>
      </c>
      <c r="B111" s="25" t="s">
        <v>829</v>
      </c>
      <c r="C111" s="168">
        <v>0</v>
      </c>
      <c r="D111" s="133">
        <v>-3.9329999999999998</v>
      </c>
      <c r="E111" s="134">
        <v>-0.622</v>
      </c>
      <c r="F111" s="135">
        <v>-0.08</v>
      </c>
      <c r="G111" s="163">
        <v>0</v>
      </c>
      <c r="H111" s="164"/>
      <c r="I111" s="166"/>
      <c r="J111" s="38"/>
    </row>
    <row r="112" spans="1:10" ht="27.75" customHeight="1" x14ac:dyDescent="0.2">
      <c r="A112" s="161" t="s">
        <v>703</v>
      </c>
      <c r="B112" s="25" t="s">
        <v>830</v>
      </c>
      <c r="C112" s="168">
        <v>0</v>
      </c>
      <c r="D112" s="133">
        <v>-4.4649999999999999</v>
      </c>
      <c r="E112" s="134">
        <v>-0.73199999999999998</v>
      </c>
      <c r="F112" s="135">
        <v>-9.9000000000000005E-2</v>
      </c>
      <c r="G112" s="163">
        <v>0</v>
      </c>
      <c r="H112" s="164"/>
      <c r="I112" s="166"/>
      <c r="J112" s="37">
        <v>0.255</v>
      </c>
    </row>
    <row r="113" spans="1:10" ht="27.75" customHeight="1" x14ac:dyDescent="0.2">
      <c r="A113" s="161" t="s">
        <v>704</v>
      </c>
      <c r="B113" s="25" t="s">
        <v>831</v>
      </c>
      <c r="C113" s="168">
        <v>0</v>
      </c>
      <c r="D113" s="133">
        <v>-3.9329999999999998</v>
      </c>
      <c r="E113" s="134">
        <v>-0.622</v>
      </c>
      <c r="F113" s="135">
        <v>-0.08</v>
      </c>
      <c r="G113" s="163">
        <v>0</v>
      </c>
      <c r="H113" s="164"/>
      <c r="I113" s="166"/>
      <c r="J113" s="37">
        <v>0.19900000000000001</v>
      </c>
    </row>
    <row r="114" spans="1:10" ht="27.75" customHeight="1" x14ac:dyDescent="0.2">
      <c r="A114" s="161" t="s">
        <v>705</v>
      </c>
      <c r="B114" s="25" t="s">
        <v>832</v>
      </c>
      <c r="C114" s="168">
        <v>0</v>
      </c>
      <c r="D114" s="133">
        <v>-3.9380000000000002</v>
      </c>
      <c r="E114" s="134">
        <v>-0.56399999999999995</v>
      </c>
      <c r="F114" s="135">
        <v>-6.3E-2</v>
      </c>
      <c r="G114" s="163">
        <v>11.97</v>
      </c>
      <c r="H114" s="164"/>
      <c r="I114" s="166"/>
      <c r="J114" s="37">
        <v>0.23</v>
      </c>
    </row>
    <row r="115" spans="1:10" ht="27.75" customHeight="1" x14ac:dyDescent="0.2">
      <c r="A115" s="161" t="s">
        <v>559</v>
      </c>
      <c r="B115" s="25" t="s">
        <v>833</v>
      </c>
      <c r="C115" s="168" t="s">
        <v>662</v>
      </c>
      <c r="D115" s="133">
        <v>3.778</v>
      </c>
      <c r="E115" s="134">
        <v>0.61899999999999999</v>
      </c>
      <c r="F115" s="135">
        <v>8.4000000000000005E-2</v>
      </c>
      <c r="G115" s="163">
        <v>2.95</v>
      </c>
      <c r="H115" s="164"/>
      <c r="I115" s="166"/>
      <c r="J115" s="38"/>
    </row>
    <row r="116" spans="1:10" ht="27.75" customHeight="1" x14ac:dyDescent="0.2">
      <c r="A116" s="161" t="s">
        <v>706</v>
      </c>
      <c r="B116" s="25" t="s">
        <v>834</v>
      </c>
      <c r="C116" s="168">
        <v>2</v>
      </c>
      <c r="D116" s="133">
        <v>3.778</v>
      </c>
      <c r="E116" s="134">
        <v>0.61899999999999999</v>
      </c>
      <c r="F116" s="135">
        <v>8.4000000000000005E-2</v>
      </c>
      <c r="G116" s="164"/>
      <c r="H116" s="164"/>
      <c r="I116" s="166"/>
      <c r="J116" s="38"/>
    </row>
    <row r="117" spans="1:10" ht="27.75" customHeight="1" x14ac:dyDescent="0.2">
      <c r="A117" s="161" t="s">
        <v>560</v>
      </c>
      <c r="B117" s="25" t="s">
        <v>835</v>
      </c>
      <c r="C117" s="168" t="s">
        <v>664</v>
      </c>
      <c r="D117" s="133">
        <v>2.9169999999999998</v>
      </c>
      <c r="E117" s="134">
        <v>0.47799999999999998</v>
      </c>
      <c r="F117" s="135">
        <v>6.4000000000000001E-2</v>
      </c>
      <c r="G117" s="163">
        <v>2.61</v>
      </c>
      <c r="H117" s="164"/>
      <c r="I117" s="166"/>
      <c r="J117" s="38"/>
    </row>
    <row r="118" spans="1:10" ht="27.75" customHeight="1" x14ac:dyDescent="0.2">
      <c r="A118" s="161" t="s">
        <v>561</v>
      </c>
      <c r="B118" s="25" t="s">
        <v>836</v>
      </c>
      <c r="C118" s="168" t="s">
        <v>664</v>
      </c>
      <c r="D118" s="133">
        <v>2.9169999999999998</v>
      </c>
      <c r="E118" s="134">
        <v>0.47799999999999998</v>
      </c>
      <c r="F118" s="135">
        <v>6.4000000000000001E-2</v>
      </c>
      <c r="G118" s="163">
        <v>3.1</v>
      </c>
      <c r="H118" s="164"/>
      <c r="I118" s="166"/>
      <c r="J118" s="38"/>
    </row>
    <row r="119" spans="1:10" ht="27.75" customHeight="1" x14ac:dyDescent="0.2">
      <c r="A119" s="161" t="s">
        <v>562</v>
      </c>
      <c r="B119" s="25" t="s">
        <v>837</v>
      </c>
      <c r="C119" s="168" t="s">
        <v>664</v>
      </c>
      <c r="D119" s="133">
        <v>2.9169999999999998</v>
      </c>
      <c r="E119" s="134">
        <v>0.47799999999999998</v>
      </c>
      <c r="F119" s="135">
        <v>6.4000000000000001E-2</v>
      </c>
      <c r="G119" s="163">
        <v>3.92</v>
      </c>
      <c r="H119" s="164"/>
      <c r="I119" s="166"/>
      <c r="J119" s="38"/>
    </row>
    <row r="120" spans="1:10" ht="27.75" customHeight="1" x14ac:dyDescent="0.2">
      <c r="A120" s="161" t="s">
        <v>563</v>
      </c>
      <c r="B120" s="25" t="s">
        <v>838</v>
      </c>
      <c r="C120" s="168" t="s">
        <v>664</v>
      </c>
      <c r="D120" s="133">
        <v>2.9169999999999998</v>
      </c>
      <c r="E120" s="134">
        <v>0.47799999999999998</v>
      </c>
      <c r="F120" s="135">
        <v>6.4000000000000001E-2</v>
      </c>
      <c r="G120" s="163">
        <v>5.24</v>
      </c>
      <c r="H120" s="164"/>
      <c r="I120" s="166"/>
      <c r="J120" s="38"/>
    </row>
    <row r="121" spans="1:10" ht="27.75" customHeight="1" x14ac:dyDescent="0.2">
      <c r="A121" s="161" t="s">
        <v>564</v>
      </c>
      <c r="B121" s="25" t="s">
        <v>839</v>
      </c>
      <c r="C121" s="168" t="s">
        <v>664</v>
      </c>
      <c r="D121" s="133">
        <v>2.9169999999999998</v>
      </c>
      <c r="E121" s="134">
        <v>0.47799999999999998</v>
      </c>
      <c r="F121" s="135">
        <v>6.4000000000000001E-2</v>
      </c>
      <c r="G121" s="163">
        <v>9.9499999999999993</v>
      </c>
      <c r="H121" s="164"/>
      <c r="I121" s="166"/>
      <c r="J121" s="38"/>
    </row>
    <row r="122" spans="1:10" ht="27.75" customHeight="1" x14ac:dyDescent="0.2">
      <c r="A122" s="161" t="s">
        <v>707</v>
      </c>
      <c r="B122" s="25" t="s">
        <v>840</v>
      </c>
      <c r="C122" s="168">
        <v>4</v>
      </c>
      <c r="D122" s="133">
        <v>2.9169999999999998</v>
      </c>
      <c r="E122" s="134">
        <v>0.47799999999999998</v>
      </c>
      <c r="F122" s="135">
        <v>6.4000000000000001E-2</v>
      </c>
      <c r="G122" s="164"/>
      <c r="H122" s="164"/>
      <c r="I122" s="166"/>
      <c r="J122" s="38"/>
    </row>
    <row r="123" spans="1:10" ht="27.75" customHeight="1" x14ac:dyDescent="0.2">
      <c r="A123" s="161" t="s">
        <v>467</v>
      </c>
      <c r="B123" s="25" t="s">
        <v>841</v>
      </c>
      <c r="C123" s="168">
        <v>0</v>
      </c>
      <c r="D123" s="133">
        <v>2.1360000000000001</v>
      </c>
      <c r="E123" s="134">
        <v>0.33300000000000002</v>
      </c>
      <c r="F123" s="135">
        <v>4.2000000000000003E-2</v>
      </c>
      <c r="G123" s="163">
        <v>6.23</v>
      </c>
      <c r="H123" s="163">
        <v>2.2000000000000002</v>
      </c>
      <c r="I123" s="167">
        <v>2.2000000000000002</v>
      </c>
      <c r="J123" s="37">
        <v>0.107</v>
      </c>
    </row>
    <row r="124" spans="1:10" ht="27.75" customHeight="1" x14ac:dyDescent="0.2">
      <c r="A124" s="161" t="s">
        <v>468</v>
      </c>
      <c r="B124" s="25" t="s">
        <v>842</v>
      </c>
      <c r="C124" s="168">
        <v>0</v>
      </c>
      <c r="D124" s="133">
        <v>2.1360000000000001</v>
      </c>
      <c r="E124" s="134">
        <v>0.33300000000000002</v>
      </c>
      <c r="F124" s="135">
        <v>4.2000000000000003E-2</v>
      </c>
      <c r="G124" s="163">
        <v>21.78</v>
      </c>
      <c r="H124" s="163">
        <v>2.2000000000000002</v>
      </c>
      <c r="I124" s="167">
        <v>2.2000000000000002</v>
      </c>
      <c r="J124" s="37">
        <v>0.107</v>
      </c>
    </row>
    <row r="125" spans="1:10" ht="27.75" customHeight="1" x14ac:dyDescent="0.2">
      <c r="A125" s="161" t="s">
        <v>469</v>
      </c>
      <c r="B125" s="25" t="s">
        <v>843</v>
      </c>
      <c r="C125" s="168">
        <v>0</v>
      </c>
      <c r="D125" s="133">
        <v>2.1360000000000001</v>
      </c>
      <c r="E125" s="134">
        <v>0.33300000000000002</v>
      </c>
      <c r="F125" s="135">
        <v>4.2000000000000003E-2</v>
      </c>
      <c r="G125" s="163">
        <v>30.83</v>
      </c>
      <c r="H125" s="163">
        <v>2.2000000000000002</v>
      </c>
      <c r="I125" s="167">
        <v>2.2000000000000002</v>
      </c>
      <c r="J125" s="37">
        <v>0.107</v>
      </c>
    </row>
    <row r="126" spans="1:10" ht="27.75" customHeight="1" x14ac:dyDescent="0.2">
      <c r="A126" s="161" t="s">
        <v>470</v>
      </c>
      <c r="B126" s="25" t="s">
        <v>844</v>
      </c>
      <c r="C126" s="168">
        <v>0</v>
      </c>
      <c r="D126" s="133">
        <v>2.1360000000000001</v>
      </c>
      <c r="E126" s="134">
        <v>0.33300000000000002</v>
      </c>
      <c r="F126" s="135">
        <v>4.2000000000000003E-2</v>
      </c>
      <c r="G126" s="163">
        <v>43.45</v>
      </c>
      <c r="H126" s="163">
        <v>2.2000000000000002</v>
      </c>
      <c r="I126" s="167">
        <v>2.2000000000000002</v>
      </c>
      <c r="J126" s="37">
        <v>0.107</v>
      </c>
    </row>
    <row r="127" spans="1:10" ht="27.75" customHeight="1" x14ac:dyDescent="0.2">
      <c r="A127" s="161" t="s">
        <v>471</v>
      </c>
      <c r="B127" s="25" t="s">
        <v>845</v>
      </c>
      <c r="C127" s="168">
        <v>0</v>
      </c>
      <c r="D127" s="133">
        <v>2.1360000000000001</v>
      </c>
      <c r="E127" s="134">
        <v>0.33300000000000002</v>
      </c>
      <c r="F127" s="135">
        <v>4.2000000000000003E-2</v>
      </c>
      <c r="G127" s="163">
        <v>92.68</v>
      </c>
      <c r="H127" s="163">
        <v>2.2000000000000002</v>
      </c>
      <c r="I127" s="167">
        <v>2.2000000000000002</v>
      </c>
      <c r="J127" s="37">
        <v>0.107</v>
      </c>
    </row>
    <row r="128" spans="1:10" ht="27.75" customHeight="1" x14ac:dyDescent="0.2">
      <c r="A128" s="161" t="s">
        <v>472</v>
      </c>
      <c r="B128" s="25" t="s">
        <v>846</v>
      </c>
      <c r="C128" s="168">
        <v>0</v>
      </c>
      <c r="D128" s="133">
        <v>2.089</v>
      </c>
      <c r="E128" s="134">
        <v>0.29899999999999999</v>
      </c>
      <c r="F128" s="135">
        <v>3.3000000000000002E-2</v>
      </c>
      <c r="G128" s="163">
        <v>8.06</v>
      </c>
      <c r="H128" s="163">
        <v>2.4500000000000002</v>
      </c>
      <c r="I128" s="167">
        <v>2.4500000000000002</v>
      </c>
      <c r="J128" s="37">
        <v>9.6000000000000002E-2</v>
      </c>
    </row>
    <row r="129" spans="1:10" ht="27.75" customHeight="1" x14ac:dyDescent="0.2">
      <c r="A129" s="161" t="s">
        <v>473</v>
      </c>
      <c r="B129" s="25" t="s">
        <v>847</v>
      </c>
      <c r="C129" s="168">
        <v>0</v>
      </c>
      <c r="D129" s="133">
        <v>2.089</v>
      </c>
      <c r="E129" s="134">
        <v>0.29899999999999999</v>
      </c>
      <c r="F129" s="135">
        <v>3.3000000000000002E-2</v>
      </c>
      <c r="G129" s="163">
        <v>31.96</v>
      </c>
      <c r="H129" s="163">
        <v>2.4500000000000002</v>
      </c>
      <c r="I129" s="167">
        <v>2.4500000000000002</v>
      </c>
      <c r="J129" s="37">
        <v>9.6000000000000002E-2</v>
      </c>
    </row>
    <row r="130" spans="1:10" ht="27.75" customHeight="1" x14ac:dyDescent="0.2">
      <c r="A130" s="161" t="s">
        <v>474</v>
      </c>
      <c r="B130" s="25" t="s">
        <v>848</v>
      </c>
      <c r="C130" s="168">
        <v>0</v>
      </c>
      <c r="D130" s="133">
        <v>2.089</v>
      </c>
      <c r="E130" s="134">
        <v>0.29899999999999999</v>
      </c>
      <c r="F130" s="135">
        <v>3.3000000000000002E-2</v>
      </c>
      <c r="G130" s="163">
        <v>45.86</v>
      </c>
      <c r="H130" s="163">
        <v>2.4500000000000002</v>
      </c>
      <c r="I130" s="167">
        <v>2.4500000000000002</v>
      </c>
      <c r="J130" s="37">
        <v>9.6000000000000002E-2</v>
      </c>
    </row>
    <row r="131" spans="1:10" ht="27.75" customHeight="1" x14ac:dyDescent="0.2">
      <c r="A131" s="161" t="s">
        <v>475</v>
      </c>
      <c r="B131" s="25" t="s">
        <v>849</v>
      </c>
      <c r="C131" s="168">
        <v>0</v>
      </c>
      <c r="D131" s="133">
        <v>2.089</v>
      </c>
      <c r="E131" s="134">
        <v>0.29899999999999999</v>
      </c>
      <c r="F131" s="135">
        <v>3.3000000000000002E-2</v>
      </c>
      <c r="G131" s="163">
        <v>65.260000000000005</v>
      </c>
      <c r="H131" s="163">
        <v>2.4500000000000002</v>
      </c>
      <c r="I131" s="167">
        <v>2.4500000000000002</v>
      </c>
      <c r="J131" s="37">
        <v>9.6000000000000002E-2</v>
      </c>
    </row>
    <row r="132" spans="1:10" ht="27.75" customHeight="1" x14ac:dyDescent="0.2">
      <c r="A132" s="161" t="s">
        <v>476</v>
      </c>
      <c r="B132" s="25" t="s">
        <v>850</v>
      </c>
      <c r="C132" s="168">
        <v>0</v>
      </c>
      <c r="D132" s="133">
        <v>2.089</v>
      </c>
      <c r="E132" s="134">
        <v>0.29899999999999999</v>
      </c>
      <c r="F132" s="135">
        <v>3.3000000000000002E-2</v>
      </c>
      <c r="G132" s="163">
        <v>140.91</v>
      </c>
      <c r="H132" s="163">
        <v>2.4500000000000002</v>
      </c>
      <c r="I132" s="167">
        <v>2.4500000000000002</v>
      </c>
      <c r="J132" s="37">
        <v>9.6000000000000002E-2</v>
      </c>
    </row>
    <row r="133" spans="1:10" ht="27.75" customHeight="1" x14ac:dyDescent="0.2">
      <c r="A133" s="161" t="s">
        <v>477</v>
      </c>
      <c r="B133" s="25" t="s">
        <v>851</v>
      </c>
      <c r="C133" s="168">
        <v>0</v>
      </c>
      <c r="D133" s="133">
        <v>1.9790000000000001</v>
      </c>
      <c r="E133" s="134">
        <v>0.26800000000000002</v>
      </c>
      <c r="F133" s="135">
        <v>2.8000000000000001E-2</v>
      </c>
      <c r="G133" s="163">
        <v>94.36</v>
      </c>
      <c r="H133" s="163">
        <v>2.38</v>
      </c>
      <c r="I133" s="167">
        <v>2.38</v>
      </c>
      <c r="J133" s="37">
        <v>8.5999999999999993E-2</v>
      </c>
    </row>
    <row r="134" spans="1:10" ht="27.75" customHeight="1" x14ac:dyDescent="0.2">
      <c r="A134" s="161" t="s">
        <v>478</v>
      </c>
      <c r="B134" s="25" t="s">
        <v>852</v>
      </c>
      <c r="C134" s="168">
        <v>0</v>
      </c>
      <c r="D134" s="133">
        <v>1.9790000000000001</v>
      </c>
      <c r="E134" s="134">
        <v>0.26800000000000002</v>
      </c>
      <c r="F134" s="135">
        <v>2.8000000000000001E-2</v>
      </c>
      <c r="G134" s="163">
        <v>325.5</v>
      </c>
      <c r="H134" s="163">
        <v>2.38</v>
      </c>
      <c r="I134" s="167">
        <v>2.38</v>
      </c>
      <c r="J134" s="37">
        <v>8.5999999999999993E-2</v>
      </c>
    </row>
    <row r="135" spans="1:10" ht="27.75" customHeight="1" x14ac:dyDescent="0.2">
      <c r="A135" s="161" t="s">
        <v>479</v>
      </c>
      <c r="B135" s="25" t="s">
        <v>853</v>
      </c>
      <c r="C135" s="168">
        <v>0</v>
      </c>
      <c r="D135" s="133">
        <v>1.9790000000000001</v>
      </c>
      <c r="E135" s="134">
        <v>0.26800000000000002</v>
      </c>
      <c r="F135" s="135">
        <v>2.8000000000000001E-2</v>
      </c>
      <c r="G135" s="163">
        <v>587.74</v>
      </c>
      <c r="H135" s="163">
        <v>2.38</v>
      </c>
      <c r="I135" s="167">
        <v>2.38</v>
      </c>
      <c r="J135" s="37">
        <v>8.5999999999999993E-2</v>
      </c>
    </row>
    <row r="136" spans="1:10" ht="27.75" customHeight="1" x14ac:dyDescent="0.2">
      <c r="A136" s="161" t="s">
        <v>480</v>
      </c>
      <c r="B136" s="25" t="s">
        <v>854</v>
      </c>
      <c r="C136" s="168">
        <v>0</v>
      </c>
      <c r="D136" s="133">
        <v>1.9790000000000001</v>
      </c>
      <c r="E136" s="134">
        <v>0.26800000000000002</v>
      </c>
      <c r="F136" s="135">
        <v>2.8000000000000001E-2</v>
      </c>
      <c r="G136" s="163">
        <v>965.63</v>
      </c>
      <c r="H136" s="163">
        <v>2.38</v>
      </c>
      <c r="I136" s="167">
        <v>2.38</v>
      </c>
      <c r="J136" s="37">
        <v>8.5999999999999993E-2</v>
      </c>
    </row>
    <row r="137" spans="1:10" ht="27.75" customHeight="1" x14ac:dyDescent="0.2">
      <c r="A137" s="161" t="s">
        <v>481</v>
      </c>
      <c r="B137" s="25" t="s">
        <v>855</v>
      </c>
      <c r="C137" s="168">
        <v>0</v>
      </c>
      <c r="D137" s="133">
        <v>1.9790000000000001</v>
      </c>
      <c r="E137" s="134">
        <v>0.26800000000000002</v>
      </c>
      <c r="F137" s="135">
        <v>2.8000000000000001E-2</v>
      </c>
      <c r="G137" s="163">
        <v>2637.37</v>
      </c>
      <c r="H137" s="163">
        <v>2.38</v>
      </c>
      <c r="I137" s="167">
        <v>2.38</v>
      </c>
      <c r="J137" s="37">
        <v>8.5999999999999993E-2</v>
      </c>
    </row>
    <row r="138" spans="1:10" ht="27.75" customHeight="1" x14ac:dyDescent="0.2">
      <c r="A138" s="161" t="s">
        <v>708</v>
      </c>
      <c r="B138" s="25" t="s">
        <v>856</v>
      </c>
      <c r="C138" s="168" t="s">
        <v>670</v>
      </c>
      <c r="D138" s="136">
        <v>11.127000000000001</v>
      </c>
      <c r="E138" s="137">
        <v>1.1459999999999999</v>
      </c>
      <c r="F138" s="135">
        <v>0.66500000000000004</v>
      </c>
      <c r="G138" s="164"/>
      <c r="H138" s="164"/>
      <c r="I138" s="166"/>
      <c r="J138" s="38"/>
    </row>
    <row r="139" spans="1:10" ht="27.75" customHeight="1" x14ac:dyDescent="0.2">
      <c r="A139" s="161" t="s">
        <v>709</v>
      </c>
      <c r="B139" s="25" t="s">
        <v>857</v>
      </c>
      <c r="C139" s="168" t="s">
        <v>672</v>
      </c>
      <c r="D139" s="133">
        <v>-3.371</v>
      </c>
      <c r="E139" s="134">
        <v>-0.55200000000000005</v>
      </c>
      <c r="F139" s="135">
        <v>-7.4999999999999997E-2</v>
      </c>
      <c r="G139" s="163">
        <v>0</v>
      </c>
      <c r="H139" s="164"/>
      <c r="I139" s="166"/>
      <c r="J139" s="38"/>
    </row>
    <row r="140" spans="1:10" ht="27.75" customHeight="1" x14ac:dyDescent="0.2">
      <c r="A140" s="161" t="s">
        <v>710</v>
      </c>
      <c r="B140" s="25" t="s">
        <v>858</v>
      </c>
      <c r="C140" s="168">
        <v>0</v>
      </c>
      <c r="D140" s="133">
        <v>-2.97</v>
      </c>
      <c r="E140" s="134">
        <v>-0.47</v>
      </c>
      <c r="F140" s="135">
        <v>-6.0999999999999999E-2</v>
      </c>
      <c r="G140" s="163">
        <v>0</v>
      </c>
      <c r="H140" s="164"/>
      <c r="I140" s="166"/>
      <c r="J140" s="38"/>
    </row>
    <row r="141" spans="1:10" ht="27.75" customHeight="1" x14ac:dyDescent="0.2">
      <c r="A141" s="161" t="s">
        <v>711</v>
      </c>
      <c r="B141" s="25" t="s">
        <v>859</v>
      </c>
      <c r="C141" s="168">
        <v>0</v>
      </c>
      <c r="D141" s="133">
        <v>-3.371</v>
      </c>
      <c r="E141" s="134">
        <v>-0.55200000000000005</v>
      </c>
      <c r="F141" s="135">
        <v>-7.4999999999999997E-2</v>
      </c>
      <c r="G141" s="163">
        <v>0</v>
      </c>
      <c r="H141" s="164"/>
      <c r="I141" s="166"/>
      <c r="J141" s="37">
        <v>0.192</v>
      </c>
    </row>
    <row r="142" spans="1:10" ht="27.75" customHeight="1" x14ac:dyDescent="0.2">
      <c r="A142" s="161" t="s">
        <v>712</v>
      </c>
      <c r="B142" s="25" t="s">
        <v>860</v>
      </c>
      <c r="C142" s="168">
        <v>0</v>
      </c>
      <c r="D142" s="133">
        <v>-2.97</v>
      </c>
      <c r="E142" s="134">
        <v>-0.47</v>
      </c>
      <c r="F142" s="135">
        <v>-6.0999999999999999E-2</v>
      </c>
      <c r="G142" s="163">
        <v>0</v>
      </c>
      <c r="H142" s="164"/>
      <c r="I142" s="166"/>
      <c r="J142" s="37">
        <v>0.15</v>
      </c>
    </row>
    <row r="143" spans="1:10" ht="27.75" customHeight="1" x14ac:dyDescent="0.2">
      <c r="A143" s="161" t="s">
        <v>713</v>
      </c>
      <c r="B143" s="25" t="s">
        <v>861</v>
      </c>
      <c r="C143" s="168">
        <v>0</v>
      </c>
      <c r="D143" s="133">
        <v>-2.9729999999999999</v>
      </c>
      <c r="E143" s="134">
        <v>-0.42599999999999999</v>
      </c>
      <c r="F143" s="135">
        <v>-4.7E-2</v>
      </c>
      <c r="G143" s="163">
        <v>9.0399999999999991</v>
      </c>
      <c r="H143" s="164"/>
      <c r="I143" s="166"/>
      <c r="J143" s="37">
        <v>0.17299999999999999</v>
      </c>
    </row>
    <row r="144" spans="1:10" ht="27.75" customHeight="1" x14ac:dyDescent="0.2">
      <c r="A144" s="161" t="s">
        <v>565</v>
      </c>
      <c r="B144" s="25" t="s">
        <v>862</v>
      </c>
      <c r="C144" s="168" t="s">
        <v>662</v>
      </c>
      <c r="D144" s="133">
        <v>2.581</v>
      </c>
      <c r="E144" s="134">
        <v>0.42299999999999999</v>
      </c>
      <c r="F144" s="135">
        <v>5.7000000000000002E-2</v>
      </c>
      <c r="G144" s="163">
        <v>2.02</v>
      </c>
      <c r="H144" s="164"/>
      <c r="I144" s="166"/>
      <c r="J144" s="38"/>
    </row>
    <row r="145" spans="1:10" ht="27.75" customHeight="1" x14ac:dyDescent="0.2">
      <c r="A145" s="161" t="s">
        <v>714</v>
      </c>
      <c r="B145" s="25" t="s">
        <v>863</v>
      </c>
      <c r="C145" s="168">
        <v>2</v>
      </c>
      <c r="D145" s="133">
        <v>2.581</v>
      </c>
      <c r="E145" s="134">
        <v>0.42299999999999999</v>
      </c>
      <c r="F145" s="135">
        <v>5.7000000000000002E-2</v>
      </c>
      <c r="G145" s="164"/>
      <c r="H145" s="164"/>
      <c r="I145" s="166"/>
      <c r="J145" s="38"/>
    </row>
    <row r="146" spans="1:10" ht="27.75" customHeight="1" x14ac:dyDescent="0.2">
      <c r="A146" s="161" t="s">
        <v>566</v>
      </c>
      <c r="B146" s="25" t="s">
        <v>864</v>
      </c>
      <c r="C146" s="168" t="s">
        <v>664</v>
      </c>
      <c r="D146" s="133">
        <v>1.9930000000000001</v>
      </c>
      <c r="E146" s="134">
        <v>0.32600000000000001</v>
      </c>
      <c r="F146" s="135">
        <v>4.3999999999999997E-2</v>
      </c>
      <c r="G146" s="163">
        <v>1.78</v>
      </c>
      <c r="H146" s="164"/>
      <c r="I146" s="166"/>
      <c r="J146" s="38"/>
    </row>
    <row r="147" spans="1:10" ht="27.75" customHeight="1" x14ac:dyDescent="0.2">
      <c r="A147" s="161" t="s">
        <v>567</v>
      </c>
      <c r="B147" s="25" t="s">
        <v>865</v>
      </c>
      <c r="C147" s="168" t="s">
        <v>664</v>
      </c>
      <c r="D147" s="133">
        <v>1.9930000000000001</v>
      </c>
      <c r="E147" s="134">
        <v>0.32600000000000001</v>
      </c>
      <c r="F147" s="135">
        <v>4.3999999999999997E-2</v>
      </c>
      <c r="G147" s="163">
        <v>2.12</v>
      </c>
      <c r="H147" s="164"/>
      <c r="I147" s="166"/>
      <c r="J147" s="38"/>
    </row>
    <row r="148" spans="1:10" ht="27.75" customHeight="1" x14ac:dyDescent="0.2">
      <c r="A148" s="161" t="s">
        <v>568</v>
      </c>
      <c r="B148" s="25" t="s">
        <v>866</v>
      </c>
      <c r="C148" s="168" t="s">
        <v>664</v>
      </c>
      <c r="D148" s="133">
        <v>1.9930000000000001</v>
      </c>
      <c r="E148" s="134">
        <v>0.32600000000000001</v>
      </c>
      <c r="F148" s="135">
        <v>4.3999999999999997E-2</v>
      </c>
      <c r="G148" s="163">
        <v>2.68</v>
      </c>
      <c r="H148" s="164"/>
      <c r="I148" s="166"/>
      <c r="J148" s="38"/>
    </row>
    <row r="149" spans="1:10" ht="27.75" customHeight="1" x14ac:dyDescent="0.2">
      <c r="A149" s="161" t="s">
        <v>569</v>
      </c>
      <c r="B149" s="25" t="s">
        <v>867</v>
      </c>
      <c r="C149" s="168" t="s">
        <v>664</v>
      </c>
      <c r="D149" s="133">
        <v>1.9930000000000001</v>
      </c>
      <c r="E149" s="134">
        <v>0.32600000000000001</v>
      </c>
      <c r="F149" s="135">
        <v>4.3999999999999997E-2</v>
      </c>
      <c r="G149" s="163">
        <v>3.58</v>
      </c>
      <c r="H149" s="164"/>
      <c r="I149" s="166"/>
      <c r="J149" s="38"/>
    </row>
    <row r="150" spans="1:10" ht="27.75" customHeight="1" x14ac:dyDescent="0.2">
      <c r="A150" s="161" t="s">
        <v>570</v>
      </c>
      <c r="B150" s="25" t="s">
        <v>868</v>
      </c>
      <c r="C150" s="168" t="s">
        <v>664</v>
      </c>
      <c r="D150" s="133">
        <v>1.9930000000000001</v>
      </c>
      <c r="E150" s="134">
        <v>0.32600000000000001</v>
      </c>
      <c r="F150" s="135">
        <v>4.3999999999999997E-2</v>
      </c>
      <c r="G150" s="163">
        <v>6.8</v>
      </c>
      <c r="H150" s="164"/>
      <c r="I150" s="166"/>
      <c r="J150" s="38"/>
    </row>
    <row r="151" spans="1:10" ht="27.75" customHeight="1" x14ac:dyDescent="0.2">
      <c r="A151" s="161" t="s">
        <v>715</v>
      </c>
      <c r="B151" s="25" t="s">
        <v>869</v>
      </c>
      <c r="C151" s="168">
        <v>4</v>
      </c>
      <c r="D151" s="133">
        <v>1.9930000000000001</v>
      </c>
      <c r="E151" s="134">
        <v>0.32600000000000001</v>
      </c>
      <c r="F151" s="135">
        <v>4.3999999999999997E-2</v>
      </c>
      <c r="G151" s="164"/>
      <c r="H151" s="164"/>
      <c r="I151" s="166"/>
      <c r="J151" s="38"/>
    </row>
    <row r="152" spans="1:10" ht="27.75" customHeight="1" x14ac:dyDescent="0.2">
      <c r="A152" s="161" t="s">
        <v>452</v>
      </c>
      <c r="B152" s="25" t="s">
        <v>870</v>
      </c>
      <c r="C152" s="168">
        <v>0</v>
      </c>
      <c r="D152" s="133">
        <v>1.4590000000000001</v>
      </c>
      <c r="E152" s="134">
        <v>0.22700000000000001</v>
      </c>
      <c r="F152" s="135">
        <v>2.9000000000000001E-2</v>
      </c>
      <c r="G152" s="163">
        <v>4.26</v>
      </c>
      <c r="H152" s="163">
        <v>1.5</v>
      </c>
      <c r="I152" s="167">
        <v>1.5</v>
      </c>
      <c r="J152" s="37">
        <v>7.2999999999999995E-2</v>
      </c>
    </row>
    <row r="153" spans="1:10" ht="27.75" customHeight="1" x14ac:dyDescent="0.2">
      <c r="A153" s="161" t="s">
        <v>453</v>
      </c>
      <c r="B153" s="25" t="s">
        <v>871</v>
      </c>
      <c r="C153" s="168">
        <v>0</v>
      </c>
      <c r="D153" s="133">
        <v>1.4590000000000001</v>
      </c>
      <c r="E153" s="134">
        <v>0.22700000000000001</v>
      </c>
      <c r="F153" s="135">
        <v>2.9000000000000001E-2</v>
      </c>
      <c r="G153" s="163">
        <v>14.88</v>
      </c>
      <c r="H153" s="163">
        <v>1.5</v>
      </c>
      <c r="I153" s="167">
        <v>1.5</v>
      </c>
      <c r="J153" s="37">
        <v>7.2999999999999995E-2</v>
      </c>
    </row>
    <row r="154" spans="1:10" ht="27.75" customHeight="1" x14ac:dyDescent="0.2">
      <c r="A154" s="161" t="s">
        <v>454</v>
      </c>
      <c r="B154" s="25" t="s">
        <v>872</v>
      </c>
      <c r="C154" s="168">
        <v>0</v>
      </c>
      <c r="D154" s="133">
        <v>1.4590000000000001</v>
      </c>
      <c r="E154" s="134">
        <v>0.22700000000000001</v>
      </c>
      <c r="F154" s="135">
        <v>2.9000000000000001E-2</v>
      </c>
      <c r="G154" s="163">
        <v>21.06</v>
      </c>
      <c r="H154" s="163">
        <v>1.5</v>
      </c>
      <c r="I154" s="167">
        <v>1.5</v>
      </c>
      <c r="J154" s="37">
        <v>7.2999999999999995E-2</v>
      </c>
    </row>
    <row r="155" spans="1:10" ht="27.75" customHeight="1" x14ac:dyDescent="0.2">
      <c r="A155" s="161" t="s">
        <v>455</v>
      </c>
      <c r="B155" s="25" t="s">
        <v>873</v>
      </c>
      <c r="C155" s="168">
        <v>0</v>
      </c>
      <c r="D155" s="133">
        <v>1.4590000000000001</v>
      </c>
      <c r="E155" s="134">
        <v>0.22700000000000001</v>
      </c>
      <c r="F155" s="135">
        <v>2.9000000000000001E-2</v>
      </c>
      <c r="G155" s="163">
        <v>29.68</v>
      </c>
      <c r="H155" s="163">
        <v>1.5</v>
      </c>
      <c r="I155" s="167">
        <v>1.5</v>
      </c>
      <c r="J155" s="37">
        <v>7.2999999999999995E-2</v>
      </c>
    </row>
    <row r="156" spans="1:10" ht="27.75" customHeight="1" x14ac:dyDescent="0.2">
      <c r="A156" s="161" t="s">
        <v>456</v>
      </c>
      <c r="B156" s="25" t="s">
        <v>874</v>
      </c>
      <c r="C156" s="168">
        <v>0</v>
      </c>
      <c r="D156" s="133">
        <v>1.4590000000000001</v>
      </c>
      <c r="E156" s="134">
        <v>0.22700000000000001</v>
      </c>
      <c r="F156" s="135">
        <v>2.9000000000000001E-2</v>
      </c>
      <c r="G156" s="163">
        <v>63.31</v>
      </c>
      <c r="H156" s="163">
        <v>1.5</v>
      </c>
      <c r="I156" s="167">
        <v>1.5</v>
      </c>
      <c r="J156" s="37">
        <v>7.2999999999999995E-2</v>
      </c>
    </row>
    <row r="157" spans="1:10" ht="27.75" customHeight="1" x14ac:dyDescent="0.2">
      <c r="A157" s="161" t="s">
        <v>457</v>
      </c>
      <c r="B157" s="25" t="s">
        <v>875</v>
      </c>
      <c r="C157" s="168">
        <v>0</v>
      </c>
      <c r="D157" s="133">
        <v>1.427</v>
      </c>
      <c r="E157" s="134">
        <v>0.20399999999999999</v>
      </c>
      <c r="F157" s="135">
        <v>2.3E-2</v>
      </c>
      <c r="G157" s="163">
        <v>5.5</v>
      </c>
      <c r="H157" s="163">
        <v>1.68</v>
      </c>
      <c r="I157" s="167">
        <v>1.68</v>
      </c>
      <c r="J157" s="37">
        <v>6.6000000000000003E-2</v>
      </c>
    </row>
    <row r="158" spans="1:10" ht="27.75" customHeight="1" x14ac:dyDescent="0.2">
      <c r="A158" s="161" t="s">
        <v>458</v>
      </c>
      <c r="B158" s="25" t="s">
        <v>876</v>
      </c>
      <c r="C158" s="168">
        <v>0</v>
      </c>
      <c r="D158" s="133">
        <v>1.427</v>
      </c>
      <c r="E158" s="134">
        <v>0.20399999999999999</v>
      </c>
      <c r="F158" s="135">
        <v>2.3E-2</v>
      </c>
      <c r="G158" s="163">
        <v>21.83</v>
      </c>
      <c r="H158" s="163">
        <v>1.68</v>
      </c>
      <c r="I158" s="167">
        <v>1.68</v>
      </c>
      <c r="J158" s="37">
        <v>6.6000000000000003E-2</v>
      </c>
    </row>
    <row r="159" spans="1:10" ht="27.75" customHeight="1" x14ac:dyDescent="0.2">
      <c r="A159" s="161" t="s">
        <v>459</v>
      </c>
      <c r="B159" s="25" t="s">
        <v>877</v>
      </c>
      <c r="C159" s="168">
        <v>0</v>
      </c>
      <c r="D159" s="133">
        <v>1.427</v>
      </c>
      <c r="E159" s="134">
        <v>0.20399999999999999</v>
      </c>
      <c r="F159" s="135">
        <v>2.3E-2</v>
      </c>
      <c r="G159" s="163">
        <v>31.32</v>
      </c>
      <c r="H159" s="163">
        <v>1.68</v>
      </c>
      <c r="I159" s="167">
        <v>1.68</v>
      </c>
      <c r="J159" s="37">
        <v>6.6000000000000003E-2</v>
      </c>
    </row>
    <row r="160" spans="1:10" ht="27.75" customHeight="1" x14ac:dyDescent="0.2">
      <c r="A160" s="161" t="s">
        <v>460</v>
      </c>
      <c r="B160" s="25" t="s">
        <v>878</v>
      </c>
      <c r="C160" s="168">
        <v>0</v>
      </c>
      <c r="D160" s="133">
        <v>1.427</v>
      </c>
      <c r="E160" s="134">
        <v>0.20399999999999999</v>
      </c>
      <c r="F160" s="135">
        <v>2.3E-2</v>
      </c>
      <c r="G160" s="163">
        <v>44.58</v>
      </c>
      <c r="H160" s="163">
        <v>1.68</v>
      </c>
      <c r="I160" s="167">
        <v>1.68</v>
      </c>
      <c r="J160" s="37">
        <v>6.6000000000000003E-2</v>
      </c>
    </row>
    <row r="161" spans="1:10" ht="27.75" customHeight="1" x14ac:dyDescent="0.2">
      <c r="A161" s="161" t="s">
        <v>461</v>
      </c>
      <c r="B161" s="25" t="s">
        <v>879</v>
      </c>
      <c r="C161" s="168">
        <v>0</v>
      </c>
      <c r="D161" s="133">
        <v>1.427</v>
      </c>
      <c r="E161" s="134">
        <v>0.20399999999999999</v>
      </c>
      <c r="F161" s="135">
        <v>2.3E-2</v>
      </c>
      <c r="G161" s="163">
        <v>96.25</v>
      </c>
      <c r="H161" s="163">
        <v>1.68</v>
      </c>
      <c r="I161" s="167">
        <v>1.68</v>
      </c>
      <c r="J161" s="37">
        <v>6.6000000000000003E-2</v>
      </c>
    </row>
    <row r="162" spans="1:10" ht="27.75" customHeight="1" x14ac:dyDescent="0.2">
      <c r="A162" s="161" t="s">
        <v>462</v>
      </c>
      <c r="B162" s="25" t="s">
        <v>880</v>
      </c>
      <c r="C162" s="168">
        <v>0</v>
      </c>
      <c r="D162" s="133">
        <v>1.3520000000000001</v>
      </c>
      <c r="E162" s="134">
        <v>0.183</v>
      </c>
      <c r="F162" s="135">
        <v>1.9E-2</v>
      </c>
      <c r="G162" s="163">
        <v>64.459999999999994</v>
      </c>
      <c r="H162" s="163">
        <v>1.62</v>
      </c>
      <c r="I162" s="167">
        <v>1.62</v>
      </c>
      <c r="J162" s="37">
        <v>5.8999999999999997E-2</v>
      </c>
    </row>
    <row r="163" spans="1:10" ht="27.75" customHeight="1" x14ac:dyDescent="0.2">
      <c r="A163" s="161" t="s">
        <v>463</v>
      </c>
      <c r="B163" s="25" t="s">
        <v>881</v>
      </c>
      <c r="C163" s="168">
        <v>0</v>
      </c>
      <c r="D163" s="133">
        <v>1.3520000000000001</v>
      </c>
      <c r="E163" s="134">
        <v>0.183</v>
      </c>
      <c r="F163" s="135">
        <v>1.9E-2</v>
      </c>
      <c r="G163" s="163">
        <v>222.35</v>
      </c>
      <c r="H163" s="163">
        <v>1.62</v>
      </c>
      <c r="I163" s="167">
        <v>1.62</v>
      </c>
      <c r="J163" s="37">
        <v>5.8999999999999997E-2</v>
      </c>
    </row>
    <row r="164" spans="1:10" ht="27.75" customHeight="1" x14ac:dyDescent="0.2">
      <c r="A164" s="161" t="s">
        <v>464</v>
      </c>
      <c r="B164" s="25" t="s">
        <v>882</v>
      </c>
      <c r="C164" s="168">
        <v>0</v>
      </c>
      <c r="D164" s="133">
        <v>1.3520000000000001</v>
      </c>
      <c r="E164" s="134">
        <v>0.183</v>
      </c>
      <c r="F164" s="135">
        <v>1.9E-2</v>
      </c>
      <c r="G164" s="163">
        <v>401.49</v>
      </c>
      <c r="H164" s="163">
        <v>1.62</v>
      </c>
      <c r="I164" s="167">
        <v>1.62</v>
      </c>
      <c r="J164" s="37">
        <v>5.8999999999999997E-2</v>
      </c>
    </row>
    <row r="165" spans="1:10" ht="27.75" customHeight="1" x14ac:dyDescent="0.2">
      <c r="A165" s="161" t="s">
        <v>465</v>
      </c>
      <c r="B165" s="25" t="s">
        <v>883</v>
      </c>
      <c r="C165" s="168">
        <v>0</v>
      </c>
      <c r="D165" s="133">
        <v>1.3520000000000001</v>
      </c>
      <c r="E165" s="134">
        <v>0.183</v>
      </c>
      <c r="F165" s="135">
        <v>1.9E-2</v>
      </c>
      <c r="G165" s="163">
        <v>659.62</v>
      </c>
      <c r="H165" s="163">
        <v>1.62</v>
      </c>
      <c r="I165" s="167">
        <v>1.62</v>
      </c>
      <c r="J165" s="37">
        <v>5.8999999999999997E-2</v>
      </c>
    </row>
    <row r="166" spans="1:10" ht="27.75" customHeight="1" x14ac:dyDescent="0.2">
      <c r="A166" s="161" t="s">
        <v>466</v>
      </c>
      <c r="B166" s="25" t="s">
        <v>884</v>
      </c>
      <c r="C166" s="168">
        <v>0</v>
      </c>
      <c r="D166" s="133">
        <v>1.3520000000000001</v>
      </c>
      <c r="E166" s="134">
        <v>0.183</v>
      </c>
      <c r="F166" s="135">
        <v>1.9E-2</v>
      </c>
      <c r="G166" s="163">
        <v>1801.6</v>
      </c>
      <c r="H166" s="163">
        <v>1.62</v>
      </c>
      <c r="I166" s="167">
        <v>1.62</v>
      </c>
      <c r="J166" s="37">
        <v>5.8999999999999997E-2</v>
      </c>
    </row>
    <row r="167" spans="1:10" ht="27.75" customHeight="1" x14ac:dyDescent="0.2">
      <c r="A167" s="161" t="s">
        <v>716</v>
      </c>
      <c r="B167" s="25" t="s">
        <v>885</v>
      </c>
      <c r="C167" s="168" t="s">
        <v>670</v>
      </c>
      <c r="D167" s="136">
        <v>7.601</v>
      </c>
      <c r="E167" s="137">
        <v>0.78300000000000003</v>
      </c>
      <c r="F167" s="135">
        <v>0.45400000000000001</v>
      </c>
      <c r="G167" s="164"/>
      <c r="H167" s="164"/>
      <c r="I167" s="166"/>
      <c r="J167" s="38"/>
    </row>
    <row r="168" spans="1:10" ht="27.75" customHeight="1" x14ac:dyDescent="0.2">
      <c r="A168" s="161" t="s">
        <v>717</v>
      </c>
      <c r="B168" s="25" t="s">
        <v>886</v>
      </c>
      <c r="C168" s="168" t="s">
        <v>672</v>
      </c>
      <c r="D168" s="133">
        <v>-2.3029999999999999</v>
      </c>
      <c r="E168" s="134">
        <v>-0.377</v>
      </c>
      <c r="F168" s="135">
        <v>-5.0999999999999997E-2</v>
      </c>
      <c r="G168" s="163">
        <v>0</v>
      </c>
      <c r="H168" s="164"/>
      <c r="I168" s="166"/>
      <c r="J168" s="38"/>
    </row>
    <row r="169" spans="1:10" ht="27.75" customHeight="1" x14ac:dyDescent="0.2">
      <c r="A169" s="161" t="s">
        <v>718</v>
      </c>
      <c r="B169" s="25" t="s">
        <v>887</v>
      </c>
      <c r="C169" s="168">
        <v>0</v>
      </c>
      <c r="D169" s="133">
        <v>-2.0289999999999999</v>
      </c>
      <c r="E169" s="134">
        <v>-0.32100000000000001</v>
      </c>
      <c r="F169" s="135">
        <v>-4.1000000000000002E-2</v>
      </c>
      <c r="G169" s="163">
        <v>0</v>
      </c>
      <c r="H169" s="164"/>
      <c r="I169" s="166"/>
      <c r="J169" s="38"/>
    </row>
    <row r="170" spans="1:10" ht="27.75" customHeight="1" x14ac:dyDescent="0.2">
      <c r="A170" s="161" t="s">
        <v>719</v>
      </c>
      <c r="B170" s="25" t="s">
        <v>888</v>
      </c>
      <c r="C170" s="168">
        <v>0</v>
      </c>
      <c r="D170" s="133">
        <v>-2.3029999999999999</v>
      </c>
      <c r="E170" s="134">
        <v>-0.377</v>
      </c>
      <c r="F170" s="135">
        <v>-5.0999999999999997E-2</v>
      </c>
      <c r="G170" s="163">
        <v>0</v>
      </c>
      <c r="H170" s="164"/>
      <c r="I170" s="166"/>
      <c r="J170" s="37">
        <v>0.13100000000000001</v>
      </c>
    </row>
    <row r="171" spans="1:10" ht="27.75" customHeight="1" x14ac:dyDescent="0.2">
      <c r="A171" s="161" t="s">
        <v>720</v>
      </c>
      <c r="B171" s="25" t="s">
        <v>889</v>
      </c>
      <c r="C171" s="168">
        <v>0</v>
      </c>
      <c r="D171" s="133">
        <v>-2.0289999999999999</v>
      </c>
      <c r="E171" s="134">
        <v>-0.32100000000000001</v>
      </c>
      <c r="F171" s="135">
        <v>-4.1000000000000002E-2</v>
      </c>
      <c r="G171" s="163">
        <v>0</v>
      </c>
      <c r="H171" s="164"/>
      <c r="I171" s="166"/>
      <c r="J171" s="37">
        <v>0.10299999999999999</v>
      </c>
    </row>
    <row r="172" spans="1:10" ht="27.75" customHeight="1" x14ac:dyDescent="0.2">
      <c r="A172" s="161" t="s">
        <v>721</v>
      </c>
      <c r="B172" s="25" t="s">
        <v>890</v>
      </c>
      <c r="C172" s="168">
        <v>0</v>
      </c>
      <c r="D172" s="133">
        <v>-2.0310000000000001</v>
      </c>
      <c r="E172" s="134">
        <v>-0.29099999999999998</v>
      </c>
      <c r="F172" s="135">
        <v>-3.2000000000000001E-2</v>
      </c>
      <c r="G172" s="163">
        <v>6.17</v>
      </c>
      <c r="H172" s="164"/>
      <c r="I172" s="166"/>
      <c r="J172" s="37">
        <v>0.11799999999999999</v>
      </c>
    </row>
    <row r="173" spans="1:10" ht="27.75" customHeight="1" x14ac:dyDescent="0.2">
      <c r="A173" s="161" t="s">
        <v>571</v>
      </c>
      <c r="B173" s="25" t="s">
        <v>891</v>
      </c>
      <c r="C173" s="168" t="s">
        <v>662</v>
      </c>
      <c r="D173" s="133">
        <v>0.67200000000000004</v>
      </c>
      <c r="E173" s="134">
        <v>0.11</v>
      </c>
      <c r="F173" s="135">
        <v>1.4999999999999999E-2</v>
      </c>
      <c r="G173" s="163">
        <v>0.52</v>
      </c>
      <c r="H173" s="164"/>
      <c r="I173" s="166"/>
      <c r="J173" s="38"/>
    </row>
    <row r="174" spans="1:10" ht="27.75" customHeight="1" x14ac:dyDescent="0.2">
      <c r="A174" s="161" t="s">
        <v>722</v>
      </c>
      <c r="B174" s="25" t="s">
        <v>892</v>
      </c>
      <c r="C174" s="168">
        <v>2</v>
      </c>
      <c r="D174" s="133">
        <v>0.67200000000000004</v>
      </c>
      <c r="E174" s="134">
        <v>0.11</v>
      </c>
      <c r="F174" s="135">
        <v>1.4999999999999999E-2</v>
      </c>
      <c r="G174" s="164"/>
      <c r="H174" s="164"/>
      <c r="I174" s="166"/>
      <c r="J174" s="38"/>
    </row>
    <row r="175" spans="1:10" ht="27.75" customHeight="1" x14ac:dyDescent="0.2">
      <c r="A175" s="161" t="s">
        <v>572</v>
      </c>
      <c r="B175" s="25" t="s">
        <v>893</v>
      </c>
      <c r="C175" s="168" t="s">
        <v>664</v>
      </c>
      <c r="D175" s="133">
        <v>0.51900000000000002</v>
      </c>
      <c r="E175" s="134">
        <v>8.5000000000000006E-2</v>
      </c>
      <c r="F175" s="135">
        <v>1.0999999999999999E-2</v>
      </c>
      <c r="G175" s="163">
        <v>0.46</v>
      </c>
      <c r="H175" s="164"/>
      <c r="I175" s="166"/>
      <c r="J175" s="38"/>
    </row>
    <row r="176" spans="1:10" ht="27.75" customHeight="1" x14ac:dyDescent="0.2">
      <c r="A176" s="161" t="s">
        <v>573</v>
      </c>
      <c r="B176" s="25" t="s">
        <v>894</v>
      </c>
      <c r="C176" s="168" t="s">
        <v>664</v>
      </c>
      <c r="D176" s="133">
        <v>0.51900000000000002</v>
      </c>
      <c r="E176" s="134">
        <v>8.5000000000000006E-2</v>
      </c>
      <c r="F176" s="135">
        <v>1.0999999999999999E-2</v>
      </c>
      <c r="G176" s="163">
        <v>0.55000000000000004</v>
      </c>
      <c r="H176" s="164"/>
      <c r="I176" s="166"/>
      <c r="J176" s="38"/>
    </row>
    <row r="177" spans="1:10" ht="27.75" customHeight="1" x14ac:dyDescent="0.2">
      <c r="A177" s="161" t="s">
        <v>574</v>
      </c>
      <c r="B177" s="25" t="s">
        <v>895</v>
      </c>
      <c r="C177" s="168" t="s">
        <v>664</v>
      </c>
      <c r="D177" s="133">
        <v>0.51900000000000002</v>
      </c>
      <c r="E177" s="134">
        <v>8.5000000000000006E-2</v>
      </c>
      <c r="F177" s="135">
        <v>1.0999999999999999E-2</v>
      </c>
      <c r="G177" s="163">
        <v>0.7</v>
      </c>
      <c r="H177" s="164"/>
      <c r="I177" s="166"/>
      <c r="J177" s="38"/>
    </row>
    <row r="178" spans="1:10" ht="27.75" customHeight="1" x14ac:dyDescent="0.2">
      <c r="A178" s="161" t="s">
        <v>575</v>
      </c>
      <c r="B178" s="25" t="s">
        <v>896</v>
      </c>
      <c r="C178" s="168" t="s">
        <v>664</v>
      </c>
      <c r="D178" s="133">
        <v>0.51900000000000002</v>
      </c>
      <c r="E178" s="134">
        <v>8.5000000000000006E-2</v>
      </c>
      <c r="F178" s="135">
        <v>1.0999999999999999E-2</v>
      </c>
      <c r="G178" s="163">
        <v>0.93</v>
      </c>
      <c r="H178" s="164"/>
      <c r="I178" s="166"/>
      <c r="J178" s="38"/>
    </row>
    <row r="179" spans="1:10" ht="27.75" customHeight="1" x14ac:dyDescent="0.2">
      <c r="A179" s="161" t="s">
        <v>576</v>
      </c>
      <c r="B179" s="25" t="s">
        <v>897</v>
      </c>
      <c r="C179" s="168" t="s">
        <v>664</v>
      </c>
      <c r="D179" s="133">
        <v>0.51900000000000002</v>
      </c>
      <c r="E179" s="134">
        <v>8.5000000000000006E-2</v>
      </c>
      <c r="F179" s="135">
        <v>1.0999999999999999E-2</v>
      </c>
      <c r="G179" s="163">
        <v>1.77</v>
      </c>
      <c r="H179" s="164"/>
      <c r="I179" s="166"/>
      <c r="J179" s="38"/>
    </row>
    <row r="180" spans="1:10" ht="27.75" customHeight="1" x14ac:dyDescent="0.2">
      <c r="A180" s="161" t="s">
        <v>723</v>
      </c>
      <c r="B180" s="25" t="s">
        <v>898</v>
      </c>
      <c r="C180" s="168">
        <v>4</v>
      </c>
      <c r="D180" s="133">
        <v>0.51900000000000002</v>
      </c>
      <c r="E180" s="134">
        <v>8.5000000000000006E-2</v>
      </c>
      <c r="F180" s="135">
        <v>1.0999999999999999E-2</v>
      </c>
      <c r="G180" s="164"/>
      <c r="H180" s="164"/>
      <c r="I180" s="166"/>
      <c r="J180" s="38"/>
    </row>
    <row r="181" spans="1:10" ht="27.75" customHeight="1" x14ac:dyDescent="0.2">
      <c r="A181" s="161" t="s">
        <v>437</v>
      </c>
      <c r="B181" s="25" t="s">
        <v>899</v>
      </c>
      <c r="C181" s="168">
        <v>0</v>
      </c>
      <c r="D181" s="133">
        <v>0.38</v>
      </c>
      <c r="E181" s="134">
        <v>5.8999999999999997E-2</v>
      </c>
      <c r="F181" s="135">
        <v>7.0000000000000001E-3</v>
      </c>
      <c r="G181" s="163">
        <v>1.1100000000000001</v>
      </c>
      <c r="H181" s="163">
        <v>0.39</v>
      </c>
      <c r="I181" s="167">
        <v>0.39</v>
      </c>
      <c r="J181" s="37">
        <v>1.9E-2</v>
      </c>
    </row>
    <row r="182" spans="1:10" ht="27.75" customHeight="1" x14ac:dyDescent="0.2">
      <c r="A182" s="161" t="s">
        <v>438</v>
      </c>
      <c r="B182" s="25" t="s">
        <v>900</v>
      </c>
      <c r="C182" s="168">
        <v>0</v>
      </c>
      <c r="D182" s="133">
        <v>0.38</v>
      </c>
      <c r="E182" s="134">
        <v>5.8999999999999997E-2</v>
      </c>
      <c r="F182" s="135">
        <v>7.0000000000000001E-3</v>
      </c>
      <c r="G182" s="163">
        <v>3.87</v>
      </c>
      <c r="H182" s="163">
        <v>0.39</v>
      </c>
      <c r="I182" s="167">
        <v>0.39</v>
      </c>
      <c r="J182" s="37">
        <v>1.9E-2</v>
      </c>
    </row>
    <row r="183" spans="1:10" ht="27.75" customHeight="1" x14ac:dyDescent="0.2">
      <c r="A183" s="161" t="s">
        <v>439</v>
      </c>
      <c r="B183" s="25" t="s">
        <v>901</v>
      </c>
      <c r="C183" s="168">
        <v>0</v>
      </c>
      <c r="D183" s="133">
        <v>0.38</v>
      </c>
      <c r="E183" s="134">
        <v>5.8999999999999997E-2</v>
      </c>
      <c r="F183" s="135">
        <v>7.0000000000000001E-3</v>
      </c>
      <c r="G183" s="163">
        <v>5.48</v>
      </c>
      <c r="H183" s="163">
        <v>0.39</v>
      </c>
      <c r="I183" s="167">
        <v>0.39</v>
      </c>
      <c r="J183" s="37">
        <v>1.9E-2</v>
      </c>
    </row>
    <row r="184" spans="1:10" ht="27.75" customHeight="1" x14ac:dyDescent="0.2">
      <c r="A184" s="161" t="s">
        <v>440</v>
      </c>
      <c r="B184" s="25" t="s">
        <v>902</v>
      </c>
      <c r="C184" s="168">
        <v>0</v>
      </c>
      <c r="D184" s="133">
        <v>0.38</v>
      </c>
      <c r="E184" s="134">
        <v>5.8999999999999997E-2</v>
      </c>
      <c r="F184" s="135">
        <v>7.0000000000000001E-3</v>
      </c>
      <c r="G184" s="163">
        <v>7.73</v>
      </c>
      <c r="H184" s="163">
        <v>0.39</v>
      </c>
      <c r="I184" s="167">
        <v>0.39</v>
      </c>
      <c r="J184" s="37">
        <v>1.9E-2</v>
      </c>
    </row>
    <row r="185" spans="1:10" ht="27.75" customHeight="1" x14ac:dyDescent="0.2">
      <c r="A185" s="161" t="s">
        <v>441</v>
      </c>
      <c r="B185" s="25" t="s">
        <v>903</v>
      </c>
      <c r="C185" s="168">
        <v>0</v>
      </c>
      <c r="D185" s="133">
        <v>0.38</v>
      </c>
      <c r="E185" s="134">
        <v>5.8999999999999997E-2</v>
      </c>
      <c r="F185" s="135">
        <v>7.0000000000000001E-3</v>
      </c>
      <c r="G185" s="163">
        <v>16.48</v>
      </c>
      <c r="H185" s="163">
        <v>0.39</v>
      </c>
      <c r="I185" s="167">
        <v>0.39</v>
      </c>
      <c r="J185" s="37">
        <v>1.9E-2</v>
      </c>
    </row>
    <row r="186" spans="1:10" ht="27.75" customHeight="1" x14ac:dyDescent="0.2">
      <c r="A186" s="161" t="s">
        <v>442</v>
      </c>
      <c r="B186" s="25" t="s">
        <v>904</v>
      </c>
      <c r="C186" s="168">
        <v>0</v>
      </c>
      <c r="D186" s="133">
        <v>0.371</v>
      </c>
      <c r="E186" s="134">
        <v>5.2999999999999999E-2</v>
      </c>
      <c r="F186" s="135">
        <v>6.0000000000000001E-3</v>
      </c>
      <c r="G186" s="163">
        <v>1.43</v>
      </c>
      <c r="H186" s="163">
        <v>0.44</v>
      </c>
      <c r="I186" s="167">
        <v>0.44</v>
      </c>
      <c r="J186" s="37">
        <v>1.7000000000000001E-2</v>
      </c>
    </row>
    <row r="187" spans="1:10" ht="27.75" customHeight="1" x14ac:dyDescent="0.2">
      <c r="A187" s="161" t="s">
        <v>443</v>
      </c>
      <c r="B187" s="25" t="s">
        <v>905</v>
      </c>
      <c r="C187" s="168">
        <v>0</v>
      </c>
      <c r="D187" s="133">
        <v>0.371</v>
      </c>
      <c r="E187" s="134">
        <v>5.2999999999999999E-2</v>
      </c>
      <c r="F187" s="135">
        <v>6.0000000000000001E-3</v>
      </c>
      <c r="G187" s="163">
        <v>5.68</v>
      </c>
      <c r="H187" s="163">
        <v>0.44</v>
      </c>
      <c r="I187" s="167">
        <v>0.44</v>
      </c>
      <c r="J187" s="37">
        <v>1.7000000000000001E-2</v>
      </c>
    </row>
    <row r="188" spans="1:10" ht="27.75" customHeight="1" x14ac:dyDescent="0.2">
      <c r="A188" s="161" t="s">
        <v>444</v>
      </c>
      <c r="B188" s="25" t="s">
        <v>906</v>
      </c>
      <c r="C188" s="168">
        <v>0</v>
      </c>
      <c r="D188" s="133">
        <v>0.371</v>
      </c>
      <c r="E188" s="134">
        <v>5.2999999999999999E-2</v>
      </c>
      <c r="F188" s="135">
        <v>6.0000000000000001E-3</v>
      </c>
      <c r="G188" s="163">
        <v>8.15</v>
      </c>
      <c r="H188" s="163">
        <v>0.44</v>
      </c>
      <c r="I188" s="167">
        <v>0.44</v>
      </c>
      <c r="J188" s="37">
        <v>1.7000000000000001E-2</v>
      </c>
    </row>
    <row r="189" spans="1:10" ht="27.75" customHeight="1" x14ac:dyDescent="0.2">
      <c r="A189" s="161" t="s">
        <v>445</v>
      </c>
      <c r="B189" s="25" t="s">
        <v>907</v>
      </c>
      <c r="C189" s="168">
        <v>0</v>
      </c>
      <c r="D189" s="133">
        <v>0.371</v>
      </c>
      <c r="E189" s="134">
        <v>5.2999999999999999E-2</v>
      </c>
      <c r="F189" s="135">
        <v>6.0000000000000001E-3</v>
      </c>
      <c r="G189" s="163">
        <v>11.6</v>
      </c>
      <c r="H189" s="163">
        <v>0.44</v>
      </c>
      <c r="I189" s="167">
        <v>0.44</v>
      </c>
      <c r="J189" s="37">
        <v>1.7000000000000001E-2</v>
      </c>
    </row>
    <row r="190" spans="1:10" ht="27.75" customHeight="1" x14ac:dyDescent="0.2">
      <c r="A190" s="161" t="s">
        <v>446</v>
      </c>
      <c r="B190" s="25" t="s">
        <v>908</v>
      </c>
      <c r="C190" s="168">
        <v>0</v>
      </c>
      <c r="D190" s="133">
        <v>0.371</v>
      </c>
      <c r="E190" s="134">
        <v>5.2999999999999999E-2</v>
      </c>
      <c r="F190" s="135">
        <v>6.0000000000000001E-3</v>
      </c>
      <c r="G190" s="163">
        <v>25.06</v>
      </c>
      <c r="H190" s="163">
        <v>0.44</v>
      </c>
      <c r="I190" s="167">
        <v>0.44</v>
      </c>
      <c r="J190" s="37">
        <v>1.7000000000000001E-2</v>
      </c>
    </row>
    <row r="191" spans="1:10" ht="27.75" customHeight="1" x14ac:dyDescent="0.2">
      <c r="A191" s="161" t="s">
        <v>447</v>
      </c>
      <c r="B191" s="25" t="s">
        <v>909</v>
      </c>
      <c r="C191" s="168">
        <v>0</v>
      </c>
      <c r="D191" s="133">
        <v>0.35199999999999998</v>
      </c>
      <c r="E191" s="134">
        <v>4.8000000000000001E-2</v>
      </c>
      <c r="F191" s="135">
        <v>5.0000000000000001E-3</v>
      </c>
      <c r="G191" s="163">
        <v>16.78</v>
      </c>
      <c r="H191" s="163">
        <v>0.42</v>
      </c>
      <c r="I191" s="167">
        <v>0.42</v>
      </c>
      <c r="J191" s="37">
        <v>1.4999999999999999E-2</v>
      </c>
    </row>
    <row r="192" spans="1:10" ht="27.75" customHeight="1" x14ac:dyDescent="0.2">
      <c r="A192" s="161" t="s">
        <v>448</v>
      </c>
      <c r="B192" s="25" t="s">
        <v>910</v>
      </c>
      <c r="C192" s="168">
        <v>0</v>
      </c>
      <c r="D192" s="133">
        <v>0.35199999999999998</v>
      </c>
      <c r="E192" s="134">
        <v>4.8000000000000001E-2</v>
      </c>
      <c r="F192" s="135">
        <v>5.0000000000000001E-3</v>
      </c>
      <c r="G192" s="163">
        <v>57.88</v>
      </c>
      <c r="H192" s="163">
        <v>0.42</v>
      </c>
      <c r="I192" s="167">
        <v>0.42</v>
      </c>
      <c r="J192" s="37">
        <v>1.4999999999999999E-2</v>
      </c>
    </row>
    <row r="193" spans="1:10" ht="27.75" customHeight="1" x14ac:dyDescent="0.2">
      <c r="A193" s="161" t="s">
        <v>449</v>
      </c>
      <c r="B193" s="25" t="s">
        <v>911</v>
      </c>
      <c r="C193" s="168">
        <v>0</v>
      </c>
      <c r="D193" s="133">
        <v>0.35199999999999998</v>
      </c>
      <c r="E193" s="134">
        <v>4.8000000000000001E-2</v>
      </c>
      <c r="F193" s="135">
        <v>5.0000000000000001E-3</v>
      </c>
      <c r="G193" s="163">
        <v>104.51</v>
      </c>
      <c r="H193" s="163">
        <v>0.42</v>
      </c>
      <c r="I193" s="167">
        <v>0.42</v>
      </c>
      <c r="J193" s="37">
        <v>1.4999999999999999E-2</v>
      </c>
    </row>
    <row r="194" spans="1:10" ht="27.75" customHeight="1" x14ac:dyDescent="0.2">
      <c r="A194" s="161" t="s">
        <v>450</v>
      </c>
      <c r="B194" s="25" t="s">
        <v>912</v>
      </c>
      <c r="C194" s="168">
        <v>0</v>
      </c>
      <c r="D194" s="133">
        <v>0.35199999999999998</v>
      </c>
      <c r="E194" s="134">
        <v>4.8000000000000001E-2</v>
      </c>
      <c r="F194" s="135">
        <v>5.0000000000000001E-3</v>
      </c>
      <c r="G194" s="163">
        <v>171.71</v>
      </c>
      <c r="H194" s="163">
        <v>0.42</v>
      </c>
      <c r="I194" s="167">
        <v>0.42</v>
      </c>
      <c r="J194" s="37">
        <v>1.4999999999999999E-2</v>
      </c>
    </row>
    <row r="195" spans="1:10" ht="27.75" customHeight="1" x14ac:dyDescent="0.2">
      <c r="A195" s="161" t="s">
        <v>451</v>
      </c>
      <c r="B195" s="25" t="s">
        <v>913</v>
      </c>
      <c r="C195" s="168">
        <v>0</v>
      </c>
      <c r="D195" s="133">
        <v>0.35199999999999998</v>
      </c>
      <c r="E195" s="134">
        <v>4.8000000000000001E-2</v>
      </c>
      <c r="F195" s="135">
        <v>5.0000000000000001E-3</v>
      </c>
      <c r="G195" s="163">
        <v>468.98</v>
      </c>
      <c r="H195" s="163">
        <v>0.42</v>
      </c>
      <c r="I195" s="167">
        <v>0.42</v>
      </c>
      <c r="J195" s="37">
        <v>1.4999999999999999E-2</v>
      </c>
    </row>
    <row r="196" spans="1:10" ht="27.75" customHeight="1" x14ac:dyDescent="0.2">
      <c r="A196" s="161" t="s">
        <v>724</v>
      </c>
      <c r="B196" s="25" t="s">
        <v>914</v>
      </c>
      <c r="C196" s="168" t="s">
        <v>670</v>
      </c>
      <c r="D196" s="136">
        <v>1.9790000000000001</v>
      </c>
      <c r="E196" s="137">
        <v>0.20399999999999999</v>
      </c>
      <c r="F196" s="135">
        <v>0.11799999999999999</v>
      </c>
      <c r="G196" s="164"/>
      <c r="H196" s="164"/>
      <c r="I196" s="166"/>
      <c r="J196" s="38"/>
    </row>
    <row r="197" spans="1:10" ht="27.75" customHeight="1" x14ac:dyDescent="0.2">
      <c r="A197" s="161" t="s">
        <v>725</v>
      </c>
      <c r="B197" s="25" t="s">
        <v>915</v>
      </c>
      <c r="C197" s="168" t="s">
        <v>672</v>
      </c>
      <c r="D197" s="133">
        <v>-0.59899999999999998</v>
      </c>
      <c r="E197" s="134">
        <v>-9.8000000000000004E-2</v>
      </c>
      <c r="F197" s="135">
        <v>-1.2999999999999999E-2</v>
      </c>
      <c r="G197" s="163">
        <v>0</v>
      </c>
      <c r="H197" s="164"/>
      <c r="I197" s="166"/>
      <c r="J197" s="38"/>
    </row>
    <row r="198" spans="1:10" ht="27.75" customHeight="1" x14ac:dyDescent="0.2">
      <c r="A198" s="161" t="s">
        <v>726</v>
      </c>
      <c r="B198" s="25" t="s">
        <v>916</v>
      </c>
      <c r="C198" s="168">
        <v>0</v>
      </c>
      <c r="D198" s="133">
        <v>-0.52800000000000002</v>
      </c>
      <c r="E198" s="134">
        <v>-8.4000000000000005E-2</v>
      </c>
      <c r="F198" s="135">
        <v>-1.0999999999999999E-2</v>
      </c>
      <c r="G198" s="163">
        <v>0</v>
      </c>
      <c r="H198" s="164"/>
      <c r="I198" s="166"/>
      <c r="J198" s="38"/>
    </row>
    <row r="199" spans="1:10" ht="27.75" customHeight="1" x14ac:dyDescent="0.2">
      <c r="A199" s="161" t="s">
        <v>727</v>
      </c>
      <c r="B199" s="25" t="s">
        <v>917</v>
      </c>
      <c r="C199" s="168">
        <v>0</v>
      </c>
      <c r="D199" s="133">
        <v>-0.59899999999999998</v>
      </c>
      <c r="E199" s="134">
        <v>-9.8000000000000004E-2</v>
      </c>
      <c r="F199" s="135">
        <v>-1.2999999999999999E-2</v>
      </c>
      <c r="G199" s="163">
        <v>0</v>
      </c>
      <c r="H199" s="164"/>
      <c r="I199" s="166"/>
      <c r="J199" s="37">
        <v>3.4000000000000002E-2</v>
      </c>
    </row>
    <row r="200" spans="1:10" ht="27.75" customHeight="1" x14ac:dyDescent="0.2">
      <c r="A200" s="161" t="s">
        <v>728</v>
      </c>
      <c r="B200" s="25" t="s">
        <v>918</v>
      </c>
      <c r="C200" s="168">
        <v>0</v>
      </c>
      <c r="D200" s="133">
        <v>-0.52800000000000002</v>
      </c>
      <c r="E200" s="134">
        <v>-8.4000000000000005E-2</v>
      </c>
      <c r="F200" s="135">
        <v>-1.0999999999999999E-2</v>
      </c>
      <c r="G200" s="163">
        <v>0</v>
      </c>
      <c r="H200" s="164"/>
      <c r="I200" s="166"/>
      <c r="J200" s="37">
        <v>2.7E-2</v>
      </c>
    </row>
    <row r="201" spans="1:10" ht="27.75" customHeight="1" x14ac:dyDescent="0.2">
      <c r="A201" s="161" t="s">
        <v>729</v>
      </c>
      <c r="B201" s="25" t="s">
        <v>919</v>
      </c>
      <c r="C201" s="168">
        <v>0</v>
      </c>
      <c r="D201" s="133">
        <v>-0.52900000000000003</v>
      </c>
      <c r="E201" s="134">
        <v>-7.5999999999999998E-2</v>
      </c>
      <c r="F201" s="135">
        <v>-8.0000000000000002E-3</v>
      </c>
      <c r="G201" s="163">
        <v>1.61</v>
      </c>
      <c r="H201" s="164"/>
      <c r="I201" s="166"/>
      <c r="J201" s="37">
        <v>3.1E-2</v>
      </c>
    </row>
  </sheetData>
  <customSheetViews>
    <customSheetView guid="{5032A364-B81A-48DA-88DA-AB3B86B47EE9}" scale="70" fitToPage="1">
      <selection activeCell="D11" sqref="D11"/>
      <pageMargins left="0.39370078740157483" right="0.35433070866141736" top="0.9055118110236221" bottom="0.74803149606299213" header="0.51181102362204722" footer="0.51181102362204722"/>
      <pageSetup paperSize="9" scale="44" fitToHeight="0" orientation="portrait" r:id="rId1"/>
      <headerFooter differentFirst="1" scaleWithDoc="0">
        <oddFooter>&amp;C&amp;P of &amp;N</oddFooter>
        <firstHeader>&amp;L
Annex 4 - Charges applied to LDNOs with HV/LV end users</firstHeader>
        <firstFooter>&amp;C&amp;P of &amp;N</firstFooter>
      </headerFooter>
    </customSheetView>
  </customSheetViews>
  <mergeCells count="10">
    <mergeCell ref="A2:J2"/>
    <mergeCell ref="F4:J4"/>
    <mergeCell ref="F5:G5"/>
    <mergeCell ref="H9:J9"/>
    <mergeCell ref="F9:G9"/>
    <mergeCell ref="B8:D8"/>
    <mergeCell ref="A4:D4"/>
    <mergeCell ref="F6:G6"/>
    <mergeCell ref="F7:G7"/>
    <mergeCell ref="F8:G8"/>
  </mergeCells>
  <phoneticPr fontId="5" type="noConversion"/>
  <hyperlinks>
    <hyperlink ref="A1" location="Overview!A1" display="Back to Overview" xr:uid="{00000000-0004-0000-0600-000000000000}"/>
  </hyperlinks>
  <pageMargins left="0.39370078740157483" right="0.35433070866141736" top="0.9055118110236221" bottom="0.74803149606299213" header="0.51181102362204722" footer="0.51181102362204722"/>
  <pageSetup paperSize="9" scale="45" fitToHeight="0" orientation="portrait" r:id="rId2"/>
  <headerFooter scaleWithDoc="0">
    <oddHeader>&amp;L
Annex 4 - Charges applied to LDNOs with HV/LV end users</oddHeader>
    <oddFooter>&amp;C&amp;P of &amp;N</oddFooter>
    <firstHeader>&amp;L
Annex 4 - Charges applied to LDNOs with HV/LV end users</firstHeader>
    <firstFooter>&amp;LNote: Where a tariff only has a p/kWh unit rate in Unit Charge 1 then this unit rate applies at all times.&amp;R&amp;P of &amp;N</first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G47"/>
  <sheetViews>
    <sheetView showGridLines="0" zoomScale="80" zoomScaleNormal="80" zoomScaleSheetLayoutView="100" workbookViewId="0"/>
  </sheetViews>
  <sheetFormatPr defaultRowHeight="12.75" x14ac:dyDescent="0.2"/>
  <cols>
    <col min="1" max="1" width="28.85546875" customWidth="1"/>
    <col min="2" max="7" width="24" customWidth="1"/>
  </cols>
  <sheetData>
    <row r="1" spans="1:7" ht="27.75" customHeight="1" x14ac:dyDescent="0.2">
      <c r="A1" s="130" t="s">
        <v>16</v>
      </c>
    </row>
    <row r="2" spans="1:7" ht="44.25" customHeight="1" x14ac:dyDescent="0.2">
      <c r="A2" s="274" t="s">
        <v>654</v>
      </c>
      <c r="B2" s="274"/>
      <c r="C2" s="274"/>
      <c r="D2" s="274"/>
      <c r="E2" s="274"/>
      <c r="F2" s="274"/>
      <c r="G2" s="274"/>
    </row>
    <row r="3" spans="1:7" ht="33" customHeight="1" x14ac:dyDescent="0.2">
      <c r="A3" s="248" t="str">
        <f>Overview!B4&amp; " - Illustrative LLFs for year beginning "&amp;Overview!D4</f>
        <v>Eastern Power Networks - Illustrative LLFs for year beginning 1 April 2027</v>
      </c>
      <c r="B3" s="249"/>
      <c r="C3" s="249"/>
      <c r="D3" s="249"/>
      <c r="E3" s="249"/>
      <c r="F3" s="249"/>
      <c r="G3" s="250"/>
    </row>
    <row r="4" spans="1:7" ht="9.75" customHeight="1" x14ac:dyDescent="0.2"/>
    <row r="5" spans="1:7" ht="19.5" customHeight="1" x14ac:dyDescent="0.2">
      <c r="A5" s="276" t="s">
        <v>9</v>
      </c>
      <c r="B5" s="277"/>
      <c r="C5" s="19" t="s">
        <v>2</v>
      </c>
      <c r="D5" s="19" t="s">
        <v>3</v>
      </c>
      <c r="E5" s="19" t="s">
        <v>4</v>
      </c>
      <c r="F5" s="19" t="s">
        <v>5</v>
      </c>
      <c r="G5" s="19" t="s">
        <v>618</v>
      </c>
    </row>
    <row r="6" spans="1:7" ht="19.5" customHeight="1" x14ac:dyDescent="0.2">
      <c r="A6" s="278"/>
      <c r="B6" s="279"/>
      <c r="C6" s="19" t="s">
        <v>619</v>
      </c>
      <c r="D6" s="19" t="s">
        <v>620</v>
      </c>
      <c r="E6" s="19" t="s">
        <v>621</v>
      </c>
      <c r="F6" s="19" t="s">
        <v>622</v>
      </c>
      <c r="G6" s="19" t="s">
        <v>623</v>
      </c>
    </row>
    <row r="7" spans="1:7" ht="39.950000000000003" customHeight="1" x14ac:dyDescent="0.2">
      <c r="A7" s="245" t="s">
        <v>624</v>
      </c>
      <c r="B7" s="246"/>
      <c r="C7" s="21" t="s">
        <v>625</v>
      </c>
      <c r="D7" s="20"/>
      <c r="E7" s="80" t="s">
        <v>626</v>
      </c>
      <c r="F7" s="20"/>
      <c r="G7" s="20"/>
    </row>
    <row r="8" spans="1:7" ht="39.950000000000003" customHeight="1" x14ac:dyDescent="0.2">
      <c r="A8" s="245" t="s">
        <v>627</v>
      </c>
      <c r="B8" s="246"/>
      <c r="C8" s="20"/>
      <c r="D8" s="21" t="s">
        <v>628</v>
      </c>
      <c r="E8" s="20"/>
      <c r="F8" s="20"/>
      <c r="G8" s="20"/>
    </row>
    <row r="9" spans="1:7" ht="39.950000000000003" customHeight="1" x14ac:dyDescent="0.2">
      <c r="A9" s="245" t="s">
        <v>629</v>
      </c>
      <c r="B9" s="246"/>
      <c r="C9" s="20"/>
      <c r="D9" s="20"/>
      <c r="E9" s="21" t="s">
        <v>628</v>
      </c>
      <c r="F9" s="20"/>
      <c r="G9" s="20"/>
    </row>
    <row r="10" spans="1:7" ht="39.950000000000003" customHeight="1" x14ac:dyDescent="0.2">
      <c r="A10" s="245" t="s">
        <v>630</v>
      </c>
      <c r="B10" s="246"/>
      <c r="C10" s="20"/>
      <c r="D10" s="20"/>
      <c r="E10" s="20"/>
      <c r="F10" s="80" t="s">
        <v>631</v>
      </c>
      <c r="G10" s="80" t="s">
        <v>632</v>
      </c>
    </row>
    <row r="11" spans="1:7" ht="20.100000000000001" customHeight="1" x14ac:dyDescent="0.2">
      <c r="A11" s="245" t="s">
        <v>10</v>
      </c>
      <c r="B11" s="246"/>
      <c r="C11" s="275" t="s">
        <v>11</v>
      </c>
      <c r="D11" s="275"/>
      <c r="E11" s="275"/>
      <c r="F11" s="275"/>
      <c r="G11" s="275"/>
    </row>
    <row r="12" spans="1:7" x14ac:dyDescent="0.2">
      <c r="B12" s="11"/>
      <c r="C12" s="11"/>
      <c r="D12" s="11"/>
      <c r="E12" s="11"/>
    </row>
    <row r="13" spans="1:7" ht="22.5" customHeight="1" x14ac:dyDescent="0.2">
      <c r="A13" s="241" t="s">
        <v>36</v>
      </c>
      <c r="B13" s="280"/>
      <c r="C13" s="280"/>
      <c r="D13" s="280"/>
      <c r="E13" s="280"/>
      <c r="F13" s="280"/>
      <c r="G13" s="242"/>
    </row>
    <row r="14" spans="1:7" ht="22.5" customHeight="1" x14ac:dyDescent="0.2">
      <c r="A14" s="241" t="s">
        <v>653</v>
      </c>
      <c r="B14" s="280"/>
      <c r="C14" s="280"/>
      <c r="D14" s="280"/>
      <c r="E14" s="280"/>
      <c r="F14" s="280"/>
      <c r="G14" s="242"/>
    </row>
    <row r="15" spans="1:7" ht="33" customHeight="1" x14ac:dyDescent="0.2">
      <c r="A15" s="204" t="s">
        <v>37</v>
      </c>
      <c r="B15" s="204" t="s">
        <v>2</v>
      </c>
      <c r="C15" s="204" t="s">
        <v>3</v>
      </c>
      <c r="D15" s="204" t="s">
        <v>4</v>
      </c>
      <c r="E15" s="204" t="s">
        <v>5</v>
      </c>
      <c r="F15" s="204" t="s">
        <v>618</v>
      </c>
      <c r="G15" s="19" t="s">
        <v>652</v>
      </c>
    </row>
    <row r="16" spans="1:7" ht="22.5" customHeight="1" x14ac:dyDescent="0.2">
      <c r="A16" s="213" t="s">
        <v>38</v>
      </c>
      <c r="B16" s="205"/>
      <c r="C16" s="205"/>
      <c r="D16" s="205"/>
      <c r="E16" s="205"/>
      <c r="F16" s="205"/>
      <c r="G16" s="203"/>
    </row>
    <row r="17" spans="1:7" ht="22.5" customHeight="1" x14ac:dyDescent="0.2">
      <c r="A17" s="213" t="s">
        <v>39</v>
      </c>
      <c r="B17" s="205"/>
      <c r="C17" s="205"/>
      <c r="D17" s="205"/>
      <c r="E17" s="205"/>
      <c r="F17" s="205"/>
      <c r="G17" s="203"/>
    </row>
    <row r="18" spans="1:7" ht="22.5" customHeight="1" x14ac:dyDescent="0.2">
      <c r="A18" s="213" t="s">
        <v>40</v>
      </c>
      <c r="B18" s="205"/>
      <c r="C18" s="205"/>
      <c r="D18" s="205"/>
      <c r="E18" s="205"/>
      <c r="F18" s="205"/>
      <c r="G18" s="203"/>
    </row>
    <row r="19" spans="1:7" ht="22.5" customHeight="1" x14ac:dyDescent="0.2">
      <c r="A19" s="213" t="s">
        <v>41</v>
      </c>
      <c r="B19" s="205"/>
      <c r="C19" s="205"/>
      <c r="D19" s="205"/>
      <c r="E19" s="205"/>
      <c r="F19" s="205"/>
      <c r="G19" s="203"/>
    </row>
    <row r="20" spans="1:7" ht="22.5" customHeight="1" x14ac:dyDescent="0.2">
      <c r="A20" s="213" t="s">
        <v>42</v>
      </c>
      <c r="B20" s="205"/>
      <c r="C20" s="205"/>
      <c r="D20" s="205"/>
      <c r="E20" s="205"/>
      <c r="F20" s="205"/>
      <c r="G20" s="203"/>
    </row>
    <row r="21" spans="1:7" ht="22.5" customHeight="1" x14ac:dyDescent="0.2">
      <c r="A21" s="213" t="s">
        <v>43</v>
      </c>
      <c r="B21" s="205"/>
      <c r="C21" s="205"/>
      <c r="D21" s="205"/>
      <c r="E21" s="205"/>
      <c r="F21" s="205"/>
      <c r="G21" s="203"/>
    </row>
    <row r="23" spans="1:7" ht="22.5" customHeight="1" x14ac:dyDescent="0.2">
      <c r="A23" s="241" t="s">
        <v>44</v>
      </c>
      <c r="B23" s="280"/>
      <c r="C23" s="280"/>
      <c r="D23" s="280"/>
      <c r="E23" s="280"/>
      <c r="F23" s="280"/>
      <c r="G23" s="242"/>
    </row>
    <row r="24" spans="1:7" ht="22.5" customHeight="1" x14ac:dyDescent="0.2">
      <c r="A24" s="241" t="s">
        <v>7</v>
      </c>
      <c r="B24" s="280"/>
      <c r="C24" s="280"/>
      <c r="D24" s="280"/>
      <c r="E24" s="280"/>
      <c r="F24" s="280"/>
      <c r="G24" s="242"/>
    </row>
    <row r="25" spans="1:7" ht="33" customHeight="1" x14ac:dyDescent="0.2">
      <c r="A25" s="19" t="s">
        <v>6</v>
      </c>
      <c r="B25" s="19" t="s">
        <v>2</v>
      </c>
      <c r="C25" s="19" t="s">
        <v>3</v>
      </c>
      <c r="D25" s="19" t="s">
        <v>4</v>
      </c>
      <c r="E25" s="19" t="s">
        <v>5</v>
      </c>
      <c r="F25" s="19" t="s">
        <v>618</v>
      </c>
      <c r="G25" s="19" t="s">
        <v>652</v>
      </c>
    </row>
    <row r="26" spans="1:7" ht="22.5" customHeight="1" x14ac:dyDescent="0.2">
      <c r="A26" s="208" t="s">
        <v>655</v>
      </c>
      <c r="B26" s="209"/>
      <c r="C26" s="209"/>
      <c r="D26" s="209"/>
      <c r="E26" s="209"/>
      <c r="F26" s="209"/>
      <c r="G26" s="209"/>
    </row>
    <row r="27" spans="1:7" ht="22.5" customHeight="1" x14ac:dyDescent="0.2">
      <c r="A27" s="208" t="s">
        <v>656</v>
      </c>
      <c r="B27" s="209"/>
      <c r="C27" s="209"/>
      <c r="D27" s="209"/>
      <c r="E27" s="209"/>
      <c r="F27" s="209"/>
      <c r="G27" s="209"/>
    </row>
    <row r="28" spans="1:7" ht="22.5" customHeight="1" x14ac:dyDescent="0.2">
      <c r="A28" s="208" t="s">
        <v>657</v>
      </c>
      <c r="B28" s="209"/>
      <c r="C28" s="209"/>
      <c r="D28" s="209"/>
      <c r="E28" s="209"/>
      <c r="F28" s="209"/>
      <c r="G28" s="209"/>
    </row>
    <row r="29" spans="1:7" ht="22.5" customHeight="1" x14ac:dyDescent="0.2">
      <c r="A29" s="208" t="s">
        <v>658</v>
      </c>
      <c r="B29" s="209"/>
      <c r="C29" s="209"/>
      <c r="D29" s="209"/>
      <c r="E29" s="209"/>
      <c r="F29" s="209"/>
      <c r="G29" s="209"/>
    </row>
    <row r="30" spans="1:7" ht="22.5" customHeight="1" x14ac:dyDescent="0.2">
      <c r="A30" s="208" t="s">
        <v>659</v>
      </c>
      <c r="B30" s="209"/>
      <c r="C30" s="209"/>
      <c r="D30" s="209"/>
      <c r="E30" s="209"/>
      <c r="F30" s="209"/>
      <c r="G30" s="209"/>
    </row>
    <row r="32" spans="1:7" ht="22.5" customHeight="1" x14ac:dyDescent="0.2">
      <c r="A32" s="241" t="s">
        <v>44</v>
      </c>
      <c r="B32" s="280"/>
      <c r="C32" s="280"/>
      <c r="D32" s="280"/>
      <c r="E32" s="280"/>
      <c r="F32" s="280"/>
      <c r="G32" s="242"/>
    </row>
    <row r="33" spans="1:7" ht="22.5" customHeight="1" x14ac:dyDescent="0.2">
      <c r="A33" s="241" t="s">
        <v>8</v>
      </c>
      <c r="B33" s="280"/>
      <c r="C33" s="280"/>
      <c r="D33" s="280"/>
      <c r="E33" s="280"/>
      <c r="F33" s="280"/>
      <c r="G33" s="242"/>
    </row>
    <row r="34" spans="1:7" ht="33" customHeight="1" x14ac:dyDescent="0.2">
      <c r="A34" s="204" t="s">
        <v>6</v>
      </c>
      <c r="B34" s="204" t="s">
        <v>2</v>
      </c>
      <c r="C34" s="204" t="s">
        <v>3</v>
      </c>
      <c r="D34" s="204" t="s">
        <v>4</v>
      </c>
      <c r="E34" s="204" t="s">
        <v>5</v>
      </c>
      <c r="F34" s="204" t="s">
        <v>618</v>
      </c>
      <c r="G34" s="204" t="s">
        <v>652</v>
      </c>
    </row>
    <row r="35" spans="1:7" ht="22.5" customHeight="1" x14ac:dyDescent="0.2">
      <c r="A35" s="208" t="s">
        <v>655</v>
      </c>
      <c r="B35" s="205"/>
      <c r="C35" s="205"/>
      <c r="D35" s="205"/>
      <c r="E35" s="205"/>
      <c r="F35" s="205"/>
      <c r="G35" s="206"/>
    </row>
    <row r="36" spans="1:7" ht="22.5" customHeight="1" x14ac:dyDescent="0.2">
      <c r="A36" s="208" t="s">
        <v>656</v>
      </c>
      <c r="B36" s="205"/>
      <c r="C36" s="205"/>
      <c r="D36" s="205"/>
      <c r="E36" s="205"/>
      <c r="F36" s="205"/>
      <c r="G36" s="206"/>
    </row>
    <row r="37" spans="1:7" ht="22.5" customHeight="1" x14ac:dyDescent="0.2">
      <c r="A37" s="208" t="s">
        <v>657</v>
      </c>
      <c r="B37" s="205"/>
      <c r="C37" s="205"/>
      <c r="D37" s="205"/>
      <c r="E37" s="205"/>
      <c r="F37" s="205"/>
      <c r="G37" s="206"/>
    </row>
    <row r="38" spans="1:7" ht="22.5" customHeight="1" x14ac:dyDescent="0.2">
      <c r="A38" s="208" t="s">
        <v>658</v>
      </c>
      <c r="B38" s="205"/>
      <c r="C38" s="205"/>
      <c r="D38" s="205"/>
      <c r="E38" s="205"/>
      <c r="F38" s="205"/>
      <c r="G38" s="206"/>
    </row>
    <row r="39" spans="1:7" ht="22.5" customHeight="1" x14ac:dyDescent="0.2">
      <c r="A39" s="208" t="s">
        <v>659</v>
      </c>
      <c r="B39" s="205"/>
      <c r="C39" s="205"/>
      <c r="D39" s="205"/>
      <c r="E39" s="205"/>
      <c r="F39" s="205"/>
      <c r="G39" s="206"/>
    </row>
    <row r="40" spans="1:7" ht="12.75" customHeight="1" x14ac:dyDescent="0.2"/>
    <row r="41" spans="1:7" ht="22.5" customHeight="1" x14ac:dyDescent="0.2">
      <c r="A41" s="273" t="s">
        <v>642</v>
      </c>
      <c r="B41" s="273"/>
      <c r="C41" s="273"/>
      <c r="D41" s="273"/>
      <c r="E41" s="273"/>
      <c r="F41" s="273"/>
      <c r="G41" s="273"/>
    </row>
    <row r="42" spans="1:7" ht="22.5" customHeight="1" x14ac:dyDescent="0.2">
      <c r="A42" s="19" t="s">
        <v>6</v>
      </c>
      <c r="B42" s="19" t="s">
        <v>2</v>
      </c>
      <c r="C42" s="19" t="s">
        <v>3</v>
      </c>
      <c r="D42" s="19" t="s">
        <v>4</v>
      </c>
      <c r="E42" s="19" t="s">
        <v>5</v>
      </c>
      <c r="F42" s="19" t="s">
        <v>618</v>
      </c>
      <c r="G42" s="19" t="s">
        <v>643</v>
      </c>
    </row>
    <row r="43" spans="1:7" ht="22.5" customHeight="1" x14ac:dyDescent="0.2">
      <c r="A43" s="208" t="s">
        <v>655</v>
      </c>
      <c r="B43" s="202"/>
      <c r="C43" s="202"/>
      <c r="D43" s="202"/>
      <c r="E43" s="202"/>
      <c r="F43" s="202"/>
      <c r="G43" s="207"/>
    </row>
    <row r="44" spans="1:7" ht="22.5" customHeight="1" x14ac:dyDescent="0.2">
      <c r="A44" s="208" t="s">
        <v>656</v>
      </c>
      <c r="B44" s="202"/>
      <c r="C44" s="202"/>
      <c r="D44" s="202"/>
      <c r="E44" s="202"/>
      <c r="F44" s="202"/>
      <c r="G44" s="201"/>
    </row>
    <row r="45" spans="1:7" ht="22.5" customHeight="1" x14ac:dyDescent="0.2">
      <c r="A45" s="208" t="s">
        <v>657</v>
      </c>
      <c r="B45" s="202"/>
      <c r="C45" s="202"/>
      <c r="D45" s="202"/>
      <c r="E45" s="202"/>
      <c r="F45" s="202"/>
      <c r="G45" s="201"/>
    </row>
    <row r="46" spans="1:7" ht="22.5" customHeight="1" x14ac:dyDescent="0.2">
      <c r="A46" s="208" t="s">
        <v>658</v>
      </c>
      <c r="B46" s="202"/>
      <c r="C46" s="202"/>
      <c r="D46" s="202"/>
      <c r="E46" s="202"/>
      <c r="F46" s="202"/>
      <c r="G46" s="201"/>
    </row>
    <row r="47" spans="1:7" ht="22.5" customHeight="1" x14ac:dyDescent="0.2">
      <c r="A47" s="208" t="s">
        <v>659</v>
      </c>
      <c r="B47" s="202"/>
      <c r="C47" s="202"/>
      <c r="D47" s="202"/>
      <c r="E47" s="202"/>
      <c r="F47" s="202"/>
      <c r="G47" s="201"/>
    </row>
  </sheetData>
  <customSheetViews>
    <customSheetView guid="{5032A364-B81A-48DA-88DA-AB3B86B47EE9}" scale="80" fitToPage="1">
      <pageMargins left="0.70866141732283472" right="0.70866141732283472" top="0.74803149606299213" bottom="0.74803149606299213" header="0.31496062992125984" footer="0.31496062992125984"/>
      <pageSetup paperSize="9" scale="61" fitToHeight="0" orientation="portrait" r:id="rId1"/>
      <headerFooter differentFirst="1" scaleWithDoc="0">
        <oddFooter>&amp;C&amp;P of &amp;N</oddFooter>
        <firstHeader>&amp;L
Annex 5 – Schedule of Line Loss Factors</firstHeader>
        <firstFooter>&amp;C&amp;P of &amp;N</firstFooter>
      </headerFooter>
    </customSheetView>
  </customSheetViews>
  <mergeCells count="16">
    <mergeCell ref="A41:G41"/>
    <mergeCell ref="A3:G3"/>
    <mergeCell ref="A2:G2"/>
    <mergeCell ref="C11:G11"/>
    <mergeCell ref="A9:B9"/>
    <mergeCell ref="A10:B10"/>
    <mergeCell ref="A11:B11"/>
    <mergeCell ref="A5:B6"/>
    <mergeCell ref="A7:B7"/>
    <mergeCell ref="A8:B8"/>
    <mergeCell ref="A33:G33"/>
    <mergeCell ref="A13:G13"/>
    <mergeCell ref="A14:G14"/>
    <mergeCell ref="A23:G23"/>
    <mergeCell ref="A24:G24"/>
    <mergeCell ref="A32:G32"/>
  </mergeCells>
  <phoneticPr fontId="10" type="noConversion"/>
  <hyperlinks>
    <hyperlink ref="A1" location="Overview!A1" display="Back to Overview" xr:uid="{00000000-0004-0000-0700-000000000000}"/>
  </hyperlinks>
  <pageMargins left="0.70866141732283472" right="0.70866141732283472" top="0.74803149606299213" bottom="0.74803149606299213" header="0.31496062992125984" footer="0.31496062992125984"/>
  <pageSetup paperSize="9" scale="51" fitToHeight="0" orientation="portrait" r:id="rId2"/>
  <headerFooter scaleWithDoc="0">
    <oddHeader>&amp;L
Annex 5 – Schedule of Line Loss Factors</oddHeader>
    <oddFooter>&amp;C&amp;P of &amp;N</oddFooter>
    <firstHeader>&amp;L
Annex 5 – Schedule of Line Loss Factors</firstHeader>
    <firstFooter>&amp;C&amp;P of &amp;N</first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pageSetUpPr fitToPage="1"/>
  </sheetPr>
  <dimension ref="A1:S28"/>
  <sheetViews>
    <sheetView zoomScale="85" zoomScaleNormal="85" zoomScaleSheetLayoutView="80" workbookViewId="0"/>
  </sheetViews>
  <sheetFormatPr defaultColWidth="9.140625" defaultRowHeight="27.75" customHeight="1" x14ac:dyDescent="0.2"/>
  <cols>
    <col min="1" max="2" width="14.7109375" style="1" customWidth="1"/>
    <col min="3" max="3" width="7.85546875" style="1" customWidth="1"/>
    <col min="4" max="4" width="14.7109375" style="1" customWidth="1"/>
    <col min="5" max="5" width="14.7109375" style="2" customWidth="1"/>
    <col min="6" max="6" width="7.85546875" style="2" customWidth="1"/>
    <col min="7" max="7" width="14.7109375" style="1" customWidth="1"/>
    <col min="8" max="8" width="30.7109375" style="2" customWidth="1"/>
    <col min="9" max="10" width="14.7109375" style="2" customWidth="1"/>
    <col min="11" max="11" width="14.7109375" style="9" customWidth="1"/>
    <col min="12" max="13" width="14.7109375" style="3" customWidth="1"/>
    <col min="14" max="19" width="14.7109375" style="1" customWidth="1"/>
    <col min="20" max="16384" width="9.140625" style="1"/>
  </cols>
  <sheetData>
    <row r="1" spans="1:17" ht="63" customHeight="1" x14ac:dyDescent="0.2">
      <c r="A1" s="12" t="s">
        <v>16</v>
      </c>
      <c r="B1" s="12"/>
      <c r="C1" s="12"/>
      <c r="D1" s="281" t="s">
        <v>637</v>
      </c>
      <c r="E1" s="281"/>
      <c r="F1" s="281"/>
      <c r="G1" s="281"/>
      <c r="H1" s="281"/>
      <c r="I1" s="281"/>
      <c r="J1" s="281"/>
      <c r="K1" s="281"/>
      <c r="L1" s="281"/>
      <c r="M1" s="281"/>
      <c r="N1" s="281"/>
      <c r="O1" s="281"/>
      <c r="P1" s="281"/>
      <c r="Q1" s="281"/>
    </row>
    <row r="2" spans="1:17" ht="27.75" customHeight="1" x14ac:dyDescent="0.2">
      <c r="A2" s="248" t="s">
        <v>123</v>
      </c>
      <c r="B2" s="249"/>
      <c r="C2" s="249"/>
      <c r="D2" s="249"/>
      <c r="E2" s="249"/>
      <c r="F2" s="249"/>
      <c r="G2" s="249"/>
      <c r="H2" s="249"/>
      <c r="I2" s="249"/>
      <c r="J2" s="249"/>
      <c r="K2" s="249"/>
      <c r="L2" s="249"/>
      <c r="M2" s="249"/>
      <c r="N2" s="249"/>
      <c r="O2" s="249"/>
      <c r="P2" s="249"/>
      <c r="Q2" s="250"/>
    </row>
    <row r="3" spans="1:17" ht="14.1" customHeight="1" x14ac:dyDescent="0.2">
      <c r="A3" s="12"/>
      <c r="B3" s="12"/>
      <c r="C3" s="12"/>
      <c r="D3" s="12"/>
      <c r="G3" s="22"/>
    </row>
    <row r="4" spans="1:17" s="10" customFormat="1" ht="25.5" customHeight="1" x14ac:dyDescent="0.2">
      <c r="A4" s="248" t="str">
        <f>Overview!B4&amp; " - Effective from "&amp;Overview!D4&amp;" - "&amp;Overview!E4&amp;" new designated EHV charges"</f>
        <v>Eastern Power Networks - Effective from 1 April 2027 - Final new designated EHV charges</v>
      </c>
      <c r="B4" s="249"/>
      <c r="C4" s="249"/>
      <c r="D4" s="249"/>
      <c r="E4" s="249"/>
      <c r="F4" s="249"/>
      <c r="G4" s="249"/>
      <c r="H4" s="249"/>
      <c r="I4" s="249"/>
      <c r="J4" s="249"/>
      <c r="K4" s="249"/>
      <c r="L4" s="249"/>
      <c r="M4" s="249"/>
      <c r="N4" s="249"/>
      <c r="O4" s="249"/>
      <c r="P4" s="249"/>
      <c r="Q4" s="250"/>
    </row>
    <row r="5" spans="1:17" ht="66.95" customHeight="1" x14ac:dyDescent="0.2">
      <c r="A5" s="26" t="s">
        <v>126</v>
      </c>
      <c r="B5" s="26" t="s">
        <v>46</v>
      </c>
      <c r="C5" s="26" t="s">
        <v>649</v>
      </c>
      <c r="D5" s="26" t="s">
        <v>31</v>
      </c>
      <c r="E5" s="26" t="s">
        <v>47</v>
      </c>
      <c r="F5" s="26" t="s">
        <v>649</v>
      </c>
      <c r="G5" s="26" t="s">
        <v>32</v>
      </c>
      <c r="H5" s="70" t="s">
        <v>26</v>
      </c>
      <c r="I5" s="52" t="s">
        <v>529</v>
      </c>
      <c r="J5" s="70" t="str">
        <f>'Annex 2 Designated EHV charges'!I9</f>
        <v>Import
Super Red
unit charge
(p/kWh)</v>
      </c>
      <c r="K5" s="70" t="str">
        <f>'Annex 2 Designated EHV charges'!J9</f>
        <v>Import
fixed charge
(p/day)</v>
      </c>
      <c r="L5" s="70" t="str">
        <f>'Annex 2 Designated EHV charges'!K9</f>
        <v>Import
capacity charge
(p/kVA/day)</v>
      </c>
      <c r="M5" s="70" t="str">
        <f>'Annex 2 Designated EHV charges'!L9</f>
        <v>Import
exceeded capacity charge
(p/kVA/day)</v>
      </c>
      <c r="N5" s="70" t="str">
        <f>'Annex 2 Designated EHV charges'!M9</f>
        <v>Export
Super Red
unit charge
(p/kWh)</v>
      </c>
      <c r="O5" s="70" t="str">
        <f>'Annex 2 Designated EHV charges'!N9</f>
        <v>Export
fixed charge
(p/day)</v>
      </c>
      <c r="P5" s="70" t="str">
        <f>'Annex 2 Designated EHV charges'!O9</f>
        <v>Export
capacity charge
(p/kVA/day)</v>
      </c>
      <c r="Q5" s="70" t="str">
        <f>'Annex 2 Designated EHV charges'!P9</f>
        <v>Export
exceeded capacity charge
(p/kVA/day)</v>
      </c>
    </row>
    <row r="6" spans="1:17" ht="20.100000000000001" customHeight="1" x14ac:dyDescent="0.2">
      <c r="A6" s="196">
        <v>46478</v>
      </c>
      <c r="B6" s="43" t="s">
        <v>964</v>
      </c>
      <c r="C6" s="93"/>
      <c r="D6" s="54" t="s">
        <v>1240</v>
      </c>
      <c r="E6" s="44"/>
      <c r="F6" s="93"/>
      <c r="G6" s="54"/>
      <c r="H6" s="55" t="s">
        <v>964</v>
      </c>
      <c r="I6" s="182">
        <v>4</v>
      </c>
      <c r="J6" s="59">
        <v>0.01</v>
      </c>
      <c r="K6" s="60">
        <v>63062.39</v>
      </c>
      <c r="L6" s="60">
        <v>1.1499999999999999</v>
      </c>
      <c r="M6" s="60">
        <v>1.1499999999999999</v>
      </c>
      <c r="N6" s="61"/>
      <c r="O6" s="62"/>
      <c r="P6" s="62"/>
      <c r="Q6" s="62"/>
    </row>
    <row r="7" spans="1:17" ht="20.100000000000001" customHeight="1" x14ac:dyDescent="0.2">
      <c r="A7" s="225">
        <v>46478</v>
      </c>
      <c r="B7" s="215" t="s">
        <v>2933</v>
      </c>
      <c r="C7" s="216">
        <v>364</v>
      </c>
      <c r="D7" s="217">
        <v>1050003511730</v>
      </c>
      <c r="E7" s="218" t="s">
        <v>2933</v>
      </c>
      <c r="F7" s="216">
        <v>387</v>
      </c>
      <c r="G7" s="217">
        <v>1050003511749</v>
      </c>
      <c r="H7" s="219" t="s">
        <v>2933</v>
      </c>
      <c r="I7" s="220">
        <v>1</v>
      </c>
      <c r="J7" s="221">
        <v>0</v>
      </c>
      <c r="K7" s="222">
        <v>4478.3100000000004</v>
      </c>
      <c r="L7" s="222">
        <v>4.5</v>
      </c>
      <c r="M7" s="222">
        <v>4.5</v>
      </c>
      <c r="N7" s="223">
        <v>0</v>
      </c>
      <c r="O7" s="224">
        <v>1804.42</v>
      </c>
      <c r="P7" s="224">
        <v>0.05</v>
      </c>
      <c r="Q7" s="224">
        <v>0.05</v>
      </c>
    </row>
    <row r="8" spans="1:17" ht="20.100000000000001" customHeight="1" x14ac:dyDescent="0.2">
      <c r="A8" s="196">
        <v>46478</v>
      </c>
      <c r="B8" s="43" t="s">
        <v>1151</v>
      </c>
      <c r="C8" s="200">
        <v>552</v>
      </c>
      <c r="D8" s="197">
        <v>1050000961361</v>
      </c>
      <c r="E8" s="43" t="s">
        <v>1151</v>
      </c>
      <c r="F8" s="198">
        <v>668</v>
      </c>
      <c r="G8" s="197">
        <v>1050000961370</v>
      </c>
      <c r="H8" s="43" t="s">
        <v>1151</v>
      </c>
      <c r="I8" s="182"/>
      <c r="J8" s="59">
        <v>0</v>
      </c>
      <c r="K8" s="60">
        <v>33.409999999999997</v>
      </c>
      <c r="L8" s="60">
        <v>4.0599999999999996</v>
      </c>
      <c r="M8" s="60">
        <v>4.0599999999999996</v>
      </c>
      <c r="N8" s="61">
        <v>0</v>
      </c>
      <c r="O8" s="62">
        <v>7262.45</v>
      </c>
      <c r="P8" s="62">
        <v>0.05</v>
      </c>
      <c r="Q8" s="62">
        <v>0.05</v>
      </c>
    </row>
    <row r="9" spans="1:17" ht="20.100000000000001" customHeight="1" x14ac:dyDescent="0.2">
      <c r="A9" s="196">
        <v>46478</v>
      </c>
      <c r="B9" s="43" t="s">
        <v>1188</v>
      </c>
      <c r="C9" s="93">
        <v>896</v>
      </c>
      <c r="D9" s="54">
        <v>1050000612816</v>
      </c>
      <c r="E9" s="55" t="s">
        <v>1188</v>
      </c>
      <c r="F9" s="93">
        <v>776</v>
      </c>
      <c r="G9" s="54">
        <v>1050000612807</v>
      </c>
      <c r="H9" s="55" t="s">
        <v>1188</v>
      </c>
      <c r="I9" s="182"/>
      <c r="J9" s="59">
        <v>3.8460000000000001</v>
      </c>
      <c r="K9" s="60">
        <v>7.01</v>
      </c>
      <c r="L9" s="60">
        <v>2.67</v>
      </c>
      <c r="M9" s="60">
        <v>2.67</v>
      </c>
      <c r="N9" s="61">
        <v>0</v>
      </c>
      <c r="O9" s="62">
        <v>1122.3699999999999</v>
      </c>
      <c r="P9" s="62">
        <v>0.05</v>
      </c>
      <c r="Q9" s="62">
        <v>0.05</v>
      </c>
    </row>
    <row r="10" spans="1:17" ht="20.100000000000001" customHeight="1" x14ac:dyDescent="0.2">
      <c r="A10" s="196">
        <v>46478</v>
      </c>
      <c r="B10" s="43" t="s">
        <v>2934</v>
      </c>
      <c r="C10" s="200">
        <v>365</v>
      </c>
      <c r="D10" s="197">
        <v>1050003412081</v>
      </c>
      <c r="E10" s="43" t="s">
        <v>2934</v>
      </c>
      <c r="F10" s="198">
        <v>630</v>
      </c>
      <c r="G10" s="197">
        <v>1050003412090</v>
      </c>
      <c r="H10" s="43" t="s">
        <v>2934</v>
      </c>
      <c r="I10" s="198"/>
      <c r="J10" s="59">
        <v>2.61</v>
      </c>
      <c r="K10" s="60">
        <v>84.57</v>
      </c>
      <c r="L10" s="60">
        <v>2.25</v>
      </c>
      <c r="M10" s="60">
        <v>2.25</v>
      </c>
      <c r="N10" s="61">
        <v>0</v>
      </c>
      <c r="O10" s="62">
        <v>8101.74</v>
      </c>
      <c r="P10" s="62">
        <v>0.05</v>
      </c>
      <c r="Q10" s="62">
        <v>0.05</v>
      </c>
    </row>
    <row r="11" spans="1:17" ht="20.100000000000001" customHeight="1" x14ac:dyDescent="0.2">
      <c r="A11" s="196">
        <v>46478</v>
      </c>
      <c r="B11" s="43" t="s">
        <v>2935</v>
      </c>
      <c r="C11" s="200">
        <v>491</v>
      </c>
      <c r="D11" s="197">
        <v>1014572929954</v>
      </c>
      <c r="E11" s="43"/>
      <c r="F11" s="198"/>
      <c r="G11" s="197"/>
      <c r="H11" s="43" t="s">
        <v>2935</v>
      </c>
      <c r="I11" s="198">
        <v>1</v>
      </c>
      <c r="J11" s="59">
        <v>4.9189999999999996</v>
      </c>
      <c r="K11" s="60">
        <v>8402.66</v>
      </c>
      <c r="L11" s="60">
        <v>1.26</v>
      </c>
      <c r="M11" s="60">
        <v>1.26</v>
      </c>
      <c r="N11" s="61"/>
      <c r="O11" s="62"/>
      <c r="P11" s="62"/>
      <c r="Q11" s="62"/>
    </row>
    <row r="12" spans="1:17" ht="20.100000000000001" customHeight="1" x14ac:dyDescent="0.2">
      <c r="A12" s="196">
        <v>46478</v>
      </c>
      <c r="B12" s="43" t="s">
        <v>2936</v>
      </c>
      <c r="C12" s="200">
        <v>371</v>
      </c>
      <c r="D12" s="197">
        <v>1050003411956</v>
      </c>
      <c r="E12" s="43" t="s">
        <v>2936</v>
      </c>
      <c r="F12" s="198">
        <v>631</v>
      </c>
      <c r="G12" s="197">
        <v>1050003411965</v>
      </c>
      <c r="H12" s="43" t="s">
        <v>2936</v>
      </c>
      <c r="I12" s="198"/>
      <c r="J12" s="59">
        <v>1.282</v>
      </c>
      <c r="K12" s="60">
        <v>8.17</v>
      </c>
      <c r="L12" s="60">
        <v>4.88</v>
      </c>
      <c r="M12" s="60">
        <v>4.88</v>
      </c>
      <c r="N12" s="61">
        <v>0</v>
      </c>
      <c r="O12" s="62">
        <v>1729.44</v>
      </c>
      <c r="P12" s="62">
        <v>0.05</v>
      </c>
      <c r="Q12" s="62">
        <v>0.05</v>
      </c>
    </row>
    <row r="13" spans="1:17" ht="20.100000000000001" customHeight="1" x14ac:dyDescent="0.2">
      <c r="A13" s="196">
        <v>46478</v>
      </c>
      <c r="B13" s="43" t="s">
        <v>1077</v>
      </c>
      <c r="C13" s="200">
        <v>878</v>
      </c>
      <c r="D13" s="197">
        <v>1050000612950</v>
      </c>
      <c r="E13" s="43" t="s">
        <v>1077</v>
      </c>
      <c r="F13" s="198">
        <v>752</v>
      </c>
      <c r="G13" s="197">
        <v>1050000612940</v>
      </c>
      <c r="H13" s="43" t="s">
        <v>1077</v>
      </c>
      <c r="I13" s="198"/>
      <c r="J13" s="59">
        <v>1.282</v>
      </c>
      <c r="K13" s="60">
        <v>13.62</v>
      </c>
      <c r="L13" s="60">
        <v>5.21</v>
      </c>
      <c r="M13" s="60">
        <v>5.21</v>
      </c>
      <c r="N13" s="61">
        <v>0</v>
      </c>
      <c r="O13" s="62">
        <v>2450.9899999999998</v>
      </c>
      <c r="P13" s="62">
        <v>0.05</v>
      </c>
      <c r="Q13" s="62">
        <v>0.05</v>
      </c>
    </row>
    <row r="14" spans="1:17" ht="20.100000000000001" customHeight="1" x14ac:dyDescent="0.2">
      <c r="A14" s="196">
        <v>46478</v>
      </c>
      <c r="B14" s="43" t="s">
        <v>2933</v>
      </c>
      <c r="C14" s="93">
        <v>364</v>
      </c>
      <c r="D14" s="54">
        <v>1050003511730</v>
      </c>
      <c r="E14" s="44" t="s">
        <v>2933</v>
      </c>
      <c r="F14" s="93">
        <v>387</v>
      </c>
      <c r="G14" s="54">
        <v>1050003511749</v>
      </c>
      <c r="H14" s="55" t="s">
        <v>2933</v>
      </c>
      <c r="I14" s="182"/>
      <c r="J14" s="59">
        <v>0</v>
      </c>
      <c r="K14" s="60">
        <v>12.03</v>
      </c>
      <c r="L14" s="60">
        <v>4.5</v>
      </c>
      <c r="M14" s="60">
        <v>4.5</v>
      </c>
      <c r="N14" s="61">
        <v>0</v>
      </c>
      <c r="O14" s="62">
        <v>1804.42</v>
      </c>
      <c r="P14" s="62">
        <v>0.05</v>
      </c>
      <c r="Q14" s="62">
        <v>0.05</v>
      </c>
    </row>
    <row r="15" spans="1:17" ht="20.100000000000001" customHeight="1" x14ac:dyDescent="0.2">
      <c r="A15" s="196"/>
      <c r="B15" s="43"/>
      <c r="C15" s="200"/>
      <c r="D15" s="197"/>
      <c r="E15" s="43"/>
      <c r="F15" s="198"/>
      <c r="G15" s="197"/>
      <c r="H15" s="43"/>
      <c r="I15" s="198"/>
      <c r="J15" s="59"/>
      <c r="K15" s="60"/>
      <c r="L15" s="60"/>
      <c r="M15" s="60"/>
      <c r="N15" s="61"/>
      <c r="O15" s="62"/>
      <c r="P15" s="62"/>
      <c r="Q15" s="62"/>
    </row>
    <row r="17" spans="1:19" ht="25.5" customHeight="1" x14ac:dyDescent="0.2">
      <c r="A17" s="248" t="str">
        <f>Overview!B4&amp; " - Effective from "&amp;Overview!D4&amp;" - "&amp;Overview!E4&amp;" new designated EHV line loss factors"</f>
        <v>Eastern Power Networks - Effective from 1 April 2027 - Final new designated EHV line loss factors</v>
      </c>
      <c r="B17" s="249"/>
      <c r="C17" s="249"/>
      <c r="D17" s="249"/>
      <c r="E17" s="249"/>
      <c r="F17" s="249"/>
      <c r="G17" s="249"/>
      <c r="H17" s="249"/>
      <c r="I17" s="249"/>
      <c r="J17" s="249"/>
      <c r="K17" s="249"/>
      <c r="L17" s="249"/>
      <c r="M17" s="249"/>
      <c r="N17" s="249"/>
      <c r="O17" s="249"/>
      <c r="P17" s="249"/>
      <c r="Q17" s="249"/>
      <c r="R17" s="249"/>
      <c r="S17" s="250"/>
    </row>
    <row r="18" spans="1:19" ht="62.1" customHeight="1" x14ac:dyDescent="0.2">
      <c r="A18" s="26" t="s">
        <v>126</v>
      </c>
      <c r="B18" s="26" t="s">
        <v>46</v>
      </c>
      <c r="C18" s="26" t="s">
        <v>649</v>
      </c>
      <c r="D18" s="26" t="s">
        <v>31</v>
      </c>
      <c r="E18" s="26" t="s">
        <v>47</v>
      </c>
      <c r="F18" s="26" t="s">
        <v>649</v>
      </c>
      <c r="G18" s="26" t="s">
        <v>32</v>
      </c>
      <c r="H18" s="70" t="s">
        <v>26</v>
      </c>
      <c r="I18" s="52" t="s">
        <v>529</v>
      </c>
      <c r="J18" s="30" t="s">
        <v>99</v>
      </c>
      <c r="K18" s="30" t="s">
        <v>98</v>
      </c>
      <c r="L18" s="30" t="s">
        <v>100</v>
      </c>
      <c r="M18" s="30" t="s">
        <v>101</v>
      </c>
      <c r="N18" s="30" t="s">
        <v>635</v>
      </c>
      <c r="O18" s="32" t="s">
        <v>102</v>
      </c>
      <c r="P18" s="32" t="s">
        <v>103</v>
      </c>
      <c r="Q18" s="32" t="s">
        <v>104</v>
      </c>
      <c r="R18" s="32" t="s">
        <v>105</v>
      </c>
      <c r="S18" s="32" t="s">
        <v>636</v>
      </c>
    </row>
    <row r="19" spans="1:19" ht="20.100000000000001" customHeight="1" x14ac:dyDescent="0.2">
      <c r="A19" s="196"/>
      <c r="B19" s="43"/>
      <c r="C19" s="200"/>
      <c r="D19" s="197"/>
      <c r="E19" s="43"/>
      <c r="F19" s="198"/>
      <c r="G19" s="197"/>
      <c r="H19" s="43"/>
      <c r="I19" s="198"/>
      <c r="J19" s="35"/>
      <c r="K19" s="35"/>
      <c r="L19" s="28"/>
      <c r="M19" s="29"/>
      <c r="N19" s="29"/>
      <c r="O19" s="31"/>
      <c r="P19" s="31"/>
      <c r="Q19" s="31"/>
      <c r="R19" s="31"/>
      <c r="S19" s="31"/>
    </row>
    <row r="20" spans="1:19" ht="20.100000000000001" customHeight="1" x14ac:dyDescent="0.2">
      <c r="A20" s="43"/>
      <c r="B20" s="43"/>
      <c r="C20" s="43"/>
      <c r="D20" s="43"/>
      <c r="E20" s="44"/>
      <c r="F20" s="33"/>
      <c r="G20" s="33"/>
      <c r="H20" s="34"/>
      <c r="I20" s="183"/>
      <c r="J20" s="35"/>
      <c r="K20" s="35"/>
      <c r="L20" s="28"/>
      <c r="M20" s="29"/>
      <c r="N20" s="29"/>
      <c r="O20" s="31"/>
      <c r="P20" s="31"/>
      <c r="Q20" s="31"/>
      <c r="R20" s="31"/>
      <c r="S20" s="31"/>
    </row>
    <row r="21" spans="1:19" ht="20.100000000000001" customHeight="1" x14ac:dyDescent="0.2">
      <c r="A21" s="43"/>
      <c r="B21" s="43"/>
      <c r="C21" s="43"/>
      <c r="D21" s="43"/>
      <c r="E21" s="44"/>
      <c r="F21" s="33"/>
      <c r="G21" s="33"/>
      <c r="H21" s="34"/>
      <c r="I21" s="183"/>
      <c r="J21" s="35"/>
      <c r="K21" s="35"/>
      <c r="L21" s="28"/>
      <c r="M21" s="29"/>
      <c r="N21" s="29"/>
      <c r="O21" s="31"/>
      <c r="P21" s="31"/>
      <c r="Q21" s="31"/>
      <c r="R21" s="31"/>
      <c r="S21" s="31"/>
    </row>
    <row r="22" spans="1:19" ht="20.100000000000001" customHeight="1" x14ac:dyDescent="0.2">
      <c r="A22" s="43"/>
      <c r="B22" s="43"/>
      <c r="C22" s="43"/>
      <c r="D22" s="43"/>
      <c r="E22" s="44"/>
      <c r="F22" s="33"/>
      <c r="G22" s="33"/>
      <c r="H22" s="34"/>
      <c r="I22" s="183"/>
      <c r="J22" s="35"/>
      <c r="K22" s="35"/>
      <c r="L22" s="28"/>
      <c r="M22" s="29"/>
      <c r="N22" s="29"/>
      <c r="O22" s="31"/>
      <c r="P22" s="31"/>
      <c r="Q22" s="31"/>
      <c r="R22" s="31"/>
      <c r="S22" s="31"/>
    </row>
    <row r="23" spans="1:19" ht="20.100000000000001" customHeight="1" x14ac:dyDescent="0.2">
      <c r="A23" s="43"/>
      <c r="B23" s="43"/>
      <c r="C23" s="43"/>
      <c r="D23" s="43"/>
      <c r="E23" s="44"/>
      <c r="F23" s="33"/>
      <c r="G23" s="33"/>
      <c r="H23" s="34"/>
      <c r="I23" s="183"/>
      <c r="J23" s="35"/>
      <c r="K23" s="35"/>
      <c r="L23" s="28"/>
      <c r="M23" s="29"/>
      <c r="N23" s="29"/>
      <c r="O23" s="31"/>
      <c r="P23" s="31"/>
      <c r="Q23" s="31"/>
      <c r="R23" s="31"/>
      <c r="S23" s="31"/>
    </row>
    <row r="24" spans="1:19" ht="20.100000000000001" customHeight="1" x14ac:dyDescent="0.2">
      <c r="A24" s="43"/>
      <c r="B24" s="43"/>
      <c r="C24" s="43"/>
      <c r="D24" s="43"/>
      <c r="E24" s="44"/>
      <c r="F24" s="33"/>
      <c r="G24" s="33"/>
      <c r="H24" s="34"/>
      <c r="I24" s="183"/>
      <c r="J24" s="35"/>
      <c r="K24" s="35"/>
      <c r="L24" s="28"/>
      <c r="M24" s="29"/>
      <c r="N24" s="29"/>
      <c r="O24" s="31"/>
      <c r="P24" s="31"/>
      <c r="Q24" s="31"/>
      <c r="R24" s="31"/>
      <c r="S24" s="31"/>
    </row>
    <row r="25" spans="1:19" ht="20.100000000000001" customHeight="1" x14ac:dyDescent="0.2">
      <c r="A25" s="43"/>
      <c r="B25" s="43"/>
      <c r="C25" s="43"/>
      <c r="D25" s="43"/>
      <c r="E25" s="44"/>
      <c r="F25" s="33"/>
      <c r="G25" s="33"/>
      <c r="H25" s="34"/>
      <c r="I25" s="183"/>
      <c r="J25" s="35"/>
      <c r="K25" s="35"/>
      <c r="L25" s="28"/>
      <c r="M25" s="29"/>
      <c r="N25" s="29"/>
      <c r="O25" s="31"/>
      <c r="P25" s="31"/>
      <c r="Q25" s="31"/>
      <c r="R25" s="31"/>
      <c r="S25" s="31"/>
    </row>
    <row r="26" spans="1:19" ht="20.100000000000001" customHeight="1" x14ac:dyDescent="0.2">
      <c r="A26" s="43"/>
      <c r="B26" s="43"/>
      <c r="C26" s="43"/>
      <c r="D26" s="43"/>
      <c r="E26" s="44"/>
      <c r="F26" s="33"/>
      <c r="G26" s="33"/>
      <c r="H26" s="34"/>
      <c r="I26" s="183"/>
      <c r="J26" s="35"/>
      <c r="K26" s="35"/>
      <c r="L26" s="28"/>
      <c r="M26" s="29"/>
      <c r="N26" s="29"/>
      <c r="O26" s="31"/>
      <c r="P26" s="31"/>
      <c r="Q26" s="31"/>
      <c r="R26" s="31"/>
      <c r="S26" s="31"/>
    </row>
    <row r="27" spans="1:19" ht="20.100000000000001" customHeight="1" x14ac:dyDescent="0.2">
      <c r="A27" s="43"/>
      <c r="B27" s="43"/>
      <c r="C27" s="43"/>
      <c r="D27" s="43"/>
      <c r="E27" s="44"/>
      <c r="F27" s="33"/>
      <c r="G27" s="33"/>
      <c r="H27" s="34"/>
      <c r="I27" s="183"/>
      <c r="J27" s="35"/>
      <c r="K27" s="35"/>
      <c r="L27" s="28"/>
      <c r="M27" s="29"/>
      <c r="N27" s="29"/>
      <c r="O27" s="31"/>
      <c r="P27" s="31"/>
      <c r="Q27" s="31"/>
      <c r="R27" s="31"/>
      <c r="S27" s="31"/>
    </row>
    <row r="28" spans="1:19" ht="20.100000000000001" customHeight="1" x14ac:dyDescent="0.2">
      <c r="A28" s="43"/>
      <c r="B28" s="43"/>
      <c r="C28" s="43"/>
      <c r="D28" s="43"/>
      <c r="E28" s="44"/>
      <c r="F28" s="33"/>
      <c r="G28" s="33"/>
      <c r="H28" s="34"/>
      <c r="I28" s="183"/>
      <c r="J28" s="35"/>
      <c r="K28" s="35"/>
      <c r="L28" s="28"/>
      <c r="M28" s="29"/>
      <c r="N28" s="29"/>
      <c r="O28" s="31"/>
      <c r="P28" s="31"/>
      <c r="Q28" s="31"/>
      <c r="R28" s="31"/>
      <c r="S28" s="31"/>
    </row>
  </sheetData>
  <customSheetViews>
    <customSheetView guid="{5032A364-B81A-48DA-88DA-AB3B86B47EE9}" scale="80" fitToPage="1">
      <selection activeCell="A4" sqref="A4:M4"/>
      <pageMargins left="0.39370078740157483" right="0.35433070866141736" top="1.1023622047244095" bottom="0.74803149606299213" header="0.35433070866141736" footer="0.51181102362204722"/>
      <pageSetup paperSize="9" scale="71" fitToHeight="0" orientation="landscape" r:id="rId1"/>
      <headerFooter differentFirst="1" scaleWithDoc="0">
        <oddFooter>&amp;C&amp;P of &amp;N</oddFooter>
        <firstHeader>&amp;L
Annex 2 - Schedule of Charges for use of the Distribution System by Designated EHV Properties (including LDNOs with Designated EHV Properties/end-users).</firstHeader>
        <firstFooter>&amp;C&amp;P of &amp;N</firstFooter>
      </headerFooter>
    </customSheetView>
  </customSheetViews>
  <mergeCells count="4">
    <mergeCell ref="A4:Q4"/>
    <mergeCell ref="A2:Q2"/>
    <mergeCell ref="A17:S17"/>
    <mergeCell ref="D1:Q1"/>
  </mergeCells>
  <phoneticPr fontId="36" type="noConversion"/>
  <hyperlinks>
    <hyperlink ref="A1" location="Overview!A1" display="Back to Overview" xr:uid="{00000000-0004-0000-0800-000000000000}"/>
  </hyperlinks>
  <pageMargins left="0.39370078740157483" right="0.35433070866141736" top="1.1023622047244095" bottom="0.55118110236220474" header="0.35433070866141736" footer="0.31496062992125984"/>
  <pageSetup paperSize="9" scale="50" fitToHeight="0" orientation="landscape" r:id="rId2"/>
  <headerFooter scaleWithDoc="0">
    <oddHeader>&amp;L
Annex 6 - New Designated EHV Properties. Addendum to Schedule of Charges for use of the Distribution System by Designated EHV Properties (including LDNOs with Designated EHV Properties/end-users)</oddHeader>
    <oddFooter>&amp;L&amp;8Note: The DNO reserves the right to apply the listed charges to any other MPANs/MSIDs associated with the site. This includes reallocating charges to a traded MPAN at the same site where another MPAN has been disconnected or de-energised.&amp;R&amp;8&amp;P of &amp;N</oddFooter>
    <firstHeader>&amp;L
Annex 6 - New Designated EHV Properties. Addendum to Schedule of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3">
    <pageSetUpPr fitToPage="1"/>
  </sheetPr>
  <dimension ref="A1:E164"/>
  <sheetViews>
    <sheetView zoomScale="80" zoomScaleNormal="80" zoomScaleSheetLayoutView="100" workbookViewId="0"/>
  </sheetViews>
  <sheetFormatPr defaultColWidth="9.140625" defaultRowHeight="27.75" customHeight="1" x14ac:dyDescent="0.2"/>
  <cols>
    <col min="1" max="1" width="63.42578125" style="1" customWidth="1"/>
    <col min="2" max="2" width="17.5703125" style="2" customWidth="1"/>
    <col min="3" max="3" width="14.140625" style="1" customWidth="1"/>
    <col min="4" max="5" width="17.5703125" style="2" customWidth="1"/>
    <col min="6" max="16384" width="9.140625" style="1"/>
  </cols>
  <sheetData>
    <row r="1" spans="1:5" ht="27.75" customHeight="1" x14ac:dyDescent="0.2">
      <c r="A1" s="12" t="s">
        <v>16</v>
      </c>
      <c r="B1" s="282"/>
      <c r="C1" s="282"/>
      <c r="D1" s="169"/>
      <c r="E1" s="169"/>
    </row>
    <row r="2" spans="1:5" ht="35.1" customHeight="1" x14ac:dyDescent="0.2">
      <c r="A2" s="248" t="str">
        <f>Overview!B4&amp; " - Effective from "&amp;Overview!D4&amp;" - "&amp;Overview!E4&amp;" Supplier of Last Resort and Eligible Bad Debt Pass-Through Costs"</f>
        <v>Eastern Power Networks - Effective from 1 April 2027 - Final Supplier of Last Resort and Eligible Bad Debt Pass-Through Costs</v>
      </c>
      <c r="B2" s="249"/>
      <c r="C2" s="249"/>
      <c r="D2" s="249"/>
      <c r="E2" s="250"/>
    </row>
    <row r="3" spans="1:5" s="73" customFormat="1" ht="14.1" customHeight="1" x14ac:dyDescent="0.2">
      <c r="A3" s="81"/>
      <c r="B3" s="81"/>
      <c r="C3" s="81"/>
      <c r="D3" s="81"/>
      <c r="E3" s="81"/>
    </row>
    <row r="4" spans="1:5" ht="75" customHeight="1" x14ac:dyDescent="0.2">
      <c r="A4" s="26" t="s">
        <v>115</v>
      </c>
      <c r="B4" s="13" t="s">
        <v>648</v>
      </c>
      <c r="C4" s="13" t="s">
        <v>20</v>
      </c>
      <c r="D4" s="13" t="s">
        <v>398</v>
      </c>
      <c r="E4" s="13" t="s">
        <v>633</v>
      </c>
    </row>
    <row r="5" spans="1:5" ht="20.100000000000001" customHeight="1" x14ac:dyDescent="0.2">
      <c r="A5" s="15" t="s">
        <v>577</v>
      </c>
      <c r="B5" s="192">
        <f>IFERROR(INDEX('Annex 1 LV, HV and UMS charges'!$B$11:$B$42,MATCH($A5,'Annex 1 LV, HV and UMS charges'!$A$11:$A$42,0)),IF(INDEX('Annex 4 LDNO charges'!$B$11:$B$199,MATCH($A5,'Annex 4 LDNO charges'!$A$11:$A$199,0))=0,"",INDEX('Annex 4 LDNO charges'!$B$11:$B$199,MATCH($A5,'Annex 4 LDNO charges'!$A$11:$A$199,0))))</f>
        <v>1</v>
      </c>
      <c r="C5" s="193" t="str">
        <f>IFERROR(INDEX('Annex 1 LV, HV and UMS charges'!$C$11:$C$42,MATCH($A5,'Annex 1 LV, HV and UMS charges'!$A$11:$A$42,0)),INDEX('Annex 4 LDNO charges'!$C$11:$C$199,MATCH($A5,'Annex 4 LDNO charges'!$A$11:$A$199,0)))</f>
        <v>0, 1, 2</v>
      </c>
      <c r="D5" s="212">
        <v>0</v>
      </c>
      <c r="E5" s="212">
        <v>0</v>
      </c>
    </row>
    <row r="6" spans="1:5" ht="20.100000000000001" customHeight="1" x14ac:dyDescent="0.2">
      <c r="A6" s="15" t="s">
        <v>530</v>
      </c>
      <c r="B6" s="192">
        <f>IFERROR(INDEX('Annex 1 LV, HV and UMS charges'!$B$11:$B$42,MATCH($A6,'Annex 1 LV, HV and UMS charges'!$A$11:$A$42,0)),IF(INDEX('Annex 4 LDNO charges'!$B$11:$B$199,MATCH($A6,'Annex 4 LDNO charges'!$A$11:$A$199,0))=0,"",INDEX('Annex 4 LDNO charges'!$B$11:$B$199,MATCH($A6,'Annex 4 LDNO charges'!$A$11:$A$199,0))))</f>
        <v>199</v>
      </c>
      <c r="C6" s="193" t="str">
        <f>IFERROR(INDEX('Annex 1 LV, HV and UMS charges'!$C$11:$C$42,MATCH($A6,'Annex 1 LV, HV and UMS charges'!$A$11:$A$42,0)),INDEX('Annex 4 LDNO charges'!$C$11:$C$199,MATCH($A6,'Annex 4 LDNO charges'!$A$11:$A$199,0)))</f>
        <v>0, 3, 4, 5-8</v>
      </c>
      <c r="D6" s="177"/>
      <c r="E6" s="212">
        <v>0</v>
      </c>
    </row>
    <row r="7" spans="1:5" ht="20.100000000000001" customHeight="1" x14ac:dyDescent="0.2">
      <c r="A7" s="15" t="s">
        <v>531</v>
      </c>
      <c r="B7" s="192" t="str">
        <f>IFERROR(INDEX('Annex 1 LV, HV and UMS charges'!$B$11:$B$42,MATCH($A7,'Annex 1 LV, HV and UMS charges'!$A$11:$A$42,0)),IF(INDEX('Annex 4 LDNO charges'!$B$11:$B$199,MATCH($A7,'Annex 4 LDNO charges'!$A$11:$A$199,0))=0,"",INDEX('Annex 4 LDNO charges'!$B$11:$B$199,MATCH($A7,'Annex 4 LDNO charges'!$A$11:$A$199,0))))</f>
        <v>201, N01</v>
      </c>
      <c r="C7" s="193" t="str">
        <f>IFERROR(INDEX('Annex 1 LV, HV and UMS charges'!$C$11:$C$42,MATCH($A7,'Annex 1 LV, HV and UMS charges'!$A$11:$A$42,0)),INDEX('Annex 4 LDNO charges'!$C$11:$C$199,MATCH($A7,'Annex 4 LDNO charges'!$A$11:$A$199,0)))</f>
        <v>0, 3, 4, 5-8</v>
      </c>
      <c r="D7" s="177"/>
      <c r="E7" s="212">
        <v>0</v>
      </c>
    </row>
    <row r="8" spans="1:5" ht="20.100000000000001" customHeight="1" x14ac:dyDescent="0.2">
      <c r="A8" s="15" t="s">
        <v>532</v>
      </c>
      <c r="B8" s="192" t="str">
        <f>IFERROR(INDEX('Annex 1 LV, HV and UMS charges'!$B$11:$B$42,MATCH($A8,'Annex 1 LV, HV and UMS charges'!$A$11:$A$42,0)),IF(INDEX('Annex 4 LDNO charges'!$B$11:$B$199,MATCH($A8,'Annex 4 LDNO charges'!$A$11:$A$199,0))=0,"",INDEX('Annex 4 LDNO charges'!$B$11:$B$199,MATCH($A8,'Annex 4 LDNO charges'!$A$11:$A$199,0))))</f>
        <v>202, N02</v>
      </c>
      <c r="C8" s="193" t="str">
        <f>IFERROR(INDEX('Annex 1 LV, HV and UMS charges'!$C$11:$C$42,MATCH($A8,'Annex 1 LV, HV and UMS charges'!$A$11:$A$42,0)),INDEX('Annex 4 LDNO charges'!$C$11:$C$199,MATCH($A8,'Annex 4 LDNO charges'!$A$11:$A$199,0)))</f>
        <v>0, 3, 4, 5-8</v>
      </c>
      <c r="D8" s="177"/>
      <c r="E8" s="212">
        <v>0</v>
      </c>
    </row>
    <row r="9" spans="1:5" ht="20.100000000000001" customHeight="1" x14ac:dyDescent="0.2">
      <c r="A9" s="15" t="s">
        <v>533</v>
      </c>
      <c r="B9" s="192" t="str">
        <f>IFERROR(INDEX('Annex 1 LV, HV and UMS charges'!$B$11:$B$42,MATCH($A9,'Annex 1 LV, HV and UMS charges'!$A$11:$A$42,0)),IF(INDEX('Annex 4 LDNO charges'!$B$11:$B$199,MATCH($A9,'Annex 4 LDNO charges'!$A$11:$A$199,0))=0,"",INDEX('Annex 4 LDNO charges'!$B$11:$B$199,MATCH($A9,'Annex 4 LDNO charges'!$A$11:$A$199,0))))</f>
        <v>203, N03</v>
      </c>
      <c r="C9" s="193" t="str">
        <f>IFERROR(INDEX('Annex 1 LV, HV and UMS charges'!$C$11:$C$42,MATCH($A9,'Annex 1 LV, HV and UMS charges'!$A$11:$A$42,0)),INDEX('Annex 4 LDNO charges'!$C$11:$C$199,MATCH($A9,'Annex 4 LDNO charges'!$A$11:$A$199,0)))</f>
        <v>0, 3, 4, 5-8</v>
      </c>
      <c r="D9" s="177"/>
      <c r="E9" s="212">
        <v>0</v>
      </c>
    </row>
    <row r="10" spans="1:5" ht="20.100000000000001" customHeight="1" x14ac:dyDescent="0.2">
      <c r="A10" s="15" t="s">
        <v>534</v>
      </c>
      <c r="B10" s="192" t="str">
        <f>IFERROR(INDEX('Annex 1 LV, HV and UMS charges'!$B$11:$B$42,MATCH($A10,'Annex 1 LV, HV and UMS charges'!$A$11:$A$42,0)),IF(INDEX('Annex 4 LDNO charges'!$B$11:$B$199,MATCH($A10,'Annex 4 LDNO charges'!$A$11:$A$199,0))=0,"",INDEX('Annex 4 LDNO charges'!$B$11:$B$199,MATCH($A10,'Annex 4 LDNO charges'!$A$11:$A$199,0))))</f>
        <v>204, N04</v>
      </c>
      <c r="C10" s="193" t="str">
        <f>IFERROR(INDEX('Annex 1 LV, HV and UMS charges'!$C$11:$C$42,MATCH($A10,'Annex 1 LV, HV and UMS charges'!$A$11:$A$42,0)),INDEX('Annex 4 LDNO charges'!$C$11:$C$199,MATCH($A10,'Annex 4 LDNO charges'!$A$11:$A$199,0)))</f>
        <v>0, 3, 4, 5-8</v>
      </c>
      <c r="D10" s="177"/>
      <c r="E10" s="212">
        <v>0</v>
      </c>
    </row>
    <row r="11" spans="1:5" ht="20.100000000000001" customHeight="1" x14ac:dyDescent="0.2">
      <c r="A11" s="161" t="s">
        <v>402</v>
      </c>
      <c r="B11" s="192">
        <f>IFERROR(INDEX('Annex 1 LV, HV and UMS charges'!$B$11:$B$42,MATCH($A11,'Annex 1 LV, HV and UMS charges'!$A$11:$A$42,0)),IF(INDEX('Annex 4 LDNO charges'!$B$11:$B$199,MATCH($A11,'Annex 4 LDNO charges'!$A$11:$A$199,0))=0,"",INDEX('Annex 4 LDNO charges'!$B$11:$B$199,MATCH($A11,'Annex 4 LDNO charges'!$A$11:$A$199,0))))</f>
        <v>70</v>
      </c>
      <c r="C11" s="193">
        <f>IFERROR(INDEX('Annex 1 LV, HV and UMS charges'!$C$11:$C$42,MATCH($A11,'Annex 1 LV, HV and UMS charges'!$A$11:$A$42,0)),INDEX('Annex 4 LDNO charges'!$C$11:$C$199,MATCH($A11,'Annex 4 LDNO charges'!$A$11:$A$199,0)))</f>
        <v>0</v>
      </c>
      <c r="D11" s="177"/>
      <c r="E11" s="212">
        <v>0</v>
      </c>
    </row>
    <row r="12" spans="1:5" ht="20.100000000000001" customHeight="1" x14ac:dyDescent="0.2">
      <c r="A12" s="161" t="s">
        <v>403</v>
      </c>
      <c r="B12" s="192">
        <f>IFERROR(INDEX('Annex 1 LV, HV and UMS charges'!$B$11:$B$42,MATCH($A12,'Annex 1 LV, HV and UMS charges'!$A$11:$A$42,0)),IF(INDEX('Annex 4 LDNO charges'!$B$11:$B$199,MATCH($A12,'Annex 4 LDNO charges'!$A$11:$A$199,0))=0,"",INDEX('Annex 4 LDNO charges'!$B$11:$B$199,MATCH($A12,'Annex 4 LDNO charges'!$A$11:$A$199,0))))</f>
        <v>71</v>
      </c>
      <c r="C12" s="193">
        <f>IFERROR(INDEX('Annex 1 LV, HV and UMS charges'!$C$11:$C$42,MATCH($A12,'Annex 1 LV, HV and UMS charges'!$A$11:$A$42,0)),INDEX('Annex 4 LDNO charges'!$C$11:$C$199,MATCH($A12,'Annex 4 LDNO charges'!$A$11:$A$199,0)))</f>
        <v>0</v>
      </c>
      <c r="D12" s="177"/>
      <c r="E12" s="212">
        <v>0</v>
      </c>
    </row>
    <row r="13" spans="1:5" ht="20.100000000000001" customHeight="1" x14ac:dyDescent="0.2">
      <c r="A13" s="161" t="s">
        <v>404</v>
      </c>
      <c r="B13" s="192">
        <f>IFERROR(INDEX('Annex 1 LV, HV and UMS charges'!$B$11:$B$42,MATCH($A13,'Annex 1 LV, HV and UMS charges'!$A$11:$A$42,0)),IF(INDEX('Annex 4 LDNO charges'!$B$11:$B$199,MATCH($A13,'Annex 4 LDNO charges'!$A$11:$A$199,0))=0,"",INDEX('Annex 4 LDNO charges'!$B$11:$B$199,MATCH($A13,'Annex 4 LDNO charges'!$A$11:$A$199,0))))</f>
        <v>72</v>
      </c>
      <c r="C13" s="193">
        <f>IFERROR(INDEX('Annex 1 LV, HV and UMS charges'!$C$11:$C$42,MATCH($A13,'Annex 1 LV, HV and UMS charges'!$A$11:$A$42,0)),INDEX('Annex 4 LDNO charges'!$C$11:$C$199,MATCH($A13,'Annex 4 LDNO charges'!$A$11:$A$199,0)))</f>
        <v>0</v>
      </c>
      <c r="D13" s="177"/>
      <c r="E13" s="212">
        <v>0</v>
      </c>
    </row>
    <row r="14" spans="1:5" ht="20.100000000000001" customHeight="1" x14ac:dyDescent="0.2">
      <c r="A14" s="161" t="s">
        <v>405</v>
      </c>
      <c r="B14" s="192">
        <f>IFERROR(INDEX('Annex 1 LV, HV and UMS charges'!$B$11:$B$42,MATCH($A14,'Annex 1 LV, HV and UMS charges'!$A$11:$A$42,0)),IF(INDEX('Annex 4 LDNO charges'!$B$11:$B$199,MATCH($A14,'Annex 4 LDNO charges'!$A$11:$A$199,0))=0,"",INDEX('Annex 4 LDNO charges'!$B$11:$B$199,MATCH($A14,'Annex 4 LDNO charges'!$A$11:$A$199,0))))</f>
        <v>73</v>
      </c>
      <c r="C14" s="193">
        <f>IFERROR(INDEX('Annex 1 LV, HV and UMS charges'!$C$11:$C$42,MATCH($A14,'Annex 1 LV, HV and UMS charges'!$A$11:$A$42,0)),INDEX('Annex 4 LDNO charges'!$C$11:$C$199,MATCH($A14,'Annex 4 LDNO charges'!$A$11:$A$199,0)))</f>
        <v>0</v>
      </c>
      <c r="D14" s="177"/>
      <c r="E14" s="212">
        <v>0</v>
      </c>
    </row>
    <row r="15" spans="1:5" ht="20.100000000000001" customHeight="1" x14ac:dyDescent="0.2">
      <c r="A15" s="165" t="s">
        <v>406</v>
      </c>
      <c r="B15" s="192">
        <f>IFERROR(INDEX('Annex 1 LV, HV and UMS charges'!$B$11:$B$42,MATCH($A15,'Annex 1 LV, HV and UMS charges'!$A$11:$A$42,0)),IF(INDEX('Annex 4 LDNO charges'!$B$11:$B$199,MATCH($A15,'Annex 4 LDNO charges'!$A$11:$A$199,0))=0,"",INDEX('Annex 4 LDNO charges'!$B$11:$B$199,MATCH($A15,'Annex 4 LDNO charges'!$A$11:$A$199,0))))</f>
        <v>74</v>
      </c>
      <c r="C15" s="193">
        <f>IFERROR(INDEX('Annex 1 LV, HV and UMS charges'!$C$11:$C$42,MATCH($A15,'Annex 1 LV, HV and UMS charges'!$A$11:$A$42,0)),INDEX('Annex 4 LDNO charges'!$C$11:$C$199,MATCH($A15,'Annex 4 LDNO charges'!$A$11:$A$199,0)))</f>
        <v>0</v>
      </c>
      <c r="D15" s="177"/>
      <c r="E15" s="212">
        <v>0</v>
      </c>
    </row>
    <row r="16" spans="1:5" ht="20.100000000000001" customHeight="1" x14ac:dyDescent="0.2">
      <c r="A16" s="165" t="s">
        <v>407</v>
      </c>
      <c r="B16" s="192">
        <f>IFERROR(INDEX('Annex 1 LV, HV and UMS charges'!$B$11:$B$42,MATCH($A16,'Annex 1 LV, HV and UMS charges'!$A$11:$A$42,0)),IF(INDEX('Annex 4 LDNO charges'!$B$11:$B$199,MATCH($A16,'Annex 4 LDNO charges'!$A$11:$A$199,0))=0,"",INDEX('Annex 4 LDNO charges'!$B$11:$B$199,MATCH($A16,'Annex 4 LDNO charges'!$A$11:$A$199,0))))</f>
        <v>80</v>
      </c>
      <c r="C16" s="193">
        <f>IFERROR(INDEX('Annex 1 LV, HV and UMS charges'!$C$11:$C$42,MATCH($A16,'Annex 1 LV, HV and UMS charges'!$A$11:$A$42,0)),INDEX('Annex 4 LDNO charges'!$C$11:$C$199,MATCH($A16,'Annex 4 LDNO charges'!$A$11:$A$199,0)))</f>
        <v>0</v>
      </c>
      <c r="D16" s="177"/>
      <c r="E16" s="212">
        <v>0</v>
      </c>
    </row>
    <row r="17" spans="1:5" ht="20.100000000000001" customHeight="1" x14ac:dyDescent="0.2">
      <c r="A17" s="165" t="s">
        <v>408</v>
      </c>
      <c r="B17" s="192">
        <f>IFERROR(INDEX('Annex 1 LV, HV and UMS charges'!$B$11:$B$42,MATCH($A17,'Annex 1 LV, HV and UMS charges'!$A$11:$A$42,0)),IF(INDEX('Annex 4 LDNO charges'!$B$11:$B$199,MATCH($A17,'Annex 4 LDNO charges'!$A$11:$A$199,0))=0,"",INDEX('Annex 4 LDNO charges'!$B$11:$B$199,MATCH($A17,'Annex 4 LDNO charges'!$A$11:$A$199,0))))</f>
        <v>81</v>
      </c>
      <c r="C17" s="193">
        <f>IFERROR(INDEX('Annex 1 LV, HV and UMS charges'!$C$11:$C$42,MATCH($A17,'Annex 1 LV, HV and UMS charges'!$A$11:$A$42,0)),INDEX('Annex 4 LDNO charges'!$C$11:$C$199,MATCH($A17,'Annex 4 LDNO charges'!$A$11:$A$199,0)))</f>
        <v>0</v>
      </c>
      <c r="D17" s="177"/>
      <c r="E17" s="212">
        <v>0</v>
      </c>
    </row>
    <row r="18" spans="1:5" ht="20.100000000000001" customHeight="1" x14ac:dyDescent="0.2">
      <c r="A18" s="165" t="s">
        <v>409</v>
      </c>
      <c r="B18" s="192">
        <f>IFERROR(INDEX('Annex 1 LV, HV and UMS charges'!$B$11:$B$42,MATCH($A18,'Annex 1 LV, HV and UMS charges'!$A$11:$A$42,0)),IF(INDEX('Annex 4 LDNO charges'!$B$11:$B$199,MATCH($A18,'Annex 4 LDNO charges'!$A$11:$A$199,0))=0,"",INDEX('Annex 4 LDNO charges'!$B$11:$B$199,MATCH($A18,'Annex 4 LDNO charges'!$A$11:$A$199,0))))</f>
        <v>82</v>
      </c>
      <c r="C18" s="193">
        <f>IFERROR(INDEX('Annex 1 LV, HV and UMS charges'!$C$11:$C$42,MATCH($A18,'Annex 1 LV, HV and UMS charges'!$A$11:$A$42,0)),INDEX('Annex 4 LDNO charges'!$C$11:$C$199,MATCH($A18,'Annex 4 LDNO charges'!$A$11:$A$199,0)))</f>
        <v>0</v>
      </c>
      <c r="D18" s="177"/>
      <c r="E18" s="212">
        <v>0</v>
      </c>
    </row>
    <row r="19" spans="1:5" ht="20.100000000000001" customHeight="1" x14ac:dyDescent="0.2">
      <c r="A19" s="165" t="s">
        <v>410</v>
      </c>
      <c r="B19" s="192">
        <f>IFERROR(INDEX('Annex 1 LV, HV and UMS charges'!$B$11:$B$42,MATCH($A19,'Annex 1 LV, HV and UMS charges'!$A$11:$A$42,0)),IF(INDEX('Annex 4 LDNO charges'!$B$11:$B$199,MATCH($A19,'Annex 4 LDNO charges'!$A$11:$A$199,0))=0,"",INDEX('Annex 4 LDNO charges'!$B$11:$B$199,MATCH($A19,'Annex 4 LDNO charges'!$A$11:$A$199,0))))</f>
        <v>83</v>
      </c>
      <c r="C19" s="193">
        <f>IFERROR(INDEX('Annex 1 LV, HV and UMS charges'!$C$11:$C$42,MATCH($A19,'Annex 1 LV, HV and UMS charges'!$A$11:$A$42,0)),INDEX('Annex 4 LDNO charges'!$C$11:$C$199,MATCH($A19,'Annex 4 LDNO charges'!$A$11:$A$199,0)))</f>
        <v>0</v>
      </c>
      <c r="D19" s="177"/>
      <c r="E19" s="212">
        <v>0</v>
      </c>
    </row>
    <row r="20" spans="1:5" ht="20.100000000000001" customHeight="1" x14ac:dyDescent="0.2">
      <c r="A20" s="165" t="s">
        <v>411</v>
      </c>
      <c r="B20" s="192">
        <f>IFERROR(INDEX('Annex 1 LV, HV and UMS charges'!$B$11:$B$42,MATCH($A20,'Annex 1 LV, HV and UMS charges'!$A$11:$A$42,0)),IF(INDEX('Annex 4 LDNO charges'!$B$11:$B$199,MATCH($A20,'Annex 4 LDNO charges'!$A$11:$A$199,0))=0,"",INDEX('Annex 4 LDNO charges'!$B$11:$B$199,MATCH($A20,'Annex 4 LDNO charges'!$A$11:$A$199,0))))</f>
        <v>84</v>
      </c>
      <c r="C20" s="193">
        <f>IFERROR(INDEX('Annex 1 LV, HV and UMS charges'!$C$11:$C$42,MATCH($A20,'Annex 1 LV, HV and UMS charges'!$A$11:$A$42,0)),INDEX('Annex 4 LDNO charges'!$C$11:$C$199,MATCH($A20,'Annex 4 LDNO charges'!$A$11:$A$199,0)))</f>
        <v>0</v>
      </c>
      <c r="D20" s="177"/>
      <c r="E20" s="212">
        <v>0</v>
      </c>
    </row>
    <row r="21" spans="1:5" ht="20.100000000000001" customHeight="1" x14ac:dyDescent="0.2">
      <c r="A21" s="165" t="s">
        <v>412</v>
      </c>
      <c r="B21" s="192">
        <f>IFERROR(INDEX('Annex 1 LV, HV and UMS charges'!$B$11:$B$42,MATCH($A21,'Annex 1 LV, HV and UMS charges'!$A$11:$A$42,0)),IF(INDEX('Annex 4 LDNO charges'!$B$11:$B$199,MATCH($A21,'Annex 4 LDNO charges'!$A$11:$A$199,0))=0,"",INDEX('Annex 4 LDNO charges'!$B$11:$B$199,MATCH($A21,'Annex 4 LDNO charges'!$A$11:$A$199,0))))</f>
        <v>90</v>
      </c>
      <c r="C21" s="193">
        <f>IFERROR(INDEX('Annex 1 LV, HV and UMS charges'!$C$11:$C$42,MATCH($A21,'Annex 1 LV, HV and UMS charges'!$A$11:$A$42,0)),INDEX('Annex 4 LDNO charges'!$C$11:$C$199,MATCH($A21,'Annex 4 LDNO charges'!$A$11:$A$199,0)))</f>
        <v>0</v>
      </c>
      <c r="D21" s="177"/>
      <c r="E21" s="212">
        <v>0</v>
      </c>
    </row>
    <row r="22" spans="1:5" ht="20.100000000000001" customHeight="1" x14ac:dyDescent="0.2">
      <c r="A22" s="165" t="s">
        <v>413</v>
      </c>
      <c r="B22" s="192">
        <f>IFERROR(INDEX('Annex 1 LV, HV and UMS charges'!$B$11:$B$42,MATCH($A22,'Annex 1 LV, HV and UMS charges'!$A$11:$A$42,0)),IF(INDEX('Annex 4 LDNO charges'!$B$11:$B$199,MATCH($A22,'Annex 4 LDNO charges'!$A$11:$A$199,0))=0,"",INDEX('Annex 4 LDNO charges'!$B$11:$B$199,MATCH($A22,'Annex 4 LDNO charges'!$A$11:$A$199,0))))</f>
        <v>91</v>
      </c>
      <c r="C22" s="193">
        <f>IFERROR(INDEX('Annex 1 LV, HV and UMS charges'!$C$11:$C$42,MATCH($A22,'Annex 1 LV, HV and UMS charges'!$A$11:$A$42,0)),INDEX('Annex 4 LDNO charges'!$C$11:$C$199,MATCH($A22,'Annex 4 LDNO charges'!$A$11:$A$199,0)))</f>
        <v>0</v>
      </c>
      <c r="D22" s="177"/>
      <c r="E22" s="212">
        <v>0</v>
      </c>
    </row>
    <row r="23" spans="1:5" ht="20.100000000000001" customHeight="1" x14ac:dyDescent="0.2">
      <c r="A23" s="161" t="s">
        <v>414</v>
      </c>
      <c r="B23" s="192">
        <f>IFERROR(INDEX('Annex 1 LV, HV and UMS charges'!$B$11:$B$42,MATCH($A23,'Annex 1 LV, HV and UMS charges'!$A$11:$A$42,0)),IF(INDEX('Annex 4 LDNO charges'!$B$11:$B$199,MATCH($A23,'Annex 4 LDNO charges'!$A$11:$A$199,0))=0,"",INDEX('Annex 4 LDNO charges'!$B$11:$B$199,MATCH($A23,'Annex 4 LDNO charges'!$A$11:$A$199,0))))</f>
        <v>92</v>
      </c>
      <c r="C23" s="193">
        <f>IFERROR(INDEX('Annex 1 LV, HV and UMS charges'!$C$11:$C$42,MATCH($A23,'Annex 1 LV, HV and UMS charges'!$A$11:$A$42,0)),INDEX('Annex 4 LDNO charges'!$C$11:$C$199,MATCH($A23,'Annex 4 LDNO charges'!$A$11:$A$199,0)))</f>
        <v>0</v>
      </c>
      <c r="D23" s="177"/>
      <c r="E23" s="212">
        <v>0</v>
      </c>
    </row>
    <row r="24" spans="1:5" ht="20.100000000000001" customHeight="1" x14ac:dyDescent="0.2">
      <c r="A24" s="161" t="s">
        <v>415</v>
      </c>
      <c r="B24" s="192">
        <f>IFERROR(INDEX('Annex 1 LV, HV and UMS charges'!$B$11:$B$42,MATCH($A24,'Annex 1 LV, HV and UMS charges'!$A$11:$A$42,0)),IF(INDEX('Annex 4 LDNO charges'!$B$11:$B$199,MATCH($A24,'Annex 4 LDNO charges'!$A$11:$A$199,0))=0,"",INDEX('Annex 4 LDNO charges'!$B$11:$B$199,MATCH($A24,'Annex 4 LDNO charges'!$A$11:$A$199,0))))</f>
        <v>93</v>
      </c>
      <c r="C24" s="193">
        <f>IFERROR(INDEX('Annex 1 LV, HV and UMS charges'!$C$11:$C$42,MATCH($A24,'Annex 1 LV, HV and UMS charges'!$A$11:$A$42,0)),INDEX('Annex 4 LDNO charges'!$C$11:$C$199,MATCH($A24,'Annex 4 LDNO charges'!$A$11:$A$199,0)))</f>
        <v>0</v>
      </c>
      <c r="D24" s="177"/>
      <c r="E24" s="212">
        <v>0</v>
      </c>
    </row>
    <row r="25" spans="1:5" ht="20.100000000000001" customHeight="1" x14ac:dyDescent="0.2">
      <c r="A25" s="161" t="s">
        <v>416</v>
      </c>
      <c r="B25" s="192">
        <f>IFERROR(INDEX('Annex 1 LV, HV and UMS charges'!$B$11:$B$42,MATCH($A25,'Annex 1 LV, HV and UMS charges'!$A$11:$A$42,0)),IF(INDEX('Annex 4 LDNO charges'!$B$11:$B$199,MATCH($A25,'Annex 4 LDNO charges'!$A$11:$A$199,0))=0,"",INDEX('Annex 4 LDNO charges'!$B$11:$B$199,MATCH($A25,'Annex 4 LDNO charges'!$A$11:$A$199,0))))</f>
        <v>94</v>
      </c>
      <c r="C25" s="193">
        <f>IFERROR(INDEX('Annex 1 LV, HV and UMS charges'!$C$11:$C$42,MATCH($A25,'Annex 1 LV, HV and UMS charges'!$A$11:$A$42,0)),INDEX('Annex 4 LDNO charges'!$C$11:$C$199,MATCH($A25,'Annex 4 LDNO charges'!$A$11:$A$199,0)))</f>
        <v>0</v>
      </c>
      <c r="D25" s="177"/>
      <c r="E25" s="212">
        <v>0</v>
      </c>
    </row>
    <row r="26" spans="1:5" ht="20.100000000000001" customHeight="1" x14ac:dyDescent="0.2">
      <c r="A26" s="161" t="s">
        <v>535</v>
      </c>
      <c r="B26" s="192" t="str">
        <f>IFERROR(INDEX('Annex 1 LV, HV and UMS charges'!$B$11:$B$42,MATCH($A26,'Annex 1 LV, HV and UMS charges'!$A$11:$A$42,0)),IF(INDEX('Annex 4 LDNO charges'!$B$11:$B$199,MATCH($A26,'Annex 4 LDNO charges'!$A$11:$A$199,0))=0,"",INDEX('Annex 4 LDNO charges'!$B$11:$B$199,MATCH($A26,'Annex 4 LDNO charges'!$A$11:$A$199,0))))</f>
        <v>A00</v>
      </c>
      <c r="C26" s="193" t="str">
        <f>IFERROR(INDEX('Annex 1 LV, HV and UMS charges'!$C$11:$C$42,MATCH($A26,'Annex 1 LV, HV and UMS charges'!$A$11:$A$42,0)),INDEX('Annex 4 LDNO charges'!$C$11:$C$199,MATCH($A26,'Annex 4 LDNO charges'!$A$11:$A$199,0)))</f>
        <v>0, 1, 2</v>
      </c>
      <c r="D26" s="212">
        <v>0</v>
      </c>
      <c r="E26" s="212">
        <v>0</v>
      </c>
    </row>
    <row r="27" spans="1:5" ht="20.100000000000001" customHeight="1" x14ac:dyDescent="0.2">
      <c r="A27" s="161" t="s">
        <v>536</v>
      </c>
      <c r="B27" s="192" t="str">
        <f>IFERROR(INDEX('Annex 1 LV, HV and UMS charges'!$B$11:$B$42,MATCH($A27,'Annex 1 LV, HV and UMS charges'!$A$11:$A$42,0)),IF(INDEX('Annex 4 LDNO charges'!$B$11:$B$199,MATCH($A27,'Annex 4 LDNO charges'!$A$11:$A$199,0))=0,"",INDEX('Annex 4 LDNO charges'!$B$11:$B$199,MATCH($A27,'Annex 4 LDNO charges'!$A$11:$A$199,0))))</f>
        <v>C00</v>
      </c>
      <c r="C27" s="193" t="str">
        <f>IFERROR(INDEX('Annex 1 LV, HV and UMS charges'!$C$11:$C$42,MATCH($A27,'Annex 1 LV, HV and UMS charges'!$A$11:$A$42,0)),INDEX('Annex 4 LDNO charges'!$C$11:$C$199,MATCH($A27,'Annex 4 LDNO charges'!$A$11:$A$199,0)))</f>
        <v>0, 3, 4, 5-8</v>
      </c>
      <c r="D27" s="177"/>
      <c r="E27" s="212">
        <v>0</v>
      </c>
    </row>
    <row r="28" spans="1:5" ht="20.100000000000001" customHeight="1" x14ac:dyDescent="0.2">
      <c r="A28" s="161" t="s">
        <v>537</v>
      </c>
      <c r="B28" s="192" t="str">
        <f>IFERROR(INDEX('Annex 1 LV, HV and UMS charges'!$B$11:$B$42,MATCH($A28,'Annex 1 LV, HV and UMS charges'!$A$11:$A$42,0)),IF(INDEX('Annex 4 LDNO charges'!$B$11:$B$199,MATCH($A28,'Annex 4 LDNO charges'!$A$11:$A$199,0))=0,"",INDEX('Annex 4 LDNO charges'!$B$11:$B$199,MATCH($A28,'Annex 4 LDNO charges'!$A$11:$A$199,0))))</f>
        <v>C01</v>
      </c>
      <c r="C28" s="193" t="str">
        <f>IFERROR(INDEX('Annex 1 LV, HV and UMS charges'!$C$11:$C$42,MATCH($A28,'Annex 1 LV, HV and UMS charges'!$A$11:$A$42,0)),INDEX('Annex 4 LDNO charges'!$C$11:$C$199,MATCH($A28,'Annex 4 LDNO charges'!$A$11:$A$199,0)))</f>
        <v>0, 3, 4, 5-8</v>
      </c>
      <c r="D28" s="177"/>
      <c r="E28" s="212">
        <v>0</v>
      </c>
    </row>
    <row r="29" spans="1:5" ht="20.100000000000001" customHeight="1" x14ac:dyDescent="0.2">
      <c r="A29" s="161" t="s">
        <v>538</v>
      </c>
      <c r="B29" s="192" t="str">
        <f>IFERROR(INDEX('Annex 1 LV, HV and UMS charges'!$B$11:$B$42,MATCH($A29,'Annex 1 LV, HV and UMS charges'!$A$11:$A$42,0)),IF(INDEX('Annex 4 LDNO charges'!$B$11:$B$199,MATCH($A29,'Annex 4 LDNO charges'!$A$11:$A$199,0))=0,"",INDEX('Annex 4 LDNO charges'!$B$11:$B$199,MATCH($A29,'Annex 4 LDNO charges'!$A$11:$A$199,0))))</f>
        <v>C02</v>
      </c>
      <c r="C29" s="193" t="str">
        <f>IFERROR(INDEX('Annex 1 LV, HV and UMS charges'!$C$11:$C$42,MATCH($A29,'Annex 1 LV, HV and UMS charges'!$A$11:$A$42,0)),INDEX('Annex 4 LDNO charges'!$C$11:$C$199,MATCH($A29,'Annex 4 LDNO charges'!$A$11:$A$199,0)))</f>
        <v>0, 3, 4, 5-8</v>
      </c>
      <c r="D29" s="177"/>
      <c r="E29" s="212">
        <v>0</v>
      </c>
    </row>
    <row r="30" spans="1:5" ht="20.100000000000001" customHeight="1" x14ac:dyDescent="0.2">
      <c r="A30" s="161" t="s">
        <v>539</v>
      </c>
      <c r="B30" s="192" t="str">
        <f>IFERROR(INDEX('Annex 1 LV, HV and UMS charges'!$B$11:$B$42,MATCH($A30,'Annex 1 LV, HV and UMS charges'!$A$11:$A$42,0)),IF(INDEX('Annex 4 LDNO charges'!$B$11:$B$199,MATCH($A30,'Annex 4 LDNO charges'!$A$11:$A$199,0))=0,"",INDEX('Annex 4 LDNO charges'!$B$11:$B$199,MATCH($A30,'Annex 4 LDNO charges'!$A$11:$A$199,0))))</f>
        <v>C03</v>
      </c>
      <c r="C30" s="193" t="str">
        <f>IFERROR(INDEX('Annex 1 LV, HV and UMS charges'!$C$11:$C$42,MATCH($A30,'Annex 1 LV, HV and UMS charges'!$A$11:$A$42,0)),INDEX('Annex 4 LDNO charges'!$C$11:$C$199,MATCH($A30,'Annex 4 LDNO charges'!$A$11:$A$199,0)))</f>
        <v>0, 3, 4, 5-8</v>
      </c>
      <c r="D30" s="177"/>
      <c r="E30" s="212">
        <v>0</v>
      </c>
    </row>
    <row r="31" spans="1:5" ht="20.100000000000001" customHeight="1" x14ac:dyDescent="0.2">
      <c r="A31" s="161" t="s">
        <v>540</v>
      </c>
      <c r="B31" s="192" t="str">
        <f>IFERROR(INDEX('Annex 1 LV, HV and UMS charges'!$B$11:$B$42,MATCH($A31,'Annex 1 LV, HV and UMS charges'!$A$11:$A$42,0)),IF(INDEX('Annex 4 LDNO charges'!$B$11:$B$199,MATCH($A31,'Annex 4 LDNO charges'!$A$11:$A$199,0))=0,"",INDEX('Annex 4 LDNO charges'!$B$11:$B$199,MATCH($A31,'Annex 4 LDNO charges'!$A$11:$A$199,0))))</f>
        <v>C04</v>
      </c>
      <c r="C31" s="193" t="str">
        <f>IFERROR(INDEX('Annex 1 LV, HV and UMS charges'!$C$11:$C$42,MATCH($A31,'Annex 1 LV, HV and UMS charges'!$A$11:$A$42,0)),INDEX('Annex 4 LDNO charges'!$C$11:$C$199,MATCH($A31,'Annex 4 LDNO charges'!$A$11:$A$199,0)))</f>
        <v>0, 3, 4, 5-8</v>
      </c>
      <c r="D31" s="177"/>
      <c r="E31" s="212">
        <v>0</v>
      </c>
    </row>
    <row r="32" spans="1:5" ht="20.100000000000001" customHeight="1" x14ac:dyDescent="0.2">
      <c r="A32" s="161" t="s">
        <v>417</v>
      </c>
      <c r="B32" s="192" t="str">
        <f>IFERROR(INDEX('Annex 1 LV, HV and UMS charges'!$B$11:$B$42,MATCH($A32,'Annex 1 LV, HV and UMS charges'!$A$11:$A$42,0)),IF(INDEX('Annex 4 LDNO charges'!$B$11:$B$199,MATCH($A32,'Annex 4 LDNO charges'!$A$11:$A$199,0))=0,"",INDEX('Annex 4 LDNO charges'!$B$11:$B$199,MATCH($A32,'Annex 4 LDNO charges'!$A$11:$A$199,0))))</f>
        <v>E00</v>
      </c>
      <c r="C32" s="193">
        <f>IFERROR(INDEX('Annex 1 LV, HV and UMS charges'!$C$11:$C$42,MATCH($A32,'Annex 1 LV, HV and UMS charges'!$A$11:$A$42,0)),INDEX('Annex 4 LDNO charges'!$C$11:$C$199,MATCH($A32,'Annex 4 LDNO charges'!$A$11:$A$199,0)))</f>
        <v>0</v>
      </c>
      <c r="D32" s="177"/>
      <c r="E32" s="212">
        <v>0</v>
      </c>
    </row>
    <row r="33" spans="1:5" ht="20.100000000000001" customHeight="1" x14ac:dyDescent="0.2">
      <c r="A33" s="161" t="s">
        <v>418</v>
      </c>
      <c r="B33" s="192" t="str">
        <f>IFERROR(INDEX('Annex 1 LV, HV and UMS charges'!$B$11:$B$42,MATCH($A33,'Annex 1 LV, HV and UMS charges'!$A$11:$A$42,0)),IF(INDEX('Annex 4 LDNO charges'!$B$11:$B$199,MATCH($A33,'Annex 4 LDNO charges'!$A$11:$A$199,0))=0,"",INDEX('Annex 4 LDNO charges'!$B$11:$B$199,MATCH($A33,'Annex 4 LDNO charges'!$A$11:$A$199,0))))</f>
        <v>E01</v>
      </c>
      <c r="C33" s="193">
        <f>IFERROR(INDEX('Annex 1 LV, HV and UMS charges'!$C$11:$C$42,MATCH($A33,'Annex 1 LV, HV and UMS charges'!$A$11:$A$42,0)),INDEX('Annex 4 LDNO charges'!$C$11:$C$199,MATCH($A33,'Annex 4 LDNO charges'!$A$11:$A$199,0)))</f>
        <v>0</v>
      </c>
      <c r="D33" s="177"/>
      <c r="E33" s="212">
        <v>0</v>
      </c>
    </row>
    <row r="34" spans="1:5" ht="20.100000000000001" customHeight="1" x14ac:dyDescent="0.2">
      <c r="A34" s="161" t="s">
        <v>419</v>
      </c>
      <c r="B34" s="192" t="str">
        <f>IFERROR(INDEX('Annex 1 LV, HV and UMS charges'!$B$11:$B$42,MATCH($A34,'Annex 1 LV, HV and UMS charges'!$A$11:$A$42,0)),IF(INDEX('Annex 4 LDNO charges'!$B$11:$B$199,MATCH($A34,'Annex 4 LDNO charges'!$A$11:$A$199,0))=0,"",INDEX('Annex 4 LDNO charges'!$B$11:$B$199,MATCH($A34,'Annex 4 LDNO charges'!$A$11:$A$199,0))))</f>
        <v>E02</v>
      </c>
      <c r="C34" s="193">
        <f>IFERROR(INDEX('Annex 1 LV, HV and UMS charges'!$C$11:$C$42,MATCH($A34,'Annex 1 LV, HV and UMS charges'!$A$11:$A$42,0)),INDEX('Annex 4 LDNO charges'!$C$11:$C$199,MATCH($A34,'Annex 4 LDNO charges'!$A$11:$A$199,0)))</f>
        <v>0</v>
      </c>
      <c r="D34" s="177"/>
      <c r="E34" s="212">
        <v>0</v>
      </c>
    </row>
    <row r="35" spans="1:5" ht="20.100000000000001" customHeight="1" x14ac:dyDescent="0.2">
      <c r="A35" s="161" t="s">
        <v>420</v>
      </c>
      <c r="B35" s="192" t="str">
        <f>IFERROR(INDEX('Annex 1 LV, HV and UMS charges'!$B$11:$B$42,MATCH($A35,'Annex 1 LV, HV and UMS charges'!$A$11:$A$42,0)),IF(INDEX('Annex 4 LDNO charges'!$B$11:$B$199,MATCH($A35,'Annex 4 LDNO charges'!$A$11:$A$199,0))=0,"",INDEX('Annex 4 LDNO charges'!$B$11:$B$199,MATCH($A35,'Annex 4 LDNO charges'!$A$11:$A$199,0))))</f>
        <v>E03</v>
      </c>
      <c r="C35" s="193">
        <f>IFERROR(INDEX('Annex 1 LV, HV and UMS charges'!$C$11:$C$42,MATCH($A35,'Annex 1 LV, HV and UMS charges'!$A$11:$A$42,0)),INDEX('Annex 4 LDNO charges'!$C$11:$C$199,MATCH($A35,'Annex 4 LDNO charges'!$A$11:$A$199,0)))</f>
        <v>0</v>
      </c>
      <c r="D35" s="177"/>
      <c r="E35" s="212">
        <v>0</v>
      </c>
    </row>
    <row r="36" spans="1:5" ht="20.100000000000001" customHeight="1" x14ac:dyDescent="0.2">
      <c r="A36" s="161" t="s">
        <v>421</v>
      </c>
      <c r="B36" s="192" t="str">
        <f>IFERROR(INDEX('Annex 1 LV, HV and UMS charges'!$B$11:$B$42,MATCH($A36,'Annex 1 LV, HV and UMS charges'!$A$11:$A$42,0)),IF(INDEX('Annex 4 LDNO charges'!$B$11:$B$199,MATCH($A36,'Annex 4 LDNO charges'!$A$11:$A$199,0))=0,"",INDEX('Annex 4 LDNO charges'!$B$11:$B$199,MATCH($A36,'Annex 4 LDNO charges'!$A$11:$A$199,0))))</f>
        <v>E04</v>
      </c>
      <c r="C36" s="193">
        <f>IFERROR(INDEX('Annex 1 LV, HV and UMS charges'!$C$11:$C$42,MATCH($A36,'Annex 1 LV, HV and UMS charges'!$A$11:$A$42,0)),INDEX('Annex 4 LDNO charges'!$C$11:$C$199,MATCH($A36,'Annex 4 LDNO charges'!$A$11:$A$199,0)))</f>
        <v>0</v>
      </c>
      <c r="D36" s="177"/>
      <c r="E36" s="212">
        <v>0</v>
      </c>
    </row>
    <row r="37" spans="1:5" ht="20.100000000000001" customHeight="1" x14ac:dyDescent="0.2">
      <c r="A37" s="165" t="s">
        <v>541</v>
      </c>
      <c r="B37" s="192" t="str">
        <f>IFERROR(INDEX('Annex 1 LV, HV and UMS charges'!$B$11:$B$42,MATCH($A37,'Annex 1 LV, HV and UMS charges'!$A$11:$A$42,0)),IF(INDEX('Annex 4 LDNO charges'!$B$11:$B$199,MATCH($A37,'Annex 4 LDNO charges'!$A$11:$A$199,0))=0,"",INDEX('Annex 4 LDNO charges'!$B$11:$B$199,MATCH($A37,'Annex 4 LDNO charges'!$A$11:$A$199,0))))</f>
        <v>A10</v>
      </c>
      <c r="C37" s="193" t="str">
        <f>IFERROR(INDEX('Annex 1 LV, HV and UMS charges'!$C$11:$C$42,MATCH($A37,'Annex 1 LV, HV and UMS charges'!$A$11:$A$42,0)),INDEX('Annex 4 LDNO charges'!$C$11:$C$199,MATCH($A37,'Annex 4 LDNO charges'!$A$11:$A$199,0)))</f>
        <v>0, 1, 2</v>
      </c>
      <c r="D37" s="212">
        <v>0</v>
      </c>
      <c r="E37" s="212">
        <v>0</v>
      </c>
    </row>
    <row r="38" spans="1:5" ht="20.100000000000001" customHeight="1" x14ac:dyDescent="0.2">
      <c r="A38" s="161" t="s">
        <v>542</v>
      </c>
      <c r="B38" s="192" t="str">
        <f>IFERROR(INDEX('Annex 1 LV, HV and UMS charges'!$B$11:$B$42,MATCH($A38,'Annex 1 LV, HV and UMS charges'!$A$11:$A$42,0)),IF(INDEX('Annex 4 LDNO charges'!$B$11:$B$199,MATCH($A38,'Annex 4 LDNO charges'!$A$11:$A$199,0))=0,"",INDEX('Annex 4 LDNO charges'!$B$11:$B$199,MATCH($A38,'Annex 4 LDNO charges'!$A$11:$A$199,0))))</f>
        <v>C10</v>
      </c>
      <c r="C38" s="193" t="str">
        <f>IFERROR(INDEX('Annex 1 LV, HV and UMS charges'!$C$11:$C$42,MATCH($A38,'Annex 1 LV, HV and UMS charges'!$A$11:$A$42,0)),INDEX('Annex 4 LDNO charges'!$C$11:$C$199,MATCH($A38,'Annex 4 LDNO charges'!$A$11:$A$199,0)))</f>
        <v>0, 3, 4, 5-8</v>
      </c>
      <c r="D38" s="177"/>
      <c r="E38" s="212">
        <v>0</v>
      </c>
    </row>
    <row r="39" spans="1:5" ht="20.100000000000001" customHeight="1" x14ac:dyDescent="0.2">
      <c r="A39" s="161" t="s">
        <v>543</v>
      </c>
      <c r="B39" s="192" t="str">
        <f>IFERROR(INDEX('Annex 1 LV, HV and UMS charges'!$B$11:$B$42,MATCH($A39,'Annex 1 LV, HV and UMS charges'!$A$11:$A$42,0)),IF(INDEX('Annex 4 LDNO charges'!$B$11:$B$199,MATCH($A39,'Annex 4 LDNO charges'!$A$11:$A$199,0))=0,"",INDEX('Annex 4 LDNO charges'!$B$11:$B$199,MATCH($A39,'Annex 4 LDNO charges'!$A$11:$A$199,0))))</f>
        <v>C11</v>
      </c>
      <c r="C39" s="193" t="str">
        <f>IFERROR(INDEX('Annex 1 LV, HV and UMS charges'!$C$11:$C$42,MATCH($A39,'Annex 1 LV, HV and UMS charges'!$A$11:$A$42,0)),INDEX('Annex 4 LDNO charges'!$C$11:$C$199,MATCH($A39,'Annex 4 LDNO charges'!$A$11:$A$199,0)))</f>
        <v>0, 3, 4, 5-8</v>
      </c>
      <c r="D39" s="177"/>
      <c r="E39" s="212">
        <v>0</v>
      </c>
    </row>
    <row r="40" spans="1:5" ht="20.100000000000001" customHeight="1" x14ac:dyDescent="0.2">
      <c r="A40" s="161" t="s">
        <v>544</v>
      </c>
      <c r="B40" s="192" t="str">
        <f>IFERROR(INDEX('Annex 1 LV, HV and UMS charges'!$B$11:$B$42,MATCH($A40,'Annex 1 LV, HV and UMS charges'!$A$11:$A$42,0)),IF(INDEX('Annex 4 LDNO charges'!$B$11:$B$199,MATCH($A40,'Annex 4 LDNO charges'!$A$11:$A$199,0))=0,"",INDEX('Annex 4 LDNO charges'!$B$11:$B$199,MATCH($A40,'Annex 4 LDNO charges'!$A$11:$A$199,0))))</f>
        <v>C12</v>
      </c>
      <c r="C40" s="193" t="str">
        <f>IFERROR(INDEX('Annex 1 LV, HV and UMS charges'!$C$11:$C$42,MATCH($A40,'Annex 1 LV, HV and UMS charges'!$A$11:$A$42,0)),INDEX('Annex 4 LDNO charges'!$C$11:$C$199,MATCH($A40,'Annex 4 LDNO charges'!$A$11:$A$199,0)))</f>
        <v>0, 3, 4, 5-8</v>
      </c>
      <c r="D40" s="177"/>
      <c r="E40" s="212">
        <v>0</v>
      </c>
    </row>
    <row r="41" spans="1:5" ht="20.100000000000001" customHeight="1" x14ac:dyDescent="0.2">
      <c r="A41" s="161" t="s">
        <v>545</v>
      </c>
      <c r="B41" s="192" t="str">
        <f>IFERROR(INDEX('Annex 1 LV, HV and UMS charges'!$B$11:$B$42,MATCH($A41,'Annex 1 LV, HV and UMS charges'!$A$11:$A$42,0)),IF(INDEX('Annex 4 LDNO charges'!$B$11:$B$199,MATCH($A41,'Annex 4 LDNO charges'!$A$11:$A$199,0))=0,"",INDEX('Annex 4 LDNO charges'!$B$11:$B$199,MATCH($A41,'Annex 4 LDNO charges'!$A$11:$A$199,0))))</f>
        <v>C13</v>
      </c>
      <c r="C41" s="193" t="str">
        <f>IFERROR(INDEX('Annex 1 LV, HV and UMS charges'!$C$11:$C$42,MATCH($A41,'Annex 1 LV, HV and UMS charges'!$A$11:$A$42,0)),INDEX('Annex 4 LDNO charges'!$C$11:$C$199,MATCH($A41,'Annex 4 LDNO charges'!$A$11:$A$199,0)))</f>
        <v>0, 3, 4, 5-8</v>
      </c>
      <c r="D41" s="177"/>
      <c r="E41" s="212">
        <v>0</v>
      </c>
    </row>
    <row r="42" spans="1:5" ht="20.100000000000001" customHeight="1" x14ac:dyDescent="0.2">
      <c r="A42" s="161" t="s">
        <v>546</v>
      </c>
      <c r="B42" s="192" t="str">
        <f>IFERROR(INDEX('Annex 1 LV, HV and UMS charges'!$B$11:$B$42,MATCH($A42,'Annex 1 LV, HV and UMS charges'!$A$11:$A$42,0)),IF(INDEX('Annex 4 LDNO charges'!$B$11:$B$199,MATCH($A42,'Annex 4 LDNO charges'!$A$11:$A$199,0))=0,"",INDEX('Annex 4 LDNO charges'!$B$11:$B$199,MATCH($A42,'Annex 4 LDNO charges'!$A$11:$A$199,0))))</f>
        <v>C14</v>
      </c>
      <c r="C42" s="193" t="str">
        <f>IFERROR(INDEX('Annex 1 LV, HV and UMS charges'!$C$11:$C$42,MATCH($A42,'Annex 1 LV, HV and UMS charges'!$A$11:$A$42,0)),INDEX('Annex 4 LDNO charges'!$C$11:$C$199,MATCH($A42,'Annex 4 LDNO charges'!$A$11:$A$199,0)))</f>
        <v>0, 3, 4, 5-8</v>
      </c>
      <c r="D42" s="177"/>
      <c r="E42" s="212">
        <v>0</v>
      </c>
    </row>
    <row r="43" spans="1:5" ht="20.100000000000001" customHeight="1" x14ac:dyDescent="0.2">
      <c r="A43" s="161" t="s">
        <v>422</v>
      </c>
      <c r="B43" s="192" t="str">
        <f>IFERROR(INDEX('Annex 1 LV, HV and UMS charges'!$B$11:$B$42,MATCH($A43,'Annex 1 LV, HV and UMS charges'!$A$11:$A$42,0)),IF(INDEX('Annex 4 LDNO charges'!$B$11:$B$199,MATCH($A43,'Annex 4 LDNO charges'!$A$11:$A$199,0))=0,"",INDEX('Annex 4 LDNO charges'!$B$11:$B$199,MATCH($A43,'Annex 4 LDNO charges'!$A$11:$A$199,0))))</f>
        <v>E10</v>
      </c>
      <c r="C43" s="193">
        <f>IFERROR(INDEX('Annex 1 LV, HV and UMS charges'!$C$11:$C$42,MATCH($A43,'Annex 1 LV, HV and UMS charges'!$A$11:$A$42,0)),INDEX('Annex 4 LDNO charges'!$C$11:$C$199,MATCH($A43,'Annex 4 LDNO charges'!$A$11:$A$199,0)))</f>
        <v>0</v>
      </c>
      <c r="D43" s="177"/>
      <c r="E43" s="212">
        <v>0</v>
      </c>
    </row>
    <row r="44" spans="1:5" ht="20.100000000000001" customHeight="1" x14ac:dyDescent="0.2">
      <c r="A44" s="161" t="s">
        <v>423</v>
      </c>
      <c r="B44" s="192" t="str">
        <f>IFERROR(INDEX('Annex 1 LV, HV and UMS charges'!$B$11:$B$42,MATCH($A44,'Annex 1 LV, HV and UMS charges'!$A$11:$A$42,0)),IF(INDEX('Annex 4 LDNO charges'!$B$11:$B$199,MATCH($A44,'Annex 4 LDNO charges'!$A$11:$A$199,0))=0,"",INDEX('Annex 4 LDNO charges'!$B$11:$B$199,MATCH($A44,'Annex 4 LDNO charges'!$A$11:$A$199,0))))</f>
        <v>E11</v>
      </c>
      <c r="C44" s="193">
        <f>IFERROR(INDEX('Annex 1 LV, HV and UMS charges'!$C$11:$C$42,MATCH($A44,'Annex 1 LV, HV and UMS charges'!$A$11:$A$42,0)),INDEX('Annex 4 LDNO charges'!$C$11:$C$199,MATCH($A44,'Annex 4 LDNO charges'!$A$11:$A$199,0)))</f>
        <v>0</v>
      </c>
      <c r="D44" s="177"/>
      <c r="E44" s="212">
        <v>0</v>
      </c>
    </row>
    <row r="45" spans="1:5" ht="20.100000000000001" customHeight="1" x14ac:dyDescent="0.2">
      <c r="A45" s="161" t="s">
        <v>424</v>
      </c>
      <c r="B45" s="192" t="str">
        <f>IFERROR(INDEX('Annex 1 LV, HV and UMS charges'!$B$11:$B$42,MATCH($A45,'Annex 1 LV, HV and UMS charges'!$A$11:$A$42,0)),IF(INDEX('Annex 4 LDNO charges'!$B$11:$B$199,MATCH($A45,'Annex 4 LDNO charges'!$A$11:$A$199,0))=0,"",INDEX('Annex 4 LDNO charges'!$B$11:$B$199,MATCH($A45,'Annex 4 LDNO charges'!$A$11:$A$199,0))))</f>
        <v>E12</v>
      </c>
      <c r="C45" s="193">
        <f>IFERROR(INDEX('Annex 1 LV, HV and UMS charges'!$C$11:$C$42,MATCH($A45,'Annex 1 LV, HV and UMS charges'!$A$11:$A$42,0)),INDEX('Annex 4 LDNO charges'!$C$11:$C$199,MATCH($A45,'Annex 4 LDNO charges'!$A$11:$A$199,0)))</f>
        <v>0</v>
      </c>
      <c r="D45" s="177"/>
      <c r="E45" s="212">
        <v>0</v>
      </c>
    </row>
    <row r="46" spans="1:5" ht="20.100000000000001" customHeight="1" x14ac:dyDescent="0.2">
      <c r="A46" s="161" t="s">
        <v>425</v>
      </c>
      <c r="B46" s="192" t="str">
        <f>IFERROR(INDEX('Annex 1 LV, HV and UMS charges'!$B$11:$B$42,MATCH($A46,'Annex 1 LV, HV and UMS charges'!$A$11:$A$42,0)),IF(INDEX('Annex 4 LDNO charges'!$B$11:$B$199,MATCH($A46,'Annex 4 LDNO charges'!$A$11:$A$199,0))=0,"",INDEX('Annex 4 LDNO charges'!$B$11:$B$199,MATCH($A46,'Annex 4 LDNO charges'!$A$11:$A$199,0))))</f>
        <v>E13</v>
      </c>
      <c r="C46" s="193">
        <f>IFERROR(INDEX('Annex 1 LV, HV and UMS charges'!$C$11:$C$42,MATCH($A46,'Annex 1 LV, HV and UMS charges'!$A$11:$A$42,0)),INDEX('Annex 4 LDNO charges'!$C$11:$C$199,MATCH($A46,'Annex 4 LDNO charges'!$A$11:$A$199,0)))</f>
        <v>0</v>
      </c>
      <c r="D46" s="177"/>
      <c r="E46" s="212">
        <v>0</v>
      </c>
    </row>
    <row r="47" spans="1:5" ht="20.100000000000001" customHeight="1" x14ac:dyDescent="0.2">
      <c r="A47" s="161" t="s">
        <v>426</v>
      </c>
      <c r="B47" s="192" t="str">
        <f>IFERROR(INDEX('Annex 1 LV, HV and UMS charges'!$B$11:$B$42,MATCH($A47,'Annex 1 LV, HV and UMS charges'!$A$11:$A$42,0)),IF(INDEX('Annex 4 LDNO charges'!$B$11:$B$199,MATCH($A47,'Annex 4 LDNO charges'!$A$11:$A$199,0))=0,"",INDEX('Annex 4 LDNO charges'!$B$11:$B$199,MATCH($A47,'Annex 4 LDNO charges'!$A$11:$A$199,0))))</f>
        <v>E14</v>
      </c>
      <c r="C47" s="193">
        <f>IFERROR(INDEX('Annex 1 LV, HV and UMS charges'!$C$11:$C$42,MATCH($A47,'Annex 1 LV, HV and UMS charges'!$A$11:$A$42,0)),INDEX('Annex 4 LDNO charges'!$C$11:$C$199,MATCH($A47,'Annex 4 LDNO charges'!$A$11:$A$199,0)))</f>
        <v>0</v>
      </c>
      <c r="D47" s="177"/>
      <c r="E47" s="212">
        <v>0</v>
      </c>
    </row>
    <row r="48" spans="1:5" ht="20.100000000000001" customHeight="1" x14ac:dyDescent="0.2">
      <c r="A48" s="161" t="s">
        <v>427</v>
      </c>
      <c r="B48" s="192" t="str">
        <f>IFERROR(INDEX('Annex 1 LV, HV and UMS charges'!$B$11:$B$42,MATCH($A48,'Annex 1 LV, HV and UMS charges'!$A$11:$A$42,0)),IF(INDEX('Annex 4 LDNO charges'!$B$11:$B$199,MATCH($A48,'Annex 4 LDNO charges'!$A$11:$A$199,0))=0,"",INDEX('Annex 4 LDNO charges'!$B$11:$B$199,MATCH($A48,'Annex 4 LDNO charges'!$A$11:$A$199,0))))</f>
        <v>J10</v>
      </c>
      <c r="C48" s="193">
        <f>IFERROR(INDEX('Annex 1 LV, HV and UMS charges'!$C$11:$C$42,MATCH($A48,'Annex 1 LV, HV and UMS charges'!$A$11:$A$42,0)),INDEX('Annex 4 LDNO charges'!$C$11:$C$199,MATCH($A48,'Annex 4 LDNO charges'!$A$11:$A$199,0)))</f>
        <v>0</v>
      </c>
      <c r="D48" s="177"/>
      <c r="E48" s="212">
        <v>0</v>
      </c>
    </row>
    <row r="49" spans="1:5" ht="20.100000000000001" customHeight="1" x14ac:dyDescent="0.2">
      <c r="A49" s="161" t="s">
        <v>428</v>
      </c>
      <c r="B49" s="192" t="str">
        <f>IFERROR(INDEX('Annex 1 LV, HV and UMS charges'!$B$11:$B$42,MATCH($A49,'Annex 1 LV, HV and UMS charges'!$A$11:$A$42,0)),IF(INDEX('Annex 4 LDNO charges'!$B$11:$B$199,MATCH($A49,'Annex 4 LDNO charges'!$A$11:$A$199,0))=0,"",INDEX('Annex 4 LDNO charges'!$B$11:$B$199,MATCH($A49,'Annex 4 LDNO charges'!$A$11:$A$199,0))))</f>
        <v>J11</v>
      </c>
      <c r="C49" s="193">
        <f>IFERROR(INDEX('Annex 1 LV, HV and UMS charges'!$C$11:$C$42,MATCH($A49,'Annex 1 LV, HV and UMS charges'!$A$11:$A$42,0)),INDEX('Annex 4 LDNO charges'!$C$11:$C$199,MATCH($A49,'Annex 4 LDNO charges'!$A$11:$A$199,0)))</f>
        <v>0</v>
      </c>
      <c r="D49" s="177"/>
      <c r="E49" s="212">
        <v>0</v>
      </c>
    </row>
    <row r="50" spans="1:5" ht="20.100000000000001" customHeight="1" x14ac:dyDescent="0.2">
      <c r="A50" s="161" t="s">
        <v>429</v>
      </c>
      <c r="B50" s="192" t="str">
        <f>IFERROR(INDEX('Annex 1 LV, HV and UMS charges'!$B$11:$B$42,MATCH($A50,'Annex 1 LV, HV and UMS charges'!$A$11:$A$42,0)),IF(INDEX('Annex 4 LDNO charges'!$B$11:$B$199,MATCH($A50,'Annex 4 LDNO charges'!$A$11:$A$199,0))=0,"",INDEX('Annex 4 LDNO charges'!$B$11:$B$199,MATCH($A50,'Annex 4 LDNO charges'!$A$11:$A$199,0))))</f>
        <v>J12</v>
      </c>
      <c r="C50" s="193">
        <f>IFERROR(INDEX('Annex 1 LV, HV and UMS charges'!$C$11:$C$42,MATCH($A50,'Annex 1 LV, HV and UMS charges'!$A$11:$A$42,0)),INDEX('Annex 4 LDNO charges'!$C$11:$C$199,MATCH($A50,'Annex 4 LDNO charges'!$A$11:$A$199,0)))</f>
        <v>0</v>
      </c>
      <c r="D50" s="177"/>
      <c r="E50" s="212">
        <v>0</v>
      </c>
    </row>
    <row r="51" spans="1:5" ht="20.100000000000001" customHeight="1" x14ac:dyDescent="0.2">
      <c r="A51" s="161" t="s">
        <v>430</v>
      </c>
      <c r="B51" s="192" t="str">
        <f>IFERROR(INDEX('Annex 1 LV, HV and UMS charges'!$B$11:$B$42,MATCH($A51,'Annex 1 LV, HV and UMS charges'!$A$11:$A$42,0)),IF(INDEX('Annex 4 LDNO charges'!$B$11:$B$199,MATCH($A51,'Annex 4 LDNO charges'!$A$11:$A$199,0))=0,"",INDEX('Annex 4 LDNO charges'!$B$11:$B$199,MATCH($A51,'Annex 4 LDNO charges'!$A$11:$A$199,0))))</f>
        <v>J13</v>
      </c>
      <c r="C51" s="193">
        <f>IFERROR(INDEX('Annex 1 LV, HV and UMS charges'!$C$11:$C$42,MATCH($A51,'Annex 1 LV, HV and UMS charges'!$A$11:$A$42,0)),INDEX('Annex 4 LDNO charges'!$C$11:$C$199,MATCH($A51,'Annex 4 LDNO charges'!$A$11:$A$199,0)))</f>
        <v>0</v>
      </c>
      <c r="D51" s="177"/>
      <c r="E51" s="212">
        <v>0</v>
      </c>
    </row>
    <row r="52" spans="1:5" ht="20.100000000000001" customHeight="1" x14ac:dyDescent="0.2">
      <c r="A52" s="161" t="s">
        <v>431</v>
      </c>
      <c r="B52" s="192" t="str">
        <f>IFERROR(INDEX('Annex 1 LV, HV and UMS charges'!$B$11:$B$42,MATCH($A52,'Annex 1 LV, HV and UMS charges'!$A$11:$A$42,0)),IF(INDEX('Annex 4 LDNO charges'!$B$11:$B$199,MATCH($A52,'Annex 4 LDNO charges'!$A$11:$A$199,0))=0,"",INDEX('Annex 4 LDNO charges'!$B$11:$B$199,MATCH($A52,'Annex 4 LDNO charges'!$A$11:$A$199,0))))</f>
        <v>J14</v>
      </c>
      <c r="C52" s="193">
        <f>IFERROR(INDEX('Annex 1 LV, HV and UMS charges'!$C$11:$C$42,MATCH($A52,'Annex 1 LV, HV and UMS charges'!$A$11:$A$42,0)),INDEX('Annex 4 LDNO charges'!$C$11:$C$199,MATCH($A52,'Annex 4 LDNO charges'!$A$11:$A$199,0)))</f>
        <v>0</v>
      </c>
      <c r="D52" s="177"/>
      <c r="E52" s="212">
        <v>0</v>
      </c>
    </row>
    <row r="53" spans="1:5" ht="20.100000000000001" customHeight="1" x14ac:dyDescent="0.2">
      <c r="A53" s="161" t="s">
        <v>432</v>
      </c>
      <c r="B53" s="192" t="str">
        <f>IFERROR(INDEX('Annex 1 LV, HV and UMS charges'!$B$11:$B$42,MATCH($A53,'Annex 1 LV, HV and UMS charges'!$A$11:$A$42,0)),IF(INDEX('Annex 4 LDNO charges'!$B$11:$B$199,MATCH($A53,'Annex 4 LDNO charges'!$A$11:$A$199,0))=0,"",INDEX('Annex 4 LDNO charges'!$B$11:$B$199,MATCH($A53,'Annex 4 LDNO charges'!$A$11:$A$199,0))))</f>
        <v>K10</v>
      </c>
      <c r="C53" s="193">
        <f>IFERROR(INDEX('Annex 1 LV, HV and UMS charges'!$C$11:$C$42,MATCH($A53,'Annex 1 LV, HV and UMS charges'!$A$11:$A$42,0)),INDEX('Annex 4 LDNO charges'!$C$11:$C$199,MATCH($A53,'Annex 4 LDNO charges'!$A$11:$A$199,0)))</f>
        <v>0</v>
      </c>
      <c r="D53" s="177"/>
      <c r="E53" s="212">
        <v>0</v>
      </c>
    </row>
    <row r="54" spans="1:5" ht="20.100000000000001" customHeight="1" x14ac:dyDescent="0.2">
      <c r="A54" s="161" t="s">
        <v>433</v>
      </c>
      <c r="B54" s="192" t="str">
        <f>IFERROR(INDEX('Annex 1 LV, HV and UMS charges'!$B$11:$B$42,MATCH($A54,'Annex 1 LV, HV and UMS charges'!$A$11:$A$42,0)),IF(INDEX('Annex 4 LDNO charges'!$B$11:$B$199,MATCH($A54,'Annex 4 LDNO charges'!$A$11:$A$199,0))=0,"",INDEX('Annex 4 LDNO charges'!$B$11:$B$199,MATCH($A54,'Annex 4 LDNO charges'!$A$11:$A$199,0))))</f>
        <v>K11</v>
      </c>
      <c r="C54" s="193">
        <f>IFERROR(INDEX('Annex 1 LV, HV and UMS charges'!$C$11:$C$42,MATCH($A54,'Annex 1 LV, HV and UMS charges'!$A$11:$A$42,0)),INDEX('Annex 4 LDNO charges'!$C$11:$C$199,MATCH($A54,'Annex 4 LDNO charges'!$A$11:$A$199,0)))</f>
        <v>0</v>
      </c>
      <c r="D54" s="177"/>
      <c r="E54" s="212">
        <v>0</v>
      </c>
    </row>
    <row r="55" spans="1:5" ht="20.100000000000001" customHeight="1" x14ac:dyDescent="0.2">
      <c r="A55" s="161" t="s">
        <v>434</v>
      </c>
      <c r="B55" s="192" t="str">
        <f>IFERROR(INDEX('Annex 1 LV, HV and UMS charges'!$B$11:$B$42,MATCH($A55,'Annex 1 LV, HV and UMS charges'!$A$11:$A$42,0)),IF(INDEX('Annex 4 LDNO charges'!$B$11:$B$199,MATCH($A55,'Annex 4 LDNO charges'!$A$11:$A$199,0))=0,"",INDEX('Annex 4 LDNO charges'!$B$11:$B$199,MATCH($A55,'Annex 4 LDNO charges'!$A$11:$A$199,0))))</f>
        <v>K12</v>
      </c>
      <c r="C55" s="193">
        <f>IFERROR(INDEX('Annex 1 LV, HV and UMS charges'!$C$11:$C$42,MATCH($A55,'Annex 1 LV, HV and UMS charges'!$A$11:$A$42,0)),INDEX('Annex 4 LDNO charges'!$C$11:$C$199,MATCH($A55,'Annex 4 LDNO charges'!$A$11:$A$199,0)))</f>
        <v>0</v>
      </c>
      <c r="D55" s="177"/>
      <c r="E55" s="212">
        <v>0</v>
      </c>
    </row>
    <row r="56" spans="1:5" ht="20.100000000000001" customHeight="1" x14ac:dyDescent="0.2">
      <c r="A56" s="161" t="s">
        <v>435</v>
      </c>
      <c r="B56" s="192" t="str">
        <f>IFERROR(INDEX('Annex 1 LV, HV and UMS charges'!$B$11:$B$42,MATCH($A56,'Annex 1 LV, HV and UMS charges'!$A$11:$A$42,0)),IF(INDEX('Annex 4 LDNO charges'!$B$11:$B$199,MATCH($A56,'Annex 4 LDNO charges'!$A$11:$A$199,0))=0,"",INDEX('Annex 4 LDNO charges'!$B$11:$B$199,MATCH($A56,'Annex 4 LDNO charges'!$A$11:$A$199,0))))</f>
        <v>K13</v>
      </c>
      <c r="C56" s="193">
        <f>IFERROR(INDEX('Annex 1 LV, HV and UMS charges'!$C$11:$C$42,MATCH($A56,'Annex 1 LV, HV and UMS charges'!$A$11:$A$42,0)),INDEX('Annex 4 LDNO charges'!$C$11:$C$199,MATCH($A56,'Annex 4 LDNO charges'!$A$11:$A$199,0)))</f>
        <v>0</v>
      </c>
      <c r="D56" s="177"/>
      <c r="E56" s="212">
        <v>0</v>
      </c>
    </row>
    <row r="57" spans="1:5" ht="20.100000000000001" customHeight="1" x14ac:dyDescent="0.2">
      <c r="A57" s="161" t="s">
        <v>436</v>
      </c>
      <c r="B57" s="192" t="str">
        <f>IFERROR(INDEX('Annex 1 LV, HV and UMS charges'!$B$11:$B$42,MATCH($A57,'Annex 1 LV, HV and UMS charges'!$A$11:$A$42,0)),IF(INDEX('Annex 4 LDNO charges'!$B$11:$B$199,MATCH($A57,'Annex 4 LDNO charges'!$A$11:$A$199,0))=0,"",INDEX('Annex 4 LDNO charges'!$B$11:$B$199,MATCH($A57,'Annex 4 LDNO charges'!$A$11:$A$199,0))))</f>
        <v>K14</v>
      </c>
      <c r="C57" s="193">
        <f>IFERROR(INDEX('Annex 1 LV, HV and UMS charges'!$C$11:$C$42,MATCH($A57,'Annex 1 LV, HV and UMS charges'!$A$11:$A$42,0)),INDEX('Annex 4 LDNO charges'!$C$11:$C$199,MATCH($A57,'Annex 4 LDNO charges'!$A$11:$A$199,0)))</f>
        <v>0</v>
      </c>
      <c r="D57" s="177"/>
      <c r="E57" s="212">
        <v>0</v>
      </c>
    </row>
    <row r="58" spans="1:5" ht="20.100000000000001" customHeight="1" x14ac:dyDescent="0.2">
      <c r="A58" s="161" t="s">
        <v>547</v>
      </c>
      <c r="B58" s="192" t="str">
        <f>IFERROR(INDEX('Annex 1 LV, HV and UMS charges'!$B$11:$B$42,MATCH($A58,'Annex 1 LV, HV and UMS charges'!$A$11:$A$42,0)),IF(INDEX('Annex 4 LDNO charges'!$B$11:$B$199,MATCH($A58,'Annex 4 LDNO charges'!$A$11:$A$199,0))=0,"",INDEX('Annex 4 LDNO charges'!$B$11:$B$199,MATCH($A58,'Annex 4 LDNO charges'!$A$11:$A$199,0))))</f>
        <v>A20</v>
      </c>
      <c r="C58" s="193" t="str">
        <f>IFERROR(INDEX('Annex 1 LV, HV and UMS charges'!$C$11:$C$42,MATCH($A58,'Annex 1 LV, HV and UMS charges'!$A$11:$A$42,0)),INDEX('Annex 4 LDNO charges'!$C$11:$C$199,MATCH($A58,'Annex 4 LDNO charges'!$A$11:$A$199,0)))</f>
        <v>0, 1, 2</v>
      </c>
      <c r="D58" s="212">
        <v>0</v>
      </c>
      <c r="E58" s="212">
        <v>0</v>
      </c>
    </row>
    <row r="59" spans="1:5" ht="20.100000000000001" customHeight="1" x14ac:dyDescent="0.2">
      <c r="A59" s="161" t="s">
        <v>548</v>
      </c>
      <c r="B59" s="192" t="str">
        <f>IFERROR(INDEX('Annex 1 LV, HV and UMS charges'!$B$11:$B$42,MATCH($A59,'Annex 1 LV, HV and UMS charges'!$A$11:$A$42,0)),IF(INDEX('Annex 4 LDNO charges'!$B$11:$B$199,MATCH($A59,'Annex 4 LDNO charges'!$A$11:$A$199,0))=0,"",INDEX('Annex 4 LDNO charges'!$B$11:$B$199,MATCH($A59,'Annex 4 LDNO charges'!$A$11:$A$199,0))))</f>
        <v>C20</v>
      </c>
      <c r="C59" s="193" t="str">
        <f>IFERROR(INDEX('Annex 1 LV, HV and UMS charges'!$C$11:$C$42,MATCH($A59,'Annex 1 LV, HV and UMS charges'!$A$11:$A$42,0)),INDEX('Annex 4 LDNO charges'!$C$11:$C$199,MATCH($A59,'Annex 4 LDNO charges'!$A$11:$A$199,0)))</f>
        <v>0, 3, 4, 5-8</v>
      </c>
      <c r="D59" s="177"/>
      <c r="E59" s="212">
        <v>0</v>
      </c>
    </row>
    <row r="60" spans="1:5" ht="20.100000000000001" customHeight="1" x14ac:dyDescent="0.2">
      <c r="A60" s="161" t="s">
        <v>549</v>
      </c>
      <c r="B60" s="192" t="str">
        <f>IFERROR(INDEX('Annex 1 LV, HV and UMS charges'!$B$11:$B$42,MATCH($A60,'Annex 1 LV, HV and UMS charges'!$A$11:$A$42,0)),IF(INDEX('Annex 4 LDNO charges'!$B$11:$B$199,MATCH($A60,'Annex 4 LDNO charges'!$A$11:$A$199,0))=0,"",INDEX('Annex 4 LDNO charges'!$B$11:$B$199,MATCH($A60,'Annex 4 LDNO charges'!$A$11:$A$199,0))))</f>
        <v>C21</v>
      </c>
      <c r="C60" s="193" t="str">
        <f>IFERROR(INDEX('Annex 1 LV, HV and UMS charges'!$C$11:$C$42,MATCH($A60,'Annex 1 LV, HV and UMS charges'!$A$11:$A$42,0)),INDEX('Annex 4 LDNO charges'!$C$11:$C$199,MATCH($A60,'Annex 4 LDNO charges'!$A$11:$A$199,0)))</f>
        <v>0, 3, 4, 5-8</v>
      </c>
      <c r="D60" s="177"/>
      <c r="E60" s="212">
        <v>0</v>
      </c>
    </row>
    <row r="61" spans="1:5" ht="20.100000000000001" customHeight="1" x14ac:dyDescent="0.2">
      <c r="A61" s="161" t="s">
        <v>550</v>
      </c>
      <c r="B61" s="192" t="str">
        <f>IFERROR(INDEX('Annex 1 LV, HV and UMS charges'!$B$11:$B$42,MATCH($A61,'Annex 1 LV, HV and UMS charges'!$A$11:$A$42,0)),IF(INDEX('Annex 4 LDNO charges'!$B$11:$B$199,MATCH($A61,'Annex 4 LDNO charges'!$A$11:$A$199,0))=0,"",INDEX('Annex 4 LDNO charges'!$B$11:$B$199,MATCH($A61,'Annex 4 LDNO charges'!$A$11:$A$199,0))))</f>
        <v>C22</v>
      </c>
      <c r="C61" s="193" t="str">
        <f>IFERROR(INDEX('Annex 1 LV, HV and UMS charges'!$C$11:$C$42,MATCH($A61,'Annex 1 LV, HV and UMS charges'!$A$11:$A$42,0)),INDEX('Annex 4 LDNO charges'!$C$11:$C$199,MATCH($A61,'Annex 4 LDNO charges'!$A$11:$A$199,0)))</f>
        <v>0, 3, 4, 5-8</v>
      </c>
      <c r="D61" s="177"/>
      <c r="E61" s="212">
        <v>0</v>
      </c>
    </row>
    <row r="62" spans="1:5" ht="20.100000000000001" customHeight="1" x14ac:dyDescent="0.2">
      <c r="A62" s="161" t="s">
        <v>551</v>
      </c>
      <c r="B62" s="192" t="str">
        <f>IFERROR(INDEX('Annex 1 LV, HV and UMS charges'!$B$11:$B$42,MATCH($A62,'Annex 1 LV, HV and UMS charges'!$A$11:$A$42,0)),IF(INDEX('Annex 4 LDNO charges'!$B$11:$B$199,MATCH($A62,'Annex 4 LDNO charges'!$A$11:$A$199,0))=0,"",INDEX('Annex 4 LDNO charges'!$B$11:$B$199,MATCH($A62,'Annex 4 LDNO charges'!$A$11:$A$199,0))))</f>
        <v>C23</v>
      </c>
      <c r="C62" s="193" t="str">
        <f>IFERROR(INDEX('Annex 1 LV, HV and UMS charges'!$C$11:$C$42,MATCH($A62,'Annex 1 LV, HV and UMS charges'!$A$11:$A$42,0)),INDEX('Annex 4 LDNO charges'!$C$11:$C$199,MATCH($A62,'Annex 4 LDNO charges'!$A$11:$A$199,0)))</f>
        <v>0, 3, 4, 5-8</v>
      </c>
      <c r="D62" s="177"/>
      <c r="E62" s="212">
        <v>0</v>
      </c>
    </row>
    <row r="63" spans="1:5" ht="20.100000000000001" customHeight="1" x14ac:dyDescent="0.2">
      <c r="A63" s="161" t="s">
        <v>552</v>
      </c>
      <c r="B63" s="192" t="str">
        <f>IFERROR(INDEX('Annex 1 LV, HV and UMS charges'!$B$11:$B$42,MATCH($A63,'Annex 1 LV, HV and UMS charges'!$A$11:$A$42,0)),IF(INDEX('Annex 4 LDNO charges'!$B$11:$B$199,MATCH($A63,'Annex 4 LDNO charges'!$A$11:$A$199,0))=0,"",INDEX('Annex 4 LDNO charges'!$B$11:$B$199,MATCH($A63,'Annex 4 LDNO charges'!$A$11:$A$199,0))))</f>
        <v>C24</v>
      </c>
      <c r="C63" s="193" t="str">
        <f>IFERROR(INDEX('Annex 1 LV, HV and UMS charges'!$C$11:$C$42,MATCH($A63,'Annex 1 LV, HV and UMS charges'!$A$11:$A$42,0)),INDEX('Annex 4 LDNO charges'!$C$11:$C$199,MATCH($A63,'Annex 4 LDNO charges'!$A$11:$A$199,0)))</f>
        <v>0, 3, 4, 5-8</v>
      </c>
      <c r="D63" s="177"/>
      <c r="E63" s="212">
        <v>0</v>
      </c>
    </row>
    <row r="64" spans="1:5" ht="20.100000000000001" customHeight="1" x14ac:dyDescent="0.2">
      <c r="A64" s="161" t="s">
        <v>497</v>
      </c>
      <c r="B64" s="192" t="str">
        <f>IFERROR(INDEX('Annex 1 LV, HV and UMS charges'!$B$11:$B$42,MATCH($A64,'Annex 1 LV, HV and UMS charges'!$A$11:$A$42,0)),IF(INDEX('Annex 4 LDNO charges'!$B$11:$B$199,MATCH($A64,'Annex 4 LDNO charges'!$A$11:$A$199,0))=0,"",INDEX('Annex 4 LDNO charges'!$B$11:$B$199,MATCH($A64,'Annex 4 LDNO charges'!$A$11:$A$199,0))))</f>
        <v>E20</v>
      </c>
      <c r="C64" s="193">
        <f>IFERROR(INDEX('Annex 1 LV, HV and UMS charges'!$C$11:$C$42,MATCH($A64,'Annex 1 LV, HV and UMS charges'!$A$11:$A$42,0)),INDEX('Annex 4 LDNO charges'!$C$11:$C$199,MATCH($A64,'Annex 4 LDNO charges'!$A$11:$A$199,0)))</f>
        <v>0</v>
      </c>
      <c r="D64" s="177"/>
      <c r="E64" s="212">
        <v>0</v>
      </c>
    </row>
    <row r="65" spans="1:5" ht="20.100000000000001" customHeight="1" x14ac:dyDescent="0.2">
      <c r="A65" s="161" t="s">
        <v>498</v>
      </c>
      <c r="B65" s="192" t="str">
        <f>IFERROR(INDEX('Annex 1 LV, HV and UMS charges'!$B$11:$B$42,MATCH($A65,'Annex 1 LV, HV and UMS charges'!$A$11:$A$42,0)),IF(INDEX('Annex 4 LDNO charges'!$B$11:$B$199,MATCH($A65,'Annex 4 LDNO charges'!$A$11:$A$199,0))=0,"",INDEX('Annex 4 LDNO charges'!$B$11:$B$199,MATCH($A65,'Annex 4 LDNO charges'!$A$11:$A$199,0))))</f>
        <v>E21</v>
      </c>
      <c r="C65" s="193">
        <f>IFERROR(INDEX('Annex 1 LV, HV and UMS charges'!$C$11:$C$42,MATCH($A65,'Annex 1 LV, HV and UMS charges'!$A$11:$A$42,0)),INDEX('Annex 4 LDNO charges'!$C$11:$C$199,MATCH($A65,'Annex 4 LDNO charges'!$A$11:$A$199,0)))</f>
        <v>0</v>
      </c>
      <c r="D65" s="177"/>
      <c r="E65" s="212">
        <v>0</v>
      </c>
    </row>
    <row r="66" spans="1:5" ht="20.100000000000001" customHeight="1" x14ac:dyDescent="0.2">
      <c r="A66" s="161" t="s">
        <v>499</v>
      </c>
      <c r="B66" s="192" t="str">
        <f>IFERROR(INDEX('Annex 1 LV, HV and UMS charges'!$B$11:$B$42,MATCH($A66,'Annex 1 LV, HV and UMS charges'!$A$11:$A$42,0)),IF(INDEX('Annex 4 LDNO charges'!$B$11:$B$199,MATCH($A66,'Annex 4 LDNO charges'!$A$11:$A$199,0))=0,"",INDEX('Annex 4 LDNO charges'!$B$11:$B$199,MATCH($A66,'Annex 4 LDNO charges'!$A$11:$A$199,0))))</f>
        <v>E22</v>
      </c>
      <c r="C66" s="193">
        <f>IFERROR(INDEX('Annex 1 LV, HV and UMS charges'!$C$11:$C$42,MATCH($A66,'Annex 1 LV, HV and UMS charges'!$A$11:$A$42,0)),INDEX('Annex 4 LDNO charges'!$C$11:$C$199,MATCH($A66,'Annex 4 LDNO charges'!$A$11:$A$199,0)))</f>
        <v>0</v>
      </c>
      <c r="D66" s="177"/>
      <c r="E66" s="212">
        <v>0</v>
      </c>
    </row>
    <row r="67" spans="1:5" ht="20.100000000000001" customHeight="1" x14ac:dyDescent="0.2">
      <c r="A67" s="161" t="s">
        <v>500</v>
      </c>
      <c r="B67" s="192" t="str">
        <f>IFERROR(INDEX('Annex 1 LV, HV and UMS charges'!$B$11:$B$42,MATCH($A67,'Annex 1 LV, HV and UMS charges'!$A$11:$A$42,0)),IF(INDEX('Annex 4 LDNO charges'!$B$11:$B$199,MATCH($A67,'Annex 4 LDNO charges'!$A$11:$A$199,0))=0,"",INDEX('Annex 4 LDNO charges'!$B$11:$B$199,MATCH($A67,'Annex 4 LDNO charges'!$A$11:$A$199,0))))</f>
        <v>E23</v>
      </c>
      <c r="C67" s="193">
        <f>IFERROR(INDEX('Annex 1 LV, HV and UMS charges'!$C$11:$C$42,MATCH($A67,'Annex 1 LV, HV and UMS charges'!$A$11:$A$42,0)),INDEX('Annex 4 LDNO charges'!$C$11:$C$199,MATCH($A67,'Annex 4 LDNO charges'!$A$11:$A$199,0)))</f>
        <v>0</v>
      </c>
      <c r="D67" s="177"/>
      <c r="E67" s="212">
        <v>0</v>
      </c>
    </row>
    <row r="68" spans="1:5" ht="20.100000000000001" customHeight="1" x14ac:dyDescent="0.2">
      <c r="A68" s="161" t="s">
        <v>501</v>
      </c>
      <c r="B68" s="192" t="str">
        <f>IFERROR(INDEX('Annex 1 LV, HV and UMS charges'!$B$11:$B$42,MATCH($A68,'Annex 1 LV, HV and UMS charges'!$A$11:$A$42,0)),IF(INDEX('Annex 4 LDNO charges'!$B$11:$B$199,MATCH($A68,'Annex 4 LDNO charges'!$A$11:$A$199,0))=0,"",INDEX('Annex 4 LDNO charges'!$B$11:$B$199,MATCH($A68,'Annex 4 LDNO charges'!$A$11:$A$199,0))))</f>
        <v>E24</v>
      </c>
      <c r="C68" s="193">
        <f>IFERROR(INDEX('Annex 1 LV, HV and UMS charges'!$C$11:$C$42,MATCH($A68,'Annex 1 LV, HV and UMS charges'!$A$11:$A$42,0)),INDEX('Annex 4 LDNO charges'!$C$11:$C$199,MATCH($A68,'Annex 4 LDNO charges'!$A$11:$A$199,0)))</f>
        <v>0</v>
      </c>
      <c r="D68" s="177"/>
      <c r="E68" s="212">
        <v>0</v>
      </c>
    </row>
    <row r="69" spans="1:5" ht="20.100000000000001" customHeight="1" x14ac:dyDescent="0.2">
      <c r="A69" s="161" t="s">
        <v>502</v>
      </c>
      <c r="B69" s="192" t="str">
        <f>IFERROR(INDEX('Annex 1 LV, HV and UMS charges'!$B$11:$B$42,MATCH($A69,'Annex 1 LV, HV and UMS charges'!$A$11:$A$42,0)),IF(INDEX('Annex 4 LDNO charges'!$B$11:$B$199,MATCH($A69,'Annex 4 LDNO charges'!$A$11:$A$199,0))=0,"",INDEX('Annex 4 LDNO charges'!$B$11:$B$199,MATCH($A69,'Annex 4 LDNO charges'!$A$11:$A$199,0))))</f>
        <v>J20</v>
      </c>
      <c r="C69" s="193">
        <f>IFERROR(INDEX('Annex 1 LV, HV and UMS charges'!$C$11:$C$42,MATCH($A69,'Annex 1 LV, HV and UMS charges'!$A$11:$A$42,0)),INDEX('Annex 4 LDNO charges'!$C$11:$C$199,MATCH($A69,'Annex 4 LDNO charges'!$A$11:$A$199,0)))</f>
        <v>0</v>
      </c>
      <c r="D69" s="177"/>
      <c r="E69" s="212">
        <v>0</v>
      </c>
    </row>
    <row r="70" spans="1:5" ht="20.100000000000001" customHeight="1" x14ac:dyDescent="0.2">
      <c r="A70" s="161" t="s">
        <v>503</v>
      </c>
      <c r="B70" s="192" t="str">
        <f>IFERROR(INDEX('Annex 1 LV, HV and UMS charges'!$B$11:$B$42,MATCH($A70,'Annex 1 LV, HV and UMS charges'!$A$11:$A$42,0)),IF(INDEX('Annex 4 LDNO charges'!$B$11:$B$199,MATCH($A70,'Annex 4 LDNO charges'!$A$11:$A$199,0))=0,"",INDEX('Annex 4 LDNO charges'!$B$11:$B$199,MATCH($A70,'Annex 4 LDNO charges'!$A$11:$A$199,0))))</f>
        <v>J21</v>
      </c>
      <c r="C70" s="193">
        <f>IFERROR(INDEX('Annex 1 LV, HV and UMS charges'!$C$11:$C$42,MATCH($A70,'Annex 1 LV, HV and UMS charges'!$A$11:$A$42,0)),INDEX('Annex 4 LDNO charges'!$C$11:$C$199,MATCH($A70,'Annex 4 LDNO charges'!$A$11:$A$199,0)))</f>
        <v>0</v>
      </c>
      <c r="D70" s="177"/>
      <c r="E70" s="212">
        <v>0</v>
      </c>
    </row>
    <row r="71" spans="1:5" ht="20.100000000000001" customHeight="1" x14ac:dyDescent="0.2">
      <c r="A71" s="161" t="s">
        <v>504</v>
      </c>
      <c r="B71" s="192" t="str">
        <f>IFERROR(INDEX('Annex 1 LV, HV and UMS charges'!$B$11:$B$42,MATCH($A71,'Annex 1 LV, HV and UMS charges'!$A$11:$A$42,0)),IF(INDEX('Annex 4 LDNO charges'!$B$11:$B$199,MATCH($A71,'Annex 4 LDNO charges'!$A$11:$A$199,0))=0,"",INDEX('Annex 4 LDNO charges'!$B$11:$B$199,MATCH($A71,'Annex 4 LDNO charges'!$A$11:$A$199,0))))</f>
        <v>J22</v>
      </c>
      <c r="C71" s="193">
        <f>IFERROR(INDEX('Annex 1 LV, HV and UMS charges'!$C$11:$C$42,MATCH($A71,'Annex 1 LV, HV and UMS charges'!$A$11:$A$42,0)),INDEX('Annex 4 LDNO charges'!$C$11:$C$199,MATCH($A71,'Annex 4 LDNO charges'!$A$11:$A$199,0)))</f>
        <v>0</v>
      </c>
      <c r="D71" s="177"/>
      <c r="E71" s="212">
        <v>0</v>
      </c>
    </row>
    <row r="72" spans="1:5" ht="20.100000000000001" customHeight="1" x14ac:dyDescent="0.2">
      <c r="A72" s="161" t="s">
        <v>505</v>
      </c>
      <c r="B72" s="192" t="str">
        <f>IFERROR(INDEX('Annex 1 LV, HV and UMS charges'!$B$11:$B$42,MATCH($A72,'Annex 1 LV, HV and UMS charges'!$A$11:$A$42,0)),IF(INDEX('Annex 4 LDNO charges'!$B$11:$B$199,MATCH($A72,'Annex 4 LDNO charges'!$A$11:$A$199,0))=0,"",INDEX('Annex 4 LDNO charges'!$B$11:$B$199,MATCH($A72,'Annex 4 LDNO charges'!$A$11:$A$199,0))))</f>
        <v>J23</v>
      </c>
      <c r="C72" s="193">
        <f>IFERROR(INDEX('Annex 1 LV, HV and UMS charges'!$C$11:$C$42,MATCH($A72,'Annex 1 LV, HV and UMS charges'!$A$11:$A$42,0)),INDEX('Annex 4 LDNO charges'!$C$11:$C$199,MATCH($A72,'Annex 4 LDNO charges'!$A$11:$A$199,0)))</f>
        <v>0</v>
      </c>
      <c r="D72" s="177"/>
      <c r="E72" s="212">
        <v>0</v>
      </c>
    </row>
    <row r="73" spans="1:5" ht="20.100000000000001" customHeight="1" x14ac:dyDescent="0.2">
      <c r="A73" s="161" t="s">
        <v>506</v>
      </c>
      <c r="B73" s="192" t="str">
        <f>IFERROR(INDEX('Annex 1 LV, HV and UMS charges'!$B$11:$B$42,MATCH($A73,'Annex 1 LV, HV and UMS charges'!$A$11:$A$42,0)),IF(INDEX('Annex 4 LDNO charges'!$B$11:$B$199,MATCH($A73,'Annex 4 LDNO charges'!$A$11:$A$199,0))=0,"",INDEX('Annex 4 LDNO charges'!$B$11:$B$199,MATCH($A73,'Annex 4 LDNO charges'!$A$11:$A$199,0))))</f>
        <v>J24</v>
      </c>
      <c r="C73" s="193">
        <f>IFERROR(INDEX('Annex 1 LV, HV and UMS charges'!$C$11:$C$42,MATCH($A73,'Annex 1 LV, HV and UMS charges'!$A$11:$A$42,0)),INDEX('Annex 4 LDNO charges'!$C$11:$C$199,MATCH($A73,'Annex 4 LDNO charges'!$A$11:$A$199,0)))</f>
        <v>0</v>
      </c>
      <c r="D73" s="177"/>
      <c r="E73" s="212">
        <v>0</v>
      </c>
    </row>
    <row r="74" spans="1:5" ht="20.100000000000001" customHeight="1" x14ac:dyDescent="0.2">
      <c r="A74" s="161" t="s">
        <v>507</v>
      </c>
      <c r="B74" s="192" t="str">
        <f>IFERROR(INDEX('Annex 1 LV, HV and UMS charges'!$B$11:$B$42,MATCH($A74,'Annex 1 LV, HV and UMS charges'!$A$11:$A$42,0)),IF(INDEX('Annex 4 LDNO charges'!$B$11:$B$199,MATCH($A74,'Annex 4 LDNO charges'!$A$11:$A$199,0))=0,"",INDEX('Annex 4 LDNO charges'!$B$11:$B$199,MATCH($A74,'Annex 4 LDNO charges'!$A$11:$A$199,0))))</f>
        <v>K20</v>
      </c>
      <c r="C74" s="193">
        <f>IFERROR(INDEX('Annex 1 LV, HV and UMS charges'!$C$11:$C$42,MATCH($A74,'Annex 1 LV, HV and UMS charges'!$A$11:$A$42,0)),INDEX('Annex 4 LDNO charges'!$C$11:$C$199,MATCH($A74,'Annex 4 LDNO charges'!$A$11:$A$199,0)))</f>
        <v>0</v>
      </c>
      <c r="D74" s="177"/>
      <c r="E74" s="212">
        <v>0</v>
      </c>
    </row>
    <row r="75" spans="1:5" ht="20.100000000000001" customHeight="1" x14ac:dyDescent="0.2">
      <c r="A75" s="161" t="s">
        <v>508</v>
      </c>
      <c r="B75" s="192" t="str">
        <f>IFERROR(INDEX('Annex 1 LV, HV and UMS charges'!$B$11:$B$42,MATCH($A75,'Annex 1 LV, HV and UMS charges'!$A$11:$A$42,0)),IF(INDEX('Annex 4 LDNO charges'!$B$11:$B$199,MATCH($A75,'Annex 4 LDNO charges'!$A$11:$A$199,0))=0,"",INDEX('Annex 4 LDNO charges'!$B$11:$B$199,MATCH($A75,'Annex 4 LDNO charges'!$A$11:$A$199,0))))</f>
        <v>K21</v>
      </c>
      <c r="C75" s="193">
        <f>IFERROR(INDEX('Annex 1 LV, HV and UMS charges'!$C$11:$C$42,MATCH($A75,'Annex 1 LV, HV and UMS charges'!$A$11:$A$42,0)),INDEX('Annex 4 LDNO charges'!$C$11:$C$199,MATCH($A75,'Annex 4 LDNO charges'!$A$11:$A$199,0)))</f>
        <v>0</v>
      </c>
      <c r="D75" s="177"/>
      <c r="E75" s="212">
        <v>0</v>
      </c>
    </row>
    <row r="76" spans="1:5" ht="20.100000000000001" customHeight="1" x14ac:dyDescent="0.2">
      <c r="A76" s="161" t="s">
        <v>509</v>
      </c>
      <c r="B76" s="192" t="str">
        <f>IFERROR(INDEX('Annex 1 LV, HV and UMS charges'!$B$11:$B$42,MATCH($A76,'Annex 1 LV, HV and UMS charges'!$A$11:$A$42,0)),IF(INDEX('Annex 4 LDNO charges'!$B$11:$B$199,MATCH($A76,'Annex 4 LDNO charges'!$A$11:$A$199,0))=0,"",INDEX('Annex 4 LDNO charges'!$B$11:$B$199,MATCH($A76,'Annex 4 LDNO charges'!$A$11:$A$199,0))))</f>
        <v>K22</v>
      </c>
      <c r="C76" s="193">
        <f>IFERROR(INDEX('Annex 1 LV, HV and UMS charges'!$C$11:$C$42,MATCH($A76,'Annex 1 LV, HV and UMS charges'!$A$11:$A$42,0)),INDEX('Annex 4 LDNO charges'!$C$11:$C$199,MATCH($A76,'Annex 4 LDNO charges'!$A$11:$A$199,0)))</f>
        <v>0</v>
      </c>
      <c r="D76" s="177"/>
      <c r="E76" s="212">
        <v>0</v>
      </c>
    </row>
    <row r="77" spans="1:5" ht="20.100000000000001" customHeight="1" x14ac:dyDescent="0.2">
      <c r="A77" s="161" t="s">
        <v>510</v>
      </c>
      <c r="B77" s="192" t="str">
        <f>IFERROR(INDEX('Annex 1 LV, HV and UMS charges'!$B$11:$B$42,MATCH($A77,'Annex 1 LV, HV and UMS charges'!$A$11:$A$42,0)),IF(INDEX('Annex 4 LDNO charges'!$B$11:$B$199,MATCH($A77,'Annex 4 LDNO charges'!$A$11:$A$199,0))=0,"",INDEX('Annex 4 LDNO charges'!$B$11:$B$199,MATCH($A77,'Annex 4 LDNO charges'!$A$11:$A$199,0))))</f>
        <v>K23</v>
      </c>
      <c r="C77" s="193">
        <f>IFERROR(INDEX('Annex 1 LV, HV and UMS charges'!$C$11:$C$42,MATCH($A77,'Annex 1 LV, HV and UMS charges'!$A$11:$A$42,0)),INDEX('Annex 4 LDNO charges'!$C$11:$C$199,MATCH($A77,'Annex 4 LDNO charges'!$A$11:$A$199,0)))</f>
        <v>0</v>
      </c>
      <c r="D77" s="177"/>
      <c r="E77" s="212">
        <v>0</v>
      </c>
    </row>
    <row r="78" spans="1:5" ht="20.100000000000001" customHeight="1" x14ac:dyDescent="0.2">
      <c r="A78" s="161" t="s">
        <v>511</v>
      </c>
      <c r="B78" s="192" t="str">
        <f>IFERROR(INDEX('Annex 1 LV, HV and UMS charges'!$B$11:$B$42,MATCH($A78,'Annex 1 LV, HV and UMS charges'!$A$11:$A$42,0)),IF(INDEX('Annex 4 LDNO charges'!$B$11:$B$199,MATCH($A78,'Annex 4 LDNO charges'!$A$11:$A$199,0))=0,"",INDEX('Annex 4 LDNO charges'!$B$11:$B$199,MATCH($A78,'Annex 4 LDNO charges'!$A$11:$A$199,0))))</f>
        <v>K24</v>
      </c>
      <c r="C78" s="193">
        <f>IFERROR(INDEX('Annex 1 LV, HV and UMS charges'!$C$11:$C$42,MATCH($A78,'Annex 1 LV, HV and UMS charges'!$A$11:$A$42,0)),INDEX('Annex 4 LDNO charges'!$C$11:$C$199,MATCH($A78,'Annex 4 LDNO charges'!$A$11:$A$199,0)))</f>
        <v>0</v>
      </c>
      <c r="D78" s="177"/>
      <c r="E78" s="212">
        <v>0</v>
      </c>
    </row>
    <row r="79" spans="1:5" ht="20.100000000000001" customHeight="1" x14ac:dyDescent="0.2">
      <c r="A79" s="161" t="s">
        <v>553</v>
      </c>
      <c r="B79" s="192" t="str">
        <f>IFERROR(INDEX('Annex 1 LV, HV and UMS charges'!$B$11:$B$42,MATCH($A79,'Annex 1 LV, HV and UMS charges'!$A$11:$A$42,0)),IF(INDEX('Annex 4 LDNO charges'!$B$11:$B$199,MATCH($A79,'Annex 4 LDNO charges'!$A$11:$A$199,0))=0,"",INDEX('Annex 4 LDNO charges'!$B$11:$B$199,MATCH($A79,'Annex 4 LDNO charges'!$A$11:$A$199,0))))</f>
        <v>A30</v>
      </c>
      <c r="C79" s="193" t="str">
        <f>IFERROR(INDEX('Annex 1 LV, HV and UMS charges'!$C$11:$C$42,MATCH($A79,'Annex 1 LV, HV and UMS charges'!$A$11:$A$42,0)),INDEX('Annex 4 LDNO charges'!$C$11:$C$199,MATCH($A79,'Annex 4 LDNO charges'!$A$11:$A$199,0)))</f>
        <v>0, 1, 2</v>
      </c>
      <c r="D79" s="212">
        <v>0</v>
      </c>
      <c r="E79" s="212">
        <v>0</v>
      </c>
    </row>
    <row r="80" spans="1:5" ht="20.100000000000001" customHeight="1" x14ac:dyDescent="0.2">
      <c r="A80" s="161" t="s">
        <v>554</v>
      </c>
      <c r="B80" s="192" t="str">
        <f>IFERROR(INDEX('Annex 1 LV, HV and UMS charges'!$B$11:$B$42,MATCH($A80,'Annex 1 LV, HV and UMS charges'!$A$11:$A$42,0)),IF(INDEX('Annex 4 LDNO charges'!$B$11:$B$199,MATCH($A80,'Annex 4 LDNO charges'!$A$11:$A$199,0))=0,"",INDEX('Annex 4 LDNO charges'!$B$11:$B$199,MATCH($A80,'Annex 4 LDNO charges'!$A$11:$A$199,0))))</f>
        <v>C30</v>
      </c>
      <c r="C80" s="193" t="str">
        <f>IFERROR(INDEX('Annex 1 LV, HV and UMS charges'!$C$11:$C$42,MATCH($A80,'Annex 1 LV, HV and UMS charges'!$A$11:$A$42,0)),INDEX('Annex 4 LDNO charges'!$C$11:$C$199,MATCH($A80,'Annex 4 LDNO charges'!$A$11:$A$199,0)))</f>
        <v>0, 3, 4, 5-8</v>
      </c>
      <c r="D80" s="177"/>
      <c r="E80" s="212">
        <v>0</v>
      </c>
    </row>
    <row r="81" spans="1:5" ht="20.100000000000001" customHeight="1" x14ac:dyDescent="0.2">
      <c r="A81" s="161" t="s">
        <v>555</v>
      </c>
      <c r="B81" s="192" t="str">
        <f>IFERROR(INDEX('Annex 1 LV, HV and UMS charges'!$B$11:$B$42,MATCH($A81,'Annex 1 LV, HV and UMS charges'!$A$11:$A$42,0)),IF(INDEX('Annex 4 LDNO charges'!$B$11:$B$199,MATCH($A81,'Annex 4 LDNO charges'!$A$11:$A$199,0))=0,"",INDEX('Annex 4 LDNO charges'!$B$11:$B$199,MATCH($A81,'Annex 4 LDNO charges'!$A$11:$A$199,0))))</f>
        <v>C31</v>
      </c>
      <c r="C81" s="193" t="str">
        <f>IFERROR(INDEX('Annex 1 LV, HV and UMS charges'!$C$11:$C$42,MATCH($A81,'Annex 1 LV, HV and UMS charges'!$A$11:$A$42,0)),INDEX('Annex 4 LDNO charges'!$C$11:$C$199,MATCH($A81,'Annex 4 LDNO charges'!$A$11:$A$199,0)))</f>
        <v>0, 3, 4, 5-8</v>
      </c>
      <c r="D81" s="177"/>
      <c r="E81" s="212">
        <v>0</v>
      </c>
    </row>
    <row r="82" spans="1:5" ht="20.100000000000001" customHeight="1" x14ac:dyDescent="0.2">
      <c r="A82" s="161" t="s">
        <v>556</v>
      </c>
      <c r="B82" s="192" t="str">
        <f>IFERROR(INDEX('Annex 1 LV, HV and UMS charges'!$B$11:$B$42,MATCH($A82,'Annex 1 LV, HV and UMS charges'!$A$11:$A$42,0)),IF(INDEX('Annex 4 LDNO charges'!$B$11:$B$199,MATCH($A82,'Annex 4 LDNO charges'!$A$11:$A$199,0))=0,"",INDEX('Annex 4 LDNO charges'!$B$11:$B$199,MATCH($A82,'Annex 4 LDNO charges'!$A$11:$A$199,0))))</f>
        <v>C32</v>
      </c>
      <c r="C82" s="193" t="str">
        <f>IFERROR(INDEX('Annex 1 LV, HV and UMS charges'!$C$11:$C$42,MATCH($A82,'Annex 1 LV, HV and UMS charges'!$A$11:$A$42,0)),INDEX('Annex 4 LDNO charges'!$C$11:$C$199,MATCH($A82,'Annex 4 LDNO charges'!$A$11:$A$199,0)))</f>
        <v>0, 3, 4, 5-8</v>
      </c>
      <c r="D82" s="177"/>
      <c r="E82" s="212">
        <v>0</v>
      </c>
    </row>
    <row r="83" spans="1:5" ht="20.100000000000001" customHeight="1" x14ac:dyDescent="0.2">
      <c r="A83" s="161" t="s">
        <v>557</v>
      </c>
      <c r="B83" s="192" t="str">
        <f>IFERROR(INDEX('Annex 1 LV, HV and UMS charges'!$B$11:$B$42,MATCH($A83,'Annex 1 LV, HV and UMS charges'!$A$11:$A$42,0)),IF(INDEX('Annex 4 LDNO charges'!$B$11:$B$199,MATCH($A83,'Annex 4 LDNO charges'!$A$11:$A$199,0))=0,"",INDEX('Annex 4 LDNO charges'!$B$11:$B$199,MATCH($A83,'Annex 4 LDNO charges'!$A$11:$A$199,0))))</f>
        <v>C33</v>
      </c>
      <c r="C83" s="193" t="str">
        <f>IFERROR(INDEX('Annex 1 LV, HV and UMS charges'!$C$11:$C$42,MATCH($A83,'Annex 1 LV, HV and UMS charges'!$A$11:$A$42,0)),INDEX('Annex 4 LDNO charges'!$C$11:$C$199,MATCH($A83,'Annex 4 LDNO charges'!$A$11:$A$199,0)))</f>
        <v>0, 3, 4, 5-8</v>
      </c>
      <c r="D83" s="177"/>
      <c r="E83" s="212">
        <v>0</v>
      </c>
    </row>
    <row r="84" spans="1:5" ht="20.100000000000001" customHeight="1" x14ac:dyDescent="0.2">
      <c r="A84" s="161" t="s">
        <v>558</v>
      </c>
      <c r="B84" s="192" t="str">
        <f>IFERROR(INDEX('Annex 1 LV, HV and UMS charges'!$B$11:$B$42,MATCH($A84,'Annex 1 LV, HV and UMS charges'!$A$11:$A$42,0)),IF(INDEX('Annex 4 LDNO charges'!$B$11:$B$199,MATCH($A84,'Annex 4 LDNO charges'!$A$11:$A$199,0))=0,"",INDEX('Annex 4 LDNO charges'!$B$11:$B$199,MATCH($A84,'Annex 4 LDNO charges'!$A$11:$A$199,0))))</f>
        <v>C34</v>
      </c>
      <c r="C84" s="193" t="str">
        <f>IFERROR(INDEX('Annex 1 LV, HV and UMS charges'!$C$11:$C$42,MATCH($A84,'Annex 1 LV, HV and UMS charges'!$A$11:$A$42,0)),INDEX('Annex 4 LDNO charges'!$C$11:$C$199,MATCH($A84,'Annex 4 LDNO charges'!$A$11:$A$199,0)))</f>
        <v>0, 3, 4, 5-8</v>
      </c>
      <c r="D84" s="177"/>
      <c r="E84" s="212">
        <v>0</v>
      </c>
    </row>
    <row r="85" spans="1:5" ht="20.100000000000001" customHeight="1" x14ac:dyDescent="0.2">
      <c r="A85" s="161" t="s">
        <v>482</v>
      </c>
      <c r="B85" s="192" t="str">
        <f>IFERROR(INDEX('Annex 1 LV, HV and UMS charges'!$B$11:$B$42,MATCH($A85,'Annex 1 LV, HV and UMS charges'!$A$11:$A$42,0)),IF(INDEX('Annex 4 LDNO charges'!$B$11:$B$199,MATCH($A85,'Annex 4 LDNO charges'!$A$11:$A$199,0))=0,"",INDEX('Annex 4 LDNO charges'!$B$11:$B$199,MATCH($A85,'Annex 4 LDNO charges'!$A$11:$A$199,0))))</f>
        <v>E30</v>
      </c>
      <c r="C85" s="193">
        <f>IFERROR(INDEX('Annex 1 LV, HV and UMS charges'!$C$11:$C$42,MATCH($A85,'Annex 1 LV, HV and UMS charges'!$A$11:$A$42,0)),INDEX('Annex 4 LDNO charges'!$C$11:$C$199,MATCH($A85,'Annex 4 LDNO charges'!$A$11:$A$199,0)))</f>
        <v>0</v>
      </c>
      <c r="D85" s="177"/>
      <c r="E85" s="212">
        <v>0</v>
      </c>
    </row>
    <row r="86" spans="1:5" ht="20.100000000000001" customHeight="1" x14ac:dyDescent="0.2">
      <c r="A86" s="161" t="s">
        <v>483</v>
      </c>
      <c r="B86" s="192" t="str">
        <f>IFERROR(INDEX('Annex 1 LV, HV and UMS charges'!$B$11:$B$42,MATCH($A86,'Annex 1 LV, HV and UMS charges'!$A$11:$A$42,0)),IF(INDEX('Annex 4 LDNO charges'!$B$11:$B$199,MATCH($A86,'Annex 4 LDNO charges'!$A$11:$A$199,0))=0,"",INDEX('Annex 4 LDNO charges'!$B$11:$B$199,MATCH($A86,'Annex 4 LDNO charges'!$A$11:$A$199,0))))</f>
        <v>E31</v>
      </c>
      <c r="C86" s="193">
        <f>IFERROR(INDEX('Annex 1 LV, HV and UMS charges'!$C$11:$C$42,MATCH($A86,'Annex 1 LV, HV and UMS charges'!$A$11:$A$42,0)),INDEX('Annex 4 LDNO charges'!$C$11:$C$199,MATCH($A86,'Annex 4 LDNO charges'!$A$11:$A$199,0)))</f>
        <v>0</v>
      </c>
      <c r="D86" s="177"/>
      <c r="E86" s="212">
        <v>0</v>
      </c>
    </row>
    <row r="87" spans="1:5" ht="20.100000000000001" customHeight="1" x14ac:dyDescent="0.2">
      <c r="A87" s="161" t="s">
        <v>484</v>
      </c>
      <c r="B87" s="192" t="str">
        <f>IFERROR(INDEX('Annex 1 LV, HV and UMS charges'!$B$11:$B$42,MATCH($A87,'Annex 1 LV, HV and UMS charges'!$A$11:$A$42,0)),IF(INDEX('Annex 4 LDNO charges'!$B$11:$B$199,MATCH($A87,'Annex 4 LDNO charges'!$A$11:$A$199,0))=0,"",INDEX('Annex 4 LDNO charges'!$B$11:$B$199,MATCH($A87,'Annex 4 LDNO charges'!$A$11:$A$199,0))))</f>
        <v>E32</v>
      </c>
      <c r="C87" s="193">
        <f>IFERROR(INDEX('Annex 1 LV, HV and UMS charges'!$C$11:$C$42,MATCH($A87,'Annex 1 LV, HV and UMS charges'!$A$11:$A$42,0)),INDEX('Annex 4 LDNO charges'!$C$11:$C$199,MATCH($A87,'Annex 4 LDNO charges'!$A$11:$A$199,0)))</f>
        <v>0</v>
      </c>
      <c r="D87" s="177"/>
      <c r="E87" s="212">
        <v>0</v>
      </c>
    </row>
    <row r="88" spans="1:5" ht="20.100000000000001" customHeight="1" x14ac:dyDescent="0.2">
      <c r="A88" s="161" t="s">
        <v>485</v>
      </c>
      <c r="B88" s="192" t="str">
        <f>IFERROR(INDEX('Annex 1 LV, HV and UMS charges'!$B$11:$B$42,MATCH($A88,'Annex 1 LV, HV and UMS charges'!$A$11:$A$42,0)),IF(INDEX('Annex 4 LDNO charges'!$B$11:$B$199,MATCH($A88,'Annex 4 LDNO charges'!$A$11:$A$199,0))=0,"",INDEX('Annex 4 LDNO charges'!$B$11:$B$199,MATCH($A88,'Annex 4 LDNO charges'!$A$11:$A$199,0))))</f>
        <v>E33</v>
      </c>
      <c r="C88" s="193">
        <f>IFERROR(INDEX('Annex 1 LV, HV and UMS charges'!$C$11:$C$42,MATCH($A88,'Annex 1 LV, HV and UMS charges'!$A$11:$A$42,0)),INDEX('Annex 4 LDNO charges'!$C$11:$C$199,MATCH($A88,'Annex 4 LDNO charges'!$A$11:$A$199,0)))</f>
        <v>0</v>
      </c>
      <c r="D88" s="177"/>
      <c r="E88" s="212">
        <v>0</v>
      </c>
    </row>
    <row r="89" spans="1:5" ht="20.100000000000001" customHeight="1" x14ac:dyDescent="0.2">
      <c r="A89" s="161" t="s">
        <v>486</v>
      </c>
      <c r="B89" s="192" t="str">
        <f>IFERROR(INDEX('Annex 1 LV, HV and UMS charges'!$B$11:$B$42,MATCH($A89,'Annex 1 LV, HV and UMS charges'!$A$11:$A$42,0)),IF(INDEX('Annex 4 LDNO charges'!$B$11:$B$199,MATCH($A89,'Annex 4 LDNO charges'!$A$11:$A$199,0))=0,"",INDEX('Annex 4 LDNO charges'!$B$11:$B$199,MATCH($A89,'Annex 4 LDNO charges'!$A$11:$A$199,0))))</f>
        <v>E34</v>
      </c>
      <c r="C89" s="193">
        <f>IFERROR(INDEX('Annex 1 LV, HV and UMS charges'!$C$11:$C$42,MATCH($A89,'Annex 1 LV, HV and UMS charges'!$A$11:$A$42,0)),INDEX('Annex 4 LDNO charges'!$C$11:$C$199,MATCH($A89,'Annex 4 LDNO charges'!$A$11:$A$199,0)))</f>
        <v>0</v>
      </c>
      <c r="D89" s="177"/>
      <c r="E89" s="212">
        <v>0</v>
      </c>
    </row>
    <row r="90" spans="1:5" ht="20.100000000000001" customHeight="1" x14ac:dyDescent="0.2">
      <c r="A90" s="161" t="s">
        <v>487</v>
      </c>
      <c r="B90" s="192" t="str">
        <f>IFERROR(INDEX('Annex 1 LV, HV and UMS charges'!$B$11:$B$42,MATCH($A90,'Annex 1 LV, HV and UMS charges'!$A$11:$A$42,0)),IF(INDEX('Annex 4 LDNO charges'!$B$11:$B$199,MATCH($A90,'Annex 4 LDNO charges'!$A$11:$A$199,0))=0,"",INDEX('Annex 4 LDNO charges'!$B$11:$B$199,MATCH($A90,'Annex 4 LDNO charges'!$A$11:$A$199,0))))</f>
        <v>J30</v>
      </c>
      <c r="C90" s="193">
        <f>IFERROR(INDEX('Annex 1 LV, HV and UMS charges'!$C$11:$C$42,MATCH($A90,'Annex 1 LV, HV and UMS charges'!$A$11:$A$42,0)),INDEX('Annex 4 LDNO charges'!$C$11:$C$199,MATCH($A90,'Annex 4 LDNO charges'!$A$11:$A$199,0)))</f>
        <v>0</v>
      </c>
      <c r="D90" s="177"/>
      <c r="E90" s="212">
        <v>0</v>
      </c>
    </row>
    <row r="91" spans="1:5" ht="20.100000000000001" customHeight="1" x14ac:dyDescent="0.2">
      <c r="A91" s="161" t="s">
        <v>488</v>
      </c>
      <c r="B91" s="192" t="str">
        <f>IFERROR(INDEX('Annex 1 LV, HV and UMS charges'!$B$11:$B$42,MATCH($A91,'Annex 1 LV, HV and UMS charges'!$A$11:$A$42,0)),IF(INDEX('Annex 4 LDNO charges'!$B$11:$B$199,MATCH($A91,'Annex 4 LDNO charges'!$A$11:$A$199,0))=0,"",INDEX('Annex 4 LDNO charges'!$B$11:$B$199,MATCH($A91,'Annex 4 LDNO charges'!$A$11:$A$199,0))))</f>
        <v>J31</v>
      </c>
      <c r="C91" s="193">
        <f>IFERROR(INDEX('Annex 1 LV, HV and UMS charges'!$C$11:$C$42,MATCH($A91,'Annex 1 LV, HV and UMS charges'!$A$11:$A$42,0)),INDEX('Annex 4 LDNO charges'!$C$11:$C$199,MATCH($A91,'Annex 4 LDNO charges'!$A$11:$A$199,0)))</f>
        <v>0</v>
      </c>
      <c r="D91" s="177"/>
      <c r="E91" s="212">
        <v>0</v>
      </c>
    </row>
    <row r="92" spans="1:5" ht="20.100000000000001" customHeight="1" x14ac:dyDescent="0.2">
      <c r="A92" s="161" t="s">
        <v>489</v>
      </c>
      <c r="B92" s="192" t="str">
        <f>IFERROR(INDEX('Annex 1 LV, HV and UMS charges'!$B$11:$B$42,MATCH($A92,'Annex 1 LV, HV and UMS charges'!$A$11:$A$42,0)),IF(INDEX('Annex 4 LDNO charges'!$B$11:$B$199,MATCH($A92,'Annex 4 LDNO charges'!$A$11:$A$199,0))=0,"",INDEX('Annex 4 LDNO charges'!$B$11:$B$199,MATCH($A92,'Annex 4 LDNO charges'!$A$11:$A$199,0))))</f>
        <v>J32</v>
      </c>
      <c r="C92" s="193">
        <f>IFERROR(INDEX('Annex 1 LV, HV and UMS charges'!$C$11:$C$42,MATCH($A92,'Annex 1 LV, HV and UMS charges'!$A$11:$A$42,0)),INDEX('Annex 4 LDNO charges'!$C$11:$C$199,MATCH($A92,'Annex 4 LDNO charges'!$A$11:$A$199,0)))</f>
        <v>0</v>
      </c>
      <c r="D92" s="177"/>
      <c r="E92" s="212">
        <v>0</v>
      </c>
    </row>
    <row r="93" spans="1:5" ht="20.100000000000001" customHeight="1" x14ac:dyDescent="0.2">
      <c r="A93" s="161" t="s">
        <v>490</v>
      </c>
      <c r="B93" s="192" t="str">
        <f>IFERROR(INDEX('Annex 1 LV, HV and UMS charges'!$B$11:$B$42,MATCH($A93,'Annex 1 LV, HV and UMS charges'!$A$11:$A$42,0)),IF(INDEX('Annex 4 LDNO charges'!$B$11:$B$199,MATCH($A93,'Annex 4 LDNO charges'!$A$11:$A$199,0))=0,"",INDEX('Annex 4 LDNO charges'!$B$11:$B$199,MATCH($A93,'Annex 4 LDNO charges'!$A$11:$A$199,0))))</f>
        <v>J33</v>
      </c>
      <c r="C93" s="193">
        <f>IFERROR(INDEX('Annex 1 LV, HV and UMS charges'!$C$11:$C$42,MATCH($A93,'Annex 1 LV, HV and UMS charges'!$A$11:$A$42,0)),INDEX('Annex 4 LDNO charges'!$C$11:$C$199,MATCH($A93,'Annex 4 LDNO charges'!$A$11:$A$199,0)))</f>
        <v>0</v>
      </c>
      <c r="D93" s="177"/>
      <c r="E93" s="212">
        <v>0</v>
      </c>
    </row>
    <row r="94" spans="1:5" ht="20.100000000000001" customHeight="1" x14ac:dyDescent="0.2">
      <c r="A94" s="161" t="s">
        <v>491</v>
      </c>
      <c r="B94" s="192" t="str">
        <f>IFERROR(INDEX('Annex 1 LV, HV and UMS charges'!$B$11:$B$42,MATCH($A94,'Annex 1 LV, HV and UMS charges'!$A$11:$A$42,0)),IF(INDEX('Annex 4 LDNO charges'!$B$11:$B$199,MATCH($A94,'Annex 4 LDNO charges'!$A$11:$A$199,0))=0,"",INDEX('Annex 4 LDNO charges'!$B$11:$B$199,MATCH($A94,'Annex 4 LDNO charges'!$A$11:$A$199,0))))</f>
        <v>J34</v>
      </c>
      <c r="C94" s="193">
        <f>IFERROR(INDEX('Annex 1 LV, HV and UMS charges'!$C$11:$C$42,MATCH($A94,'Annex 1 LV, HV and UMS charges'!$A$11:$A$42,0)),INDEX('Annex 4 LDNO charges'!$C$11:$C$199,MATCH($A94,'Annex 4 LDNO charges'!$A$11:$A$199,0)))</f>
        <v>0</v>
      </c>
      <c r="D94" s="177"/>
      <c r="E94" s="212">
        <v>0</v>
      </c>
    </row>
    <row r="95" spans="1:5" ht="20.100000000000001" customHeight="1" x14ac:dyDescent="0.2">
      <c r="A95" s="161" t="s">
        <v>492</v>
      </c>
      <c r="B95" s="192" t="str">
        <f>IFERROR(INDEX('Annex 1 LV, HV and UMS charges'!$B$11:$B$42,MATCH($A95,'Annex 1 LV, HV and UMS charges'!$A$11:$A$42,0)),IF(INDEX('Annex 4 LDNO charges'!$B$11:$B$199,MATCH($A95,'Annex 4 LDNO charges'!$A$11:$A$199,0))=0,"",INDEX('Annex 4 LDNO charges'!$B$11:$B$199,MATCH($A95,'Annex 4 LDNO charges'!$A$11:$A$199,0))))</f>
        <v>K30</v>
      </c>
      <c r="C95" s="193">
        <f>IFERROR(INDEX('Annex 1 LV, HV and UMS charges'!$C$11:$C$42,MATCH($A95,'Annex 1 LV, HV and UMS charges'!$A$11:$A$42,0)),INDEX('Annex 4 LDNO charges'!$C$11:$C$199,MATCH($A95,'Annex 4 LDNO charges'!$A$11:$A$199,0)))</f>
        <v>0</v>
      </c>
      <c r="D95" s="177"/>
      <c r="E95" s="212">
        <v>0</v>
      </c>
    </row>
    <row r="96" spans="1:5" ht="20.100000000000001" customHeight="1" x14ac:dyDescent="0.2">
      <c r="A96" s="161" t="s">
        <v>493</v>
      </c>
      <c r="B96" s="192" t="str">
        <f>IFERROR(INDEX('Annex 1 LV, HV and UMS charges'!$B$11:$B$42,MATCH($A96,'Annex 1 LV, HV and UMS charges'!$A$11:$A$42,0)),IF(INDEX('Annex 4 LDNO charges'!$B$11:$B$199,MATCH($A96,'Annex 4 LDNO charges'!$A$11:$A$199,0))=0,"",INDEX('Annex 4 LDNO charges'!$B$11:$B$199,MATCH($A96,'Annex 4 LDNO charges'!$A$11:$A$199,0))))</f>
        <v>K31</v>
      </c>
      <c r="C96" s="193">
        <f>IFERROR(INDEX('Annex 1 LV, HV and UMS charges'!$C$11:$C$42,MATCH($A96,'Annex 1 LV, HV and UMS charges'!$A$11:$A$42,0)),INDEX('Annex 4 LDNO charges'!$C$11:$C$199,MATCH($A96,'Annex 4 LDNO charges'!$A$11:$A$199,0)))</f>
        <v>0</v>
      </c>
      <c r="D96" s="177"/>
      <c r="E96" s="212">
        <v>0</v>
      </c>
    </row>
    <row r="97" spans="1:5" ht="20.100000000000001" customHeight="1" x14ac:dyDescent="0.2">
      <c r="A97" s="161" t="s">
        <v>494</v>
      </c>
      <c r="B97" s="192" t="str">
        <f>IFERROR(INDEX('Annex 1 LV, HV and UMS charges'!$B$11:$B$42,MATCH($A97,'Annex 1 LV, HV and UMS charges'!$A$11:$A$42,0)),IF(INDEX('Annex 4 LDNO charges'!$B$11:$B$199,MATCH($A97,'Annex 4 LDNO charges'!$A$11:$A$199,0))=0,"",INDEX('Annex 4 LDNO charges'!$B$11:$B$199,MATCH($A97,'Annex 4 LDNO charges'!$A$11:$A$199,0))))</f>
        <v>K32</v>
      </c>
      <c r="C97" s="193">
        <f>IFERROR(INDEX('Annex 1 LV, HV and UMS charges'!$C$11:$C$42,MATCH($A97,'Annex 1 LV, HV and UMS charges'!$A$11:$A$42,0)),INDEX('Annex 4 LDNO charges'!$C$11:$C$199,MATCH($A97,'Annex 4 LDNO charges'!$A$11:$A$199,0)))</f>
        <v>0</v>
      </c>
      <c r="D97" s="177"/>
      <c r="E97" s="212">
        <v>0</v>
      </c>
    </row>
    <row r="98" spans="1:5" ht="20.100000000000001" customHeight="1" x14ac:dyDescent="0.2">
      <c r="A98" s="161" t="s">
        <v>495</v>
      </c>
      <c r="B98" s="192" t="str">
        <f>IFERROR(INDEX('Annex 1 LV, HV and UMS charges'!$B$11:$B$42,MATCH($A98,'Annex 1 LV, HV and UMS charges'!$A$11:$A$42,0)),IF(INDEX('Annex 4 LDNO charges'!$B$11:$B$199,MATCH($A98,'Annex 4 LDNO charges'!$A$11:$A$199,0))=0,"",INDEX('Annex 4 LDNO charges'!$B$11:$B$199,MATCH($A98,'Annex 4 LDNO charges'!$A$11:$A$199,0))))</f>
        <v>K33</v>
      </c>
      <c r="C98" s="193">
        <f>IFERROR(INDEX('Annex 1 LV, HV and UMS charges'!$C$11:$C$42,MATCH($A98,'Annex 1 LV, HV and UMS charges'!$A$11:$A$42,0)),INDEX('Annex 4 LDNO charges'!$C$11:$C$199,MATCH($A98,'Annex 4 LDNO charges'!$A$11:$A$199,0)))</f>
        <v>0</v>
      </c>
      <c r="D98" s="177"/>
      <c r="E98" s="212">
        <v>0</v>
      </c>
    </row>
    <row r="99" spans="1:5" ht="20.100000000000001" customHeight="1" x14ac:dyDescent="0.2">
      <c r="A99" s="161" t="s">
        <v>496</v>
      </c>
      <c r="B99" s="192" t="str">
        <f>IFERROR(INDEX('Annex 1 LV, HV and UMS charges'!$B$11:$B$42,MATCH($A99,'Annex 1 LV, HV and UMS charges'!$A$11:$A$42,0)),IF(INDEX('Annex 4 LDNO charges'!$B$11:$B$199,MATCH($A99,'Annex 4 LDNO charges'!$A$11:$A$199,0))=0,"",INDEX('Annex 4 LDNO charges'!$B$11:$B$199,MATCH($A99,'Annex 4 LDNO charges'!$A$11:$A$199,0))))</f>
        <v>K34</v>
      </c>
      <c r="C99" s="193">
        <f>IFERROR(INDEX('Annex 1 LV, HV and UMS charges'!$C$11:$C$42,MATCH($A99,'Annex 1 LV, HV and UMS charges'!$A$11:$A$42,0)),INDEX('Annex 4 LDNO charges'!$C$11:$C$199,MATCH($A99,'Annex 4 LDNO charges'!$A$11:$A$199,0)))</f>
        <v>0</v>
      </c>
      <c r="D99" s="177"/>
      <c r="E99" s="212">
        <v>0</v>
      </c>
    </row>
    <row r="100" spans="1:5" ht="20.100000000000001" customHeight="1" x14ac:dyDescent="0.2">
      <c r="A100" s="161" t="s">
        <v>559</v>
      </c>
      <c r="B100" s="192" t="str">
        <f>IFERROR(INDEX('Annex 1 LV, HV and UMS charges'!$B$11:$B$42,MATCH($A100,'Annex 1 LV, HV and UMS charges'!$A$11:$A$42,0)),IF(INDEX('Annex 4 LDNO charges'!$B$11:$B$199,MATCH($A100,'Annex 4 LDNO charges'!$A$11:$A$199,0))=0,"",INDEX('Annex 4 LDNO charges'!$B$11:$B$199,MATCH($A100,'Annex 4 LDNO charges'!$A$11:$A$199,0))))</f>
        <v>A40</v>
      </c>
      <c r="C100" s="193" t="str">
        <f>IFERROR(INDEX('Annex 1 LV, HV and UMS charges'!$C$11:$C$42,MATCH($A100,'Annex 1 LV, HV and UMS charges'!$A$11:$A$42,0)),INDEX('Annex 4 LDNO charges'!$C$11:$C$199,MATCH($A100,'Annex 4 LDNO charges'!$A$11:$A$199,0)))</f>
        <v>0, 1, 2</v>
      </c>
      <c r="D100" s="212">
        <v>0</v>
      </c>
      <c r="E100" s="212">
        <v>0</v>
      </c>
    </row>
    <row r="101" spans="1:5" ht="20.100000000000001" customHeight="1" x14ac:dyDescent="0.2">
      <c r="A101" s="161" t="s">
        <v>560</v>
      </c>
      <c r="B101" s="192" t="str">
        <f>IFERROR(INDEX('Annex 1 LV, HV and UMS charges'!$B$11:$B$42,MATCH($A101,'Annex 1 LV, HV and UMS charges'!$A$11:$A$42,0)),IF(INDEX('Annex 4 LDNO charges'!$B$11:$B$199,MATCH($A101,'Annex 4 LDNO charges'!$A$11:$A$199,0))=0,"",INDEX('Annex 4 LDNO charges'!$B$11:$B$199,MATCH($A101,'Annex 4 LDNO charges'!$A$11:$A$199,0))))</f>
        <v>C40</v>
      </c>
      <c r="C101" s="193" t="str">
        <f>IFERROR(INDEX('Annex 1 LV, HV and UMS charges'!$C$11:$C$42,MATCH($A101,'Annex 1 LV, HV and UMS charges'!$A$11:$A$42,0)),INDEX('Annex 4 LDNO charges'!$C$11:$C$199,MATCH($A101,'Annex 4 LDNO charges'!$A$11:$A$199,0)))</f>
        <v>0, 3, 4, 5-8</v>
      </c>
      <c r="D101" s="177"/>
      <c r="E101" s="212">
        <v>0</v>
      </c>
    </row>
    <row r="102" spans="1:5" ht="20.100000000000001" customHeight="1" x14ac:dyDescent="0.2">
      <c r="A102" s="161" t="s">
        <v>561</v>
      </c>
      <c r="B102" s="192" t="str">
        <f>IFERROR(INDEX('Annex 1 LV, HV and UMS charges'!$B$11:$B$42,MATCH($A102,'Annex 1 LV, HV and UMS charges'!$A$11:$A$42,0)),IF(INDEX('Annex 4 LDNO charges'!$B$11:$B$199,MATCH($A102,'Annex 4 LDNO charges'!$A$11:$A$199,0))=0,"",INDEX('Annex 4 LDNO charges'!$B$11:$B$199,MATCH($A102,'Annex 4 LDNO charges'!$A$11:$A$199,0))))</f>
        <v>C41</v>
      </c>
      <c r="C102" s="193" t="str">
        <f>IFERROR(INDEX('Annex 1 LV, HV and UMS charges'!$C$11:$C$42,MATCH($A102,'Annex 1 LV, HV and UMS charges'!$A$11:$A$42,0)),INDEX('Annex 4 LDNO charges'!$C$11:$C$199,MATCH($A102,'Annex 4 LDNO charges'!$A$11:$A$199,0)))</f>
        <v>0, 3, 4, 5-8</v>
      </c>
      <c r="D102" s="177"/>
      <c r="E102" s="212">
        <v>0</v>
      </c>
    </row>
    <row r="103" spans="1:5" ht="20.100000000000001" customHeight="1" x14ac:dyDescent="0.2">
      <c r="A103" s="161" t="s">
        <v>562</v>
      </c>
      <c r="B103" s="192" t="str">
        <f>IFERROR(INDEX('Annex 1 LV, HV and UMS charges'!$B$11:$B$42,MATCH($A103,'Annex 1 LV, HV and UMS charges'!$A$11:$A$42,0)),IF(INDEX('Annex 4 LDNO charges'!$B$11:$B$199,MATCH($A103,'Annex 4 LDNO charges'!$A$11:$A$199,0))=0,"",INDEX('Annex 4 LDNO charges'!$B$11:$B$199,MATCH($A103,'Annex 4 LDNO charges'!$A$11:$A$199,0))))</f>
        <v>C42</v>
      </c>
      <c r="C103" s="193" t="str">
        <f>IFERROR(INDEX('Annex 1 LV, HV and UMS charges'!$C$11:$C$42,MATCH($A103,'Annex 1 LV, HV and UMS charges'!$A$11:$A$42,0)),INDEX('Annex 4 LDNO charges'!$C$11:$C$199,MATCH($A103,'Annex 4 LDNO charges'!$A$11:$A$199,0)))</f>
        <v>0, 3, 4, 5-8</v>
      </c>
      <c r="D103" s="177"/>
      <c r="E103" s="212">
        <v>0</v>
      </c>
    </row>
    <row r="104" spans="1:5" ht="20.100000000000001" customHeight="1" x14ac:dyDescent="0.2">
      <c r="A104" s="161" t="s">
        <v>563</v>
      </c>
      <c r="B104" s="192" t="str">
        <f>IFERROR(INDEX('Annex 1 LV, HV and UMS charges'!$B$11:$B$42,MATCH($A104,'Annex 1 LV, HV and UMS charges'!$A$11:$A$42,0)),IF(INDEX('Annex 4 LDNO charges'!$B$11:$B$199,MATCH($A104,'Annex 4 LDNO charges'!$A$11:$A$199,0))=0,"",INDEX('Annex 4 LDNO charges'!$B$11:$B$199,MATCH($A104,'Annex 4 LDNO charges'!$A$11:$A$199,0))))</f>
        <v>C43</v>
      </c>
      <c r="C104" s="193" t="str">
        <f>IFERROR(INDEX('Annex 1 LV, HV and UMS charges'!$C$11:$C$42,MATCH($A104,'Annex 1 LV, HV and UMS charges'!$A$11:$A$42,0)),INDEX('Annex 4 LDNO charges'!$C$11:$C$199,MATCH($A104,'Annex 4 LDNO charges'!$A$11:$A$199,0)))</f>
        <v>0, 3, 4, 5-8</v>
      </c>
      <c r="D104" s="177"/>
      <c r="E104" s="212">
        <v>0</v>
      </c>
    </row>
    <row r="105" spans="1:5" ht="20.100000000000001" customHeight="1" x14ac:dyDescent="0.2">
      <c r="A105" s="161" t="s">
        <v>564</v>
      </c>
      <c r="B105" s="192" t="str">
        <f>IFERROR(INDEX('Annex 1 LV, HV and UMS charges'!$B$11:$B$42,MATCH($A105,'Annex 1 LV, HV and UMS charges'!$A$11:$A$42,0)),IF(INDEX('Annex 4 LDNO charges'!$B$11:$B$199,MATCH($A105,'Annex 4 LDNO charges'!$A$11:$A$199,0))=0,"",INDEX('Annex 4 LDNO charges'!$B$11:$B$199,MATCH($A105,'Annex 4 LDNO charges'!$A$11:$A$199,0))))</f>
        <v>C44</v>
      </c>
      <c r="C105" s="193" t="str">
        <f>IFERROR(INDEX('Annex 1 LV, HV and UMS charges'!$C$11:$C$42,MATCH($A105,'Annex 1 LV, HV and UMS charges'!$A$11:$A$42,0)),INDEX('Annex 4 LDNO charges'!$C$11:$C$199,MATCH($A105,'Annex 4 LDNO charges'!$A$11:$A$199,0)))</f>
        <v>0, 3, 4, 5-8</v>
      </c>
      <c r="D105" s="177"/>
      <c r="E105" s="212">
        <v>0</v>
      </c>
    </row>
    <row r="106" spans="1:5" ht="20.100000000000001" customHeight="1" x14ac:dyDescent="0.2">
      <c r="A106" s="161" t="s">
        <v>467</v>
      </c>
      <c r="B106" s="192" t="str">
        <f>IFERROR(INDEX('Annex 1 LV, HV and UMS charges'!$B$11:$B$42,MATCH($A106,'Annex 1 LV, HV and UMS charges'!$A$11:$A$42,0)),IF(INDEX('Annex 4 LDNO charges'!$B$11:$B$199,MATCH($A106,'Annex 4 LDNO charges'!$A$11:$A$199,0))=0,"",INDEX('Annex 4 LDNO charges'!$B$11:$B$199,MATCH($A106,'Annex 4 LDNO charges'!$A$11:$A$199,0))))</f>
        <v>E40</v>
      </c>
      <c r="C106" s="193">
        <f>IFERROR(INDEX('Annex 1 LV, HV and UMS charges'!$C$11:$C$42,MATCH($A106,'Annex 1 LV, HV and UMS charges'!$A$11:$A$42,0)),INDEX('Annex 4 LDNO charges'!$C$11:$C$199,MATCH($A106,'Annex 4 LDNO charges'!$A$11:$A$199,0)))</f>
        <v>0</v>
      </c>
      <c r="D106" s="177"/>
      <c r="E106" s="212">
        <v>0</v>
      </c>
    </row>
    <row r="107" spans="1:5" ht="20.100000000000001" customHeight="1" x14ac:dyDescent="0.2">
      <c r="A107" s="161" t="s">
        <v>468</v>
      </c>
      <c r="B107" s="192" t="str">
        <f>IFERROR(INDEX('Annex 1 LV, HV and UMS charges'!$B$11:$B$42,MATCH($A107,'Annex 1 LV, HV and UMS charges'!$A$11:$A$42,0)),IF(INDEX('Annex 4 LDNO charges'!$B$11:$B$199,MATCH($A107,'Annex 4 LDNO charges'!$A$11:$A$199,0))=0,"",INDEX('Annex 4 LDNO charges'!$B$11:$B$199,MATCH($A107,'Annex 4 LDNO charges'!$A$11:$A$199,0))))</f>
        <v>E41</v>
      </c>
      <c r="C107" s="193">
        <f>IFERROR(INDEX('Annex 1 LV, HV and UMS charges'!$C$11:$C$42,MATCH($A107,'Annex 1 LV, HV and UMS charges'!$A$11:$A$42,0)),INDEX('Annex 4 LDNO charges'!$C$11:$C$199,MATCH($A107,'Annex 4 LDNO charges'!$A$11:$A$199,0)))</f>
        <v>0</v>
      </c>
      <c r="D107" s="177"/>
      <c r="E107" s="212">
        <v>0</v>
      </c>
    </row>
    <row r="108" spans="1:5" ht="20.100000000000001" customHeight="1" x14ac:dyDescent="0.2">
      <c r="A108" s="161" t="s">
        <v>469</v>
      </c>
      <c r="B108" s="192" t="str">
        <f>IFERROR(INDEX('Annex 1 LV, HV and UMS charges'!$B$11:$B$42,MATCH($A108,'Annex 1 LV, HV and UMS charges'!$A$11:$A$42,0)),IF(INDEX('Annex 4 LDNO charges'!$B$11:$B$199,MATCH($A108,'Annex 4 LDNO charges'!$A$11:$A$199,0))=0,"",INDEX('Annex 4 LDNO charges'!$B$11:$B$199,MATCH($A108,'Annex 4 LDNO charges'!$A$11:$A$199,0))))</f>
        <v>E42</v>
      </c>
      <c r="C108" s="193">
        <f>IFERROR(INDEX('Annex 1 LV, HV and UMS charges'!$C$11:$C$42,MATCH($A108,'Annex 1 LV, HV and UMS charges'!$A$11:$A$42,0)),INDEX('Annex 4 LDNO charges'!$C$11:$C$199,MATCH($A108,'Annex 4 LDNO charges'!$A$11:$A$199,0)))</f>
        <v>0</v>
      </c>
      <c r="D108" s="177"/>
      <c r="E108" s="212">
        <v>0</v>
      </c>
    </row>
    <row r="109" spans="1:5" ht="20.100000000000001" customHeight="1" x14ac:dyDescent="0.2">
      <c r="A109" s="161" t="s">
        <v>470</v>
      </c>
      <c r="B109" s="192" t="str">
        <f>IFERROR(INDEX('Annex 1 LV, HV and UMS charges'!$B$11:$B$42,MATCH($A109,'Annex 1 LV, HV and UMS charges'!$A$11:$A$42,0)),IF(INDEX('Annex 4 LDNO charges'!$B$11:$B$199,MATCH($A109,'Annex 4 LDNO charges'!$A$11:$A$199,0))=0,"",INDEX('Annex 4 LDNO charges'!$B$11:$B$199,MATCH($A109,'Annex 4 LDNO charges'!$A$11:$A$199,0))))</f>
        <v>E43</v>
      </c>
      <c r="C109" s="193">
        <f>IFERROR(INDEX('Annex 1 LV, HV and UMS charges'!$C$11:$C$42,MATCH($A109,'Annex 1 LV, HV and UMS charges'!$A$11:$A$42,0)),INDEX('Annex 4 LDNO charges'!$C$11:$C$199,MATCH($A109,'Annex 4 LDNO charges'!$A$11:$A$199,0)))</f>
        <v>0</v>
      </c>
      <c r="D109" s="177"/>
      <c r="E109" s="212">
        <v>0</v>
      </c>
    </row>
    <row r="110" spans="1:5" ht="20.100000000000001" customHeight="1" x14ac:dyDescent="0.2">
      <c r="A110" s="161" t="s">
        <v>471</v>
      </c>
      <c r="B110" s="192" t="str">
        <f>IFERROR(INDEX('Annex 1 LV, HV and UMS charges'!$B$11:$B$42,MATCH($A110,'Annex 1 LV, HV and UMS charges'!$A$11:$A$42,0)),IF(INDEX('Annex 4 LDNO charges'!$B$11:$B$199,MATCH($A110,'Annex 4 LDNO charges'!$A$11:$A$199,0))=0,"",INDEX('Annex 4 LDNO charges'!$B$11:$B$199,MATCH($A110,'Annex 4 LDNO charges'!$A$11:$A$199,0))))</f>
        <v>E44</v>
      </c>
      <c r="C110" s="193">
        <f>IFERROR(INDEX('Annex 1 LV, HV and UMS charges'!$C$11:$C$42,MATCH($A110,'Annex 1 LV, HV and UMS charges'!$A$11:$A$42,0)),INDEX('Annex 4 LDNO charges'!$C$11:$C$199,MATCH($A110,'Annex 4 LDNO charges'!$A$11:$A$199,0)))</f>
        <v>0</v>
      </c>
      <c r="D110" s="177"/>
      <c r="E110" s="212">
        <v>0</v>
      </c>
    </row>
    <row r="111" spans="1:5" ht="20.100000000000001" customHeight="1" x14ac:dyDescent="0.2">
      <c r="A111" s="161" t="s">
        <v>472</v>
      </c>
      <c r="B111" s="192" t="str">
        <f>IFERROR(INDEX('Annex 1 LV, HV and UMS charges'!$B$11:$B$42,MATCH($A111,'Annex 1 LV, HV and UMS charges'!$A$11:$A$42,0)),IF(INDEX('Annex 4 LDNO charges'!$B$11:$B$199,MATCH($A111,'Annex 4 LDNO charges'!$A$11:$A$199,0))=0,"",INDEX('Annex 4 LDNO charges'!$B$11:$B$199,MATCH($A111,'Annex 4 LDNO charges'!$A$11:$A$199,0))))</f>
        <v>J40</v>
      </c>
      <c r="C111" s="193">
        <f>IFERROR(INDEX('Annex 1 LV, HV and UMS charges'!$C$11:$C$42,MATCH($A111,'Annex 1 LV, HV and UMS charges'!$A$11:$A$42,0)),INDEX('Annex 4 LDNO charges'!$C$11:$C$199,MATCH($A111,'Annex 4 LDNO charges'!$A$11:$A$199,0)))</f>
        <v>0</v>
      </c>
      <c r="D111" s="177"/>
      <c r="E111" s="212">
        <v>0</v>
      </c>
    </row>
    <row r="112" spans="1:5" ht="20.100000000000001" customHeight="1" x14ac:dyDescent="0.2">
      <c r="A112" s="161" t="s">
        <v>473</v>
      </c>
      <c r="B112" s="192" t="str">
        <f>IFERROR(INDEX('Annex 1 LV, HV and UMS charges'!$B$11:$B$42,MATCH($A112,'Annex 1 LV, HV and UMS charges'!$A$11:$A$42,0)),IF(INDEX('Annex 4 LDNO charges'!$B$11:$B$199,MATCH($A112,'Annex 4 LDNO charges'!$A$11:$A$199,0))=0,"",INDEX('Annex 4 LDNO charges'!$B$11:$B$199,MATCH($A112,'Annex 4 LDNO charges'!$A$11:$A$199,0))))</f>
        <v>J41</v>
      </c>
      <c r="C112" s="193">
        <f>IFERROR(INDEX('Annex 1 LV, HV and UMS charges'!$C$11:$C$42,MATCH($A112,'Annex 1 LV, HV and UMS charges'!$A$11:$A$42,0)),INDEX('Annex 4 LDNO charges'!$C$11:$C$199,MATCH($A112,'Annex 4 LDNO charges'!$A$11:$A$199,0)))</f>
        <v>0</v>
      </c>
      <c r="D112" s="177"/>
      <c r="E112" s="212">
        <v>0</v>
      </c>
    </row>
    <row r="113" spans="1:5" ht="20.100000000000001" customHeight="1" x14ac:dyDescent="0.2">
      <c r="A113" s="161" t="s">
        <v>474</v>
      </c>
      <c r="B113" s="192" t="str">
        <f>IFERROR(INDEX('Annex 1 LV, HV and UMS charges'!$B$11:$B$42,MATCH($A113,'Annex 1 LV, HV and UMS charges'!$A$11:$A$42,0)),IF(INDEX('Annex 4 LDNO charges'!$B$11:$B$199,MATCH($A113,'Annex 4 LDNO charges'!$A$11:$A$199,0))=0,"",INDEX('Annex 4 LDNO charges'!$B$11:$B$199,MATCH($A113,'Annex 4 LDNO charges'!$A$11:$A$199,0))))</f>
        <v>J42</v>
      </c>
      <c r="C113" s="193">
        <f>IFERROR(INDEX('Annex 1 LV, HV and UMS charges'!$C$11:$C$42,MATCH($A113,'Annex 1 LV, HV and UMS charges'!$A$11:$A$42,0)),INDEX('Annex 4 LDNO charges'!$C$11:$C$199,MATCH($A113,'Annex 4 LDNO charges'!$A$11:$A$199,0)))</f>
        <v>0</v>
      </c>
      <c r="D113" s="177"/>
      <c r="E113" s="212">
        <v>0</v>
      </c>
    </row>
    <row r="114" spans="1:5" ht="20.100000000000001" customHeight="1" x14ac:dyDescent="0.2">
      <c r="A114" s="161" t="s">
        <v>475</v>
      </c>
      <c r="B114" s="192" t="str">
        <f>IFERROR(INDEX('Annex 1 LV, HV and UMS charges'!$B$11:$B$42,MATCH($A114,'Annex 1 LV, HV and UMS charges'!$A$11:$A$42,0)),IF(INDEX('Annex 4 LDNO charges'!$B$11:$B$199,MATCH($A114,'Annex 4 LDNO charges'!$A$11:$A$199,0))=0,"",INDEX('Annex 4 LDNO charges'!$B$11:$B$199,MATCH($A114,'Annex 4 LDNO charges'!$A$11:$A$199,0))))</f>
        <v>J43</v>
      </c>
      <c r="C114" s="193">
        <f>IFERROR(INDEX('Annex 1 LV, HV and UMS charges'!$C$11:$C$42,MATCH($A114,'Annex 1 LV, HV and UMS charges'!$A$11:$A$42,0)),INDEX('Annex 4 LDNO charges'!$C$11:$C$199,MATCH($A114,'Annex 4 LDNO charges'!$A$11:$A$199,0)))</f>
        <v>0</v>
      </c>
      <c r="D114" s="177"/>
      <c r="E114" s="212">
        <v>0</v>
      </c>
    </row>
    <row r="115" spans="1:5" ht="20.100000000000001" customHeight="1" x14ac:dyDescent="0.2">
      <c r="A115" s="161" t="s">
        <v>476</v>
      </c>
      <c r="B115" s="192" t="str">
        <f>IFERROR(INDEX('Annex 1 LV, HV and UMS charges'!$B$11:$B$42,MATCH($A115,'Annex 1 LV, HV and UMS charges'!$A$11:$A$42,0)),IF(INDEX('Annex 4 LDNO charges'!$B$11:$B$199,MATCH($A115,'Annex 4 LDNO charges'!$A$11:$A$199,0))=0,"",INDEX('Annex 4 LDNO charges'!$B$11:$B$199,MATCH($A115,'Annex 4 LDNO charges'!$A$11:$A$199,0))))</f>
        <v>J44</v>
      </c>
      <c r="C115" s="193">
        <f>IFERROR(INDEX('Annex 1 LV, HV and UMS charges'!$C$11:$C$42,MATCH($A115,'Annex 1 LV, HV and UMS charges'!$A$11:$A$42,0)),INDEX('Annex 4 LDNO charges'!$C$11:$C$199,MATCH($A115,'Annex 4 LDNO charges'!$A$11:$A$199,0)))</f>
        <v>0</v>
      </c>
      <c r="D115" s="177"/>
      <c r="E115" s="212">
        <v>0</v>
      </c>
    </row>
    <row r="116" spans="1:5" ht="20.100000000000001" customHeight="1" x14ac:dyDescent="0.2">
      <c r="A116" s="161" t="s">
        <v>477</v>
      </c>
      <c r="B116" s="192" t="str">
        <f>IFERROR(INDEX('Annex 1 LV, HV and UMS charges'!$B$11:$B$42,MATCH($A116,'Annex 1 LV, HV and UMS charges'!$A$11:$A$42,0)),IF(INDEX('Annex 4 LDNO charges'!$B$11:$B$199,MATCH($A116,'Annex 4 LDNO charges'!$A$11:$A$199,0))=0,"",INDEX('Annex 4 LDNO charges'!$B$11:$B$199,MATCH($A116,'Annex 4 LDNO charges'!$A$11:$A$199,0))))</f>
        <v>K40</v>
      </c>
      <c r="C116" s="193">
        <f>IFERROR(INDEX('Annex 1 LV, HV and UMS charges'!$C$11:$C$42,MATCH($A116,'Annex 1 LV, HV and UMS charges'!$A$11:$A$42,0)),INDEX('Annex 4 LDNO charges'!$C$11:$C$199,MATCH($A116,'Annex 4 LDNO charges'!$A$11:$A$199,0)))</f>
        <v>0</v>
      </c>
      <c r="D116" s="177"/>
      <c r="E116" s="212">
        <v>0</v>
      </c>
    </row>
    <row r="117" spans="1:5" ht="20.100000000000001" customHeight="1" x14ac:dyDescent="0.2">
      <c r="A117" s="161" t="s">
        <v>478</v>
      </c>
      <c r="B117" s="192" t="str">
        <f>IFERROR(INDEX('Annex 1 LV, HV and UMS charges'!$B$11:$B$42,MATCH($A117,'Annex 1 LV, HV and UMS charges'!$A$11:$A$42,0)),IF(INDEX('Annex 4 LDNO charges'!$B$11:$B$199,MATCH($A117,'Annex 4 LDNO charges'!$A$11:$A$199,0))=0,"",INDEX('Annex 4 LDNO charges'!$B$11:$B$199,MATCH($A117,'Annex 4 LDNO charges'!$A$11:$A$199,0))))</f>
        <v>K41</v>
      </c>
      <c r="C117" s="193">
        <f>IFERROR(INDEX('Annex 1 LV, HV and UMS charges'!$C$11:$C$42,MATCH($A117,'Annex 1 LV, HV and UMS charges'!$A$11:$A$42,0)),INDEX('Annex 4 LDNO charges'!$C$11:$C$199,MATCH($A117,'Annex 4 LDNO charges'!$A$11:$A$199,0)))</f>
        <v>0</v>
      </c>
      <c r="D117" s="177"/>
      <c r="E117" s="212">
        <v>0</v>
      </c>
    </row>
    <row r="118" spans="1:5" ht="20.100000000000001" customHeight="1" x14ac:dyDescent="0.2">
      <c r="A118" s="161" t="s">
        <v>479</v>
      </c>
      <c r="B118" s="192" t="str">
        <f>IFERROR(INDEX('Annex 1 LV, HV and UMS charges'!$B$11:$B$42,MATCH($A118,'Annex 1 LV, HV and UMS charges'!$A$11:$A$42,0)),IF(INDEX('Annex 4 LDNO charges'!$B$11:$B$199,MATCH($A118,'Annex 4 LDNO charges'!$A$11:$A$199,0))=0,"",INDEX('Annex 4 LDNO charges'!$B$11:$B$199,MATCH($A118,'Annex 4 LDNO charges'!$A$11:$A$199,0))))</f>
        <v>K42</v>
      </c>
      <c r="C118" s="193">
        <f>IFERROR(INDEX('Annex 1 LV, HV and UMS charges'!$C$11:$C$42,MATCH($A118,'Annex 1 LV, HV and UMS charges'!$A$11:$A$42,0)),INDEX('Annex 4 LDNO charges'!$C$11:$C$199,MATCH($A118,'Annex 4 LDNO charges'!$A$11:$A$199,0)))</f>
        <v>0</v>
      </c>
      <c r="D118" s="177"/>
      <c r="E118" s="212">
        <v>0</v>
      </c>
    </row>
    <row r="119" spans="1:5" ht="20.100000000000001" customHeight="1" x14ac:dyDescent="0.2">
      <c r="A119" s="161" t="s">
        <v>480</v>
      </c>
      <c r="B119" s="192" t="str">
        <f>IFERROR(INDEX('Annex 1 LV, HV and UMS charges'!$B$11:$B$42,MATCH($A119,'Annex 1 LV, HV and UMS charges'!$A$11:$A$42,0)),IF(INDEX('Annex 4 LDNO charges'!$B$11:$B$199,MATCH($A119,'Annex 4 LDNO charges'!$A$11:$A$199,0))=0,"",INDEX('Annex 4 LDNO charges'!$B$11:$B$199,MATCH($A119,'Annex 4 LDNO charges'!$A$11:$A$199,0))))</f>
        <v>K43</v>
      </c>
      <c r="C119" s="193">
        <f>IFERROR(INDEX('Annex 1 LV, HV and UMS charges'!$C$11:$C$42,MATCH($A119,'Annex 1 LV, HV and UMS charges'!$A$11:$A$42,0)),INDEX('Annex 4 LDNO charges'!$C$11:$C$199,MATCH($A119,'Annex 4 LDNO charges'!$A$11:$A$199,0)))</f>
        <v>0</v>
      </c>
      <c r="D119" s="177"/>
      <c r="E119" s="212">
        <v>0</v>
      </c>
    </row>
    <row r="120" spans="1:5" ht="20.100000000000001" customHeight="1" x14ac:dyDescent="0.2">
      <c r="A120" s="161" t="s">
        <v>481</v>
      </c>
      <c r="B120" s="192" t="str">
        <f>IFERROR(INDEX('Annex 1 LV, HV and UMS charges'!$B$11:$B$42,MATCH($A120,'Annex 1 LV, HV and UMS charges'!$A$11:$A$42,0)),IF(INDEX('Annex 4 LDNO charges'!$B$11:$B$199,MATCH($A120,'Annex 4 LDNO charges'!$A$11:$A$199,0))=0,"",INDEX('Annex 4 LDNO charges'!$B$11:$B$199,MATCH($A120,'Annex 4 LDNO charges'!$A$11:$A$199,0))))</f>
        <v>K44</v>
      </c>
      <c r="C120" s="193">
        <f>IFERROR(INDEX('Annex 1 LV, HV and UMS charges'!$C$11:$C$42,MATCH($A120,'Annex 1 LV, HV and UMS charges'!$A$11:$A$42,0)),INDEX('Annex 4 LDNO charges'!$C$11:$C$199,MATCH($A120,'Annex 4 LDNO charges'!$A$11:$A$199,0)))</f>
        <v>0</v>
      </c>
      <c r="D120" s="177"/>
      <c r="E120" s="212">
        <v>0</v>
      </c>
    </row>
    <row r="121" spans="1:5" ht="20.100000000000001" customHeight="1" x14ac:dyDescent="0.2">
      <c r="A121" s="161" t="s">
        <v>565</v>
      </c>
      <c r="B121" s="192" t="str">
        <f>IFERROR(INDEX('Annex 1 LV, HV and UMS charges'!$B$11:$B$42,MATCH($A121,'Annex 1 LV, HV and UMS charges'!$A$11:$A$42,0)),IF(INDEX('Annex 4 LDNO charges'!$B$11:$B$199,MATCH($A121,'Annex 4 LDNO charges'!$A$11:$A$199,0))=0,"",INDEX('Annex 4 LDNO charges'!$B$11:$B$199,MATCH($A121,'Annex 4 LDNO charges'!$A$11:$A$199,0))))</f>
        <v>A50</v>
      </c>
      <c r="C121" s="193" t="str">
        <f>IFERROR(INDEX('Annex 1 LV, HV and UMS charges'!$C$11:$C$42,MATCH($A121,'Annex 1 LV, HV and UMS charges'!$A$11:$A$42,0)),INDEX('Annex 4 LDNO charges'!$C$11:$C$199,MATCH($A121,'Annex 4 LDNO charges'!$A$11:$A$199,0)))</f>
        <v>0, 1, 2</v>
      </c>
      <c r="D121" s="212">
        <v>0</v>
      </c>
      <c r="E121" s="212">
        <v>0</v>
      </c>
    </row>
    <row r="122" spans="1:5" ht="20.100000000000001" customHeight="1" x14ac:dyDescent="0.2">
      <c r="A122" s="161" t="s">
        <v>566</v>
      </c>
      <c r="B122" s="192" t="str">
        <f>IFERROR(INDEX('Annex 1 LV, HV and UMS charges'!$B$11:$B$42,MATCH($A122,'Annex 1 LV, HV and UMS charges'!$A$11:$A$42,0)),IF(INDEX('Annex 4 LDNO charges'!$B$11:$B$199,MATCH($A122,'Annex 4 LDNO charges'!$A$11:$A$199,0))=0,"",INDEX('Annex 4 LDNO charges'!$B$11:$B$199,MATCH($A122,'Annex 4 LDNO charges'!$A$11:$A$199,0))))</f>
        <v>C50</v>
      </c>
      <c r="C122" s="193" t="str">
        <f>IFERROR(INDEX('Annex 1 LV, HV and UMS charges'!$C$11:$C$42,MATCH($A122,'Annex 1 LV, HV and UMS charges'!$A$11:$A$42,0)),INDEX('Annex 4 LDNO charges'!$C$11:$C$199,MATCH($A122,'Annex 4 LDNO charges'!$A$11:$A$199,0)))</f>
        <v>0, 3, 4, 5-8</v>
      </c>
      <c r="D122" s="177"/>
      <c r="E122" s="212">
        <v>0</v>
      </c>
    </row>
    <row r="123" spans="1:5" ht="20.100000000000001" customHeight="1" x14ac:dyDescent="0.2">
      <c r="A123" s="161" t="s">
        <v>567</v>
      </c>
      <c r="B123" s="192" t="str">
        <f>IFERROR(INDEX('Annex 1 LV, HV and UMS charges'!$B$11:$B$42,MATCH($A123,'Annex 1 LV, HV and UMS charges'!$A$11:$A$42,0)),IF(INDEX('Annex 4 LDNO charges'!$B$11:$B$199,MATCH($A123,'Annex 4 LDNO charges'!$A$11:$A$199,0))=0,"",INDEX('Annex 4 LDNO charges'!$B$11:$B$199,MATCH($A123,'Annex 4 LDNO charges'!$A$11:$A$199,0))))</f>
        <v>C51</v>
      </c>
      <c r="C123" s="193" t="str">
        <f>IFERROR(INDEX('Annex 1 LV, HV and UMS charges'!$C$11:$C$42,MATCH($A123,'Annex 1 LV, HV and UMS charges'!$A$11:$A$42,0)),INDEX('Annex 4 LDNO charges'!$C$11:$C$199,MATCH($A123,'Annex 4 LDNO charges'!$A$11:$A$199,0)))</f>
        <v>0, 3, 4, 5-8</v>
      </c>
      <c r="D123" s="177"/>
      <c r="E123" s="212">
        <v>0</v>
      </c>
    </row>
    <row r="124" spans="1:5" ht="20.100000000000001" customHeight="1" x14ac:dyDescent="0.2">
      <c r="A124" s="161" t="s">
        <v>568</v>
      </c>
      <c r="B124" s="192" t="str">
        <f>IFERROR(INDEX('Annex 1 LV, HV and UMS charges'!$B$11:$B$42,MATCH($A124,'Annex 1 LV, HV and UMS charges'!$A$11:$A$42,0)),IF(INDEX('Annex 4 LDNO charges'!$B$11:$B$199,MATCH($A124,'Annex 4 LDNO charges'!$A$11:$A$199,0))=0,"",INDEX('Annex 4 LDNO charges'!$B$11:$B$199,MATCH($A124,'Annex 4 LDNO charges'!$A$11:$A$199,0))))</f>
        <v>C52</v>
      </c>
      <c r="C124" s="193" t="str">
        <f>IFERROR(INDEX('Annex 1 LV, HV and UMS charges'!$C$11:$C$42,MATCH($A124,'Annex 1 LV, HV and UMS charges'!$A$11:$A$42,0)),INDEX('Annex 4 LDNO charges'!$C$11:$C$199,MATCH($A124,'Annex 4 LDNO charges'!$A$11:$A$199,0)))</f>
        <v>0, 3, 4, 5-8</v>
      </c>
      <c r="D124" s="177"/>
      <c r="E124" s="212">
        <v>0</v>
      </c>
    </row>
    <row r="125" spans="1:5" ht="20.100000000000001" customHeight="1" x14ac:dyDescent="0.2">
      <c r="A125" s="161" t="s">
        <v>569</v>
      </c>
      <c r="B125" s="192" t="str">
        <f>IFERROR(INDEX('Annex 1 LV, HV and UMS charges'!$B$11:$B$42,MATCH($A125,'Annex 1 LV, HV and UMS charges'!$A$11:$A$42,0)),IF(INDEX('Annex 4 LDNO charges'!$B$11:$B$199,MATCH($A125,'Annex 4 LDNO charges'!$A$11:$A$199,0))=0,"",INDEX('Annex 4 LDNO charges'!$B$11:$B$199,MATCH($A125,'Annex 4 LDNO charges'!$A$11:$A$199,0))))</f>
        <v>C53</v>
      </c>
      <c r="C125" s="193" t="str">
        <f>IFERROR(INDEX('Annex 1 LV, HV and UMS charges'!$C$11:$C$42,MATCH($A125,'Annex 1 LV, HV and UMS charges'!$A$11:$A$42,0)),INDEX('Annex 4 LDNO charges'!$C$11:$C$199,MATCH($A125,'Annex 4 LDNO charges'!$A$11:$A$199,0)))</f>
        <v>0, 3, 4, 5-8</v>
      </c>
      <c r="D125" s="177"/>
      <c r="E125" s="212">
        <v>0</v>
      </c>
    </row>
    <row r="126" spans="1:5" ht="20.100000000000001" customHeight="1" x14ac:dyDescent="0.2">
      <c r="A126" s="161" t="s">
        <v>570</v>
      </c>
      <c r="B126" s="192" t="str">
        <f>IFERROR(INDEX('Annex 1 LV, HV and UMS charges'!$B$11:$B$42,MATCH($A126,'Annex 1 LV, HV and UMS charges'!$A$11:$A$42,0)),IF(INDEX('Annex 4 LDNO charges'!$B$11:$B$199,MATCH($A126,'Annex 4 LDNO charges'!$A$11:$A$199,0))=0,"",INDEX('Annex 4 LDNO charges'!$B$11:$B$199,MATCH($A126,'Annex 4 LDNO charges'!$A$11:$A$199,0))))</f>
        <v>C54</v>
      </c>
      <c r="C126" s="193" t="str">
        <f>IFERROR(INDEX('Annex 1 LV, HV and UMS charges'!$C$11:$C$42,MATCH($A126,'Annex 1 LV, HV and UMS charges'!$A$11:$A$42,0)),INDEX('Annex 4 LDNO charges'!$C$11:$C$199,MATCH($A126,'Annex 4 LDNO charges'!$A$11:$A$199,0)))</f>
        <v>0, 3, 4, 5-8</v>
      </c>
      <c r="D126" s="177"/>
      <c r="E126" s="212">
        <v>0</v>
      </c>
    </row>
    <row r="127" spans="1:5" ht="20.100000000000001" customHeight="1" x14ac:dyDescent="0.2">
      <c r="A127" s="161" t="s">
        <v>452</v>
      </c>
      <c r="B127" s="192" t="str">
        <f>IFERROR(INDEX('Annex 1 LV, HV and UMS charges'!$B$11:$B$42,MATCH($A127,'Annex 1 LV, HV and UMS charges'!$A$11:$A$42,0)),IF(INDEX('Annex 4 LDNO charges'!$B$11:$B$199,MATCH($A127,'Annex 4 LDNO charges'!$A$11:$A$199,0))=0,"",INDEX('Annex 4 LDNO charges'!$B$11:$B$199,MATCH($A127,'Annex 4 LDNO charges'!$A$11:$A$199,0))))</f>
        <v>E50</v>
      </c>
      <c r="C127" s="193">
        <f>IFERROR(INDEX('Annex 1 LV, HV and UMS charges'!$C$11:$C$42,MATCH($A127,'Annex 1 LV, HV and UMS charges'!$A$11:$A$42,0)),INDEX('Annex 4 LDNO charges'!$C$11:$C$199,MATCH($A127,'Annex 4 LDNO charges'!$A$11:$A$199,0)))</f>
        <v>0</v>
      </c>
      <c r="D127" s="177"/>
      <c r="E127" s="212">
        <v>0</v>
      </c>
    </row>
    <row r="128" spans="1:5" ht="20.100000000000001" customHeight="1" x14ac:dyDescent="0.2">
      <c r="A128" s="161" t="s">
        <v>453</v>
      </c>
      <c r="B128" s="192" t="str">
        <f>IFERROR(INDEX('Annex 1 LV, HV and UMS charges'!$B$11:$B$42,MATCH($A128,'Annex 1 LV, HV and UMS charges'!$A$11:$A$42,0)),IF(INDEX('Annex 4 LDNO charges'!$B$11:$B$199,MATCH($A128,'Annex 4 LDNO charges'!$A$11:$A$199,0))=0,"",INDEX('Annex 4 LDNO charges'!$B$11:$B$199,MATCH($A128,'Annex 4 LDNO charges'!$A$11:$A$199,0))))</f>
        <v>E51</v>
      </c>
      <c r="C128" s="193">
        <f>IFERROR(INDEX('Annex 1 LV, HV and UMS charges'!$C$11:$C$42,MATCH($A128,'Annex 1 LV, HV and UMS charges'!$A$11:$A$42,0)),INDEX('Annex 4 LDNO charges'!$C$11:$C$199,MATCH($A128,'Annex 4 LDNO charges'!$A$11:$A$199,0)))</f>
        <v>0</v>
      </c>
      <c r="D128" s="177"/>
      <c r="E128" s="212">
        <v>0</v>
      </c>
    </row>
    <row r="129" spans="1:5" ht="20.100000000000001" customHeight="1" x14ac:dyDescent="0.2">
      <c r="A129" s="161" t="s">
        <v>454</v>
      </c>
      <c r="B129" s="192" t="str">
        <f>IFERROR(INDEX('Annex 1 LV, HV and UMS charges'!$B$11:$B$42,MATCH($A129,'Annex 1 LV, HV and UMS charges'!$A$11:$A$42,0)),IF(INDEX('Annex 4 LDNO charges'!$B$11:$B$199,MATCH($A129,'Annex 4 LDNO charges'!$A$11:$A$199,0))=0,"",INDEX('Annex 4 LDNO charges'!$B$11:$B$199,MATCH($A129,'Annex 4 LDNO charges'!$A$11:$A$199,0))))</f>
        <v>E52</v>
      </c>
      <c r="C129" s="193">
        <f>IFERROR(INDEX('Annex 1 LV, HV and UMS charges'!$C$11:$C$42,MATCH($A129,'Annex 1 LV, HV and UMS charges'!$A$11:$A$42,0)),INDEX('Annex 4 LDNO charges'!$C$11:$C$199,MATCH($A129,'Annex 4 LDNO charges'!$A$11:$A$199,0)))</f>
        <v>0</v>
      </c>
      <c r="D129" s="177"/>
      <c r="E129" s="212">
        <v>0</v>
      </c>
    </row>
    <row r="130" spans="1:5" ht="20.100000000000001" customHeight="1" x14ac:dyDescent="0.2">
      <c r="A130" s="161" t="s">
        <v>455</v>
      </c>
      <c r="B130" s="192" t="str">
        <f>IFERROR(INDEX('Annex 1 LV, HV and UMS charges'!$B$11:$B$42,MATCH($A130,'Annex 1 LV, HV and UMS charges'!$A$11:$A$42,0)),IF(INDEX('Annex 4 LDNO charges'!$B$11:$B$199,MATCH($A130,'Annex 4 LDNO charges'!$A$11:$A$199,0))=0,"",INDEX('Annex 4 LDNO charges'!$B$11:$B$199,MATCH($A130,'Annex 4 LDNO charges'!$A$11:$A$199,0))))</f>
        <v>E53</v>
      </c>
      <c r="C130" s="193">
        <f>IFERROR(INDEX('Annex 1 LV, HV and UMS charges'!$C$11:$C$42,MATCH($A130,'Annex 1 LV, HV and UMS charges'!$A$11:$A$42,0)),INDEX('Annex 4 LDNO charges'!$C$11:$C$199,MATCH($A130,'Annex 4 LDNO charges'!$A$11:$A$199,0)))</f>
        <v>0</v>
      </c>
      <c r="D130" s="177"/>
      <c r="E130" s="212">
        <v>0</v>
      </c>
    </row>
    <row r="131" spans="1:5" ht="20.100000000000001" customHeight="1" x14ac:dyDescent="0.2">
      <c r="A131" s="161" t="s">
        <v>456</v>
      </c>
      <c r="B131" s="192" t="str">
        <f>IFERROR(INDEX('Annex 1 LV, HV and UMS charges'!$B$11:$B$42,MATCH($A131,'Annex 1 LV, HV and UMS charges'!$A$11:$A$42,0)),IF(INDEX('Annex 4 LDNO charges'!$B$11:$B$199,MATCH($A131,'Annex 4 LDNO charges'!$A$11:$A$199,0))=0,"",INDEX('Annex 4 LDNO charges'!$B$11:$B$199,MATCH($A131,'Annex 4 LDNO charges'!$A$11:$A$199,0))))</f>
        <v>E54</v>
      </c>
      <c r="C131" s="193">
        <f>IFERROR(INDEX('Annex 1 LV, HV and UMS charges'!$C$11:$C$42,MATCH($A131,'Annex 1 LV, HV and UMS charges'!$A$11:$A$42,0)),INDEX('Annex 4 LDNO charges'!$C$11:$C$199,MATCH($A131,'Annex 4 LDNO charges'!$A$11:$A$199,0)))</f>
        <v>0</v>
      </c>
      <c r="D131" s="177"/>
      <c r="E131" s="212">
        <v>0</v>
      </c>
    </row>
    <row r="132" spans="1:5" ht="20.100000000000001" customHeight="1" x14ac:dyDescent="0.2">
      <c r="A132" s="161" t="s">
        <v>457</v>
      </c>
      <c r="B132" s="192" t="str">
        <f>IFERROR(INDEX('Annex 1 LV, HV and UMS charges'!$B$11:$B$42,MATCH($A132,'Annex 1 LV, HV and UMS charges'!$A$11:$A$42,0)),IF(INDEX('Annex 4 LDNO charges'!$B$11:$B$199,MATCH($A132,'Annex 4 LDNO charges'!$A$11:$A$199,0))=0,"",INDEX('Annex 4 LDNO charges'!$B$11:$B$199,MATCH($A132,'Annex 4 LDNO charges'!$A$11:$A$199,0))))</f>
        <v>J50</v>
      </c>
      <c r="C132" s="193">
        <f>IFERROR(INDEX('Annex 1 LV, HV and UMS charges'!$C$11:$C$42,MATCH($A132,'Annex 1 LV, HV and UMS charges'!$A$11:$A$42,0)),INDEX('Annex 4 LDNO charges'!$C$11:$C$199,MATCH($A132,'Annex 4 LDNO charges'!$A$11:$A$199,0)))</f>
        <v>0</v>
      </c>
      <c r="D132" s="177"/>
      <c r="E132" s="212">
        <v>0</v>
      </c>
    </row>
    <row r="133" spans="1:5" ht="20.100000000000001" customHeight="1" x14ac:dyDescent="0.2">
      <c r="A133" s="161" t="s">
        <v>458</v>
      </c>
      <c r="B133" s="192" t="str">
        <f>IFERROR(INDEX('Annex 1 LV, HV and UMS charges'!$B$11:$B$42,MATCH($A133,'Annex 1 LV, HV and UMS charges'!$A$11:$A$42,0)),IF(INDEX('Annex 4 LDNO charges'!$B$11:$B$199,MATCH($A133,'Annex 4 LDNO charges'!$A$11:$A$199,0))=0,"",INDEX('Annex 4 LDNO charges'!$B$11:$B$199,MATCH($A133,'Annex 4 LDNO charges'!$A$11:$A$199,0))))</f>
        <v>J51</v>
      </c>
      <c r="C133" s="193">
        <f>IFERROR(INDEX('Annex 1 LV, HV and UMS charges'!$C$11:$C$42,MATCH($A133,'Annex 1 LV, HV and UMS charges'!$A$11:$A$42,0)),INDEX('Annex 4 LDNO charges'!$C$11:$C$199,MATCH($A133,'Annex 4 LDNO charges'!$A$11:$A$199,0)))</f>
        <v>0</v>
      </c>
      <c r="D133" s="177"/>
      <c r="E133" s="212">
        <v>0</v>
      </c>
    </row>
    <row r="134" spans="1:5" ht="20.100000000000001" customHeight="1" x14ac:dyDescent="0.2">
      <c r="A134" s="161" t="s">
        <v>459</v>
      </c>
      <c r="B134" s="192" t="str">
        <f>IFERROR(INDEX('Annex 1 LV, HV and UMS charges'!$B$11:$B$42,MATCH($A134,'Annex 1 LV, HV and UMS charges'!$A$11:$A$42,0)),IF(INDEX('Annex 4 LDNO charges'!$B$11:$B$199,MATCH($A134,'Annex 4 LDNO charges'!$A$11:$A$199,0))=0,"",INDEX('Annex 4 LDNO charges'!$B$11:$B$199,MATCH($A134,'Annex 4 LDNO charges'!$A$11:$A$199,0))))</f>
        <v>J52</v>
      </c>
      <c r="C134" s="193">
        <f>IFERROR(INDEX('Annex 1 LV, HV and UMS charges'!$C$11:$C$42,MATCH($A134,'Annex 1 LV, HV and UMS charges'!$A$11:$A$42,0)),INDEX('Annex 4 LDNO charges'!$C$11:$C$199,MATCH($A134,'Annex 4 LDNO charges'!$A$11:$A$199,0)))</f>
        <v>0</v>
      </c>
      <c r="D134" s="177"/>
      <c r="E134" s="212">
        <v>0</v>
      </c>
    </row>
    <row r="135" spans="1:5" ht="20.100000000000001" customHeight="1" x14ac:dyDescent="0.2">
      <c r="A135" s="161" t="s">
        <v>460</v>
      </c>
      <c r="B135" s="192" t="str">
        <f>IFERROR(INDEX('Annex 1 LV, HV and UMS charges'!$B$11:$B$42,MATCH($A135,'Annex 1 LV, HV and UMS charges'!$A$11:$A$42,0)),IF(INDEX('Annex 4 LDNO charges'!$B$11:$B$199,MATCH($A135,'Annex 4 LDNO charges'!$A$11:$A$199,0))=0,"",INDEX('Annex 4 LDNO charges'!$B$11:$B$199,MATCH($A135,'Annex 4 LDNO charges'!$A$11:$A$199,0))))</f>
        <v>J53</v>
      </c>
      <c r="C135" s="193">
        <f>IFERROR(INDEX('Annex 1 LV, HV and UMS charges'!$C$11:$C$42,MATCH($A135,'Annex 1 LV, HV and UMS charges'!$A$11:$A$42,0)),INDEX('Annex 4 LDNO charges'!$C$11:$C$199,MATCH($A135,'Annex 4 LDNO charges'!$A$11:$A$199,0)))</f>
        <v>0</v>
      </c>
      <c r="D135" s="177"/>
      <c r="E135" s="212">
        <v>0</v>
      </c>
    </row>
    <row r="136" spans="1:5" ht="20.100000000000001" customHeight="1" x14ac:dyDescent="0.2">
      <c r="A136" s="161" t="s">
        <v>461</v>
      </c>
      <c r="B136" s="192" t="str">
        <f>IFERROR(INDEX('Annex 1 LV, HV and UMS charges'!$B$11:$B$42,MATCH($A136,'Annex 1 LV, HV and UMS charges'!$A$11:$A$42,0)),IF(INDEX('Annex 4 LDNO charges'!$B$11:$B$199,MATCH($A136,'Annex 4 LDNO charges'!$A$11:$A$199,0))=0,"",INDEX('Annex 4 LDNO charges'!$B$11:$B$199,MATCH($A136,'Annex 4 LDNO charges'!$A$11:$A$199,0))))</f>
        <v>J54</v>
      </c>
      <c r="C136" s="193">
        <f>IFERROR(INDEX('Annex 1 LV, HV and UMS charges'!$C$11:$C$42,MATCH($A136,'Annex 1 LV, HV and UMS charges'!$A$11:$A$42,0)),INDEX('Annex 4 LDNO charges'!$C$11:$C$199,MATCH($A136,'Annex 4 LDNO charges'!$A$11:$A$199,0)))</f>
        <v>0</v>
      </c>
      <c r="D136" s="177"/>
      <c r="E136" s="212">
        <v>0</v>
      </c>
    </row>
    <row r="137" spans="1:5" ht="20.100000000000001" customHeight="1" x14ac:dyDescent="0.2">
      <c r="A137" s="161" t="s">
        <v>462</v>
      </c>
      <c r="B137" s="192" t="str">
        <f>IFERROR(INDEX('Annex 1 LV, HV and UMS charges'!$B$11:$B$42,MATCH($A137,'Annex 1 LV, HV and UMS charges'!$A$11:$A$42,0)),IF(INDEX('Annex 4 LDNO charges'!$B$11:$B$199,MATCH($A137,'Annex 4 LDNO charges'!$A$11:$A$199,0))=0,"",INDEX('Annex 4 LDNO charges'!$B$11:$B$199,MATCH($A137,'Annex 4 LDNO charges'!$A$11:$A$199,0))))</f>
        <v>K50</v>
      </c>
      <c r="C137" s="193">
        <f>IFERROR(INDEX('Annex 1 LV, HV and UMS charges'!$C$11:$C$42,MATCH($A137,'Annex 1 LV, HV and UMS charges'!$A$11:$A$42,0)),INDEX('Annex 4 LDNO charges'!$C$11:$C$199,MATCH($A137,'Annex 4 LDNO charges'!$A$11:$A$199,0)))</f>
        <v>0</v>
      </c>
      <c r="D137" s="177"/>
      <c r="E137" s="212">
        <v>0</v>
      </c>
    </row>
    <row r="138" spans="1:5" ht="20.100000000000001" customHeight="1" x14ac:dyDescent="0.2">
      <c r="A138" s="161" t="s">
        <v>463</v>
      </c>
      <c r="B138" s="192" t="str">
        <f>IFERROR(INDEX('Annex 1 LV, HV and UMS charges'!$B$11:$B$42,MATCH($A138,'Annex 1 LV, HV and UMS charges'!$A$11:$A$42,0)),IF(INDEX('Annex 4 LDNO charges'!$B$11:$B$199,MATCH($A138,'Annex 4 LDNO charges'!$A$11:$A$199,0))=0,"",INDEX('Annex 4 LDNO charges'!$B$11:$B$199,MATCH($A138,'Annex 4 LDNO charges'!$A$11:$A$199,0))))</f>
        <v>K51</v>
      </c>
      <c r="C138" s="193">
        <f>IFERROR(INDEX('Annex 1 LV, HV and UMS charges'!$C$11:$C$42,MATCH($A138,'Annex 1 LV, HV and UMS charges'!$A$11:$A$42,0)),INDEX('Annex 4 LDNO charges'!$C$11:$C$199,MATCH($A138,'Annex 4 LDNO charges'!$A$11:$A$199,0)))</f>
        <v>0</v>
      </c>
      <c r="D138" s="177"/>
      <c r="E138" s="212">
        <v>0</v>
      </c>
    </row>
    <row r="139" spans="1:5" ht="20.100000000000001" customHeight="1" x14ac:dyDescent="0.2">
      <c r="A139" s="161" t="s">
        <v>464</v>
      </c>
      <c r="B139" s="192" t="str">
        <f>IFERROR(INDEX('Annex 1 LV, HV and UMS charges'!$B$11:$B$42,MATCH($A139,'Annex 1 LV, HV and UMS charges'!$A$11:$A$42,0)),IF(INDEX('Annex 4 LDNO charges'!$B$11:$B$199,MATCH($A139,'Annex 4 LDNO charges'!$A$11:$A$199,0))=0,"",INDEX('Annex 4 LDNO charges'!$B$11:$B$199,MATCH($A139,'Annex 4 LDNO charges'!$A$11:$A$199,0))))</f>
        <v>K52</v>
      </c>
      <c r="C139" s="193">
        <f>IFERROR(INDEX('Annex 1 LV, HV and UMS charges'!$C$11:$C$42,MATCH($A139,'Annex 1 LV, HV and UMS charges'!$A$11:$A$42,0)),INDEX('Annex 4 LDNO charges'!$C$11:$C$199,MATCH($A139,'Annex 4 LDNO charges'!$A$11:$A$199,0)))</f>
        <v>0</v>
      </c>
      <c r="D139" s="177"/>
      <c r="E139" s="212">
        <v>0</v>
      </c>
    </row>
    <row r="140" spans="1:5" ht="20.100000000000001" customHeight="1" x14ac:dyDescent="0.2">
      <c r="A140" s="161" t="s">
        <v>465</v>
      </c>
      <c r="B140" s="192" t="str">
        <f>IFERROR(INDEX('Annex 1 LV, HV and UMS charges'!$B$11:$B$42,MATCH($A140,'Annex 1 LV, HV and UMS charges'!$A$11:$A$42,0)),IF(INDEX('Annex 4 LDNO charges'!$B$11:$B$199,MATCH($A140,'Annex 4 LDNO charges'!$A$11:$A$199,0))=0,"",INDEX('Annex 4 LDNO charges'!$B$11:$B$199,MATCH($A140,'Annex 4 LDNO charges'!$A$11:$A$199,0))))</f>
        <v>K53</v>
      </c>
      <c r="C140" s="193">
        <f>IFERROR(INDEX('Annex 1 LV, HV and UMS charges'!$C$11:$C$42,MATCH($A140,'Annex 1 LV, HV and UMS charges'!$A$11:$A$42,0)),INDEX('Annex 4 LDNO charges'!$C$11:$C$199,MATCH($A140,'Annex 4 LDNO charges'!$A$11:$A$199,0)))</f>
        <v>0</v>
      </c>
      <c r="D140" s="177"/>
      <c r="E140" s="212">
        <v>0</v>
      </c>
    </row>
    <row r="141" spans="1:5" ht="20.100000000000001" customHeight="1" x14ac:dyDescent="0.2">
      <c r="A141" s="161" t="s">
        <v>466</v>
      </c>
      <c r="B141" s="192" t="str">
        <f>IFERROR(INDEX('Annex 1 LV, HV and UMS charges'!$B$11:$B$42,MATCH($A141,'Annex 1 LV, HV and UMS charges'!$A$11:$A$42,0)),IF(INDEX('Annex 4 LDNO charges'!$B$11:$B$199,MATCH($A141,'Annex 4 LDNO charges'!$A$11:$A$199,0))=0,"",INDEX('Annex 4 LDNO charges'!$B$11:$B$199,MATCH($A141,'Annex 4 LDNO charges'!$A$11:$A$199,0))))</f>
        <v>K54</v>
      </c>
      <c r="C141" s="193">
        <f>IFERROR(INDEX('Annex 1 LV, HV and UMS charges'!$C$11:$C$42,MATCH($A141,'Annex 1 LV, HV and UMS charges'!$A$11:$A$42,0)),INDEX('Annex 4 LDNO charges'!$C$11:$C$199,MATCH($A141,'Annex 4 LDNO charges'!$A$11:$A$199,0)))</f>
        <v>0</v>
      </c>
      <c r="D141" s="177"/>
      <c r="E141" s="212">
        <v>0</v>
      </c>
    </row>
    <row r="142" spans="1:5" ht="20.100000000000001" customHeight="1" x14ac:dyDescent="0.2">
      <c r="A142" s="161" t="s">
        <v>571</v>
      </c>
      <c r="B142" s="192" t="str">
        <f>IFERROR(INDEX('Annex 1 LV, HV and UMS charges'!$B$11:$B$42,MATCH($A142,'Annex 1 LV, HV and UMS charges'!$A$11:$A$42,0)),IF(INDEX('Annex 4 LDNO charges'!$B$11:$B$199,MATCH($A142,'Annex 4 LDNO charges'!$A$11:$A$199,0))=0,"",INDEX('Annex 4 LDNO charges'!$B$11:$B$199,MATCH($A142,'Annex 4 LDNO charges'!$A$11:$A$199,0))))</f>
        <v>A60</v>
      </c>
      <c r="C142" s="193" t="str">
        <f>IFERROR(INDEX('Annex 1 LV, HV and UMS charges'!$C$11:$C$42,MATCH($A142,'Annex 1 LV, HV and UMS charges'!$A$11:$A$42,0)),INDEX('Annex 4 LDNO charges'!$C$11:$C$199,MATCH($A142,'Annex 4 LDNO charges'!$A$11:$A$199,0)))</f>
        <v>0, 1, 2</v>
      </c>
      <c r="D142" s="212">
        <v>0</v>
      </c>
      <c r="E142" s="212">
        <v>0</v>
      </c>
    </row>
    <row r="143" spans="1:5" ht="20.100000000000001" customHeight="1" x14ac:dyDescent="0.2">
      <c r="A143" s="161" t="s">
        <v>572</v>
      </c>
      <c r="B143" s="192" t="str">
        <f>IFERROR(INDEX('Annex 1 LV, HV and UMS charges'!$B$11:$B$42,MATCH($A143,'Annex 1 LV, HV and UMS charges'!$A$11:$A$42,0)),IF(INDEX('Annex 4 LDNO charges'!$B$11:$B$199,MATCH($A143,'Annex 4 LDNO charges'!$A$11:$A$199,0))=0,"",INDEX('Annex 4 LDNO charges'!$B$11:$B$199,MATCH($A143,'Annex 4 LDNO charges'!$A$11:$A$199,0))))</f>
        <v>C60</v>
      </c>
      <c r="C143" s="193" t="str">
        <f>IFERROR(INDEX('Annex 1 LV, HV and UMS charges'!$C$11:$C$42,MATCH($A143,'Annex 1 LV, HV and UMS charges'!$A$11:$A$42,0)),INDEX('Annex 4 LDNO charges'!$C$11:$C$199,MATCH($A143,'Annex 4 LDNO charges'!$A$11:$A$199,0)))</f>
        <v>0, 3, 4, 5-8</v>
      </c>
      <c r="D143" s="177"/>
      <c r="E143" s="212">
        <v>0</v>
      </c>
    </row>
    <row r="144" spans="1:5" ht="20.100000000000001" customHeight="1" x14ac:dyDescent="0.2">
      <c r="A144" s="161" t="s">
        <v>573</v>
      </c>
      <c r="B144" s="192" t="str">
        <f>IFERROR(INDEX('Annex 1 LV, HV and UMS charges'!$B$11:$B$42,MATCH($A144,'Annex 1 LV, HV and UMS charges'!$A$11:$A$42,0)),IF(INDEX('Annex 4 LDNO charges'!$B$11:$B$199,MATCH($A144,'Annex 4 LDNO charges'!$A$11:$A$199,0))=0,"",INDEX('Annex 4 LDNO charges'!$B$11:$B$199,MATCH($A144,'Annex 4 LDNO charges'!$A$11:$A$199,0))))</f>
        <v>C61</v>
      </c>
      <c r="C144" s="193" t="str">
        <f>IFERROR(INDEX('Annex 1 LV, HV and UMS charges'!$C$11:$C$42,MATCH($A144,'Annex 1 LV, HV and UMS charges'!$A$11:$A$42,0)),INDEX('Annex 4 LDNO charges'!$C$11:$C$199,MATCH($A144,'Annex 4 LDNO charges'!$A$11:$A$199,0)))</f>
        <v>0, 3, 4, 5-8</v>
      </c>
      <c r="D144" s="177"/>
      <c r="E144" s="212">
        <v>0</v>
      </c>
    </row>
    <row r="145" spans="1:5" ht="20.100000000000001" customHeight="1" x14ac:dyDescent="0.2">
      <c r="A145" s="161" t="s">
        <v>574</v>
      </c>
      <c r="B145" s="192" t="str">
        <f>IFERROR(INDEX('Annex 1 LV, HV and UMS charges'!$B$11:$B$42,MATCH($A145,'Annex 1 LV, HV and UMS charges'!$A$11:$A$42,0)),IF(INDEX('Annex 4 LDNO charges'!$B$11:$B$199,MATCH($A145,'Annex 4 LDNO charges'!$A$11:$A$199,0))=0,"",INDEX('Annex 4 LDNO charges'!$B$11:$B$199,MATCH($A145,'Annex 4 LDNO charges'!$A$11:$A$199,0))))</f>
        <v>C62</v>
      </c>
      <c r="C145" s="193" t="str">
        <f>IFERROR(INDEX('Annex 1 LV, HV and UMS charges'!$C$11:$C$42,MATCH($A145,'Annex 1 LV, HV and UMS charges'!$A$11:$A$42,0)),INDEX('Annex 4 LDNO charges'!$C$11:$C$199,MATCH($A145,'Annex 4 LDNO charges'!$A$11:$A$199,0)))</f>
        <v>0, 3, 4, 5-8</v>
      </c>
      <c r="D145" s="177"/>
      <c r="E145" s="212">
        <v>0</v>
      </c>
    </row>
    <row r="146" spans="1:5" ht="20.100000000000001" customHeight="1" x14ac:dyDescent="0.2">
      <c r="A146" s="161" t="s">
        <v>575</v>
      </c>
      <c r="B146" s="192" t="str">
        <f>IFERROR(INDEX('Annex 1 LV, HV and UMS charges'!$B$11:$B$42,MATCH($A146,'Annex 1 LV, HV and UMS charges'!$A$11:$A$42,0)),IF(INDEX('Annex 4 LDNO charges'!$B$11:$B$199,MATCH($A146,'Annex 4 LDNO charges'!$A$11:$A$199,0))=0,"",INDEX('Annex 4 LDNO charges'!$B$11:$B$199,MATCH($A146,'Annex 4 LDNO charges'!$A$11:$A$199,0))))</f>
        <v>C63</v>
      </c>
      <c r="C146" s="193" t="str">
        <f>IFERROR(INDEX('Annex 1 LV, HV and UMS charges'!$C$11:$C$42,MATCH($A146,'Annex 1 LV, HV and UMS charges'!$A$11:$A$42,0)),INDEX('Annex 4 LDNO charges'!$C$11:$C$199,MATCH($A146,'Annex 4 LDNO charges'!$A$11:$A$199,0)))</f>
        <v>0, 3, 4, 5-8</v>
      </c>
      <c r="D146" s="177"/>
      <c r="E146" s="212">
        <v>0</v>
      </c>
    </row>
    <row r="147" spans="1:5" ht="20.100000000000001" customHeight="1" x14ac:dyDescent="0.2">
      <c r="A147" s="161" t="s">
        <v>576</v>
      </c>
      <c r="B147" s="192" t="str">
        <f>IFERROR(INDEX('Annex 1 LV, HV and UMS charges'!$B$11:$B$42,MATCH($A147,'Annex 1 LV, HV and UMS charges'!$A$11:$A$42,0)),IF(INDEX('Annex 4 LDNO charges'!$B$11:$B$199,MATCH($A147,'Annex 4 LDNO charges'!$A$11:$A$199,0))=0,"",INDEX('Annex 4 LDNO charges'!$B$11:$B$199,MATCH($A147,'Annex 4 LDNO charges'!$A$11:$A$199,0))))</f>
        <v>C64</v>
      </c>
      <c r="C147" s="193" t="str">
        <f>IFERROR(INDEX('Annex 1 LV, HV and UMS charges'!$C$11:$C$42,MATCH($A147,'Annex 1 LV, HV and UMS charges'!$A$11:$A$42,0)),INDEX('Annex 4 LDNO charges'!$C$11:$C$199,MATCH($A147,'Annex 4 LDNO charges'!$A$11:$A$199,0)))</f>
        <v>0, 3, 4, 5-8</v>
      </c>
      <c r="D147" s="177"/>
      <c r="E147" s="212">
        <v>0</v>
      </c>
    </row>
    <row r="148" spans="1:5" ht="20.100000000000001" customHeight="1" x14ac:dyDescent="0.2">
      <c r="A148" s="161" t="s">
        <v>437</v>
      </c>
      <c r="B148" s="192" t="str">
        <f>IFERROR(INDEX('Annex 1 LV, HV and UMS charges'!$B$11:$B$42,MATCH($A148,'Annex 1 LV, HV and UMS charges'!$A$11:$A$42,0)),IF(INDEX('Annex 4 LDNO charges'!$B$11:$B$199,MATCH($A148,'Annex 4 LDNO charges'!$A$11:$A$199,0))=0,"",INDEX('Annex 4 LDNO charges'!$B$11:$B$199,MATCH($A148,'Annex 4 LDNO charges'!$A$11:$A$199,0))))</f>
        <v>E60</v>
      </c>
      <c r="C148" s="193">
        <f>IFERROR(INDEX('Annex 1 LV, HV and UMS charges'!$C$11:$C$42,MATCH($A148,'Annex 1 LV, HV and UMS charges'!$A$11:$A$42,0)),INDEX('Annex 4 LDNO charges'!$C$11:$C$199,MATCH($A148,'Annex 4 LDNO charges'!$A$11:$A$199,0)))</f>
        <v>0</v>
      </c>
      <c r="D148" s="177"/>
      <c r="E148" s="212">
        <v>0</v>
      </c>
    </row>
    <row r="149" spans="1:5" ht="20.100000000000001" customHeight="1" x14ac:dyDescent="0.2">
      <c r="A149" s="161" t="s">
        <v>438</v>
      </c>
      <c r="B149" s="192" t="str">
        <f>IFERROR(INDEX('Annex 1 LV, HV and UMS charges'!$B$11:$B$42,MATCH($A149,'Annex 1 LV, HV and UMS charges'!$A$11:$A$42,0)),IF(INDEX('Annex 4 LDNO charges'!$B$11:$B$199,MATCH($A149,'Annex 4 LDNO charges'!$A$11:$A$199,0))=0,"",INDEX('Annex 4 LDNO charges'!$B$11:$B$199,MATCH($A149,'Annex 4 LDNO charges'!$A$11:$A$199,0))))</f>
        <v>E61</v>
      </c>
      <c r="C149" s="193">
        <f>IFERROR(INDEX('Annex 1 LV, HV and UMS charges'!$C$11:$C$42,MATCH($A149,'Annex 1 LV, HV and UMS charges'!$A$11:$A$42,0)),INDEX('Annex 4 LDNO charges'!$C$11:$C$199,MATCH($A149,'Annex 4 LDNO charges'!$A$11:$A$199,0)))</f>
        <v>0</v>
      </c>
      <c r="D149" s="177"/>
      <c r="E149" s="212">
        <v>0</v>
      </c>
    </row>
    <row r="150" spans="1:5" ht="20.100000000000001" customHeight="1" x14ac:dyDescent="0.2">
      <c r="A150" s="161" t="s">
        <v>439</v>
      </c>
      <c r="B150" s="192" t="str">
        <f>IFERROR(INDEX('Annex 1 LV, HV and UMS charges'!$B$11:$B$42,MATCH($A150,'Annex 1 LV, HV and UMS charges'!$A$11:$A$42,0)),IF(INDEX('Annex 4 LDNO charges'!$B$11:$B$199,MATCH($A150,'Annex 4 LDNO charges'!$A$11:$A$199,0))=0,"",INDEX('Annex 4 LDNO charges'!$B$11:$B$199,MATCH($A150,'Annex 4 LDNO charges'!$A$11:$A$199,0))))</f>
        <v>E62</v>
      </c>
      <c r="C150" s="193">
        <f>IFERROR(INDEX('Annex 1 LV, HV and UMS charges'!$C$11:$C$42,MATCH($A150,'Annex 1 LV, HV and UMS charges'!$A$11:$A$42,0)),INDEX('Annex 4 LDNO charges'!$C$11:$C$199,MATCH($A150,'Annex 4 LDNO charges'!$A$11:$A$199,0)))</f>
        <v>0</v>
      </c>
      <c r="D150" s="177"/>
      <c r="E150" s="212">
        <v>0</v>
      </c>
    </row>
    <row r="151" spans="1:5" ht="20.100000000000001" customHeight="1" x14ac:dyDescent="0.2">
      <c r="A151" s="161" t="s">
        <v>440</v>
      </c>
      <c r="B151" s="192" t="str">
        <f>IFERROR(INDEX('Annex 1 LV, HV and UMS charges'!$B$11:$B$42,MATCH($A151,'Annex 1 LV, HV and UMS charges'!$A$11:$A$42,0)),IF(INDEX('Annex 4 LDNO charges'!$B$11:$B$199,MATCH($A151,'Annex 4 LDNO charges'!$A$11:$A$199,0))=0,"",INDEX('Annex 4 LDNO charges'!$B$11:$B$199,MATCH($A151,'Annex 4 LDNO charges'!$A$11:$A$199,0))))</f>
        <v>E63</v>
      </c>
      <c r="C151" s="193">
        <f>IFERROR(INDEX('Annex 1 LV, HV and UMS charges'!$C$11:$C$42,MATCH($A151,'Annex 1 LV, HV and UMS charges'!$A$11:$A$42,0)),INDEX('Annex 4 LDNO charges'!$C$11:$C$199,MATCH($A151,'Annex 4 LDNO charges'!$A$11:$A$199,0)))</f>
        <v>0</v>
      </c>
      <c r="D151" s="177"/>
      <c r="E151" s="212">
        <v>0</v>
      </c>
    </row>
    <row r="152" spans="1:5" ht="20.100000000000001" customHeight="1" x14ac:dyDescent="0.2">
      <c r="A152" s="161" t="s">
        <v>441</v>
      </c>
      <c r="B152" s="192" t="str">
        <f>IFERROR(INDEX('Annex 1 LV, HV and UMS charges'!$B$11:$B$42,MATCH($A152,'Annex 1 LV, HV and UMS charges'!$A$11:$A$42,0)),IF(INDEX('Annex 4 LDNO charges'!$B$11:$B$199,MATCH($A152,'Annex 4 LDNO charges'!$A$11:$A$199,0))=0,"",INDEX('Annex 4 LDNO charges'!$B$11:$B$199,MATCH($A152,'Annex 4 LDNO charges'!$A$11:$A$199,0))))</f>
        <v>E64</v>
      </c>
      <c r="C152" s="193">
        <f>IFERROR(INDEX('Annex 1 LV, HV and UMS charges'!$C$11:$C$42,MATCH($A152,'Annex 1 LV, HV and UMS charges'!$A$11:$A$42,0)),INDEX('Annex 4 LDNO charges'!$C$11:$C$199,MATCH($A152,'Annex 4 LDNO charges'!$A$11:$A$199,0)))</f>
        <v>0</v>
      </c>
      <c r="D152" s="177"/>
      <c r="E152" s="212">
        <v>0</v>
      </c>
    </row>
    <row r="153" spans="1:5" ht="20.100000000000001" customHeight="1" x14ac:dyDescent="0.2">
      <c r="A153" s="161" t="s">
        <v>442</v>
      </c>
      <c r="B153" s="192" t="str">
        <f>IFERROR(INDEX('Annex 1 LV, HV and UMS charges'!$B$11:$B$42,MATCH($A153,'Annex 1 LV, HV and UMS charges'!$A$11:$A$42,0)),IF(INDEX('Annex 4 LDNO charges'!$B$11:$B$199,MATCH($A153,'Annex 4 LDNO charges'!$A$11:$A$199,0))=0,"",INDEX('Annex 4 LDNO charges'!$B$11:$B$199,MATCH($A153,'Annex 4 LDNO charges'!$A$11:$A$199,0))))</f>
        <v>J60</v>
      </c>
      <c r="C153" s="193">
        <f>IFERROR(INDEX('Annex 1 LV, HV and UMS charges'!$C$11:$C$42,MATCH($A153,'Annex 1 LV, HV and UMS charges'!$A$11:$A$42,0)),INDEX('Annex 4 LDNO charges'!$C$11:$C$199,MATCH($A153,'Annex 4 LDNO charges'!$A$11:$A$199,0)))</f>
        <v>0</v>
      </c>
      <c r="D153" s="177"/>
      <c r="E153" s="212">
        <v>0</v>
      </c>
    </row>
    <row r="154" spans="1:5" ht="20.100000000000001" customHeight="1" x14ac:dyDescent="0.2">
      <c r="A154" s="161" t="s">
        <v>443</v>
      </c>
      <c r="B154" s="192" t="str">
        <f>IFERROR(INDEX('Annex 1 LV, HV and UMS charges'!$B$11:$B$42,MATCH($A154,'Annex 1 LV, HV and UMS charges'!$A$11:$A$42,0)),IF(INDEX('Annex 4 LDNO charges'!$B$11:$B$199,MATCH($A154,'Annex 4 LDNO charges'!$A$11:$A$199,0))=0,"",INDEX('Annex 4 LDNO charges'!$B$11:$B$199,MATCH($A154,'Annex 4 LDNO charges'!$A$11:$A$199,0))))</f>
        <v>J61</v>
      </c>
      <c r="C154" s="193">
        <f>IFERROR(INDEX('Annex 1 LV, HV and UMS charges'!$C$11:$C$42,MATCH($A154,'Annex 1 LV, HV and UMS charges'!$A$11:$A$42,0)),INDEX('Annex 4 LDNO charges'!$C$11:$C$199,MATCH($A154,'Annex 4 LDNO charges'!$A$11:$A$199,0)))</f>
        <v>0</v>
      </c>
      <c r="D154" s="177"/>
      <c r="E154" s="212">
        <v>0</v>
      </c>
    </row>
    <row r="155" spans="1:5" ht="20.100000000000001" customHeight="1" x14ac:dyDescent="0.2">
      <c r="A155" s="161" t="s">
        <v>444</v>
      </c>
      <c r="B155" s="192" t="str">
        <f>IFERROR(INDEX('Annex 1 LV, HV and UMS charges'!$B$11:$B$42,MATCH($A155,'Annex 1 LV, HV and UMS charges'!$A$11:$A$42,0)),IF(INDEX('Annex 4 LDNO charges'!$B$11:$B$199,MATCH($A155,'Annex 4 LDNO charges'!$A$11:$A$199,0))=0,"",INDEX('Annex 4 LDNO charges'!$B$11:$B$199,MATCH($A155,'Annex 4 LDNO charges'!$A$11:$A$199,0))))</f>
        <v>J62</v>
      </c>
      <c r="C155" s="193">
        <f>IFERROR(INDEX('Annex 1 LV, HV and UMS charges'!$C$11:$C$42,MATCH($A155,'Annex 1 LV, HV and UMS charges'!$A$11:$A$42,0)),INDEX('Annex 4 LDNO charges'!$C$11:$C$199,MATCH($A155,'Annex 4 LDNO charges'!$A$11:$A$199,0)))</f>
        <v>0</v>
      </c>
      <c r="D155" s="177"/>
      <c r="E155" s="212">
        <v>0</v>
      </c>
    </row>
    <row r="156" spans="1:5" ht="20.100000000000001" customHeight="1" x14ac:dyDescent="0.2">
      <c r="A156" s="161" t="s">
        <v>445</v>
      </c>
      <c r="B156" s="192" t="str">
        <f>IFERROR(INDEX('Annex 1 LV, HV and UMS charges'!$B$11:$B$42,MATCH($A156,'Annex 1 LV, HV and UMS charges'!$A$11:$A$42,0)),IF(INDEX('Annex 4 LDNO charges'!$B$11:$B$199,MATCH($A156,'Annex 4 LDNO charges'!$A$11:$A$199,0))=0,"",INDEX('Annex 4 LDNO charges'!$B$11:$B$199,MATCH($A156,'Annex 4 LDNO charges'!$A$11:$A$199,0))))</f>
        <v>J63</v>
      </c>
      <c r="C156" s="193">
        <f>IFERROR(INDEX('Annex 1 LV, HV and UMS charges'!$C$11:$C$42,MATCH($A156,'Annex 1 LV, HV and UMS charges'!$A$11:$A$42,0)),INDEX('Annex 4 LDNO charges'!$C$11:$C$199,MATCH($A156,'Annex 4 LDNO charges'!$A$11:$A$199,0)))</f>
        <v>0</v>
      </c>
      <c r="D156" s="177"/>
      <c r="E156" s="212">
        <v>0</v>
      </c>
    </row>
    <row r="157" spans="1:5" ht="20.100000000000001" customHeight="1" x14ac:dyDescent="0.2">
      <c r="A157" s="161" t="s">
        <v>446</v>
      </c>
      <c r="B157" s="192" t="str">
        <f>IFERROR(INDEX('Annex 1 LV, HV and UMS charges'!$B$11:$B$42,MATCH($A157,'Annex 1 LV, HV and UMS charges'!$A$11:$A$42,0)),IF(INDEX('Annex 4 LDNO charges'!$B$11:$B$199,MATCH($A157,'Annex 4 LDNO charges'!$A$11:$A$199,0))=0,"",INDEX('Annex 4 LDNO charges'!$B$11:$B$199,MATCH($A157,'Annex 4 LDNO charges'!$A$11:$A$199,0))))</f>
        <v>J64</v>
      </c>
      <c r="C157" s="193">
        <f>IFERROR(INDEX('Annex 1 LV, HV and UMS charges'!$C$11:$C$42,MATCH($A157,'Annex 1 LV, HV and UMS charges'!$A$11:$A$42,0)),INDEX('Annex 4 LDNO charges'!$C$11:$C$199,MATCH($A157,'Annex 4 LDNO charges'!$A$11:$A$199,0)))</f>
        <v>0</v>
      </c>
      <c r="D157" s="177"/>
      <c r="E157" s="212">
        <v>0</v>
      </c>
    </row>
    <row r="158" spans="1:5" ht="20.100000000000001" customHeight="1" x14ac:dyDescent="0.2">
      <c r="A158" s="161" t="s">
        <v>447</v>
      </c>
      <c r="B158" s="192" t="str">
        <f>IFERROR(INDEX('Annex 1 LV, HV and UMS charges'!$B$11:$B$42,MATCH($A158,'Annex 1 LV, HV and UMS charges'!$A$11:$A$42,0)),IF(INDEX('Annex 4 LDNO charges'!$B$11:$B$199,MATCH($A158,'Annex 4 LDNO charges'!$A$11:$A$199,0))=0,"",INDEX('Annex 4 LDNO charges'!$B$11:$B$199,MATCH($A158,'Annex 4 LDNO charges'!$A$11:$A$199,0))))</f>
        <v>K60</v>
      </c>
      <c r="C158" s="193">
        <f>IFERROR(INDEX('Annex 1 LV, HV and UMS charges'!$C$11:$C$42,MATCH($A158,'Annex 1 LV, HV and UMS charges'!$A$11:$A$42,0)),INDEX('Annex 4 LDNO charges'!$C$11:$C$199,MATCH($A158,'Annex 4 LDNO charges'!$A$11:$A$199,0)))</f>
        <v>0</v>
      </c>
      <c r="D158" s="177"/>
      <c r="E158" s="212">
        <v>0</v>
      </c>
    </row>
    <row r="159" spans="1:5" ht="20.100000000000001" customHeight="1" x14ac:dyDescent="0.2">
      <c r="A159" s="161" t="s">
        <v>448</v>
      </c>
      <c r="B159" s="192" t="str">
        <f>IFERROR(INDEX('Annex 1 LV, HV and UMS charges'!$B$11:$B$42,MATCH($A159,'Annex 1 LV, HV and UMS charges'!$A$11:$A$42,0)),IF(INDEX('Annex 4 LDNO charges'!$B$11:$B$199,MATCH($A159,'Annex 4 LDNO charges'!$A$11:$A$199,0))=0,"",INDEX('Annex 4 LDNO charges'!$B$11:$B$199,MATCH($A159,'Annex 4 LDNO charges'!$A$11:$A$199,0))))</f>
        <v>K61</v>
      </c>
      <c r="C159" s="193">
        <f>IFERROR(INDEX('Annex 1 LV, HV and UMS charges'!$C$11:$C$42,MATCH($A159,'Annex 1 LV, HV and UMS charges'!$A$11:$A$42,0)),INDEX('Annex 4 LDNO charges'!$C$11:$C$199,MATCH($A159,'Annex 4 LDNO charges'!$A$11:$A$199,0)))</f>
        <v>0</v>
      </c>
      <c r="D159" s="177"/>
      <c r="E159" s="212">
        <v>0</v>
      </c>
    </row>
    <row r="160" spans="1:5" ht="20.100000000000001" customHeight="1" x14ac:dyDescent="0.2">
      <c r="A160" s="161" t="s">
        <v>449</v>
      </c>
      <c r="B160" s="192" t="str">
        <f>IFERROR(INDEX('Annex 1 LV, HV and UMS charges'!$B$11:$B$42,MATCH($A160,'Annex 1 LV, HV and UMS charges'!$A$11:$A$42,0)),IF(INDEX('Annex 4 LDNO charges'!$B$11:$B$199,MATCH($A160,'Annex 4 LDNO charges'!$A$11:$A$199,0))=0,"",INDEX('Annex 4 LDNO charges'!$B$11:$B$199,MATCH($A160,'Annex 4 LDNO charges'!$A$11:$A$199,0))))</f>
        <v>K62</v>
      </c>
      <c r="C160" s="193">
        <f>IFERROR(INDEX('Annex 1 LV, HV and UMS charges'!$C$11:$C$42,MATCH($A160,'Annex 1 LV, HV and UMS charges'!$A$11:$A$42,0)),INDEX('Annex 4 LDNO charges'!$C$11:$C$199,MATCH($A160,'Annex 4 LDNO charges'!$A$11:$A$199,0)))</f>
        <v>0</v>
      </c>
      <c r="D160" s="177"/>
      <c r="E160" s="212">
        <v>0</v>
      </c>
    </row>
    <row r="161" spans="1:5" ht="20.100000000000001" customHeight="1" x14ac:dyDescent="0.2">
      <c r="A161" s="161" t="s">
        <v>450</v>
      </c>
      <c r="B161" s="192" t="str">
        <f>IFERROR(INDEX('Annex 1 LV, HV and UMS charges'!$B$11:$B$42,MATCH($A161,'Annex 1 LV, HV and UMS charges'!$A$11:$A$42,0)),IF(INDEX('Annex 4 LDNO charges'!$B$11:$B$199,MATCH($A161,'Annex 4 LDNO charges'!$A$11:$A$199,0))=0,"",INDEX('Annex 4 LDNO charges'!$B$11:$B$199,MATCH($A161,'Annex 4 LDNO charges'!$A$11:$A$199,0))))</f>
        <v>K63</v>
      </c>
      <c r="C161" s="193">
        <f>IFERROR(INDEX('Annex 1 LV, HV and UMS charges'!$C$11:$C$42,MATCH($A161,'Annex 1 LV, HV and UMS charges'!$A$11:$A$42,0)),INDEX('Annex 4 LDNO charges'!$C$11:$C$199,MATCH($A161,'Annex 4 LDNO charges'!$A$11:$A$199,0)))</f>
        <v>0</v>
      </c>
      <c r="D161" s="177"/>
      <c r="E161" s="212">
        <v>0</v>
      </c>
    </row>
    <row r="162" spans="1:5" ht="20.100000000000001" customHeight="1" x14ac:dyDescent="0.2">
      <c r="A162" s="161" t="s">
        <v>451</v>
      </c>
      <c r="B162" s="192" t="str">
        <f>IFERROR(INDEX('Annex 1 LV, HV and UMS charges'!$B$11:$B$42,MATCH($A162,'Annex 1 LV, HV and UMS charges'!$A$11:$A$42,0)),IF(INDEX('Annex 4 LDNO charges'!$B$11:$B$199,MATCH($A162,'Annex 4 LDNO charges'!$A$11:$A$199,0))=0,"",INDEX('Annex 4 LDNO charges'!$B$11:$B$199,MATCH($A162,'Annex 4 LDNO charges'!$A$11:$A$199,0))))</f>
        <v>K64</v>
      </c>
      <c r="C162" s="193">
        <f>IFERROR(INDEX('Annex 1 LV, HV and UMS charges'!$C$11:$C$42,MATCH($A162,'Annex 1 LV, HV and UMS charges'!$A$11:$A$42,0)),INDEX('Annex 4 LDNO charges'!$C$11:$C$199,MATCH($A162,'Annex 4 LDNO charges'!$A$11:$A$199,0)))</f>
        <v>0</v>
      </c>
      <c r="D162" s="177"/>
      <c r="E162" s="212">
        <v>0</v>
      </c>
    </row>
    <row r="163" spans="1:5" ht="20.100000000000001" customHeight="1" x14ac:dyDescent="0.2">
      <c r="A163" s="1" t="s">
        <v>609</v>
      </c>
      <c r="B163" s="1"/>
      <c r="C163" s="2"/>
    </row>
    <row r="164" spans="1:5" ht="20.100000000000001" customHeight="1" x14ac:dyDescent="0.2">
      <c r="A164" s="1" t="s">
        <v>610</v>
      </c>
      <c r="B164" s="1"/>
      <c r="C164" s="2"/>
    </row>
  </sheetData>
  <mergeCells count="2">
    <mergeCell ref="A2:E2"/>
    <mergeCell ref="B1:C1"/>
  </mergeCells>
  <hyperlinks>
    <hyperlink ref="A1" location="Overview!A1" display="Back to Overview" xr:uid="{00000000-0004-0000-0900-000000000000}"/>
  </hyperlinks>
  <pageMargins left="0.39370078740157483" right="0.39370078740157483" top="0.9055118110236221" bottom="0.74803149606299213" header="0.51181102362204722" footer="0.51181102362204722"/>
  <pageSetup paperSize="9" scale="74" fitToHeight="10" orientation="portrait" r:id="rId1"/>
  <headerFooter scaleWithDoc="0">
    <oddHeader>&amp;L&amp;"Arial,Bold"
&amp;"Arial,Regular"Annex 7&amp;"Arial,Bold" &amp;"Arial,Regular"- Schedule of Charges to recover Excess Supplier of Last Resort pass-through costs</oddHeader>
    <oddFooter>&amp;C&amp;P of &amp;N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
    <pageSetUpPr fitToPage="1"/>
  </sheetPr>
  <dimension ref="A1:D817"/>
  <sheetViews>
    <sheetView zoomScale="90" zoomScaleNormal="90" zoomScaleSheetLayoutView="100" workbookViewId="0"/>
  </sheetViews>
  <sheetFormatPr defaultColWidth="9.140625" defaultRowHeight="27.75" customHeight="1" x14ac:dyDescent="0.2"/>
  <cols>
    <col min="1" max="1" width="18.85546875" style="1" customWidth="1"/>
    <col min="2" max="2" width="47.7109375" style="1" customWidth="1"/>
    <col min="3" max="4" width="23.7109375" style="2" customWidth="1"/>
    <col min="5" max="16384" width="9.140625" style="1"/>
  </cols>
  <sheetData>
    <row r="1" spans="1:4" ht="27.75" customHeight="1" x14ac:dyDescent="0.2">
      <c r="A1" s="12" t="s">
        <v>16</v>
      </c>
      <c r="B1" s="2"/>
      <c r="C1" s="1"/>
    </row>
    <row r="2" spans="1:4" s="10" customFormat="1" ht="22.5" customHeight="1" x14ac:dyDescent="0.2">
      <c r="A2" s="248" t="str">
        <f>Overview!B4&amp; " - Effective from "&amp;Overview!D4&amp;" - "&amp;Overview!E4&amp;" Nodal/Zonal charges"</f>
        <v>Eastern Power Networks - Effective from 1 April 2027 - Final Nodal/Zonal charges</v>
      </c>
      <c r="B2" s="249"/>
      <c r="C2" s="249"/>
      <c r="D2" s="250"/>
    </row>
    <row r="3" spans="1:4" s="10" customFormat="1" ht="8.25" customHeight="1" x14ac:dyDescent="0.2"/>
    <row r="4" spans="1:4" ht="60.75" customHeight="1" x14ac:dyDescent="0.2">
      <c r="A4" s="19" t="s">
        <v>45</v>
      </c>
      <c r="B4" s="19" t="s">
        <v>0</v>
      </c>
      <c r="C4" s="19" t="s">
        <v>29</v>
      </c>
      <c r="D4" s="19" t="s">
        <v>30</v>
      </c>
    </row>
    <row r="5" spans="1:4" ht="20.100000000000001" customHeight="1" x14ac:dyDescent="0.2">
      <c r="A5" s="6" t="s">
        <v>1354</v>
      </c>
      <c r="B5" s="7" t="s">
        <v>1355</v>
      </c>
      <c r="C5" s="190">
        <v>2.6721182115717541</v>
      </c>
      <c r="D5" s="190">
        <v>-0.43016125669329319</v>
      </c>
    </row>
    <row r="6" spans="1:4" ht="20.100000000000001" customHeight="1" x14ac:dyDescent="0.2">
      <c r="A6" s="6" t="s">
        <v>1356</v>
      </c>
      <c r="B6" s="7" t="s">
        <v>1357</v>
      </c>
      <c r="C6" s="190">
        <v>4.2654990198300986</v>
      </c>
      <c r="D6" s="190">
        <v>6.1806566119944542</v>
      </c>
    </row>
    <row r="7" spans="1:4" ht="20.100000000000001" customHeight="1" x14ac:dyDescent="0.2">
      <c r="A7" s="6" t="s">
        <v>1358</v>
      </c>
      <c r="B7" s="7" t="s">
        <v>1359</v>
      </c>
      <c r="C7" s="190">
        <v>6.8375195754272347E-3</v>
      </c>
      <c r="D7" s="190">
        <v>5.3535587520339147</v>
      </c>
    </row>
    <row r="8" spans="1:4" ht="20.100000000000001" customHeight="1" x14ac:dyDescent="0.2">
      <c r="A8" s="6" t="s">
        <v>1360</v>
      </c>
      <c r="B8" s="7" t="s">
        <v>1361</v>
      </c>
      <c r="C8" s="190">
        <v>0.52823727401879372</v>
      </c>
      <c r="D8" s="190">
        <v>5.3240044631225878</v>
      </c>
    </row>
    <row r="9" spans="1:4" ht="20.100000000000001" customHeight="1" x14ac:dyDescent="0.2">
      <c r="A9" s="6" t="s">
        <v>1362</v>
      </c>
      <c r="B9" s="7" t="s">
        <v>1363</v>
      </c>
      <c r="C9" s="190">
        <v>3.3407256266901371</v>
      </c>
      <c r="D9" s="190">
        <v>8.8552011545525957</v>
      </c>
    </row>
    <row r="10" spans="1:4" ht="20.100000000000001" customHeight="1" x14ac:dyDescent="0.2">
      <c r="A10" s="6" t="s">
        <v>1364</v>
      </c>
      <c r="B10" s="7" t="s">
        <v>1365</v>
      </c>
      <c r="C10" s="190">
        <v>9.6018022632314792E-2</v>
      </c>
      <c r="D10" s="190">
        <v>7.3538155968220238</v>
      </c>
    </row>
    <row r="11" spans="1:4" ht="20.100000000000001" customHeight="1" x14ac:dyDescent="0.2">
      <c r="A11" s="6" t="s">
        <v>1366</v>
      </c>
      <c r="B11" s="7" t="s">
        <v>1365</v>
      </c>
      <c r="C11" s="190">
        <v>6.9428265226018859E-2</v>
      </c>
      <c r="D11" s="190">
        <v>3.2059222447273958</v>
      </c>
    </row>
    <row r="12" spans="1:4" ht="20.100000000000001" customHeight="1" x14ac:dyDescent="0.2">
      <c r="A12" s="6" t="s">
        <v>1367</v>
      </c>
      <c r="B12" s="7" t="s">
        <v>1368</v>
      </c>
      <c r="C12" s="190">
        <v>-1.0411482203013119E-3</v>
      </c>
      <c r="D12" s="190">
        <v>1.4428608625347432</v>
      </c>
    </row>
    <row r="13" spans="1:4" ht="20.100000000000001" customHeight="1" x14ac:dyDescent="0.2">
      <c r="A13" s="6" t="s">
        <v>1369</v>
      </c>
      <c r="B13" s="7" t="s">
        <v>1370</v>
      </c>
      <c r="C13" s="190">
        <v>2.2059639279933734</v>
      </c>
      <c r="D13" s="190">
        <v>0.59460508004162171</v>
      </c>
    </row>
    <row r="14" spans="1:4" ht="20.100000000000001" customHeight="1" x14ac:dyDescent="0.2">
      <c r="A14" s="6" t="s">
        <v>1371</v>
      </c>
      <c r="B14" s="7" t="s">
        <v>1372</v>
      </c>
      <c r="C14" s="190">
        <v>0.20750489475115241</v>
      </c>
      <c r="D14" s="190">
        <v>7.4305880975954786</v>
      </c>
    </row>
    <row r="15" spans="1:4" ht="20.100000000000001" customHeight="1" x14ac:dyDescent="0.2">
      <c r="A15" s="6" t="s">
        <v>1373</v>
      </c>
      <c r="B15" s="7" t="s">
        <v>1372</v>
      </c>
      <c r="C15" s="190">
        <v>8.6039803077611471E-3</v>
      </c>
      <c r="D15" s="190">
        <v>7.6800006334957303</v>
      </c>
    </row>
    <row r="16" spans="1:4" ht="20.100000000000001" customHeight="1" x14ac:dyDescent="0.2">
      <c r="A16" s="6" t="s">
        <v>1374</v>
      </c>
      <c r="B16" s="7" t="s">
        <v>1375</v>
      </c>
      <c r="C16" s="190">
        <v>1.9874425440199954</v>
      </c>
      <c r="D16" s="190">
        <v>1.50634243730613</v>
      </c>
    </row>
    <row r="17" spans="1:4" ht="20.100000000000001" customHeight="1" x14ac:dyDescent="0.2">
      <c r="A17" s="6" t="s">
        <v>1376</v>
      </c>
      <c r="B17" s="7" t="s">
        <v>1377</v>
      </c>
      <c r="C17" s="190">
        <v>1.7952269958189488E-3</v>
      </c>
      <c r="D17" s="190">
        <v>5.6040166440791763</v>
      </c>
    </row>
    <row r="18" spans="1:4" ht="20.100000000000001" customHeight="1" x14ac:dyDescent="0.2">
      <c r="A18" s="6" t="s">
        <v>1378</v>
      </c>
      <c r="B18" s="7" t="s">
        <v>1379</v>
      </c>
      <c r="C18" s="190">
        <v>0</v>
      </c>
      <c r="D18" s="190">
        <v>7.4821981541966736</v>
      </c>
    </row>
    <row r="19" spans="1:4" ht="20.100000000000001" customHeight="1" x14ac:dyDescent="0.2">
      <c r="A19" s="6" t="s">
        <v>1380</v>
      </c>
      <c r="B19" s="7" t="s">
        <v>1381</v>
      </c>
      <c r="C19" s="190">
        <v>7.4459042146004253E-2</v>
      </c>
      <c r="D19" s="190">
        <v>22.175418159713917</v>
      </c>
    </row>
    <row r="20" spans="1:4" ht="20.100000000000001" customHeight="1" x14ac:dyDescent="0.2">
      <c r="A20" s="6" t="s">
        <v>1382</v>
      </c>
      <c r="B20" s="7" t="s">
        <v>1383</v>
      </c>
      <c r="C20" s="190">
        <v>0.25297923976328968</v>
      </c>
      <c r="D20" s="190">
        <v>15.647381808895881</v>
      </c>
    </row>
    <row r="21" spans="1:4" ht="20.100000000000001" customHeight="1" x14ac:dyDescent="0.2">
      <c r="A21" s="6" t="s">
        <v>1384</v>
      </c>
      <c r="B21" s="7" t="s">
        <v>1385</v>
      </c>
      <c r="C21" s="190">
        <v>-1.6428557824245359E-2</v>
      </c>
      <c r="D21" s="190">
        <v>1.9674198167911356</v>
      </c>
    </row>
    <row r="22" spans="1:4" ht="20.100000000000001" customHeight="1" x14ac:dyDescent="0.2">
      <c r="A22" s="6" t="s">
        <v>1386</v>
      </c>
      <c r="B22" s="7" t="s">
        <v>1387</v>
      </c>
      <c r="C22" s="190">
        <v>3.4976947908652717E-2</v>
      </c>
      <c r="D22" s="190">
        <v>13.403280685125583</v>
      </c>
    </row>
    <row r="23" spans="1:4" ht="20.100000000000001" customHeight="1" x14ac:dyDescent="0.2">
      <c r="A23" s="6" t="s">
        <v>1388</v>
      </c>
      <c r="B23" s="7" t="s">
        <v>1389</v>
      </c>
      <c r="C23" s="190">
        <v>0.12807832937327832</v>
      </c>
      <c r="D23" s="190">
        <v>7.9002592240072467</v>
      </c>
    </row>
    <row r="24" spans="1:4" ht="20.100000000000001" customHeight="1" x14ac:dyDescent="0.2">
      <c r="A24" s="6" t="s">
        <v>1390</v>
      </c>
      <c r="B24" s="7" t="s">
        <v>1391</v>
      </c>
      <c r="C24" s="190">
        <v>1.0205545561993354</v>
      </c>
      <c r="D24" s="190">
        <v>6.4789091442491351</v>
      </c>
    </row>
    <row r="25" spans="1:4" ht="20.100000000000001" customHeight="1" x14ac:dyDescent="0.2">
      <c r="A25" s="6" t="s">
        <v>1392</v>
      </c>
      <c r="B25" s="7" t="s">
        <v>1393</v>
      </c>
      <c r="C25" s="190">
        <v>6.1863457962368487E-2</v>
      </c>
      <c r="D25" s="190">
        <v>-0.1679539116966792</v>
      </c>
    </row>
    <row r="26" spans="1:4" ht="20.100000000000001" customHeight="1" x14ac:dyDescent="0.2">
      <c r="A26" s="6" t="s">
        <v>1394</v>
      </c>
      <c r="B26" s="7" t="s">
        <v>1395</v>
      </c>
      <c r="C26" s="190">
        <v>9.6872297607492913E-2</v>
      </c>
      <c r="D26" s="190">
        <v>12.592725133503929</v>
      </c>
    </row>
    <row r="27" spans="1:4" ht="20.100000000000001" customHeight="1" x14ac:dyDescent="0.2">
      <c r="A27" s="6" t="s">
        <v>1396</v>
      </c>
      <c r="B27" s="7" t="s">
        <v>1397</v>
      </c>
      <c r="C27" s="190">
        <v>0.4037587200113919</v>
      </c>
      <c r="D27" s="190">
        <v>13.635590344988952</v>
      </c>
    </row>
    <row r="28" spans="1:4" ht="20.100000000000001" customHeight="1" x14ac:dyDescent="0.2">
      <c r="A28" s="6" t="s">
        <v>1398</v>
      </c>
      <c r="B28" s="7" t="s">
        <v>1399</v>
      </c>
      <c r="C28" s="190">
        <v>6.1655956524205413E-2</v>
      </c>
      <c r="D28" s="190">
        <v>1.4809572294038282</v>
      </c>
    </row>
    <row r="29" spans="1:4" ht="20.100000000000001" customHeight="1" x14ac:dyDescent="0.2">
      <c r="A29" s="6" t="s">
        <v>1400</v>
      </c>
      <c r="B29" s="7" t="s">
        <v>1401</v>
      </c>
      <c r="C29" s="190">
        <v>2.4058028426156683</v>
      </c>
      <c r="D29" s="190">
        <v>19.159969803048675</v>
      </c>
    </row>
    <row r="30" spans="1:4" ht="20.100000000000001" customHeight="1" x14ac:dyDescent="0.2">
      <c r="A30" s="6" t="s">
        <v>1402</v>
      </c>
      <c r="B30" s="7" t="s">
        <v>1403</v>
      </c>
      <c r="C30" s="190">
        <v>0.59299492027448275</v>
      </c>
      <c r="D30" s="190">
        <v>5.2460499266108567</v>
      </c>
    </row>
    <row r="31" spans="1:4" ht="20.100000000000001" customHeight="1" x14ac:dyDescent="0.2">
      <c r="A31" s="6" t="s">
        <v>1404</v>
      </c>
      <c r="B31" s="7" t="s">
        <v>1405</v>
      </c>
      <c r="C31" s="190">
        <v>1.4450391370873126</v>
      </c>
      <c r="D31" s="190">
        <v>-2.0759510113612496</v>
      </c>
    </row>
    <row r="32" spans="1:4" ht="20.100000000000001" customHeight="1" x14ac:dyDescent="0.2">
      <c r="A32" s="6" t="s">
        <v>1406</v>
      </c>
      <c r="B32" s="7" t="s">
        <v>1407</v>
      </c>
      <c r="C32" s="190">
        <v>1.5173888756164082</v>
      </c>
      <c r="D32" s="190">
        <v>14.134490601874425</v>
      </c>
    </row>
    <row r="33" spans="1:4" ht="20.100000000000001" customHeight="1" x14ac:dyDescent="0.2">
      <c r="A33" s="6" t="s">
        <v>1408</v>
      </c>
      <c r="B33" s="7" t="s">
        <v>1409</v>
      </c>
      <c r="C33" s="190">
        <v>0.606614933281174</v>
      </c>
      <c r="D33" s="190">
        <v>8.2515386280134315</v>
      </c>
    </row>
    <row r="34" spans="1:4" ht="20.100000000000001" customHeight="1" x14ac:dyDescent="0.2">
      <c r="A34" s="6" t="s">
        <v>1410</v>
      </c>
      <c r="B34" s="7" t="s">
        <v>1411</v>
      </c>
      <c r="C34" s="190">
        <v>0.51966064858260586</v>
      </c>
      <c r="D34" s="190">
        <v>6.5583174861807088</v>
      </c>
    </row>
    <row r="35" spans="1:4" ht="20.100000000000001" customHeight="1" x14ac:dyDescent="0.2">
      <c r="A35" s="6" t="s">
        <v>1412</v>
      </c>
      <c r="B35" s="7" t="s">
        <v>1413</v>
      </c>
      <c r="C35" s="190">
        <v>3.9825051102119785E-2</v>
      </c>
      <c r="D35" s="190">
        <v>11.886879024484116</v>
      </c>
    </row>
    <row r="36" spans="1:4" ht="20.100000000000001" customHeight="1" x14ac:dyDescent="0.2">
      <c r="A36" s="6" t="s">
        <v>1414</v>
      </c>
      <c r="B36" s="7" t="s">
        <v>1415</v>
      </c>
      <c r="C36" s="190">
        <v>2.4042548446079248</v>
      </c>
      <c r="D36" s="190">
        <v>21.815010696458991</v>
      </c>
    </row>
    <row r="37" spans="1:4" ht="20.100000000000001" customHeight="1" x14ac:dyDescent="0.2">
      <c r="A37" s="6" t="s">
        <v>1416</v>
      </c>
      <c r="B37" s="7" t="s">
        <v>1417</v>
      </c>
      <c r="C37" s="190">
        <v>-3.891253575360748E-2</v>
      </c>
      <c r="D37" s="190">
        <v>6.1710762618682722</v>
      </c>
    </row>
    <row r="38" spans="1:4" ht="20.100000000000001" customHeight="1" x14ac:dyDescent="0.2">
      <c r="A38" s="6" t="s">
        <v>1418</v>
      </c>
      <c r="B38" s="7" t="s">
        <v>1419</v>
      </c>
      <c r="C38" s="190">
        <v>1.1749033302669498</v>
      </c>
      <c r="D38" s="190">
        <v>14.455930063234966</v>
      </c>
    </row>
    <row r="39" spans="1:4" ht="20.100000000000001" customHeight="1" x14ac:dyDescent="0.2">
      <c r="A39" s="6" t="s">
        <v>1420</v>
      </c>
      <c r="B39" s="7" t="s">
        <v>1421</v>
      </c>
      <c r="C39" s="190">
        <v>1.3382437857174658E-2</v>
      </c>
      <c r="D39" s="190">
        <v>27.982238779289407</v>
      </c>
    </row>
    <row r="40" spans="1:4" ht="20.100000000000001" customHeight="1" x14ac:dyDescent="0.2">
      <c r="A40" s="6" t="s">
        <v>1422</v>
      </c>
      <c r="B40" s="7" t="s">
        <v>1423</v>
      </c>
      <c r="C40" s="190">
        <v>0.17257047528370126</v>
      </c>
      <c r="D40" s="190">
        <v>13.922784680636832</v>
      </c>
    </row>
    <row r="41" spans="1:4" ht="20.100000000000001" customHeight="1" x14ac:dyDescent="0.2">
      <c r="A41" s="6" t="s">
        <v>1424</v>
      </c>
      <c r="B41" s="7" t="s">
        <v>1425</v>
      </c>
      <c r="C41" s="190">
        <v>5.1288566532032981E-2</v>
      </c>
      <c r="D41" s="190">
        <v>15.407703041236886</v>
      </c>
    </row>
    <row r="42" spans="1:4" ht="20.100000000000001" customHeight="1" x14ac:dyDescent="0.2">
      <c r="A42" s="6" t="s">
        <v>1426</v>
      </c>
      <c r="B42" s="7" t="s">
        <v>1427</v>
      </c>
      <c r="C42" s="190">
        <v>3.4227254421919069</v>
      </c>
      <c r="D42" s="190">
        <v>9.3703420370401691</v>
      </c>
    </row>
    <row r="43" spans="1:4" ht="20.100000000000001" customHeight="1" x14ac:dyDescent="0.2">
      <c r="A43" s="6" t="s">
        <v>1428</v>
      </c>
      <c r="B43" s="7" t="s">
        <v>1429</v>
      </c>
      <c r="C43" s="190">
        <v>2.0479489905656938</v>
      </c>
      <c r="D43" s="190">
        <v>16.745252808909129</v>
      </c>
    </row>
    <row r="44" spans="1:4" ht="20.100000000000001" customHeight="1" x14ac:dyDescent="0.2">
      <c r="A44" s="6" t="s">
        <v>1430</v>
      </c>
      <c r="B44" s="7" t="s">
        <v>1431</v>
      </c>
      <c r="C44" s="190">
        <v>1.6684894070471892</v>
      </c>
      <c r="D44" s="190">
        <v>16.99348981798607</v>
      </c>
    </row>
    <row r="45" spans="1:4" ht="20.100000000000001" customHeight="1" x14ac:dyDescent="0.2">
      <c r="A45" s="6" t="s">
        <v>1432</v>
      </c>
      <c r="B45" s="7" t="s">
        <v>1431</v>
      </c>
      <c r="C45" s="190">
        <v>-0.31033191755178036</v>
      </c>
      <c r="D45" s="190">
        <v>17.778784999175357</v>
      </c>
    </row>
    <row r="46" spans="1:4" ht="20.100000000000001" customHeight="1" x14ac:dyDescent="0.2">
      <c r="A46" s="6" t="s">
        <v>1433</v>
      </c>
      <c r="B46" s="7" t="s">
        <v>1434</v>
      </c>
      <c r="C46" s="190">
        <v>2.4741174362392515</v>
      </c>
      <c r="D46" s="190">
        <v>11.14301640738587</v>
      </c>
    </row>
    <row r="47" spans="1:4" ht="20.100000000000001" customHeight="1" x14ac:dyDescent="0.2">
      <c r="A47" s="6" t="s">
        <v>1435</v>
      </c>
      <c r="B47" s="7" t="s">
        <v>1436</v>
      </c>
      <c r="C47" s="190">
        <v>3.2345411156873585</v>
      </c>
      <c r="D47" s="190">
        <v>6.9658760880208819</v>
      </c>
    </row>
    <row r="48" spans="1:4" ht="20.100000000000001" customHeight="1" x14ac:dyDescent="0.2">
      <c r="A48" s="6" t="s">
        <v>1437</v>
      </c>
      <c r="B48" s="7" t="s">
        <v>1438</v>
      </c>
      <c r="C48" s="190">
        <v>0.50844422173344817</v>
      </c>
      <c r="D48" s="190">
        <v>0.85798892804823401</v>
      </c>
    </row>
    <row r="49" spans="1:4" ht="20.100000000000001" customHeight="1" x14ac:dyDescent="0.2">
      <c r="A49" s="6" t="s">
        <v>1439</v>
      </c>
      <c r="B49" s="7" t="s">
        <v>1440</v>
      </c>
      <c r="C49" s="190">
        <v>1.8654597460686859E-3</v>
      </c>
      <c r="D49" s="190">
        <v>-1.8310105476117557</v>
      </c>
    </row>
    <row r="50" spans="1:4" ht="20.100000000000001" customHeight="1" x14ac:dyDescent="0.2">
      <c r="A50" s="6" t="s">
        <v>1441</v>
      </c>
      <c r="B50" s="7" t="s">
        <v>1442</v>
      </c>
      <c r="C50" s="190">
        <v>-0.48485040367586918</v>
      </c>
      <c r="D50" s="190">
        <v>14.357710800004426</v>
      </c>
    </row>
    <row r="51" spans="1:4" ht="20.100000000000001" customHeight="1" x14ac:dyDescent="0.2">
      <c r="A51" s="6" t="s">
        <v>1443</v>
      </c>
      <c r="B51" s="7" t="s">
        <v>1442</v>
      </c>
      <c r="C51" s="190">
        <v>-1.2776952381194924E-2</v>
      </c>
      <c r="D51" s="190">
        <v>4.3643548854670273</v>
      </c>
    </row>
    <row r="52" spans="1:4" ht="20.100000000000001" customHeight="1" x14ac:dyDescent="0.2">
      <c r="A52" s="6" t="s">
        <v>1444</v>
      </c>
      <c r="B52" s="7" t="s">
        <v>1445</v>
      </c>
      <c r="C52" s="190">
        <v>0.51155298763701706</v>
      </c>
      <c r="D52" s="190">
        <v>1.5498746291753553</v>
      </c>
    </row>
    <row r="53" spans="1:4" ht="20.100000000000001" customHeight="1" x14ac:dyDescent="0.2">
      <c r="A53" s="6" t="s">
        <v>1446</v>
      </c>
      <c r="B53" s="7" t="s">
        <v>1447</v>
      </c>
      <c r="C53" s="190">
        <v>2.401227635569283</v>
      </c>
      <c r="D53" s="190">
        <v>-5.9004642966458185</v>
      </c>
    </row>
    <row r="54" spans="1:4" ht="20.100000000000001" customHeight="1" x14ac:dyDescent="0.2">
      <c r="A54" s="6" t="s">
        <v>1448</v>
      </c>
      <c r="B54" s="7" t="s">
        <v>1447</v>
      </c>
      <c r="C54" s="190">
        <v>0.29149184868391714</v>
      </c>
      <c r="D54" s="190">
        <v>-7.3427162087326154</v>
      </c>
    </row>
    <row r="55" spans="1:4" ht="20.100000000000001" customHeight="1" x14ac:dyDescent="0.2">
      <c r="A55" s="6" t="s">
        <v>1449</v>
      </c>
      <c r="B55" s="7" t="s">
        <v>1450</v>
      </c>
      <c r="C55" s="190">
        <v>0.22665416458044893</v>
      </c>
      <c r="D55" s="190">
        <v>1.4580909347747908</v>
      </c>
    </row>
    <row r="56" spans="1:4" ht="20.100000000000001" customHeight="1" x14ac:dyDescent="0.2">
      <c r="A56" s="6" t="s">
        <v>1451</v>
      </c>
      <c r="B56" s="7" t="s">
        <v>1452</v>
      </c>
      <c r="C56" s="190">
        <v>0.24837386256824795</v>
      </c>
      <c r="D56" s="190">
        <v>6.3544285959408082</v>
      </c>
    </row>
    <row r="57" spans="1:4" ht="20.100000000000001" customHeight="1" x14ac:dyDescent="0.2">
      <c r="A57" s="6" t="s">
        <v>1453</v>
      </c>
      <c r="B57" s="7" t="s">
        <v>1454</v>
      </c>
      <c r="C57" s="190">
        <v>3.6756124943048453E-2</v>
      </c>
      <c r="D57" s="190">
        <v>1.3342766629013036</v>
      </c>
    </row>
    <row r="58" spans="1:4" ht="20.100000000000001" customHeight="1" x14ac:dyDescent="0.2">
      <c r="A58" s="6" t="s">
        <v>1455</v>
      </c>
      <c r="B58" s="7" t="s">
        <v>1456</v>
      </c>
      <c r="C58" s="190">
        <v>7.387223596156936E-2</v>
      </c>
      <c r="D58" s="190">
        <v>6.4807784788352452</v>
      </c>
    </row>
    <row r="59" spans="1:4" ht="20.100000000000001" customHeight="1" x14ac:dyDescent="0.2">
      <c r="A59" s="6" t="s">
        <v>1457</v>
      </c>
      <c r="B59" s="7" t="s">
        <v>1458</v>
      </c>
      <c r="C59" s="190">
        <v>0</v>
      </c>
      <c r="D59" s="190">
        <v>2.4051291158428488E-2</v>
      </c>
    </row>
    <row r="60" spans="1:4" ht="20.100000000000001" customHeight="1" x14ac:dyDescent="0.2">
      <c r="A60" s="6" t="s">
        <v>1459</v>
      </c>
      <c r="B60" s="7" t="s">
        <v>1460</v>
      </c>
      <c r="C60" s="190">
        <v>0.63654584518958779</v>
      </c>
      <c r="D60" s="190">
        <v>4.5982845223303211E-2</v>
      </c>
    </row>
    <row r="61" spans="1:4" ht="20.100000000000001" customHeight="1" x14ac:dyDescent="0.2">
      <c r="A61" s="6" t="s">
        <v>1461</v>
      </c>
      <c r="B61" s="7" t="s">
        <v>1460</v>
      </c>
      <c r="C61" s="190">
        <v>0.12453250269438884</v>
      </c>
      <c r="D61" s="190">
        <v>3.5664710751667911E-2</v>
      </c>
    </row>
    <row r="62" spans="1:4" ht="20.100000000000001" customHeight="1" x14ac:dyDescent="0.2">
      <c r="A62" s="6" t="s">
        <v>1462</v>
      </c>
      <c r="B62" s="7" t="s">
        <v>1463</v>
      </c>
      <c r="C62" s="190">
        <v>1.5878592682420931</v>
      </c>
      <c r="D62" s="190">
        <v>24.890436455310141</v>
      </c>
    </row>
    <row r="63" spans="1:4" ht="20.100000000000001" customHeight="1" x14ac:dyDescent="0.2">
      <c r="A63" s="6" t="s">
        <v>1464</v>
      </c>
      <c r="B63" s="7" t="s">
        <v>1465</v>
      </c>
      <c r="C63" s="190">
        <v>2.6626563646524373</v>
      </c>
      <c r="D63" s="190">
        <v>8.5570567824021602</v>
      </c>
    </row>
    <row r="64" spans="1:4" ht="20.100000000000001" customHeight="1" x14ac:dyDescent="0.2">
      <c r="A64" s="6" t="s">
        <v>1466</v>
      </c>
      <c r="B64" s="7" t="s">
        <v>1467</v>
      </c>
      <c r="C64" s="190">
        <v>1.813807985193824</v>
      </c>
      <c r="D64" s="190">
        <v>13.941191462907865</v>
      </c>
    </row>
    <row r="65" spans="1:4" ht="20.100000000000001" customHeight="1" x14ac:dyDescent="0.2">
      <c r="A65" s="6" t="s">
        <v>1468</v>
      </c>
      <c r="B65" s="7" t="s">
        <v>1469</v>
      </c>
      <c r="C65" s="190">
        <v>2.4728746946120426</v>
      </c>
      <c r="D65" s="190">
        <v>6.1349053580250459</v>
      </c>
    </row>
    <row r="66" spans="1:4" ht="20.100000000000001" customHeight="1" x14ac:dyDescent="0.2">
      <c r="A66" s="6" t="s">
        <v>1470</v>
      </c>
      <c r="B66" s="7" t="s">
        <v>1471</v>
      </c>
      <c r="C66" s="190">
        <v>1.6722100444378851</v>
      </c>
      <c r="D66" s="190">
        <v>4.4970854724310074</v>
      </c>
    </row>
    <row r="67" spans="1:4" ht="20.100000000000001" customHeight="1" x14ac:dyDescent="0.2">
      <c r="A67" s="6" t="s">
        <v>1472</v>
      </c>
      <c r="B67" s="7" t="s">
        <v>1473</v>
      </c>
      <c r="C67" s="190">
        <v>1.8192681879452284</v>
      </c>
      <c r="D67" s="190">
        <v>19.196900468128639</v>
      </c>
    </row>
    <row r="68" spans="1:4" ht="20.100000000000001" customHeight="1" x14ac:dyDescent="0.2">
      <c r="A68" s="6" t="s">
        <v>1474</v>
      </c>
      <c r="B68" s="7" t="s">
        <v>1475</v>
      </c>
      <c r="C68" s="190">
        <v>0.34761771083027138</v>
      </c>
      <c r="D68" s="190">
        <v>12.296345752770501</v>
      </c>
    </row>
    <row r="69" spans="1:4" ht="20.100000000000001" customHeight="1" x14ac:dyDescent="0.2">
      <c r="A69" s="6" t="s">
        <v>1476</v>
      </c>
      <c r="B69" s="7" t="s">
        <v>1477</v>
      </c>
      <c r="C69" s="190">
        <v>0.34547176390455175</v>
      </c>
      <c r="D69" s="190">
        <v>8.6809179320504626</v>
      </c>
    </row>
    <row r="70" spans="1:4" ht="20.100000000000001" customHeight="1" x14ac:dyDescent="0.2">
      <c r="A70" s="6" t="s">
        <v>1478</v>
      </c>
      <c r="B70" s="7" t="s">
        <v>1479</v>
      </c>
      <c r="C70" s="190">
        <v>5.0934832307616609E-3</v>
      </c>
      <c r="D70" s="190">
        <v>2.6002417025278182</v>
      </c>
    </row>
    <row r="71" spans="1:4" ht="20.100000000000001" customHeight="1" x14ac:dyDescent="0.2">
      <c r="A71" s="6" t="s">
        <v>1480</v>
      </c>
      <c r="B71" s="7" t="s">
        <v>1481</v>
      </c>
      <c r="C71" s="190">
        <v>0.92451477573696073</v>
      </c>
      <c r="D71" s="190">
        <v>1.5481982009350812</v>
      </c>
    </row>
    <row r="72" spans="1:4" ht="20.100000000000001" customHeight="1" x14ac:dyDescent="0.2">
      <c r="A72" s="6" t="s">
        <v>1482</v>
      </c>
      <c r="B72" s="7" t="s">
        <v>1483</v>
      </c>
      <c r="C72" s="190">
        <v>2.5424544109973472E-2</v>
      </c>
      <c r="D72" s="190">
        <v>4.5859892486001872</v>
      </c>
    </row>
    <row r="73" spans="1:4" ht="20.100000000000001" customHeight="1" x14ac:dyDescent="0.2">
      <c r="A73" s="6" t="s">
        <v>1484</v>
      </c>
      <c r="B73" s="7" t="s">
        <v>1485</v>
      </c>
      <c r="C73" s="190">
        <v>1.5679744603887076</v>
      </c>
      <c r="D73" s="190">
        <v>12.432064314218497</v>
      </c>
    </row>
    <row r="74" spans="1:4" ht="20.100000000000001" customHeight="1" x14ac:dyDescent="0.2">
      <c r="A74" s="6" t="s">
        <v>1486</v>
      </c>
      <c r="B74" s="7" t="s">
        <v>1487</v>
      </c>
      <c r="C74" s="190">
        <v>0.28385487613854521</v>
      </c>
      <c r="D74" s="190">
        <v>23.25470647876627</v>
      </c>
    </row>
    <row r="75" spans="1:4" ht="20.100000000000001" customHeight="1" x14ac:dyDescent="0.2">
      <c r="A75" s="6" t="s">
        <v>1488</v>
      </c>
      <c r="B75" s="7" t="s">
        <v>1489</v>
      </c>
      <c r="C75" s="190">
        <v>0</v>
      </c>
      <c r="D75" s="190">
        <v>-0.63043359872998694</v>
      </c>
    </row>
    <row r="76" spans="1:4" ht="20.100000000000001" customHeight="1" x14ac:dyDescent="0.2">
      <c r="A76" s="6" t="s">
        <v>1490</v>
      </c>
      <c r="B76" s="7" t="s">
        <v>1491</v>
      </c>
      <c r="C76" s="190">
        <v>1.4431755987714889</v>
      </c>
      <c r="D76" s="190">
        <v>22.344701612980728</v>
      </c>
    </row>
    <row r="77" spans="1:4" ht="20.100000000000001" customHeight="1" x14ac:dyDescent="0.2">
      <c r="A77" s="6" t="s">
        <v>1492</v>
      </c>
      <c r="B77" s="7" t="s">
        <v>1493</v>
      </c>
      <c r="C77" s="190">
        <v>3.9765093083701055</v>
      </c>
      <c r="D77" s="190">
        <v>6.2872882601540798</v>
      </c>
    </row>
    <row r="78" spans="1:4" ht="20.100000000000001" customHeight="1" x14ac:dyDescent="0.2">
      <c r="A78" s="6" t="s">
        <v>1494</v>
      </c>
      <c r="B78" s="7" t="s">
        <v>1495</v>
      </c>
      <c r="C78" s="190">
        <v>1.5223385740537079</v>
      </c>
      <c r="D78" s="190">
        <v>2.2883161642484318</v>
      </c>
    </row>
    <row r="79" spans="1:4" ht="20.100000000000001" customHeight="1" x14ac:dyDescent="0.2">
      <c r="A79" s="6" t="s">
        <v>1496</v>
      </c>
      <c r="B79" s="7" t="s">
        <v>1497</v>
      </c>
      <c r="C79" s="190">
        <v>0.14794527751530565</v>
      </c>
      <c r="D79" s="190">
        <v>2.1415482278368314</v>
      </c>
    </row>
    <row r="80" spans="1:4" ht="20.100000000000001" customHeight="1" x14ac:dyDescent="0.2">
      <c r="A80" s="6" t="s">
        <v>1498</v>
      </c>
      <c r="B80" s="7" t="s">
        <v>1499</v>
      </c>
      <c r="C80" s="190">
        <v>0.28945772693439797</v>
      </c>
      <c r="D80" s="190">
        <v>4.3232760409138988</v>
      </c>
    </row>
    <row r="81" spans="1:4" ht="20.100000000000001" customHeight="1" x14ac:dyDescent="0.2">
      <c r="A81" s="6" t="s">
        <v>1500</v>
      </c>
      <c r="B81" s="7" t="s">
        <v>1501</v>
      </c>
      <c r="C81" s="190">
        <v>0.93777856411201588</v>
      </c>
      <c r="D81" s="190">
        <v>20.09559892070375</v>
      </c>
    </row>
    <row r="82" spans="1:4" ht="20.100000000000001" customHeight="1" x14ac:dyDescent="0.2">
      <c r="A82" s="6" t="s">
        <v>1502</v>
      </c>
      <c r="B82" s="7" t="s">
        <v>1503</v>
      </c>
      <c r="C82" s="190">
        <v>2.0795069477488348</v>
      </c>
      <c r="D82" s="190">
        <v>20.457846152582608</v>
      </c>
    </row>
    <row r="83" spans="1:4" ht="20.100000000000001" customHeight="1" x14ac:dyDescent="0.2">
      <c r="A83" s="6" t="s">
        <v>1504</v>
      </c>
      <c r="B83" s="7" t="s">
        <v>1505</v>
      </c>
      <c r="C83" s="190">
        <v>1.1563022061950705</v>
      </c>
      <c r="D83" s="190">
        <v>13.771923220847466</v>
      </c>
    </row>
    <row r="84" spans="1:4" ht="20.100000000000001" customHeight="1" x14ac:dyDescent="0.2">
      <c r="A84" s="6" t="s">
        <v>1506</v>
      </c>
      <c r="B84" s="7" t="s">
        <v>1507</v>
      </c>
      <c r="C84" s="190">
        <v>0.21491312908789895</v>
      </c>
      <c r="D84" s="190">
        <v>4.5030764815543423</v>
      </c>
    </row>
    <row r="85" spans="1:4" ht="20.100000000000001" customHeight="1" x14ac:dyDescent="0.2">
      <c r="A85" s="6" t="s">
        <v>1508</v>
      </c>
      <c r="B85" s="7" t="s">
        <v>1509</v>
      </c>
      <c r="C85" s="190">
        <v>1.32167104266334</v>
      </c>
      <c r="D85" s="190">
        <v>10.891220601713862</v>
      </c>
    </row>
    <row r="86" spans="1:4" ht="20.100000000000001" customHeight="1" x14ac:dyDescent="0.2">
      <c r="A86" s="6" t="s">
        <v>1510</v>
      </c>
      <c r="B86" s="7" t="s">
        <v>1511</v>
      </c>
      <c r="C86" s="190">
        <v>0.21152937008644229</v>
      </c>
      <c r="D86" s="190">
        <v>12.451997436992015</v>
      </c>
    </row>
    <row r="87" spans="1:4" ht="20.100000000000001" customHeight="1" x14ac:dyDescent="0.2">
      <c r="A87" s="6" t="s">
        <v>1512</v>
      </c>
      <c r="B87" s="7" t="s">
        <v>1513</v>
      </c>
      <c r="C87" s="190">
        <v>1.3309698273131407</v>
      </c>
      <c r="D87" s="190">
        <v>15.235403734948115</v>
      </c>
    </row>
    <row r="88" spans="1:4" ht="20.100000000000001" customHeight="1" x14ac:dyDescent="0.2">
      <c r="A88" s="6" t="s">
        <v>1514</v>
      </c>
      <c r="B88" s="7" t="s">
        <v>1515</v>
      </c>
      <c r="C88" s="190">
        <v>1.3797700192297508</v>
      </c>
      <c r="D88" s="190">
        <v>6.2507589574386921</v>
      </c>
    </row>
    <row r="89" spans="1:4" ht="20.100000000000001" customHeight="1" x14ac:dyDescent="0.2">
      <c r="A89" s="6" t="s">
        <v>1516</v>
      </c>
      <c r="B89" s="7" t="s">
        <v>1517</v>
      </c>
      <c r="C89" s="190">
        <v>1.8371242783766837</v>
      </c>
      <c r="D89" s="190">
        <v>21.480197748468086</v>
      </c>
    </row>
    <row r="90" spans="1:4" ht="20.100000000000001" customHeight="1" x14ac:dyDescent="0.2">
      <c r="A90" s="6" t="s">
        <v>1518</v>
      </c>
      <c r="B90" s="7" t="s">
        <v>1519</v>
      </c>
      <c r="C90" s="190">
        <v>0.24817574805998346</v>
      </c>
      <c r="D90" s="190">
        <v>3.8016971370735364</v>
      </c>
    </row>
    <row r="91" spans="1:4" ht="20.100000000000001" customHeight="1" x14ac:dyDescent="0.2">
      <c r="A91" s="6" t="s">
        <v>1520</v>
      </c>
      <c r="B91" s="7" t="s">
        <v>1521</v>
      </c>
      <c r="C91" s="190">
        <v>2.7135817262315518</v>
      </c>
      <c r="D91" s="190">
        <v>11.250629062548274</v>
      </c>
    </row>
    <row r="92" spans="1:4" ht="20.100000000000001" customHeight="1" x14ac:dyDescent="0.2">
      <c r="A92" s="6" t="s">
        <v>1522</v>
      </c>
      <c r="B92" s="7" t="s">
        <v>1521</v>
      </c>
      <c r="C92" s="190">
        <v>0.72598492792673519</v>
      </c>
      <c r="D92" s="190">
        <v>1.5982721167843408</v>
      </c>
    </row>
    <row r="93" spans="1:4" ht="20.100000000000001" customHeight="1" x14ac:dyDescent="0.2">
      <c r="A93" s="6" t="s">
        <v>1523</v>
      </c>
      <c r="B93" s="7" t="s">
        <v>1524</v>
      </c>
      <c r="C93" s="190">
        <v>3.5262303364446437</v>
      </c>
      <c r="D93" s="190">
        <v>17.658276562950089</v>
      </c>
    </row>
    <row r="94" spans="1:4" ht="20.100000000000001" customHeight="1" x14ac:dyDescent="0.2">
      <c r="A94" s="6" t="s">
        <v>1525</v>
      </c>
      <c r="B94" s="7" t="s">
        <v>1526</v>
      </c>
      <c r="C94" s="190">
        <v>2.8220891878548633</v>
      </c>
      <c r="D94" s="190">
        <v>2.577968833986882</v>
      </c>
    </row>
    <row r="95" spans="1:4" ht="20.100000000000001" customHeight="1" x14ac:dyDescent="0.2">
      <c r="A95" s="6" t="s">
        <v>1527</v>
      </c>
      <c r="B95" s="7" t="s">
        <v>1528</v>
      </c>
      <c r="C95" s="190">
        <v>0</v>
      </c>
      <c r="D95" s="190">
        <v>-1.2062629649340082</v>
      </c>
    </row>
    <row r="96" spans="1:4" ht="20.100000000000001" customHeight="1" x14ac:dyDescent="0.2">
      <c r="A96" s="6" t="s">
        <v>1529</v>
      </c>
      <c r="B96" s="7" t="s">
        <v>1530</v>
      </c>
      <c r="C96" s="190">
        <v>3.4637788852860574</v>
      </c>
      <c r="D96" s="190">
        <v>5.2091741332697179</v>
      </c>
    </row>
    <row r="97" spans="1:4" ht="20.100000000000001" customHeight="1" x14ac:dyDescent="0.2">
      <c r="A97" s="6" t="s">
        <v>1531</v>
      </c>
      <c r="B97" s="7" t="s">
        <v>1532</v>
      </c>
      <c r="C97" s="190">
        <v>1.0509460406178024</v>
      </c>
      <c r="D97" s="190">
        <v>33.558494805660366</v>
      </c>
    </row>
    <row r="98" spans="1:4" ht="20.100000000000001" customHeight="1" x14ac:dyDescent="0.2">
      <c r="A98" s="6" t="s">
        <v>1533</v>
      </c>
      <c r="B98" s="7" t="s">
        <v>1534</v>
      </c>
      <c r="C98" s="190">
        <v>1.8100622552752155</v>
      </c>
      <c r="D98" s="190">
        <v>0.47534382530225006</v>
      </c>
    </row>
    <row r="99" spans="1:4" ht="20.100000000000001" customHeight="1" x14ac:dyDescent="0.2">
      <c r="A99" s="6" t="s">
        <v>1535</v>
      </c>
      <c r="B99" s="7" t="s">
        <v>1536</v>
      </c>
      <c r="C99" s="190">
        <v>0.29111768160049545</v>
      </c>
      <c r="D99" s="190">
        <v>10.512773957144482</v>
      </c>
    </row>
    <row r="100" spans="1:4" ht="20.100000000000001" customHeight="1" x14ac:dyDescent="0.2">
      <c r="A100" s="6" t="s">
        <v>1537</v>
      </c>
      <c r="B100" s="7" t="s">
        <v>1538</v>
      </c>
      <c r="C100" s="190">
        <v>0.29498192899888531</v>
      </c>
      <c r="D100" s="190">
        <v>2.7895664491517116</v>
      </c>
    </row>
    <row r="101" spans="1:4" ht="20.100000000000001" customHeight="1" x14ac:dyDescent="0.2">
      <c r="A101" s="6" t="s">
        <v>1539</v>
      </c>
      <c r="B101" s="7" t="s">
        <v>1540</v>
      </c>
      <c r="C101" s="190">
        <v>2.5494811382750475</v>
      </c>
      <c r="D101" s="190">
        <v>3.9053356630599483</v>
      </c>
    </row>
    <row r="102" spans="1:4" ht="20.100000000000001" customHeight="1" x14ac:dyDescent="0.2">
      <c r="A102" s="6" t="s">
        <v>1541</v>
      </c>
      <c r="B102" s="7" t="s">
        <v>1542</v>
      </c>
      <c r="C102" s="190">
        <v>7.9844137360067347E-2</v>
      </c>
      <c r="D102" s="190">
        <v>1.5652845522001552E-2</v>
      </c>
    </row>
    <row r="103" spans="1:4" ht="20.100000000000001" customHeight="1" x14ac:dyDescent="0.2">
      <c r="A103" s="6" t="s">
        <v>1543</v>
      </c>
      <c r="B103" s="7" t="s">
        <v>1544</v>
      </c>
      <c r="C103" s="190">
        <v>0.31815808783920085</v>
      </c>
      <c r="D103" s="190">
        <v>19.710807505180572</v>
      </c>
    </row>
    <row r="104" spans="1:4" ht="20.100000000000001" customHeight="1" x14ac:dyDescent="0.2">
      <c r="A104" s="6" t="s">
        <v>1545</v>
      </c>
      <c r="B104" s="7" t="s">
        <v>1546</v>
      </c>
      <c r="C104" s="190">
        <v>2.5231589552936229</v>
      </c>
      <c r="D104" s="190">
        <v>18.546802313100926</v>
      </c>
    </row>
    <row r="105" spans="1:4" ht="20.100000000000001" customHeight="1" x14ac:dyDescent="0.2">
      <c r="A105" s="6" t="s">
        <v>1547</v>
      </c>
      <c r="B105" s="7" t="s">
        <v>1548</v>
      </c>
      <c r="C105" s="190">
        <v>1.569768823551871</v>
      </c>
      <c r="D105" s="190">
        <v>31.191556272059394</v>
      </c>
    </row>
    <row r="106" spans="1:4" ht="20.100000000000001" customHeight="1" x14ac:dyDescent="0.2">
      <c r="A106" s="6" t="s">
        <v>1549</v>
      </c>
      <c r="B106" s="7" t="s">
        <v>1550</v>
      </c>
      <c r="C106" s="190">
        <v>0.5749344490446946</v>
      </c>
      <c r="D106" s="190">
        <v>16.734893556301518</v>
      </c>
    </row>
    <row r="107" spans="1:4" ht="20.100000000000001" customHeight="1" x14ac:dyDescent="0.2">
      <c r="A107" s="6" t="s">
        <v>1551</v>
      </c>
      <c r="B107" s="7" t="s">
        <v>1552</v>
      </c>
      <c r="C107" s="190">
        <v>0.16347961445378251</v>
      </c>
      <c r="D107" s="190">
        <v>14.825480438890089</v>
      </c>
    </row>
    <row r="108" spans="1:4" ht="20.100000000000001" customHeight="1" x14ac:dyDescent="0.2">
      <c r="A108" s="6" t="s">
        <v>1553</v>
      </c>
      <c r="B108" s="7" t="s">
        <v>1554</v>
      </c>
      <c r="C108" s="190">
        <v>0</v>
      </c>
      <c r="D108" s="190">
        <v>1.1347637103703716</v>
      </c>
    </row>
    <row r="109" spans="1:4" ht="20.100000000000001" customHeight="1" x14ac:dyDescent="0.2">
      <c r="A109" s="6" t="s">
        <v>1555</v>
      </c>
      <c r="B109" s="7" t="s">
        <v>1554</v>
      </c>
      <c r="C109" s="190">
        <v>0</v>
      </c>
      <c r="D109" s="190">
        <v>1.13476780447251</v>
      </c>
    </row>
    <row r="110" spans="1:4" ht="20.100000000000001" customHeight="1" x14ac:dyDescent="0.2">
      <c r="A110" s="6" t="s">
        <v>1556</v>
      </c>
      <c r="B110" s="7" t="s">
        <v>1557</v>
      </c>
      <c r="C110" s="190">
        <v>-4.1634281150772813E-2</v>
      </c>
      <c r="D110" s="190">
        <v>26.962200832946479</v>
      </c>
    </row>
    <row r="111" spans="1:4" ht="20.100000000000001" customHeight="1" x14ac:dyDescent="0.2">
      <c r="A111" s="6" t="s">
        <v>1558</v>
      </c>
      <c r="B111" s="7" t="s">
        <v>1559</v>
      </c>
      <c r="C111" s="190">
        <v>0.34370772134261374</v>
      </c>
      <c r="D111" s="190">
        <v>-0.46266832135622871</v>
      </c>
    </row>
    <row r="112" spans="1:4" ht="20.100000000000001" customHeight="1" x14ac:dyDescent="0.2">
      <c r="A112" s="6" t="s">
        <v>1560</v>
      </c>
      <c r="B112" s="7" t="s">
        <v>1561</v>
      </c>
      <c r="C112" s="190">
        <v>2.7269165953597223E-2</v>
      </c>
      <c r="D112" s="190">
        <v>1.9703182224896751</v>
      </c>
    </row>
    <row r="113" spans="1:4" ht="20.100000000000001" customHeight="1" x14ac:dyDescent="0.2">
      <c r="A113" s="6" t="s">
        <v>1562</v>
      </c>
      <c r="B113" s="7" t="s">
        <v>1563</v>
      </c>
      <c r="C113" s="190">
        <v>2.0634539731810495E-2</v>
      </c>
      <c r="D113" s="190">
        <v>2.4310714083672855</v>
      </c>
    </row>
    <row r="114" spans="1:4" ht="20.100000000000001" customHeight="1" x14ac:dyDescent="0.2">
      <c r="A114" s="6" t="s">
        <v>1564</v>
      </c>
      <c r="B114" s="7" t="s">
        <v>1565</v>
      </c>
      <c r="C114" s="190">
        <v>1.8842619470725119</v>
      </c>
      <c r="D114" s="190">
        <v>2.2569521565242225</v>
      </c>
    </row>
    <row r="115" spans="1:4" ht="20.100000000000001" customHeight="1" x14ac:dyDescent="0.2">
      <c r="A115" s="6" t="s">
        <v>1566</v>
      </c>
      <c r="B115" s="7" t="s">
        <v>1567</v>
      </c>
      <c r="C115" s="190">
        <v>0.17947156536512932</v>
      </c>
      <c r="D115" s="190">
        <v>8.4175769509578124</v>
      </c>
    </row>
    <row r="116" spans="1:4" ht="20.100000000000001" customHeight="1" x14ac:dyDescent="0.2">
      <c r="A116" s="6" t="s">
        <v>1568</v>
      </c>
      <c r="B116" s="7" t="s">
        <v>1569</v>
      </c>
      <c r="C116" s="190">
        <v>0.53175972417570594</v>
      </c>
      <c r="D116" s="190">
        <v>2.7668283312879551</v>
      </c>
    </row>
    <row r="117" spans="1:4" ht="20.100000000000001" customHeight="1" x14ac:dyDescent="0.2">
      <c r="A117" s="6" t="s">
        <v>1570</v>
      </c>
      <c r="B117" s="7" t="s">
        <v>1571</v>
      </c>
      <c r="C117" s="190">
        <v>3.0255649829899131E-2</v>
      </c>
      <c r="D117" s="190">
        <v>28.302497709549851</v>
      </c>
    </row>
    <row r="118" spans="1:4" ht="20.100000000000001" customHeight="1" x14ac:dyDescent="0.2">
      <c r="A118" s="6" t="s">
        <v>1572</v>
      </c>
      <c r="B118" s="7" t="s">
        <v>1573</v>
      </c>
      <c r="C118" s="190">
        <v>3.2633563937292496E-4</v>
      </c>
      <c r="D118" s="190">
        <v>7.5910450744264963</v>
      </c>
    </row>
    <row r="119" spans="1:4" ht="20.100000000000001" customHeight="1" x14ac:dyDescent="0.2">
      <c r="A119" s="6" t="s">
        <v>1574</v>
      </c>
      <c r="B119" s="7" t="s">
        <v>1575</v>
      </c>
      <c r="C119" s="190">
        <v>6.0619094905491284</v>
      </c>
      <c r="D119" s="190">
        <v>-3.1081115416284026</v>
      </c>
    </row>
    <row r="120" spans="1:4" ht="20.100000000000001" customHeight="1" x14ac:dyDescent="0.2">
      <c r="A120" s="6" t="s">
        <v>1576</v>
      </c>
      <c r="B120" s="7" t="s">
        <v>1577</v>
      </c>
      <c r="C120" s="190">
        <v>1.0371326815565003</v>
      </c>
      <c r="D120" s="190">
        <v>11.130537536013932</v>
      </c>
    </row>
    <row r="121" spans="1:4" ht="20.100000000000001" customHeight="1" x14ac:dyDescent="0.2">
      <c r="A121" s="6" t="s">
        <v>1578</v>
      </c>
      <c r="B121" s="7" t="s">
        <v>1579</v>
      </c>
      <c r="C121" s="190">
        <v>0.21849762776112569</v>
      </c>
      <c r="D121" s="190">
        <v>3.3838729445122873</v>
      </c>
    </row>
    <row r="122" spans="1:4" ht="20.100000000000001" customHeight="1" x14ac:dyDescent="0.2">
      <c r="A122" s="6" t="s">
        <v>1580</v>
      </c>
      <c r="B122" s="7" t="s">
        <v>1581</v>
      </c>
      <c r="C122" s="190">
        <v>-4.9825654658693739E-3</v>
      </c>
      <c r="D122" s="190">
        <v>12.885342399019907</v>
      </c>
    </row>
    <row r="123" spans="1:4" ht="20.100000000000001" customHeight="1" x14ac:dyDescent="0.2">
      <c r="A123" s="6" t="s">
        <v>1582</v>
      </c>
      <c r="B123" s="7" t="s">
        <v>1583</v>
      </c>
      <c r="C123" s="190">
        <v>0.32973075479554759</v>
      </c>
      <c r="D123" s="190">
        <v>2.9267711400683556</v>
      </c>
    </row>
    <row r="124" spans="1:4" ht="20.100000000000001" customHeight="1" x14ac:dyDescent="0.2">
      <c r="A124" s="6" t="s">
        <v>1584</v>
      </c>
      <c r="B124" s="7" t="s">
        <v>1585</v>
      </c>
      <c r="C124" s="190">
        <v>0.13692325452668583</v>
      </c>
      <c r="D124" s="190">
        <v>-0.51590010476440873</v>
      </c>
    </row>
    <row r="125" spans="1:4" ht="20.100000000000001" customHeight="1" x14ac:dyDescent="0.2">
      <c r="A125" s="6" t="s">
        <v>1586</v>
      </c>
      <c r="B125" s="7" t="s">
        <v>1587</v>
      </c>
      <c r="C125" s="190">
        <v>0.17439187739268627</v>
      </c>
      <c r="D125" s="190">
        <v>14.969424706372919</v>
      </c>
    </row>
    <row r="126" spans="1:4" ht="20.100000000000001" customHeight="1" x14ac:dyDescent="0.2">
      <c r="A126" s="6" t="s">
        <v>1588</v>
      </c>
      <c r="B126" s="7" t="s">
        <v>1589</v>
      </c>
      <c r="C126" s="190">
        <v>2.6737573474424393E-2</v>
      </c>
      <c r="D126" s="190">
        <v>5.5625781974373623E-2</v>
      </c>
    </row>
    <row r="127" spans="1:4" ht="20.100000000000001" customHeight="1" x14ac:dyDescent="0.2">
      <c r="A127" s="6" t="s">
        <v>1590</v>
      </c>
      <c r="B127" s="7" t="s">
        <v>1591</v>
      </c>
      <c r="C127" s="190">
        <v>7.2379553528122878E-2</v>
      </c>
      <c r="D127" s="190">
        <v>7.1180255770438592</v>
      </c>
    </row>
    <row r="128" spans="1:4" ht="20.100000000000001" customHeight="1" x14ac:dyDescent="0.2">
      <c r="A128" s="6" t="s">
        <v>1592</v>
      </c>
      <c r="B128" s="7" t="s">
        <v>1593</v>
      </c>
      <c r="C128" s="190">
        <v>1.7908172306255605</v>
      </c>
      <c r="D128" s="190">
        <v>22.313847377400776</v>
      </c>
    </row>
    <row r="129" spans="1:4" ht="20.100000000000001" customHeight="1" x14ac:dyDescent="0.2">
      <c r="A129" s="6" t="s">
        <v>1594</v>
      </c>
      <c r="B129" s="7" t="s">
        <v>1595</v>
      </c>
      <c r="C129" s="190">
        <v>0.52092745963146425</v>
      </c>
      <c r="D129" s="190">
        <v>2.2977315601494688</v>
      </c>
    </row>
    <row r="130" spans="1:4" ht="20.100000000000001" customHeight="1" x14ac:dyDescent="0.2">
      <c r="A130" s="6" t="s">
        <v>1596</v>
      </c>
      <c r="B130" s="7" t="s">
        <v>1597</v>
      </c>
      <c r="C130" s="190">
        <v>1.2545291384449273</v>
      </c>
      <c r="D130" s="190">
        <v>0.6601412382401628</v>
      </c>
    </row>
    <row r="131" spans="1:4" ht="20.100000000000001" customHeight="1" x14ac:dyDescent="0.2">
      <c r="A131" s="6" t="s">
        <v>1598</v>
      </c>
      <c r="B131" s="7" t="s">
        <v>1599</v>
      </c>
      <c r="C131" s="190">
        <v>4.1471079037369851E-2</v>
      </c>
      <c r="D131" s="190">
        <v>-2.3626934529574002</v>
      </c>
    </row>
    <row r="132" spans="1:4" ht="20.100000000000001" customHeight="1" x14ac:dyDescent="0.2">
      <c r="A132" s="6" t="s">
        <v>1600</v>
      </c>
      <c r="B132" s="7" t="s">
        <v>1601</v>
      </c>
      <c r="C132" s="190">
        <v>2.8771479547844307E-2</v>
      </c>
      <c r="D132" s="190">
        <v>-2.3651372578011989</v>
      </c>
    </row>
    <row r="133" spans="1:4" ht="20.100000000000001" customHeight="1" x14ac:dyDescent="0.2">
      <c r="A133" s="6" t="s">
        <v>1602</v>
      </c>
      <c r="B133" s="7" t="s">
        <v>1603</v>
      </c>
      <c r="C133" s="190">
        <v>0.39941338662329151</v>
      </c>
      <c r="D133" s="190">
        <v>7.7294000251907979</v>
      </c>
    </row>
    <row r="134" spans="1:4" ht="20.100000000000001" customHeight="1" x14ac:dyDescent="0.2">
      <c r="A134" s="6" t="s">
        <v>1604</v>
      </c>
      <c r="B134" s="7" t="s">
        <v>1605</v>
      </c>
      <c r="C134" s="190">
        <v>2.8080530905365464</v>
      </c>
      <c r="D134" s="190">
        <v>5.4420261662815967</v>
      </c>
    </row>
    <row r="135" spans="1:4" ht="20.100000000000001" customHeight="1" x14ac:dyDescent="0.2">
      <c r="A135" s="6" t="s">
        <v>1606</v>
      </c>
      <c r="B135" s="7" t="s">
        <v>1607</v>
      </c>
      <c r="C135" s="190">
        <v>0.10200133848777157</v>
      </c>
      <c r="D135" s="190">
        <v>1.3201625011501505</v>
      </c>
    </row>
    <row r="136" spans="1:4" ht="20.100000000000001" customHeight="1" x14ac:dyDescent="0.2">
      <c r="A136" s="6" t="s">
        <v>1608</v>
      </c>
      <c r="B136" s="7" t="s">
        <v>1609</v>
      </c>
      <c r="C136" s="190">
        <v>-9.5215836430445726E-3</v>
      </c>
      <c r="D136" s="190">
        <v>15.126762724481226</v>
      </c>
    </row>
    <row r="137" spans="1:4" ht="20.100000000000001" customHeight="1" x14ac:dyDescent="0.2">
      <c r="A137" s="6" t="s">
        <v>1610</v>
      </c>
      <c r="B137" s="7" t="s">
        <v>1611</v>
      </c>
      <c r="C137" s="190">
        <v>1.5311711710153495</v>
      </c>
      <c r="D137" s="190">
        <v>3.3472665633309853</v>
      </c>
    </row>
    <row r="138" spans="1:4" ht="20.100000000000001" customHeight="1" x14ac:dyDescent="0.2">
      <c r="A138" s="6" t="s">
        <v>1612</v>
      </c>
      <c r="B138" s="7" t="s">
        <v>1613</v>
      </c>
      <c r="C138" s="190">
        <v>1.4489398329188381</v>
      </c>
      <c r="D138" s="190">
        <v>3.5113336211217963</v>
      </c>
    </row>
    <row r="139" spans="1:4" ht="20.100000000000001" customHeight="1" x14ac:dyDescent="0.2">
      <c r="A139" s="6" t="s">
        <v>1614</v>
      </c>
      <c r="B139" s="7" t="s">
        <v>1615</v>
      </c>
      <c r="C139" s="190">
        <v>2.0628076538036124</v>
      </c>
      <c r="D139" s="190">
        <v>22.704353743318787</v>
      </c>
    </row>
    <row r="140" spans="1:4" ht="20.100000000000001" customHeight="1" x14ac:dyDescent="0.2">
      <c r="A140" s="6" t="s">
        <v>1616</v>
      </c>
      <c r="B140" s="7" t="s">
        <v>1617</v>
      </c>
      <c r="C140" s="190">
        <v>2.8207482169465727</v>
      </c>
      <c r="D140" s="190">
        <v>23.287488347220204</v>
      </c>
    </row>
    <row r="141" spans="1:4" ht="20.100000000000001" customHeight="1" x14ac:dyDescent="0.2">
      <c r="A141" s="6" t="s">
        <v>1618</v>
      </c>
      <c r="B141" s="7" t="s">
        <v>1619</v>
      </c>
      <c r="C141" s="190">
        <v>3.0396435634951597</v>
      </c>
      <c r="D141" s="190">
        <v>7.7772740868307206</v>
      </c>
    </row>
    <row r="142" spans="1:4" ht="20.100000000000001" customHeight="1" x14ac:dyDescent="0.2">
      <c r="A142" s="6" t="s">
        <v>1620</v>
      </c>
      <c r="B142" s="7" t="s">
        <v>1621</v>
      </c>
      <c r="C142" s="190">
        <v>1.3001520503311765</v>
      </c>
      <c r="D142" s="190">
        <v>7.1001021734185228</v>
      </c>
    </row>
    <row r="143" spans="1:4" ht="20.100000000000001" customHeight="1" x14ac:dyDescent="0.2">
      <c r="A143" s="6" t="s">
        <v>1622</v>
      </c>
      <c r="B143" s="7" t="s">
        <v>1623</v>
      </c>
      <c r="C143" s="190">
        <v>0.87434434311007281</v>
      </c>
      <c r="D143" s="190">
        <v>3.7519166217826507</v>
      </c>
    </row>
    <row r="144" spans="1:4" ht="20.100000000000001" customHeight="1" x14ac:dyDescent="0.2">
      <c r="A144" s="6" t="s">
        <v>1624</v>
      </c>
      <c r="B144" s="7" t="s">
        <v>1625</v>
      </c>
      <c r="C144" s="190">
        <v>0.2794048214222673</v>
      </c>
      <c r="D144" s="190">
        <v>6.2453427243642121</v>
      </c>
    </row>
    <row r="145" spans="1:4" ht="20.100000000000001" customHeight="1" x14ac:dyDescent="0.2">
      <c r="A145" s="6" t="s">
        <v>1626</v>
      </c>
      <c r="B145" s="7" t="s">
        <v>1625</v>
      </c>
      <c r="C145" s="190">
        <v>0.13698381745063354</v>
      </c>
      <c r="D145" s="190">
        <v>6.2924070231636406</v>
      </c>
    </row>
    <row r="146" spans="1:4" ht="20.100000000000001" customHeight="1" x14ac:dyDescent="0.2">
      <c r="A146" s="6" t="s">
        <v>1627</v>
      </c>
      <c r="B146" s="7" t="s">
        <v>1628</v>
      </c>
      <c r="C146" s="190">
        <v>0.64396319728464346</v>
      </c>
      <c r="D146" s="190">
        <v>2.2050052982547301</v>
      </c>
    </row>
    <row r="147" spans="1:4" ht="20.100000000000001" customHeight="1" x14ac:dyDescent="0.2">
      <c r="A147" s="6" t="s">
        <v>1629</v>
      </c>
      <c r="B147" s="7" t="s">
        <v>1630</v>
      </c>
      <c r="C147" s="190">
        <v>1.4921142417220294</v>
      </c>
      <c r="D147" s="190">
        <v>11.748420492324712</v>
      </c>
    </row>
    <row r="148" spans="1:4" ht="20.100000000000001" customHeight="1" x14ac:dyDescent="0.2">
      <c r="A148" s="6" t="s">
        <v>1631</v>
      </c>
      <c r="B148" s="7" t="s">
        <v>1632</v>
      </c>
      <c r="C148" s="190">
        <v>-0.22841790447736177</v>
      </c>
      <c r="D148" s="190">
        <v>4.686207082025641</v>
      </c>
    </row>
    <row r="149" spans="1:4" ht="20.100000000000001" customHeight="1" x14ac:dyDescent="0.2">
      <c r="A149" s="6" t="s">
        <v>1633</v>
      </c>
      <c r="B149" s="7" t="s">
        <v>1634</v>
      </c>
      <c r="C149" s="190">
        <v>2.3028627586449391</v>
      </c>
      <c r="D149" s="190">
        <v>27.009500668157308</v>
      </c>
    </row>
    <row r="150" spans="1:4" ht="20.100000000000001" customHeight="1" x14ac:dyDescent="0.2">
      <c r="A150" s="6" t="s">
        <v>1635</v>
      </c>
      <c r="B150" s="7" t="s">
        <v>1634</v>
      </c>
      <c r="C150" s="190">
        <v>0.67819184673255839</v>
      </c>
      <c r="D150" s="190">
        <v>11.349614579636174</v>
      </c>
    </row>
    <row r="151" spans="1:4" ht="20.100000000000001" customHeight="1" x14ac:dyDescent="0.2">
      <c r="A151" s="6" t="s">
        <v>1636</v>
      </c>
      <c r="B151" s="7" t="s">
        <v>1637</v>
      </c>
      <c r="C151" s="190">
        <v>4.4183979462050632E-3</v>
      </c>
      <c r="D151" s="190">
        <v>11.882549327379319</v>
      </c>
    </row>
    <row r="152" spans="1:4" ht="20.100000000000001" customHeight="1" x14ac:dyDescent="0.2">
      <c r="A152" s="6" t="s">
        <v>1638</v>
      </c>
      <c r="B152" s="7" t="s">
        <v>1639</v>
      </c>
      <c r="C152" s="190">
        <v>0</v>
      </c>
      <c r="D152" s="190">
        <v>1.4953004015621485</v>
      </c>
    </row>
    <row r="153" spans="1:4" ht="20.100000000000001" customHeight="1" x14ac:dyDescent="0.2">
      <c r="A153" s="6" t="s">
        <v>1640</v>
      </c>
      <c r="B153" s="7" t="s">
        <v>1639</v>
      </c>
      <c r="C153" s="190">
        <v>0</v>
      </c>
      <c r="D153" s="190">
        <v>0.82351221123919693</v>
      </c>
    </row>
    <row r="154" spans="1:4" ht="20.100000000000001" customHeight="1" x14ac:dyDescent="0.2">
      <c r="A154" s="6" t="s">
        <v>1641</v>
      </c>
      <c r="B154" s="7" t="s">
        <v>1642</v>
      </c>
      <c r="C154" s="190">
        <v>0.24313220865545876</v>
      </c>
      <c r="D154" s="190">
        <v>9.6386445156955478</v>
      </c>
    </row>
    <row r="155" spans="1:4" ht="20.100000000000001" customHeight="1" x14ac:dyDescent="0.2">
      <c r="A155" s="6" t="s">
        <v>1643</v>
      </c>
      <c r="B155" s="7" t="s">
        <v>1644</v>
      </c>
      <c r="C155" s="190">
        <v>2.8336964385093468</v>
      </c>
      <c r="D155" s="190">
        <v>-0.24201304134910706</v>
      </c>
    </row>
    <row r="156" spans="1:4" ht="20.100000000000001" customHeight="1" x14ac:dyDescent="0.2">
      <c r="A156" s="6" t="s">
        <v>1645</v>
      </c>
      <c r="B156" s="7" t="s">
        <v>1646</v>
      </c>
      <c r="C156" s="190">
        <v>4.9820907982555287</v>
      </c>
      <c r="D156" s="190">
        <v>2.5840152160801568</v>
      </c>
    </row>
    <row r="157" spans="1:4" ht="20.100000000000001" customHeight="1" x14ac:dyDescent="0.2">
      <c r="A157" s="6" t="s">
        <v>1647</v>
      </c>
      <c r="B157" s="7" t="s">
        <v>1648</v>
      </c>
      <c r="C157" s="190">
        <v>3.5890740536222401</v>
      </c>
      <c r="D157" s="190">
        <v>0.49791936709450485</v>
      </c>
    </row>
    <row r="158" spans="1:4" ht="20.100000000000001" customHeight="1" x14ac:dyDescent="0.2">
      <c r="A158" s="6" t="s">
        <v>1649</v>
      </c>
      <c r="B158" s="7" t="s">
        <v>1650</v>
      </c>
      <c r="C158" s="190">
        <v>2.2158084640189748</v>
      </c>
      <c r="D158" s="190">
        <v>0.13272962536436028</v>
      </c>
    </row>
    <row r="159" spans="1:4" ht="20.100000000000001" customHeight="1" x14ac:dyDescent="0.2">
      <c r="A159" s="6" t="s">
        <v>1651</v>
      </c>
      <c r="B159" s="7" t="s">
        <v>1652</v>
      </c>
      <c r="C159" s="190">
        <v>8.451389983449868</v>
      </c>
      <c r="D159" s="190">
        <v>1.2861090087547253</v>
      </c>
    </row>
    <row r="160" spans="1:4" ht="20.100000000000001" customHeight="1" x14ac:dyDescent="0.2">
      <c r="A160" s="6" t="s">
        <v>1653</v>
      </c>
      <c r="B160" s="7" t="s">
        <v>1654</v>
      </c>
      <c r="C160" s="190">
        <v>9.8241266061471286</v>
      </c>
      <c r="D160" s="190">
        <v>5.800667004135617</v>
      </c>
    </row>
    <row r="161" spans="1:4" ht="20.100000000000001" customHeight="1" x14ac:dyDescent="0.2">
      <c r="A161" s="6" t="s">
        <v>1655</v>
      </c>
      <c r="B161" s="7" t="s">
        <v>1656</v>
      </c>
      <c r="C161" s="190">
        <v>0</v>
      </c>
      <c r="D161" s="190">
        <v>2.3284475504353606</v>
      </c>
    </row>
    <row r="162" spans="1:4" ht="20.100000000000001" customHeight="1" x14ac:dyDescent="0.2">
      <c r="A162" s="6" t="s">
        <v>1657</v>
      </c>
      <c r="B162" s="7" t="s">
        <v>1656</v>
      </c>
      <c r="C162" s="190">
        <v>0</v>
      </c>
      <c r="D162" s="190">
        <v>4.2240972948308606</v>
      </c>
    </row>
    <row r="163" spans="1:4" ht="20.100000000000001" customHeight="1" x14ac:dyDescent="0.2">
      <c r="A163" s="6" t="s">
        <v>1658</v>
      </c>
      <c r="B163" s="7" t="s">
        <v>1659</v>
      </c>
      <c r="C163" s="190">
        <v>0.39213118739181108</v>
      </c>
      <c r="D163" s="190">
        <v>6.8101326934809894</v>
      </c>
    </row>
    <row r="164" spans="1:4" ht="20.100000000000001" customHeight="1" x14ac:dyDescent="0.2">
      <c r="A164" s="6" t="s">
        <v>1660</v>
      </c>
      <c r="B164" s="7" t="s">
        <v>1661</v>
      </c>
      <c r="C164" s="190">
        <v>0</v>
      </c>
      <c r="D164" s="190">
        <v>4.694492784945479E-3</v>
      </c>
    </row>
    <row r="165" spans="1:4" ht="20.100000000000001" customHeight="1" x14ac:dyDescent="0.2">
      <c r="A165" s="6" t="s">
        <v>1662</v>
      </c>
      <c r="B165" s="7" t="s">
        <v>1663</v>
      </c>
      <c r="C165" s="190">
        <v>0</v>
      </c>
      <c r="D165" s="190">
        <v>-0.83887052941060714</v>
      </c>
    </row>
    <row r="166" spans="1:4" ht="20.100000000000001" customHeight="1" x14ac:dyDescent="0.2">
      <c r="A166" s="6" t="s">
        <v>1664</v>
      </c>
      <c r="B166" s="7" t="s">
        <v>1663</v>
      </c>
      <c r="C166" s="190">
        <v>0</v>
      </c>
      <c r="D166" s="190">
        <v>-0.46786077490977424</v>
      </c>
    </row>
    <row r="167" spans="1:4" ht="20.100000000000001" customHeight="1" x14ac:dyDescent="0.2">
      <c r="A167" s="6" t="s">
        <v>1665</v>
      </c>
      <c r="B167" s="7" t="s">
        <v>1666</v>
      </c>
      <c r="C167" s="190">
        <v>11.128427864901354</v>
      </c>
      <c r="D167" s="190">
        <v>-9.2337933881810219</v>
      </c>
    </row>
    <row r="168" spans="1:4" ht="20.100000000000001" customHeight="1" x14ac:dyDescent="0.2">
      <c r="A168" s="6" t="s">
        <v>1667</v>
      </c>
      <c r="B168" s="7" t="s">
        <v>1668</v>
      </c>
      <c r="C168" s="190">
        <v>0</v>
      </c>
      <c r="D168" s="190">
        <v>-0.46705094752998955</v>
      </c>
    </row>
    <row r="169" spans="1:4" ht="20.100000000000001" customHeight="1" x14ac:dyDescent="0.2">
      <c r="A169" s="6" t="s">
        <v>1669</v>
      </c>
      <c r="B169" s="7" t="s">
        <v>1670</v>
      </c>
      <c r="C169" s="190">
        <v>0</v>
      </c>
      <c r="D169" s="190">
        <v>-3.324490144349572E-2</v>
      </c>
    </row>
    <row r="170" spans="1:4" ht="20.100000000000001" customHeight="1" x14ac:dyDescent="0.2">
      <c r="A170" s="6" t="s">
        <v>1671</v>
      </c>
      <c r="B170" s="7" t="s">
        <v>1670</v>
      </c>
      <c r="C170" s="190">
        <v>0</v>
      </c>
      <c r="D170" s="190">
        <v>-3.3560468744424303E-2</v>
      </c>
    </row>
    <row r="171" spans="1:4" ht="20.100000000000001" customHeight="1" x14ac:dyDescent="0.2">
      <c r="A171" s="6" t="s">
        <v>1672</v>
      </c>
      <c r="B171" s="7" t="s">
        <v>1673</v>
      </c>
      <c r="C171" s="190">
        <v>-0.30851873361041299</v>
      </c>
      <c r="D171" s="190">
        <v>5.7254544290203574E-2</v>
      </c>
    </row>
    <row r="172" spans="1:4" ht="20.100000000000001" customHeight="1" x14ac:dyDescent="0.2">
      <c r="A172" s="6" t="s">
        <v>1674</v>
      </c>
      <c r="B172" s="7" t="s">
        <v>1675</v>
      </c>
      <c r="C172" s="190">
        <v>0.55524144251644969</v>
      </c>
      <c r="D172" s="190">
        <v>5.5387215941763488</v>
      </c>
    </row>
    <row r="173" spans="1:4" ht="20.100000000000001" customHeight="1" x14ac:dyDescent="0.2">
      <c r="A173" s="6" t="s">
        <v>1676</v>
      </c>
      <c r="B173" s="7" t="s">
        <v>1677</v>
      </c>
      <c r="C173" s="190">
        <v>0</v>
      </c>
      <c r="D173" s="190">
        <v>1.3398100464296328</v>
      </c>
    </row>
    <row r="174" spans="1:4" ht="20.100000000000001" customHeight="1" x14ac:dyDescent="0.2">
      <c r="A174" s="6" t="s">
        <v>1678</v>
      </c>
      <c r="B174" s="7" t="s">
        <v>1679</v>
      </c>
      <c r="C174" s="190">
        <v>-0.8775887153595312</v>
      </c>
      <c r="D174" s="190">
        <v>5.1356271195244272</v>
      </c>
    </row>
    <row r="175" spans="1:4" ht="20.100000000000001" customHeight="1" x14ac:dyDescent="0.2">
      <c r="A175" s="6" t="s">
        <v>1680</v>
      </c>
      <c r="B175" s="7" t="s">
        <v>1681</v>
      </c>
      <c r="C175" s="190">
        <v>10.464349143351404</v>
      </c>
      <c r="D175" s="190">
        <v>0.53512964473183788</v>
      </c>
    </row>
    <row r="176" spans="1:4" ht="20.100000000000001" customHeight="1" x14ac:dyDescent="0.2">
      <c r="A176" s="6" t="s">
        <v>1682</v>
      </c>
      <c r="B176" s="7" t="s">
        <v>1683</v>
      </c>
      <c r="C176" s="190">
        <v>1.5212798588454954</v>
      </c>
      <c r="D176" s="190">
        <v>8.9814216141774672</v>
      </c>
    </row>
    <row r="177" spans="1:4" ht="20.100000000000001" customHeight="1" x14ac:dyDescent="0.2">
      <c r="A177" s="6" t="s">
        <v>1684</v>
      </c>
      <c r="B177" s="7" t="s">
        <v>1685</v>
      </c>
      <c r="C177" s="190">
        <v>2.9078299445038303</v>
      </c>
      <c r="D177" s="190">
        <v>9.6763536375696404</v>
      </c>
    </row>
    <row r="178" spans="1:4" ht="20.100000000000001" customHeight="1" x14ac:dyDescent="0.2">
      <c r="A178" s="6" t="s">
        <v>1686</v>
      </c>
      <c r="B178" s="7" t="s">
        <v>1687</v>
      </c>
      <c r="C178" s="190">
        <v>24.681626218745734</v>
      </c>
      <c r="D178" s="190">
        <v>1.2165071998399375</v>
      </c>
    </row>
    <row r="179" spans="1:4" ht="20.100000000000001" customHeight="1" x14ac:dyDescent="0.2">
      <c r="A179" s="6" t="s">
        <v>1688</v>
      </c>
      <c r="B179" s="7" t="s">
        <v>1689</v>
      </c>
      <c r="C179" s="190">
        <v>1.0466012954883392</v>
      </c>
      <c r="D179" s="190">
        <v>0.33386458520764783</v>
      </c>
    </row>
    <row r="180" spans="1:4" ht="20.100000000000001" customHeight="1" x14ac:dyDescent="0.2">
      <c r="A180" s="6" t="s">
        <v>1690</v>
      </c>
      <c r="B180" s="7" t="s">
        <v>1691</v>
      </c>
      <c r="C180" s="190">
        <v>1.1640969954686904</v>
      </c>
      <c r="D180" s="190">
        <v>1.2545245200807609</v>
      </c>
    </row>
    <row r="181" spans="1:4" ht="20.100000000000001" customHeight="1" x14ac:dyDescent="0.2">
      <c r="A181" s="6" t="s">
        <v>1692</v>
      </c>
      <c r="B181" s="7" t="s">
        <v>1693</v>
      </c>
      <c r="C181" s="190">
        <v>1.658043885533707</v>
      </c>
      <c r="D181" s="190">
        <v>2.0342751924955258</v>
      </c>
    </row>
    <row r="182" spans="1:4" ht="20.100000000000001" customHeight="1" x14ac:dyDescent="0.2">
      <c r="A182" s="6" t="s">
        <v>1694</v>
      </c>
      <c r="B182" s="7" t="s">
        <v>1695</v>
      </c>
      <c r="C182" s="190">
        <v>2.4614451030339981</v>
      </c>
      <c r="D182" s="190">
        <v>3.4565361737780886</v>
      </c>
    </row>
    <row r="183" spans="1:4" ht="20.100000000000001" customHeight="1" x14ac:dyDescent="0.2">
      <c r="A183" s="6" t="s">
        <v>1696</v>
      </c>
      <c r="B183" s="7" t="s">
        <v>1697</v>
      </c>
      <c r="C183" s="190">
        <v>1.7072059496151861</v>
      </c>
      <c r="D183" s="190">
        <v>4.0240660721663692</v>
      </c>
    </row>
    <row r="184" spans="1:4" ht="20.100000000000001" customHeight="1" x14ac:dyDescent="0.2">
      <c r="A184" s="6" t="s">
        <v>1698</v>
      </c>
      <c r="B184" s="7" t="s">
        <v>1699</v>
      </c>
      <c r="C184" s="190">
        <v>-0.14218073554782942</v>
      </c>
      <c r="D184" s="190">
        <v>5.0230476193361602</v>
      </c>
    </row>
    <row r="185" spans="1:4" ht="20.100000000000001" customHeight="1" x14ac:dyDescent="0.2">
      <c r="A185" s="6" t="s">
        <v>1700</v>
      </c>
      <c r="B185" s="7" t="s">
        <v>1701</v>
      </c>
      <c r="C185" s="190">
        <v>5.6342295159852291</v>
      </c>
      <c r="D185" s="190">
        <v>-3.3864859678577668</v>
      </c>
    </row>
    <row r="186" spans="1:4" ht="20.100000000000001" customHeight="1" x14ac:dyDescent="0.2">
      <c r="A186" s="6" t="s">
        <v>1702</v>
      </c>
      <c r="B186" s="7" t="s">
        <v>1703</v>
      </c>
      <c r="C186" s="190">
        <v>2.8040149890165615</v>
      </c>
      <c r="D186" s="190">
        <v>-0.54693191066431968</v>
      </c>
    </row>
    <row r="187" spans="1:4" ht="20.100000000000001" customHeight="1" x14ac:dyDescent="0.2">
      <c r="A187" s="6" t="s">
        <v>1704</v>
      </c>
      <c r="B187" s="7" t="s">
        <v>1705</v>
      </c>
      <c r="C187" s="190">
        <v>10.85629437972449</v>
      </c>
      <c r="D187" s="190">
        <v>2.4035921455126577</v>
      </c>
    </row>
    <row r="188" spans="1:4" ht="20.100000000000001" customHeight="1" x14ac:dyDescent="0.2">
      <c r="A188" s="6" t="s">
        <v>1706</v>
      </c>
      <c r="B188" s="7" t="s">
        <v>1707</v>
      </c>
      <c r="C188" s="190">
        <v>8.9030620480293265</v>
      </c>
      <c r="D188" s="190">
        <v>5.5469609241724189</v>
      </c>
    </row>
    <row r="189" spans="1:4" ht="20.100000000000001" customHeight="1" x14ac:dyDescent="0.2">
      <c r="A189" s="6" t="s">
        <v>1708</v>
      </c>
      <c r="B189" s="7" t="s">
        <v>1709</v>
      </c>
      <c r="C189" s="190">
        <v>0</v>
      </c>
      <c r="D189" s="190">
        <v>0.1506582298137491</v>
      </c>
    </row>
    <row r="190" spans="1:4" ht="20.100000000000001" customHeight="1" x14ac:dyDescent="0.2">
      <c r="A190" s="6" t="s">
        <v>1710</v>
      </c>
      <c r="B190" s="7" t="s">
        <v>1711</v>
      </c>
      <c r="C190" s="190">
        <v>1.2621637559557186</v>
      </c>
      <c r="D190" s="190">
        <v>8.9049075798443518</v>
      </c>
    </row>
    <row r="191" spans="1:4" ht="20.100000000000001" customHeight="1" x14ac:dyDescent="0.2">
      <c r="A191" s="6" t="s">
        <v>1712</v>
      </c>
      <c r="B191" s="7" t="s">
        <v>1713</v>
      </c>
      <c r="C191" s="190">
        <v>9.7823704459686027</v>
      </c>
      <c r="D191" s="190">
        <v>3.1680030458876409</v>
      </c>
    </row>
    <row r="192" spans="1:4" ht="20.100000000000001" customHeight="1" x14ac:dyDescent="0.2">
      <c r="A192" s="6" t="s">
        <v>1714</v>
      </c>
      <c r="B192" s="7" t="s">
        <v>1715</v>
      </c>
      <c r="C192" s="190">
        <v>4.1852684521726697</v>
      </c>
      <c r="D192" s="190">
        <v>-0.44246029363785488</v>
      </c>
    </row>
    <row r="193" spans="1:4" ht="20.100000000000001" customHeight="1" x14ac:dyDescent="0.2">
      <c r="A193" s="6" t="s">
        <v>1716</v>
      </c>
      <c r="B193" s="7" t="s">
        <v>1717</v>
      </c>
      <c r="C193" s="190">
        <v>0</v>
      </c>
      <c r="D193" s="190">
        <v>-3.9781690034400186E-2</v>
      </c>
    </row>
    <row r="194" spans="1:4" ht="20.100000000000001" customHeight="1" x14ac:dyDescent="0.2">
      <c r="A194" s="6" t="s">
        <v>1718</v>
      </c>
      <c r="B194" s="7" t="s">
        <v>1719</v>
      </c>
      <c r="C194" s="190">
        <v>3.9603835108649538E-2</v>
      </c>
      <c r="D194" s="190">
        <v>2.1382465964059207</v>
      </c>
    </row>
    <row r="195" spans="1:4" ht="20.100000000000001" customHeight="1" x14ac:dyDescent="0.2">
      <c r="A195" s="6" t="s">
        <v>1720</v>
      </c>
      <c r="B195" s="7" t="s">
        <v>1721</v>
      </c>
      <c r="C195" s="190">
        <v>0</v>
      </c>
      <c r="D195" s="190">
        <v>1.8137755496864512</v>
      </c>
    </row>
    <row r="196" spans="1:4" ht="20.100000000000001" customHeight="1" x14ac:dyDescent="0.2">
      <c r="A196" s="6" t="s">
        <v>1722</v>
      </c>
      <c r="B196" s="7" t="s">
        <v>1723</v>
      </c>
      <c r="C196" s="190">
        <v>0</v>
      </c>
      <c r="D196" s="190">
        <v>0.95861927549576897</v>
      </c>
    </row>
    <row r="197" spans="1:4" ht="20.100000000000001" customHeight="1" x14ac:dyDescent="0.2">
      <c r="A197" s="6" t="s">
        <v>1724</v>
      </c>
      <c r="B197" s="7" t="s">
        <v>1725</v>
      </c>
      <c r="C197" s="190">
        <v>2.1981197935052812</v>
      </c>
      <c r="D197" s="190">
        <v>0.36519002711244353</v>
      </c>
    </row>
    <row r="198" spans="1:4" ht="20.100000000000001" customHeight="1" x14ac:dyDescent="0.2">
      <c r="A198" s="6" t="s">
        <v>1726</v>
      </c>
      <c r="B198" s="7" t="s">
        <v>1727</v>
      </c>
      <c r="C198" s="190">
        <v>0</v>
      </c>
      <c r="D198" s="190">
        <v>0</v>
      </c>
    </row>
    <row r="199" spans="1:4" ht="20.100000000000001" customHeight="1" x14ac:dyDescent="0.2">
      <c r="A199" s="6" t="s">
        <v>1728</v>
      </c>
      <c r="B199" s="7" t="s">
        <v>1729</v>
      </c>
      <c r="C199" s="190">
        <v>0</v>
      </c>
      <c r="D199" s="190">
        <v>0.32943606430926309</v>
      </c>
    </row>
    <row r="200" spans="1:4" ht="20.100000000000001" customHeight="1" x14ac:dyDescent="0.2">
      <c r="A200" s="6" t="s">
        <v>1730</v>
      </c>
      <c r="B200" s="7" t="s">
        <v>1731</v>
      </c>
      <c r="C200" s="190">
        <v>-5.4169763098200479</v>
      </c>
      <c r="D200" s="190">
        <v>1.3253144453436994</v>
      </c>
    </row>
    <row r="201" spans="1:4" ht="20.100000000000001" customHeight="1" x14ac:dyDescent="0.2">
      <c r="A201" s="6" t="s">
        <v>1732</v>
      </c>
      <c r="B201" s="7" t="s">
        <v>1731</v>
      </c>
      <c r="C201" s="190">
        <v>-5.4166973669016301</v>
      </c>
      <c r="D201" s="190">
        <v>1.3252862078755092</v>
      </c>
    </row>
    <row r="202" spans="1:4" ht="20.100000000000001" customHeight="1" x14ac:dyDescent="0.2">
      <c r="A202" s="6" t="s">
        <v>1733</v>
      </c>
      <c r="B202" s="7" t="s">
        <v>1734</v>
      </c>
      <c r="C202" s="190">
        <v>6.838556799286561</v>
      </c>
      <c r="D202" s="190">
        <v>-0.31552797822686773</v>
      </c>
    </row>
    <row r="203" spans="1:4" ht="20.100000000000001" customHeight="1" x14ac:dyDescent="0.2">
      <c r="A203" s="6" t="s">
        <v>1735</v>
      </c>
      <c r="B203" s="7" t="s">
        <v>1736</v>
      </c>
      <c r="C203" s="190">
        <v>3.4003724924686014E-2</v>
      </c>
      <c r="D203" s="190">
        <v>-7.8472954012116635E-3</v>
      </c>
    </row>
    <row r="204" spans="1:4" ht="20.100000000000001" customHeight="1" x14ac:dyDescent="0.2">
      <c r="A204" s="6" t="s">
        <v>1737</v>
      </c>
      <c r="B204" s="7" t="s">
        <v>1736</v>
      </c>
      <c r="C204" s="190">
        <v>3.3970026243921127E-2</v>
      </c>
      <c r="D204" s="190">
        <v>-2.851832954792137E-2</v>
      </c>
    </row>
    <row r="205" spans="1:4" ht="20.100000000000001" customHeight="1" x14ac:dyDescent="0.2">
      <c r="A205" s="6" t="s">
        <v>1738</v>
      </c>
      <c r="B205" s="7" t="s">
        <v>1739</v>
      </c>
      <c r="C205" s="190">
        <v>24.226102185286571</v>
      </c>
      <c r="D205" s="190">
        <v>-3.6119303776018166</v>
      </c>
    </row>
    <row r="206" spans="1:4" ht="20.100000000000001" customHeight="1" x14ac:dyDescent="0.2">
      <c r="A206" s="6" t="s">
        <v>1740</v>
      </c>
      <c r="B206" s="7" t="s">
        <v>1741</v>
      </c>
      <c r="C206" s="190">
        <v>26.45779020367025</v>
      </c>
      <c r="D206" s="190">
        <v>-4.9239012222067302</v>
      </c>
    </row>
    <row r="207" spans="1:4" ht="20.100000000000001" customHeight="1" x14ac:dyDescent="0.2">
      <c r="A207" s="6" t="s">
        <v>1742</v>
      </c>
      <c r="B207" s="7" t="s">
        <v>1743</v>
      </c>
      <c r="C207" s="190">
        <v>16.965222720343142</v>
      </c>
      <c r="D207" s="190">
        <v>-1.2334715935781819</v>
      </c>
    </row>
    <row r="208" spans="1:4" ht="20.100000000000001" customHeight="1" x14ac:dyDescent="0.2">
      <c r="A208" s="6" t="s">
        <v>1744</v>
      </c>
      <c r="B208" s="7" t="s">
        <v>1745</v>
      </c>
      <c r="C208" s="190">
        <v>4.6774699809336173</v>
      </c>
      <c r="D208" s="190">
        <v>9.6142686056937876</v>
      </c>
    </row>
    <row r="209" spans="1:4" ht="20.100000000000001" customHeight="1" x14ac:dyDescent="0.2">
      <c r="A209" s="6" t="s">
        <v>1746</v>
      </c>
      <c r="B209" s="7" t="s">
        <v>1747</v>
      </c>
      <c r="C209" s="190">
        <v>3.0263039369306961</v>
      </c>
      <c r="D209" s="190">
        <v>0.13146179697274363</v>
      </c>
    </row>
    <row r="210" spans="1:4" ht="20.100000000000001" customHeight="1" x14ac:dyDescent="0.2">
      <c r="A210" s="6" t="s">
        <v>1748</v>
      </c>
      <c r="B210" s="7" t="s">
        <v>1749</v>
      </c>
      <c r="C210" s="190">
        <v>5.6460464713042464</v>
      </c>
      <c r="D210" s="190">
        <v>1.028667372248756</v>
      </c>
    </row>
    <row r="211" spans="1:4" ht="20.100000000000001" customHeight="1" x14ac:dyDescent="0.2">
      <c r="A211" s="6" t="s">
        <v>1750</v>
      </c>
      <c r="B211" s="7" t="s">
        <v>1751</v>
      </c>
      <c r="C211" s="190">
        <v>0</v>
      </c>
      <c r="D211" s="190">
        <v>-1.709406531310244</v>
      </c>
    </row>
    <row r="212" spans="1:4" ht="20.100000000000001" customHeight="1" x14ac:dyDescent="0.2">
      <c r="A212" s="6" t="s">
        <v>1752</v>
      </c>
      <c r="B212" s="7" t="s">
        <v>1753</v>
      </c>
      <c r="C212" s="190">
        <v>-2.5955541694674555</v>
      </c>
      <c r="D212" s="190">
        <v>1.2594039356180255</v>
      </c>
    </row>
    <row r="213" spans="1:4" ht="20.100000000000001" customHeight="1" x14ac:dyDescent="0.2">
      <c r="A213" s="6" t="s">
        <v>1754</v>
      </c>
      <c r="B213" s="7" t="s">
        <v>1755</v>
      </c>
      <c r="C213" s="190">
        <v>1.8833281670490365</v>
      </c>
      <c r="D213" s="190">
        <v>4.9282788096989432</v>
      </c>
    </row>
    <row r="214" spans="1:4" ht="20.100000000000001" customHeight="1" x14ac:dyDescent="0.2">
      <c r="A214" s="6" t="s">
        <v>1756</v>
      </c>
      <c r="B214" s="7" t="s">
        <v>1757</v>
      </c>
      <c r="C214" s="190">
        <v>-4.6460266482772612</v>
      </c>
      <c r="D214" s="190">
        <v>2.9968582473997083</v>
      </c>
    </row>
    <row r="215" spans="1:4" ht="20.100000000000001" customHeight="1" x14ac:dyDescent="0.2">
      <c r="A215" s="6" t="s">
        <v>1758</v>
      </c>
      <c r="B215" s="7" t="s">
        <v>1759</v>
      </c>
      <c r="C215" s="190">
        <v>-1.5979384104500052</v>
      </c>
      <c r="D215" s="190">
        <v>23.934780067416639</v>
      </c>
    </row>
    <row r="216" spans="1:4" ht="20.100000000000001" customHeight="1" x14ac:dyDescent="0.2">
      <c r="A216" s="6" t="s">
        <v>1760</v>
      </c>
      <c r="B216" s="7" t="s">
        <v>1759</v>
      </c>
      <c r="C216" s="190">
        <v>-0.54170441430556426</v>
      </c>
      <c r="D216" s="190">
        <v>24.329505009968031</v>
      </c>
    </row>
    <row r="217" spans="1:4" ht="20.100000000000001" customHeight="1" x14ac:dyDescent="0.2">
      <c r="A217" s="6" t="s">
        <v>1761</v>
      </c>
      <c r="B217" s="7" t="s">
        <v>1762</v>
      </c>
      <c r="C217" s="190">
        <v>6.4414393472169618</v>
      </c>
      <c r="D217" s="190">
        <v>16.400698529401993</v>
      </c>
    </row>
    <row r="218" spans="1:4" ht="20.100000000000001" customHeight="1" x14ac:dyDescent="0.2">
      <c r="A218" s="6" t="s">
        <v>1763</v>
      </c>
      <c r="B218" s="7" t="s">
        <v>1764</v>
      </c>
      <c r="C218" s="190">
        <v>0</v>
      </c>
      <c r="D218" s="190">
        <v>2.0512564397488693</v>
      </c>
    </row>
    <row r="219" spans="1:4" ht="20.100000000000001" customHeight="1" x14ac:dyDescent="0.2">
      <c r="A219" s="6" t="s">
        <v>1765</v>
      </c>
      <c r="B219" s="7" t="s">
        <v>1764</v>
      </c>
      <c r="C219" s="190">
        <v>0</v>
      </c>
      <c r="D219" s="190">
        <v>2.2746435065803672</v>
      </c>
    </row>
    <row r="220" spans="1:4" ht="20.100000000000001" customHeight="1" x14ac:dyDescent="0.2">
      <c r="A220" s="6" t="s">
        <v>1766</v>
      </c>
      <c r="B220" s="7" t="s">
        <v>1767</v>
      </c>
      <c r="C220" s="190">
        <v>0</v>
      </c>
      <c r="D220" s="190">
        <v>4.7794709450856612</v>
      </c>
    </row>
    <row r="221" spans="1:4" ht="20.100000000000001" customHeight="1" x14ac:dyDescent="0.2">
      <c r="A221" s="6" t="s">
        <v>1768</v>
      </c>
      <c r="B221" s="7" t="s">
        <v>1767</v>
      </c>
      <c r="C221" s="190">
        <v>0</v>
      </c>
      <c r="D221" s="190">
        <v>4.7811792911998996</v>
      </c>
    </row>
    <row r="222" spans="1:4" ht="20.100000000000001" customHeight="1" x14ac:dyDescent="0.2">
      <c r="A222" s="6" t="s">
        <v>1769</v>
      </c>
      <c r="B222" s="7" t="s">
        <v>1770</v>
      </c>
      <c r="C222" s="190">
        <v>7.0396936371881971</v>
      </c>
      <c r="D222" s="190">
        <v>9.9643062726933813</v>
      </c>
    </row>
    <row r="223" spans="1:4" ht="20.100000000000001" customHeight="1" x14ac:dyDescent="0.2">
      <c r="A223" s="6" t="s">
        <v>1771</v>
      </c>
      <c r="B223" s="7" t="s">
        <v>1772</v>
      </c>
      <c r="C223" s="190">
        <v>1.570351353506549</v>
      </c>
      <c r="D223" s="190">
        <v>5.7372354907585716</v>
      </c>
    </row>
    <row r="224" spans="1:4" ht="20.100000000000001" customHeight="1" x14ac:dyDescent="0.2">
      <c r="A224" s="6" t="s">
        <v>1773</v>
      </c>
      <c r="B224" s="7" t="s">
        <v>1774</v>
      </c>
      <c r="C224" s="190">
        <v>-1.59098527485189E-3</v>
      </c>
      <c r="D224" s="190">
        <v>7.3624304467328834</v>
      </c>
    </row>
    <row r="225" spans="1:4" ht="20.100000000000001" customHeight="1" x14ac:dyDescent="0.2">
      <c r="A225" s="6" t="s">
        <v>1775</v>
      </c>
      <c r="B225" s="7" t="s">
        <v>1776</v>
      </c>
      <c r="C225" s="190">
        <v>-1.5910376113501476E-3</v>
      </c>
      <c r="D225" s="190">
        <v>7.3623912781070562</v>
      </c>
    </row>
    <row r="226" spans="1:4" ht="20.100000000000001" customHeight="1" x14ac:dyDescent="0.2">
      <c r="A226" s="6" t="s">
        <v>1777</v>
      </c>
      <c r="B226" s="7" t="s">
        <v>1778</v>
      </c>
      <c r="C226" s="190">
        <v>3.9749871369084744</v>
      </c>
      <c r="D226" s="190">
        <v>7.6879550515242716</v>
      </c>
    </row>
    <row r="227" spans="1:4" ht="20.100000000000001" customHeight="1" x14ac:dyDescent="0.2">
      <c r="A227" s="6" t="s">
        <v>1779</v>
      </c>
      <c r="B227" s="7" t="s">
        <v>1780</v>
      </c>
      <c r="C227" s="190">
        <v>2.7631575226671625</v>
      </c>
      <c r="D227" s="190">
        <v>5.5401939932799635</v>
      </c>
    </row>
    <row r="228" spans="1:4" ht="20.100000000000001" customHeight="1" x14ac:dyDescent="0.2">
      <c r="A228" s="6" t="s">
        <v>1781</v>
      </c>
      <c r="B228" s="7" t="s">
        <v>1782</v>
      </c>
      <c r="C228" s="190">
        <v>4.5462577589590256E-3</v>
      </c>
      <c r="D228" s="190">
        <v>7.6189826964673264</v>
      </c>
    </row>
    <row r="229" spans="1:4" ht="20.100000000000001" customHeight="1" x14ac:dyDescent="0.2">
      <c r="A229" s="6" t="s">
        <v>1783</v>
      </c>
      <c r="B229" s="7" t="s">
        <v>1784</v>
      </c>
      <c r="C229" s="190">
        <v>0</v>
      </c>
      <c r="D229" s="190">
        <v>-1.1868222440723275</v>
      </c>
    </row>
    <row r="230" spans="1:4" ht="20.100000000000001" customHeight="1" x14ac:dyDescent="0.2">
      <c r="A230" s="6" t="s">
        <v>1785</v>
      </c>
      <c r="B230" s="7" t="s">
        <v>1784</v>
      </c>
      <c r="C230" s="190">
        <v>0</v>
      </c>
      <c r="D230" s="190">
        <v>0.11925222854158395</v>
      </c>
    </row>
    <row r="231" spans="1:4" ht="20.100000000000001" customHeight="1" x14ac:dyDescent="0.2">
      <c r="A231" s="6" t="s">
        <v>1786</v>
      </c>
      <c r="B231" s="7" t="s">
        <v>1787</v>
      </c>
      <c r="C231" s="190">
        <v>0</v>
      </c>
      <c r="D231" s="190">
        <v>3.7522365297345557</v>
      </c>
    </row>
    <row r="232" spans="1:4" ht="20.100000000000001" customHeight="1" x14ac:dyDescent="0.2">
      <c r="A232" s="6" t="s">
        <v>1788</v>
      </c>
      <c r="B232" s="7" t="s">
        <v>1787</v>
      </c>
      <c r="C232" s="190">
        <v>0</v>
      </c>
      <c r="D232" s="190">
        <v>3.622087108630839</v>
      </c>
    </row>
    <row r="233" spans="1:4" ht="20.100000000000001" customHeight="1" x14ac:dyDescent="0.2">
      <c r="A233" s="6" t="s">
        <v>1789</v>
      </c>
      <c r="B233" s="7" t="s">
        <v>1790</v>
      </c>
      <c r="C233" s="190">
        <v>0</v>
      </c>
      <c r="D233" s="190">
        <v>2.3938000865333664</v>
      </c>
    </row>
    <row r="234" spans="1:4" ht="20.100000000000001" customHeight="1" x14ac:dyDescent="0.2">
      <c r="A234" s="6" t="s">
        <v>1791</v>
      </c>
      <c r="B234" s="7" t="s">
        <v>1790</v>
      </c>
      <c r="C234" s="190">
        <v>0</v>
      </c>
      <c r="D234" s="190">
        <v>2.5762260600425435</v>
      </c>
    </row>
    <row r="235" spans="1:4" ht="20.100000000000001" customHeight="1" x14ac:dyDescent="0.2">
      <c r="A235" s="6" t="s">
        <v>1792</v>
      </c>
      <c r="B235" s="7" t="s">
        <v>1793</v>
      </c>
      <c r="C235" s="190">
        <v>0.92936783347260876</v>
      </c>
      <c r="D235" s="190">
        <v>-0.10878123638225566</v>
      </c>
    </row>
    <row r="236" spans="1:4" ht="20.100000000000001" customHeight="1" x14ac:dyDescent="0.2">
      <c r="A236" s="6" t="s">
        <v>1794</v>
      </c>
      <c r="B236" s="7" t="s">
        <v>1795</v>
      </c>
      <c r="C236" s="190">
        <v>3.9696203117146209E-2</v>
      </c>
      <c r="D236" s="190">
        <v>3.5155273939781875</v>
      </c>
    </row>
    <row r="237" spans="1:4" ht="20.100000000000001" customHeight="1" x14ac:dyDescent="0.2">
      <c r="A237" s="6" t="s">
        <v>1796</v>
      </c>
      <c r="B237" s="7" t="s">
        <v>1797</v>
      </c>
      <c r="C237" s="190">
        <v>3.9696203117146209E-2</v>
      </c>
      <c r="D237" s="190">
        <v>3.5162134211520772</v>
      </c>
    </row>
    <row r="238" spans="1:4" ht="20.100000000000001" customHeight="1" x14ac:dyDescent="0.2">
      <c r="A238" s="6" t="s">
        <v>1798</v>
      </c>
      <c r="B238" s="7" t="s">
        <v>1799</v>
      </c>
      <c r="C238" s="190">
        <v>1.1872584384590877E-3</v>
      </c>
      <c r="D238" s="190">
        <v>1.3323910538015538</v>
      </c>
    </row>
    <row r="239" spans="1:4" ht="20.100000000000001" customHeight="1" x14ac:dyDescent="0.2">
      <c r="A239" s="6" t="s">
        <v>1800</v>
      </c>
      <c r="B239" s="7" t="s">
        <v>1799</v>
      </c>
      <c r="C239" s="190">
        <v>1.8988189345613604E-3</v>
      </c>
      <c r="D239" s="190">
        <v>1.332582157964354</v>
      </c>
    </row>
    <row r="240" spans="1:4" ht="20.100000000000001" customHeight="1" x14ac:dyDescent="0.2">
      <c r="A240" s="6" t="s">
        <v>1801</v>
      </c>
      <c r="B240" s="7" t="s">
        <v>1802</v>
      </c>
      <c r="C240" s="190">
        <v>0.63167859825623029</v>
      </c>
      <c r="D240" s="190">
        <v>0.72535099742418763</v>
      </c>
    </row>
    <row r="241" spans="1:4" ht="20.100000000000001" customHeight="1" x14ac:dyDescent="0.2">
      <c r="A241" s="6" t="s">
        <v>1803</v>
      </c>
      <c r="B241" s="7" t="s">
        <v>1804</v>
      </c>
      <c r="C241" s="190">
        <v>2.2159131174780817E-2</v>
      </c>
      <c r="D241" s="190">
        <v>4.1352032855749208</v>
      </c>
    </row>
    <row r="242" spans="1:4" ht="20.100000000000001" customHeight="1" x14ac:dyDescent="0.2">
      <c r="A242" s="6" t="s">
        <v>1805</v>
      </c>
      <c r="B242" s="7" t="s">
        <v>1806</v>
      </c>
      <c r="C242" s="190">
        <v>8.9925370938010758</v>
      </c>
      <c r="D242" s="190">
        <v>-2.2287764310238023</v>
      </c>
    </row>
    <row r="243" spans="1:4" ht="20.100000000000001" customHeight="1" x14ac:dyDescent="0.2">
      <c r="A243" s="6" t="s">
        <v>1807</v>
      </c>
      <c r="B243" s="7" t="s">
        <v>1806</v>
      </c>
      <c r="C243" s="190">
        <v>10.171340019342061</v>
      </c>
      <c r="D243" s="190">
        <v>-2.1136965571699458</v>
      </c>
    </row>
    <row r="244" spans="1:4" ht="20.100000000000001" customHeight="1" x14ac:dyDescent="0.2">
      <c r="A244" s="6" t="s">
        <v>1808</v>
      </c>
      <c r="B244" s="7" t="s">
        <v>1809</v>
      </c>
      <c r="C244" s="190">
        <v>-2.5343643701309464</v>
      </c>
      <c r="D244" s="190">
        <v>0.10703987980480968</v>
      </c>
    </row>
    <row r="245" spans="1:4" ht="20.100000000000001" customHeight="1" x14ac:dyDescent="0.2">
      <c r="A245" s="6" t="s">
        <v>1810</v>
      </c>
      <c r="B245" s="7" t="s">
        <v>1811</v>
      </c>
      <c r="C245" s="190">
        <v>-2.4103840713908919</v>
      </c>
      <c r="D245" s="190">
        <v>0.22948005884241768</v>
      </c>
    </row>
    <row r="246" spans="1:4" ht="20.100000000000001" customHeight="1" x14ac:dyDescent="0.2">
      <c r="A246" s="6" t="s">
        <v>1812</v>
      </c>
      <c r="B246" s="7" t="s">
        <v>1813</v>
      </c>
      <c r="C246" s="190">
        <v>13.826754184265418</v>
      </c>
      <c r="D246" s="190">
        <v>-0.25612514135650011</v>
      </c>
    </row>
    <row r="247" spans="1:4" ht="20.100000000000001" customHeight="1" x14ac:dyDescent="0.2">
      <c r="A247" s="6" t="s">
        <v>1814</v>
      </c>
      <c r="B247" s="7" t="s">
        <v>1815</v>
      </c>
      <c r="C247" s="190">
        <v>0.21159808554463874</v>
      </c>
      <c r="D247" s="190">
        <v>0.80817232137362716</v>
      </c>
    </row>
    <row r="248" spans="1:4" ht="20.100000000000001" customHeight="1" x14ac:dyDescent="0.2">
      <c r="A248" s="6" t="s">
        <v>1816</v>
      </c>
      <c r="B248" s="7" t="s">
        <v>1815</v>
      </c>
      <c r="C248" s="190">
        <v>0.19506767550272017</v>
      </c>
      <c r="D248" s="190">
        <v>0.71347129335950177</v>
      </c>
    </row>
    <row r="249" spans="1:4" ht="20.100000000000001" customHeight="1" x14ac:dyDescent="0.2">
      <c r="A249" s="6" t="s">
        <v>1817</v>
      </c>
      <c r="B249" s="7" t="s">
        <v>1818</v>
      </c>
      <c r="C249" s="190">
        <v>-0.19451312376255236</v>
      </c>
      <c r="D249" s="190">
        <v>0.74662311452839081</v>
      </c>
    </row>
    <row r="250" spans="1:4" ht="20.100000000000001" customHeight="1" x14ac:dyDescent="0.2">
      <c r="A250" s="6" t="s">
        <v>1819</v>
      </c>
      <c r="B250" s="7" t="s">
        <v>1820</v>
      </c>
      <c r="C250" s="190">
        <v>0.27660637901392893</v>
      </c>
      <c r="D250" s="190">
        <v>2.2515667164031856</v>
      </c>
    </row>
    <row r="251" spans="1:4" ht="20.100000000000001" customHeight="1" x14ac:dyDescent="0.2">
      <c r="A251" s="6" t="s">
        <v>1821</v>
      </c>
      <c r="B251" s="7" t="s">
        <v>1822</v>
      </c>
      <c r="C251" s="190">
        <v>0</v>
      </c>
      <c r="D251" s="190">
        <v>-1.1038609791301923</v>
      </c>
    </row>
    <row r="252" spans="1:4" ht="20.100000000000001" customHeight="1" x14ac:dyDescent="0.2">
      <c r="A252" s="6" t="s">
        <v>1823</v>
      </c>
      <c r="B252" s="7" t="s">
        <v>1822</v>
      </c>
      <c r="C252" s="190">
        <v>0</v>
      </c>
      <c r="D252" s="190">
        <v>-0.8157947403740764</v>
      </c>
    </row>
    <row r="253" spans="1:4" ht="20.100000000000001" customHeight="1" x14ac:dyDescent="0.2">
      <c r="A253" s="6" t="s">
        <v>1824</v>
      </c>
      <c r="B253" s="7" t="s">
        <v>1825</v>
      </c>
      <c r="C253" s="190">
        <v>0</v>
      </c>
      <c r="D253" s="190">
        <v>4.9072036036035575E-3</v>
      </c>
    </row>
    <row r="254" spans="1:4" ht="20.100000000000001" customHeight="1" x14ac:dyDescent="0.2">
      <c r="A254" s="6" t="s">
        <v>1826</v>
      </c>
      <c r="B254" s="7" t="s">
        <v>1827</v>
      </c>
      <c r="C254" s="190">
        <v>0</v>
      </c>
      <c r="D254" s="190">
        <v>2.8134086568029876E-2</v>
      </c>
    </row>
    <row r="255" spans="1:4" ht="20.100000000000001" customHeight="1" x14ac:dyDescent="0.2">
      <c r="A255" s="6" t="s">
        <v>1828</v>
      </c>
      <c r="B255" s="7" t="s">
        <v>1829</v>
      </c>
      <c r="C255" s="190">
        <v>0</v>
      </c>
      <c r="D255" s="190">
        <v>2.9291088864071408</v>
      </c>
    </row>
    <row r="256" spans="1:4" ht="20.100000000000001" customHeight="1" x14ac:dyDescent="0.2">
      <c r="A256" s="6" t="s">
        <v>1830</v>
      </c>
      <c r="B256" s="7" t="s">
        <v>1831</v>
      </c>
      <c r="C256" s="190">
        <v>0</v>
      </c>
      <c r="D256" s="190">
        <v>2.4781655778845648</v>
      </c>
    </row>
    <row r="257" spans="1:4" ht="20.100000000000001" customHeight="1" x14ac:dyDescent="0.2">
      <c r="A257" s="6" t="s">
        <v>1832</v>
      </c>
      <c r="B257" s="7" t="s">
        <v>1833</v>
      </c>
      <c r="C257" s="190">
        <v>0.49968069313798824</v>
      </c>
      <c r="D257" s="190">
        <v>0.17377162026292853</v>
      </c>
    </row>
    <row r="258" spans="1:4" ht="20.100000000000001" customHeight="1" x14ac:dyDescent="0.2">
      <c r="A258" s="6" t="s">
        <v>1834</v>
      </c>
      <c r="B258" s="7" t="s">
        <v>1835</v>
      </c>
      <c r="C258" s="190">
        <v>0</v>
      </c>
      <c r="D258" s="190">
        <v>0.24079814511686562</v>
      </c>
    </row>
    <row r="259" spans="1:4" ht="20.100000000000001" customHeight="1" x14ac:dyDescent="0.2">
      <c r="A259" s="6" t="s">
        <v>1836</v>
      </c>
      <c r="B259" s="7" t="s">
        <v>1837</v>
      </c>
      <c r="C259" s="190">
        <v>0</v>
      </c>
      <c r="D259" s="190">
        <v>0</v>
      </c>
    </row>
    <row r="260" spans="1:4" ht="20.100000000000001" customHeight="1" x14ac:dyDescent="0.2">
      <c r="A260" s="6" t="s">
        <v>1838</v>
      </c>
      <c r="B260" s="7" t="s">
        <v>1839</v>
      </c>
      <c r="C260" s="190">
        <v>0.17787353692040625</v>
      </c>
      <c r="D260" s="190">
        <v>0</v>
      </c>
    </row>
    <row r="261" spans="1:4" ht="20.100000000000001" customHeight="1" x14ac:dyDescent="0.2">
      <c r="A261" s="6" t="s">
        <v>1840</v>
      </c>
      <c r="B261" s="7" t="s">
        <v>1841</v>
      </c>
      <c r="C261" s="190">
        <v>1.0439920589040339</v>
      </c>
      <c r="D261" s="190">
        <v>-9.6347831113289997E-2</v>
      </c>
    </row>
    <row r="262" spans="1:4" ht="20.100000000000001" customHeight="1" x14ac:dyDescent="0.2">
      <c r="A262" s="6" t="s">
        <v>1842</v>
      </c>
      <c r="B262" s="7" t="s">
        <v>1843</v>
      </c>
      <c r="C262" s="190">
        <v>0</v>
      </c>
      <c r="D262" s="190">
        <v>1.4264351457961169</v>
      </c>
    </row>
    <row r="263" spans="1:4" ht="20.100000000000001" customHeight="1" x14ac:dyDescent="0.2">
      <c r="A263" s="6" t="s">
        <v>1844</v>
      </c>
      <c r="B263" s="7" t="s">
        <v>1845</v>
      </c>
      <c r="C263" s="190">
        <v>2.3216678777980606</v>
      </c>
      <c r="D263" s="190">
        <v>1.5725276054391824</v>
      </c>
    </row>
    <row r="264" spans="1:4" ht="20.100000000000001" customHeight="1" x14ac:dyDescent="0.2">
      <c r="A264" s="6" t="s">
        <v>1846</v>
      </c>
      <c r="B264" s="7" t="s">
        <v>1847</v>
      </c>
      <c r="C264" s="190">
        <v>2.3207912137849873</v>
      </c>
      <c r="D264" s="190">
        <v>1.5717408807692519</v>
      </c>
    </row>
    <row r="265" spans="1:4" ht="20.100000000000001" customHeight="1" x14ac:dyDescent="0.2">
      <c r="A265" s="6" t="s">
        <v>1848</v>
      </c>
      <c r="B265" s="7" t="s">
        <v>1849</v>
      </c>
      <c r="C265" s="190">
        <v>1.1808577334929942</v>
      </c>
      <c r="D265" s="190">
        <v>7.4786689998818962E-2</v>
      </c>
    </row>
    <row r="266" spans="1:4" ht="20.100000000000001" customHeight="1" x14ac:dyDescent="0.2">
      <c r="A266" s="6" t="s">
        <v>1850</v>
      </c>
      <c r="B266" s="7" t="s">
        <v>1851</v>
      </c>
      <c r="C266" s="190">
        <v>0.84285988841460369</v>
      </c>
      <c r="D266" s="190">
        <v>0.21758089149490925</v>
      </c>
    </row>
    <row r="267" spans="1:4" ht="20.100000000000001" customHeight="1" x14ac:dyDescent="0.2">
      <c r="A267" s="6" t="s">
        <v>1852</v>
      </c>
      <c r="B267" s="7" t="s">
        <v>1853</v>
      </c>
      <c r="C267" s="190">
        <v>1.7891896731782218</v>
      </c>
      <c r="D267" s="190">
        <v>0.37557869874357908</v>
      </c>
    </row>
    <row r="268" spans="1:4" ht="20.100000000000001" customHeight="1" x14ac:dyDescent="0.2">
      <c r="A268" s="6" t="s">
        <v>1854</v>
      </c>
      <c r="B268" s="7" t="s">
        <v>1855</v>
      </c>
      <c r="C268" s="190">
        <v>0.22144599047556307</v>
      </c>
      <c r="D268" s="190">
        <v>1.1266717156625061</v>
      </c>
    </row>
    <row r="269" spans="1:4" ht="20.100000000000001" customHeight="1" x14ac:dyDescent="0.2">
      <c r="A269" s="6" t="s">
        <v>1856</v>
      </c>
      <c r="B269" s="7" t="s">
        <v>1857</v>
      </c>
      <c r="C269" s="190">
        <v>9.0343547519733058E-2</v>
      </c>
      <c r="D269" s="190">
        <v>0.26474177554348627</v>
      </c>
    </row>
    <row r="270" spans="1:4" ht="20.100000000000001" customHeight="1" x14ac:dyDescent="0.2">
      <c r="A270" s="6" t="s">
        <v>1858</v>
      </c>
      <c r="B270" s="7" t="s">
        <v>1859</v>
      </c>
      <c r="C270" s="190">
        <v>-0.5510407347096361</v>
      </c>
      <c r="D270" s="190">
        <v>0.31713591377398814</v>
      </c>
    </row>
    <row r="271" spans="1:4" ht="20.100000000000001" customHeight="1" x14ac:dyDescent="0.2">
      <c r="A271" s="6" t="s">
        <v>1860</v>
      </c>
      <c r="B271" s="7" t="s">
        <v>1861</v>
      </c>
      <c r="C271" s="190">
        <v>0</v>
      </c>
      <c r="D271" s="190">
        <v>-1.4062600565244747E-3</v>
      </c>
    </row>
    <row r="272" spans="1:4" ht="20.100000000000001" customHeight="1" x14ac:dyDescent="0.2">
      <c r="A272" s="6" t="s">
        <v>1862</v>
      </c>
      <c r="B272" s="7" t="s">
        <v>1863</v>
      </c>
      <c r="C272" s="190">
        <v>-0.40777819302608886</v>
      </c>
      <c r="D272" s="190">
        <v>0.56625305701210638</v>
      </c>
    </row>
    <row r="273" spans="1:4" ht="20.100000000000001" customHeight="1" x14ac:dyDescent="0.2">
      <c r="A273" s="6" t="s">
        <v>1864</v>
      </c>
      <c r="B273" s="7" t="s">
        <v>1865</v>
      </c>
      <c r="C273" s="190">
        <v>-0.388114432084674</v>
      </c>
      <c r="D273" s="190">
        <v>0.57189265874693684</v>
      </c>
    </row>
    <row r="274" spans="1:4" ht="20.100000000000001" customHeight="1" x14ac:dyDescent="0.2">
      <c r="A274" s="6" t="s">
        <v>1866</v>
      </c>
      <c r="B274" s="7" t="s">
        <v>1867</v>
      </c>
      <c r="C274" s="190">
        <v>-0.46595388027153339</v>
      </c>
      <c r="D274" s="190">
        <v>0.52825481285219378</v>
      </c>
    </row>
    <row r="275" spans="1:4" ht="20.100000000000001" customHeight="1" x14ac:dyDescent="0.2">
      <c r="A275" s="6" t="s">
        <v>1868</v>
      </c>
      <c r="B275" s="7" t="s">
        <v>1869</v>
      </c>
      <c r="C275" s="190">
        <v>-0.49591509074950091</v>
      </c>
      <c r="D275" s="190">
        <v>0.56829609536436765</v>
      </c>
    </row>
    <row r="276" spans="1:4" ht="20.100000000000001" customHeight="1" x14ac:dyDescent="0.2">
      <c r="A276" s="6" t="s">
        <v>1870</v>
      </c>
      <c r="B276" s="7" t="s">
        <v>1871</v>
      </c>
      <c r="C276" s="190">
        <v>10.426672094677478</v>
      </c>
      <c r="D276" s="190">
        <v>-0.17331614172332299</v>
      </c>
    </row>
    <row r="277" spans="1:4" ht="20.100000000000001" customHeight="1" x14ac:dyDescent="0.2">
      <c r="A277" s="6" t="s">
        <v>1872</v>
      </c>
      <c r="B277" s="7" t="s">
        <v>1873</v>
      </c>
      <c r="C277" s="190">
        <v>-0.10089687383939577</v>
      </c>
      <c r="D277" s="190">
        <v>0.18116129034145456</v>
      </c>
    </row>
    <row r="278" spans="1:4" ht="20.100000000000001" customHeight="1" x14ac:dyDescent="0.2">
      <c r="A278" s="6" t="s">
        <v>1874</v>
      </c>
      <c r="B278" s="7" t="s">
        <v>1875</v>
      </c>
      <c r="C278" s="190">
        <v>0.52497379149460788</v>
      </c>
      <c r="D278" s="190">
        <v>0.24175190812187494</v>
      </c>
    </row>
    <row r="279" spans="1:4" ht="20.100000000000001" customHeight="1" x14ac:dyDescent="0.2">
      <c r="A279" s="6" t="s">
        <v>1876</v>
      </c>
      <c r="B279" s="7" t="s">
        <v>1877</v>
      </c>
      <c r="C279" s="190">
        <v>0</v>
      </c>
      <c r="D279" s="190">
        <v>2.7785897308284886</v>
      </c>
    </row>
    <row r="280" spans="1:4" ht="20.100000000000001" customHeight="1" x14ac:dyDescent="0.2">
      <c r="A280" s="6" t="s">
        <v>1878</v>
      </c>
      <c r="B280" s="7" t="s">
        <v>1877</v>
      </c>
      <c r="C280" s="190">
        <v>0</v>
      </c>
      <c r="D280" s="190">
        <v>1.4078535561522139</v>
      </c>
    </row>
    <row r="281" spans="1:4" ht="20.100000000000001" customHeight="1" x14ac:dyDescent="0.2">
      <c r="A281" s="6" t="s">
        <v>1879</v>
      </c>
      <c r="B281" s="7" t="s">
        <v>1880</v>
      </c>
      <c r="C281" s="190">
        <v>4.5388048118151278</v>
      </c>
      <c r="D281" s="190">
        <v>4.4798244688313087</v>
      </c>
    </row>
    <row r="282" spans="1:4" ht="20.100000000000001" customHeight="1" x14ac:dyDescent="0.2">
      <c r="A282" s="6" t="s">
        <v>1881</v>
      </c>
      <c r="B282" s="7" t="s">
        <v>1882</v>
      </c>
      <c r="C282" s="190">
        <v>0</v>
      </c>
      <c r="D282" s="190">
        <v>3.7450303159121034</v>
      </c>
    </row>
    <row r="283" spans="1:4" ht="20.100000000000001" customHeight="1" x14ac:dyDescent="0.2">
      <c r="A283" s="6" t="s">
        <v>1883</v>
      </c>
      <c r="B283" s="7" t="s">
        <v>1884</v>
      </c>
      <c r="C283" s="190">
        <v>0</v>
      </c>
      <c r="D283" s="190">
        <v>0.24714309068613444</v>
      </c>
    </row>
    <row r="284" spans="1:4" ht="20.100000000000001" customHeight="1" x14ac:dyDescent="0.2">
      <c r="A284" s="6" t="s">
        <v>1885</v>
      </c>
      <c r="B284" s="7" t="s">
        <v>1886</v>
      </c>
      <c r="C284" s="190">
        <v>3.828616117487027E-2</v>
      </c>
      <c r="D284" s="190">
        <v>2.2513342471127003E-3</v>
      </c>
    </row>
    <row r="285" spans="1:4" ht="20.100000000000001" customHeight="1" x14ac:dyDescent="0.2">
      <c r="A285" s="6" t="s">
        <v>1887</v>
      </c>
      <c r="B285" s="7" t="s">
        <v>1888</v>
      </c>
      <c r="C285" s="190">
        <v>2.1506470778343663</v>
      </c>
      <c r="D285" s="190">
        <v>2.1802793815706796</v>
      </c>
    </row>
    <row r="286" spans="1:4" ht="20.100000000000001" customHeight="1" x14ac:dyDescent="0.2">
      <c r="A286" s="6" t="s">
        <v>1889</v>
      </c>
      <c r="B286" s="7" t="s">
        <v>1890</v>
      </c>
      <c r="C286" s="190">
        <v>27.213361713525082</v>
      </c>
      <c r="D286" s="190">
        <v>2.1759952135967535</v>
      </c>
    </row>
    <row r="287" spans="1:4" ht="20.100000000000001" customHeight="1" x14ac:dyDescent="0.2">
      <c r="A287" s="6" t="s">
        <v>1891</v>
      </c>
      <c r="B287" s="7" t="s">
        <v>1892</v>
      </c>
      <c r="C287" s="190">
        <v>1.013112253539751</v>
      </c>
      <c r="D287" s="190">
        <v>4.963058018899078</v>
      </c>
    </row>
    <row r="288" spans="1:4" ht="20.100000000000001" customHeight="1" x14ac:dyDescent="0.2">
      <c r="A288" s="6" t="s">
        <v>1893</v>
      </c>
      <c r="B288" s="7" t="s">
        <v>1894</v>
      </c>
      <c r="C288" s="190">
        <v>5.681856262054466E-2</v>
      </c>
      <c r="D288" s="190">
        <v>-0.84062900085686731</v>
      </c>
    </row>
    <row r="289" spans="1:4" ht="20.100000000000001" customHeight="1" x14ac:dyDescent="0.2">
      <c r="A289" s="6" t="s">
        <v>1895</v>
      </c>
      <c r="B289" s="7" t="s">
        <v>1896</v>
      </c>
      <c r="C289" s="190">
        <v>0.35264821734037255</v>
      </c>
      <c r="D289" s="190">
        <v>-0.45266412243136334</v>
      </c>
    </row>
    <row r="290" spans="1:4" ht="20.100000000000001" customHeight="1" x14ac:dyDescent="0.2">
      <c r="A290" s="6" t="s">
        <v>1897</v>
      </c>
      <c r="B290" s="7" t="s">
        <v>1898</v>
      </c>
      <c r="C290" s="190">
        <v>9.287427311706141</v>
      </c>
      <c r="D290" s="190">
        <v>3.1481166995734604</v>
      </c>
    </row>
    <row r="291" spans="1:4" ht="20.100000000000001" customHeight="1" x14ac:dyDescent="0.2">
      <c r="A291" s="6" t="s">
        <v>1899</v>
      </c>
      <c r="B291" s="7" t="s">
        <v>1900</v>
      </c>
      <c r="C291" s="190">
        <v>32.686298354775943</v>
      </c>
      <c r="D291" s="190">
        <v>5.7990118706906078</v>
      </c>
    </row>
    <row r="292" spans="1:4" ht="20.100000000000001" customHeight="1" x14ac:dyDescent="0.2">
      <c r="A292" s="6" t="s">
        <v>1901</v>
      </c>
      <c r="B292" s="7" t="s">
        <v>1902</v>
      </c>
      <c r="C292" s="190">
        <v>29.336249601721537</v>
      </c>
      <c r="D292" s="190">
        <v>-10.064790371546755</v>
      </c>
    </row>
    <row r="293" spans="1:4" ht="20.100000000000001" customHeight="1" x14ac:dyDescent="0.2">
      <c r="A293" s="6" t="s">
        <v>1903</v>
      </c>
      <c r="B293" s="7" t="s">
        <v>1904</v>
      </c>
      <c r="C293" s="190">
        <v>0.66262230162792457</v>
      </c>
      <c r="D293" s="190">
        <v>0.33089959925655427</v>
      </c>
    </row>
    <row r="294" spans="1:4" ht="20.100000000000001" customHeight="1" x14ac:dyDescent="0.2">
      <c r="A294" s="6" t="s">
        <v>1905</v>
      </c>
      <c r="B294" s="7" t="s">
        <v>1906</v>
      </c>
      <c r="C294" s="190">
        <v>4.6521702686542579</v>
      </c>
      <c r="D294" s="190">
        <v>-0.98653238150284583</v>
      </c>
    </row>
    <row r="295" spans="1:4" ht="20.100000000000001" customHeight="1" x14ac:dyDescent="0.2">
      <c r="A295" s="6" t="s">
        <v>1907</v>
      </c>
      <c r="B295" s="7" t="s">
        <v>1908</v>
      </c>
      <c r="C295" s="190">
        <v>-0.78423133223880925</v>
      </c>
      <c r="D295" s="190">
        <v>0.38829846369332477</v>
      </c>
    </row>
    <row r="296" spans="1:4" ht="20.100000000000001" customHeight="1" x14ac:dyDescent="0.2">
      <c r="A296" s="6" t="s">
        <v>1909</v>
      </c>
      <c r="B296" s="7" t="s">
        <v>1910</v>
      </c>
      <c r="C296" s="190">
        <v>0.16121810106558437</v>
      </c>
      <c r="D296" s="190">
        <v>6.4706895969609572</v>
      </c>
    </row>
    <row r="297" spans="1:4" ht="20.100000000000001" customHeight="1" x14ac:dyDescent="0.2">
      <c r="A297" s="6" t="s">
        <v>1911</v>
      </c>
      <c r="B297" s="7" t="s">
        <v>1912</v>
      </c>
      <c r="C297" s="190">
        <v>0.16102076502726956</v>
      </c>
      <c r="D297" s="190">
        <v>11.120345798656823</v>
      </c>
    </row>
    <row r="298" spans="1:4" ht="20.100000000000001" customHeight="1" x14ac:dyDescent="0.2">
      <c r="A298" s="6" t="s">
        <v>1913</v>
      </c>
      <c r="B298" s="7" t="s">
        <v>1914</v>
      </c>
      <c r="C298" s="190">
        <v>-0.42478513938968654</v>
      </c>
      <c r="D298" s="190">
        <v>0.57127146676536067</v>
      </c>
    </row>
    <row r="299" spans="1:4" ht="20.100000000000001" customHeight="1" x14ac:dyDescent="0.2">
      <c r="A299" s="6" t="s">
        <v>1915</v>
      </c>
      <c r="B299" s="7" t="s">
        <v>1916</v>
      </c>
      <c r="C299" s="190">
        <v>4.493917260898446E-2</v>
      </c>
      <c r="D299" s="190">
        <v>-0.45255184435426055</v>
      </c>
    </row>
    <row r="300" spans="1:4" ht="20.100000000000001" customHeight="1" x14ac:dyDescent="0.2">
      <c r="A300" s="6" t="s">
        <v>1917</v>
      </c>
      <c r="B300" s="7" t="s">
        <v>1918</v>
      </c>
      <c r="C300" s="190">
        <v>0.20916800796940288</v>
      </c>
      <c r="D300" s="190">
        <v>0.40833187015057282</v>
      </c>
    </row>
    <row r="301" spans="1:4" ht="20.100000000000001" customHeight="1" x14ac:dyDescent="0.2">
      <c r="A301" s="6" t="s">
        <v>1919</v>
      </c>
      <c r="B301" s="7" t="s">
        <v>1920</v>
      </c>
      <c r="C301" s="190">
        <v>0.70573438727606086</v>
      </c>
      <c r="D301" s="190">
        <v>12.46691946124732</v>
      </c>
    </row>
    <row r="302" spans="1:4" ht="20.100000000000001" customHeight="1" x14ac:dyDescent="0.2">
      <c r="A302" s="6" t="s">
        <v>1921</v>
      </c>
      <c r="B302" s="7" t="s">
        <v>1922</v>
      </c>
      <c r="C302" s="190">
        <v>0.6959271662443125</v>
      </c>
      <c r="D302" s="190">
        <v>12.468811856229701</v>
      </c>
    </row>
    <row r="303" spans="1:4" ht="20.100000000000001" customHeight="1" x14ac:dyDescent="0.2">
      <c r="A303" s="6" t="s">
        <v>1923</v>
      </c>
      <c r="B303" s="7" t="s">
        <v>1924</v>
      </c>
      <c r="C303" s="190">
        <v>0.35553587119469338</v>
      </c>
      <c r="D303" s="190">
        <v>0.40375304769939607</v>
      </c>
    </row>
    <row r="304" spans="1:4" ht="20.100000000000001" customHeight="1" x14ac:dyDescent="0.2">
      <c r="A304" s="6" t="s">
        <v>1925</v>
      </c>
      <c r="B304" s="7" t="s">
        <v>1926</v>
      </c>
      <c r="C304" s="190">
        <v>1.1834292578288843</v>
      </c>
      <c r="D304" s="190">
        <v>-0.24383727150912154</v>
      </c>
    </row>
    <row r="305" spans="1:4" ht="20.100000000000001" customHeight="1" x14ac:dyDescent="0.2">
      <c r="A305" s="6" t="s">
        <v>1927</v>
      </c>
      <c r="B305" s="7" t="s">
        <v>1928</v>
      </c>
      <c r="C305" s="190">
        <v>11.020073955400854</v>
      </c>
      <c r="D305" s="190">
        <v>-5.556535875986448</v>
      </c>
    </row>
    <row r="306" spans="1:4" ht="20.100000000000001" customHeight="1" x14ac:dyDescent="0.2">
      <c r="A306" s="6" t="s">
        <v>1929</v>
      </c>
      <c r="B306" s="7" t="s">
        <v>1930</v>
      </c>
      <c r="C306" s="190">
        <v>5.1658972011757882</v>
      </c>
      <c r="D306" s="190">
        <v>4.0927414052503055</v>
      </c>
    </row>
    <row r="307" spans="1:4" ht="20.100000000000001" customHeight="1" x14ac:dyDescent="0.2">
      <c r="A307" s="6" t="s">
        <v>1931</v>
      </c>
      <c r="B307" s="7" t="s">
        <v>1932</v>
      </c>
      <c r="C307" s="190">
        <v>-0.83552050332717642</v>
      </c>
      <c r="D307" s="190">
        <v>0.27841462282700491</v>
      </c>
    </row>
    <row r="308" spans="1:4" ht="20.100000000000001" customHeight="1" x14ac:dyDescent="0.2">
      <c r="A308" s="6" t="s">
        <v>1933</v>
      </c>
      <c r="B308" s="7" t="s">
        <v>1934</v>
      </c>
      <c r="C308" s="190">
        <v>6.3631880501933127</v>
      </c>
      <c r="D308" s="190">
        <v>-0.76847221746516037</v>
      </c>
    </row>
    <row r="309" spans="1:4" ht="20.100000000000001" customHeight="1" x14ac:dyDescent="0.2">
      <c r="A309" s="6" t="s">
        <v>1935</v>
      </c>
      <c r="B309" s="7" t="s">
        <v>1936</v>
      </c>
      <c r="C309" s="190">
        <v>4.2070770933560659</v>
      </c>
      <c r="D309" s="190">
        <v>0.25454847895119437</v>
      </c>
    </row>
    <row r="310" spans="1:4" ht="20.100000000000001" customHeight="1" x14ac:dyDescent="0.2">
      <c r="A310" s="6" t="s">
        <v>1937</v>
      </c>
      <c r="B310" s="7" t="s">
        <v>1938</v>
      </c>
      <c r="C310" s="190">
        <v>12.627043836089715</v>
      </c>
      <c r="D310" s="190">
        <v>-1.2191219640937663</v>
      </c>
    </row>
    <row r="311" spans="1:4" ht="20.100000000000001" customHeight="1" x14ac:dyDescent="0.2">
      <c r="A311" s="6" t="s">
        <v>1939</v>
      </c>
      <c r="B311" s="7" t="s">
        <v>1940</v>
      </c>
      <c r="C311" s="190">
        <v>13.383960893177349</v>
      </c>
      <c r="D311" s="190">
        <v>-0.76462627570048225</v>
      </c>
    </row>
    <row r="312" spans="1:4" ht="20.100000000000001" customHeight="1" x14ac:dyDescent="0.2">
      <c r="A312" s="6" t="s">
        <v>1941</v>
      </c>
      <c r="B312" s="7" t="s">
        <v>1942</v>
      </c>
      <c r="C312" s="190">
        <v>26.381363089500773</v>
      </c>
      <c r="D312" s="190">
        <v>-1.3641847051628488</v>
      </c>
    </row>
    <row r="313" spans="1:4" ht="20.100000000000001" customHeight="1" x14ac:dyDescent="0.2">
      <c r="A313" s="6" t="s">
        <v>1943</v>
      </c>
      <c r="B313" s="7" t="s">
        <v>1944</v>
      </c>
      <c r="C313" s="190">
        <v>0.12060920806034051</v>
      </c>
      <c r="D313" s="190">
        <v>-9.5471843752477165E-2</v>
      </c>
    </row>
    <row r="314" spans="1:4" ht="20.100000000000001" customHeight="1" x14ac:dyDescent="0.2">
      <c r="A314" s="6" t="s">
        <v>1945</v>
      </c>
      <c r="B314" s="7" t="s">
        <v>1946</v>
      </c>
      <c r="C314" s="190">
        <v>2.3113868002876754</v>
      </c>
      <c r="D314" s="190">
        <v>12.76454452405153</v>
      </c>
    </row>
    <row r="315" spans="1:4" ht="20.100000000000001" customHeight="1" x14ac:dyDescent="0.2">
      <c r="A315" s="6" t="s">
        <v>1947</v>
      </c>
      <c r="B315" s="7" t="s">
        <v>1948</v>
      </c>
      <c r="C315" s="190">
        <v>2.3267573772645767</v>
      </c>
      <c r="D315" s="190">
        <v>11.948666385677299</v>
      </c>
    </row>
    <row r="316" spans="1:4" ht="20.100000000000001" customHeight="1" x14ac:dyDescent="0.2">
      <c r="A316" s="6" t="s">
        <v>1949</v>
      </c>
      <c r="B316" s="7" t="s">
        <v>1950</v>
      </c>
      <c r="C316" s="190">
        <v>8.3971885882360127</v>
      </c>
      <c r="D316" s="190">
        <v>-1.0237563940707282</v>
      </c>
    </row>
    <row r="317" spans="1:4" ht="20.100000000000001" customHeight="1" x14ac:dyDescent="0.2">
      <c r="A317" s="6" t="s">
        <v>1951</v>
      </c>
      <c r="B317" s="7" t="s">
        <v>1952</v>
      </c>
      <c r="C317" s="190">
        <v>2.6595010556637746</v>
      </c>
      <c r="D317" s="190">
        <v>2.2399032384806805</v>
      </c>
    </row>
    <row r="318" spans="1:4" ht="20.100000000000001" customHeight="1" x14ac:dyDescent="0.2">
      <c r="A318" s="6" t="s">
        <v>1953</v>
      </c>
      <c r="B318" s="7" t="s">
        <v>1954</v>
      </c>
      <c r="C318" s="190">
        <v>2.0768242232924616</v>
      </c>
      <c r="D318" s="190">
        <v>1.5730765008109544</v>
      </c>
    </row>
    <row r="319" spans="1:4" ht="20.100000000000001" customHeight="1" x14ac:dyDescent="0.2">
      <c r="A319" s="6" t="s">
        <v>1955</v>
      </c>
      <c r="B319" s="7" t="s">
        <v>1956</v>
      </c>
      <c r="C319" s="190">
        <v>17.652430762479355</v>
      </c>
      <c r="D319" s="190">
        <v>-1.1275484610391151</v>
      </c>
    </row>
    <row r="320" spans="1:4" ht="20.100000000000001" customHeight="1" x14ac:dyDescent="0.2">
      <c r="A320" s="6" t="s">
        <v>1957</v>
      </c>
      <c r="B320" s="7" t="s">
        <v>1958</v>
      </c>
      <c r="C320" s="190">
        <v>-0.46595388027153339</v>
      </c>
      <c r="D320" s="190">
        <v>0.52825481285219378</v>
      </c>
    </row>
    <row r="321" spans="1:4" ht="20.100000000000001" customHeight="1" x14ac:dyDescent="0.2">
      <c r="A321" s="6" t="s">
        <v>1959</v>
      </c>
      <c r="B321" s="7" t="s">
        <v>1960</v>
      </c>
      <c r="C321" s="190">
        <v>-1.6520206801477166</v>
      </c>
      <c r="D321" s="190">
        <v>0.21491870027581486</v>
      </c>
    </row>
    <row r="322" spans="1:4" ht="20.100000000000001" customHeight="1" x14ac:dyDescent="0.2">
      <c r="A322" s="6" t="s">
        <v>1961</v>
      </c>
      <c r="B322" s="7" t="s">
        <v>1962</v>
      </c>
      <c r="C322" s="190">
        <v>9.8807110417082704</v>
      </c>
      <c r="D322" s="190">
        <v>6.0277339719697345</v>
      </c>
    </row>
    <row r="323" spans="1:4" ht="20.100000000000001" customHeight="1" x14ac:dyDescent="0.2">
      <c r="A323" s="6" t="s">
        <v>1963</v>
      </c>
      <c r="B323" s="7" t="s">
        <v>1964</v>
      </c>
      <c r="C323" s="190">
        <v>0.62592041171567614</v>
      </c>
      <c r="D323" s="190">
        <v>0.16991304957222989</v>
      </c>
    </row>
    <row r="324" spans="1:4" ht="20.100000000000001" customHeight="1" x14ac:dyDescent="0.2">
      <c r="A324" s="6" t="s">
        <v>1965</v>
      </c>
      <c r="B324" s="7" t="s">
        <v>1966</v>
      </c>
      <c r="C324" s="190">
        <v>1.532441738474386</v>
      </c>
      <c r="D324" s="190">
        <v>18.261015023760912</v>
      </c>
    </row>
    <row r="325" spans="1:4" ht="20.100000000000001" customHeight="1" x14ac:dyDescent="0.2">
      <c r="A325" s="6" t="s">
        <v>1967</v>
      </c>
      <c r="B325" s="7" t="s">
        <v>1968</v>
      </c>
      <c r="C325" s="190">
        <v>1.4959754088542192</v>
      </c>
      <c r="D325" s="190">
        <v>0.31599304252014437</v>
      </c>
    </row>
    <row r="326" spans="1:4" ht="20.100000000000001" customHeight="1" x14ac:dyDescent="0.2">
      <c r="A326" s="6" t="s">
        <v>1969</v>
      </c>
      <c r="B326" s="7" t="s">
        <v>1970</v>
      </c>
      <c r="C326" s="190">
        <v>14.588281546281955</v>
      </c>
      <c r="D326" s="190">
        <v>-5.1440619734984558</v>
      </c>
    </row>
    <row r="327" spans="1:4" ht="20.100000000000001" customHeight="1" x14ac:dyDescent="0.2">
      <c r="A327" s="6" t="s">
        <v>1971</v>
      </c>
      <c r="B327" s="7" t="s">
        <v>1972</v>
      </c>
      <c r="C327" s="190">
        <v>15.308778354699601</v>
      </c>
      <c r="D327" s="190">
        <v>-3.3654912502981951</v>
      </c>
    </row>
    <row r="328" spans="1:4" ht="20.100000000000001" customHeight="1" x14ac:dyDescent="0.2">
      <c r="A328" s="6" t="s">
        <v>1973</v>
      </c>
      <c r="B328" s="7" t="s">
        <v>1974</v>
      </c>
      <c r="C328" s="190">
        <v>4.449306521908877</v>
      </c>
      <c r="D328" s="190">
        <v>-7.6023625700183173E-2</v>
      </c>
    </row>
    <row r="329" spans="1:4" ht="20.100000000000001" customHeight="1" x14ac:dyDescent="0.2">
      <c r="A329" s="6" t="s">
        <v>1975</v>
      </c>
      <c r="B329" s="7" t="s">
        <v>1976</v>
      </c>
      <c r="C329" s="190">
        <v>3.3202816913232511</v>
      </c>
      <c r="D329" s="190">
        <v>-1.5968561265961565</v>
      </c>
    </row>
    <row r="330" spans="1:4" ht="20.100000000000001" customHeight="1" x14ac:dyDescent="0.2">
      <c r="A330" s="6" t="s">
        <v>1977</v>
      </c>
      <c r="B330" s="7" t="s">
        <v>1978</v>
      </c>
      <c r="C330" s="190">
        <v>23.930184863834327</v>
      </c>
      <c r="D330" s="190">
        <v>0.46053522836912908</v>
      </c>
    </row>
    <row r="331" spans="1:4" ht="20.100000000000001" customHeight="1" x14ac:dyDescent="0.2">
      <c r="A331" s="6" t="s">
        <v>1979</v>
      </c>
      <c r="B331" s="7" t="s">
        <v>1980</v>
      </c>
      <c r="C331" s="190">
        <v>4.8708636510817485</v>
      </c>
      <c r="D331" s="190">
        <v>9.4830654467677924</v>
      </c>
    </row>
    <row r="332" spans="1:4" ht="20.100000000000001" customHeight="1" x14ac:dyDescent="0.2">
      <c r="A332" s="6" t="s">
        <v>1981</v>
      </c>
      <c r="B332" s="7" t="s">
        <v>1982</v>
      </c>
      <c r="C332" s="190">
        <v>2.3699733737400073</v>
      </c>
      <c r="D332" s="190">
        <v>0.35232591874789154</v>
      </c>
    </row>
    <row r="333" spans="1:4" ht="20.100000000000001" customHeight="1" x14ac:dyDescent="0.2">
      <c r="A333" s="6" t="s">
        <v>1983</v>
      </c>
      <c r="B333" s="7" t="s">
        <v>1984</v>
      </c>
      <c r="C333" s="190">
        <v>0.351758392490928</v>
      </c>
      <c r="D333" s="190">
        <v>-6.4636409362099967E-2</v>
      </c>
    </row>
    <row r="334" spans="1:4" ht="20.100000000000001" customHeight="1" x14ac:dyDescent="0.2">
      <c r="A334" s="6" t="s">
        <v>1985</v>
      </c>
      <c r="B334" s="7" t="s">
        <v>1986</v>
      </c>
      <c r="C334" s="190">
        <v>0</v>
      </c>
      <c r="D334" s="190">
        <v>12.22101135395501</v>
      </c>
    </row>
    <row r="335" spans="1:4" ht="20.100000000000001" customHeight="1" x14ac:dyDescent="0.2">
      <c r="A335" s="6" t="s">
        <v>1987</v>
      </c>
      <c r="B335" s="7" t="s">
        <v>1988</v>
      </c>
      <c r="C335" s="190">
        <v>1.8069855593564399</v>
      </c>
      <c r="D335" s="190">
        <v>0.36583241433315639</v>
      </c>
    </row>
    <row r="336" spans="1:4" ht="20.100000000000001" customHeight="1" x14ac:dyDescent="0.2">
      <c r="A336" s="6" t="s">
        <v>1989</v>
      </c>
      <c r="B336" s="7" t="s">
        <v>1990</v>
      </c>
      <c r="C336" s="190">
        <v>0.67325182240538783</v>
      </c>
      <c r="D336" s="190">
        <v>1.7052517155640674</v>
      </c>
    </row>
    <row r="337" spans="1:4" ht="20.100000000000001" customHeight="1" x14ac:dyDescent="0.2">
      <c r="A337" s="6" t="s">
        <v>1991</v>
      </c>
      <c r="B337" s="7" t="s">
        <v>1992</v>
      </c>
      <c r="C337" s="190">
        <v>4.7301247082536237</v>
      </c>
      <c r="D337" s="190">
        <v>-7.0664081299638373E-2</v>
      </c>
    </row>
    <row r="338" spans="1:4" ht="20.100000000000001" customHeight="1" x14ac:dyDescent="0.2">
      <c r="A338" s="6" t="s">
        <v>1993</v>
      </c>
      <c r="B338" s="7" t="s">
        <v>1994</v>
      </c>
      <c r="C338" s="190">
        <v>16.18586354729257</v>
      </c>
      <c r="D338" s="190">
        <v>2.2806301877743462</v>
      </c>
    </row>
    <row r="339" spans="1:4" ht="20.100000000000001" customHeight="1" x14ac:dyDescent="0.2">
      <c r="A339" s="6" t="s">
        <v>1995</v>
      </c>
      <c r="B339" s="7" t="s">
        <v>1996</v>
      </c>
      <c r="C339" s="190">
        <v>16.185863547701722</v>
      </c>
      <c r="D339" s="190">
        <v>1.995551414179481</v>
      </c>
    </row>
    <row r="340" spans="1:4" ht="20.100000000000001" customHeight="1" x14ac:dyDescent="0.2">
      <c r="A340" s="6" t="s">
        <v>1997</v>
      </c>
      <c r="B340" s="7" t="s">
        <v>1998</v>
      </c>
      <c r="C340" s="190">
        <v>0</v>
      </c>
      <c r="D340" s="190">
        <v>0.57426296518496578</v>
      </c>
    </row>
    <row r="341" spans="1:4" ht="20.100000000000001" customHeight="1" x14ac:dyDescent="0.2">
      <c r="A341" s="6" t="s">
        <v>1999</v>
      </c>
      <c r="B341" s="7" t="s">
        <v>2000</v>
      </c>
      <c r="C341" s="190">
        <v>3.2986829540552751</v>
      </c>
      <c r="D341" s="190">
        <v>0.83041880785094957</v>
      </c>
    </row>
    <row r="342" spans="1:4" ht="20.100000000000001" customHeight="1" x14ac:dyDescent="0.2">
      <c r="A342" s="6" t="s">
        <v>2001</v>
      </c>
      <c r="B342" s="7" t="s">
        <v>2002</v>
      </c>
      <c r="C342" s="190">
        <v>17.525184756768198</v>
      </c>
      <c r="D342" s="190">
        <v>-1.0822953928624175</v>
      </c>
    </row>
    <row r="343" spans="1:4" ht="20.100000000000001" customHeight="1" x14ac:dyDescent="0.2">
      <c r="A343" s="6" t="s">
        <v>2003</v>
      </c>
      <c r="B343" s="7" t="s">
        <v>2004</v>
      </c>
      <c r="C343" s="190">
        <v>-2.0485827876445786</v>
      </c>
      <c r="D343" s="190">
        <v>6.4119498985050608E-2</v>
      </c>
    </row>
    <row r="344" spans="1:4" ht="20.100000000000001" customHeight="1" x14ac:dyDescent="0.2">
      <c r="A344" s="6" t="s">
        <v>2005</v>
      </c>
      <c r="B344" s="7" t="s">
        <v>2006</v>
      </c>
      <c r="C344" s="190">
        <v>4.7034752188482711</v>
      </c>
      <c r="D344" s="190">
        <v>-0.12625821523556577</v>
      </c>
    </row>
    <row r="345" spans="1:4" ht="20.100000000000001" customHeight="1" x14ac:dyDescent="0.2">
      <c r="A345" s="6" t="s">
        <v>2007</v>
      </c>
      <c r="B345" s="7" t="s">
        <v>2008</v>
      </c>
      <c r="C345" s="190">
        <v>24.420545671183895</v>
      </c>
      <c r="D345" s="190">
        <v>-6.5117331034152439</v>
      </c>
    </row>
    <row r="346" spans="1:4" ht="20.100000000000001" customHeight="1" x14ac:dyDescent="0.2">
      <c r="A346" s="6" t="s">
        <v>2009</v>
      </c>
      <c r="B346" s="7" t="s">
        <v>2010</v>
      </c>
      <c r="C346" s="190">
        <v>-2.1209815053002785</v>
      </c>
      <c r="D346" s="190">
        <v>0.64044264657629291</v>
      </c>
    </row>
    <row r="347" spans="1:4" ht="20.100000000000001" customHeight="1" x14ac:dyDescent="0.2">
      <c r="A347" s="6" t="s">
        <v>2011</v>
      </c>
      <c r="B347" s="7" t="s">
        <v>2012</v>
      </c>
      <c r="C347" s="190">
        <v>0</v>
      </c>
      <c r="D347" s="190">
        <v>6.4904073636800819</v>
      </c>
    </row>
    <row r="348" spans="1:4" ht="20.100000000000001" customHeight="1" x14ac:dyDescent="0.2">
      <c r="A348" s="6" t="s">
        <v>2013</v>
      </c>
      <c r="B348" s="7" t="s">
        <v>2014</v>
      </c>
      <c r="C348" s="190">
        <v>-1.6512872825886449</v>
      </c>
      <c r="D348" s="190">
        <v>0.21532873703081196</v>
      </c>
    </row>
    <row r="349" spans="1:4" ht="20.100000000000001" customHeight="1" x14ac:dyDescent="0.2">
      <c r="A349" s="6" t="s">
        <v>2015</v>
      </c>
      <c r="B349" s="7" t="s">
        <v>2016</v>
      </c>
      <c r="C349" s="190">
        <v>-0.50476141840512168</v>
      </c>
      <c r="D349" s="190">
        <v>0.23484349841439775</v>
      </c>
    </row>
    <row r="350" spans="1:4" ht="20.100000000000001" customHeight="1" x14ac:dyDescent="0.2">
      <c r="A350" s="6" t="s">
        <v>2017</v>
      </c>
      <c r="B350" s="7" t="s">
        <v>2018</v>
      </c>
      <c r="C350" s="190">
        <v>2.2485317524533492</v>
      </c>
      <c r="D350" s="190">
        <v>-8.6323414415590616</v>
      </c>
    </row>
    <row r="351" spans="1:4" ht="20.100000000000001" customHeight="1" x14ac:dyDescent="0.2">
      <c r="A351" s="6" t="s">
        <v>2019</v>
      </c>
      <c r="B351" s="7" t="s">
        <v>2020</v>
      </c>
      <c r="C351" s="190">
        <v>12.313138595019055</v>
      </c>
      <c r="D351" s="190">
        <v>-0.62150642783423127</v>
      </c>
    </row>
    <row r="352" spans="1:4" ht="20.100000000000001" customHeight="1" x14ac:dyDescent="0.2">
      <c r="A352" s="6" t="s">
        <v>2021</v>
      </c>
      <c r="B352" s="7" t="s">
        <v>2022</v>
      </c>
      <c r="C352" s="190">
        <v>0.92848299137398382</v>
      </c>
      <c r="D352" s="190">
        <v>-0.21738875518580861</v>
      </c>
    </row>
    <row r="353" spans="1:4" ht="20.100000000000001" customHeight="1" x14ac:dyDescent="0.2">
      <c r="A353" s="6" t="s">
        <v>2023</v>
      </c>
      <c r="B353" s="7" t="s">
        <v>2024</v>
      </c>
      <c r="C353" s="190">
        <v>2.3610988581830581</v>
      </c>
      <c r="D353" s="190">
        <v>3.0370110966333019</v>
      </c>
    </row>
    <row r="354" spans="1:4" ht="20.100000000000001" customHeight="1" x14ac:dyDescent="0.2">
      <c r="A354" s="6" t="s">
        <v>2025</v>
      </c>
      <c r="B354" s="7" t="s">
        <v>2026</v>
      </c>
      <c r="C354" s="190">
        <v>2.499793590922903</v>
      </c>
      <c r="D354" s="190">
        <v>11.883402327778429</v>
      </c>
    </row>
    <row r="355" spans="1:4" ht="20.100000000000001" customHeight="1" x14ac:dyDescent="0.2">
      <c r="A355" s="6" t="s">
        <v>2027</v>
      </c>
      <c r="B355" s="7" t="s">
        <v>2028</v>
      </c>
      <c r="C355" s="190">
        <v>-0.55428986781871292</v>
      </c>
      <c r="D355" s="190">
        <v>0.25065050138438538</v>
      </c>
    </row>
    <row r="356" spans="1:4" ht="20.100000000000001" customHeight="1" x14ac:dyDescent="0.2">
      <c r="A356" s="6" t="s">
        <v>2029</v>
      </c>
      <c r="B356" s="7" t="s">
        <v>2030</v>
      </c>
      <c r="C356" s="190">
        <v>0.92642125913244144</v>
      </c>
      <c r="D356" s="190">
        <v>1.4237338790468228</v>
      </c>
    </row>
    <row r="357" spans="1:4" ht="20.100000000000001" customHeight="1" x14ac:dyDescent="0.2">
      <c r="A357" s="6" t="s">
        <v>2031</v>
      </c>
      <c r="B357" s="7" t="s">
        <v>2032</v>
      </c>
      <c r="C357" s="190">
        <v>0.92640366623825399</v>
      </c>
      <c r="D357" s="190">
        <v>1.423707948441769</v>
      </c>
    </row>
    <row r="358" spans="1:4" ht="20.100000000000001" customHeight="1" x14ac:dyDescent="0.2">
      <c r="A358" s="6" t="s">
        <v>2033</v>
      </c>
      <c r="B358" s="7" t="s">
        <v>2034</v>
      </c>
      <c r="C358" s="190">
        <v>5.821431485026099E-2</v>
      </c>
      <c r="D358" s="190">
        <v>-9.9528272506122978E-2</v>
      </c>
    </row>
    <row r="359" spans="1:4" ht="20.100000000000001" customHeight="1" x14ac:dyDescent="0.2">
      <c r="A359" s="6" t="s">
        <v>2035</v>
      </c>
      <c r="B359" s="7" t="s">
        <v>2036</v>
      </c>
      <c r="C359" s="190">
        <v>19.400419410388764</v>
      </c>
      <c r="D359" s="190">
        <v>-3.7911660482791145</v>
      </c>
    </row>
    <row r="360" spans="1:4" ht="20.100000000000001" customHeight="1" x14ac:dyDescent="0.2">
      <c r="A360" s="6" t="s">
        <v>2037</v>
      </c>
      <c r="B360" s="7" t="s">
        <v>2038</v>
      </c>
      <c r="C360" s="190">
        <v>-0.53245685301524182</v>
      </c>
      <c r="D360" s="190">
        <v>2.8363049589106328</v>
      </c>
    </row>
    <row r="361" spans="1:4" ht="20.100000000000001" customHeight="1" x14ac:dyDescent="0.2">
      <c r="A361" s="6" t="s">
        <v>2039</v>
      </c>
      <c r="B361" s="7" t="s">
        <v>2040</v>
      </c>
      <c r="C361" s="190">
        <v>0.24341826828937035</v>
      </c>
      <c r="D361" s="190">
        <v>6.4827684863067156E-2</v>
      </c>
    </row>
    <row r="362" spans="1:4" ht="20.100000000000001" customHeight="1" x14ac:dyDescent="0.2">
      <c r="A362" s="6" t="s">
        <v>2041</v>
      </c>
      <c r="B362" s="7" t="s">
        <v>2042</v>
      </c>
      <c r="C362" s="190">
        <v>0</v>
      </c>
      <c r="D362" s="190">
        <v>0.84409842810861957</v>
      </c>
    </row>
    <row r="363" spans="1:4" ht="20.100000000000001" customHeight="1" x14ac:dyDescent="0.2">
      <c r="A363" s="6" t="s">
        <v>2043</v>
      </c>
      <c r="B363" s="7" t="s">
        <v>2044</v>
      </c>
      <c r="C363" s="190">
        <v>9.6670740043261982E-2</v>
      </c>
      <c r="D363" s="190">
        <v>-0.47491954407623455</v>
      </c>
    </row>
    <row r="364" spans="1:4" ht="20.100000000000001" customHeight="1" x14ac:dyDescent="0.2">
      <c r="A364" s="6" t="s">
        <v>2045</v>
      </c>
      <c r="B364" s="7" t="s">
        <v>2046</v>
      </c>
      <c r="C364" s="190">
        <v>-8.7156505417369926E-2</v>
      </c>
      <c r="D364" s="190">
        <v>1.2693786547915409</v>
      </c>
    </row>
    <row r="365" spans="1:4" ht="20.100000000000001" customHeight="1" x14ac:dyDescent="0.2">
      <c r="A365" s="6" t="s">
        <v>2047</v>
      </c>
      <c r="B365" s="7" t="s">
        <v>2048</v>
      </c>
      <c r="C365" s="190">
        <v>-0.43324920412645523</v>
      </c>
      <c r="D365" s="190">
        <v>0.85963392322468546</v>
      </c>
    </row>
    <row r="366" spans="1:4" ht="20.100000000000001" customHeight="1" x14ac:dyDescent="0.2">
      <c r="A366" s="6" t="s">
        <v>2049</v>
      </c>
      <c r="B366" s="7" t="s">
        <v>2050</v>
      </c>
      <c r="C366" s="190">
        <v>2.6692571928488689</v>
      </c>
      <c r="D366" s="190">
        <v>5.4301063898775688</v>
      </c>
    </row>
    <row r="367" spans="1:4" ht="20.100000000000001" customHeight="1" x14ac:dyDescent="0.2">
      <c r="A367" s="6" t="s">
        <v>2051</v>
      </c>
      <c r="B367" s="7" t="s">
        <v>2052</v>
      </c>
      <c r="C367" s="190">
        <v>9.8806766694066468</v>
      </c>
      <c r="D367" s="190">
        <v>6.0277549605218708</v>
      </c>
    </row>
    <row r="368" spans="1:4" ht="20.100000000000001" customHeight="1" x14ac:dyDescent="0.2">
      <c r="A368" s="6" t="s">
        <v>2053</v>
      </c>
      <c r="B368" s="7" t="s">
        <v>2054</v>
      </c>
      <c r="C368" s="190">
        <v>0.91865904404434184</v>
      </c>
      <c r="D368" s="190">
        <v>-0.12132505452310598</v>
      </c>
    </row>
    <row r="369" spans="1:4" ht="20.100000000000001" customHeight="1" x14ac:dyDescent="0.2">
      <c r="A369" s="6" t="s">
        <v>2055</v>
      </c>
      <c r="B369" s="7" t="s">
        <v>2056</v>
      </c>
      <c r="C369" s="190">
        <v>6.4938888824065835</v>
      </c>
      <c r="D369" s="190">
        <v>-9.8345150354241433</v>
      </c>
    </row>
    <row r="370" spans="1:4" ht="20.100000000000001" customHeight="1" x14ac:dyDescent="0.2">
      <c r="A370" s="6" t="s">
        <v>2057</v>
      </c>
      <c r="B370" s="7" t="s">
        <v>2058</v>
      </c>
      <c r="C370" s="190">
        <v>1.6340195412603808</v>
      </c>
      <c r="D370" s="190">
        <v>4.6482947969531851</v>
      </c>
    </row>
    <row r="371" spans="1:4" ht="20.100000000000001" customHeight="1" x14ac:dyDescent="0.2">
      <c r="A371" s="6" t="s">
        <v>2059</v>
      </c>
      <c r="B371" s="7" t="s">
        <v>2060</v>
      </c>
      <c r="C371" s="190">
        <v>0.14832988466449018</v>
      </c>
      <c r="D371" s="190">
        <v>6.2691169641811921</v>
      </c>
    </row>
    <row r="372" spans="1:4" ht="20.100000000000001" customHeight="1" x14ac:dyDescent="0.2">
      <c r="A372" s="6" t="s">
        <v>2061</v>
      </c>
      <c r="B372" s="7" t="s">
        <v>2062</v>
      </c>
      <c r="C372" s="190">
        <v>0.82253060955096924</v>
      </c>
      <c r="D372" s="190">
        <v>3.9032776502403159</v>
      </c>
    </row>
    <row r="373" spans="1:4" ht="20.100000000000001" customHeight="1" x14ac:dyDescent="0.2">
      <c r="A373" s="6" t="s">
        <v>2063</v>
      </c>
      <c r="B373" s="7" t="s">
        <v>2064</v>
      </c>
      <c r="C373" s="190">
        <v>8.7482539821308478</v>
      </c>
      <c r="D373" s="190">
        <v>0.3853419050613387</v>
      </c>
    </row>
    <row r="374" spans="1:4" ht="20.100000000000001" customHeight="1" x14ac:dyDescent="0.2">
      <c r="A374" s="6" t="s">
        <v>2065</v>
      </c>
      <c r="B374" s="7" t="s">
        <v>2066</v>
      </c>
      <c r="C374" s="190">
        <v>2.2147125821752107</v>
      </c>
      <c r="D374" s="190">
        <v>-0.16624480696805644</v>
      </c>
    </row>
    <row r="375" spans="1:4" ht="20.100000000000001" customHeight="1" x14ac:dyDescent="0.2">
      <c r="A375" s="6" t="s">
        <v>2067</v>
      </c>
      <c r="B375" s="7" t="s">
        <v>2068</v>
      </c>
      <c r="C375" s="190">
        <v>22.66390678389277</v>
      </c>
      <c r="D375" s="190">
        <v>-4.5625945082489281</v>
      </c>
    </row>
    <row r="376" spans="1:4" ht="20.100000000000001" customHeight="1" x14ac:dyDescent="0.2">
      <c r="A376" s="6" t="s">
        <v>2069</v>
      </c>
      <c r="B376" s="7" t="s">
        <v>2070</v>
      </c>
      <c r="C376" s="190">
        <v>1.2457703982219668</v>
      </c>
      <c r="D376" s="190">
        <v>0.74481417159830321</v>
      </c>
    </row>
    <row r="377" spans="1:4" ht="20.100000000000001" customHeight="1" x14ac:dyDescent="0.2">
      <c r="A377" s="6" t="s">
        <v>2071</v>
      </c>
      <c r="B377" s="7" t="s">
        <v>2072</v>
      </c>
      <c r="C377" s="190">
        <v>3.361520176502161</v>
      </c>
      <c r="D377" s="190">
        <v>2.1134570144460234</v>
      </c>
    </row>
    <row r="378" spans="1:4" ht="20.100000000000001" customHeight="1" x14ac:dyDescent="0.2">
      <c r="A378" s="6" t="s">
        <v>2073</v>
      </c>
      <c r="B378" s="7" t="s">
        <v>2074</v>
      </c>
      <c r="C378" s="190">
        <v>0.36231633603844704</v>
      </c>
      <c r="D378" s="190">
        <v>4.2031015526027858E-2</v>
      </c>
    </row>
    <row r="379" spans="1:4" ht="20.100000000000001" customHeight="1" x14ac:dyDescent="0.2">
      <c r="A379" s="6" t="s">
        <v>2075</v>
      </c>
      <c r="B379" s="7" t="s">
        <v>2076</v>
      </c>
      <c r="C379" s="190">
        <v>20.228022742211525</v>
      </c>
      <c r="D379" s="190">
        <v>-5.4522466121197342</v>
      </c>
    </row>
    <row r="380" spans="1:4" ht="20.100000000000001" customHeight="1" x14ac:dyDescent="0.2">
      <c r="A380" s="6" t="s">
        <v>2077</v>
      </c>
      <c r="B380" s="7" t="s">
        <v>2078</v>
      </c>
      <c r="C380" s="190">
        <v>0</v>
      </c>
      <c r="D380" s="190">
        <v>-2.6746639018609795</v>
      </c>
    </row>
    <row r="381" spans="1:4" ht="20.100000000000001" customHeight="1" x14ac:dyDescent="0.2">
      <c r="A381" s="6" t="s">
        <v>2079</v>
      </c>
      <c r="B381" s="7" t="s">
        <v>2080</v>
      </c>
      <c r="C381" s="190">
        <v>0.24342240320840097</v>
      </c>
      <c r="D381" s="190">
        <v>6.4829483625062218E-2</v>
      </c>
    </row>
    <row r="382" spans="1:4" ht="20.100000000000001" customHeight="1" x14ac:dyDescent="0.2">
      <c r="A382" s="6" t="s">
        <v>2081</v>
      </c>
      <c r="B382" s="7" t="s">
        <v>2082</v>
      </c>
      <c r="C382" s="190">
        <v>1.3040818119267581E-2</v>
      </c>
      <c r="D382" s="190">
        <v>2.5534138320429092</v>
      </c>
    </row>
    <row r="383" spans="1:4" ht="20.100000000000001" customHeight="1" x14ac:dyDescent="0.2">
      <c r="A383" s="6" t="s">
        <v>2083</v>
      </c>
      <c r="B383" s="7" t="s">
        <v>2084</v>
      </c>
      <c r="C383" s="190">
        <v>-0.443622337216521</v>
      </c>
      <c r="D383" s="190">
        <v>-5.7135685793766322E-3</v>
      </c>
    </row>
    <row r="384" spans="1:4" ht="20.100000000000001" customHeight="1" x14ac:dyDescent="0.2">
      <c r="A384" s="6" t="s">
        <v>2085</v>
      </c>
      <c r="B384" s="7" t="s">
        <v>2086</v>
      </c>
      <c r="C384" s="190">
        <v>-3.2429147379346102</v>
      </c>
      <c r="D384" s="190">
        <v>0.89508025072378272</v>
      </c>
    </row>
    <row r="385" spans="1:4" ht="20.100000000000001" customHeight="1" x14ac:dyDescent="0.2">
      <c r="A385" s="6" t="s">
        <v>2087</v>
      </c>
      <c r="B385" s="7" t="s">
        <v>2088</v>
      </c>
      <c r="C385" s="190">
        <v>-0.5839914568843616</v>
      </c>
      <c r="D385" s="190">
        <v>1.1660369086722647E-3</v>
      </c>
    </row>
    <row r="386" spans="1:4" ht="20.100000000000001" customHeight="1" x14ac:dyDescent="0.2">
      <c r="A386" s="6" t="s">
        <v>2089</v>
      </c>
      <c r="B386" s="7" t="s">
        <v>2090</v>
      </c>
      <c r="C386" s="190">
        <v>3.9901585139947962</v>
      </c>
      <c r="D386" s="190">
        <v>6.8928366325527364</v>
      </c>
    </row>
    <row r="387" spans="1:4" ht="20.100000000000001" customHeight="1" x14ac:dyDescent="0.2">
      <c r="A387" s="6" t="s">
        <v>2091</v>
      </c>
      <c r="B387" s="7" t="s">
        <v>2092</v>
      </c>
      <c r="C387" s="190">
        <v>0</v>
      </c>
      <c r="D387" s="190">
        <v>6.8330664231483382</v>
      </c>
    </row>
    <row r="388" spans="1:4" ht="20.100000000000001" customHeight="1" x14ac:dyDescent="0.2">
      <c r="A388" s="6" t="s">
        <v>2093</v>
      </c>
      <c r="B388" s="7" t="s">
        <v>2094</v>
      </c>
      <c r="C388" s="190">
        <v>-3.2751189915143863E-2</v>
      </c>
      <c r="D388" s="190">
        <v>-0.19003204930254503</v>
      </c>
    </row>
    <row r="389" spans="1:4" ht="20.100000000000001" customHeight="1" x14ac:dyDescent="0.2">
      <c r="A389" s="6" t="s">
        <v>2095</v>
      </c>
      <c r="B389" s="7" t="s">
        <v>2096</v>
      </c>
      <c r="C389" s="190">
        <v>2.0311396188733157</v>
      </c>
      <c r="D389" s="190">
        <v>0.28056436107517163</v>
      </c>
    </row>
    <row r="390" spans="1:4" ht="20.100000000000001" customHeight="1" x14ac:dyDescent="0.2">
      <c r="A390" s="6" t="s">
        <v>2097</v>
      </c>
      <c r="B390" s="7" t="s">
        <v>2098</v>
      </c>
      <c r="C390" s="190">
        <v>1.4228828799892657E-6</v>
      </c>
      <c r="D390" s="190">
        <v>0.90693996753690875</v>
      </c>
    </row>
    <row r="391" spans="1:4" ht="20.100000000000001" customHeight="1" x14ac:dyDescent="0.2">
      <c r="A391" s="6" t="s">
        <v>2099</v>
      </c>
      <c r="B391" s="7" t="s">
        <v>2100</v>
      </c>
      <c r="C391" s="190">
        <v>4.3473595126201532E-2</v>
      </c>
      <c r="D391" s="190">
        <v>-0.48761383324816704</v>
      </c>
    </row>
    <row r="392" spans="1:4" ht="20.100000000000001" customHeight="1" x14ac:dyDescent="0.2">
      <c r="A392" s="6" t="s">
        <v>2101</v>
      </c>
      <c r="B392" s="7" t="s">
        <v>2102</v>
      </c>
      <c r="C392" s="190">
        <v>9.9940552686446499E-2</v>
      </c>
      <c r="D392" s="190">
        <v>0.51869669802401153</v>
      </c>
    </row>
    <row r="393" spans="1:4" ht="20.100000000000001" customHeight="1" x14ac:dyDescent="0.2">
      <c r="A393" s="6" t="s">
        <v>2103</v>
      </c>
      <c r="B393" s="7" t="s">
        <v>2104</v>
      </c>
      <c r="C393" s="190">
        <v>0.16971841804764931</v>
      </c>
      <c r="D393" s="190">
        <v>8.3867960855538194E-3</v>
      </c>
    </row>
    <row r="394" spans="1:4" ht="20.100000000000001" customHeight="1" x14ac:dyDescent="0.2">
      <c r="A394" s="6" t="s">
        <v>2105</v>
      </c>
      <c r="B394" s="7" t="s">
        <v>2106</v>
      </c>
      <c r="C394" s="190">
        <v>2.6609056119193135</v>
      </c>
      <c r="D394" s="190">
        <v>0.40363297999683267</v>
      </c>
    </row>
    <row r="395" spans="1:4" ht="20.100000000000001" customHeight="1" x14ac:dyDescent="0.2">
      <c r="A395" s="6" t="s">
        <v>2107</v>
      </c>
      <c r="B395" s="7" t="s">
        <v>2108</v>
      </c>
      <c r="C395" s="190">
        <v>0</v>
      </c>
      <c r="D395" s="190">
        <v>3.4350145091074382</v>
      </c>
    </row>
    <row r="396" spans="1:4" ht="20.100000000000001" customHeight="1" x14ac:dyDescent="0.2">
      <c r="A396" s="6" t="s">
        <v>2109</v>
      </c>
      <c r="B396" s="7" t="s">
        <v>2110</v>
      </c>
      <c r="C396" s="190">
        <v>-0.41802751242725772</v>
      </c>
      <c r="D396" s="190">
        <v>-0.36740933086005789</v>
      </c>
    </row>
    <row r="397" spans="1:4" ht="20.100000000000001" customHeight="1" x14ac:dyDescent="0.2">
      <c r="A397" s="6" t="s">
        <v>2111</v>
      </c>
      <c r="B397" s="7" t="s">
        <v>2112</v>
      </c>
      <c r="C397" s="190">
        <v>1.8112491837902351</v>
      </c>
      <c r="D397" s="190">
        <v>0.21818496243515945</v>
      </c>
    </row>
    <row r="398" spans="1:4" ht="20.100000000000001" customHeight="1" x14ac:dyDescent="0.2">
      <c r="A398" s="6" t="s">
        <v>2113</v>
      </c>
      <c r="B398" s="7" t="s">
        <v>2114</v>
      </c>
      <c r="C398" s="190">
        <v>0</v>
      </c>
      <c r="D398" s="190">
        <v>4.814137079234535</v>
      </c>
    </row>
    <row r="399" spans="1:4" ht="20.100000000000001" customHeight="1" x14ac:dyDescent="0.2">
      <c r="A399" s="6" t="s">
        <v>2115</v>
      </c>
      <c r="B399" s="7" t="s">
        <v>2116</v>
      </c>
      <c r="C399" s="190">
        <v>0</v>
      </c>
      <c r="D399" s="190">
        <v>7.1825662649425084</v>
      </c>
    </row>
    <row r="400" spans="1:4" ht="20.100000000000001" customHeight="1" x14ac:dyDescent="0.2">
      <c r="A400" s="6" t="s">
        <v>2117</v>
      </c>
      <c r="B400" s="7" t="s">
        <v>2118</v>
      </c>
      <c r="C400" s="190">
        <v>0.36324347370421395</v>
      </c>
      <c r="D400" s="190">
        <v>4.2012944651094009E-2</v>
      </c>
    </row>
    <row r="401" spans="1:4" ht="20.100000000000001" customHeight="1" x14ac:dyDescent="0.2">
      <c r="A401" s="6" t="s">
        <v>2119</v>
      </c>
      <c r="B401" s="7" t="s">
        <v>2120</v>
      </c>
      <c r="C401" s="190">
        <v>0.34518132526076228</v>
      </c>
      <c r="D401" s="190">
        <v>-7.3539710806151126E-3</v>
      </c>
    </row>
    <row r="402" spans="1:4" ht="20.100000000000001" customHeight="1" x14ac:dyDescent="0.2">
      <c r="A402" s="6" t="s">
        <v>2121</v>
      </c>
      <c r="B402" s="7" t="s">
        <v>2120</v>
      </c>
      <c r="C402" s="190">
        <v>0.34418299527940788</v>
      </c>
      <c r="D402" s="190">
        <v>-1.0118862678399714E-2</v>
      </c>
    </row>
    <row r="403" spans="1:4" ht="20.100000000000001" customHeight="1" x14ac:dyDescent="0.2">
      <c r="A403" s="6" t="s">
        <v>2122</v>
      </c>
      <c r="B403" s="7" t="s">
        <v>2123</v>
      </c>
      <c r="C403" s="190">
        <v>0</v>
      </c>
      <c r="D403" s="190">
        <v>6.8230815255454225</v>
      </c>
    </row>
    <row r="404" spans="1:4" ht="20.100000000000001" customHeight="1" x14ac:dyDescent="0.2">
      <c r="A404" s="6" t="s">
        <v>2124</v>
      </c>
      <c r="B404" s="7" t="s">
        <v>2125</v>
      </c>
      <c r="C404" s="190">
        <v>0.80894572625543315</v>
      </c>
      <c r="D404" s="190">
        <v>0.58306561776753885</v>
      </c>
    </row>
    <row r="405" spans="1:4" ht="20.100000000000001" customHeight="1" x14ac:dyDescent="0.2">
      <c r="A405" s="6" t="s">
        <v>2126</v>
      </c>
      <c r="B405" s="7" t="s">
        <v>2127</v>
      </c>
      <c r="C405" s="190">
        <v>0</v>
      </c>
      <c r="D405" s="190">
        <v>3.1887079416738846</v>
      </c>
    </row>
    <row r="406" spans="1:4" ht="20.100000000000001" customHeight="1" x14ac:dyDescent="0.2">
      <c r="A406" s="6" t="s">
        <v>2128</v>
      </c>
      <c r="B406" s="7" t="s">
        <v>2129</v>
      </c>
      <c r="C406" s="190">
        <v>0</v>
      </c>
      <c r="D406" s="190">
        <v>-1.0732406773772303</v>
      </c>
    </row>
    <row r="407" spans="1:4" ht="20.100000000000001" customHeight="1" x14ac:dyDescent="0.2">
      <c r="A407" s="6" t="s">
        <v>2130</v>
      </c>
      <c r="B407" s="7" t="s">
        <v>2131</v>
      </c>
      <c r="C407" s="190">
        <v>1.8368837889205134</v>
      </c>
      <c r="D407" s="190">
        <v>9.9835067087504434E-2</v>
      </c>
    </row>
    <row r="408" spans="1:4" ht="20.100000000000001" customHeight="1" x14ac:dyDescent="0.2">
      <c r="A408" s="6" t="s">
        <v>2132</v>
      </c>
      <c r="B408" s="7" t="s">
        <v>2133</v>
      </c>
      <c r="C408" s="190">
        <v>6.887771958841312</v>
      </c>
      <c r="D408" s="190">
        <v>-10.154185247206343</v>
      </c>
    </row>
    <row r="409" spans="1:4" ht="20.100000000000001" customHeight="1" x14ac:dyDescent="0.2">
      <c r="A409" s="6" t="s">
        <v>2134</v>
      </c>
      <c r="B409" s="7" t="s">
        <v>2135</v>
      </c>
      <c r="C409" s="190">
        <v>2.3939204970337182</v>
      </c>
      <c r="D409" s="190">
        <v>0.42118397799987667</v>
      </c>
    </row>
    <row r="410" spans="1:4" ht="20.100000000000001" customHeight="1" x14ac:dyDescent="0.2">
      <c r="A410" s="6" t="s">
        <v>2136</v>
      </c>
      <c r="B410" s="7" t="s">
        <v>2137</v>
      </c>
      <c r="C410" s="190">
        <v>0</v>
      </c>
      <c r="D410" s="190">
        <v>22.548639636869872</v>
      </c>
    </row>
    <row r="411" spans="1:4" ht="20.100000000000001" customHeight="1" x14ac:dyDescent="0.2">
      <c r="A411" s="6" t="s">
        <v>2138</v>
      </c>
      <c r="B411" s="7" t="s">
        <v>2139</v>
      </c>
      <c r="C411" s="190">
        <v>2.0333689775669779</v>
      </c>
      <c r="D411" s="190">
        <v>5.4017066225101225</v>
      </c>
    </row>
    <row r="412" spans="1:4" ht="20.100000000000001" customHeight="1" x14ac:dyDescent="0.2">
      <c r="A412" s="6" t="s">
        <v>2140</v>
      </c>
      <c r="B412" s="7" t="s">
        <v>2141</v>
      </c>
      <c r="C412" s="190">
        <v>0</v>
      </c>
      <c r="D412" s="190">
        <v>-0.27336772691761546</v>
      </c>
    </row>
    <row r="413" spans="1:4" ht="20.100000000000001" customHeight="1" x14ac:dyDescent="0.2">
      <c r="A413" s="6" t="s">
        <v>2142</v>
      </c>
      <c r="B413" s="7" t="s">
        <v>2143</v>
      </c>
      <c r="C413" s="190">
        <v>2.6187588446036121</v>
      </c>
      <c r="D413" s="190">
        <v>0.20828842871871642</v>
      </c>
    </row>
    <row r="414" spans="1:4" ht="20.100000000000001" customHeight="1" x14ac:dyDescent="0.2">
      <c r="A414" s="6" t="s">
        <v>2144</v>
      </c>
      <c r="B414" s="7" t="s">
        <v>2145</v>
      </c>
      <c r="C414" s="190">
        <v>0.26540140781574939</v>
      </c>
      <c r="D414" s="190">
        <v>7.9046524459484591</v>
      </c>
    </row>
    <row r="415" spans="1:4" ht="20.100000000000001" customHeight="1" x14ac:dyDescent="0.2">
      <c r="A415" s="6" t="s">
        <v>2146</v>
      </c>
      <c r="B415" s="7" t="s">
        <v>2147</v>
      </c>
      <c r="C415" s="190">
        <v>3.1299940251144963E-4</v>
      </c>
      <c r="D415" s="190">
        <v>3.0681251155206017</v>
      </c>
    </row>
    <row r="416" spans="1:4" ht="20.100000000000001" customHeight="1" x14ac:dyDescent="0.2">
      <c r="A416" s="6" t="s">
        <v>2148</v>
      </c>
      <c r="B416" s="7" t="s">
        <v>2149</v>
      </c>
      <c r="C416" s="190">
        <v>0</v>
      </c>
      <c r="D416" s="190">
        <v>0</v>
      </c>
    </row>
    <row r="417" spans="1:4" ht="20.100000000000001" customHeight="1" x14ac:dyDescent="0.2">
      <c r="A417" s="6" t="s">
        <v>2150</v>
      </c>
      <c r="B417" s="7" t="s">
        <v>2151</v>
      </c>
      <c r="C417" s="190">
        <v>6.3922421063399223E-3</v>
      </c>
      <c r="D417" s="190">
        <v>3.0228583001939588</v>
      </c>
    </row>
    <row r="418" spans="1:4" ht="20.100000000000001" customHeight="1" x14ac:dyDescent="0.2">
      <c r="A418" s="6" t="s">
        <v>2152</v>
      </c>
      <c r="B418" s="7" t="s">
        <v>2153</v>
      </c>
      <c r="C418" s="190">
        <v>2.530091316160163</v>
      </c>
      <c r="D418" s="190">
        <v>15.248925607636478</v>
      </c>
    </row>
    <row r="419" spans="1:4" ht="20.100000000000001" customHeight="1" x14ac:dyDescent="0.2">
      <c r="A419" s="6" t="s">
        <v>2154</v>
      </c>
      <c r="B419" s="7" t="s">
        <v>2155</v>
      </c>
      <c r="C419" s="190">
        <v>0.5186337320561949</v>
      </c>
      <c r="D419" s="190">
        <v>-9.6347831113289997E-2</v>
      </c>
    </row>
    <row r="420" spans="1:4" ht="20.100000000000001" customHeight="1" x14ac:dyDescent="0.2">
      <c r="A420" s="6" t="s">
        <v>2156</v>
      </c>
      <c r="B420" s="7" t="s">
        <v>2157</v>
      </c>
      <c r="C420" s="190">
        <v>-0.92298799043378421</v>
      </c>
      <c r="D420" s="190">
        <v>3.6400373725977271E-2</v>
      </c>
    </row>
    <row r="421" spans="1:4" ht="20.100000000000001" customHeight="1" x14ac:dyDescent="0.2">
      <c r="A421" s="6" t="s">
        <v>2158</v>
      </c>
      <c r="B421" s="7" t="s">
        <v>2159</v>
      </c>
      <c r="C421" s="190">
        <v>1.9140417665315961</v>
      </c>
      <c r="D421" s="190">
        <v>-0.13508143724014859</v>
      </c>
    </row>
    <row r="422" spans="1:4" ht="20.100000000000001" customHeight="1" x14ac:dyDescent="0.2">
      <c r="A422" s="6" t="s">
        <v>2160</v>
      </c>
      <c r="B422" s="7" t="s">
        <v>2161</v>
      </c>
      <c r="C422" s="190">
        <v>0.16511972291099394</v>
      </c>
      <c r="D422" s="190">
        <v>1.8014455256305362</v>
      </c>
    </row>
    <row r="423" spans="1:4" ht="20.100000000000001" customHeight="1" x14ac:dyDescent="0.2">
      <c r="A423" s="6" t="s">
        <v>2162</v>
      </c>
      <c r="B423" s="7" t="s">
        <v>2163</v>
      </c>
      <c r="C423" s="190">
        <v>-0.1600242685254461</v>
      </c>
      <c r="D423" s="190">
        <v>2.6807793207034041</v>
      </c>
    </row>
    <row r="424" spans="1:4" ht="20.100000000000001" customHeight="1" x14ac:dyDescent="0.2">
      <c r="A424" s="6" t="s">
        <v>2164</v>
      </c>
      <c r="B424" s="7" t="s">
        <v>2165</v>
      </c>
      <c r="C424" s="190">
        <v>0.82830862492660762</v>
      </c>
      <c r="D424" s="190">
        <v>-0.17164585985970529</v>
      </c>
    </row>
    <row r="425" spans="1:4" ht="20.100000000000001" customHeight="1" x14ac:dyDescent="0.2">
      <c r="A425" s="6" t="s">
        <v>2166</v>
      </c>
      <c r="B425" s="7" t="s">
        <v>2167</v>
      </c>
      <c r="C425" s="190">
        <v>2.1921037134628691</v>
      </c>
      <c r="D425" s="190">
        <v>-0.18741276298483781</v>
      </c>
    </row>
    <row r="426" spans="1:4" ht="20.100000000000001" customHeight="1" x14ac:dyDescent="0.2">
      <c r="A426" s="6" t="s">
        <v>2168</v>
      </c>
      <c r="B426" s="7" t="s">
        <v>2169</v>
      </c>
      <c r="C426" s="190">
        <v>0.229404018740055</v>
      </c>
      <c r="D426" s="190">
        <v>0.48598231323143282</v>
      </c>
    </row>
    <row r="427" spans="1:4" ht="20.100000000000001" customHeight="1" x14ac:dyDescent="0.2">
      <c r="A427" s="6" t="s">
        <v>2170</v>
      </c>
      <c r="B427" s="7" t="s">
        <v>2171</v>
      </c>
      <c r="C427" s="190">
        <v>-2.1209770610356093</v>
      </c>
      <c r="D427" s="190">
        <v>0.64044273430336573</v>
      </c>
    </row>
    <row r="428" spans="1:4" ht="20.100000000000001" customHeight="1" x14ac:dyDescent="0.2">
      <c r="A428" s="6" t="s">
        <v>2172</v>
      </c>
      <c r="B428" s="7" t="s">
        <v>2173</v>
      </c>
      <c r="C428" s="190">
        <v>1.883191162892631</v>
      </c>
      <c r="D428" s="190">
        <v>4.9278577616127333</v>
      </c>
    </row>
    <row r="429" spans="1:4" ht="20.100000000000001" customHeight="1" x14ac:dyDescent="0.2">
      <c r="A429" s="6" t="s">
        <v>2174</v>
      </c>
      <c r="B429" s="7" t="s">
        <v>2175</v>
      </c>
      <c r="C429" s="190">
        <v>0.11245718308796838</v>
      </c>
      <c r="D429" s="190">
        <v>-5.027106476944208E-3</v>
      </c>
    </row>
    <row r="430" spans="1:4" ht="20.100000000000001" customHeight="1" x14ac:dyDescent="0.2">
      <c r="A430" s="6" t="s">
        <v>2176</v>
      </c>
      <c r="B430" s="7" t="s">
        <v>2177</v>
      </c>
      <c r="C430" s="190">
        <v>0.11245718308796838</v>
      </c>
      <c r="D430" s="190">
        <v>-5.027106476944208E-3</v>
      </c>
    </row>
    <row r="431" spans="1:4" ht="20.100000000000001" customHeight="1" x14ac:dyDescent="0.2">
      <c r="A431" s="6" t="s">
        <v>2178</v>
      </c>
      <c r="B431" s="7" t="s">
        <v>2179</v>
      </c>
      <c r="C431" s="190">
        <v>3.6560348853696167</v>
      </c>
      <c r="D431" s="190">
        <v>-0.9219690824005301</v>
      </c>
    </row>
    <row r="432" spans="1:4" ht="20.100000000000001" customHeight="1" x14ac:dyDescent="0.2">
      <c r="A432" s="6" t="s">
        <v>2180</v>
      </c>
      <c r="B432" s="7" t="s">
        <v>2181</v>
      </c>
      <c r="C432" s="190">
        <v>-0.38608904711114977</v>
      </c>
      <c r="D432" s="190">
        <v>-0.4680117634002473</v>
      </c>
    </row>
    <row r="433" spans="1:4" ht="20.100000000000001" customHeight="1" x14ac:dyDescent="0.2">
      <c r="A433" s="6" t="s">
        <v>2182</v>
      </c>
      <c r="B433" s="7" t="s">
        <v>2181</v>
      </c>
      <c r="C433" s="190">
        <v>0.34041892811491103</v>
      </c>
      <c r="D433" s="190">
        <v>-0.7921302027116186</v>
      </c>
    </row>
    <row r="434" spans="1:4" ht="20.100000000000001" customHeight="1" x14ac:dyDescent="0.2">
      <c r="A434" s="6" t="s">
        <v>2183</v>
      </c>
      <c r="B434" s="7" t="s">
        <v>2184</v>
      </c>
      <c r="C434" s="190">
        <v>1.0816846808945346</v>
      </c>
      <c r="D434" s="190">
        <v>0.96556221422497857</v>
      </c>
    </row>
    <row r="435" spans="1:4" ht="20.100000000000001" customHeight="1" x14ac:dyDescent="0.2">
      <c r="A435" s="6" t="s">
        <v>2185</v>
      </c>
      <c r="B435" s="7" t="s">
        <v>2186</v>
      </c>
      <c r="C435" s="190">
        <v>2.3953816587904382</v>
      </c>
      <c r="D435" s="190">
        <v>-2.007391621147129</v>
      </c>
    </row>
    <row r="436" spans="1:4" ht="20.100000000000001" customHeight="1" x14ac:dyDescent="0.2">
      <c r="A436" s="6" t="s">
        <v>2187</v>
      </c>
      <c r="B436" s="7" t="s">
        <v>2188</v>
      </c>
      <c r="C436" s="190">
        <v>2.2651983956755437</v>
      </c>
      <c r="D436" s="190">
        <v>-2.7725459297066584</v>
      </c>
    </row>
    <row r="437" spans="1:4" ht="20.100000000000001" customHeight="1" x14ac:dyDescent="0.2">
      <c r="A437" s="6" t="s">
        <v>2189</v>
      </c>
      <c r="B437" s="7" t="s">
        <v>2190</v>
      </c>
      <c r="C437" s="190">
        <v>1.3951756648887266</v>
      </c>
      <c r="D437" s="190">
        <v>5.0952204146399662</v>
      </c>
    </row>
    <row r="438" spans="1:4" ht="20.100000000000001" customHeight="1" x14ac:dyDescent="0.2">
      <c r="A438" s="6" t="s">
        <v>2191</v>
      </c>
      <c r="B438" s="7" t="s">
        <v>2192</v>
      </c>
      <c r="C438" s="190">
        <v>0.11245224609521143</v>
      </c>
      <c r="D438" s="190">
        <v>-5.0271217359849525E-3</v>
      </c>
    </row>
    <row r="439" spans="1:4" ht="20.100000000000001" customHeight="1" x14ac:dyDescent="0.2">
      <c r="A439" s="6" t="s">
        <v>2193</v>
      </c>
      <c r="B439" s="7" t="s">
        <v>2194</v>
      </c>
      <c r="C439" s="190">
        <v>-0.53509272268242203</v>
      </c>
      <c r="D439" s="190">
        <v>1.8101235327458647</v>
      </c>
    </row>
    <row r="440" spans="1:4" ht="20.100000000000001" customHeight="1" x14ac:dyDescent="0.2">
      <c r="A440" s="6" t="s">
        <v>2195</v>
      </c>
      <c r="B440" s="7" t="s">
        <v>2196</v>
      </c>
      <c r="C440" s="190">
        <v>3.6696936690314352</v>
      </c>
      <c r="D440" s="190">
        <v>-0.25060723970930293</v>
      </c>
    </row>
    <row r="441" spans="1:4" ht="20.100000000000001" customHeight="1" x14ac:dyDescent="0.2">
      <c r="A441" s="6" t="s">
        <v>2197</v>
      </c>
      <c r="B441" s="7" t="s">
        <v>2198</v>
      </c>
      <c r="C441" s="190">
        <v>1.3094804108256626</v>
      </c>
      <c r="D441" s="190">
        <v>3.2452890286477025</v>
      </c>
    </row>
    <row r="442" spans="1:4" ht="20.100000000000001" customHeight="1" x14ac:dyDescent="0.2">
      <c r="A442" s="6" t="s">
        <v>2199</v>
      </c>
      <c r="B442" s="7" t="s">
        <v>2200</v>
      </c>
      <c r="C442" s="190">
        <v>0</v>
      </c>
      <c r="D442" s="190">
        <v>-0.6443324288939738</v>
      </c>
    </row>
    <row r="443" spans="1:4" ht="20.100000000000001" customHeight="1" x14ac:dyDescent="0.2">
      <c r="A443" s="6" t="s">
        <v>2201</v>
      </c>
      <c r="B443" s="7" t="s">
        <v>2202</v>
      </c>
      <c r="C443" s="190">
        <v>-2.3361601030033516</v>
      </c>
      <c r="D443" s="190">
        <v>4.2379726888965576</v>
      </c>
    </row>
    <row r="444" spans="1:4" ht="20.100000000000001" customHeight="1" x14ac:dyDescent="0.2">
      <c r="A444" s="6" t="s">
        <v>2203</v>
      </c>
      <c r="B444" s="7" t="s">
        <v>2204</v>
      </c>
      <c r="C444" s="190">
        <v>0.69690598519503555</v>
      </c>
      <c r="D444" s="190">
        <v>-2.0857721338611128</v>
      </c>
    </row>
    <row r="445" spans="1:4" ht="20.100000000000001" customHeight="1" x14ac:dyDescent="0.2">
      <c r="A445" s="6" t="s">
        <v>2205</v>
      </c>
      <c r="B445" s="7" t="s">
        <v>2206</v>
      </c>
      <c r="C445" s="190">
        <v>-0.77881691884568838</v>
      </c>
      <c r="D445" s="190">
        <v>-6.5822554028812985E-2</v>
      </c>
    </row>
    <row r="446" spans="1:4" ht="20.100000000000001" customHeight="1" x14ac:dyDescent="0.2">
      <c r="A446" s="6" t="s">
        <v>2207</v>
      </c>
      <c r="B446" s="7" t="s">
        <v>2208</v>
      </c>
      <c r="C446" s="190">
        <v>1.8383359092127902</v>
      </c>
      <c r="D446" s="190">
        <v>-9.0197667790432412</v>
      </c>
    </row>
    <row r="447" spans="1:4" ht="20.100000000000001" customHeight="1" x14ac:dyDescent="0.2">
      <c r="A447" s="6" t="s">
        <v>2209</v>
      </c>
      <c r="B447" s="7" t="s">
        <v>2210</v>
      </c>
      <c r="C447" s="190">
        <v>1.7316270863923819</v>
      </c>
      <c r="D447" s="190">
        <v>6.6596347726813487</v>
      </c>
    </row>
    <row r="448" spans="1:4" ht="20.100000000000001" customHeight="1" x14ac:dyDescent="0.2">
      <c r="A448" s="6" t="s">
        <v>2211</v>
      </c>
      <c r="B448" s="7" t="s">
        <v>2212</v>
      </c>
      <c r="C448" s="190">
        <v>3.1673784502602911</v>
      </c>
      <c r="D448" s="190">
        <v>-0.25588320281690707</v>
      </c>
    </row>
    <row r="449" spans="1:4" ht="20.100000000000001" customHeight="1" x14ac:dyDescent="0.2">
      <c r="A449" s="6" t="s">
        <v>2213</v>
      </c>
      <c r="B449" s="7" t="s">
        <v>2214</v>
      </c>
      <c r="C449" s="190">
        <v>3.2163836714175269</v>
      </c>
      <c r="D449" s="190">
        <v>3.4839086734925102</v>
      </c>
    </row>
    <row r="450" spans="1:4" ht="20.100000000000001" customHeight="1" x14ac:dyDescent="0.2">
      <c r="A450" s="6" t="s">
        <v>2215</v>
      </c>
      <c r="B450" s="7" t="s">
        <v>2216</v>
      </c>
      <c r="C450" s="190">
        <v>0.46882298822294793</v>
      </c>
      <c r="D450" s="190">
        <v>1.1634432704341835</v>
      </c>
    </row>
    <row r="451" spans="1:4" ht="20.100000000000001" customHeight="1" x14ac:dyDescent="0.2">
      <c r="A451" s="6" t="s">
        <v>2217</v>
      </c>
      <c r="B451" s="7" t="s">
        <v>2218</v>
      </c>
      <c r="C451" s="190">
        <v>1.1900412599756554</v>
      </c>
      <c r="D451" s="190">
        <v>0.2966253079780754</v>
      </c>
    </row>
    <row r="452" spans="1:4" ht="20.100000000000001" customHeight="1" x14ac:dyDescent="0.2">
      <c r="A452" s="6" t="s">
        <v>2219</v>
      </c>
      <c r="B452" s="7" t="s">
        <v>2220</v>
      </c>
      <c r="C452" s="190">
        <v>0.35040686807936477</v>
      </c>
      <c r="D452" s="190">
        <v>0.44511564274417348</v>
      </c>
    </row>
    <row r="453" spans="1:4" ht="20.100000000000001" customHeight="1" x14ac:dyDescent="0.2">
      <c r="A453" s="6" t="s">
        <v>2221</v>
      </c>
      <c r="B453" s="7" t="s">
        <v>2222</v>
      </c>
      <c r="C453" s="190">
        <v>-0.3391880276758279</v>
      </c>
      <c r="D453" s="190">
        <v>-5.483089749315849E-2</v>
      </c>
    </row>
    <row r="454" spans="1:4" ht="20.100000000000001" customHeight="1" x14ac:dyDescent="0.2">
      <c r="A454" s="6" t="s">
        <v>2223</v>
      </c>
      <c r="B454" s="7" t="s">
        <v>2224</v>
      </c>
      <c r="C454" s="190">
        <v>0.67652446062215332</v>
      </c>
      <c r="D454" s="190">
        <v>0.13927552478733052</v>
      </c>
    </row>
    <row r="455" spans="1:4" ht="20.100000000000001" customHeight="1" x14ac:dyDescent="0.2">
      <c r="A455" s="6" t="s">
        <v>2225</v>
      </c>
      <c r="B455" s="7" t="s">
        <v>2226</v>
      </c>
      <c r="C455" s="190">
        <v>2.0817065369320313</v>
      </c>
      <c r="D455" s="190">
        <v>-6.110240278850429E-2</v>
      </c>
    </row>
    <row r="456" spans="1:4" ht="20.100000000000001" customHeight="1" x14ac:dyDescent="0.2">
      <c r="A456" s="6" t="s">
        <v>2227</v>
      </c>
      <c r="B456" s="7" t="s">
        <v>2228</v>
      </c>
      <c r="C456" s="190">
        <v>11.128892452704648</v>
      </c>
      <c r="D456" s="190">
        <v>-9.234359860646407</v>
      </c>
    </row>
    <row r="457" spans="1:4" ht="20.100000000000001" customHeight="1" x14ac:dyDescent="0.2">
      <c r="A457" s="6" t="s">
        <v>2229</v>
      </c>
      <c r="B457" s="7" t="s">
        <v>2230</v>
      </c>
      <c r="C457" s="190">
        <v>3.8255841168039586</v>
      </c>
      <c r="D457" s="190">
        <v>4.9883867089729055</v>
      </c>
    </row>
    <row r="458" spans="1:4" ht="20.100000000000001" customHeight="1" x14ac:dyDescent="0.2">
      <c r="A458" s="6" t="s">
        <v>2231</v>
      </c>
      <c r="B458" s="7" t="s">
        <v>2232</v>
      </c>
      <c r="C458" s="190">
        <v>0</v>
      </c>
      <c r="D458" s="190">
        <v>-0.6443324288939738</v>
      </c>
    </row>
    <row r="459" spans="1:4" ht="20.100000000000001" customHeight="1" x14ac:dyDescent="0.2">
      <c r="A459" s="6" t="s">
        <v>2233</v>
      </c>
      <c r="B459" s="7" t="s">
        <v>2232</v>
      </c>
      <c r="C459" s="190">
        <v>0</v>
      </c>
      <c r="D459" s="190">
        <v>0.23144974196904725</v>
      </c>
    </row>
    <row r="460" spans="1:4" ht="20.100000000000001" customHeight="1" x14ac:dyDescent="0.2">
      <c r="A460" s="6" t="s">
        <v>2234</v>
      </c>
      <c r="B460" s="7" t="s">
        <v>2235</v>
      </c>
      <c r="C460" s="190">
        <v>2.2811448171269403E-2</v>
      </c>
      <c r="D460" s="190">
        <v>4.0434846577464301</v>
      </c>
    </row>
    <row r="461" spans="1:4" ht="20.100000000000001" customHeight="1" x14ac:dyDescent="0.2">
      <c r="A461" s="6" t="s">
        <v>2236</v>
      </c>
      <c r="B461" s="7" t="s">
        <v>2237</v>
      </c>
      <c r="C461" s="190">
        <v>-0.98626570398214686</v>
      </c>
      <c r="D461" s="190">
        <v>0</v>
      </c>
    </row>
    <row r="462" spans="1:4" ht="20.100000000000001" customHeight="1" x14ac:dyDescent="0.2">
      <c r="A462" s="6" t="s">
        <v>2238</v>
      </c>
      <c r="B462" s="7" t="s">
        <v>2239</v>
      </c>
      <c r="C462" s="190">
        <v>1.7996416018147658</v>
      </c>
      <c r="D462" s="190">
        <v>23.996646758302063</v>
      </c>
    </row>
    <row r="463" spans="1:4" ht="20.100000000000001" customHeight="1" x14ac:dyDescent="0.2">
      <c r="A463" s="6" t="s">
        <v>2240</v>
      </c>
      <c r="B463" s="7" t="s">
        <v>2239</v>
      </c>
      <c r="C463" s="190">
        <v>1.069993332134541</v>
      </c>
      <c r="D463" s="190">
        <v>23.195449275439657</v>
      </c>
    </row>
    <row r="464" spans="1:4" ht="20.100000000000001" customHeight="1" x14ac:dyDescent="0.2">
      <c r="A464" s="6" t="s">
        <v>2241</v>
      </c>
      <c r="B464" s="7" t="s">
        <v>2242</v>
      </c>
      <c r="C464" s="190">
        <v>3.6847298098785997</v>
      </c>
      <c r="D464" s="190">
        <v>11.581946139115082</v>
      </c>
    </row>
    <row r="465" spans="1:4" ht="20.100000000000001" customHeight="1" x14ac:dyDescent="0.2">
      <c r="A465" s="6" t="s">
        <v>2243</v>
      </c>
      <c r="B465" s="7" t="s">
        <v>2244</v>
      </c>
      <c r="C465" s="190">
        <v>7.5027166973502979E-2</v>
      </c>
      <c r="D465" s="190">
        <v>2.8689542070101512</v>
      </c>
    </row>
    <row r="466" spans="1:4" ht="20.100000000000001" customHeight="1" x14ac:dyDescent="0.2">
      <c r="A466" s="6" t="s">
        <v>2245</v>
      </c>
      <c r="B466" s="7" t="s">
        <v>2246</v>
      </c>
      <c r="C466" s="190">
        <v>-2.0900513184769465E-3</v>
      </c>
      <c r="D466" s="190">
        <v>1.9279823938823677</v>
      </c>
    </row>
    <row r="467" spans="1:4" ht="20.100000000000001" customHeight="1" x14ac:dyDescent="0.2">
      <c r="A467" s="6" t="s">
        <v>2247</v>
      </c>
      <c r="B467" s="7" t="s">
        <v>2248</v>
      </c>
      <c r="C467" s="190">
        <v>0.97700974638349336</v>
      </c>
      <c r="D467" s="190">
        <v>5.3537346791290048</v>
      </c>
    </row>
    <row r="468" spans="1:4" ht="20.100000000000001" customHeight="1" x14ac:dyDescent="0.2">
      <c r="A468" s="6" t="s">
        <v>2249</v>
      </c>
      <c r="B468" s="7" t="s">
        <v>2250</v>
      </c>
      <c r="C468" s="190">
        <v>0.65520201234590481</v>
      </c>
      <c r="D468" s="190">
        <v>3.6421267580770023</v>
      </c>
    </row>
    <row r="469" spans="1:4" ht="20.100000000000001" customHeight="1" x14ac:dyDescent="0.2">
      <c r="A469" s="6" t="s">
        <v>2251</v>
      </c>
      <c r="B469" s="7" t="s">
        <v>2252</v>
      </c>
      <c r="C469" s="190">
        <v>0.12304815256582265</v>
      </c>
      <c r="D469" s="190">
        <v>2.8509193222010083</v>
      </c>
    </row>
    <row r="470" spans="1:4" ht="20.100000000000001" customHeight="1" x14ac:dyDescent="0.2">
      <c r="A470" s="6" t="s">
        <v>2253</v>
      </c>
      <c r="B470" s="7" t="s">
        <v>2254</v>
      </c>
      <c r="C470" s="190">
        <v>0.42203011245216726</v>
      </c>
      <c r="D470" s="190">
        <v>6.4676007409111671</v>
      </c>
    </row>
    <row r="471" spans="1:4" ht="20.100000000000001" customHeight="1" x14ac:dyDescent="0.2">
      <c r="A471" s="6" t="s">
        <v>2255</v>
      </c>
      <c r="B471" s="7" t="s">
        <v>2256</v>
      </c>
      <c r="C471" s="190">
        <v>7.770889272834372E-2</v>
      </c>
      <c r="D471" s="190">
        <v>7.7366594715555559</v>
      </c>
    </row>
    <row r="472" spans="1:4" ht="20.100000000000001" customHeight="1" x14ac:dyDescent="0.2">
      <c r="A472" s="6" t="s">
        <v>2257</v>
      </c>
      <c r="B472" s="7" t="s">
        <v>2258</v>
      </c>
      <c r="C472" s="190">
        <v>0.29649737686042771</v>
      </c>
      <c r="D472" s="190">
        <v>9.6104171123014162</v>
      </c>
    </row>
    <row r="473" spans="1:4" ht="20.100000000000001" customHeight="1" x14ac:dyDescent="0.2">
      <c r="A473" s="6" t="s">
        <v>2259</v>
      </c>
      <c r="B473" s="7" t="s">
        <v>2260</v>
      </c>
      <c r="C473" s="190">
        <v>1.0213511053613307</v>
      </c>
      <c r="D473" s="190">
        <v>3.6654390748515295</v>
      </c>
    </row>
    <row r="474" spans="1:4" ht="20.100000000000001" customHeight="1" x14ac:dyDescent="0.2">
      <c r="A474" s="6" t="s">
        <v>2261</v>
      </c>
      <c r="B474" s="7" t="s">
        <v>2262</v>
      </c>
      <c r="C474" s="190">
        <v>2.7948838922107956E-2</v>
      </c>
      <c r="D474" s="190">
        <v>4.5064241959136879</v>
      </c>
    </row>
    <row r="475" spans="1:4" ht="20.100000000000001" customHeight="1" x14ac:dyDescent="0.2">
      <c r="A475" s="6" t="s">
        <v>2263</v>
      </c>
      <c r="B475" s="7" t="s">
        <v>2264</v>
      </c>
      <c r="C475" s="190">
        <v>1.9488030049838343</v>
      </c>
      <c r="D475" s="190">
        <v>1.2773198781958846</v>
      </c>
    </row>
    <row r="476" spans="1:4" ht="20.100000000000001" customHeight="1" x14ac:dyDescent="0.2">
      <c r="A476" s="6" t="s">
        <v>2265</v>
      </c>
      <c r="B476" s="7" t="s">
        <v>2266</v>
      </c>
      <c r="C476" s="190">
        <v>0.13852897720950388</v>
      </c>
      <c r="D476" s="190">
        <v>17.299829928272683</v>
      </c>
    </row>
    <row r="477" spans="1:4" ht="20.100000000000001" customHeight="1" x14ac:dyDescent="0.2">
      <c r="A477" s="6" t="s">
        <v>2267</v>
      </c>
      <c r="B477" s="7" t="s">
        <v>2268</v>
      </c>
      <c r="C477" s="190">
        <v>0.9312299764585541</v>
      </c>
      <c r="D477" s="190">
        <v>4.4825007065048066</v>
      </c>
    </row>
    <row r="478" spans="1:4" ht="20.100000000000001" customHeight="1" x14ac:dyDescent="0.2">
      <c r="A478" s="6" t="s">
        <v>2269</v>
      </c>
      <c r="B478" s="7" t="s">
        <v>2270</v>
      </c>
      <c r="C478" s="190">
        <v>0.99625295489367027</v>
      </c>
      <c r="D478" s="190">
        <v>18.399951135684546</v>
      </c>
    </row>
    <row r="479" spans="1:4" ht="20.100000000000001" customHeight="1" x14ac:dyDescent="0.2">
      <c r="A479" s="6" t="s">
        <v>2271</v>
      </c>
      <c r="B479" s="7" t="s">
        <v>2272</v>
      </c>
      <c r="C479" s="190">
        <v>0</v>
      </c>
      <c r="D479" s="190">
        <v>11.56868660502689</v>
      </c>
    </row>
    <row r="480" spans="1:4" ht="20.100000000000001" customHeight="1" x14ac:dyDescent="0.2">
      <c r="A480" s="6" t="s">
        <v>2273</v>
      </c>
      <c r="B480" s="7" t="s">
        <v>2274</v>
      </c>
      <c r="C480" s="190">
        <v>0.25319914434837809</v>
      </c>
      <c r="D480" s="190">
        <v>7.7240500627216386</v>
      </c>
    </row>
    <row r="481" spans="1:4" ht="20.100000000000001" customHeight="1" x14ac:dyDescent="0.2">
      <c r="A481" s="6" t="s">
        <v>2275</v>
      </c>
      <c r="B481" s="7" t="s">
        <v>2276</v>
      </c>
      <c r="C481" s="190">
        <v>0.69549711759601995</v>
      </c>
      <c r="D481" s="190">
        <v>8.8664590958561948</v>
      </c>
    </row>
    <row r="482" spans="1:4" ht="20.100000000000001" customHeight="1" x14ac:dyDescent="0.2">
      <c r="A482" s="6" t="s">
        <v>2277</v>
      </c>
      <c r="B482" s="7" t="s">
        <v>2278</v>
      </c>
      <c r="C482" s="190">
        <v>0.29492747480223874</v>
      </c>
      <c r="D482" s="190">
        <v>4.5319635965795584</v>
      </c>
    </row>
    <row r="483" spans="1:4" ht="20.100000000000001" customHeight="1" x14ac:dyDescent="0.2">
      <c r="A483" s="6" t="s">
        <v>2279</v>
      </c>
      <c r="B483" s="7" t="s">
        <v>2280</v>
      </c>
      <c r="C483" s="190">
        <v>0.90738561871829271</v>
      </c>
      <c r="D483" s="190">
        <v>-4.8846478353605631</v>
      </c>
    </row>
    <row r="484" spans="1:4" ht="20.100000000000001" customHeight="1" x14ac:dyDescent="0.2">
      <c r="A484" s="6" t="s">
        <v>2281</v>
      </c>
      <c r="B484" s="7" t="s">
        <v>2282</v>
      </c>
      <c r="C484" s="190">
        <v>0.40182595125834886</v>
      </c>
      <c r="D484" s="190">
        <v>11.903949491389223</v>
      </c>
    </row>
    <row r="485" spans="1:4" ht="20.100000000000001" customHeight="1" x14ac:dyDescent="0.2">
      <c r="A485" s="6" t="s">
        <v>2283</v>
      </c>
      <c r="B485" s="7" t="s">
        <v>2284</v>
      </c>
      <c r="C485" s="190">
        <v>0.9748668892568374</v>
      </c>
      <c r="D485" s="190">
        <v>24.479364814091426</v>
      </c>
    </row>
    <row r="486" spans="1:4" ht="20.100000000000001" customHeight="1" x14ac:dyDescent="0.2">
      <c r="A486" s="6" t="s">
        <v>2285</v>
      </c>
      <c r="B486" s="7" t="s">
        <v>2286</v>
      </c>
      <c r="C486" s="190">
        <v>0.24989690073859386</v>
      </c>
      <c r="D486" s="190">
        <v>7.300987897660371</v>
      </c>
    </row>
    <row r="487" spans="1:4" ht="20.100000000000001" customHeight="1" x14ac:dyDescent="0.2">
      <c r="A487" s="6" t="s">
        <v>2287</v>
      </c>
      <c r="B487" s="7" t="s">
        <v>2288</v>
      </c>
      <c r="C487" s="190">
        <v>1.0557712264458998</v>
      </c>
      <c r="D487" s="190">
        <v>29.091824402445333</v>
      </c>
    </row>
    <row r="488" spans="1:4" ht="20.100000000000001" customHeight="1" x14ac:dyDescent="0.2">
      <c r="A488" s="6" t="s">
        <v>2289</v>
      </c>
      <c r="B488" s="7" t="s">
        <v>2290</v>
      </c>
      <c r="C488" s="190">
        <v>0.37914971798624114</v>
      </c>
      <c r="D488" s="190">
        <v>8.6498459644475112</v>
      </c>
    </row>
    <row r="489" spans="1:4" ht="20.100000000000001" customHeight="1" x14ac:dyDescent="0.2">
      <c r="A489" s="6" t="s">
        <v>2291</v>
      </c>
      <c r="B489" s="7" t="s">
        <v>2292</v>
      </c>
      <c r="C489" s="190">
        <v>0.24543369731577275</v>
      </c>
      <c r="D489" s="190">
        <v>23.374614453498982</v>
      </c>
    </row>
    <row r="490" spans="1:4" ht="20.100000000000001" customHeight="1" x14ac:dyDescent="0.2">
      <c r="A490" s="6" t="s">
        <v>2293</v>
      </c>
      <c r="B490" s="7" t="s">
        <v>2294</v>
      </c>
      <c r="C490" s="190">
        <v>8.8766496796726477E-2</v>
      </c>
      <c r="D490" s="190">
        <v>-0.64620681347910436</v>
      </c>
    </row>
    <row r="491" spans="1:4" ht="20.100000000000001" customHeight="1" x14ac:dyDescent="0.2">
      <c r="A491" s="6" t="s">
        <v>2295</v>
      </c>
      <c r="B491" s="7" t="s">
        <v>2296</v>
      </c>
      <c r="C491" s="190">
        <v>1.6340610860169011</v>
      </c>
      <c r="D491" s="190">
        <v>10.136695221663032</v>
      </c>
    </row>
    <row r="492" spans="1:4" ht="20.100000000000001" customHeight="1" x14ac:dyDescent="0.2">
      <c r="A492" s="6" t="s">
        <v>2297</v>
      </c>
      <c r="B492" s="7" t="s">
        <v>2298</v>
      </c>
      <c r="C492" s="190">
        <v>1.3610368190750601</v>
      </c>
      <c r="D492" s="190">
        <v>37.005598066264994</v>
      </c>
    </row>
    <row r="493" spans="1:4" ht="20.100000000000001" customHeight="1" x14ac:dyDescent="0.2">
      <c r="A493" s="6" t="s">
        <v>2299</v>
      </c>
      <c r="B493" s="7" t="s">
        <v>2300</v>
      </c>
      <c r="C493" s="190">
        <v>4.0153460379805557</v>
      </c>
      <c r="D493" s="190">
        <v>8.9201101482383258</v>
      </c>
    </row>
    <row r="494" spans="1:4" ht="20.100000000000001" customHeight="1" x14ac:dyDescent="0.2">
      <c r="A494" s="6" t="s">
        <v>2301</v>
      </c>
      <c r="B494" s="7" t="s">
        <v>2302</v>
      </c>
      <c r="C494" s="190">
        <v>0.32207533044796671</v>
      </c>
      <c r="D494" s="190">
        <v>9.4528846077497608</v>
      </c>
    </row>
    <row r="495" spans="1:4" ht="20.100000000000001" customHeight="1" x14ac:dyDescent="0.2">
      <c r="A495" s="6" t="s">
        <v>2303</v>
      </c>
      <c r="B495" s="7" t="s">
        <v>2304</v>
      </c>
      <c r="C495" s="190">
        <v>6.6525464425013642E-2</v>
      </c>
      <c r="D495" s="190">
        <v>1.2415771932363493</v>
      </c>
    </row>
    <row r="496" spans="1:4" ht="20.100000000000001" customHeight="1" x14ac:dyDescent="0.2">
      <c r="A496" s="6" t="s">
        <v>2305</v>
      </c>
      <c r="B496" s="7" t="s">
        <v>2306</v>
      </c>
      <c r="C496" s="190">
        <v>0.4462491409256929</v>
      </c>
      <c r="D496" s="190">
        <v>4.6458485422800804</v>
      </c>
    </row>
    <row r="497" spans="1:4" ht="20.100000000000001" customHeight="1" x14ac:dyDescent="0.2">
      <c r="A497" s="6" t="s">
        <v>2307</v>
      </c>
      <c r="B497" s="7" t="s">
        <v>2308</v>
      </c>
      <c r="C497" s="190">
        <v>3.9627087559098856E-2</v>
      </c>
      <c r="D497" s="190">
        <v>0.62844604276912819</v>
      </c>
    </row>
    <row r="498" spans="1:4" ht="20.100000000000001" customHeight="1" x14ac:dyDescent="0.2">
      <c r="A498" s="6" t="s">
        <v>2309</v>
      </c>
      <c r="B498" s="7" t="s">
        <v>2310</v>
      </c>
      <c r="C498" s="190">
        <v>-1.4505924490536174E-2</v>
      </c>
      <c r="D498" s="190">
        <v>13.676355155485661</v>
      </c>
    </row>
    <row r="499" spans="1:4" ht="20.100000000000001" customHeight="1" x14ac:dyDescent="0.2">
      <c r="A499" s="6" t="s">
        <v>2311</v>
      </c>
      <c r="B499" s="7" t="s">
        <v>2312</v>
      </c>
      <c r="C499" s="190">
        <v>0.2242725982372068</v>
      </c>
      <c r="D499" s="190">
        <v>28.388030263419534</v>
      </c>
    </row>
    <row r="500" spans="1:4" ht="20.100000000000001" customHeight="1" x14ac:dyDescent="0.2">
      <c r="A500" s="6" t="s">
        <v>2313</v>
      </c>
      <c r="B500" s="7" t="s">
        <v>2314</v>
      </c>
      <c r="C500" s="190">
        <v>1.362258312497685</v>
      </c>
      <c r="D500" s="190">
        <v>4.4177520537605304</v>
      </c>
    </row>
    <row r="501" spans="1:4" ht="20.100000000000001" customHeight="1" x14ac:dyDescent="0.2">
      <c r="A501" s="6" t="s">
        <v>2315</v>
      </c>
      <c r="B501" s="7" t="s">
        <v>2316</v>
      </c>
      <c r="C501" s="190">
        <v>2.2360892938896972</v>
      </c>
      <c r="D501" s="190">
        <v>36.262017012393954</v>
      </c>
    </row>
    <row r="502" spans="1:4" ht="20.100000000000001" customHeight="1" x14ac:dyDescent="0.2">
      <c r="A502" s="6" t="s">
        <v>2317</v>
      </c>
      <c r="B502" s="7" t="s">
        <v>2318</v>
      </c>
      <c r="C502" s="190">
        <v>0.48102951039325825</v>
      </c>
      <c r="D502" s="190">
        <v>12.130792165722312</v>
      </c>
    </row>
    <row r="503" spans="1:4" ht="20.100000000000001" customHeight="1" x14ac:dyDescent="0.2">
      <c r="A503" s="6" t="s">
        <v>2319</v>
      </c>
      <c r="B503" s="7" t="s">
        <v>2320</v>
      </c>
      <c r="C503" s="190">
        <v>3.0611038337144256</v>
      </c>
      <c r="D503" s="190">
        <v>11.588613135117177</v>
      </c>
    </row>
    <row r="504" spans="1:4" ht="20.100000000000001" customHeight="1" x14ac:dyDescent="0.2">
      <c r="A504" s="6" t="s">
        <v>2321</v>
      </c>
      <c r="B504" s="7" t="s">
        <v>2322</v>
      </c>
      <c r="C504" s="190">
        <v>0.99428269637824729</v>
      </c>
      <c r="D504" s="190">
        <v>1.1002649802383686</v>
      </c>
    </row>
    <row r="505" spans="1:4" ht="20.100000000000001" customHeight="1" x14ac:dyDescent="0.2">
      <c r="A505" s="6" t="s">
        <v>2323</v>
      </c>
      <c r="B505" s="7" t="s">
        <v>2324</v>
      </c>
      <c r="C505" s="190">
        <v>1.714320738843466E-2</v>
      </c>
      <c r="D505" s="190">
        <v>11.807040933141712</v>
      </c>
    </row>
    <row r="506" spans="1:4" ht="20.100000000000001" customHeight="1" x14ac:dyDescent="0.2">
      <c r="A506" s="6" t="s">
        <v>2325</v>
      </c>
      <c r="B506" s="7" t="s">
        <v>2326</v>
      </c>
      <c r="C506" s="190">
        <v>4.4076737498222087</v>
      </c>
      <c r="D506" s="190">
        <v>10.638994870122358</v>
      </c>
    </row>
    <row r="507" spans="1:4" ht="20.100000000000001" customHeight="1" x14ac:dyDescent="0.2">
      <c r="A507" s="6" t="s">
        <v>2327</v>
      </c>
      <c r="B507" s="7" t="s">
        <v>2328</v>
      </c>
      <c r="C507" s="190">
        <v>1.1187729906396902</v>
      </c>
      <c r="D507" s="190">
        <v>3.1537907714890729</v>
      </c>
    </row>
    <row r="508" spans="1:4" ht="20.100000000000001" customHeight="1" x14ac:dyDescent="0.2">
      <c r="A508" s="6" t="s">
        <v>2329</v>
      </c>
      <c r="B508" s="7" t="s">
        <v>2330</v>
      </c>
      <c r="C508" s="190">
        <v>1.7957645854354234E-2</v>
      </c>
      <c r="D508" s="190">
        <v>13.638880589269277</v>
      </c>
    </row>
    <row r="509" spans="1:4" ht="20.100000000000001" customHeight="1" x14ac:dyDescent="0.2">
      <c r="A509" s="6" t="s">
        <v>2331</v>
      </c>
      <c r="B509" s="7" t="s">
        <v>2332</v>
      </c>
      <c r="C509" s="190">
        <v>0.14878492494355916</v>
      </c>
      <c r="D509" s="190">
        <v>1.2308857466997103</v>
      </c>
    </row>
    <row r="510" spans="1:4" ht="20.100000000000001" customHeight="1" x14ac:dyDescent="0.2">
      <c r="A510" s="6" t="s">
        <v>2333</v>
      </c>
      <c r="B510" s="7" t="s">
        <v>2332</v>
      </c>
      <c r="C510" s="190">
        <v>0.10204203038486974</v>
      </c>
      <c r="D510" s="190">
        <v>1.1910842792058742</v>
      </c>
    </row>
    <row r="511" spans="1:4" ht="20.100000000000001" customHeight="1" x14ac:dyDescent="0.2">
      <c r="A511" s="6" t="s">
        <v>2334</v>
      </c>
      <c r="B511" s="7" t="s">
        <v>2335</v>
      </c>
      <c r="C511" s="190">
        <v>0.63834809362122091</v>
      </c>
      <c r="D511" s="190">
        <v>6.9808221789082072</v>
      </c>
    </row>
    <row r="512" spans="1:4" ht="20.100000000000001" customHeight="1" x14ac:dyDescent="0.2">
      <c r="A512" s="6" t="s">
        <v>2336</v>
      </c>
      <c r="B512" s="7" t="s">
        <v>2337</v>
      </c>
      <c r="C512" s="190">
        <v>0.44123523644161122</v>
      </c>
      <c r="D512" s="190">
        <v>5.4703466665055789</v>
      </c>
    </row>
    <row r="513" spans="1:4" ht="20.100000000000001" customHeight="1" x14ac:dyDescent="0.2">
      <c r="A513" s="6" t="s">
        <v>2338</v>
      </c>
      <c r="B513" s="7" t="s">
        <v>2337</v>
      </c>
      <c r="C513" s="190">
        <v>0.1099549125095436</v>
      </c>
      <c r="D513" s="190">
        <v>5.4764704236842832</v>
      </c>
    </row>
    <row r="514" spans="1:4" ht="20.100000000000001" customHeight="1" x14ac:dyDescent="0.2">
      <c r="A514" s="6" t="s">
        <v>2339</v>
      </c>
      <c r="B514" s="7" t="s">
        <v>2340</v>
      </c>
      <c r="C514" s="190">
        <v>0.17395105404324263</v>
      </c>
      <c r="D514" s="190">
        <v>15.914750239634429</v>
      </c>
    </row>
    <row r="515" spans="1:4" ht="20.100000000000001" customHeight="1" x14ac:dyDescent="0.2">
      <c r="A515" s="6" t="s">
        <v>2341</v>
      </c>
      <c r="B515" s="7" t="s">
        <v>2342</v>
      </c>
      <c r="C515" s="190">
        <v>2.2142055806391943</v>
      </c>
      <c r="D515" s="190">
        <v>1.1831965614683</v>
      </c>
    </row>
    <row r="516" spans="1:4" ht="20.100000000000001" customHeight="1" x14ac:dyDescent="0.2">
      <c r="A516" s="6" t="s">
        <v>2343</v>
      </c>
      <c r="B516" s="7" t="s">
        <v>2344</v>
      </c>
      <c r="C516" s="190">
        <v>1.856612627285888E-2</v>
      </c>
      <c r="D516" s="190">
        <v>-0.62950422111678372</v>
      </c>
    </row>
    <row r="517" spans="1:4" ht="20.100000000000001" customHeight="1" x14ac:dyDescent="0.2">
      <c r="A517" s="6" t="s">
        <v>2345</v>
      </c>
      <c r="B517" s="7" t="s">
        <v>2346</v>
      </c>
      <c r="C517" s="190">
        <v>0.33931830813189928</v>
      </c>
      <c r="D517" s="190">
        <v>3.4552292896105348</v>
      </c>
    </row>
    <row r="518" spans="1:4" ht="20.100000000000001" customHeight="1" x14ac:dyDescent="0.2">
      <c r="A518" s="6" t="s">
        <v>2347</v>
      </c>
      <c r="B518" s="7" t="s">
        <v>2348</v>
      </c>
      <c r="C518" s="190">
        <v>2.0369391057912631</v>
      </c>
      <c r="D518" s="190">
        <v>41.244068825093322</v>
      </c>
    </row>
    <row r="519" spans="1:4" ht="20.100000000000001" customHeight="1" x14ac:dyDescent="0.2">
      <c r="A519" s="6" t="s">
        <v>2349</v>
      </c>
      <c r="B519" s="7" t="s">
        <v>2350</v>
      </c>
      <c r="C519" s="190">
        <v>0.25947436769204091</v>
      </c>
      <c r="D519" s="190">
        <v>0.25660272512169241</v>
      </c>
    </row>
    <row r="520" spans="1:4" ht="20.100000000000001" customHeight="1" x14ac:dyDescent="0.2">
      <c r="A520" s="6" t="s">
        <v>2351</v>
      </c>
      <c r="B520" s="7" t="s">
        <v>2352</v>
      </c>
      <c r="C520" s="190">
        <v>1.2927441069795044E-2</v>
      </c>
      <c r="D520" s="190">
        <v>15.461016958793802</v>
      </c>
    </row>
    <row r="521" spans="1:4" ht="20.100000000000001" customHeight="1" x14ac:dyDescent="0.2">
      <c r="A521" s="6" t="s">
        <v>2353</v>
      </c>
      <c r="B521" s="7" t="s">
        <v>2354</v>
      </c>
      <c r="C521" s="190">
        <v>0.41427728432070832</v>
      </c>
      <c r="D521" s="190">
        <v>6.0228396352322289</v>
      </c>
    </row>
    <row r="522" spans="1:4" ht="20.100000000000001" customHeight="1" x14ac:dyDescent="0.2">
      <c r="A522" s="6" t="s">
        <v>2355</v>
      </c>
      <c r="B522" s="7" t="s">
        <v>2356</v>
      </c>
      <c r="C522" s="190">
        <v>0.36801417363853078</v>
      </c>
      <c r="D522" s="190">
        <v>6.832616260305544</v>
      </c>
    </row>
    <row r="523" spans="1:4" ht="20.100000000000001" customHeight="1" x14ac:dyDescent="0.2">
      <c r="A523" s="6" t="s">
        <v>2357</v>
      </c>
      <c r="B523" s="7" t="s">
        <v>2358</v>
      </c>
      <c r="C523" s="190">
        <v>2.220081983053789</v>
      </c>
      <c r="D523" s="190">
        <v>10.245404466228569</v>
      </c>
    </row>
    <row r="524" spans="1:4" ht="20.100000000000001" customHeight="1" x14ac:dyDescent="0.2">
      <c r="A524" s="6" t="s">
        <v>2359</v>
      </c>
      <c r="B524" s="7" t="s">
        <v>2360</v>
      </c>
      <c r="C524" s="190">
        <v>3.5372255492565188E-2</v>
      </c>
      <c r="D524" s="190">
        <v>14.407837240466941</v>
      </c>
    </row>
    <row r="525" spans="1:4" ht="20.100000000000001" customHeight="1" x14ac:dyDescent="0.2">
      <c r="A525" s="6" t="s">
        <v>2361</v>
      </c>
      <c r="B525" s="7" t="s">
        <v>2362</v>
      </c>
      <c r="C525" s="190">
        <v>1.5707920532148605</v>
      </c>
      <c r="D525" s="190">
        <v>8.4554485024481707</v>
      </c>
    </row>
    <row r="526" spans="1:4" ht="20.100000000000001" customHeight="1" x14ac:dyDescent="0.2">
      <c r="A526" s="6" t="s">
        <v>2363</v>
      </c>
      <c r="B526" s="7" t="s">
        <v>2364</v>
      </c>
      <c r="C526" s="190">
        <v>0.91784860137361335</v>
      </c>
      <c r="D526" s="190">
        <v>2.6076133285875591</v>
      </c>
    </row>
    <row r="527" spans="1:4" ht="20.100000000000001" customHeight="1" x14ac:dyDescent="0.2">
      <c r="A527" s="6" t="s">
        <v>2365</v>
      </c>
      <c r="B527" s="7" t="s">
        <v>2366</v>
      </c>
      <c r="C527" s="190">
        <v>-0.226853538551955</v>
      </c>
      <c r="D527" s="190">
        <v>-3.3723422475338096</v>
      </c>
    </row>
    <row r="528" spans="1:4" ht="20.100000000000001" customHeight="1" x14ac:dyDescent="0.2">
      <c r="A528" s="6" t="s">
        <v>2367</v>
      </c>
      <c r="B528" s="7" t="s">
        <v>2368</v>
      </c>
      <c r="C528" s="190">
        <v>0.52193025457924858</v>
      </c>
      <c r="D528" s="190">
        <v>6.7517029248024407</v>
      </c>
    </row>
    <row r="529" spans="1:4" ht="20.100000000000001" customHeight="1" x14ac:dyDescent="0.2">
      <c r="A529" s="6" t="s">
        <v>2369</v>
      </c>
      <c r="B529" s="7" t="s">
        <v>2370</v>
      </c>
      <c r="C529" s="190">
        <v>3.2142463171109331E-2</v>
      </c>
      <c r="D529" s="190">
        <v>11.312080862770383</v>
      </c>
    </row>
    <row r="530" spans="1:4" ht="20.100000000000001" customHeight="1" x14ac:dyDescent="0.2">
      <c r="A530" s="6" t="s">
        <v>2371</v>
      </c>
      <c r="B530" s="7" t="s">
        <v>2372</v>
      </c>
      <c r="C530" s="190">
        <v>0.36054696747728998</v>
      </c>
      <c r="D530" s="190">
        <v>2.5522736784859159</v>
      </c>
    </row>
    <row r="531" spans="1:4" ht="20.100000000000001" customHeight="1" x14ac:dyDescent="0.2">
      <c r="A531" s="6" t="s">
        <v>2373</v>
      </c>
      <c r="B531" s="7" t="s">
        <v>2374</v>
      </c>
      <c r="C531" s="190">
        <v>0</v>
      </c>
      <c r="D531" s="190">
        <v>0.12347222223594768</v>
      </c>
    </row>
    <row r="532" spans="1:4" ht="20.100000000000001" customHeight="1" x14ac:dyDescent="0.2">
      <c r="A532" s="6" t="s">
        <v>2375</v>
      </c>
      <c r="B532" s="7" t="s">
        <v>2374</v>
      </c>
      <c r="C532" s="190">
        <v>0</v>
      </c>
      <c r="D532" s="190">
        <v>0.20535724346291473</v>
      </c>
    </row>
    <row r="533" spans="1:4" ht="20.100000000000001" customHeight="1" x14ac:dyDescent="0.2">
      <c r="A533" s="6" t="s">
        <v>2376</v>
      </c>
      <c r="B533" s="7" t="s">
        <v>2377</v>
      </c>
      <c r="C533" s="190">
        <v>9.9490228641945858E-3</v>
      </c>
      <c r="D533" s="190">
        <v>5.0777413322180927</v>
      </c>
    </row>
    <row r="534" spans="1:4" ht="20.100000000000001" customHeight="1" x14ac:dyDescent="0.2">
      <c r="A534" s="6" t="s">
        <v>2378</v>
      </c>
      <c r="B534" s="7" t="s">
        <v>2379</v>
      </c>
      <c r="C534" s="190">
        <v>3.1208333882481569</v>
      </c>
      <c r="D534" s="190">
        <v>5.4729752132786551</v>
      </c>
    </row>
    <row r="535" spans="1:4" ht="20.100000000000001" customHeight="1" x14ac:dyDescent="0.2">
      <c r="A535" s="6" t="s">
        <v>2380</v>
      </c>
      <c r="B535" s="7" t="s">
        <v>2379</v>
      </c>
      <c r="C535" s="190">
        <v>0.36096838459150604</v>
      </c>
      <c r="D535" s="190">
        <v>4.6980004319655189</v>
      </c>
    </row>
    <row r="536" spans="1:4" ht="20.100000000000001" customHeight="1" x14ac:dyDescent="0.2">
      <c r="A536" s="6" t="s">
        <v>2381</v>
      </c>
      <c r="B536" s="7" t="s">
        <v>2382</v>
      </c>
      <c r="C536" s="190">
        <v>0.54957239852967854</v>
      </c>
      <c r="D536" s="190">
        <v>3.146055904205884</v>
      </c>
    </row>
    <row r="537" spans="1:4" ht="20.100000000000001" customHeight="1" x14ac:dyDescent="0.2">
      <c r="A537" s="6" t="s">
        <v>2383</v>
      </c>
      <c r="B537" s="7" t="s">
        <v>2382</v>
      </c>
      <c r="C537" s="190">
        <v>0.54874769390281031</v>
      </c>
      <c r="D537" s="190">
        <v>2.5745713613711754</v>
      </c>
    </row>
    <row r="538" spans="1:4" ht="20.100000000000001" customHeight="1" x14ac:dyDescent="0.2">
      <c r="A538" s="6" t="s">
        <v>2384</v>
      </c>
      <c r="B538" s="7" t="s">
        <v>2385</v>
      </c>
      <c r="C538" s="190">
        <v>1.5469039622035665</v>
      </c>
      <c r="D538" s="190">
        <v>-3.4776609624100763</v>
      </c>
    </row>
    <row r="539" spans="1:4" ht="20.100000000000001" customHeight="1" x14ac:dyDescent="0.2">
      <c r="A539" s="6" t="s">
        <v>2386</v>
      </c>
      <c r="B539" s="7" t="s">
        <v>2387</v>
      </c>
      <c r="C539" s="190">
        <v>0.17485821361628701</v>
      </c>
      <c r="D539" s="190">
        <v>0.8033474644009797</v>
      </c>
    </row>
    <row r="540" spans="1:4" ht="20.100000000000001" customHeight="1" x14ac:dyDescent="0.2">
      <c r="A540" s="6" t="s">
        <v>2388</v>
      </c>
      <c r="B540" s="7" t="s">
        <v>2389</v>
      </c>
      <c r="C540" s="190">
        <v>-1.5087939674522932E-2</v>
      </c>
      <c r="D540" s="190">
        <v>9.1167164277569448</v>
      </c>
    </row>
    <row r="541" spans="1:4" ht="20.100000000000001" customHeight="1" x14ac:dyDescent="0.2">
      <c r="A541" s="6" t="s">
        <v>2390</v>
      </c>
      <c r="B541" s="7" t="s">
        <v>2391</v>
      </c>
      <c r="C541" s="190">
        <v>0</v>
      </c>
      <c r="D541" s="190">
        <v>8.9838634138486206</v>
      </c>
    </row>
    <row r="542" spans="1:4" ht="20.100000000000001" customHeight="1" x14ac:dyDescent="0.2">
      <c r="A542" s="6" t="s">
        <v>2392</v>
      </c>
      <c r="B542" s="7" t="s">
        <v>2393</v>
      </c>
      <c r="C542" s="190">
        <v>2.7966953365204255</v>
      </c>
      <c r="D542" s="190">
        <v>5.1138390908822151</v>
      </c>
    </row>
    <row r="543" spans="1:4" ht="20.100000000000001" customHeight="1" x14ac:dyDescent="0.2">
      <c r="A543" s="6" t="s">
        <v>2394</v>
      </c>
      <c r="B543" s="7" t="s">
        <v>2395</v>
      </c>
      <c r="C543" s="190">
        <v>6.6504515122719682E-2</v>
      </c>
      <c r="D543" s="190">
        <v>18.851705453895384</v>
      </c>
    </row>
    <row r="544" spans="1:4" ht="20.100000000000001" customHeight="1" x14ac:dyDescent="0.2">
      <c r="A544" s="6" t="s">
        <v>2396</v>
      </c>
      <c r="B544" s="7" t="s">
        <v>2397</v>
      </c>
      <c r="C544" s="190">
        <v>3.8418050729233837</v>
      </c>
      <c r="D544" s="190">
        <v>8.5949273299901847</v>
      </c>
    </row>
    <row r="545" spans="1:4" ht="20.100000000000001" customHeight="1" x14ac:dyDescent="0.2">
      <c r="A545" s="6" t="s">
        <v>2398</v>
      </c>
      <c r="B545" s="7" t="s">
        <v>2399</v>
      </c>
      <c r="C545" s="190">
        <v>1.1137344038419636E-2</v>
      </c>
      <c r="D545" s="190">
        <v>6.3049059032613446</v>
      </c>
    </row>
    <row r="546" spans="1:4" ht="20.100000000000001" customHeight="1" x14ac:dyDescent="0.2">
      <c r="A546" s="6" t="s">
        <v>2400</v>
      </c>
      <c r="B546" s="7" t="s">
        <v>2401</v>
      </c>
      <c r="C546" s="190">
        <v>3.3741456305685684</v>
      </c>
      <c r="D546" s="190">
        <v>4.4979739577559368</v>
      </c>
    </row>
    <row r="547" spans="1:4" ht="20.100000000000001" customHeight="1" x14ac:dyDescent="0.2">
      <c r="A547" s="6" t="s">
        <v>2402</v>
      </c>
      <c r="B547" s="7" t="s">
        <v>2403</v>
      </c>
      <c r="C547" s="190">
        <v>-0.12515874681246347</v>
      </c>
      <c r="D547" s="190">
        <v>0.42441878013212364</v>
      </c>
    </row>
    <row r="548" spans="1:4" ht="20.100000000000001" customHeight="1" x14ac:dyDescent="0.2">
      <c r="A548" s="6" t="s">
        <v>2404</v>
      </c>
      <c r="B548" s="7" t="s">
        <v>2405</v>
      </c>
      <c r="C548" s="190">
        <v>7.5951857768235094</v>
      </c>
      <c r="D548" s="190">
        <v>1.936349403474465</v>
      </c>
    </row>
    <row r="549" spans="1:4" ht="20.100000000000001" customHeight="1" x14ac:dyDescent="0.2">
      <c r="A549" s="6" t="s">
        <v>2406</v>
      </c>
      <c r="B549" s="7" t="s">
        <v>2407</v>
      </c>
      <c r="C549" s="190">
        <v>0.32348643491313378</v>
      </c>
      <c r="D549" s="190">
        <v>12.739314625884841</v>
      </c>
    </row>
    <row r="550" spans="1:4" ht="20.100000000000001" customHeight="1" x14ac:dyDescent="0.2">
      <c r="A550" s="6" t="s">
        <v>2408</v>
      </c>
      <c r="B550" s="7" t="s">
        <v>2409</v>
      </c>
      <c r="C550" s="190">
        <v>3.5838742384120517</v>
      </c>
      <c r="D550" s="190">
        <v>32.470065322983373</v>
      </c>
    </row>
    <row r="551" spans="1:4" ht="20.100000000000001" customHeight="1" x14ac:dyDescent="0.2">
      <c r="A551" s="6" t="s">
        <v>2410</v>
      </c>
      <c r="B551" s="7" t="s">
        <v>2411</v>
      </c>
      <c r="C551" s="190">
        <v>0.73302969301689624</v>
      </c>
      <c r="D551" s="190">
        <v>18.765031346374464</v>
      </c>
    </row>
    <row r="552" spans="1:4" ht="20.100000000000001" customHeight="1" x14ac:dyDescent="0.2">
      <c r="A552" s="6" t="s">
        <v>2412</v>
      </c>
      <c r="B552" s="7" t="s">
        <v>2413</v>
      </c>
      <c r="C552" s="190">
        <v>1.1104562809763443</v>
      </c>
      <c r="D552" s="190">
        <v>5.2422661402179491</v>
      </c>
    </row>
    <row r="553" spans="1:4" ht="20.100000000000001" customHeight="1" x14ac:dyDescent="0.2">
      <c r="A553" s="6" t="s">
        <v>2414</v>
      </c>
      <c r="B553" s="7" t="s">
        <v>2415</v>
      </c>
      <c r="C553" s="190">
        <v>0.68781820034161201</v>
      </c>
      <c r="D553" s="190">
        <v>-1.7833397338654251</v>
      </c>
    </row>
    <row r="554" spans="1:4" ht="20.100000000000001" customHeight="1" x14ac:dyDescent="0.2">
      <c r="A554" s="6" t="s">
        <v>2416</v>
      </c>
      <c r="B554" s="7" t="s">
        <v>2417</v>
      </c>
      <c r="C554" s="190">
        <v>2.1841046204633576</v>
      </c>
      <c r="D554" s="190">
        <v>5.5473868875730705</v>
      </c>
    </row>
    <row r="555" spans="1:4" ht="20.100000000000001" customHeight="1" x14ac:dyDescent="0.2">
      <c r="A555" s="6" t="s">
        <v>2418</v>
      </c>
      <c r="B555" s="7" t="s">
        <v>2419</v>
      </c>
      <c r="C555" s="190">
        <v>3.5503366869694437</v>
      </c>
      <c r="D555" s="190">
        <v>17.219050514501838</v>
      </c>
    </row>
    <row r="556" spans="1:4" ht="20.100000000000001" customHeight="1" x14ac:dyDescent="0.2">
      <c r="A556" s="6" t="s">
        <v>2420</v>
      </c>
      <c r="B556" s="7" t="s">
        <v>2421</v>
      </c>
      <c r="C556" s="190">
        <v>0.28459420260082524</v>
      </c>
      <c r="D556" s="190">
        <v>-0.75661201232971154</v>
      </c>
    </row>
    <row r="557" spans="1:4" ht="20.100000000000001" customHeight="1" x14ac:dyDescent="0.2">
      <c r="A557" s="6" t="s">
        <v>2422</v>
      </c>
      <c r="B557" s="7" t="s">
        <v>2423</v>
      </c>
      <c r="C557" s="190">
        <v>0.70860679867146059</v>
      </c>
      <c r="D557" s="190">
        <v>1.9818947254112538</v>
      </c>
    </row>
    <row r="558" spans="1:4" ht="20.100000000000001" customHeight="1" x14ac:dyDescent="0.2">
      <c r="A558" s="6" t="s">
        <v>2424</v>
      </c>
      <c r="B558" s="7" t="s">
        <v>2425</v>
      </c>
      <c r="C558" s="190">
        <v>0.67244757398727506</v>
      </c>
      <c r="D558" s="190">
        <v>13.644542915757862</v>
      </c>
    </row>
    <row r="559" spans="1:4" ht="20.100000000000001" customHeight="1" x14ac:dyDescent="0.2">
      <c r="A559" s="6" t="s">
        <v>2426</v>
      </c>
      <c r="B559" s="7" t="s">
        <v>2427</v>
      </c>
      <c r="C559" s="190">
        <v>8.7912918241776876E-3</v>
      </c>
      <c r="D559" s="190">
        <v>21.30865958752161</v>
      </c>
    </row>
    <row r="560" spans="1:4" ht="20.100000000000001" customHeight="1" x14ac:dyDescent="0.2">
      <c r="A560" s="6" t="s">
        <v>2428</v>
      </c>
      <c r="B560" s="7" t="s">
        <v>2429</v>
      </c>
      <c r="C560" s="190">
        <v>3.7168738576245719</v>
      </c>
      <c r="D560" s="190">
        <v>9.7196001569825796</v>
      </c>
    </row>
    <row r="561" spans="1:4" ht="20.100000000000001" customHeight="1" x14ac:dyDescent="0.2">
      <c r="A561" s="6" t="s">
        <v>2430</v>
      </c>
      <c r="B561" s="7" t="s">
        <v>2431</v>
      </c>
      <c r="C561" s="190">
        <v>1.1752804717038285</v>
      </c>
      <c r="D561" s="190">
        <v>7.2912220338316232</v>
      </c>
    </row>
    <row r="562" spans="1:4" ht="20.100000000000001" customHeight="1" x14ac:dyDescent="0.2">
      <c r="A562" s="6" t="s">
        <v>2432</v>
      </c>
      <c r="B562" s="7" t="s">
        <v>2433</v>
      </c>
      <c r="C562" s="190">
        <v>3.4376553088442878</v>
      </c>
      <c r="D562" s="190">
        <v>-6.0334308470535731</v>
      </c>
    </row>
    <row r="563" spans="1:4" ht="20.100000000000001" customHeight="1" x14ac:dyDescent="0.2">
      <c r="A563" s="6" t="s">
        <v>2434</v>
      </c>
      <c r="B563" s="7" t="s">
        <v>2435</v>
      </c>
      <c r="C563" s="190">
        <v>-9.6692782974022728E-4</v>
      </c>
      <c r="D563" s="190">
        <v>1.4221521485580635</v>
      </c>
    </row>
    <row r="564" spans="1:4" ht="20.100000000000001" customHeight="1" x14ac:dyDescent="0.2">
      <c r="A564" s="6" t="s">
        <v>2436</v>
      </c>
      <c r="B564" s="7" t="s">
        <v>2437</v>
      </c>
      <c r="C564" s="190">
        <v>0.13195451599936972</v>
      </c>
      <c r="D564" s="190">
        <v>4.0121001023792928</v>
      </c>
    </row>
    <row r="565" spans="1:4" ht="20.100000000000001" customHeight="1" x14ac:dyDescent="0.2">
      <c r="A565" s="6" t="s">
        <v>2438</v>
      </c>
      <c r="B565" s="7" t="s">
        <v>2439</v>
      </c>
      <c r="C565" s="190">
        <v>0.6071710342586214</v>
      </c>
      <c r="D565" s="190">
        <v>11.035128648671098</v>
      </c>
    </row>
    <row r="566" spans="1:4" ht="20.100000000000001" customHeight="1" x14ac:dyDescent="0.2">
      <c r="A566" s="6" t="s">
        <v>2440</v>
      </c>
      <c r="B566" s="7" t="s">
        <v>2441</v>
      </c>
      <c r="C566" s="190">
        <v>3.8389203043625433E-2</v>
      </c>
      <c r="D566" s="190">
        <v>7.236828623399596</v>
      </c>
    </row>
    <row r="567" spans="1:4" ht="20.100000000000001" customHeight="1" x14ac:dyDescent="0.2">
      <c r="A567" s="6" t="s">
        <v>2442</v>
      </c>
      <c r="B567" s="7" t="s">
        <v>2443</v>
      </c>
      <c r="C567" s="190">
        <v>-4.7362765388127046E-2</v>
      </c>
      <c r="D567" s="190">
        <v>-0.82819542621557563</v>
      </c>
    </row>
    <row r="568" spans="1:4" ht="20.100000000000001" customHeight="1" x14ac:dyDescent="0.2">
      <c r="A568" s="6" t="s">
        <v>2444</v>
      </c>
      <c r="B568" s="7" t="s">
        <v>2445</v>
      </c>
      <c r="C568" s="190">
        <v>0.28666115816482357</v>
      </c>
      <c r="D568" s="190">
        <v>4.6944191516980398</v>
      </c>
    </row>
    <row r="569" spans="1:4" ht="20.100000000000001" customHeight="1" x14ac:dyDescent="0.2">
      <c r="A569" s="6" t="s">
        <v>2446</v>
      </c>
      <c r="B569" s="7" t="s">
        <v>2447</v>
      </c>
      <c r="C569" s="190">
        <v>0.77688681924641179</v>
      </c>
      <c r="D569" s="190">
        <v>2.7820149740053086</v>
      </c>
    </row>
    <row r="570" spans="1:4" ht="20.100000000000001" customHeight="1" x14ac:dyDescent="0.2">
      <c r="A570" s="6" t="s">
        <v>2448</v>
      </c>
      <c r="B570" s="7" t="s">
        <v>2449</v>
      </c>
      <c r="C570" s="190">
        <v>1.5347372696302718E-2</v>
      </c>
      <c r="D570" s="190">
        <v>11.957072287975418</v>
      </c>
    </row>
    <row r="571" spans="1:4" ht="20.100000000000001" customHeight="1" x14ac:dyDescent="0.2">
      <c r="A571" s="6" t="s">
        <v>2450</v>
      </c>
      <c r="B571" s="7" t="s">
        <v>2451</v>
      </c>
      <c r="C571" s="190">
        <v>2.077934373936035</v>
      </c>
      <c r="D571" s="190">
        <v>8.0684570178092301</v>
      </c>
    </row>
    <row r="572" spans="1:4" ht="20.100000000000001" customHeight="1" x14ac:dyDescent="0.2">
      <c r="A572" s="6" t="s">
        <v>2452</v>
      </c>
      <c r="B572" s="7" t="s">
        <v>2453</v>
      </c>
      <c r="C572" s="190">
        <v>1.8359579537062576</v>
      </c>
      <c r="D572" s="190">
        <v>13.772263491115975</v>
      </c>
    </row>
    <row r="573" spans="1:4" ht="20.100000000000001" customHeight="1" x14ac:dyDescent="0.2">
      <c r="A573" s="6" t="s">
        <v>2454</v>
      </c>
      <c r="B573" s="7" t="s">
        <v>2455</v>
      </c>
      <c r="C573" s="190">
        <v>8.6722816384974089E-2</v>
      </c>
      <c r="D573" s="190">
        <v>6.1224256360638716</v>
      </c>
    </row>
    <row r="574" spans="1:4" ht="20.100000000000001" customHeight="1" x14ac:dyDescent="0.2">
      <c r="A574" s="6" t="s">
        <v>2456</v>
      </c>
      <c r="B574" s="7" t="s">
        <v>2457</v>
      </c>
      <c r="C574" s="190">
        <v>4.1073133696936326E-2</v>
      </c>
      <c r="D574" s="190">
        <v>43.00288096738408</v>
      </c>
    </row>
    <row r="575" spans="1:4" ht="20.100000000000001" customHeight="1" x14ac:dyDescent="0.2">
      <c r="A575" s="6" t="s">
        <v>2458</v>
      </c>
      <c r="B575" s="7" t="s">
        <v>2459</v>
      </c>
      <c r="C575" s="190">
        <v>9.3007702918146098E-2</v>
      </c>
      <c r="D575" s="190">
        <v>5.7971599448068289</v>
      </c>
    </row>
    <row r="576" spans="1:4" ht="20.100000000000001" customHeight="1" x14ac:dyDescent="0.2">
      <c r="A576" s="6" t="s">
        <v>2460</v>
      </c>
      <c r="B576" s="7" t="s">
        <v>2461</v>
      </c>
      <c r="C576" s="190">
        <v>5.9578876886422771E-3</v>
      </c>
      <c r="D576" s="190">
        <v>5.3203813055609679</v>
      </c>
    </row>
    <row r="577" spans="1:4" ht="20.100000000000001" customHeight="1" x14ac:dyDescent="0.2">
      <c r="A577" s="6" t="s">
        <v>2462</v>
      </c>
      <c r="B577" s="7" t="s">
        <v>2463</v>
      </c>
      <c r="C577" s="190">
        <v>0.89455964964505252</v>
      </c>
      <c r="D577" s="190">
        <v>0.98532316852066348</v>
      </c>
    </row>
    <row r="578" spans="1:4" ht="20.100000000000001" customHeight="1" x14ac:dyDescent="0.2">
      <c r="A578" s="6" t="s">
        <v>2464</v>
      </c>
      <c r="B578" s="7" t="s">
        <v>2465</v>
      </c>
      <c r="C578" s="190">
        <v>0.8237660325484526</v>
      </c>
      <c r="D578" s="190">
        <v>22.411287542232806</v>
      </c>
    </row>
    <row r="579" spans="1:4" ht="20.100000000000001" customHeight="1" x14ac:dyDescent="0.2">
      <c r="A579" s="6" t="s">
        <v>2466</v>
      </c>
      <c r="B579" s="7" t="s">
        <v>2467</v>
      </c>
      <c r="C579" s="190">
        <v>2.942840597950827</v>
      </c>
      <c r="D579" s="190">
        <v>2.9169267071298561</v>
      </c>
    </row>
    <row r="580" spans="1:4" ht="20.100000000000001" customHeight="1" x14ac:dyDescent="0.2">
      <c r="A580" s="6" t="s">
        <v>2468</v>
      </c>
      <c r="B580" s="7" t="s">
        <v>2469</v>
      </c>
      <c r="C580" s="190">
        <v>0.80475756150825473</v>
      </c>
      <c r="D580" s="190">
        <v>8.2704327705844065</v>
      </c>
    </row>
    <row r="581" spans="1:4" ht="20.100000000000001" customHeight="1" x14ac:dyDescent="0.2">
      <c r="A581" s="6" t="s">
        <v>2470</v>
      </c>
      <c r="B581" s="7" t="s">
        <v>2471</v>
      </c>
      <c r="C581" s="190">
        <v>6.8604897845259174</v>
      </c>
      <c r="D581" s="190">
        <v>0.16281153710919222</v>
      </c>
    </row>
    <row r="582" spans="1:4" ht="20.100000000000001" customHeight="1" x14ac:dyDescent="0.2">
      <c r="A582" s="6" t="s">
        <v>2472</v>
      </c>
      <c r="B582" s="7" t="s">
        <v>2473</v>
      </c>
      <c r="C582" s="190">
        <v>0.57952131268796081</v>
      </c>
      <c r="D582" s="190">
        <v>-4.2852323147758149</v>
      </c>
    </row>
    <row r="583" spans="1:4" ht="20.100000000000001" customHeight="1" x14ac:dyDescent="0.2">
      <c r="A583" s="6" t="s">
        <v>2474</v>
      </c>
      <c r="B583" s="7" t="s">
        <v>2475</v>
      </c>
      <c r="C583" s="190">
        <v>3.3144949304895812</v>
      </c>
      <c r="D583" s="190">
        <v>10.779685402933861</v>
      </c>
    </row>
    <row r="584" spans="1:4" ht="20.100000000000001" customHeight="1" x14ac:dyDescent="0.2">
      <c r="A584" s="6" t="s">
        <v>2476</v>
      </c>
      <c r="B584" s="7" t="s">
        <v>2477</v>
      </c>
      <c r="C584" s="190">
        <v>7.1153939208533384E-2</v>
      </c>
      <c r="D584" s="190">
        <v>-1.0205266852142643</v>
      </c>
    </row>
    <row r="585" spans="1:4" ht="20.100000000000001" customHeight="1" x14ac:dyDescent="0.2">
      <c r="A585" s="6" t="s">
        <v>2478</v>
      </c>
      <c r="B585" s="7" t="s">
        <v>2479</v>
      </c>
      <c r="C585" s="190">
        <v>0.48260168343978915</v>
      </c>
      <c r="D585" s="190">
        <v>8.0863127568423714</v>
      </c>
    </row>
    <row r="586" spans="1:4" ht="20.100000000000001" customHeight="1" x14ac:dyDescent="0.2">
      <c r="A586" s="6" t="s">
        <v>2480</v>
      </c>
      <c r="B586" s="7" t="s">
        <v>2481</v>
      </c>
      <c r="C586" s="190">
        <v>0.65073999696688345</v>
      </c>
      <c r="D586" s="190">
        <v>12.491499768675588</v>
      </c>
    </row>
    <row r="587" spans="1:4" ht="20.100000000000001" customHeight="1" x14ac:dyDescent="0.2">
      <c r="A587" s="6" t="s">
        <v>2482</v>
      </c>
      <c r="B587" s="7" t="s">
        <v>2483</v>
      </c>
      <c r="C587" s="190">
        <v>2.5644078664214507</v>
      </c>
      <c r="D587" s="190">
        <v>16.469697213671516</v>
      </c>
    </row>
    <row r="588" spans="1:4" ht="20.100000000000001" customHeight="1" x14ac:dyDescent="0.2">
      <c r="A588" s="6" t="s">
        <v>2484</v>
      </c>
      <c r="B588" s="7" t="s">
        <v>2485</v>
      </c>
      <c r="C588" s="190">
        <v>4.2788909810036052E-2</v>
      </c>
      <c r="D588" s="190">
        <v>1.7188529190044901</v>
      </c>
    </row>
    <row r="589" spans="1:4" ht="20.100000000000001" customHeight="1" x14ac:dyDescent="0.2">
      <c r="A589" s="6" t="s">
        <v>2486</v>
      </c>
      <c r="B589" s="7" t="s">
        <v>2487</v>
      </c>
      <c r="C589" s="190">
        <v>-6.7371825374318217E-3</v>
      </c>
      <c r="D589" s="190">
        <v>2.5883271164634576</v>
      </c>
    </row>
    <row r="590" spans="1:4" ht="20.100000000000001" customHeight="1" x14ac:dyDescent="0.2">
      <c r="A590" s="6" t="s">
        <v>2488</v>
      </c>
      <c r="B590" s="7" t="s">
        <v>2489</v>
      </c>
      <c r="C590" s="190">
        <v>2.7688481588564184E-2</v>
      </c>
      <c r="D590" s="190">
        <v>2.2661568110889903</v>
      </c>
    </row>
    <row r="591" spans="1:4" ht="20.100000000000001" customHeight="1" x14ac:dyDescent="0.2">
      <c r="A591" s="6" t="s">
        <v>2490</v>
      </c>
      <c r="B591" s="7" t="s">
        <v>2491</v>
      </c>
      <c r="C591" s="190">
        <v>7.1688187809502923E-2</v>
      </c>
      <c r="D591" s="190">
        <v>0.31892932783765193</v>
      </c>
    </row>
    <row r="592" spans="1:4" ht="20.100000000000001" customHeight="1" x14ac:dyDescent="0.2">
      <c r="A592" s="6" t="s">
        <v>2492</v>
      </c>
      <c r="B592" s="7" t="s">
        <v>2493</v>
      </c>
      <c r="C592" s="190">
        <v>0.86203292334608317</v>
      </c>
      <c r="D592" s="190">
        <v>5.4253360222449238</v>
      </c>
    </row>
    <row r="593" spans="1:4" ht="20.100000000000001" customHeight="1" x14ac:dyDescent="0.2">
      <c r="A593" s="6" t="s">
        <v>2494</v>
      </c>
      <c r="B593" s="7" t="s">
        <v>2495</v>
      </c>
      <c r="C593" s="190">
        <v>0.70654749731618893</v>
      </c>
      <c r="D593" s="190">
        <v>10.699475982209711</v>
      </c>
    </row>
    <row r="594" spans="1:4" ht="20.100000000000001" customHeight="1" x14ac:dyDescent="0.2">
      <c r="A594" s="6" t="s">
        <v>2496</v>
      </c>
      <c r="B594" s="7" t="s">
        <v>2497</v>
      </c>
      <c r="C594" s="190">
        <v>-8.3219147319031576E-3</v>
      </c>
      <c r="D594" s="190">
        <v>12.056518552609688</v>
      </c>
    </row>
    <row r="595" spans="1:4" ht="20.100000000000001" customHeight="1" x14ac:dyDescent="0.2">
      <c r="A595" s="6" t="s">
        <v>2498</v>
      </c>
      <c r="B595" s="7" t="s">
        <v>2499</v>
      </c>
      <c r="C595" s="190">
        <v>5.7812777463596296E-2</v>
      </c>
      <c r="D595" s="190">
        <v>1.2687652767487125</v>
      </c>
    </row>
    <row r="596" spans="1:4" ht="20.100000000000001" customHeight="1" x14ac:dyDescent="0.2">
      <c r="A596" s="6" t="s">
        <v>2500</v>
      </c>
      <c r="B596" s="7" t="s">
        <v>2501</v>
      </c>
      <c r="C596" s="190">
        <v>0.60344064920220641</v>
      </c>
      <c r="D596" s="190">
        <v>15.909891164452379</v>
      </c>
    </row>
    <row r="597" spans="1:4" ht="20.100000000000001" customHeight="1" x14ac:dyDescent="0.2">
      <c r="A597" s="6" t="s">
        <v>2502</v>
      </c>
      <c r="B597" s="7" t="s">
        <v>2503</v>
      </c>
      <c r="C597" s="190">
        <v>1.1307363109442992</v>
      </c>
      <c r="D597" s="190">
        <v>8.1148325586818864</v>
      </c>
    </row>
    <row r="598" spans="1:4" ht="20.100000000000001" customHeight="1" x14ac:dyDescent="0.2">
      <c r="A598" s="6" t="s">
        <v>2504</v>
      </c>
      <c r="B598" s="7" t="s">
        <v>2505</v>
      </c>
      <c r="C598" s="190">
        <v>2.3004076148436132</v>
      </c>
      <c r="D598" s="190">
        <v>8.3850616277968886</v>
      </c>
    </row>
    <row r="599" spans="1:4" ht="20.100000000000001" customHeight="1" x14ac:dyDescent="0.2">
      <c r="A599" s="6" t="s">
        <v>2506</v>
      </c>
      <c r="B599" s="7" t="s">
        <v>2507</v>
      </c>
      <c r="C599" s="190">
        <v>2.0234903389616941</v>
      </c>
      <c r="D599" s="190">
        <v>17.841692416214027</v>
      </c>
    </row>
    <row r="600" spans="1:4" ht="20.100000000000001" customHeight="1" x14ac:dyDescent="0.2">
      <c r="A600" s="6" t="s">
        <v>2508</v>
      </c>
      <c r="B600" s="7" t="s">
        <v>2509</v>
      </c>
      <c r="C600" s="190">
        <v>7.2945255320819746E-2</v>
      </c>
      <c r="D600" s="190">
        <v>23.190878693615275</v>
      </c>
    </row>
    <row r="601" spans="1:4" ht="20.100000000000001" customHeight="1" x14ac:dyDescent="0.2">
      <c r="A601" s="6" t="s">
        <v>2510</v>
      </c>
      <c r="B601" s="7" t="s">
        <v>2511</v>
      </c>
      <c r="C601" s="190">
        <v>2.1630639549148714</v>
      </c>
      <c r="D601" s="190">
        <v>11.179380603173886</v>
      </c>
    </row>
    <row r="602" spans="1:4" ht="20.100000000000001" customHeight="1" x14ac:dyDescent="0.2">
      <c r="A602" s="6" t="s">
        <v>2512</v>
      </c>
      <c r="B602" s="7" t="s">
        <v>2513</v>
      </c>
      <c r="C602" s="190">
        <v>1.3189657543094284</v>
      </c>
      <c r="D602" s="190">
        <v>3.3935558255249325</v>
      </c>
    </row>
    <row r="603" spans="1:4" ht="20.100000000000001" customHeight="1" x14ac:dyDescent="0.2">
      <c r="A603" s="6" t="s">
        <v>2514</v>
      </c>
      <c r="B603" s="7" t="s">
        <v>2515</v>
      </c>
      <c r="C603" s="190">
        <v>1.6662169848610315</v>
      </c>
      <c r="D603" s="190">
        <v>30.514767316907765</v>
      </c>
    </row>
    <row r="604" spans="1:4" ht="20.100000000000001" customHeight="1" x14ac:dyDescent="0.2">
      <c r="A604" s="6" t="s">
        <v>2516</v>
      </c>
      <c r="B604" s="7" t="s">
        <v>2517</v>
      </c>
      <c r="C604" s="190">
        <v>1.3714773213865894</v>
      </c>
      <c r="D604" s="190">
        <v>5.505572367273448</v>
      </c>
    </row>
    <row r="605" spans="1:4" ht="20.100000000000001" customHeight="1" x14ac:dyDescent="0.2">
      <c r="A605" s="6" t="s">
        <v>2518</v>
      </c>
      <c r="B605" s="7" t="s">
        <v>2519</v>
      </c>
      <c r="C605" s="190">
        <v>0.60304945314910463</v>
      </c>
      <c r="D605" s="190">
        <v>-2.3505455909119366</v>
      </c>
    </row>
    <row r="606" spans="1:4" ht="20.100000000000001" customHeight="1" x14ac:dyDescent="0.2">
      <c r="A606" s="6" t="s">
        <v>2520</v>
      </c>
      <c r="B606" s="7" t="s">
        <v>2521</v>
      </c>
      <c r="C606" s="190">
        <v>3.2197858556277361</v>
      </c>
      <c r="D606" s="190">
        <v>5.8871203061288391</v>
      </c>
    </row>
    <row r="607" spans="1:4" ht="20.100000000000001" customHeight="1" x14ac:dyDescent="0.2">
      <c r="A607" s="6" t="s">
        <v>2522</v>
      </c>
      <c r="B607" s="7" t="s">
        <v>2523</v>
      </c>
      <c r="C607" s="190">
        <v>4.6389101916034159</v>
      </c>
      <c r="D607" s="190">
        <v>19.438462686548625</v>
      </c>
    </row>
    <row r="608" spans="1:4" ht="20.100000000000001" customHeight="1" x14ac:dyDescent="0.2">
      <c r="A608" s="6" t="s">
        <v>2524</v>
      </c>
      <c r="B608" s="7" t="s">
        <v>2525</v>
      </c>
      <c r="C608" s="190">
        <v>0.41699602469848163</v>
      </c>
      <c r="D608" s="190">
        <v>5.1250785742608596</v>
      </c>
    </row>
    <row r="609" spans="1:4" ht="20.100000000000001" customHeight="1" x14ac:dyDescent="0.2">
      <c r="A609" s="6" t="s">
        <v>2526</v>
      </c>
      <c r="B609" s="7" t="s">
        <v>2527</v>
      </c>
      <c r="C609" s="190">
        <v>0.25053177543569549</v>
      </c>
      <c r="D609" s="190">
        <v>8.8101255585269271</v>
      </c>
    </row>
    <row r="610" spans="1:4" ht="20.100000000000001" customHeight="1" x14ac:dyDescent="0.2">
      <c r="A610" s="6" t="s">
        <v>2528</v>
      </c>
      <c r="B610" s="7" t="s">
        <v>2529</v>
      </c>
      <c r="C610" s="190">
        <v>0.13981441705620024</v>
      </c>
      <c r="D610" s="190">
        <v>0.27847575256334373</v>
      </c>
    </row>
    <row r="611" spans="1:4" ht="20.100000000000001" customHeight="1" x14ac:dyDescent="0.2">
      <c r="A611" s="6" t="s">
        <v>2530</v>
      </c>
      <c r="B611" s="7" t="s">
        <v>2531</v>
      </c>
      <c r="C611" s="190">
        <v>6.2359438366188596E-2</v>
      </c>
      <c r="D611" s="190">
        <v>15.54775177620634</v>
      </c>
    </row>
    <row r="612" spans="1:4" ht="20.100000000000001" customHeight="1" x14ac:dyDescent="0.2">
      <c r="A612" s="6" t="s">
        <v>2532</v>
      </c>
      <c r="B612" s="7" t="s">
        <v>2533</v>
      </c>
      <c r="C612" s="190">
        <v>2.6753350619209812</v>
      </c>
      <c r="D612" s="190">
        <v>5.1697055637364908</v>
      </c>
    </row>
    <row r="613" spans="1:4" ht="20.100000000000001" customHeight="1" x14ac:dyDescent="0.2">
      <c r="A613" s="6" t="s">
        <v>2534</v>
      </c>
      <c r="B613" s="7" t="s">
        <v>2535</v>
      </c>
      <c r="C613" s="190">
        <v>0.13509556311950638</v>
      </c>
      <c r="D613" s="190">
        <v>1.5683450194978099</v>
      </c>
    </row>
    <row r="614" spans="1:4" ht="20.100000000000001" customHeight="1" x14ac:dyDescent="0.2">
      <c r="A614" s="6" t="s">
        <v>2536</v>
      </c>
      <c r="B614" s="7" t="s">
        <v>2537</v>
      </c>
      <c r="C614" s="190">
        <v>0.98594651420901847</v>
      </c>
      <c r="D614" s="190">
        <v>17.538980301710648</v>
      </c>
    </row>
    <row r="615" spans="1:4" ht="20.100000000000001" customHeight="1" x14ac:dyDescent="0.2">
      <c r="A615" s="6" t="s">
        <v>2538</v>
      </c>
      <c r="B615" s="7" t="s">
        <v>2539</v>
      </c>
      <c r="C615" s="190">
        <v>2.5724066134368253</v>
      </c>
      <c r="D615" s="190">
        <v>8.3742691293163229</v>
      </c>
    </row>
    <row r="616" spans="1:4" ht="20.100000000000001" customHeight="1" x14ac:dyDescent="0.2">
      <c r="A616" s="6" t="s">
        <v>2540</v>
      </c>
      <c r="B616" s="7" t="s">
        <v>2541</v>
      </c>
      <c r="C616" s="190">
        <v>2.8846113171837304</v>
      </c>
      <c r="D616" s="190">
        <v>8.9588981983409859</v>
      </c>
    </row>
    <row r="617" spans="1:4" ht="20.100000000000001" customHeight="1" x14ac:dyDescent="0.2">
      <c r="A617" s="6" t="s">
        <v>2542</v>
      </c>
      <c r="B617" s="7" t="s">
        <v>2543</v>
      </c>
      <c r="C617" s="190">
        <v>1.4125940926969567</v>
      </c>
      <c r="D617" s="190">
        <v>-4.1768063348568401</v>
      </c>
    </row>
    <row r="618" spans="1:4" ht="20.100000000000001" customHeight="1" x14ac:dyDescent="0.2">
      <c r="A618" s="6" t="s">
        <v>2544</v>
      </c>
      <c r="B618" s="7" t="s">
        <v>2545</v>
      </c>
      <c r="C618" s="190">
        <v>-7.5976121365113891E-2</v>
      </c>
      <c r="D618" s="190">
        <v>6.1092101532325875</v>
      </c>
    </row>
    <row r="619" spans="1:4" ht="20.100000000000001" customHeight="1" x14ac:dyDescent="0.2">
      <c r="A619" s="6" t="s">
        <v>2546</v>
      </c>
      <c r="B619" s="7" t="s">
        <v>2545</v>
      </c>
      <c r="C619" s="190">
        <v>0.48174603112862779</v>
      </c>
      <c r="D619" s="190">
        <v>8.8828326585408597</v>
      </c>
    </row>
    <row r="620" spans="1:4" ht="20.100000000000001" customHeight="1" x14ac:dyDescent="0.2">
      <c r="A620" s="6" t="s">
        <v>2547</v>
      </c>
      <c r="B620" s="7" t="s">
        <v>2548</v>
      </c>
      <c r="C620" s="190">
        <v>9.5447497608148052E-2</v>
      </c>
      <c r="D620" s="190">
        <v>6.8880933350553439</v>
      </c>
    </row>
    <row r="621" spans="1:4" ht="20.100000000000001" customHeight="1" x14ac:dyDescent="0.2">
      <c r="A621" s="6" t="s">
        <v>2549</v>
      </c>
      <c r="B621" s="7" t="s">
        <v>2550</v>
      </c>
      <c r="C621" s="190">
        <v>0.39624915060220928</v>
      </c>
      <c r="D621" s="190">
        <v>0.84083547828658223</v>
      </c>
    </row>
    <row r="622" spans="1:4" ht="20.100000000000001" customHeight="1" x14ac:dyDescent="0.2">
      <c r="A622" s="6" t="s">
        <v>2551</v>
      </c>
      <c r="B622" s="7" t="s">
        <v>2552</v>
      </c>
      <c r="C622" s="190">
        <v>2.9384055726460682E-2</v>
      </c>
      <c r="D622" s="190">
        <v>3.8006377700756122</v>
      </c>
    </row>
    <row r="623" spans="1:4" ht="20.100000000000001" customHeight="1" x14ac:dyDescent="0.2">
      <c r="A623" s="6" t="s">
        <v>2553</v>
      </c>
      <c r="B623" s="7" t="s">
        <v>2554</v>
      </c>
      <c r="C623" s="190">
        <v>0.62757658530601113</v>
      </c>
      <c r="D623" s="190">
        <v>8.6948455817114301</v>
      </c>
    </row>
    <row r="624" spans="1:4" ht="20.100000000000001" customHeight="1" x14ac:dyDescent="0.2">
      <c r="A624" s="6" t="s">
        <v>2555</v>
      </c>
      <c r="B624" s="7" t="s">
        <v>2554</v>
      </c>
      <c r="C624" s="190">
        <v>4.0249147635109117E-2</v>
      </c>
      <c r="D624" s="190">
        <v>7.7752503651472704</v>
      </c>
    </row>
    <row r="625" spans="1:4" ht="20.100000000000001" customHeight="1" x14ac:dyDescent="0.2">
      <c r="A625" s="6" t="s">
        <v>2556</v>
      </c>
      <c r="B625" s="7" t="s">
        <v>2557</v>
      </c>
      <c r="C625" s="190">
        <v>1.787619810485682</v>
      </c>
      <c r="D625" s="190">
        <v>18.056637361359012</v>
      </c>
    </row>
    <row r="626" spans="1:4" ht="20.100000000000001" customHeight="1" x14ac:dyDescent="0.2">
      <c r="A626" s="6" t="s">
        <v>2558</v>
      </c>
      <c r="B626" s="7" t="s">
        <v>2559</v>
      </c>
      <c r="C626" s="190">
        <v>0.84390328484425892</v>
      </c>
      <c r="D626" s="190">
        <v>1.4035811835377896</v>
      </c>
    </row>
    <row r="627" spans="1:4" ht="20.100000000000001" customHeight="1" x14ac:dyDescent="0.2">
      <c r="A627" s="6" t="s">
        <v>2560</v>
      </c>
      <c r="B627" s="7" t="s">
        <v>2561</v>
      </c>
      <c r="C627" s="190">
        <v>2.4642670804774771</v>
      </c>
      <c r="D627" s="190">
        <v>11.572177820887662</v>
      </c>
    </row>
    <row r="628" spans="1:4" ht="20.100000000000001" customHeight="1" x14ac:dyDescent="0.2">
      <c r="A628" s="6" t="s">
        <v>2562</v>
      </c>
      <c r="B628" s="7" t="s">
        <v>2563</v>
      </c>
      <c r="C628" s="190">
        <v>1.0867570103793269</v>
      </c>
      <c r="D628" s="190">
        <v>8.2191867724636314</v>
      </c>
    </row>
    <row r="629" spans="1:4" ht="20.100000000000001" customHeight="1" x14ac:dyDescent="0.2">
      <c r="A629" s="6" t="s">
        <v>2564</v>
      </c>
      <c r="B629" s="7" t="s">
        <v>2565</v>
      </c>
      <c r="C629" s="190">
        <v>3.0909436739864087</v>
      </c>
      <c r="D629" s="190">
        <v>18.678299086238979</v>
      </c>
    </row>
    <row r="630" spans="1:4" ht="20.100000000000001" customHeight="1" x14ac:dyDescent="0.2">
      <c r="A630" s="6" t="s">
        <v>2566</v>
      </c>
      <c r="B630" s="7" t="s">
        <v>2567</v>
      </c>
      <c r="C630" s="190">
        <v>0.54541400550209285</v>
      </c>
      <c r="D630" s="190">
        <v>25.61991186329147</v>
      </c>
    </row>
    <row r="631" spans="1:4" ht="20.100000000000001" customHeight="1" x14ac:dyDescent="0.2">
      <c r="A631" s="6" t="s">
        <v>2568</v>
      </c>
      <c r="B631" s="7" t="s">
        <v>2569</v>
      </c>
      <c r="C631" s="190">
        <v>0.2849259009389643</v>
      </c>
      <c r="D631" s="190">
        <v>5.334407592565837</v>
      </c>
    </row>
    <row r="632" spans="1:4" ht="20.100000000000001" customHeight="1" x14ac:dyDescent="0.2">
      <c r="A632" s="6" t="s">
        <v>2570</v>
      </c>
      <c r="B632" s="7" t="s">
        <v>2571</v>
      </c>
      <c r="C632" s="190">
        <v>1.8723413902642587</v>
      </c>
      <c r="D632" s="190">
        <v>15.093457273466882</v>
      </c>
    </row>
    <row r="633" spans="1:4" ht="20.100000000000001" customHeight="1" x14ac:dyDescent="0.2">
      <c r="A633" s="6" t="s">
        <v>2572</v>
      </c>
      <c r="B633" s="7" t="s">
        <v>2573</v>
      </c>
      <c r="C633" s="190">
        <v>0.44183750325445131</v>
      </c>
      <c r="D633" s="190">
        <v>4.6122294775244148</v>
      </c>
    </row>
    <row r="634" spans="1:4" ht="20.100000000000001" customHeight="1" x14ac:dyDescent="0.2">
      <c r="A634" s="6" t="s">
        <v>2574</v>
      </c>
      <c r="B634" s="7" t="s">
        <v>2575</v>
      </c>
      <c r="C634" s="190">
        <v>1.48333448742737E-2</v>
      </c>
      <c r="D634" s="190">
        <v>18.483533968811791</v>
      </c>
    </row>
    <row r="635" spans="1:4" ht="20.100000000000001" customHeight="1" x14ac:dyDescent="0.2">
      <c r="A635" s="6" t="s">
        <v>2576</v>
      </c>
      <c r="B635" s="7" t="s">
        <v>2577</v>
      </c>
      <c r="C635" s="190">
        <v>0.66607567150388158</v>
      </c>
      <c r="D635" s="190">
        <v>22.863205091005995</v>
      </c>
    </row>
    <row r="636" spans="1:4" ht="20.100000000000001" customHeight="1" x14ac:dyDescent="0.2">
      <c r="A636" s="6" t="s">
        <v>2578</v>
      </c>
      <c r="B636" s="7" t="s">
        <v>2579</v>
      </c>
      <c r="C636" s="190">
        <v>6.5592142043771878E-3</v>
      </c>
      <c r="D636" s="190">
        <v>-0.78872321994569505</v>
      </c>
    </row>
    <row r="637" spans="1:4" ht="20.100000000000001" customHeight="1" x14ac:dyDescent="0.2">
      <c r="A637" s="6" t="s">
        <v>2580</v>
      </c>
      <c r="B637" s="7" t="s">
        <v>2581</v>
      </c>
      <c r="C637" s="190">
        <v>0.42027867020660514</v>
      </c>
      <c r="D637" s="190">
        <v>1.5556310951449994</v>
      </c>
    </row>
    <row r="638" spans="1:4" ht="20.100000000000001" customHeight="1" x14ac:dyDescent="0.2">
      <c r="A638" s="6" t="s">
        <v>2582</v>
      </c>
      <c r="B638" s="7" t="s">
        <v>2583</v>
      </c>
      <c r="C638" s="190">
        <v>2.6610902291546221</v>
      </c>
      <c r="D638" s="190">
        <v>8.6345425734196866</v>
      </c>
    </row>
    <row r="639" spans="1:4" ht="20.100000000000001" customHeight="1" x14ac:dyDescent="0.2">
      <c r="A639" s="6" t="s">
        <v>2584</v>
      </c>
      <c r="B639" s="7" t="s">
        <v>2585</v>
      </c>
      <c r="C639" s="190">
        <v>4.2539700187960647E-2</v>
      </c>
      <c r="D639" s="190">
        <v>8.1432963481182412</v>
      </c>
    </row>
    <row r="640" spans="1:4" ht="20.100000000000001" customHeight="1" x14ac:dyDescent="0.2">
      <c r="A640" s="6" t="s">
        <v>2586</v>
      </c>
      <c r="B640" s="7" t="s">
        <v>2585</v>
      </c>
      <c r="C640" s="190">
        <v>6.1615362078042725E-3</v>
      </c>
      <c r="D640" s="190">
        <v>0.86561643244739761</v>
      </c>
    </row>
    <row r="641" spans="1:4" ht="20.100000000000001" customHeight="1" x14ac:dyDescent="0.2">
      <c r="A641" s="6" t="s">
        <v>2587</v>
      </c>
      <c r="B641" s="7" t="s">
        <v>2588</v>
      </c>
      <c r="C641" s="190">
        <v>2.369247258186169</v>
      </c>
      <c r="D641" s="190">
        <v>26.134990514108964</v>
      </c>
    </row>
    <row r="642" spans="1:4" ht="20.100000000000001" customHeight="1" x14ac:dyDescent="0.2">
      <c r="A642" s="6" t="s">
        <v>2589</v>
      </c>
      <c r="B642" s="7" t="s">
        <v>2590</v>
      </c>
      <c r="C642" s="190">
        <v>3.4185567918117092</v>
      </c>
      <c r="D642" s="190">
        <v>15.494353089004141</v>
      </c>
    </row>
    <row r="643" spans="1:4" ht="20.100000000000001" customHeight="1" x14ac:dyDescent="0.2">
      <c r="A643" s="6" t="s">
        <v>2591</v>
      </c>
      <c r="B643" s="7" t="s">
        <v>2592</v>
      </c>
      <c r="C643" s="190">
        <v>0.72042066822907858</v>
      </c>
      <c r="D643" s="190">
        <v>16.730639829542159</v>
      </c>
    </row>
    <row r="644" spans="1:4" ht="20.100000000000001" customHeight="1" x14ac:dyDescent="0.2">
      <c r="A644" s="6" t="s">
        <v>2593</v>
      </c>
      <c r="B644" s="7" t="s">
        <v>2594</v>
      </c>
      <c r="C644" s="190">
        <v>0.15659988130943994</v>
      </c>
      <c r="D644" s="190">
        <v>13.078455163605923</v>
      </c>
    </row>
    <row r="645" spans="1:4" ht="20.100000000000001" customHeight="1" x14ac:dyDescent="0.2">
      <c r="A645" s="6" t="s">
        <v>2595</v>
      </c>
      <c r="B645" s="7" t="s">
        <v>2596</v>
      </c>
      <c r="C645" s="190">
        <v>0.10036498371980374</v>
      </c>
      <c r="D645" s="190">
        <v>1.8889341490471767</v>
      </c>
    </row>
    <row r="646" spans="1:4" ht="20.100000000000001" customHeight="1" x14ac:dyDescent="0.2">
      <c r="A646" s="6" t="s">
        <v>2597</v>
      </c>
      <c r="B646" s="7" t="s">
        <v>2598</v>
      </c>
      <c r="C646" s="190">
        <v>-2.1080695966767672E-3</v>
      </c>
      <c r="D646" s="190">
        <v>1.8962833394462155</v>
      </c>
    </row>
    <row r="647" spans="1:4" ht="20.100000000000001" customHeight="1" x14ac:dyDescent="0.2">
      <c r="A647" s="6" t="s">
        <v>2599</v>
      </c>
      <c r="B647" s="7" t="s">
        <v>2600</v>
      </c>
      <c r="C647" s="190">
        <v>0</v>
      </c>
      <c r="D647" s="190">
        <v>3.3365571719625642</v>
      </c>
    </row>
    <row r="648" spans="1:4" ht="20.100000000000001" customHeight="1" x14ac:dyDescent="0.2">
      <c r="A648" s="6" t="s">
        <v>2601</v>
      </c>
      <c r="B648" s="7" t="s">
        <v>2600</v>
      </c>
      <c r="C648" s="190">
        <v>0</v>
      </c>
      <c r="D648" s="190">
        <v>3.3379232675952855</v>
      </c>
    </row>
    <row r="649" spans="1:4" ht="20.100000000000001" customHeight="1" x14ac:dyDescent="0.2">
      <c r="A649" s="6" t="s">
        <v>2602</v>
      </c>
      <c r="B649" s="7" t="s">
        <v>2603</v>
      </c>
      <c r="C649" s="190">
        <v>0.51795624586802069</v>
      </c>
      <c r="D649" s="190">
        <v>5.3494275985580559</v>
      </c>
    </row>
    <row r="650" spans="1:4" ht="20.100000000000001" customHeight="1" x14ac:dyDescent="0.2">
      <c r="A650" s="6" t="s">
        <v>2604</v>
      </c>
      <c r="B650" s="7" t="s">
        <v>2605</v>
      </c>
      <c r="C650" s="190">
        <v>0.4341159805924284</v>
      </c>
      <c r="D650" s="190">
        <v>5.0905057570297574</v>
      </c>
    </row>
    <row r="651" spans="1:4" ht="20.100000000000001" customHeight="1" x14ac:dyDescent="0.2">
      <c r="A651" s="6" t="s">
        <v>2606</v>
      </c>
      <c r="B651" s="7" t="s">
        <v>2607</v>
      </c>
      <c r="C651" s="190">
        <v>7.4272153870934832E-2</v>
      </c>
      <c r="D651" s="190">
        <v>-0.16091882697058138</v>
      </c>
    </row>
    <row r="652" spans="1:4" ht="20.100000000000001" customHeight="1" x14ac:dyDescent="0.2">
      <c r="A652" s="6" t="s">
        <v>2608</v>
      </c>
      <c r="B652" s="7" t="s">
        <v>2609</v>
      </c>
      <c r="C652" s="190">
        <v>4.3900288784411607</v>
      </c>
      <c r="D652" s="190">
        <v>11.164451077131144</v>
      </c>
    </row>
    <row r="653" spans="1:4" ht="20.100000000000001" customHeight="1" x14ac:dyDescent="0.2">
      <c r="A653" s="6" t="s">
        <v>2610</v>
      </c>
      <c r="B653" s="7" t="s">
        <v>2611</v>
      </c>
      <c r="C653" s="190">
        <v>0</v>
      </c>
      <c r="D653" s="190">
        <v>16.056931140867178</v>
      </c>
    </row>
    <row r="654" spans="1:4" ht="20.100000000000001" customHeight="1" x14ac:dyDescent="0.2">
      <c r="A654" s="6" t="s">
        <v>2612</v>
      </c>
      <c r="B654" s="7" t="s">
        <v>2613</v>
      </c>
      <c r="C654" s="190">
        <v>1.1382953414848165</v>
      </c>
      <c r="D654" s="190">
        <v>3.3855476772266258</v>
      </c>
    </row>
    <row r="655" spans="1:4" ht="20.100000000000001" customHeight="1" x14ac:dyDescent="0.2">
      <c r="A655" s="6" t="s">
        <v>2614</v>
      </c>
      <c r="B655" s="7" t="s">
        <v>2613</v>
      </c>
      <c r="C655" s="190">
        <v>1.0989845339975615</v>
      </c>
      <c r="D655" s="190">
        <v>0.57159784561078042</v>
      </c>
    </row>
    <row r="656" spans="1:4" ht="20.100000000000001" customHeight="1" x14ac:dyDescent="0.2">
      <c r="A656" s="6" t="s">
        <v>2615</v>
      </c>
      <c r="B656" s="7" t="s">
        <v>2616</v>
      </c>
      <c r="C656" s="190">
        <v>7.3860332087452496E-3</v>
      </c>
      <c r="D656" s="190">
        <v>2.6006476828053313</v>
      </c>
    </row>
    <row r="657" spans="1:4" ht="20.100000000000001" customHeight="1" x14ac:dyDescent="0.2">
      <c r="A657" s="6" t="s">
        <v>2617</v>
      </c>
      <c r="B657" s="7" t="s">
        <v>2618</v>
      </c>
      <c r="C657" s="190">
        <v>0</v>
      </c>
      <c r="D657" s="190">
        <v>0.82985061020856432</v>
      </c>
    </row>
    <row r="658" spans="1:4" ht="20.100000000000001" customHeight="1" x14ac:dyDescent="0.2">
      <c r="A658" s="6" t="s">
        <v>2619</v>
      </c>
      <c r="B658" s="7" t="s">
        <v>2618</v>
      </c>
      <c r="C658" s="190">
        <v>0</v>
      </c>
      <c r="D658" s="190">
        <v>0.81999783174934437</v>
      </c>
    </row>
    <row r="659" spans="1:4" ht="20.100000000000001" customHeight="1" x14ac:dyDescent="0.2">
      <c r="A659" s="6" t="s">
        <v>2620</v>
      </c>
      <c r="B659" s="7" t="s">
        <v>2621</v>
      </c>
      <c r="C659" s="190">
        <v>0</v>
      </c>
      <c r="D659" s="190">
        <v>0.96572902498660718</v>
      </c>
    </row>
    <row r="660" spans="1:4" ht="20.100000000000001" customHeight="1" x14ac:dyDescent="0.2">
      <c r="A660" s="6" t="s">
        <v>2622</v>
      </c>
      <c r="B660" s="7" t="s">
        <v>2621</v>
      </c>
      <c r="C660" s="190">
        <v>0</v>
      </c>
      <c r="D660" s="190">
        <v>1.6993247093136574</v>
      </c>
    </row>
    <row r="661" spans="1:4" ht="20.100000000000001" customHeight="1" x14ac:dyDescent="0.2">
      <c r="A661" s="6" t="s">
        <v>2623</v>
      </c>
      <c r="B661" s="7" t="s">
        <v>2624</v>
      </c>
      <c r="C661" s="190">
        <v>0</v>
      </c>
      <c r="D661" s="190">
        <v>2.1752662039178863</v>
      </c>
    </row>
    <row r="662" spans="1:4" ht="20.100000000000001" customHeight="1" x14ac:dyDescent="0.2">
      <c r="A662" s="6" t="s">
        <v>2625</v>
      </c>
      <c r="B662" s="7" t="s">
        <v>2626</v>
      </c>
      <c r="C662" s="190">
        <v>0.21803140371207425</v>
      </c>
      <c r="D662" s="190">
        <v>-0.64002936215121953</v>
      </c>
    </row>
    <row r="663" spans="1:4" ht="20.100000000000001" customHeight="1" x14ac:dyDescent="0.2">
      <c r="A663" s="6" t="s">
        <v>2627</v>
      </c>
      <c r="B663" s="7" t="s">
        <v>2628</v>
      </c>
      <c r="C663" s="190">
        <v>1.2111274170402971E-2</v>
      </c>
      <c r="D663" s="190">
        <v>17.658352175616962</v>
      </c>
    </row>
    <row r="664" spans="1:4" ht="20.100000000000001" customHeight="1" x14ac:dyDescent="0.2">
      <c r="A664" s="6" t="s">
        <v>2629</v>
      </c>
      <c r="B664" s="7" t="s">
        <v>2630</v>
      </c>
      <c r="C664" s="190">
        <v>2.4070045346587738</v>
      </c>
      <c r="D664" s="190">
        <v>4.7492848375983252</v>
      </c>
    </row>
    <row r="665" spans="1:4" ht="20.100000000000001" customHeight="1" x14ac:dyDescent="0.2">
      <c r="A665" s="6" t="s">
        <v>2631</v>
      </c>
      <c r="B665" s="7" t="s">
        <v>2632</v>
      </c>
      <c r="C665" s="190">
        <v>0.61964120052412452</v>
      </c>
      <c r="D665" s="190">
        <v>13.931645746204758</v>
      </c>
    </row>
    <row r="666" spans="1:4" ht="20.100000000000001" customHeight="1" x14ac:dyDescent="0.2">
      <c r="A666" s="6" t="s">
        <v>2633</v>
      </c>
      <c r="B666" s="7" t="s">
        <v>2634</v>
      </c>
      <c r="C666" s="190">
        <v>0.88577441908738108</v>
      </c>
      <c r="D666" s="190">
        <v>16.951479707848328</v>
      </c>
    </row>
    <row r="667" spans="1:4" ht="20.100000000000001" customHeight="1" x14ac:dyDescent="0.2">
      <c r="A667" s="6" t="s">
        <v>2635</v>
      </c>
      <c r="B667" s="7" t="s">
        <v>2636</v>
      </c>
      <c r="C667" s="190">
        <v>0.50331080556162999</v>
      </c>
      <c r="D667" s="190">
        <v>8.80206276368774</v>
      </c>
    </row>
    <row r="668" spans="1:4" ht="20.100000000000001" customHeight="1" x14ac:dyDescent="0.2">
      <c r="A668" s="6" t="s">
        <v>2637</v>
      </c>
      <c r="B668" s="7" t="s">
        <v>2636</v>
      </c>
      <c r="C668" s="190">
        <v>0.27524057575561256</v>
      </c>
      <c r="D668" s="190">
        <v>8.9417046939991334</v>
      </c>
    </row>
    <row r="669" spans="1:4" ht="20.100000000000001" customHeight="1" x14ac:dyDescent="0.2">
      <c r="A669" s="6" t="s">
        <v>2638</v>
      </c>
      <c r="B669" s="7" t="s">
        <v>2639</v>
      </c>
      <c r="C669" s="190">
        <v>0.90199468603437594</v>
      </c>
      <c r="D669" s="190">
        <v>11.882547677173562</v>
      </c>
    </row>
    <row r="670" spans="1:4" ht="20.100000000000001" customHeight="1" x14ac:dyDescent="0.2">
      <c r="A670" s="6" t="s">
        <v>2640</v>
      </c>
      <c r="B670" s="7" t="s">
        <v>2641</v>
      </c>
      <c r="C670" s="190">
        <v>0.40269371663099718</v>
      </c>
      <c r="D670" s="190">
        <v>12.325047536073907</v>
      </c>
    </row>
    <row r="671" spans="1:4" ht="20.100000000000001" customHeight="1" x14ac:dyDescent="0.2">
      <c r="A671" s="6" t="s">
        <v>2642</v>
      </c>
      <c r="B671" s="7" t="s">
        <v>2643</v>
      </c>
      <c r="C671" s="190">
        <v>1.9235885813273472</v>
      </c>
      <c r="D671" s="190">
        <v>6.7241525776032942</v>
      </c>
    </row>
    <row r="672" spans="1:4" ht="20.100000000000001" customHeight="1" x14ac:dyDescent="0.2">
      <c r="A672" s="6" t="s">
        <v>2644</v>
      </c>
      <c r="B672" s="7" t="s">
        <v>2645</v>
      </c>
      <c r="C672" s="190">
        <v>2.614510560344395</v>
      </c>
      <c r="D672" s="190">
        <v>22.952918523827009</v>
      </c>
    </row>
    <row r="673" spans="1:4" ht="20.100000000000001" customHeight="1" x14ac:dyDescent="0.2">
      <c r="A673" s="6" t="s">
        <v>2646</v>
      </c>
      <c r="B673" s="7" t="s">
        <v>2647</v>
      </c>
      <c r="C673" s="190">
        <v>0.6028726125266336</v>
      </c>
      <c r="D673" s="190">
        <v>1.9951612563850989</v>
      </c>
    </row>
    <row r="674" spans="1:4" ht="20.100000000000001" customHeight="1" x14ac:dyDescent="0.2">
      <c r="A674" s="6" t="s">
        <v>2648</v>
      </c>
      <c r="B674" s="7" t="s">
        <v>2649</v>
      </c>
      <c r="C674" s="190">
        <v>0.81336906517529239</v>
      </c>
      <c r="D674" s="190">
        <v>26.149342874925665</v>
      </c>
    </row>
    <row r="675" spans="1:4" ht="20.100000000000001" customHeight="1" x14ac:dyDescent="0.2">
      <c r="A675" s="6" t="s">
        <v>2650</v>
      </c>
      <c r="B675" s="7" t="s">
        <v>2651</v>
      </c>
      <c r="C675" s="190">
        <v>0.12646830427585432</v>
      </c>
      <c r="D675" s="190">
        <v>13.033800971859909</v>
      </c>
    </row>
    <row r="676" spans="1:4" ht="20.100000000000001" customHeight="1" x14ac:dyDescent="0.2">
      <c r="A676" s="6" t="s">
        <v>2652</v>
      </c>
      <c r="B676" s="7" t="s">
        <v>2653</v>
      </c>
      <c r="C676" s="190">
        <v>-0.20025422121662384</v>
      </c>
      <c r="D676" s="190">
        <v>6.667688163449748</v>
      </c>
    </row>
    <row r="677" spans="1:4" ht="20.100000000000001" customHeight="1" x14ac:dyDescent="0.2">
      <c r="A677" s="6" t="s">
        <v>2654</v>
      </c>
      <c r="B677" s="7" t="s">
        <v>2655</v>
      </c>
      <c r="C677" s="190">
        <v>0</v>
      </c>
      <c r="D677" s="190">
        <v>4.0415890952557074</v>
      </c>
    </row>
    <row r="678" spans="1:4" ht="20.100000000000001" customHeight="1" x14ac:dyDescent="0.2">
      <c r="A678" s="6" t="s">
        <v>2656</v>
      </c>
      <c r="B678" s="7" t="s">
        <v>2657</v>
      </c>
      <c r="C678" s="190">
        <v>8.4837527729197688E-3</v>
      </c>
      <c r="D678" s="190">
        <v>3.7750224425210517</v>
      </c>
    </row>
    <row r="679" spans="1:4" ht="20.100000000000001" customHeight="1" x14ac:dyDescent="0.2">
      <c r="A679" s="6" t="s">
        <v>2658</v>
      </c>
      <c r="B679" s="7" t="s">
        <v>2659</v>
      </c>
      <c r="C679" s="190">
        <v>0.74912306399572703</v>
      </c>
      <c r="D679" s="190">
        <v>9.3803491424018759</v>
      </c>
    </row>
    <row r="680" spans="1:4" ht="20.100000000000001" customHeight="1" x14ac:dyDescent="0.2">
      <c r="A680" s="6" t="s">
        <v>2660</v>
      </c>
      <c r="B680" s="7" t="s">
        <v>2661</v>
      </c>
      <c r="C680" s="190">
        <v>2.1593468641967899</v>
      </c>
      <c r="D680" s="190">
        <v>5.1314285099339427</v>
      </c>
    </row>
    <row r="681" spans="1:4" ht="20.100000000000001" customHeight="1" x14ac:dyDescent="0.2">
      <c r="A681" s="6" t="s">
        <v>2662</v>
      </c>
      <c r="B681" s="7" t="s">
        <v>2663</v>
      </c>
      <c r="C681" s="190">
        <v>2.8732973941840427</v>
      </c>
      <c r="D681" s="190">
        <v>21.012729052546511</v>
      </c>
    </row>
    <row r="682" spans="1:4" ht="20.100000000000001" customHeight="1" x14ac:dyDescent="0.2">
      <c r="A682" s="6" t="s">
        <v>2664</v>
      </c>
      <c r="B682" s="7" t="s">
        <v>2665</v>
      </c>
      <c r="C682" s="190">
        <v>1.1237334838628569E-2</v>
      </c>
      <c r="D682" s="190">
        <v>0.71341535694108105</v>
      </c>
    </row>
    <row r="683" spans="1:4" ht="20.100000000000001" customHeight="1" x14ac:dyDescent="0.2">
      <c r="A683" s="6" t="s">
        <v>2666</v>
      </c>
      <c r="B683" s="7" t="s">
        <v>2667</v>
      </c>
      <c r="C683" s="190">
        <v>9.5423591905226451E-2</v>
      </c>
      <c r="D683" s="190">
        <v>0.94509715199751421</v>
      </c>
    </row>
    <row r="684" spans="1:4" ht="20.100000000000001" customHeight="1" x14ac:dyDescent="0.2">
      <c r="A684" s="6" t="s">
        <v>2668</v>
      </c>
      <c r="B684" s="7" t="s">
        <v>2669</v>
      </c>
      <c r="C684" s="190">
        <v>2.5464990419023361</v>
      </c>
      <c r="D684" s="190">
        <v>25.451175322324779</v>
      </c>
    </row>
    <row r="685" spans="1:4" ht="20.100000000000001" customHeight="1" x14ac:dyDescent="0.2">
      <c r="A685" s="6" t="s">
        <v>2670</v>
      </c>
      <c r="B685" s="7" t="s">
        <v>2671</v>
      </c>
      <c r="C685" s="190">
        <v>7.3689068805162343E-3</v>
      </c>
      <c r="D685" s="190">
        <v>0.51044973423992279</v>
      </c>
    </row>
    <row r="686" spans="1:4" ht="20.100000000000001" customHeight="1" x14ac:dyDescent="0.2">
      <c r="A686" s="6" t="s">
        <v>2672</v>
      </c>
      <c r="B686" s="7" t="s">
        <v>2673</v>
      </c>
      <c r="C686" s="190">
        <v>0.5990032537767791</v>
      </c>
      <c r="D686" s="190">
        <v>9.7770885520758117</v>
      </c>
    </row>
    <row r="687" spans="1:4" ht="20.100000000000001" customHeight="1" x14ac:dyDescent="0.2">
      <c r="A687" s="6" t="s">
        <v>2674</v>
      </c>
      <c r="B687" s="7" t="s">
        <v>2675</v>
      </c>
      <c r="C687" s="190">
        <v>0.36513339907898612</v>
      </c>
      <c r="D687" s="190">
        <v>8.246371927561551</v>
      </c>
    </row>
    <row r="688" spans="1:4" ht="20.100000000000001" customHeight="1" x14ac:dyDescent="0.2">
      <c r="A688" s="6" t="s">
        <v>2676</v>
      </c>
      <c r="B688" s="7" t="s">
        <v>2677</v>
      </c>
      <c r="C688" s="190">
        <v>1.5146025152720117</v>
      </c>
      <c r="D688" s="190">
        <v>19.42044158939645</v>
      </c>
    </row>
    <row r="689" spans="1:4" ht="20.100000000000001" customHeight="1" x14ac:dyDescent="0.2">
      <c r="A689" s="6" t="s">
        <v>2678</v>
      </c>
      <c r="B689" s="7" t="s">
        <v>2679</v>
      </c>
      <c r="C689" s="190">
        <v>-1.8625707496841032E-2</v>
      </c>
      <c r="D689" s="190">
        <v>16.58434080008935</v>
      </c>
    </row>
    <row r="690" spans="1:4" ht="20.100000000000001" customHeight="1" x14ac:dyDescent="0.2">
      <c r="A690" s="6" t="s">
        <v>2680</v>
      </c>
      <c r="B690" s="7" t="s">
        <v>2681</v>
      </c>
      <c r="C690" s="190">
        <v>2.7646441538079776</v>
      </c>
      <c r="D690" s="190">
        <v>9.010085154833634</v>
      </c>
    </row>
    <row r="691" spans="1:4" ht="20.100000000000001" customHeight="1" x14ac:dyDescent="0.2">
      <c r="A691" s="6" t="s">
        <v>2682</v>
      </c>
      <c r="B691" s="7" t="s">
        <v>2683</v>
      </c>
      <c r="C691" s="190">
        <v>1.7239270564151352</v>
      </c>
      <c r="D691" s="190">
        <v>-2.281534218797824</v>
      </c>
    </row>
    <row r="692" spans="1:4" ht="20.100000000000001" customHeight="1" x14ac:dyDescent="0.2">
      <c r="A692" s="6" t="s">
        <v>2684</v>
      </c>
      <c r="B692" s="7" t="s">
        <v>2685</v>
      </c>
      <c r="C692" s="190">
        <v>0.20764011445370023</v>
      </c>
      <c r="D692" s="190">
        <v>7.7120964279732744</v>
      </c>
    </row>
    <row r="693" spans="1:4" ht="20.100000000000001" customHeight="1" x14ac:dyDescent="0.2">
      <c r="A693" s="6" t="s">
        <v>2686</v>
      </c>
      <c r="B693" s="7" t="s">
        <v>2687</v>
      </c>
      <c r="C693" s="190">
        <v>1.2555682107678521</v>
      </c>
      <c r="D693" s="190">
        <v>17.83269610830283</v>
      </c>
    </row>
    <row r="694" spans="1:4" ht="20.100000000000001" customHeight="1" x14ac:dyDescent="0.2">
      <c r="A694" s="6" t="s">
        <v>2688</v>
      </c>
      <c r="B694" s="7" t="s">
        <v>2689</v>
      </c>
      <c r="C694" s="190">
        <v>8.7516919823334816E-2</v>
      </c>
      <c r="D694" s="190">
        <v>20.053260418742664</v>
      </c>
    </row>
    <row r="695" spans="1:4" ht="20.100000000000001" customHeight="1" x14ac:dyDescent="0.2">
      <c r="A695" s="6" t="s">
        <v>2690</v>
      </c>
      <c r="B695" s="7" t="s">
        <v>2691</v>
      </c>
      <c r="C695" s="190">
        <v>0.56767659004188964</v>
      </c>
      <c r="D695" s="190">
        <v>1.6966108822328945</v>
      </c>
    </row>
    <row r="696" spans="1:4" ht="20.100000000000001" customHeight="1" x14ac:dyDescent="0.2">
      <c r="A696" s="6" t="s">
        <v>2692</v>
      </c>
      <c r="B696" s="7" t="s">
        <v>2693</v>
      </c>
      <c r="C696" s="190">
        <v>9.5541420040286623E-2</v>
      </c>
      <c r="D696" s="190">
        <v>8.0939451587427591</v>
      </c>
    </row>
    <row r="697" spans="1:4" ht="20.100000000000001" customHeight="1" x14ac:dyDescent="0.2">
      <c r="A697" s="6" t="s">
        <v>2694</v>
      </c>
      <c r="B697" s="7" t="s">
        <v>2695</v>
      </c>
      <c r="C697" s="190">
        <v>0.38958232741765664</v>
      </c>
      <c r="D697" s="190">
        <v>21.757644459949645</v>
      </c>
    </row>
    <row r="698" spans="1:4" ht="20.100000000000001" customHeight="1" x14ac:dyDescent="0.2">
      <c r="A698" s="6" t="s">
        <v>2696</v>
      </c>
      <c r="B698" s="7" t="s">
        <v>2697</v>
      </c>
      <c r="C698" s="190">
        <v>0.34379463561206014</v>
      </c>
      <c r="D698" s="190">
        <v>6.325437840793529</v>
      </c>
    </row>
    <row r="699" spans="1:4" ht="20.100000000000001" customHeight="1" x14ac:dyDescent="0.2">
      <c r="A699" s="6" t="s">
        <v>2698</v>
      </c>
      <c r="B699" s="7" t="s">
        <v>2699</v>
      </c>
      <c r="C699" s="190">
        <v>2.9552950906246735E-2</v>
      </c>
      <c r="D699" s="190">
        <v>0.51845829078469496</v>
      </c>
    </row>
    <row r="700" spans="1:4" ht="20.100000000000001" customHeight="1" x14ac:dyDescent="0.2">
      <c r="A700" s="6" t="s">
        <v>2700</v>
      </c>
      <c r="B700" s="7" t="s">
        <v>2701</v>
      </c>
      <c r="C700" s="190">
        <v>-1.5764300796068786E-2</v>
      </c>
      <c r="D700" s="190">
        <v>11.102631812738311</v>
      </c>
    </row>
    <row r="701" spans="1:4" ht="20.100000000000001" customHeight="1" x14ac:dyDescent="0.2">
      <c r="A701" s="6" t="s">
        <v>2702</v>
      </c>
      <c r="B701" s="7" t="s">
        <v>2703</v>
      </c>
      <c r="C701" s="190">
        <v>0.42171674520614782</v>
      </c>
      <c r="D701" s="190">
        <v>3.822460961255735</v>
      </c>
    </row>
    <row r="702" spans="1:4" ht="20.100000000000001" customHeight="1" x14ac:dyDescent="0.2">
      <c r="A702" s="6" t="s">
        <v>2704</v>
      </c>
      <c r="B702" s="7" t="s">
        <v>2705</v>
      </c>
      <c r="C702" s="190">
        <v>-0.236899125365784</v>
      </c>
      <c r="D702" s="190">
        <v>1.4183150486606269</v>
      </c>
    </row>
    <row r="703" spans="1:4" ht="20.100000000000001" customHeight="1" x14ac:dyDescent="0.2">
      <c r="A703" s="6" t="s">
        <v>2706</v>
      </c>
      <c r="B703" s="7" t="s">
        <v>2707</v>
      </c>
      <c r="C703" s="190">
        <v>0.67872930020716238</v>
      </c>
      <c r="D703" s="190">
        <v>10.172857685162583</v>
      </c>
    </row>
    <row r="704" spans="1:4" ht="20.100000000000001" customHeight="1" x14ac:dyDescent="0.2">
      <c r="A704" s="6" t="s">
        <v>2708</v>
      </c>
      <c r="B704" s="7" t="s">
        <v>2709</v>
      </c>
      <c r="C704" s="190">
        <v>2.4728653734720885</v>
      </c>
      <c r="D704" s="190">
        <v>15.090790454921349</v>
      </c>
    </row>
    <row r="705" spans="1:4" ht="20.100000000000001" customHeight="1" x14ac:dyDescent="0.2">
      <c r="A705" s="6" t="s">
        <v>2710</v>
      </c>
      <c r="B705" s="7" t="s">
        <v>2711</v>
      </c>
      <c r="C705" s="190">
        <v>0.69384252148794068</v>
      </c>
      <c r="D705" s="190">
        <v>3.3016226605970873</v>
      </c>
    </row>
    <row r="706" spans="1:4" ht="20.100000000000001" customHeight="1" x14ac:dyDescent="0.2">
      <c r="A706" s="6" t="s">
        <v>2712</v>
      </c>
      <c r="B706" s="7" t="s">
        <v>2713</v>
      </c>
      <c r="C706" s="190">
        <v>2.9296453798034214</v>
      </c>
      <c r="D706" s="190">
        <v>12.569737907043049</v>
      </c>
    </row>
    <row r="707" spans="1:4" ht="20.100000000000001" customHeight="1" x14ac:dyDescent="0.2">
      <c r="A707" s="6" t="s">
        <v>2714</v>
      </c>
      <c r="B707" s="7" t="s">
        <v>2715</v>
      </c>
      <c r="C707" s="190">
        <v>1.0397994934085995</v>
      </c>
      <c r="D707" s="190">
        <v>4.9035557861999806</v>
      </c>
    </row>
    <row r="708" spans="1:4" ht="20.100000000000001" customHeight="1" x14ac:dyDescent="0.2">
      <c r="A708" s="6" t="s">
        <v>2716</v>
      </c>
      <c r="B708" s="7" t="s">
        <v>2717</v>
      </c>
      <c r="C708" s="190">
        <v>0.4535652279702943</v>
      </c>
      <c r="D708" s="190">
        <v>14.567989331748569</v>
      </c>
    </row>
    <row r="709" spans="1:4" ht="20.100000000000001" customHeight="1" x14ac:dyDescent="0.2">
      <c r="A709" s="6" t="s">
        <v>2718</v>
      </c>
      <c r="B709" s="7" t="s">
        <v>2719</v>
      </c>
      <c r="C709" s="190">
        <v>1.0946444231462946</v>
      </c>
      <c r="D709" s="190">
        <v>2.8979099857069643</v>
      </c>
    </row>
    <row r="710" spans="1:4" ht="20.100000000000001" customHeight="1" x14ac:dyDescent="0.2">
      <c r="A710" s="6" t="s">
        <v>2720</v>
      </c>
      <c r="B710" s="7" t="s">
        <v>2721</v>
      </c>
      <c r="C710" s="190">
        <v>0.7125960284857864</v>
      </c>
      <c r="D710" s="190">
        <v>8.0361180026382346</v>
      </c>
    </row>
    <row r="711" spans="1:4" ht="20.100000000000001" customHeight="1" x14ac:dyDescent="0.2">
      <c r="A711" s="6" t="s">
        <v>2722</v>
      </c>
      <c r="B711" s="7" t="s">
        <v>2723</v>
      </c>
      <c r="C711" s="190">
        <v>1.2438715580718813</v>
      </c>
      <c r="D711" s="190">
        <v>25.733091665920934</v>
      </c>
    </row>
    <row r="712" spans="1:4" ht="20.100000000000001" customHeight="1" x14ac:dyDescent="0.2">
      <c r="A712" s="6" t="s">
        <v>2724</v>
      </c>
      <c r="B712" s="7" t="s">
        <v>2725</v>
      </c>
      <c r="C712" s="190">
        <v>0</v>
      </c>
      <c r="D712" s="190">
        <v>5.3604904945134049</v>
      </c>
    </row>
    <row r="713" spans="1:4" ht="20.100000000000001" customHeight="1" x14ac:dyDescent="0.2">
      <c r="A713" s="6" t="s">
        <v>2726</v>
      </c>
      <c r="B713" s="7" t="s">
        <v>2725</v>
      </c>
      <c r="C713" s="190">
        <v>0</v>
      </c>
      <c r="D713" s="190">
        <v>5.3616092135857452</v>
      </c>
    </row>
    <row r="714" spans="1:4" ht="20.100000000000001" customHeight="1" x14ac:dyDescent="0.2">
      <c r="A714" s="6" t="s">
        <v>2727</v>
      </c>
      <c r="B714" s="7" t="s">
        <v>2728</v>
      </c>
      <c r="C714" s="190">
        <v>8.068751349209943E-3</v>
      </c>
      <c r="D714" s="190">
        <v>14.357460689566151</v>
      </c>
    </row>
    <row r="715" spans="1:4" ht="20.100000000000001" customHeight="1" x14ac:dyDescent="0.2">
      <c r="A715" s="6" t="s">
        <v>2729</v>
      </c>
      <c r="B715" s="7" t="s">
        <v>2728</v>
      </c>
      <c r="C715" s="190">
        <v>8.0375518027659097E-3</v>
      </c>
      <c r="D715" s="190">
        <v>8.9877101860946169</v>
      </c>
    </row>
    <row r="716" spans="1:4" ht="20.100000000000001" customHeight="1" x14ac:dyDescent="0.2">
      <c r="A716" s="6" t="s">
        <v>2730</v>
      </c>
      <c r="B716" s="7" t="s">
        <v>2731</v>
      </c>
      <c r="C716" s="190">
        <v>8.0848861183755876</v>
      </c>
      <c r="D716" s="190">
        <v>-1.5834763161382139</v>
      </c>
    </row>
    <row r="717" spans="1:4" ht="20.100000000000001" customHeight="1" x14ac:dyDescent="0.2">
      <c r="A717" s="6" t="s">
        <v>2732</v>
      </c>
      <c r="B717" s="7" t="s">
        <v>2733</v>
      </c>
      <c r="C717" s="190">
        <v>0.80036218323521813</v>
      </c>
      <c r="D717" s="190">
        <v>-4.8284626181771086</v>
      </c>
    </row>
    <row r="718" spans="1:4" ht="20.100000000000001" customHeight="1" x14ac:dyDescent="0.2">
      <c r="A718" s="6" t="s">
        <v>2734</v>
      </c>
      <c r="B718" s="7" t="s">
        <v>2735</v>
      </c>
      <c r="C718" s="190">
        <v>2.6344814761371751</v>
      </c>
      <c r="D718" s="190">
        <v>19.179364128717062</v>
      </c>
    </row>
    <row r="719" spans="1:4" ht="20.100000000000001" customHeight="1" x14ac:dyDescent="0.2">
      <c r="A719" s="6" t="s">
        <v>2736</v>
      </c>
      <c r="B719" s="7" t="s">
        <v>2737</v>
      </c>
      <c r="C719" s="190">
        <v>1.9589966100747589</v>
      </c>
      <c r="D719" s="190">
        <v>22.039556706042987</v>
      </c>
    </row>
    <row r="720" spans="1:4" ht="20.100000000000001" customHeight="1" x14ac:dyDescent="0.2">
      <c r="A720" s="6" t="s">
        <v>2738</v>
      </c>
      <c r="B720" s="7" t="s">
        <v>2739</v>
      </c>
      <c r="C720" s="190">
        <v>0.96522211461665841</v>
      </c>
      <c r="D720" s="190">
        <v>5.8862001917357301</v>
      </c>
    </row>
    <row r="721" spans="1:4" ht="20.100000000000001" customHeight="1" x14ac:dyDescent="0.2">
      <c r="A721" s="6" t="s">
        <v>2740</v>
      </c>
      <c r="B721" s="7" t="s">
        <v>2741</v>
      </c>
      <c r="C721" s="190">
        <v>0.232435606027112</v>
      </c>
      <c r="D721" s="190">
        <v>-0.67652802146176438</v>
      </c>
    </row>
    <row r="722" spans="1:4" ht="20.100000000000001" customHeight="1" x14ac:dyDescent="0.2">
      <c r="A722" s="6" t="s">
        <v>2742</v>
      </c>
      <c r="B722" s="7" t="s">
        <v>2743</v>
      </c>
      <c r="C722" s="190">
        <v>1.2722861994127234E-2</v>
      </c>
      <c r="D722" s="190">
        <v>21.669836133217004</v>
      </c>
    </row>
    <row r="723" spans="1:4" ht="20.100000000000001" customHeight="1" x14ac:dyDescent="0.2">
      <c r="A723" s="6" t="s">
        <v>2744</v>
      </c>
      <c r="B723" s="7" t="s">
        <v>2745</v>
      </c>
      <c r="C723" s="190">
        <v>0.15920946687240861</v>
      </c>
      <c r="D723" s="190">
        <v>-3.1088345860537537E-2</v>
      </c>
    </row>
    <row r="724" spans="1:4" ht="20.100000000000001" customHeight="1" x14ac:dyDescent="0.2">
      <c r="A724" s="6" t="s">
        <v>2746</v>
      </c>
      <c r="B724" s="7" t="s">
        <v>2747</v>
      </c>
      <c r="C724" s="190">
        <v>0.34097427651573181</v>
      </c>
      <c r="D724" s="190">
        <v>1.6846009778415416</v>
      </c>
    </row>
    <row r="725" spans="1:4" ht="20.100000000000001" customHeight="1" x14ac:dyDescent="0.2">
      <c r="A725" s="6" t="s">
        <v>2748</v>
      </c>
      <c r="B725" s="7" t="s">
        <v>2747</v>
      </c>
      <c r="C725" s="190">
        <v>0.34322307028692312</v>
      </c>
      <c r="D725" s="190">
        <v>-0.39331929263315546</v>
      </c>
    </row>
    <row r="726" spans="1:4" ht="20.100000000000001" customHeight="1" x14ac:dyDescent="0.2">
      <c r="A726" s="6" t="s">
        <v>2749</v>
      </c>
      <c r="B726" s="7" t="s">
        <v>2750</v>
      </c>
      <c r="C726" s="190">
        <v>-0.28831963389861148</v>
      </c>
      <c r="D726" s="190">
        <v>5.5151880894288654</v>
      </c>
    </row>
    <row r="727" spans="1:4" ht="20.100000000000001" customHeight="1" x14ac:dyDescent="0.2">
      <c r="A727" s="6" t="s">
        <v>2751</v>
      </c>
      <c r="B727" s="7" t="s">
        <v>2752</v>
      </c>
      <c r="C727" s="190">
        <v>-1.41094144661085E-2</v>
      </c>
      <c r="D727" s="190">
        <v>-1.7173452775281111</v>
      </c>
    </row>
    <row r="728" spans="1:4" ht="20.100000000000001" customHeight="1" x14ac:dyDescent="0.2">
      <c r="A728" s="6" t="s">
        <v>2753</v>
      </c>
      <c r="B728" s="7" t="s">
        <v>2754</v>
      </c>
      <c r="C728" s="190">
        <v>0</v>
      </c>
      <c r="D728" s="190">
        <v>5.6881569024501317</v>
      </c>
    </row>
    <row r="729" spans="1:4" ht="20.100000000000001" customHeight="1" x14ac:dyDescent="0.2">
      <c r="A729" s="6" t="s">
        <v>2755</v>
      </c>
      <c r="B729" s="7" t="s">
        <v>2756</v>
      </c>
      <c r="C729" s="190">
        <v>3.965116994484517</v>
      </c>
      <c r="D729" s="190">
        <v>-0.59062063098736184</v>
      </c>
    </row>
    <row r="730" spans="1:4" ht="20.100000000000001" customHeight="1" x14ac:dyDescent="0.2">
      <c r="A730" s="6" t="s">
        <v>2757</v>
      </c>
      <c r="B730" s="7" t="s">
        <v>2758</v>
      </c>
      <c r="C730" s="190">
        <v>0.16730980157845038</v>
      </c>
      <c r="D730" s="190">
        <v>26.952762030053009</v>
      </c>
    </row>
    <row r="731" spans="1:4" ht="20.100000000000001" customHeight="1" x14ac:dyDescent="0.2">
      <c r="A731" s="6" t="s">
        <v>2759</v>
      </c>
      <c r="B731" s="7" t="s">
        <v>2760</v>
      </c>
      <c r="C731" s="190">
        <v>2.3940517619658666</v>
      </c>
      <c r="D731" s="190">
        <v>8.2463543230573855</v>
      </c>
    </row>
    <row r="732" spans="1:4" ht="20.100000000000001" customHeight="1" x14ac:dyDescent="0.2">
      <c r="A732" s="6" t="s">
        <v>2761</v>
      </c>
      <c r="B732" s="7" t="s">
        <v>2762</v>
      </c>
      <c r="C732" s="190">
        <v>3.8408439210697344E-2</v>
      </c>
      <c r="D732" s="190">
        <v>0.38380178160598338</v>
      </c>
    </row>
    <row r="733" spans="1:4" ht="20.100000000000001" customHeight="1" x14ac:dyDescent="0.2">
      <c r="A733" s="6" t="s">
        <v>2763</v>
      </c>
      <c r="B733" s="7" t="s">
        <v>2764</v>
      </c>
      <c r="C733" s="190">
        <v>0.77428890842261033</v>
      </c>
      <c r="D733" s="190">
        <v>11.944545977247259</v>
      </c>
    </row>
    <row r="734" spans="1:4" ht="20.100000000000001" customHeight="1" x14ac:dyDescent="0.2">
      <c r="A734" s="6" t="s">
        <v>2765</v>
      </c>
      <c r="B734" s="7" t="s">
        <v>2766</v>
      </c>
      <c r="C734" s="190">
        <v>3.7561965780896114E-2</v>
      </c>
      <c r="D734" s="190">
        <v>1.90914544069298</v>
      </c>
    </row>
    <row r="735" spans="1:4" ht="20.100000000000001" customHeight="1" x14ac:dyDescent="0.2">
      <c r="A735" s="6" t="s">
        <v>2767</v>
      </c>
      <c r="B735" s="7" t="s">
        <v>2768</v>
      </c>
      <c r="C735" s="190">
        <v>1.1358212954418949</v>
      </c>
      <c r="D735" s="190">
        <v>11.530805270748761</v>
      </c>
    </row>
    <row r="736" spans="1:4" ht="20.100000000000001" customHeight="1" x14ac:dyDescent="0.2">
      <c r="A736" s="6" t="s">
        <v>2769</v>
      </c>
      <c r="B736" s="7" t="s">
        <v>2770</v>
      </c>
      <c r="C736" s="190">
        <v>0.10652057261875367</v>
      </c>
      <c r="D736" s="190">
        <v>3.4797581974370209</v>
      </c>
    </row>
    <row r="737" spans="1:4" ht="20.100000000000001" customHeight="1" x14ac:dyDescent="0.2">
      <c r="A737" s="6" t="s">
        <v>2771</v>
      </c>
      <c r="B737" s="7" t="s">
        <v>2770</v>
      </c>
      <c r="C737" s="190">
        <v>0.12413783872258222</v>
      </c>
      <c r="D737" s="190">
        <v>6.3559531764587387</v>
      </c>
    </row>
    <row r="738" spans="1:4" ht="20.100000000000001" customHeight="1" x14ac:dyDescent="0.2">
      <c r="A738" s="6" t="s">
        <v>2772</v>
      </c>
      <c r="B738" s="7" t="s">
        <v>2773</v>
      </c>
      <c r="C738" s="190">
        <v>1.5274147472624233</v>
      </c>
      <c r="D738" s="190">
        <v>24.211766189707337</v>
      </c>
    </row>
    <row r="739" spans="1:4" ht="20.100000000000001" customHeight="1" x14ac:dyDescent="0.2">
      <c r="A739" s="6" t="s">
        <v>2774</v>
      </c>
      <c r="B739" s="7" t="s">
        <v>2775</v>
      </c>
      <c r="C739" s="190">
        <v>0</v>
      </c>
      <c r="D739" s="190">
        <v>0.82550139518063981</v>
      </c>
    </row>
    <row r="740" spans="1:4" ht="20.100000000000001" customHeight="1" x14ac:dyDescent="0.2">
      <c r="A740" s="6" t="s">
        <v>2776</v>
      </c>
      <c r="B740" s="7" t="s">
        <v>2775</v>
      </c>
      <c r="C740" s="190">
        <v>0.33305130836627522</v>
      </c>
      <c r="D740" s="190">
        <v>0.84847215880836968</v>
      </c>
    </row>
    <row r="741" spans="1:4" ht="20.100000000000001" customHeight="1" x14ac:dyDescent="0.2">
      <c r="A741" s="6" t="s">
        <v>2777</v>
      </c>
      <c r="B741" s="7" t="s">
        <v>2778</v>
      </c>
      <c r="C741" s="190">
        <v>0.96938227189926196</v>
      </c>
      <c r="D741" s="190">
        <v>1.8651504810733885</v>
      </c>
    </row>
    <row r="742" spans="1:4" ht="20.100000000000001" customHeight="1" x14ac:dyDescent="0.2">
      <c r="A742" s="6" t="s">
        <v>2779</v>
      </c>
      <c r="B742" s="7" t="s">
        <v>2780</v>
      </c>
      <c r="C742" s="190">
        <v>-2.5001499545129326</v>
      </c>
      <c r="D742" s="190">
        <v>13.102489993818629</v>
      </c>
    </row>
    <row r="743" spans="1:4" ht="20.100000000000001" customHeight="1" x14ac:dyDescent="0.2">
      <c r="A743" s="6" t="s">
        <v>2781</v>
      </c>
      <c r="B743" s="7" t="s">
        <v>2782</v>
      </c>
      <c r="C743" s="190">
        <v>1.3271005652693151</v>
      </c>
      <c r="D743" s="190">
        <v>14.843431092025938</v>
      </c>
    </row>
    <row r="744" spans="1:4" ht="20.100000000000001" customHeight="1" x14ac:dyDescent="0.2">
      <c r="A744" s="6" t="s">
        <v>2783</v>
      </c>
      <c r="B744" s="7" t="s">
        <v>2784</v>
      </c>
      <c r="C744" s="190">
        <v>1.3903393508322486</v>
      </c>
      <c r="D744" s="190">
        <v>7.8823024403524018</v>
      </c>
    </row>
    <row r="745" spans="1:4" ht="20.100000000000001" customHeight="1" x14ac:dyDescent="0.2">
      <c r="A745" s="6" t="s">
        <v>2785</v>
      </c>
      <c r="B745" s="7" t="s">
        <v>2786</v>
      </c>
      <c r="C745" s="190">
        <v>3.3125960256604028</v>
      </c>
      <c r="D745" s="190">
        <v>16.041312158225402</v>
      </c>
    </row>
    <row r="746" spans="1:4" ht="20.100000000000001" customHeight="1" x14ac:dyDescent="0.2">
      <c r="A746" s="6" t="s">
        <v>2787</v>
      </c>
      <c r="B746" s="7" t="s">
        <v>2788</v>
      </c>
      <c r="C746" s="190">
        <v>0.49856812033847342</v>
      </c>
      <c r="D746" s="190">
        <v>5.5359746071936193</v>
      </c>
    </row>
    <row r="747" spans="1:4" ht="20.100000000000001" customHeight="1" x14ac:dyDescent="0.2">
      <c r="A747" s="6" t="s">
        <v>2789</v>
      </c>
      <c r="B747" s="7" t="s">
        <v>2790</v>
      </c>
      <c r="C747" s="190">
        <v>1.8480599134492122</v>
      </c>
      <c r="D747" s="190">
        <v>7.8760354753920367</v>
      </c>
    </row>
    <row r="748" spans="1:4" ht="20.100000000000001" customHeight="1" x14ac:dyDescent="0.2">
      <c r="A748" s="6" t="s">
        <v>2791</v>
      </c>
      <c r="B748" s="7" t="s">
        <v>2790</v>
      </c>
      <c r="C748" s="190">
        <v>0.47972477566281563</v>
      </c>
      <c r="D748" s="190">
        <v>7.0398448848549764</v>
      </c>
    </row>
    <row r="749" spans="1:4" ht="20.100000000000001" customHeight="1" x14ac:dyDescent="0.2">
      <c r="A749" s="6" t="s">
        <v>2792</v>
      </c>
      <c r="B749" s="7" t="s">
        <v>2793</v>
      </c>
      <c r="C749" s="190">
        <v>0.79244650640056669</v>
      </c>
      <c r="D749" s="190">
        <v>9.4809988140506967</v>
      </c>
    </row>
    <row r="750" spans="1:4" ht="20.100000000000001" customHeight="1" x14ac:dyDescent="0.2">
      <c r="A750" s="6" t="s">
        <v>2794</v>
      </c>
      <c r="B750" s="7" t="s">
        <v>2795</v>
      </c>
      <c r="C750" s="190">
        <v>0.19474367733676684</v>
      </c>
      <c r="D750" s="190">
        <v>3.9005149409495403</v>
      </c>
    </row>
    <row r="751" spans="1:4" ht="20.100000000000001" customHeight="1" x14ac:dyDescent="0.2">
      <c r="A751" s="6" t="s">
        <v>2796</v>
      </c>
      <c r="B751" s="7" t="s">
        <v>2797</v>
      </c>
      <c r="C751" s="190">
        <v>0.11556392234275302</v>
      </c>
      <c r="D751" s="190">
        <v>6.5408068083125528</v>
      </c>
    </row>
    <row r="752" spans="1:4" ht="20.100000000000001" customHeight="1" x14ac:dyDescent="0.2">
      <c r="A752" s="6" t="s">
        <v>2798</v>
      </c>
      <c r="B752" s="7" t="s">
        <v>2799</v>
      </c>
      <c r="C752" s="190">
        <v>2.7920721626498581</v>
      </c>
      <c r="D752" s="190">
        <v>6.9179780875096366</v>
      </c>
    </row>
    <row r="753" spans="1:4" ht="20.100000000000001" customHeight="1" x14ac:dyDescent="0.2">
      <c r="A753" s="6" t="s">
        <v>2800</v>
      </c>
      <c r="B753" s="7" t="s">
        <v>2801</v>
      </c>
      <c r="C753" s="190">
        <v>1.0146455558758765</v>
      </c>
      <c r="D753" s="190">
        <v>16.056717852157462</v>
      </c>
    </row>
    <row r="754" spans="1:4" ht="20.100000000000001" customHeight="1" x14ac:dyDescent="0.2">
      <c r="A754" s="6" t="s">
        <v>2802</v>
      </c>
      <c r="B754" s="7" t="s">
        <v>2803</v>
      </c>
      <c r="C754" s="190">
        <v>0</v>
      </c>
      <c r="D754" s="190">
        <v>0.66356938126798481</v>
      </c>
    </row>
    <row r="755" spans="1:4" ht="20.100000000000001" customHeight="1" x14ac:dyDescent="0.2">
      <c r="A755" s="6" t="s">
        <v>2804</v>
      </c>
      <c r="B755" s="7" t="s">
        <v>2805</v>
      </c>
      <c r="C755" s="190">
        <v>0.28781957765135247</v>
      </c>
      <c r="D755" s="190">
        <v>16.447356063377395</v>
      </c>
    </row>
    <row r="756" spans="1:4" ht="20.100000000000001" customHeight="1" x14ac:dyDescent="0.2">
      <c r="A756" s="6" t="s">
        <v>2806</v>
      </c>
      <c r="B756" s="7" t="s">
        <v>2807</v>
      </c>
      <c r="C756" s="190">
        <v>-0.29689766394203265</v>
      </c>
      <c r="D756" s="190">
        <v>-2.5163710822845875</v>
      </c>
    </row>
    <row r="757" spans="1:4" ht="20.100000000000001" customHeight="1" x14ac:dyDescent="0.2">
      <c r="A757" s="6" t="s">
        <v>2808</v>
      </c>
      <c r="B757" s="7" t="s">
        <v>2809</v>
      </c>
      <c r="C757" s="190">
        <v>1.4994908297620652E-2</v>
      </c>
      <c r="D757" s="190">
        <v>9.578244905126498</v>
      </c>
    </row>
    <row r="758" spans="1:4" ht="20.100000000000001" customHeight="1" x14ac:dyDescent="0.2">
      <c r="A758" s="6" t="s">
        <v>2810</v>
      </c>
      <c r="B758" s="7" t="s">
        <v>2811</v>
      </c>
      <c r="C758" s="190">
        <v>3.3314158263278943</v>
      </c>
      <c r="D758" s="190">
        <v>24.715579142686977</v>
      </c>
    </row>
    <row r="759" spans="1:4" ht="20.100000000000001" customHeight="1" x14ac:dyDescent="0.2">
      <c r="A759" s="6" t="s">
        <v>2812</v>
      </c>
      <c r="B759" s="7" t="s">
        <v>2813</v>
      </c>
      <c r="C759" s="190">
        <v>8.0063670913278304E-2</v>
      </c>
      <c r="D759" s="190">
        <v>9.893869816958583</v>
      </c>
    </row>
    <row r="760" spans="1:4" ht="20.100000000000001" customHeight="1" x14ac:dyDescent="0.2">
      <c r="A760" s="6" t="s">
        <v>2814</v>
      </c>
      <c r="B760" s="7" t="s">
        <v>2815</v>
      </c>
      <c r="C760" s="190">
        <v>0.23477107285556603</v>
      </c>
      <c r="D760" s="190">
        <v>5.383821201801671E-2</v>
      </c>
    </row>
    <row r="761" spans="1:4" ht="20.100000000000001" customHeight="1" x14ac:dyDescent="0.2">
      <c r="A761" s="6" t="s">
        <v>2816</v>
      </c>
      <c r="B761" s="7" t="s">
        <v>2815</v>
      </c>
      <c r="C761" s="190">
        <v>0.23470319523259545</v>
      </c>
      <c r="D761" s="190">
        <v>5.2797452761358964E-2</v>
      </c>
    </row>
    <row r="762" spans="1:4" ht="20.100000000000001" customHeight="1" x14ac:dyDescent="0.2">
      <c r="A762" s="6" t="s">
        <v>2817</v>
      </c>
      <c r="B762" s="7" t="s">
        <v>2818</v>
      </c>
      <c r="C762" s="190">
        <v>0</v>
      </c>
      <c r="D762" s="190">
        <v>0.70222333384495972</v>
      </c>
    </row>
    <row r="763" spans="1:4" ht="20.100000000000001" customHeight="1" x14ac:dyDescent="0.2">
      <c r="A763" s="6" t="s">
        <v>2819</v>
      </c>
      <c r="B763" s="7" t="s">
        <v>2820</v>
      </c>
      <c r="C763" s="190">
        <v>0.42795136270776868</v>
      </c>
      <c r="D763" s="190">
        <v>21.510903167303624</v>
      </c>
    </row>
    <row r="764" spans="1:4" ht="20.100000000000001" customHeight="1" x14ac:dyDescent="0.2">
      <c r="A764" s="6" t="s">
        <v>2821</v>
      </c>
      <c r="B764" s="7" t="s">
        <v>2822</v>
      </c>
      <c r="C764" s="190">
        <v>0.28163237067674163</v>
      </c>
      <c r="D764" s="190">
        <v>1.678622937975756</v>
      </c>
    </row>
    <row r="765" spans="1:4" ht="20.100000000000001" customHeight="1" x14ac:dyDescent="0.2">
      <c r="A765" s="6" t="s">
        <v>2823</v>
      </c>
      <c r="B765" s="7" t="s">
        <v>2824</v>
      </c>
      <c r="C765" s="190">
        <v>0.28989240698819568</v>
      </c>
      <c r="D765" s="190">
        <v>4.8134203612218451</v>
      </c>
    </row>
    <row r="766" spans="1:4" ht="20.100000000000001" customHeight="1" x14ac:dyDescent="0.2">
      <c r="A766" s="6" t="s">
        <v>2825</v>
      </c>
      <c r="B766" s="7" t="s">
        <v>2826</v>
      </c>
      <c r="C766" s="190">
        <v>2.1817797618662746</v>
      </c>
      <c r="D766" s="190">
        <v>14.716880857520692</v>
      </c>
    </row>
    <row r="767" spans="1:4" ht="20.100000000000001" customHeight="1" x14ac:dyDescent="0.2">
      <c r="A767" s="6" t="s">
        <v>2827</v>
      </c>
      <c r="B767" s="7" t="s">
        <v>2828</v>
      </c>
      <c r="C767" s="190">
        <v>0.87290328772587489</v>
      </c>
      <c r="D767" s="190">
        <v>2.001239632779459</v>
      </c>
    </row>
    <row r="768" spans="1:4" ht="20.100000000000001" customHeight="1" x14ac:dyDescent="0.2">
      <c r="A768" s="6" t="s">
        <v>2829</v>
      </c>
      <c r="B768" s="7" t="s">
        <v>2830</v>
      </c>
      <c r="C768" s="190">
        <v>2.0780072048254459</v>
      </c>
      <c r="D768" s="190">
        <v>6.6591147688528061</v>
      </c>
    </row>
    <row r="769" spans="1:4" ht="20.100000000000001" customHeight="1" x14ac:dyDescent="0.2">
      <c r="A769" s="6" t="s">
        <v>2831</v>
      </c>
      <c r="B769" s="7" t="s">
        <v>2832</v>
      </c>
      <c r="C769" s="190">
        <v>8.0487220123539344E-2</v>
      </c>
      <c r="D769" s="190">
        <v>-0.45198526228830127</v>
      </c>
    </row>
    <row r="770" spans="1:4" ht="20.100000000000001" customHeight="1" x14ac:dyDescent="0.2">
      <c r="A770" s="6" t="s">
        <v>2833</v>
      </c>
      <c r="B770" s="7" t="s">
        <v>2834</v>
      </c>
      <c r="C770" s="190">
        <v>0.55997327479185055</v>
      </c>
      <c r="D770" s="190">
        <v>7.3755731026708276</v>
      </c>
    </row>
    <row r="771" spans="1:4" ht="20.100000000000001" customHeight="1" x14ac:dyDescent="0.2">
      <c r="A771" s="6" t="s">
        <v>2835</v>
      </c>
      <c r="B771" s="7" t="s">
        <v>2836</v>
      </c>
      <c r="C771" s="190">
        <v>1.1951170852157338</v>
      </c>
      <c r="D771" s="190">
        <v>2.785664794670236</v>
      </c>
    </row>
    <row r="772" spans="1:4" ht="20.100000000000001" customHeight="1" x14ac:dyDescent="0.2">
      <c r="A772" s="6" t="s">
        <v>2837</v>
      </c>
      <c r="B772" s="7" t="s">
        <v>2838</v>
      </c>
      <c r="C772" s="190">
        <v>4.5616822395207928</v>
      </c>
      <c r="D772" s="190">
        <v>46.767595860820251</v>
      </c>
    </row>
    <row r="773" spans="1:4" ht="20.100000000000001" customHeight="1" x14ac:dyDescent="0.2">
      <c r="A773" s="6" t="s">
        <v>2839</v>
      </c>
      <c r="B773" s="7" t="s">
        <v>2840</v>
      </c>
      <c r="C773" s="190">
        <v>1.500761171886E-2</v>
      </c>
      <c r="D773" s="190">
        <v>-0.24871710958169996</v>
      </c>
    </row>
    <row r="774" spans="1:4" ht="20.100000000000001" customHeight="1" x14ac:dyDescent="0.2">
      <c r="A774" s="6" t="s">
        <v>2841</v>
      </c>
      <c r="B774" s="7" t="s">
        <v>2842</v>
      </c>
      <c r="C774" s="190">
        <v>2.0221019451724591</v>
      </c>
      <c r="D774" s="190">
        <v>9.9628642622832508</v>
      </c>
    </row>
    <row r="775" spans="1:4" ht="20.100000000000001" customHeight="1" x14ac:dyDescent="0.2">
      <c r="A775" s="6" t="s">
        <v>2843</v>
      </c>
      <c r="B775" s="7" t="s">
        <v>2844</v>
      </c>
      <c r="C775" s="190">
        <v>0</v>
      </c>
      <c r="D775" s="190">
        <v>2.7535701839165792E-2</v>
      </c>
    </row>
    <row r="776" spans="1:4" ht="20.100000000000001" customHeight="1" x14ac:dyDescent="0.2">
      <c r="A776" s="6" t="s">
        <v>2845</v>
      </c>
      <c r="B776" s="7" t="s">
        <v>2846</v>
      </c>
      <c r="C776" s="190">
        <v>3.3238755591429774</v>
      </c>
      <c r="D776" s="190">
        <v>10.602863892926337</v>
      </c>
    </row>
    <row r="777" spans="1:4" ht="20.100000000000001" customHeight="1" x14ac:dyDescent="0.2">
      <c r="A777" s="6" t="s">
        <v>2847</v>
      </c>
      <c r="B777" s="7" t="s">
        <v>2848</v>
      </c>
      <c r="C777" s="190">
        <v>4.3059653094074564E-3</v>
      </c>
      <c r="D777" s="190">
        <v>4.1393842231449796</v>
      </c>
    </row>
    <row r="778" spans="1:4" ht="20.100000000000001" customHeight="1" x14ac:dyDescent="0.2">
      <c r="A778" s="6" t="s">
        <v>2849</v>
      </c>
      <c r="B778" s="7" t="s">
        <v>2848</v>
      </c>
      <c r="C778" s="190">
        <v>0.148739922504105</v>
      </c>
      <c r="D778" s="190">
        <v>7.7345401449730797</v>
      </c>
    </row>
    <row r="779" spans="1:4" ht="20.100000000000001" customHeight="1" x14ac:dyDescent="0.2">
      <c r="A779" s="6" t="s">
        <v>2850</v>
      </c>
      <c r="B779" s="7" t="s">
        <v>2851</v>
      </c>
      <c r="C779" s="190">
        <v>0.42090679476881276</v>
      </c>
      <c r="D779" s="190">
        <v>6.9369650361988207</v>
      </c>
    </row>
    <row r="780" spans="1:4" ht="20.100000000000001" customHeight="1" x14ac:dyDescent="0.2">
      <c r="A780" s="6" t="s">
        <v>2852</v>
      </c>
      <c r="B780" s="7" t="s">
        <v>2853</v>
      </c>
      <c r="C780" s="190">
        <v>0.28138660124846476</v>
      </c>
      <c r="D780" s="190">
        <v>3.6524623214235099</v>
      </c>
    </row>
    <row r="781" spans="1:4" ht="20.100000000000001" customHeight="1" x14ac:dyDescent="0.2">
      <c r="A781" s="6" t="s">
        <v>2854</v>
      </c>
      <c r="B781" s="7" t="s">
        <v>2855</v>
      </c>
      <c r="C781" s="190">
        <v>0.26700416872941135</v>
      </c>
      <c r="D781" s="190">
        <v>5.1788965136531031</v>
      </c>
    </row>
    <row r="782" spans="1:4" ht="20.100000000000001" customHeight="1" x14ac:dyDescent="0.2">
      <c r="A782" s="6" t="s">
        <v>2856</v>
      </c>
      <c r="B782" s="7" t="s">
        <v>2857</v>
      </c>
      <c r="C782" s="190">
        <v>6.9775136018053796E-2</v>
      </c>
      <c r="D782" s="190">
        <v>0.14255039142808104</v>
      </c>
    </row>
    <row r="783" spans="1:4" ht="20.100000000000001" customHeight="1" x14ac:dyDescent="0.2">
      <c r="A783" s="6" t="s">
        <v>2858</v>
      </c>
      <c r="B783" s="7" t="s">
        <v>2859</v>
      </c>
      <c r="C783" s="190">
        <v>5.4946745190978002E-2</v>
      </c>
      <c r="D783" s="190">
        <v>9.6427507454403933</v>
      </c>
    </row>
    <row r="784" spans="1:4" ht="20.100000000000001" customHeight="1" x14ac:dyDescent="0.2">
      <c r="A784" s="6" t="s">
        <v>2860</v>
      </c>
      <c r="B784" s="7" t="s">
        <v>2861</v>
      </c>
      <c r="C784" s="190">
        <v>4.3274287385307184E-2</v>
      </c>
      <c r="D784" s="190">
        <v>4.166077413619214</v>
      </c>
    </row>
    <row r="785" spans="1:4" ht="20.100000000000001" customHeight="1" x14ac:dyDescent="0.2">
      <c r="A785" s="6" t="s">
        <v>2862</v>
      </c>
      <c r="B785" s="7" t="s">
        <v>2863</v>
      </c>
      <c r="C785" s="190">
        <v>0.37568590055163426</v>
      </c>
      <c r="D785" s="190">
        <v>6.1401113759624861</v>
      </c>
    </row>
    <row r="786" spans="1:4" ht="20.100000000000001" customHeight="1" x14ac:dyDescent="0.2">
      <c r="A786" s="6" t="s">
        <v>2864</v>
      </c>
      <c r="B786" s="7" t="s">
        <v>2865</v>
      </c>
      <c r="C786" s="190">
        <v>2.9292720548867938E-2</v>
      </c>
      <c r="D786" s="190">
        <v>6.4605550410224346</v>
      </c>
    </row>
    <row r="787" spans="1:4" ht="20.100000000000001" customHeight="1" x14ac:dyDescent="0.2">
      <c r="A787" s="6" t="s">
        <v>2866</v>
      </c>
      <c r="B787" s="7" t="s">
        <v>2867</v>
      </c>
      <c r="C787" s="190">
        <v>3.9736482328833096E-3</v>
      </c>
      <c r="D787" s="190">
        <v>2.1135770555951869</v>
      </c>
    </row>
    <row r="788" spans="1:4" ht="20.100000000000001" customHeight="1" x14ac:dyDescent="0.2">
      <c r="A788" s="6" t="s">
        <v>2868</v>
      </c>
      <c r="B788" s="7" t="s">
        <v>2869</v>
      </c>
      <c r="C788" s="190">
        <v>2.6500208981755575</v>
      </c>
      <c r="D788" s="190">
        <v>19.5510435078344</v>
      </c>
    </row>
    <row r="789" spans="1:4" ht="20.100000000000001" customHeight="1" x14ac:dyDescent="0.2">
      <c r="A789" s="6" t="s">
        <v>2870</v>
      </c>
      <c r="B789" s="7" t="s">
        <v>2871</v>
      </c>
      <c r="C789" s="190">
        <v>0.67071967154769241</v>
      </c>
      <c r="D789" s="190">
        <v>26.103608605417726</v>
      </c>
    </row>
    <row r="790" spans="1:4" ht="20.100000000000001" customHeight="1" x14ac:dyDescent="0.2">
      <c r="A790" s="6" t="s">
        <v>2872</v>
      </c>
      <c r="B790" s="7" t="s">
        <v>2873</v>
      </c>
      <c r="C790" s="190">
        <v>5.852540789437221E-2</v>
      </c>
      <c r="D790" s="190">
        <v>5.8174588210105664</v>
      </c>
    </row>
    <row r="791" spans="1:4" ht="20.100000000000001" customHeight="1" x14ac:dyDescent="0.2">
      <c r="A791" s="6" t="s">
        <v>2874</v>
      </c>
      <c r="B791" s="7" t="s">
        <v>2875</v>
      </c>
      <c r="C791" s="190">
        <v>1.1766293726060064</v>
      </c>
      <c r="D791" s="190">
        <v>3.9292545397632197</v>
      </c>
    </row>
    <row r="792" spans="1:4" ht="20.100000000000001" customHeight="1" x14ac:dyDescent="0.2">
      <c r="A792" s="6" t="s">
        <v>2876</v>
      </c>
      <c r="B792" s="7" t="s">
        <v>2877</v>
      </c>
      <c r="C792" s="190">
        <v>1.9734822340451277</v>
      </c>
      <c r="D792" s="190">
        <v>11.724106080861368</v>
      </c>
    </row>
    <row r="793" spans="1:4" ht="20.100000000000001" customHeight="1" x14ac:dyDescent="0.2">
      <c r="A793" s="6" t="s">
        <v>2878</v>
      </c>
      <c r="B793" s="7" t="s">
        <v>2879</v>
      </c>
      <c r="C793" s="190">
        <v>0.80164821100666095</v>
      </c>
      <c r="D793" s="190">
        <v>9.5057738865418795</v>
      </c>
    </row>
    <row r="794" spans="1:4" ht="20.100000000000001" customHeight="1" x14ac:dyDescent="0.2">
      <c r="A794" s="6" t="s">
        <v>2880</v>
      </c>
      <c r="B794" s="7" t="s">
        <v>2881</v>
      </c>
      <c r="C794" s="190">
        <v>0.21053980132046546</v>
      </c>
      <c r="D794" s="190">
        <v>11.815978944405792</v>
      </c>
    </row>
    <row r="795" spans="1:4" ht="20.100000000000001" customHeight="1" x14ac:dyDescent="0.2">
      <c r="A795" s="6" t="s">
        <v>2882</v>
      </c>
      <c r="B795" s="7" t="s">
        <v>2883</v>
      </c>
      <c r="C795" s="190">
        <v>0.3536243810592623</v>
      </c>
      <c r="D795" s="190">
        <v>6.8233127318023161</v>
      </c>
    </row>
    <row r="796" spans="1:4" ht="20.100000000000001" customHeight="1" x14ac:dyDescent="0.2">
      <c r="A796" s="6" t="s">
        <v>2884</v>
      </c>
      <c r="B796" s="7" t="s">
        <v>2885</v>
      </c>
      <c r="C796" s="190">
        <v>9.7743105384027835</v>
      </c>
      <c r="D796" s="190">
        <v>2.0687112059615211</v>
      </c>
    </row>
    <row r="797" spans="1:4" ht="20.100000000000001" customHeight="1" x14ac:dyDescent="0.2">
      <c r="A797" s="6" t="s">
        <v>2886</v>
      </c>
      <c r="B797" s="7" t="s">
        <v>2887</v>
      </c>
      <c r="C797" s="190">
        <v>2.5161283283231239</v>
      </c>
      <c r="D797" s="190">
        <v>8.9745065876512182</v>
      </c>
    </row>
    <row r="798" spans="1:4" ht="20.100000000000001" customHeight="1" x14ac:dyDescent="0.2">
      <c r="A798" s="6" t="s">
        <v>2888</v>
      </c>
      <c r="B798" s="7" t="s">
        <v>2889</v>
      </c>
      <c r="C798" s="190">
        <v>1.5925794809346523</v>
      </c>
      <c r="D798" s="190">
        <v>12.950294057325054</v>
      </c>
    </row>
    <row r="799" spans="1:4" ht="20.100000000000001" customHeight="1" x14ac:dyDescent="0.2">
      <c r="A799" s="6" t="s">
        <v>2890</v>
      </c>
      <c r="B799" s="7" t="s">
        <v>2891</v>
      </c>
      <c r="C799" s="190">
        <v>0.96411516516291351</v>
      </c>
      <c r="D799" s="190">
        <v>7.3181057758300678</v>
      </c>
    </row>
    <row r="800" spans="1:4" ht="20.100000000000001" customHeight="1" x14ac:dyDescent="0.2">
      <c r="A800" s="6" t="s">
        <v>2892</v>
      </c>
      <c r="B800" s="7" t="s">
        <v>2893</v>
      </c>
      <c r="C800" s="190">
        <v>3.074934468715218E-2</v>
      </c>
      <c r="D800" s="190">
        <v>13.776304868464379</v>
      </c>
    </row>
    <row r="801" spans="1:4" ht="20.100000000000001" customHeight="1" x14ac:dyDescent="0.2">
      <c r="A801" s="6" t="s">
        <v>2894</v>
      </c>
      <c r="B801" s="7" t="s">
        <v>2895</v>
      </c>
      <c r="C801" s="190">
        <v>0.12830942937673723</v>
      </c>
      <c r="D801" s="190">
        <v>0.3477181033071689</v>
      </c>
    </row>
    <row r="802" spans="1:4" ht="20.100000000000001" customHeight="1" x14ac:dyDescent="0.2">
      <c r="A802" s="6" t="s">
        <v>2896</v>
      </c>
      <c r="B802" s="7" t="s">
        <v>2897</v>
      </c>
      <c r="C802" s="190">
        <v>1.3993994047423444</v>
      </c>
      <c r="D802" s="190">
        <v>5.7268944705391238</v>
      </c>
    </row>
    <row r="803" spans="1:4" ht="20.100000000000001" customHeight="1" x14ac:dyDescent="0.2">
      <c r="A803" s="6" t="s">
        <v>2898</v>
      </c>
      <c r="B803" s="7" t="s">
        <v>2899</v>
      </c>
      <c r="C803" s="190">
        <v>0.29876588052896358</v>
      </c>
      <c r="D803" s="190">
        <v>3.1220977648442458</v>
      </c>
    </row>
    <row r="804" spans="1:4" ht="20.100000000000001" customHeight="1" x14ac:dyDescent="0.2">
      <c r="A804" s="6" t="s">
        <v>2900</v>
      </c>
      <c r="B804" s="7" t="s">
        <v>2901</v>
      </c>
      <c r="C804" s="190">
        <v>0.36187172799779954</v>
      </c>
      <c r="D804" s="190">
        <v>24.177613344814034</v>
      </c>
    </row>
    <row r="805" spans="1:4" ht="20.100000000000001" customHeight="1" x14ac:dyDescent="0.2">
      <c r="A805" s="6" t="s">
        <v>2902</v>
      </c>
      <c r="B805" s="7" t="s">
        <v>2903</v>
      </c>
      <c r="C805" s="190">
        <v>2.8620654243796322</v>
      </c>
      <c r="D805" s="190">
        <v>23.859155500952077</v>
      </c>
    </row>
    <row r="806" spans="1:4" ht="20.100000000000001" customHeight="1" x14ac:dyDescent="0.2">
      <c r="A806" s="6" t="s">
        <v>2904</v>
      </c>
      <c r="B806" s="7" t="s">
        <v>2905</v>
      </c>
      <c r="C806" s="190">
        <v>1.5249736757336096</v>
      </c>
      <c r="D806" s="190">
        <v>12.017760141123659</v>
      </c>
    </row>
    <row r="807" spans="1:4" ht="20.100000000000001" customHeight="1" x14ac:dyDescent="0.2">
      <c r="A807" s="6" t="s">
        <v>2906</v>
      </c>
      <c r="B807" s="7" t="s">
        <v>2907</v>
      </c>
      <c r="C807" s="190">
        <v>3.623698024294292</v>
      </c>
      <c r="D807" s="190">
        <v>17.50768779396833</v>
      </c>
    </row>
    <row r="808" spans="1:4" ht="20.100000000000001" customHeight="1" x14ac:dyDescent="0.2">
      <c r="A808" s="6" t="s">
        <v>2908</v>
      </c>
      <c r="B808" s="7" t="s">
        <v>2909</v>
      </c>
      <c r="C808" s="190">
        <v>4.2571021545592391E-2</v>
      </c>
      <c r="D808" s="190">
        <v>7.2337727708787491E-3</v>
      </c>
    </row>
    <row r="809" spans="1:4" ht="20.100000000000001" customHeight="1" x14ac:dyDescent="0.2">
      <c r="A809" s="6" t="s">
        <v>2910</v>
      </c>
      <c r="B809" s="7" t="s">
        <v>2911</v>
      </c>
      <c r="C809" s="190">
        <v>1.0637716802692447</v>
      </c>
      <c r="D809" s="190">
        <v>-0.16885919735949534</v>
      </c>
    </row>
    <row r="810" spans="1:4" ht="20.100000000000001" customHeight="1" x14ac:dyDescent="0.2">
      <c r="A810" s="6" t="s">
        <v>2912</v>
      </c>
      <c r="B810" s="7" t="s">
        <v>2913</v>
      </c>
      <c r="C810" s="190">
        <v>0.40675557479933011</v>
      </c>
      <c r="D810" s="190">
        <v>-5.2985752592650801</v>
      </c>
    </row>
    <row r="811" spans="1:4" ht="20.100000000000001" customHeight="1" x14ac:dyDescent="0.2">
      <c r="A811" s="6" t="s">
        <v>2914</v>
      </c>
      <c r="B811" s="7" t="s">
        <v>2915</v>
      </c>
      <c r="C811" s="190">
        <v>0.15214985073227003</v>
      </c>
      <c r="D811" s="190">
        <v>11.783175595005204</v>
      </c>
    </row>
    <row r="812" spans="1:4" ht="20.100000000000001" customHeight="1" x14ac:dyDescent="0.2">
      <c r="A812" s="6" t="s">
        <v>2916</v>
      </c>
      <c r="B812" s="7" t="s">
        <v>2917</v>
      </c>
      <c r="C812" s="190">
        <v>2.4362870583947256</v>
      </c>
      <c r="D812" s="190">
        <v>20.360418171400116</v>
      </c>
    </row>
    <row r="813" spans="1:4" ht="20.100000000000001" customHeight="1" x14ac:dyDescent="0.2">
      <c r="A813" s="6" t="s">
        <v>2918</v>
      </c>
      <c r="B813" s="7" t="s">
        <v>2919</v>
      </c>
      <c r="C813" s="190">
        <v>-2.8759714582821984E-2</v>
      </c>
      <c r="D813" s="190">
        <v>8.9886082238031548</v>
      </c>
    </row>
    <row r="814" spans="1:4" ht="20.100000000000001" customHeight="1" x14ac:dyDescent="0.2">
      <c r="A814" s="6" t="s">
        <v>2920</v>
      </c>
      <c r="B814" s="7" t="s">
        <v>2921</v>
      </c>
      <c r="C814" s="190">
        <v>1.5813324811947924</v>
      </c>
      <c r="D814" s="190">
        <v>23.074989904381091</v>
      </c>
    </row>
    <row r="815" spans="1:4" ht="20.100000000000001" customHeight="1" x14ac:dyDescent="0.2">
      <c r="A815" s="6" t="s">
        <v>2922</v>
      </c>
      <c r="B815" s="7" t="s">
        <v>2923</v>
      </c>
      <c r="C815" s="190">
        <v>0.83615363980532187</v>
      </c>
      <c r="D815" s="190">
        <v>8.2442671113308652</v>
      </c>
    </row>
    <row r="816" spans="1:4" ht="20.100000000000001" customHeight="1" x14ac:dyDescent="0.2">
      <c r="A816" s="6" t="s">
        <v>2924</v>
      </c>
      <c r="B816" s="7" t="s">
        <v>2925</v>
      </c>
      <c r="C816" s="190">
        <v>1.1185096062858679</v>
      </c>
      <c r="D816" s="190">
        <v>10.461565902422315</v>
      </c>
    </row>
    <row r="817" spans="1:4" ht="20.100000000000001" customHeight="1" x14ac:dyDescent="0.2">
      <c r="A817" s="6" t="s">
        <v>2926</v>
      </c>
      <c r="B817" s="7" t="s">
        <v>2927</v>
      </c>
      <c r="C817" s="190">
        <v>0.74582604698126254</v>
      </c>
      <c r="D817" s="190">
        <v>12.247445291913301</v>
      </c>
    </row>
  </sheetData>
  <sheetProtection selectLockedCells="1" selectUnlockedCells="1"/>
  <customSheetViews>
    <customSheetView guid="{5032A364-B81A-48DA-88DA-AB3B86B47EE9}" scale="70" fitToPage="1">
      <selection activeCell="A2" sqref="A2:XFD3"/>
      <pageMargins left="0.39370078740157483" right="0.35433070866141736" top="0.82677165354330717" bottom="0.74803149606299213" header="0.51181102362204722" footer="0.51181102362204722"/>
      <pageSetup paperSize="9" scale="64" fitToHeight="0" orientation="portrait" r:id="rId1"/>
      <headerFooter differentFirst="1" scaleWithDoc="0">
        <oddFooter>&amp;C&amp;P of &amp;N</oddFooter>
        <firstHeader>&amp;L
Annex 6 - Un-scaled [nodal /network group] costs</firstHeader>
        <firstFooter>&amp;C&amp;P of &amp;N</firstFooter>
      </headerFooter>
    </customSheetView>
  </customSheetViews>
  <mergeCells count="1">
    <mergeCell ref="A2:D2"/>
  </mergeCells>
  <phoneticPr fontId="5" type="noConversion"/>
  <hyperlinks>
    <hyperlink ref="A1" location="Overview!A1" display="Back to Overview" xr:uid="{00000000-0004-0000-0A00-000000000000}"/>
  </hyperlinks>
  <pageMargins left="0.39370078740157483" right="0.35433070866141736" top="0.82677165354330717" bottom="0.74803149606299213" header="0.51181102362204722" footer="0.51181102362204722"/>
  <pageSetup paperSize="9" scale="77" fitToHeight="0" orientation="portrait" r:id="rId2"/>
  <headerFooter differentFirst="1" scaleWithDoc="0">
    <oddFooter>&amp;C&amp;P of &amp;N</oddFooter>
    <firstHeader>&amp;LUn-scaled [nodal /network group] costs</firstHeader>
    <firstFooter>&amp;C&amp;P of &amp;N</first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1">
    <pageSetUpPr fitToPage="1"/>
  </sheetPr>
  <dimension ref="A1:H764"/>
  <sheetViews>
    <sheetView zoomScale="90" zoomScaleNormal="90" zoomScaleSheetLayoutView="100" workbookViewId="0"/>
  </sheetViews>
  <sheetFormatPr defaultColWidth="11.5703125" defaultRowHeight="12.75" x14ac:dyDescent="0.2"/>
  <cols>
    <col min="1" max="1" width="13.85546875" style="149" customWidth="1"/>
    <col min="2" max="2" width="37.42578125" style="149" bestFit="1" customWidth="1"/>
    <col min="3" max="3" width="19" style="150" customWidth="1"/>
    <col min="4" max="4" width="5.28515625" style="149" bestFit="1" customWidth="1"/>
    <col min="5" max="5" width="4.7109375" style="149" customWidth="1"/>
    <col min="6" max="6" width="29.140625" style="149" bestFit="1" customWidth="1"/>
    <col min="7" max="7" width="11.5703125" style="149"/>
    <col min="8" max="8" width="64.5703125" style="149" bestFit="1" customWidth="1"/>
    <col min="9" max="16384" width="11.5703125" style="149"/>
  </cols>
  <sheetData>
    <row r="1" spans="1:8" ht="26.25" customHeight="1" x14ac:dyDescent="0.35">
      <c r="A1" s="152" t="s">
        <v>16</v>
      </c>
      <c r="H1" s="151"/>
    </row>
    <row r="2" spans="1:8" ht="12.75" customHeight="1" x14ac:dyDescent="0.2">
      <c r="A2" s="152"/>
    </row>
    <row r="3" spans="1:8" ht="12.75" customHeight="1" x14ac:dyDescent="0.2">
      <c r="A3" s="152"/>
    </row>
    <row r="4" spans="1:8" ht="12.75" customHeight="1" x14ac:dyDescent="0.2">
      <c r="A4" s="152"/>
    </row>
    <row r="5" spans="1:8" ht="12.75" customHeight="1" x14ac:dyDescent="0.2">
      <c r="A5" s="152"/>
    </row>
    <row r="6" spans="1:8" ht="12.75" customHeight="1" x14ac:dyDescent="0.2">
      <c r="A6" s="152"/>
    </row>
    <row r="7" spans="1:8" ht="12.75" customHeight="1" x14ac:dyDescent="0.2">
      <c r="A7" s="152"/>
    </row>
    <row r="8" spans="1:8" ht="12.75" customHeight="1" x14ac:dyDescent="0.2">
      <c r="A8" s="152"/>
    </row>
    <row r="9" spans="1:8" ht="12.75" customHeight="1" x14ac:dyDescent="0.2">
      <c r="A9" s="152"/>
    </row>
    <row r="10" spans="1:8" ht="12.75" customHeight="1" x14ac:dyDescent="0.2">
      <c r="A10" s="152"/>
    </row>
    <row r="11" spans="1:8" ht="12.75" customHeight="1" x14ac:dyDescent="0.2">
      <c r="A11" s="152"/>
    </row>
    <row r="12" spans="1:8" ht="12.75" customHeight="1" x14ac:dyDescent="0.2">
      <c r="A12" s="152"/>
    </row>
    <row r="13" spans="1:8" ht="12.75" customHeight="1" x14ac:dyDescent="0.2">
      <c r="A13" s="152"/>
    </row>
    <row r="14" spans="1:8" ht="12.75" customHeight="1" x14ac:dyDescent="0.2">
      <c r="A14" s="152"/>
    </row>
    <row r="15" spans="1:8" ht="12.75" customHeight="1" x14ac:dyDescent="0.2">
      <c r="A15" s="152"/>
    </row>
    <row r="16" spans="1:8" ht="12.75" customHeight="1" x14ac:dyDescent="0.2">
      <c r="A16" s="152"/>
    </row>
    <row r="17" spans="1:8" ht="12.75" customHeight="1" x14ac:dyDescent="0.2">
      <c r="A17" s="152"/>
    </row>
    <row r="18" spans="1:8" ht="12.75" customHeight="1" x14ac:dyDescent="0.2">
      <c r="A18" s="152"/>
    </row>
    <row r="19" spans="1:8" ht="12.75" customHeight="1" x14ac:dyDescent="0.2">
      <c r="A19" s="152"/>
    </row>
    <row r="20" spans="1:8" ht="12.75" customHeight="1" x14ac:dyDescent="0.2">
      <c r="A20" s="152"/>
    </row>
    <row r="21" spans="1:8" ht="12.75" customHeight="1" x14ac:dyDescent="0.2">
      <c r="A21" s="152"/>
    </row>
    <row r="22" spans="1:8" ht="12.75" customHeight="1" x14ac:dyDescent="0.2">
      <c r="A22" s="152"/>
    </row>
    <row r="23" spans="1:8" ht="12.75" customHeight="1" x14ac:dyDescent="0.2">
      <c r="A23" s="152"/>
    </row>
    <row r="24" spans="1:8" ht="12.75" customHeight="1" x14ac:dyDescent="0.2">
      <c r="A24" s="152"/>
    </row>
    <row r="25" spans="1:8" ht="12.75" customHeight="1" x14ac:dyDescent="0.2">
      <c r="A25" s="152"/>
    </row>
    <row r="26" spans="1:8" ht="12.75" customHeight="1" x14ac:dyDescent="0.2">
      <c r="A26" s="152"/>
    </row>
    <row r="27" spans="1:8" ht="12.75" customHeight="1" x14ac:dyDescent="0.2">
      <c r="A27" s="152"/>
    </row>
    <row r="28" spans="1:8" s="154" customFormat="1" ht="51" x14ac:dyDescent="0.2">
      <c r="A28" s="51" t="s">
        <v>155</v>
      </c>
      <c r="B28" s="51" t="s">
        <v>156</v>
      </c>
      <c r="C28" s="51" t="s">
        <v>383</v>
      </c>
      <c r="D28" s="153"/>
      <c r="E28" s="153"/>
      <c r="F28" s="51" t="s">
        <v>384</v>
      </c>
      <c r="G28" s="51" t="s">
        <v>385</v>
      </c>
      <c r="H28" s="51" t="s">
        <v>386</v>
      </c>
    </row>
    <row r="29" spans="1:8" x14ac:dyDescent="0.2">
      <c r="A29" s="159">
        <v>3</v>
      </c>
      <c r="B29" s="155" t="s">
        <v>157</v>
      </c>
      <c r="C29" s="158" t="s">
        <v>392</v>
      </c>
      <c r="F29" s="149" t="s">
        <v>389</v>
      </c>
      <c r="G29" s="156">
        <v>43626</v>
      </c>
      <c r="H29" s="149" t="s">
        <v>390</v>
      </c>
    </row>
    <row r="30" spans="1:8" x14ac:dyDescent="0.2">
      <c r="A30" s="159">
        <v>4</v>
      </c>
      <c r="B30" s="155" t="s">
        <v>157</v>
      </c>
      <c r="C30" s="158" t="s">
        <v>392</v>
      </c>
      <c r="F30" s="149" t="s">
        <v>394</v>
      </c>
      <c r="G30" s="156">
        <v>43626</v>
      </c>
      <c r="H30" s="149" t="s">
        <v>390</v>
      </c>
    </row>
    <row r="31" spans="1:8" x14ac:dyDescent="0.2">
      <c r="A31" s="159">
        <v>5</v>
      </c>
      <c r="B31" s="155" t="s">
        <v>158</v>
      </c>
      <c r="C31" s="158" t="s">
        <v>392</v>
      </c>
      <c r="F31" s="149" t="s">
        <v>393</v>
      </c>
      <c r="G31" s="156">
        <v>43626</v>
      </c>
      <c r="H31" s="149" t="s">
        <v>390</v>
      </c>
    </row>
    <row r="32" spans="1:8" x14ac:dyDescent="0.2">
      <c r="A32" s="159">
        <v>6</v>
      </c>
      <c r="B32" s="155" t="s">
        <v>159</v>
      </c>
      <c r="C32" s="158" t="s">
        <v>392</v>
      </c>
      <c r="F32" s="149" t="s">
        <v>395</v>
      </c>
      <c r="G32" s="156">
        <v>43626</v>
      </c>
      <c r="H32" s="149" t="s">
        <v>396</v>
      </c>
    </row>
    <row r="33" spans="1:8" x14ac:dyDescent="0.2">
      <c r="A33" s="159">
        <v>7</v>
      </c>
      <c r="B33" s="155" t="s">
        <v>159</v>
      </c>
      <c r="C33" s="158" t="s">
        <v>392</v>
      </c>
      <c r="G33" s="156"/>
      <c r="H33" s="157"/>
    </row>
    <row r="34" spans="1:8" x14ac:dyDescent="0.2">
      <c r="A34" s="159">
        <v>8</v>
      </c>
      <c r="B34" s="155" t="s">
        <v>159</v>
      </c>
      <c r="C34" s="158" t="s">
        <v>392</v>
      </c>
      <c r="F34" s="157"/>
      <c r="G34" s="156"/>
    </row>
    <row r="35" spans="1:8" x14ac:dyDescent="0.2">
      <c r="A35" s="159">
        <v>9</v>
      </c>
      <c r="B35" s="155" t="s">
        <v>159</v>
      </c>
      <c r="C35" s="158" t="s">
        <v>392</v>
      </c>
      <c r="G35" s="156"/>
      <c r="H35" s="157"/>
    </row>
    <row r="36" spans="1:8" x14ac:dyDescent="0.2">
      <c r="A36" s="159">
        <v>10</v>
      </c>
      <c r="B36" s="155" t="s">
        <v>159</v>
      </c>
      <c r="C36" s="158" t="s">
        <v>392</v>
      </c>
      <c r="G36" s="156"/>
      <c r="H36" s="157"/>
    </row>
    <row r="37" spans="1:8" x14ac:dyDescent="0.2">
      <c r="A37" s="159">
        <v>11</v>
      </c>
      <c r="B37" s="155" t="s">
        <v>159</v>
      </c>
      <c r="C37" s="158" t="s">
        <v>392</v>
      </c>
      <c r="G37" s="156"/>
    </row>
    <row r="38" spans="1:8" x14ac:dyDescent="0.2">
      <c r="A38" s="159">
        <v>12</v>
      </c>
      <c r="B38" s="155" t="s">
        <v>159</v>
      </c>
      <c r="C38" s="158" t="s">
        <v>392</v>
      </c>
      <c r="G38" s="156"/>
    </row>
    <row r="39" spans="1:8" x14ac:dyDescent="0.2">
      <c r="A39" s="159">
        <v>13</v>
      </c>
      <c r="B39" s="155" t="s">
        <v>160</v>
      </c>
      <c r="C39" s="158" t="s">
        <v>392</v>
      </c>
      <c r="G39" s="156"/>
    </row>
    <row r="40" spans="1:8" x14ac:dyDescent="0.2">
      <c r="A40" s="159">
        <v>15</v>
      </c>
      <c r="B40" s="155" t="s">
        <v>160</v>
      </c>
      <c r="C40" s="158" t="s">
        <v>392</v>
      </c>
      <c r="F40" s="157"/>
      <c r="G40" s="156"/>
      <c r="H40" s="157"/>
    </row>
    <row r="41" spans="1:8" x14ac:dyDescent="0.2">
      <c r="A41" s="159">
        <v>16</v>
      </c>
      <c r="B41" s="155" t="s">
        <v>161</v>
      </c>
      <c r="C41" s="158" t="s">
        <v>392</v>
      </c>
      <c r="G41" s="156"/>
      <c r="H41" s="157"/>
    </row>
    <row r="42" spans="1:8" x14ac:dyDescent="0.2">
      <c r="A42" s="159">
        <v>17</v>
      </c>
      <c r="B42" s="155" t="s">
        <v>161</v>
      </c>
      <c r="C42" s="158" t="s">
        <v>392</v>
      </c>
      <c r="G42" s="156"/>
    </row>
    <row r="43" spans="1:8" x14ac:dyDescent="0.2">
      <c r="A43" s="159">
        <v>18</v>
      </c>
      <c r="B43" s="155" t="s">
        <v>161</v>
      </c>
      <c r="C43" s="158" t="s">
        <v>392</v>
      </c>
      <c r="G43" s="156"/>
    </row>
    <row r="44" spans="1:8" x14ac:dyDescent="0.2">
      <c r="A44" s="159">
        <v>19</v>
      </c>
      <c r="B44" s="155" t="s">
        <v>161</v>
      </c>
      <c r="C44" s="158" t="s">
        <v>392</v>
      </c>
      <c r="G44" s="156"/>
    </row>
    <row r="45" spans="1:8" x14ac:dyDescent="0.2">
      <c r="A45" s="159">
        <v>20</v>
      </c>
      <c r="B45" s="155" t="s">
        <v>161</v>
      </c>
      <c r="C45" s="158" t="s">
        <v>392</v>
      </c>
      <c r="G45" s="156"/>
    </row>
    <row r="46" spans="1:8" x14ac:dyDescent="0.2">
      <c r="A46" s="159">
        <v>21</v>
      </c>
      <c r="B46" s="155" t="s">
        <v>161</v>
      </c>
      <c r="C46" s="158" t="s">
        <v>392</v>
      </c>
      <c r="G46" s="156"/>
    </row>
    <row r="47" spans="1:8" x14ac:dyDescent="0.2">
      <c r="A47" s="159">
        <v>22</v>
      </c>
      <c r="B47" s="155" t="s">
        <v>161</v>
      </c>
      <c r="C47" s="158" t="s">
        <v>392</v>
      </c>
      <c r="G47" s="156"/>
    </row>
    <row r="48" spans="1:8" x14ac:dyDescent="0.2">
      <c r="A48" s="159">
        <v>23</v>
      </c>
      <c r="B48" s="155" t="s">
        <v>162</v>
      </c>
      <c r="C48" s="158" t="s">
        <v>392</v>
      </c>
      <c r="G48" s="156"/>
    </row>
    <row r="49" spans="1:8" x14ac:dyDescent="0.2">
      <c r="A49" s="159">
        <v>24</v>
      </c>
      <c r="B49" s="155" t="s">
        <v>162</v>
      </c>
      <c r="C49" s="158" t="s">
        <v>392</v>
      </c>
      <c r="G49" s="156"/>
    </row>
    <row r="50" spans="1:8" x14ac:dyDescent="0.2">
      <c r="A50" s="159">
        <v>25</v>
      </c>
      <c r="B50" s="155" t="s">
        <v>162</v>
      </c>
      <c r="C50" s="158" t="s">
        <v>392</v>
      </c>
      <c r="G50" s="156"/>
    </row>
    <row r="51" spans="1:8" x14ac:dyDescent="0.2">
      <c r="A51" s="159">
        <v>26</v>
      </c>
      <c r="B51" s="155" t="s">
        <v>162</v>
      </c>
      <c r="C51" s="158" t="s">
        <v>392</v>
      </c>
      <c r="G51" s="156"/>
    </row>
    <row r="52" spans="1:8" x14ac:dyDescent="0.2">
      <c r="A52" s="159">
        <v>28</v>
      </c>
      <c r="B52" s="155" t="s">
        <v>162</v>
      </c>
      <c r="C52" s="158" t="s">
        <v>392</v>
      </c>
      <c r="G52" s="156"/>
    </row>
    <row r="53" spans="1:8" x14ac:dyDescent="0.2">
      <c r="A53" s="159">
        <v>29</v>
      </c>
      <c r="B53" s="155" t="s">
        <v>162</v>
      </c>
      <c r="C53" s="158" t="s">
        <v>392</v>
      </c>
      <c r="G53" s="156"/>
    </row>
    <row r="54" spans="1:8" x14ac:dyDescent="0.2">
      <c r="A54" s="159">
        <v>30</v>
      </c>
      <c r="B54" s="155" t="s">
        <v>162</v>
      </c>
      <c r="C54" s="158" t="s">
        <v>392</v>
      </c>
      <c r="G54" s="156"/>
    </row>
    <row r="55" spans="1:8" x14ac:dyDescent="0.2">
      <c r="A55" s="159">
        <v>31</v>
      </c>
      <c r="B55" s="155" t="s">
        <v>162</v>
      </c>
      <c r="C55" s="158" t="s">
        <v>392</v>
      </c>
      <c r="G55" s="156"/>
    </row>
    <row r="56" spans="1:8" x14ac:dyDescent="0.2">
      <c r="A56" s="159">
        <v>32</v>
      </c>
      <c r="B56" s="155" t="s">
        <v>162</v>
      </c>
      <c r="C56" s="158" t="s">
        <v>392</v>
      </c>
      <c r="F56" s="157"/>
      <c r="G56" s="156"/>
      <c r="H56" s="157"/>
    </row>
    <row r="57" spans="1:8" x14ac:dyDescent="0.2">
      <c r="A57" s="159">
        <v>33</v>
      </c>
      <c r="B57" s="155" t="s">
        <v>162</v>
      </c>
      <c r="C57" s="158" t="s">
        <v>392</v>
      </c>
      <c r="F57" s="157"/>
      <c r="G57" s="156"/>
      <c r="H57" s="157"/>
    </row>
    <row r="58" spans="1:8" x14ac:dyDescent="0.2">
      <c r="A58" s="159">
        <v>34</v>
      </c>
      <c r="B58" s="155" t="s">
        <v>162</v>
      </c>
      <c r="C58" s="158" t="s">
        <v>392</v>
      </c>
      <c r="F58" s="157"/>
      <c r="G58" s="156"/>
      <c r="H58" s="157"/>
    </row>
    <row r="59" spans="1:8" x14ac:dyDescent="0.2">
      <c r="A59" s="159">
        <v>35</v>
      </c>
      <c r="B59" s="155" t="s">
        <v>162</v>
      </c>
      <c r="C59" s="158" t="s">
        <v>392</v>
      </c>
      <c r="F59" s="157"/>
      <c r="G59" s="156"/>
      <c r="H59" s="157"/>
    </row>
    <row r="60" spans="1:8" x14ac:dyDescent="0.2">
      <c r="A60" s="159">
        <v>36</v>
      </c>
      <c r="B60" s="155" t="s">
        <v>162</v>
      </c>
      <c r="C60" s="158" t="s">
        <v>392</v>
      </c>
      <c r="F60" s="157"/>
      <c r="G60" s="156"/>
      <c r="H60" s="157"/>
    </row>
    <row r="61" spans="1:8" x14ac:dyDescent="0.2">
      <c r="A61" s="159">
        <v>37</v>
      </c>
      <c r="B61" s="155" t="s">
        <v>162</v>
      </c>
      <c r="C61" s="158" t="s">
        <v>392</v>
      </c>
      <c r="F61" s="157"/>
      <c r="G61" s="156"/>
      <c r="H61" s="157"/>
    </row>
    <row r="62" spans="1:8" x14ac:dyDescent="0.2">
      <c r="A62" s="159">
        <v>38</v>
      </c>
      <c r="B62" s="155" t="s">
        <v>162</v>
      </c>
      <c r="C62" s="158" t="s">
        <v>392</v>
      </c>
      <c r="F62" s="157"/>
      <c r="G62" s="156"/>
      <c r="H62" s="157"/>
    </row>
    <row r="63" spans="1:8" x14ac:dyDescent="0.2">
      <c r="A63" s="159">
        <v>39</v>
      </c>
      <c r="B63" s="155" t="s">
        <v>162</v>
      </c>
      <c r="C63" s="158" t="s">
        <v>392</v>
      </c>
      <c r="F63" s="157"/>
      <c r="G63" s="156"/>
      <c r="H63" s="157"/>
    </row>
    <row r="64" spans="1:8" x14ac:dyDescent="0.2">
      <c r="A64" s="159">
        <v>40</v>
      </c>
      <c r="B64" s="155" t="s">
        <v>161</v>
      </c>
      <c r="C64" s="158" t="s">
        <v>392</v>
      </c>
      <c r="F64" s="157"/>
      <c r="G64" s="156"/>
      <c r="H64" s="157"/>
    </row>
    <row r="65" spans="1:8" x14ac:dyDescent="0.2">
      <c r="A65" s="159">
        <v>41</v>
      </c>
      <c r="B65" s="155" t="s">
        <v>163</v>
      </c>
      <c r="C65" s="158" t="s">
        <v>392</v>
      </c>
      <c r="F65" s="157"/>
      <c r="G65" s="156"/>
      <c r="H65" s="157"/>
    </row>
    <row r="66" spans="1:8" x14ac:dyDescent="0.2">
      <c r="A66" s="159">
        <v>42</v>
      </c>
      <c r="B66" s="155" t="s">
        <v>164</v>
      </c>
      <c r="C66" s="158" t="s">
        <v>392</v>
      </c>
      <c r="F66" s="157"/>
      <c r="G66" s="156"/>
      <c r="H66" s="157"/>
    </row>
    <row r="67" spans="1:8" x14ac:dyDescent="0.2">
      <c r="A67" s="159">
        <v>43</v>
      </c>
      <c r="B67" s="155" t="s">
        <v>164</v>
      </c>
      <c r="C67" s="158" t="s">
        <v>392</v>
      </c>
      <c r="F67" s="157"/>
      <c r="G67" s="156"/>
      <c r="H67" s="157"/>
    </row>
    <row r="68" spans="1:8" x14ac:dyDescent="0.2">
      <c r="A68" s="159">
        <v>44</v>
      </c>
      <c r="B68" s="155" t="s">
        <v>163</v>
      </c>
      <c r="C68" s="158" t="s">
        <v>392</v>
      </c>
      <c r="F68" s="157"/>
      <c r="G68" s="156"/>
      <c r="H68" s="157"/>
    </row>
    <row r="69" spans="1:8" x14ac:dyDescent="0.2">
      <c r="A69" s="159">
        <v>45</v>
      </c>
      <c r="B69" s="155" t="s">
        <v>165</v>
      </c>
      <c r="C69" s="158" t="s">
        <v>392</v>
      </c>
      <c r="F69" s="157"/>
      <c r="G69" s="156"/>
      <c r="H69" s="157"/>
    </row>
    <row r="70" spans="1:8" x14ac:dyDescent="0.2">
      <c r="A70" s="159">
        <v>46</v>
      </c>
      <c r="B70" s="155" t="s">
        <v>166</v>
      </c>
      <c r="C70" s="158" t="s">
        <v>392</v>
      </c>
      <c r="F70" s="157"/>
      <c r="G70" s="156"/>
      <c r="H70" s="157"/>
    </row>
    <row r="71" spans="1:8" x14ac:dyDescent="0.2">
      <c r="A71" s="159">
        <v>47</v>
      </c>
      <c r="B71" s="155" t="s">
        <v>167</v>
      </c>
      <c r="C71" s="158" t="s">
        <v>392</v>
      </c>
      <c r="F71" s="157"/>
      <c r="G71" s="156"/>
      <c r="H71" s="157"/>
    </row>
    <row r="72" spans="1:8" x14ac:dyDescent="0.2">
      <c r="A72" s="159">
        <v>48</v>
      </c>
      <c r="B72" s="155" t="s">
        <v>168</v>
      </c>
      <c r="C72" s="158" t="s">
        <v>392</v>
      </c>
      <c r="F72" s="157"/>
      <c r="G72" s="156"/>
      <c r="H72" s="157"/>
    </row>
    <row r="73" spans="1:8" x14ac:dyDescent="0.2">
      <c r="A73" s="159">
        <v>49</v>
      </c>
      <c r="B73" s="155" t="s">
        <v>161</v>
      </c>
      <c r="C73" s="158" t="s">
        <v>392</v>
      </c>
      <c r="F73" s="157"/>
      <c r="G73" s="156"/>
      <c r="H73" s="157"/>
    </row>
    <row r="74" spans="1:8" x14ac:dyDescent="0.2">
      <c r="A74" s="159">
        <v>50</v>
      </c>
      <c r="B74" s="155" t="s">
        <v>169</v>
      </c>
      <c r="C74" s="158" t="s">
        <v>392</v>
      </c>
      <c r="F74" s="157"/>
      <c r="G74" s="156"/>
      <c r="H74" s="157"/>
    </row>
    <row r="75" spans="1:8" x14ac:dyDescent="0.2">
      <c r="A75" s="159">
        <v>51</v>
      </c>
      <c r="B75" s="155" t="s">
        <v>170</v>
      </c>
      <c r="C75" s="158" t="s">
        <v>391</v>
      </c>
      <c r="F75" s="157"/>
      <c r="G75" s="156"/>
      <c r="H75" s="157"/>
    </row>
    <row r="76" spans="1:8" x14ac:dyDescent="0.2">
      <c r="A76" s="159">
        <v>52</v>
      </c>
      <c r="B76" s="155" t="s">
        <v>171</v>
      </c>
      <c r="C76" s="158" t="s">
        <v>392</v>
      </c>
      <c r="F76" s="157"/>
      <c r="G76" s="156"/>
      <c r="H76" s="157"/>
    </row>
    <row r="77" spans="1:8" x14ac:dyDescent="0.2">
      <c r="A77" s="159">
        <v>53</v>
      </c>
      <c r="B77" s="155" t="s">
        <v>171</v>
      </c>
      <c r="C77" s="158" t="s">
        <v>392</v>
      </c>
      <c r="F77" s="157"/>
      <c r="G77" s="156"/>
      <c r="H77" s="157"/>
    </row>
    <row r="78" spans="1:8" x14ac:dyDescent="0.2">
      <c r="A78" s="159">
        <v>55</v>
      </c>
      <c r="B78" s="155" t="s">
        <v>171</v>
      </c>
      <c r="C78" s="158" t="s">
        <v>392</v>
      </c>
      <c r="F78" s="157"/>
      <c r="G78" s="156"/>
      <c r="H78" s="157"/>
    </row>
    <row r="79" spans="1:8" x14ac:dyDescent="0.2">
      <c r="A79" s="159">
        <v>56</v>
      </c>
      <c r="B79" s="155" t="s">
        <v>171</v>
      </c>
      <c r="C79" s="158" t="s">
        <v>392</v>
      </c>
      <c r="F79" s="157"/>
      <c r="G79" s="156"/>
      <c r="H79" s="157"/>
    </row>
    <row r="80" spans="1:8" x14ac:dyDescent="0.2">
      <c r="A80" s="159">
        <v>57</v>
      </c>
      <c r="B80" s="155" t="s">
        <v>171</v>
      </c>
      <c r="C80" s="158" t="s">
        <v>392</v>
      </c>
      <c r="F80" s="157"/>
      <c r="G80" s="156"/>
      <c r="H80" s="157"/>
    </row>
    <row r="81" spans="1:8" x14ac:dyDescent="0.2">
      <c r="A81" s="159">
        <v>58</v>
      </c>
      <c r="B81" s="155" t="s">
        <v>172</v>
      </c>
      <c r="C81" s="158" t="s">
        <v>391</v>
      </c>
      <c r="F81" s="157"/>
      <c r="G81" s="156"/>
      <c r="H81" s="157"/>
    </row>
    <row r="82" spans="1:8" x14ac:dyDescent="0.2">
      <c r="A82" s="159">
        <v>59</v>
      </c>
      <c r="B82" s="155" t="s">
        <v>171</v>
      </c>
      <c r="C82" s="158" t="s">
        <v>392</v>
      </c>
      <c r="F82" s="157"/>
      <c r="G82" s="156"/>
      <c r="H82" s="157"/>
    </row>
    <row r="83" spans="1:8" x14ac:dyDescent="0.2">
      <c r="A83" s="159">
        <v>60</v>
      </c>
      <c r="B83" s="155" t="s">
        <v>171</v>
      </c>
      <c r="C83" s="158" t="s">
        <v>392</v>
      </c>
      <c r="F83" s="157"/>
      <c r="G83" s="156"/>
      <c r="H83" s="157"/>
    </row>
    <row r="84" spans="1:8" x14ac:dyDescent="0.2">
      <c r="A84" s="159">
        <v>62</v>
      </c>
      <c r="B84" s="155" t="s">
        <v>173</v>
      </c>
      <c r="C84" s="158" t="s">
        <v>391</v>
      </c>
    </row>
    <row r="85" spans="1:8" x14ac:dyDescent="0.2">
      <c r="A85" s="159">
        <v>63</v>
      </c>
      <c r="B85" s="155" t="s">
        <v>164</v>
      </c>
      <c r="C85" s="158" t="s">
        <v>392</v>
      </c>
    </row>
    <row r="86" spans="1:8" x14ac:dyDescent="0.2">
      <c r="A86" s="159">
        <v>64</v>
      </c>
      <c r="B86" s="155" t="s">
        <v>171</v>
      </c>
      <c r="C86" s="158" t="s">
        <v>392</v>
      </c>
    </row>
    <row r="87" spans="1:8" x14ac:dyDescent="0.2">
      <c r="A87" s="159">
        <v>65</v>
      </c>
      <c r="B87" s="155" t="s">
        <v>174</v>
      </c>
      <c r="C87" s="158" t="s">
        <v>392</v>
      </c>
    </row>
    <row r="88" spans="1:8" x14ac:dyDescent="0.2">
      <c r="A88" s="159">
        <v>66</v>
      </c>
      <c r="B88" s="155" t="s">
        <v>174</v>
      </c>
      <c r="C88" s="158" t="s">
        <v>392</v>
      </c>
    </row>
    <row r="89" spans="1:8" x14ac:dyDescent="0.2">
      <c r="A89" s="159">
        <v>67</v>
      </c>
      <c r="B89" s="155" t="s">
        <v>175</v>
      </c>
      <c r="C89" s="158" t="s">
        <v>392</v>
      </c>
    </row>
    <row r="90" spans="1:8" x14ac:dyDescent="0.2">
      <c r="A90" s="159">
        <v>71</v>
      </c>
      <c r="B90" s="155" t="s">
        <v>175</v>
      </c>
      <c r="C90" s="158" t="s">
        <v>392</v>
      </c>
    </row>
    <row r="91" spans="1:8" x14ac:dyDescent="0.2">
      <c r="A91" s="159">
        <v>72</v>
      </c>
      <c r="B91" s="155" t="s">
        <v>175</v>
      </c>
      <c r="C91" s="158" t="s">
        <v>392</v>
      </c>
    </row>
    <row r="92" spans="1:8" x14ac:dyDescent="0.2">
      <c r="A92" s="159">
        <v>73</v>
      </c>
      <c r="B92" s="155" t="s">
        <v>175</v>
      </c>
      <c r="C92" s="158" t="s">
        <v>392</v>
      </c>
    </row>
    <row r="93" spans="1:8" x14ac:dyDescent="0.2">
      <c r="A93" s="159">
        <v>74</v>
      </c>
      <c r="B93" s="155" t="s">
        <v>176</v>
      </c>
      <c r="C93" s="158" t="s">
        <v>392</v>
      </c>
    </row>
    <row r="94" spans="1:8" x14ac:dyDescent="0.2">
      <c r="A94" s="159">
        <v>75</v>
      </c>
      <c r="B94" s="155" t="s">
        <v>177</v>
      </c>
      <c r="C94" s="158" t="s">
        <v>392</v>
      </c>
    </row>
    <row r="95" spans="1:8" x14ac:dyDescent="0.2">
      <c r="A95" s="159">
        <v>76</v>
      </c>
      <c r="B95" s="155" t="s">
        <v>177</v>
      </c>
      <c r="C95" s="158" t="s">
        <v>392</v>
      </c>
    </row>
    <row r="96" spans="1:8" x14ac:dyDescent="0.2">
      <c r="A96" s="159">
        <v>77</v>
      </c>
      <c r="B96" s="155" t="s">
        <v>177</v>
      </c>
      <c r="C96" s="158" t="s">
        <v>392</v>
      </c>
    </row>
    <row r="97" spans="1:3" x14ac:dyDescent="0.2">
      <c r="A97" s="159">
        <v>78</v>
      </c>
      <c r="B97" s="155" t="s">
        <v>178</v>
      </c>
      <c r="C97" s="158" t="s">
        <v>392</v>
      </c>
    </row>
    <row r="98" spans="1:3" x14ac:dyDescent="0.2">
      <c r="A98" s="159">
        <v>79</v>
      </c>
      <c r="B98" s="155" t="s">
        <v>179</v>
      </c>
      <c r="C98" s="158" t="s">
        <v>391</v>
      </c>
    </row>
    <row r="99" spans="1:3" x14ac:dyDescent="0.2">
      <c r="A99" s="159">
        <v>80</v>
      </c>
      <c r="B99" s="155" t="s">
        <v>180</v>
      </c>
      <c r="C99" s="158" t="s">
        <v>392</v>
      </c>
    </row>
    <row r="100" spans="1:3" x14ac:dyDescent="0.2">
      <c r="A100" s="159">
        <v>81</v>
      </c>
      <c r="B100" s="155" t="s">
        <v>181</v>
      </c>
      <c r="C100" s="158" t="s">
        <v>392</v>
      </c>
    </row>
    <row r="101" spans="1:3" x14ac:dyDescent="0.2">
      <c r="A101" s="159">
        <v>82</v>
      </c>
      <c r="B101" s="155" t="s">
        <v>182</v>
      </c>
      <c r="C101" s="158" t="s">
        <v>392</v>
      </c>
    </row>
    <row r="102" spans="1:3" x14ac:dyDescent="0.2">
      <c r="A102" s="159">
        <v>83</v>
      </c>
      <c r="B102" s="155" t="s">
        <v>182</v>
      </c>
      <c r="C102" s="158" t="s">
        <v>392</v>
      </c>
    </row>
    <row r="103" spans="1:3" x14ac:dyDescent="0.2">
      <c r="A103" s="159">
        <v>84</v>
      </c>
      <c r="B103" s="155" t="s">
        <v>182</v>
      </c>
      <c r="C103" s="158" t="s">
        <v>392</v>
      </c>
    </row>
    <row r="104" spans="1:3" x14ac:dyDescent="0.2">
      <c r="A104" s="159">
        <v>85</v>
      </c>
      <c r="B104" s="155" t="s">
        <v>182</v>
      </c>
      <c r="C104" s="158" t="s">
        <v>392</v>
      </c>
    </row>
    <row r="105" spans="1:3" x14ac:dyDescent="0.2">
      <c r="A105" s="159">
        <v>86</v>
      </c>
      <c r="B105" s="155" t="s">
        <v>182</v>
      </c>
      <c r="C105" s="158" t="s">
        <v>392</v>
      </c>
    </row>
    <row r="106" spans="1:3" x14ac:dyDescent="0.2">
      <c r="A106" s="159">
        <v>87</v>
      </c>
      <c r="B106" s="155" t="s">
        <v>182</v>
      </c>
      <c r="C106" s="158" t="s">
        <v>392</v>
      </c>
    </row>
    <row r="107" spans="1:3" x14ac:dyDescent="0.2">
      <c r="A107" s="159">
        <v>88</v>
      </c>
      <c r="B107" s="155" t="s">
        <v>182</v>
      </c>
      <c r="C107" s="158" t="s">
        <v>392</v>
      </c>
    </row>
    <row r="108" spans="1:3" x14ac:dyDescent="0.2">
      <c r="A108" s="159">
        <v>91</v>
      </c>
      <c r="B108" s="155" t="s">
        <v>183</v>
      </c>
      <c r="C108" s="158" t="s">
        <v>392</v>
      </c>
    </row>
    <row r="109" spans="1:3" x14ac:dyDescent="0.2">
      <c r="A109" s="159">
        <v>92</v>
      </c>
      <c r="B109" s="155" t="s">
        <v>183</v>
      </c>
      <c r="C109" s="158" t="s">
        <v>392</v>
      </c>
    </row>
    <row r="110" spans="1:3" x14ac:dyDescent="0.2">
      <c r="A110" s="159">
        <v>93</v>
      </c>
      <c r="B110" s="155" t="s">
        <v>184</v>
      </c>
      <c r="C110" s="158" t="s">
        <v>391</v>
      </c>
    </row>
    <row r="111" spans="1:3" x14ac:dyDescent="0.2">
      <c r="A111" s="159">
        <v>94</v>
      </c>
      <c r="B111" s="155" t="s">
        <v>183</v>
      </c>
      <c r="C111" s="158" t="s">
        <v>392</v>
      </c>
    </row>
    <row r="112" spans="1:3" x14ac:dyDescent="0.2">
      <c r="A112" s="159">
        <v>95</v>
      </c>
      <c r="B112" s="155" t="s">
        <v>183</v>
      </c>
      <c r="C112" s="158" t="s">
        <v>392</v>
      </c>
    </row>
    <row r="113" spans="1:3" x14ac:dyDescent="0.2">
      <c r="A113" s="159">
        <v>96</v>
      </c>
      <c r="B113" s="155" t="s">
        <v>183</v>
      </c>
      <c r="C113" s="158" t="s">
        <v>392</v>
      </c>
    </row>
    <row r="114" spans="1:3" x14ac:dyDescent="0.2">
      <c r="A114" s="159">
        <v>97</v>
      </c>
      <c r="B114" s="155" t="s">
        <v>185</v>
      </c>
      <c r="C114" s="158" t="s">
        <v>392</v>
      </c>
    </row>
    <row r="115" spans="1:3" x14ac:dyDescent="0.2">
      <c r="A115" s="159">
        <v>98</v>
      </c>
      <c r="B115" s="155" t="s">
        <v>186</v>
      </c>
      <c r="C115" s="158" t="s">
        <v>392</v>
      </c>
    </row>
    <row r="116" spans="1:3" x14ac:dyDescent="0.2">
      <c r="A116" s="159">
        <v>99</v>
      </c>
      <c r="B116" s="155" t="s">
        <v>187</v>
      </c>
      <c r="C116" s="158" t="s">
        <v>392</v>
      </c>
    </row>
    <row r="117" spans="1:3" x14ac:dyDescent="0.2">
      <c r="A117" s="159">
        <v>100</v>
      </c>
      <c r="B117" s="155" t="s">
        <v>187</v>
      </c>
      <c r="C117" s="158" t="s">
        <v>392</v>
      </c>
    </row>
    <row r="118" spans="1:3" x14ac:dyDescent="0.2">
      <c r="A118" s="159">
        <v>101</v>
      </c>
      <c r="B118" s="155" t="s">
        <v>188</v>
      </c>
      <c r="C118" s="158" t="s">
        <v>392</v>
      </c>
    </row>
    <row r="119" spans="1:3" x14ac:dyDescent="0.2">
      <c r="A119" s="159">
        <v>102</v>
      </c>
      <c r="B119" s="155" t="s">
        <v>188</v>
      </c>
      <c r="C119" s="158" t="s">
        <v>392</v>
      </c>
    </row>
    <row r="120" spans="1:3" x14ac:dyDescent="0.2">
      <c r="A120" s="159">
        <v>103</v>
      </c>
      <c r="B120" s="155" t="s">
        <v>188</v>
      </c>
      <c r="C120" s="158" t="s">
        <v>392</v>
      </c>
    </row>
    <row r="121" spans="1:3" x14ac:dyDescent="0.2">
      <c r="A121" s="159">
        <v>104</v>
      </c>
      <c r="B121" s="155" t="s">
        <v>189</v>
      </c>
      <c r="C121" s="158" t="s">
        <v>392</v>
      </c>
    </row>
    <row r="122" spans="1:3" x14ac:dyDescent="0.2">
      <c r="A122" s="159">
        <v>105</v>
      </c>
      <c r="B122" s="155" t="s">
        <v>189</v>
      </c>
      <c r="C122" s="158" t="s">
        <v>392</v>
      </c>
    </row>
    <row r="123" spans="1:3" x14ac:dyDescent="0.2">
      <c r="A123" s="159">
        <v>106</v>
      </c>
      <c r="B123" s="155" t="s">
        <v>189</v>
      </c>
      <c r="C123" s="158" t="s">
        <v>392</v>
      </c>
    </row>
    <row r="124" spans="1:3" x14ac:dyDescent="0.2">
      <c r="A124" s="159">
        <v>107</v>
      </c>
      <c r="B124" s="155" t="s">
        <v>189</v>
      </c>
      <c r="C124" s="158" t="s">
        <v>392</v>
      </c>
    </row>
    <row r="125" spans="1:3" x14ac:dyDescent="0.2">
      <c r="A125" s="159">
        <v>108</v>
      </c>
      <c r="B125" s="155" t="s">
        <v>189</v>
      </c>
      <c r="C125" s="158" t="s">
        <v>392</v>
      </c>
    </row>
    <row r="126" spans="1:3" x14ac:dyDescent="0.2">
      <c r="A126" s="159">
        <v>109</v>
      </c>
      <c r="B126" s="155" t="s">
        <v>189</v>
      </c>
      <c r="C126" s="158" t="s">
        <v>392</v>
      </c>
    </row>
    <row r="127" spans="1:3" x14ac:dyDescent="0.2">
      <c r="A127" s="159">
        <v>110</v>
      </c>
      <c r="B127" s="155" t="s">
        <v>189</v>
      </c>
      <c r="C127" s="158" t="s">
        <v>392</v>
      </c>
    </row>
    <row r="128" spans="1:3" x14ac:dyDescent="0.2">
      <c r="A128" s="159">
        <v>111</v>
      </c>
      <c r="B128" s="155" t="s">
        <v>190</v>
      </c>
      <c r="C128" s="158" t="s">
        <v>392</v>
      </c>
    </row>
    <row r="129" spans="1:3" x14ac:dyDescent="0.2">
      <c r="A129" s="159">
        <v>112</v>
      </c>
      <c r="B129" s="155" t="s">
        <v>191</v>
      </c>
      <c r="C129" s="158" t="s">
        <v>392</v>
      </c>
    </row>
    <row r="130" spans="1:3" x14ac:dyDescent="0.2">
      <c r="A130" s="159">
        <v>113</v>
      </c>
      <c r="B130" s="155" t="s">
        <v>191</v>
      </c>
      <c r="C130" s="158" t="s">
        <v>392</v>
      </c>
    </row>
    <row r="131" spans="1:3" x14ac:dyDescent="0.2">
      <c r="A131" s="159">
        <v>115</v>
      </c>
      <c r="B131" s="155" t="s">
        <v>191</v>
      </c>
      <c r="C131" s="158" t="s">
        <v>392</v>
      </c>
    </row>
    <row r="132" spans="1:3" x14ac:dyDescent="0.2">
      <c r="A132" s="159">
        <v>116</v>
      </c>
      <c r="B132" s="155" t="s">
        <v>191</v>
      </c>
      <c r="C132" s="158" t="s">
        <v>392</v>
      </c>
    </row>
    <row r="133" spans="1:3" x14ac:dyDescent="0.2">
      <c r="A133" s="159">
        <v>117</v>
      </c>
      <c r="B133" s="155" t="s">
        <v>191</v>
      </c>
      <c r="C133" s="158" t="s">
        <v>392</v>
      </c>
    </row>
    <row r="134" spans="1:3" x14ac:dyDescent="0.2">
      <c r="A134" s="159">
        <v>118</v>
      </c>
      <c r="B134" s="155" t="s">
        <v>192</v>
      </c>
      <c r="C134" s="158" t="s">
        <v>392</v>
      </c>
    </row>
    <row r="135" spans="1:3" x14ac:dyDescent="0.2">
      <c r="A135" s="159">
        <v>119</v>
      </c>
      <c r="B135" s="155" t="s">
        <v>192</v>
      </c>
      <c r="C135" s="158" t="s">
        <v>392</v>
      </c>
    </row>
    <row r="136" spans="1:3" x14ac:dyDescent="0.2">
      <c r="A136" s="159">
        <v>120</v>
      </c>
      <c r="B136" s="155" t="s">
        <v>164</v>
      </c>
      <c r="C136" s="158" t="s">
        <v>392</v>
      </c>
    </row>
    <row r="137" spans="1:3" x14ac:dyDescent="0.2">
      <c r="A137" s="159">
        <v>121</v>
      </c>
      <c r="B137" s="155" t="s">
        <v>193</v>
      </c>
      <c r="C137" s="158" t="s">
        <v>391</v>
      </c>
    </row>
    <row r="138" spans="1:3" x14ac:dyDescent="0.2">
      <c r="A138" s="159">
        <v>122</v>
      </c>
      <c r="B138" s="155" t="s">
        <v>194</v>
      </c>
      <c r="C138" s="158" t="s">
        <v>391</v>
      </c>
    </row>
    <row r="139" spans="1:3" x14ac:dyDescent="0.2">
      <c r="A139" s="159">
        <v>123</v>
      </c>
      <c r="B139" s="155" t="s">
        <v>195</v>
      </c>
      <c r="C139" s="158" t="s">
        <v>391</v>
      </c>
    </row>
    <row r="140" spans="1:3" x14ac:dyDescent="0.2">
      <c r="A140" s="159">
        <v>124</v>
      </c>
      <c r="B140" s="155" t="s">
        <v>195</v>
      </c>
      <c r="C140" s="158" t="s">
        <v>391</v>
      </c>
    </row>
    <row r="141" spans="1:3" x14ac:dyDescent="0.2">
      <c r="A141" s="159">
        <v>125</v>
      </c>
      <c r="B141" s="155" t="s">
        <v>195</v>
      </c>
      <c r="C141" s="158" t="s">
        <v>391</v>
      </c>
    </row>
    <row r="142" spans="1:3" x14ac:dyDescent="0.2">
      <c r="A142" s="159">
        <v>126</v>
      </c>
      <c r="B142" s="155" t="s">
        <v>196</v>
      </c>
      <c r="C142" s="158" t="s">
        <v>391</v>
      </c>
    </row>
    <row r="143" spans="1:3" x14ac:dyDescent="0.2">
      <c r="A143" s="159">
        <v>127</v>
      </c>
      <c r="B143" s="155" t="s">
        <v>197</v>
      </c>
      <c r="C143" s="158" t="s">
        <v>391</v>
      </c>
    </row>
    <row r="144" spans="1:3" x14ac:dyDescent="0.2">
      <c r="A144" s="159">
        <v>128</v>
      </c>
      <c r="B144" s="155" t="s">
        <v>198</v>
      </c>
      <c r="C144" s="158" t="s">
        <v>391</v>
      </c>
    </row>
    <row r="145" spans="1:3" x14ac:dyDescent="0.2">
      <c r="A145" s="159">
        <v>129</v>
      </c>
      <c r="B145" s="155" t="s">
        <v>197</v>
      </c>
      <c r="C145" s="158" t="s">
        <v>391</v>
      </c>
    </row>
    <row r="146" spans="1:3" x14ac:dyDescent="0.2">
      <c r="A146" s="159">
        <v>130</v>
      </c>
      <c r="B146" s="155" t="s">
        <v>199</v>
      </c>
      <c r="C146" s="158" t="s">
        <v>391</v>
      </c>
    </row>
    <row r="147" spans="1:3" x14ac:dyDescent="0.2">
      <c r="A147" s="159">
        <v>131</v>
      </c>
      <c r="B147" s="155" t="s">
        <v>199</v>
      </c>
      <c r="C147" s="158" t="s">
        <v>391</v>
      </c>
    </row>
    <row r="148" spans="1:3" x14ac:dyDescent="0.2">
      <c r="A148" s="159">
        <v>132</v>
      </c>
      <c r="B148" s="155" t="s">
        <v>200</v>
      </c>
      <c r="C148" s="158" t="s">
        <v>391</v>
      </c>
    </row>
    <row r="149" spans="1:3" x14ac:dyDescent="0.2">
      <c r="A149" s="159">
        <v>133</v>
      </c>
      <c r="B149" s="155" t="s">
        <v>200</v>
      </c>
      <c r="C149" s="158" t="s">
        <v>391</v>
      </c>
    </row>
    <row r="150" spans="1:3" x14ac:dyDescent="0.2">
      <c r="A150" s="159">
        <v>134</v>
      </c>
      <c r="B150" s="155" t="s">
        <v>200</v>
      </c>
      <c r="C150" s="158" t="s">
        <v>391</v>
      </c>
    </row>
    <row r="151" spans="1:3" x14ac:dyDescent="0.2">
      <c r="A151" s="159">
        <v>135</v>
      </c>
      <c r="B151" s="155" t="s">
        <v>200</v>
      </c>
      <c r="C151" s="158" t="s">
        <v>391</v>
      </c>
    </row>
    <row r="152" spans="1:3" x14ac:dyDescent="0.2">
      <c r="A152" s="159">
        <v>136</v>
      </c>
      <c r="B152" s="155" t="s">
        <v>200</v>
      </c>
      <c r="C152" s="158" t="s">
        <v>391</v>
      </c>
    </row>
    <row r="153" spans="1:3" x14ac:dyDescent="0.2">
      <c r="A153" s="159">
        <v>137</v>
      </c>
      <c r="B153" s="155" t="s">
        <v>200</v>
      </c>
      <c r="C153" s="158" t="s">
        <v>391</v>
      </c>
    </row>
    <row r="154" spans="1:3" x14ac:dyDescent="0.2">
      <c r="A154" s="159">
        <v>138</v>
      </c>
      <c r="B154" s="155" t="s">
        <v>200</v>
      </c>
      <c r="C154" s="158" t="s">
        <v>391</v>
      </c>
    </row>
    <row r="155" spans="1:3" x14ac:dyDescent="0.2">
      <c r="A155" s="159">
        <v>140</v>
      </c>
      <c r="B155" s="155" t="s">
        <v>184</v>
      </c>
      <c r="C155" s="158" t="s">
        <v>391</v>
      </c>
    </row>
    <row r="156" spans="1:3" x14ac:dyDescent="0.2">
      <c r="A156" s="159">
        <v>141</v>
      </c>
      <c r="B156" s="155" t="s">
        <v>201</v>
      </c>
      <c r="C156" s="158" t="s">
        <v>391</v>
      </c>
    </row>
    <row r="157" spans="1:3" x14ac:dyDescent="0.2">
      <c r="A157" s="159">
        <v>142</v>
      </c>
      <c r="B157" s="155" t="s">
        <v>201</v>
      </c>
      <c r="C157" s="158" t="s">
        <v>391</v>
      </c>
    </row>
    <row r="158" spans="1:3" x14ac:dyDescent="0.2">
      <c r="A158" s="159">
        <v>143</v>
      </c>
      <c r="B158" s="155" t="s">
        <v>187</v>
      </c>
      <c r="C158" s="158" t="s">
        <v>392</v>
      </c>
    </row>
    <row r="159" spans="1:3" x14ac:dyDescent="0.2">
      <c r="A159" s="159">
        <v>144</v>
      </c>
      <c r="B159" s="155" t="s">
        <v>202</v>
      </c>
      <c r="C159" s="158" t="s">
        <v>391</v>
      </c>
    </row>
    <row r="160" spans="1:3" x14ac:dyDescent="0.2">
      <c r="A160" s="159">
        <v>145</v>
      </c>
      <c r="B160" s="155" t="s">
        <v>202</v>
      </c>
      <c r="C160" s="158" t="s">
        <v>391</v>
      </c>
    </row>
    <row r="161" spans="1:3" x14ac:dyDescent="0.2">
      <c r="A161" s="159">
        <v>146</v>
      </c>
      <c r="B161" s="155" t="s">
        <v>202</v>
      </c>
      <c r="C161" s="158" t="s">
        <v>391</v>
      </c>
    </row>
    <row r="162" spans="1:3" x14ac:dyDescent="0.2">
      <c r="A162" s="159">
        <v>147</v>
      </c>
      <c r="B162" s="155" t="s">
        <v>202</v>
      </c>
      <c r="C162" s="158" t="s">
        <v>391</v>
      </c>
    </row>
    <row r="163" spans="1:3" x14ac:dyDescent="0.2">
      <c r="A163" s="159">
        <v>148</v>
      </c>
      <c r="B163" s="155" t="s">
        <v>203</v>
      </c>
      <c r="C163" s="158" t="s">
        <v>391</v>
      </c>
    </row>
    <row r="164" spans="1:3" x14ac:dyDescent="0.2">
      <c r="A164" s="159">
        <v>149</v>
      </c>
      <c r="B164" s="155" t="s">
        <v>204</v>
      </c>
      <c r="C164" s="158" t="s">
        <v>391</v>
      </c>
    </row>
    <row r="165" spans="1:3" x14ac:dyDescent="0.2">
      <c r="A165" s="159">
        <v>150</v>
      </c>
      <c r="B165" s="155" t="s">
        <v>196</v>
      </c>
      <c r="C165" s="158" t="s">
        <v>391</v>
      </c>
    </row>
    <row r="166" spans="1:3" x14ac:dyDescent="0.2">
      <c r="A166" s="159">
        <v>151</v>
      </c>
      <c r="B166" s="155" t="s">
        <v>196</v>
      </c>
      <c r="C166" s="158" t="s">
        <v>391</v>
      </c>
    </row>
    <row r="167" spans="1:3" x14ac:dyDescent="0.2">
      <c r="A167" s="159">
        <v>152</v>
      </c>
      <c r="B167" s="155" t="s">
        <v>196</v>
      </c>
      <c r="C167" s="158" t="s">
        <v>391</v>
      </c>
    </row>
    <row r="168" spans="1:3" x14ac:dyDescent="0.2">
      <c r="A168" s="159">
        <v>153</v>
      </c>
      <c r="B168" s="155" t="s">
        <v>196</v>
      </c>
      <c r="C168" s="158" t="s">
        <v>391</v>
      </c>
    </row>
    <row r="169" spans="1:3" x14ac:dyDescent="0.2">
      <c r="A169" s="159">
        <v>154</v>
      </c>
      <c r="B169" s="155" t="s">
        <v>196</v>
      </c>
      <c r="C169" s="158" t="s">
        <v>391</v>
      </c>
    </row>
    <row r="170" spans="1:3" x14ac:dyDescent="0.2">
      <c r="A170" s="159">
        <v>155</v>
      </c>
      <c r="B170" s="155" t="s">
        <v>184</v>
      </c>
      <c r="C170" s="158" t="s">
        <v>392</v>
      </c>
    </row>
    <row r="171" spans="1:3" x14ac:dyDescent="0.2">
      <c r="A171" s="159">
        <v>156</v>
      </c>
      <c r="B171" s="155" t="s">
        <v>196</v>
      </c>
      <c r="C171" s="158" t="s">
        <v>391</v>
      </c>
    </row>
    <row r="172" spans="1:3" x14ac:dyDescent="0.2">
      <c r="A172" s="159">
        <v>157</v>
      </c>
      <c r="B172" s="155" t="s">
        <v>196</v>
      </c>
      <c r="C172" s="158" t="s">
        <v>391</v>
      </c>
    </row>
    <row r="173" spans="1:3" x14ac:dyDescent="0.2">
      <c r="A173" s="159">
        <v>158</v>
      </c>
      <c r="B173" s="155" t="s">
        <v>196</v>
      </c>
      <c r="C173" s="158" t="s">
        <v>391</v>
      </c>
    </row>
    <row r="174" spans="1:3" x14ac:dyDescent="0.2">
      <c r="A174" s="159">
        <v>159</v>
      </c>
      <c r="B174" s="155" t="s">
        <v>171</v>
      </c>
      <c r="C174" s="158" t="s">
        <v>392</v>
      </c>
    </row>
    <row r="175" spans="1:3" x14ac:dyDescent="0.2">
      <c r="A175" s="159">
        <v>160</v>
      </c>
      <c r="B175" s="155" t="s">
        <v>196</v>
      </c>
      <c r="C175" s="158" t="s">
        <v>391</v>
      </c>
    </row>
    <row r="176" spans="1:3" x14ac:dyDescent="0.2">
      <c r="A176" s="159">
        <v>161</v>
      </c>
      <c r="B176" s="155" t="s">
        <v>196</v>
      </c>
      <c r="C176" s="158" t="s">
        <v>391</v>
      </c>
    </row>
    <row r="177" spans="1:3" x14ac:dyDescent="0.2">
      <c r="A177" s="159">
        <v>162</v>
      </c>
      <c r="B177" s="155" t="s">
        <v>196</v>
      </c>
      <c r="C177" s="158" t="s">
        <v>391</v>
      </c>
    </row>
    <row r="178" spans="1:3" x14ac:dyDescent="0.2">
      <c r="A178" s="159">
        <v>163</v>
      </c>
      <c r="B178" s="155" t="s">
        <v>196</v>
      </c>
      <c r="C178" s="158" t="s">
        <v>391</v>
      </c>
    </row>
    <row r="179" spans="1:3" x14ac:dyDescent="0.2">
      <c r="A179" s="159">
        <v>164</v>
      </c>
      <c r="B179" s="155" t="s">
        <v>196</v>
      </c>
      <c r="C179" s="158" t="s">
        <v>391</v>
      </c>
    </row>
    <row r="180" spans="1:3" x14ac:dyDescent="0.2">
      <c r="A180" s="159">
        <v>165</v>
      </c>
      <c r="B180" s="155" t="s">
        <v>196</v>
      </c>
      <c r="C180" s="158" t="s">
        <v>391</v>
      </c>
    </row>
    <row r="181" spans="1:3" x14ac:dyDescent="0.2">
      <c r="A181" s="159">
        <v>166</v>
      </c>
      <c r="B181" s="155" t="s">
        <v>196</v>
      </c>
      <c r="C181" s="158" t="s">
        <v>391</v>
      </c>
    </row>
    <row r="182" spans="1:3" x14ac:dyDescent="0.2">
      <c r="A182" s="159">
        <v>167</v>
      </c>
      <c r="B182" s="155" t="s">
        <v>196</v>
      </c>
      <c r="C182" s="158" t="s">
        <v>391</v>
      </c>
    </row>
    <row r="183" spans="1:3" x14ac:dyDescent="0.2">
      <c r="A183" s="159">
        <v>168</v>
      </c>
      <c r="B183" s="155" t="s">
        <v>196</v>
      </c>
      <c r="C183" s="158" t="s">
        <v>391</v>
      </c>
    </row>
    <row r="184" spans="1:3" x14ac:dyDescent="0.2">
      <c r="A184" s="159">
        <v>169</v>
      </c>
      <c r="B184" s="155" t="s">
        <v>196</v>
      </c>
      <c r="C184" s="158" t="s">
        <v>391</v>
      </c>
    </row>
    <row r="185" spans="1:3" x14ac:dyDescent="0.2">
      <c r="A185" s="159">
        <v>170</v>
      </c>
      <c r="B185" s="155" t="s">
        <v>196</v>
      </c>
      <c r="C185" s="158" t="s">
        <v>391</v>
      </c>
    </row>
    <row r="186" spans="1:3" x14ac:dyDescent="0.2">
      <c r="A186" s="159">
        <v>171</v>
      </c>
      <c r="B186" s="155" t="s">
        <v>196</v>
      </c>
      <c r="C186" s="158" t="s">
        <v>391</v>
      </c>
    </row>
    <row r="187" spans="1:3" x14ac:dyDescent="0.2">
      <c r="A187" s="159">
        <v>172</v>
      </c>
      <c r="B187" s="155" t="s">
        <v>196</v>
      </c>
      <c r="C187" s="158" t="s">
        <v>391</v>
      </c>
    </row>
    <row r="188" spans="1:3" x14ac:dyDescent="0.2">
      <c r="A188" s="159">
        <v>173</v>
      </c>
      <c r="B188" s="155" t="s">
        <v>196</v>
      </c>
      <c r="C188" s="158" t="s">
        <v>391</v>
      </c>
    </row>
    <row r="189" spans="1:3" x14ac:dyDescent="0.2">
      <c r="A189" s="159">
        <v>174</v>
      </c>
      <c r="B189" s="155" t="s">
        <v>196</v>
      </c>
      <c r="C189" s="158" t="s">
        <v>391</v>
      </c>
    </row>
    <row r="190" spans="1:3" x14ac:dyDescent="0.2">
      <c r="A190" s="159">
        <v>175</v>
      </c>
      <c r="B190" s="155" t="s">
        <v>196</v>
      </c>
      <c r="C190" s="158" t="s">
        <v>391</v>
      </c>
    </row>
    <row r="191" spans="1:3" x14ac:dyDescent="0.2">
      <c r="A191" s="159">
        <v>176</v>
      </c>
      <c r="B191" s="155" t="s">
        <v>196</v>
      </c>
      <c r="C191" s="158" t="s">
        <v>391</v>
      </c>
    </row>
    <row r="192" spans="1:3" x14ac:dyDescent="0.2">
      <c r="A192" s="159">
        <v>177</v>
      </c>
      <c r="B192" s="155" t="s">
        <v>196</v>
      </c>
      <c r="C192" s="158" t="s">
        <v>391</v>
      </c>
    </row>
    <row r="193" spans="1:3" x14ac:dyDescent="0.2">
      <c r="A193" s="159">
        <v>178</v>
      </c>
      <c r="B193" s="155" t="s">
        <v>205</v>
      </c>
      <c r="C193" s="158" t="s">
        <v>391</v>
      </c>
    </row>
    <row r="194" spans="1:3" x14ac:dyDescent="0.2">
      <c r="A194" s="159">
        <v>179</v>
      </c>
      <c r="B194" s="155" t="s">
        <v>196</v>
      </c>
      <c r="C194" s="158" t="s">
        <v>391</v>
      </c>
    </row>
    <row r="195" spans="1:3" x14ac:dyDescent="0.2">
      <c r="A195" s="159">
        <v>180</v>
      </c>
      <c r="B195" s="155" t="s">
        <v>196</v>
      </c>
      <c r="C195" s="158" t="s">
        <v>391</v>
      </c>
    </row>
    <row r="196" spans="1:3" x14ac:dyDescent="0.2">
      <c r="A196" s="159">
        <v>181</v>
      </c>
      <c r="B196" s="155" t="s">
        <v>196</v>
      </c>
      <c r="C196" s="158" t="s">
        <v>391</v>
      </c>
    </row>
    <row r="197" spans="1:3" x14ac:dyDescent="0.2">
      <c r="A197" s="159">
        <v>182</v>
      </c>
      <c r="B197" s="155" t="s">
        <v>196</v>
      </c>
      <c r="C197" s="158" t="s">
        <v>391</v>
      </c>
    </row>
    <row r="198" spans="1:3" x14ac:dyDescent="0.2">
      <c r="A198" s="159">
        <v>183</v>
      </c>
      <c r="B198" s="155" t="s">
        <v>196</v>
      </c>
      <c r="C198" s="158" t="s">
        <v>391</v>
      </c>
    </row>
    <row r="199" spans="1:3" x14ac:dyDescent="0.2">
      <c r="A199" s="159">
        <v>184</v>
      </c>
      <c r="B199" s="155" t="s">
        <v>196</v>
      </c>
      <c r="C199" s="158" t="s">
        <v>391</v>
      </c>
    </row>
    <row r="200" spans="1:3" x14ac:dyDescent="0.2">
      <c r="A200" s="159">
        <v>185</v>
      </c>
      <c r="B200" s="155" t="s">
        <v>196</v>
      </c>
      <c r="C200" s="158" t="s">
        <v>391</v>
      </c>
    </row>
    <row r="201" spans="1:3" x14ac:dyDescent="0.2">
      <c r="A201" s="159">
        <v>186</v>
      </c>
      <c r="B201" s="155" t="s">
        <v>196</v>
      </c>
      <c r="C201" s="158" t="s">
        <v>391</v>
      </c>
    </row>
    <row r="202" spans="1:3" x14ac:dyDescent="0.2">
      <c r="A202" s="159">
        <v>187</v>
      </c>
      <c r="B202" s="155" t="s">
        <v>196</v>
      </c>
      <c r="C202" s="158" t="s">
        <v>391</v>
      </c>
    </row>
    <row r="203" spans="1:3" x14ac:dyDescent="0.2">
      <c r="A203" s="159">
        <v>188</v>
      </c>
      <c r="B203" s="155" t="s">
        <v>196</v>
      </c>
      <c r="C203" s="158" t="s">
        <v>391</v>
      </c>
    </row>
    <row r="204" spans="1:3" x14ac:dyDescent="0.2">
      <c r="A204" s="159">
        <v>189</v>
      </c>
      <c r="B204" s="155" t="s">
        <v>196</v>
      </c>
      <c r="C204" s="158" t="s">
        <v>392</v>
      </c>
    </row>
    <row r="205" spans="1:3" x14ac:dyDescent="0.2">
      <c r="A205" s="159">
        <v>190</v>
      </c>
      <c r="B205" s="155" t="s">
        <v>196</v>
      </c>
      <c r="C205" s="158" t="s">
        <v>392</v>
      </c>
    </row>
    <row r="206" spans="1:3" x14ac:dyDescent="0.2">
      <c r="A206" s="159">
        <v>191</v>
      </c>
      <c r="B206" s="155" t="s">
        <v>196</v>
      </c>
      <c r="C206" s="158" t="s">
        <v>392</v>
      </c>
    </row>
    <row r="207" spans="1:3" x14ac:dyDescent="0.2">
      <c r="A207" s="159">
        <v>192</v>
      </c>
      <c r="B207" s="155" t="s">
        <v>196</v>
      </c>
      <c r="C207" s="158" t="s">
        <v>392</v>
      </c>
    </row>
    <row r="208" spans="1:3" x14ac:dyDescent="0.2">
      <c r="A208" s="159">
        <v>193</v>
      </c>
      <c r="B208" s="155" t="s">
        <v>196</v>
      </c>
      <c r="C208" s="158" t="s">
        <v>392</v>
      </c>
    </row>
    <row r="209" spans="1:3" x14ac:dyDescent="0.2">
      <c r="A209" s="159">
        <v>194</v>
      </c>
      <c r="B209" s="155" t="s">
        <v>196</v>
      </c>
      <c r="C209" s="158" t="s">
        <v>392</v>
      </c>
    </row>
    <row r="210" spans="1:3" x14ac:dyDescent="0.2">
      <c r="A210" s="159">
        <v>195</v>
      </c>
      <c r="B210" s="155" t="s">
        <v>196</v>
      </c>
      <c r="C210" s="158" t="s">
        <v>392</v>
      </c>
    </row>
    <row r="211" spans="1:3" x14ac:dyDescent="0.2">
      <c r="A211" s="159">
        <v>196</v>
      </c>
      <c r="B211" s="155" t="s">
        <v>196</v>
      </c>
      <c r="C211" s="158" t="s">
        <v>392</v>
      </c>
    </row>
    <row r="212" spans="1:3" x14ac:dyDescent="0.2">
      <c r="A212" s="159">
        <v>197</v>
      </c>
      <c r="B212" s="155" t="s">
        <v>196</v>
      </c>
      <c r="C212" s="158" t="s">
        <v>392</v>
      </c>
    </row>
    <row r="213" spans="1:3" x14ac:dyDescent="0.2">
      <c r="A213" s="159">
        <v>198</v>
      </c>
      <c r="B213" s="155" t="s">
        <v>196</v>
      </c>
      <c r="C213" s="158" t="s">
        <v>392</v>
      </c>
    </row>
    <row r="214" spans="1:3" x14ac:dyDescent="0.2">
      <c r="A214" s="159">
        <v>199</v>
      </c>
      <c r="B214" s="155" t="s">
        <v>196</v>
      </c>
      <c r="C214" s="158" t="s">
        <v>392</v>
      </c>
    </row>
    <row r="215" spans="1:3" x14ac:dyDescent="0.2">
      <c r="A215" s="159">
        <v>201</v>
      </c>
      <c r="B215" s="155" t="s">
        <v>196</v>
      </c>
      <c r="C215" s="158" t="s">
        <v>392</v>
      </c>
    </row>
    <row r="216" spans="1:3" x14ac:dyDescent="0.2">
      <c r="A216" s="159">
        <v>202</v>
      </c>
      <c r="B216" s="155" t="s">
        <v>196</v>
      </c>
      <c r="C216" s="158" t="s">
        <v>392</v>
      </c>
    </row>
    <row r="217" spans="1:3" x14ac:dyDescent="0.2">
      <c r="A217" s="159">
        <v>203</v>
      </c>
      <c r="B217" s="155" t="s">
        <v>196</v>
      </c>
      <c r="C217" s="158" t="s">
        <v>392</v>
      </c>
    </row>
    <row r="218" spans="1:3" x14ac:dyDescent="0.2">
      <c r="A218" s="159">
        <v>204</v>
      </c>
      <c r="B218" s="155" t="s">
        <v>196</v>
      </c>
      <c r="C218" s="158" t="s">
        <v>392</v>
      </c>
    </row>
    <row r="219" spans="1:3" x14ac:dyDescent="0.2">
      <c r="A219" s="159">
        <v>205</v>
      </c>
      <c r="B219" s="155" t="s">
        <v>196</v>
      </c>
      <c r="C219" s="158" t="s">
        <v>392</v>
      </c>
    </row>
    <row r="220" spans="1:3" x14ac:dyDescent="0.2">
      <c r="A220" s="159">
        <v>206</v>
      </c>
      <c r="B220" s="155" t="s">
        <v>196</v>
      </c>
      <c r="C220" s="158" t="s">
        <v>392</v>
      </c>
    </row>
    <row r="221" spans="1:3" x14ac:dyDescent="0.2">
      <c r="A221" s="159">
        <v>207</v>
      </c>
      <c r="B221" s="155" t="s">
        <v>196</v>
      </c>
      <c r="C221" s="158" t="s">
        <v>392</v>
      </c>
    </row>
    <row r="222" spans="1:3" x14ac:dyDescent="0.2">
      <c r="A222" s="159">
        <v>208</v>
      </c>
      <c r="B222" s="155" t="s">
        <v>196</v>
      </c>
      <c r="C222" s="158" t="s">
        <v>392</v>
      </c>
    </row>
    <row r="223" spans="1:3" x14ac:dyDescent="0.2">
      <c r="A223" s="159">
        <v>209</v>
      </c>
      <c r="B223" s="155" t="s">
        <v>196</v>
      </c>
      <c r="C223" s="158" t="s">
        <v>391</v>
      </c>
    </row>
    <row r="224" spans="1:3" x14ac:dyDescent="0.2">
      <c r="A224" s="159">
        <v>210</v>
      </c>
      <c r="B224" s="155" t="s">
        <v>196</v>
      </c>
      <c r="C224" s="158" t="s">
        <v>391</v>
      </c>
    </row>
    <row r="225" spans="1:3" x14ac:dyDescent="0.2">
      <c r="A225" s="159">
        <v>211</v>
      </c>
      <c r="B225" s="155" t="s">
        <v>196</v>
      </c>
      <c r="C225" s="158" t="s">
        <v>391</v>
      </c>
    </row>
    <row r="226" spans="1:3" x14ac:dyDescent="0.2">
      <c r="A226" s="159">
        <v>212</v>
      </c>
      <c r="B226" s="155" t="s">
        <v>196</v>
      </c>
      <c r="C226" s="158" t="s">
        <v>391</v>
      </c>
    </row>
    <row r="227" spans="1:3" x14ac:dyDescent="0.2">
      <c r="A227" s="159">
        <v>213</v>
      </c>
      <c r="B227" s="155" t="s">
        <v>196</v>
      </c>
      <c r="C227" s="158" t="s">
        <v>391</v>
      </c>
    </row>
    <row r="228" spans="1:3" x14ac:dyDescent="0.2">
      <c r="A228" s="159">
        <v>214</v>
      </c>
      <c r="B228" s="155" t="s">
        <v>196</v>
      </c>
      <c r="C228" s="158" t="s">
        <v>391</v>
      </c>
    </row>
    <row r="229" spans="1:3" x14ac:dyDescent="0.2">
      <c r="A229" s="159">
        <v>215</v>
      </c>
      <c r="B229" s="155" t="s">
        <v>196</v>
      </c>
      <c r="C229" s="158" t="s">
        <v>391</v>
      </c>
    </row>
    <row r="230" spans="1:3" x14ac:dyDescent="0.2">
      <c r="A230" s="159">
        <v>216</v>
      </c>
      <c r="B230" s="155" t="s">
        <v>196</v>
      </c>
      <c r="C230" s="158" t="s">
        <v>391</v>
      </c>
    </row>
    <row r="231" spans="1:3" x14ac:dyDescent="0.2">
      <c r="A231" s="159">
        <v>217</v>
      </c>
      <c r="B231" s="155" t="s">
        <v>196</v>
      </c>
      <c r="C231" s="158" t="s">
        <v>391</v>
      </c>
    </row>
    <row r="232" spans="1:3" x14ac:dyDescent="0.2">
      <c r="A232" s="159">
        <v>218</v>
      </c>
      <c r="B232" s="155" t="s">
        <v>196</v>
      </c>
      <c r="C232" s="158" t="s">
        <v>391</v>
      </c>
    </row>
    <row r="233" spans="1:3" x14ac:dyDescent="0.2">
      <c r="A233" s="159">
        <v>219</v>
      </c>
      <c r="B233" s="155" t="s">
        <v>196</v>
      </c>
      <c r="C233" s="158" t="s">
        <v>391</v>
      </c>
    </row>
    <row r="234" spans="1:3" x14ac:dyDescent="0.2">
      <c r="A234" s="159">
        <v>220</v>
      </c>
      <c r="B234" s="155" t="s">
        <v>196</v>
      </c>
      <c r="C234" s="158" t="s">
        <v>391</v>
      </c>
    </row>
    <row r="235" spans="1:3" x14ac:dyDescent="0.2">
      <c r="A235" s="159">
        <v>221</v>
      </c>
      <c r="B235" s="155" t="s">
        <v>196</v>
      </c>
      <c r="C235" s="158" t="s">
        <v>391</v>
      </c>
    </row>
    <row r="236" spans="1:3" x14ac:dyDescent="0.2">
      <c r="A236" s="159">
        <v>222</v>
      </c>
      <c r="B236" s="155" t="s">
        <v>196</v>
      </c>
      <c r="C236" s="158" t="s">
        <v>391</v>
      </c>
    </row>
    <row r="237" spans="1:3" x14ac:dyDescent="0.2">
      <c r="A237" s="159">
        <v>223</v>
      </c>
      <c r="B237" s="155" t="s">
        <v>196</v>
      </c>
      <c r="C237" s="158" t="s">
        <v>391</v>
      </c>
    </row>
    <row r="238" spans="1:3" x14ac:dyDescent="0.2">
      <c r="A238" s="159">
        <v>224</v>
      </c>
      <c r="B238" s="155" t="s">
        <v>196</v>
      </c>
      <c r="C238" s="158" t="s">
        <v>391</v>
      </c>
    </row>
    <row r="239" spans="1:3" x14ac:dyDescent="0.2">
      <c r="A239" s="159">
        <v>225</v>
      </c>
      <c r="B239" s="155" t="s">
        <v>196</v>
      </c>
      <c r="C239" s="158" t="s">
        <v>391</v>
      </c>
    </row>
    <row r="240" spans="1:3" x14ac:dyDescent="0.2">
      <c r="A240" s="159">
        <v>226</v>
      </c>
      <c r="B240" s="155" t="s">
        <v>196</v>
      </c>
      <c r="C240" s="158" t="s">
        <v>391</v>
      </c>
    </row>
    <row r="241" spans="1:3" x14ac:dyDescent="0.2">
      <c r="A241" s="159">
        <v>227</v>
      </c>
      <c r="B241" s="155" t="s">
        <v>196</v>
      </c>
      <c r="C241" s="158" t="s">
        <v>391</v>
      </c>
    </row>
    <row r="242" spans="1:3" x14ac:dyDescent="0.2">
      <c r="A242" s="159">
        <v>228</v>
      </c>
      <c r="B242" s="155" t="s">
        <v>206</v>
      </c>
      <c r="C242" s="158" t="s">
        <v>392</v>
      </c>
    </row>
    <row r="243" spans="1:3" x14ac:dyDescent="0.2">
      <c r="A243" s="159">
        <v>229</v>
      </c>
      <c r="B243" s="155" t="s">
        <v>206</v>
      </c>
      <c r="C243" s="158" t="s">
        <v>392</v>
      </c>
    </row>
    <row r="244" spans="1:3" x14ac:dyDescent="0.2">
      <c r="A244" s="159">
        <v>230</v>
      </c>
      <c r="B244" s="155" t="s">
        <v>196</v>
      </c>
      <c r="C244" s="158" t="s">
        <v>392</v>
      </c>
    </row>
    <row r="245" spans="1:3" x14ac:dyDescent="0.2">
      <c r="A245" s="159">
        <v>231</v>
      </c>
      <c r="B245" s="155" t="s">
        <v>184</v>
      </c>
      <c r="C245" s="158" t="s">
        <v>391</v>
      </c>
    </row>
    <row r="246" spans="1:3" x14ac:dyDescent="0.2">
      <c r="A246" s="159">
        <v>233</v>
      </c>
      <c r="B246" s="155" t="s">
        <v>184</v>
      </c>
      <c r="C246" s="158" t="s">
        <v>391</v>
      </c>
    </row>
    <row r="247" spans="1:3" x14ac:dyDescent="0.2">
      <c r="A247" s="159">
        <v>234</v>
      </c>
      <c r="B247" s="155" t="s">
        <v>184</v>
      </c>
      <c r="C247" s="158" t="s">
        <v>391</v>
      </c>
    </row>
    <row r="248" spans="1:3" x14ac:dyDescent="0.2">
      <c r="A248" s="159">
        <v>235</v>
      </c>
      <c r="B248" s="155" t="s">
        <v>184</v>
      </c>
      <c r="C248" s="158" t="s">
        <v>391</v>
      </c>
    </row>
    <row r="249" spans="1:3" x14ac:dyDescent="0.2">
      <c r="A249" s="159">
        <v>236</v>
      </c>
      <c r="B249" s="155" t="s">
        <v>184</v>
      </c>
      <c r="C249" s="158" t="s">
        <v>391</v>
      </c>
    </row>
    <row r="250" spans="1:3" x14ac:dyDescent="0.2">
      <c r="A250" s="159">
        <v>237</v>
      </c>
      <c r="B250" s="155" t="s">
        <v>184</v>
      </c>
      <c r="C250" s="158" t="s">
        <v>391</v>
      </c>
    </row>
    <row r="251" spans="1:3" x14ac:dyDescent="0.2">
      <c r="A251" s="159">
        <v>238</v>
      </c>
      <c r="B251" s="155" t="s">
        <v>196</v>
      </c>
      <c r="C251" s="158" t="s">
        <v>391</v>
      </c>
    </row>
    <row r="252" spans="1:3" x14ac:dyDescent="0.2">
      <c r="A252" s="159">
        <v>241</v>
      </c>
      <c r="B252" s="155" t="s">
        <v>207</v>
      </c>
      <c r="C252" s="158" t="s">
        <v>391</v>
      </c>
    </row>
    <row r="253" spans="1:3" x14ac:dyDescent="0.2">
      <c r="A253" s="159">
        <v>242</v>
      </c>
      <c r="B253" s="155" t="s">
        <v>208</v>
      </c>
      <c r="C253" s="158" t="s">
        <v>391</v>
      </c>
    </row>
    <row r="254" spans="1:3" x14ac:dyDescent="0.2">
      <c r="A254" s="159">
        <v>243</v>
      </c>
      <c r="B254" s="155" t="s">
        <v>172</v>
      </c>
      <c r="C254" s="158" t="s">
        <v>391</v>
      </c>
    </row>
    <row r="255" spans="1:3" x14ac:dyDescent="0.2">
      <c r="A255" s="159">
        <v>244</v>
      </c>
      <c r="B255" s="155" t="s">
        <v>196</v>
      </c>
      <c r="C255" s="158" t="s">
        <v>391</v>
      </c>
    </row>
    <row r="256" spans="1:3" x14ac:dyDescent="0.2">
      <c r="A256" s="159">
        <v>245</v>
      </c>
      <c r="B256" s="155" t="s">
        <v>208</v>
      </c>
      <c r="C256" s="158" t="s">
        <v>391</v>
      </c>
    </row>
    <row r="257" spans="1:3" x14ac:dyDescent="0.2">
      <c r="A257" s="159">
        <v>246</v>
      </c>
      <c r="B257" s="155" t="s">
        <v>209</v>
      </c>
      <c r="C257" s="158" t="s">
        <v>391</v>
      </c>
    </row>
    <row r="258" spans="1:3" x14ac:dyDescent="0.2">
      <c r="A258" s="159">
        <v>247</v>
      </c>
      <c r="B258" s="155" t="s">
        <v>208</v>
      </c>
      <c r="C258" s="158" t="s">
        <v>391</v>
      </c>
    </row>
    <row r="259" spans="1:3" x14ac:dyDescent="0.2">
      <c r="A259" s="159">
        <v>248</v>
      </c>
      <c r="B259" s="155" t="s">
        <v>196</v>
      </c>
      <c r="C259" s="158" t="s">
        <v>391</v>
      </c>
    </row>
    <row r="260" spans="1:3" x14ac:dyDescent="0.2">
      <c r="A260" s="159">
        <v>249</v>
      </c>
      <c r="B260" s="155" t="s">
        <v>208</v>
      </c>
      <c r="C260" s="158" t="s">
        <v>391</v>
      </c>
    </row>
    <row r="261" spans="1:3" x14ac:dyDescent="0.2">
      <c r="A261" s="159">
        <v>250</v>
      </c>
      <c r="B261" s="155" t="s">
        <v>210</v>
      </c>
      <c r="C261" s="158" t="s">
        <v>392</v>
      </c>
    </row>
    <row r="262" spans="1:3" x14ac:dyDescent="0.2">
      <c r="A262" s="159">
        <v>251</v>
      </c>
      <c r="B262" s="155" t="s">
        <v>210</v>
      </c>
      <c r="C262" s="158" t="s">
        <v>392</v>
      </c>
    </row>
    <row r="263" spans="1:3" x14ac:dyDescent="0.2">
      <c r="A263" s="159">
        <v>252</v>
      </c>
      <c r="B263" s="155" t="s">
        <v>210</v>
      </c>
      <c r="C263" s="158" t="s">
        <v>392</v>
      </c>
    </row>
    <row r="264" spans="1:3" x14ac:dyDescent="0.2">
      <c r="A264" s="159">
        <v>253</v>
      </c>
      <c r="B264" s="155" t="s">
        <v>210</v>
      </c>
      <c r="C264" s="158" t="s">
        <v>392</v>
      </c>
    </row>
    <row r="265" spans="1:3" x14ac:dyDescent="0.2">
      <c r="A265" s="159">
        <v>254</v>
      </c>
      <c r="B265" s="155" t="s">
        <v>211</v>
      </c>
      <c r="C265" s="158" t="s">
        <v>391</v>
      </c>
    </row>
    <row r="266" spans="1:3" x14ac:dyDescent="0.2">
      <c r="A266" s="159">
        <v>255</v>
      </c>
      <c r="B266" s="155" t="s">
        <v>212</v>
      </c>
      <c r="C266" s="158" t="s">
        <v>391</v>
      </c>
    </row>
    <row r="267" spans="1:3" x14ac:dyDescent="0.2">
      <c r="A267" s="159">
        <v>257</v>
      </c>
      <c r="B267" s="155" t="s">
        <v>213</v>
      </c>
      <c r="C267" s="158" t="s">
        <v>391</v>
      </c>
    </row>
    <row r="268" spans="1:3" x14ac:dyDescent="0.2">
      <c r="A268" s="159">
        <v>258</v>
      </c>
      <c r="B268" s="155" t="s">
        <v>214</v>
      </c>
      <c r="C268" s="158" t="s">
        <v>391</v>
      </c>
    </row>
    <row r="269" spans="1:3" x14ac:dyDescent="0.2">
      <c r="A269" s="159">
        <v>259</v>
      </c>
      <c r="B269" s="155" t="s">
        <v>215</v>
      </c>
      <c r="C269" s="158" t="s">
        <v>391</v>
      </c>
    </row>
    <row r="270" spans="1:3" x14ac:dyDescent="0.2">
      <c r="A270" s="159">
        <v>260</v>
      </c>
      <c r="B270" s="155" t="s">
        <v>214</v>
      </c>
      <c r="C270" s="158" t="s">
        <v>392</v>
      </c>
    </row>
    <row r="271" spans="1:3" x14ac:dyDescent="0.2">
      <c r="A271" s="159">
        <v>261</v>
      </c>
      <c r="B271" s="155" t="s">
        <v>214</v>
      </c>
      <c r="C271" s="158" t="s">
        <v>391</v>
      </c>
    </row>
    <row r="272" spans="1:3" x14ac:dyDescent="0.2">
      <c r="A272" s="159">
        <v>262</v>
      </c>
      <c r="B272" s="155" t="s">
        <v>214</v>
      </c>
      <c r="C272" s="158" t="s">
        <v>391</v>
      </c>
    </row>
    <row r="273" spans="1:3" x14ac:dyDescent="0.2">
      <c r="A273" s="159">
        <v>263</v>
      </c>
      <c r="B273" s="155" t="s">
        <v>214</v>
      </c>
      <c r="C273" s="158" t="s">
        <v>391</v>
      </c>
    </row>
    <row r="274" spans="1:3" x14ac:dyDescent="0.2">
      <c r="A274" s="159">
        <v>264</v>
      </c>
      <c r="B274" s="155" t="s">
        <v>214</v>
      </c>
      <c r="C274" s="158" t="s">
        <v>391</v>
      </c>
    </row>
    <row r="275" spans="1:3" x14ac:dyDescent="0.2">
      <c r="A275" s="159">
        <v>265</v>
      </c>
      <c r="B275" s="155" t="s">
        <v>216</v>
      </c>
      <c r="C275" s="158" t="s">
        <v>392</v>
      </c>
    </row>
    <row r="276" spans="1:3" x14ac:dyDescent="0.2">
      <c r="A276" s="159">
        <v>266</v>
      </c>
      <c r="B276" s="155" t="s">
        <v>216</v>
      </c>
      <c r="C276" s="158" t="s">
        <v>392</v>
      </c>
    </row>
    <row r="277" spans="1:3" x14ac:dyDescent="0.2">
      <c r="A277" s="159">
        <v>267</v>
      </c>
      <c r="B277" s="155" t="s">
        <v>216</v>
      </c>
      <c r="C277" s="158" t="s">
        <v>392</v>
      </c>
    </row>
    <row r="278" spans="1:3" x14ac:dyDescent="0.2">
      <c r="A278" s="159">
        <v>268</v>
      </c>
      <c r="B278" s="155" t="s">
        <v>216</v>
      </c>
      <c r="C278" s="158" t="s">
        <v>392</v>
      </c>
    </row>
    <row r="279" spans="1:3" x14ac:dyDescent="0.2">
      <c r="A279" s="159">
        <v>269</v>
      </c>
      <c r="B279" s="155" t="s">
        <v>216</v>
      </c>
      <c r="C279" s="158" t="s">
        <v>392</v>
      </c>
    </row>
    <row r="280" spans="1:3" x14ac:dyDescent="0.2">
      <c r="A280" s="159">
        <v>270</v>
      </c>
      <c r="B280" s="155" t="s">
        <v>216</v>
      </c>
      <c r="C280" s="158" t="s">
        <v>392</v>
      </c>
    </row>
    <row r="281" spans="1:3" x14ac:dyDescent="0.2">
      <c r="A281" s="159">
        <v>271</v>
      </c>
      <c r="B281" s="155" t="s">
        <v>216</v>
      </c>
      <c r="C281" s="158" t="s">
        <v>392</v>
      </c>
    </row>
    <row r="282" spans="1:3" x14ac:dyDescent="0.2">
      <c r="A282" s="159">
        <v>272</v>
      </c>
      <c r="B282" s="155" t="s">
        <v>216</v>
      </c>
      <c r="C282" s="158" t="s">
        <v>392</v>
      </c>
    </row>
    <row r="283" spans="1:3" x14ac:dyDescent="0.2">
      <c r="A283" s="159">
        <v>273</v>
      </c>
      <c r="B283" s="155" t="s">
        <v>216</v>
      </c>
      <c r="C283" s="158" t="s">
        <v>392</v>
      </c>
    </row>
    <row r="284" spans="1:3" x14ac:dyDescent="0.2">
      <c r="A284" s="159">
        <v>274</v>
      </c>
      <c r="B284" s="155" t="s">
        <v>216</v>
      </c>
      <c r="C284" s="158" t="s">
        <v>392</v>
      </c>
    </row>
    <row r="285" spans="1:3" x14ac:dyDescent="0.2">
      <c r="A285" s="159">
        <v>276</v>
      </c>
      <c r="B285" s="155" t="s">
        <v>216</v>
      </c>
      <c r="C285" s="158" t="s">
        <v>392</v>
      </c>
    </row>
    <row r="286" spans="1:3" x14ac:dyDescent="0.2">
      <c r="A286" s="159">
        <v>277</v>
      </c>
      <c r="B286" s="155" t="s">
        <v>217</v>
      </c>
      <c r="C286" s="158" t="s">
        <v>392</v>
      </c>
    </row>
    <row r="287" spans="1:3" x14ac:dyDescent="0.2">
      <c r="A287" s="159">
        <v>278</v>
      </c>
      <c r="B287" s="155" t="s">
        <v>218</v>
      </c>
      <c r="C287" s="158" t="s">
        <v>392</v>
      </c>
    </row>
    <row r="288" spans="1:3" x14ac:dyDescent="0.2">
      <c r="A288" s="159">
        <v>279</v>
      </c>
      <c r="B288" s="155" t="s">
        <v>219</v>
      </c>
      <c r="C288" s="158" t="s">
        <v>392</v>
      </c>
    </row>
    <row r="289" spans="1:3" x14ac:dyDescent="0.2">
      <c r="A289" s="159">
        <v>280</v>
      </c>
      <c r="B289" s="155" t="s">
        <v>220</v>
      </c>
      <c r="C289" s="158" t="s">
        <v>392</v>
      </c>
    </row>
    <row r="290" spans="1:3" x14ac:dyDescent="0.2">
      <c r="A290" s="159">
        <v>281</v>
      </c>
      <c r="B290" s="155" t="s">
        <v>221</v>
      </c>
      <c r="C290" s="158" t="s">
        <v>391</v>
      </c>
    </row>
    <row r="291" spans="1:3" x14ac:dyDescent="0.2">
      <c r="A291" s="159">
        <v>283</v>
      </c>
      <c r="B291" s="155" t="s">
        <v>222</v>
      </c>
      <c r="C291" s="158" t="s">
        <v>391</v>
      </c>
    </row>
    <row r="292" spans="1:3" x14ac:dyDescent="0.2">
      <c r="A292" s="159">
        <v>284</v>
      </c>
      <c r="B292" s="155" t="s">
        <v>164</v>
      </c>
      <c r="C292" s="158" t="s">
        <v>392</v>
      </c>
    </row>
    <row r="293" spans="1:3" x14ac:dyDescent="0.2">
      <c r="A293" s="159">
        <v>285</v>
      </c>
      <c r="B293" s="155" t="s">
        <v>164</v>
      </c>
      <c r="C293" s="158" t="s">
        <v>392</v>
      </c>
    </row>
    <row r="294" spans="1:3" x14ac:dyDescent="0.2">
      <c r="A294" s="159">
        <v>286</v>
      </c>
      <c r="B294" s="155" t="s">
        <v>223</v>
      </c>
      <c r="C294" s="158" t="s">
        <v>392</v>
      </c>
    </row>
    <row r="295" spans="1:3" x14ac:dyDescent="0.2">
      <c r="A295" s="159">
        <v>287</v>
      </c>
      <c r="B295" s="155" t="s">
        <v>224</v>
      </c>
      <c r="C295" s="158" t="s">
        <v>392</v>
      </c>
    </row>
    <row r="296" spans="1:3" x14ac:dyDescent="0.2">
      <c r="A296" s="159">
        <v>288</v>
      </c>
      <c r="B296" s="155" t="s">
        <v>225</v>
      </c>
      <c r="C296" s="158" t="s">
        <v>392</v>
      </c>
    </row>
    <row r="297" spans="1:3" x14ac:dyDescent="0.2">
      <c r="A297" s="159">
        <v>289</v>
      </c>
      <c r="B297" s="155" t="s">
        <v>225</v>
      </c>
      <c r="C297" s="158" t="s">
        <v>392</v>
      </c>
    </row>
    <row r="298" spans="1:3" x14ac:dyDescent="0.2">
      <c r="A298" s="159">
        <v>290</v>
      </c>
      <c r="B298" s="155" t="s">
        <v>225</v>
      </c>
      <c r="C298" s="158" t="s">
        <v>392</v>
      </c>
    </row>
    <row r="299" spans="1:3" x14ac:dyDescent="0.2">
      <c r="A299" s="159">
        <v>291</v>
      </c>
      <c r="B299" s="155" t="s">
        <v>225</v>
      </c>
      <c r="C299" s="158" t="s">
        <v>392</v>
      </c>
    </row>
    <row r="300" spans="1:3" x14ac:dyDescent="0.2">
      <c r="A300" s="159">
        <v>292</v>
      </c>
      <c r="B300" s="155" t="s">
        <v>225</v>
      </c>
      <c r="C300" s="158" t="s">
        <v>392</v>
      </c>
    </row>
    <row r="301" spans="1:3" x14ac:dyDescent="0.2">
      <c r="A301" s="159">
        <v>297</v>
      </c>
      <c r="B301" s="155" t="s">
        <v>225</v>
      </c>
      <c r="C301" s="158" t="s">
        <v>392</v>
      </c>
    </row>
    <row r="302" spans="1:3" x14ac:dyDescent="0.2">
      <c r="A302" s="159">
        <v>298</v>
      </c>
      <c r="B302" s="155" t="s">
        <v>225</v>
      </c>
      <c r="C302" s="158" t="s">
        <v>392</v>
      </c>
    </row>
    <row r="303" spans="1:3" x14ac:dyDescent="0.2">
      <c r="A303" s="159">
        <v>299</v>
      </c>
      <c r="B303" s="155" t="s">
        <v>225</v>
      </c>
      <c r="C303" s="158" t="s">
        <v>392</v>
      </c>
    </row>
    <row r="304" spans="1:3" x14ac:dyDescent="0.2">
      <c r="A304" s="159">
        <v>300</v>
      </c>
      <c r="B304" s="155" t="s">
        <v>226</v>
      </c>
      <c r="C304" s="158" t="s">
        <v>391</v>
      </c>
    </row>
    <row r="305" spans="1:3" x14ac:dyDescent="0.2">
      <c r="A305" s="159">
        <v>301</v>
      </c>
      <c r="B305" s="155" t="s">
        <v>227</v>
      </c>
      <c r="C305" s="158" t="s">
        <v>391</v>
      </c>
    </row>
    <row r="306" spans="1:3" x14ac:dyDescent="0.2">
      <c r="A306" s="159">
        <v>302</v>
      </c>
      <c r="B306" s="155" t="s">
        <v>228</v>
      </c>
      <c r="C306" s="158" t="s">
        <v>391</v>
      </c>
    </row>
    <row r="307" spans="1:3" x14ac:dyDescent="0.2">
      <c r="A307" s="159">
        <v>303</v>
      </c>
      <c r="B307" s="155" t="s">
        <v>225</v>
      </c>
      <c r="C307" s="158" t="s">
        <v>392</v>
      </c>
    </row>
    <row r="308" spans="1:3" x14ac:dyDescent="0.2">
      <c r="A308" s="159">
        <v>304</v>
      </c>
      <c r="B308" s="155" t="s">
        <v>225</v>
      </c>
      <c r="C308" s="158" t="s">
        <v>392</v>
      </c>
    </row>
    <row r="309" spans="1:3" x14ac:dyDescent="0.2">
      <c r="A309" s="159">
        <v>305</v>
      </c>
      <c r="B309" s="155" t="s">
        <v>229</v>
      </c>
      <c r="C309" s="158" t="s">
        <v>391</v>
      </c>
    </row>
    <row r="310" spans="1:3" x14ac:dyDescent="0.2">
      <c r="A310" s="159">
        <v>306</v>
      </c>
      <c r="B310" s="155" t="s">
        <v>229</v>
      </c>
      <c r="C310" s="158" t="s">
        <v>391</v>
      </c>
    </row>
    <row r="311" spans="1:3" x14ac:dyDescent="0.2">
      <c r="A311" s="159">
        <v>307</v>
      </c>
      <c r="B311" s="155" t="s">
        <v>229</v>
      </c>
      <c r="C311" s="158" t="s">
        <v>391</v>
      </c>
    </row>
    <row r="312" spans="1:3" x14ac:dyDescent="0.2">
      <c r="A312" s="159">
        <v>308</v>
      </c>
      <c r="B312" s="155" t="s">
        <v>229</v>
      </c>
      <c r="C312" s="158" t="s">
        <v>391</v>
      </c>
    </row>
    <row r="313" spans="1:3" x14ac:dyDescent="0.2">
      <c r="A313" s="159">
        <v>309</v>
      </c>
      <c r="B313" s="155" t="s">
        <v>230</v>
      </c>
      <c r="C313" s="158" t="s">
        <v>391</v>
      </c>
    </row>
    <row r="314" spans="1:3" x14ac:dyDescent="0.2">
      <c r="A314" s="159">
        <v>310</v>
      </c>
      <c r="B314" s="155" t="s">
        <v>231</v>
      </c>
      <c r="C314" s="158" t="s">
        <v>391</v>
      </c>
    </row>
    <row r="315" spans="1:3" x14ac:dyDescent="0.2">
      <c r="A315" s="159">
        <v>312</v>
      </c>
      <c r="B315" s="155" t="s">
        <v>232</v>
      </c>
      <c r="C315" s="158" t="s">
        <v>391</v>
      </c>
    </row>
    <row r="316" spans="1:3" x14ac:dyDescent="0.2">
      <c r="A316" s="159">
        <v>313</v>
      </c>
      <c r="B316" s="155" t="s">
        <v>233</v>
      </c>
      <c r="C316" s="158" t="s">
        <v>392</v>
      </c>
    </row>
    <row r="317" spans="1:3" x14ac:dyDescent="0.2">
      <c r="A317" s="159">
        <v>314</v>
      </c>
      <c r="B317" s="155" t="s">
        <v>234</v>
      </c>
      <c r="C317" s="158" t="s">
        <v>392</v>
      </c>
    </row>
    <row r="318" spans="1:3" x14ac:dyDescent="0.2">
      <c r="A318" s="159">
        <v>315</v>
      </c>
      <c r="B318" s="155" t="s">
        <v>235</v>
      </c>
      <c r="C318" s="158" t="s">
        <v>392</v>
      </c>
    </row>
    <row r="319" spans="1:3" x14ac:dyDescent="0.2">
      <c r="A319" s="159">
        <v>316</v>
      </c>
      <c r="B319" s="155" t="s">
        <v>236</v>
      </c>
      <c r="C319" s="158" t="s">
        <v>391</v>
      </c>
    </row>
    <row r="320" spans="1:3" x14ac:dyDescent="0.2">
      <c r="A320" s="159">
        <v>317</v>
      </c>
      <c r="B320" s="155" t="s">
        <v>236</v>
      </c>
      <c r="C320" s="158" t="s">
        <v>391</v>
      </c>
    </row>
    <row r="321" spans="1:3" x14ac:dyDescent="0.2">
      <c r="A321" s="159">
        <v>318</v>
      </c>
      <c r="B321" s="155" t="s">
        <v>236</v>
      </c>
      <c r="C321" s="158" t="s">
        <v>391</v>
      </c>
    </row>
    <row r="322" spans="1:3" x14ac:dyDescent="0.2">
      <c r="A322" s="159">
        <v>319</v>
      </c>
      <c r="B322" s="155" t="s">
        <v>237</v>
      </c>
      <c r="C322" s="158" t="s">
        <v>391</v>
      </c>
    </row>
    <row r="323" spans="1:3" x14ac:dyDescent="0.2">
      <c r="A323" s="159">
        <v>320</v>
      </c>
      <c r="B323" s="155" t="s">
        <v>236</v>
      </c>
      <c r="C323" s="158" t="s">
        <v>391</v>
      </c>
    </row>
    <row r="324" spans="1:3" x14ac:dyDescent="0.2">
      <c r="A324" s="159">
        <v>321</v>
      </c>
      <c r="B324" s="155" t="s">
        <v>236</v>
      </c>
      <c r="C324" s="158" t="s">
        <v>391</v>
      </c>
    </row>
    <row r="325" spans="1:3" x14ac:dyDescent="0.2">
      <c r="A325" s="159">
        <v>322</v>
      </c>
      <c r="B325" s="155" t="s">
        <v>236</v>
      </c>
      <c r="C325" s="158" t="s">
        <v>391</v>
      </c>
    </row>
    <row r="326" spans="1:3" x14ac:dyDescent="0.2">
      <c r="A326" s="159">
        <v>323</v>
      </c>
      <c r="B326" s="155" t="s">
        <v>236</v>
      </c>
      <c r="C326" s="158" t="s">
        <v>391</v>
      </c>
    </row>
    <row r="327" spans="1:3" x14ac:dyDescent="0.2">
      <c r="A327" s="159">
        <v>324</v>
      </c>
      <c r="B327" s="155" t="s">
        <v>238</v>
      </c>
      <c r="C327" s="158" t="s">
        <v>391</v>
      </c>
    </row>
    <row r="328" spans="1:3" x14ac:dyDescent="0.2">
      <c r="A328" s="159">
        <v>325</v>
      </c>
      <c r="B328" s="155" t="s">
        <v>239</v>
      </c>
      <c r="C328" s="158" t="s">
        <v>391</v>
      </c>
    </row>
    <row r="329" spans="1:3" x14ac:dyDescent="0.2">
      <c r="A329" s="159">
        <v>326</v>
      </c>
      <c r="B329" s="155" t="s">
        <v>239</v>
      </c>
      <c r="C329" s="158" t="s">
        <v>391</v>
      </c>
    </row>
    <row r="330" spans="1:3" x14ac:dyDescent="0.2">
      <c r="A330" s="159">
        <v>327</v>
      </c>
      <c r="B330" s="155" t="s">
        <v>239</v>
      </c>
      <c r="C330" s="158" t="s">
        <v>391</v>
      </c>
    </row>
    <row r="331" spans="1:3" x14ac:dyDescent="0.2">
      <c r="A331" s="159">
        <v>328</v>
      </c>
      <c r="B331" s="155" t="s">
        <v>239</v>
      </c>
      <c r="C331" s="158" t="s">
        <v>391</v>
      </c>
    </row>
    <row r="332" spans="1:3" x14ac:dyDescent="0.2">
      <c r="A332" s="159">
        <v>329</v>
      </c>
      <c r="B332" s="155" t="s">
        <v>239</v>
      </c>
      <c r="C332" s="158" t="s">
        <v>391</v>
      </c>
    </row>
    <row r="333" spans="1:3" x14ac:dyDescent="0.2">
      <c r="A333" s="159">
        <v>330</v>
      </c>
      <c r="B333" s="155" t="s">
        <v>239</v>
      </c>
      <c r="C333" s="158" t="s">
        <v>391</v>
      </c>
    </row>
    <row r="334" spans="1:3" x14ac:dyDescent="0.2">
      <c r="A334" s="159">
        <v>331</v>
      </c>
      <c r="B334" s="155" t="s">
        <v>239</v>
      </c>
      <c r="C334" s="158" t="s">
        <v>391</v>
      </c>
    </row>
    <row r="335" spans="1:3" x14ac:dyDescent="0.2">
      <c r="A335" s="159">
        <v>332</v>
      </c>
      <c r="B335" s="155" t="s">
        <v>239</v>
      </c>
      <c r="C335" s="158" t="s">
        <v>392</v>
      </c>
    </row>
    <row r="336" spans="1:3" x14ac:dyDescent="0.2">
      <c r="A336" s="159">
        <v>334</v>
      </c>
      <c r="B336" s="155" t="s">
        <v>240</v>
      </c>
      <c r="C336" s="158" t="s">
        <v>391</v>
      </c>
    </row>
    <row r="337" spans="1:3" x14ac:dyDescent="0.2">
      <c r="A337" s="159">
        <v>335</v>
      </c>
      <c r="B337" s="155" t="s">
        <v>241</v>
      </c>
      <c r="C337" s="158" t="s">
        <v>391</v>
      </c>
    </row>
    <row r="338" spans="1:3" x14ac:dyDescent="0.2">
      <c r="A338" s="159">
        <v>336</v>
      </c>
      <c r="B338" s="155" t="s">
        <v>242</v>
      </c>
      <c r="C338" s="158" t="s">
        <v>392</v>
      </c>
    </row>
    <row r="339" spans="1:3" x14ac:dyDescent="0.2">
      <c r="A339" s="159">
        <v>337</v>
      </c>
      <c r="B339" s="155" t="s">
        <v>242</v>
      </c>
      <c r="C339" s="158" t="s">
        <v>392</v>
      </c>
    </row>
    <row r="340" spans="1:3" x14ac:dyDescent="0.2">
      <c r="A340" s="159">
        <v>338</v>
      </c>
      <c r="B340" s="155" t="s">
        <v>243</v>
      </c>
      <c r="C340" s="158" t="s">
        <v>391</v>
      </c>
    </row>
    <row r="341" spans="1:3" x14ac:dyDescent="0.2">
      <c r="A341" s="159">
        <v>339</v>
      </c>
      <c r="B341" s="155" t="s">
        <v>244</v>
      </c>
      <c r="C341" s="158" t="s">
        <v>392</v>
      </c>
    </row>
    <row r="342" spans="1:3" x14ac:dyDescent="0.2">
      <c r="A342" s="159">
        <v>340</v>
      </c>
      <c r="B342" s="155" t="s">
        <v>244</v>
      </c>
      <c r="C342" s="158" t="s">
        <v>392</v>
      </c>
    </row>
    <row r="343" spans="1:3" x14ac:dyDescent="0.2">
      <c r="A343" s="159">
        <v>341</v>
      </c>
      <c r="B343" s="155" t="s">
        <v>244</v>
      </c>
      <c r="C343" s="158" t="s">
        <v>392</v>
      </c>
    </row>
    <row r="344" spans="1:3" x14ac:dyDescent="0.2">
      <c r="A344" s="159">
        <v>342</v>
      </c>
      <c r="B344" s="155" t="s">
        <v>245</v>
      </c>
      <c r="C344" s="158" t="s">
        <v>391</v>
      </c>
    </row>
    <row r="345" spans="1:3" x14ac:dyDescent="0.2">
      <c r="A345" s="159">
        <v>343</v>
      </c>
      <c r="B345" s="155" t="s">
        <v>246</v>
      </c>
      <c r="C345" s="158" t="s">
        <v>391</v>
      </c>
    </row>
    <row r="346" spans="1:3" x14ac:dyDescent="0.2">
      <c r="A346" s="159">
        <v>344</v>
      </c>
      <c r="B346" s="155" t="s">
        <v>247</v>
      </c>
      <c r="C346" s="158" t="s">
        <v>391</v>
      </c>
    </row>
    <row r="347" spans="1:3" x14ac:dyDescent="0.2">
      <c r="A347" s="159">
        <v>344</v>
      </c>
      <c r="B347" s="155" t="s">
        <v>247</v>
      </c>
      <c r="C347" s="158" t="s">
        <v>392</v>
      </c>
    </row>
    <row r="348" spans="1:3" x14ac:dyDescent="0.2">
      <c r="A348" s="159">
        <v>345</v>
      </c>
      <c r="B348" s="155" t="s">
        <v>248</v>
      </c>
      <c r="C348" s="158" t="s">
        <v>391</v>
      </c>
    </row>
    <row r="349" spans="1:3" x14ac:dyDescent="0.2">
      <c r="A349" s="159">
        <v>346</v>
      </c>
      <c r="B349" s="155" t="s">
        <v>249</v>
      </c>
      <c r="C349" s="158" t="s">
        <v>392</v>
      </c>
    </row>
    <row r="350" spans="1:3" x14ac:dyDescent="0.2">
      <c r="A350" s="159">
        <v>347</v>
      </c>
      <c r="B350" s="155" t="s">
        <v>250</v>
      </c>
      <c r="C350" s="158" t="s">
        <v>392</v>
      </c>
    </row>
    <row r="351" spans="1:3" x14ac:dyDescent="0.2">
      <c r="A351" s="159">
        <v>348</v>
      </c>
      <c r="B351" s="155" t="s">
        <v>250</v>
      </c>
      <c r="C351" s="158" t="s">
        <v>392</v>
      </c>
    </row>
    <row r="352" spans="1:3" x14ac:dyDescent="0.2">
      <c r="A352" s="159">
        <v>349</v>
      </c>
      <c r="B352" s="155" t="s">
        <v>196</v>
      </c>
      <c r="C352" s="158" t="s">
        <v>391</v>
      </c>
    </row>
    <row r="353" spans="1:3" x14ac:dyDescent="0.2">
      <c r="A353" s="159">
        <v>350</v>
      </c>
      <c r="B353" s="155" t="s">
        <v>251</v>
      </c>
      <c r="C353" s="158" t="s">
        <v>392</v>
      </c>
    </row>
    <row r="354" spans="1:3" x14ac:dyDescent="0.2">
      <c r="A354" s="159">
        <v>351</v>
      </c>
      <c r="B354" s="155" t="s">
        <v>252</v>
      </c>
      <c r="C354" s="158" t="s">
        <v>391</v>
      </c>
    </row>
    <row r="355" spans="1:3" x14ac:dyDescent="0.2">
      <c r="A355" s="159">
        <v>352</v>
      </c>
      <c r="B355" s="155" t="s">
        <v>253</v>
      </c>
      <c r="C355" s="158" t="s">
        <v>391</v>
      </c>
    </row>
    <row r="356" spans="1:3" x14ac:dyDescent="0.2">
      <c r="A356" s="159">
        <v>353</v>
      </c>
      <c r="B356" s="155" t="s">
        <v>254</v>
      </c>
      <c r="C356" s="158" t="s">
        <v>391</v>
      </c>
    </row>
    <row r="357" spans="1:3" x14ac:dyDescent="0.2">
      <c r="A357" s="159">
        <v>354</v>
      </c>
      <c r="B357" s="155" t="s">
        <v>171</v>
      </c>
      <c r="C357" s="158" t="s">
        <v>392</v>
      </c>
    </row>
    <row r="358" spans="1:3" x14ac:dyDescent="0.2">
      <c r="A358" s="159">
        <v>355</v>
      </c>
      <c r="B358" s="155" t="s">
        <v>255</v>
      </c>
      <c r="C358" s="158" t="s">
        <v>391</v>
      </c>
    </row>
    <row r="359" spans="1:3" x14ac:dyDescent="0.2">
      <c r="A359" s="159">
        <v>357</v>
      </c>
      <c r="B359" s="155" t="s">
        <v>256</v>
      </c>
      <c r="C359" s="158" t="s">
        <v>392</v>
      </c>
    </row>
    <row r="360" spans="1:3" x14ac:dyDescent="0.2">
      <c r="A360" s="159">
        <v>358</v>
      </c>
      <c r="B360" s="155" t="s">
        <v>256</v>
      </c>
      <c r="C360" s="158" t="s">
        <v>392</v>
      </c>
    </row>
    <row r="361" spans="1:3" x14ac:dyDescent="0.2">
      <c r="A361" s="159">
        <v>359</v>
      </c>
      <c r="B361" s="155" t="s">
        <v>256</v>
      </c>
      <c r="C361" s="158" t="s">
        <v>392</v>
      </c>
    </row>
    <row r="362" spans="1:3" x14ac:dyDescent="0.2">
      <c r="A362" s="159">
        <v>360</v>
      </c>
      <c r="B362" s="155" t="s">
        <v>256</v>
      </c>
      <c r="C362" s="158" t="s">
        <v>392</v>
      </c>
    </row>
    <row r="363" spans="1:3" x14ac:dyDescent="0.2">
      <c r="A363" s="159">
        <v>361</v>
      </c>
      <c r="B363" s="155" t="s">
        <v>256</v>
      </c>
      <c r="C363" s="158" t="s">
        <v>392</v>
      </c>
    </row>
    <row r="364" spans="1:3" x14ac:dyDescent="0.2">
      <c r="A364" s="159">
        <v>362</v>
      </c>
      <c r="B364" s="155" t="s">
        <v>256</v>
      </c>
      <c r="C364" s="158" t="s">
        <v>392</v>
      </c>
    </row>
    <row r="365" spans="1:3" x14ac:dyDescent="0.2">
      <c r="A365" s="159">
        <v>363</v>
      </c>
      <c r="B365" s="155" t="s">
        <v>256</v>
      </c>
      <c r="C365" s="158" t="s">
        <v>392</v>
      </c>
    </row>
    <row r="366" spans="1:3" x14ac:dyDescent="0.2">
      <c r="A366" s="159">
        <v>364</v>
      </c>
      <c r="B366" s="155" t="s">
        <v>256</v>
      </c>
      <c r="C366" s="158" t="s">
        <v>392</v>
      </c>
    </row>
    <row r="367" spans="1:3" x14ac:dyDescent="0.2">
      <c r="A367" s="159">
        <v>365</v>
      </c>
      <c r="B367" s="155" t="s">
        <v>256</v>
      </c>
      <c r="C367" s="158" t="s">
        <v>392</v>
      </c>
    </row>
    <row r="368" spans="1:3" x14ac:dyDescent="0.2">
      <c r="A368" s="159">
        <v>366</v>
      </c>
      <c r="B368" s="155" t="s">
        <v>256</v>
      </c>
      <c r="C368" s="158" t="s">
        <v>392</v>
      </c>
    </row>
    <row r="369" spans="1:3" x14ac:dyDescent="0.2">
      <c r="A369" s="159">
        <v>367</v>
      </c>
      <c r="B369" s="155" t="s">
        <v>256</v>
      </c>
      <c r="C369" s="158" t="s">
        <v>392</v>
      </c>
    </row>
    <row r="370" spans="1:3" x14ac:dyDescent="0.2">
      <c r="A370" s="159">
        <v>368</v>
      </c>
      <c r="B370" s="155" t="s">
        <v>256</v>
      </c>
      <c r="C370" s="158" t="s">
        <v>392</v>
      </c>
    </row>
    <row r="371" spans="1:3" x14ac:dyDescent="0.2">
      <c r="A371" s="159">
        <v>369</v>
      </c>
      <c r="B371" s="155" t="s">
        <v>256</v>
      </c>
      <c r="C371" s="158" t="s">
        <v>392</v>
      </c>
    </row>
    <row r="372" spans="1:3" x14ac:dyDescent="0.2">
      <c r="A372" s="159">
        <v>370</v>
      </c>
      <c r="B372" s="155" t="s">
        <v>256</v>
      </c>
      <c r="C372" s="158" t="s">
        <v>392</v>
      </c>
    </row>
    <row r="373" spans="1:3" x14ac:dyDescent="0.2">
      <c r="A373" s="159">
        <v>371</v>
      </c>
      <c r="B373" s="155" t="s">
        <v>256</v>
      </c>
      <c r="C373" s="158" t="s">
        <v>392</v>
      </c>
    </row>
    <row r="374" spans="1:3" x14ac:dyDescent="0.2">
      <c r="A374" s="159">
        <v>372</v>
      </c>
      <c r="B374" s="155" t="s">
        <v>236</v>
      </c>
      <c r="C374" s="158" t="s">
        <v>391</v>
      </c>
    </row>
    <row r="375" spans="1:3" x14ac:dyDescent="0.2">
      <c r="A375" s="159">
        <v>373</v>
      </c>
      <c r="B375" s="155" t="s">
        <v>184</v>
      </c>
      <c r="C375" s="158" t="s">
        <v>391</v>
      </c>
    </row>
    <row r="376" spans="1:3" x14ac:dyDescent="0.2">
      <c r="A376" s="159">
        <v>374</v>
      </c>
      <c r="B376" s="155" t="s">
        <v>184</v>
      </c>
      <c r="C376" s="158" t="s">
        <v>391</v>
      </c>
    </row>
    <row r="377" spans="1:3" x14ac:dyDescent="0.2">
      <c r="A377" s="159">
        <v>375</v>
      </c>
      <c r="B377" s="155" t="s">
        <v>184</v>
      </c>
      <c r="C377" s="158" t="s">
        <v>391</v>
      </c>
    </row>
    <row r="378" spans="1:3" x14ac:dyDescent="0.2">
      <c r="A378" s="159">
        <v>376</v>
      </c>
      <c r="B378" s="155" t="s">
        <v>184</v>
      </c>
      <c r="C378" s="158" t="s">
        <v>391</v>
      </c>
    </row>
    <row r="379" spans="1:3" x14ac:dyDescent="0.2">
      <c r="A379" s="159">
        <v>377</v>
      </c>
      <c r="B379" s="155" t="s">
        <v>184</v>
      </c>
      <c r="C379" s="158" t="s">
        <v>391</v>
      </c>
    </row>
    <row r="380" spans="1:3" x14ac:dyDescent="0.2">
      <c r="A380" s="159">
        <v>378</v>
      </c>
      <c r="B380" s="155" t="s">
        <v>184</v>
      </c>
      <c r="C380" s="158" t="s">
        <v>391</v>
      </c>
    </row>
    <row r="381" spans="1:3" x14ac:dyDescent="0.2">
      <c r="A381" s="159">
        <v>380</v>
      </c>
      <c r="B381" s="155" t="s">
        <v>184</v>
      </c>
      <c r="C381" s="158" t="s">
        <v>391</v>
      </c>
    </row>
    <row r="382" spans="1:3" x14ac:dyDescent="0.2">
      <c r="A382" s="159">
        <v>381</v>
      </c>
      <c r="B382" s="155" t="s">
        <v>184</v>
      </c>
      <c r="C382" s="158" t="s">
        <v>391</v>
      </c>
    </row>
    <row r="383" spans="1:3" x14ac:dyDescent="0.2">
      <c r="A383" s="159">
        <v>382</v>
      </c>
      <c r="B383" s="155" t="s">
        <v>184</v>
      </c>
      <c r="C383" s="158" t="s">
        <v>391</v>
      </c>
    </row>
    <row r="384" spans="1:3" x14ac:dyDescent="0.2">
      <c r="A384" s="159">
        <v>384</v>
      </c>
      <c r="B384" s="155" t="s">
        <v>196</v>
      </c>
      <c r="C384" s="158" t="s">
        <v>391</v>
      </c>
    </row>
    <row r="385" spans="1:3" x14ac:dyDescent="0.2">
      <c r="A385" s="159">
        <v>385</v>
      </c>
      <c r="B385" s="155" t="s">
        <v>184</v>
      </c>
      <c r="C385" s="158" t="s">
        <v>392</v>
      </c>
    </row>
    <row r="386" spans="1:3" x14ac:dyDescent="0.2">
      <c r="A386" s="159">
        <v>386</v>
      </c>
      <c r="B386" s="155" t="s">
        <v>164</v>
      </c>
      <c r="C386" s="158" t="s">
        <v>392</v>
      </c>
    </row>
    <row r="387" spans="1:3" x14ac:dyDescent="0.2">
      <c r="A387" s="159">
        <v>387</v>
      </c>
      <c r="B387" s="155" t="s">
        <v>189</v>
      </c>
      <c r="C387" s="158" t="s">
        <v>392</v>
      </c>
    </row>
    <row r="388" spans="1:3" x14ac:dyDescent="0.2">
      <c r="A388" s="159">
        <v>388</v>
      </c>
      <c r="B388" s="155" t="s">
        <v>184</v>
      </c>
      <c r="C388" s="158" t="s">
        <v>392</v>
      </c>
    </row>
    <row r="389" spans="1:3" x14ac:dyDescent="0.2">
      <c r="A389" s="159">
        <v>389</v>
      </c>
      <c r="B389" s="155" t="s">
        <v>175</v>
      </c>
      <c r="C389" s="158" t="s">
        <v>392</v>
      </c>
    </row>
    <row r="390" spans="1:3" x14ac:dyDescent="0.2">
      <c r="A390" s="159">
        <v>390</v>
      </c>
      <c r="B390" s="155" t="s">
        <v>184</v>
      </c>
      <c r="C390" s="158" t="s">
        <v>391</v>
      </c>
    </row>
    <row r="391" spans="1:3" x14ac:dyDescent="0.2">
      <c r="A391" s="159">
        <v>391</v>
      </c>
      <c r="B391" s="155" t="s">
        <v>257</v>
      </c>
      <c r="C391" s="158" t="s">
        <v>392</v>
      </c>
    </row>
    <row r="392" spans="1:3" x14ac:dyDescent="0.2">
      <c r="A392" s="159">
        <v>392</v>
      </c>
      <c r="B392" s="155" t="s">
        <v>258</v>
      </c>
      <c r="C392" s="158" t="s">
        <v>391</v>
      </c>
    </row>
    <row r="393" spans="1:3" x14ac:dyDescent="0.2">
      <c r="A393" s="159">
        <v>393</v>
      </c>
      <c r="B393" s="155" t="s">
        <v>259</v>
      </c>
      <c r="C393" s="158" t="s">
        <v>391</v>
      </c>
    </row>
    <row r="394" spans="1:3" x14ac:dyDescent="0.2">
      <c r="A394" s="159">
        <v>394</v>
      </c>
      <c r="B394" s="155" t="s">
        <v>215</v>
      </c>
      <c r="C394" s="158" t="s">
        <v>391</v>
      </c>
    </row>
    <row r="395" spans="1:3" x14ac:dyDescent="0.2">
      <c r="A395" s="159">
        <v>395</v>
      </c>
      <c r="B395" s="155" t="s">
        <v>260</v>
      </c>
      <c r="C395" s="158" t="s">
        <v>391</v>
      </c>
    </row>
    <row r="396" spans="1:3" x14ac:dyDescent="0.2">
      <c r="A396" s="159">
        <v>396</v>
      </c>
      <c r="B396" s="155" t="s">
        <v>194</v>
      </c>
      <c r="C396" s="158" t="s">
        <v>391</v>
      </c>
    </row>
    <row r="397" spans="1:3" x14ac:dyDescent="0.2">
      <c r="A397" s="159">
        <v>397</v>
      </c>
      <c r="B397" s="155" t="s">
        <v>261</v>
      </c>
      <c r="C397" s="158" t="s">
        <v>391</v>
      </c>
    </row>
    <row r="398" spans="1:3" x14ac:dyDescent="0.2">
      <c r="A398" s="159">
        <v>398</v>
      </c>
      <c r="B398" s="155" t="s">
        <v>262</v>
      </c>
      <c r="C398" s="158" t="s">
        <v>391</v>
      </c>
    </row>
    <row r="399" spans="1:3" x14ac:dyDescent="0.2">
      <c r="A399" s="159">
        <v>399</v>
      </c>
      <c r="B399" s="155" t="s">
        <v>263</v>
      </c>
      <c r="C399" s="158" t="s">
        <v>392</v>
      </c>
    </row>
    <row r="400" spans="1:3" x14ac:dyDescent="0.2">
      <c r="A400" s="159">
        <v>400</v>
      </c>
      <c r="B400" s="155" t="s">
        <v>214</v>
      </c>
      <c r="C400" s="158" t="s">
        <v>391</v>
      </c>
    </row>
    <row r="401" spans="1:3" x14ac:dyDescent="0.2">
      <c r="A401" s="159">
        <v>401</v>
      </c>
      <c r="B401" s="155" t="s">
        <v>264</v>
      </c>
      <c r="C401" s="158" t="s">
        <v>392</v>
      </c>
    </row>
    <row r="402" spans="1:3" x14ac:dyDescent="0.2">
      <c r="A402" s="159">
        <v>403</v>
      </c>
      <c r="B402" s="155" t="s">
        <v>170</v>
      </c>
      <c r="C402" s="158" t="s">
        <v>391</v>
      </c>
    </row>
    <row r="403" spans="1:3" x14ac:dyDescent="0.2">
      <c r="A403" s="159">
        <v>404</v>
      </c>
      <c r="B403" s="155" t="s">
        <v>265</v>
      </c>
      <c r="C403" s="158" t="s">
        <v>391</v>
      </c>
    </row>
    <row r="404" spans="1:3" x14ac:dyDescent="0.2">
      <c r="A404" s="159">
        <v>405</v>
      </c>
      <c r="B404" s="155" t="s">
        <v>266</v>
      </c>
      <c r="C404" s="158" t="s">
        <v>392</v>
      </c>
    </row>
    <row r="405" spans="1:3" x14ac:dyDescent="0.2">
      <c r="A405" s="159">
        <v>406</v>
      </c>
      <c r="B405" s="155" t="s">
        <v>267</v>
      </c>
      <c r="C405" s="158" t="s">
        <v>392</v>
      </c>
    </row>
    <row r="406" spans="1:3" x14ac:dyDescent="0.2">
      <c r="A406" s="159">
        <v>407</v>
      </c>
      <c r="B406" s="155" t="s">
        <v>268</v>
      </c>
      <c r="C406" s="158" t="s">
        <v>392</v>
      </c>
    </row>
    <row r="407" spans="1:3" x14ac:dyDescent="0.2">
      <c r="A407" s="159">
        <v>408</v>
      </c>
      <c r="B407" s="155" t="s">
        <v>269</v>
      </c>
      <c r="C407" s="158" t="s">
        <v>392</v>
      </c>
    </row>
    <row r="408" spans="1:3" x14ac:dyDescent="0.2">
      <c r="A408" s="159">
        <v>409</v>
      </c>
      <c r="B408" s="155" t="s">
        <v>270</v>
      </c>
      <c r="C408" s="158" t="s">
        <v>392</v>
      </c>
    </row>
    <row r="409" spans="1:3" x14ac:dyDescent="0.2">
      <c r="A409" s="159">
        <v>410</v>
      </c>
      <c r="B409" s="155" t="s">
        <v>271</v>
      </c>
      <c r="C409" s="158" t="s">
        <v>392</v>
      </c>
    </row>
    <row r="410" spans="1:3" x14ac:dyDescent="0.2">
      <c r="A410" s="159">
        <v>411</v>
      </c>
      <c r="B410" s="155" t="s">
        <v>272</v>
      </c>
      <c r="C410" s="158" t="s">
        <v>392</v>
      </c>
    </row>
    <row r="411" spans="1:3" x14ac:dyDescent="0.2">
      <c r="A411" s="159">
        <v>412</v>
      </c>
      <c r="B411" s="155" t="s">
        <v>273</v>
      </c>
      <c r="C411" s="158" t="s">
        <v>392</v>
      </c>
    </row>
    <row r="412" spans="1:3" x14ac:dyDescent="0.2">
      <c r="A412" s="159">
        <v>413</v>
      </c>
      <c r="B412" s="155" t="s">
        <v>274</v>
      </c>
      <c r="C412" s="158" t="s">
        <v>392</v>
      </c>
    </row>
    <row r="413" spans="1:3" x14ac:dyDescent="0.2">
      <c r="A413" s="159">
        <v>414</v>
      </c>
      <c r="B413" s="155" t="s">
        <v>275</v>
      </c>
      <c r="C413" s="158" t="s">
        <v>392</v>
      </c>
    </row>
    <row r="414" spans="1:3" x14ac:dyDescent="0.2">
      <c r="A414" s="159">
        <v>415</v>
      </c>
      <c r="B414" s="155" t="s">
        <v>276</v>
      </c>
      <c r="C414" s="158" t="s">
        <v>392</v>
      </c>
    </row>
    <row r="415" spans="1:3" x14ac:dyDescent="0.2">
      <c r="A415" s="159">
        <v>416</v>
      </c>
      <c r="B415" s="155" t="s">
        <v>277</v>
      </c>
      <c r="C415" s="158" t="s">
        <v>392</v>
      </c>
    </row>
    <row r="416" spans="1:3" x14ac:dyDescent="0.2">
      <c r="A416" s="159">
        <v>417</v>
      </c>
      <c r="B416" s="155" t="s">
        <v>278</v>
      </c>
      <c r="C416" s="158" t="s">
        <v>392</v>
      </c>
    </row>
    <row r="417" spans="1:3" x14ac:dyDescent="0.2">
      <c r="A417" s="159">
        <v>418</v>
      </c>
      <c r="B417" s="155" t="s">
        <v>279</v>
      </c>
      <c r="C417" s="158" t="s">
        <v>392</v>
      </c>
    </row>
    <row r="418" spans="1:3" x14ac:dyDescent="0.2">
      <c r="A418" s="159">
        <v>419</v>
      </c>
      <c r="B418" s="155" t="s">
        <v>280</v>
      </c>
      <c r="C418" s="158" t="s">
        <v>392</v>
      </c>
    </row>
    <row r="419" spans="1:3" x14ac:dyDescent="0.2">
      <c r="A419" s="159">
        <v>420</v>
      </c>
      <c r="B419" s="155" t="s">
        <v>281</v>
      </c>
      <c r="C419" s="158" t="s">
        <v>392</v>
      </c>
    </row>
    <row r="420" spans="1:3" x14ac:dyDescent="0.2">
      <c r="A420" s="159">
        <v>421</v>
      </c>
      <c r="B420" s="155" t="s">
        <v>282</v>
      </c>
      <c r="C420" s="158" t="s">
        <v>392</v>
      </c>
    </row>
    <row r="421" spans="1:3" x14ac:dyDescent="0.2">
      <c r="A421" s="159">
        <v>422</v>
      </c>
      <c r="B421" s="155" t="s">
        <v>283</v>
      </c>
      <c r="C421" s="158" t="s">
        <v>392</v>
      </c>
    </row>
    <row r="422" spans="1:3" x14ac:dyDescent="0.2">
      <c r="A422" s="159">
        <v>423</v>
      </c>
      <c r="B422" s="155" t="s">
        <v>284</v>
      </c>
      <c r="C422" s="158" t="s">
        <v>392</v>
      </c>
    </row>
    <row r="423" spans="1:3" x14ac:dyDescent="0.2">
      <c r="A423" s="159">
        <v>424</v>
      </c>
      <c r="B423" s="155" t="s">
        <v>285</v>
      </c>
      <c r="C423" s="158" t="s">
        <v>392</v>
      </c>
    </row>
    <row r="424" spans="1:3" x14ac:dyDescent="0.2">
      <c r="A424" s="159">
        <v>425</v>
      </c>
      <c r="B424" s="155" t="s">
        <v>286</v>
      </c>
      <c r="C424" s="158" t="s">
        <v>391</v>
      </c>
    </row>
    <row r="425" spans="1:3" x14ac:dyDescent="0.2">
      <c r="A425" s="159">
        <v>426</v>
      </c>
      <c r="B425" s="155" t="s">
        <v>196</v>
      </c>
      <c r="C425" s="158" t="s">
        <v>391</v>
      </c>
    </row>
    <row r="426" spans="1:3" x14ac:dyDescent="0.2">
      <c r="A426" s="159">
        <v>427</v>
      </c>
      <c r="B426" s="155" t="s">
        <v>287</v>
      </c>
      <c r="C426" s="158" t="s">
        <v>391</v>
      </c>
    </row>
    <row r="427" spans="1:3" x14ac:dyDescent="0.2">
      <c r="A427" s="159">
        <v>428</v>
      </c>
      <c r="B427" s="155" t="s">
        <v>288</v>
      </c>
      <c r="C427" s="158" t="s">
        <v>387</v>
      </c>
    </row>
    <row r="428" spans="1:3" x14ac:dyDescent="0.2">
      <c r="A428" s="159">
        <v>429</v>
      </c>
      <c r="B428" s="155" t="s">
        <v>289</v>
      </c>
      <c r="C428" s="158" t="s">
        <v>387</v>
      </c>
    </row>
    <row r="429" spans="1:3" x14ac:dyDescent="0.2">
      <c r="A429" s="159">
        <v>430</v>
      </c>
      <c r="B429" s="155" t="s">
        <v>290</v>
      </c>
      <c r="C429" s="158" t="s">
        <v>387</v>
      </c>
    </row>
    <row r="430" spans="1:3" x14ac:dyDescent="0.2">
      <c r="A430" s="159">
        <v>431</v>
      </c>
      <c r="B430" s="155" t="s">
        <v>291</v>
      </c>
      <c r="C430" s="158" t="s">
        <v>387</v>
      </c>
    </row>
    <row r="431" spans="1:3" x14ac:dyDescent="0.2">
      <c r="A431" s="159">
        <v>432</v>
      </c>
      <c r="B431" s="155" t="s">
        <v>196</v>
      </c>
      <c r="C431" s="158" t="s">
        <v>391</v>
      </c>
    </row>
    <row r="432" spans="1:3" x14ac:dyDescent="0.2">
      <c r="A432" s="159">
        <v>434</v>
      </c>
      <c r="B432" s="155" t="s">
        <v>292</v>
      </c>
      <c r="C432" s="158" t="s">
        <v>392</v>
      </c>
    </row>
    <row r="433" spans="1:3" x14ac:dyDescent="0.2">
      <c r="A433" s="159">
        <v>435</v>
      </c>
      <c r="B433" s="155" t="s">
        <v>293</v>
      </c>
      <c r="C433" s="158" t="s">
        <v>391</v>
      </c>
    </row>
    <row r="434" spans="1:3" x14ac:dyDescent="0.2">
      <c r="A434" s="159">
        <v>436</v>
      </c>
      <c r="B434" s="155" t="s">
        <v>294</v>
      </c>
      <c r="C434" s="158" t="s">
        <v>391</v>
      </c>
    </row>
    <row r="435" spans="1:3" x14ac:dyDescent="0.2">
      <c r="A435" s="159">
        <v>437</v>
      </c>
      <c r="B435" s="155" t="s">
        <v>295</v>
      </c>
      <c r="C435" s="158" t="s">
        <v>391</v>
      </c>
    </row>
    <row r="436" spans="1:3" x14ac:dyDescent="0.2">
      <c r="A436" s="159">
        <v>439</v>
      </c>
      <c r="B436" s="155" t="s">
        <v>296</v>
      </c>
      <c r="C436" s="158" t="s">
        <v>391</v>
      </c>
    </row>
    <row r="437" spans="1:3" x14ac:dyDescent="0.2">
      <c r="A437" s="159">
        <v>440</v>
      </c>
      <c r="B437" s="155" t="s">
        <v>297</v>
      </c>
      <c r="C437" s="158" t="s">
        <v>391</v>
      </c>
    </row>
    <row r="438" spans="1:3" x14ac:dyDescent="0.2">
      <c r="A438" s="159">
        <v>441</v>
      </c>
      <c r="B438" s="155" t="s">
        <v>200</v>
      </c>
      <c r="C438" s="158" t="s">
        <v>391</v>
      </c>
    </row>
    <row r="439" spans="1:3" x14ac:dyDescent="0.2">
      <c r="A439" s="159">
        <v>442</v>
      </c>
      <c r="B439" s="155" t="s">
        <v>196</v>
      </c>
      <c r="C439" s="158" t="s">
        <v>392</v>
      </c>
    </row>
    <row r="440" spans="1:3" x14ac:dyDescent="0.2">
      <c r="A440" s="159">
        <v>443</v>
      </c>
      <c r="B440" s="155" t="s">
        <v>236</v>
      </c>
      <c r="C440" s="158" t="s">
        <v>391</v>
      </c>
    </row>
    <row r="441" spans="1:3" x14ac:dyDescent="0.2">
      <c r="A441" s="159">
        <v>444</v>
      </c>
      <c r="B441" s="155" t="s">
        <v>239</v>
      </c>
      <c r="C441" s="158" t="s">
        <v>391</v>
      </c>
    </row>
    <row r="442" spans="1:3" x14ac:dyDescent="0.2">
      <c r="A442" s="159">
        <v>444</v>
      </c>
      <c r="B442" s="155" t="s">
        <v>239</v>
      </c>
      <c r="C442" s="158" t="s">
        <v>392</v>
      </c>
    </row>
    <row r="443" spans="1:3" x14ac:dyDescent="0.2">
      <c r="A443" s="159">
        <v>445</v>
      </c>
      <c r="B443" s="155" t="s">
        <v>298</v>
      </c>
      <c r="C443" s="158" t="s">
        <v>391</v>
      </c>
    </row>
    <row r="444" spans="1:3" x14ac:dyDescent="0.2">
      <c r="A444" s="159">
        <v>446</v>
      </c>
      <c r="B444" s="155" t="s">
        <v>298</v>
      </c>
      <c r="C444" s="158" t="s">
        <v>391</v>
      </c>
    </row>
    <row r="445" spans="1:3" x14ac:dyDescent="0.2">
      <c r="A445" s="159">
        <v>447</v>
      </c>
      <c r="B445" s="155" t="s">
        <v>210</v>
      </c>
      <c r="C445" s="158" t="s">
        <v>391</v>
      </c>
    </row>
    <row r="446" spans="1:3" x14ac:dyDescent="0.2">
      <c r="A446" s="159">
        <v>448</v>
      </c>
      <c r="B446" s="155" t="s">
        <v>210</v>
      </c>
      <c r="C446" s="158" t="s">
        <v>391</v>
      </c>
    </row>
    <row r="447" spans="1:3" x14ac:dyDescent="0.2">
      <c r="A447" s="159">
        <v>449</v>
      </c>
      <c r="B447" s="155" t="s">
        <v>210</v>
      </c>
      <c r="C447" s="158" t="s">
        <v>391</v>
      </c>
    </row>
    <row r="448" spans="1:3" x14ac:dyDescent="0.2">
      <c r="A448" s="159">
        <v>450</v>
      </c>
      <c r="B448" s="155" t="s">
        <v>210</v>
      </c>
      <c r="C448" s="158" t="s">
        <v>391</v>
      </c>
    </row>
    <row r="449" spans="1:3" x14ac:dyDescent="0.2">
      <c r="A449" s="159">
        <v>451</v>
      </c>
      <c r="B449" s="155" t="s">
        <v>210</v>
      </c>
      <c r="C449" s="158" t="s">
        <v>391</v>
      </c>
    </row>
    <row r="450" spans="1:3" x14ac:dyDescent="0.2">
      <c r="A450" s="159">
        <v>452</v>
      </c>
      <c r="B450" s="155" t="s">
        <v>210</v>
      </c>
      <c r="C450" s="158" t="s">
        <v>391</v>
      </c>
    </row>
    <row r="451" spans="1:3" x14ac:dyDescent="0.2">
      <c r="A451" s="159">
        <v>453</v>
      </c>
      <c r="B451" s="155" t="s">
        <v>210</v>
      </c>
      <c r="C451" s="158" t="s">
        <v>391</v>
      </c>
    </row>
    <row r="452" spans="1:3" x14ac:dyDescent="0.2">
      <c r="A452" s="159">
        <v>454</v>
      </c>
      <c r="B452" s="155" t="s">
        <v>210</v>
      </c>
      <c r="C452" s="158" t="s">
        <v>391</v>
      </c>
    </row>
    <row r="453" spans="1:3" x14ac:dyDescent="0.2">
      <c r="A453" s="159">
        <v>455</v>
      </c>
      <c r="B453" s="155" t="s">
        <v>210</v>
      </c>
      <c r="C453" s="158" t="s">
        <v>391</v>
      </c>
    </row>
    <row r="454" spans="1:3" x14ac:dyDescent="0.2">
      <c r="A454" s="159">
        <v>456</v>
      </c>
      <c r="B454" s="155" t="s">
        <v>210</v>
      </c>
      <c r="C454" s="158" t="s">
        <v>391</v>
      </c>
    </row>
    <row r="455" spans="1:3" x14ac:dyDescent="0.2">
      <c r="A455" s="159">
        <v>459</v>
      </c>
      <c r="B455" s="155" t="s">
        <v>210</v>
      </c>
      <c r="C455" s="158" t="s">
        <v>391</v>
      </c>
    </row>
    <row r="456" spans="1:3" x14ac:dyDescent="0.2">
      <c r="A456" s="159">
        <v>460</v>
      </c>
      <c r="B456" s="155" t="s">
        <v>299</v>
      </c>
      <c r="C456" s="158" t="s">
        <v>392</v>
      </c>
    </row>
    <row r="457" spans="1:3" x14ac:dyDescent="0.2">
      <c r="A457" s="159">
        <v>461</v>
      </c>
      <c r="B457" s="155" t="s">
        <v>299</v>
      </c>
      <c r="C457" s="158" t="s">
        <v>392</v>
      </c>
    </row>
    <row r="458" spans="1:3" x14ac:dyDescent="0.2">
      <c r="A458" s="159">
        <v>462</v>
      </c>
      <c r="B458" s="155" t="s">
        <v>300</v>
      </c>
      <c r="C458" s="158" t="s">
        <v>392</v>
      </c>
    </row>
    <row r="459" spans="1:3" x14ac:dyDescent="0.2">
      <c r="A459" s="159">
        <v>463</v>
      </c>
      <c r="B459" s="155" t="s">
        <v>301</v>
      </c>
      <c r="C459" s="158" t="s">
        <v>392</v>
      </c>
    </row>
    <row r="460" spans="1:3" x14ac:dyDescent="0.2">
      <c r="A460" s="159">
        <v>464</v>
      </c>
      <c r="B460" s="155" t="s">
        <v>302</v>
      </c>
      <c r="C460" s="158" t="s">
        <v>391</v>
      </c>
    </row>
    <row r="461" spans="1:3" x14ac:dyDescent="0.2">
      <c r="A461" s="159">
        <v>465</v>
      </c>
      <c r="B461" s="155" t="s">
        <v>303</v>
      </c>
      <c r="C461" s="158" t="s">
        <v>391</v>
      </c>
    </row>
    <row r="462" spans="1:3" x14ac:dyDescent="0.2">
      <c r="A462" s="159">
        <v>466</v>
      </c>
      <c r="B462" s="155" t="s">
        <v>304</v>
      </c>
      <c r="C462" s="158" t="s">
        <v>391</v>
      </c>
    </row>
    <row r="463" spans="1:3" x14ac:dyDescent="0.2">
      <c r="A463" s="159">
        <v>467</v>
      </c>
      <c r="B463" s="155" t="s">
        <v>304</v>
      </c>
      <c r="C463" s="158" t="s">
        <v>391</v>
      </c>
    </row>
    <row r="464" spans="1:3" x14ac:dyDescent="0.2">
      <c r="A464" s="159">
        <v>468</v>
      </c>
      <c r="B464" s="155" t="s">
        <v>304</v>
      </c>
      <c r="C464" s="158" t="s">
        <v>391</v>
      </c>
    </row>
    <row r="465" spans="1:3" x14ac:dyDescent="0.2">
      <c r="A465" s="159">
        <v>469</v>
      </c>
      <c r="B465" s="155" t="s">
        <v>304</v>
      </c>
      <c r="C465" s="158" t="s">
        <v>391</v>
      </c>
    </row>
    <row r="466" spans="1:3" x14ac:dyDescent="0.2">
      <c r="A466" s="159">
        <v>470</v>
      </c>
      <c r="B466" s="155" t="s">
        <v>304</v>
      </c>
      <c r="C466" s="158" t="s">
        <v>391</v>
      </c>
    </row>
    <row r="467" spans="1:3" x14ac:dyDescent="0.2">
      <c r="A467" s="159">
        <v>473</v>
      </c>
      <c r="B467" s="155" t="s">
        <v>305</v>
      </c>
      <c r="C467" s="158" t="s">
        <v>391</v>
      </c>
    </row>
    <row r="468" spans="1:3" x14ac:dyDescent="0.2">
      <c r="A468" s="159">
        <v>474</v>
      </c>
      <c r="B468" s="155" t="s">
        <v>306</v>
      </c>
      <c r="C468" s="158" t="s">
        <v>392</v>
      </c>
    </row>
    <row r="469" spans="1:3" x14ac:dyDescent="0.2">
      <c r="A469" s="159">
        <v>475</v>
      </c>
      <c r="B469" s="155" t="s">
        <v>307</v>
      </c>
      <c r="C469" s="158" t="s">
        <v>391</v>
      </c>
    </row>
    <row r="470" spans="1:3" x14ac:dyDescent="0.2">
      <c r="A470" s="159">
        <v>476</v>
      </c>
      <c r="B470" s="155" t="s">
        <v>308</v>
      </c>
      <c r="C470" s="158" t="s">
        <v>392</v>
      </c>
    </row>
    <row r="471" spans="1:3" x14ac:dyDescent="0.2">
      <c r="A471" s="159">
        <v>477</v>
      </c>
      <c r="B471" s="155" t="s">
        <v>308</v>
      </c>
      <c r="C471" s="158" t="s">
        <v>392</v>
      </c>
    </row>
    <row r="472" spans="1:3" x14ac:dyDescent="0.2">
      <c r="A472" s="159">
        <v>478</v>
      </c>
      <c r="B472" s="155" t="s">
        <v>239</v>
      </c>
      <c r="C472" s="158" t="s">
        <v>391</v>
      </c>
    </row>
    <row r="473" spans="1:3" x14ac:dyDescent="0.2">
      <c r="A473" s="159">
        <v>479</v>
      </c>
      <c r="B473" s="155" t="s">
        <v>296</v>
      </c>
      <c r="C473" s="158" t="s">
        <v>391</v>
      </c>
    </row>
    <row r="474" spans="1:3" x14ac:dyDescent="0.2">
      <c r="A474" s="159">
        <v>480</v>
      </c>
      <c r="B474" s="155" t="s">
        <v>296</v>
      </c>
      <c r="C474" s="158" t="s">
        <v>391</v>
      </c>
    </row>
    <row r="475" spans="1:3" x14ac:dyDescent="0.2">
      <c r="A475" s="159">
        <v>481</v>
      </c>
      <c r="B475" s="155" t="s">
        <v>296</v>
      </c>
      <c r="C475" s="158" t="s">
        <v>391</v>
      </c>
    </row>
    <row r="476" spans="1:3" x14ac:dyDescent="0.2">
      <c r="A476" s="159">
        <v>482</v>
      </c>
      <c r="B476" s="155" t="s">
        <v>309</v>
      </c>
      <c r="C476" s="158" t="s">
        <v>388</v>
      </c>
    </row>
    <row r="477" spans="1:3" x14ac:dyDescent="0.2">
      <c r="A477" s="159">
        <v>483</v>
      </c>
      <c r="B477" s="155" t="s">
        <v>310</v>
      </c>
      <c r="C477" s="158" t="s">
        <v>388</v>
      </c>
    </row>
    <row r="478" spans="1:3" x14ac:dyDescent="0.2">
      <c r="A478" s="159">
        <v>484</v>
      </c>
      <c r="B478" s="155" t="s">
        <v>311</v>
      </c>
      <c r="C478" s="158" t="s">
        <v>388</v>
      </c>
    </row>
    <row r="479" spans="1:3" x14ac:dyDescent="0.2">
      <c r="A479" s="159">
        <v>485</v>
      </c>
      <c r="B479" s="155" t="s">
        <v>312</v>
      </c>
      <c r="C479" s="158" t="s">
        <v>388</v>
      </c>
    </row>
    <row r="480" spans="1:3" x14ac:dyDescent="0.2">
      <c r="A480" s="159">
        <v>486</v>
      </c>
      <c r="B480" s="155" t="s">
        <v>313</v>
      </c>
      <c r="C480" s="158" t="s">
        <v>388</v>
      </c>
    </row>
    <row r="481" spans="1:3" x14ac:dyDescent="0.2">
      <c r="A481" s="159">
        <v>487</v>
      </c>
      <c r="B481" s="155" t="s">
        <v>314</v>
      </c>
      <c r="C481" s="158" t="s">
        <v>388</v>
      </c>
    </row>
    <row r="482" spans="1:3" x14ac:dyDescent="0.2">
      <c r="A482" s="159">
        <v>488</v>
      </c>
      <c r="B482" s="155" t="s">
        <v>315</v>
      </c>
      <c r="C482" s="158" t="s">
        <v>388</v>
      </c>
    </row>
    <row r="483" spans="1:3" x14ac:dyDescent="0.2">
      <c r="A483" s="159">
        <v>489</v>
      </c>
      <c r="B483" s="155" t="s">
        <v>316</v>
      </c>
      <c r="C483" s="158" t="s">
        <v>388</v>
      </c>
    </row>
    <row r="484" spans="1:3" x14ac:dyDescent="0.2">
      <c r="A484" s="159">
        <v>490</v>
      </c>
      <c r="B484" s="155" t="s">
        <v>317</v>
      </c>
      <c r="C484" s="158" t="s">
        <v>388</v>
      </c>
    </row>
    <row r="485" spans="1:3" x14ac:dyDescent="0.2">
      <c r="A485" s="159">
        <v>491</v>
      </c>
      <c r="B485" s="155" t="s">
        <v>318</v>
      </c>
      <c r="C485" s="158" t="s">
        <v>388</v>
      </c>
    </row>
    <row r="486" spans="1:3" x14ac:dyDescent="0.2">
      <c r="A486" s="159">
        <v>492</v>
      </c>
      <c r="B486" s="155" t="s">
        <v>319</v>
      </c>
      <c r="C486" s="158" t="s">
        <v>388</v>
      </c>
    </row>
    <row r="487" spans="1:3" x14ac:dyDescent="0.2">
      <c r="A487" s="159">
        <v>493</v>
      </c>
      <c r="B487" s="155" t="s">
        <v>320</v>
      </c>
      <c r="C487" s="158" t="s">
        <v>388</v>
      </c>
    </row>
    <row r="488" spans="1:3" x14ac:dyDescent="0.2">
      <c r="A488" s="159">
        <v>494</v>
      </c>
      <c r="B488" s="155" t="s">
        <v>321</v>
      </c>
      <c r="C488" s="158" t="s">
        <v>388</v>
      </c>
    </row>
    <row r="489" spans="1:3" x14ac:dyDescent="0.2">
      <c r="A489" s="159">
        <v>495</v>
      </c>
      <c r="B489" s="155" t="s">
        <v>322</v>
      </c>
      <c r="C489" s="158" t="s">
        <v>388</v>
      </c>
    </row>
    <row r="490" spans="1:3" x14ac:dyDescent="0.2">
      <c r="A490" s="159">
        <v>496</v>
      </c>
      <c r="B490" s="155" t="s">
        <v>323</v>
      </c>
      <c r="C490" s="158" t="s">
        <v>388</v>
      </c>
    </row>
    <row r="491" spans="1:3" x14ac:dyDescent="0.2">
      <c r="A491" s="159">
        <v>497</v>
      </c>
      <c r="B491" s="155" t="s">
        <v>324</v>
      </c>
      <c r="C491" s="158" t="s">
        <v>388</v>
      </c>
    </row>
    <row r="492" spans="1:3" x14ac:dyDescent="0.2">
      <c r="A492" s="159">
        <v>498</v>
      </c>
      <c r="B492" s="155" t="s">
        <v>325</v>
      </c>
      <c r="C492" s="158" t="s">
        <v>388</v>
      </c>
    </row>
    <row r="493" spans="1:3" x14ac:dyDescent="0.2">
      <c r="A493" s="159">
        <v>701</v>
      </c>
      <c r="B493" s="155" t="s">
        <v>326</v>
      </c>
      <c r="C493" s="158" t="s">
        <v>392</v>
      </c>
    </row>
    <row r="494" spans="1:3" x14ac:dyDescent="0.2">
      <c r="A494" s="159">
        <v>702</v>
      </c>
      <c r="B494" s="155" t="s">
        <v>326</v>
      </c>
      <c r="C494" s="158" t="s">
        <v>392</v>
      </c>
    </row>
    <row r="495" spans="1:3" x14ac:dyDescent="0.2">
      <c r="A495" s="159">
        <v>703</v>
      </c>
      <c r="B495" s="155" t="s">
        <v>262</v>
      </c>
      <c r="C495" s="158" t="s">
        <v>392</v>
      </c>
    </row>
    <row r="496" spans="1:3" x14ac:dyDescent="0.2">
      <c r="A496" s="159">
        <v>704</v>
      </c>
      <c r="B496" s="155" t="s">
        <v>262</v>
      </c>
      <c r="C496" s="158" t="s">
        <v>392</v>
      </c>
    </row>
    <row r="497" spans="1:3" x14ac:dyDescent="0.2">
      <c r="A497" s="159">
        <v>705</v>
      </c>
      <c r="B497" s="155" t="s">
        <v>262</v>
      </c>
      <c r="C497" s="158" t="s">
        <v>392</v>
      </c>
    </row>
    <row r="498" spans="1:3" x14ac:dyDescent="0.2">
      <c r="A498" s="159">
        <v>706</v>
      </c>
      <c r="B498" s="155" t="s">
        <v>262</v>
      </c>
      <c r="C498" s="158" t="s">
        <v>392</v>
      </c>
    </row>
    <row r="499" spans="1:3" x14ac:dyDescent="0.2">
      <c r="A499" s="159">
        <v>707</v>
      </c>
      <c r="B499" s="155" t="s">
        <v>262</v>
      </c>
      <c r="C499" s="158" t="s">
        <v>392</v>
      </c>
    </row>
    <row r="500" spans="1:3" x14ac:dyDescent="0.2">
      <c r="A500" s="159">
        <v>708</v>
      </c>
      <c r="B500" s="155" t="s">
        <v>262</v>
      </c>
      <c r="C500" s="158" t="s">
        <v>392</v>
      </c>
    </row>
    <row r="501" spans="1:3" x14ac:dyDescent="0.2">
      <c r="A501" s="159">
        <v>709</v>
      </c>
      <c r="B501" s="155" t="s">
        <v>262</v>
      </c>
      <c r="C501" s="158" t="s">
        <v>392</v>
      </c>
    </row>
    <row r="502" spans="1:3" x14ac:dyDescent="0.2">
      <c r="A502" s="159">
        <v>710</v>
      </c>
      <c r="B502" s="155" t="s">
        <v>262</v>
      </c>
      <c r="C502" s="158" t="s">
        <v>392</v>
      </c>
    </row>
    <row r="503" spans="1:3" x14ac:dyDescent="0.2">
      <c r="A503" s="159">
        <v>711</v>
      </c>
      <c r="B503" s="155" t="s">
        <v>262</v>
      </c>
      <c r="C503" s="158" t="s">
        <v>392</v>
      </c>
    </row>
    <row r="504" spans="1:3" x14ac:dyDescent="0.2">
      <c r="A504" s="159">
        <v>712</v>
      </c>
      <c r="B504" s="155" t="s">
        <v>327</v>
      </c>
      <c r="C504" s="158" t="s">
        <v>392</v>
      </c>
    </row>
    <row r="505" spans="1:3" x14ac:dyDescent="0.2">
      <c r="A505" s="159">
        <v>713</v>
      </c>
      <c r="B505" s="155" t="s">
        <v>327</v>
      </c>
      <c r="C505" s="158" t="s">
        <v>392</v>
      </c>
    </row>
    <row r="506" spans="1:3" x14ac:dyDescent="0.2">
      <c r="A506" s="159">
        <v>714</v>
      </c>
      <c r="B506" s="155" t="s">
        <v>327</v>
      </c>
      <c r="C506" s="158" t="s">
        <v>392</v>
      </c>
    </row>
    <row r="507" spans="1:3" x14ac:dyDescent="0.2">
      <c r="A507" s="159">
        <v>715</v>
      </c>
      <c r="B507" s="155" t="s">
        <v>327</v>
      </c>
      <c r="C507" s="158" t="s">
        <v>392</v>
      </c>
    </row>
    <row r="508" spans="1:3" x14ac:dyDescent="0.2">
      <c r="A508" s="159">
        <v>716</v>
      </c>
      <c r="B508" s="155" t="s">
        <v>328</v>
      </c>
      <c r="C508" s="158" t="s">
        <v>392</v>
      </c>
    </row>
    <row r="509" spans="1:3" x14ac:dyDescent="0.2">
      <c r="A509" s="159">
        <v>717</v>
      </c>
      <c r="B509" s="155" t="s">
        <v>328</v>
      </c>
      <c r="C509" s="158" t="s">
        <v>392</v>
      </c>
    </row>
    <row r="510" spans="1:3" x14ac:dyDescent="0.2">
      <c r="A510" s="159">
        <v>718</v>
      </c>
      <c r="B510" s="155" t="s">
        <v>329</v>
      </c>
      <c r="C510" s="158" t="s">
        <v>392</v>
      </c>
    </row>
    <row r="511" spans="1:3" x14ac:dyDescent="0.2">
      <c r="A511" s="159">
        <v>719</v>
      </c>
      <c r="B511" s="155" t="s">
        <v>329</v>
      </c>
      <c r="C511" s="158" t="s">
        <v>392</v>
      </c>
    </row>
    <row r="512" spans="1:3" x14ac:dyDescent="0.2">
      <c r="A512" s="159">
        <v>720</v>
      </c>
      <c r="B512" s="155" t="s">
        <v>197</v>
      </c>
      <c r="C512" s="158" t="s">
        <v>391</v>
      </c>
    </row>
    <row r="513" spans="1:3" x14ac:dyDescent="0.2">
      <c r="A513" s="159">
        <v>721</v>
      </c>
      <c r="B513" s="155" t="s">
        <v>330</v>
      </c>
      <c r="C513" s="158" t="s">
        <v>391</v>
      </c>
    </row>
    <row r="514" spans="1:3" x14ac:dyDescent="0.2">
      <c r="A514" s="159">
        <v>722</v>
      </c>
      <c r="B514" s="155" t="s">
        <v>330</v>
      </c>
      <c r="C514" s="158" t="s">
        <v>391</v>
      </c>
    </row>
    <row r="515" spans="1:3" x14ac:dyDescent="0.2">
      <c r="A515" s="159">
        <v>723</v>
      </c>
      <c r="B515" s="155" t="s">
        <v>330</v>
      </c>
      <c r="C515" s="158" t="s">
        <v>391</v>
      </c>
    </row>
    <row r="516" spans="1:3" x14ac:dyDescent="0.2">
      <c r="A516" s="159">
        <v>724</v>
      </c>
      <c r="B516" s="155" t="s">
        <v>330</v>
      </c>
      <c r="C516" s="158" t="s">
        <v>391</v>
      </c>
    </row>
    <row r="517" spans="1:3" x14ac:dyDescent="0.2">
      <c r="A517" s="159">
        <v>725</v>
      </c>
      <c r="B517" s="155" t="s">
        <v>330</v>
      </c>
      <c r="C517" s="158" t="s">
        <v>391</v>
      </c>
    </row>
    <row r="518" spans="1:3" x14ac:dyDescent="0.2">
      <c r="A518" s="159">
        <v>726</v>
      </c>
      <c r="B518" s="155" t="s">
        <v>330</v>
      </c>
      <c r="C518" s="158" t="s">
        <v>391</v>
      </c>
    </row>
    <row r="519" spans="1:3" x14ac:dyDescent="0.2">
      <c r="A519" s="159">
        <v>727</v>
      </c>
      <c r="B519" s="155" t="s">
        <v>330</v>
      </c>
      <c r="C519" s="158" t="s">
        <v>391</v>
      </c>
    </row>
    <row r="520" spans="1:3" x14ac:dyDescent="0.2">
      <c r="A520" s="159">
        <v>728</v>
      </c>
      <c r="B520" s="155" t="s">
        <v>331</v>
      </c>
      <c r="C520" s="158" t="s">
        <v>391</v>
      </c>
    </row>
    <row r="521" spans="1:3" x14ac:dyDescent="0.2">
      <c r="A521" s="159">
        <v>729</v>
      </c>
      <c r="B521" s="155" t="s">
        <v>330</v>
      </c>
      <c r="C521" s="158" t="s">
        <v>391</v>
      </c>
    </row>
    <row r="522" spans="1:3" x14ac:dyDescent="0.2">
      <c r="A522" s="159">
        <v>730</v>
      </c>
      <c r="B522" s="155" t="s">
        <v>331</v>
      </c>
      <c r="C522" s="158" t="s">
        <v>391</v>
      </c>
    </row>
    <row r="523" spans="1:3" x14ac:dyDescent="0.2">
      <c r="A523" s="159">
        <v>731</v>
      </c>
      <c r="B523" s="155" t="s">
        <v>330</v>
      </c>
      <c r="C523" s="158" t="s">
        <v>391</v>
      </c>
    </row>
    <row r="524" spans="1:3" x14ac:dyDescent="0.2">
      <c r="A524" s="159">
        <v>732</v>
      </c>
      <c r="B524" s="155" t="s">
        <v>331</v>
      </c>
      <c r="C524" s="158" t="s">
        <v>391</v>
      </c>
    </row>
    <row r="525" spans="1:3" x14ac:dyDescent="0.2">
      <c r="A525" s="159">
        <v>733</v>
      </c>
      <c r="B525" s="155" t="s">
        <v>330</v>
      </c>
      <c r="C525" s="158" t="s">
        <v>391</v>
      </c>
    </row>
    <row r="526" spans="1:3" x14ac:dyDescent="0.2">
      <c r="A526" s="159">
        <v>734</v>
      </c>
      <c r="B526" s="155" t="s">
        <v>331</v>
      </c>
      <c r="C526" s="158" t="s">
        <v>391</v>
      </c>
    </row>
    <row r="527" spans="1:3" x14ac:dyDescent="0.2">
      <c r="A527" s="159">
        <v>735</v>
      </c>
      <c r="B527" s="155" t="s">
        <v>330</v>
      </c>
      <c r="C527" s="158" t="s">
        <v>391</v>
      </c>
    </row>
    <row r="528" spans="1:3" x14ac:dyDescent="0.2">
      <c r="A528" s="159">
        <v>736</v>
      </c>
      <c r="B528" s="155" t="s">
        <v>331</v>
      </c>
      <c r="C528" s="158" t="s">
        <v>391</v>
      </c>
    </row>
    <row r="529" spans="1:3" x14ac:dyDescent="0.2">
      <c r="A529" s="159">
        <v>737</v>
      </c>
      <c r="B529" s="155" t="s">
        <v>330</v>
      </c>
      <c r="C529" s="158" t="s">
        <v>391</v>
      </c>
    </row>
    <row r="530" spans="1:3" x14ac:dyDescent="0.2">
      <c r="A530" s="159">
        <v>738</v>
      </c>
      <c r="B530" s="155" t="s">
        <v>331</v>
      </c>
      <c r="C530" s="158" t="s">
        <v>391</v>
      </c>
    </row>
    <row r="531" spans="1:3" x14ac:dyDescent="0.2">
      <c r="A531" s="159">
        <v>739</v>
      </c>
      <c r="B531" s="155" t="s">
        <v>330</v>
      </c>
      <c r="C531" s="158" t="s">
        <v>391</v>
      </c>
    </row>
    <row r="532" spans="1:3" x14ac:dyDescent="0.2">
      <c r="A532" s="159">
        <v>740</v>
      </c>
      <c r="B532" s="155" t="s">
        <v>331</v>
      </c>
      <c r="C532" s="158" t="s">
        <v>391</v>
      </c>
    </row>
    <row r="533" spans="1:3" x14ac:dyDescent="0.2">
      <c r="A533" s="159">
        <v>741</v>
      </c>
      <c r="B533" s="155" t="s">
        <v>330</v>
      </c>
      <c r="C533" s="158" t="s">
        <v>391</v>
      </c>
    </row>
    <row r="534" spans="1:3" x14ac:dyDescent="0.2">
      <c r="A534" s="159">
        <v>742</v>
      </c>
      <c r="B534" s="155" t="s">
        <v>331</v>
      </c>
      <c r="C534" s="158" t="s">
        <v>391</v>
      </c>
    </row>
    <row r="535" spans="1:3" x14ac:dyDescent="0.2">
      <c r="A535" s="159">
        <v>743</v>
      </c>
      <c r="B535" s="155" t="s">
        <v>330</v>
      </c>
      <c r="C535" s="158" t="s">
        <v>391</v>
      </c>
    </row>
    <row r="536" spans="1:3" x14ac:dyDescent="0.2">
      <c r="A536" s="159">
        <v>744</v>
      </c>
      <c r="B536" s="155" t="s">
        <v>331</v>
      </c>
      <c r="C536" s="158" t="s">
        <v>391</v>
      </c>
    </row>
    <row r="537" spans="1:3" x14ac:dyDescent="0.2">
      <c r="A537" s="159">
        <v>745</v>
      </c>
      <c r="B537" s="155" t="s">
        <v>330</v>
      </c>
      <c r="C537" s="158" t="s">
        <v>391</v>
      </c>
    </row>
    <row r="538" spans="1:3" x14ac:dyDescent="0.2">
      <c r="A538" s="159">
        <v>746</v>
      </c>
      <c r="B538" s="155" t="s">
        <v>331</v>
      </c>
      <c r="C538" s="158" t="s">
        <v>391</v>
      </c>
    </row>
    <row r="539" spans="1:3" x14ac:dyDescent="0.2">
      <c r="A539" s="159">
        <v>747</v>
      </c>
      <c r="B539" s="155" t="s">
        <v>330</v>
      </c>
      <c r="C539" s="158" t="s">
        <v>391</v>
      </c>
    </row>
    <row r="540" spans="1:3" x14ac:dyDescent="0.2">
      <c r="A540" s="159">
        <v>748</v>
      </c>
      <c r="B540" s="155" t="s">
        <v>330</v>
      </c>
      <c r="C540" s="158" t="s">
        <v>391</v>
      </c>
    </row>
    <row r="541" spans="1:3" x14ac:dyDescent="0.2">
      <c r="A541" s="159">
        <v>749</v>
      </c>
      <c r="B541" s="155" t="s">
        <v>331</v>
      </c>
      <c r="C541" s="158" t="s">
        <v>391</v>
      </c>
    </row>
    <row r="542" spans="1:3" x14ac:dyDescent="0.2">
      <c r="A542" s="159">
        <v>752</v>
      </c>
      <c r="B542" s="155" t="s">
        <v>330</v>
      </c>
      <c r="C542" s="158" t="s">
        <v>391</v>
      </c>
    </row>
    <row r="543" spans="1:3" x14ac:dyDescent="0.2">
      <c r="A543" s="159">
        <v>753</v>
      </c>
      <c r="B543" s="155" t="s">
        <v>332</v>
      </c>
      <c r="C543" s="158" t="s">
        <v>391</v>
      </c>
    </row>
    <row r="544" spans="1:3" x14ac:dyDescent="0.2">
      <c r="A544" s="159">
        <v>754</v>
      </c>
      <c r="B544" s="155" t="s">
        <v>330</v>
      </c>
      <c r="C544" s="158" t="s">
        <v>391</v>
      </c>
    </row>
    <row r="545" spans="1:3" x14ac:dyDescent="0.2">
      <c r="A545" s="159">
        <v>755</v>
      </c>
      <c r="B545" s="155" t="s">
        <v>332</v>
      </c>
      <c r="C545" s="158" t="s">
        <v>391</v>
      </c>
    </row>
    <row r="546" spans="1:3" x14ac:dyDescent="0.2">
      <c r="A546" s="159">
        <v>756</v>
      </c>
      <c r="B546" s="155" t="s">
        <v>330</v>
      </c>
      <c r="C546" s="158" t="s">
        <v>391</v>
      </c>
    </row>
    <row r="547" spans="1:3" x14ac:dyDescent="0.2">
      <c r="A547" s="159">
        <v>757</v>
      </c>
      <c r="B547" s="155" t="s">
        <v>332</v>
      </c>
      <c r="C547" s="158" t="s">
        <v>391</v>
      </c>
    </row>
    <row r="548" spans="1:3" x14ac:dyDescent="0.2">
      <c r="A548" s="159">
        <v>758</v>
      </c>
      <c r="B548" s="155" t="s">
        <v>330</v>
      </c>
      <c r="C548" s="158" t="s">
        <v>391</v>
      </c>
    </row>
    <row r="549" spans="1:3" x14ac:dyDescent="0.2">
      <c r="A549" s="159">
        <v>759</v>
      </c>
      <c r="B549" s="155" t="s">
        <v>332</v>
      </c>
      <c r="C549" s="158" t="s">
        <v>391</v>
      </c>
    </row>
    <row r="550" spans="1:3" x14ac:dyDescent="0.2">
      <c r="A550" s="159">
        <v>760</v>
      </c>
      <c r="B550" s="155" t="s">
        <v>330</v>
      </c>
      <c r="C550" s="158" t="s">
        <v>391</v>
      </c>
    </row>
    <row r="551" spans="1:3" x14ac:dyDescent="0.2">
      <c r="A551" s="159">
        <v>761</v>
      </c>
      <c r="B551" s="155" t="s">
        <v>332</v>
      </c>
      <c r="C551" s="158" t="s">
        <v>391</v>
      </c>
    </row>
    <row r="552" spans="1:3" x14ac:dyDescent="0.2">
      <c r="A552" s="159">
        <v>762</v>
      </c>
      <c r="B552" s="155" t="s">
        <v>330</v>
      </c>
      <c r="C552" s="158" t="s">
        <v>391</v>
      </c>
    </row>
    <row r="553" spans="1:3" x14ac:dyDescent="0.2">
      <c r="A553" s="159">
        <v>763</v>
      </c>
      <c r="B553" s="155" t="s">
        <v>332</v>
      </c>
      <c r="C553" s="158" t="s">
        <v>391</v>
      </c>
    </row>
    <row r="554" spans="1:3" x14ac:dyDescent="0.2">
      <c r="A554" s="159">
        <v>764</v>
      </c>
      <c r="B554" s="155" t="s">
        <v>330</v>
      </c>
      <c r="C554" s="158" t="s">
        <v>391</v>
      </c>
    </row>
    <row r="555" spans="1:3" x14ac:dyDescent="0.2">
      <c r="A555" s="159">
        <v>765</v>
      </c>
      <c r="B555" s="155" t="s">
        <v>332</v>
      </c>
      <c r="C555" s="158" t="s">
        <v>391</v>
      </c>
    </row>
    <row r="556" spans="1:3" x14ac:dyDescent="0.2">
      <c r="A556" s="159">
        <v>766</v>
      </c>
      <c r="B556" s="155" t="s">
        <v>330</v>
      </c>
      <c r="C556" s="158" t="s">
        <v>391</v>
      </c>
    </row>
    <row r="557" spans="1:3" x14ac:dyDescent="0.2">
      <c r="A557" s="159">
        <v>767</v>
      </c>
      <c r="B557" s="155" t="s">
        <v>332</v>
      </c>
      <c r="C557" s="158" t="s">
        <v>391</v>
      </c>
    </row>
    <row r="558" spans="1:3" x14ac:dyDescent="0.2">
      <c r="A558" s="159">
        <v>768</v>
      </c>
      <c r="B558" s="155" t="s">
        <v>330</v>
      </c>
      <c r="C558" s="158" t="s">
        <v>391</v>
      </c>
    </row>
    <row r="559" spans="1:3" x14ac:dyDescent="0.2">
      <c r="A559" s="159">
        <v>769</v>
      </c>
      <c r="B559" s="155" t="s">
        <v>332</v>
      </c>
      <c r="C559" s="158" t="s">
        <v>391</v>
      </c>
    </row>
    <row r="560" spans="1:3" x14ac:dyDescent="0.2">
      <c r="A560" s="159">
        <v>770</v>
      </c>
      <c r="B560" s="155" t="s">
        <v>333</v>
      </c>
      <c r="C560" s="158" t="s">
        <v>391</v>
      </c>
    </row>
    <row r="561" spans="1:3" x14ac:dyDescent="0.2">
      <c r="A561" s="159">
        <v>775</v>
      </c>
      <c r="B561" s="155" t="s">
        <v>334</v>
      </c>
      <c r="C561" s="158" t="s">
        <v>391</v>
      </c>
    </row>
    <row r="562" spans="1:3" x14ac:dyDescent="0.2">
      <c r="A562" s="159">
        <v>776</v>
      </c>
      <c r="B562" s="155" t="s">
        <v>334</v>
      </c>
      <c r="C562" s="158" t="s">
        <v>391</v>
      </c>
    </row>
    <row r="563" spans="1:3" x14ac:dyDescent="0.2">
      <c r="A563" s="159">
        <v>781</v>
      </c>
      <c r="B563" s="155" t="s">
        <v>330</v>
      </c>
      <c r="C563" s="158" t="s">
        <v>392</v>
      </c>
    </row>
    <row r="564" spans="1:3" x14ac:dyDescent="0.2">
      <c r="A564" s="159">
        <v>782</v>
      </c>
      <c r="B564" s="155" t="s">
        <v>330</v>
      </c>
      <c r="C564" s="158" t="s">
        <v>391</v>
      </c>
    </row>
    <row r="565" spans="1:3" x14ac:dyDescent="0.2">
      <c r="A565" s="159">
        <v>783</v>
      </c>
      <c r="B565" s="155" t="s">
        <v>330</v>
      </c>
      <c r="C565" s="158" t="s">
        <v>391</v>
      </c>
    </row>
    <row r="566" spans="1:3" x14ac:dyDescent="0.2">
      <c r="A566" s="159">
        <v>784</v>
      </c>
      <c r="B566" s="155" t="s">
        <v>330</v>
      </c>
      <c r="C566" s="158" t="s">
        <v>391</v>
      </c>
    </row>
    <row r="567" spans="1:3" x14ac:dyDescent="0.2">
      <c r="A567" s="159">
        <v>785</v>
      </c>
      <c r="B567" s="155" t="s">
        <v>330</v>
      </c>
      <c r="C567" s="158" t="s">
        <v>391</v>
      </c>
    </row>
    <row r="568" spans="1:3" x14ac:dyDescent="0.2">
      <c r="A568" s="159">
        <v>786</v>
      </c>
      <c r="B568" s="155" t="s">
        <v>330</v>
      </c>
      <c r="C568" s="158" t="s">
        <v>391</v>
      </c>
    </row>
    <row r="569" spans="1:3" x14ac:dyDescent="0.2">
      <c r="A569" s="159">
        <v>787</v>
      </c>
      <c r="B569" s="155" t="s">
        <v>335</v>
      </c>
      <c r="C569" s="158" t="s">
        <v>391</v>
      </c>
    </row>
    <row r="570" spans="1:3" x14ac:dyDescent="0.2">
      <c r="A570" s="159">
        <v>788</v>
      </c>
      <c r="B570" s="155" t="s">
        <v>336</v>
      </c>
      <c r="C570" s="158" t="s">
        <v>391</v>
      </c>
    </row>
    <row r="571" spans="1:3" x14ac:dyDescent="0.2">
      <c r="A571" s="159">
        <v>789</v>
      </c>
      <c r="B571" s="155" t="s">
        <v>337</v>
      </c>
      <c r="C571" s="158" t="s">
        <v>391</v>
      </c>
    </row>
    <row r="572" spans="1:3" x14ac:dyDescent="0.2">
      <c r="A572" s="159">
        <v>790</v>
      </c>
      <c r="B572" s="155" t="s">
        <v>338</v>
      </c>
      <c r="C572" s="158" t="s">
        <v>391</v>
      </c>
    </row>
    <row r="573" spans="1:3" x14ac:dyDescent="0.2">
      <c r="A573" s="159">
        <v>791</v>
      </c>
      <c r="B573" s="155" t="s">
        <v>339</v>
      </c>
      <c r="C573" s="158" t="s">
        <v>391</v>
      </c>
    </row>
    <row r="574" spans="1:3" x14ac:dyDescent="0.2">
      <c r="A574" s="159">
        <v>792</v>
      </c>
      <c r="B574" s="155" t="s">
        <v>340</v>
      </c>
      <c r="C574" s="158" t="s">
        <v>391</v>
      </c>
    </row>
    <row r="575" spans="1:3" x14ac:dyDescent="0.2">
      <c r="A575" s="159">
        <v>793</v>
      </c>
      <c r="B575" s="155" t="s">
        <v>330</v>
      </c>
      <c r="C575" s="158" t="s">
        <v>391</v>
      </c>
    </row>
    <row r="576" spans="1:3" x14ac:dyDescent="0.2">
      <c r="A576" s="159">
        <v>794</v>
      </c>
      <c r="B576" s="155" t="s">
        <v>331</v>
      </c>
      <c r="C576" s="158" t="s">
        <v>391</v>
      </c>
    </row>
    <row r="577" spans="1:3" x14ac:dyDescent="0.2">
      <c r="A577" s="159">
        <v>801</v>
      </c>
      <c r="B577" s="155" t="s">
        <v>259</v>
      </c>
      <c r="C577" s="158" t="s">
        <v>391</v>
      </c>
    </row>
    <row r="578" spans="1:3" x14ac:dyDescent="0.2">
      <c r="A578" s="159">
        <v>802</v>
      </c>
      <c r="B578" s="155" t="s">
        <v>341</v>
      </c>
      <c r="C578" s="158" t="s">
        <v>391</v>
      </c>
    </row>
    <row r="579" spans="1:3" x14ac:dyDescent="0.2">
      <c r="A579" s="159">
        <v>803</v>
      </c>
      <c r="B579" s="155" t="s">
        <v>342</v>
      </c>
      <c r="C579" s="158" t="s">
        <v>392</v>
      </c>
    </row>
    <row r="580" spans="1:3" x14ac:dyDescent="0.2">
      <c r="A580" s="159">
        <v>804</v>
      </c>
      <c r="B580" s="155" t="s">
        <v>341</v>
      </c>
      <c r="C580" s="158" t="s">
        <v>391</v>
      </c>
    </row>
    <row r="581" spans="1:3" x14ac:dyDescent="0.2">
      <c r="A581" s="159">
        <v>805</v>
      </c>
      <c r="B581" s="155" t="s">
        <v>342</v>
      </c>
      <c r="C581" s="158" t="s">
        <v>392</v>
      </c>
    </row>
    <row r="582" spans="1:3" x14ac:dyDescent="0.2">
      <c r="A582" s="159">
        <v>806</v>
      </c>
      <c r="B582" s="155" t="s">
        <v>341</v>
      </c>
      <c r="C582" s="158" t="s">
        <v>391</v>
      </c>
    </row>
    <row r="583" spans="1:3" x14ac:dyDescent="0.2">
      <c r="A583" s="159">
        <v>807</v>
      </c>
      <c r="B583" s="155" t="s">
        <v>342</v>
      </c>
      <c r="C583" s="158" t="s">
        <v>392</v>
      </c>
    </row>
    <row r="584" spans="1:3" x14ac:dyDescent="0.2">
      <c r="A584" s="159">
        <v>808</v>
      </c>
      <c r="B584" s="155" t="s">
        <v>341</v>
      </c>
      <c r="C584" s="158" t="s">
        <v>391</v>
      </c>
    </row>
    <row r="585" spans="1:3" x14ac:dyDescent="0.2">
      <c r="A585" s="159">
        <v>809</v>
      </c>
      <c r="B585" s="155" t="s">
        <v>342</v>
      </c>
      <c r="C585" s="158" t="s">
        <v>392</v>
      </c>
    </row>
    <row r="586" spans="1:3" x14ac:dyDescent="0.2">
      <c r="A586" s="159">
        <v>810</v>
      </c>
      <c r="B586" s="155" t="s">
        <v>341</v>
      </c>
      <c r="C586" s="158" t="s">
        <v>391</v>
      </c>
    </row>
    <row r="587" spans="1:3" x14ac:dyDescent="0.2">
      <c r="A587" s="159">
        <v>811</v>
      </c>
      <c r="B587" s="155" t="s">
        <v>342</v>
      </c>
      <c r="C587" s="158" t="s">
        <v>392</v>
      </c>
    </row>
    <row r="588" spans="1:3" x14ac:dyDescent="0.2">
      <c r="A588" s="159">
        <v>812</v>
      </c>
      <c r="B588" s="155" t="s">
        <v>341</v>
      </c>
      <c r="C588" s="158" t="s">
        <v>391</v>
      </c>
    </row>
    <row r="589" spans="1:3" x14ac:dyDescent="0.2">
      <c r="A589" s="159">
        <v>813</v>
      </c>
      <c r="B589" s="155" t="s">
        <v>342</v>
      </c>
      <c r="C589" s="158" t="s">
        <v>392</v>
      </c>
    </row>
    <row r="590" spans="1:3" x14ac:dyDescent="0.2">
      <c r="A590" s="159">
        <v>814</v>
      </c>
      <c r="B590" s="155" t="s">
        <v>341</v>
      </c>
      <c r="C590" s="158" t="s">
        <v>391</v>
      </c>
    </row>
    <row r="591" spans="1:3" x14ac:dyDescent="0.2">
      <c r="A591" s="159">
        <v>815</v>
      </c>
      <c r="B591" s="155" t="s">
        <v>342</v>
      </c>
      <c r="C591" s="158" t="s">
        <v>392</v>
      </c>
    </row>
    <row r="592" spans="1:3" x14ac:dyDescent="0.2">
      <c r="A592" s="159">
        <v>816</v>
      </c>
      <c r="B592" s="155" t="s">
        <v>341</v>
      </c>
      <c r="C592" s="158" t="s">
        <v>391</v>
      </c>
    </row>
    <row r="593" spans="1:3" x14ac:dyDescent="0.2">
      <c r="A593" s="159">
        <v>817</v>
      </c>
      <c r="B593" s="155" t="s">
        <v>342</v>
      </c>
      <c r="C593" s="158" t="s">
        <v>392</v>
      </c>
    </row>
    <row r="594" spans="1:3" x14ac:dyDescent="0.2">
      <c r="A594" s="159">
        <v>818</v>
      </c>
      <c r="B594" s="155" t="s">
        <v>341</v>
      </c>
      <c r="C594" s="158" t="s">
        <v>391</v>
      </c>
    </row>
    <row r="595" spans="1:3" x14ac:dyDescent="0.2">
      <c r="A595" s="159">
        <v>819</v>
      </c>
      <c r="B595" s="155" t="s">
        <v>342</v>
      </c>
      <c r="C595" s="158" t="s">
        <v>392</v>
      </c>
    </row>
    <row r="596" spans="1:3" x14ac:dyDescent="0.2">
      <c r="A596" s="159">
        <v>820</v>
      </c>
      <c r="B596" s="155" t="s">
        <v>341</v>
      </c>
      <c r="C596" s="158" t="s">
        <v>391</v>
      </c>
    </row>
    <row r="597" spans="1:3" x14ac:dyDescent="0.2">
      <c r="A597" s="159">
        <v>821</v>
      </c>
      <c r="B597" s="155" t="s">
        <v>342</v>
      </c>
      <c r="C597" s="158" t="s">
        <v>392</v>
      </c>
    </row>
    <row r="598" spans="1:3" x14ac:dyDescent="0.2">
      <c r="A598" s="159">
        <v>822</v>
      </c>
      <c r="B598" s="155" t="s">
        <v>341</v>
      </c>
      <c r="C598" s="158" t="s">
        <v>391</v>
      </c>
    </row>
    <row r="599" spans="1:3" x14ac:dyDescent="0.2">
      <c r="A599" s="159">
        <v>823</v>
      </c>
      <c r="B599" s="155" t="s">
        <v>342</v>
      </c>
      <c r="C599" s="158" t="s">
        <v>392</v>
      </c>
    </row>
    <row r="600" spans="1:3" x14ac:dyDescent="0.2">
      <c r="A600" s="159">
        <v>824</v>
      </c>
      <c r="B600" s="155" t="s">
        <v>341</v>
      </c>
      <c r="C600" s="158" t="s">
        <v>391</v>
      </c>
    </row>
    <row r="601" spans="1:3" x14ac:dyDescent="0.2">
      <c r="A601" s="159">
        <v>825</v>
      </c>
      <c r="B601" s="155" t="s">
        <v>342</v>
      </c>
      <c r="C601" s="158" t="s">
        <v>392</v>
      </c>
    </row>
    <row r="602" spans="1:3" x14ac:dyDescent="0.2">
      <c r="A602" s="159">
        <v>826</v>
      </c>
      <c r="B602" s="155" t="s">
        <v>341</v>
      </c>
      <c r="C602" s="158" t="s">
        <v>391</v>
      </c>
    </row>
    <row r="603" spans="1:3" x14ac:dyDescent="0.2">
      <c r="A603" s="159">
        <v>827</v>
      </c>
      <c r="B603" s="155" t="s">
        <v>342</v>
      </c>
      <c r="C603" s="158" t="s">
        <v>392</v>
      </c>
    </row>
    <row r="604" spans="1:3" x14ac:dyDescent="0.2">
      <c r="A604" s="159">
        <v>828</v>
      </c>
      <c r="B604" s="155" t="s">
        <v>341</v>
      </c>
      <c r="C604" s="158" t="s">
        <v>391</v>
      </c>
    </row>
    <row r="605" spans="1:3" x14ac:dyDescent="0.2">
      <c r="A605" s="159">
        <v>829</v>
      </c>
      <c r="B605" s="155" t="s">
        <v>342</v>
      </c>
      <c r="C605" s="158" t="s">
        <v>392</v>
      </c>
    </row>
    <row r="606" spans="1:3" x14ac:dyDescent="0.2">
      <c r="A606" s="159">
        <v>830</v>
      </c>
      <c r="B606" s="155" t="s">
        <v>341</v>
      </c>
      <c r="C606" s="158" t="s">
        <v>391</v>
      </c>
    </row>
    <row r="607" spans="1:3" x14ac:dyDescent="0.2">
      <c r="A607" s="159">
        <v>831</v>
      </c>
      <c r="B607" s="155" t="s">
        <v>342</v>
      </c>
      <c r="C607" s="158" t="s">
        <v>392</v>
      </c>
    </row>
    <row r="608" spans="1:3" x14ac:dyDescent="0.2">
      <c r="A608" s="159">
        <v>832</v>
      </c>
      <c r="B608" s="155" t="s">
        <v>341</v>
      </c>
      <c r="C608" s="158" t="s">
        <v>391</v>
      </c>
    </row>
    <row r="609" spans="1:3" x14ac:dyDescent="0.2">
      <c r="A609" s="159">
        <v>833</v>
      </c>
      <c r="B609" s="155" t="s">
        <v>342</v>
      </c>
      <c r="C609" s="158" t="s">
        <v>392</v>
      </c>
    </row>
    <row r="610" spans="1:3" x14ac:dyDescent="0.2">
      <c r="A610" s="159">
        <v>834</v>
      </c>
      <c r="B610" s="155" t="s">
        <v>341</v>
      </c>
      <c r="C610" s="158" t="s">
        <v>391</v>
      </c>
    </row>
    <row r="611" spans="1:3" x14ac:dyDescent="0.2">
      <c r="A611" s="159">
        <v>835</v>
      </c>
      <c r="B611" s="155" t="s">
        <v>342</v>
      </c>
      <c r="C611" s="158" t="s">
        <v>392</v>
      </c>
    </row>
    <row r="612" spans="1:3" x14ac:dyDescent="0.2">
      <c r="A612" s="159">
        <v>836</v>
      </c>
      <c r="B612" s="155" t="s">
        <v>341</v>
      </c>
      <c r="C612" s="158" t="s">
        <v>391</v>
      </c>
    </row>
    <row r="613" spans="1:3" x14ac:dyDescent="0.2">
      <c r="A613" s="159">
        <v>837</v>
      </c>
      <c r="B613" s="155" t="s">
        <v>342</v>
      </c>
      <c r="C613" s="158" t="s">
        <v>392</v>
      </c>
    </row>
    <row r="614" spans="1:3" x14ac:dyDescent="0.2">
      <c r="A614" s="159">
        <v>838</v>
      </c>
      <c r="B614" s="155" t="s">
        <v>341</v>
      </c>
      <c r="C614" s="158" t="s">
        <v>391</v>
      </c>
    </row>
    <row r="615" spans="1:3" x14ac:dyDescent="0.2">
      <c r="A615" s="159">
        <v>839</v>
      </c>
      <c r="B615" s="155" t="s">
        <v>342</v>
      </c>
      <c r="C615" s="158" t="s">
        <v>392</v>
      </c>
    </row>
    <row r="616" spans="1:3" x14ac:dyDescent="0.2">
      <c r="A616" s="159">
        <v>840</v>
      </c>
      <c r="B616" s="155" t="s">
        <v>341</v>
      </c>
      <c r="C616" s="158" t="s">
        <v>391</v>
      </c>
    </row>
    <row r="617" spans="1:3" x14ac:dyDescent="0.2">
      <c r="A617" s="159">
        <v>841</v>
      </c>
      <c r="B617" s="155" t="s">
        <v>342</v>
      </c>
      <c r="C617" s="158" t="s">
        <v>392</v>
      </c>
    </row>
    <row r="618" spans="1:3" x14ac:dyDescent="0.2">
      <c r="A618" s="159">
        <v>842</v>
      </c>
      <c r="B618" s="155" t="s">
        <v>341</v>
      </c>
      <c r="C618" s="158" t="s">
        <v>391</v>
      </c>
    </row>
    <row r="619" spans="1:3" x14ac:dyDescent="0.2">
      <c r="A619" s="159">
        <v>843</v>
      </c>
      <c r="B619" s="155" t="s">
        <v>342</v>
      </c>
      <c r="C619" s="158" t="s">
        <v>392</v>
      </c>
    </row>
    <row r="620" spans="1:3" x14ac:dyDescent="0.2">
      <c r="A620" s="159">
        <v>844</v>
      </c>
      <c r="B620" s="155" t="s">
        <v>341</v>
      </c>
      <c r="C620" s="158" t="s">
        <v>391</v>
      </c>
    </row>
    <row r="621" spans="1:3" x14ac:dyDescent="0.2">
      <c r="A621" s="159">
        <v>845</v>
      </c>
      <c r="B621" s="155" t="s">
        <v>342</v>
      </c>
      <c r="C621" s="158" t="s">
        <v>392</v>
      </c>
    </row>
    <row r="622" spans="1:3" x14ac:dyDescent="0.2">
      <c r="A622" s="159">
        <v>846</v>
      </c>
      <c r="B622" s="155" t="s">
        <v>341</v>
      </c>
      <c r="C622" s="158" t="s">
        <v>391</v>
      </c>
    </row>
    <row r="623" spans="1:3" x14ac:dyDescent="0.2">
      <c r="A623" s="159">
        <v>847</v>
      </c>
      <c r="B623" s="155" t="s">
        <v>342</v>
      </c>
      <c r="C623" s="158" t="s">
        <v>392</v>
      </c>
    </row>
    <row r="624" spans="1:3" x14ac:dyDescent="0.2">
      <c r="A624" s="159">
        <v>848</v>
      </c>
      <c r="B624" s="155" t="s">
        <v>341</v>
      </c>
      <c r="C624" s="158" t="s">
        <v>391</v>
      </c>
    </row>
    <row r="625" spans="1:3" x14ac:dyDescent="0.2">
      <c r="A625" s="159">
        <v>849</v>
      </c>
      <c r="B625" s="155" t="s">
        <v>342</v>
      </c>
      <c r="C625" s="158" t="s">
        <v>392</v>
      </c>
    </row>
    <row r="626" spans="1:3" x14ac:dyDescent="0.2">
      <c r="A626" s="159">
        <v>850</v>
      </c>
      <c r="B626" s="155" t="s">
        <v>342</v>
      </c>
      <c r="C626" s="158" t="s">
        <v>392</v>
      </c>
    </row>
    <row r="627" spans="1:3" x14ac:dyDescent="0.2">
      <c r="A627" s="159">
        <v>851</v>
      </c>
      <c r="B627" s="155" t="s">
        <v>342</v>
      </c>
      <c r="C627" s="158" t="s">
        <v>392</v>
      </c>
    </row>
    <row r="628" spans="1:3" x14ac:dyDescent="0.2">
      <c r="A628" s="159">
        <v>852</v>
      </c>
      <c r="B628" s="155" t="s">
        <v>341</v>
      </c>
      <c r="C628" s="158" t="s">
        <v>391</v>
      </c>
    </row>
    <row r="629" spans="1:3" x14ac:dyDescent="0.2">
      <c r="A629" s="159">
        <v>853</v>
      </c>
      <c r="B629" s="155" t="s">
        <v>341</v>
      </c>
      <c r="C629" s="158" t="s">
        <v>391</v>
      </c>
    </row>
    <row r="630" spans="1:3" x14ac:dyDescent="0.2">
      <c r="A630" s="159">
        <v>854</v>
      </c>
      <c r="B630" s="155" t="s">
        <v>341</v>
      </c>
      <c r="C630" s="158" t="s">
        <v>391</v>
      </c>
    </row>
    <row r="631" spans="1:3" x14ac:dyDescent="0.2">
      <c r="A631" s="159">
        <v>855</v>
      </c>
      <c r="B631" s="155" t="s">
        <v>341</v>
      </c>
      <c r="C631" s="158" t="s">
        <v>391</v>
      </c>
    </row>
    <row r="632" spans="1:3" x14ac:dyDescent="0.2">
      <c r="A632" s="159">
        <v>856</v>
      </c>
      <c r="B632" s="155" t="s">
        <v>341</v>
      </c>
      <c r="C632" s="158" t="s">
        <v>391</v>
      </c>
    </row>
    <row r="633" spans="1:3" x14ac:dyDescent="0.2">
      <c r="A633" s="159">
        <v>857</v>
      </c>
      <c r="B633" s="155" t="s">
        <v>341</v>
      </c>
      <c r="C633" s="158" t="s">
        <v>391</v>
      </c>
    </row>
    <row r="634" spans="1:3" x14ac:dyDescent="0.2">
      <c r="A634" s="159">
        <v>858</v>
      </c>
      <c r="B634" s="155" t="s">
        <v>341</v>
      </c>
      <c r="C634" s="158" t="s">
        <v>391</v>
      </c>
    </row>
    <row r="635" spans="1:3" x14ac:dyDescent="0.2">
      <c r="A635" s="159">
        <v>859</v>
      </c>
      <c r="B635" s="155" t="s">
        <v>341</v>
      </c>
      <c r="C635" s="158" t="s">
        <v>391</v>
      </c>
    </row>
    <row r="636" spans="1:3" x14ac:dyDescent="0.2">
      <c r="A636" s="159">
        <v>860</v>
      </c>
      <c r="B636" s="155" t="s">
        <v>341</v>
      </c>
      <c r="C636" s="158" t="s">
        <v>391</v>
      </c>
    </row>
    <row r="637" spans="1:3" x14ac:dyDescent="0.2">
      <c r="A637" s="159">
        <v>861</v>
      </c>
      <c r="B637" s="155" t="s">
        <v>341</v>
      </c>
      <c r="C637" s="158" t="s">
        <v>391</v>
      </c>
    </row>
    <row r="638" spans="1:3" x14ac:dyDescent="0.2">
      <c r="A638" s="159">
        <v>862</v>
      </c>
      <c r="B638" s="155" t="s">
        <v>341</v>
      </c>
      <c r="C638" s="158" t="s">
        <v>391</v>
      </c>
    </row>
    <row r="639" spans="1:3" x14ac:dyDescent="0.2">
      <c r="A639" s="159">
        <v>863</v>
      </c>
      <c r="B639" s="155" t="s">
        <v>341</v>
      </c>
      <c r="C639" s="158" t="s">
        <v>391</v>
      </c>
    </row>
    <row r="640" spans="1:3" x14ac:dyDescent="0.2">
      <c r="A640" s="159">
        <v>864</v>
      </c>
      <c r="B640" s="155" t="s">
        <v>341</v>
      </c>
      <c r="C640" s="158" t="s">
        <v>391</v>
      </c>
    </row>
    <row r="641" spans="1:3" x14ac:dyDescent="0.2">
      <c r="A641" s="159">
        <v>865</v>
      </c>
      <c r="B641" s="155" t="s">
        <v>341</v>
      </c>
      <c r="C641" s="158" t="s">
        <v>391</v>
      </c>
    </row>
    <row r="642" spans="1:3" x14ac:dyDescent="0.2">
      <c r="A642" s="159">
        <v>866</v>
      </c>
      <c r="B642" s="155" t="s">
        <v>342</v>
      </c>
      <c r="C642" s="158" t="s">
        <v>392</v>
      </c>
    </row>
    <row r="643" spans="1:3" x14ac:dyDescent="0.2">
      <c r="A643" s="159">
        <v>867</v>
      </c>
      <c r="B643" s="155" t="s">
        <v>341</v>
      </c>
      <c r="C643" s="158" t="s">
        <v>391</v>
      </c>
    </row>
    <row r="644" spans="1:3" x14ac:dyDescent="0.2">
      <c r="A644" s="159">
        <v>868</v>
      </c>
      <c r="B644" s="155" t="s">
        <v>342</v>
      </c>
      <c r="C644" s="158" t="s">
        <v>392</v>
      </c>
    </row>
    <row r="645" spans="1:3" x14ac:dyDescent="0.2">
      <c r="A645" s="159">
        <v>869</v>
      </c>
      <c r="B645" s="155" t="s">
        <v>341</v>
      </c>
      <c r="C645" s="158" t="s">
        <v>391</v>
      </c>
    </row>
    <row r="646" spans="1:3" x14ac:dyDescent="0.2">
      <c r="A646" s="159">
        <v>870</v>
      </c>
      <c r="B646" s="155" t="s">
        <v>342</v>
      </c>
      <c r="C646" s="158" t="s">
        <v>392</v>
      </c>
    </row>
    <row r="647" spans="1:3" x14ac:dyDescent="0.2">
      <c r="A647" s="159">
        <v>871</v>
      </c>
      <c r="B647" s="155" t="s">
        <v>341</v>
      </c>
      <c r="C647" s="158" t="s">
        <v>391</v>
      </c>
    </row>
    <row r="648" spans="1:3" x14ac:dyDescent="0.2">
      <c r="A648" s="159">
        <v>872</v>
      </c>
      <c r="B648" s="155" t="s">
        <v>342</v>
      </c>
      <c r="C648" s="158" t="s">
        <v>392</v>
      </c>
    </row>
    <row r="649" spans="1:3" x14ac:dyDescent="0.2">
      <c r="A649" s="159">
        <v>873</v>
      </c>
      <c r="B649" s="155" t="s">
        <v>341</v>
      </c>
      <c r="C649" s="158" t="s">
        <v>391</v>
      </c>
    </row>
    <row r="650" spans="1:3" x14ac:dyDescent="0.2">
      <c r="A650" s="159">
        <v>874</v>
      </c>
      <c r="B650" s="155" t="s">
        <v>342</v>
      </c>
      <c r="C650" s="158" t="s">
        <v>392</v>
      </c>
    </row>
    <row r="651" spans="1:3" x14ac:dyDescent="0.2">
      <c r="A651" s="159">
        <v>875</v>
      </c>
      <c r="B651" s="155" t="s">
        <v>341</v>
      </c>
      <c r="C651" s="158" t="s">
        <v>391</v>
      </c>
    </row>
    <row r="652" spans="1:3" x14ac:dyDescent="0.2">
      <c r="A652" s="159">
        <v>876</v>
      </c>
      <c r="B652" s="155" t="s">
        <v>342</v>
      </c>
      <c r="C652" s="158" t="s">
        <v>392</v>
      </c>
    </row>
    <row r="653" spans="1:3" x14ac:dyDescent="0.2">
      <c r="A653" s="159">
        <v>877</v>
      </c>
      <c r="B653" s="155" t="s">
        <v>341</v>
      </c>
      <c r="C653" s="158" t="s">
        <v>391</v>
      </c>
    </row>
    <row r="654" spans="1:3" x14ac:dyDescent="0.2">
      <c r="A654" s="159">
        <v>878</v>
      </c>
      <c r="B654" s="155" t="s">
        <v>342</v>
      </c>
      <c r="C654" s="158" t="s">
        <v>392</v>
      </c>
    </row>
    <row r="655" spans="1:3" x14ac:dyDescent="0.2">
      <c r="A655" s="159">
        <v>879</v>
      </c>
      <c r="B655" s="155" t="s">
        <v>341</v>
      </c>
      <c r="C655" s="158" t="s">
        <v>391</v>
      </c>
    </row>
    <row r="656" spans="1:3" x14ac:dyDescent="0.2">
      <c r="A656" s="159">
        <v>880</v>
      </c>
      <c r="B656" s="155" t="s">
        <v>342</v>
      </c>
      <c r="C656" s="158" t="s">
        <v>392</v>
      </c>
    </row>
    <row r="657" spans="1:3" x14ac:dyDescent="0.2">
      <c r="A657" s="159">
        <v>881</v>
      </c>
      <c r="B657" s="155" t="s">
        <v>341</v>
      </c>
      <c r="C657" s="158" t="s">
        <v>391</v>
      </c>
    </row>
    <row r="658" spans="1:3" x14ac:dyDescent="0.2">
      <c r="A658" s="159">
        <v>882</v>
      </c>
      <c r="B658" s="155" t="s">
        <v>342</v>
      </c>
      <c r="C658" s="158" t="s">
        <v>392</v>
      </c>
    </row>
    <row r="659" spans="1:3" x14ac:dyDescent="0.2">
      <c r="A659" s="159">
        <v>883</v>
      </c>
      <c r="B659" s="155" t="s">
        <v>341</v>
      </c>
      <c r="C659" s="158" t="s">
        <v>391</v>
      </c>
    </row>
    <row r="660" spans="1:3" x14ac:dyDescent="0.2">
      <c r="A660" s="159">
        <v>884</v>
      </c>
      <c r="B660" s="155" t="s">
        <v>342</v>
      </c>
      <c r="C660" s="158" t="s">
        <v>392</v>
      </c>
    </row>
    <row r="661" spans="1:3" x14ac:dyDescent="0.2">
      <c r="A661" s="159">
        <v>885</v>
      </c>
      <c r="B661" s="155" t="s">
        <v>341</v>
      </c>
      <c r="C661" s="158" t="s">
        <v>391</v>
      </c>
    </row>
    <row r="662" spans="1:3" x14ac:dyDescent="0.2">
      <c r="A662" s="159">
        <v>886</v>
      </c>
      <c r="B662" s="155" t="s">
        <v>342</v>
      </c>
      <c r="C662" s="158" t="s">
        <v>392</v>
      </c>
    </row>
    <row r="663" spans="1:3" x14ac:dyDescent="0.2">
      <c r="A663" s="159">
        <v>887</v>
      </c>
      <c r="B663" s="155" t="s">
        <v>341</v>
      </c>
      <c r="C663" s="158" t="s">
        <v>391</v>
      </c>
    </row>
    <row r="664" spans="1:3" x14ac:dyDescent="0.2">
      <c r="A664" s="159">
        <v>888</v>
      </c>
      <c r="B664" s="155" t="s">
        <v>342</v>
      </c>
      <c r="C664" s="158" t="s">
        <v>392</v>
      </c>
    </row>
    <row r="665" spans="1:3" x14ac:dyDescent="0.2">
      <c r="A665" s="159">
        <v>889</v>
      </c>
      <c r="B665" s="155" t="s">
        <v>341</v>
      </c>
      <c r="C665" s="158" t="s">
        <v>391</v>
      </c>
    </row>
    <row r="666" spans="1:3" x14ac:dyDescent="0.2">
      <c r="A666" s="159">
        <v>890</v>
      </c>
      <c r="B666" s="155" t="s">
        <v>342</v>
      </c>
      <c r="C666" s="158" t="s">
        <v>392</v>
      </c>
    </row>
    <row r="667" spans="1:3" x14ac:dyDescent="0.2">
      <c r="A667" s="159">
        <v>891</v>
      </c>
      <c r="B667" s="155" t="s">
        <v>342</v>
      </c>
      <c r="C667" s="158" t="s">
        <v>392</v>
      </c>
    </row>
    <row r="668" spans="1:3" x14ac:dyDescent="0.2">
      <c r="A668" s="159">
        <v>892</v>
      </c>
      <c r="B668" s="155" t="s">
        <v>342</v>
      </c>
      <c r="C668" s="158" t="s">
        <v>392</v>
      </c>
    </row>
    <row r="669" spans="1:3" x14ac:dyDescent="0.2">
      <c r="A669" s="159">
        <v>893</v>
      </c>
      <c r="B669" s="155" t="s">
        <v>342</v>
      </c>
      <c r="C669" s="158" t="s">
        <v>392</v>
      </c>
    </row>
    <row r="670" spans="1:3" x14ac:dyDescent="0.2">
      <c r="A670" s="159">
        <v>894</v>
      </c>
      <c r="B670" s="155" t="s">
        <v>300</v>
      </c>
      <c r="C670" s="158" t="s">
        <v>392</v>
      </c>
    </row>
    <row r="671" spans="1:3" x14ac:dyDescent="0.2">
      <c r="A671" s="159">
        <v>895</v>
      </c>
      <c r="B671" s="155" t="s">
        <v>300</v>
      </c>
      <c r="C671" s="158" t="s">
        <v>392</v>
      </c>
    </row>
    <row r="672" spans="1:3" x14ac:dyDescent="0.2">
      <c r="A672" s="159">
        <v>896</v>
      </c>
      <c r="B672" s="155" t="s">
        <v>300</v>
      </c>
      <c r="C672" s="158" t="s">
        <v>392</v>
      </c>
    </row>
    <row r="673" spans="1:3" x14ac:dyDescent="0.2">
      <c r="A673" s="159">
        <v>897</v>
      </c>
      <c r="B673" s="155" t="s">
        <v>342</v>
      </c>
      <c r="C673" s="158" t="s">
        <v>392</v>
      </c>
    </row>
    <row r="674" spans="1:3" x14ac:dyDescent="0.2">
      <c r="A674" s="159">
        <v>898</v>
      </c>
      <c r="B674" s="155" t="s">
        <v>342</v>
      </c>
      <c r="C674" s="158" t="s">
        <v>392</v>
      </c>
    </row>
    <row r="675" spans="1:3" x14ac:dyDescent="0.2">
      <c r="A675" s="159">
        <v>899</v>
      </c>
      <c r="B675" s="155" t="s">
        <v>343</v>
      </c>
      <c r="C675" s="158" t="s">
        <v>392</v>
      </c>
    </row>
    <row r="676" spans="1:3" x14ac:dyDescent="0.2">
      <c r="A676" s="159">
        <v>900</v>
      </c>
      <c r="B676" s="155" t="s">
        <v>343</v>
      </c>
      <c r="C676" s="158" t="s">
        <v>392</v>
      </c>
    </row>
    <row r="677" spans="1:3" x14ac:dyDescent="0.2">
      <c r="A677" s="159">
        <v>901</v>
      </c>
      <c r="B677" s="155" t="s">
        <v>343</v>
      </c>
      <c r="C677" s="158" t="s">
        <v>392</v>
      </c>
    </row>
    <row r="678" spans="1:3" x14ac:dyDescent="0.2">
      <c r="A678" s="159">
        <v>902</v>
      </c>
      <c r="B678" s="155" t="s">
        <v>343</v>
      </c>
      <c r="C678" s="158" t="s">
        <v>392</v>
      </c>
    </row>
    <row r="679" spans="1:3" x14ac:dyDescent="0.2">
      <c r="A679" s="159">
        <v>903</v>
      </c>
      <c r="B679" s="155" t="s">
        <v>343</v>
      </c>
      <c r="C679" s="158" t="s">
        <v>392</v>
      </c>
    </row>
    <row r="680" spans="1:3" x14ac:dyDescent="0.2">
      <c r="A680" s="159">
        <v>904</v>
      </c>
      <c r="B680" s="155" t="s">
        <v>344</v>
      </c>
      <c r="C680" s="158" t="s">
        <v>392</v>
      </c>
    </row>
    <row r="681" spans="1:3" x14ac:dyDescent="0.2">
      <c r="A681" s="159">
        <v>905</v>
      </c>
      <c r="B681" s="155" t="s">
        <v>344</v>
      </c>
      <c r="C681" s="158" t="s">
        <v>392</v>
      </c>
    </row>
    <row r="682" spans="1:3" x14ac:dyDescent="0.2">
      <c r="A682" s="159">
        <v>906</v>
      </c>
      <c r="B682" s="155" t="s">
        <v>344</v>
      </c>
      <c r="C682" s="158" t="s">
        <v>392</v>
      </c>
    </row>
    <row r="683" spans="1:3" x14ac:dyDescent="0.2">
      <c r="A683" s="159">
        <v>907</v>
      </c>
      <c r="B683" s="155" t="s">
        <v>345</v>
      </c>
      <c r="C683" s="158" t="s">
        <v>392</v>
      </c>
    </row>
    <row r="684" spans="1:3" x14ac:dyDescent="0.2">
      <c r="A684" s="159">
        <v>908</v>
      </c>
      <c r="B684" s="155" t="s">
        <v>345</v>
      </c>
      <c r="C684" s="158" t="s">
        <v>392</v>
      </c>
    </row>
    <row r="685" spans="1:3" x14ac:dyDescent="0.2">
      <c r="A685" s="159">
        <v>909</v>
      </c>
      <c r="B685" s="155" t="s">
        <v>345</v>
      </c>
      <c r="C685" s="158" t="s">
        <v>392</v>
      </c>
    </row>
    <row r="686" spans="1:3" x14ac:dyDescent="0.2">
      <c r="A686" s="159">
        <v>910</v>
      </c>
      <c r="B686" s="155" t="s">
        <v>345</v>
      </c>
      <c r="C686" s="158" t="s">
        <v>392</v>
      </c>
    </row>
    <row r="687" spans="1:3" x14ac:dyDescent="0.2">
      <c r="A687" s="159">
        <v>911</v>
      </c>
      <c r="B687" s="155" t="s">
        <v>345</v>
      </c>
      <c r="C687" s="158" t="s">
        <v>392</v>
      </c>
    </row>
    <row r="688" spans="1:3" x14ac:dyDescent="0.2">
      <c r="A688" s="159">
        <v>912</v>
      </c>
      <c r="B688" s="155" t="s">
        <v>345</v>
      </c>
      <c r="C688" s="158" t="s">
        <v>392</v>
      </c>
    </row>
    <row r="689" spans="1:3" x14ac:dyDescent="0.2">
      <c r="A689" s="159">
        <v>913</v>
      </c>
      <c r="B689" s="155" t="s">
        <v>345</v>
      </c>
      <c r="C689" s="158" t="s">
        <v>392</v>
      </c>
    </row>
    <row r="690" spans="1:3" x14ac:dyDescent="0.2">
      <c r="A690" s="159">
        <v>914</v>
      </c>
      <c r="B690" s="155" t="s">
        <v>346</v>
      </c>
      <c r="C690" s="158" t="s">
        <v>391</v>
      </c>
    </row>
    <row r="691" spans="1:3" x14ac:dyDescent="0.2">
      <c r="A691" s="159">
        <v>915</v>
      </c>
      <c r="B691" s="155" t="s">
        <v>300</v>
      </c>
      <c r="C691" s="158" t="s">
        <v>391</v>
      </c>
    </row>
    <row r="692" spans="1:3" x14ac:dyDescent="0.2">
      <c r="A692" s="159">
        <v>916</v>
      </c>
      <c r="B692" s="155" t="s">
        <v>300</v>
      </c>
      <c r="C692" s="158" t="s">
        <v>391</v>
      </c>
    </row>
    <row r="693" spans="1:3" x14ac:dyDescent="0.2">
      <c r="A693" s="159">
        <v>917</v>
      </c>
      <c r="B693" s="155" t="s">
        <v>300</v>
      </c>
      <c r="C693" s="158" t="s">
        <v>391</v>
      </c>
    </row>
    <row r="694" spans="1:3" x14ac:dyDescent="0.2">
      <c r="A694" s="159">
        <v>918</v>
      </c>
      <c r="B694" s="155" t="s">
        <v>236</v>
      </c>
      <c r="C694" s="158" t="s">
        <v>391</v>
      </c>
    </row>
    <row r="695" spans="1:3" x14ac:dyDescent="0.2">
      <c r="A695" s="159">
        <v>919</v>
      </c>
      <c r="B695" s="155" t="s">
        <v>347</v>
      </c>
      <c r="C695" s="158" t="s">
        <v>391</v>
      </c>
    </row>
    <row r="696" spans="1:3" x14ac:dyDescent="0.2">
      <c r="A696" s="159">
        <v>920</v>
      </c>
      <c r="B696" s="155" t="s">
        <v>347</v>
      </c>
      <c r="C696" s="158" t="s">
        <v>391</v>
      </c>
    </row>
    <row r="697" spans="1:3" x14ac:dyDescent="0.2">
      <c r="A697" s="159">
        <v>922</v>
      </c>
      <c r="B697" s="155" t="s">
        <v>259</v>
      </c>
      <c r="C697" s="158" t="s">
        <v>391</v>
      </c>
    </row>
    <row r="698" spans="1:3" x14ac:dyDescent="0.2">
      <c r="A698" s="159">
        <v>923</v>
      </c>
      <c r="B698" s="155" t="s">
        <v>259</v>
      </c>
      <c r="C698" s="158" t="s">
        <v>391</v>
      </c>
    </row>
    <row r="699" spans="1:3" x14ac:dyDescent="0.2">
      <c r="A699" s="159">
        <v>924</v>
      </c>
      <c r="B699" s="155" t="s">
        <v>259</v>
      </c>
      <c r="C699" s="158" t="s">
        <v>391</v>
      </c>
    </row>
    <row r="700" spans="1:3" x14ac:dyDescent="0.2">
      <c r="A700" s="159">
        <v>925</v>
      </c>
      <c r="B700" s="155" t="s">
        <v>348</v>
      </c>
      <c r="C700" s="158" t="s">
        <v>387</v>
      </c>
    </row>
    <row r="701" spans="1:3" x14ac:dyDescent="0.2">
      <c r="A701" s="159">
        <v>926</v>
      </c>
      <c r="B701" s="155" t="s">
        <v>289</v>
      </c>
      <c r="C701" s="158" t="s">
        <v>387</v>
      </c>
    </row>
    <row r="702" spans="1:3" x14ac:dyDescent="0.2">
      <c r="A702" s="159">
        <v>927</v>
      </c>
      <c r="B702" s="155" t="s">
        <v>291</v>
      </c>
      <c r="C702" s="158" t="s">
        <v>387</v>
      </c>
    </row>
    <row r="703" spans="1:3" x14ac:dyDescent="0.2">
      <c r="A703" s="159">
        <v>928</v>
      </c>
      <c r="B703" s="155" t="s">
        <v>290</v>
      </c>
      <c r="C703" s="158" t="s">
        <v>387</v>
      </c>
    </row>
    <row r="704" spans="1:3" x14ac:dyDescent="0.2">
      <c r="A704" s="159">
        <v>929</v>
      </c>
      <c r="B704" s="155" t="s">
        <v>343</v>
      </c>
      <c r="C704" s="158" t="s">
        <v>392</v>
      </c>
    </row>
    <row r="705" spans="1:3" x14ac:dyDescent="0.2">
      <c r="A705" s="159">
        <v>930</v>
      </c>
      <c r="B705" s="155" t="s">
        <v>343</v>
      </c>
      <c r="C705" s="158" t="s">
        <v>392</v>
      </c>
    </row>
    <row r="706" spans="1:3" x14ac:dyDescent="0.2">
      <c r="A706" s="159">
        <v>931</v>
      </c>
      <c r="B706" s="155" t="s">
        <v>343</v>
      </c>
      <c r="C706" s="158" t="s">
        <v>392</v>
      </c>
    </row>
    <row r="707" spans="1:3" x14ac:dyDescent="0.2">
      <c r="A707" s="159">
        <v>932</v>
      </c>
      <c r="B707" s="155" t="s">
        <v>349</v>
      </c>
      <c r="C707" s="158" t="s">
        <v>391</v>
      </c>
    </row>
    <row r="708" spans="1:3" x14ac:dyDescent="0.2">
      <c r="A708" s="159">
        <v>933</v>
      </c>
      <c r="B708" s="155" t="s">
        <v>341</v>
      </c>
      <c r="C708" s="158" t="s">
        <v>391</v>
      </c>
    </row>
    <row r="709" spans="1:3" x14ac:dyDescent="0.2">
      <c r="A709" s="159">
        <v>934</v>
      </c>
      <c r="B709" s="155" t="s">
        <v>342</v>
      </c>
      <c r="C709" s="158" t="s">
        <v>392</v>
      </c>
    </row>
    <row r="710" spans="1:3" x14ac:dyDescent="0.2">
      <c r="A710" s="159">
        <v>935</v>
      </c>
      <c r="B710" s="155" t="s">
        <v>350</v>
      </c>
      <c r="C710" s="158" t="s">
        <v>391</v>
      </c>
    </row>
    <row r="711" spans="1:3" x14ac:dyDescent="0.2">
      <c r="A711" s="159">
        <v>936</v>
      </c>
      <c r="B711" s="155" t="s">
        <v>350</v>
      </c>
      <c r="C711" s="158" t="s">
        <v>391</v>
      </c>
    </row>
    <row r="712" spans="1:3" x14ac:dyDescent="0.2">
      <c r="A712" s="159">
        <v>937</v>
      </c>
      <c r="B712" s="155" t="s">
        <v>350</v>
      </c>
      <c r="C712" s="158" t="s">
        <v>391</v>
      </c>
    </row>
    <row r="713" spans="1:3" x14ac:dyDescent="0.2">
      <c r="A713" s="159">
        <v>938</v>
      </c>
      <c r="B713" s="155" t="s">
        <v>350</v>
      </c>
      <c r="C713" s="158" t="s">
        <v>391</v>
      </c>
    </row>
    <row r="714" spans="1:3" x14ac:dyDescent="0.2">
      <c r="A714" s="159">
        <v>939</v>
      </c>
      <c r="B714" s="155" t="s">
        <v>350</v>
      </c>
      <c r="C714" s="158" t="s">
        <v>391</v>
      </c>
    </row>
    <row r="715" spans="1:3" x14ac:dyDescent="0.2">
      <c r="A715" s="159">
        <v>940</v>
      </c>
      <c r="B715" s="155" t="s">
        <v>351</v>
      </c>
      <c r="C715" s="158" t="s">
        <v>388</v>
      </c>
    </row>
    <row r="716" spans="1:3" x14ac:dyDescent="0.2">
      <c r="A716" s="159">
        <v>941</v>
      </c>
      <c r="B716" s="155" t="s">
        <v>352</v>
      </c>
      <c r="C716" s="158" t="s">
        <v>388</v>
      </c>
    </row>
    <row r="717" spans="1:3" x14ac:dyDescent="0.2">
      <c r="A717" s="159">
        <v>942</v>
      </c>
      <c r="B717" s="155" t="s">
        <v>205</v>
      </c>
      <c r="C717" s="158" t="s">
        <v>391</v>
      </c>
    </row>
    <row r="718" spans="1:3" x14ac:dyDescent="0.2">
      <c r="A718" s="159">
        <v>943</v>
      </c>
      <c r="B718" s="155" t="s">
        <v>196</v>
      </c>
      <c r="C718" s="158" t="s">
        <v>391</v>
      </c>
    </row>
    <row r="719" spans="1:3" x14ac:dyDescent="0.2">
      <c r="A719" s="159">
        <v>944</v>
      </c>
      <c r="B719" s="155" t="s">
        <v>196</v>
      </c>
      <c r="C719" s="158" t="s">
        <v>391</v>
      </c>
    </row>
    <row r="720" spans="1:3" x14ac:dyDescent="0.2">
      <c r="A720" s="159">
        <v>945</v>
      </c>
      <c r="B720" s="155" t="s">
        <v>196</v>
      </c>
      <c r="C720" s="158" t="s">
        <v>391</v>
      </c>
    </row>
    <row r="721" spans="1:3" x14ac:dyDescent="0.2">
      <c r="A721" s="159">
        <v>946</v>
      </c>
      <c r="B721" s="155" t="s">
        <v>196</v>
      </c>
      <c r="C721" s="158" t="s">
        <v>391</v>
      </c>
    </row>
    <row r="722" spans="1:3" x14ac:dyDescent="0.2">
      <c r="A722" s="159">
        <v>947</v>
      </c>
      <c r="B722" s="155" t="s">
        <v>353</v>
      </c>
      <c r="C722" s="158" t="s">
        <v>391</v>
      </c>
    </row>
    <row r="723" spans="1:3" x14ac:dyDescent="0.2">
      <c r="A723" s="159">
        <v>948</v>
      </c>
      <c r="B723" s="155" t="s">
        <v>354</v>
      </c>
      <c r="C723" s="158" t="s">
        <v>391</v>
      </c>
    </row>
    <row r="724" spans="1:3" x14ac:dyDescent="0.2">
      <c r="A724" s="159">
        <v>949</v>
      </c>
      <c r="B724" s="155" t="s">
        <v>355</v>
      </c>
      <c r="C724" s="158" t="s">
        <v>391</v>
      </c>
    </row>
    <row r="725" spans="1:3" x14ac:dyDescent="0.2">
      <c r="A725" s="159">
        <v>950</v>
      </c>
      <c r="B725" s="155" t="s">
        <v>356</v>
      </c>
      <c r="C725" s="158" t="s">
        <v>392</v>
      </c>
    </row>
    <row r="726" spans="1:3" x14ac:dyDescent="0.2">
      <c r="A726" s="159">
        <v>951</v>
      </c>
      <c r="B726" s="155" t="s">
        <v>357</v>
      </c>
      <c r="C726" s="158" t="s">
        <v>392</v>
      </c>
    </row>
    <row r="727" spans="1:3" x14ac:dyDescent="0.2">
      <c r="A727" s="159">
        <v>952</v>
      </c>
      <c r="B727" s="155" t="s">
        <v>358</v>
      </c>
      <c r="C727" s="158" t="s">
        <v>391</v>
      </c>
    </row>
    <row r="728" spans="1:3" x14ac:dyDescent="0.2">
      <c r="A728" s="159">
        <v>953</v>
      </c>
      <c r="B728" s="155" t="s">
        <v>359</v>
      </c>
      <c r="C728" s="158" t="s">
        <v>391</v>
      </c>
    </row>
    <row r="729" spans="1:3" x14ac:dyDescent="0.2">
      <c r="A729" s="159">
        <v>954</v>
      </c>
      <c r="B729" s="155" t="s">
        <v>360</v>
      </c>
      <c r="C729" s="158" t="s">
        <v>391</v>
      </c>
    </row>
    <row r="730" spans="1:3" x14ac:dyDescent="0.2">
      <c r="A730" s="159">
        <v>955</v>
      </c>
      <c r="B730" s="155" t="s">
        <v>361</v>
      </c>
      <c r="C730" s="158" t="s">
        <v>391</v>
      </c>
    </row>
    <row r="731" spans="1:3" x14ac:dyDescent="0.2">
      <c r="A731" s="159">
        <v>956</v>
      </c>
      <c r="B731" s="155" t="s">
        <v>362</v>
      </c>
      <c r="C731" s="158" t="s">
        <v>391</v>
      </c>
    </row>
    <row r="732" spans="1:3" x14ac:dyDescent="0.2">
      <c r="A732" s="159">
        <v>957</v>
      </c>
      <c r="B732" s="155" t="s">
        <v>363</v>
      </c>
      <c r="C732" s="158" t="s">
        <v>391</v>
      </c>
    </row>
    <row r="733" spans="1:3" x14ac:dyDescent="0.2">
      <c r="A733" s="159">
        <v>958</v>
      </c>
      <c r="B733" s="155" t="s">
        <v>364</v>
      </c>
      <c r="C733" s="158" t="s">
        <v>391</v>
      </c>
    </row>
    <row r="734" spans="1:3" x14ac:dyDescent="0.2">
      <c r="A734" s="159">
        <v>959</v>
      </c>
      <c r="B734" s="155" t="s">
        <v>365</v>
      </c>
      <c r="C734" s="158" t="s">
        <v>391</v>
      </c>
    </row>
    <row r="735" spans="1:3" x14ac:dyDescent="0.2">
      <c r="A735" s="159">
        <v>960</v>
      </c>
      <c r="B735" s="155" t="s">
        <v>366</v>
      </c>
      <c r="C735" s="158" t="s">
        <v>391</v>
      </c>
    </row>
    <row r="736" spans="1:3" x14ac:dyDescent="0.2">
      <c r="A736" s="159">
        <v>961</v>
      </c>
      <c r="B736" s="155" t="s">
        <v>367</v>
      </c>
      <c r="C736" s="158" t="s">
        <v>391</v>
      </c>
    </row>
    <row r="737" spans="1:3" x14ac:dyDescent="0.2">
      <c r="A737" s="159">
        <v>962</v>
      </c>
      <c r="B737" s="155" t="s">
        <v>368</v>
      </c>
      <c r="C737" s="158" t="s">
        <v>391</v>
      </c>
    </row>
    <row r="738" spans="1:3" x14ac:dyDescent="0.2">
      <c r="A738" s="159">
        <v>963</v>
      </c>
      <c r="B738" s="155" t="s">
        <v>369</v>
      </c>
      <c r="C738" s="158" t="s">
        <v>391</v>
      </c>
    </row>
    <row r="739" spans="1:3" x14ac:dyDescent="0.2">
      <c r="A739" s="159">
        <v>964</v>
      </c>
      <c r="B739" s="155" t="s">
        <v>370</v>
      </c>
      <c r="C739" s="158" t="s">
        <v>391</v>
      </c>
    </row>
    <row r="740" spans="1:3" x14ac:dyDescent="0.2">
      <c r="A740" s="159">
        <v>965</v>
      </c>
      <c r="B740" s="155" t="s">
        <v>371</v>
      </c>
      <c r="C740" s="158" t="s">
        <v>391</v>
      </c>
    </row>
    <row r="741" spans="1:3" x14ac:dyDescent="0.2">
      <c r="A741" s="159">
        <v>966</v>
      </c>
      <c r="B741" s="155" t="s">
        <v>216</v>
      </c>
      <c r="C741" s="158" t="s">
        <v>392</v>
      </c>
    </row>
    <row r="742" spans="1:3" x14ac:dyDescent="0.2">
      <c r="A742" s="159">
        <v>967</v>
      </c>
      <c r="B742" s="155" t="s">
        <v>228</v>
      </c>
      <c r="C742" s="158" t="s">
        <v>391</v>
      </c>
    </row>
    <row r="743" spans="1:3" x14ac:dyDescent="0.2">
      <c r="A743" s="159">
        <v>968</v>
      </c>
      <c r="B743" s="155" t="s">
        <v>228</v>
      </c>
      <c r="C743" s="158" t="s">
        <v>391</v>
      </c>
    </row>
    <row r="744" spans="1:3" x14ac:dyDescent="0.2">
      <c r="A744" s="159">
        <v>969</v>
      </c>
      <c r="B744" s="155" t="s">
        <v>371</v>
      </c>
      <c r="C744" s="158" t="s">
        <v>391</v>
      </c>
    </row>
    <row r="745" spans="1:3" x14ac:dyDescent="0.2">
      <c r="A745" s="159">
        <v>970</v>
      </c>
      <c r="B745" s="155" t="s">
        <v>184</v>
      </c>
      <c r="C745" s="158" t="s">
        <v>391</v>
      </c>
    </row>
    <row r="746" spans="1:3" x14ac:dyDescent="0.2">
      <c r="A746" s="159">
        <v>971</v>
      </c>
      <c r="B746" s="155" t="s">
        <v>372</v>
      </c>
      <c r="C746" s="158" t="s">
        <v>391</v>
      </c>
    </row>
    <row r="747" spans="1:3" x14ac:dyDescent="0.2">
      <c r="A747" s="159">
        <v>972</v>
      </c>
      <c r="B747" s="155" t="s">
        <v>373</v>
      </c>
      <c r="C747" s="158" t="s">
        <v>391</v>
      </c>
    </row>
    <row r="748" spans="1:3" x14ac:dyDescent="0.2">
      <c r="A748" s="159">
        <v>973</v>
      </c>
      <c r="B748" s="155" t="s">
        <v>226</v>
      </c>
      <c r="C748" s="158" t="s">
        <v>391</v>
      </c>
    </row>
    <row r="749" spans="1:3" x14ac:dyDescent="0.2">
      <c r="A749" s="159">
        <v>974</v>
      </c>
      <c r="B749" s="155" t="s">
        <v>252</v>
      </c>
      <c r="C749" s="158" t="s">
        <v>391</v>
      </c>
    </row>
    <row r="750" spans="1:3" x14ac:dyDescent="0.2">
      <c r="A750" s="159">
        <v>975</v>
      </c>
      <c r="B750" s="155" t="s">
        <v>374</v>
      </c>
      <c r="C750" s="158" t="s">
        <v>391</v>
      </c>
    </row>
    <row r="751" spans="1:3" x14ac:dyDescent="0.2">
      <c r="A751" s="159">
        <v>976</v>
      </c>
      <c r="B751" s="155" t="s">
        <v>375</v>
      </c>
      <c r="C751" s="158" t="s">
        <v>391</v>
      </c>
    </row>
    <row r="752" spans="1:3" x14ac:dyDescent="0.2">
      <c r="A752" s="159">
        <v>978</v>
      </c>
      <c r="B752" s="155" t="s">
        <v>210</v>
      </c>
      <c r="C752" s="158" t="s">
        <v>392</v>
      </c>
    </row>
    <row r="753" spans="1:3" x14ac:dyDescent="0.2">
      <c r="A753" s="159">
        <v>979</v>
      </c>
      <c r="B753" s="155" t="s">
        <v>249</v>
      </c>
      <c r="C753" s="158" t="s">
        <v>392</v>
      </c>
    </row>
    <row r="754" spans="1:3" x14ac:dyDescent="0.2">
      <c r="A754" s="159">
        <v>980</v>
      </c>
      <c r="B754" s="155" t="s">
        <v>376</v>
      </c>
      <c r="C754" s="158" t="s">
        <v>391</v>
      </c>
    </row>
    <row r="755" spans="1:3" x14ac:dyDescent="0.2">
      <c r="A755" s="159">
        <v>981</v>
      </c>
      <c r="B755" s="155" t="s">
        <v>377</v>
      </c>
      <c r="C755" s="158" t="s">
        <v>392</v>
      </c>
    </row>
    <row r="756" spans="1:3" x14ac:dyDescent="0.2">
      <c r="A756" s="159">
        <v>982</v>
      </c>
      <c r="B756" s="155" t="s">
        <v>378</v>
      </c>
      <c r="C756" s="158" t="s">
        <v>391</v>
      </c>
    </row>
    <row r="757" spans="1:3" x14ac:dyDescent="0.2">
      <c r="A757" s="159">
        <v>983</v>
      </c>
      <c r="B757" s="155" t="s">
        <v>379</v>
      </c>
      <c r="C757" s="158" t="s">
        <v>391</v>
      </c>
    </row>
    <row r="758" spans="1:3" x14ac:dyDescent="0.2">
      <c r="A758" s="159">
        <v>984</v>
      </c>
      <c r="B758" s="155" t="s">
        <v>380</v>
      </c>
      <c r="C758" s="158" t="s">
        <v>391</v>
      </c>
    </row>
    <row r="759" spans="1:3" x14ac:dyDescent="0.2">
      <c r="A759" s="159">
        <v>985</v>
      </c>
      <c r="B759" s="155" t="s">
        <v>381</v>
      </c>
      <c r="C759" s="158" t="s">
        <v>391</v>
      </c>
    </row>
    <row r="760" spans="1:3" x14ac:dyDescent="0.2">
      <c r="A760" s="159">
        <v>989</v>
      </c>
      <c r="B760" s="155" t="s">
        <v>265</v>
      </c>
      <c r="C760" s="158" t="s">
        <v>391</v>
      </c>
    </row>
    <row r="761" spans="1:3" x14ac:dyDescent="0.2">
      <c r="A761" s="159">
        <v>990</v>
      </c>
      <c r="B761" s="155" t="s">
        <v>266</v>
      </c>
      <c r="C761" s="158" t="s">
        <v>392</v>
      </c>
    </row>
    <row r="762" spans="1:3" x14ac:dyDescent="0.2">
      <c r="A762" s="159">
        <v>991</v>
      </c>
      <c r="B762" s="155" t="s">
        <v>216</v>
      </c>
      <c r="C762" s="158" t="s">
        <v>392</v>
      </c>
    </row>
    <row r="763" spans="1:3" x14ac:dyDescent="0.2">
      <c r="A763" s="159">
        <v>996</v>
      </c>
      <c r="B763" s="155" t="s">
        <v>295</v>
      </c>
      <c r="C763" s="158" t="s">
        <v>391</v>
      </c>
    </row>
    <row r="764" spans="1:3" x14ac:dyDescent="0.2">
      <c r="A764" s="159">
        <v>997</v>
      </c>
      <c r="B764" s="155" t="s">
        <v>382</v>
      </c>
      <c r="C764" s="158" t="s">
        <v>391</v>
      </c>
    </row>
  </sheetData>
  <hyperlinks>
    <hyperlink ref="A1" location="Overview!A1" display="Back to Overview" xr:uid="{00000000-0004-0000-0B00-000000000000}"/>
    <hyperlink ref="A1" location="Overview!A1" display="Back to Overview" xr:uid="{00000000-0004-0000-0B00-000001000000}"/>
  </hyperlinks>
  <pageMargins left="0.74803149606299213" right="0.74803149606299213" top="0.98425196850393704" bottom="0.98425196850393704" header="0.51181102362204722" footer="0.51181102362204722"/>
  <pageSetup paperSize="9" scale="41" fitToHeight="0" orientation="portrait" r:id="rId1"/>
  <headerFooter differentFirst="1" scaleWithDoc="0">
    <oddFooter>&amp;C&amp;P of &amp;N</oddFooter>
    <firstHeader>&amp;LSSC TPP Unit Rate Lookup Table</firstHeader>
    <firstFooter>&amp;C&amp;P of &amp;N</first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4"/>
  <dimension ref="A1:F22"/>
  <sheetViews>
    <sheetView showGridLines="0" workbookViewId="0"/>
  </sheetViews>
  <sheetFormatPr defaultRowHeight="12.75" x14ac:dyDescent="0.2"/>
  <cols>
    <col min="1" max="1" width="32.7109375" customWidth="1"/>
    <col min="2" max="2" width="14.7109375" customWidth="1"/>
    <col min="3" max="3" width="8.7109375" customWidth="1"/>
    <col min="4" max="6" width="14.7109375" customWidth="1"/>
    <col min="10" max="10" width="12.42578125" bestFit="1" customWidth="1"/>
  </cols>
  <sheetData>
    <row r="1" spans="1:6" x14ac:dyDescent="0.2">
      <c r="A1" s="152" t="s">
        <v>16</v>
      </c>
      <c r="B1" s="152"/>
    </row>
    <row r="2" spans="1:6" ht="36.75" customHeight="1" x14ac:dyDescent="0.2">
      <c r="A2" s="248" t="str">
        <f>Overview!B4&amp; " - Effective from "&amp;Overview!C4&amp;" - "&amp;Overview!E4&amp;" Residual Charging Bands"</f>
        <v>Eastern Power Networks - Effective from 2027/28 - Final Residual Charging Bands</v>
      </c>
      <c r="B2" s="249"/>
      <c r="C2" s="249"/>
      <c r="D2" s="249"/>
      <c r="E2" s="249"/>
      <c r="F2" s="250"/>
    </row>
    <row r="4" spans="1:6" ht="60" customHeight="1" x14ac:dyDescent="0.2">
      <c r="A4" s="19" t="s">
        <v>517</v>
      </c>
      <c r="B4" s="19" t="s">
        <v>513</v>
      </c>
      <c r="C4" s="19" t="s">
        <v>518</v>
      </c>
      <c r="D4" s="19" t="s">
        <v>522</v>
      </c>
      <c r="E4" s="19" t="s">
        <v>523</v>
      </c>
      <c r="F4" s="19" t="s">
        <v>2932</v>
      </c>
    </row>
    <row r="5" spans="1:6" ht="15" customHeight="1" x14ac:dyDescent="0.2">
      <c r="A5" s="174" t="s">
        <v>127</v>
      </c>
      <c r="B5" s="175" t="s">
        <v>515</v>
      </c>
      <c r="C5" s="175" t="s">
        <v>516</v>
      </c>
      <c r="D5" s="178" t="s">
        <v>516</v>
      </c>
      <c r="E5" s="178" t="s">
        <v>516</v>
      </c>
      <c r="F5" s="214">
        <v>7.7098700749885998</v>
      </c>
    </row>
    <row r="6" spans="1:6" ht="15" customHeight="1" x14ac:dyDescent="0.2">
      <c r="A6" s="283" t="s">
        <v>525</v>
      </c>
      <c r="B6" s="175">
        <v>1</v>
      </c>
      <c r="C6" s="175" t="s">
        <v>519</v>
      </c>
      <c r="D6" s="179">
        <v>0</v>
      </c>
      <c r="E6" s="179">
        <v>3986</v>
      </c>
      <c r="F6" s="214">
        <v>7.1875103647538916</v>
      </c>
    </row>
    <row r="7" spans="1:6" ht="15" customHeight="1" x14ac:dyDescent="0.2">
      <c r="A7" s="284"/>
      <c r="B7" s="175">
        <v>2</v>
      </c>
      <c r="C7" s="175" t="s">
        <v>519</v>
      </c>
      <c r="D7" s="179">
        <v>3986</v>
      </c>
      <c r="E7" s="179">
        <v>13677</v>
      </c>
      <c r="F7" s="214">
        <v>19.289955321142461</v>
      </c>
    </row>
    <row r="8" spans="1:6" ht="15" customHeight="1" x14ac:dyDescent="0.2">
      <c r="A8" s="284"/>
      <c r="B8" s="175">
        <v>3</v>
      </c>
      <c r="C8" s="175" t="s">
        <v>519</v>
      </c>
      <c r="D8" s="179">
        <v>13677</v>
      </c>
      <c r="E8" s="179">
        <v>27543</v>
      </c>
      <c r="F8" s="214">
        <v>38.542377929536109</v>
      </c>
    </row>
    <row r="9" spans="1:6" ht="15" customHeight="1" x14ac:dyDescent="0.2">
      <c r="A9" s="285"/>
      <c r="B9" s="175">
        <v>4</v>
      </c>
      <c r="C9" s="175" t="s">
        <v>519</v>
      </c>
      <c r="D9" s="179">
        <v>27543</v>
      </c>
      <c r="E9" s="179" t="s">
        <v>521</v>
      </c>
      <c r="F9" s="214">
        <v>107.38192540384718</v>
      </c>
    </row>
    <row r="10" spans="1:6" ht="15" customHeight="1" x14ac:dyDescent="0.2">
      <c r="A10" s="283" t="s">
        <v>528</v>
      </c>
      <c r="B10" s="175">
        <v>1</v>
      </c>
      <c r="C10" s="175" t="s">
        <v>520</v>
      </c>
      <c r="D10" s="179">
        <v>0</v>
      </c>
      <c r="E10" s="179">
        <v>90</v>
      </c>
      <c r="F10" s="214">
        <v>227.30939239895091</v>
      </c>
    </row>
    <row r="11" spans="1:6" ht="15" customHeight="1" x14ac:dyDescent="0.2">
      <c r="A11" s="284"/>
      <c r="B11" s="175">
        <v>2</v>
      </c>
      <c r="C11" s="175" t="s">
        <v>520</v>
      </c>
      <c r="D11" s="179">
        <v>90</v>
      </c>
      <c r="E11" s="179">
        <v>150</v>
      </c>
      <c r="F11" s="214">
        <v>359.48450842959807</v>
      </c>
    </row>
    <row r="12" spans="1:6" ht="15" customHeight="1" x14ac:dyDescent="0.2">
      <c r="A12" s="284"/>
      <c r="B12" s="175">
        <v>3</v>
      </c>
      <c r="C12" s="175" t="s">
        <v>520</v>
      </c>
      <c r="D12" s="179">
        <v>150</v>
      </c>
      <c r="E12" s="179">
        <v>250</v>
      </c>
      <c r="F12" s="214">
        <v>544.03246898971963</v>
      </c>
    </row>
    <row r="13" spans="1:6" ht="15" customHeight="1" x14ac:dyDescent="0.2">
      <c r="A13" s="285"/>
      <c r="B13" s="175">
        <v>4</v>
      </c>
      <c r="C13" s="175" t="s">
        <v>520</v>
      </c>
      <c r="D13" s="179">
        <v>250</v>
      </c>
      <c r="E13" s="179" t="s">
        <v>521</v>
      </c>
      <c r="F13" s="214">
        <v>1263.5151063092801</v>
      </c>
    </row>
    <row r="14" spans="1:6" ht="15" customHeight="1" x14ac:dyDescent="0.2">
      <c r="A14" s="283" t="s">
        <v>527</v>
      </c>
      <c r="B14" s="175">
        <v>1</v>
      </c>
      <c r="C14" s="175" t="s">
        <v>520</v>
      </c>
      <c r="D14" s="179">
        <v>0</v>
      </c>
      <c r="E14" s="179">
        <v>500</v>
      </c>
      <c r="F14" s="214">
        <v>1990.4565391913759</v>
      </c>
    </row>
    <row r="15" spans="1:6" ht="15" customHeight="1" x14ac:dyDescent="0.2">
      <c r="A15" s="284"/>
      <c r="B15" s="175">
        <v>2</v>
      </c>
      <c r="C15" s="175" t="s">
        <v>520</v>
      </c>
      <c r="D15" s="179">
        <v>500</v>
      </c>
      <c r="E15" s="179">
        <v>1100</v>
      </c>
      <c r="F15" s="214">
        <v>4248.7684110889277</v>
      </c>
    </row>
    <row r="16" spans="1:6" ht="15" customHeight="1" x14ac:dyDescent="0.2">
      <c r="A16" s="284"/>
      <c r="B16" s="175">
        <v>3</v>
      </c>
      <c r="C16" s="175" t="s">
        <v>520</v>
      </c>
      <c r="D16" s="179">
        <v>1100</v>
      </c>
      <c r="E16" s="179">
        <v>2000</v>
      </c>
      <c r="F16" s="214">
        <v>7502.9938923574618</v>
      </c>
    </row>
    <row r="17" spans="1:6" ht="15" customHeight="1" x14ac:dyDescent="0.2">
      <c r="A17" s="285"/>
      <c r="B17" s="175">
        <v>4</v>
      </c>
      <c r="C17" s="175" t="s">
        <v>520</v>
      </c>
      <c r="D17" s="179">
        <v>2000</v>
      </c>
      <c r="E17" s="179" t="s">
        <v>521</v>
      </c>
      <c r="F17" s="214">
        <v>21899.367352897851</v>
      </c>
    </row>
    <row r="18" spans="1:6" ht="15" customHeight="1" x14ac:dyDescent="0.2">
      <c r="A18" s="286" t="s">
        <v>526</v>
      </c>
      <c r="B18" s="175">
        <v>1</v>
      </c>
      <c r="C18" s="175" t="s">
        <v>520</v>
      </c>
      <c r="D18" s="179">
        <v>0</v>
      </c>
      <c r="E18" s="179">
        <v>3500</v>
      </c>
      <c r="F18" s="214">
        <v>16895.948804694552</v>
      </c>
    </row>
    <row r="19" spans="1:6" ht="15" customHeight="1" x14ac:dyDescent="0.2">
      <c r="A19" s="287"/>
      <c r="B19" s="175">
        <v>2</v>
      </c>
      <c r="C19" s="175" t="s">
        <v>520</v>
      </c>
      <c r="D19" s="179">
        <v>3500</v>
      </c>
      <c r="E19" s="179">
        <v>11000</v>
      </c>
      <c r="F19" s="214">
        <v>54926.821162996654</v>
      </c>
    </row>
    <row r="20" spans="1:6" ht="15" customHeight="1" x14ac:dyDescent="0.2">
      <c r="A20" s="287"/>
      <c r="B20" s="175">
        <v>3</v>
      </c>
      <c r="C20" s="175" t="s">
        <v>520</v>
      </c>
      <c r="D20" s="179">
        <v>11000</v>
      </c>
      <c r="E20" s="179">
        <v>20000</v>
      </c>
      <c r="F20" s="214">
        <v>188965.95519428927</v>
      </c>
    </row>
    <row r="21" spans="1:6" ht="15" customHeight="1" x14ac:dyDescent="0.2">
      <c r="A21" s="288"/>
      <c r="B21" s="175">
        <v>4</v>
      </c>
      <c r="C21" s="175" t="s">
        <v>520</v>
      </c>
      <c r="D21" s="179">
        <v>20000</v>
      </c>
      <c r="E21" s="179" t="s">
        <v>521</v>
      </c>
      <c r="F21" s="214">
        <v>257945.08249112411</v>
      </c>
    </row>
    <row r="22" spans="1:6" x14ac:dyDescent="0.2">
      <c r="A22" t="s">
        <v>524</v>
      </c>
    </row>
  </sheetData>
  <mergeCells count="5">
    <mergeCell ref="A10:A13"/>
    <mergeCell ref="A14:A17"/>
    <mergeCell ref="A18:A21"/>
    <mergeCell ref="A6:A9"/>
    <mergeCell ref="A2:F2"/>
  </mergeCells>
  <hyperlinks>
    <hyperlink ref="A1" location="Overview!A1" display="Back to Overview" xr:uid="{00000000-0004-0000-0C00-000000000000}"/>
  </hyperlink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5"/>
  <dimension ref="A1:B41"/>
  <sheetViews>
    <sheetView showGridLines="0" zoomScale="90" zoomScaleNormal="90" workbookViewId="0"/>
  </sheetViews>
  <sheetFormatPr defaultRowHeight="12.75" x14ac:dyDescent="0.2"/>
  <cols>
    <col min="1" max="1" width="44.85546875" customWidth="1"/>
    <col min="2" max="2" width="38.28515625" customWidth="1"/>
    <col min="3" max="3" width="0.140625" customWidth="1"/>
  </cols>
  <sheetData>
    <row r="1" spans="1:2" x14ac:dyDescent="0.2">
      <c r="A1" s="152" t="s">
        <v>16</v>
      </c>
    </row>
    <row r="2" spans="1:2" ht="33" customHeight="1" x14ac:dyDescent="0.2">
      <c r="A2" s="248" t="str">
        <f>Overview!C4&amp;" - Effective from "&amp;Overview!D4&amp;" - "&amp;Overview!F4&amp;" TNUoS Mapping"</f>
        <v>2027/28 - Effective from 1 April 2027 -  TNUoS Mapping</v>
      </c>
      <c r="B2" s="250"/>
    </row>
    <row r="3" spans="1:2" ht="8.25" customHeight="1" x14ac:dyDescent="0.2"/>
    <row r="4" spans="1:2" ht="20.25" customHeight="1" x14ac:dyDescent="0.2">
      <c r="A4" s="173" t="s">
        <v>578</v>
      </c>
      <c r="B4" s="173" t="s">
        <v>579</v>
      </c>
    </row>
    <row r="5" spans="1:2" ht="15.75" customHeight="1" x14ac:dyDescent="0.2">
      <c r="A5" s="188" t="s">
        <v>577</v>
      </c>
      <c r="B5" s="188" t="s">
        <v>580</v>
      </c>
    </row>
    <row r="6" spans="1:2" ht="15.75" customHeight="1" x14ac:dyDescent="0.2">
      <c r="A6" s="189" t="s">
        <v>401</v>
      </c>
      <c r="B6" s="189" t="s">
        <v>581</v>
      </c>
    </row>
    <row r="7" spans="1:2" ht="15.75" customHeight="1" x14ac:dyDescent="0.2">
      <c r="A7" s="189" t="s">
        <v>530</v>
      </c>
      <c r="B7" s="189" t="str">
        <f>$B$6</f>
        <v>n/a (Non-Final Demand Site)</v>
      </c>
    </row>
    <row r="8" spans="1:2" ht="15.75" customHeight="1" x14ac:dyDescent="0.2">
      <c r="A8" s="188" t="s">
        <v>531</v>
      </c>
      <c r="B8" s="188" t="s">
        <v>582</v>
      </c>
    </row>
    <row r="9" spans="1:2" ht="15.75" customHeight="1" x14ac:dyDescent="0.2">
      <c r="A9" s="188" t="s">
        <v>532</v>
      </c>
      <c r="B9" s="188" t="s">
        <v>583</v>
      </c>
    </row>
    <row r="10" spans="1:2" ht="15.75" customHeight="1" x14ac:dyDescent="0.2">
      <c r="A10" s="188" t="s">
        <v>533</v>
      </c>
      <c r="B10" s="188" t="s">
        <v>584</v>
      </c>
    </row>
    <row r="11" spans="1:2" ht="15.75" customHeight="1" x14ac:dyDescent="0.2">
      <c r="A11" s="188" t="s">
        <v>534</v>
      </c>
      <c r="B11" s="188" t="s">
        <v>585</v>
      </c>
    </row>
    <row r="12" spans="1:2" ht="15.75" customHeight="1" x14ac:dyDescent="0.2">
      <c r="A12" s="189" t="s">
        <v>128</v>
      </c>
      <c r="B12" s="189" t="str">
        <f t="shared" ref="B12:B13" si="0">$B$6</f>
        <v>n/a (Non-Final Demand Site)</v>
      </c>
    </row>
    <row r="13" spans="1:2" ht="15.75" customHeight="1" x14ac:dyDescent="0.2">
      <c r="A13" s="189" t="s">
        <v>402</v>
      </c>
      <c r="B13" s="189" t="str">
        <f t="shared" si="0"/>
        <v>n/a (Non-Final Demand Site)</v>
      </c>
    </row>
    <row r="14" spans="1:2" ht="15.75" customHeight="1" x14ac:dyDescent="0.2">
      <c r="A14" s="188" t="s">
        <v>403</v>
      </c>
      <c r="B14" s="188" t="s">
        <v>586</v>
      </c>
    </row>
    <row r="15" spans="1:2" ht="15.75" customHeight="1" x14ac:dyDescent="0.2">
      <c r="A15" s="188" t="s">
        <v>404</v>
      </c>
      <c r="B15" s="188" t="s">
        <v>587</v>
      </c>
    </row>
    <row r="16" spans="1:2" ht="15.75" customHeight="1" x14ac:dyDescent="0.2">
      <c r="A16" s="188" t="s">
        <v>405</v>
      </c>
      <c r="B16" s="188" t="s">
        <v>588</v>
      </c>
    </row>
    <row r="17" spans="1:2" ht="15.75" customHeight="1" x14ac:dyDescent="0.2">
      <c r="A17" s="188" t="s">
        <v>406</v>
      </c>
      <c r="B17" s="188" t="s">
        <v>589</v>
      </c>
    </row>
    <row r="18" spans="1:2" ht="15.75" customHeight="1" x14ac:dyDescent="0.2">
      <c r="A18" s="189" t="s">
        <v>407</v>
      </c>
      <c r="B18" s="189" t="str">
        <f>$B$6</f>
        <v>n/a (Non-Final Demand Site)</v>
      </c>
    </row>
    <row r="19" spans="1:2" ht="15.75" customHeight="1" x14ac:dyDescent="0.2">
      <c r="A19" s="188" t="s">
        <v>408</v>
      </c>
      <c r="B19" s="188" t="s">
        <v>586</v>
      </c>
    </row>
    <row r="20" spans="1:2" ht="15.75" customHeight="1" x14ac:dyDescent="0.2">
      <c r="A20" s="188" t="s">
        <v>409</v>
      </c>
      <c r="B20" s="188" t="s">
        <v>587</v>
      </c>
    </row>
    <row r="21" spans="1:2" ht="15.75" customHeight="1" x14ac:dyDescent="0.2">
      <c r="A21" s="188" t="s">
        <v>410</v>
      </c>
      <c r="B21" s="188" t="s">
        <v>588</v>
      </c>
    </row>
    <row r="22" spans="1:2" ht="15.75" customHeight="1" x14ac:dyDescent="0.2">
      <c r="A22" s="188" t="s">
        <v>411</v>
      </c>
      <c r="B22" s="188" t="s">
        <v>589</v>
      </c>
    </row>
    <row r="23" spans="1:2" ht="15.75" customHeight="1" x14ac:dyDescent="0.2">
      <c r="A23" s="189" t="s">
        <v>412</v>
      </c>
      <c r="B23" s="189" t="str">
        <f>$B$6</f>
        <v>n/a (Non-Final Demand Site)</v>
      </c>
    </row>
    <row r="24" spans="1:2" ht="15.75" customHeight="1" x14ac:dyDescent="0.2">
      <c r="A24" s="188" t="s">
        <v>413</v>
      </c>
      <c r="B24" s="188" t="s">
        <v>590</v>
      </c>
    </row>
    <row r="25" spans="1:2" ht="15.75" customHeight="1" x14ac:dyDescent="0.2">
      <c r="A25" s="188" t="s">
        <v>414</v>
      </c>
      <c r="B25" s="188" t="s">
        <v>591</v>
      </c>
    </row>
    <row r="26" spans="1:2" ht="15.75" customHeight="1" x14ac:dyDescent="0.2">
      <c r="A26" s="188" t="s">
        <v>415</v>
      </c>
      <c r="B26" s="188" t="s">
        <v>592</v>
      </c>
    </row>
    <row r="27" spans="1:2" ht="15.75" customHeight="1" x14ac:dyDescent="0.2">
      <c r="A27" s="188" t="s">
        <v>416</v>
      </c>
      <c r="B27" s="188" t="s">
        <v>593</v>
      </c>
    </row>
    <row r="28" spans="1:2" ht="15.75" customHeight="1" x14ac:dyDescent="0.2">
      <c r="A28" s="189" t="s">
        <v>129</v>
      </c>
      <c r="B28" s="189" t="s">
        <v>594</v>
      </c>
    </row>
    <row r="29" spans="1:2" ht="15.75" customHeight="1" x14ac:dyDescent="0.2">
      <c r="A29" s="189" t="s">
        <v>130</v>
      </c>
      <c r="B29" s="189" t="str">
        <f t="shared" ref="B29:B37" si="1">$B$6</f>
        <v>n/a (Non-Final Demand Site)</v>
      </c>
    </row>
    <row r="30" spans="1:2" ht="15.75" customHeight="1" x14ac:dyDescent="0.2">
      <c r="A30" s="189" t="s">
        <v>131</v>
      </c>
      <c r="B30" s="189" t="str">
        <f t="shared" si="1"/>
        <v>n/a (Non-Final Demand Site)</v>
      </c>
    </row>
    <row r="31" spans="1:2" ht="15.75" customHeight="1" x14ac:dyDescent="0.2">
      <c r="A31" s="189" t="s">
        <v>132</v>
      </c>
      <c r="B31" s="189" t="str">
        <f t="shared" si="1"/>
        <v>n/a (Non-Final Demand Site)</v>
      </c>
    </row>
    <row r="32" spans="1:2" ht="15.75" customHeight="1" x14ac:dyDescent="0.2">
      <c r="A32" s="189" t="s">
        <v>133</v>
      </c>
      <c r="B32" s="189" t="str">
        <f t="shared" si="1"/>
        <v>n/a (Non-Final Demand Site)</v>
      </c>
    </row>
    <row r="33" spans="1:2" ht="15.75" customHeight="1" x14ac:dyDescent="0.2">
      <c r="A33" s="189" t="s">
        <v>134</v>
      </c>
      <c r="B33" s="189" t="str">
        <f t="shared" si="1"/>
        <v>n/a (Non-Final Demand Site)</v>
      </c>
    </row>
    <row r="34" spans="1:2" ht="15.75" customHeight="1" x14ac:dyDescent="0.2">
      <c r="A34" s="189" t="s">
        <v>135</v>
      </c>
      <c r="B34" s="189" t="str">
        <f t="shared" si="1"/>
        <v>n/a (Non-Final Demand Site)</v>
      </c>
    </row>
    <row r="35" spans="1:2" ht="15.75" customHeight="1" x14ac:dyDescent="0.2">
      <c r="A35" s="189" t="s">
        <v>136</v>
      </c>
      <c r="B35" s="189" t="str">
        <f t="shared" si="1"/>
        <v>n/a (Non-Final Demand Site)</v>
      </c>
    </row>
    <row r="36" spans="1:2" ht="15.75" customHeight="1" x14ac:dyDescent="0.2">
      <c r="A36" s="189" t="s">
        <v>137</v>
      </c>
      <c r="B36" s="189" t="str">
        <f t="shared" si="1"/>
        <v>n/a (Non-Final Demand Site)</v>
      </c>
    </row>
    <row r="37" spans="1:2" ht="15.75" customHeight="1" x14ac:dyDescent="0.2">
      <c r="A37" s="189" t="s">
        <v>599</v>
      </c>
      <c r="B37" s="189" t="str">
        <f t="shared" si="1"/>
        <v>n/a (Non-Final Demand Site)</v>
      </c>
    </row>
    <row r="38" spans="1:2" ht="15.75" customHeight="1" x14ac:dyDescent="0.2">
      <c r="A38" s="188" t="s">
        <v>600</v>
      </c>
      <c r="B38" s="188" t="s">
        <v>595</v>
      </c>
    </row>
    <row r="39" spans="1:2" ht="15.75" customHeight="1" x14ac:dyDescent="0.2">
      <c r="A39" s="188" t="s">
        <v>601</v>
      </c>
      <c r="B39" s="188" t="s">
        <v>596</v>
      </c>
    </row>
    <row r="40" spans="1:2" ht="15.75" customHeight="1" x14ac:dyDescent="0.2">
      <c r="A40" s="188" t="s">
        <v>602</v>
      </c>
      <c r="B40" s="188" t="s">
        <v>597</v>
      </c>
    </row>
    <row r="41" spans="1:2" ht="15.75" customHeight="1" x14ac:dyDescent="0.2">
      <c r="A41" s="188" t="s">
        <v>603</v>
      </c>
      <c r="B41" s="188" t="s">
        <v>598</v>
      </c>
    </row>
  </sheetData>
  <mergeCells count="1">
    <mergeCell ref="A2:B2"/>
  </mergeCells>
  <hyperlinks>
    <hyperlink ref="A1" location="Overview!A1" display="Back to Overview" xr:uid="{564C6D85-AEA0-441E-B605-C50AC13976D7}"/>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2">
    <pageSetUpPr fitToPage="1"/>
  </sheetPr>
  <dimension ref="A1:EW34"/>
  <sheetViews>
    <sheetView zoomScale="90" zoomScaleNormal="90" workbookViewId="0"/>
  </sheetViews>
  <sheetFormatPr defaultRowHeight="12.75" x14ac:dyDescent="0.2"/>
  <cols>
    <col min="1" max="1" width="2.42578125" customWidth="1"/>
    <col min="2" max="2" width="33.7109375" customWidth="1"/>
    <col min="3" max="4" width="14.140625" customWidth="1"/>
    <col min="5" max="9" width="12.140625" customWidth="1"/>
    <col min="10" max="10" width="5.5703125" customWidth="1"/>
    <col min="11" max="11" width="5.28515625" customWidth="1"/>
    <col min="12" max="12" width="35.28515625" customWidth="1"/>
    <col min="13" max="20" width="11.7109375" customWidth="1"/>
    <col min="28" max="29" width="9.140625" hidden="1" customWidth="1"/>
    <col min="30" max="35" width="0" hidden="1" customWidth="1"/>
  </cols>
  <sheetData>
    <row r="1" spans="1:153" x14ac:dyDescent="0.2">
      <c r="B1" s="91" t="s">
        <v>16</v>
      </c>
    </row>
    <row r="2" spans="1:153" s="1" customFormat="1" ht="21.75" customHeight="1" x14ac:dyDescent="0.2">
      <c r="B2" s="289" t="str">
        <f>Overview!B4&amp; " - Effective from "&amp;Overview!D4&amp;" - "&amp;Overview!E4</f>
        <v>Eastern Power Networks - Effective from 1 April 2027 - Final</v>
      </c>
      <c r="C2" s="290"/>
      <c r="D2" s="290"/>
      <c r="E2" s="290"/>
      <c r="F2" s="290"/>
      <c r="G2" s="290"/>
      <c r="H2" s="290"/>
      <c r="I2" s="290"/>
      <c r="J2" s="290"/>
      <c r="K2" s="290"/>
      <c r="L2" s="290"/>
      <c r="M2" s="290"/>
      <c r="N2" s="290"/>
      <c r="O2" s="290"/>
      <c r="P2" s="290"/>
      <c r="Q2" s="290"/>
      <c r="R2" s="290"/>
      <c r="S2" s="290"/>
      <c r="T2" s="291"/>
      <c r="U2"/>
      <c r="V2"/>
      <c r="W2"/>
      <c r="X2"/>
      <c r="Y2"/>
      <c r="Z2"/>
      <c r="AA2"/>
      <c r="AB2" s="26" t="s">
        <v>115</v>
      </c>
      <c r="AC2" s="50" t="s">
        <v>140</v>
      </c>
      <c r="AD2" s="50" t="s">
        <v>142</v>
      </c>
      <c r="AE2" s="50" t="s">
        <v>141</v>
      </c>
      <c r="AF2" s="13" t="s">
        <v>21</v>
      </c>
      <c r="AG2" s="13" t="s">
        <v>22</v>
      </c>
      <c r="AH2" s="26" t="s">
        <v>116</v>
      </c>
      <c r="AI2" s="13" t="s">
        <v>28</v>
      </c>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row>
    <row r="3" spans="1:153" s="105" customFormat="1" ht="9" customHeight="1" x14ac:dyDescent="0.2">
      <c r="A3" s="104"/>
      <c r="B3" s="104"/>
      <c r="C3" s="104"/>
      <c r="D3" s="104"/>
      <c r="E3" s="104"/>
      <c r="F3" s="104"/>
      <c r="G3" s="104"/>
      <c r="H3" s="104"/>
      <c r="I3" s="104"/>
      <c r="J3" s="104"/>
      <c r="K3" s="104"/>
      <c r="L3"/>
      <c r="M3"/>
      <c r="N3"/>
      <c r="O3"/>
      <c r="P3"/>
      <c r="Q3"/>
      <c r="R3"/>
      <c r="S3"/>
      <c r="T3"/>
      <c r="U3"/>
      <c r="V3"/>
      <c r="W3"/>
      <c r="X3"/>
      <c r="Y3"/>
      <c r="Z3"/>
      <c r="AA3"/>
      <c r="AB3" s="15" t="s">
        <v>577</v>
      </c>
      <c r="AC3" s="138" t="s">
        <v>146</v>
      </c>
      <c r="AD3" s="139" t="s">
        <v>148</v>
      </c>
      <c r="AE3" s="140" t="s">
        <v>141</v>
      </c>
      <c r="AF3" s="146" t="s">
        <v>150</v>
      </c>
      <c r="AG3" s="141" t="s">
        <v>153</v>
      </c>
      <c r="AH3" s="141" t="s">
        <v>153</v>
      </c>
      <c r="AI3" s="142" t="s">
        <v>153</v>
      </c>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row>
    <row r="4" spans="1:153" ht="26.25" customHeight="1" x14ac:dyDescent="0.2">
      <c r="B4" s="295" t="s">
        <v>144</v>
      </c>
      <c r="C4" s="296"/>
      <c r="D4" s="296"/>
      <c r="E4" s="296"/>
      <c r="F4" s="296"/>
      <c r="G4" s="296"/>
      <c r="H4" s="296"/>
      <c r="I4" s="297"/>
      <c r="L4" s="295" t="s">
        <v>145</v>
      </c>
      <c r="M4" s="296"/>
      <c r="N4" s="296"/>
      <c r="O4" s="296"/>
      <c r="P4" s="296"/>
      <c r="Q4" s="296"/>
      <c r="R4" s="296"/>
      <c r="S4" s="296"/>
      <c r="T4" s="297"/>
      <c r="AB4" s="15" t="s">
        <v>401</v>
      </c>
      <c r="AC4" s="138" t="s">
        <v>146</v>
      </c>
      <c r="AD4" s="139" t="s">
        <v>148</v>
      </c>
      <c r="AE4" s="140" t="s">
        <v>141</v>
      </c>
      <c r="AF4" s="141" t="s">
        <v>153</v>
      </c>
      <c r="AG4" s="141" t="s">
        <v>153</v>
      </c>
      <c r="AH4" s="141" t="s">
        <v>153</v>
      </c>
      <c r="AI4" s="142" t="s">
        <v>153</v>
      </c>
    </row>
    <row r="5" spans="1:153" ht="27.75" customHeight="1" x14ac:dyDescent="0.2">
      <c r="B5" s="298" t="s">
        <v>93</v>
      </c>
      <c r="C5" s="298"/>
      <c r="D5" s="298"/>
      <c r="E5" s="298"/>
      <c r="F5" s="298"/>
      <c r="G5" s="298"/>
      <c r="H5" s="298"/>
      <c r="I5" s="298"/>
      <c r="L5" s="228" t="s">
        <v>639</v>
      </c>
      <c r="M5" s="228"/>
      <c r="N5" s="228"/>
      <c r="O5" s="228"/>
      <c r="P5" s="228"/>
      <c r="Q5" s="228"/>
      <c r="R5" s="228"/>
      <c r="S5" s="228"/>
      <c r="T5" s="228"/>
      <c r="AB5" s="15" t="s">
        <v>530</v>
      </c>
      <c r="AC5" s="138" t="s">
        <v>146</v>
      </c>
      <c r="AD5" s="139" t="s">
        <v>148</v>
      </c>
      <c r="AE5" s="140" t="s">
        <v>141</v>
      </c>
      <c r="AF5" s="146" t="s">
        <v>150</v>
      </c>
      <c r="AG5" s="141" t="s">
        <v>153</v>
      </c>
      <c r="AH5" s="141" t="s">
        <v>153</v>
      </c>
      <c r="AI5" s="142" t="s">
        <v>153</v>
      </c>
    </row>
    <row r="6" spans="1:153" s="106" customFormat="1" ht="27.75" customHeight="1" x14ac:dyDescent="0.2">
      <c r="B6" s="228" t="s">
        <v>640</v>
      </c>
      <c r="C6" s="228"/>
      <c r="D6" s="228"/>
      <c r="E6" s="228"/>
      <c r="F6" s="228"/>
      <c r="G6" s="228"/>
      <c r="H6" s="228"/>
      <c r="I6" s="228"/>
      <c r="L6" s="228" t="s">
        <v>641</v>
      </c>
      <c r="M6" s="228"/>
      <c r="N6" s="228"/>
      <c r="O6" s="228"/>
      <c r="P6" s="228"/>
      <c r="Q6" s="228"/>
      <c r="R6" s="228"/>
      <c r="S6" s="228"/>
      <c r="T6" s="228"/>
      <c r="AB6" s="15" t="s">
        <v>531</v>
      </c>
      <c r="AC6" s="138" t="s">
        <v>146</v>
      </c>
      <c r="AD6" s="139" t="s">
        <v>148</v>
      </c>
      <c r="AE6" s="140" t="s">
        <v>141</v>
      </c>
      <c r="AF6" s="146" t="s">
        <v>150</v>
      </c>
      <c r="AG6" s="141" t="s">
        <v>153</v>
      </c>
      <c r="AH6" s="141" t="s">
        <v>153</v>
      </c>
      <c r="AI6" s="142" t="s">
        <v>153</v>
      </c>
    </row>
    <row r="7" spans="1:153" ht="18" customHeight="1" x14ac:dyDescent="0.2">
      <c r="B7" s="298" t="s">
        <v>94</v>
      </c>
      <c r="C7" s="298"/>
      <c r="D7" s="298"/>
      <c r="E7" s="298"/>
      <c r="F7" s="298"/>
      <c r="G7" s="298"/>
      <c r="H7" s="298"/>
      <c r="I7" s="298"/>
      <c r="L7" s="298" t="s">
        <v>95</v>
      </c>
      <c r="M7" s="298"/>
      <c r="N7" s="298"/>
      <c r="O7" s="298"/>
      <c r="P7" s="298"/>
      <c r="Q7" s="298"/>
      <c r="R7" s="298"/>
      <c r="S7" s="298"/>
      <c r="T7" s="298"/>
      <c r="AB7" s="15" t="s">
        <v>532</v>
      </c>
      <c r="AC7" s="138" t="s">
        <v>146</v>
      </c>
      <c r="AD7" s="139" t="s">
        <v>148</v>
      </c>
      <c r="AE7" s="140" t="s">
        <v>141</v>
      </c>
      <c r="AF7" s="146" t="s">
        <v>150</v>
      </c>
      <c r="AG7" s="141" t="s">
        <v>153</v>
      </c>
      <c r="AH7" s="141" t="s">
        <v>153</v>
      </c>
      <c r="AI7" s="142" t="s">
        <v>153</v>
      </c>
    </row>
    <row r="8" spans="1:153" ht="8.25" customHeight="1" x14ac:dyDescent="0.2">
      <c r="AB8" s="15" t="s">
        <v>533</v>
      </c>
      <c r="AC8" s="138" t="s">
        <v>146</v>
      </c>
      <c r="AD8" s="139" t="s">
        <v>148</v>
      </c>
      <c r="AE8" s="140" t="s">
        <v>141</v>
      </c>
      <c r="AF8" s="146" t="s">
        <v>150</v>
      </c>
      <c r="AG8" s="141" t="s">
        <v>153</v>
      </c>
      <c r="AH8" s="141" t="s">
        <v>153</v>
      </c>
      <c r="AI8" s="142" t="s">
        <v>153</v>
      </c>
    </row>
    <row r="9" spans="1:153" ht="72" customHeight="1" x14ac:dyDescent="0.2">
      <c r="B9" s="107" t="s">
        <v>96</v>
      </c>
      <c r="C9" s="108" t="str">
        <f>IFERROR(_xlfn.XLOOKUP($B$10,$AB$2:$AB$34,AC$2:AC$34),AC2)</f>
        <v>Red/black unit charge
p/kWh</v>
      </c>
      <c r="D9" s="108" t="str">
        <f t="shared" ref="D9:I9" si="0">IFERROR(_xlfn.XLOOKUP($B$10,$AB$2:$AB$34,AD$2:AD$34),AD2)</f>
        <v>Amber/yellow unit charge
p/kWh</v>
      </c>
      <c r="E9" s="108" t="str">
        <f t="shared" si="0"/>
        <v>Green unit charge
p/kWh</v>
      </c>
      <c r="F9" s="108" t="str">
        <f t="shared" si="0"/>
        <v>Fixed charge p/MPAN/day</v>
      </c>
      <c r="G9" s="108" t="str">
        <f t="shared" si="0"/>
        <v>Capacity charge p/kVA/day</v>
      </c>
      <c r="H9" s="108" t="str">
        <f t="shared" si="0"/>
        <v>Exceeded capacity charge
p/kVA/day</v>
      </c>
      <c r="I9" s="108" t="str">
        <f t="shared" si="0"/>
        <v>Reactive power charge
p/kVArh</v>
      </c>
      <c r="L9" s="107" t="s">
        <v>97</v>
      </c>
      <c r="M9" s="125" t="str">
        <f>'Annex 2 Designated EHV charges'!I9</f>
        <v>Import
Super Red
unit charge
(p/kWh)</v>
      </c>
      <c r="N9" s="125" t="str">
        <f>'Annex 2 Designated EHV charges'!J9</f>
        <v>Import
fixed charge
(p/day)</v>
      </c>
      <c r="O9" s="125" t="str">
        <f>'Annex 2 Designated EHV charges'!K9</f>
        <v>Import
capacity charge
(p/kVA/day)</v>
      </c>
      <c r="P9" s="125" t="str">
        <f>'Annex 2 Designated EHV charges'!L9</f>
        <v>Import
exceeded capacity charge
(p/kVA/day)</v>
      </c>
      <c r="Q9" s="126" t="str">
        <f>'Annex 2 Designated EHV charges'!M9</f>
        <v>Export
Super Red
unit charge
(p/kWh)</v>
      </c>
      <c r="R9" s="126" t="str">
        <f>'Annex 2 Designated EHV charges'!N9</f>
        <v>Export
fixed charge
(p/day)</v>
      </c>
      <c r="S9" s="126" t="str">
        <f>'Annex 2 Designated EHV charges'!O9</f>
        <v>Export
capacity charge
(p/kVA/day)</v>
      </c>
      <c r="T9" s="126" t="str">
        <f>'Annex 2 Designated EHV charges'!P9</f>
        <v>Export
exceeded capacity charge
(p/kVA/day)</v>
      </c>
      <c r="AB9" s="15" t="s">
        <v>534</v>
      </c>
      <c r="AC9" s="138" t="s">
        <v>146</v>
      </c>
      <c r="AD9" s="139" t="s">
        <v>148</v>
      </c>
      <c r="AE9" s="140" t="s">
        <v>141</v>
      </c>
      <c r="AF9" s="146" t="s">
        <v>150</v>
      </c>
      <c r="AG9" s="141" t="s">
        <v>153</v>
      </c>
      <c r="AH9" s="141" t="s">
        <v>153</v>
      </c>
      <c r="AI9" s="142" t="s">
        <v>153</v>
      </c>
    </row>
    <row r="10" spans="1:153" ht="30" customHeight="1" x14ac:dyDescent="0.2">
      <c r="B10" s="98"/>
      <c r="C10" s="122" t="str">
        <f>IFERROR(VLOOKUP($B$10,'Annex 1 LV, HV and UMS charges'!$A:$K,4,FALSE),"")</f>
        <v/>
      </c>
      <c r="D10" s="123" t="str">
        <f>IFERROR(VLOOKUP($B$10,'Annex 1 LV, HV and UMS charges'!$A:$K,5,FALSE),"")</f>
        <v/>
      </c>
      <c r="E10" s="123" t="str">
        <f>IFERROR(VLOOKUP($B$10,'Annex 1 LV, HV and UMS charges'!$A:$K,6,FALSE),"")</f>
        <v/>
      </c>
      <c r="F10" s="100" t="str">
        <f>IFERROR(VLOOKUP($B$10,'Annex 1 LV, HV and UMS charges'!$A:$K,7,FALSE),"")</f>
        <v/>
      </c>
      <c r="G10" s="100" t="str">
        <f>IFERROR(VLOOKUP($B$10,'Annex 1 LV, HV and UMS charges'!$A:$K,8,FALSE),"")</f>
        <v/>
      </c>
      <c r="H10" s="100" t="str">
        <f>IFERROR(VLOOKUP($B$10,'Annex 1 LV, HV and UMS charges'!$A:$K,9,FALSE),"")</f>
        <v/>
      </c>
      <c r="I10" s="100" t="str">
        <f>IFERROR(VLOOKUP($B$10,'Annex 1 LV, HV and UMS charges'!$A:$K,10,FALSE),"")</f>
        <v/>
      </c>
      <c r="L10" s="98"/>
      <c r="M10" s="186">
        <f>IFERROR(_xlfn.XLOOKUP($L$10,'Annex 2 Designated EHV charges'!$G:$G,'Annex 2 Designated EHV charges'!I:I),"")</f>
        <v>0</v>
      </c>
      <c r="N10" s="100">
        <f>IFERROR(_xlfn.XLOOKUP($L$10,'Annex 2 Designated EHV charges'!$G:$G,'Annex 2 Designated EHV charges'!J:J),"")</f>
        <v>0</v>
      </c>
      <c r="O10" s="100">
        <f>IFERROR(_xlfn.XLOOKUP($L$10,'Annex 2 Designated EHV charges'!$G:$G,'Annex 2 Designated EHV charges'!K:K),"")</f>
        <v>0</v>
      </c>
      <c r="P10" s="100">
        <f>IFERROR(_xlfn.XLOOKUP($L$10,'Annex 2 Designated EHV charges'!$G:$G,'Annex 2 Designated EHV charges'!L:L),"")</f>
        <v>0</v>
      </c>
      <c r="Q10" s="187">
        <f>IFERROR(_xlfn.XLOOKUP($L$10,'Annex 2 Designated EHV charges'!$G:$G,'Annex 2 Designated EHV charges'!M:M),"")</f>
        <v>0</v>
      </c>
      <c r="R10" s="110">
        <f>IFERROR(_xlfn.XLOOKUP($L$10,'Annex 2 Designated EHV charges'!$G:$G,'Annex 2 Designated EHV charges'!N:N),"")</f>
        <v>0</v>
      </c>
      <c r="S10" s="110">
        <f>IFERROR(_xlfn.XLOOKUP($L$10,'Annex 2 Designated EHV charges'!$G:$G,'Annex 2 Designated EHV charges'!O:O),"")</f>
        <v>0</v>
      </c>
      <c r="T10" s="110">
        <f>IFERROR(_xlfn.XLOOKUP($L$10,'Annex 2 Designated EHV charges'!$G:$G,'Annex 2 Designated EHV charges'!P:P),"")</f>
        <v>0</v>
      </c>
      <c r="AB10" s="15" t="s">
        <v>128</v>
      </c>
      <c r="AC10" s="138" t="s">
        <v>146</v>
      </c>
      <c r="AD10" s="139" t="s">
        <v>148</v>
      </c>
      <c r="AE10" s="140" t="s">
        <v>141</v>
      </c>
      <c r="AF10" s="141" t="s">
        <v>153</v>
      </c>
      <c r="AG10" s="141" t="s">
        <v>153</v>
      </c>
      <c r="AH10" s="141" t="s">
        <v>153</v>
      </c>
      <c r="AI10" s="142" t="s">
        <v>153</v>
      </c>
    </row>
    <row r="11" spans="1:153" ht="7.5" customHeight="1" x14ac:dyDescent="0.2">
      <c r="AB11" s="15" t="s">
        <v>402</v>
      </c>
      <c r="AC11" s="138" t="s">
        <v>146</v>
      </c>
      <c r="AD11" s="139" t="s">
        <v>148</v>
      </c>
      <c r="AE11" s="140" t="s">
        <v>141</v>
      </c>
      <c r="AF11" s="146" t="s">
        <v>150</v>
      </c>
      <c r="AG11" s="146" t="s">
        <v>151</v>
      </c>
      <c r="AH11" s="147" t="s">
        <v>152</v>
      </c>
      <c r="AI11" s="148" t="s">
        <v>28</v>
      </c>
    </row>
    <row r="12" spans="1:153" ht="88.5" customHeight="1" x14ac:dyDescent="0.2">
      <c r="B12" s="111" t="s">
        <v>63</v>
      </c>
      <c r="C12" s="108" t="str">
        <f>C9</f>
        <v>Red/black unit charge
p/kWh</v>
      </c>
      <c r="D12" s="108" t="str">
        <f>D9</f>
        <v>Amber/yellow unit charge
p/kWh</v>
      </c>
      <c r="E12" s="108" t="str">
        <f>E9</f>
        <v>Green unit charge
p/kWh</v>
      </c>
      <c r="F12" s="108" t="s">
        <v>64</v>
      </c>
      <c r="G12" s="108" t="s">
        <v>61</v>
      </c>
      <c r="H12" s="108" t="s">
        <v>119</v>
      </c>
      <c r="I12" s="108" t="s">
        <v>62</v>
      </c>
      <c r="L12" s="111" t="s">
        <v>63</v>
      </c>
      <c r="M12" s="108" t="s">
        <v>83</v>
      </c>
      <c r="N12" s="108" t="s">
        <v>64</v>
      </c>
      <c r="O12" s="108" t="s">
        <v>79</v>
      </c>
      <c r="P12" s="108" t="s">
        <v>119</v>
      </c>
      <c r="Q12" s="109" t="s">
        <v>81</v>
      </c>
      <c r="R12" s="109" t="s">
        <v>64</v>
      </c>
      <c r="S12" s="109" t="s">
        <v>80</v>
      </c>
      <c r="T12" s="109" t="s">
        <v>119</v>
      </c>
      <c r="AB12" s="15" t="s">
        <v>403</v>
      </c>
      <c r="AC12" s="138" t="s">
        <v>146</v>
      </c>
      <c r="AD12" s="139" t="s">
        <v>148</v>
      </c>
      <c r="AE12" s="140" t="s">
        <v>141</v>
      </c>
      <c r="AF12" s="146" t="s">
        <v>150</v>
      </c>
      <c r="AG12" s="146" t="s">
        <v>151</v>
      </c>
      <c r="AH12" s="147" t="s">
        <v>152</v>
      </c>
      <c r="AI12" s="148" t="s">
        <v>28</v>
      </c>
    </row>
    <row r="13" spans="1:153" ht="30" customHeight="1" x14ac:dyDescent="0.2">
      <c r="B13" s="112" t="s">
        <v>65</v>
      </c>
      <c r="C13" s="117"/>
      <c r="D13" s="117"/>
      <c r="E13" s="117"/>
      <c r="F13" s="117"/>
      <c r="G13" s="117"/>
      <c r="H13" s="117"/>
      <c r="I13" s="117"/>
      <c r="L13" s="112" t="s">
        <v>65</v>
      </c>
      <c r="M13" s="101"/>
      <c r="N13" s="101"/>
      <c r="O13" s="101"/>
      <c r="P13" s="101"/>
      <c r="Q13" s="102"/>
      <c r="R13" s="102">
        <f>N13</f>
        <v>0</v>
      </c>
      <c r="S13" s="102"/>
      <c r="T13" s="102"/>
      <c r="AB13" s="15" t="s">
        <v>404</v>
      </c>
      <c r="AC13" s="138" t="s">
        <v>146</v>
      </c>
      <c r="AD13" s="139" t="s">
        <v>148</v>
      </c>
      <c r="AE13" s="140" t="s">
        <v>141</v>
      </c>
      <c r="AF13" s="146" t="s">
        <v>150</v>
      </c>
      <c r="AG13" s="146" t="s">
        <v>151</v>
      </c>
      <c r="AH13" s="147" t="s">
        <v>152</v>
      </c>
      <c r="AI13" s="148" t="s">
        <v>28</v>
      </c>
    </row>
    <row r="14" spans="1:153" ht="30" customHeight="1" x14ac:dyDescent="0.2">
      <c r="B14" s="113" t="s">
        <v>67</v>
      </c>
      <c r="C14" s="99">
        <f t="shared" ref="C14:I14" si="1">C13</f>
        <v>0</v>
      </c>
      <c r="D14" s="99">
        <f t="shared" si="1"/>
        <v>0</v>
      </c>
      <c r="E14" s="99">
        <f t="shared" si="1"/>
        <v>0</v>
      </c>
      <c r="F14" s="99">
        <f t="shared" si="1"/>
        <v>0</v>
      </c>
      <c r="G14" s="99">
        <f t="shared" si="1"/>
        <v>0</v>
      </c>
      <c r="H14" s="185">
        <f t="shared" si="1"/>
        <v>0</v>
      </c>
      <c r="I14" s="185">
        <f t="shared" si="1"/>
        <v>0</v>
      </c>
      <c r="L14" s="113" t="s">
        <v>67</v>
      </c>
      <c r="M14" s="99">
        <f>M13</f>
        <v>0</v>
      </c>
      <c r="N14" s="99">
        <f t="shared" ref="N14:T14" si="2">N13</f>
        <v>0</v>
      </c>
      <c r="O14" s="99">
        <f t="shared" si="2"/>
        <v>0</v>
      </c>
      <c r="P14" s="99">
        <f t="shared" si="2"/>
        <v>0</v>
      </c>
      <c r="Q14" s="103">
        <f t="shared" si="2"/>
        <v>0</v>
      </c>
      <c r="R14" s="103">
        <f t="shared" si="2"/>
        <v>0</v>
      </c>
      <c r="S14" s="103">
        <f t="shared" si="2"/>
        <v>0</v>
      </c>
      <c r="T14" s="103">
        <f t="shared" si="2"/>
        <v>0</v>
      </c>
      <c r="AB14" s="15" t="s">
        <v>405</v>
      </c>
      <c r="AC14" s="138" t="s">
        <v>146</v>
      </c>
      <c r="AD14" s="139" t="s">
        <v>148</v>
      </c>
      <c r="AE14" s="140" t="s">
        <v>141</v>
      </c>
      <c r="AF14" s="146" t="s">
        <v>150</v>
      </c>
      <c r="AG14" s="146" t="s">
        <v>151</v>
      </c>
      <c r="AH14" s="147" t="s">
        <v>152</v>
      </c>
      <c r="AI14" s="148" t="s">
        <v>28</v>
      </c>
    </row>
    <row r="15" spans="1:153" ht="7.5" customHeight="1" x14ac:dyDescent="0.2">
      <c r="AB15" s="15" t="s">
        <v>406</v>
      </c>
      <c r="AC15" s="138" t="s">
        <v>146</v>
      </c>
      <c r="AD15" s="139" t="s">
        <v>148</v>
      </c>
      <c r="AE15" s="140" t="s">
        <v>141</v>
      </c>
      <c r="AF15" s="146" t="s">
        <v>150</v>
      </c>
      <c r="AG15" s="146" t="s">
        <v>151</v>
      </c>
      <c r="AH15" s="147" t="s">
        <v>152</v>
      </c>
      <c r="AI15" s="148" t="s">
        <v>28</v>
      </c>
    </row>
    <row r="16" spans="1:153" ht="63.75" customHeight="1" x14ac:dyDescent="0.2">
      <c r="B16" s="111" t="s">
        <v>66</v>
      </c>
      <c r="C16" s="108" t="s">
        <v>76</v>
      </c>
      <c r="D16" s="108" t="s">
        <v>77</v>
      </c>
      <c r="E16" s="108" t="s">
        <v>78</v>
      </c>
      <c r="F16" s="108" t="s">
        <v>72</v>
      </c>
      <c r="G16" s="108" t="s">
        <v>71</v>
      </c>
      <c r="H16" s="108" t="s">
        <v>120</v>
      </c>
      <c r="I16" s="108" t="s">
        <v>70</v>
      </c>
      <c r="L16" s="111" t="s">
        <v>66</v>
      </c>
      <c r="M16" s="108" t="s">
        <v>84</v>
      </c>
      <c r="N16" s="108" t="s">
        <v>82</v>
      </c>
      <c r="O16" s="108" t="s">
        <v>87</v>
      </c>
      <c r="P16" s="108" t="s">
        <v>121</v>
      </c>
      <c r="Q16" s="109" t="s">
        <v>85</v>
      </c>
      <c r="R16" s="109" t="s">
        <v>86</v>
      </c>
      <c r="S16" s="109" t="s">
        <v>88</v>
      </c>
      <c r="T16" s="109" t="s">
        <v>122</v>
      </c>
      <c r="AB16" s="15" t="s">
        <v>407</v>
      </c>
      <c r="AC16" s="138" t="s">
        <v>146</v>
      </c>
      <c r="AD16" s="139" t="s">
        <v>148</v>
      </c>
      <c r="AE16" s="140" t="s">
        <v>141</v>
      </c>
      <c r="AF16" s="146" t="s">
        <v>150</v>
      </c>
      <c r="AG16" s="146" t="s">
        <v>151</v>
      </c>
      <c r="AH16" s="147" t="s">
        <v>152</v>
      </c>
      <c r="AI16" s="148" t="s">
        <v>28</v>
      </c>
    </row>
    <row r="17" spans="2:35" ht="30" customHeight="1" x14ac:dyDescent="0.2">
      <c r="B17" s="112" t="s">
        <v>68</v>
      </c>
      <c r="C17" s="118" t="str">
        <f>IFERROR(C10*C13/100,"")</f>
        <v/>
      </c>
      <c r="D17" s="118" t="str">
        <f t="shared" ref="D17:I17" si="3">IFERROR(D10*D13/100,"")</f>
        <v/>
      </c>
      <c r="E17" s="118" t="str">
        <f t="shared" si="3"/>
        <v/>
      </c>
      <c r="F17" s="118" t="str">
        <f t="shared" si="3"/>
        <v/>
      </c>
      <c r="G17" s="118" t="str">
        <f>IFERROR(G10*G13*F13/100,"")</f>
        <v/>
      </c>
      <c r="H17" s="118" t="str">
        <f>IFERROR(H10*H13*F13/100,"")</f>
        <v/>
      </c>
      <c r="I17" s="118" t="str">
        <f t="shared" si="3"/>
        <v/>
      </c>
      <c r="L17" s="114" t="s">
        <v>68</v>
      </c>
      <c r="M17" s="118">
        <f>IFERROR(M10*M13/100,"")</f>
        <v>0</v>
      </c>
      <c r="N17" s="118">
        <f>IFERROR(N10*N13/100,"")</f>
        <v>0</v>
      </c>
      <c r="O17" s="118">
        <f>IFERROR(O10*O13*N13/100,"")</f>
        <v>0</v>
      </c>
      <c r="P17" s="118">
        <f>IFERROR(P10*P13*N13/100,"")</f>
        <v>0</v>
      </c>
      <c r="Q17" s="119">
        <f>IFERROR(Q10*Q13/100,"")</f>
        <v>0</v>
      </c>
      <c r="R17" s="119">
        <f>IFERROR(R10*R13/100,"")</f>
        <v>0</v>
      </c>
      <c r="S17" s="119">
        <f>IFERROR(S10*S13*R13/100,"")</f>
        <v>0</v>
      </c>
      <c r="T17" s="119">
        <f>IFERROR(T10*T13*R13/100,"")</f>
        <v>0</v>
      </c>
      <c r="AB17" s="15" t="s">
        <v>408</v>
      </c>
      <c r="AC17" s="138" t="s">
        <v>146</v>
      </c>
      <c r="AD17" s="139" t="s">
        <v>148</v>
      </c>
      <c r="AE17" s="140" t="s">
        <v>141</v>
      </c>
      <c r="AF17" s="146" t="s">
        <v>150</v>
      </c>
      <c r="AG17" s="146" t="s">
        <v>151</v>
      </c>
      <c r="AH17" s="147" t="s">
        <v>152</v>
      </c>
      <c r="AI17" s="148" t="s">
        <v>28</v>
      </c>
    </row>
    <row r="18" spans="2:35" ht="30" customHeight="1" x14ac:dyDescent="0.2">
      <c r="B18" s="113" t="s">
        <v>69</v>
      </c>
      <c r="C18" s="120" t="str">
        <f>IFERROR(C10*C14/100,"")</f>
        <v/>
      </c>
      <c r="D18" s="120" t="str">
        <f t="shared" ref="D18:I18" si="4">IFERROR(D10*D14/100,"")</f>
        <v/>
      </c>
      <c r="E18" s="120" t="str">
        <f t="shared" si="4"/>
        <v/>
      </c>
      <c r="F18" s="120" t="str">
        <f t="shared" si="4"/>
        <v/>
      </c>
      <c r="G18" s="120" t="str">
        <f>IFERROR(G10*G14*F14/100,"")</f>
        <v/>
      </c>
      <c r="H18" s="120" t="str">
        <f>IFERROR(H10*H14*F14/100,"")</f>
        <v/>
      </c>
      <c r="I18" s="120" t="str">
        <f t="shared" si="4"/>
        <v/>
      </c>
      <c r="L18" s="115" t="s">
        <v>69</v>
      </c>
      <c r="M18" s="120">
        <f>IFERROR(M10*M14/100,"")</f>
        <v>0</v>
      </c>
      <c r="N18" s="120">
        <f>IFERROR(N10*N14/100,"")</f>
        <v>0</v>
      </c>
      <c r="O18" s="120">
        <f>IFERROR(O10*O14*N14/100,"")</f>
        <v>0</v>
      </c>
      <c r="P18" s="120">
        <f>IFERROR(P10*P14*N14/100,"")</f>
        <v>0</v>
      </c>
      <c r="Q18" s="121">
        <f>IFERROR(Q10*Q14/100,"")</f>
        <v>0</v>
      </c>
      <c r="R18" s="121">
        <f>IFERROR(R10*R14/100,"")</f>
        <v>0</v>
      </c>
      <c r="S18" s="121">
        <f>IFERROR(S10*S14*R14/100,"")</f>
        <v>0</v>
      </c>
      <c r="T18" s="121">
        <f>IFERROR(T10*T14*R14/100,"")</f>
        <v>0</v>
      </c>
      <c r="AB18" s="15" t="s">
        <v>409</v>
      </c>
      <c r="AC18" s="138" t="s">
        <v>146</v>
      </c>
      <c r="AD18" s="139" t="s">
        <v>148</v>
      </c>
      <c r="AE18" s="140" t="s">
        <v>141</v>
      </c>
      <c r="AF18" s="146" t="s">
        <v>150</v>
      </c>
      <c r="AG18" s="146" t="s">
        <v>151</v>
      </c>
      <c r="AH18" s="147" t="s">
        <v>152</v>
      </c>
      <c r="AI18" s="148" t="s">
        <v>28</v>
      </c>
    </row>
    <row r="19" spans="2:35" ht="7.5" customHeight="1" x14ac:dyDescent="0.2">
      <c r="AB19" s="15" t="s">
        <v>410</v>
      </c>
      <c r="AC19" s="138" t="s">
        <v>146</v>
      </c>
      <c r="AD19" s="139" t="s">
        <v>148</v>
      </c>
      <c r="AE19" s="140" t="s">
        <v>141</v>
      </c>
      <c r="AF19" s="146" t="s">
        <v>150</v>
      </c>
      <c r="AG19" s="146" t="s">
        <v>151</v>
      </c>
      <c r="AH19" s="147" t="s">
        <v>152</v>
      </c>
      <c r="AI19" s="148" t="s">
        <v>28</v>
      </c>
    </row>
    <row r="20" spans="2:35" ht="39.75" customHeight="1" x14ac:dyDescent="0.2">
      <c r="C20" s="116" t="s">
        <v>73</v>
      </c>
      <c r="M20" s="108" t="s">
        <v>89</v>
      </c>
      <c r="N20" s="109" t="s">
        <v>90</v>
      </c>
      <c r="AB20" s="15" t="s">
        <v>411</v>
      </c>
      <c r="AC20" s="138" t="s">
        <v>146</v>
      </c>
      <c r="AD20" s="139" t="s">
        <v>148</v>
      </c>
      <c r="AE20" s="140" t="s">
        <v>141</v>
      </c>
      <c r="AF20" s="146" t="s">
        <v>150</v>
      </c>
      <c r="AG20" s="146" t="s">
        <v>151</v>
      </c>
      <c r="AH20" s="147" t="s">
        <v>152</v>
      </c>
      <c r="AI20" s="148" t="s">
        <v>28</v>
      </c>
    </row>
    <row r="21" spans="2:35" ht="30" customHeight="1" x14ac:dyDescent="0.2">
      <c r="B21" s="112" t="s">
        <v>68</v>
      </c>
      <c r="C21" s="118">
        <f>SUM(C17:I17)</f>
        <v>0</v>
      </c>
      <c r="L21" s="112" t="s">
        <v>68</v>
      </c>
      <c r="M21" s="118">
        <f>SUM(M17:P17)</f>
        <v>0</v>
      </c>
      <c r="N21" s="119">
        <f>SUM(Q17:T17)</f>
        <v>0</v>
      </c>
      <c r="AB21" s="15" t="s">
        <v>412</v>
      </c>
      <c r="AC21" s="138" t="s">
        <v>146</v>
      </c>
      <c r="AD21" s="139" t="s">
        <v>148</v>
      </c>
      <c r="AE21" s="140" t="s">
        <v>141</v>
      </c>
      <c r="AF21" s="146" t="s">
        <v>150</v>
      </c>
      <c r="AG21" s="146" t="s">
        <v>151</v>
      </c>
      <c r="AH21" s="147" t="s">
        <v>152</v>
      </c>
      <c r="AI21" s="148" t="s">
        <v>28</v>
      </c>
    </row>
    <row r="22" spans="2:35" ht="30" customHeight="1" x14ac:dyDescent="0.2">
      <c r="B22" s="113" t="s">
        <v>69</v>
      </c>
      <c r="C22" s="120">
        <f>SUM(C18:I18)</f>
        <v>0</v>
      </c>
      <c r="L22" s="113" t="s">
        <v>69</v>
      </c>
      <c r="M22" s="120">
        <f>SUM(M18:P18)</f>
        <v>0</v>
      </c>
      <c r="N22" s="121">
        <f>SUM(Q18:T18)</f>
        <v>0</v>
      </c>
      <c r="AB22" s="15" t="s">
        <v>413</v>
      </c>
      <c r="AC22" s="138" t="s">
        <v>146</v>
      </c>
      <c r="AD22" s="139" t="s">
        <v>148</v>
      </c>
      <c r="AE22" s="140" t="s">
        <v>141</v>
      </c>
      <c r="AF22" s="146" t="s">
        <v>150</v>
      </c>
      <c r="AG22" s="146" t="s">
        <v>151</v>
      </c>
      <c r="AH22" s="147" t="s">
        <v>152</v>
      </c>
      <c r="AI22" s="148" t="s">
        <v>28</v>
      </c>
    </row>
    <row r="23" spans="2:35" ht="19.5" customHeight="1" x14ac:dyDescent="0.2">
      <c r="AB23" s="15" t="s">
        <v>414</v>
      </c>
      <c r="AC23" s="138" t="s">
        <v>146</v>
      </c>
      <c r="AD23" s="139" t="s">
        <v>148</v>
      </c>
      <c r="AE23" s="140" t="s">
        <v>141</v>
      </c>
      <c r="AF23" s="146" t="s">
        <v>150</v>
      </c>
      <c r="AG23" s="146" t="s">
        <v>151</v>
      </c>
      <c r="AH23" s="147" t="s">
        <v>152</v>
      </c>
      <c r="AI23" s="148" t="s">
        <v>28</v>
      </c>
    </row>
    <row r="24" spans="2:35" ht="30.75" customHeight="1" x14ac:dyDescent="0.2">
      <c r="B24" s="292" t="s">
        <v>91</v>
      </c>
      <c r="C24" s="293"/>
      <c r="D24" s="294"/>
      <c r="L24" s="292" t="s">
        <v>92</v>
      </c>
      <c r="M24" s="293"/>
      <c r="N24" s="294"/>
      <c r="AB24" s="15" t="s">
        <v>415</v>
      </c>
      <c r="AC24" s="138" t="s">
        <v>146</v>
      </c>
      <c r="AD24" s="139" t="s">
        <v>148</v>
      </c>
      <c r="AE24" s="140" t="s">
        <v>141</v>
      </c>
      <c r="AF24" s="146" t="s">
        <v>150</v>
      </c>
      <c r="AG24" s="146" t="s">
        <v>151</v>
      </c>
      <c r="AH24" s="147" t="s">
        <v>152</v>
      </c>
      <c r="AI24" s="148" t="s">
        <v>28</v>
      </c>
    </row>
    <row r="25" spans="2:35" ht="45" x14ac:dyDescent="0.2">
      <c r="AB25" s="15" t="s">
        <v>416</v>
      </c>
      <c r="AC25" s="138" t="s">
        <v>146</v>
      </c>
      <c r="AD25" s="139" t="s">
        <v>148</v>
      </c>
      <c r="AE25" s="140" t="s">
        <v>141</v>
      </c>
      <c r="AF25" s="146" t="s">
        <v>150</v>
      </c>
      <c r="AG25" s="146" t="s">
        <v>151</v>
      </c>
      <c r="AH25" s="147" t="s">
        <v>152</v>
      </c>
      <c r="AI25" s="148" t="s">
        <v>28</v>
      </c>
    </row>
    <row r="26" spans="2:35" ht="45" x14ac:dyDescent="0.2">
      <c r="AB26" s="15" t="s">
        <v>129</v>
      </c>
      <c r="AC26" s="144" t="s">
        <v>147</v>
      </c>
      <c r="AD26" s="145" t="s">
        <v>149</v>
      </c>
      <c r="AE26" s="140" t="s">
        <v>141</v>
      </c>
      <c r="AF26" s="141" t="s">
        <v>153</v>
      </c>
      <c r="AG26" s="141" t="s">
        <v>153</v>
      </c>
      <c r="AH26" s="141" t="s">
        <v>153</v>
      </c>
      <c r="AI26" s="141" t="s">
        <v>153</v>
      </c>
    </row>
    <row r="27" spans="2:35" ht="63.75" x14ac:dyDescent="0.2">
      <c r="AB27" s="15" t="s">
        <v>130</v>
      </c>
      <c r="AC27" s="138" t="s">
        <v>146</v>
      </c>
      <c r="AD27" s="139" t="s">
        <v>148</v>
      </c>
      <c r="AE27" s="140" t="s">
        <v>141</v>
      </c>
      <c r="AF27" s="146" t="s">
        <v>150</v>
      </c>
      <c r="AG27" s="141" t="s">
        <v>153</v>
      </c>
      <c r="AH27" s="141" t="s">
        <v>153</v>
      </c>
      <c r="AI27" s="141" t="s">
        <v>153</v>
      </c>
    </row>
    <row r="28" spans="2:35" ht="63.75" x14ac:dyDescent="0.2">
      <c r="AB28" s="15" t="s">
        <v>131</v>
      </c>
      <c r="AC28" s="138" t="s">
        <v>146</v>
      </c>
      <c r="AD28" s="139" t="s">
        <v>148</v>
      </c>
      <c r="AE28" s="140" t="s">
        <v>141</v>
      </c>
      <c r="AF28" s="146" t="s">
        <v>150</v>
      </c>
      <c r="AG28" s="141" t="s">
        <v>153</v>
      </c>
      <c r="AH28" s="141" t="s">
        <v>153</v>
      </c>
      <c r="AI28" s="141" t="s">
        <v>153</v>
      </c>
    </row>
    <row r="29" spans="2:35" ht="51" x14ac:dyDescent="0.2">
      <c r="AB29" s="15" t="s">
        <v>132</v>
      </c>
      <c r="AC29" s="138" t="s">
        <v>146</v>
      </c>
      <c r="AD29" s="139" t="s">
        <v>148</v>
      </c>
      <c r="AE29" s="140" t="s">
        <v>141</v>
      </c>
      <c r="AF29" s="146" t="s">
        <v>150</v>
      </c>
      <c r="AG29" s="141" t="s">
        <v>153</v>
      </c>
      <c r="AH29" s="141" t="s">
        <v>153</v>
      </c>
      <c r="AI29" s="143" t="s">
        <v>28</v>
      </c>
    </row>
    <row r="30" spans="2:35" ht="76.5" x14ac:dyDescent="0.2">
      <c r="AB30" s="15" t="s">
        <v>133</v>
      </c>
      <c r="AC30" s="138" t="s">
        <v>146</v>
      </c>
      <c r="AD30" s="139" t="s">
        <v>148</v>
      </c>
      <c r="AE30" s="140" t="s">
        <v>141</v>
      </c>
      <c r="AF30" s="146" t="s">
        <v>150</v>
      </c>
      <c r="AG30" s="141" t="s">
        <v>153</v>
      </c>
      <c r="AH30" s="141" t="s">
        <v>153</v>
      </c>
      <c r="AI30" s="141" t="s">
        <v>153</v>
      </c>
    </row>
    <row r="31" spans="2:35" ht="51" x14ac:dyDescent="0.2">
      <c r="AB31" s="15" t="s">
        <v>134</v>
      </c>
      <c r="AC31" s="138" t="s">
        <v>146</v>
      </c>
      <c r="AD31" s="139" t="s">
        <v>148</v>
      </c>
      <c r="AE31" s="140" t="s">
        <v>141</v>
      </c>
      <c r="AF31" s="146" t="s">
        <v>150</v>
      </c>
      <c r="AG31" s="141" t="s">
        <v>153</v>
      </c>
      <c r="AH31" s="141" t="s">
        <v>153</v>
      </c>
      <c r="AI31" s="143" t="s">
        <v>28</v>
      </c>
    </row>
    <row r="32" spans="2:35" ht="76.5" x14ac:dyDescent="0.2">
      <c r="AB32" s="15" t="s">
        <v>135</v>
      </c>
      <c r="AC32" s="138" t="s">
        <v>146</v>
      </c>
      <c r="AD32" s="139" t="s">
        <v>148</v>
      </c>
      <c r="AE32" s="140" t="s">
        <v>141</v>
      </c>
      <c r="AF32" s="146" t="s">
        <v>150</v>
      </c>
      <c r="AG32" s="141" t="s">
        <v>153</v>
      </c>
      <c r="AH32" s="141" t="s">
        <v>153</v>
      </c>
      <c r="AI32" s="141" t="s">
        <v>153</v>
      </c>
    </row>
    <row r="33" spans="28:35" ht="51" x14ac:dyDescent="0.2">
      <c r="AB33" s="15" t="s">
        <v>136</v>
      </c>
      <c r="AC33" s="138" t="s">
        <v>146</v>
      </c>
      <c r="AD33" s="139" t="s">
        <v>148</v>
      </c>
      <c r="AE33" s="140" t="s">
        <v>141</v>
      </c>
      <c r="AF33" s="146" t="s">
        <v>150</v>
      </c>
      <c r="AG33" s="141" t="s">
        <v>153</v>
      </c>
      <c r="AH33" s="141" t="s">
        <v>153</v>
      </c>
      <c r="AI33" s="143" t="s">
        <v>28</v>
      </c>
    </row>
    <row r="34" spans="28:35" ht="76.5" x14ac:dyDescent="0.2">
      <c r="AB34" s="15" t="s">
        <v>137</v>
      </c>
      <c r="AC34" s="138" t="s">
        <v>146</v>
      </c>
      <c r="AD34" s="139" t="s">
        <v>148</v>
      </c>
      <c r="AE34" s="140" t="s">
        <v>141</v>
      </c>
      <c r="AF34" s="146" t="s">
        <v>150</v>
      </c>
      <c r="AG34" s="141" t="s">
        <v>153</v>
      </c>
      <c r="AH34" s="141" t="s">
        <v>153</v>
      </c>
      <c r="AI34" s="141" t="s">
        <v>153</v>
      </c>
    </row>
  </sheetData>
  <dataConsolidate/>
  <mergeCells count="11">
    <mergeCell ref="B2:T2"/>
    <mergeCell ref="B24:D24"/>
    <mergeCell ref="L24:N24"/>
    <mergeCell ref="B4:I4"/>
    <mergeCell ref="L4:T4"/>
    <mergeCell ref="B6:I6"/>
    <mergeCell ref="B5:I5"/>
    <mergeCell ref="B7:I7"/>
    <mergeCell ref="L5:T5"/>
    <mergeCell ref="L6:T6"/>
    <mergeCell ref="L7:T7"/>
  </mergeCells>
  <conditionalFormatting sqref="C9:I9">
    <cfRule type="containsText" dxfId="2" priority="3" operator="containsText" text="n/a">
      <formula>NOT(ISERROR(SEARCH("n/a",C9)))</formula>
    </cfRule>
  </conditionalFormatting>
  <conditionalFormatting sqref="C10:I10 C12:I14 C16:I18">
    <cfRule type="expression" dxfId="1" priority="2">
      <formula>C$9="n/a"</formula>
    </cfRule>
  </conditionalFormatting>
  <conditionalFormatting sqref="Q9:T10 Q12:T14 Q16:T18">
    <cfRule type="expression" dxfId="0" priority="1">
      <formula>$T$10=""</formula>
    </cfRule>
  </conditionalFormatting>
  <hyperlinks>
    <hyperlink ref="B1" location="Overview!A1" display="Back to Overview" xr:uid="{00000000-0004-0000-0E00-000000000000}"/>
  </hyperlinks>
  <pageMargins left="0.70866141732283472" right="0.70866141732283472" top="0.74803149606299213" bottom="0.74803149606299213" header="0.31496062992125984" footer="0.31496062992125984"/>
  <pageSetup paperSize="9" scale="50" orientation="landscape" r:id="rId1"/>
  <ignoredErrors>
    <ignoredError sqref="G17:G18" formula="1"/>
    <ignoredError sqref="M14:T14 R13 C14:G14" unlockedFormula="1"/>
  </ignoredErrors>
  <drawing r:id="rId2"/>
  <extLst>
    <ext xmlns:x14="http://schemas.microsoft.com/office/spreadsheetml/2009/9/main" uri="{CCE6A557-97BC-4b89-ADB6-D9C93CAAB3DF}">
      <x14:dataValidations xmlns:xm="http://schemas.microsoft.com/office/excel/2006/main" count="2">
        <x14:dataValidation type="list" errorStyle="information" allowBlank="1" showInputMessage="1" showErrorMessage="1" promptTitle="Tariff selection" prompt="Choose tariff from drop down list" xr:uid="{00000000-0002-0000-0E00-000001000000}">
          <x14:formula1>
            <xm:f>'Annex 1 LV, HV and UMS charges'!$A$12:$A$43</xm:f>
          </x14:formula1>
          <xm:sqref>B10</xm:sqref>
        </x14:dataValidation>
        <x14:dataValidation type="list" errorStyle="information" allowBlank="1" showInputMessage="1" showErrorMessage="1" promptTitle="Choose site" prompt="Select the EHV site that you would like to calculate charges." xr:uid="{00000000-0002-0000-0E00-000000000000}">
          <x14:formula1>
            <xm:f>'Annex 2 Designated EHV charges'!$G$10:$G$330</xm:f>
          </x14:formula1>
          <xm:sqref>L10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20</vt:i4>
      </vt:variant>
    </vt:vector>
  </HeadingPairs>
  <TitlesOfParts>
    <vt:vector size="35" baseType="lpstr">
      <vt:lpstr>Overview</vt:lpstr>
      <vt:lpstr>Annex 1 LV, HV and UMS charges</vt:lpstr>
      <vt:lpstr>Annex 2 Designated EHV charges</vt:lpstr>
      <vt:lpstr>Annex 2a Import</vt:lpstr>
      <vt:lpstr>Annex 2b Export</vt:lpstr>
      <vt:lpstr>Annex 3 Preserved charges</vt:lpstr>
      <vt:lpstr>Annex 4 LDNO charges</vt:lpstr>
      <vt:lpstr>Annex 5 LLFs</vt:lpstr>
      <vt:lpstr>Annex 6 New or Amended EHV</vt:lpstr>
      <vt:lpstr>Annex 7 Pass-Through Costs</vt:lpstr>
      <vt:lpstr>Nodal prices</vt:lpstr>
      <vt:lpstr>SSC unit rate lookup</vt:lpstr>
      <vt:lpstr>Residual Charging Bands</vt:lpstr>
      <vt:lpstr>TNUoS Mapping</vt:lpstr>
      <vt:lpstr>Charge Calculator</vt:lpstr>
      <vt:lpstr>'Annex 1 LV, HV and UMS charges'!Print_Area</vt:lpstr>
      <vt:lpstr>'Annex 2 Designated EHV charges'!Print_Area</vt:lpstr>
      <vt:lpstr>'Annex 2a Import'!Print_Area</vt:lpstr>
      <vt:lpstr>'Annex 2b Export'!Print_Area</vt:lpstr>
      <vt:lpstr>'Annex 3 Preserved charges'!Print_Area</vt:lpstr>
      <vt:lpstr>'Annex 4 LDNO charges'!Print_Area</vt:lpstr>
      <vt:lpstr>'Annex 5 LLFs'!Print_Area</vt:lpstr>
      <vt:lpstr>'Annex 6 New or Amended EHV'!Print_Area</vt:lpstr>
      <vt:lpstr>'Annex 7 Pass-Through Costs'!Print_Area</vt:lpstr>
      <vt:lpstr>'Nodal prices'!Print_Area</vt:lpstr>
      <vt:lpstr>'Annex 1 LV, HV and UMS charges'!Print_Titles</vt:lpstr>
      <vt:lpstr>'Annex 2 Designated EHV charges'!Print_Titles</vt:lpstr>
      <vt:lpstr>'Annex 2a Import'!Print_Titles</vt:lpstr>
      <vt:lpstr>'Annex 2b Export'!Print_Titles</vt:lpstr>
      <vt:lpstr>'Annex 4 LDNO charges'!Print_Titles</vt:lpstr>
      <vt:lpstr>'Annex 5 LLFs'!Print_Titles</vt:lpstr>
      <vt:lpstr>'Annex 6 New or Amended EHV'!Print_Titles</vt:lpstr>
      <vt:lpstr>'Annex 7 Pass-Through Costs'!Print_Titles</vt:lpstr>
      <vt:lpstr>'Nodal prices'!Print_Titles</vt:lpstr>
      <vt:lpstr>'SSC unit rate lookup'!Print_Titles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UK Power Networks</dc:creator>
  <cp:lastModifiedBy>Chloe Fetherston</cp:lastModifiedBy>
  <cp:lastPrinted>2024-12-13T17:22:03Z</cp:lastPrinted>
  <dcterms:created xsi:type="dcterms:W3CDTF">2009-11-12T11:38:00Z</dcterms:created>
  <dcterms:modified xsi:type="dcterms:W3CDTF">2026-05-13T14:54:58Z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LPManualFileClassification">
    <vt:lpwstr>{0F742C78-7CA1-4A83-96D0-F7EDA8C31D24}</vt:lpwstr>
  </property>
  <property fmtid="{D5CDD505-2E9C-101B-9397-08002B2CF9AE}" pid="3" name="DLPManualFileClassificationLastModifiedBy">
    <vt:lpwstr>AD03\Lee.Wells</vt:lpwstr>
  </property>
  <property fmtid="{D5CDD505-2E9C-101B-9397-08002B2CF9AE}" pid="4" name="DLPManualFileClassificationLastModificationDate">
    <vt:lpwstr>1573145826</vt:lpwstr>
  </property>
  <property fmtid="{D5CDD505-2E9C-101B-9397-08002B2CF9AE}" pid="5" name="DLPManualFileClassificationVersion">
    <vt:lpwstr>11.0.400.15</vt:lpwstr>
  </property>
  <property fmtid="{D5CDD505-2E9C-101B-9397-08002B2CF9AE}" pid="6" name="MSIP_Label_24fe2fa2-8093-4776-8a20-2d25f8c7acf2_Enabled">
    <vt:lpwstr>true</vt:lpwstr>
  </property>
  <property fmtid="{D5CDD505-2E9C-101B-9397-08002B2CF9AE}" pid="7" name="MSIP_Label_24fe2fa2-8093-4776-8a20-2d25f8c7acf2_SetDate">
    <vt:lpwstr>2023-11-02T11:09:09Z</vt:lpwstr>
  </property>
  <property fmtid="{D5CDD505-2E9C-101B-9397-08002B2CF9AE}" pid="8" name="MSIP_Label_24fe2fa2-8093-4776-8a20-2d25f8c7acf2_Method">
    <vt:lpwstr>Standard</vt:lpwstr>
  </property>
  <property fmtid="{D5CDD505-2E9C-101B-9397-08002B2CF9AE}" pid="9" name="MSIP_Label_24fe2fa2-8093-4776-8a20-2d25f8c7acf2_Name">
    <vt:lpwstr>Internal</vt:lpwstr>
  </property>
  <property fmtid="{D5CDD505-2E9C-101B-9397-08002B2CF9AE}" pid="10" name="MSIP_Label_24fe2fa2-8093-4776-8a20-2d25f8c7acf2_SiteId">
    <vt:lpwstr>887a239c-e092-45fe-92c8-d902c3681567</vt:lpwstr>
  </property>
  <property fmtid="{D5CDD505-2E9C-101B-9397-08002B2CF9AE}" pid="11" name="MSIP_Label_24fe2fa2-8093-4776-8a20-2d25f8c7acf2_ActionId">
    <vt:lpwstr>ea1176df-2158-4496-b928-dbcfdf5818ea</vt:lpwstr>
  </property>
  <property fmtid="{D5CDD505-2E9C-101B-9397-08002B2CF9AE}" pid="12" name="MSIP_Label_24fe2fa2-8093-4776-8a20-2d25f8c7acf2_ContentBits">
    <vt:lpwstr>0</vt:lpwstr>
  </property>
</Properties>
</file>