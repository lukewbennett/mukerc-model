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https://imperiallondon-my.sharepoint.com/personal/lwb25_ic_ac_uk/Documents/RESEARCH PROJECT/.MUKERC/.CWE/Code Run Folder/Input/Network Prices/Distribution/2022/"/>
    </mc:Choice>
  </mc:AlternateContent>
  <xr:revisionPtr revIDLastSave="0" documentId="13_ncr:1_{471118A9-F6C1-4815-AE11-B8214799D20E}" xr6:coauthVersionLast="47" xr6:coauthVersionMax="47" xr10:uidLastSave="{00000000-0000-0000-0000-000000000000}"/>
  <bookViews>
    <workbookView xWindow="3015" yWindow="3420" windowWidth="16875" windowHeight="10380" firstSheet="1" activeTab="1" xr2:uid="{C63B1A33-7E1C-4C68-8C00-0F2D1584612B}"/>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Charge Calculator" sheetId="15" r:id="rId14"/>
  </sheets>
  <externalReferences>
    <externalReference r:id="rId15"/>
    <externalReference r:id="rId16"/>
  </externalReferences>
  <definedNames>
    <definedName name="_xlnm._FilterDatabase" localSheetId="1" hidden="1">'Annex 1 LV, HV and UMS charges'!$A$13:$K$45</definedName>
    <definedName name="_xlnm._FilterDatabase" localSheetId="2" hidden="1">'Annex 2 EHV charges'!$A$10:$R$144</definedName>
    <definedName name="_xlnm._FilterDatabase" localSheetId="6" hidden="1">'Annex 4 LDNO charges'!$A$13:$K$203</definedName>
    <definedName name="_xlnm._FilterDatabase" localSheetId="8" hidden="1">'Annex 6 New or Amended EHV'!$E$5:$P$5</definedName>
    <definedName name="_xlnm._FilterDatabase" localSheetId="9" hidden="1">'Annex 7 Pass-Through Costs'!$G$4:$H$165</definedName>
    <definedName name="_xlnm._FilterDatabase" localSheetId="11" hidden="1">'SSC unit rate lookup'!$A$28:$D$764</definedName>
    <definedName name="days_in_year">'[1]General inputs'!$H$25</definedName>
    <definedName name="OLE_LINK1" localSheetId="5">'Annex 3 Preserved charges'!#REF!</definedName>
    <definedName name="_xlnm.Print_Area" localSheetId="1">'Annex 1 LV, HV and UMS charges'!$A$2:$K$45</definedName>
    <definedName name="_xlnm.Print_Area" localSheetId="2">'Annex 2 EHV charges'!$A$2:$O$160</definedName>
    <definedName name="_xlnm.Print_Area" localSheetId="3">'Annex 2a Import'!$A$2:$H$150</definedName>
    <definedName name="_xlnm.Print_Area" localSheetId="4">'Annex 2b Export'!$A$2:$H$140</definedName>
    <definedName name="_xlnm.Print_Area" localSheetId="5">'Annex 3 Preserved charges'!$A$2:$J$42</definedName>
    <definedName name="_xlnm.Print_Area" localSheetId="6">'Annex 4 LDNO charges'!$A$2:$J$9</definedName>
    <definedName name="_xlnm.Print_Area" localSheetId="7">'Annex 5 LLFs'!$A$2:$F$143</definedName>
    <definedName name="_xlnm.Print_Area" localSheetId="8">'Annex 6 New or Amended EHV'!$A$4:$P$34</definedName>
    <definedName name="_xlnm.Print_Area" localSheetId="9">'Annex 7 Pass-Through Costs'!$A$2:$F$45</definedName>
    <definedName name="_xlnm.Print_Area" localSheetId="10">'Nodal prices'!$A$2:$D$26</definedName>
    <definedName name="_xlnm.Print_Titles" localSheetId="1">'Annex 1 LV, HV and UMS charges'!$2:$13</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8">'Annex 6 New or Amended EHV'!$4:$5</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charges'!$A$2:$K$45</definedName>
    <definedName name="Z_5032A364_B81A_48DA_88DA_AB3B86B47EE9_.wvu.PrintArea" localSheetId="2" hidden="1">'Annex 2 EHV charges'!$A$2:$I$20</definedName>
    <definedName name="Z_5032A364_B81A_48DA_88DA_AB3B86B47EE9_.wvu.PrintArea" localSheetId="5" hidden="1">'Annex 3 Preserved charges'!$A$2:$J$42</definedName>
    <definedName name="Z_5032A364_B81A_48DA_88DA_AB3B86B47EE9_.wvu.PrintArea" localSheetId="6" hidden="1">'Annex 4 LDNO charges'!$A$2:$I$9</definedName>
    <definedName name="Z_5032A364_B81A_48DA_88DA_AB3B86B47EE9_.wvu.PrintArea" localSheetId="7" hidden="1">'Annex 5 LLFs'!$A$3:$F$143</definedName>
    <definedName name="Z_5032A364_B81A_48DA_88DA_AB3B86B47EE9_.wvu.PrintArea" localSheetId="8" hidden="1">'Annex 6 New or Amended EHV'!$A$1:$P$34</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charges'!$2:$13</definedName>
    <definedName name="Z_5032A364_B81A_48DA_88DA_AB3B86B47EE9_.wvu.PrintTitles" localSheetId="2" hidden="1">'Annex 2 EHV charges'!$2:$10</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25" i="8" l="1"/>
  <c r="A42" i="8"/>
  <c r="B42" i="8"/>
  <c r="C42" i="8"/>
  <c r="D42" i="8"/>
  <c r="E42" i="8"/>
  <c r="F42" i="8"/>
  <c r="G42" i="8"/>
  <c r="H42" i="8"/>
  <c r="A41" i="8"/>
  <c r="B41" i="8"/>
  <c r="C41" i="8"/>
  <c r="D41" i="8"/>
  <c r="E41" i="8"/>
  <c r="F41" i="8"/>
  <c r="G41" i="8"/>
  <c r="H41" i="8"/>
  <c r="A28" i="8"/>
  <c r="B28" i="8"/>
  <c r="C28" i="8"/>
  <c r="D28" i="8"/>
  <c r="E28" i="8"/>
  <c r="F28" i="8"/>
  <c r="G28" i="8"/>
  <c r="H28" i="8"/>
  <c r="A29" i="8"/>
  <c r="B29" i="8"/>
  <c r="C29" i="8"/>
  <c r="D29" i="8"/>
  <c r="E29" i="8"/>
  <c r="F29" i="8"/>
  <c r="G29" i="8"/>
  <c r="H29" i="8"/>
  <c r="A30" i="8"/>
  <c r="B30" i="8"/>
  <c r="C30" i="8"/>
  <c r="D30" i="8"/>
  <c r="E30" i="8"/>
  <c r="F30" i="8"/>
  <c r="G30" i="8"/>
  <c r="H30" i="8"/>
  <c r="A31" i="8"/>
  <c r="B31" i="8"/>
  <c r="C31" i="8"/>
  <c r="D31" i="8"/>
  <c r="E31" i="8"/>
  <c r="F31" i="8"/>
  <c r="G31" i="8"/>
  <c r="H31" i="8"/>
  <c r="A32" i="8"/>
  <c r="B32" i="8"/>
  <c r="C32" i="8"/>
  <c r="D32" i="8"/>
  <c r="E32" i="8"/>
  <c r="F32" i="8"/>
  <c r="G32" i="8"/>
  <c r="H32" i="8"/>
  <c r="A33" i="8"/>
  <c r="B33" i="8"/>
  <c r="C33" i="8"/>
  <c r="D33" i="8"/>
  <c r="E33" i="8"/>
  <c r="F33" i="8"/>
  <c r="G33" i="8"/>
  <c r="H33" i="8"/>
  <c r="A34" i="8"/>
  <c r="B34" i="8"/>
  <c r="C34" i="8"/>
  <c r="D34" i="8"/>
  <c r="E34" i="8"/>
  <c r="F34" i="8"/>
  <c r="G34" i="8"/>
  <c r="H34" i="8"/>
  <c r="A35" i="8"/>
  <c r="B35" i="8"/>
  <c r="C35" i="8"/>
  <c r="D35" i="8"/>
  <c r="E35" i="8"/>
  <c r="F35" i="8"/>
  <c r="G35" i="8"/>
  <c r="H35" i="8"/>
  <c r="A36" i="8"/>
  <c r="B36" i="8"/>
  <c r="C36" i="8"/>
  <c r="D36" i="8"/>
  <c r="E36" i="8"/>
  <c r="F36" i="8"/>
  <c r="G36" i="8"/>
  <c r="H36" i="8"/>
  <c r="A37" i="8"/>
  <c r="B37" i="8"/>
  <c r="C37" i="8"/>
  <c r="D37" i="8"/>
  <c r="E37" i="8"/>
  <c r="F37" i="8"/>
  <c r="G37" i="8"/>
  <c r="H37" i="8"/>
  <c r="A38" i="8"/>
  <c r="B38" i="8"/>
  <c r="C38" i="8"/>
  <c r="D38" i="8"/>
  <c r="E38" i="8"/>
  <c r="F38" i="8"/>
  <c r="G38" i="8"/>
  <c r="H38" i="8"/>
  <c r="A39" i="8"/>
  <c r="B39" i="8"/>
  <c r="C39" i="8"/>
  <c r="D39" i="8"/>
  <c r="E39" i="8"/>
  <c r="F39" i="8"/>
  <c r="G39" i="8"/>
  <c r="H39" i="8"/>
  <c r="A40" i="8"/>
  <c r="B40" i="8"/>
  <c r="C40" i="8"/>
  <c r="D40" i="8"/>
  <c r="E40" i="8"/>
  <c r="F40" i="8"/>
  <c r="G40" i="8"/>
  <c r="H40" i="8"/>
  <c r="B27" i="8"/>
  <c r="I100" i="13" l="1"/>
  <c r="I101" i="13"/>
  <c r="I102" i="13"/>
  <c r="I103" i="13"/>
  <c r="I104" i="13"/>
  <c r="I105" i="13"/>
  <c r="E27" i="8" l="1"/>
  <c r="H27" i="8"/>
  <c r="I31" i="8" l="1"/>
  <c r="M30" i="8" l="1"/>
  <c r="L30" i="8"/>
  <c r="N30" i="8"/>
  <c r="K30" i="8"/>
  <c r="O30" i="8"/>
  <c r="J30" i="8"/>
  <c r="P30" i="8"/>
  <c r="I30" i="8"/>
  <c r="M31" i="8"/>
  <c r="L31" i="8"/>
  <c r="O31" i="8"/>
  <c r="J31" i="8"/>
  <c r="P31" i="8"/>
  <c r="N31" i="8"/>
  <c r="K31" i="8"/>
  <c r="O33" i="8"/>
  <c r="J33" i="8"/>
  <c r="P33" i="8"/>
  <c r="M33" i="8"/>
  <c r="L33" i="8"/>
  <c r="I33" i="8"/>
  <c r="N33" i="8"/>
  <c r="K33" i="8"/>
  <c r="P29" i="8"/>
  <c r="K29" i="8"/>
  <c r="O29" i="8"/>
  <c r="J29" i="8"/>
  <c r="N29" i="8"/>
  <c r="I29" i="8"/>
  <c r="M29" i="8"/>
  <c r="L29" i="8"/>
  <c r="J35" i="8"/>
  <c r="P35" i="8"/>
  <c r="I35" i="8"/>
  <c r="M35" i="8"/>
  <c r="L35" i="8"/>
  <c r="N35" i="8"/>
  <c r="K35" i="8"/>
  <c r="O35" i="8"/>
  <c r="M34" i="8"/>
  <c r="L34" i="8"/>
  <c r="N34" i="8"/>
  <c r="K34" i="8"/>
  <c r="O34" i="8"/>
  <c r="J34" i="8"/>
  <c r="P34" i="8"/>
  <c r="I34" i="8"/>
  <c r="M32" i="8"/>
  <c r="L32" i="8"/>
  <c r="N32" i="8"/>
  <c r="K32" i="8"/>
  <c r="O32" i="8"/>
  <c r="J32" i="8"/>
  <c r="P32" i="8"/>
  <c r="I32" i="8"/>
  <c r="B219" i="6"/>
  <c r="C219" i="6"/>
  <c r="D219" i="6"/>
  <c r="E219" i="6"/>
  <c r="A27" i="8" l="1"/>
  <c r="C27" i="8"/>
  <c r="D27" i="8"/>
  <c r="F27" i="8"/>
  <c r="G27" i="8"/>
  <c r="A2" i="26"/>
  <c r="A2" i="24"/>
  <c r="I9" i="15"/>
  <c r="H9" i="15"/>
  <c r="G9" i="15"/>
  <c r="F9" i="15"/>
  <c r="E9" i="15"/>
  <c r="E12" i="15" s="1"/>
  <c r="D9" i="15"/>
  <c r="C9" i="15"/>
  <c r="C12" i="15" s="1"/>
  <c r="D12" i="15"/>
  <c r="B13" i="1"/>
  <c r="I14" i="15"/>
  <c r="H14" i="15"/>
  <c r="B2" i="15"/>
  <c r="A2" i="7"/>
  <c r="A4" i="8"/>
  <c r="A3" i="6"/>
  <c r="A2" i="5"/>
  <c r="A2" i="4"/>
  <c r="A2" i="14"/>
  <c r="A2" i="13"/>
  <c r="A2" i="12"/>
  <c r="A2" i="2"/>
  <c r="H10" i="15" s="1"/>
  <c r="I10" i="15"/>
  <c r="I17" i="15" s="1"/>
  <c r="B11" i="1"/>
  <c r="B9" i="1"/>
  <c r="R9" i="15"/>
  <c r="S9" i="15"/>
  <c r="T9" i="15"/>
  <c r="Q9" i="15"/>
  <c r="N9" i="15"/>
  <c r="O9" i="15"/>
  <c r="P9" i="15"/>
  <c r="M9" i="15"/>
  <c r="P5" i="8"/>
  <c r="J5" i="8"/>
  <c r="K5" i="8"/>
  <c r="L5" i="8"/>
  <c r="M5" i="8"/>
  <c r="N5" i="8"/>
  <c r="O5" i="8"/>
  <c r="I5" i="8"/>
  <c r="F4" i="14"/>
  <c r="G4" i="14"/>
  <c r="H4" i="14"/>
  <c r="E4" i="14"/>
  <c r="F4" i="13"/>
  <c r="G4" i="13"/>
  <c r="H4" i="13"/>
  <c r="E4" i="13"/>
  <c r="N10" i="15"/>
  <c r="N17" i="15" s="1"/>
  <c r="C14" i="15"/>
  <c r="A5" i="14" a="1"/>
  <c r="A5" i="14" s="1"/>
  <c r="H5" i="14" s="1"/>
  <c r="A5" i="13" a="1"/>
  <c r="A5" i="13" s="1"/>
  <c r="R13" i="15"/>
  <c r="R14" i="15"/>
  <c r="N14" i="15"/>
  <c r="O14" i="15"/>
  <c r="P14" i="15"/>
  <c r="Q14" i="15"/>
  <c r="S14" i="15"/>
  <c r="T14" i="15"/>
  <c r="M14" i="15"/>
  <c r="T10" i="15"/>
  <c r="T17" i="15" s="1"/>
  <c r="S10" i="15"/>
  <c r="R10" i="15"/>
  <c r="R17" i="15" s="1"/>
  <c r="Q10" i="15"/>
  <c r="Q17" i="15" s="1"/>
  <c r="P10" i="15"/>
  <c r="P17" i="15" s="1"/>
  <c r="O10" i="15"/>
  <c r="O17" i="15" s="1"/>
  <c r="M10" i="15"/>
  <c r="M18" i="15" s="1"/>
  <c r="D14" i="15"/>
  <c r="E14" i="15"/>
  <c r="F14" i="15"/>
  <c r="G14" i="15"/>
  <c r="E10" i="15"/>
  <c r="E18" i="15" s="1"/>
  <c r="C10" i="15"/>
  <c r="C17" i="15" s="1"/>
  <c r="F10" i="15"/>
  <c r="F17" i="15" s="1"/>
  <c r="C18" i="15" l="1"/>
  <c r="I18" i="15"/>
  <c r="O18" i="15"/>
  <c r="Q18" i="15"/>
  <c r="N18" i="15"/>
  <c r="R18" i="15"/>
  <c r="T18" i="15"/>
  <c r="F5" i="14"/>
  <c r="M17" i="15"/>
  <c r="M21" i="15" s="1"/>
  <c r="E17" i="15"/>
  <c r="H17" i="15"/>
  <c r="H18" i="15"/>
  <c r="P18" i="15"/>
  <c r="G5" i="13"/>
  <c r="D5" i="13"/>
  <c r="F5" i="13"/>
  <c r="A6" i="13" a="1"/>
  <c r="A6" i="13" s="1"/>
  <c r="A7" i="13" s="1" a="1"/>
  <c r="A7" i="13" s="1"/>
  <c r="C5" i="13"/>
  <c r="I5" i="13" s="1"/>
  <c r="E5" i="13"/>
  <c r="B5" i="13"/>
  <c r="H5" i="13"/>
  <c r="C5" i="14"/>
  <c r="I5" i="14" s="1"/>
  <c r="D5" i="14"/>
  <c r="B5" i="14"/>
  <c r="G5" i="14"/>
  <c r="E5" i="14"/>
  <c r="A6" i="14" a="1"/>
  <c r="A6" i="14" s="1"/>
  <c r="S17" i="15"/>
  <c r="N21" i="15" s="1"/>
  <c r="S18" i="15"/>
  <c r="F18" i="15"/>
  <c r="G10" i="15"/>
  <c r="D10" i="15"/>
  <c r="N22" i="15" l="1"/>
  <c r="M22" i="15"/>
  <c r="C7" i="13"/>
  <c r="I7" i="13" s="1"/>
  <c r="E7" i="13"/>
  <c r="G7" i="13"/>
  <c r="D7" i="13"/>
  <c r="F7" i="13"/>
  <c r="H7" i="13"/>
  <c r="B7" i="13"/>
  <c r="D17" i="15"/>
  <c r="D18" i="15"/>
  <c r="G18" i="15"/>
  <c r="G17" i="15"/>
  <c r="D6" i="13"/>
  <c r="B6" i="13"/>
  <c r="G6" i="13"/>
  <c r="E6" i="13"/>
  <c r="F6" i="13"/>
  <c r="C6" i="13"/>
  <c r="I6" i="13" s="1"/>
  <c r="H6" i="13"/>
  <c r="A7" i="14" a="1"/>
  <c r="A7" i="14" s="1"/>
  <c r="A8" i="14" s="1" a="1"/>
  <c r="A8" i="14" s="1"/>
  <c r="A8" i="13" a="1"/>
  <c r="A8" i="13" s="1"/>
  <c r="A9" i="13" s="1" a="1"/>
  <c r="A9" i="13" s="1"/>
  <c r="H6" i="14"/>
  <c r="F6" i="14"/>
  <c r="E6" i="14"/>
  <c r="C6" i="14"/>
  <c r="I6" i="14" s="1"/>
  <c r="D6" i="14"/>
  <c r="B6" i="14"/>
  <c r="G6" i="14"/>
  <c r="F8" i="13" l="1"/>
  <c r="C8" i="13"/>
  <c r="I8" i="13" s="1"/>
  <c r="E8" i="13"/>
  <c r="B8" i="13"/>
  <c r="H8" i="13"/>
  <c r="D8" i="13"/>
  <c r="G8" i="13"/>
  <c r="F7" i="14"/>
  <c r="H7" i="14"/>
  <c r="C7" i="14"/>
  <c r="I7" i="14" s="1"/>
  <c r="E7" i="14"/>
  <c r="B7" i="14"/>
  <c r="D7" i="14"/>
  <c r="G7" i="14"/>
  <c r="H8" i="14"/>
  <c r="F8" i="14"/>
  <c r="E8" i="14"/>
  <c r="D8" i="14"/>
  <c r="B8" i="14"/>
  <c r="C8" i="14"/>
  <c r="I8" i="14" s="1"/>
  <c r="G8" i="14"/>
  <c r="A10" i="13" a="1"/>
  <c r="A10" i="13" s="1"/>
  <c r="A11" i="13" s="1" a="1"/>
  <c r="A11" i="13" s="1"/>
  <c r="G9" i="13"/>
  <c r="C9" i="13"/>
  <c r="I9" i="13" s="1"/>
  <c r="F9" i="13"/>
  <c r="B9" i="13"/>
  <c r="E9" i="13"/>
  <c r="D9" i="13"/>
  <c r="H9" i="13"/>
  <c r="C22" i="15"/>
  <c r="C21" i="15"/>
  <c r="A9" i="14" a="1"/>
  <c r="A9" i="14" s="1"/>
  <c r="H11" i="13" l="1"/>
  <c r="B11" i="13"/>
  <c r="C11" i="13"/>
  <c r="I11" i="13" s="1"/>
  <c r="D11" i="13"/>
  <c r="E11" i="13"/>
  <c r="F11" i="13"/>
  <c r="G11" i="13"/>
  <c r="H10" i="13"/>
  <c r="D10" i="13"/>
  <c r="G10" i="13"/>
  <c r="E10" i="13"/>
  <c r="F10" i="13"/>
  <c r="C10" i="13"/>
  <c r="I10" i="13" s="1"/>
  <c r="B10" i="13"/>
  <c r="A12" i="13" a="1"/>
  <c r="A12" i="13" s="1"/>
  <c r="A13" i="13" s="1" a="1"/>
  <c r="A13" i="13" s="1"/>
  <c r="H9" i="14"/>
  <c r="C9" i="14"/>
  <c r="I9" i="14" s="1"/>
  <c r="E9" i="14"/>
  <c r="G9" i="14"/>
  <c r="B9" i="14"/>
  <c r="D9" i="14"/>
  <c r="F9" i="14"/>
  <c r="A10" i="14" a="1"/>
  <c r="A10" i="14" s="1"/>
  <c r="C12" i="13" l="1"/>
  <c r="I12" i="13" s="1"/>
  <c r="D12" i="13"/>
  <c r="B12" i="13"/>
  <c r="G12" i="13"/>
  <c r="E12" i="13"/>
  <c r="H12" i="13"/>
  <c r="F12" i="13"/>
  <c r="A14" i="13" a="1"/>
  <c r="A14" i="13" s="1"/>
  <c r="D13" i="13"/>
  <c r="E13" i="13"/>
  <c r="C13" i="13"/>
  <c r="I13" i="13" s="1"/>
  <c r="G13" i="13"/>
  <c r="B13" i="13"/>
  <c r="F13" i="13"/>
  <c r="H13" i="13"/>
  <c r="H10" i="14"/>
  <c r="E10" i="14"/>
  <c r="B10" i="14"/>
  <c r="C10" i="14"/>
  <c r="I10" i="14" s="1"/>
  <c r="G10" i="14"/>
  <c r="D10" i="14"/>
  <c r="F10" i="14"/>
  <c r="A11" i="14" a="1"/>
  <c r="A11" i="14" s="1"/>
  <c r="A15" i="13" l="1" a="1"/>
  <c r="A15" i="13" s="1"/>
  <c r="A16" i="13" s="1" a="1"/>
  <c r="A16" i="13" s="1"/>
  <c r="G14" i="13"/>
  <c r="F14" i="13"/>
  <c r="H14" i="13"/>
  <c r="C14" i="13"/>
  <c r="I14" i="13" s="1"/>
  <c r="D14" i="13"/>
  <c r="B14" i="13"/>
  <c r="E14" i="13"/>
  <c r="C11" i="14"/>
  <c r="I11" i="14" s="1"/>
  <c r="F11" i="14"/>
  <c r="D11" i="14"/>
  <c r="H11" i="14"/>
  <c r="G11" i="14"/>
  <c r="E11" i="14"/>
  <c r="B11" i="14"/>
  <c r="A12" i="14" a="1"/>
  <c r="A12" i="14" s="1"/>
  <c r="B16" i="13" l="1"/>
  <c r="D16" i="13"/>
  <c r="C16" i="13"/>
  <c r="I16" i="13" s="1"/>
  <c r="E16" i="13"/>
  <c r="F16" i="13"/>
  <c r="G16" i="13"/>
  <c r="H16" i="13"/>
  <c r="A17" i="13" a="1"/>
  <c r="A17" i="13" s="1"/>
  <c r="D17" i="13" s="1"/>
  <c r="H15" i="13"/>
  <c r="B15" i="13"/>
  <c r="G15" i="13"/>
  <c r="F15" i="13"/>
  <c r="D15" i="13"/>
  <c r="E15" i="13"/>
  <c r="C15" i="13"/>
  <c r="I15" i="13" s="1"/>
  <c r="D12" i="14"/>
  <c r="G12" i="14"/>
  <c r="H12" i="14"/>
  <c r="E12" i="14"/>
  <c r="F12" i="14"/>
  <c r="B12" i="14"/>
  <c r="C12" i="14"/>
  <c r="I12" i="14" s="1"/>
  <c r="A13" i="14" a="1"/>
  <c r="A13" i="14" s="1"/>
  <c r="A18" i="13" l="1" a="1"/>
  <c r="A18" i="13" s="1"/>
  <c r="A19" i="13" s="1" a="1"/>
  <c r="A19" i="13" s="1"/>
  <c r="E17" i="13"/>
  <c r="G17" i="13"/>
  <c r="C17" i="13"/>
  <c r="I17" i="13" s="1"/>
  <c r="H17" i="13"/>
  <c r="B17" i="13"/>
  <c r="F17" i="13"/>
  <c r="B13" i="14"/>
  <c r="H13" i="14"/>
  <c r="G13" i="14"/>
  <c r="F13" i="14"/>
  <c r="E13" i="14"/>
  <c r="C13" i="14"/>
  <c r="I13" i="14" s="1"/>
  <c r="D13" i="14"/>
  <c r="A14" i="14" a="1"/>
  <c r="A14" i="14" s="1"/>
  <c r="B19" i="13" l="1"/>
  <c r="G19" i="13"/>
  <c r="H19" i="13"/>
  <c r="D19" i="13"/>
  <c r="C19" i="13"/>
  <c r="I19" i="13" s="1"/>
  <c r="E19" i="13"/>
  <c r="F19" i="13"/>
  <c r="A20" i="13" a="1"/>
  <c r="A20" i="13" s="1"/>
  <c r="D20" i="13" s="1"/>
  <c r="C18" i="13"/>
  <c r="I18" i="13" s="1"/>
  <c r="D18" i="13"/>
  <c r="F18" i="13"/>
  <c r="E18" i="13"/>
  <c r="G18" i="13"/>
  <c r="B18" i="13"/>
  <c r="H18" i="13"/>
  <c r="E14" i="14"/>
  <c r="H14" i="14"/>
  <c r="G14" i="14"/>
  <c r="F14" i="14"/>
  <c r="C14" i="14"/>
  <c r="I14" i="14" s="1"/>
  <c r="B14" i="14"/>
  <c r="D14" i="14"/>
  <c r="A15" i="14" a="1"/>
  <c r="A15" i="14" s="1"/>
  <c r="A21" i="13" l="1" a="1"/>
  <c r="A21" i="13" s="1"/>
  <c r="C21" i="13" s="1"/>
  <c r="I21" i="13" s="1"/>
  <c r="C20" i="13"/>
  <c r="I20" i="13" s="1"/>
  <c r="F20" i="13"/>
  <c r="G20" i="13"/>
  <c r="B20" i="13"/>
  <c r="E20" i="13"/>
  <c r="H20" i="13"/>
  <c r="E15" i="14"/>
  <c r="F15" i="14"/>
  <c r="D15" i="14"/>
  <c r="H15" i="14"/>
  <c r="G15" i="14"/>
  <c r="C15" i="14"/>
  <c r="I15" i="14" s="1"/>
  <c r="B15" i="14"/>
  <c r="A16" i="14" a="1"/>
  <c r="A16" i="14" s="1"/>
  <c r="G21" i="13" l="1"/>
  <c r="A22" i="13" a="1"/>
  <c r="A22" i="13" s="1"/>
  <c r="C22" i="13" s="1"/>
  <c r="I22" i="13" s="1"/>
  <c r="H21" i="13"/>
  <c r="E21" i="13"/>
  <c r="B21" i="13"/>
  <c r="D21" i="13"/>
  <c r="F21" i="13"/>
  <c r="B16" i="14"/>
  <c r="F16" i="14"/>
  <c r="E16" i="14"/>
  <c r="C16" i="14"/>
  <c r="I16" i="14" s="1"/>
  <c r="G16" i="14"/>
  <c r="D16" i="14"/>
  <c r="H16" i="14"/>
  <c r="A17" i="14" a="1"/>
  <c r="A17" i="14" s="1"/>
  <c r="A23" i="13" l="1" a="1"/>
  <c r="A23" i="13" s="1"/>
  <c r="G23" i="13" s="1"/>
  <c r="D22" i="13"/>
  <c r="H22" i="13"/>
  <c r="B22" i="13"/>
  <c r="G22" i="13"/>
  <c r="F22" i="13"/>
  <c r="E22" i="13"/>
  <c r="B17" i="14"/>
  <c r="G17" i="14"/>
  <c r="F17" i="14"/>
  <c r="C17" i="14"/>
  <c r="I17" i="14" s="1"/>
  <c r="E17" i="14"/>
  <c r="H17" i="14"/>
  <c r="D17" i="14"/>
  <c r="A18" i="14" a="1"/>
  <c r="A18" i="14" s="1"/>
  <c r="A24" i="13" l="1" a="1"/>
  <c r="A24" i="13" s="1"/>
  <c r="E24" i="13" s="1"/>
  <c r="C23" i="13"/>
  <c r="I23" i="13" s="1"/>
  <c r="E23" i="13"/>
  <c r="D23" i="13"/>
  <c r="H23" i="13"/>
  <c r="F23" i="13"/>
  <c r="B23" i="13"/>
  <c r="B18" i="14"/>
  <c r="E18" i="14"/>
  <c r="F18" i="14"/>
  <c r="C18" i="14"/>
  <c r="I18" i="14" s="1"/>
  <c r="G18" i="14"/>
  <c r="D18" i="14"/>
  <c r="H18" i="14"/>
  <c r="A19" i="14" a="1"/>
  <c r="A19" i="14" s="1"/>
  <c r="A25" i="13" l="1" a="1"/>
  <c r="A25" i="13" s="1"/>
  <c r="E25" i="13" s="1"/>
  <c r="D24" i="13"/>
  <c r="H24" i="13"/>
  <c r="B24" i="13"/>
  <c r="F24" i="13"/>
  <c r="G24" i="13"/>
  <c r="C24" i="13"/>
  <c r="I24" i="13" s="1"/>
  <c r="E19" i="14"/>
  <c r="G19" i="14"/>
  <c r="B19" i="14"/>
  <c r="D19" i="14"/>
  <c r="C19" i="14"/>
  <c r="I19" i="14" s="1"/>
  <c r="F19" i="14"/>
  <c r="H19" i="14"/>
  <c r="A20" i="14" a="1"/>
  <c r="A20" i="14" s="1"/>
  <c r="A26" i="13" l="1" a="1"/>
  <c r="A26" i="13" s="1"/>
  <c r="C26" i="13" s="1"/>
  <c r="I26" i="13" s="1"/>
  <c r="B25" i="13"/>
  <c r="F25" i="13"/>
  <c r="H25" i="13"/>
  <c r="G25" i="13"/>
  <c r="D25" i="13"/>
  <c r="C25" i="13"/>
  <c r="I25" i="13" s="1"/>
  <c r="B20" i="14"/>
  <c r="F20" i="14"/>
  <c r="H20" i="14"/>
  <c r="D20" i="14"/>
  <c r="C20" i="14"/>
  <c r="I20" i="14" s="1"/>
  <c r="E20" i="14"/>
  <c r="G20" i="14"/>
  <c r="A21" i="14" a="1"/>
  <c r="A21" i="14" s="1"/>
  <c r="A27" i="13" l="1" a="1"/>
  <c r="A27" i="13" s="1"/>
  <c r="D27" i="13" s="1"/>
  <c r="B26" i="13"/>
  <c r="G26" i="13"/>
  <c r="H26" i="13"/>
  <c r="F26" i="13"/>
  <c r="E26" i="13"/>
  <c r="D26" i="13"/>
  <c r="G21" i="14"/>
  <c r="B21" i="14"/>
  <c r="C21" i="14"/>
  <c r="I21" i="14" s="1"/>
  <c r="E21" i="14"/>
  <c r="F21" i="14"/>
  <c r="D21" i="14"/>
  <c r="H21" i="14"/>
  <c r="A22" i="14" a="1"/>
  <c r="A22" i="14" s="1"/>
  <c r="A28" i="13" l="1" a="1"/>
  <c r="A28" i="13" s="1"/>
  <c r="G28" i="13" s="1"/>
  <c r="H27" i="13"/>
  <c r="C27" i="13"/>
  <c r="I27" i="13" s="1"/>
  <c r="G27" i="13"/>
  <c r="B27" i="13"/>
  <c r="E27" i="13"/>
  <c r="F27" i="13"/>
  <c r="F22" i="14"/>
  <c r="H22" i="14"/>
  <c r="G22" i="14"/>
  <c r="E22" i="14"/>
  <c r="D22" i="14"/>
  <c r="C22" i="14"/>
  <c r="I22" i="14" s="1"/>
  <c r="B22" i="14"/>
  <c r="A23" i="14" a="1"/>
  <c r="A23" i="14" s="1"/>
  <c r="D28" i="13" l="1"/>
  <c r="A29" i="13" a="1"/>
  <c r="A29" i="13" s="1"/>
  <c r="B29" i="13" s="1"/>
  <c r="H28" i="13"/>
  <c r="B28" i="13"/>
  <c r="C28" i="13"/>
  <c r="I28" i="13" s="1"/>
  <c r="F28" i="13"/>
  <c r="E28" i="13"/>
  <c r="B23" i="14"/>
  <c r="D23" i="14"/>
  <c r="F23" i="14"/>
  <c r="E23" i="14"/>
  <c r="G23" i="14"/>
  <c r="H23" i="14"/>
  <c r="C23" i="14"/>
  <c r="I23" i="14" s="1"/>
  <c r="A24" i="14" a="1"/>
  <c r="A24" i="14" s="1"/>
  <c r="A30" i="13" l="1" a="1"/>
  <c r="A30" i="13" s="1"/>
  <c r="F30" i="13" s="1"/>
  <c r="E29" i="13"/>
  <c r="G29" i="13"/>
  <c r="F29" i="13"/>
  <c r="C29" i="13"/>
  <c r="I29" i="13" s="1"/>
  <c r="D29" i="13"/>
  <c r="H29" i="13"/>
  <c r="C24" i="14"/>
  <c r="I24" i="14" s="1"/>
  <c r="B24" i="14"/>
  <c r="D24" i="14"/>
  <c r="F24" i="14"/>
  <c r="G24" i="14"/>
  <c r="E24" i="14"/>
  <c r="H24" i="14"/>
  <c r="A25" i="14" a="1"/>
  <c r="A25" i="14" s="1"/>
  <c r="E30" i="13" l="1"/>
  <c r="D30" i="13"/>
  <c r="A31" i="13" a="1"/>
  <c r="A31" i="13" s="1"/>
  <c r="H31" i="13" s="1"/>
  <c r="B30" i="13"/>
  <c r="G30" i="13"/>
  <c r="C30" i="13"/>
  <c r="I30" i="13" s="1"/>
  <c r="H30" i="13"/>
  <c r="D25" i="14"/>
  <c r="C25" i="14"/>
  <c r="I25" i="14" s="1"/>
  <c r="E25" i="14"/>
  <c r="G25" i="14"/>
  <c r="B25" i="14"/>
  <c r="F25" i="14"/>
  <c r="H25" i="14"/>
  <c r="A26" i="14" a="1"/>
  <c r="A26" i="14" s="1"/>
  <c r="A32" i="13" l="1" a="1"/>
  <c r="A32" i="13" s="1"/>
  <c r="E32" i="13" s="1"/>
  <c r="D31" i="13"/>
  <c r="C31" i="13"/>
  <c r="I31" i="13" s="1"/>
  <c r="B31" i="13"/>
  <c r="E31" i="13"/>
  <c r="F31" i="13"/>
  <c r="G31" i="13"/>
  <c r="B26" i="14"/>
  <c r="H26" i="14"/>
  <c r="F26" i="14"/>
  <c r="C26" i="14"/>
  <c r="I26" i="14" s="1"/>
  <c r="E26" i="14"/>
  <c r="G26" i="14"/>
  <c r="D26" i="14"/>
  <c r="A27" i="14" a="1"/>
  <c r="A27" i="14" s="1"/>
  <c r="D32" i="13" l="1"/>
  <c r="G32" i="13"/>
  <c r="F32" i="13"/>
  <c r="B32" i="13"/>
  <c r="H32" i="13"/>
  <c r="A33" i="13" a="1"/>
  <c r="A33" i="13" s="1"/>
  <c r="D33" i="13" s="1"/>
  <c r="C32" i="13"/>
  <c r="I32" i="13" s="1"/>
  <c r="C27" i="14"/>
  <c r="I27" i="14" s="1"/>
  <c r="D27" i="14"/>
  <c r="F27" i="14"/>
  <c r="H27" i="14"/>
  <c r="G27" i="14"/>
  <c r="B27" i="14"/>
  <c r="E27" i="14"/>
  <c r="A28" i="14" a="1"/>
  <c r="A28" i="14" s="1"/>
  <c r="A34" i="13" l="1" a="1"/>
  <c r="A34" i="13" s="1"/>
  <c r="H34" i="13" s="1"/>
  <c r="H33" i="13"/>
  <c r="G33" i="13"/>
  <c r="E33" i="13"/>
  <c r="F33" i="13"/>
  <c r="C33" i="13"/>
  <c r="I33" i="13" s="1"/>
  <c r="B33" i="13"/>
  <c r="G28" i="14"/>
  <c r="E28" i="14"/>
  <c r="B28" i="14"/>
  <c r="H28" i="14"/>
  <c r="F28" i="14"/>
  <c r="C28" i="14"/>
  <c r="I28" i="14" s="1"/>
  <c r="D28" i="14"/>
  <c r="A29" i="14" a="1"/>
  <c r="A29" i="14" s="1"/>
  <c r="F34" i="13" l="1"/>
  <c r="A35" i="13" a="1"/>
  <c r="A35" i="13" s="1"/>
  <c r="C35" i="13" s="1"/>
  <c r="I35" i="13" s="1"/>
  <c r="C34" i="13"/>
  <c r="I34" i="13" s="1"/>
  <c r="B34" i="13"/>
  <c r="D34" i="13"/>
  <c r="G34" i="13"/>
  <c r="E34" i="13"/>
  <c r="F29" i="14"/>
  <c r="G29" i="14"/>
  <c r="B29" i="14"/>
  <c r="D29" i="14"/>
  <c r="E29" i="14"/>
  <c r="H29" i="14"/>
  <c r="C29" i="14"/>
  <c r="I29" i="14" s="1"/>
  <c r="A30" i="14" a="1"/>
  <c r="A30" i="14" s="1"/>
  <c r="D35" i="13" l="1"/>
  <c r="A36" i="13" a="1"/>
  <c r="A36" i="13" s="1"/>
  <c r="H36" i="13" s="1"/>
  <c r="F35" i="13"/>
  <c r="B35" i="13"/>
  <c r="E35" i="13"/>
  <c r="H35" i="13"/>
  <c r="G35" i="13"/>
  <c r="F30" i="14"/>
  <c r="G30" i="14"/>
  <c r="B30" i="14"/>
  <c r="D30" i="14"/>
  <c r="C30" i="14"/>
  <c r="I30" i="14" s="1"/>
  <c r="E30" i="14"/>
  <c r="H30" i="14"/>
  <c r="A31" i="14" a="1"/>
  <c r="A31" i="14" s="1"/>
  <c r="E36" i="13" l="1"/>
  <c r="G36" i="13"/>
  <c r="C36" i="13"/>
  <c r="I36" i="13" s="1"/>
  <c r="A37" i="13" a="1"/>
  <c r="A37" i="13" s="1"/>
  <c r="E37" i="13" s="1"/>
  <c r="B36" i="13"/>
  <c r="D36" i="13"/>
  <c r="F36" i="13"/>
  <c r="C31" i="14"/>
  <c r="I31" i="14" s="1"/>
  <c r="F31" i="14"/>
  <c r="D31" i="14"/>
  <c r="E31" i="14"/>
  <c r="B31" i="14"/>
  <c r="H31" i="14"/>
  <c r="G31" i="14"/>
  <c r="A32" i="14" a="1"/>
  <c r="A32" i="14" s="1"/>
  <c r="H37" i="13" l="1"/>
  <c r="C37" i="13"/>
  <c r="I37" i="13" s="1"/>
  <c r="D37" i="13"/>
  <c r="A38" i="13" a="1"/>
  <c r="A38" i="13" s="1"/>
  <c r="B38" i="13" s="1"/>
  <c r="G37" i="13"/>
  <c r="F37" i="13"/>
  <c r="B37" i="13"/>
  <c r="F32" i="14"/>
  <c r="E32" i="14"/>
  <c r="B32" i="14"/>
  <c r="D32" i="14"/>
  <c r="C32" i="14"/>
  <c r="I32" i="14" s="1"/>
  <c r="G32" i="14"/>
  <c r="H32" i="14"/>
  <c r="A33" i="14" a="1"/>
  <c r="A33" i="14" s="1"/>
  <c r="E38" i="13" l="1"/>
  <c r="A39" i="13" a="1"/>
  <c r="A39" i="13" s="1"/>
  <c r="B39" i="13" s="1"/>
  <c r="H38" i="13"/>
  <c r="C38" i="13"/>
  <c r="I38" i="13" s="1"/>
  <c r="F38" i="13"/>
  <c r="G38" i="13"/>
  <c r="D38" i="13"/>
  <c r="G33" i="14"/>
  <c r="B33" i="14"/>
  <c r="H33" i="14"/>
  <c r="C33" i="14"/>
  <c r="I33" i="14" s="1"/>
  <c r="F33" i="14"/>
  <c r="D33" i="14"/>
  <c r="E33" i="14"/>
  <c r="A34" i="14" a="1"/>
  <c r="A34" i="14" s="1"/>
  <c r="G39" i="13" l="1"/>
  <c r="H39" i="13"/>
  <c r="A40" i="13" a="1"/>
  <c r="A40" i="13" s="1"/>
  <c r="H40" i="13" s="1"/>
  <c r="E39" i="13"/>
  <c r="C39" i="13"/>
  <c r="I39" i="13" s="1"/>
  <c r="D39" i="13"/>
  <c r="F39" i="13"/>
  <c r="B34" i="14"/>
  <c r="C34" i="14"/>
  <c r="I34" i="14" s="1"/>
  <c r="G34" i="14"/>
  <c r="D34" i="14"/>
  <c r="F34" i="14"/>
  <c r="H34" i="14"/>
  <c r="E34" i="14"/>
  <c r="A35" i="14" a="1"/>
  <c r="A35" i="14" s="1"/>
  <c r="A41" i="13" l="1" a="1"/>
  <c r="A41" i="13" s="1"/>
  <c r="H41" i="13" s="1"/>
  <c r="D40" i="13"/>
  <c r="B40" i="13"/>
  <c r="G40" i="13"/>
  <c r="F40" i="13"/>
  <c r="E40" i="13"/>
  <c r="C40" i="13"/>
  <c r="I40" i="13" s="1"/>
  <c r="C35" i="14"/>
  <c r="I35" i="14" s="1"/>
  <c r="H35" i="14"/>
  <c r="G35" i="14"/>
  <c r="D35" i="14"/>
  <c r="E35" i="14"/>
  <c r="B35" i="14"/>
  <c r="F35" i="14"/>
  <c r="A36" i="14" a="1"/>
  <c r="A36" i="14" s="1"/>
  <c r="E41" i="13" l="1"/>
  <c r="G41" i="13"/>
  <c r="A42" i="13" a="1"/>
  <c r="A42" i="13" s="1"/>
  <c r="E42" i="13" s="1"/>
  <c r="D41" i="13"/>
  <c r="C41" i="13"/>
  <c r="I41" i="13" s="1"/>
  <c r="F41" i="13"/>
  <c r="B41" i="13"/>
  <c r="E36" i="14"/>
  <c r="B36" i="14"/>
  <c r="F36" i="14"/>
  <c r="C36" i="14"/>
  <c r="I36" i="14" s="1"/>
  <c r="D36" i="14"/>
  <c r="H36" i="14"/>
  <c r="G36" i="14"/>
  <c r="A37" i="14" a="1"/>
  <c r="A37" i="14" s="1"/>
  <c r="A43" i="13" l="1" a="1"/>
  <c r="A43" i="13" s="1"/>
  <c r="C43" i="13" s="1"/>
  <c r="I43" i="13" s="1"/>
  <c r="C42" i="13"/>
  <c r="I42" i="13" s="1"/>
  <c r="F42" i="13"/>
  <c r="D42" i="13"/>
  <c r="G42" i="13"/>
  <c r="H42" i="13"/>
  <c r="B42" i="13"/>
  <c r="H37" i="14"/>
  <c r="F37" i="14"/>
  <c r="E37" i="14"/>
  <c r="B37" i="14"/>
  <c r="C37" i="14"/>
  <c r="I37" i="14" s="1"/>
  <c r="G37" i="14"/>
  <c r="D37" i="14"/>
  <c r="A38" i="14" a="1"/>
  <c r="A38" i="14" s="1"/>
  <c r="A44" i="13" l="1" a="1"/>
  <c r="A44" i="13" s="1"/>
  <c r="G44" i="13" s="1"/>
  <c r="F43" i="13"/>
  <c r="D43" i="13"/>
  <c r="B43" i="13"/>
  <c r="E43" i="13"/>
  <c r="H43" i="13"/>
  <c r="G43" i="13"/>
  <c r="B38" i="14"/>
  <c r="G38" i="14"/>
  <c r="F38" i="14"/>
  <c r="C38" i="14"/>
  <c r="I38" i="14" s="1"/>
  <c r="D38" i="14"/>
  <c r="H38" i="14"/>
  <c r="E38" i="14"/>
  <c r="A39" i="14" a="1"/>
  <c r="A39" i="14" s="1"/>
  <c r="C44" i="13" l="1"/>
  <c r="I44" i="13" s="1"/>
  <c r="A45" i="13" a="1"/>
  <c r="A45" i="13" s="1"/>
  <c r="H45" i="13" s="1"/>
  <c r="D44" i="13"/>
  <c r="F44" i="13"/>
  <c r="H44" i="13"/>
  <c r="E44" i="13"/>
  <c r="B44" i="13"/>
  <c r="C39" i="14"/>
  <c r="I39" i="14" s="1"/>
  <c r="B39" i="14"/>
  <c r="F39" i="14"/>
  <c r="G39" i="14"/>
  <c r="D39" i="14"/>
  <c r="H39" i="14"/>
  <c r="E39" i="14"/>
  <c r="A40" i="14" a="1"/>
  <c r="A40" i="14" s="1"/>
  <c r="A46" i="13" l="1" a="1"/>
  <c r="A46" i="13" s="1"/>
  <c r="F46" i="13" s="1"/>
  <c r="D45" i="13"/>
  <c r="F45" i="13"/>
  <c r="B45" i="13"/>
  <c r="E45" i="13"/>
  <c r="G45" i="13"/>
  <c r="C45" i="13"/>
  <c r="I45" i="13" s="1"/>
  <c r="G40" i="14"/>
  <c r="C40" i="14"/>
  <c r="I40" i="14" s="1"/>
  <c r="E40" i="14"/>
  <c r="F40" i="14"/>
  <c r="H40" i="14"/>
  <c r="B40" i="14"/>
  <c r="D40" i="14"/>
  <c r="A41" i="14" a="1"/>
  <c r="A41" i="14" s="1"/>
  <c r="B46" i="13" l="1"/>
  <c r="C46" i="13"/>
  <c r="I46" i="13" s="1"/>
  <c r="A47" i="13" a="1"/>
  <c r="A47" i="13" s="1"/>
  <c r="E47" i="13" s="1"/>
  <c r="D46" i="13"/>
  <c r="E46" i="13"/>
  <c r="H46" i="13"/>
  <c r="G46" i="13"/>
  <c r="D41" i="14"/>
  <c r="E41" i="14"/>
  <c r="C41" i="14"/>
  <c r="I41" i="14" s="1"/>
  <c r="F41" i="14"/>
  <c r="H41" i="14"/>
  <c r="G41" i="14"/>
  <c r="B41" i="14"/>
  <c r="A42" i="14" a="1"/>
  <c r="A42" i="14" s="1"/>
  <c r="A48" i="13" l="1" a="1"/>
  <c r="A48" i="13" s="1"/>
  <c r="B48" i="13" s="1"/>
  <c r="H47" i="13"/>
  <c r="B47" i="13"/>
  <c r="D47" i="13"/>
  <c r="C47" i="13"/>
  <c r="I47" i="13" s="1"/>
  <c r="G47" i="13"/>
  <c r="F47" i="13"/>
  <c r="C42" i="14"/>
  <c r="I42" i="14" s="1"/>
  <c r="F42" i="14"/>
  <c r="H42" i="14"/>
  <c r="E42" i="14"/>
  <c r="G42" i="14"/>
  <c r="D42" i="14"/>
  <c r="B42" i="14"/>
  <c r="A43" i="14" a="1"/>
  <c r="A43" i="14" s="1"/>
  <c r="D48" i="13" l="1"/>
  <c r="E48" i="13"/>
  <c r="A49" i="13" a="1"/>
  <c r="A49" i="13" s="1"/>
  <c r="H49" i="13" s="1"/>
  <c r="F48" i="13"/>
  <c r="H48" i="13"/>
  <c r="C48" i="13"/>
  <c r="I48" i="13" s="1"/>
  <c r="G48" i="13"/>
  <c r="B43" i="14"/>
  <c r="D43" i="14"/>
  <c r="C43" i="14"/>
  <c r="I43" i="14" s="1"/>
  <c r="H43" i="14"/>
  <c r="E43" i="14"/>
  <c r="G43" i="14"/>
  <c r="F43" i="14"/>
  <c r="A44" i="14" a="1"/>
  <c r="A44" i="14" s="1"/>
  <c r="A50" i="13" l="1" a="1"/>
  <c r="A50" i="13" s="1"/>
  <c r="C50" i="13" s="1"/>
  <c r="I50" i="13" s="1"/>
  <c r="E49" i="13"/>
  <c r="G49" i="13"/>
  <c r="F49" i="13"/>
  <c r="C49" i="13"/>
  <c r="I49" i="13" s="1"/>
  <c r="D49" i="13"/>
  <c r="B49" i="13"/>
  <c r="B44" i="14"/>
  <c r="H44" i="14"/>
  <c r="G44" i="14"/>
  <c r="F44" i="14"/>
  <c r="D44" i="14"/>
  <c r="C44" i="14"/>
  <c r="I44" i="14" s="1"/>
  <c r="E44" i="14"/>
  <c r="A45" i="14" a="1"/>
  <c r="A45" i="14" s="1"/>
  <c r="A51" i="13" l="1" a="1"/>
  <c r="A51" i="13" s="1"/>
  <c r="F51" i="13" s="1"/>
  <c r="G50" i="13"/>
  <c r="B50" i="13"/>
  <c r="F50" i="13"/>
  <c r="E50" i="13"/>
  <c r="D50" i="13"/>
  <c r="H50" i="13"/>
  <c r="B45" i="14"/>
  <c r="F45" i="14"/>
  <c r="G45" i="14"/>
  <c r="D45" i="14"/>
  <c r="C45" i="14"/>
  <c r="I45" i="14" s="1"/>
  <c r="E45" i="14"/>
  <c r="H45" i="14"/>
  <c r="A46" i="14" a="1"/>
  <c r="A46" i="14" s="1"/>
  <c r="G51" i="13" l="1"/>
  <c r="D51" i="13"/>
  <c r="B51" i="13"/>
  <c r="A52" i="13" a="1"/>
  <c r="A52" i="13" s="1"/>
  <c r="D52" i="13" s="1"/>
  <c r="C51" i="13"/>
  <c r="I51" i="13" s="1"/>
  <c r="E51" i="13"/>
  <c r="H51" i="13"/>
  <c r="C46" i="14"/>
  <c r="I46" i="14" s="1"/>
  <c r="B46" i="14"/>
  <c r="H46" i="14"/>
  <c r="G46" i="14"/>
  <c r="D46" i="14"/>
  <c r="F46" i="14"/>
  <c r="E46" i="14"/>
  <c r="A47" i="14" a="1"/>
  <c r="A47" i="14" s="1"/>
  <c r="F52" i="13" l="1"/>
  <c r="B52" i="13"/>
  <c r="A53" i="13" a="1"/>
  <c r="A53" i="13" s="1"/>
  <c r="B53" i="13" s="1"/>
  <c r="G52" i="13"/>
  <c r="E52" i="13"/>
  <c r="H52" i="13"/>
  <c r="C52" i="13"/>
  <c r="I52" i="13" s="1"/>
  <c r="C47" i="14"/>
  <c r="I47" i="14" s="1"/>
  <c r="H47" i="14"/>
  <c r="F47" i="14"/>
  <c r="D47" i="14"/>
  <c r="E47" i="14"/>
  <c r="B47" i="14"/>
  <c r="G47" i="14"/>
  <c r="A48" i="14" a="1"/>
  <c r="A48" i="14" s="1"/>
  <c r="F53" i="13" l="1"/>
  <c r="A54" i="13" a="1"/>
  <c r="A54" i="13" s="1"/>
  <c r="E54" i="13" s="1"/>
  <c r="C53" i="13"/>
  <c r="I53" i="13" s="1"/>
  <c r="H53" i="13"/>
  <c r="E53" i="13"/>
  <c r="D53" i="13"/>
  <c r="G53" i="13"/>
  <c r="B48" i="14"/>
  <c r="D48" i="14"/>
  <c r="G48" i="14"/>
  <c r="E48" i="14"/>
  <c r="C48" i="14"/>
  <c r="I48" i="14" s="1"/>
  <c r="F48" i="14"/>
  <c r="H48" i="14"/>
  <c r="A49" i="14" a="1"/>
  <c r="A49" i="14" s="1"/>
  <c r="F54" i="13" l="1"/>
  <c r="G54" i="13"/>
  <c r="A55" i="13" a="1"/>
  <c r="A55" i="13" s="1"/>
  <c r="F55" i="13" s="1"/>
  <c r="C54" i="13"/>
  <c r="I54" i="13" s="1"/>
  <c r="D54" i="13"/>
  <c r="B54" i="13"/>
  <c r="H54" i="13"/>
  <c r="B49" i="14"/>
  <c r="C49" i="14"/>
  <c r="I49" i="14" s="1"/>
  <c r="D49" i="14"/>
  <c r="F49" i="14"/>
  <c r="E49" i="14"/>
  <c r="G49" i="14"/>
  <c r="H49" i="14"/>
  <c r="A50" i="14" a="1"/>
  <c r="A50" i="14" s="1"/>
  <c r="E55" i="13" l="1"/>
  <c r="D55" i="13"/>
  <c r="G55" i="13"/>
  <c r="B55" i="13"/>
  <c r="C55" i="13"/>
  <c r="I55" i="13" s="1"/>
  <c r="H55" i="13"/>
  <c r="A56" i="13" a="1"/>
  <c r="A56" i="13" s="1"/>
  <c r="F56" i="13" s="1"/>
  <c r="B50" i="14"/>
  <c r="H50" i="14"/>
  <c r="E50" i="14"/>
  <c r="D50" i="14"/>
  <c r="G50" i="14"/>
  <c r="C50" i="14"/>
  <c r="I50" i="14" s="1"/>
  <c r="F50" i="14"/>
  <c r="A51" i="14" a="1"/>
  <c r="A51" i="14" s="1"/>
  <c r="D56" i="13" l="1"/>
  <c r="B56" i="13"/>
  <c r="C56" i="13"/>
  <c r="I56" i="13" s="1"/>
  <c r="G56" i="13"/>
  <c r="H56" i="13"/>
  <c r="E56" i="13"/>
  <c r="A57" i="13" a="1"/>
  <c r="A57" i="13" s="1"/>
  <c r="H57" i="13" s="1"/>
  <c r="B51" i="14"/>
  <c r="G51" i="14"/>
  <c r="E51" i="14"/>
  <c r="F51" i="14"/>
  <c r="C51" i="14"/>
  <c r="I51" i="14" s="1"/>
  <c r="H51" i="14"/>
  <c r="D51" i="14"/>
  <c r="A52" i="14" a="1"/>
  <c r="A52" i="14" s="1"/>
  <c r="A58" i="13" l="1" a="1"/>
  <c r="A58" i="13" s="1"/>
  <c r="G58" i="13" s="1"/>
  <c r="F57" i="13"/>
  <c r="C57" i="13"/>
  <c r="I57" i="13" s="1"/>
  <c r="E57" i="13"/>
  <c r="D57" i="13"/>
  <c r="G57" i="13"/>
  <c r="B57" i="13"/>
  <c r="F52" i="14"/>
  <c r="C52" i="14"/>
  <c r="I52" i="14" s="1"/>
  <c r="E52" i="14"/>
  <c r="B52" i="14"/>
  <c r="G52" i="14"/>
  <c r="D52" i="14"/>
  <c r="H52" i="14"/>
  <c r="A53" i="14" a="1"/>
  <c r="A53" i="14" s="1"/>
  <c r="E58" i="13" l="1"/>
  <c r="C58" i="13"/>
  <c r="I58" i="13" s="1"/>
  <c r="A59" i="13" a="1"/>
  <c r="A59" i="13" s="1"/>
  <c r="G59" i="13" s="1"/>
  <c r="H58" i="13"/>
  <c r="B58" i="13"/>
  <c r="D58" i="13"/>
  <c r="F58" i="13"/>
  <c r="G53" i="14"/>
  <c r="F53" i="14"/>
  <c r="H53" i="14"/>
  <c r="B53" i="14"/>
  <c r="D53" i="14"/>
  <c r="E53" i="14"/>
  <c r="C53" i="14"/>
  <c r="I53" i="14" s="1"/>
  <c r="A54" i="14" a="1"/>
  <c r="A54" i="14" s="1"/>
  <c r="D59" i="13" l="1"/>
  <c r="H59" i="13"/>
  <c r="C59" i="13"/>
  <c r="I59" i="13" s="1"/>
  <c r="F59" i="13"/>
  <c r="A60" i="13" a="1"/>
  <c r="A60" i="13" s="1"/>
  <c r="H60" i="13" s="1"/>
  <c r="B59" i="13"/>
  <c r="E59" i="13"/>
  <c r="C54" i="14"/>
  <c r="I54" i="14" s="1"/>
  <c r="B54" i="14"/>
  <c r="D54" i="14"/>
  <c r="E54" i="14"/>
  <c r="G54" i="14"/>
  <c r="F54" i="14"/>
  <c r="H54" i="14"/>
  <c r="A55" i="14" a="1"/>
  <c r="A55" i="14" s="1"/>
  <c r="A61" i="13" l="1" a="1"/>
  <c r="A61" i="13" s="1"/>
  <c r="G61" i="13" s="1"/>
  <c r="G60" i="13"/>
  <c r="E60" i="13"/>
  <c r="D60" i="13"/>
  <c r="C60" i="13"/>
  <c r="I60" i="13" s="1"/>
  <c r="F60" i="13"/>
  <c r="B60" i="13"/>
  <c r="E55" i="14"/>
  <c r="H55" i="14"/>
  <c r="C55" i="14"/>
  <c r="I55" i="14" s="1"/>
  <c r="G55" i="14"/>
  <c r="D55" i="14"/>
  <c r="F55" i="14"/>
  <c r="B55" i="14"/>
  <c r="A56" i="14" a="1"/>
  <c r="A56" i="14" s="1"/>
  <c r="B61" i="13" l="1"/>
  <c r="C61" i="13"/>
  <c r="I61" i="13" s="1"/>
  <c r="D61" i="13"/>
  <c r="E61" i="13"/>
  <c r="A62" i="13" a="1"/>
  <c r="A62" i="13" s="1"/>
  <c r="G62" i="13" s="1"/>
  <c r="F61" i="13"/>
  <c r="H61" i="13"/>
  <c r="C56" i="14"/>
  <c r="I56" i="14" s="1"/>
  <c r="G56" i="14"/>
  <c r="F56" i="14"/>
  <c r="E56" i="14"/>
  <c r="H56" i="14"/>
  <c r="B56" i="14"/>
  <c r="D56" i="14"/>
  <c r="A57" i="14" a="1"/>
  <c r="A57" i="14" s="1"/>
  <c r="A63" i="13" l="1" a="1"/>
  <c r="A63" i="13" s="1"/>
  <c r="B63" i="13" s="1"/>
  <c r="C62" i="13"/>
  <c r="I62" i="13" s="1"/>
  <c r="B62" i="13"/>
  <c r="E62" i="13"/>
  <c r="F62" i="13"/>
  <c r="H62" i="13"/>
  <c r="D62" i="13"/>
  <c r="G57" i="14"/>
  <c r="D57" i="14"/>
  <c r="F57" i="14"/>
  <c r="H57" i="14"/>
  <c r="E57" i="14"/>
  <c r="B57" i="14"/>
  <c r="C57" i="14"/>
  <c r="I57" i="14" s="1"/>
  <c r="A58" i="14" a="1"/>
  <c r="A58" i="14" s="1"/>
  <c r="F63" i="13" l="1"/>
  <c r="D63" i="13"/>
  <c r="A64" i="13" a="1"/>
  <c r="A64" i="13" s="1"/>
  <c r="C64" i="13" s="1"/>
  <c r="I64" i="13" s="1"/>
  <c r="H63" i="13"/>
  <c r="C63" i="13"/>
  <c r="I63" i="13" s="1"/>
  <c r="E63" i="13"/>
  <c r="G63" i="13"/>
  <c r="E58" i="14"/>
  <c r="C58" i="14"/>
  <c r="I58" i="14" s="1"/>
  <c r="B58" i="14"/>
  <c r="D58" i="14"/>
  <c r="H58" i="14"/>
  <c r="G58" i="14"/>
  <c r="F58" i="14"/>
  <c r="A59" i="14" a="1"/>
  <c r="A59" i="14" s="1"/>
  <c r="E64" i="13" l="1"/>
  <c r="D64" i="13"/>
  <c r="A65" i="13" a="1"/>
  <c r="A65" i="13" s="1"/>
  <c r="H65" i="13" s="1"/>
  <c r="H64" i="13"/>
  <c r="F64" i="13"/>
  <c r="G64" i="13"/>
  <c r="B64" i="13"/>
  <c r="E59" i="14"/>
  <c r="B59" i="14"/>
  <c r="H59" i="14"/>
  <c r="C59" i="14"/>
  <c r="I59" i="14" s="1"/>
  <c r="D59" i="14"/>
  <c r="F59" i="14"/>
  <c r="G59" i="14"/>
  <c r="A60" i="14" a="1"/>
  <c r="A60" i="14" s="1"/>
  <c r="A66" i="13" l="1" a="1"/>
  <c r="A66" i="13" s="1"/>
  <c r="D66" i="13" s="1"/>
  <c r="D65" i="13"/>
  <c r="B65" i="13"/>
  <c r="C65" i="13"/>
  <c r="I65" i="13" s="1"/>
  <c r="G65" i="13"/>
  <c r="F65" i="13"/>
  <c r="E65" i="13"/>
  <c r="C60" i="14"/>
  <c r="I60" i="14" s="1"/>
  <c r="F60" i="14"/>
  <c r="E60" i="14"/>
  <c r="G60" i="14"/>
  <c r="D60" i="14"/>
  <c r="H60" i="14"/>
  <c r="B60" i="14"/>
  <c r="A61" i="14" a="1"/>
  <c r="A61" i="14" s="1"/>
  <c r="B66" i="13" l="1"/>
  <c r="G66" i="13"/>
  <c r="C66" i="13"/>
  <c r="I66" i="13" s="1"/>
  <c r="A67" i="13" a="1"/>
  <c r="A67" i="13" s="1"/>
  <c r="D67" i="13" s="1"/>
  <c r="H66" i="13"/>
  <c r="F66" i="13"/>
  <c r="E66" i="13"/>
  <c r="G61" i="14"/>
  <c r="B61" i="14"/>
  <c r="D61" i="14"/>
  <c r="F61" i="14"/>
  <c r="C61" i="14"/>
  <c r="I61" i="14" s="1"/>
  <c r="E61" i="14"/>
  <c r="H61" i="14"/>
  <c r="A62" i="14" a="1"/>
  <c r="A62" i="14" s="1"/>
  <c r="A68" i="13" l="1" a="1"/>
  <c r="A68" i="13" s="1"/>
  <c r="F68" i="13" s="1"/>
  <c r="F67" i="13"/>
  <c r="E67" i="13"/>
  <c r="G67" i="13"/>
  <c r="B67" i="13"/>
  <c r="C67" i="13"/>
  <c r="I67" i="13" s="1"/>
  <c r="H67" i="13"/>
  <c r="F62" i="14"/>
  <c r="E62" i="14"/>
  <c r="G62" i="14"/>
  <c r="B62" i="14"/>
  <c r="H62" i="14"/>
  <c r="C62" i="14"/>
  <c r="I62" i="14" s="1"/>
  <c r="D62" i="14"/>
  <c r="A63" i="14" a="1"/>
  <c r="A63" i="14" s="1"/>
  <c r="H68" i="13" l="1"/>
  <c r="B68" i="13"/>
  <c r="A69" i="13" a="1"/>
  <c r="A69" i="13" s="1"/>
  <c r="B69" i="13" s="1"/>
  <c r="E68" i="13"/>
  <c r="C68" i="13"/>
  <c r="I68" i="13" s="1"/>
  <c r="G68" i="13"/>
  <c r="D68" i="13"/>
  <c r="H63" i="14"/>
  <c r="D63" i="14"/>
  <c r="F63" i="14"/>
  <c r="C63" i="14"/>
  <c r="I63" i="14" s="1"/>
  <c r="G63" i="14"/>
  <c r="B63" i="14"/>
  <c r="E63" i="14"/>
  <c r="A64" i="14" a="1"/>
  <c r="A64" i="14" s="1"/>
  <c r="D69" i="13" l="1"/>
  <c r="C69" i="13"/>
  <c r="I69" i="13" s="1"/>
  <c r="E69" i="13"/>
  <c r="F69" i="13"/>
  <c r="H69" i="13"/>
  <c r="A70" i="13" a="1"/>
  <c r="A70" i="13" s="1"/>
  <c r="A71" i="13" s="1" a="1"/>
  <c r="A71" i="13" s="1"/>
  <c r="G69" i="13"/>
  <c r="C64" i="14"/>
  <c r="I64" i="14" s="1"/>
  <c r="E64" i="14"/>
  <c r="G64" i="14"/>
  <c r="B64" i="14"/>
  <c r="F64" i="14"/>
  <c r="H64" i="14"/>
  <c r="D64" i="14"/>
  <c r="A65" i="14" a="1"/>
  <c r="A65" i="14" s="1"/>
  <c r="F70" i="13" l="1"/>
  <c r="B70" i="13"/>
  <c r="E70" i="13"/>
  <c r="C70" i="13"/>
  <c r="I70" i="13" s="1"/>
  <c r="D70" i="13"/>
  <c r="G70" i="13"/>
  <c r="H70" i="13"/>
  <c r="E71" i="13"/>
  <c r="H71" i="13"/>
  <c r="D71" i="13"/>
  <c r="C71" i="13"/>
  <c r="I71" i="13" s="1"/>
  <c r="G71" i="13"/>
  <c r="B71" i="13"/>
  <c r="F71" i="13"/>
  <c r="A72" i="13" a="1"/>
  <c r="A72" i="13" s="1"/>
  <c r="G65" i="14"/>
  <c r="B65" i="14"/>
  <c r="D65" i="14"/>
  <c r="H65" i="14"/>
  <c r="E65" i="14"/>
  <c r="C65" i="14"/>
  <c r="I65" i="14" s="1"/>
  <c r="F65" i="14"/>
  <c r="A66" i="14" a="1"/>
  <c r="A66" i="14" s="1"/>
  <c r="B72" i="13" l="1"/>
  <c r="F72" i="13"/>
  <c r="H72" i="13"/>
  <c r="G72" i="13"/>
  <c r="C72" i="13"/>
  <c r="I72" i="13" s="1"/>
  <c r="E72" i="13"/>
  <c r="D72" i="13"/>
  <c r="A73" i="13" a="1"/>
  <c r="A73" i="13" s="1"/>
  <c r="H66" i="14"/>
  <c r="E66" i="14"/>
  <c r="B66" i="14"/>
  <c r="D66" i="14"/>
  <c r="F66" i="14"/>
  <c r="C66" i="14"/>
  <c r="I66" i="14" s="1"/>
  <c r="G66" i="14"/>
  <c r="A67" i="14" a="1"/>
  <c r="A67" i="14" s="1"/>
  <c r="G73" i="13" l="1"/>
  <c r="C73" i="13"/>
  <c r="I73" i="13" s="1"/>
  <c r="E73" i="13"/>
  <c r="H73" i="13"/>
  <c r="B73" i="13"/>
  <c r="F73" i="13"/>
  <c r="D73" i="13"/>
  <c r="A74" i="13" a="1"/>
  <c r="A74" i="13" s="1"/>
  <c r="H67" i="14"/>
  <c r="D67" i="14"/>
  <c r="F67" i="14"/>
  <c r="C67" i="14"/>
  <c r="I67" i="14" s="1"/>
  <c r="E67" i="14"/>
  <c r="B67" i="14"/>
  <c r="G67" i="14"/>
  <c r="A68" i="14" a="1"/>
  <c r="A68" i="14" s="1"/>
  <c r="D74" i="13" l="1"/>
  <c r="G74" i="13"/>
  <c r="C74" i="13"/>
  <c r="I74" i="13" s="1"/>
  <c r="F74" i="13"/>
  <c r="H74" i="13"/>
  <c r="E74" i="13"/>
  <c r="B74" i="13"/>
  <c r="A75" i="13" a="1"/>
  <c r="A75" i="13" s="1"/>
  <c r="C68" i="14"/>
  <c r="I68" i="14" s="1"/>
  <c r="B68" i="14"/>
  <c r="D68" i="14"/>
  <c r="F68" i="14"/>
  <c r="E68" i="14"/>
  <c r="G68" i="14"/>
  <c r="H68" i="14"/>
  <c r="A69" i="14" a="1"/>
  <c r="A69" i="14" s="1"/>
  <c r="E75" i="13" l="1"/>
  <c r="C75" i="13"/>
  <c r="I75" i="13" s="1"/>
  <c r="H75" i="13"/>
  <c r="D75" i="13"/>
  <c r="G75" i="13"/>
  <c r="B75" i="13"/>
  <c r="F75" i="13"/>
  <c r="A76" i="13" a="1"/>
  <c r="A76" i="13" s="1"/>
  <c r="G69" i="14"/>
  <c r="B69" i="14"/>
  <c r="F69" i="14"/>
  <c r="H69" i="14"/>
  <c r="C69" i="14"/>
  <c r="I69" i="14" s="1"/>
  <c r="D69" i="14"/>
  <c r="E69" i="14"/>
  <c r="A70" i="14" a="1"/>
  <c r="A70" i="14" s="1"/>
  <c r="C76" i="13" l="1"/>
  <c r="I76" i="13" s="1"/>
  <c r="B76" i="13"/>
  <c r="F76" i="13"/>
  <c r="H76" i="13"/>
  <c r="E76" i="13"/>
  <c r="G76" i="13"/>
  <c r="D76" i="13"/>
  <c r="A77" i="13" a="1"/>
  <c r="A77" i="13" s="1"/>
  <c r="F70" i="14"/>
  <c r="E70" i="14"/>
  <c r="B70" i="14"/>
  <c r="D70" i="14"/>
  <c r="H70" i="14"/>
  <c r="G70" i="14"/>
  <c r="C70" i="14"/>
  <c r="I70" i="14" s="1"/>
  <c r="A71" i="14" a="1"/>
  <c r="A71" i="14" s="1"/>
  <c r="G77" i="13" l="1"/>
  <c r="F77" i="13"/>
  <c r="B77" i="13"/>
  <c r="H77" i="13"/>
  <c r="E77" i="13"/>
  <c r="D77" i="13"/>
  <c r="C77" i="13"/>
  <c r="I77" i="13" s="1"/>
  <c r="A78" i="13" a="1"/>
  <c r="A78" i="13" s="1"/>
  <c r="B71" i="14"/>
  <c r="E71" i="14"/>
  <c r="H71" i="14"/>
  <c r="F71" i="14"/>
  <c r="D71" i="14"/>
  <c r="G71" i="14"/>
  <c r="C71" i="14"/>
  <c r="I71" i="14" s="1"/>
  <c r="A72" i="14" a="1"/>
  <c r="A72" i="14" s="1"/>
  <c r="E78" i="13" l="1"/>
  <c r="B78" i="13"/>
  <c r="C78" i="13"/>
  <c r="I78" i="13" s="1"/>
  <c r="G78" i="13"/>
  <c r="H78" i="13"/>
  <c r="F78" i="13"/>
  <c r="D78" i="13"/>
  <c r="A79" i="13" a="1"/>
  <c r="A79" i="13" s="1"/>
  <c r="E72" i="14"/>
  <c r="C72" i="14"/>
  <c r="I72" i="14" s="1"/>
  <c r="F72" i="14"/>
  <c r="G72" i="14"/>
  <c r="H72" i="14"/>
  <c r="D72" i="14"/>
  <c r="B72" i="14"/>
  <c r="A73" i="14" a="1"/>
  <c r="A73" i="14" s="1"/>
  <c r="B79" i="13" l="1"/>
  <c r="E79" i="13"/>
  <c r="D79" i="13"/>
  <c r="F79" i="13"/>
  <c r="G79" i="13"/>
  <c r="C79" i="13"/>
  <c r="I79" i="13" s="1"/>
  <c r="H79" i="13"/>
  <c r="A80" i="13" a="1"/>
  <c r="A80" i="13" s="1"/>
  <c r="G73" i="14"/>
  <c r="B73" i="14"/>
  <c r="H73" i="14"/>
  <c r="E73" i="14"/>
  <c r="F73" i="14"/>
  <c r="D73" i="14"/>
  <c r="C73" i="14"/>
  <c r="I73" i="14" s="1"/>
  <c r="A74" i="14" a="1"/>
  <c r="A74" i="14" s="1"/>
  <c r="C80" i="13" l="1"/>
  <c r="I80" i="13" s="1"/>
  <c r="G80" i="13"/>
  <c r="F80" i="13"/>
  <c r="D80" i="13"/>
  <c r="B80" i="13"/>
  <c r="H80" i="13"/>
  <c r="E80" i="13"/>
  <c r="A81" i="13" a="1"/>
  <c r="A81" i="13" s="1"/>
  <c r="G74" i="14"/>
  <c r="F74" i="14"/>
  <c r="H74" i="14"/>
  <c r="D74" i="14"/>
  <c r="C74" i="14"/>
  <c r="I74" i="14" s="1"/>
  <c r="E74" i="14"/>
  <c r="B74" i="14"/>
  <c r="A75" i="14" a="1"/>
  <c r="A75" i="14" s="1"/>
  <c r="D81" i="13" l="1"/>
  <c r="B81" i="13"/>
  <c r="E81" i="13"/>
  <c r="C81" i="13"/>
  <c r="I81" i="13" s="1"/>
  <c r="H81" i="13"/>
  <c r="G81" i="13"/>
  <c r="F81" i="13"/>
  <c r="A82" i="13" a="1"/>
  <c r="A82" i="13" s="1"/>
  <c r="G75" i="14"/>
  <c r="E75" i="14"/>
  <c r="D75" i="14"/>
  <c r="B75" i="14"/>
  <c r="H75" i="14"/>
  <c r="F75" i="14"/>
  <c r="C75" i="14"/>
  <c r="I75" i="14" s="1"/>
  <c r="A76" i="14" a="1"/>
  <c r="A76" i="14" s="1"/>
  <c r="F82" i="13" l="1"/>
  <c r="E82" i="13"/>
  <c r="H82" i="13"/>
  <c r="C82" i="13"/>
  <c r="I82" i="13" s="1"/>
  <c r="B82" i="13"/>
  <c r="D82" i="13"/>
  <c r="G82" i="13"/>
  <c r="A83" i="13" a="1"/>
  <c r="A83" i="13" s="1"/>
  <c r="E76" i="14"/>
  <c r="B76" i="14"/>
  <c r="D76" i="14"/>
  <c r="F76" i="14"/>
  <c r="C76" i="14"/>
  <c r="I76" i="14" s="1"/>
  <c r="G76" i="14"/>
  <c r="H76" i="14"/>
  <c r="A77" i="14" a="1"/>
  <c r="A77" i="14" s="1"/>
  <c r="G83" i="13" l="1"/>
  <c r="D83" i="13"/>
  <c r="H83" i="13"/>
  <c r="C83" i="13"/>
  <c r="I83" i="13" s="1"/>
  <c r="F83" i="13"/>
  <c r="E83" i="13"/>
  <c r="B83" i="13"/>
  <c r="A84" i="13" a="1"/>
  <c r="A84" i="13" s="1"/>
  <c r="C77" i="14"/>
  <c r="I77" i="14" s="1"/>
  <c r="B77" i="14"/>
  <c r="D77" i="14"/>
  <c r="F77" i="14"/>
  <c r="G77" i="14"/>
  <c r="H77" i="14"/>
  <c r="E77" i="14"/>
  <c r="A78" i="14" a="1"/>
  <c r="A78" i="14" s="1"/>
  <c r="D84" i="13" l="1"/>
  <c r="G84" i="13"/>
  <c r="C84" i="13"/>
  <c r="I84" i="13" s="1"/>
  <c r="E84" i="13"/>
  <c r="H84" i="13"/>
  <c r="F84" i="13"/>
  <c r="B84" i="13"/>
  <c r="A85" i="13" a="1"/>
  <c r="A85" i="13" s="1"/>
  <c r="D78" i="14"/>
  <c r="G78" i="14"/>
  <c r="H78" i="14"/>
  <c r="B78" i="14"/>
  <c r="E78" i="14"/>
  <c r="C78" i="14"/>
  <c r="I78" i="14" s="1"/>
  <c r="F78" i="14"/>
  <c r="A79" i="14" a="1"/>
  <c r="A79" i="14" s="1"/>
  <c r="E85" i="13" l="1"/>
  <c r="F85" i="13"/>
  <c r="C85" i="13"/>
  <c r="I85" i="13" s="1"/>
  <c r="H85" i="13"/>
  <c r="D85" i="13"/>
  <c r="B85" i="13"/>
  <c r="G85" i="13"/>
  <c r="A86" i="13" a="1"/>
  <c r="A86" i="13" s="1"/>
  <c r="F79" i="14"/>
  <c r="H79" i="14"/>
  <c r="B79" i="14"/>
  <c r="C79" i="14"/>
  <c r="I79" i="14" s="1"/>
  <c r="D79" i="14"/>
  <c r="E79" i="14"/>
  <c r="G79" i="14"/>
  <c r="A80" i="14" a="1"/>
  <c r="A80" i="14" s="1"/>
  <c r="B86" i="13" l="1"/>
  <c r="C86" i="13"/>
  <c r="I86" i="13" s="1"/>
  <c r="H86" i="13"/>
  <c r="F86" i="13"/>
  <c r="G86" i="13"/>
  <c r="E86" i="13"/>
  <c r="D86" i="13"/>
  <c r="A87" i="13" a="1"/>
  <c r="A87" i="13" s="1"/>
  <c r="B80" i="14"/>
  <c r="F80" i="14"/>
  <c r="E80" i="14"/>
  <c r="H80" i="14"/>
  <c r="G80" i="14"/>
  <c r="D80" i="14"/>
  <c r="C80" i="14"/>
  <c r="I80" i="14" s="1"/>
  <c r="A81" i="14" a="1"/>
  <c r="A81" i="14" s="1"/>
  <c r="G87" i="13" l="1"/>
  <c r="F87" i="13"/>
  <c r="E87" i="13"/>
  <c r="D87" i="13"/>
  <c r="H87" i="13"/>
  <c r="C87" i="13"/>
  <c r="I87" i="13" s="1"/>
  <c r="B87" i="13"/>
  <c r="A88" i="13" a="1"/>
  <c r="A88" i="13" s="1"/>
  <c r="E81" i="14"/>
  <c r="G81" i="14"/>
  <c r="D81" i="14"/>
  <c r="F81" i="14"/>
  <c r="C81" i="14"/>
  <c r="I81" i="14" s="1"/>
  <c r="B81" i="14"/>
  <c r="H81" i="14"/>
  <c r="A82" i="14" a="1"/>
  <c r="A82" i="14" s="1"/>
  <c r="D82" i="14" l="1"/>
  <c r="B82" i="14"/>
  <c r="H82" i="14"/>
  <c r="C82" i="14"/>
  <c r="I82" i="14" s="1"/>
  <c r="G82" i="14"/>
  <c r="E82" i="14"/>
  <c r="F82" i="14"/>
  <c r="A83" i="14" a="1"/>
  <c r="A83" i="14" s="1"/>
  <c r="F88" i="13"/>
  <c r="D88" i="13"/>
  <c r="E88" i="13"/>
  <c r="H88" i="13"/>
  <c r="B88" i="13"/>
  <c r="G88" i="13"/>
  <c r="C88" i="13"/>
  <c r="I88" i="13" s="1"/>
  <c r="A89" i="13" a="1"/>
  <c r="A89" i="13" s="1"/>
  <c r="F83" i="14" l="1"/>
  <c r="C83" i="14"/>
  <c r="I83" i="14" s="1"/>
  <c r="B83" i="14"/>
  <c r="D83" i="14"/>
  <c r="H83" i="14"/>
  <c r="G83" i="14"/>
  <c r="E83" i="14"/>
  <c r="A84" i="14" a="1"/>
  <c r="A84" i="14" s="1"/>
  <c r="C89" i="13"/>
  <c r="I89" i="13" s="1"/>
  <c r="B89" i="13"/>
  <c r="G89" i="13"/>
  <c r="F89" i="13"/>
  <c r="E89" i="13"/>
  <c r="D89" i="13"/>
  <c r="H89" i="13"/>
  <c r="A90" i="13" a="1"/>
  <c r="A90" i="13" s="1"/>
  <c r="B84" i="14" l="1"/>
  <c r="E84" i="14"/>
  <c r="C84" i="14"/>
  <c r="I84" i="14" s="1"/>
  <c r="D84" i="14"/>
  <c r="H84" i="14"/>
  <c r="F84" i="14"/>
  <c r="G84" i="14"/>
  <c r="A85" i="14" a="1"/>
  <c r="A85" i="14" s="1"/>
  <c r="H90" i="13"/>
  <c r="B90" i="13"/>
  <c r="C90" i="13"/>
  <c r="I90" i="13" s="1"/>
  <c r="D90" i="13"/>
  <c r="E90" i="13"/>
  <c r="F90" i="13"/>
  <c r="G90" i="13"/>
  <c r="A91" i="13" a="1"/>
  <c r="A91" i="13" s="1"/>
  <c r="B85" i="14" l="1"/>
  <c r="E85" i="14"/>
  <c r="D85" i="14"/>
  <c r="F85" i="14"/>
  <c r="H85" i="14"/>
  <c r="G85" i="14"/>
  <c r="C85" i="14"/>
  <c r="I85" i="14" s="1"/>
  <c r="A86" i="14" a="1"/>
  <c r="A86" i="14" s="1"/>
  <c r="G91" i="13"/>
  <c r="B91" i="13"/>
  <c r="E91" i="13"/>
  <c r="C91" i="13"/>
  <c r="I91" i="13" s="1"/>
  <c r="H91" i="13"/>
  <c r="F91" i="13"/>
  <c r="D91" i="13"/>
  <c r="A92" i="13" a="1"/>
  <c r="A92" i="13" s="1"/>
  <c r="C86" i="14" l="1"/>
  <c r="I86" i="14" s="1"/>
  <c r="E86" i="14"/>
  <c r="D86" i="14"/>
  <c r="F86" i="14"/>
  <c r="H86" i="14"/>
  <c r="G86" i="14"/>
  <c r="B86" i="14"/>
  <c r="A87" i="14" a="1"/>
  <c r="A87" i="14" s="1"/>
  <c r="D92" i="13"/>
  <c r="F92" i="13"/>
  <c r="H92" i="13"/>
  <c r="G92" i="13"/>
  <c r="E92" i="13"/>
  <c r="B92" i="13"/>
  <c r="C92" i="13"/>
  <c r="I92" i="13" s="1"/>
  <c r="A93" i="13" a="1"/>
  <c r="A93" i="13" s="1"/>
  <c r="F87" i="14" l="1"/>
  <c r="E87" i="14"/>
  <c r="G87" i="14"/>
  <c r="B87" i="14"/>
  <c r="H87" i="14"/>
  <c r="D87" i="14"/>
  <c r="C87" i="14"/>
  <c r="I87" i="14" s="1"/>
  <c r="A88" i="14" a="1"/>
  <c r="A88" i="14" s="1"/>
  <c r="G93" i="13"/>
  <c r="F93" i="13"/>
  <c r="B93" i="13"/>
  <c r="E93" i="13"/>
  <c r="H93" i="13"/>
  <c r="C93" i="13"/>
  <c r="I93" i="13" s="1"/>
  <c r="D93" i="13"/>
  <c r="A94" i="13" a="1"/>
  <c r="A94" i="13" s="1"/>
  <c r="E88" i="14" l="1"/>
  <c r="F88" i="14"/>
  <c r="G88" i="14"/>
  <c r="B88" i="14"/>
  <c r="C88" i="14"/>
  <c r="I88" i="14" s="1"/>
  <c r="D88" i="14"/>
  <c r="H88" i="14"/>
  <c r="A89" i="14" a="1"/>
  <c r="A89" i="14" s="1"/>
  <c r="H94" i="13"/>
  <c r="C94" i="13"/>
  <c r="I94" i="13" s="1"/>
  <c r="F94" i="13"/>
  <c r="E94" i="13"/>
  <c r="G94" i="13"/>
  <c r="D94" i="13"/>
  <c r="B94" i="13"/>
  <c r="A95" i="13" a="1"/>
  <c r="A95" i="13" s="1"/>
  <c r="B89" i="14" l="1"/>
  <c r="F89" i="14"/>
  <c r="C89" i="14"/>
  <c r="I89" i="14" s="1"/>
  <c r="G89" i="14"/>
  <c r="H89" i="14"/>
  <c r="E89" i="14"/>
  <c r="D89" i="14"/>
  <c r="A90" i="14" a="1"/>
  <c r="A90" i="14" s="1"/>
  <c r="D95" i="13"/>
  <c r="F95" i="13"/>
  <c r="B95" i="13"/>
  <c r="H95" i="13"/>
  <c r="C95" i="13"/>
  <c r="I95" i="13" s="1"/>
  <c r="G95" i="13"/>
  <c r="E95" i="13"/>
  <c r="A96" i="13" a="1"/>
  <c r="A96" i="13" s="1"/>
  <c r="D90" i="14" l="1"/>
  <c r="E90" i="14"/>
  <c r="F90" i="14"/>
  <c r="H90" i="14"/>
  <c r="G90" i="14"/>
  <c r="B90" i="14"/>
  <c r="C90" i="14"/>
  <c r="I90" i="14" s="1"/>
  <c r="A91" i="14" a="1"/>
  <c r="A91" i="14" s="1"/>
  <c r="D96" i="13"/>
  <c r="H96" i="13"/>
  <c r="G96" i="13"/>
  <c r="E96" i="13"/>
  <c r="F96" i="13"/>
  <c r="C96" i="13"/>
  <c r="I96" i="13" s="1"/>
  <c r="B96" i="13"/>
  <c r="A97" i="13" a="1"/>
  <c r="A97" i="13" s="1"/>
  <c r="F91" i="14" l="1"/>
  <c r="D91" i="14"/>
  <c r="C91" i="14"/>
  <c r="I91" i="14" s="1"/>
  <c r="G91" i="14"/>
  <c r="H91" i="14"/>
  <c r="E91" i="14"/>
  <c r="B91" i="14"/>
  <c r="A92" i="14" a="1"/>
  <c r="A92" i="14" s="1"/>
  <c r="G97" i="13"/>
  <c r="C97" i="13"/>
  <c r="I97" i="13" s="1"/>
  <c r="D97" i="13"/>
  <c r="E97" i="13"/>
  <c r="B97" i="13"/>
  <c r="H97" i="13"/>
  <c r="F97" i="13"/>
  <c r="A98" i="13" a="1"/>
  <c r="A98" i="13" s="1"/>
  <c r="E92" i="14" l="1"/>
  <c r="F92" i="14"/>
  <c r="C92" i="14"/>
  <c r="I92" i="14" s="1"/>
  <c r="B92" i="14"/>
  <c r="D92" i="14"/>
  <c r="H92" i="14"/>
  <c r="G92" i="14"/>
  <c r="A93" i="14" a="1"/>
  <c r="A93" i="14" s="1"/>
  <c r="H98" i="13"/>
  <c r="B98" i="13"/>
  <c r="D98" i="13"/>
  <c r="G98" i="13"/>
  <c r="F98" i="13"/>
  <c r="E98" i="13"/>
  <c r="C98" i="13"/>
  <c r="I98" i="13" s="1"/>
  <c r="A99" i="13" a="1"/>
  <c r="A99" i="13" s="1"/>
  <c r="B93" i="14" l="1"/>
  <c r="H93" i="14"/>
  <c r="D93" i="14"/>
  <c r="F93" i="14"/>
  <c r="C93" i="14"/>
  <c r="I93" i="14" s="1"/>
  <c r="E93" i="14"/>
  <c r="G93" i="14"/>
  <c r="A94" i="14" a="1"/>
  <c r="A94" i="14" s="1"/>
  <c r="E99" i="13"/>
  <c r="G99" i="13"/>
  <c r="B99" i="13"/>
  <c r="H99" i="13"/>
  <c r="F99" i="13"/>
  <c r="D99" i="13"/>
  <c r="C99" i="13"/>
  <c r="I99" i="13" s="1"/>
  <c r="A100" i="13" a="1"/>
  <c r="A100" i="13" s="1"/>
  <c r="H94" i="14" l="1"/>
  <c r="G94" i="14"/>
  <c r="C94" i="14"/>
  <c r="I94" i="14" s="1"/>
  <c r="E94" i="14"/>
  <c r="B94" i="14"/>
  <c r="D94" i="14"/>
  <c r="F94" i="14"/>
  <c r="A95" i="14" a="1"/>
  <c r="A95" i="14" s="1"/>
  <c r="D100" i="13"/>
  <c r="F100" i="13"/>
  <c r="H100" i="13"/>
  <c r="C100" i="13"/>
  <c r="B100" i="13"/>
  <c r="E100" i="13"/>
  <c r="G100" i="13"/>
  <c r="A101" i="13" a="1"/>
  <c r="A101" i="13" s="1"/>
  <c r="H95" i="14" l="1"/>
  <c r="C95" i="14"/>
  <c r="I95" i="14" s="1"/>
  <c r="B95" i="14"/>
  <c r="G95" i="14"/>
  <c r="F95" i="14"/>
  <c r="E95" i="14"/>
  <c r="D95" i="14"/>
  <c r="A96" i="14" a="1"/>
  <c r="A96" i="14" s="1"/>
  <c r="E101" i="13"/>
  <c r="D101" i="13"/>
  <c r="G101" i="13"/>
  <c r="H101" i="13"/>
  <c r="C101" i="13"/>
  <c r="B101" i="13"/>
  <c r="F101" i="13"/>
  <c r="A102" i="13" a="1"/>
  <c r="A102" i="13" s="1"/>
  <c r="F96" i="14" l="1"/>
  <c r="G96" i="14"/>
  <c r="H96" i="14"/>
  <c r="E96" i="14"/>
  <c r="B96" i="14"/>
  <c r="D96" i="14"/>
  <c r="C96" i="14"/>
  <c r="I96" i="14" s="1"/>
  <c r="A97" i="14" a="1"/>
  <c r="A97" i="14" s="1"/>
  <c r="C102" i="13"/>
  <c r="E102" i="13"/>
  <c r="D102" i="13"/>
  <c r="H102" i="13"/>
  <c r="G102" i="13"/>
  <c r="F102" i="13"/>
  <c r="B102" i="13"/>
  <c r="A103" i="13" a="1"/>
  <c r="A103" i="13" s="1"/>
  <c r="B97" i="14" l="1"/>
  <c r="H97" i="14"/>
  <c r="F97" i="14"/>
  <c r="D97" i="14"/>
  <c r="C97" i="14"/>
  <c r="I97" i="14" s="1"/>
  <c r="G97" i="14"/>
  <c r="E97" i="14"/>
  <c r="A98" i="14" a="1"/>
  <c r="A98" i="14" s="1"/>
  <c r="H103" i="13"/>
  <c r="D103" i="13"/>
  <c r="C103" i="13"/>
  <c r="B103" i="13"/>
  <c r="E103" i="13"/>
  <c r="F103" i="13"/>
  <c r="G103" i="13"/>
  <c r="A104" i="13" a="1"/>
  <c r="A104" i="13" s="1"/>
  <c r="D98" i="14" l="1"/>
  <c r="B98" i="14"/>
  <c r="E98" i="14"/>
  <c r="G98" i="14"/>
  <c r="F98" i="14"/>
  <c r="H98" i="14"/>
  <c r="C98" i="14"/>
  <c r="I98" i="14" s="1"/>
  <c r="A99" i="14" a="1"/>
  <c r="A99" i="14" s="1"/>
  <c r="D104" i="13"/>
  <c r="G104" i="13"/>
  <c r="E104" i="13"/>
  <c r="C104" i="13"/>
  <c r="B104" i="13"/>
  <c r="H104" i="13"/>
  <c r="F104" i="13"/>
  <c r="A105" i="13" a="1"/>
  <c r="A105" i="13" s="1"/>
  <c r="F99" i="14" l="1"/>
  <c r="C99" i="14"/>
  <c r="I99" i="14" s="1"/>
  <c r="D99" i="14"/>
  <c r="B99" i="14"/>
  <c r="H99" i="14"/>
  <c r="E99" i="14"/>
  <c r="G99" i="14"/>
  <c r="A100" i="14" a="1"/>
  <c r="A100" i="14" s="1"/>
  <c r="G105" i="13"/>
  <c r="E105" i="13"/>
  <c r="D105" i="13"/>
  <c r="B105" i="13"/>
  <c r="C105" i="13"/>
  <c r="F105" i="13"/>
  <c r="H105" i="13"/>
  <c r="A106" i="13" a="1"/>
  <c r="A106" i="13" s="1"/>
  <c r="C106" i="13" l="1"/>
  <c r="I106" i="13" s="1"/>
  <c r="D106" i="13"/>
  <c r="G106" i="13"/>
  <c r="F106" i="13"/>
  <c r="E106" i="13"/>
  <c r="B106" i="13"/>
  <c r="H106" i="13"/>
  <c r="A107" i="13" a="1"/>
  <c r="A107" i="13" s="1"/>
  <c r="E100" i="14"/>
  <c r="F100" i="14"/>
  <c r="B100" i="14"/>
  <c r="D100" i="14"/>
  <c r="H100" i="14"/>
  <c r="C100" i="14"/>
  <c r="I100" i="14" s="1"/>
  <c r="G100" i="14"/>
  <c r="A101" i="14" a="1"/>
  <c r="A101" i="14" s="1"/>
  <c r="E107" i="13" l="1"/>
  <c r="F107" i="13"/>
  <c r="C107" i="13"/>
  <c r="I107" i="13" s="1"/>
  <c r="D107" i="13"/>
  <c r="B107" i="13"/>
  <c r="G107" i="13"/>
  <c r="H107" i="13"/>
  <c r="A108" i="13" a="1"/>
  <c r="A108" i="13" s="1"/>
  <c r="B101" i="14"/>
  <c r="E101" i="14"/>
  <c r="H101" i="14"/>
  <c r="D101" i="14"/>
  <c r="F101" i="14"/>
  <c r="C101" i="14"/>
  <c r="I101" i="14" s="1"/>
  <c r="G101" i="14"/>
  <c r="A102" i="14" a="1"/>
  <c r="A102" i="14" s="1"/>
  <c r="D108" i="13" l="1"/>
  <c r="E108" i="13"/>
  <c r="C108" i="13"/>
  <c r="I108" i="13" s="1"/>
  <c r="F108" i="13"/>
  <c r="G108" i="13"/>
  <c r="B108" i="13"/>
  <c r="H108" i="13"/>
  <c r="A109" i="13" a="1"/>
  <c r="A109" i="13" s="1"/>
  <c r="D102" i="14"/>
  <c r="G102" i="14"/>
  <c r="B102" i="14"/>
  <c r="F102" i="14"/>
  <c r="H102" i="14"/>
  <c r="C102" i="14"/>
  <c r="I102" i="14" s="1"/>
  <c r="E102" i="14"/>
  <c r="A103" i="14" a="1"/>
  <c r="A103" i="14" s="1"/>
  <c r="E109" i="13" l="1"/>
  <c r="F109" i="13"/>
  <c r="B109" i="13"/>
  <c r="D109" i="13"/>
  <c r="C109" i="13"/>
  <c r="I109" i="13" s="1"/>
  <c r="G109" i="13"/>
  <c r="H109" i="13"/>
  <c r="A110" i="13" a="1"/>
  <c r="A110" i="13" s="1"/>
  <c r="F103" i="14"/>
  <c r="H103" i="14"/>
  <c r="G103" i="14"/>
  <c r="B103" i="14"/>
  <c r="D103" i="14"/>
  <c r="C103" i="14"/>
  <c r="I103" i="14" s="1"/>
  <c r="E103" i="14"/>
  <c r="A104" i="14" a="1"/>
  <c r="A104" i="14" s="1"/>
  <c r="C110" i="13" l="1"/>
  <c r="I110" i="13" s="1"/>
  <c r="F110" i="13"/>
  <c r="E110" i="13"/>
  <c r="D110" i="13"/>
  <c r="H110" i="13"/>
  <c r="G110" i="13"/>
  <c r="B110" i="13"/>
  <c r="A111" i="13" a="1"/>
  <c r="A111" i="13" s="1"/>
  <c r="F104" i="14"/>
  <c r="G104" i="14"/>
  <c r="D104" i="14"/>
  <c r="B104" i="14"/>
  <c r="C104" i="14"/>
  <c r="I104" i="14" s="1"/>
  <c r="E104" i="14"/>
  <c r="H104" i="14"/>
  <c r="A105" i="14" a="1"/>
  <c r="A105" i="14" s="1"/>
  <c r="E111" i="13" l="1"/>
  <c r="C111" i="13"/>
  <c r="I111" i="13" s="1"/>
  <c r="D111" i="13"/>
  <c r="H111" i="13"/>
  <c r="B111" i="13"/>
  <c r="F111" i="13"/>
  <c r="G111" i="13"/>
  <c r="A112" i="13" a="1"/>
  <c r="A112" i="13" s="1"/>
  <c r="B105" i="14"/>
  <c r="H105" i="14"/>
  <c r="F105" i="14"/>
  <c r="G105" i="14"/>
  <c r="C105" i="14"/>
  <c r="I105" i="14" s="1"/>
  <c r="D105" i="14"/>
  <c r="E105" i="14"/>
  <c r="A106" i="14" a="1"/>
  <c r="A106" i="14" s="1"/>
  <c r="D112" i="13" l="1"/>
  <c r="C112" i="13"/>
  <c r="I112" i="13" s="1"/>
  <c r="B112" i="13"/>
  <c r="F112" i="13"/>
  <c r="H112" i="13"/>
  <c r="G112" i="13"/>
  <c r="E112" i="13"/>
  <c r="A113" i="13" a="1"/>
  <c r="A113" i="13" s="1"/>
  <c r="B106" i="14"/>
  <c r="D106" i="14"/>
  <c r="E106" i="14"/>
  <c r="H106" i="14"/>
  <c r="G106" i="14"/>
  <c r="F106" i="14"/>
  <c r="C106" i="14"/>
  <c r="I106" i="14" s="1"/>
  <c r="A107" i="14" a="1"/>
  <c r="A107" i="14" s="1"/>
  <c r="D113" i="13" l="1"/>
  <c r="H113" i="13"/>
  <c r="E113" i="13"/>
  <c r="F113" i="13"/>
  <c r="G113" i="13"/>
  <c r="B113" i="13"/>
  <c r="C113" i="13"/>
  <c r="I113" i="13" s="1"/>
  <c r="A114" i="13" a="1"/>
  <c r="A114" i="13" s="1"/>
  <c r="F107" i="14"/>
  <c r="C107" i="14"/>
  <c r="I107" i="14" s="1"/>
  <c r="D107" i="14"/>
  <c r="E107" i="14"/>
  <c r="B107" i="14"/>
  <c r="H107" i="14"/>
  <c r="G107" i="14"/>
  <c r="A108" i="14" a="1"/>
  <c r="A108" i="14" s="1"/>
  <c r="D114" i="13" l="1"/>
  <c r="G114" i="13"/>
  <c r="B114" i="13"/>
  <c r="E114" i="13"/>
  <c r="C114" i="13"/>
  <c r="I114" i="13" s="1"/>
  <c r="F114" i="13"/>
  <c r="H114" i="13"/>
  <c r="A115" i="13" a="1"/>
  <c r="A115" i="13" s="1"/>
  <c r="E108" i="14"/>
  <c r="H108" i="14"/>
  <c r="G108" i="14"/>
  <c r="B108" i="14"/>
  <c r="C108" i="14"/>
  <c r="I108" i="14" s="1"/>
  <c r="D108" i="14"/>
  <c r="F108" i="14"/>
  <c r="A109" i="14" a="1"/>
  <c r="A109" i="14" s="1"/>
  <c r="C115" i="13" l="1"/>
  <c r="I115" i="13" s="1"/>
  <c r="D115" i="13"/>
  <c r="F115" i="13"/>
  <c r="B115" i="13"/>
  <c r="H115" i="13"/>
  <c r="E115" i="13"/>
  <c r="G115" i="13"/>
  <c r="A116" i="13" a="1"/>
  <c r="A116" i="13" s="1"/>
  <c r="G109" i="14"/>
  <c r="B109" i="14"/>
  <c r="H109" i="14"/>
  <c r="C109" i="14"/>
  <c r="I109" i="14" s="1"/>
  <c r="E109" i="14"/>
  <c r="D109" i="14"/>
  <c r="F109" i="14"/>
  <c r="A110" i="14" a="1"/>
  <c r="A110" i="14" s="1"/>
  <c r="F116" i="13" l="1"/>
  <c r="D116" i="13"/>
  <c r="H116" i="13"/>
  <c r="E116" i="13"/>
  <c r="C116" i="13"/>
  <c r="I116" i="13" s="1"/>
  <c r="G116" i="13"/>
  <c r="B116" i="13"/>
  <c r="A117" i="13" a="1"/>
  <c r="A117" i="13" s="1"/>
  <c r="B110" i="14"/>
  <c r="E110" i="14"/>
  <c r="H110" i="14"/>
  <c r="C110" i="14"/>
  <c r="I110" i="14" s="1"/>
  <c r="G110" i="14"/>
  <c r="D110" i="14"/>
  <c r="F110" i="14"/>
  <c r="A111" i="14" a="1"/>
  <c r="A111" i="14" s="1"/>
  <c r="E117" i="13" l="1"/>
  <c r="F117" i="13"/>
  <c r="H117" i="13"/>
  <c r="G117" i="13"/>
  <c r="B117" i="13"/>
  <c r="D117" i="13"/>
  <c r="C117" i="13"/>
  <c r="I117" i="13" s="1"/>
  <c r="A118" i="13" a="1"/>
  <c r="A118" i="13" s="1"/>
  <c r="D111" i="14"/>
  <c r="C111" i="14"/>
  <c r="I111" i="14" s="1"/>
  <c r="B111" i="14"/>
  <c r="G111" i="14"/>
  <c r="H111" i="14"/>
  <c r="E111" i="14"/>
  <c r="F111" i="14"/>
  <c r="A112" i="14" a="1"/>
  <c r="A112" i="14" s="1"/>
  <c r="E118" i="13" l="1"/>
  <c r="F118" i="13"/>
  <c r="D118" i="13"/>
  <c r="C118" i="13"/>
  <c r="I118" i="13" s="1"/>
  <c r="G118" i="13"/>
  <c r="B118" i="13"/>
  <c r="H118" i="13"/>
  <c r="A119" i="13" a="1"/>
  <c r="A119" i="13" s="1"/>
  <c r="E112" i="14"/>
  <c r="G112" i="14"/>
  <c r="F112" i="14"/>
  <c r="C112" i="14"/>
  <c r="I112" i="14" s="1"/>
  <c r="B112" i="14"/>
  <c r="H112" i="14"/>
  <c r="D112" i="14"/>
  <c r="A113" i="14" a="1"/>
  <c r="A113" i="14" s="1"/>
  <c r="B113" i="14" l="1"/>
  <c r="H113" i="14"/>
  <c r="C113" i="14"/>
  <c r="I113" i="14" s="1"/>
  <c r="F113" i="14"/>
  <c r="G113" i="14"/>
  <c r="E113" i="14"/>
  <c r="D113" i="14"/>
  <c r="A114" i="14" a="1"/>
  <c r="A114" i="14" s="1"/>
  <c r="H119" i="13"/>
  <c r="D119" i="13"/>
  <c r="C119" i="13"/>
  <c r="I119" i="13" s="1"/>
  <c r="B119" i="13"/>
  <c r="F119" i="13"/>
  <c r="G119" i="13"/>
  <c r="E119" i="13"/>
  <c r="A120" i="13" a="1"/>
  <c r="A120" i="13" s="1"/>
  <c r="C114" i="14" l="1"/>
  <c r="I114" i="14" s="1"/>
  <c r="B114" i="14"/>
  <c r="H114" i="14"/>
  <c r="F114" i="14"/>
  <c r="G114" i="14"/>
  <c r="E114" i="14"/>
  <c r="D114" i="14"/>
  <c r="A115" i="14" a="1"/>
  <c r="A115" i="14" s="1"/>
  <c r="G120" i="13"/>
  <c r="F120" i="13"/>
  <c r="E120" i="13"/>
  <c r="B120" i="13"/>
  <c r="D120" i="13"/>
  <c r="H120" i="13"/>
  <c r="C120" i="13"/>
  <c r="I120" i="13" s="1"/>
  <c r="A121" i="13" a="1"/>
  <c r="A121" i="13" s="1"/>
  <c r="G115" i="14" l="1"/>
  <c r="C115" i="14"/>
  <c r="I115" i="14" s="1"/>
  <c r="E115" i="14"/>
  <c r="B115" i="14"/>
  <c r="H115" i="14"/>
  <c r="D115" i="14"/>
  <c r="F115" i="14"/>
  <c r="A116" i="14" a="1"/>
  <c r="A116" i="14" s="1"/>
  <c r="D121" i="13"/>
  <c r="F121" i="13"/>
  <c r="E121" i="13"/>
  <c r="H121" i="13"/>
  <c r="C121" i="13"/>
  <c r="I121" i="13" s="1"/>
  <c r="G121" i="13"/>
  <c r="B121" i="13"/>
  <c r="A122" i="13" a="1"/>
  <c r="A122" i="13" s="1"/>
  <c r="E122" i="13" l="1"/>
  <c r="D122" i="13"/>
  <c r="C122" i="13"/>
  <c r="I122" i="13" s="1"/>
  <c r="G122" i="13"/>
  <c r="B122" i="13"/>
  <c r="F122" i="13"/>
  <c r="H122" i="13"/>
  <c r="A123" i="13" a="1"/>
  <c r="A123" i="13" s="1"/>
  <c r="F116" i="14"/>
  <c r="B116" i="14"/>
  <c r="D116" i="14"/>
  <c r="H116" i="14"/>
  <c r="C116" i="14"/>
  <c r="E116" i="14"/>
  <c r="G116" i="14"/>
  <c r="A117" i="14" a="1"/>
  <c r="A117" i="14" s="1"/>
  <c r="E123" i="13" l="1"/>
  <c r="G123" i="13"/>
  <c r="B123" i="13"/>
  <c r="C123" i="13"/>
  <c r="I123" i="13" s="1"/>
  <c r="H123" i="13"/>
  <c r="F123" i="13"/>
  <c r="D123" i="13"/>
  <c r="A124" i="13" a="1"/>
  <c r="A124" i="13" s="1"/>
  <c r="E117" i="14"/>
  <c r="G117" i="14"/>
  <c r="B117" i="14"/>
  <c r="D117" i="14"/>
  <c r="C117" i="14"/>
  <c r="F117" i="14"/>
  <c r="H117" i="14"/>
  <c r="A118" i="14" a="1"/>
  <c r="A118" i="14" s="1"/>
  <c r="G124" i="13" l="1"/>
  <c r="D124" i="13"/>
  <c r="H124" i="13"/>
  <c r="F124" i="13"/>
  <c r="B124" i="13"/>
  <c r="E124" i="13"/>
  <c r="C124" i="13"/>
  <c r="I124" i="13" s="1"/>
  <c r="A125" i="13" a="1"/>
  <c r="A125" i="13" s="1"/>
  <c r="B118" i="14"/>
  <c r="F118" i="14"/>
  <c r="H118" i="14"/>
  <c r="C118" i="14"/>
  <c r="E118" i="14"/>
  <c r="G118" i="14"/>
  <c r="D118" i="14"/>
  <c r="A119" i="14" a="1"/>
  <c r="A119" i="14" s="1"/>
  <c r="D125" i="13" l="1"/>
  <c r="H125" i="13"/>
  <c r="E125" i="13"/>
  <c r="C125" i="13"/>
  <c r="I125" i="13" s="1"/>
  <c r="B125" i="13"/>
  <c r="G125" i="13"/>
  <c r="F125" i="13"/>
  <c r="A126" i="13" a="1"/>
  <c r="A126" i="13" s="1"/>
  <c r="D119" i="14"/>
  <c r="E119" i="14"/>
  <c r="G119" i="14"/>
  <c r="B119" i="14"/>
  <c r="F119" i="14"/>
  <c r="H119" i="14"/>
  <c r="C119" i="14"/>
  <c r="A120" i="14" a="1"/>
  <c r="A120" i="14" s="1"/>
  <c r="E126" i="13" l="1"/>
  <c r="C126" i="13"/>
  <c r="I126" i="13" s="1"/>
  <c r="G126" i="13"/>
  <c r="B126" i="13"/>
  <c r="F126" i="13"/>
  <c r="H126" i="13"/>
  <c r="D126" i="13"/>
  <c r="A127" i="13" a="1"/>
  <c r="A127" i="13" s="1"/>
  <c r="F120" i="14"/>
  <c r="D120" i="14"/>
  <c r="H120" i="14"/>
  <c r="C120" i="14"/>
  <c r="E120" i="14"/>
  <c r="G120" i="14"/>
  <c r="B120" i="14"/>
  <c r="A121" i="14" a="1"/>
  <c r="A121" i="14" s="1"/>
  <c r="C127" i="13" l="1"/>
  <c r="I127" i="13" s="1"/>
  <c r="B127" i="13"/>
  <c r="F127" i="13"/>
  <c r="H127" i="13"/>
  <c r="E127" i="13"/>
  <c r="G127" i="13"/>
  <c r="D127" i="13"/>
  <c r="A128" i="13" a="1"/>
  <c r="A128" i="13" s="1"/>
  <c r="E121" i="14"/>
  <c r="B121" i="14"/>
  <c r="D121" i="14"/>
  <c r="F121" i="14"/>
  <c r="H121" i="14"/>
  <c r="C121" i="14"/>
  <c r="G121" i="14"/>
  <c r="A122" i="14" a="1"/>
  <c r="A122" i="14" s="1"/>
  <c r="G128" i="13" l="1"/>
  <c r="D128" i="13"/>
  <c r="C128" i="13"/>
  <c r="I128" i="13" s="1"/>
  <c r="H128" i="13"/>
  <c r="B128" i="13"/>
  <c r="F128" i="13"/>
  <c r="E128" i="13"/>
  <c r="A129" i="13" a="1"/>
  <c r="A129" i="13" s="1"/>
  <c r="B122" i="14"/>
  <c r="H122" i="14"/>
  <c r="C122" i="14"/>
  <c r="E122" i="14"/>
  <c r="G122" i="14"/>
  <c r="D122" i="14"/>
  <c r="F122" i="14"/>
  <c r="A123" i="14" a="1"/>
  <c r="A123" i="14" s="1"/>
  <c r="F129" i="13" l="1"/>
  <c r="C129" i="13"/>
  <c r="I129" i="13" s="1"/>
  <c r="G129" i="13"/>
  <c r="H129" i="13"/>
  <c r="E129" i="13"/>
  <c r="D129" i="13"/>
  <c r="B129" i="13"/>
  <c r="A130" i="13" a="1"/>
  <c r="A130" i="13" s="1"/>
  <c r="D123" i="14"/>
  <c r="G123" i="14"/>
  <c r="B123" i="14"/>
  <c r="F123" i="14"/>
  <c r="H123" i="14"/>
  <c r="C123" i="14"/>
  <c r="E123" i="14"/>
  <c r="A124" i="14" a="1"/>
  <c r="A124" i="14" s="1"/>
  <c r="E130" i="13" l="1"/>
  <c r="F130" i="13"/>
  <c r="D130" i="13"/>
  <c r="B130" i="13"/>
  <c r="H130" i="13"/>
  <c r="C130" i="13"/>
  <c r="I130" i="13" s="1"/>
  <c r="G130" i="13"/>
  <c r="A131" i="13" a="1"/>
  <c r="A131" i="13" s="1"/>
  <c r="F124" i="14"/>
  <c r="H124" i="14"/>
  <c r="C124" i="14"/>
  <c r="E124" i="14"/>
  <c r="G124" i="14"/>
  <c r="B124" i="14"/>
  <c r="D124" i="14"/>
  <c r="A125" i="14" a="1"/>
  <c r="A125" i="14" s="1"/>
  <c r="H131" i="13" l="1"/>
  <c r="F131" i="13"/>
  <c r="E131" i="13"/>
  <c r="G131" i="13"/>
  <c r="D131" i="13"/>
  <c r="C131" i="13"/>
  <c r="I131" i="13" s="1"/>
  <c r="B131" i="13"/>
  <c r="A132" i="13" a="1"/>
  <c r="A132" i="13" s="1"/>
  <c r="E125" i="14"/>
  <c r="D125" i="14"/>
  <c r="F125" i="14"/>
  <c r="H125" i="14"/>
  <c r="C125" i="14"/>
  <c r="G125" i="14"/>
  <c r="B125" i="14"/>
  <c r="A126" i="14" a="1"/>
  <c r="A126" i="14" s="1"/>
  <c r="B132" i="13" l="1"/>
  <c r="D132" i="13"/>
  <c r="C132" i="13"/>
  <c r="I132" i="13" s="1"/>
  <c r="H132" i="13"/>
  <c r="G132" i="13"/>
  <c r="F132" i="13"/>
  <c r="E132" i="13"/>
  <c r="A133" i="13" a="1"/>
  <c r="A133" i="13" s="1"/>
  <c r="B126" i="14"/>
  <c r="C126" i="14"/>
  <c r="E126" i="14"/>
  <c r="G126" i="14"/>
  <c r="D126" i="14"/>
  <c r="F126" i="14"/>
  <c r="H126" i="14"/>
  <c r="A127" i="14" a="1"/>
  <c r="A127" i="14" s="1"/>
  <c r="D133" i="13" l="1"/>
  <c r="H133" i="13"/>
  <c r="C133" i="13"/>
  <c r="I133" i="13" s="1"/>
  <c r="B133" i="13"/>
  <c r="G133" i="13"/>
  <c r="F133" i="13"/>
  <c r="E133" i="13"/>
  <c r="A134" i="13" a="1"/>
  <c r="A134" i="13" s="1"/>
  <c r="D127" i="14"/>
  <c r="B127" i="14"/>
  <c r="F127" i="14"/>
  <c r="H127" i="14"/>
  <c r="C127" i="14"/>
  <c r="E127" i="14"/>
  <c r="G127" i="14"/>
  <c r="A128" i="14" a="1"/>
  <c r="A128" i="14" s="1"/>
  <c r="E134" i="13" l="1"/>
  <c r="G134" i="13"/>
  <c r="B134" i="13"/>
  <c r="H134" i="13"/>
  <c r="F134" i="13"/>
  <c r="D134" i="13"/>
  <c r="C134" i="13"/>
  <c r="I134" i="13" s="1"/>
  <c r="A135" i="13" a="1"/>
  <c r="A135" i="13" s="1"/>
  <c r="F128" i="14"/>
  <c r="C128" i="14"/>
  <c r="E128" i="14"/>
  <c r="G128" i="14"/>
  <c r="B128" i="14"/>
  <c r="D128" i="14"/>
  <c r="H128" i="14"/>
  <c r="A129" i="14" a="1"/>
  <c r="A129" i="14" s="1"/>
  <c r="C135" i="13" l="1"/>
  <c r="I135" i="13" s="1"/>
  <c r="E135" i="13"/>
  <c r="H135" i="13"/>
  <c r="D135" i="13"/>
  <c r="B135" i="13"/>
  <c r="G135" i="13"/>
  <c r="F135" i="13"/>
  <c r="A136" i="13" a="1"/>
  <c r="A136" i="13" s="1"/>
  <c r="E129" i="14"/>
  <c r="F129" i="14"/>
  <c r="H129" i="14"/>
  <c r="C129" i="14"/>
  <c r="G129" i="14"/>
  <c r="B129" i="14"/>
  <c r="D129" i="14"/>
  <c r="A130" i="14" a="1"/>
  <c r="A130" i="14" s="1"/>
  <c r="B136" i="13" l="1"/>
  <c r="C136" i="13"/>
  <c r="I136" i="13" s="1"/>
  <c r="G136" i="13"/>
  <c r="H136" i="13"/>
  <c r="D136" i="13"/>
  <c r="F136" i="13"/>
  <c r="E136" i="13"/>
  <c r="A137" i="13" a="1"/>
  <c r="A137" i="13" s="1"/>
  <c r="B130" i="14"/>
  <c r="E130" i="14"/>
  <c r="G130" i="14"/>
  <c r="D130" i="14"/>
  <c r="F130" i="14"/>
  <c r="H130" i="14"/>
  <c r="C130" i="14"/>
  <c r="A131" i="14" a="1"/>
  <c r="A131" i="14" s="1"/>
  <c r="D137" i="13" l="1"/>
  <c r="H137" i="13"/>
  <c r="C137" i="13"/>
  <c r="I137" i="13" s="1"/>
  <c r="B137" i="13"/>
  <c r="F137" i="13"/>
  <c r="E137" i="13"/>
  <c r="G137" i="13"/>
  <c r="A138" i="13" a="1"/>
  <c r="A138" i="13" s="1"/>
  <c r="D131" i="14"/>
  <c r="F131" i="14"/>
  <c r="H131" i="14"/>
  <c r="C131" i="14"/>
  <c r="E131" i="14"/>
  <c r="G131" i="14"/>
  <c r="B131" i="14"/>
  <c r="A132" i="14" a="1"/>
  <c r="A132" i="14" s="1"/>
  <c r="E138" i="13" l="1"/>
  <c r="G138" i="13"/>
  <c r="B138" i="13"/>
  <c r="D138" i="13"/>
  <c r="F138" i="13"/>
  <c r="C138" i="13"/>
  <c r="I138" i="13" s="1"/>
  <c r="H138" i="13"/>
  <c r="A139" i="13" a="1"/>
  <c r="A139" i="13" s="1"/>
  <c r="F132" i="14"/>
  <c r="E132" i="14"/>
  <c r="G132" i="14"/>
  <c r="B132" i="14"/>
  <c r="D132" i="14"/>
  <c r="H132" i="14"/>
  <c r="C132" i="14"/>
  <c r="A133" i="14" a="1"/>
  <c r="A133" i="14" s="1"/>
  <c r="H139" i="13" l="1"/>
  <c r="F139" i="13"/>
  <c r="G139" i="13"/>
  <c r="E139" i="13"/>
  <c r="C139" i="13"/>
  <c r="I139" i="13" s="1"/>
  <c r="B139" i="13"/>
  <c r="D139" i="13"/>
  <c r="A140" i="13" a="1"/>
  <c r="A140" i="13" s="1"/>
  <c r="E133" i="14"/>
  <c r="H133" i="14"/>
  <c r="C133" i="14"/>
  <c r="G133" i="14"/>
  <c r="B133" i="14"/>
  <c r="D133" i="14"/>
  <c r="F133" i="14"/>
  <c r="A134" i="14" a="1"/>
  <c r="A134" i="14" s="1"/>
  <c r="B140" i="13" l="1"/>
  <c r="D140" i="13"/>
  <c r="C140" i="13"/>
  <c r="I140" i="13" s="1"/>
  <c r="H140" i="13"/>
  <c r="F140" i="13"/>
  <c r="E140" i="13"/>
  <c r="G140" i="13"/>
  <c r="A141" i="13" a="1"/>
  <c r="A141" i="13" s="1"/>
  <c r="B134" i="14"/>
  <c r="G134" i="14"/>
  <c r="F134" i="14"/>
  <c r="H134" i="14"/>
  <c r="E134" i="14"/>
  <c r="D134" i="14"/>
  <c r="C134" i="14"/>
  <c r="A135" i="14" a="1"/>
  <c r="A135" i="14" s="1"/>
  <c r="D141" i="13" l="1"/>
  <c r="C141" i="13"/>
  <c r="I141" i="13" s="1"/>
  <c r="G141" i="13"/>
  <c r="B141" i="13"/>
  <c r="E141" i="13"/>
  <c r="H141" i="13"/>
  <c r="F141" i="13"/>
  <c r="A142" i="13" a="1"/>
  <c r="A142" i="13" s="1"/>
  <c r="D135" i="14"/>
  <c r="H135" i="14"/>
  <c r="E135" i="14"/>
  <c r="G135" i="14"/>
  <c r="C135" i="14"/>
  <c r="B135" i="14"/>
  <c r="F135" i="14"/>
  <c r="A136" i="14" a="1"/>
  <c r="A136" i="14" s="1"/>
  <c r="E142" i="13" l="1"/>
  <c r="B142" i="13"/>
  <c r="F142" i="13"/>
  <c r="H142" i="13"/>
  <c r="C142" i="13"/>
  <c r="I142" i="13" s="1"/>
  <c r="G142" i="13"/>
  <c r="D142" i="13"/>
  <c r="A143" i="13" a="1"/>
  <c r="A143" i="13" s="1"/>
  <c r="F136" i="14"/>
  <c r="G136" i="14"/>
  <c r="D136" i="14"/>
  <c r="H136" i="14"/>
  <c r="B136" i="14"/>
  <c r="C136" i="14"/>
  <c r="E136" i="14"/>
  <c r="A137" i="14" a="1"/>
  <c r="A137" i="14" s="1"/>
  <c r="C143" i="13" l="1"/>
  <c r="E143" i="13"/>
  <c r="D143" i="13"/>
  <c r="B143" i="13"/>
  <c r="F143" i="13"/>
  <c r="G143" i="13"/>
  <c r="H143" i="13"/>
  <c r="A144" i="13" a="1"/>
  <c r="A144" i="13" s="1"/>
  <c r="E137" i="14"/>
  <c r="C137" i="14"/>
  <c r="B137" i="14"/>
  <c r="D137" i="14"/>
  <c r="G137" i="14"/>
  <c r="F137" i="14"/>
  <c r="H137" i="14"/>
  <c r="A138" i="14" a="1"/>
  <c r="A138" i="14" s="1"/>
  <c r="B144" i="13" l="1"/>
  <c r="G144" i="13"/>
  <c r="E144" i="13"/>
  <c r="C144" i="13"/>
  <c r="D144" i="13"/>
  <c r="H144" i="13"/>
  <c r="F144" i="13"/>
  <c r="A145" i="13" a="1"/>
  <c r="A145" i="13" s="1"/>
  <c r="B138" i="14"/>
  <c r="H138" i="14"/>
  <c r="E138" i="14"/>
  <c r="G138" i="14"/>
  <c r="F138" i="14"/>
  <c r="C138" i="14"/>
  <c r="D138" i="14"/>
  <c r="A139" i="14" a="1"/>
  <c r="A139" i="14" s="1"/>
  <c r="D145" i="13" l="1"/>
  <c r="C145" i="13"/>
  <c r="F145" i="13"/>
  <c r="G145" i="13"/>
  <c r="E145" i="13"/>
  <c r="H145" i="13"/>
  <c r="B145" i="13"/>
  <c r="A146" i="13" a="1"/>
  <c r="A146" i="13" s="1"/>
  <c r="C139" i="14"/>
  <c r="G139" i="14"/>
  <c r="D139" i="14"/>
  <c r="F139" i="14"/>
  <c r="B139" i="14"/>
  <c r="E139" i="14"/>
  <c r="H139" i="14"/>
  <c r="A140" i="14" a="1"/>
  <c r="A140" i="14" s="1"/>
  <c r="E146" i="13" l="1"/>
  <c r="H146" i="13"/>
  <c r="F146" i="13"/>
  <c r="C146" i="13"/>
  <c r="G146" i="13"/>
  <c r="D146" i="13"/>
  <c r="B146" i="13"/>
  <c r="A147" i="13" a="1"/>
  <c r="A147" i="13" s="1"/>
  <c r="F140" i="14"/>
  <c r="B140" i="14"/>
  <c r="E140" i="14"/>
  <c r="C140" i="14"/>
  <c r="H140" i="14"/>
  <c r="G140" i="14"/>
  <c r="D140" i="14"/>
  <c r="A141" i="14" a="1"/>
  <c r="A141" i="14" s="1"/>
  <c r="D147" i="13" l="1"/>
  <c r="E147" i="13"/>
  <c r="C147" i="13"/>
  <c r="F147" i="13"/>
  <c r="B147" i="13"/>
  <c r="G147" i="13"/>
  <c r="H147" i="13"/>
  <c r="A148" i="13" a="1"/>
  <c r="A148" i="13" s="1"/>
  <c r="E141" i="14"/>
  <c r="H141" i="14"/>
  <c r="B141" i="14"/>
  <c r="G141" i="14"/>
  <c r="C141" i="14"/>
  <c r="F141" i="14"/>
  <c r="D141" i="14"/>
  <c r="A142" i="14" a="1"/>
  <c r="A142" i="14" s="1"/>
  <c r="C148" i="13" l="1"/>
  <c r="G148" i="13"/>
  <c r="F148" i="13"/>
  <c r="B148" i="13"/>
  <c r="H148" i="13"/>
  <c r="E148" i="13"/>
  <c r="D148" i="13"/>
  <c r="A149" i="13" a="1"/>
  <c r="A149" i="13" s="1"/>
  <c r="F142" i="14"/>
  <c r="D142" i="14"/>
  <c r="C142" i="14"/>
  <c r="G142" i="14"/>
  <c r="E142" i="14"/>
  <c r="B142" i="14"/>
  <c r="H142" i="14"/>
  <c r="A143" i="14" a="1"/>
  <c r="A143" i="14" s="1"/>
  <c r="F149" i="13" l="1"/>
  <c r="H149" i="13"/>
  <c r="D149" i="13"/>
  <c r="E149" i="13"/>
  <c r="C149" i="13"/>
  <c r="B149" i="13"/>
  <c r="G149" i="13"/>
  <c r="A150" i="13" a="1"/>
  <c r="A150" i="13" s="1"/>
  <c r="C143" i="14"/>
  <c r="G143" i="14"/>
  <c r="D143" i="14"/>
  <c r="H143" i="14"/>
  <c r="F143" i="14"/>
  <c r="B143" i="14"/>
  <c r="E143" i="14"/>
  <c r="A144" i="14" a="1"/>
  <c r="A144" i="14" s="1"/>
  <c r="E150" i="13" l="1"/>
  <c r="C150" i="13"/>
  <c r="H150" i="13"/>
  <c r="B150" i="13"/>
  <c r="G150" i="13"/>
  <c r="F150" i="13"/>
  <c r="D150" i="13"/>
  <c r="A151" i="13" a="1"/>
  <c r="A151" i="13" s="1"/>
  <c r="F144" i="14"/>
  <c r="B144" i="14"/>
  <c r="D144" i="14"/>
  <c r="H144" i="14"/>
  <c r="C144" i="14"/>
  <c r="E144" i="14"/>
  <c r="G144" i="14"/>
  <c r="A145" i="14" a="1"/>
  <c r="A145" i="14" s="1"/>
  <c r="B151" i="13" l="1"/>
  <c r="D151" i="13"/>
  <c r="C151" i="13"/>
  <c r="H151" i="13"/>
  <c r="E151" i="13"/>
  <c r="F151" i="13"/>
  <c r="G151" i="13"/>
  <c r="A152" i="13" a="1"/>
  <c r="A152" i="13" s="1"/>
  <c r="E145" i="14"/>
  <c r="H145" i="14"/>
  <c r="B145" i="14"/>
  <c r="G145" i="14"/>
  <c r="F145" i="14"/>
  <c r="C145" i="14"/>
  <c r="D145" i="14"/>
  <c r="A146" i="14" a="1"/>
  <c r="A146" i="14" s="1"/>
  <c r="B152" i="13" l="1"/>
  <c r="D152" i="13"/>
  <c r="E152" i="13"/>
  <c r="F152" i="13"/>
  <c r="C152" i="13"/>
  <c r="G152" i="13"/>
  <c r="H152" i="13"/>
  <c r="A153" i="13" a="1"/>
  <c r="A153" i="13" s="1"/>
  <c r="H146" i="14"/>
  <c r="B146" i="14"/>
  <c r="D146" i="14"/>
  <c r="C146" i="14"/>
  <c r="E146" i="14"/>
  <c r="G146" i="14"/>
  <c r="F146" i="14"/>
  <c r="A147" i="14" a="1"/>
  <c r="A147" i="14" s="1"/>
  <c r="B153" i="13" l="1"/>
  <c r="F153" i="13"/>
  <c r="C153" i="13"/>
  <c r="E153" i="13"/>
  <c r="D153" i="13"/>
  <c r="H153" i="13"/>
  <c r="G153" i="13"/>
  <c r="A154" i="13" a="1"/>
  <c r="A154" i="13" s="1"/>
  <c r="C147" i="14"/>
  <c r="D147" i="14"/>
  <c r="F147" i="14"/>
  <c r="E147" i="14"/>
  <c r="G147" i="14"/>
  <c r="B147" i="14"/>
  <c r="H147" i="14"/>
  <c r="A148" i="14" a="1"/>
  <c r="A148" i="14" s="1"/>
  <c r="E154" i="13" l="1"/>
  <c r="B154" i="13"/>
  <c r="G154" i="13"/>
  <c r="D154" i="13"/>
  <c r="H154" i="13"/>
  <c r="F154" i="13"/>
  <c r="C154" i="13"/>
  <c r="A155" i="13" a="1"/>
  <c r="A155" i="13" s="1"/>
  <c r="B148" i="14"/>
  <c r="G148" i="14"/>
  <c r="D148" i="14"/>
  <c r="H148" i="14"/>
  <c r="C148" i="14"/>
  <c r="E148" i="14"/>
  <c r="F148" i="14"/>
  <c r="A149" i="14" a="1"/>
  <c r="A149" i="14" s="1"/>
  <c r="C155" i="13" l="1"/>
  <c r="D155" i="13"/>
  <c r="H155" i="13"/>
  <c r="G155" i="13"/>
  <c r="F155" i="13"/>
  <c r="E155" i="13"/>
  <c r="B155" i="13"/>
  <c r="A156" i="13" a="1"/>
  <c r="A156" i="13" s="1"/>
  <c r="D149" i="14"/>
  <c r="H149" i="14"/>
  <c r="C149" i="14"/>
  <c r="G149" i="14"/>
  <c r="B149" i="14"/>
  <c r="F149" i="14"/>
  <c r="E149" i="14"/>
  <c r="A150" i="14" a="1"/>
  <c r="A150" i="14" s="1"/>
  <c r="C156" i="13" l="1"/>
  <c r="D156" i="13"/>
  <c r="B156" i="13"/>
  <c r="F156" i="13"/>
  <c r="G156" i="13"/>
  <c r="H156" i="13"/>
  <c r="E156" i="13"/>
  <c r="A157" i="13" a="1"/>
  <c r="A157" i="13" s="1"/>
  <c r="H150" i="14"/>
  <c r="G150" i="14"/>
  <c r="B150" i="14"/>
  <c r="F150" i="14"/>
  <c r="C150" i="14"/>
  <c r="E150" i="14"/>
  <c r="D150" i="14"/>
  <c r="A151" i="14" a="1"/>
  <c r="A151" i="14" s="1"/>
  <c r="B157" i="13" l="1"/>
  <c r="H157" i="13"/>
  <c r="F157" i="13"/>
  <c r="E157" i="13"/>
  <c r="G157" i="13"/>
  <c r="D157" i="13"/>
  <c r="C157" i="13"/>
  <c r="A158" i="13" a="1"/>
  <c r="A158" i="13" s="1"/>
  <c r="C151" i="14"/>
  <c r="F151" i="14"/>
  <c r="H151" i="14"/>
  <c r="G151" i="14"/>
  <c r="E151" i="14"/>
  <c r="B151" i="14"/>
  <c r="D151" i="14"/>
  <c r="A152" i="14" a="1"/>
  <c r="A152" i="14" s="1"/>
  <c r="G158" i="13" l="1"/>
  <c r="B158" i="13"/>
  <c r="C158" i="13"/>
  <c r="H158" i="13"/>
  <c r="F158" i="13"/>
  <c r="E158" i="13"/>
  <c r="D158" i="13"/>
  <c r="A159" i="13" a="1"/>
  <c r="A159" i="13" s="1"/>
  <c r="B152" i="14"/>
  <c r="D152" i="14"/>
  <c r="F152" i="14"/>
  <c r="C152" i="14"/>
  <c r="E152" i="14"/>
  <c r="G152" i="14"/>
  <c r="H152" i="14"/>
  <c r="A153" i="14" a="1"/>
  <c r="A153" i="14" s="1"/>
  <c r="C159" i="13" l="1"/>
  <c r="H159" i="13"/>
  <c r="G159" i="13"/>
  <c r="F159" i="13"/>
  <c r="E159" i="13"/>
  <c r="D159" i="13"/>
  <c r="B159" i="13"/>
  <c r="A160" i="13" a="1"/>
  <c r="A160" i="13" s="1"/>
  <c r="D153" i="14"/>
  <c r="G153" i="14"/>
  <c r="F153" i="14"/>
  <c r="E153" i="14"/>
  <c r="H153" i="14"/>
  <c r="C153" i="14"/>
  <c r="B153" i="14"/>
  <c r="A154" i="14" a="1"/>
  <c r="A154" i="14" s="1"/>
  <c r="G160" i="13" l="1"/>
  <c r="B160" i="13"/>
  <c r="F160" i="13"/>
  <c r="E160" i="13"/>
  <c r="D160" i="13"/>
  <c r="C160" i="13"/>
  <c r="H160" i="13"/>
  <c r="A161" i="13" a="1"/>
  <c r="A161" i="13" s="1"/>
  <c r="H154" i="14"/>
  <c r="B154" i="14"/>
  <c r="E154" i="14"/>
  <c r="G154" i="14"/>
  <c r="D154" i="14"/>
  <c r="F154" i="14"/>
  <c r="C154" i="14"/>
  <c r="A155" i="14" a="1"/>
  <c r="A155" i="14" s="1"/>
  <c r="C161" i="13" l="1"/>
  <c r="B161" i="13"/>
  <c r="H161" i="13"/>
  <c r="D161" i="13"/>
  <c r="G161" i="13"/>
  <c r="F161" i="13"/>
  <c r="E161" i="13"/>
  <c r="A162" i="13" a="1"/>
  <c r="A162" i="13" s="1"/>
  <c r="C155" i="14"/>
  <c r="H155" i="14"/>
  <c r="E155" i="14"/>
  <c r="G155" i="14"/>
  <c r="B155" i="14"/>
  <c r="D155" i="14"/>
  <c r="F155" i="14"/>
  <c r="A156" i="14" a="1"/>
  <c r="A156" i="14" s="1"/>
  <c r="F162" i="13" l="1"/>
  <c r="D162" i="13"/>
  <c r="E162" i="13"/>
  <c r="G162" i="13"/>
  <c r="C162" i="13"/>
  <c r="B162" i="13"/>
  <c r="H162" i="13"/>
  <c r="A163" i="13" a="1"/>
  <c r="A163" i="13" s="1"/>
  <c r="H156" i="14"/>
  <c r="C156" i="14"/>
  <c r="E156" i="14"/>
  <c r="F156" i="14"/>
  <c r="G156" i="14"/>
  <c r="B156" i="14"/>
  <c r="D156" i="14"/>
  <c r="A157" i="14" a="1"/>
  <c r="A157" i="14" s="1"/>
  <c r="D163" i="13" l="1"/>
  <c r="E163" i="13"/>
  <c r="G163" i="13"/>
  <c r="F163" i="13"/>
  <c r="H163" i="13"/>
  <c r="B163" i="13"/>
  <c r="C163" i="13"/>
  <c r="A164" i="13" a="1"/>
  <c r="A164" i="13" s="1"/>
  <c r="D157" i="14"/>
  <c r="B157" i="14"/>
  <c r="F157" i="14"/>
  <c r="H157" i="14"/>
  <c r="C157" i="14"/>
  <c r="E157" i="14"/>
  <c r="G157" i="14"/>
  <c r="A158" i="14" a="1"/>
  <c r="A158" i="14" s="1"/>
  <c r="E164" i="13" l="1"/>
  <c r="G164" i="13"/>
  <c r="D164" i="13"/>
  <c r="C164" i="13"/>
  <c r="B164" i="13"/>
  <c r="F164" i="13"/>
  <c r="H164" i="13"/>
  <c r="A165" i="13" a="1"/>
  <c r="A165" i="13" s="1"/>
  <c r="H158" i="14"/>
  <c r="C158" i="14"/>
  <c r="E158" i="14"/>
  <c r="G158" i="14"/>
  <c r="B158" i="14"/>
  <c r="D158" i="14"/>
  <c r="F158" i="14"/>
  <c r="A159" i="14" a="1"/>
  <c r="A159" i="14" s="1"/>
  <c r="B165" i="13" l="1"/>
  <c r="D165" i="13"/>
  <c r="G165" i="13"/>
  <c r="F165" i="13"/>
  <c r="E165" i="13"/>
  <c r="H165" i="13"/>
  <c r="C165" i="13"/>
  <c r="A166" i="13" a="1"/>
  <c r="A166" i="13" s="1"/>
  <c r="E159" i="14"/>
  <c r="B159" i="14"/>
  <c r="D159" i="14"/>
  <c r="F159" i="14"/>
  <c r="H159" i="14"/>
  <c r="C159" i="14"/>
  <c r="G159" i="14"/>
  <c r="A160" i="14" a="1"/>
  <c r="A160" i="14" s="1"/>
  <c r="G166" i="13" l="1"/>
  <c r="F166" i="13"/>
  <c r="E166" i="13"/>
  <c r="B166" i="13"/>
  <c r="D166" i="13"/>
  <c r="H166" i="13"/>
  <c r="C166" i="13"/>
  <c r="A167" i="13" a="1"/>
  <c r="A167" i="13" s="1"/>
  <c r="B160" i="14"/>
  <c r="E160" i="14"/>
  <c r="G160" i="14"/>
  <c r="D160" i="14"/>
  <c r="F160" i="14"/>
  <c r="H160" i="14"/>
  <c r="C160" i="14"/>
  <c r="A161" i="14" a="1"/>
  <c r="A161" i="14" s="1"/>
  <c r="C167" i="13" l="1"/>
  <c r="E167" i="13"/>
  <c r="D167" i="13"/>
  <c r="H167" i="13"/>
  <c r="B167" i="13"/>
  <c r="G167" i="13"/>
  <c r="F167" i="13"/>
  <c r="A168" i="13" a="1"/>
  <c r="A168" i="13" s="1"/>
  <c r="D161" i="14"/>
  <c r="F161" i="14"/>
  <c r="H161" i="14"/>
  <c r="C161" i="14"/>
  <c r="E161" i="14"/>
  <c r="G161" i="14"/>
  <c r="B161" i="14"/>
  <c r="A162" i="14" a="1"/>
  <c r="A162" i="14" s="1"/>
  <c r="E168" i="13" l="1"/>
  <c r="B168" i="13"/>
  <c r="D168" i="13"/>
  <c r="G168" i="13"/>
  <c r="C168" i="13"/>
  <c r="H168" i="13"/>
  <c r="F168" i="13"/>
  <c r="A169" i="13" a="1"/>
  <c r="A169" i="13" s="1"/>
  <c r="H162" i="14"/>
  <c r="E162" i="14"/>
  <c r="G162" i="14"/>
  <c r="B162" i="14"/>
  <c r="D162" i="14"/>
  <c r="F162" i="14"/>
  <c r="C162" i="14"/>
  <c r="A163" i="14" a="1"/>
  <c r="A163" i="14" s="1"/>
  <c r="B169" i="13" l="1"/>
  <c r="E169" i="13"/>
  <c r="H169" i="13"/>
  <c r="F169" i="13"/>
  <c r="G169" i="13"/>
  <c r="D169" i="13"/>
  <c r="C169" i="13"/>
  <c r="A170" i="13" a="1"/>
  <c r="A170" i="13" s="1"/>
  <c r="C163" i="14"/>
  <c r="D163" i="14"/>
  <c r="F163" i="14"/>
  <c r="H163" i="14"/>
  <c r="E163" i="14"/>
  <c r="G163" i="14"/>
  <c r="B163" i="14"/>
  <c r="A164" i="14" a="1"/>
  <c r="A164" i="14" s="1"/>
  <c r="G170" i="13" l="1"/>
  <c r="B170" i="13"/>
  <c r="D170" i="13"/>
  <c r="H170" i="13"/>
  <c r="C170" i="13"/>
  <c r="F170" i="13"/>
  <c r="E170" i="13"/>
  <c r="A171" i="13" a="1"/>
  <c r="A171" i="13" s="1"/>
  <c r="B164" i="14"/>
  <c r="G164" i="14"/>
  <c r="D164" i="14"/>
  <c r="F164" i="14"/>
  <c r="H164" i="14"/>
  <c r="C164" i="14"/>
  <c r="E164" i="14"/>
  <c r="A165" i="14" a="1"/>
  <c r="A165" i="14" s="1"/>
  <c r="C171" i="13" l="1"/>
  <c r="G171" i="13"/>
  <c r="B171" i="13"/>
  <c r="E171" i="13"/>
  <c r="D171" i="13"/>
  <c r="H171" i="13"/>
  <c r="F171" i="13"/>
  <c r="A172" i="13" a="1"/>
  <c r="A172" i="13" s="1"/>
  <c r="E165" i="14"/>
  <c r="B165" i="14"/>
  <c r="D165" i="14"/>
  <c r="F165" i="14"/>
  <c r="H165" i="14"/>
  <c r="C165" i="14"/>
  <c r="G165" i="14"/>
  <c r="A166" i="14" a="1"/>
  <c r="A166" i="14" s="1"/>
  <c r="H172" i="13" l="1"/>
  <c r="D172" i="13"/>
  <c r="E172" i="13"/>
  <c r="F172" i="13"/>
  <c r="C172" i="13"/>
  <c r="B172" i="13"/>
  <c r="G172" i="13"/>
  <c r="A173" i="13" a="1"/>
  <c r="A173" i="13" s="1"/>
  <c r="C166" i="14"/>
  <c r="B166" i="14"/>
  <c r="G166" i="14"/>
  <c r="H166" i="14"/>
  <c r="F166" i="14"/>
  <c r="E166" i="14"/>
  <c r="D166" i="14"/>
  <c r="A167" i="14" a="1"/>
  <c r="A167" i="14" s="1"/>
  <c r="B173" i="13" l="1"/>
  <c r="F173" i="13"/>
  <c r="H173" i="13"/>
  <c r="G173" i="13"/>
  <c r="E173" i="13"/>
  <c r="D173" i="13"/>
  <c r="C173" i="13"/>
  <c r="A174" i="13" a="1"/>
  <c r="A174" i="13" s="1"/>
  <c r="E167" i="14"/>
  <c r="H167" i="14"/>
  <c r="F167" i="14"/>
  <c r="B167" i="14"/>
  <c r="D167" i="14"/>
  <c r="C167" i="14"/>
  <c r="G167" i="14"/>
  <c r="A168" i="14" a="1"/>
  <c r="A168" i="14" s="1"/>
  <c r="G174" i="13" l="1"/>
  <c r="F174" i="13"/>
  <c r="B174" i="13"/>
  <c r="H174" i="13"/>
  <c r="E174" i="13"/>
  <c r="D174" i="13"/>
  <c r="C174" i="13"/>
  <c r="A175" i="13" a="1"/>
  <c r="A175" i="13" s="1"/>
  <c r="G168" i="14"/>
  <c r="E168" i="14"/>
  <c r="F168" i="14"/>
  <c r="H168" i="14"/>
  <c r="C168" i="14"/>
  <c r="B168" i="14"/>
  <c r="D168" i="14"/>
  <c r="A169" i="14" a="1"/>
  <c r="A169" i="14" s="1"/>
  <c r="C175" i="13" l="1"/>
  <c r="G175" i="13"/>
  <c r="B175" i="13"/>
  <c r="E175" i="13"/>
  <c r="D175" i="13"/>
  <c r="H175" i="13"/>
  <c r="F175" i="13"/>
  <c r="A176" i="13" a="1"/>
  <c r="A176" i="13" s="1"/>
  <c r="B169" i="14"/>
  <c r="H169" i="14"/>
  <c r="D169" i="14"/>
  <c r="C169" i="14"/>
  <c r="E169" i="14"/>
  <c r="F169" i="14"/>
  <c r="G169" i="14"/>
  <c r="A170" i="14" a="1"/>
  <c r="A170" i="14" s="1"/>
  <c r="F176" i="13" l="1"/>
  <c r="H176" i="13"/>
  <c r="E176" i="13"/>
  <c r="D176" i="13"/>
  <c r="C176" i="13"/>
  <c r="G176" i="13"/>
  <c r="B176" i="13"/>
  <c r="A177" i="13" a="1"/>
  <c r="A177" i="13" s="1"/>
  <c r="G170" i="14"/>
  <c r="H170" i="14"/>
  <c r="B170" i="14"/>
  <c r="C170" i="14"/>
  <c r="E170" i="14"/>
  <c r="F170" i="14"/>
  <c r="D170" i="14"/>
  <c r="A171" i="14" a="1"/>
  <c r="A171" i="14" s="1"/>
  <c r="B177" i="13" l="1"/>
  <c r="F177" i="13"/>
  <c r="H177" i="13"/>
  <c r="E177" i="13"/>
  <c r="D177" i="13"/>
  <c r="C177" i="13"/>
  <c r="G177" i="13"/>
  <c r="A178" i="13" a="1"/>
  <c r="A178" i="13" s="1"/>
  <c r="E171" i="14"/>
  <c r="C171" i="14"/>
  <c r="D171" i="14"/>
  <c r="G171" i="14"/>
  <c r="B171" i="14"/>
  <c r="F171" i="14"/>
  <c r="H171" i="14"/>
  <c r="A172" i="14" a="1"/>
  <c r="A172" i="14" s="1"/>
  <c r="G178" i="13" l="1"/>
  <c r="F178" i="13"/>
  <c r="B178" i="13"/>
  <c r="H178" i="13"/>
  <c r="E178" i="13"/>
  <c r="D178" i="13"/>
  <c r="C178" i="13"/>
  <c r="A179" i="13" a="1"/>
  <c r="A179" i="13" s="1"/>
  <c r="G172" i="14"/>
  <c r="F172" i="14"/>
  <c r="B172" i="14"/>
  <c r="H172" i="14"/>
  <c r="C172" i="14"/>
  <c r="E172" i="14"/>
  <c r="D172" i="14"/>
  <c r="A173" i="14" a="1"/>
  <c r="A173" i="14" s="1"/>
  <c r="C179" i="13" l="1"/>
  <c r="G179" i="13"/>
  <c r="B179" i="13"/>
  <c r="E179" i="13"/>
  <c r="D179" i="13"/>
  <c r="F179" i="13"/>
  <c r="H179" i="13"/>
  <c r="A180" i="13" a="1"/>
  <c r="A180" i="13" s="1"/>
  <c r="B173" i="14"/>
  <c r="D173" i="14"/>
  <c r="E173" i="14"/>
  <c r="C173" i="14"/>
  <c r="H173" i="14"/>
  <c r="F173" i="14"/>
  <c r="G173" i="14"/>
  <c r="A174" i="14" a="1"/>
  <c r="A174" i="14" s="1"/>
  <c r="F180" i="13" l="1"/>
  <c r="H180" i="13"/>
  <c r="E180" i="13"/>
  <c r="B180" i="13"/>
  <c r="D180" i="13"/>
  <c r="C180" i="13"/>
  <c r="G180" i="13"/>
  <c r="A181" i="13" a="1"/>
  <c r="A181" i="13" s="1"/>
  <c r="C174" i="14"/>
  <c r="H174" i="14"/>
  <c r="B174" i="14"/>
  <c r="E174" i="14"/>
  <c r="D174" i="14"/>
  <c r="F174" i="14"/>
  <c r="G174" i="14"/>
  <c r="A175" i="14" a="1"/>
  <c r="A175" i="14" s="1"/>
  <c r="B181" i="13" l="1"/>
  <c r="H181" i="13"/>
  <c r="C181" i="13"/>
  <c r="G181" i="13"/>
  <c r="E181" i="13"/>
  <c r="D181" i="13"/>
  <c r="F181" i="13"/>
  <c r="A182" i="13" a="1"/>
  <c r="A182" i="13" s="1"/>
  <c r="E175" i="14"/>
  <c r="F175" i="14"/>
  <c r="D175" i="14"/>
  <c r="G175" i="14"/>
  <c r="H175" i="14"/>
  <c r="C175" i="14"/>
  <c r="B175" i="14"/>
  <c r="A176" i="14" a="1"/>
  <c r="A176" i="14" s="1"/>
  <c r="D182" i="13" l="1"/>
  <c r="F182" i="13"/>
  <c r="H182" i="13"/>
  <c r="G182" i="13"/>
  <c r="E182" i="13"/>
  <c r="C182" i="13"/>
  <c r="B182" i="13"/>
  <c r="A183" i="13" a="1"/>
  <c r="A183" i="13" s="1"/>
  <c r="G176" i="14"/>
  <c r="B176" i="14"/>
  <c r="E176" i="14"/>
  <c r="H176" i="14"/>
  <c r="C176" i="14"/>
  <c r="F176" i="14"/>
  <c r="D176" i="14"/>
  <c r="A177" i="14" a="1"/>
  <c r="A177" i="14" s="1"/>
  <c r="B177" i="14" l="1"/>
  <c r="H177" i="14"/>
  <c r="E177" i="14"/>
  <c r="C177" i="14"/>
  <c r="D177" i="14"/>
  <c r="G177" i="14"/>
  <c r="F177" i="14"/>
  <c r="A178" i="14" a="1"/>
  <c r="A178" i="14" s="1"/>
  <c r="H183" i="13"/>
  <c r="E183" i="13"/>
  <c r="D183" i="13"/>
  <c r="C183" i="13"/>
  <c r="B183" i="13"/>
  <c r="G183" i="13"/>
  <c r="F183" i="13"/>
  <c r="A184" i="13" a="1"/>
  <c r="A184" i="13" s="1"/>
  <c r="G178" i="14" l="1"/>
  <c r="H178" i="14"/>
  <c r="F178" i="14"/>
  <c r="C178" i="14"/>
  <c r="E178" i="14"/>
  <c r="D178" i="14"/>
  <c r="B178" i="14"/>
  <c r="A179" i="14" a="1"/>
  <c r="A179" i="14" s="1"/>
  <c r="E184" i="13"/>
  <c r="C184" i="13"/>
  <c r="G184" i="13"/>
  <c r="B184" i="13"/>
  <c r="H184" i="13"/>
  <c r="F184" i="13"/>
  <c r="D184" i="13"/>
  <c r="A185" i="13" a="1"/>
  <c r="A185" i="13" s="1"/>
  <c r="E179" i="14" l="1"/>
  <c r="D179" i="14"/>
  <c r="C179" i="14"/>
  <c r="H179" i="14"/>
  <c r="G179" i="14"/>
  <c r="B179" i="14"/>
  <c r="F179" i="14"/>
  <c r="A180" i="14" a="1"/>
  <c r="A180" i="14" s="1"/>
  <c r="B185" i="13"/>
  <c r="H185" i="13"/>
  <c r="C185" i="13"/>
  <c r="F185" i="13"/>
  <c r="E185" i="13"/>
  <c r="D185" i="13"/>
  <c r="G185" i="13"/>
  <c r="A186" i="13" a="1"/>
  <c r="A186" i="13" s="1"/>
  <c r="G180" i="14" l="1"/>
  <c r="H180" i="14"/>
  <c r="F180" i="14"/>
  <c r="C180" i="14"/>
  <c r="E180" i="14"/>
  <c r="B180" i="14"/>
  <c r="D180" i="14"/>
  <c r="A181" i="14" a="1"/>
  <c r="A181" i="14" s="1"/>
  <c r="H186" i="13"/>
  <c r="C186" i="13"/>
  <c r="B186" i="13"/>
  <c r="G186" i="13"/>
  <c r="F186" i="13"/>
  <c r="E186" i="13"/>
  <c r="D186" i="13"/>
  <c r="A187" i="13" a="1"/>
  <c r="A187" i="13" s="1"/>
  <c r="B181" i="14" l="1"/>
  <c r="C181" i="14"/>
  <c r="D181" i="14"/>
  <c r="F181" i="14"/>
  <c r="E181" i="14"/>
  <c r="H181" i="14"/>
  <c r="G181" i="14"/>
  <c r="A182" i="14" a="1"/>
  <c r="A182" i="14" s="1"/>
  <c r="C187" i="13"/>
  <c r="D187" i="13"/>
  <c r="E187" i="13"/>
  <c r="B187" i="13"/>
  <c r="F187" i="13"/>
  <c r="G187" i="13"/>
  <c r="H187" i="13"/>
  <c r="A188" i="13" a="1"/>
  <c r="A188" i="13" s="1"/>
  <c r="C182" i="14" l="1"/>
  <c r="B182" i="14"/>
  <c r="D182" i="14"/>
  <c r="H182" i="14"/>
  <c r="F182" i="14"/>
  <c r="G182" i="14"/>
  <c r="E182" i="14"/>
  <c r="A183" i="14" a="1"/>
  <c r="A183" i="14" s="1"/>
  <c r="E188" i="13"/>
  <c r="B188" i="13"/>
  <c r="H188" i="13"/>
  <c r="G188" i="13"/>
  <c r="F188" i="13"/>
  <c r="D188" i="13"/>
  <c r="C188" i="13"/>
  <c r="A189" i="13" a="1"/>
  <c r="A189" i="13" s="1"/>
  <c r="D183" i="14" l="1"/>
  <c r="H183" i="14"/>
  <c r="C183" i="14"/>
  <c r="B183" i="14"/>
  <c r="G183" i="14"/>
  <c r="E183" i="14"/>
  <c r="F183" i="14"/>
  <c r="A184" i="14" a="1"/>
  <c r="A184" i="14" s="1"/>
  <c r="H189" i="13"/>
  <c r="B189" i="13"/>
  <c r="F189" i="13"/>
  <c r="E189" i="13"/>
  <c r="D189" i="13"/>
  <c r="C189" i="13"/>
  <c r="G189" i="13"/>
  <c r="A190" i="13" a="1"/>
  <c r="A190" i="13" s="1"/>
  <c r="G184" i="14" l="1"/>
  <c r="H184" i="14"/>
  <c r="C184" i="14"/>
  <c r="B184" i="14"/>
  <c r="F184" i="14"/>
  <c r="D184" i="14"/>
  <c r="E184" i="14"/>
  <c r="A185" i="14" a="1"/>
  <c r="A185" i="14" s="1"/>
  <c r="H190" i="13"/>
  <c r="G190" i="13"/>
  <c r="F190" i="13"/>
  <c r="E190" i="13"/>
  <c r="C190" i="13"/>
  <c r="D190" i="13"/>
  <c r="B190" i="13"/>
  <c r="A191" i="13" a="1"/>
  <c r="A191" i="13" s="1"/>
  <c r="B185" i="14" l="1"/>
  <c r="C185" i="14"/>
  <c r="H185" i="14"/>
  <c r="F185" i="14"/>
  <c r="E185" i="14"/>
  <c r="D185" i="14"/>
  <c r="G185" i="14"/>
  <c r="A186" i="14" a="1"/>
  <c r="A186" i="14" s="1"/>
  <c r="E191" i="13"/>
  <c r="C191" i="13"/>
  <c r="B191" i="13"/>
  <c r="F191" i="13"/>
  <c r="H191" i="13"/>
  <c r="G191" i="13"/>
  <c r="D191" i="13"/>
  <c r="A192" i="13" a="1"/>
  <c r="A192" i="13" s="1"/>
  <c r="G186" i="14" l="1"/>
  <c r="B186" i="14"/>
  <c r="F186" i="14"/>
  <c r="C186" i="14"/>
  <c r="E186" i="14"/>
  <c r="H186" i="14"/>
  <c r="D186" i="14"/>
  <c r="A187" i="14" a="1"/>
  <c r="A187" i="14" s="1"/>
  <c r="C192" i="13"/>
  <c r="E192" i="13"/>
  <c r="H192" i="13"/>
  <c r="F192" i="13"/>
  <c r="B192" i="13"/>
  <c r="D192" i="13"/>
  <c r="G192" i="13"/>
  <c r="A193" i="13" a="1"/>
  <c r="A193" i="13" s="1"/>
  <c r="B193" i="13" l="1"/>
  <c r="G193" i="13"/>
  <c r="E193" i="13"/>
  <c r="D193" i="13"/>
  <c r="F193" i="13"/>
  <c r="C193" i="13"/>
  <c r="H193" i="13"/>
  <c r="A194" i="13" a="1"/>
  <c r="A194" i="13" s="1"/>
  <c r="E187" i="14"/>
  <c r="D187" i="14"/>
  <c r="G187" i="14"/>
  <c r="H187" i="14"/>
  <c r="C187" i="14"/>
  <c r="B187" i="14"/>
  <c r="F187" i="14"/>
  <c r="A188" i="14" a="1"/>
  <c r="A188" i="14" s="1"/>
  <c r="G194" i="13" l="1"/>
  <c r="B194" i="13"/>
  <c r="C194" i="13"/>
  <c r="H194" i="13"/>
  <c r="F194" i="13"/>
  <c r="E194" i="13"/>
  <c r="D194" i="13"/>
  <c r="A195" i="13" a="1"/>
  <c r="A195" i="13" s="1"/>
  <c r="G188" i="14"/>
  <c r="H188" i="14"/>
  <c r="C188" i="14"/>
  <c r="E188" i="14"/>
  <c r="F188" i="14"/>
  <c r="D188" i="14"/>
  <c r="B188" i="14"/>
  <c r="A189" i="14" a="1"/>
  <c r="A189" i="14" s="1"/>
  <c r="C195" i="13" l="1"/>
  <c r="H195" i="13"/>
  <c r="B195" i="13"/>
  <c r="F195" i="13"/>
  <c r="E195" i="13"/>
  <c r="D195" i="13"/>
  <c r="G195" i="13"/>
  <c r="A196" i="13" a="1"/>
  <c r="A196" i="13" s="1"/>
  <c r="B189" i="14"/>
  <c r="C189" i="14"/>
  <c r="E189" i="14"/>
  <c r="H189" i="14"/>
  <c r="G189" i="14"/>
  <c r="D189" i="14"/>
  <c r="F189" i="14"/>
  <c r="A190" i="14" a="1"/>
  <c r="A190" i="14" s="1"/>
  <c r="G196" i="13" l="1"/>
  <c r="B196" i="13"/>
  <c r="F196" i="13"/>
  <c r="E196" i="13"/>
  <c r="D196" i="13"/>
  <c r="C196" i="13"/>
  <c r="H196" i="13"/>
  <c r="A197" i="13" a="1"/>
  <c r="A197" i="13" s="1"/>
  <c r="C190" i="14"/>
  <c r="G190" i="14"/>
  <c r="E190" i="14"/>
  <c r="H190" i="14"/>
  <c r="B190" i="14"/>
  <c r="D190" i="14"/>
  <c r="F190" i="14"/>
  <c r="A191" i="14" a="1"/>
  <c r="A191" i="14" s="1"/>
  <c r="B197" i="13" l="1"/>
  <c r="H197" i="13"/>
  <c r="E197" i="13"/>
  <c r="D197" i="13"/>
  <c r="C197" i="13"/>
  <c r="G197" i="13"/>
  <c r="F197" i="13"/>
  <c r="A198" i="13" a="1"/>
  <c r="A198" i="13" s="1"/>
  <c r="C191" i="14"/>
  <c r="F191" i="14"/>
  <c r="D191" i="14"/>
  <c r="G191" i="14"/>
  <c r="B191" i="14"/>
  <c r="H191" i="14"/>
  <c r="E191" i="14"/>
  <c r="A192" i="14" a="1"/>
  <c r="A192" i="14" s="1"/>
  <c r="F198" i="13" l="1"/>
  <c r="C198" i="13"/>
  <c r="G198" i="13"/>
  <c r="D198" i="13"/>
  <c r="E198" i="13"/>
  <c r="B198" i="13"/>
  <c r="H198" i="13"/>
  <c r="A199" i="13" a="1"/>
  <c r="A199" i="13" s="1"/>
  <c r="G192" i="14"/>
  <c r="B192" i="14"/>
  <c r="C192" i="14"/>
  <c r="F192" i="14"/>
  <c r="D192" i="14"/>
  <c r="E192" i="14"/>
  <c r="H192" i="14"/>
  <c r="A193" i="14" a="1"/>
  <c r="A193" i="14" s="1"/>
  <c r="H199" i="13" l="1"/>
  <c r="G199" i="13"/>
  <c r="E199" i="13"/>
  <c r="D199" i="13"/>
  <c r="B199" i="13"/>
  <c r="F199" i="13"/>
  <c r="C199" i="13"/>
  <c r="A200" i="13" a="1"/>
  <c r="A200" i="13" s="1"/>
  <c r="B193" i="14"/>
  <c r="G193" i="14"/>
  <c r="H193" i="14"/>
  <c r="F193" i="14"/>
  <c r="E193" i="14"/>
  <c r="C193" i="14"/>
  <c r="D193" i="14"/>
  <c r="A194" i="14" a="1"/>
  <c r="A194" i="14" s="1"/>
  <c r="E200" i="13" l="1"/>
  <c r="G200" i="13"/>
  <c r="D200" i="13"/>
  <c r="C200" i="13"/>
  <c r="H200" i="13"/>
  <c r="B200" i="13"/>
  <c r="F200" i="13"/>
  <c r="A201" i="13" a="1"/>
  <c r="A201" i="13" s="1"/>
  <c r="E194" i="14"/>
  <c r="D194" i="14"/>
  <c r="B194" i="14"/>
  <c r="H194" i="14"/>
  <c r="F194" i="14"/>
  <c r="C194" i="14"/>
  <c r="G194" i="14"/>
  <c r="A195" i="14" a="1"/>
  <c r="A195" i="14" s="1"/>
  <c r="B201" i="13" l="1"/>
  <c r="D201" i="13"/>
  <c r="C201" i="13"/>
  <c r="E201" i="13"/>
  <c r="F201" i="13"/>
  <c r="H201" i="13"/>
  <c r="G201" i="13"/>
  <c r="A202" i="13" a="1"/>
  <c r="A202" i="13" s="1"/>
  <c r="E195" i="14"/>
  <c r="D195" i="14"/>
  <c r="C195" i="14"/>
  <c r="H195" i="14"/>
  <c r="G195" i="14"/>
  <c r="B195" i="14"/>
  <c r="F195" i="14"/>
  <c r="A196" i="14" a="1"/>
  <c r="A196" i="14" s="1"/>
  <c r="G202" i="13" l="1"/>
  <c r="C202" i="13"/>
  <c r="E202" i="13"/>
  <c r="B202" i="13"/>
  <c r="D202" i="13"/>
  <c r="F202" i="13"/>
  <c r="H202" i="13"/>
  <c r="A203" i="13" a="1"/>
  <c r="A203" i="13" s="1"/>
  <c r="G196" i="14"/>
  <c r="C196" i="14"/>
  <c r="E196" i="14"/>
  <c r="B196" i="14"/>
  <c r="F196" i="14"/>
  <c r="H196" i="14"/>
  <c r="D196" i="14"/>
  <c r="A197" i="14" a="1"/>
  <c r="A197" i="14" s="1"/>
  <c r="C203" i="13" l="1"/>
  <c r="E203" i="13"/>
  <c r="D203" i="13"/>
  <c r="G203" i="13"/>
  <c r="F203" i="13"/>
  <c r="H203" i="13"/>
  <c r="B203" i="13"/>
  <c r="A204" i="13" a="1"/>
  <c r="A204" i="13" s="1"/>
  <c r="B197" i="14"/>
  <c r="D197" i="14"/>
  <c r="F197" i="14"/>
  <c r="E197" i="14"/>
  <c r="C197" i="14"/>
  <c r="H197" i="14"/>
  <c r="G197" i="14"/>
  <c r="A198" i="14" a="1"/>
  <c r="A198" i="14" s="1"/>
  <c r="D204" i="13" l="1"/>
  <c r="C204" i="13"/>
  <c r="F204" i="13"/>
  <c r="E204" i="13"/>
  <c r="G204" i="13"/>
  <c r="B204" i="13"/>
  <c r="H204" i="13"/>
  <c r="A205" i="13" a="1"/>
  <c r="A205" i="13" s="1"/>
  <c r="C198" i="14"/>
  <c r="D198" i="14"/>
  <c r="B198" i="14"/>
  <c r="G198" i="14"/>
  <c r="F198" i="14"/>
  <c r="E198" i="14"/>
  <c r="H198" i="14"/>
  <c r="A199" i="14" a="1"/>
  <c r="A199" i="14" s="1"/>
  <c r="B199" i="14" l="1"/>
  <c r="C199" i="14"/>
  <c r="H199" i="14"/>
  <c r="F199" i="14"/>
  <c r="E199" i="14"/>
  <c r="D199" i="14"/>
  <c r="G199" i="14"/>
  <c r="A200" i="14" a="1"/>
  <c r="A200" i="14" s="1"/>
  <c r="H205" i="13"/>
  <c r="C205" i="13"/>
  <c r="F205" i="13"/>
  <c r="E205" i="13"/>
  <c r="D205" i="13"/>
  <c r="B205" i="13"/>
  <c r="G205" i="13"/>
  <c r="A206" i="13" a="1"/>
  <c r="A206" i="13" s="1"/>
  <c r="G200" i="14" l="1"/>
  <c r="B200" i="14"/>
  <c r="E200" i="14"/>
  <c r="D200" i="14"/>
  <c r="F200" i="14"/>
  <c r="C200" i="14"/>
  <c r="H200" i="14"/>
  <c r="A201" i="14" a="1"/>
  <c r="A201" i="14" s="1"/>
  <c r="G206" i="13"/>
  <c r="B206" i="13"/>
  <c r="E206" i="13"/>
  <c r="H206" i="13"/>
  <c r="F206" i="13"/>
  <c r="C206" i="13"/>
  <c r="D206" i="13"/>
  <c r="A207" i="13" a="1"/>
  <c r="A207" i="13" s="1"/>
  <c r="F201" i="14" l="1"/>
  <c r="C201" i="14"/>
  <c r="E201" i="14"/>
  <c r="B201" i="14"/>
  <c r="H201" i="14"/>
  <c r="D201" i="14"/>
  <c r="G201" i="14"/>
  <c r="A202" i="14" a="1"/>
  <c r="A202" i="14" s="1"/>
  <c r="G207" i="13"/>
  <c r="D207" i="13"/>
  <c r="H207" i="13"/>
  <c r="E207" i="13"/>
  <c r="C207" i="13"/>
  <c r="F207" i="13"/>
  <c r="B207" i="13"/>
  <c r="A208" i="13" a="1"/>
  <c r="A208" i="13" s="1"/>
  <c r="G202" i="14" l="1"/>
  <c r="D202" i="14"/>
  <c r="E202" i="14"/>
  <c r="H202" i="14"/>
  <c r="B202" i="14"/>
  <c r="C202" i="14"/>
  <c r="F202" i="14"/>
  <c r="A203" i="14" a="1"/>
  <c r="A203" i="14" s="1"/>
  <c r="C208" i="13"/>
  <c r="B208" i="13"/>
  <c r="F208" i="13"/>
  <c r="D208" i="13"/>
  <c r="G208" i="13"/>
  <c r="E208" i="13"/>
  <c r="H208" i="13"/>
  <c r="A209" i="13" a="1"/>
  <c r="A209" i="13" s="1"/>
  <c r="H203" i="14" l="1"/>
  <c r="B203" i="14"/>
  <c r="C203" i="14"/>
  <c r="F203" i="14"/>
  <c r="D203" i="14"/>
  <c r="G203" i="14"/>
  <c r="E203" i="14"/>
  <c r="A204" i="14" a="1"/>
  <c r="A204" i="14" s="1"/>
  <c r="B209" i="13"/>
  <c r="G209" i="13"/>
  <c r="E209" i="13"/>
  <c r="D209" i="13"/>
  <c r="H209" i="13"/>
  <c r="C209" i="13"/>
  <c r="F209" i="13"/>
  <c r="A210" i="13" a="1"/>
  <c r="A210" i="13" s="1"/>
  <c r="G210" i="13" l="1"/>
  <c r="E210" i="13"/>
  <c r="D210" i="13"/>
  <c r="F210" i="13"/>
  <c r="H210" i="13"/>
  <c r="B210" i="13"/>
  <c r="C210" i="13"/>
  <c r="A211" i="13" a="1"/>
  <c r="A211" i="13" s="1"/>
  <c r="G204" i="14"/>
  <c r="F204" i="14"/>
  <c r="D204" i="14"/>
  <c r="H204" i="14"/>
  <c r="B204" i="14"/>
  <c r="E204" i="14"/>
  <c r="C204" i="14"/>
  <c r="A205" i="14" a="1"/>
  <c r="A205" i="14" s="1"/>
  <c r="D211" i="13" l="1"/>
  <c r="C211" i="13"/>
  <c r="B211" i="13"/>
  <c r="H211" i="13"/>
  <c r="G211" i="13"/>
  <c r="F211" i="13"/>
  <c r="E211" i="13"/>
  <c r="A212" i="13" a="1"/>
  <c r="A212" i="13" s="1"/>
  <c r="B205" i="14"/>
  <c r="E205" i="14"/>
  <c r="C205" i="14"/>
  <c r="G205" i="14"/>
  <c r="D205" i="14"/>
  <c r="F205" i="14"/>
  <c r="H205" i="14"/>
  <c r="A206" i="14" a="1"/>
  <c r="A206" i="14" s="1"/>
  <c r="H212" i="13" l="1"/>
  <c r="F212" i="13"/>
  <c r="B212" i="13"/>
  <c r="D212" i="13"/>
  <c r="G212" i="13"/>
  <c r="C212" i="13"/>
  <c r="E212" i="13"/>
  <c r="A213" i="13" a="1"/>
  <c r="A213" i="13" s="1"/>
  <c r="C206" i="14"/>
  <c r="H206" i="14"/>
  <c r="F206" i="14"/>
  <c r="E206" i="14"/>
  <c r="D206" i="14"/>
  <c r="B206" i="14"/>
  <c r="G206" i="14"/>
  <c r="A207" i="14" a="1"/>
  <c r="A207" i="14" s="1"/>
  <c r="B213" i="13" l="1"/>
  <c r="D213" i="13"/>
  <c r="F213" i="13"/>
  <c r="E213" i="13"/>
  <c r="H213" i="13"/>
  <c r="C213" i="13"/>
  <c r="G213" i="13"/>
  <c r="A214" i="13" a="1"/>
  <c r="A214" i="13" s="1"/>
  <c r="F207" i="14"/>
  <c r="E207" i="14"/>
  <c r="H207" i="14"/>
  <c r="D207" i="14"/>
  <c r="B207" i="14"/>
  <c r="C207" i="14"/>
  <c r="G207" i="14"/>
  <c r="A208" i="14" a="1"/>
  <c r="A208" i="14" s="1"/>
  <c r="G214" i="13" l="1"/>
  <c r="B214" i="13"/>
  <c r="D214" i="13"/>
  <c r="F214" i="13"/>
  <c r="H214" i="13"/>
  <c r="C214" i="13"/>
  <c r="E214" i="13"/>
  <c r="A215" i="13" a="1"/>
  <c r="A215" i="13" s="1"/>
  <c r="G208" i="14"/>
  <c r="E208" i="14"/>
  <c r="H208" i="14"/>
  <c r="C208" i="14"/>
  <c r="B208" i="14"/>
  <c r="F208" i="14"/>
  <c r="D208" i="14"/>
  <c r="A209" i="14" a="1"/>
  <c r="A209" i="14" s="1"/>
  <c r="C215" i="13" l="1"/>
  <c r="G215" i="13"/>
  <c r="D215" i="13"/>
  <c r="B215" i="13"/>
  <c r="E215" i="13"/>
  <c r="H215" i="13"/>
  <c r="F215" i="13"/>
  <c r="A216" i="13" a="1"/>
  <c r="A216" i="13" s="1"/>
  <c r="B209" i="14"/>
  <c r="D209" i="14"/>
  <c r="G209" i="14"/>
  <c r="H209" i="14"/>
  <c r="C209" i="14"/>
  <c r="F209" i="14"/>
  <c r="E209" i="14"/>
  <c r="A210" i="14" a="1"/>
  <c r="A210" i="14" s="1"/>
  <c r="G216" i="13" l="1"/>
  <c r="H216" i="13"/>
  <c r="C216" i="13"/>
  <c r="F216" i="13"/>
  <c r="D216" i="13"/>
  <c r="E216" i="13"/>
  <c r="B216" i="13"/>
  <c r="A217" i="13" a="1"/>
  <c r="A217" i="13" s="1"/>
  <c r="H210" i="14"/>
  <c r="G210" i="14"/>
  <c r="E210" i="14"/>
  <c r="B210" i="14"/>
  <c r="D210" i="14"/>
  <c r="F210" i="14"/>
  <c r="C210" i="14"/>
  <c r="A211" i="14" a="1"/>
  <c r="A211" i="14" s="1"/>
  <c r="C217" i="13" l="1"/>
  <c r="E217" i="13"/>
  <c r="G217" i="13"/>
  <c r="H217" i="13"/>
  <c r="D217" i="13"/>
  <c r="F217" i="13"/>
  <c r="B217" i="13"/>
  <c r="A218" i="13" a="1"/>
  <c r="A218" i="13" s="1"/>
  <c r="E211" i="14"/>
  <c r="F211" i="14"/>
  <c r="G211" i="14"/>
  <c r="C211" i="14"/>
  <c r="H211" i="14"/>
  <c r="B211" i="14"/>
  <c r="D211" i="14"/>
  <c r="A212" i="14" a="1"/>
  <c r="A212" i="14" s="1"/>
  <c r="H218" i="13" l="1"/>
  <c r="F218" i="13"/>
  <c r="D218" i="13"/>
  <c r="G218" i="13"/>
  <c r="B218" i="13"/>
  <c r="E218" i="13"/>
  <c r="C218" i="13"/>
  <c r="A219" i="13" a="1"/>
  <c r="A219" i="13" s="1"/>
  <c r="D212" i="14"/>
  <c r="H212" i="14"/>
  <c r="C212" i="14"/>
  <c r="E212" i="14"/>
  <c r="B212" i="14"/>
  <c r="G212" i="14"/>
  <c r="F212" i="14"/>
  <c r="A213" i="14" a="1"/>
  <c r="A213" i="14" s="1"/>
  <c r="B219" i="13" l="1"/>
  <c r="D219" i="13"/>
  <c r="G219" i="13"/>
  <c r="F219" i="13"/>
  <c r="E219" i="13"/>
  <c r="H219" i="13"/>
  <c r="C219" i="13"/>
  <c r="A220" i="13" a="1"/>
  <c r="A220" i="13" s="1"/>
  <c r="F213" i="14"/>
  <c r="G213" i="14"/>
  <c r="E213" i="14"/>
  <c r="C213" i="14"/>
  <c r="D213" i="14"/>
  <c r="H213" i="14"/>
  <c r="B213" i="14"/>
  <c r="A214" i="14" a="1"/>
  <c r="A214" i="14" s="1"/>
  <c r="E220" i="13" l="1"/>
  <c r="F220" i="13"/>
  <c r="C220" i="13"/>
  <c r="B220" i="13"/>
  <c r="D220" i="13"/>
  <c r="G220" i="13"/>
  <c r="H220" i="13"/>
  <c r="A221" i="13" a="1"/>
  <c r="A221" i="13" s="1"/>
  <c r="C214" i="14"/>
  <c r="B214" i="14"/>
  <c r="D214" i="14"/>
  <c r="F214" i="14"/>
  <c r="G214" i="14"/>
  <c r="E214" i="14"/>
  <c r="H214" i="14"/>
  <c r="A215" i="14" a="1"/>
  <c r="A215" i="14" s="1"/>
  <c r="C221" i="13" l="1"/>
  <c r="B221" i="13"/>
  <c r="D221" i="13"/>
  <c r="E221" i="13"/>
  <c r="G221" i="13"/>
  <c r="F221" i="13"/>
  <c r="H221" i="13"/>
  <c r="A222" i="13" a="1"/>
  <c r="A222" i="13" s="1"/>
  <c r="B215" i="14"/>
  <c r="E215" i="14"/>
  <c r="F215" i="14"/>
  <c r="D215" i="14"/>
  <c r="G215" i="14"/>
  <c r="C215" i="14"/>
  <c r="H215" i="14"/>
  <c r="A216" i="14" a="1"/>
  <c r="A216" i="14" s="1"/>
  <c r="F222" i="13" l="1"/>
  <c r="E222" i="13"/>
  <c r="G222" i="13"/>
  <c r="B222" i="13"/>
  <c r="C222" i="13"/>
  <c r="H222" i="13"/>
  <c r="D222" i="13"/>
  <c r="A223" i="13" a="1"/>
  <c r="A223" i="13" s="1"/>
  <c r="F216" i="14"/>
  <c r="C216" i="14"/>
  <c r="B216" i="14"/>
  <c r="E216" i="14"/>
  <c r="D216" i="14"/>
  <c r="G216" i="14"/>
  <c r="H216" i="14"/>
  <c r="A217" i="14" a="1"/>
  <c r="A217" i="14" s="1"/>
  <c r="G223" i="13" l="1"/>
  <c r="H223" i="13"/>
  <c r="E223" i="13"/>
  <c r="F223" i="13"/>
  <c r="D223" i="13"/>
  <c r="C223" i="13"/>
  <c r="B223" i="13"/>
  <c r="A224" i="13" a="1"/>
  <c r="A224" i="13" s="1"/>
  <c r="B217" i="14"/>
  <c r="C217" i="14"/>
  <c r="E217" i="14"/>
  <c r="H217" i="14"/>
  <c r="F217" i="14"/>
  <c r="G217" i="14"/>
  <c r="D217" i="14"/>
  <c r="A218" i="14" a="1"/>
  <c r="A218" i="14" s="1"/>
  <c r="F224" i="13" l="1"/>
  <c r="D224" i="13"/>
  <c r="C224" i="13"/>
  <c r="B224" i="13"/>
  <c r="E224" i="13"/>
  <c r="G224" i="13"/>
  <c r="H224" i="13"/>
  <c r="A225" i="13" a="1"/>
  <c r="A225" i="13" s="1"/>
  <c r="H218" i="14"/>
  <c r="E218" i="14"/>
  <c r="F218" i="14"/>
  <c r="D218" i="14"/>
  <c r="G218" i="14"/>
  <c r="B218" i="14"/>
  <c r="C218" i="14"/>
  <c r="A219" i="14" a="1"/>
  <c r="A219" i="14" s="1"/>
  <c r="E225" i="13" l="1"/>
  <c r="C225" i="13"/>
  <c r="F225" i="13"/>
  <c r="H225" i="13"/>
  <c r="G225" i="13"/>
  <c r="D225" i="13"/>
  <c r="B225" i="13"/>
  <c r="A226" i="13" a="1"/>
  <c r="A226" i="13" s="1"/>
  <c r="D219" i="14"/>
  <c r="G219" i="14"/>
  <c r="B219" i="14"/>
  <c r="F219" i="14"/>
  <c r="H219" i="14"/>
  <c r="C219" i="14"/>
  <c r="E219" i="14"/>
  <c r="A220" i="14" a="1"/>
  <c r="A220" i="14" s="1"/>
  <c r="H226" i="13" l="1"/>
  <c r="C226" i="13"/>
  <c r="E226" i="13"/>
  <c r="F226" i="13"/>
  <c r="B226" i="13"/>
  <c r="G226" i="13"/>
  <c r="D226" i="13"/>
  <c r="A227" i="13" a="1"/>
  <c r="A227" i="13" s="1"/>
  <c r="F220" i="14"/>
  <c r="G220" i="14"/>
  <c r="C220" i="14"/>
  <c r="E220" i="14"/>
  <c r="B220" i="14"/>
  <c r="D220" i="14"/>
  <c r="H220" i="14"/>
  <c r="A221" i="14" a="1"/>
  <c r="A221" i="14" s="1"/>
  <c r="D227" i="13" l="1"/>
  <c r="G227" i="13"/>
  <c r="B227" i="13"/>
  <c r="H227" i="13"/>
  <c r="E227" i="13"/>
  <c r="F227" i="13"/>
  <c r="C227" i="13"/>
  <c r="A228" i="13" a="1"/>
  <c r="A228" i="13" s="1"/>
  <c r="D221" i="14"/>
  <c r="F221" i="14"/>
  <c r="B221" i="14"/>
  <c r="C221" i="14"/>
  <c r="H221" i="14"/>
  <c r="G221" i="14"/>
  <c r="E221" i="14"/>
  <c r="A222" i="14" a="1"/>
  <c r="A222" i="14" s="1"/>
  <c r="F228" i="13" l="1"/>
  <c r="H228" i="13"/>
  <c r="E228" i="13"/>
  <c r="G228" i="13"/>
  <c r="D228" i="13"/>
  <c r="C228" i="13"/>
  <c r="B228" i="13"/>
  <c r="A229" i="13" a="1"/>
  <c r="A229" i="13" s="1"/>
  <c r="H222" i="14"/>
  <c r="E222" i="14"/>
  <c r="G222" i="14"/>
  <c r="C222" i="14"/>
  <c r="B222" i="14"/>
  <c r="D222" i="14"/>
  <c r="F222" i="14"/>
  <c r="A223" i="14" a="1"/>
  <c r="A223" i="14" s="1"/>
  <c r="E229" i="13" l="1"/>
  <c r="B229" i="13"/>
  <c r="F229" i="13"/>
  <c r="H229" i="13"/>
  <c r="G229" i="13"/>
  <c r="C229" i="13"/>
  <c r="D229" i="13"/>
  <c r="A230" i="13" a="1"/>
  <c r="A230" i="13" s="1"/>
  <c r="B223" i="14"/>
  <c r="G223" i="14"/>
  <c r="F223" i="14"/>
  <c r="D223" i="14"/>
  <c r="H223" i="14"/>
  <c r="C223" i="14"/>
  <c r="E223" i="14"/>
  <c r="A224" i="14" a="1"/>
  <c r="A224" i="14" s="1"/>
  <c r="F230" i="13" l="1"/>
  <c r="B230" i="13"/>
  <c r="G230" i="13"/>
  <c r="E230" i="13"/>
  <c r="H230" i="13"/>
  <c r="D230" i="13"/>
  <c r="C230" i="13"/>
  <c r="A231" i="13" a="1"/>
  <c r="A231" i="13" s="1"/>
  <c r="B224" i="14"/>
  <c r="C224" i="14"/>
  <c r="E224" i="14"/>
  <c r="H224" i="14"/>
  <c r="G224" i="14"/>
  <c r="D224" i="14"/>
  <c r="F224" i="14"/>
  <c r="A225" i="14" a="1"/>
  <c r="A225" i="14" s="1"/>
  <c r="F231" i="13" l="1"/>
  <c r="E231" i="13"/>
  <c r="B231" i="13"/>
  <c r="G231" i="13"/>
  <c r="C231" i="13"/>
  <c r="D231" i="13"/>
  <c r="H231" i="13"/>
  <c r="A232" i="13" a="1"/>
  <c r="A232" i="13" s="1"/>
  <c r="H225" i="14"/>
  <c r="B225" i="14"/>
  <c r="G225" i="14"/>
  <c r="F225" i="14"/>
  <c r="E225" i="14"/>
  <c r="C225" i="14"/>
  <c r="D225" i="14"/>
  <c r="A226" i="14" a="1"/>
  <c r="A226" i="14" s="1"/>
  <c r="D232" i="13" l="1"/>
  <c r="C232" i="13"/>
  <c r="G232" i="13"/>
  <c r="E232" i="13"/>
  <c r="H232" i="13"/>
  <c r="F232" i="13"/>
  <c r="B232" i="13"/>
  <c r="A233" i="13" a="1"/>
  <c r="A233" i="13" s="1"/>
  <c r="H226" i="14"/>
  <c r="G226" i="14"/>
  <c r="B226" i="14"/>
  <c r="E226" i="14"/>
  <c r="D226" i="14"/>
  <c r="F226" i="14"/>
  <c r="C226" i="14"/>
  <c r="A227" i="14" a="1"/>
  <c r="A227" i="14" s="1"/>
  <c r="E233" i="13" l="1"/>
  <c r="G233" i="13"/>
  <c r="C233" i="13"/>
  <c r="B233" i="13"/>
  <c r="D233" i="13"/>
  <c r="H233" i="13"/>
  <c r="F233" i="13"/>
  <c r="A234" i="13" a="1"/>
  <c r="A234" i="13" s="1"/>
  <c r="B227" i="14"/>
  <c r="F227" i="14"/>
  <c r="H227" i="14"/>
  <c r="G227" i="14"/>
  <c r="C227" i="14"/>
  <c r="E227" i="14"/>
  <c r="D227" i="14"/>
  <c r="A228" i="14" a="1"/>
  <c r="A228" i="14" s="1"/>
  <c r="F234" i="13" l="1"/>
  <c r="B234" i="13"/>
  <c r="G234" i="13"/>
  <c r="E234" i="13"/>
  <c r="C234" i="13"/>
  <c r="D234" i="13"/>
  <c r="H234" i="13"/>
  <c r="A235" i="13" a="1"/>
  <c r="A235" i="13" s="1"/>
  <c r="D228" i="14"/>
  <c r="E228" i="14"/>
  <c r="G228" i="14"/>
  <c r="C228" i="14"/>
  <c r="B228" i="14"/>
  <c r="H228" i="14"/>
  <c r="F228" i="14"/>
  <c r="A229" i="14" a="1"/>
  <c r="A229" i="14" s="1"/>
  <c r="B235" i="13" l="1"/>
  <c r="G235" i="13"/>
  <c r="E235" i="13"/>
  <c r="F235" i="13"/>
  <c r="C235" i="13"/>
  <c r="D235" i="13"/>
  <c r="H235" i="13"/>
  <c r="A236" i="13" a="1"/>
  <c r="A236" i="13" s="1"/>
  <c r="H229" i="14"/>
  <c r="C229" i="14"/>
  <c r="E229" i="14"/>
  <c r="B229" i="14"/>
  <c r="G229" i="14"/>
  <c r="D229" i="14"/>
  <c r="F229" i="14"/>
  <c r="A230" i="14" a="1"/>
  <c r="A230" i="14" s="1"/>
  <c r="D236" i="13" l="1"/>
  <c r="F236" i="13"/>
  <c r="H236" i="13"/>
  <c r="G236" i="13"/>
  <c r="E236" i="13"/>
  <c r="C236" i="13"/>
  <c r="B236" i="13"/>
  <c r="A237" i="13" a="1"/>
  <c r="A237" i="13" s="1"/>
  <c r="H230" i="14"/>
  <c r="C230" i="14"/>
  <c r="E230" i="14"/>
  <c r="G230" i="14"/>
  <c r="F230" i="14"/>
  <c r="D230" i="14"/>
  <c r="B230" i="14"/>
  <c r="A231" i="14" a="1"/>
  <c r="A231" i="14" s="1"/>
  <c r="E237" i="13" l="1"/>
  <c r="G237" i="13"/>
  <c r="B237" i="13"/>
  <c r="F237" i="13"/>
  <c r="C237" i="13"/>
  <c r="D237" i="13"/>
  <c r="H237" i="13"/>
  <c r="A238" i="13" a="1"/>
  <c r="A238" i="13" s="1"/>
  <c r="C231" i="14"/>
  <c r="B231" i="14"/>
  <c r="D231" i="14"/>
  <c r="F231" i="14"/>
  <c r="H231" i="14"/>
  <c r="E231" i="14"/>
  <c r="G231" i="14"/>
  <c r="A232" i="14" a="1"/>
  <c r="A232" i="14" s="1"/>
  <c r="F238" i="13" l="1"/>
  <c r="B238" i="13"/>
  <c r="D238" i="13"/>
  <c r="G238" i="13"/>
  <c r="E238" i="13"/>
  <c r="C238" i="13"/>
  <c r="H238" i="13"/>
  <c r="A239" i="13" a="1"/>
  <c r="A239" i="13" s="1"/>
  <c r="B232" i="14"/>
  <c r="E232" i="14"/>
  <c r="G232" i="14"/>
  <c r="H232" i="14"/>
  <c r="D232" i="14"/>
  <c r="F232" i="14"/>
  <c r="C232" i="14"/>
  <c r="A233" i="14" a="1"/>
  <c r="A233" i="14" s="1"/>
  <c r="B239" i="13" l="1"/>
  <c r="G239" i="13"/>
  <c r="H239" i="13"/>
  <c r="E239" i="13"/>
  <c r="F239" i="13"/>
  <c r="C239" i="13"/>
  <c r="D239" i="13"/>
  <c r="A240" i="13" a="1"/>
  <c r="A240" i="13" s="1"/>
  <c r="D233" i="14"/>
  <c r="F233" i="14"/>
  <c r="H233" i="14"/>
  <c r="C233" i="14"/>
  <c r="E233" i="14"/>
  <c r="G233" i="14"/>
  <c r="B233" i="14"/>
  <c r="A234" i="14" a="1"/>
  <c r="A234" i="14" s="1"/>
  <c r="D240" i="13" l="1"/>
  <c r="E240" i="13"/>
  <c r="F240" i="13"/>
  <c r="H240" i="13"/>
  <c r="G240" i="13"/>
  <c r="B240" i="13"/>
  <c r="C240" i="13"/>
  <c r="A241" i="13" a="1"/>
  <c r="A241" i="13" s="1"/>
  <c r="H234" i="14"/>
  <c r="G234" i="14"/>
  <c r="F234" i="14"/>
  <c r="D234" i="14"/>
  <c r="B234" i="14"/>
  <c r="C234" i="14"/>
  <c r="E234" i="14"/>
  <c r="A235" i="14" a="1"/>
  <c r="A235" i="14" s="1"/>
  <c r="B241" i="13" l="1"/>
  <c r="H241" i="13"/>
  <c r="F241" i="13"/>
  <c r="E241" i="13"/>
  <c r="C241" i="13"/>
  <c r="D241" i="13"/>
  <c r="G241" i="13"/>
  <c r="A242" i="13" a="1"/>
  <c r="A242" i="13" s="1"/>
  <c r="D235" i="14"/>
  <c r="C235" i="14"/>
  <c r="E235" i="14"/>
  <c r="B235" i="14"/>
  <c r="F235" i="14"/>
  <c r="G235" i="14"/>
  <c r="H235" i="14"/>
  <c r="A236" i="14" a="1"/>
  <c r="A236" i="14" s="1"/>
  <c r="C242" i="13" l="1"/>
  <c r="H242" i="13"/>
  <c r="F242" i="13"/>
  <c r="D242" i="13"/>
  <c r="E242" i="13"/>
  <c r="G242" i="13"/>
  <c r="B242" i="13"/>
  <c r="A243" i="13" a="1"/>
  <c r="A243" i="13" s="1"/>
  <c r="B236" i="14"/>
  <c r="G236" i="14"/>
  <c r="D236" i="14"/>
  <c r="F236" i="14"/>
  <c r="H236" i="14"/>
  <c r="C236" i="14"/>
  <c r="E236" i="14"/>
  <c r="A237" i="14" a="1"/>
  <c r="A237" i="14" s="1"/>
  <c r="H243" i="13" l="1"/>
  <c r="C243" i="13"/>
  <c r="E243" i="13"/>
  <c r="B243" i="13"/>
  <c r="F243" i="13"/>
  <c r="G243" i="13"/>
  <c r="D243" i="13"/>
  <c r="A244" i="13" a="1"/>
  <c r="A244" i="13" s="1"/>
  <c r="D237" i="14"/>
  <c r="H237" i="14"/>
  <c r="C237" i="14"/>
  <c r="E237" i="14"/>
  <c r="G237" i="14"/>
  <c r="B237" i="14"/>
  <c r="F237" i="14"/>
  <c r="A238" i="14" a="1"/>
  <c r="A238" i="14" s="1"/>
  <c r="C244" i="13" l="1"/>
  <c r="E244" i="13"/>
  <c r="B244" i="13"/>
  <c r="F244" i="13"/>
  <c r="G244" i="13"/>
  <c r="D244" i="13"/>
  <c r="H244" i="13"/>
  <c r="A245" i="13" a="1"/>
  <c r="A245" i="13" s="1"/>
  <c r="H238" i="14"/>
  <c r="G238" i="14"/>
  <c r="B238" i="14"/>
  <c r="D238" i="14"/>
  <c r="F238" i="14"/>
  <c r="C238" i="14"/>
  <c r="E238" i="14"/>
  <c r="A239" i="14" a="1"/>
  <c r="A239" i="14" s="1"/>
  <c r="E245" i="13" l="1"/>
  <c r="B245" i="13"/>
  <c r="G245" i="13"/>
  <c r="D245" i="13"/>
  <c r="F245" i="13"/>
  <c r="C245" i="13"/>
  <c r="H245" i="13"/>
  <c r="A246" i="13" a="1"/>
  <c r="A246" i="13" s="1"/>
  <c r="C239" i="14"/>
  <c r="F239" i="14"/>
  <c r="B239" i="14"/>
  <c r="H239" i="14"/>
  <c r="E239" i="14"/>
  <c r="G239" i="14"/>
  <c r="D239" i="14"/>
  <c r="A240" i="14" a="1"/>
  <c r="A240" i="14" s="1"/>
  <c r="F246" i="13" l="1"/>
  <c r="E246" i="13"/>
  <c r="H246" i="13"/>
  <c r="C246" i="13"/>
  <c r="B246" i="13"/>
  <c r="D246" i="13"/>
  <c r="G246" i="13"/>
  <c r="A247" i="13" a="1"/>
  <c r="A247" i="13" s="1"/>
  <c r="B240" i="14"/>
  <c r="D240" i="14"/>
  <c r="E240" i="14"/>
  <c r="F240" i="14"/>
  <c r="H240" i="14"/>
  <c r="C240" i="14"/>
  <c r="G240" i="14"/>
  <c r="A241" i="14" a="1"/>
  <c r="A241" i="14" s="1"/>
  <c r="G247" i="13" l="1"/>
  <c r="B247" i="13"/>
  <c r="E247" i="13"/>
  <c r="H247" i="13"/>
  <c r="F247" i="13"/>
  <c r="D247" i="13"/>
  <c r="C247" i="13"/>
  <c r="A248" i="13" a="1"/>
  <c r="A248" i="13" s="1"/>
  <c r="H241" i="14"/>
  <c r="C241" i="14"/>
  <c r="G241" i="14"/>
  <c r="D241" i="14"/>
  <c r="F241" i="14"/>
  <c r="B241" i="14"/>
  <c r="E241" i="14"/>
  <c r="A242" i="14" a="1"/>
  <c r="A242" i="14" s="1"/>
  <c r="F248" i="13" l="1"/>
  <c r="B248" i="13"/>
  <c r="G248" i="13"/>
  <c r="E248" i="13"/>
  <c r="D248" i="13"/>
  <c r="C248" i="13"/>
  <c r="H248" i="13"/>
  <c r="A249" i="13" a="1"/>
  <c r="A249" i="13" s="1"/>
  <c r="H242" i="14"/>
  <c r="F242" i="14"/>
  <c r="B242" i="14"/>
  <c r="C242" i="14"/>
  <c r="E242" i="14"/>
  <c r="D242" i="14"/>
  <c r="G242" i="14"/>
  <c r="A243" i="14" a="1"/>
  <c r="A243" i="14" s="1"/>
  <c r="E249" i="13" l="1"/>
  <c r="D249" i="13"/>
  <c r="B249" i="13"/>
  <c r="F249" i="13"/>
  <c r="C249" i="13"/>
  <c r="H249" i="13"/>
  <c r="G249" i="13"/>
  <c r="A250" i="13" a="1"/>
  <c r="A250" i="13" s="1"/>
  <c r="B243" i="14"/>
  <c r="E243" i="14"/>
  <c r="H243" i="14"/>
  <c r="D243" i="14"/>
  <c r="G243" i="14"/>
  <c r="C243" i="14"/>
  <c r="F243" i="14"/>
  <c r="A244" i="14" a="1"/>
  <c r="A244" i="14" s="1"/>
  <c r="H250" i="13" l="1"/>
  <c r="G250" i="13"/>
  <c r="B250" i="13"/>
  <c r="E250" i="13"/>
  <c r="D250" i="13"/>
  <c r="F250" i="13"/>
  <c r="C250" i="13"/>
  <c r="A251" i="13" a="1"/>
  <c r="A251" i="13" s="1"/>
  <c r="F244" i="14"/>
  <c r="E244" i="14"/>
  <c r="D244" i="14"/>
  <c r="G244" i="14"/>
  <c r="C244" i="14"/>
  <c r="H244" i="14"/>
  <c r="B244" i="14"/>
  <c r="A245" i="14" a="1"/>
  <c r="A245" i="14" s="1"/>
  <c r="B251" i="13" l="1"/>
  <c r="H251" i="13"/>
  <c r="E251" i="13"/>
  <c r="D251" i="13"/>
  <c r="C251" i="13"/>
  <c r="G251" i="13"/>
  <c r="F251" i="13"/>
  <c r="A252" i="13" a="1"/>
  <c r="A252" i="13" s="1"/>
  <c r="D245" i="14"/>
  <c r="E245" i="14"/>
  <c r="H245" i="14"/>
  <c r="G245" i="14"/>
  <c r="B245" i="14"/>
  <c r="C245" i="14"/>
  <c r="F245" i="14"/>
  <c r="A246" i="14" a="1"/>
  <c r="A246" i="14" s="1"/>
  <c r="B252" i="13" l="1"/>
  <c r="E252" i="13"/>
  <c r="G252" i="13"/>
  <c r="C252" i="13"/>
  <c r="H252" i="13"/>
  <c r="D252" i="13"/>
  <c r="F252" i="13"/>
  <c r="A253" i="13" a="1"/>
  <c r="A253" i="13" s="1"/>
  <c r="H246" i="14"/>
  <c r="D246" i="14"/>
  <c r="F246" i="14"/>
  <c r="G246" i="14"/>
  <c r="C246" i="14"/>
  <c r="B246" i="14"/>
  <c r="E246" i="14"/>
  <c r="A247" i="14" a="1"/>
  <c r="A247" i="14" s="1"/>
  <c r="B253" i="13" l="1"/>
  <c r="H253" i="13"/>
  <c r="C253" i="13"/>
  <c r="G253" i="13"/>
  <c r="D253" i="13"/>
  <c r="F253" i="13"/>
  <c r="E253" i="13"/>
  <c r="A254" i="13" a="1"/>
  <c r="A254" i="13" s="1"/>
  <c r="B247" i="14"/>
  <c r="D247" i="14"/>
  <c r="G247" i="14"/>
  <c r="C247" i="14"/>
  <c r="F247" i="14"/>
  <c r="E247" i="14"/>
  <c r="H247" i="14"/>
  <c r="A248" i="14" a="1"/>
  <c r="A248" i="14" s="1"/>
  <c r="G254" i="13" l="1"/>
  <c r="B254" i="13"/>
  <c r="F254" i="13"/>
  <c r="D254" i="13"/>
  <c r="C254" i="13"/>
  <c r="H254" i="13"/>
  <c r="E254" i="13"/>
  <c r="F248" i="14"/>
  <c r="G248" i="14"/>
  <c r="C248" i="14"/>
  <c r="E248" i="14"/>
  <c r="B248" i="14"/>
  <c r="H248" i="14"/>
  <c r="D248" i="14"/>
  <c r="A249" i="14" a="1"/>
  <c r="A249" i="14" s="1"/>
  <c r="D249" i="14" l="1"/>
  <c r="G249" i="14"/>
  <c r="B249" i="14"/>
  <c r="C249" i="14"/>
  <c r="F249" i="14"/>
  <c r="H249" i="14"/>
  <c r="E249" i="14"/>
  <c r="A250" i="14" a="1"/>
  <c r="A250" i="14" s="1"/>
  <c r="H250" i="14" l="1"/>
  <c r="B250" i="14"/>
  <c r="D250" i="14"/>
  <c r="F250" i="14"/>
  <c r="C250" i="14"/>
  <c r="E250" i="14"/>
  <c r="G250" i="14"/>
  <c r="A251" i="14" a="1"/>
  <c r="A251" i="14" s="1"/>
  <c r="E251" i="14" l="1"/>
  <c r="G251" i="14"/>
  <c r="C251" i="14"/>
  <c r="H251" i="14"/>
  <c r="B251" i="14"/>
  <c r="D251" i="14"/>
  <c r="F251" i="14"/>
  <c r="A252" i="14" a="1"/>
  <c r="A252" i="14" s="1"/>
  <c r="F252" i="14" l="1"/>
  <c r="C252" i="14"/>
  <c r="G252" i="14"/>
  <c r="E252" i="14"/>
  <c r="B252" i="14"/>
  <c r="D252" i="14"/>
  <c r="H252" i="14"/>
  <c r="A253" i="14" a="1"/>
  <c r="A253" i="14" s="1"/>
  <c r="G253" i="14" l="1"/>
  <c r="D253" i="14"/>
  <c r="F253" i="14"/>
  <c r="H253" i="14"/>
  <c r="E253" i="14"/>
  <c r="C253" i="14"/>
  <c r="B253" i="14"/>
  <c r="A254" i="14" a="1"/>
  <c r="A254" i="14" s="1"/>
  <c r="D254" i="14" l="1"/>
  <c r="G254" i="14"/>
  <c r="B254" i="14"/>
  <c r="F254" i="14"/>
  <c r="H254" i="14"/>
  <c r="C254" i="14"/>
  <c r="E254" i="14"/>
</calcChain>
</file>

<file path=xl/sharedStrings.xml><?xml version="1.0" encoding="utf-8"?>
<sst xmlns="http://schemas.openxmlformats.org/spreadsheetml/2006/main" count="5008" uniqueCount="1441">
  <si>
    <t>Closed LLFCs</t>
  </si>
  <si>
    <t>Geographical name</t>
  </si>
  <si>
    <t>Notes:</t>
  </si>
  <si>
    <t>All times are UK clock-time.</t>
  </si>
  <si>
    <t>Metered voltage, respective periods and associated LLFCs</t>
  </si>
  <si>
    <t>Period 1</t>
  </si>
  <si>
    <t>Period 2</t>
  </si>
  <si>
    <t>Period 3</t>
  </si>
  <si>
    <t>Period 4</t>
  </si>
  <si>
    <t>Associated LLFC</t>
  </si>
  <si>
    <t>Site</t>
  </si>
  <si>
    <t>Demand</t>
  </si>
  <si>
    <t>Generation</t>
  </si>
  <si>
    <t>Time periods</t>
  </si>
  <si>
    <t>(Name 1)</t>
  </si>
  <si>
    <t>(Name 2)</t>
  </si>
  <si>
    <t>(Name 3)</t>
  </si>
  <si>
    <t>(Name 4)</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</si>
  <si>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</si>
  <si>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</si>
  <si>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</si>
  <si>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</si>
  <si>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</si>
  <si>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</si>
  <si>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</si>
  <si>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</si>
  <si>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</si>
  <si>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</si>
  <si>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</si>
  <si>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</si>
  <si>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</si>
  <si>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</si>
  <si>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</si>
  <si>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</si>
  <si>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</si>
  <si>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</si>
  <si>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Note: The list of MPANs / MSIDs provided may be incomplete; the DNO reserves the right to apply the listed charges to any other MPANs / MSIDs associated with the site.</t>
  </si>
  <si>
    <t>Nodal prices</t>
  </si>
  <si>
    <t>Reactive power charge
p/kVArh</t>
  </si>
  <si>
    <t>Local charge 1
£/kVA</t>
  </si>
  <si>
    <t>Remote charge 1
£/kVA</t>
  </si>
  <si>
    <t>LLFC</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</si>
  <si>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</si>
  <si>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</si>
  <si>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</si>
  <si>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</si>
  <si>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</si>
  <si>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</si>
  <si>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</si>
  <si>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</si>
  <si>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</si>
  <si>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</si>
  <si>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</si>
  <si>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</si>
  <si>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EHV site specific LLFs</t>
  </si>
  <si>
    <t>EDCM import 1</t>
  </si>
  <si>
    <t>EDCM export 1</t>
  </si>
  <si>
    <t>EDCM import 2</t>
  </si>
  <si>
    <t>EDCM import 3</t>
  </si>
  <si>
    <t>EDCM import 4</t>
  </si>
  <si>
    <t>EDCM import 5</t>
  </si>
  <si>
    <t>EDCM import 7</t>
  </si>
  <si>
    <t>EDCM import 8</t>
  </si>
  <si>
    <t>EDCM import 9</t>
  </si>
  <si>
    <t>EDCM export 2</t>
  </si>
  <si>
    <t>EDCM export 3</t>
  </si>
  <si>
    <t>EDCM export 4</t>
  </si>
  <si>
    <t>EDCM export 5</t>
  </si>
  <si>
    <t>EDCM export 7</t>
  </si>
  <si>
    <t>EDCM export 8</t>
  </si>
  <si>
    <t>EDCM export 9</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</si>
  <si>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</si>
  <si>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</si>
  <si>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</si>
  <si>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</si>
  <si>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</si>
  <si>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</si>
  <si>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</si>
  <si>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</si>
  <si>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</si>
  <si>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</si>
  <si>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June to August Inclusive</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</si>
  <si>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</si>
  <si>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</si>
  <si>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</si>
  <si>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</si>
  <si>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</si>
  <si>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</si>
  <si>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Saturday and Sunday
All year</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</si>
  <si>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</si>
  <si>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</si>
  <si>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</si>
  <si>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</si>
  <si>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</si>
  <si>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</si>
  <si>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</si>
  <si>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</si>
  <si>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</si>
  <si>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</si>
  <si>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</si>
  <si>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</si>
  <si>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</si>
  <si>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</si>
  <si>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</si>
  <si>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</si>
  <si>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</si>
  <si>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</si>
  <si>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</si>
  <si>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</si>
  <si>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</si>
  <si>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</si>
  <si>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</si>
  <si>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</si>
  <si>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</si>
  <si>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</si>
  <si>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</si>
  <si>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</si>
  <si>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</si>
  <si>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</si>
  <si>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</si>
  <si>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</si>
  <si>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</si>
  <si>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</si>
  <si>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</si>
  <si>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</si>
  <si>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</si>
  <si>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</si>
  <si>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</si>
  <si>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</si>
  <si>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</si>
  <si>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r>
      <t>Contains the underlying [</t>
    </r>
    <r>
      <rPr>
        <sz val="11"/>
        <color theme="3"/>
        <rFont val="Arial"/>
        <family val="2"/>
      </rPr>
      <t>nodal/network group</t>
    </r>
    <r>
      <rPr>
        <sz val="11"/>
        <rFont val="Arial"/>
        <family val="2"/>
      </rPr>
      <t xml:space="preserve">] costs used to calculate the current EDCM charges. </t>
    </r>
  </si>
  <si>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</si>
  <si>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</si>
  <si>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</si>
  <si>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</si>
  <si>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</si>
  <si>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</si>
  <si>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</si>
  <si>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</si>
  <si>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</si>
  <si>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</si>
  <si>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</si>
  <si>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</si>
  <si>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</si>
  <si>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</si>
  <si>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</si>
  <si>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</si>
  <si>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Copy EDCM table 5001 range starting B101 and paste into G11.  Extend or reduce print area as required.</t>
  </si>
  <si>
    <t>Copy from CDCM table 3701 "Tariffs!A42:I84" and paste values into A14</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</si>
  <si>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</si>
  <si>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</si>
  <si>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</si>
  <si>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</si>
  <si>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</si>
  <si>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</si>
  <si>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</si>
  <si>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</si>
  <si>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</si>
  <si>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</si>
  <si>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'DNOs paste value cells A15:J47 from CDCM 3701 into cells A14:J46</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</si>
  <si>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</si>
  <si>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</si>
  <si>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</si>
  <si>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</si>
  <si>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</si>
  <si>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</si>
  <si>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</si>
  <si>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Domestic Aggregated (related MPAN)</t>
  </si>
  <si>
    <t>Non-Domestic Aggregated</t>
  </si>
  <si>
    <t>Non-Domestic Aggregated (related MPAN)</t>
  </si>
  <si>
    <t>LV Site Specific</t>
  </si>
  <si>
    <t>LV Sub Site Specific</t>
  </si>
  <si>
    <t>HV Site Specific</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</si>
  <si>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</si>
  <si>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</si>
  <si>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</si>
  <si>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</si>
  <si>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</si>
  <si>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</si>
  <si>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</si>
  <si>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</si>
  <si>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</si>
  <si>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Site Specific preserved charges/additional LLFCs</t>
  </si>
  <si>
    <t>Time Bands for LV and HV Designated Properties</t>
  </si>
  <si>
    <t>Time Bands for Unmetered Properties</t>
  </si>
  <si>
    <t>Supercustomer preserved charges/additional LLFCs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</si>
  <si>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</si>
  <si>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</si>
  <si>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</si>
  <si>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</si>
  <si>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</si>
  <si>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</si>
  <si>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</si>
  <si>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</si>
  <si>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</si>
  <si>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</si>
  <si>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</si>
  <si>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</si>
  <si>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</si>
  <si>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</si>
  <si>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</si>
  <si>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</si>
  <si>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</si>
  <si>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</si>
  <si>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</si>
  <si>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</si>
  <si>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</si>
  <si>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</si>
  <si>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</si>
  <si>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</si>
  <si>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</si>
  <si>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</si>
  <si>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</si>
  <si>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</si>
  <si>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</si>
  <si>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</si>
  <si>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</si>
  <si>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</si>
  <si>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</si>
  <si>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</si>
  <si>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</si>
  <si>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</si>
  <si>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</si>
  <si>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</si>
  <si>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</si>
  <si>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</si>
  <si>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</si>
  <si>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</si>
  <si>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</si>
  <si>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</si>
  <si>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</si>
  <si>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</si>
  <si>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</si>
  <si>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</si>
  <si>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</si>
  <si>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</si>
  <si>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</si>
  <si>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</si>
  <si>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</si>
  <si>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</si>
  <si>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</si>
  <si>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</si>
  <si>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</si>
  <si>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</si>
  <si>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</si>
  <si>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</si>
  <si>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</si>
  <si>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</si>
  <si>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</si>
  <si>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</si>
  <si>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</si>
  <si>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</si>
  <si>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</si>
  <si>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</si>
  <si>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</si>
  <si>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</si>
  <si>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</si>
  <si>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</si>
  <si>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</si>
  <si>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</si>
  <si>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</si>
  <si>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</si>
  <si>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</si>
  <si>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</si>
  <si>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</si>
  <si>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</si>
  <si>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</si>
  <si>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</si>
  <si>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</si>
  <si>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</si>
  <si>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</si>
  <si>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</si>
  <si>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</si>
  <si>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</si>
  <si>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</si>
  <si>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</si>
  <si>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</si>
  <si>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</si>
  <si>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</si>
  <si>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</si>
  <si>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</si>
  <si>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</si>
  <si>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</si>
  <si>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</si>
  <si>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</si>
  <si>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</si>
  <si>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</si>
  <si>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</si>
  <si>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</si>
  <si>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</si>
  <si>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</si>
  <si>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</si>
  <si>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</si>
  <si>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</si>
  <si>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</si>
  <si>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</si>
  <si>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</si>
  <si>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</si>
  <si>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</si>
  <si>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</si>
  <si>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</si>
  <si>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</si>
  <si>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</si>
  <si>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</si>
  <si>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</si>
  <si>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</si>
  <si>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</si>
  <si>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</si>
  <si>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</si>
  <si>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</si>
  <si>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</si>
  <si>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</si>
  <si>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</si>
  <si>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</si>
  <si>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</si>
  <si>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</si>
  <si>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</si>
  <si>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</si>
  <si>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</si>
  <si>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</si>
  <si>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</si>
  <si>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</si>
  <si>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</si>
  <si>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</si>
  <si>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</si>
  <si>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</si>
  <si>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</si>
  <si>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</si>
  <si>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</si>
  <si>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</si>
  <si>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</si>
  <si>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</si>
  <si>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</si>
  <si>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</si>
  <si>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</si>
  <si>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</si>
  <si>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</si>
  <si>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</si>
  <si>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</si>
  <si>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</si>
  <si>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</si>
  <si>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</si>
  <si>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</si>
  <si>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</si>
  <si>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</si>
  <si>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</si>
  <si>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</si>
  <si>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</si>
  <si>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</si>
  <si>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</si>
  <si>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</si>
  <si>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</si>
  <si>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</si>
  <si>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</si>
  <si>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</si>
  <si>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</si>
  <si>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</si>
  <si>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</si>
  <si>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</si>
  <si>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</si>
  <si>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</si>
  <si>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</si>
  <si>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</si>
  <si>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</si>
  <si>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</si>
  <si>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</si>
  <si>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</si>
  <si>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</si>
  <si>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</si>
  <si>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</si>
  <si>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</si>
  <si>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</si>
  <si>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</si>
  <si>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</si>
  <si>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</si>
  <si>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</si>
  <si>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</si>
  <si>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</si>
  <si>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</si>
  <si>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</si>
  <si>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</si>
  <si>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</si>
  <si>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</si>
  <si>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</si>
  <si>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</si>
  <si>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</si>
  <si>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</si>
  <si>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</si>
  <si>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</si>
  <si>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</si>
  <si>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</si>
  <si>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</si>
  <si>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</si>
  <si>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</si>
  <si>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</si>
  <si>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</si>
  <si>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</si>
  <si>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</si>
  <si>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</si>
  <si>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</si>
  <si>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</si>
  <si>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</si>
  <si>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</si>
  <si>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</si>
  <si>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</si>
  <si>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</si>
  <si>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</si>
  <si>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</si>
  <si>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</si>
  <si>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</si>
  <si>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</si>
  <si>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</si>
  <si>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</si>
  <si>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</si>
  <si>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</si>
  <si>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</si>
  <si>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</si>
  <si>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</si>
  <si>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</si>
  <si>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</si>
  <si>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</si>
  <si>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</si>
  <si>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</si>
  <si>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</si>
  <si>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</si>
  <si>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</si>
  <si>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</si>
  <si>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</si>
  <si>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</si>
  <si>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</si>
  <si>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</si>
  <si>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</si>
  <si>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</si>
  <si>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</si>
  <si>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</si>
  <si>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</si>
  <si>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</si>
  <si>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</si>
  <si>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</si>
  <si>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</si>
  <si>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</si>
  <si>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</si>
  <si>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</si>
  <si>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2</t>
  </si>
  <si>
    <t>4</t>
  </si>
  <si>
    <t>0, 1 or 8</t>
  </si>
  <si>
    <t>Open LLFCs / LDNO unique billing identifier</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</si>
  <si>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</si>
  <si>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</si>
  <si>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</si>
  <si>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</si>
  <si>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</si>
  <si>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</si>
  <si>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</si>
  <si>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</si>
  <si>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</si>
  <si>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</si>
  <si>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</si>
  <si>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</si>
  <si>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</si>
  <si>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</si>
  <si>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</si>
  <si>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</si>
  <si>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</si>
  <si>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</si>
  <si>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</si>
  <si>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</si>
  <si>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</si>
  <si>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</si>
  <si>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</si>
  <si>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</si>
  <si>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</si>
  <si>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</si>
  <si>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</si>
  <si>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</si>
  <si>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</si>
  <si>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</si>
  <si>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</si>
  <si>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</si>
  <si>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</si>
  <si>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</si>
  <si>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</si>
  <si>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</si>
  <si>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</si>
  <si>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</si>
  <si>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</si>
  <si>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</si>
  <si>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</si>
  <si>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</si>
  <si>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</si>
  <si>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</si>
  <si>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</si>
  <si>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</si>
  <si>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</si>
  <si>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</si>
  <si>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</si>
  <si>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</si>
  <si>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Supplier of Last Resort 
Fixed charge adder*
p/MPAN/day</t>
  </si>
  <si>
    <t>Excess Supplier of Last Resort 
Fixed charge adder**
p/MPAN/day</t>
  </si>
  <si>
    <t>Eligible Bad Debt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</si>
  <si>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</si>
  <si>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</si>
  <si>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with Residual</t>
  </si>
  <si>
    <t>Domestic Aggregated (Related MPAN)</t>
  </si>
  <si>
    <t>Non-Domestic Aggregated No Residual</t>
  </si>
  <si>
    <t>Non-Domestic Aggregated Band 1</t>
  </si>
  <si>
    <t>Non-Domestic Aggregated Band 2</t>
  </si>
  <si>
    <t>Non-Domestic Aggregated Band 3</t>
  </si>
  <si>
    <t>Non-Domestic Aggregated Band 4</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</si>
  <si>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</si>
  <si>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</si>
  <si>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</si>
  <si>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</si>
  <si>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</si>
  <si>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</si>
  <si>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</si>
  <si>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</si>
  <si>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</si>
  <si>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</si>
  <si>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</si>
  <si>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</si>
  <si>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</si>
  <si>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</si>
  <si>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</si>
  <si>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Domestic Aggregated with Residual</t>
  </si>
  <si>
    <t>LDNO LV: Domestic Aggregated (Related MPAN)</t>
  </si>
  <si>
    <t>LDNO LV: Non-Domestic Aggregated No Residual</t>
  </si>
  <si>
    <t>LDNO LV: Non-Domestic Aggregated Band 1</t>
  </si>
  <si>
    <t>LDNO LV: Non-Domestic Aggregated Band 2</t>
  </si>
  <si>
    <t>LDNO LV: Non-Domestic Aggregated Band 3</t>
  </si>
  <si>
    <t>LDNO LV: Non-Domestic Aggregated Band 4</t>
  </si>
  <si>
    <t>LDNO LV: LV Site Specific No Residual</t>
  </si>
  <si>
    <t>LDNO LV: LV Site Specific Band 1</t>
  </si>
  <si>
    <t>LDNO LV: LV Site Specific Band 2</t>
  </si>
  <si>
    <t>LDNO LV: LV Site Specific Band 3</t>
  </si>
  <si>
    <t>LDNO LV: LV Site Specific Band 4</t>
  </si>
  <si>
    <t>LDNO HV: Domestic Aggregated with Residual</t>
  </si>
  <si>
    <t>LDNO HV: Domestic Aggregated (Related MPAN)</t>
  </si>
  <si>
    <t>LDNO HV: Non-Domestic Aggregated No Residual</t>
  </si>
  <si>
    <t>LDNO HV: Non-Domestic Aggregated Band 1</t>
  </si>
  <si>
    <t>LDNO HV: Non-Domestic Aggregated Band 2</t>
  </si>
  <si>
    <t>LDNO HV: Non-Domestic Aggregated Band 3</t>
  </si>
  <si>
    <t>LDNO HV: Non-Domestic Aggregated Band 4</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</si>
  <si>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</si>
  <si>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</si>
  <si>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</si>
  <si>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</si>
  <si>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</si>
  <si>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</si>
  <si>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</si>
  <si>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</si>
  <si>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</si>
  <si>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</si>
  <si>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</si>
  <si>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</si>
  <si>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</si>
  <si>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</si>
  <si>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</si>
  <si>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Domestic Aggregated with Residual</t>
  </si>
  <si>
    <t>LDNO 0000: Domestic Aggregated (Related MPAN)</t>
  </si>
  <si>
    <t>LDNO 0000: Non-Domestic Aggregated No Residual</t>
  </si>
  <si>
    <t>LDNO 0000: Non-Domestic Aggregated Band 1</t>
  </si>
  <si>
    <t>LDNO 0000: Non-Domestic Aggregated Band 2</t>
  </si>
  <si>
    <t>LDNO 0000: Non-Domestic Aggregated Band 3</t>
  </si>
  <si>
    <t>LDNO 0000: Non-Domestic Aggregated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</si>
  <si>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</si>
  <si>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</si>
  <si>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</si>
  <si>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</si>
  <si>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</si>
  <si>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</si>
  <si>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</si>
  <si>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</si>
  <si>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</si>
  <si>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</si>
  <si>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</si>
  <si>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</si>
  <si>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</si>
  <si>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</si>
  <si>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</si>
  <si>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Domestic Aggregated with Residual</t>
  </si>
  <si>
    <t>LDNO 132kV: Domestic Aggregated (Related MPAN)</t>
  </si>
  <si>
    <t>LDNO 132kV: Non-Domestic Aggregated No Residual</t>
  </si>
  <si>
    <t>LDNO 132kV: Non-Domestic Aggregated Band 1</t>
  </si>
  <si>
    <t>LDNO 132kV: Non-Domestic Aggregated Band 2</t>
  </si>
  <si>
    <t>LDNO 132kV: Non-Domestic Aggregated Band 3</t>
  </si>
  <si>
    <t>LDNO 132kV: Non-Domestic Aggregated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</si>
  <si>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</si>
  <si>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</si>
  <si>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</si>
  <si>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</si>
  <si>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</si>
  <si>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</si>
  <si>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</si>
  <si>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</si>
  <si>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</si>
  <si>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</si>
  <si>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</si>
  <si>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</si>
  <si>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</si>
  <si>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</si>
  <si>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</si>
  <si>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Domestic Aggregated with Residual</t>
  </si>
  <si>
    <t>LDNO 132kV/EHV: Domestic Aggregated (Related MPAN)</t>
  </si>
  <si>
    <t>LDNO 132kV/EHV: Non-Domestic Aggregated No Residual</t>
  </si>
  <si>
    <t>LDNO 132kV/EHV: Non-Domestic Aggregated Band 1</t>
  </si>
  <si>
    <t>LDNO 132kV/EHV: Non-Domestic Aggregated Band 2</t>
  </si>
  <si>
    <t>LDNO 132kV/EHV: Non-Domestic Aggregated Band 3</t>
  </si>
  <si>
    <t>LDNO 132kV/EHV: Non-Domestic Aggregated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</si>
  <si>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</si>
  <si>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</si>
  <si>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</si>
  <si>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</si>
  <si>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</si>
  <si>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</si>
  <si>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</si>
  <si>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</si>
  <si>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</si>
  <si>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</si>
  <si>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</si>
  <si>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</si>
  <si>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</si>
  <si>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</si>
  <si>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</si>
  <si>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Domestic Aggregated with Residual</t>
  </si>
  <si>
    <t>LDNO EHV: Domestic Aggregated (Related MPAN)</t>
  </si>
  <si>
    <t>LDNO EHV: Non-Domestic Aggregated No Residual</t>
  </si>
  <si>
    <t>LDNO EHV: Non-Domestic Aggregated Band 1</t>
  </si>
  <si>
    <t>LDNO EHV: Non-Domestic Aggregated Band 2</t>
  </si>
  <si>
    <t>LDNO EHV: Non-Domestic Aggregated Band 3</t>
  </si>
  <si>
    <t>LDNO EHV: Non-Domestic Aggregated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</si>
  <si>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</si>
  <si>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</si>
  <si>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</si>
  <si>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</si>
  <si>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</si>
  <si>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</si>
  <si>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</si>
  <si>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</si>
  <si>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</si>
  <si>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</si>
  <si>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</si>
  <si>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</si>
  <si>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</si>
  <si>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</si>
  <si>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</si>
  <si>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Domestic Aggregated with Residual</t>
  </si>
  <si>
    <t>LDNO HVplus: Domestic Aggregated (Related MPAN)</t>
  </si>
  <si>
    <t>LDNO HVplus: Non-Domestic Aggregated No Residual</t>
  </si>
  <si>
    <t>LDNO HVplus: Non-Domestic Aggregated Band 1</t>
  </si>
  <si>
    <t>LDNO HVplus: Non-Domestic Aggregated Band 2</t>
  </si>
  <si>
    <t>LDNO HVplus: Non-Domestic Aggregated Band 3</t>
  </si>
  <si>
    <t>LDNO HVplus: Non-Domestic Aggregated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</si>
  <si>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</si>
  <si>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</si>
  <si>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</si>
  <si>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</si>
  <si>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</si>
  <si>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</si>
  <si>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</si>
  <si>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</si>
  <si>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</si>
  <si>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</si>
  <si>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</si>
  <si>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</si>
  <si>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</si>
  <si>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</si>
  <si>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</si>
  <si>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</si>
  <si>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</si>
  <si>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</si>
  <si>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</si>
  <si>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</si>
  <si>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</si>
  <si>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LDNO LV: Domestic Aggregated</t>
  </si>
  <si>
    <t>LDNO HV: Domestic Aggregated</t>
  </si>
  <si>
    <t>LDNO HVplus: Domestic Aggregated</t>
  </si>
  <si>
    <t>LDNO EHV: Domestic Aggregated</t>
  </si>
  <si>
    <t>LDNO 132kV/EHV: Domestic Aggregated</t>
  </si>
  <si>
    <t>LDNO 132kV: Domestic Aggregated</t>
  </si>
  <si>
    <t>LDNO 0000: Domestic Aggregated</t>
  </si>
  <si>
    <t>0, 3, 4, 5-8</t>
  </si>
  <si>
    <t>0, 1, 2</t>
  </si>
  <si>
    <t>Units</t>
  </si>
  <si>
    <t>kWh</t>
  </si>
  <si>
    <t>kVA</t>
  </si>
  <si>
    <t>∞</t>
  </si>
  <si>
    <t>Lower Threshold*</t>
  </si>
  <si>
    <t>Upper Threshold*</t>
  </si>
  <si>
    <t>* All boundaries are inclusive of the upper threshold and exclusive of the lower threshold i.e. Lower &lt; x ≤ Upper.</t>
  </si>
  <si>
    <t>Residual Charge per MPAN (£)</t>
  </si>
  <si>
    <t>Designated Properties connected at LV, billing with no MIC</t>
  </si>
  <si>
    <t>Designated EHV Properties</t>
  </si>
  <si>
    <t>Designated Properties connected at HV</t>
  </si>
  <si>
    <t>Designated Properties connected at LV, billing with MIC</t>
  </si>
  <si>
    <t>2022/23</t>
  </si>
  <si>
    <t>1 April 2022</t>
  </si>
  <si>
    <t>16.30 - 19.30</t>
  </si>
  <si>
    <t>08.00 - 16.30
19.30 - 22.30</t>
  </si>
  <si>
    <t>00.00 - 08.00
22.30 - 00.00</t>
  </si>
  <si>
    <t>16.00 - 20.00</t>
  </si>
  <si>
    <t>00.00 - 16.00
20.00 - 00.00</t>
  </si>
  <si>
    <t>08.00 - 22.30</t>
  </si>
  <si>
    <t>00:00-16:00
20:00-00:00</t>
  </si>
  <si>
    <t>G00, H00</t>
  </si>
  <si>
    <t>G01, H01</t>
  </si>
  <si>
    <t>G02, H02</t>
  </si>
  <si>
    <t>G03, H03</t>
  </si>
  <si>
    <t>G04, H04</t>
  </si>
  <si>
    <t>K00, L00</t>
  </si>
  <si>
    <t>K01, L01</t>
  </si>
  <si>
    <t>K02, L02</t>
  </si>
  <si>
    <t>K03, L03</t>
  </si>
  <si>
    <t>K04, L04</t>
  </si>
  <si>
    <t>M00, N00</t>
  </si>
  <si>
    <t>M01, N01</t>
  </si>
  <si>
    <t>M02, N02</t>
  </si>
  <si>
    <t>M03, N03</t>
  </si>
  <si>
    <t>M04, N04</t>
  </si>
  <si>
    <t>16:30 - 19:30</t>
  </si>
  <si>
    <t>3, 4 or 5-8</t>
  </si>
  <si>
    <t xml:space="preserve">Unit time periods are as specified in the SSC. </t>
  </si>
  <si>
    <t xml:space="preserve">SP Manweb uses a default tariff for invalid settlement combinations these will be charged at the Domestic Aggregated Unrestricted Rates.
The Domestic and Non-Domestic Aggregated (related MPAN) tariffs are supplementary to a standard published tariff and therefore only available under these conditions.
Preserved tariffs are only available to existing supplies, subject to certain conditions:
a)  Suppliers may not normally transfer a meter point from one preserved tariff to another preserved tariff;
b)  If a supply under a preserved tariff should cease, other than on change of tenancy, the preserved tariff may not normally be restored;
c)  Any additional load requried to be supplied on the preserved tariff must be within the existing supply capacity.
</t>
  </si>
  <si>
    <t>As detailed in Annex 1</t>
  </si>
  <si>
    <t>Preserved tariffs are only available to existing supplies, subject to certain conditions:
a)  Suppliers may not normally transfer a meter point from one preserved tariff to another preserved tariff;
b)  If a supply under a preserved tariff should cease, other than on change of tenancy, the preserved tariff may not normally be restored;
c)  Any additional load requried to be supplied on the preserved tariff must be within the existing supply capacity.</t>
  </si>
  <si>
    <t>33kV generic Import</t>
  </si>
  <si>
    <t>33kV generic Export</t>
  </si>
  <si>
    <t>132kV generic Import</t>
  </si>
  <si>
    <t>132kV generic Export</t>
  </si>
  <si>
    <t>100, 101, 110, 111, 114, 115, 118, 119, 120, 121, 160, 161, 162, 163, 180</t>
  </si>
  <si>
    <t>112, 113, 116, 117, 132, 133, 136, 137, 164, 165, 166</t>
  </si>
  <si>
    <t>130, 134, 135</t>
  </si>
  <si>
    <t>D00,F00</t>
  </si>
  <si>
    <t>D01,F01</t>
  </si>
  <si>
    <t>D02,F02</t>
  </si>
  <si>
    <t>D03,F03</t>
  </si>
  <si>
    <t>D04,F04</t>
  </si>
  <si>
    <t>500, 502, 504</t>
  </si>
  <si>
    <t>506, 507, 508</t>
  </si>
  <si>
    <t>501, 505, 503</t>
  </si>
  <si>
    <t>900, 901, 902, 903, 910</t>
  </si>
  <si>
    <t>781, 782, 783, 784, 785</t>
  </si>
  <si>
    <t>603, 604, 607, 608</t>
  </si>
  <si>
    <t>794, 795</t>
  </si>
  <si>
    <t>609, 610</t>
  </si>
  <si>
    <t>796, 797</t>
  </si>
  <si>
    <t>605, 606, 611, 612</t>
  </si>
  <si>
    <t>798, 799</t>
  </si>
  <si>
    <t>904, 905, 906, 907, 908, 909</t>
  </si>
  <si>
    <t>Monday to Friday 
March to October</t>
  </si>
  <si>
    <t>Monday to Friday 
November to February</t>
  </si>
  <si>
    <t>310 - 340 inclusive
750 - 765 inclusive
862, 866, 867</t>
  </si>
  <si>
    <t>MSID 8083</t>
  </si>
  <si>
    <t>MSID 8085</t>
  </si>
  <si>
    <t>MSID 8334</t>
  </si>
  <si>
    <t>MSID 8339</t>
  </si>
  <si>
    <t>MSID 8341</t>
  </si>
  <si>
    <t>MSID 8347</t>
  </si>
  <si>
    <t>MSID 8348</t>
  </si>
  <si>
    <t>MSID 8349</t>
  </si>
  <si>
    <t>MSID 8359</t>
  </si>
  <si>
    <t>TBA 18A</t>
  </si>
  <si>
    <t>TBA 2A</t>
  </si>
  <si>
    <t>TBA 6A</t>
  </si>
  <si>
    <t>TBA 13A</t>
  </si>
  <si>
    <t>TBA 16A</t>
  </si>
  <si>
    <t>TBA 3A</t>
  </si>
  <si>
    <t>TBA 7A</t>
  </si>
  <si>
    <t>TBA 9A</t>
  </si>
  <si>
    <t>TBA 14A</t>
  </si>
  <si>
    <t>TBA 15A</t>
  </si>
  <si>
    <t>TBA 17A</t>
  </si>
  <si>
    <t>TBA 10A</t>
  </si>
  <si>
    <t>TBA 11A</t>
  </si>
  <si>
    <t>TBA 12A</t>
  </si>
  <si>
    <t>TBA 1A</t>
  </si>
  <si>
    <t>Rhodders</t>
  </si>
  <si>
    <t>Minsca</t>
  </si>
  <si>
    <t xml:space="preserve">Bankend Rig </t>
  </si>
  <si>
    <t>Barlockhart Moor</t>
  </si>
  <si>
    <t>Blantyre Muir</t>
  </si>
  <si>
    <t>Hunterston WF</t>
  </si>
  <si>
    <t>Middleton Farm</t>
  </si>
  <si>
    <t>Neilston Community</t>
  </si>
  <si>
    <t>Garlaff Landfill</t>
  </si>
  <si>
    <t>Hagshaw Hill Extension</t>
  </si>
  <si>
    <t>Muirhall</t>
  </si>
  <si>
    <t>Burnfoot</t>
  </si>
  <si>
    <t>Westfield WF</t>
  </si>
  <si>
    <t>Barmoor WF</t>
  </si>
  <si>
    <t>Nutberry WF</t>
  </si>
  <si>
    <t>Carcreugh WF</t>
  </si>
  <si>
    <t>Magnox</t>
  </si>
  <si>
    <t>West Browncastle WF</t>
  </si>
  <si>
    <t>Viridor (Waste energy)</t>
  </si>
  <si>
    <t>Craigengelt</t>
  </si>
  <si>
    <t>Greenknowes</t>
  </si>
  <si>
    <t>Ewe Hill Dumfries WF</t>
  </si>
  <si>
    <t>Langhope Rig (D) WF</t>
  </si>
  <si>
    <t>Muirhall Extention WF</t>
  </si>
  <si>
    <t>Aikengall</t>
  </si>
  <si>
    <t>Hagshaw Hill</t>
  </si>
  <si>
    <t>Gallow Rig</t>
  </si>
  <si>
    <t>Polwhat Rig</t>
  </si>
  <si>
    <t>Greendykeside</t>
  </si>
  <si>
    <t>Dun Law</t>
  </si>
  <si>
    <t>EPR Scotland Ltd</t>
  </si>
  <si>
    <t>Bowbeat (Emly Bank)</t>
  </si>
  <si>
    <t>Bowbeat (Roughsidehill)</t>
  </si>
  <si>
    <t>Harehill</t>
  </si>
  <si>
    <t>Shanks &amp; McEwan 3&amp;4</t>
  </si>
  <si>
    <t>Shanks &amp; McEwan 5</t>
  </si>
  <si>
    <t>Crystal Rig</t>
  </si>
  <si>
    <t>Haupland Muir (Ardrossan)</t>
  </si>
  <si>
    <t>Wetherhill</t>
  </si>
  <si>
    <t>Artfield WF</t>
  </si>
  <si>
    <t>Wardlaw Wood</t>
  </si>
  <si>
    <t>Earlsburn</t>
  </si>
  <si>
    <t>Blackhill</t>
  </si>
  <si>
    <t>Dalswinton</t>
  </si>
  <si>
    <t>Steven's Croft Biomass</t>
  </si>
  <si>
    <t>Longpark</t>
  </si>
  <si>
    <t>BOC</t>
  </si>
  <si>
    <t>Calder Water WF</t>
  </si>
  <si>
    <t>Babcock Thorn</t>
  </si>
  <si>
    <t>Lafarge UK</t>
  </si>
  <si>
    <t>Pateshill</t>
  </si>
  <si>
    <t>Clydeport</t>
  </si>
  <si>
    <t>Tesco</t>
  </si>
  <si>
    <t>Gevens Wind Farm</t>
  </si>
  <si>
    <t>Weir Pumps</t>
  </si>
  <si>
    <t>North Rhins</t>
  </si>
  <si>
    <t>Tod Hills Windfarm</t>
  </si>
  <si>
    <t xml:space="preserve">Hoprigshiels </t>
  </si>
  <si>
    <t>MuirHall Extension II WF</t>
  </si>
  <si>
    <t>Polmadie (Waste energy A)</t>
  </si>
  <si>
    <t>Millour Hill</t>
  </si>
  <si>
    <t>Glenkerie</t>
  </si>
  <si>
    <t>Kelburn (A)</t>
  </si>
  <si>
    <t>Kelburn (B)</t>
  </si>
  <si>
    <t>Little Raith</t>
  </si>
  <si>
    <t>Drone Hill</t>
  </si>
  <si>
    <t>Pearie Law Wind Farm</t>
  </si>
  <si>
    <t>Earlseat WF</t>
  </si>
  <si>
    <t>Dungavel WF</t>
  </si>
  <si>
    <t>Burnhead Bathgate WF</t>
  </si>
  <si>
    <t>Shanks &amp; McEwan 6</t>
  </si>
  <si>
    <t>Ardoch &amp; Over Enoch WF</t>
  </si>
  <si>
    <t>Glenchamber</t>
  </si>
  <si>
    <t>Penmansheill</t>
  </si>
  <si>
    <t>Tormywheel</t>
  </si>
  <si>
    <t>Quixwood Wind Farm</t>
  </si>
  <si>
    <t>Dumbarton</t>
  </si>
  <si>
    <t>Stirling Road</t>
  </si>
  <si>
    <t>Markinch</t>
  </si>
  <si>
    <t>Harehill Extension</t>
  </si>
  <si>
    <t>Aries</t>
  </si>
  <si>
    <t>Andershaw WF</t>
  </si>
  <si>
    <t>Assel Valley</t>
  </si>
  <si>
    <t>Auchrobert</t>
  </si>
  <si>
    <t>Harburnhead</t>
  </si>
  <si>
    <t>Craigannet</t>
  </si>
  <si>
    <t>Solwaybank</t>
  </si>
  <si>
    <t>Millerhill EFW</t>
  </si>
  <si>
    <t>Broxburn ESS</t>
  </si>
  <si>
    <t>Sneddon Law WF</t>
  </si>
  <si>
    <t>Roaring Hill ESS</t>
  </si>
  <si>
    <t>Redhouse Energy Storage site (ESS)</t>
  </si>
  <si>
    <t>Inverclyde Windfarm</t>
  </si>
  <si>
    <t>Harelaw Gas</t>
  </si>
  <si>
    <t>Byers Brae Battery Storage</t>
  </si>
  <si>
    <t>Netherton Gas</t>
  </si>
  <si>
    <t>Carbrain Gas</t>
  </si>
  <si>
    <t>Leven Gas Generation</t>
  </si>
  <si>
    <t>Carmuirs Gas</t>
  </si>
  <si>
    <t>Abercorn Street</t>
  </si>
  <si>
    <t>GSK Irvine</t>
  </si>
  <si>
    <t>Nether Farm</t>
  </si>
  <si>
    <t>Calachem RDF CHP Plant</t>
  </si>
  <si>
    <t>East Mains Gas</t>
  </si>
  <si>
    <t xml:space="preserve">Drumcross ESS </t>
  </si>
  <si>
    <t>Easter Drumclair WF</t>
  </si>
  <si>
    <t>Camilla Farm ESS</t>
  </si>
  <si>
    <t>Nairn Road Alpha</t>
  </si>
  <si>
    <t>Nairn Road Bravo</t>
  </si>
  <si>
    <t>Southrigg 2 WF</t>
  </si>
  <si>
    <t>Abbotshaugh Reserve Power Facility</t>
  </si>
  <si>
    <t>MSID 8182</t>
  </si>
  <si>
    <t>MSID 8183</t>
  </si>
  <si>
    <t>MSID 8732</t>
  </si>
  <si>
    <t>MSID 8340</t>
  </si>
  <si>
    <t>MSID 8366</t>
  </si>
  <si>
    <t>MSID 8360</t>
  </si>
  <si>
    <t>TBA 18B</t>
  </si>
  <si>
    <t>TBA 2B</t>
  </si>
  <si>
    <t>TBA 6B</t>
  </si>
  <si>
    <t>TBA 13B</t>
  </si>
  <si>
    <t>TBA 16B</t>
  </si>
  <si>
    <t>TBA 3B</t>
  </si>
  <si>
    <t>TBA 7B</t>
  </si>
  <si>
    <t>TBA 8B</t>
  </si>
  <si>
    <t>TBA 9B</t>
  </si>
  <si>
    <t>TBA 14B</t>
  </si>
  <si>
    <t>TBA 15B</t>
  </si>
  <si>
    <t>TBA 17B</t>
  </si>
  <si>
    <t>TBA 10B</t>
  </si>
  <si>
    <t>TBA 11B</t>
  </si>
  <si>
    <t>TBA 12B</t>
  </si>
  <si>
    <t>TBA 1B</t>
  </si>
  <si>
    <t>SP Distribution</t>
  </si>
  <si>
    <t>Monday to Friday 
(Including Bank Holidays)
March, April, May and September, October</t>
  </si>
  <si>
    <t>Monday to Friday 
(Including Bank Holidays)
March to May, &amp; September to October, Inclusive</t>
  </si>
  <si>
    <t>KILBOWIE 33kV</t>
  </si>
  <si>
    <t>CUMBERNAULD</t>
  </si>
  <si>
    <t>ST ANDREWS CROSS</t>
  </si>
  <si>
    <t>COATBRIDGE</t>
  </si>
  <si>
    <t>GLENLUCE &amp; NEWTON STEWART</t>
  </si>
  <si>
    <t>DEVONSIDE</t>
  </si>
  <si>
    <t>CHAPELCROSS</t>
  </si>
  <si>
    <t>LINMILL &amp; NEWARTHILL</t>
  </si>
  <si>
    <t>SHRUBHILL</t>
  </si>
  <si>
    <t>LEVEN</t>
  </si>
  <si>
    <t>DRUMCHAPEL</t>
  </si>
  <si>
    <t>JOHNSTONE</t>
  </si>
  <si>
    <t>E KILBRIDE SOUTH</t>
  </si>
  <si>
    <t>BATHGATE</t>
  </si>
  <si>
    <t>MAYBOLE</t>
  </si>
  <si>
    <t>CUPAR</t>
  </si>
  <si>
    <t>CROOKSTON B</t>
  </si>
  <si>
    <t>GRANGEMOUTH A</t>
  </si>
  <si>
    <t>EASTERHOUSE</t>
  </si>
  <si>
    <t>AYR</t>
  </si>
  <si>
    <t>BERWICK &amp; ECCLES &amp; GALASHIELS</t>
  </si>
  <si>
    <t>SIGHTHILL</t>
  </si>
  <si>
    <t>CLYDE'S MILL</t>
  </si>
  <si>
    <t>BAINSFORD</t>
  </si>
  <si>
    <t>DEVOL MOOR</t>
  </si>
  <si>
    <t>STRATHLEVEN</t>
  </si>
  <si>
    <t>KILLERMONT</t>
  </si>
  <si>
    <t>PAISLEY</t>
  </si>
  <si>
    <t>BROXBURN</t>
  </si>
  <si>
    <t>KILMARNOCK TOWN</t>
  </si>
  <si>
    <t>DUNBAR</t>
  </si>
  <si>
    <t>WISHAW</t>
  </si>
  <si>
    <t>GIFFNOCK</t>
  </si>
  <si>
    <t>REDHOUSE</t>
  </si>
  <si>
    <t>LIVINGSTON EAST</t>
  </si>
  <si>
    <t>BONNYBRIDGE</t>
  </si>
  <si>
    <t>KAIMES</t>
  </si>
  <si>
    <t>WESTFIELD</t>
  </si>
  <si>
    <t>HELENSBURGH</t>
  </si>
  <si>
    <t>BRAEHEAD PARK</t>
  </si>
  <si>
    <t>HUNTERSTON FARM</t>
  </si>
  <si>
    <t>GLENNISTON</t>
  </si>
  <si>
    <t>STRATHAVEN</t>
  </si>
  <si>
    <t>INVERKEITHING</t>
  </si>
  <si>
    <t>SALTCOATS A&amp;B</t>
  </si>
  <si>
    <t>SPANGO VALLEY</t>
  </si>
  <si>
    <t>DUNFERMLINE</t>
  </si>
  <si>
    <t>GOVAN</t>
  </si>
  <si>
    <t>DUMFRIES</t>
  </si>
  <si>
    <t>CHARLOTTE STREET</t>
  </si>
  <si>
    <t>CARNTYNE</t>
  </si>
  <si>
    <t>PORT DUNDAS</t>
  </si>
  <si>
    <t>COYLTON</t>
  </si>
  <si>
    <t>COCKENZIE</t>
  </si>
  <si>
    <t>PORTOBELLO</t>
  </si>
  <si>
    <t>GLENROTHES</t>
  </si>
  <si>
    <t>EAST KILBRIDE</t>
  </si>
  <si>
    <t>STIRLING</t>
  </si>
  <si>
    <t>HAWICK</t>
  </si>
  <si>
    <t>WHISTLEFIELD</t>
  </si>
  <si>
    <t>DEWAR PLACE</t>
  </si>
  <si>
    <t>CROOKSTON A</t>
  </si>
  <si>
    <t>KILWINNING</t>
  </si>
  <si>
    <t>DRUMCROSS</t>
  </si>
  <si>
    <t>WEST GEORGE ST</t>
  </si>
  <si>
    <t>DUMFRIES ICI</t>
  </si>
  <si>
    <t>ELDERSLIE</t>
  </si>
  <si>
    <t>ERSKINE</t>
  </si>
  <si>
    <t>PARTICK</t>
  </si>
  <si>
    <t>WHITEHOUSE</t>
  </si>
  <si>
    <t>GORGIE</t>
  </si>
  <si>
    <t>HAGGS ROAD</t>
  </si>
  <si>
    <t>KILMARNOCK SOUTH</t>
  </si>
  <si>
    <t>TELFORD ROAD</t>
  </si>
  <si>
    <t>RAVENSCRAIG</t>
  </si>
  <si>
    <t>TONGLAND 11kV GSP</t>
  </si>
  <si>
    <t>ABBEY/ABBE5-11.000</t>
  </si>
  <si>
    <t>ABRON/ABRL5-11.000</t>
  </si>
  <si>
    <t>ADMIR/ADMS6-6.6000</t>
  </si>
  <si>
    <t>AIRDR/AIRD5-11.000</t>
  </si>
  <si>
    <t>ALLOA/ALGA5-11.000</t>
  </si>
  <si>
    <t>ANNAN/ANAN5-11.000</t>
  </si>
  <si>
    <t>ANNFI/ANNF6-6.6000</t>
  </si>
  <si>
    <t>ANSTR/ANST5-11.000</t>
  </si>
  <si>
    <t>ARCHE/ARCR5-11.000</t>
  </si>
  <si>
    <t>ARDGO/ARDD5-11.000</t>
  </si>
  <si>
    <t>ARMAD/ARMA5-11.000</t>
  </si>
  <si>
    <t>ATHLE/ATHL0G11.000</t>
  </si>
  <si>
    <t>AUCHT/AUCM5-11.000</t>
  </si>
  <si>
    <t>AUCHN/AUCN5-11.000</t>
  </si>
  <si>
    <t>AURS /AURR5-</t>
  </si>
  <si>
    <t>AVECI/AVEC5-</t>
  </si>
  <si>
    <t>AVENU/AVEE5-11.000</t>
  </si>
  <si>
    <t>AYTON/AYTO5-11.000</t>
  </si>
  <si>
    <t>BARNT/BAGR5-11.000</t>
  </si>
  <si>
    <t>BAKER/BAKS5-11.000</t>
  </si>
  <si>
    <t>BALGR/BALG5-11.000</t>
  </si>
  <si>
    <t>BALH/BALH0G 11.000</t>
  </si>
  <si>
    <t>BALLO/BALL5-11.000</t>
  </si>
  <si>
    <t>BALMO/BAMO5-11.000</t>
  </si>
  <si>
    <t>BARNT/BAQU6-6.6000</t>
  </si>
  <si>
    <t>BARRH/BARH5-11.000</t>
  </si>
  <si>
    <t>BARRH/BARR5-11.000</t>
  </si>
  <si>
    <t>BARTE/BART5-11.000</t>
  </si>
  <si>
    <t>BEECH/BEEC0-11.000</t>
  </si>
  <si>
    <t>BELHA/BELH5-11.000</t>
  </si>
  <si>
    <t>BELHA/BELW5-11.000</t>
  </si>
  <si>
    <t>BERRY/BERR5-11.000</t>
  </si>
  <si>
    <t>BIGGA/BGAR5-11.000</t>
  </si>
  <si>
    <t>BISHO/BIBR5-11.000</t>
  </si>
  <si>
    <t>BISHO/BISH5-11.000</t>
  </si>
  <si>
    <t>BIRRE/BIWY5-11.000</t>
  </si>
  <si>
    <t>BLAIRL1A    11.000</t>
  </si>
  <si>
    <t>BLACK/BLAS5-11.000</t>
  </si>
  <si>
    <t>BLACK/BLBU5-11.000</t>
  </si>
  <si>
    <t>BONNI/BONG5-11.000</t>
  </si>
  <si>
    <t>BONES/BONS5-11.000</t>
  </si>
  <si>
    <t>BONNI/BORO5-11.000</t>
  </si>
  <si>
    <t>BOUND/BOUS5-11.000</t>
  </si>
  <si>
    <t>BOWHI/BOWH5-11.000</t>
  </si>
  <si>
    <t>BP DA/BPDA5-11.000</t>
  </si>
  <si>
    <t>BP FI/BPFI5-11.000</t>
  </si>
  <si>
    <t>BRAID/BRAD5-11.000</t>
  </si>
  <si>
    <t>BROXB/BROX5-11.000</t>
  </si>
  <si>
    <t>BURNT/BUIS5-11.000</t>
  </si>
  <si>
    <t>BURNB/BUNK5-11.000</t>
  </si>
  <si>
    <t>BURGH/BURG5-11.000</t>
  </si>
  <si>
    <t>BURNF/BURN5-11.000</t>
  </si>
  <si>
    <t>BURNS/BUSI5-11.000</t>
  </si>
  <si>
    <t>BYREH/BYRE5-11.000</t>
  </si>
  <si>
    <t>CALLE/CADA5-11.000</t>
  </si>
  <si>
    <t>CADDL/CADD5-11.000</t>
  </si>
  <si>
    <t>CALAI/CALA5A11.000</t>
  </si>
  <si>
    <t>CALAI/CALA5B11.000</t>
  </si>
  <si>
    <t>CASTL/CALE5-11.000</t>
  </si>
  <si>
    <t>CAMEL/CALO5-11.000</t>
  </si>
  <si>
    <t>CALTO/CALT5-11.000</t>
  </si>
  <si>
    <t>CAMER/CAME5-11.000</t>
  </si>
  <si>
    <t>CASTL/CAND5A11.000</t>
  </si>
  <si>
    <t>CASTL/CAND5B11.000</t>
  </si>
  <si>
    <t>CARDO/CARD5-11.000</t>
  </si>
  <si>
    <t>CARGE/CARG5-11.000</t>
  </si>
  <si>
    <t>CARMU/CARM5-11.000</t>
  </si>
  <si>
    <t>CARRO/CARN5-11.000</t>
  </si>
  <si>
    <t>CARRU/CARU5-11.000</t>
  </si>
  <si>
    <t>CASTL/CASM5-11.000</t>
  </si>
  <si>
    <t>CATH01      11.000</t>
  </si>
  <si>
    <t>CATHK/CATK5-11.000</t>
  </si>
  <si>
    <t>CHAPE/CHEL5-11.000</t>
  </si>
  <si>
    <t>CHIRN/CHIR5-11.000</t>
  </si>
  <si>
    <t>CHARL/CHLS5-11.000</t>
  </si>
  <si>
    <t>CLARK/CLAR5-11.000</t>
  </si>
  <si>
    <t>CLUNY/CLUN5-11.000</t>
  </si>
  <si>
    <t>CLARK/CLWA5-11.000</t>
  </si>
  <si>
    <t>CLYDE/CLYB5-11.000</t>
  </si>
  <si>
    <t>CUMNO/CNOK5-11.000</t>
  </si>
  <si>
    <t>CRAIG/CNUK5-11.000</t>
  </si>
  <si>
    <t>COLDS/COLD5-11.000</t>
  </si>
  <si>
    <t>COLIN/COLI5-11.000</t>
  </si>
  <si>
    <t>COLLY/COLL5-11.000</t>
  </si>
  <si>
    <t>COLLE/COMI5-11.000</t>
  </si>
  <si>
    <t>COLIN/CONO5-11.000</t>
  </si>
  <si>
    <t>CONSE/CONS5-11.000</t>
  </si>
  <si>
    <t>CONDO/CONT5-11.000</t>
  </si>
  <si>
    <t>COLQU/COQU5-11.000</t>
  </si>
  <si>
    <t>COMME/CORO5-11.000</t>
  </si>
  <si>
    <t>COATS/COST5-11.000</t>
  </si>
  <si>
    <t>COULP/COUL5-11.000</t>
  </si>
  <si>
    <t>COWDE/COWD5-11.000</t>
  </si>
  <si>
    <t>COWGA/COWG5-11.000</t>
  </si>
  <si>
    <t>COWIE/COWI5-11.000</t>
  </si>
  <si>
    <t>CRAIG/CRAR5-11.000</t>
  </si>
  <si>
    <t>CRAIG/CRDO5-11.000</t>
  </si>
  <si>
    <t>CRONB/CRON5-11.000</t>
  </si>
  <si>
    <t>CROOK/CROO5-11.000</t>
  </si>
  <si>
    <t>CREET/CRTO5-11.000</t>
  </si>
  <si>
    <t>COUSL/CSLA5-11.000</t>
  </si>
  <si>
    <t>CUPAR/CUPA5-11.000</t>
  </si>
  <si>
    <t>DALRY/DADR5-11.000</t>
  </si>
  <si>
    <t>DALGE/DALG5-11.000</t>
  </si>
  <si>
    <t>DARVE/DARV5-11.000</t>
  </si>
  <si>
    <t>DDUF00      11.000</t>
  </si>
  <si>
    <t>DEANS/DEAS5-</t>
  </si>
  <si>
    <t>DEANS/DECL5-11.000</t>
  </si>
  <si>
    <t>DENHO/DENH5-11.000</t>
  </si>
  <si>
    <t>DENMA/DENS5-11.000</t>
  </si>
  <si>
    <t>DEDRI/DERI5-11.000</t>
  </si>
  <si>
    <t>DEWAR/DEWP5-11.000</t>
  </si>
  <si>
    <t>DIGIT/DIGI5-11.000</t>
  </si>
  <si>
    <t>DUNDA/DNDS5-11.000</t>
  </si>
  <si>
    <t>DOUGL/DOWE5-11.000</t>
  </si>
  <si>
    <t>DRUMB/DRBR6-6.6000</t>
  </si>
  <si>
    <t>DRUMC/DRUR5-11.000</t>
  </si>
  <si>
    <t>DRUML/DRUY5-11.000</t>
  </si>
  <si>
    <t>DUNSC/DUCO5-11.000</t>
  </si>
  <si>
    <t>DUNDY/DUDY5-11.000</t>
  </si>
  <si>
    <t>DURIE/DUHO5-11.000</t>
  </si>
  <si>
    <t>DUMBA/DUMB5-11.000</t>
  </si>
  <si>
    <t>DUNS/DUNS5- 11.000</t>
  </si>
  <si>
    <t>EALA00      11.000</t>
  </si>
  <si>
    <t>EAST /EALI5-11.000</t>
  </si>
  <si>
    <t>EAST /EAMA5-</t>
  </si>
  <si>
    <t>EASTE/EARD5-11.000</t>
  </si>
  <si>
    <t>EARLS/EARL5-11.000</t>
  </si>
  <si>
    <t>EAST /EATR5-11.000</t>
  </si>
  <si>
    <t>ECKFO/ECKS5-11.000</t>
  </si>
  <si>
    <t>EDINB/EDAI5-11.000</t>
  </si>
  <si>
    <t>EDINB/EDDN5-11.000</t>
  </si>
  <si>
    <t>ELLIO/ELLS5-11.000</t>
  </si>
  <si>
    <t>EARLS/ELRO5-11.000</t>
  </si>
  <si>
    <t>ERSKI/ERSK5-11.000</t>
  </si>
  <si>
    <t>EYEMO/EYEM5-11.000</t>
  </si>
  <si>
    <t>FAIRL/FAIR5-11.000</t>
  </si>
  <si>
    <t>FASLA/FASL5-11.000</t>
  </si>
  <si>
    <t>FINNO/FINN5-11.000</t>
  </si>
  <si>
    <t>FIRHI/FIRR5-11.000</t>
  </si>
  <si>
    <t>FLEMI/FLES5-11.000</t>
  </si>
  <si>
    <t>FORGA/FORG5-11.000</t>
  </si>
  <si>
    <t>FORTH/FOST5-11.000</t>
  </si>
  <si>
    <t>FOXBA/FOXB5-11.000</t>
  </si>
  <si>
    <t>FRANK/FRAN5-11.000</t>
  </si>
  <si>
    <t>GAREL/GARE5-11.000</t>
  </si>
  <si>
    <t>GAUZE/GARO5-11.000</t>
  </si>
  <si>
    <t>GARTS/GASH5-11.000</t>
  </si>
  <si>
    <t>GARTA/GATA5-11.000</t>
  </si>
  <si>
    <t>GEORG/GESL5-11.000</t>
  </si>
  <si>
    <t>GIRTH/GIRT5-11.000</t>
  </si>
  <si>
    <t>GIRVA/GIRV5-11.000</t>
  </si>
  <si>
    <t>GLASG/GLAA5-11.000</t>
  </si>
  <si>
    <t>GLENN/GLEG0G11.000</t>
  </si>
  <si>
    <t>GLENG/GLGA5-11.000</t>
  </si>
  <si>
    <t>GLENL/GLLU5-11.000</t>
  </si>
  <si>
    <t>GLENM/GLMA5-11.000</t>
  </si>
  <si>
    <t>GLENB/GLNB5-11.000</t>
  </si>
  <si>
    <t>GLTE10      11.000</t>
  </si>
  <si>
    <t>GLENW/GLWO5-11.000</t>
  </si>
  <si>
    <t>GORDO/GORD5-11.000</t>
  </si>
  <si>
    <t>GORGI/GORG5-11.000</t>
  </si>
  <si>
    <t>GRANT/GRAS5-11.000</t>
  </si>
  <si>
    <t>GREEN/GRLA5-11.000</t>
  </si>
  <si>
    <t>GRETN/GRNA5-11.000</t>
  </si>
  <si>
    <t>GRANT/GRPA5-11.000</t>
  </si>
  <si>
    <t>GRASS/GRYA5-11.000</t>
  </si>
  <si>
    <t>GYLEM/GYLE5-11.000</t>
  </si>
  <si>
    <t>HAGGS/HAGR5-11.000</t>
  </si>
  <si>
    <t>HALKS/HALK5-11.000</t>
  </si>
  <si>
    <t>HAMIL/HAMN5-11.000</t>
  </si>
  <si>
    <t>HECLA/HECA5-11.000</t>
  </si>
  <si>
    <t>HEATH/HEFI5-11.000</t>
  </si>
  <si>
    <t>HEATH/HEHA5-11.000</t>
  </si>
  <si>
    <t>HELEN/HELS6-6.6000</t>
  </si>
  <si>
    <t>HENDE/HERO5-11.000</t>
  </si>
  <si>
    <t>HIGH /HIBL5-11.000</t>
  </si>
  <si>
    <t>HIGH /HIMA5-11.000</t>
  </si>
  <si>
    <t>HORNC/HORN5-11.000</t>
  </si>
  <si>
    <t>HUNTE/HUNS5-11.000</t>
  </si>
  <si>
    <t>HUNTE/HUNT5-11.000</t>
  </si>
  <si>
    <t>HUNTE/HUST5-11.000</t>
  </si>
  <si>
    <t>DUMFR/ICID5-11.000</t>
  </si>
  <si>
    <t>INVER/INRO5-11.000</t>
  </si>
  <si>
    <t>IRVIN/IRVI5-11.000</t>
  </si>
  <si>
    <t>JACKT/JACT5-11.000</t>
  </si>
  <si>
    <t>JOHNS/JOHN5-11.000</t>
  </si>
  <si>
    <t>KELLI/KEBA5-11.000</t>
  </si>
  <si>
    <t>KELTY/KELT5-11.000</t>
  </si>
  <si>
    <t>KELVI/KELV5-11.000</t>
  </si>
  <si>
    <t>KENNI/KENA5-11.000</t>
  </si>
  <si>
    <t>KELVI/KEVS5-11.000</t>
  </si>
  <si>
    <t>KILMA/KIAR5-11.000</t>
  </si>
  <si>
    <t>KIRKB/KIBA5-11.000</t>
  </si>
  <si>
    <t>KILBI/KIBI5-11.000</t>
  </si>
  <si>
    <t>KINGS/KIBL5-11.000</t>
  </si>
  <si>
    <t>KILMA/KICM5-11.000</t>
  </si>
  <si>
    <t>KILLO/KICO5-11.000</t>
  </si>
  <si>
    <t>KILDR/KIDR5-11.000</t>
  </si>
  <si>
    <t>KINGS/KIIR5-11.000</t>
  </si>
  <si>
    <t>KILMA/KIMA5-11.000</t>
  </si>
  <si>
    <t>KIRKN/KINW5-11.000</t>
  </si>
  <si>
    <t>KINGS/KIRN5-11.000</t>
  </si>
  <si>
    <t>KIRKI/KIRT5-11.000</t>
  </si>
  <si>
    <t>KINGS/KISL5-11.000</t>
  </si>
  <si>
    <t>KILSY/KISY5-11.000</t>
  </si>
  <si>
    <t>KIRKT/KITO5-11.000</t>
  </si>
  <si>
    <t>KILMA/KMPL0G11.000</t>
  </si>
  <si>
    <t>LARBE/LABE5-11.000</t>
  </si>
  <si>
    <t>LARKH/LAHA5-11.000</t>
  </si>
  <si>
    <t>LANGS/LANG5-11.000</t>
  </si>
  <si>
    <t>LANAR/LANK5-11.000</t>
  </si>
  <si>
    <t>LANGL/LANS5-11.000</t>
  </si>
  <si>
    <t>LARKF/LARK5-11.000</t>
  </si>
  <si>
    <t>LARKH/LATO5-11.000</t>
  </si>
  <si>
    <t>LAUDE/LAUD5-11.000</t>
  </si>
  <si>
    <t>LADY /LAVI5-11.000</t>
  </si>
  <si>
    <t>LEVEN/LEBA5-11.000</t>
  </si>
  <si>
    <t>LEONA/LECH5-11.000</t>
  </si>
  <si>
    <t>LESMA/LEGO5-11.000</t>
  </si>
  <si>
    <t>LETHA/LEHI5-11.000</t>
  </si>
  <si>
    <t>LESLI/LESS5-11.000</t>
  </si>
  <si>
    <t>LEUCH/LEUC5-11.000</t>
  </si>
  <si>
    <t>LEVEN/LEVS5-11.000</t>
  </si>
  <si>
    <t>LITTL/LIFR5-11.000</t>
  </si>
  <si>
    <t>LINTO/LILA5-11.000</t>
  </si>
  <si>
    <t>LINLI/LINL5-11.000</t>
  </si>
  <si>
    <t>LINTH/LINR5-11.000</t>
  </si>
  <si>
    <t>LINTH/LINT5-11.000</t>
  </si>
  <si>
    <t>LOWER/LLRO5-11.000</t>
  </si>
  <si>
    <t>LONGA/LOAN5P11.000</t>
  </si>
  <si>
    <t>LOCKE/LOBI5-11.000</t>
  </si>
  <si>
    <t>LOCHW/LOCW5-11.000</t>
  </si>
  <si>
    <t>LOANI/LONI5-11.000</t>
  </si>
  <si>
    <t>LOCHE/LOQU5-11.000</t>
  </si>
  <si>
    <t>LOCHS/LOSI5-11.000</t>
  </si>
  <si>
    <t>LOANS/LOST5-11.000</t>
  </si>
  <si>
    <t>LUGTO/LUGT5-11.000</t>
  </si>
  <si>
    <t>MAYBO/MABO5-11.000</t>
  </si>
  <si>
    <t>MARKE/MAHI5-11.000</t>
  </si>
  <si>
    <t>MAUCH/MALI5-11.000</t>
  </si>
  <si>
    <t>MANUE/MANU5-11.000</t>
  </si>
  <si>
    <t>MARTI/MART5-11.000</t>
  </si>
  <si>
    <t>MAUKI/MAUR5-11.000</t>
  </si>
  <si>
    <t>MAXWE/MAXS5-11.000</t>
  </si>
  <si>
    <t>MAXWE/MAXT5-11.000</t>
  </si>
  <si>
    <t>MIDDL/MBPV0G11.000</t>
  </si>
  <si>
    <t>MEADO/MEAR6-6.6000</t>
  </si>
  <si>
    <t>METHI/MEHI5-11.000</t>
  </si>
  <si>
    <t>MENST/MENS5-11.000</t>
  </si>
  <si>
    <t>MILLE/MHIL0G11.000</t>
  </si>
  <si>
    <t>MIDDL/MIBI5-11.000</t>
  </si>
  <si>
    <t>MILLI/MILL5-11.000</t>
  </si>
  <si>
    <t>MILL /MIST5-11.000</t>
  </si>
  <si>
    <t>MITCH/MITS5-11.000</t>
  </si>
  <si>
    <t>MOFFA/MOFT5-11.000</t>
  </si>
  <si>
    <t>MONKT/MOHA5-11.000</t>
  </si>
  <si>
    <t>MONKT/MONK5-11.000</t>
  </si>
  <si>
    <t>MOREB/MORE5-11.000</t>
  </si>
  <si>
    <t>MORTO/MORT5-11.000</t>
  </si>
  <si>
    <t>MUIRH/MUBA5-11.000</t>
  </si>
  <si>
    <t>MUIRH/MUHO5-11.000</t>
  </si>
  <si>
    <t>MYOTH/MYOT5-11.000</t>
  </si>
  <si>
    <t>MYRTL/MYRT5-11.000</t>
  </si>
  <si>
    <t>N.B. /NBDI5-11.000</t>
  </si>
  <si>
    <t>NEWBU/NEBU5-11.000</t>
  </si>
  <si>
    <t>NEW C/NECU5-11.000</t>
  </si>
  <si>
    <t>NEILS/NELA5-11.000</t>
  </si>
  <si>
    <t>NEWMI/NEMI5-11.000</t>
  </si>
  <si>
    <t>NETHE/NETH5-11.000</t>
  </si>
  <si>
    <t>NEWTO/NETS5-11.000</t>
  </si>
  <si>
    <t>NEWBR/NEWB5-11.000</t>
  </si>
  <si>
    <t>NEWCA/NEWC5-11.000</t>
  </si>
  <si>
    <t>NEWLA/NEWL5-11.000</t>
  </si>
  <si>
    <t>NORTH/NOBE5-11.000</t>
  </si>
  <si>
    <t>NORHA/NORH5-11.000</t>
  </si>
  <si>
    <t>NORTH/NORO5-11.000</t>
  </si>
  <si>
    <t>OAKFI/OAKD5-11.000</t>
  </si>
  <si>
    <t>OLD B/OBRI5-11.000</t>
  </si>
  <si>
    <t>OCEAN/OCEA5-11.000</t>
  </si>
  <si>
    <t>OLD D/OLDD6-6.6000</t>
  </si>
  <si>
    <t>OLD I/OLIN5-11.000</t>
  </si>
  <si>
    <t>OVERT/OVTO5-11.000</t>
  </si>
  <si>
    <t>OXWEL/OXMA5A11.000</t>
  </si>
  <si>
    <t>OXGAN/OXRO5-11.000</t>
  </si>
  <si>
    <t>PARK /PARO5-11.000</t>
  </si>
  <si>
    <t>PAULV/PAVI5-11.000</t>
  </si>
  <si>
    <t>PENIC/PECU5-11.000</t>
  </si>
  <si>
    <t>PENCA/PENC5-11.000</t>
  </si>
  <si>
    <t>PENPO/PEPO5-11.000</t>
  </si>
  <si>
    <t>PEPPE/PEPP5-11.000</t>
  </si>
  <si>
    <t>PETER/PETR5-11.000</t>
  </si>
  <si>
    <t>PITRE/PIAV5-11.000</t>
  </si>
  <si>
    <t>PITTE/PICH5-11.000</t>
  </si>
  <si>
    <t>PILTO/PIDR5-11.000</t>
  </si>
  <si>
    <t>PINWH/PIWH5-11.000</t>
  </si>
  <si>
    <t>POLKE/POLK5-11.000</t>
  </si>
  <si>
    <t>POLMO/PONT5-11.000</t>
  </si>
  <si>
    <t>PORTO/POOB5-11.000</t>
  </si>
  <si>
    <t>PREST/PRES5-11.000</t>
  </si>
  <si>
    <t>PYRAM/PYRA5-11.000</t>
  </si>
  <si>
    <t>QUEEN/QUDR5-11.000</t>
  </si>
  <si>
    <t>QUEEN/QUWA5-11.000</t>
  </si>
  <si>
    <t>RAITH/RAIT5-11.000</t>
  </si>
  <si>
    <t>RANDO/RALA5-11.000</t>
  </si>
  <si>
    <t>RALST/RALS5-11.000</t>
  </si>
  <si>
    <t>RANDO/RANR5-11.000</t>
  </si>
  <si>
    <t>RAVEN/RAPA5-11.000</t>
  </si>
  <si>
    <t>RANNO/RARO6-6.6000</t>
  </si>
  <si>
    <t>RENFR/RENF5-11.000</t>
  </si>
  <si>
    <t>MARKI/ROBP5-11.000</t>
  </si>
  <si>
    <t>ROCHE/ROPR5-11.000</t>
  </si>
  <si>
    <t>ROSEB/ROSE5-11.000</t>
  </si>
  <si>
    <t>ROTTE/ROTB5-11.000</t>
  </si>
  <si>
    <t>ROTTE/ROTT5-11.000</t>
  </si>
  <si>
    <t>PORT /RTPG5-11.000</t>
  </si>
  <si>
    <t>SALTC/SACO5-11.000</t>
  </si>
  <si>
    <t>ST AN/SANX6-6.6000</t>
  </si>
  <si>
    <t>SAUGH/SARN6-6.6000</t>
  </si>
  <si>
    <t>SAUCH/SAUC5-11.000</t>
  </si>
  <si>
    <t>S&amp;N B/SCNB5-11.000</t>
  </si>
  <si>
    <t>SELKI/SELK5-11.000</t>
  </si>
  <si>
    <t>SOUTH/SGYL5-11.000</t>
  </si>
  <si>
    <t>SHERW/SHER5-11.000</t>
  </si>
  <si>
    <t>SHINE/SHSU5-11.000</t>
  </si>
  <si>
    <t>SIGHT/SIFM5-11.000</t>
  </si>
  <si>
    <t>SOUTH/SOFI5-11.000</t>
  </si>
  <si>
    <t>SOUTH/SOGE5-11.000</t>
  </si>
  <si>
    <t>SOUTH/SOQU5-11.000</t>
  </si>
  <si>
    <t>SORBI/SORB5-11.000</t>
  </si>
  <si>
    <t>SPOTT/SPOT5-11.000</t>
  </si>
  <si>
    <t>ST BO/STBO5-11.000</t>
  </si>
  <si>
    <t>STEVE/STCR5-11.000</t>
  </si>
  <si>
    <t>STELR/STEL5-11.000</t>
  </si>
  <si>
    <t>STEPF/STEP5-11.000</t>
  </si>
  <si>
    <t>STEVE/STEV5-11.000</t>
  </si>
  <si>
    <t>STRAT/STHA5-11.000</t>
  </si>
  <si>
    <t>STIRL/STIR5-11.000</t>
  </si>
  <si>
    <t>ST JA/STJC5-11.000</t>
  </si>
  <si>
    <t>ST NI/STNI5-11.000</t>
  </si>
  <si>
    <t>STRAN/STRA5-11.000</t>
  </si>
  <si>
    <t>STIRL/STUN5-11.000</t>
  </si>
  <si>
    <t>SYMIN/SYMT5-11.000</t>
  </si>
  <si>
    <t>TELFO/TELR5-11.000</t>
  </si>
  <si>
    <t>TESCO/TESC5-11.000</t>
  </si>
  <si>
    <t>THIST/THCO5-11.000</t>
  </si>
  <si>
    <t>TOWNH/TOWN5-11.000</t>
  </si>
  <si>
    <t>TRANE/TRAN5-11.000</t>
  </si>
  <si>
    <t>UDDIN/UDDS5-11.000</t>
  </si>
  <si>
    <t>UNDER/UNDE5-11.000</t>
  </si>
  <si>
    <t>VIRID/VIRD0G11.000</t>
  </si>
  <si>
    <t>VIRGI/VIRS5-11.000</t>
  </si>
  <si>
    <t>WADDE/WADS5-11.000</t>
  </si>
  <si>
    <t>WAROU/WARO5-11.000</t>
  </si>
  <si>
    <t>WATLI/WATS5-11.000</t>
  </si>
  <si>
    <t>WESTF/WEAV5-11.000</t>
  </si>
  <si>
    <t>WEST /WECL5-11.000</t>
  </si>
  <si>
    <t>WEST /WELI5-11.000</t>
  </si>
  <si>
    <t>WESTB/WESR5-11.000</t>
  </si>
  <si>
    <t>WESTE/WEST5-11.000</t>
  </si>
  <si>
    <t>WESTW/WEWO5-11.000</t>
  </si>
  <si>
    <t>WEST /WGEO5-11.000</t>
  </si>
  <si>
    <t>WHITC/WHCH5-11.000</t>
  </si>
  <si>
    <t>WHOLE/WHFL5-11.000</t>
  </si>
  <si>
    <t>WILLI/WLST5-11.000</t>
  </si>
  <si>
    <t>WOODS/WOID5-11.000</t>
  </si>
  <si>
    <t>WOODE/WOOD5-11.000</t>
  </si>
  <si>
    <t>WOODI/WOSL5-11.000</t>
  </si>
  <si>
    <t>YETHO/YETH5-11.000</t>
  </si>
  <si>
    <t>YOKER/YOKF5-11.000</t>
  </si>
  <si>
    <t>ZETLA/ZEPK5-11.000</t>
  </si>
  <si>
    <t>ALMON/ALMV5-11.000</t>
  </si>
  <si>
    <t>FROGS/FROG5-11.000</t>
  </si>
  <si>
    <t>KEPCUL1A    11.000</t>
  </si>
  <si>
    <t>DRYMEN1A    11.000</t>
  </si>
  <si>
    <t>ROSSPR1A    11.000</t>
  </si>
  <si>
    <t>KILLEA1A    11.000</t>
  </si>
  <si>
    <t>ABERFO1A    11.000</t>
  </si>
  <si>
    <t>AUCHEN1A    11.000</t>
  </si>
  <si>
    <t/>
  </si>
  <si>
    <t>Dupont (UK) Ltd</t>
  </si>
  <si>
    <t>Norbord</t>
  </si>
  <si>
    <t>Magco</t>
  </si>
  <si>
    <t>Stirling University</t>
  </si>
  <si>
    <t>Glenochil Distillery</t>
  </si>
  <si>
    <t>Cameron Ironworks</t>
  </si>
  <si>
    <t>Shin-Etsu</t>
  </si>
  <si>
    <t>United Biscuits</t>
  </si>
  <si>
    <t>Balfours</t>
  </si>
  <si>
    <t>NB Distillery</t>
  </si>
  <si>
    <t>Finnart BP</t>
  </si>
  <si>
    <t>Texas Instruments</t>
  </si>
  <si>
    <t>Glasgow Airport</t>
  </si>
  <si>
    <t>BP Dalmeny</t>
  </si>
  <si>
    <t>Edinburgh Dock North</t>
  </si>
  <si>
    <t>Bonnington Power Station</t>
  </si>
  <si>
    <t>Cathkin Braes Wind Farm</t>
  </si>
  <si>
    <t>New Glasgow South Hospital</t>
  </si>
  <si>
    <t>Torrance WF</t>
  </si>
  <si>
    <t>Scottish Enterprise (Samsung WTTF)</t>
  </si>
  <si>
    <t>Torrance Windfarm Extension</t>
  </si>
  <si>
    <t>Edinburgh Airport</t>
  </si>
  <si>
    <t>Longannet Power Station</t>
  </si>
  <si>
    <t>x</t>
  </si>
  <si>
    <t>223, 242, 243, 245, 246</t>
  </si>
  <si>
    <t>225, 240, 241, 301</t>
  </si>
  <si>
    <t>201, 204, 221, 260, 280, 200, 202, 203, 220, 222, 400, 401, 402</t>
  </si>
  <si>
    <t>See Annex 6</t>
  </si>
  <si>
    <t>897</t>
  </si>
  <si>
    <t>715</t>
  </si>
  <si>
    <t>South Redhouse ESS</t>
  </si>
  <si>
    <t>3 or 4</t>
  </si>
  <si>
    <t>Updated 24/11/21</t>
  </si>
  <si>
    <t>23:30 – 07:30</t>
  </si>
  <si>
    <t>07:30 – 23:30</t>
  </si>
  <si>
    <t>20:00 – 23:30</t>
  </si>
  <si>
    <t>07:30 – 16:00
19:00 – 20:00</t>
  </si>
  <si>
    <t>16:00 – 19:00</t>
  </si>
  <si>
    <t>100, 101, 110, 111, 112, 113, 114, 115, 116, 117, 118, 119, 120, 121, 130, 132, 133, 134, 135, 136, 137, 160, 161, 162, 163, 164, 165, 166, 180, 200, 201, 202, 203, 204, 220, 221, 222, 223, 224, 225, 240, 241, 242, 243, 244, 245, 246, 260, 280,400, 402, 500, 502, 504, 603, 604, 607, 608, 781, 782, 783, 784, 785, 794, 795, 900, 901, 902, 903, 910
D00, D01, D02, D03, D04, G00, G01, G02, G03, G04, H00, H01, H02, H03, H04</t>
  </si>
  <si>
    <t>506, 507, 508, 602, 609, 610, 796, 797, 
K00, K01, K02, K03, K04, L00, L01, L02, L03, L04</t>
  </si>
  <si>
    <t>301, 401, 501, 503, 505, 599, 600, 601, 605, 606, 611, 612, 615, 616, 617, 798, 799
F00, F01, F02, F03, M00, M01, M02, M03, M04, N00, N01, N02, N03, N04</t>
  </si>
  <si>
    <t>Muirpark Windfarm</t>
  </si>
  <si>
    <t>Twenty Shilling Hill</t>
  </si>
  <si>
    <t>Sorbie Windfarm</t>
  </si>
  <si>
    <t>Polmadie (Waste Energy B)</t>
  </si>
  <si>
    <t>EDCM export 11</t>
  </si>
  <si>
    <t>EDCM import 11</t>
  </si>
  <si>
    <t>EDCM import 12</t>
  </si>
  <si>
    <t>871</t>
  </si>
  <si>
    <t>623</t>
  </si>
  <si>
    <t>Watsonhead</t>
  </si>
  <si>
    <t>912</t>
  </si>
  <si>
    <t>682</t>
  </si>
  <si>
    <t>Longhill Burn WF</t>
  </si>
  <si>
    <t>EDCM import 13</t>
  </si>
  <si>
    <t>EDCM import 14</t>
  </si>
  <si>
    <t>EDCM import 15</t>
  </si>
  <si>
    <t>EDCM import 16</t>
  </si>
  <si>
    <t>Caledon Gas</t>
  </si>
  <si>
    <t>857</t>
  </si>
  <si>
    <t>647</t>
  </si>
  <si>
    <t>Howpark Windfarm</t>
  </si>
  <si>
    <t>EDCM import 10</t>
  </si>
  <si>
    <t>EDCM export 10</t>
  </si>
  <si>
    <t>EDCM export 12</t>
  </si>
  <si>
    <t>EDCM export 13</t>
  </si>
  <si>
    <t>EDCM export 14</t>
  </si>
  <si>
    <t>EDCM export 15</t>
  </si>
  <si>
    <t>EDCM export 16</t>
  </si>
  <si>
    <t>EDCM import 17</t>
  </si>
  <si>
    <t>GlaxoSmithKline</t>
  </si>
  <si>
    <t>EDCM export 17</t>
  </si>
  <si>
    <t>EDCM export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</si>
</sst>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2" formatCode="_-&quot;£&quot;* #,##0_-;\-&quot;£&quot;* #,##0_-;_-&quot;£&quot;* &quot;-&quot;_-;_-@_-"/>
    <numFmt numFmtId="44" formatCode="_-&quot;£&quot;* #,##0.00_-;\-&quot;£&quot;* #,##0.00_-;_-&quot;£&quot;* &quot;-&quot;??_-;_-@_-"/>
    <numFmt numFmtId="43" formatCode="_-* #,##0.00_-;\-* #,##0.00_-;_-* &quot;-&quot;??_-;_-@_-"/>
    <numFmt numFmtId="164" formatCode="0.00_ ;[Red]\-0.00\ "/>
    <numFmt numFmtId="165" formatCode="0.000"/>
    <numFmt numFmtId="166" formatCode="#,##0.000"/>
    <numFmt numFmtId="167" formatCode="#"/>
    <numFmt numFmtId="168" formatCode="\ _(???,???,??0.000_);[Red]\ \(???,???,??0.000\);"/>
    <numFmt numFmtId="169" formatCode="\ _(???,???,??0.00_);[Red]\ \(???,???,??0.00\);"/>
    <numFmt numFmtId="170" formatCode="0.000_ ;[Red]\-0.000\ "/>
    <numFmt numFmtId="171" formatCode="0.00;[Red]\-0.00;?;"/>
    <numFmt numFmtId="172" formatCode="#,##0;\-#,##0;;"/>
    <numFmt numFmtId="173" formatCode="000"/>
    <numFmt numFmtId="174" formatCode="#,##0;[Red]\-#,##0;;"/>
    <numFmt numFmtId="175" formatCode="0.000;[Red]\-0.000;?;"/>
    <numFmt numFmtId="176" formatCode="0.000_ ;\-0.000\ "/>
    <numFmt numFmtId="177" formatCode="0000"/>
    <numFmt numFmtId="178" formatCode="0.00;\(0.00\);"/>
    <numFmt numFmtId="179" formatCode="_-* #,##0_-;\-* #,##0_-;_-* &quot;-&quot;??_-;_-@_-"/>
    <numFmt numFmtId="180" formatCode="&quot;£&quot;#,##0.00"/>
  </numFmts>
  <fonts count="54" x14ac:knownFonts="1">
    <font>
      <sz val="10"/>
      <name val="Arial"/>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1"/>
      <color theme="3"/>
      <name val="Arial"/>
      <family val="2"/>
    </font>
    <font>
      <sz val="10"/>
      <color rgb="FF9C6500"/>
      <name val="Arial"/>
      <family val="2"/>
    </font>
    <font>
      <b/>
      <sz val="8"/>
      <color theme="0"/>
      <name val="Arial"/>
      <family val="2"/>
    </font>
    <font>
      <b/>
      <sz val="18"/>
      <name val="Arial"/>
      <family val="2"/>
    </font>
    <font>
      <b/>
      <sz val="11"/>
      <color indexed="8"/>
      <name val="Arial"/>
      <family val="2"/>
    </font>
    <font>
      <sz val="10"/>
      <name val="Arial"/>
      <family val="2"/>
    </font>
    <font>
      <b/>
      <sz val="14"/>
      <color rgb="FFFF0000"/>
      <name val="Arial"/>
      <family val="2"/>
    </font>
    <font>
      <sz val="10"/>
      <color rgb="FFFF0000"/>
      <name val="Arial"/>
      <family val="2"/>
    </font>
    <font>
      <sz val="10"/>
      <color indexed="12"/>
      <name val="Arial"/>
      <family val="2"/>
    </font>
    <font>
      <b/>
      <sz val="10"/>
      <color theme="6"/>
      <name val="Arial"/>
      <family val="2"/>
    </font>
    <font>
      <sz val="10"/>
      <color theme="3"/>
      <name val="Arial"/>
      <family val="2"/>
    </font>
    <font>
      <b/>
      <sz val="12"/>
      <color theme="1"/>
      <name val="Arial"/>
      <family val="2"/>
    </font>
    <font>
      <b/>
      <sz val="16"/>
      <color theme="0"/>
      <name val="Arial"/>
      <family val="2"/>
    </font>
    <font>
      <b/>
      <sz val="10"/>
      <color theme="1"/>
      <name val="Arial"/>
      <family val="2"/>
    </font>
    <font>
      <sz val="11"/>
      <name val="Calibri"/>
      <family val="2"/>
      <scheme val="minor"/>
    </font>
    <font>
      <b/>
      <sz val="11"/>
      <name val="Calibri"/>
      <family val="2"/>
      <scheme val="minor"/>
    </font>
    <font>
      <sz val="14"/>
      <color theme="0"/>
      <name val="Arial"/>
      <family val="2"/>
    </font>
    <font>
      <sz val="10"/>
      <color theme="5" tint="-0.249977111117893"/>
      <name val="Arial"/>
      <family val="2"/>
    </font>
    <font>
      <sz val="9"/>
      <color theme="5" tint="-0.249977111117893"/>
      <name val="Arial"/>
      <family val="2"/>
    </font>
    <font>
      <sz val="9"/>
      <color theme="0"/>
      <name val="Arial"/>
      <family val="2"/>
    </font>
    <font>
      <u/>
      <sz val="11"/>
      <color theme="5"/>
      <name val="Calibri"/>
      <family val="2"/>
      <scheme val="minor"/>
    </font>
    <font>
      <sz val="8"/>
      <name val="Arial"/>
      <family val="2"/>
    </font>
    <font>
      <sz val="10"/>
      <color theme="1"/>
      <name val="Calibri"/>
      <family val="2"/>
      <scheme val="minor"/>
    </font>
    <font>
      <sz val="10"/>
      <name val="Calibri"/>
      <family val="2"/>
      <scheme val="minor"/>
    </font>
    <font>
      <sz val="10"/>
      <color indexed="8"/>
      <name val="Calibri"/>
      <family val="2"/>
      <scheme val="minor"/>
    </font>
  </fonts>
  <fills count="39">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theme="0" tint="-0.249977111117893"/>
        <bgColor indexed="64"/>
      </patternFill>
    </fill>
    <fill>
      <patternFill patternType="solid">
        <fgColor theme="4"/>
        <bgColor indexed="64"/>
      </patternFill>
    </fill>
    <fill>
      <patternFill patternType="solid">
        <fgColor theme="7"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bottom style="thick">
        <color theme="4"/>
      </bottom>
      <diagonal/>
    </border>
    <border>
      <left/>
      <right/>
      <top/>
      <bottom style="medium">
        <color theme="4"/>
      </bottom>
      <diagonal/>
    </border>
    <border>
      <left/>
      <right/>
      <top/>
      <bottom style="thin">
        <color theme="4"/>
      </bottom>
      <diagonal/>
    </border>
    <border>
      <left style="thin">
        <color rgb="FF999999"/>
      </left>
      <right/>
      <top/>
      <bottom/>
      <diagonal/>
    </border>
  </borders>
  <cellStyleXfs count="38">
    <xf numFmtId="0" fontId="0" fillId="0" borderId="0"/>
    <xf numFmtId="0" fontId="12" fillId="0" borderId="0" applyNumberFormat="0" applyFill="0" applyBorder="0" applyAlignment="0" applyProtection="0"/>
    <xf numFmtId="0" fontId="13" fillId="5" borderId="7" applyNumberFormat="0" applyAlignment="0" applyProtection="0"/>
    <xf numFmtId="0" fontId="14" fillId="0" borderId="0" applyNumberFormat="0" applyFill="0" applyBorder="0" applyAlignment="0" applyProtection="0">
      <alignment vertical="top"/>
      <protection locked="0"/>
    </xf>
    <xf numFmtId="0" fontId="19" fillId="0" borderId="9" applyNumberFormat="0" applyFill="0" applyAlignment="0" applyProtection="0"/>
    <xf numFmtId="0" fontId="12" fillId="0" borderId="10" applyNumberFormat="0" applyFill="0" applyAlignment="0" applyProtection="0"/>
    <xf numFmtId="0" fontId="7" fillId="0" borderId="0"/>
    <xf numFmtId="43" fontId="7" fillId="0" borderId="0" applyFont="0" applyFill="0" applyBorder="0" applyAlignment="0" applyProtection="0"/>
    <xf numFmtId="0" fontId="24" fillId="23" borderId="0" applyNumberFormat="0" applyBorder="0" applyAlignment="0" applyProtection="0"/>
    <xf numFmtId="0" fontId="4" fillId="6" borderId="0" applyNumberFormat="0" applyBorder="0" applyAlignment="0" applyProtection="0"/>
    <xf numFmtId="0" fontId="24" fillId="24" borderId="0" applyNumberFormat="0" applyBorder="0" applyAlignment="0" applyProtection="0"/>
    <xf numFmtId="0" fontId="24" fillId="25" borderId="0" applyNumberFormat="0" applyBorder="0" applyAlignment="0" applyProtection="0"/>
    <xf numFmtId="0" fontId="4" fillId="26" borderId="0" applyNumberFormat="0" applyBorder="0" applyAlignment="0" applyProtection="0"/>
    <xf numFmtId="0" fontId="24" fillId="27" borderId="0" applyNumberFormat="0" applyBorder="0" applyAlignment="0" applyProtection="0"/>
    <xf numFmtId="0" fontId="28" fillId="0" borderId="0"/>
    <xf numFmtId="0" fontId="30" fillId="34" borderId="0" applyNumberFormat="0" applyBorder="0" applyAlignment="0" applyProtection="0"/>
    <xf numFmtId="0" fontId="5" fillId="0" borderId="0"/>
    <xf numFmtId="0" fontId="3" fillId="6" borderId="0" applyNumberFormat="0" applyBorder="0" applyAlignment="0" applyProtection="0"/>
    <xf numFmtId="0" fontId="3" fillId="26" borderId="0" applyNumberFormat="0" applyBorder="0" applyAlignment="0" applyProtection="0"/>
    <xf numFmtId="0" fontId="2" fillId="0" borderId="0" applyNumberFormat="0" applyFill="0" applyBorder="0" applyAlignment="0" applyProtection="0">
      <alignment horizontal="left"/>
    </xf>
    <xf numFmtId="43" fontId="34" fillId="0" borderId="0" applyFont="0" applyFill="0" applyBorder="0" applyAlignment="0" applyProtection="0"/>
    <xf numFmtId="0" fontId="7" fillId="0" borderId="0"/>
    <xf numFmtId="43" fontId="7" fillId="0" borderId="0" applyFont="0" applyFill="0" applyBorder="0" applyAlignment="0" applyProtection="0"/>
    <xf numFmtId="0" fontId="41" fillId="37" borderId="0" applyNumberFormat="0" applyAlignment="0" applyProtection="0"/>
    <xf numFmtId="0" fontId="41" fillId="37" borderId="0" applyNumberFormat="0" applyAlignment="0" applyProtection="0"/>
    <xf numFmtId="0" fontId="40" fillId="14" borderId="16" applyNumberFormat="0" applyAlignment="0" applyProtection="0"/>
    <xf numFmtId="0" fontId="42" fillId="14" borderId="17" applyNumberFormat="0" applyAlignment="0" applyProtection="0"/>
    <xf numFmtId="0" fontId="42" fillId="0" borderId="18" applyNumberFormat="0" applyAlignment="0" applyProtection="0"/>
    <xf numFmtId="43" fontId="37" fillId="38" borderId="0"/>
    <xf numFmtId="43" fontId="38" fillId="0" borderId="0"/>
    <xf numFmtId="43" fontId="39" fillId="0" borderId="0"/>
    <xf numFmtId="43" fontId="7" fillId="0" borderId="0"/>
    <xf numFmtId="42" fontId="37" fillId="0" borderId="0"/>
    <xf numFmtId="9" fontId="7" fillId="0" borderId="0" applyFont="0" applyFill="0" applyBorder="0" applyAlignment="0" applyProtection="0"/>
    <xf numFmtId="9" fontId="7" fillId="0" borderId="0" applyFont="0" applyFill="0" applyBorder="0" applyAlignment="0" applyProtection="0"/>
    <xf numFmtId="44" fontId="7" fillId="0" borderId="0" applyFont="0" applyFill="0" applyBorder="0" applyAlignment="0" applyProtection="0"/>
    <xf numFmtId="0" fontId="1" fillId="0" borderId="0" applyNumberFormat="0" applyFont="0" applyBorder="0" applyAlignment="0" applyProtection="0"/>
    <xf numFmtId="0" fontId="49" fillId="0" borderId="19" applyNumberFormat="0" applyFill="0" applyBorder="0" applyAlignment="0" applyProtection="0"/>
  </cellStyleXfs>
  <cellXfs count="329">
    <xf numFmtId="0" fontId="0" fillId="0" borderId="0" xfId="0"/>
    <xf numFmtId="0" fontId="7"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9" fillId="2" borderId="0" xfId="0" applyFont="1" applyFill="1" applyAlignment="1">
      <alignment vertical="center"/>
    </xf>
    <xf numFmtId="0" fontId="0" fillId="0" borderId="1" xfId="0" applyBorder="1" applyAlignment="1">
      <alignment vertical="center"/>
    </xf>
    <xf numFmtId="0" fontId="7" fillId="0" borderId="0" xfId="0" applyFont="1" applyAlignment="1">
      <alignment wrapText="1"/>
    </xf>
    <xf numFmtId="0" fontId="8" fillId="0" borderId="0" xfId="0" applyFont="1" applyAlignment="1">
      <alignment vertical="top" wrapText="1"/>
    </xf>
    <xf numFmtId="0" fontId="15" fillId="2" borderId="0" xfId="3" applyFont="1" applyFill="1" applyAlignment="1" applyProtection="1">
      <alignment vertical="center"/>
    </xf>
    <xf numFmtId="0" fontId="8" fillId="7" borderId="1" xfId="0" applyFont="1" applyFill="1" applyBorder="1" applyAlignment="1">
      <alignment horizontal="center" vertical="center" wrapText="1"/>
    </xf>
    <xf numFmtId="0" fontId="7" fillId="0" borderId="1" xfId="0" quotePrefix="1" applyFont="1" applyBorder="1" applyAlignment="1">
      <alignment horizontal="left" vertical="top" wrapText="1"/>
    </xf>
    <xf numFmtId="0" fontId="8" fillId="7" borderId="1" xfId="0" applyFont="1" applyFill="1" applyBorder="1" applyAlignment="1" applyProtection="1">
      <alignment vertical="center" wrapText="1"/>
      <protection locked="0"/>
    </xf>
    <xf numFmtId="0" fontId="16" fillId="4" borderId="1" xfId="0" applyFont="1" applyFill="1" applyBorder="1" applyAlignment="1" applyProtection="1">
      <alignment horizontal="center" vertical="center" wrapText="1"/>
      <protection locked="0"/>
    </xf>
    <xf numFmtId="0" fontId="8" fillId="7" borderId="1" xfId="0" applyFont="1" applyFill="1" applyBorder="1" applyAlignment="1" applyProtection="1">
      <alignment horizontal="center" vertical="center" wrapText="1"/>
      <protection locked="0"/>
    </xf>
    <xf numFmtId="0" fontId="7" fillId="0" borderId="6" xfId="0" applyFont="1" applyBorder="1" applyAlignment="1">
      <alignment horizontal="center" vertical="center" wrapText="1"/>
    </xf>
    <xf numFmtId="0" fontId="7" fillId="2" borderId="0" xfId="0" applyFont="1" applyFill="1" applyAlignment="1">
      <alignment vertical="center"/>
    </xf>
    <xf numFmtId="0" fontId="0" fillId="0" borderId="0" xfId="0" applyProtection="1">
      <protection locked="0"/>
    </xf>
    <xf numFmtId="167" fontId="7" fillId="3" borderId="1" xfId="0" applyNumberFormat="1" applyFont="1" applyFill="1" applyBorder="1" applyAlignment="1" applyProtection="1">
      <alignment horizontal="center" vertical="center"/>
      <protection locked="0"/>
    </xf>
    <xf numFmtId="49" fontId="16" fillId="8" borderId="1" xfId="0" applyNumberFormat="1" applyFont="1" applyFill="1" applyBorder="1" applyAlignment="1" applyProtection="1">
      <alignment horizontal="center" vertical="center" wrapText="1"/>
      <protection locked="0"/>
    </xf>
    <xf numFmtId="0" fontId="8" fillId="7" borderId="1" xfId="0" quotePrefix="1" applyFont="1" applyFill="1" applyBorder="1" applyAlignment="1">
      <alignment horizontal="center" vertical="center" wrapText="1"/>
    </xf>
    <xf numFmtId="49" fontId="17" fillId="5" borderId="7" xfId="2" applyNumberFormat="1" applyFont="1" applyAlignment="1" applyProtection="1">
      <alignment horizontal="center" vertical="center" wrapText="1"/>
      <protection locked="0"/>
    </xf>
    <xf numFmtId="0" fontId="8" fillId="13" borderId="1" xfId="0" quotePrefix="1" applyFont="1" applyFill="1" applyBorder="1" applyAlignment="1">
      <alignment horizontal="center" vertical="center" wrapText="1"/>
    </xf>
    <xf numFmtId="0" fontId="8" fillId="15" borderId="1" xfId="0" quotePrefix="1" applyFont="1" applyFill="1" applyBorder="1" applyAlignment="1">
      <alignment horizontal="center" vertical="center" wrapText="1"/>
    </xf>
    <xf numFmtId="49" fontId="21" fillId="8" borderId="1" xfId="0" applyNumberFormat="1" applyFont="1" applyFill="1" applyBorder="1" applyAlignment="1" applyProtection="1">
      <alignment horizontal="center" vertical="center" wrapText="1"/>
      <protection locked="0"/>
    </xf>
    <xf numFmtId="170" fontId="21" fillId="9" borderId="1" xfId="0" applyNumberFormat="1" applyFont="1" applyFill="1" applyBorder="1" applyAlignment="1" applyProtection="1">
      <alignment horizontal="center" vertical="center"/>
      <protection locked="0"/>
    </xf>
    <xf numFmtId="170"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49" fontId="7" fillId="9" borderId="1" xfId="0" quotePrefix="1" applyNumberFormat="1" applyFont="1" applyFill="1" applyBorder="1" applyAlignment="1" applyProtection="1">
      <alignment horizontal="left" vertical="center" wrapText="1"/>
      <protection locked="0"/>
    </xf>
    <xf numFmtId="49" fontId="7" fillId="9" borderId="1" xfId="0" applyNumberFormat="1" applyFont="1" applyFill="1" applyBorder="1" applyAlignment="1" applyProtection="1">
      <alignment horizontal="left" vertical="center" wrapText="1"/>
      <protection locked="0"/>
    </xf>
    <xf numFmtId="0" fontId="0" fillId="16" borderId="0" xfId="0" applyFill="1"/>
    <xf numFmtId="0" fontId="14" fillId="2" borderId="0" xfId="3" applyFill="1" applyAlignment="1" applyProtection="1">
      <alignment vertical="center"/>
    </xf>
    <xf numFmtId="0" fontId="7" fillId="2" borderId="8" xfId="6" quotePrefix="1" applyFill="1" applyBorder="1" applyAlignment="1">
      <alignment vertical="center" wrapText="1"/>
    </xf>
    <xf numFmtId="0" fontId="7" fillId="2" borderId="0" xfId="6" applyFill="1" applyAlignment="1">
      <alignment vertical="center"/>
    </xf>
    <xf numFmtId="0" fontId="9" fillId="2" borderId="0" xfId="6" applyFont="1" applyFill="1" applyAlignment="1">
      <alignment vertical="center"/>
    </xf>
    <xf numFmtId="0" fontId="8" fillId="7" borderId="1" xfId="6" quotePrefix="1" applyFont="1" applyFill="1" applyBorder="1" applyAlignment="1">
      <alignment horizontal="center" vertical="center" wrapText="1"/>
    </xf>
    <xf numFmtId="0" fontId="8" fillId="7" borderId="1" xfId="6" applyFont="1" applyFill="1" applyBorder="1" applyAlignment="1">
      <alignment horizontal="center" vertical="center" wrapText="1"/>
    </xf>
    <xf numFmtId="49" fontId="23" fillId="7" borderId="1" xfId="6" applyNumberFormat="1" applyFont="1" applyFill="1" applyBorder="1" applyAlignment="1">
      <alignment horizontal="center" vertical="center" wrapText="1"/>
    </xf>
    <xf numFmtId="49" fontId="8" fillId="7" borderId="1" xfId="6" applyNumberFormat="1" applyFont="1" applyFill="1" applyBorder="1" applyAlignment="1">
      <alignment horizontal="center" vertical="center" wrapText="1"/>
    </xf>
    <xf numFmtId="1" fontId="7" fillId="9" borderId="1" xfId="6" applyNumberFormat="1" applyFill="1" applyBorder="1" applyAlignment="1" applyProtection="1">
      <alignment horizontal="left" vertical="center" wrapText="1"/>
      <protection locked="0"/>
    </xf>
    <xf numFmtId="0" fontId="7" fillId="9" borderId="1" xfId="6" applyFill="1" applyBorder="1" applyAlignment="1" applyProtection="1">
      <alignment horizontal="left" vertical="center" wrapText="1"/>
      <protection locked="0"/>
    </xf>
    <xf numFmtId="0" fontId="7" fillId="2" borderId="0" xfId="6" applyFill="1" applyAlignment="1">
      <alignment horizontal="center" vertical="center"/>
    </xf>
    <xf numFmtId="166" fontId="7" fillId="2" borderId="0" xfId="6" applyNumberFormat="1" applyFill="1" applyAlignment="1">
      <alignment horizontal="center" vertical="center"/>
    </xf>
    <xf numFmtId="0" fontId="7" fillId="2" borderId="0" xfId="6" applyFill="1"/>
    <xf numFmtId="170" fontId="5" fillId="12" borderId="1" xfId="6" applyNumberFormat="1" applyFont="1" applyFill="1" applyBorder="1" applyAlignment="1" applyProtection="1">
      <alignment horizontal="center" vertical="center"/>
      <protection locked="0"/>
    </xf>
    <xf numFmtId="164" fontId="5" fillId="12" borderId="1" xfId="6" applyNumberFormat="1" applyFont="1" applyFill="1" applyBorder="1" applyAlignment="1" applyProtection="1">
      <alignment horizontal="center" vertical="center"/>
      <protection locked="0"/>
    </xf>
    <xf numFmtId="170" fontId="5" fillId="9" borderId="1" xfId="6" applyNumberFormat="1" applyFont="1" applyFill="1" applyBorder="1" applyAlignment="1" applyProtection="1">
      <alignment horizontal="center" vertical="center"/>
      <protection locked="0"/>
    </xf>
    <xf numFmtId="164" fontId="5" fillId="9" borderId="1" xfId="6" applyNumberFormat="1" applyFont="1" applyFill="1" applyBorder="1" applyAlignment="1" applyProtection="1">
      <alignment horizontal="center" vertical="center"/>
      <protection locked="0"/>
    </xf>
    <xf numFmtId="0" fontId="7" fillId="0" borderId="0" xfId="0" applyFont="1" applyProtection="1">
      <protection locked="0"/>
    </xf>
    <xf numFmtId="49" fontId="12" fillId="6" borderId="0" xfId="1" quotePrefix="1" applyNumberFormat="1" applyFill="1" applyAlignment="1" applyProtection="1">
      <alignment horizontal="left" vertical="center" wrapText="1"/>
      <protection locked="0"/>
    </xf>
    <xf numFmtId="49" fontId="12" fillId="6" borderId="0" xfId="1" applyNumberFormat="1" applyFill="1" applyAlignment="1" applyProtection="1">
      <alignment vertical="center" wrapText="1"/>
      <protection locked="0"/>
    </xf>
    <xf numFmtId="49" fontId="19" fillId="0" borderId="0" xfId="4" applyNumberFormat="1" applyBorder="1" applyAlignment="1" applyProtection="1">
      <alignment vertical="center"/>
      <protection locked="0"/>
    </xf>
    <xf numFmtId="49" fontId="12" fillId="6" borderId="0" xfId="1" applyNumberFormat="1" applyFill="1" applyBorder="1" applyAlignment="1" applyProtection="1">
      <alignment vertical="center" wrapText="1"/>
      <protection locked="0"/>
    </xf>
    <xf numFmtId="49" fontId="12" fillId="0" borderId="0" xfId="5" applyNumberFormat="1" applyBorder="1" applyAlignment="1" applyProtection="1">
      <alignment vertical="center"/>
      <protection locked="0"/>
    </xf>
    <xf numFmtId="49" fontId="12" fillId="0" borderId="0" xfId="5" quotePrefix="1" applyNumberForma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14" fillId="0" borderId="0" xfId="3" applyAlignment="1" applyProtection="1">
      <alignment horizontal="left" vertical="top"/>
    </xf>
    <xf numFmtId="0" fontId="8" fillId="7" borderId="6" xfId="0" applyFont="1" applyFill="1" applyBorder="1" applyAlignment="1" applyProtection="1">
      <alignment vertical="center" wrapText="1"/>
      <protection locked="0"/>
    </xf>
    <xf numFmtId="0" fontId="0" fillId="16" borderId="0" xfId="0" applyFill="1" applyAlignment="1">
      <alignment vertical="center"/>
    </xf>
    <xf numFmtId="0" fontId="25" fillId="19" borderId="1" xfId="0" applyFont="1" applyFill="1" applyBorder="1" applyAlignment="1" applyProtection="1">
      <alignment horizontal="center" vertical="center" wrapText="1"/>
      <protection locked="0"/>
    </xf>
    <xf numFmtId="0" fontId="8" fillId="0" borderId="6" xfId="0" applyFont="1" applyBorder="1" applyAlignment="1">
      <alignment vertical="center" wrapText="1"/>
    </xf>
    <xf numFmtId="0" fontId="8" fillId="0" borderId="1" xfId="0" applyFont="1" applyBorder="1" applyAlignment="1">
      <alignment vertical="center" wrapText="1"/>
    </xf>
    <xf numFmtId="0" fontId="25" fillId="17" borderId="1" xfId="0" applyFont="1" applyFill="1" applyBorder="1" applyAlignment="1" applyProtection="1">
      <alignment horizontal="center" vertical="center" wrapText="1"/>
      <protection locked="0"/>
    </xf>
    <xf numFmtId="0" fontId="25" fillId="20" borderId="1" xfId="0" applyFont="1" applyFill="1" applyBorder="1" applyAlignment="1" applyProtection="1">
      <alignment horizontal="center" vertical="center" wrapText="1"/>
      <protection locked="0"/>
    </xf>
    <xf numFmtId="0" fontId="8" fillId="21" borderId="1" xfId="0" applyFont="1" applyFill="1" applyBorder="1" applyAlignment="1" applyProtection="1">
      <alignment horizontal="center" vertical="center" wrapText="1"/>
      <protection locked="0"/>
    </xf>
    <xf numFmtId="0" fontId="7" fillId="0" borderId="1" xfId="0" applyFont="1" applyBorder="1" applyAlignment="1">
      <alignment horizontal="center" vertical="center" wrapText="1"/>
    </xf>
    <xf numFmtId="0" fontId="18" fillId="16" borderId="0" xfId="1" applyNumberFormat="1" applyFont="1" applyFill="1" applyBorder="1" applyAlignment="1">
      <alignment horizontal="center" vertical="center" wrapText="1"/>
    </xf>
    <xf numFmtId="0" fontId="9" fillId="16" borderId="0" xfId="6" applyFont="1" applyFill="1" applyAlignment="1">
      <alignment vertical="center"/>
    </xf>
    <xf numFmtId="0" fontId="18" fillId="16" borderId="0" xfId="1" applyNumberFormat="1" applyFont="1" applyFill="1" applyBorder="1" applyAlignment="1" applyProtection="1">
      <alignment horizontal="center" vertical="center" wrapText="1"/>
    </xf>
    <xf numFmtId="0" fontId="18" fillId="16" borderId="12" xfId="1" applyNumberFormat="1" applyFont="1" applyFill="1" applyBorder="1" applyAlignment="1">
      <alignment horizontal="center" vertical="center" wrapText="1"/>
    </xf>
    <xf numFmtId="0" fontId="18" fillId="16" borderId="0" xfId="1" applyNumberFormat="1" applyFont="1" applyFill="1" applyBorder="1" applyAlignment="1">
      <alignment vertical="center" wrapText="1"/>
    </xf>
    <xf numFmtId="0" fontId="8" fillId="16" borderId="4" xfId="0" applyFont="1" applyFill="1" applyBorder="1" applyAlignment="1">
      <alignment horizontal="left" vertical="center" wrapText="1"/>
    </xf>
    <xf numFmtId="0" fontId="7" fillId="16" borderId="4" xfId="0" applyFont="1" applyFill="1" applyBorder="1" applyAlignment="1">
      <alignment horizontal="center" vertical="center" wrapText="1"/>
    </xf>
    <xf numFmtId="0" fontId="7" fillId="16" borderId="8" xfId="0" applyFont="1" applyFill="1" applyBorder="1" applyAlignment="1">
      <alignment horizontal="center" vertical="center" wrapText="1"/>
    </xf>
    <xf numFmtId="170" fontId="21" fillId="18" borderId="3" xfId="0" applyNumberFormat="1" applyFont="1" applyFill="1" applyBorder="1" applyAlignment="1" applyProtection="1">
      <alignment horizontal="center" vertical="center" wrapText="1"/>
      <protection locked="0"/>
    </xf>
    <xf numFmtId="0" fontId="14" fillId="0" borderId="0" xfId="3" applyAlignment="1" applyProtection="1"/>
    <xf numFmtId="0" fontId="14" fillId="2" borderId="0" xfId="3" applyFill="1" applyAlignment="1" applyProtection="1">
      <alignment vertical="center"/>
      <protection hidden="1"/>
    </xf>
    <xf numFmtId="173" fontId="7" fillId="9" borderId="1" xfId="6" applyNumberFormat="1" applyFill="1" applyBorder="1" applyAlignment="1">
      <alignment horizontal="center" vertical="center" wrapText="1"/>
    </xf>
    <xf numFmtId="0" fontId="7" fillId="9" borderId="1" xfId="6" applyFill="1" applyBorder="1" applyAlignment="1">
      <alignment horizontal="left" vertical="center" wrapText="1"/>
    </xf>
    <xf numFmtId="1" fontId="7" fillId="9" borderId="1" xfId="6" applyNumberFormat="1" applyFill="1" applyBorder="1" applyAlignment="1">
      <alignment horizontal="left" vertical="center" wrapText="1"/>
    </xf>
    <xf numFmtId="170" fontId="5" fillId="22" borderId="1" xfId="6" applyNumberFormat="1" applyFont="1" applyFill="1" applyBorder="1" applyAlignment="1">
      <alignment horizontal="center" vertical="center"/>
    </xf>
    <xf numFmtId="43" fontId="5" fillId="22" borderId="1" xfId="7" applyFont="1" applyFill="1" applyBorder="1" applyAlignment="1" applyProtection="1">
      <alignment horizontal="center" vertical="center"/>
    </xf>
    <xf numFmtId="164" fontId="5" fillId="22" borderId="1" xfId="6" applyNumberFormat="1" applyFont="1" applyFill="1" applyBorder="1" applyAlignment="1">
      <alignment horizontal="center" vertical="center"/>
    </xf>
    <xf numFmtId="165" fontId="5" fillId="12" borderId="1" xfId="6" applyNumberFormat="1" applyFont="1" applyFill="1" applyBorder="1" applyAlignment="1">
      <alignment horizontal="center" vertical="center"/>
    </xf>
    <xf numFmtId="43" fontId="5" fillId="12" borderId="1" xfId="7" applyFont="1" applyFill="1" applyBorder="1" applyAlignment="1" applyProtection="1">
      <alignment horizontal="center" vertical="center"/>
    </xf>
    <xf numFmtId="164" fontId="5" fillId="12" borderId="1" xfId="6" applyNumberFormat="1" applyFont="1" applyFill="1" applyBorder="1" applyAlignment="1">
      <alignment horizontal="center" vertical="center"/>
    </xf>
    <xf numFmtId="0" fontId="7" fillId="11" borderId="1" xfId="13" applyFont="1" applyFill="1" applyBorder="1" applyAlignment="1" applyProtection="1">
      <alignment vertical="center"/>
      <protection locked="0"/>
    </xf>
    <xf numFmtId="172" fontId="7" fillId="30" borderId="1" xfId="10" applyNumberFormat="1" applyFont="1" applyFill="1" applyBorder="1" applyAlignment="1" applyProtection="1">
      <alignment vertical="center"/>
      <protection locked="0"/>
    </xf>
    <xf numFmtId="171" fontId="4" fillId="29" borderId="1" xfId="9" applyNumberFormat="1" applyFill="1" applyBorder="1" applyAlignment="1" applyProtection="1">
      <alignment vertical="center"/>
    </xf>
    <xf numFmtId="172" fontId="7" fillId="29" borderId="1" xfId="9" applyNumberFormat="1" applyFont="1" applyFill="1" applyBorder="1" applyAlignment="1" applyProtection="1">
      <alignment vertical="center"/>
      <protection locked="0"/>
    </xf>
    <xf numFmtId="172" fontId="7" fillId="32" borderId="1" xfId="9" applyNumberFormat="1" applyFont="1" applyFill="1" applyBorder="1" applyAlignment="1" applyProtection="1">
      <alignment vertical="center"/>
      <protection locked="0"/>
    </xf>
    <xf numFmtId="172" fontId="7" fillId="33" borderId="1" xfId="10" applyNumberFormat="1" applyFont="1" applyFill="1" applyBorder="1" applyAlignment="1" applyProtection="1">
      <alignment vertical="center"/>
      <protection locked="0"/>
    </xf>
    <xf numFmtId="0" fontId="18"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8" fillId="7" borderId="6" xfId="0" applyFont="1" applyFill="1" applyBorder="1" applyAlignment="1">
      <alignment horizontal="left" vertical="center" wrapText="1"/>
    </xf>
    <xf numFmtId="0" fontId="7" fillId="11" borderId="1" xfId="8" quotePrefix="1" applyFont="1" applyFill="1" applyBorder="1" applyAlignment="1" applyProtection="1">
      <alignment horizontal="center" vertical="center" wrapText="1"/>
    </xf>
    <xf numFmtId="0" fontId="7" fillId="31" borderId="1" xfId="11" quotePrefix="1" applyFont="1" applyFill="1" applyBorder="1" applyAlignment="1" applyProtection="1">
      <alignment horizontal="center" vertical="center" wrapText="1"/>
    </xf>
    <xf numFmtId="171" fontId="4" fillId="32" borderId="1" xfId="12" applyNumberFormat="1" applyFill="1" applyBorder="1" applyAlignment="1" applyProtection="1">
      <alignment vertical="center"/>
    </xf>
    <xf numFmtId="0" fontId="8" fillId="7" borderId="1" xfId="0" applyFont="1" applyFill="1" applyBorder="1" applyAlignment="1">
      <alignment horizontal="left" vertical="center" wrapText="1"/>
    </xf>
    <xf numFmtId="0" fontId="7" fillId="11" borderId="1" xfId="13" applyFont="1" applyFill="1" applyBorder="1" applyAlignment="1" applyProtection="1">
      <alignment vertical="center" wrapText="1"/>
    </xf>
    <xf numFmtId="0" fontId="7" fillId="28" borderId="1" xfId="13" applyFont="1" applyFill="1" applyBorder="1" applyAlignment="1" applyProtection="1">
      <alignment vertical="center" wrapText="1"/>
    </xf>
    <xf numFmtId="0" fontId="3" fillId="11" borderId="1" xfId="13" applyFont="1" applyFill="1" applyBorder="1" applyAlignment="1" applyProtection="1">
      <alignment vertical="center" wrapText="1"/>
    </xf>
    <xf numFmtId="0" fontId="3" fillId="28" borderId="1" xfId="13" applyFont="1" applyFill="1" applyBorder="1" applyAlignment="1" applyProtection="1">
      <alignment vertical="center" wrapText="1"/>
    </xf>
    <xf numFmtId="0" fontId="7" fillId="7" borderId="1" xfId="0" applyFont="1" applyFill="1" applyBorder="1" applyAlignment="1">
      <alignment horizontal="center" vertical="center" wrapText="1"/>
    </xf>
    <xf numFmtId="172" fontId="4" fillId="29" borderId="1" xfId="9" applyNumberFormat="1" applyFill="1" applyBorder="1" applyAlignment="1" applyProtection="1">
      <alignment vertical="center"/>
      <protection locked="0"/>
    </xf>
    <xf numFmtId="174" fontId="4" fillId="29" borderId="1" xfId="9" applyNumberFormat="1" applyFill="1" applyBorder="1" applyAlignment="1" applyProtection="1">
      <alignment vertical="center"/>
    </xf>
    <xf numFmtId="174" fontId="4" fillId="32" borderId="1" xfId="9" applyNumberFormat="1" applyFill="1" applyBorder="1" applyAlignment="1" applyProtection="1">
      <alignment vertical="center"/>
    </xf>
    <xf numFmtId="174" fontId="7" fillId="30" borderId="1" xfId="10" applyNumberFormat="1" applyFont="1" applyFill="1" applyBorder="1" applyAlignment="1" applyProtection="1">
      <alignment vertical="center"/>
    </xf>
    <xf numFmtId="174" fontId="7" fillId="33" borderId="1" xfId="10" applyNumberFormat="1" applyFont="1" applyFill="1" applyBorder="1" applyAlignment="1" applyProtection="1">
      <alignment vertical="center"/>
    </xf>
    <xf numFmtId="175" fontId="4" fillId="29" borderId="5" xfId="9" applyNumberFormat="1" applyFill="1" applyBorder="1" applyAlignment="1" applyProtection="1">
      <alignment vertical="center"/>
    </xf>
    <xf numFmtId="175" fontId="4" fillId="29" borderId="1" xfId="9" applyNumberFormat="1" applyFill="1" applyBorder="1" applyAlignment="1" applyProtection="1">
      <alignment vertical="center"/>
    </xf>
    <xf numFmtId="2" fontId="8" fillId="7" borderId="1" xfId="6" applyNumberFormat="1" applyFont="1" applyFill="1" applyBorder="1" applyAlignment="1">
      <alignment horizontal="center" vertical="center" wrapText="1"/>
    </xf>
    <xf numFmtId="49" fontId="7" fillId="11" borderId="1" xfId="8" quotePrefix="1" applyNumberFormat="1" applyFont="1" applyFill="1" applyBorder="1" applyAlignment="1" applyProtection="1">
      <alignment horizontal="center" vertical="center" wrapText="1"/>
    </xf>
    <xf numFmtId="49" fontId="7" fillId="31" borderId="1" xfId="11" quotePrefix="1" applyNumberFormat="1" applyFont="1" applyFill="1" applyBorder="1" applyAlignment="1" applyProtection="1">
      <alignment horizontal="center" vertical="center" wrapText="1"/>
    </xf>
    <xf numFmtId="49" fontId="12" fillId="6" borderId="0" xfId="1" applyNumberFormat="1" applyFill="1" applyAlignment="1" applyProtection="1">
      <alignment horizontal="center" vertical="center" wrapText="1"/>
      <protection locked="0"/>
    </xf>
    <xf numFmtId="49" fontId="12" fillId="6" borderId="0" xfId="1" quotePrefix="1" applyNumberFormat="1" applyFill="1" applyAlignment="1" applyProtection="1">
      <alignment horizontal="center" vertical="center" wrapText="1"/>
      <protection locked="0"/>
    </xf>
    <xf numFmtId="49" fontId="23" fillId="7" borderId="1" xfId="6" quotePrefix="1" applyNumberFormat="1" applyFont="1" applyFill="1" applyBorder="1" applyAlignment="1">
      <alignment horizontal="center" vertical="center" wrapText="1"/>
    </xf>
    <xf numFmtId="0" fontId="15" fillId="0" borderId="0" xfId="3" applyFont="1" applyFill="1" applyBorder="1" applyAlignment="1" applyProtection="1">
      <alignment vertical="center"/>
    </xf>
    <xf numFmtId="49" fontId="19" fillId="0" borderId="0" xfId="4" quotePrefix="1" applyNumberFormat="1" applyBorder="1" applyAlignment="1" applyProtection="1">
      <alignment horizontal="left" vertical="center"/>
      <protection locked="0"/>
    </xf>
    <xf numFmtId="164" fontId="21" fillId="10" borderId="1" xfId="0" applyNumberFormat="1" applyFont="1" applyFill="1" applyBorder="1" applyAlignment="1">
      <alignment horizontal="center" vertical="center"/>
    </xf>
    <xf numFmtId="176" fontId="22" fillId="17" borderId="1" xfId="0" applyNumberFormat="1" applyFont="1" applyFill="1" applyBorder="1" applyAlignment="1" applyProtection="1">
      <alignment horizontal="center" vertical="center"/>
      <protection locked="0"/>
    </xf>
    <xf numFmtId="176" fontId="21" fillId="18" borderId="1" xfId="0" applyNumberFormat="1" applyFont="1" applyFill="1" applyBorder="1" applyAlignment="1" applyProtection="1">
      <alignment horizontal="center" vertical="center"/>
      <protection locked="0"/>
    </xf>
    <xf numFmtId="176" fontId="22" fillId="19" borderId="1" xfId="0" applyNumberFormat="1" applyFont="1" applyFill="1" applyBorder="1" applyAlignment="1" applyProtection="1">
      <alignment horizontal="center" vertical="center"/>
      <protection locked="0"/>
    </xf>
    <xf numFmtId="176" fontId="22" fillId="20" borderId="1" xfId="0" applyNumberFormat="1" applyFont="1" applyFill="1" applyBorder="1" applyAlignment="1" applyProtection="1">
      <alignment horizontal="center" vertical="center"/>
      <protection locked="0"/>
    </xf>
    <xf numFmtId="176" fontId="21" fillId="21" borderId="1" xfId="0" applyNumberFormat="1" applyFont="1" applyFill="1" applyBorder="1" applyAlignment="1" applyProtection="1">
      <alignment horizontal="center" vertical="center"/>
      <protection locked="0"/>
    </xf>
    <xf numFmtId="176" fontId="31" fillId="17" borderId="1" xfId="0" applyNumberFormat="1" applyFont="1" applyFill="1" applyBorder="1" applyAlignment="1" applyProtection="1">
      <alignment horizontal="center" vertical="center" wrapText="1"/>
      <protection locked="0"/>
    </xf>
    <xf numFmtId="176" fontId="10" fillId="18" borderId="1" xfId="0" applyNumberFormat="1" applyFont="1" applyFill="1" applyBorder="1" applyAlignment="1" applyProtection="1">
      <alignment horizontal="center" vertical="center" wrapText="1"/>
      <protection locked="0"/>
    </xf>
    <xf numFmtId="176" fontId="31" fillId="19" borderId="1" xfId="0" applyNumberFormat="1" applyFont="1" applyFill="1" applyBorder="1" applyAlignment="1" applyProtection="1">
      <alignment horizontal="center" vertical="center" wrapText="1"/>
      <protection locked="0"/>
    </xf>
    <xf numFmtId="164" fontId="10" fillId="3" borderId="1" xfId="0" applyNumberFormat="1" applyFont="1" applyFill="1" applyBorder="1" applyAlignment="1" applyProtection="1">
      <alignment horizontal="center" vertical="center"/>
      <protection locked="0"/>
    </xf>
    <xf numFmtId="170" fontId="10" fillId="3" borderId="1" xfId="0" applyNumberFormat="1" applyFont="1" applyFill="1" applyBorder="1" applyAlignment="1" applyProtection="1">
      <alignment horizontal="center" vertical="center"/>
      <protection locked="0"/>
    </xf>
    <xf numFmtId="170" fontId="10" fillId="9" borderId="1" xfId="0" applyNumberFormat="1" applyFont="1" applyFill="1" applyBorder="1" applyAlignment="1" applyProtection="1">
      <alignment horizontal="center" vertical="center"/>
      <protection locked="0"/>
    </xf>
    <xf numFmtId="176" fontId="31" fillId="20" borderId="1" xfId="0" applyNumberFormat="1" applyFont="1" applyFill="1" applyBorder="1" applyAlignment="1" applyProtection="1">
      <alignment horizontal="center" vertical="center" wrapText="1"/>
      <protection locked="0"/>
    </xf>
    <xf numFmtId="176" fontId="10" fillId="21" borderId="1" xfId="0" applyNumberFormat="1" applyFont="1" applyFill="1" applyBorder="1" applyAlignment="1" applyProtection="1">
      <alignment horizontal="center" vertical="center" wrapText="1"/>
      <protection locked="0"/>
    </xf>
    <xf numFmtId="164" fontId="10" fillId="10" borderId="1" xfId="0" applyNumberFormat="1" applyFont="1" applyFill="1" applyBorder="1" applyAlignment="1" applyProtection="1">
      <alignment horizontal="center" vertical="center" wrapText="1"/>
      <protection locked="0"/>
    </xf>
    <xf numFmtId="164" fontId="10" fillId="10" borderId="1" xfId="0" applyNumberFormat="1" applyFont="1" applyFill="1" applyBorder="1" applyAlignment="1">
      <alignment horizontal="center" vertical="center" wrapText="1"/>
    </xf>
    <xf numFmtId="170" fontId="10" fillId="9" borderId="1" xfId="0" applyNumberFormat="1" applyFont="1" applyFill="1" applyBorder="1" applyAlignment="1" applyProtection="1">
      <alignment horizontal="center" vertical="center" wrapText="1"/>
      <protection locked="0"/>
    </xf>
    <xf numFmtId="0" fontId="7" fillId="0" borderId="0" xfId="6"/>
    <xf numFmtId="0" fontId="7" fillId="0" borderId="0" xfId="6" applyAlignment="1">
      <alignment horizontal="left"/>
    </xf>
    <xf numFmtId="0" fontId="32" fillId="0" borderId="0" xfId="6" applyFont="1"/>
    <xf numFmtId="0" fontId="14" fillId="0" borderId="0" xfId="3" applyFill="1" applyAlignment="1" applyProtection="1">
      <alignment horizontal="left" vertical="center"/>
    </xf>
    <xf numFmtId="0" fontId="7" fillId="0" borderId="0" xfId="6" applyAlignment="1">
      <alignment horizontal="center" vertical="center" wrapText="1"/>
    </xf>
    <xf numFmtId="0" fontId="7" fillId="0" borderId="0" xfId="6" applyAlignment="1">
      <alignment horizontal="center" vertical="top" wrapText="1"/>
    </xf>
    <xf numFmtId="0" fontId="7" fillId="35" borderId="0" xfId="6" applyFill="1" applyAlignment="1">
      <alignment horizontal="left"/>
    </xf>
    <xf numFmtId="14" fontId="7" fillId="0" borderId="0" xfId="6" applyNumberFormat="1"/>
    <xf numFmtId="0" fontId="7" fillId="0" borderId="0" xfId="6" quotePrefix="1" applyAlignment="1">
      <alignment horizontal="left"/>
    </xf>
    <xf numFmtId="0" fontId="7" fillId="35" borderId="0" xfId="6" applyFill="1" applyAlignment="1">
      <alignment horizontal="left" vertical="center"/>
    </xf>
    <xf numFmtId="177" fontId="7" fillId="35" borderId="0" xfId="6" applyNumberFormat="1" applyFill="1" applyAlignment="1">
      <alignment horizontal="left"/>
    </xf>
    <xf numFmtId="0" fontId="21" fillId="16" borderId="1" xfId="0" applyFont="1" applyFill="1" applyBorder="1" applyAlignment="1" applyProtection="1">
      <alignment horizontal="center" vertical="center" wrapText="1"/>
      <protection locked="0"/>
    </xf>
    <xf numFmtId="0" fontId="8" fillId="11" borderId="1" xfId="0" applyFont="1" applyFill="1" applyBorder="1" applyAlignment="1">
      <alignment vertical="center" wrapText="1"/>
    </xf>
    <xf numFmtId="0" fontId="33" fillId="0" borderId="1" xfId="16" applyFont="1" applyBorder="1" applyAlignment="1">
      <alignment horizontal="center" vertical="center" wrapText="1"/>
    </xf>
    <xf numFmtId="2" fontId="21" fillId="10"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protection locked="0"/>
    </xf>
    <xf numFmtId="0" fontId="8" fillId="7" borderId="1" xfId="0" applyFont="1" applyFill="1" applyBorder="1" applyAlignment="1">
      <alignment vertical="center" wrapText="1"/>
    </xf>
    <xf numFmtId="2" fontId="21" fillId="3" borderId="1" xfId="0" applyNumberFormat="1" applyFont="1" applyFill="1" applyBorder="1" applyAlignment="1">
      <alignment horizontal="center" vertical="center"/>
    </xf>
    <xf numFmtId="2" fontId="21" fillId="10" borderId="1" xfId="0" applyNumberFormat="1" applyFont="1" applyFill="1" applyBorder="1" applyAlignment="1">
      <alignment horizontal="center" vertical="center"/>
    </xf>
    <xf numFmtId="0" fontId="21" fillId="0" borderId="1" xfId="0" applyFont="1" applyBorder="1" applyAlignment="1">
      <alignment horizontal="center" vertical="center" wrapText="1"/>
    </xf>
    <xf numFmtId="0" fontId="7" fillId="2" borderId="0" xfId="6" quotePrefix="1" applyFill="1" applyAlignment="1">
      <alignment horizontal="center" vertical="center" wrapText="1"/>
    </xf>
    <xf numFmtId="0" fontId="14" fillId="0" borderId="0" xfId="3" applyAlignment="1" applyProtection="1">
      <alignment horizontal="left" vertical="top" wrapText="1"/>
    </xf>
    <xf numFmtId="49" fontId="21" fillId="0" borderId="1" xfId="0" applyNumberFormat="1" applyFont="1" applyBorder="1" applyAlignment="1" applyProtection="1">
      <alignment horizontal="center" vertical="center" wrapText="1"/>
      <protection locked="0"/>
    </xf>
    <xf numFmtId="3" fontId="21" fillId="0" borderId="1" xfId="0" applyNumberFormat="1" applyFont="1" applyBorder="1" applyAlignment="1" applyProtection="1">
      <alignment horizontal="center" vertical="center" wrapText="1"/>
      <protection locked="0"/>
    </xf>
    <xf numFmtId="0" fontId="21" fillId="0" borderId="1" xfId="0" applyFont="1" applyBorder="1" applyAlignment="1" applyProtection="1">
      <alignment horizontal="center" vertical="center" wrapText="1"/>
      <protection locked="0"/>
    </xf>
    <xf numFmtId="49" fontId="21" fillId="0" borderId="1" xfId="0" quotePrefix="1" applyNumberFormat="1" applyFont="1" applyBorder="1" applyAlignment="1" applyProtection="1">
      <alignment horizontal="center" vertical="center" wrapText="1"/>
      <protection locked="0"/>
    </xf>
    <xf numFmtId="164" fontId="21" fillId="9" borderId="1" xfId="0" applyNumberFormat="1" applyFont="1" applyFill="1" applyBorder="1" applyAlignment="1" applyProtection="1">
      <alignment horizontal="center" vertical="center"/>
      <protection locked="0"/>
    </xf>
    <xf numFmtId="178" fontId="21" fillId="3" borderId="1" xfId="0" applyNumberFormat="1" applyFont="1" applyFill="1" applyBorder="1" applyAlignment="1" applyProtection="1">
      <alignment horizontal="center" vertical="center"/>
      <protection locked="0"/>
    </xf>
    <xf numFmtId="0" fontId="7" fillId="4" borderId="1" xfId="0" applyFont="1" applyFill="1" applyBorder="1" applyAlignment="1">
      <alignment horizontal="center" vertical="center" wrapText="1"/>
    </xf>
    <xf numFmtId="0" fontId="7" fillId="36" borderId="6" xfId="0" applyFont="1" applyFill="1" applyBorder="1" applyAlignment="1">
      <alignment horizontal="center" vertical="center" wrapText="1"/>
    </xf>
    <xf numFmtId="0" fontId="7" fillId="16" borderId="1" xfId="0" applyFont="1" applyFill="1" applyBorder="1" applyAlignment="1">
      <alignment horizontal="center" vertical="center" wrapText="1"/>
    </xf>
    <xf numFmtId="0" fontId="7" fillId="36" borderId="1" xfId="0" applyFont="1" applyFill="1" applyBorder="1" applyAlignment="1">
      <alignment horizontal="center" vertical="center" wrapText="1"/>
    </xf>
    <xf numFmtId="0" fontId="7" fillId="0" borderId="3" xfId="0" applyFont="1" applyBorder="1" applyAlignment="1">
      <alignment horizontal="center" vertical="center" wrapText="1"/>
    </xf>
    <xf numFmtId="0" fontId="7" fillId="9" borderId="1" xfId="0" applyFont="1" applyFill="1" applyBorder="1" applyAlignment="1" applyProtection="1">
      <alignment horizontal="left" vertical="center" wrapText="1"/>
      <protection locked="0"/>
    </xf>
    <xf numFmtId="1" fontId="7" fillId="9" borderId="1" xfId="0" applyNumberFormat="1" applyFont="1" applyFill="1" applyBorder="1" applyAlignment="1" applyProtection="1">
      <alignment horizontal="left" vertical="center" wrapText="1"/>
      <protection locked="0"/>
    </xf>
    <xf numFmtId="0" fontId="35" fillId="16" borderId="0" xfId="1" applyNumberFormat="1" applyFont="1" applyFill="1" applyBorder="1" applyAlignment="1">
      <alignment horizontal="center" vertical="center" wrapText="1"/>
    </xf>
    <xf numFmtId="0" fontId="16" fillId="8" borderId="1" xfId="0" applyFont="1" applyFill="1" applyBorder="1" applyAlignment="1" applyProtection="1">
      <alignment horizontal="center" vertical="center" wrapText="1"/>
      <protection locked="0"/>
    </xf>
    <xf numFmtId="0" fontId="7" fillId="16" borderId="3" xfId="0" applyFont="1" applyFill="1" applyBorder="1" applyAlignment="1">
      <alignment horizontal="center" vertical="center" wrapText="1"/>
    </xf>
    <xf numFmtId="0" fontId="7" fillId="2" borderId="0" xfId="0" applyFont="1" applyFill="1" applyAlignment="1">
      <alignment horizontal="center" vertical="center"/>
    </xf>
    <xf numFmtId="166" fontId="7" fillId="2" borderId="0" xfId="0" applyNumberFormat="1" applyFont="1" applyFill="1" applyAlignment="1">
      <alignment horizontal="center" vertical="center"/>
    </xf>
    <xf numFmtId="0" fontId="7" fillId="2" borderId="0" xfId="0" applyFont="1" applyFill="1"/>
    <xf numFmtId="168" fontId="5" fillId="12" borderId="1" xfId="0" applyNumberFormat="1" applyFont="1" applyFill="1" applyBorder="1" applyAlignment="1" applyProtection="1">
      <alignment horizontal="center" vertical="center"/>
      <protection locked="0"/>
    </xf>
    <xf numFmtId="169" fontId="5" fillId="12" borderId="1" xfId="0" applyNumberFormat="1" applyFont="1" applyFill="1" applyBorder="1" applyAlignment="1" applyProtection="1">
      <alignment horizontal="center" vertical="center"/>
      <protection locked="0"/>
    </xf>
    <xf numFmtId="168" fontId="5" fillId="9" borderId="1" xfId="0" applyNumberFormat="1" applyFont="1" applyFill="1" applyBorder="1" applyAlignment="1" applyProtection="1">
      <alignment horizontal="center" vertical="center"/>
      <protection locked="0"/>
    </xf>
    <xf numFmtId="169" fontId="5" fillId="9" borderId="1" xfId="0" applyNumberFormat="1" applyFont="1" applyFill="1" applyBorder="1" applyAlignment="1" applyProtection="1">
      <alignment horizontal="center" vertical="center"/>
      <protection locked="0"/>
    </xf>
    <xf numFmtId="14" fontId="7" fillId="9" borderId="1" xfId="0" quotePrefix="1" applyNumberFormat="1" applyFont="1" applyFill="1" applyBorder="1" applyAlignment="1" applyProtection="1">
      <alignment horizontal="left" vertical="center" wrapText="1"/>
      <protection locked="0"/>
    </xf>
    <xf numFmtId="1" fontId="7" fillId="9" borderId="1" xfId="0" quotePrefix="1" applyNumberFormat="1" applyFont="1" applyFill="1" applyBorder="1" applyAlignment="1" applyProtection="1">
      <alignment horizontal="left" vertical="center" wrapText="1"/>
      <protection locked="0"/>
    </xf>
    <xf numFmtId="0" fontId="7" fillId="14" borderId="1" xfId="0" applyFont="1" applyFill="1" applyBorder="1" applyAlignment="1" applyProtection="1">
      <alignment horizontal="center" vertical="center" wrapText="1"/>
      <protection locked="0"/>
    </xf>
    <xf numFmtId="0" fontId="36" fillId="0" borderId="0" xfId="0" applyFont="1"/>
    <xf numFmtId="3" fontId="21" fillId="8" borderId="1" xfId="0" quotePrefix="1" applyNumberFormat="1" applyFont="1" applyFill="1" applyBorder="1" applyAlignment="1" applyProtection="1">
      <alignment horizontal="center" vertical="center" wrapText="1"/>
      <protection locked="0"/>
    </xf>
    <xf numFmtId="3" fontId="16" fillId="8" borderId="1" xfId="0" applyNumberFormat="1" applyFont="1" applyFill="1" applyBorder="1" applyAlignment="1" applyProtection="1">
      <alignment horizontal="center" vertical="center" wrapText="1"/>
      <protection locked="0"/>
    </xf>
    <xf numFmtId="43" fontId="7" fillId="16" borderId="8" xfId="0" applyNumberFormat="1" applyFont="1" applyFill="1" applyBorder="1" applyAlignment="1">
      <alignment horizontal="center" vertical="center" wrapText="1"/>
    </xf>
    <xf numFmtId="165" fontId="7" fillId="16" borderId="8" xfId="0" applyNumberFormat="1" applyFont="1" applyFill="1" applyBorder="1" applyAlignment="1">
      <alignment horizontal="center" vertical="center" wrapText="1"/>
    </xf>
    <xf numFmtId="0" fontId="0" fillId="0" borderId="1" xfId="0" applyBorder="1" applyAlignment="1">
      <alignment horizontal="center" vertical="center"/>
    </xf>
    <xf numFmtId="0" fontId="43" fillId="8" borderId="1" xfId="0" applyFont="1" applyFill="1" applyBorder="1" applyAlignment="1" applyProtection="1">
      <alignment horizontal="center" vertical="center"/>
      <protection locked="0"/>
    </xf>
    <xf numFmtId="3" fontId="43" fillId="8" borderId="1" xfId="0" applyNumberFormat="1" applyFont="1" applyFill="1" applyBorder="1" applyAlignment="1" applyProtection="1">
      <alignment horizontal="center" vertical="center"/>
      <protection locked="0"/>
    </xf>
    <xf numFmtId="3" fontId="43" fillId="21" borderId="1" xfId="0" applyNumberFormat="1" applyFont="1" applyFill="1" applyBorder="1" applyAlignment="1" applyProtection="1">
      <alignment horizontal="center" vertical="center"/>
      <protection locked="0"/>
    </xf>
    <xf numFmtId="0" fontId="44" fillId="7" borderId="1" xfId="0" applyFont="1" applyFill="1" applyBorder="1" applyAlignment="1" applyProtection="1">
      <alignment horizontal="center" vertical="center"/>
      <protection locked="0"/>
    </xf>
    <xf numFmtId="0" fontId="44" fillId="7" borderId="1" xfId="0" applyFont="1" applyFill="1" applyBorder="1" applyAlignment="1" applyProtection="1">
      <alignment horizontal="center" vertical="center" wrapText="1"/>
      <protection locked="0"/>
    </xf>
    <xf numFmtId="0" fontId="43" fillId="0" borderId="0" xfId="0" applyFont="1"/>
    <xf numFmtId="0" fontId="44" fillId="7" borderId="1" xfId="0" applyFont="1" applyFill="1" applyBorder="1" applyAlignment="1" applyProtection="1">
      <alignment vertical="center"/>
      <protection locked="0"/>
    </xf>
    <xf numFmtId="179" fontId="43" fillId="0" borderId="0" xfId="20" applyNumberFormat="1" applyFont="1"/>
    <xf numFmtId="44" fontId="0" fillId="2" borderId="1" xfId="0" applyNumberFormat="1" applyFill="1" applyBorder="1" applyAlignment="1">
      <alignment horizontal="center" vertical="center"/>
    </xf>
    <xf numFmtId="0" fontId="24" fillId="2" borderId="0" xfId="0" applyFont="1" applyFill="1" applyAlignment="1">
      <alignment vertical="center"/>
    </xf>
    <xf numFmtId="0" fontId="24" fillId="2" borderId="0" xfId="0" applyFont="1" applyFill="1"/>
    <xf numFmtId="0" fontId="24" fillId="16" borderId="0" xfId="0" applyFont="1" applyFill="1" applyAlignment="1">
      <alignment vertical="center"/>
    </xf>
    <xf numFmtId="0" fontId="24" fillId="16" borderId="0" xfId="6" applyFont="1" applyFill="1" applyAlignment="1">
      <alignment vertical="center"/>
    </xf>
    <xf numFmtId="0" fontId="45" fillId="16" borderId="0" xfId="6" applyFont="1" applyFill="1" applyAlignment="1">
      <alignment vertical="center"/>
    </xf>
    <xf numFmtId="43" fontId="43" fillId="0" borderId="0" xfId="20" applyFont="1"/>
    <xf numFmtId="180" fontId="43" fillId="8" borderId="1" xfId="0" applyNumberFormat="1" applyFont="1" applyFill="1" applyBorder="1" applyAlignment="1" applyProtection="1">
      <alignment horizontal="center" vertical="center"/>
      <protection locked="0"/>
    </xf>
    <xf numFmtId="0" fontId="7" fillId="2" borderId="0" xfId="6" quotePrefix="1" applyFill="1" applyAlignment="1">
      <alignment vertical="center" wrapText="1"/>
    </xf>
    <xf numFmtId="0" fontId="8" fillId="0" borderId="1" xfId="0" applyFont="1" applyBorder="1" applyAlignment="1">
      <alignment horizontal="left" vertical="center" wrapText="1"/>
    </xf>
    <xf numFmtId="0" fontId="46" fillId="16" borderId="0" xfId="6" applyFont="1" applyFill="1" applyAlignment="1">
      <alignment vertical="center"/>
    </xf>
    <xf numFmtId="0" fontId="47" fillId="16" borderId="0" xfId="6" applyFont="1" applyFill="1" applyAlignment="1">
      <alignment vertical="center"/>
    </xf>
    <xf numFmtId="0" fontId="48" fillId="16" borderId="0" xfId="6" applyFont="1" applyFill="1" applyAlignment="1">
      <alignment vertical="center"/>
    </xf>
    <xf numFmtId="0" fontId="8" fillId="0" borderId="6" xfId="6" applyFont="1" applyBorder="1" applyAlignment="1">
      <alignment vertical="center" wrapText="1"/>
    </xf>
    <xf numFmtId="0" fontId="7" fillId="0" borderId="6" xfId="6" applyBorder="1" applyAlignment="1">
      <alignment horizontal="center" vertical="center" wrapText="1"/>
    </xf>
    <xf numFmtId="0" fontId="7" fillId="4" borderId="1" xfId="6" applyFill="1" applyBorder="1" applyAlignment="1">
      <alignment horizontal="center" vertical="center" wrapText="1"/>
    </xf>
    <xf numFmtId="0" fontId="7" fillId="0" borderId="1" xfId="6" quotePrefix="1" applyBorder="1" applyAlignment="1">
      <alignment horizontal="center" vertical="center" wrapText="1"/>
    </xf>
    <xf numFmtId="165" fontId="0" fillId="0" borderId="1" xfId="0" applyNumberFormat="1" applyBorder="1" applyAlignment="1">
      <alignment horizontal="center" vertical="center"/>
    </xf>
    <xf numFmtId="0" fontId="0" fillId="36" borderId="1" xfId="0" applyFill="1" applyBorder="1" applyAlignment="1">
      <alignment vertical="center"/>
    </xf>
    <xf numFmtId="165" fontId="8" fillId="7" borderId="1" xfId="0" applyNumberFormat="1" applyFont="1" applyFill="1" applyBorder="1" applyAlignment="1" applyProtection="1">
      <alignment horizontal="center" vertical="center" wrapText="1"/>
      <protection locked="0"/>
    </xf>
    <xf numFmtId="164" fontId="7" fillId="2" borderId="0" xfId="6" applyNumberFormat="1" applyFill="1" applyAlignment="1">
      <alignment vertical="center"/>
    </xf>
    <xf numFmtId="0" fontId="46" fillId="2" borderId="0" xfId="6" applyFont="1" applyFill="1" applyAlignment="1">
      <alignment vertical="center"/>
    </xf>
    <xf numFmtId="164" fontId="0" fillId="2" borderId="0" xfId="0" applyNumberFormat="1" applyFill="1" applyAlignment="1">
      <alignment vertical="center"/>
    </xf>
    <xf numFmtId="165" fontId="7" fillId="2" borderId="0" xfId="6" applyNumberFormat="1" applyFill="1" applyAlignment="1">
      <alignment vertical="center"/>
    </xf>
    <xf numFmtId="2" fontId="7" fillId="14" borderId="1" xfId="0" applyNumberFormat="1" applyFont="1" applyFill="1" applyBorder="1" applyAlignment="1" applyProtection="1">
      <alignment horizontal="center" vertical="center" wrapText="1"/>
      <protection locked="0"/>
    </xf>
    <xf numFmtId="0" fontId="7" fillId="9" borderId="1" xfId="0" quotePrefix="1" applyFont="1" applyFill="1" applyBorder="1" applyAlignment="1" applyProtection="1">
      <alignment horizontal="left" vertical="center" wrapText="1"/>
      <protection locked="0"/>
    </xf>
    <xf numFmtId="0" fontId="5" fillId="12" borderId="1" xfId="0" applyFont="1" applyFill="1" applyBorder="1" applyAlignment="1" applyProtection="1">
      <alignment horizontal="center" vertical="center"/>
      <protection locked="0"/>
    </xf>
    <xf numFmtId="0" fontId="5" fillId="9" borderId="1" xfId="0" applyFont="1" applyFill="1" applyBorder="1" applyAlignment="1" applyProtection="1">
      <alignment horizontal="center" vertical="center"/>
      <protection locked="0"/>
    </xf>
    <xf numFmtId="43" fontId="5" fillId="12" borderId="1" xfId="0" applyNumberFormat="1" applyFont="1" applyFill="1" applyBorder="1" applyAlignment="1" applyProtection="1">
      <alignment horizontal="center" vertical="center"/>
      <protection locked="0"/>
    </xf>
    <xf numFmtId="14" fontId="51" fillId="9" borderId="1" xfId="6" applyNumberFormat="1" applyFont="1" applyFill="1" applyBorder="1" applyAlignment="1" applyProtection="1">
      <alignment horizontal="left" vertical="center" wrapText="1"/>
      <protection locked="0"/>
    </xf>
    <xf numFmtId="49" fontId="52" fillId="9" borderId="1" xfId="6" quotePrefix="1" applyNumberFormat="1" applyFont="1" applyFill="1" applyBorder="1" applyAlignment="1" applyProtection="1">
      <alignment horizontal="left" vertical="center" wrapText="1"/>
      <protection locked="0"/>
    </xf>
    <xf numFmtId="173" fontId="52" fillId="9" borderId="1" xfId="6" applyNumberFormat="1" applyFont="1" applyFill="1" applyBorder="1" applyAlignment="1">
      <alignment horizontal="center" vertical="center" wrapText="1"/>
    </xf>
    <xf numFmtId="1" fontId="52" fillId="9" borderId="1" xfId="6" applyNumberFormat="1" applyFont="1" applyFill="1" applyBorder="1" applyAlignment="1" applyProtection="1">
      <alignment horizontal="center" vertical="center" wrapText="1"/>
      <protection locked="0"/>
    </xf>
    <xf numFmtId="1" fontId="52" fillId="9" borderId="1" xfId="6" applyNumberFormat="1" applyFont="1" applyFill="1" applyBorder="1" applyAlignment="1" applyProtection="1">
      <alignment horizontal="left" vertical="center" wrapText="1"/>
      <protection locked="0"/>
    </xf>
    <xf numFmtId="0" fontId="51" fillId="9" borderId="1" xfId="6" applyFont="1" applyFill="1" applyBorder="1" applyAlignment="1" applyProtection="1">
      <alignment horizontal="left" vertical="center" wrapText="1"/>
      <protection locked="0"/>
    </xf>
    <xf numFmtId="168" fontId="53" fillId="12" borderId="1" xfId="6" applyNumberFormat="1" applyFont="1" applyFill="1" applyBorder="1" applyAlignment="1" applyProtection="1">
      <alignment horizontal="center" vertical="center"/>
      <protection locked="0"/>
    </xf>
    <xf numFmtId="169" fontId="53" fillId="12" borderId="1" xfId="6" applyNumberFormat="1" applyFont="1" applyFill="1" applyBorder="1" applyAlignment="1" applyProtection="1">
      <alignment horizontal="center" vertical="center"/>
      <protection locked="0"/>
    </xf>
    <xf numFmtId="2" fontId="53" fillId="9" borderId="1" xfId="6" applyNumberFormat="1" applyFont="1" applyFill="1" applyBorder="1" applyAlignment="1" applyProtection="1">
      <alignment horizontal="center" vertical="center"/>
      <protection locked="0"/>
    </xf>
    <xf numFmtId="0" fontId="18" fillId="6" borderId="3" xfId="1" applyNumberFormat="1" applyFont="1" applyFill="1" applyBorder="1" applyAlignment="1">
      <alignment horizontal="center" vertical="center" wrapText="1"/>
    </xf>
    <xf numFmtId="0" fontId="18" fillId="6" borderId="4" xfId="1" applyNumberFormat="1" applyFont="1" applyFill="1" applyBorder="1" applyAlignment="1">
      <alignment horizontal="center" vertical="center" wrapText="1"/>
    </xf>
    <xf numFmtId="0" fontId="18" fillId="6" borderId="5" xfId="1" applyNumberFormat="1" applyFont="1" applyFill="1" applyBorder="1" applyAlignment="1">
      <alignment horizontal="center" vertical="center" wrapText="1"/>
    </xf>
    <xf numFmtId="0" fontId="7" fillId="2" borderId="0" xfId="0" quotePrefix="1" applyFont="1" applyFill="1" applyAlignment="1">
      <alignment horizontal="center" vertical="center" wrapText="1"/>
    </xf>
    <xf numFmtId="0" fontId="7" fillId="0" borderId="0" xfId="0" quotePrefix="1" applyFont="1" applyAlignment="1">
      <alignment horizontal="left" wrapText="1"/>
    </xf>
    <xf numFmtId="0" fontId="20" fillId="0" borderId="0" xfId="0" quotePrefix="1" applyFont="1" applyAlignment="1">
      <alignment horizontal="left" vertical="top" wrapText="1"/>
    </xf>
    <xf numFmtId="0" fontId="7" fillId="0" borderId="0" xfId="0" quotePrefix="1" applyFont="1" applyAlignment="1" applyProtection="1">
      <alignment horizontal="left" vertical="top" wrapText="1"/>
      <protection locked="0"/>
    </xf>
    <xf numFmtId="0" fontId="7" fillId="0" borderId="0" xfId="0" applyFont="1" applyAlignment="1" applyProtection="1">
      <alignment horizontal="left" vertical="top" wrapText="1"/>
      <protection locked="0"/>
    </xf>
    <xf numFmtId="0" fontId="16" fillId="0" borderId="0" xfId="0" quotePrefix="1" applyFont="1" applyAlignment="1">
      <alignment horizontal="left" vertical="top" wrapText="1"/>
    </xf>
    <xf numFmtId="49" fontId="12" fillId="6" borderId="0" xfId="1" applyNumberFormat="1" applyFill="1" applyAlignment="1" applyProtection="1">
      <alignment horizontal="center" vertical="center" wrapText="1"/>
      <protection locked="0"/>
    </xf>
    <xf numFmtId="49" fontId="12" fillId="6" borderId="0" xfId="1" applyNumberFormat="1" applyFill="1" applyAlignment="1" applyProtection="1">
      <alignment horizontal="left" vertical="center" wrapText="1"/>
      <protection locked="0"/>
    </xf>
    <xf numFmtId="0" fontId="7" fillId="2" borderId="8" xfId="6" quotePrefix="1" applyFill="1" applyBorder="1" applyAlignment="1">
      <alignment horizontal="center" vertical="center" wrapText="1"/>
    </xf>
    <xf numFmtId="0" fontId="30" fillId="34" borderId="13" xfId="15" quotePrefix="1" applyBorder="1" applyAlignment="1">
      <alignment horizontal="left" vertical="top" wrapText="1"/>
    </xf>
    <xf numFmtId="0" fontId="30" fillId="34" borderId="8" xfId="15" quotePrefix="1" applyBorder="1" applyAlignment="1">
      <alignment horizontal="left" vertical="top" wrapText="1"/>
    </xf>
    <xf numFmtId="0" fontId="8" fillId="0" borderId="1" xfId="0" applyFont="1" applyBorder="1" applyAlignment="1">
      <alignment horizontal="left" vertical="center" wrapText="1"/>
    </xf>
    <xf numFmtId="0" fontId="18" fillId="6" borderId="1" xfId="1" applyNumberFormat="1" applyFont="1" applyFill="1" applyBorder="1" applyAlignment="1">
      <alignment horizontal="center" vertical="center" wrapText="1"/>
    </xf>
    <xf numFmtId="170" fontId="21" fillId="18" borderId="3" xfId="0" applyNumberFormat="1" applyFont="1" applyFill="1" applyBorder="1" applyAlignment="1" applyProtection="1">
      <alignment horizontal="center" vertical="center"/>
      <protection locked="0"/>
    </xf>
    <xf numFmtId="170" fontId="21" fillId="18" borderId="5" xfId="0" applyNumberFormat="1" applyFont="1" applyFill="1" applyBorder="1" applyAlignment="1" applyProtection="1">
      <alignment horizontal="center" vertical="center"/>
      <protection locked="0"/>
    </xf>
    <xf numFmtId="0" fontId="7" fillId="0" borderId="1" xfId="0" applyFont="1" applyBorder="1" applyAlignment="1">
      <alignment horizontal="center" vertical="center" wrapText="1"/>
    </xf>
    <xf numFmtId="0" fontId="8" fillId="7" borderId="3" xfId="0" applyFont="1" applyFill="1" applyBorder="1" applyAlignment="1" applyProtection="1">
      <alignment horizontal="center" vertical="center" wrapText="1"/>
      <protection locked="0"/>
    </xf>
    <xf numFmtId="0" fontId="8" fillId="7" borderId="5" xfId="0" applyFont="1" applyFill="1" applyBorder="1" applyAlignment="1" applyProtection="1">
      <alignment horizontal="center" vertical="center" wrapText="1"/>
      <protection locked="0"/>
    </xf>
    <xf numFmtId="0" fontId="8" fillId="0" borderId="1" xfId="0" applyFont="1" applyBorder="1" applyAlignment="1">
      <alignment horizontal="left" vertical="center" wrapText="1" inden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25" fillId="17" borderId="1" xfId="0" applyFont="1" applyFill="1" applyBorder="1" applyAlignment="1" applyProtection="1">
      <alignment horizontal="center" vertical="center" wrapText="1"/>
      <protection locked="0"/>
    </xf>
    <xf numFmtId="0" fontId="7" fillId="36" borderId="1" xfId="0" applyFont="1" applyFill="1" applyBorder="1" applyAlignment="1">
      <alignment horizontal="center" vertical="center" wrapText="1"/>
    </xf>
    <xf numFmtId="0" fontId="7" fillId="2" borderId="8" xfId="6" quotePrefix="1" applyFill="1" applyBorder="1" applyAlignment="1">
      <alignment horizontal="left" vertical="center" wrapText="1"/>
    </xf>
    <xf numFmtId="0" fontId="7" fillId="2" borderId="8" xfId="0" quotePrefix="1" applyFont="1" applyFill="1" applyBorder="1" applyAlignment="1">
      <alignment horizontal="left" vertical="center" wrapText="1"/>
    </xf>
    <xf numFmtId="0" fontId="8" fillId="7" borderId="11" xfId="0" applyFont="1" applyFill="1" applyBorder="1" applyAlignment="1" applyProtection="1">
      <alignment horizontal="center" vertical="center" wrapText="1"/>
      <protection locked="0"/>
    </xf>
    <xf numFmtId="0" fontId="8" fillId="7" borderId="0" xfId="0" applyFont="1" applyFill="1" applyAlignment="1" applyProtection="1">
      <alignment horizontal="center" vertical="center" wrapText="1"/>
      <protection locked="0"/>
    </xf>
    <xf numFmtId="0" fontId="6" fillId="0" borderId="1" xfId="0" applyFont="1" applyBorder="1" applyAlignment="1">
      <alignment vertical="center" wrapText="1"/>
    </xf>
    <xf numFmtId="0" fontId="0" fillId="0" borderId="1" xfId="0" applyBorder="1" applyAlignment="1">
      <alignment vertical="center"/>
    </xf>
    <xf numFmtId="0" fontId="6" fillId="0" borderId="1" xfId="0" applyFont="1" applyBorder="1" applyAlignment="1">
      <alignment wrapText="1"/>
    </xf>
    <xf numFmtId="0" fontId="0" fillId="0" borderId="1" xfId="0" applyBorder="1"/>
    <xf numFmtId="0" fontId="8" fillId="7" borderId="1" xfId="0" applyFont="1" applyFill="1" applyBorder="1" applyAlignment="1">
      <alignment horizontal="center" vertical="center" wrapText="1"/>
    </xf>
    <xf numFmtId="0" fontId="6" fillId="0" borderId="3" xfId="0" applyFont="1" applyBorder="1" applyAlignment="1">
      <alignment wrapText="1"/>
    </xf>
    <xf numFmtId="0" fontId="6" fillId="0" borderId="4" xfId="0" applyFont="1" applyBorder="1" applyAlignment="1">
      <alignment wrapText="1"/>
    </xf>
    <xf numFmtId="0" fontId="6" fillId="0" borderId="5" xfId="0" applyFont="1" applyBorder="1" applyAlignment="1">
      <alignment wrapText="1"/>
    </xf>
    <xf numFmtId="0" fontId="6" fillId="0" borderId="3" xfId="6" applyFont="1" applyBorder="1" applyAlignment="1">
      <alignment vertical="center" wrapText="1"/>
    </xf>
    <xf numFmtId="0" fontId="6" fillId="0" borderId="4" xfId="6" applyFont="1" applyBorder="1" applyAlignment="1">
      <alignment vertical="center" wrapText="1"/>
    </xf>
    <xf numFmtId="0" fontId="6" fillId="0" borderId="5" xfId="6" applyFont="1" applyBorder="1" applyAlignment="1">
      <alignment vertical="center" wrapText="1"/>
    </xf>
    <xf numFmtId="0" fontId="10" fillId="0" borderId="1" xfId="0" applyFont="1" applyBorder="1" applyAlignment="1">
      <alignment vertical="top" wrapText="1"/>
    </xf>
    <xf numFmtId="0" fontId="10" fillId="0" borderId="1" xfId="0" applyFont="1" applyBorder="1" applyAlignment="1">
      <alignment wrapText="1"/>
    </xf>
    <xf numFmtId="0" fontId="8" fillId="0" borderId="1" xfId="0" applyFont="1" applyBorder="1"/>
    <xf numFmtId="0" fontId="0" fillId="0" borderId="1" xfId="0" applyBorder="1" applyAlignment="1">
      <alignment vertical="top" wrapText="1"/>
    </xf>
    <xf numFmtId="0" fontId="30" fillId="34" borderId="13" xfId="15" quotePrefix="1" applyBorder="1" applyAlignment="1" applyProtection="1">
      <alignment horizontal="left" vertical="center" wrapText="1"/>
    </xf>
    <xf numFmtId="0" fontId="30" fillId="34" borderId="8" xfId="15" quotePrefix="1" applyBorder="1" applyAlignment="1" applyProtection="1">
      <alignment horizontal="left" vertical="center" wrapText="1"/>
    </xf>
    <xf numFmtId="0" fontId="30" fillId="34" borderId="13" xfId="15" quotePrefix="1" applyBorder="1" applyAlignment="1" applyProtection="1">
      <alignment horizontal="center" vertical="center" wrapText="1"/>
    </xf>
    <xf numFmtId="0" fontId="30" fillId="34" borderId="8" xfId="15" quotePrefix="1" applyBorder="1" applyAlignment="1" applyProtection="1">
      <alignment horizontal="center" vertical="center" wrapText="1"/>
    </xf>
    <xf numFmtId="0" fontId="30" fillId="34" borderId="14" xfId="15" quotePrefix="1" applyBorder="1" applyAlignment="1" applyProtection="1">
      <alignment horizontal="center" vertical="center" wrapText="1"/>
    </xf>
    <xf numFmtId="0" fontId="18" fillId="6" borderId="1" xfId="1" applyNumberFormat="1" applyFont="1" applyFill="1" applyBorder="1" applyAlignment="1" applyProtection="1">
      <alignment horizontal="center" vertical="center" wrapText="1"/>
    </xf>
    <xf numFmtId="0" fontId="7" fillId="0" borderId="1" xfId="0" applyFont="1" applyBorder="1" applyAlignment="1">
      <alignment horizontal="left" vertical="center" wrapText="1"/>
    </xf>
    <xf numFmtId="0" fontId="8" fillId="0" borderId="3" xfId="0" applyFont="1" applyBorder="1" applyAlignment="1">
      <alignment horizontal="left" vertical="center" wrapText="1" indent="1"/>
    </xf>
    <xf numFmtId="0" fontId="8" fillId="0" borderId="5" xfId="0" applyFont="1" applyBorder="1" applyAlignment="1">
      <alignment horizontal="left" vertical="center" wrapText="1" inden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8" xfId="0" applyFont="1" applyBorder="1" applyAlignment="1">
      <alignment horizontal="left" vertical="center" wrapText="1"/>
    </xf>
    <xf numFmtId="0" fontId="0" fillId="0" borderId="8" xfId="0" applyBorder="1" applyAlignment="1">
      <alignment horizontal="left" vertical="center" wrapText="1"/>
    </xf>
    <xf numFmtId="0" fontId="8" fillId="7" borderId="6" xfId="0" applyFont="1" applyFill="1" applyBorder="1" applyAlignment="1" applyProtection="1">
      <alignment horizontal="center" vertical="center" wrapText="1"/>
      <protection locked="0"/>
    </xf>
    <xf numFmtId="0" fontId="8" fillId="7" borderId="2" xfId="0" applyFont="1" applyFill="1" applyBorder="1" applyAlignment="1" applyProtection="1">
      <alignment horizontal="center" vertical="center" wrapText="1"/>
      <protection locked="0"/>
    </xf>
    <xf numFmtId="0" fontId="8" fillId="7" borderId="4" xfId="0" applyFont="1" applyFill="1" applyBorder="1" applyAlignment="1" applyProtection="1">
      <alignment horizontal="center" vertical="center" wrapText="1"/>
      <protection locked="0"/>
    </xf>
    <xf numFmtId="0" fontId="30" fillId="16" borderId="0" xfId="15" quotePrefix="1" applyFill="1" applyBorder="1" applyAlignment="1">
      <alignment horizontal="left" vertical="top" wrapText="1"/>
    </xf>
    <xf numFmtId="0" fontId="44" fillId="7" borderId="6" xfId="0" applyFont="1" applyFill="1" applyBorder="1" applyAlignment="1" applyProtection="1">
      <alignment vertical="center" wrapText="1"/>
      <protection locked="0"/>
    </xf>
    <xf numFmtId="0" fontId="44" fillId="7" borderId="15" xfId="0" applyFont="1" applyFill="1" applyBorder="1" applyAlignment="1" applyProtection="1">
      <alignment vertical="center" wrapText="1"/>
      <protection locked="0"/>
    </xf>
    <xf numFmtId="0" fontId="44" fillId="7" borderId="2" xfId="0" applyFont="1" applyFill="1" applyBorder="1" applyAlignment="1" applyProtection="1">
      <alignment vertical="center" wrapText="1"/>
      <protection locked="0"/>
    </xf>
    <xf numFmtId="0" fontId="44" fillId="7" borderId="6" xfId="0" applyFont="1" applyFill="1" applyBorder="1" applyAlignment="1" applyProtection="1">
      <alignment vertical="center"/>
      <protection locked="0"/>
    </xf>
    <xf numFmtId="0" fontId="44" fillId="7" borderId="15" xfId="0" applyFont="1" applyFill="1" applyBorder="1" applyAlignment="1" applyProtection="1">
      <alignment vertical="center"/>
      <protection locked="0"/>
    </xf>
    <xf numFmtId="0" fontId="44" fillId="7" borderId="2" xfId="0" applyFont="1" applyFill="1" applyBorder="1" applyAlignment="1" applyProtection="1">
      <alignment vertical="center"/>
      <protection locked="0"/>
    </xf>
    <xf numFmtId="0" fontId="18" fillId="6" borderId="11" xfId="1" applyNumberFormat="1" applyFont="1" applyFill="1" applyBorder="1" applyAlignment="1">
      <alignment horizontal="center" vertical="center" wrapText="1"/>
    </xf>
    <xf numFmtId="0" fontId="18" fillId="6" borderId="0" xfId="1" applyNumberFormat="1" applyFont="1" applyFill="1" applyBorder="1" applyAlignment="1">
      <alignment horizontal="center" vertical="center" wrapText="1"/>
    </xf>
    <xf numFmtId="0" fontId="26" fillId="6" borderId="3" xfId="1" applyNumberFormat="1" applyFont="1" applyFill="1" applyBorder="1" applyAlignment="1" applyProtection="1">
      <alignment horizontal="center" vertical="center" wrapText="1"/>
    </xf>
    <xf numFmtId="0" fontId="26" fillId="6" borderId="4" xfId="1" applyNumberFormat="1" applyFont="1" applyFill="1" applyBorder="1" applyAlignment="1" applyProtection="1">
      <alignment horizontal="center" vertical="center" wrapText="1"/>
    </xf>
    <xf numFmtId="0" fontId="26" fillId="6" borderId="5" xfId="1" applyNumberFormat="1" applyFont="1" applyFill="1" applyBorder="1" applyAlignment="1" applyProtection="1">
      <alignment horizontal="center" vertical="center" wrapText="1"/>
    </xf>
    <xf numFmtId="0" fontId="8" fillId="7" borderId="3" xfId="0" applyFont="1" applyFill="1" applyBorder="1" applyAlignment="1">
      <alignment horizontal="left" vertical="center" wrapText="1"/>
    </xf>
    <xf numFmtId="0" fontId="8" fillId="7" borderId="4" xfId="0" applyFont="1" applyFill="1" applyBorder="1" applyAlignment="1">
      <alignment horizontal="left" vertical="center" wrapText="1"/>
    </xf>
    <xf numFmtId="0" fontId="8" fillId="7" borderId="5" xfId="0" applyFont="1" applyFill="1" applyBorder="1" applyAlignment="1">
      <alignment horizontal="left" vertical="center" wrapText="1"/>
    </xf>
    <xf numFmtId="0" fontId="26" fillId="6" borderId="3" xfId="1" applyNumberFormat="1" applyFont="1" applyFill="1" applyBorder="1" applyAlignment="1" applyProtection="1">
      <alignment horizontal="left" vertical="center" wrapText="1"/>
    </xf>
    <xf numFmtId="0" fontId="26" fillId="6" borderId="4" xfId="1" applyNumberFormat="1" applyFont="1" applyFill="1" applyBorder="1" applyAlignment="1" applyProtection="1">
      <alignment horizontal="left" vertical="center" wrapText="1"/>
    </xf>
    <xf numFmtId="0" fontId="26" fillId="6" borderId="5" xfId="1" applyNumberFormat="1" applyFont="1" applyFill="1" applyBorder="1" applyAlignment="1" applyProtection="1">
      <alignment horizontal="left" vertical="center" wrapText="1"/>
    </xf>
    <xf numFmtId="0" fontId="7" fillId="0" borderId="0" xfId="0" quotePrefix="1" applyFont="1" applyAlignment="1">
      <alignment horizontal="left" vertical="top" wrapText="1"/>
    </xf>
    <xf numFmtId="0" fontId="7" fillId="0" borderId="0" xfId="0" quotePrefix="1" applyFont="1" applyAlignment="1">
      <alignment horizontal="left"/>
    </xf>
  </cellXfs>
  <cellStyles count="38">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alculation cell" xfId="31" xr:uid="{00000000-0005-0000-0000-000002000000}"/>
    <cellStyle name="Comma" xfId="20" builtinId="3"/>
    <cellStyle name="Comma 2" xfId="7" xr:uid="{00000000-0005-0000-0000-000008000000}"/>
    <cellStyle name="Comma 3" xfId="22" xr:uid="{00000000-0005-0000-0000-00003A000000}"/>
    <cellStyle name="Currency 2" xfId="35" xr:uid="{00000000-0005-0000-0000-00003B000000}"/>
    <cellStyle name="EmptyCell_CEPATNEI" xfId="36" xr:uid="{67B41188-0346-47D7-B38D-0961575B0FAF}"/>
    <cellStyle name="Heading 1 2" xfId="24" xr:uid="{00000000-0005-0000-0000-00003C000000}"/>
    <cellStyle name="Heading 2" xfId="4" builtinId="17"/>
    <cellStyle name="Heading 2 2" xfId="25" xr:uid="{00000000-0005-0000-0000-00003D000000}"/>
    <cellStyle name="Heading 3" xfId="5" builtinId="18"/>
    <cellStyle name="Heading 3 2" xfId="26" xr:uid="{00000000-0005-0000-0000-00003E000000}"/>
    <cellStyle name="Heading 4" xfId="1" builtinId="19"/>
    <cellStyle name="Heading 4 2" xfId="27" xr:uid="{00000000-0005-0000-0000-00003F000000}"/>
    <cellStyle name="Help cell" xfId="30" xr:uid="{00000000-0005-0000-0000-00000D000000}"/>
    <cellStyle name="Hyperlink" xfId="3" builtinId="8"/>
    <cellStyle name="Input" xfId="2" builtinId="20"/>
    <cellStyle name="Input cell" xfId="32" xr:uid="{00000000-0005-0000-0000-00000F000000}"/>
    <cellStyle name="LinkedTo_CEPATNEI" xfId="37" xr:uid="{3E52DEF8-66A5-439E-89A5-1EBC1A544D1C}"/>
    <cellStyle name="Neutral" xfId="15" builtinId="28"/>
    <cellStyle name="Normal" xfId="0" builtinId="0"/>
    <cellStyle name="Normal 2" xfId="6" xr:uid="{00000000-0005-0000-0000-000010000000}"/>
    <cellStyle name="Normal 2 3" xfId="21" xr:uid="{6BC25B00-87DD-46EC-9F06-A027F80F9DF4}"/>
    <cellStyle name="Normal 3" xfId="14" xr:uid="{00000000-0005-0000-0000-000011000000}"/>
    <cellStyle name="Normal_Sheet1" xfId="16" xr:uid="{00000000-0005-0000-0000-000012000000}"/>
    <cellStyle name="Percent 2" xfId="34" xr:uid="{00000000-0005-0000-0000-000017000000}"/>
    <cellStyle name="Percent 3" xfId="33" xr:uid="{00000000-0005-0000-0000-000042000000}"/>
    <cellStyle name="Result" xfId="29" xr:uid="{00000000-0005-0000-0000-000018000000}"/>
    <cellStyle name="Text_CEPATNEI" xfId="19" xr:uid="{00000000-0005-0000-0000-000013000000}"/>
    <cellStyle name="Title 2" xfId="23" xr:uid="{00000000-0005-0000-0000-000045000000}"/>
    <cellStyle name="User input" xfId="28" xr:uid="{00000000-0005-0000-0000-00001A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Pricing/DUoS/April%202022/EDCM/SPD%20EDCM-FCP_v9_20201211.xlsx" TargetMode="External"/><Relationship Id="rId1" Type="http://schemas.openxmlformats.org/officeDocument/2006/relationships/externalLinkPath" Target="/Pricing/DUoS/April%202022/EDCM/SPD%20EDCM-FCP_v9_2020121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Pricing/LLAF%20Generator/2022-2023%20LAF%20Submission/Submission/SPD%20BSCP128_Appendix%20-%205%20CSAD%202%201%20and%202%202%20tables%202022_23%20v2.xlsx" TargetMode="External"/><Relationship Id="rId1" Type="http://schemas.openxmlformats.org/officeDocument/2006/relationships/externalLinkPath" Target="/Pricing/LLAF%20Generator/2022-2023%20LAF%20Submission/Submission/SPD%20BSCP128_Appendix%20-%205%20CSAD%202%201%20and%202%202%20tables%202022_23%20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Version control"/>
      <sheetName val="Model map"/>
      <sheetName val="Named ranges"/>
      <sheetName val="Index"/>
      <sheetName val="Fixed inputs"/>
      <sheetName val="General inputs"/>
      <sheetName val="LRIC inputs"/>
      <sheetName val="FCP inputs"/>
      <sheetName val="Tariff inputs"/>
      <sheetName val="Tariff inputs transposed"/>
      <sheetName val="LDNO inputs"/>
      <sheetName val="Capacities"/>
      <sheetName val="Asset values"/>
      <sheetName val="Charge 1 (LRIC)"/>
      <sheetName val="Charge 1 (FCP)"/>
      <sheetName val="Transmission"/>
      <sheetName val="Export super-red"/>
      <sheetName val="Export capacity"/>
      <sheetName val="Import capacity"/>
      <sheetName val="Import super-red"/>
      <sheetName val="Residual bands"/>
      <sheetName val="Residual charge"/>
      <sheetName val="Fixed"/>
      <sheetName val="Import exceeded"/>
      <sheetName val="Export exceeded"/>
      <sheetName val="LDNO Calculations"/>
      <sheetName val="Revenue"/>
      <sheetName val="EHV tariffs"/>
      <sheetName val="EHV tariffs transposed"/>
      <sheetName val="LDNO tariffs"/>
      <sheetName val="LDNO tariffs transposed"/>
      <sheetName val="Revenue summary"/>
      <sheetName val="Revenue summary transposed"/>
      <sheetName val="Outputs to other models"/>
    </sheetNames>
    <sheetDataSet>
      <sheetData sheetId="0" refreshError="1"/>
      <sheetData sheetId="1" refreshError="1"/>
      <sheetData sheetId="2" refreshError="1"/>
      <sheetData sheetId="3" refreshError="1"/>
      <sheetData sheetId="4" refreshError="1"/>
      <sheetData sheetId="5" refreshError="1"/>
      <sheetData sheetId="6">
        <row r="25">
          <cell r="H25">
            <v>365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
      <sheetName val="Notes"/>
      <sheetName val="CSAD 2.1a SVA Data"/>
      <sheetName val="CSAD 2.1b CVA Data"/>
      <sheetName val="CSAD 2.2 - Generic LLFC Groups"/>
      <sheetName val="LLF time periods"/>
      <sheetName val="Applicable LLFCs"/>
      <sheetName val="Formfill"/>
      <sheetName val="2021-22"/>
    </sheetNames>
    <sheetDataSet>
      <sheetData sheetId="0"/>
      <sheetData sheetId="1"/>
      <sheetData sheetId="2">
        <row r="154">
          <cell r="C154" t="str">
            <v>619</v>
          </cell>
          <cell r="D154" t="str">
            <v>Broxburn ESS Export</v>
          </cell>
          <cell r="E154" t="str">
            <v>D</v>
          </cell>
          <cell r="F154" t="str">
            <v>01/09/2007</v>
          </cell>
          <cell r="H154" t="str">
            <v>EHV 33kV Export</v>
          </cell>
          <cell r="I154" t="str">
            <v>33kV</v>
          </cell>
          <cell r="J154" t="str">
            <v>No</v>
          </cell>
          <cell r="K154">
            <v>1</v>
          </cell>
          <cell r="L154">
            <v>1</v>
          </cell>
          <cell r="M154">
            <v>1</v>
          </cell>
          <cell r="N154">
            <v>1</v>
          </cell>
        </row>
        <row r="155">
          <cell r="C155" t="str">
            <v>620</v>
          </cell>
          <cell r="D155" t="str">
            <v>Craigengelt Windfarm Export</v>
          </cell>
          <cell r="E155" t="str">
            <v>D</v>
          </cell>
          <cell r="F155" t="str">
            <v>01/09/2007</v>
          </cell>
          <cell r="H155" t="str">
            <v>Craigengelt Windfarm Export</v>
          </cell>
          <cell r="I155" t="str">
            <v>33kV</v>
          </cell>
          <cell r="J155" t="str">
            <v>No</v>
          </cell>
          <cell r="K155">
            <v>0.98299999999999998</v>
          </cell>
          <cell r="L155">
            <v>0.98299999999999998</v>
          </cell>
          <cell r="M155">
            <v>0.97899999999999998</v>
          </cell>
          <cell r="N155">
            <v>0.97899999999999998</v>
          </cell>
        </row>
        <row r="156">
          <cell r="C156" t="str">
            <v>621</v>
          </cell>
          <cell r="D156" t="str">
            <v>Greenknowes Windfarm Export</v>
          </cell>
          <cell r="E156" t="str">
            <v>D</v>
          </cell>
          <cell r="F156" t="str">
            <v>01/03/2008</v>
          </cell>
          <cell r="H156" t="str">
            <v>Greenknowes Windfarm Export</v>
          </cell>
          <cell r="I156" t="str">
            <v>33kV</v>
          </cell>
          <cell r="J156" t="str">
            <v>No</v>
          </cell>
          <cell r="K156">
            <v>0.99199999999999999</v>
          </cell>
          <cell r="L156">
            <v>0.99199999999999999</v>
          </cell>
          <cell r="M156">
            <v>0.98899999999999999</v>
          </cell>
          <cell r="N156">
            <v>0.98899999999999999</v>
          </cell>
        </row>
        <row r="157">
          <cell r="C157" t="str">
            <v>622</v>
          </cell>
          <cell r="D157" t="str">
            <v>Embedded Generation - Export</v>
          </cell>
          <cell r="E157" t="str">
            <v>D</v>
          </cell>
          <cell r="F157" t="str">
            <v>01/04/2016</v>
          </cell>
          <cell r="H157" t="str">
            <v>EHV 33kV Export</v>
          </cell>
          <cell r="I157" t="str">
            <v>33kV</v>
          </cell>
          <cell r="J157" t="str">
            <v>No</v>
          </cell>
          <cell r="K157">
            <v>1</v>
          </cell>
          <cell r="L157">
            <v>1</v>
          </cell>
          <cell r="M157">
            <v>1</v>
          </cell>
          <cell r="N157">
            <v>1</v>
          </cell>
        </row>
        <row r="158">
          <cell r="C158" t="str">
            <v>623</v>
          </cell>
          <cell r="D158" t="str">
            <v>Muirpark Windfarm, Export</v>
          </cell>
          <cell r="E158" t="str">
            <v>D</v>
          </cell>
          <cell r="F158" t="str">
            <v>01/04/2016</v>
          </cell>
          <cell r="H158" t="str">
            <v>EHV 33kV Export</v>
          </cell>
          <cell r="I158" t="str">
            <v>33kV</v>
          </cell>
          <cell r="J158" t="str">
            <v>No</v>
          </cell>
          <cell r="K158">
            <v>1</v>
          </cell>
          <cell r="L158">
            <v>1</v>
          </cell>
          <cell r="M158">
            <v>1</v>
          </cell>
          <cell r="N158">
            <v>1</v>
          </cell>
        </row>
        <row r="159">
          <cell r="C159" t="str">
            <v>624</v>
          </cell>
          <cell r="D159" t="str">
            <v>Greendykeside Windfarm Export</v>
          </cell>
          <cell r="E159" t="str">
            <v>D</v>
          </cell>
          <cell r="F159" t="str">
            <v>01/09/2007</v>
          </cell>
          <cell r="H159" t="str">
            <v>Greendykeside Windfarm Export</v>
          </cell>
          <cell r="I159" t="str">
            <v>33kV</v>
          </cell>
          <cell r="J159" t="str">
            <v>No</v>
          </cell>
          <cell r="K159">
            <v>0.999</v>
          </cell>
          <cell r="L159">
            <v>0.999</v>
          </cell>
          <cell r="M159">
            <v>0.999</v>
          </cell>
          <cell r="N159">
            <v>0.999</v>
          </cell>
        </row>
        <row r="160">
          <cell r="C160" t="str">
            <v>625</v>
          </cell>
          <cell r="D160" t="str">
            <v>Aikengall Community WF Export</v>
          </cell>
          <cell r="E160" t="str">
            <v>D</v>
          </cell>
          <cell r="F160" t="str">
            <v>28/10/1998</v>
          </cell>
          <cell r="H160" t="str">
            <v>Aikengall Community WF Export</v>
          </cell>
          <cell r="I160" t="str">
            <v>33kV</v>
          </cell>
          <cell r="J160" t="str">
            <v>No</v>
          </cell>
          <cell r="K160">
            <v>0.98799999999999999</v>
          </cell>
          <cell r="L160">
            <v>0.98899999999999999</v>
          </cell>
          <cell r="M160">
            <v>0.98499999999999999</v>
          </cell>
          <cell r="N160">
            <v>0.98499999999999999</v>
          </cell>
        </row>
        <row r="161">
          <cell r="C161" t="str">
            <v>626</v>
          </cell>
          <cell r="D161" t="str">
            <v>Hagshaw Hill Windfarm Export</v>
          </cell>
          <cell r="E161" t="str">
            <v>D</v>
          </cell>
          <cell r="F161" t="str">
            <v>28/10/1998</v>
          </cell>
          <cell r="H161" t="str">
            <v>Hagshaw Hill Windfarm Export</v>
          </cell>
          <cell r="I161" t="str">
            <v>33kV</v>
          </cell>
          <cell r="J161" t="str">
            <v>No</v>
          </cell>
          <cell r="K161">
            <v>0.999</v>
          </cell>
          <cell r="L161">
            <v>1.0009999999999999</v>
          </cell>
          <cell r="M161">
            <v>1.002</v>
          </cell>
          <cell r="N161">
            <v>1.0029999999999999</v>
          </cell>
        </row>
        <row r="162">
          <cell r="C162" t="str">
            <v>627</v>
          </cell>
          <cell r="D162" t="str">
            <v>Gallow Rig Windfarm Export</v>
          </cell>
          <cell r="E162" t="str">
            <v>D</v>
          </cell>
          <cell r="F162" t="str">
            <v>28/10/1998</v>
          </cell>
          <cell r="H162" t="str">
            <v>Gallow Rig Windfarm Export</v>
          </cell>
          <cell r="I162" t="str">
            <v>33kV</v>
          </cell>
          <cell r="J162" t="str">
            <v>No</v>
          </cell>
          <cell r="K162">
            <v>1.008</v>
          </cell>
          <cell r="L162">
            <v>1.0129999999999999</v>
          </cell>
          <cell r="M162">
            <v>1.016</v>
          </cell>
          <cell r="N162">
            <v>1.02</v>
          </cell>
        </row>
        <row r="163">
          <cell r="C163" t="str">
            <v>628</v>
          </cell>
          <cell r="D163" t="str">
            <v>Polwhat Rig Windfarm Export</v>
          </cell>
          <cell r="E163" t="str">
            <v>D</v>
          </cell>
          <cell r="F163" t="str">
            <v>28/10/1998</v>
          </cell>
          <cell r="H163" t="str">
            <v>Polwhat Rig Windfarm Export</v>
          </cell>
          <cell r="I163" t="str">
            <v>33kV</v>
          </cell>
          <cell r="J163" t="str">
            <v>No</v>
          </cell>
          <cell r="K163">
            <v>1.0049999999999999</v>
          </cell>
          <cell r="L163">
            <v>1.0109999999999999</v>
          </cell>
          <cell r="M163">
            <v>1.0129999999999999</v>
          </cell>
          <cell r="N163">
            <v>1.0169999999999999</v>
          </cell>
        </row>
        <row r="164">
          <cell r="C164" t="str">
            <v>629</v>
          </cell>
          <cell r="D164" t="str">
            <v>Hagshaw Hill Extension Export</v>
          </cell>
          <cell r="E164" t="str">
            <v>D</v>
          </cell>
          <cell r="F164" t="str">
            <v>28/10/1998</v>
          </cell>
          <cell r="H164" t="str">
            <v>Hagshaw Hill Extension Export</v>
          </cell>
          <cell r="I164" t="str">
            <v>33kV</v>
          </cell>
          <cell r="J164" t="str">
            <v>No</v>
          </cell>
          <cell r="K164">
            <v>0.99199999999999999</v>
          </cell>
          <cell r="L164">
            <v>0.99199999999999999</v>
          </cell>
          <cell r="M164">
            <v>0.99</v>
          </cell>
          <cell r="N164">
            <v>0.99</v>
          </cell>
        </row>
        <row r="165">
          <cell r="C165" t="str">
            <v>630</v>
          </cell>
          <cell r="D165" t="str">
            <v>Dun Law - Export</v>
          </cell>
          <cell r="E165" t="str">
            <v>D</v>
          </cell>
          <cell r="F165" t="str">
            <v>10/11/2000</v>
          </cell>
          <cell r="H165" t="str">
            <v>Dun Law - Export</v>
          </cell>
          <cell r="I165" t="str">
            <v>33kV</v>
          </cell>
          <cell r="J165" t="str">
            <v>No</v>
          </cell>
          <cell r="K165">
            <v>0.98099999999999998</v>
          </cell>
          <cell r="L165">
            <v>0.98199999999999998</v>
          </cell>
          <cell r="M165">
            <v>0.97799999999999998</v>
          </cell>
          <cell r="N165">
            <v>0.98199999999999998</v>
          </cell>
        </row>
        <row r="166">
          <cell r="C166" t="str">
            <v>631</v>
          </cell>
          <cell r="D166" t="str">
            <v>EPR Scotland Ltd</v>
          </cell>
          <cell r="E166" t="str">
            <v>D</v>
          </cell>
          <cell r="F166" t="str">
            <v>10/11/2000</v>
          </cell>
          <cell r="H166" t="str">
            <v>EPR Scotland Ltd</v>
          </cell>
          <cell r="I166" t="str">
            <v>33kV</v>
          </cell>
          <cell r="J166" t="str">
            <v>No</v>
          </cell>
          <cell r="K166">
            <v>0.999</v>
          </cell>
          <cell r="L166">
            <v>0.999</v>
          </cell>
          <cell r="M166">
            <v>0.999</v>
          </cell>
          <cell r="N166">
            <v>0.999</v>
          </cell>
        </row>
        <row r="167">
          <cell r="C167" t="str">
            <v>632</v>
          </cell>
          <cell r="D167" t="str">
            <v>Bowbeat (Emly Bank) Export</v>
          </cell>
          <cell r="E167" t="str">
            <v>D</v>
          </cell>
          <cell r="F167" t="str">
            <v>01/04/2005</v>
          </cell>
          <cell r="H167" t="str">
            <v>Bowbeat (Emly Bank) Export</v>
          </cell>
          <cell r="I167" t="str">
            <v>33kV</v>
          </cell>
          <cell r="J167" t="str">
            <v>No</v>
          </cell>
          <cell r="K167">
            <v>1.006</v>
          </cell>
          <cell r="L167">
            <v>1.014</v>
          </cell>
          <cell r="M167">
            <v>1.018</v>
          </cell>
          <cell r="N167">
            <v>1.024</v>
          </cell>
        </row>
        <row r="168">
          <cell r="C168" t="str">
            <v>633</v>
          </cell>
          <cell r="D168" t="str">
            <v>Bowbeat (Roughsidehill) Export</v>
          </cell>
          <cell r="E168" t="str">
            <v>D</v>
          </cell>
          <cell r="F168" t="str">
            <v>01/04/2005</v>
          </cell>
          <cell r="H168" t="str">
            <v>Bowbeat (Roughsidehill) Export</v>
          </cell>
          <cell r="I168" t="str">
            <v>33kV</v>
          </cell>
          <cell r="J168" t="str">
            <v>No</v>
          </cell>
          <cell r="K168">
            <v>1.0069999999999999</v>
          </cell>
          <cell r="L168">
            <v>1.0149999999999999</v>
          </cell>
          <cell r="M168">
            <v>1.018</v>
          </cell>
          <cell r="N168">
            <v>1.0249999999999999</v>
          </cell>
        </row>
        <row r="169">
          <cell r="C169" t="str">
            <v>634</v>
          </cell>
          <cell r="D169" t="str">
            <v>Harehill Export</v>
          </cell>
          <cell r="E169" t="str">
            <v>D</v>
          </cell>
          <cell r="F169" t="str">
            <v>01/04/2005</v>
          </cell>
          <cell r="H169" t="str">
            <v>Harehill Export</v>
          </cell>
          <cell r="I169" t="str">
            <v>33kV</v>
          </cell>
          <cell r="J169" t="str">
            <v>No</v>
          </cell>
          <cell r="K169">
            <v>1</v>
          </cell>
          <cell r="L169">
            <v>1.0049999999999999</v>
          </cell>
          <cell r="M169">
            <v>1.006</v>
          </cell>
          <cell r="N169">
            <v>1.01</v>
          </cell>
        </row>
        <row r="170">
          <cell r="C170" t="str">
            <v>635</v>
          </cell>
          <cell r="D170" t="str">
            <v>Shanks 3 &amp; 4 Export</v>
          </cell>
          <cell r="E170" t="str">
            <v>D</v>
          </cell>
          <cell r="F170" t="str">
            <v>01/04/2005</v>
          </cell>
          <cell r="H170" t="str">
            <v>Shanks 3 &amp; 4 Export</v>
          </cell>
          <cell r="I170" t="str">
            <v>33kV</v>
          </cell>
          <cell r="J170" t="str">
            <v>No</v>
          </cell>
          <cell r="K170">
            <v>0.999</v>
          </cell>
          <cell r="L170">
            <v>0.999</v>
          </cell>
          <cell r="M170">
            <v>0.999</v>
          </cell>
          <cell r="N170">
            <v>0.999</v>
          </cell>
        </row>
        <row r="171">
          <cell r="C171" t="str">
            <v>636</v>
          </cell>
          <cell r="D171" t="str">
            <v>Shanks 5 &amp;6 Export</v>
          </cell>
          <cell r="E171" t="str">
            <v>D</v>
          </cell>
          <cell r="F171" t="str">
            <v>01/04/2005</v>
          </cell>
          <cell r="H171" t="str">
            <v>Shanks 5 &amp;6 Export</v>
          </cell>
          <cell r="I171" t="str">
            <v>33kV</v>
          </cell>
          <cell r="J171" t="str">
            <v>No</v>
          </cell>
          <cell r="K171">
            <v>1</v>
          </cell>
          <cell r="L171">
            <v>1</v>
          </cell>
          <cell r="M171">
            <v>1</v>
          </cell>
          <cell r="N171">
            <v>1</v>
          </cell>
        </row>
        <row r="172">
          <cell r="C172" t="str">
            <v>637</v>
          </cell>
          <cell r="D172" t="str">
            <v>Crystal Rig - Export</v>
          </cell>
          <cell r="E172" t="str">
            <v>D</v>
          </cell>
          <cell r="F172" t="str">
            <v>01/04/2005</v>
          </cell>
          <cell r="H172" t="str">
            <v>Crystal Rig - Export</v>
          </cell>
          <cell r="I172" t="str">
            <v>33kV</v>
          </cell>
          <cell r="J172" t="str">
            <v>No</v>
          </cell>
          <cell r="K172">
            <v>1</v>
          </cell>
          <cell r="L172">
            <v>1</v>
          </cell>
          <cell r="M172">
            <v>1</v>
          </cell>
          <cell r="N172">
            <v>1</v>
          </cell>
        </row>
        <row r="173">
          <cell r="C173" t="str">
            <v>638</v>
          </cell>
          <cell r="D173" t="str">
            <v>Haupland Muir Export</v>
          </cell>
          <cell r="E173" t="str">
            <v>D</v>
          </cell>
          <cell r="F173" t="str">
            <v>01/04/2005</v>
          </cell>
          <cell r="H173" t="str">
            <v>Haupland Muir Export</v>
          </cell>
          <cell r="I173" t="str">
            <v>33kV</v>
          </cell>
          <cell r="J173" t="str">
            <v>No</v>
          </cell>
          <cell r="K173">
            <v>0.998</v>
          </cell>
          <cell r="L173">
            <v>0.999</v>
          </cell>
          <cell r="M173">
            <v>0.999</v>
          </cell>
          <cell r="N173">
            <v>1</v>
          </cell>
        </row>
        <row r="174">
          <cell r="C174" t="str">
            <v>639</v>
          </cell>
          <cell r="D174" t="str">
            <v>Wetherhill Windfarm Export</v>
          </cell>
          <cell r="E174" t="str">
            <v>D</v>
          </cell>
          <cell r="F174" t="str">
            <v>12/08/2005</v>
          </cell>
          <cell r="H174" t="str">
            <v>Wetherhill Windfarm Export</v>
          </cell>
          <cell r="I174" t="str">
            <v>33kV</v>
          </cell>
          <cell r="J174" t="str">
            <v>No</v>
          </cell>
          <cell r="K174">
            <v>0.99199999999999999</v>
          </cell>
          <cell r="L174">
            <v>0.996</v>
          </cell>
          <cell r="M174">
            <v>0.996</v>
          </cell>
          <cell r="N174">
            <v>0.998</v>
          </cell>
        </row>
        <row r="175">
          <cell r="C175" t="str">
            <v>640</v>
          </cell>
          <cell r="D175" t="str">
            <v>Artfield Fell Export</v>
          </cell>
          <cell r="E175" t="str">
            <v>D</v>
          </cell>
          <cell r="F175" t="str">
            <v>12/08/2005</v>
          </cell>
          <cell r="H175" t="str">
            <v>Artfield Fell Export</v>
          </cell>
          <cell r="I175" t="str">
            <v>33kV</v>
          </cell>
          <cell r="J175" t="str">
            <v>No</v>
          </cell>
          <cell r="K175">
            <v>1</v>
          </cell>
          <cell r="L175">
            <v>1</v>
          </cell>
          <cell r="M175">
            <v>1</v>
          </cell>
          <cell r="N175">
            <v>1</v>
          </cell>
        </row>
        <row r="176">
          <cell r="C176" t="str">
            <v>641</v>
          </cell>
          <cell r="D176" t="str">
            <v>Wardlaw Wood - Export</v>
          </cell>
          <cell r="E176" t="str">
            <v>D</v>
          </cell>
          <cell r="F176" t="str">
            <v>16/12/2005</v>
          </cell>
          <cell r="H176" t="str">
            <v>Wardlaw Wood - Export</v>
          </cell>
          <cell r="I176" t="str">
            <v>33kV</v>
          </cell>
          <cell r="J176" t="str">
            <v>No</v>
          </cell>
          <cell r="K176">
            <v>0.99399999999999999</v>
          </cell>
          <cell r="L176">
            <v>0.998</v>
          </cell>
          <cell r="M176">
            <v>1.0009999999999999</v>
          </cell>
          <cell r="N176">
            <v>1.004</v>
          </cell>
        </row>
        <row r="177">
          <cell r="C177" t="str">
            <v>642</v>
          </cell>
          <cell r="D177" t="str">
            <v>Earlsburn - Export</v>
          </cell>
          <cell r="E177" t="str">
            <v>D</v>
          </cell>
          <cell r="F177" t="str">
            <v>16/12/2005</v>
          </cell>
          <cell r="H177" t="str">
            <v>Earlsburn - Export</v>
          </cell>
          <cell r="I177" t="str">
            <v>33kV</v>
          </cell>
          <cell r="J177" t="str">
            <v>No</v>
          </cell>
          <cell r="K177">
            <v>0.98499999999999999</v>
          </cell>
          <cell r="L177">
            <v>0.98399999999999999</v>
          </cell>
          <cell r="M177">
            <v>0.98299999999999998</v>
          </cell>
          <cell r="N177">
            <v>0.98199999999999998</v>
          </cell>
        </row>
        <row r="178">
          <cell r="C178" t="str">
            <v>643</v>
          </cell>
          <cell r="D178" t="str">
            <v>Black Hill Windfarm- Export</v>
          </cell>
          <cell r="E178" t="str">
            <v>D</v>
          </cell>
          <cell r="F178" t="str">
            <v>30/06/2006</v>
          </cell>
          <cell r="H178" t="str">
            <v>Black Hill Windfarm- Export</v>
          </cell>
          <cell r="I178" t="str">
            <v>33kV</v>
          </cell>
          <cell r="J178" t="str">
            <v>No</v>
          </cell>
          <cell r="K178">
            <v>1.0049999999999999</v>
          </cell>
          <cell r="L178">
            <v>1.01</v>
          </cell>
          <cell r="M178">
            <v>1.014</v>
          </cell>
          <cell r="N178">
            <v>1.0169999999999999</v>
          </cell>
        </row>
        <row r="179">
          <cell r="C179" t="str">
            <v>644</v>
          </cell>
          <cell r="D179" t="str">
            <v>Rhodders</v>
          </cell>
          <cell r="E179" t="str">
            <v>D</v>
          </cell>
          <cell r="F179" t="str">
            <v>30/06/2006</v>
          </cell>
          <cell r="H179" t="str">
            <v>Rhodders</v>
          </cell>
          <cell r="I179" t="str">
            <v>33kV</v>
          </cell>
          <cell r="J179" t="str">
            <v>No</v>
          </cell>
          <cell r="K179">
            <v>0.999</v>
          </cell>
          <cell r="L179">
            <v>0.999</v>
          </cell>
          <cell r="M179">
            <v>0.999</v>
          </cell>
          <cell r="N179">
            <v>0.999</v>
          </cell>
        </row>
        <row r="180">
          <cell r="C180" t="str">
            <v>645</v>
          </cell>
          <cell r="D180" t="str">
            <v>Stevens Croft Export</v>
          </cell>
          <cell r="E180" t="str">
            <v>D</v>
          </cell>
          <cell r="F180" t="str">
            <v>01/11/2006</v>
          </cell>
          <cell r="H180" t="str">
            <v>Stevens Croft Export</v>
          </cell>
          <cell r="I180" t="str">
            <v>33kV</v>
          </cell>
          <cell r="J180" t="str">
            <v>No</v>
          </cell>
          <cell r="K180">
            <v>0.97899999999999998</v>
          </cell>
          <cell r="L180">
            <v>0.97899999999999998</v>
          </cell>
          <cell r="M180">
            <v>0.97699999999999998</v>
          </cell>
          <cell r="N180">
            <v>0.97699999999999998</v>
          </cell>
        </row>
        <row r="181">
          <cell r="C181" t="str">
            <v>646</v>
          </cell>
          <cell r="D181" t="str">
            <v>Twenty Shilling Hill, Export</v>
          </cell>
          <cell r="E181" t="str">
            <v>D</v>
          </cell>
          <cell r="F181" t="str">
            <v>01/04/2016</v>
          </cell>
          <cell r="H181" t="str">
            <v>EHV 33kV Export</v>
          </cell>
          <cell r="I181" t="str">
            <v>33kV</v>
          </cell>
          <cell r="J181" t="str">
            <v>No</v>
          </cell>
          <cell r="K181">
            <v>1</v>
          </cell>
          <cell r="L181">
            <v>1</v>
          </cell>
          <cell r="M181">
            <v>1</v>
          </cell>
          <cell r="N181">
            <v>1</v>
          </cell>
        </row>
        <row r="182">
          <cell r="C182" t="str">
            <v>647</v>
          </cell>
          <cell r="D182" t="str">
            <v>Embedded Generation - Export</v>
          </cell>
          <cell r="E182" t="str">
            <v>D</v>
          </cell>
          <cell r="F182" t="str">
            <v>01/04/2016</v>
          </cell>
          <cell r="H182" t="str">
            <v>EHV 33kV Export</v>
          </cell>
          <cell r="I182" t="str">
            <v>33kV</v>
          </cell>
          <cell r="J182" t="str">
            <v>No</v>
          </cell>
          <cell r="K182">
            <v>1</v>
          </cell>
          <cell r="L182">
            <v>1</v>
          </cell>
          <cell r="M182">
            <v>1</v>
          </cell>
          <cell r="N182">
            <v>1</v>
          </cell>
        </row>
        <row r="183">
          <cell r="C183" t="str">
            <v>648</v>
          </cell>
          <cell r="D183" t="str">
            <v>Craigannet - Export</v>
          </cell>
          <cell r="E183" t="str">
            <v>D</v>
          </cell>
          <cell r="F183" t="str">
            <v>01/04/2016</v>
          </cell>
          <cell r="H183" t="str">
            <v>Craigannet - Export</v>
          </cell>
          <cell r="I183" t="str">
            <v>33kV</v>
          </cell>
          <cell r="J183" t="str">
            <v>No</v>
          </cell>
          <cell r="K183">
            <v>1</v>
          </cell>
          <cell r="L183">
            <v>1</v>
          </cell>
          <cell r="M183">
            <v>1</v>
          </cell>
          <cell r="N183">
            <v>1</v>
          </cell>
        </row>
        <row r="184">
          <cell r="C184" t="str">
            <v>649</v>
          </cell>
          <cell r="D184" t="str">
            <v>Sorbie Windfarm, Export</v>
          </cell>
          <cell r="E184" t="str">
            <v>D</v>
          </cell>
          <cell r="F184" t="str">
            <v>01/04/2016</v>
          </cell>
          <cell r="H184" t="str">
            <v>EHV 33kV Export</v>
          </cell>
          <cell r="I184" t="str">
            <v>33kV</v>
          </cell>
          <cell r="J184" t="str">
            <v>No</v>
          </cell>
          <cell r="K184">
            <v>1</v>
          </cell>
          <cell r="L184">
            <v>1</v>
          </cell>
          <cell r="M184">
            <v>1</v>
          </cell>
          <cell r="N184">
            <v>1</v>
          </cell>
        </row>
        <row r="185">
          <cell r="C185" t="str">
            <v>650</v>
          </cell>
          <cell r="D185" t="str">
            <v>Longpark Windfarm Export</v>
          </cell>
          <cell r="E185" t="str">
            <v>D</v>
          </cell>
          <cell r="F185" t="str">
            <v>12/06/2009</v>
          </cell>
          <cell r="H185" t="str">
            <v>Longpark Windfarm Export</v>
          </cell>
          <cell r="I185" t="str">
            <v>33kV</v>
          </cell>
          <cell r="J185" t="str">
            <v>No</v>
          </cell>
          <cell r="K185">
            <v>0.996</v>
          </cell>
          <cell r="L185">
            <v>0.997</v>
          </cell>
          <cell r="M185">
            <v>0.997</v>
          </cell>
          <cell r="N185">
            <v>0.998</v>
          </cell>
        </row>
        <row r="186">
          <cell r="C186" t="str">
            <v>654</v>
          </cell>
          <cell r="D186" t="str">
            <v>Lafarge (UK) Ltd</v>
          </cell>
          <cell r="E186" t="str">
            <v>D</v>
          </cell>
          <cell r="F186" t="str">
            <v>04/05/2005</v>
          </cell>
          <cell r="H186" t="str">
            <v>Lafarge (UK) Ltd</v>
          </cell>
          <cell r="I186" t="str">
            <v>33kV</v>
          </cell>
          <cell r="J186" t="str">
            <v>No</v>
          </cell>
          <cell r="K186">
            <v>1.0009999999999999</v>
          </cell>
          <cell r="L186">
            <v>1.0009999999999999</v>
          </cell>
          <cell r="M186">
            <v>1.002</v>
          </cell>
          <cell r="N186">
            <v>1.002</v>
          </cell>
        </row>
        <row r="187">
          <cell r="C187" t="str">
            <v>655</v>
          </cell>
          <cell r="D187" t="str">
            <v>Pateshill Windfarm Export</v>
          </cell>
          <cell r="E187" t="str">
            <v>D</v>
          </cell>
          <cell r="F187" t="str">
            <v>16/09/2009</v>
          </cell>
          <cell r="H187" t="str">
            <v>Pateshill Windfarm Export</v>
          </cell>
          <cell r="I187" t="str">
            <v>33kV</v>
          </cell>
          <cell r="J187" t="str">
            <v>No</v>
          </cell>
          <cell r="K187">
            <v>0.998</v>
          </cell>
          <cell r="L187">
            <v>0.998</v>
          </cell>
          <cell r="M187">
            <v>0.997</v>
          </cell>
          <cell r="N187">
            <v>0.997</v>
          </cell>
        </row>
        <row r="188">
          <cell r="C188" t="str">
            <v>663</v>
          </cell>
          <cell r="D188" t="str">
            <v>North Rhinns Windfarm Export</v>
          </cell>
          <cell r="E188" t="str">
            <v>D</v>
          </cell>
          <cell r="F188" t="str">
            <v>02/12/2008</v>
          </cell>
          <cell r="H188" t="str">
            <v>North Rhinns Windfarm Export</v>
          </cell>
          <cell r="I188" t="str">
            <v>33kV</v>
          </cell>
          <cell r="J188" t="str">
            <v>No</v>
          </cell>
          <cell r="K188">
            <v>0.98499999999999999</v>
          </cell>
          <cell r="L188">
            <v>0.98899999999999999</v>
          </cell>
          <cell r="M188">
            <v>0.99</v>
          </cell>
          <cell r="N188">
            <v>0.99399999999999999</v>
          </cell>
        </row>
        <row r="189">
          <cell r="C189" t="str">
            <v>664</v>
          </cell>
          <cell r="D189" t="str">
            <v>MuirHall Extension II WF</v>
          </cell>
          <cell r="E189" t="str">
            <v>D</v>
          </cell>
          <cell r="F189" t="str">
            <v>01/04/2015</v>
          </cell>
          <cell r="H189" t="str">
            <v>MuirHall Extension II WF</v>
          </cell>
          <cell r="I189" t="str">
            <v>33kV</v>
          </cell>
          <cell r="J189" t="str">
            <v>No</v>
          </cell>
          <cell r="K189">
            <v>0.998</v>
          </cell>
          <cell r="L189">
            <v>0.998</v>
          </cell>
          <cell r="M189">
            <v>0.997</v>
          </cell>
          <cell r="N189">
            <v>0.997</v>
          </cell>
        </row>
        <row r="190">
          <cell r="C190" t="str">
            <v>665</v>
          </cell>
          <cell r="D190" t="str">
            <v>Leven Gas - Export</v>
          </cell>
          <cell r="E190" t="str">
            <v>D</v>
          </cell>
          <cell r="F190" t="str">
            <v>01/04/2015</v>
          </cell>
          <cell r="H190" t="str">
            <v>EHV 33kV Export</v>
          </cell>
          <cell r="I190" t="str">
            <v>33kV</v>
          </cell>
          <cell r="J190" t="str">
            <v>No</v>
          </cell>
          <cell r="K190">
            <v>1</v>
          </cell>
          <cell r="L190">
            <v>1</v>
          </cell>
          <cell r="M190">
            <v>1</v>
          </cell>
          <cell r="N190">
            <v>1</v>
          </cell>
        </row>
        <row r="191">
          <cell r="C191" t="str">
            <v>666</v>
          </cell>
          <cell r="D191" t="str">
            <v>Geven Windfarm Export</v>
          </cell>
          <cell r="E191" t="str">
            <v>D</v>
          </cell>
          <cell r="F191" t="str">
            <v>01/04/2016</v>
          </cell>
          <cell r="H191" t="str">
            <v>Geven Windfarm Export</v>
          </cell>
          <cell r="I191" t="str">
            <v>33kV</v>
          </cell>
          <cell r="J191" t="str">
            <v>No</v>
          </cell>
          <cell r="K191">
            <v>1</v>
          </cell>
          <cell r="L191">
            <v>1</v>
          </cell>
          <cell r="M191">
            <v>1</v>
          </cell>
          <cell r="N191">
            <v>1</v>
          </cell>
        </row>
        <row r="192">
          <cell r="C192" t="str">
            <v>667</v>
          </cell>
          <cell r="D192" t="str">
            <v>Embedded Generation - Export</v>
          </cell>
          <cell r="E192" t="str">
            <v>D</v>
          </cell>
          <cell r="F192" t="str">
            <v>01/04/2016</v>
          </cell>
          <cell r="H192" t="str">
            <v>EHV 33kV Export</v>
          </cell>
          <cell r="I192" t="str">
            <v>33kV</v>
          </cell>
          <cell r="J192" t="str">
            <v>No</v>
          </cell>
          <cell r="K192">
            <v>1</v>
          </cell>
          <cell r="L192">
            <v>1</v>
          </cell>
          <cell r="M192">
            <v>1</v>
          </cell>
          <cell r="N192">
            <v>1</v>
          </cell>
        </row>
        <row r="193">
          <cell r="C193" t="str">
            <v>668</v>
          </cell>
          <cell r="D193" t="str">
            <v>Tormywheel Windfarm Export</v>
          </cell>
          <cell r="E193" t="str">
            <v>D</v>
          </cell>
          <cell r="F193" t="str">
            <v>01/04/2016</v>
          </cell>
          <cell r="H193" t="str">
            <v>Tormywheel Windfarm Export</v>
          </cell>
          <cell r="I193" t="str">
            <v>33kV</v>
          </cell>
          <cell r="J193" t="str">
            <v>No</v>
          </cell>
          <cell r="K193">
            <v>0.998</v>
          </cell>
          <cell r="L193">
            <v>1</v>
          </cell>
          <cell r="M193">
            <v>1</v>
          </cell>
          <cell r="N193">
            <v>1.002</v>
          </cell>
        </row>
        <row r="194">
          <cell r="C194" t="str">
            <v>669</v>
          </cell>
          <cell r="D194" t="str">
            <v>Quixwook Windfarm Export</v>
          </cell>
          <cell r="E194" t="str">
            <v>D</v>
          </cell>
          <cell r="F194" t="str">
            <v>01/04/2016</v>
          </cell>
          <cell r="H194" t="str">
            <v>Quixwook Windfarm Export</v>
          </cell>
          <cell r="I194" t="str">
            <v>33kV</v>
          </cell>
          <cell r="J194" t="str">
            <v>No</v>
          </cell>
          <cell r="K194">
            <v>0.98399999999999999</v>
          </cell>
          <cell r="L194">
            <v>0.98399999999999999</v>
          </cell>
          <cell r="M194">
            <v>0.98199999999999998</v>
          </cell>
          <cell r="N194">
            <v>0.98299999999999998</v>
          </cell>
        </row>
        <row r="195">
          <cell r="C195" t="str">
            <v>670</v>
          </cell>
          <cell r="D195" t="str">
            <v>Hoprigshiels Windfarm Export</v>
          </cell>
          <cell r="E195" t="str">
            <v>D</v>
          </cell>
          <cell r="F195" t="str">
            <v>01/04/2016</v>
          </cell>
          <cell r="H195" t="str">
            <v>Hoprigshiels Windfarm Export</v>
          </cell>
          <cell r="I195" t="str">
            <v>33kV</v>
          </cell>
          <cell r="J195" t="str">
            <v>No</v>
          </cell>
          <cell r="K195">
            <v>0.996</v>
          </cell>
          <cell r="L195">
            <v>0.996</v>
          </cell>
          <cell r="M195">
            <v>0.996</v>
          </cell>
          <cell r="N195">
            <v>0.995</v>
          </cell>
        </row>
        <row r="196">
          <cell r="C196" t="str">
            <v>671</v>
          </cell>
          <cell r="D196" t="str">
            <v>Muirhall Windfarm Export</v>
          </cell>
          <cell r="E196" t="str">
            <v>D</v>
          </cell>
          <cell r="F196" t="str">
            <v>15/09/2010</v>
          </cell>
          <cell r="H196" t="str">
            <v>Muirhall Windfarm Export</v>
          </cell>
          <cell r="I196" t="str">
            <v>33kV</v>
          </cell>
          <cell r="J196" t="str">
            <v>No</v>
          </cell>
          <cell r="K196">
            <v>0.997</v>
          </cell>
          <cell r="L196">
            <v>0.996</v>
          </cell>
          <cell r="M196">
            <v>0.996</v>
          </cell>
          <cell r="N196">
            <v>0.997</v>
          </cell>
        </row>
        <row r="197">
          <cell r="C197" t="str">
            <v>672</v>
          </cell>
          <cell r="D197" t="str">
            <v>Burnfoot  Windfarm Export</v>
          </cell>
          <cell r="E197" t="str">
            <v>D</v>
          </cell>
          <cell r="F197" t="str">
            <v>15/09/2010</v>
          </cell>
          <cell r="H197" t="str">
            <v>Burnfoot  Windfarm Export</v>
          </cell>
          <cell r="I197" t="str">
            <v>33kV</v>
          </cell>
          <cell r="J197" t="str">
            <v>No</v>
          </cell>
          <cell r="K197">
            <v>0.996</v>
          </cell>
          <cell r="L197">
            <v>0.996</v>
          </cell>
          <cell r="M197">
            <v>0.996</v>
          </cell>
          <cell r="N197">
            <v>0.995</v>
          </cell>
        </row>
        <row r="198">
          <cell r="C198" t="str">
            <v>673</v>
          </cell>
          <cell r="D198" t="str">
            <v>Millour Hill Windfarm Export</v>
          </cell>
          <cell r="E198" t="str">
            <v>D</v>
          </cell>
          <cell r="F198" t="str">
            <v>15/06/2011</v>
          </cell>
          <cell r="H198" t="str">
            <v>Millour Hill Windfarm Export</v>
          </cell>
          <cell r="I198" t="str">
            <v>33kV</v>
          </cell>
          <cell r="J198" t="str">
            <v>No</v>
          </cell>
          <cell r="K198">
            <v>0.99099999999999999</v>
          </cell>
          <cell r="L198">
            <v>0.99099999999999999</v>
          </cell>
          <cell r="M198">
            <v>0.99099999999999999</v>
          </cell>
          <cell r="N198">
            <v>0.99199999999999999</v>
          </cell>
        </row>
        <row r="199">
          <cell r="C199" t="str">
            <v>674</v>
          </cell>
          <cell r="D199" t="str">
            <v>Glenkerrie Windfarm Export</v>
          </cell>
          <cell r="E199" t="str">
            <v>D</v>
          </cell>
          <cell r="F199" t="str">
            <v>15/06/2011</v>
          </cell>
          <cell r="H199" t="str">
            <v>Glenkerrie Windfarm Export</v>
          </cell>
          <cell r="I199" t="str">
            <v>33kV</v>
          </cell>
          <cell r="J199" t="str">
            <v>No</v>
          </cell>
          <cell r="K199">
            <v>0.97599999999999998</v>
          </cell>
          <cell r="L199">
            <v>0.98099999999999998</v>
          </cell>
          <cell r="M199">
            <v>0.97799999999999998</v>
          </cell>
          <cell r="N199">
            <v>0.98299999999999998</v>
          </cell>
        </row>
        <row r="200">
          <cell r="C200" t="str">
            <v>675</v>
          </cell>
          <cell r="D200" t="str">
            <v>Kelburn A Windfarm Export</v>
          </cell>
          <cell r="E200" t="str">
            <v>D</v>
          </cell>
          <cell r="F200" t="str">
            <v>15/06/2011</v>
          </cell>
          <cell r="H200" t="str">
            <v>Kelburn A Windfarm Export</v>
          </cell>
          <cell r="I200" t="str">
            <v>33kV</v>
          </cell>
          <cell r="J200" t="str">
            <v>No</v>
          </cell>
          <cell r="K200">
            <v>0.98499999999999999</v>
          </cell>
          <cell r="L200">
            <v>0.98599999999999999</v>
          </cell>
          <cell r="M200">
            <v>0.98599999999999999</v>
          </cell>
          <cell r="N200">
            <v>0.98699999999999999</v>
          </cell>
        </row>
        <row r="201">
          <cell r="C201" t="str">
            <v>676</v>
          </cell>
          <cell r="D201" t="str">
            <v>Kelburn B Windfarm Export</v>
          </cell>
          <cell r="E201" t="str">
            <v>D</v>
          </cell>
          <cell r="F201" t="str">
            <v>15/06/2011</v>
          </cell>
          <cell r="H201" t="str">
            <v>Kelburn B Windfarm Export</v>
          </cell>
          <cell r="I201" t="str">
            <v>33kV</v>
          </cell>
          <cell r="J201" t="str">
            <v>No</v>
          </cell>
          <cell r="K201">
            <v>1.0049999999999999</v>
          </cell>
          <cell r="L201">
            <v>1.0129999999999999</v>
          </cell>
          <cell r="M201">
            <v>1.02</v>
          </cell>
          <cell r="N201">
            <v>1.0269999999999999</v>
          </cell>
        </row>
        <row r="202">
          <cell r="C202" t="str">
            <v>677</v>
          </cell>
          <cell r="D202" t="str">
            <v>Little Raith Windfarm Export</v>
          </cell>
          <cell r="E202" t="str">
            <v>D</v>
          </cell>
          <cell r="F202" t="str">
            <v>15/06/2011</v>
          </cell>
          <cell r="H202" t="str">
            <v>Little Raith Windfarm Export</v>
          </cell>
          <cell r="I202" t="str">
            <v>33kV</v>
          </cell>
          <cell r="J202" t="str">
            <v>No</v>
          </cell>
          <cell r="K202">
            <v>0.999</v>
          </cell>
          <cell r="L202">
            <v>0.999</v>
          </cell>
          <cell r="M202">
            <v>0.998</v>
          </cell>
          <cell r="N202">
            <v>0.998</v>
          </cell>
        </row>
        <row r="203">
          <cell r="C203" t="str">
            <v>678</v>
          </cell>
          <cell r="D203" t="str">
            <v>Drone Hill Export</v>
          </cell>
          <cell r="E203" t="str">
            <v>D</v>
          </cell>
          <cell r="F203" t="str">
            <v>15/06/2011</v>
          </cell>
          <cell r="H203" t="str">
            <v>Drone Hill Export</v>
          </cell>
          <cell r="I203" t="str">
            <v>33kV</v>
          </cell>
          <cell r="J203" t="str">
            <v>No</v>
          </cell>
          <cell r="K203">
            <v>0.99199999999999999</v>
          </cell>
          <cell r="L203">
            <v>0.99099999999999999</v>
          </cell>
          <cell r="M203">
            <v>0.98899999999999999</v>
          </cell>
          <cell r="N203">
            <v>0.99099999999999999</v>
          </cell>
        </row>
        <row r="204">
          <cell r="C204" t="str">
            <v>679</v>
          </cell>
          <cell r="D204" t="str">
            <v>Ardoch &amp;Over Enoch WF</v>
          </cell>
          <cell r="E204" t="str">
            <v>D</v>
          </cell>
          <cell r="F204" t="str">
            <v>15/06/2011</v>
          </cell>
          <cell r="H204" t="str">
            <v>Ardoch &amp;Over Enoch WF</v>
          </cell>
          <cell r="I204" t="str">
            <v>33kV</v>
          </cell>
          <cell r="J204" t="str">
            <v>No</v>
          </cell>
          <cell r="K204">
            <v>0.995</v>
          </cell>
          <cell r="L204">
            <v>0.995</v>
          </cell>
          <cell r="M204">
            <v>0.99399999999999999</v>
          </cell>
          <cell r="N204">
            <v>0.995</v>
          </cell>
        </row>
        <row r="205">
          <cell r="C205" t="str">
            <v>680</v>
          </cell>
          <cell r="D205" t="str">
            <v>Pearie Law Windfarm Export</v>
          </cell>
          <cell r="E205" t="str">
            <v>D</v>
          </cell>
          <cell r="F205" t="str">
            <v>01/04/2012</v>
          </cell>
          <cell r="H205" t="str">
            <v>Pearie Law Windfarm Export</v>
          </cell>
          <cell r="I205" t="str">
            <v>33kV</v>
          </cell>
          <cell r="J205" t="str">
            <v>No</v>
          </cell>
          <cell r="K205">
            <v>0.996</v>
          </cell>
          <cell r="L205">
            <v>0.996</v>
          </cell>
          <cell r="M205">
            <v>0.996</v>
          </cell>
          <cell r="N205">
            <v>0.996</v>
          </cell>
        </row>
        <row r="206">
          <cell r="C206" t="str">
            <v>681</v>
          </cell>
          <cell r="D206" t="str">
            <v>Garlaff Landfill</v>
          </cell>
          <cell r="E206" t="str">
            <v>D</v>
          </cell>
          <cell r="F206" t="str">
            <v>01/04/2012</v>
          </cell>
          <cell r="H206" t="str">
            <v>Garlaff Landfill</v>
          </cell>
          <cell r="I206" t="str">
            <v>33kV</v>
          </cell>
          <cell r="J206" t="str">
            <v>No</v>
          </cell>
          <cell r="K206">
            <v>0.996</v>
          </cell>
          <cell r="L206">
            <v>0.997</v>
          </cell>
          <cell r="M206">
            <v>0.996</v>
          </cell>
          <cell r="N206">
            <v>0.996</v>
          </cell>
        </row>
        <row r="207">
          <cell r="C207" t="str">
            <v>682</v>
          </cell>
          <cell r="D207" t="str">
            <v>Tesco</v>
          </cell>
          <cell r="E207" t="str">
            <v>D</v>
          </cell>
          <cell r="F207" t="str">
            <v>01/04/2012</v>
          </cell>
          <cell r="H207" t="str">
            <v>EHV 33kV Export</v>
          </cell>
          <cell r="I207" t="str">
            <v>33kV</v>
          </cell>
          <cell r="J207" t="str">
            <v>No</v>
          </cell>
          <cell r="K207">
            <v>1</v>
          </cell>
          <cell r="L207">
            <v>1</v>
          </cell>
          <cell r="M207">
            <v>1</v>
          </cell>
          <cell r="N207">
            <v>1</v>
          </cell>
        </row>
        <row r="208">
          <cell r="C208" t="str">
            <v>683</v>
          </cell>
          <cell r="D208" t="str">
            <v>Bankend Rig</v>
          </cell>
          <cell r="E208" t="str">
            <v>D</v>
          </cell>
          <cell r="F208" t="str">
            <v>01/04/2012</v>
          </cell>
          <cell r="H208" t="str">
            <v>Bankend Rig</v>
          </cell>
          <cell r="I208" t="str">
            <v>33kV</v>
          </cell>
          <cell r="J208" t="str">
            <v>No</v>
          </cell>
          <cell r="K208">
            <v>0.996</v>
          </cell>
          <cell r="L208">
            <v>0.999</v>
          </cell>
          <cell r="M208">
            <v>0.997</v>
          </cell>
          <cell r="N208">
            <v>1</v>
          </cell>
        </row>
        <row r="209">
          <cell r="C209" t="str">
            <v>684</v>
          </cell>
          <cell r="D209" t="str">
            <v>Barlockhart Moor</v>
          </cell>
          <cell r="E209" t="str">
            <v>D</v>
          </cell>
          <cell r="F209" t="str">
            <v>01/04/2012</v>
          </cell>
          <cell r="H209" t="str">
            <v>Barlockhart Moor</v>
          </cell>
          <cell r="I209" t="str">
            <v>33kV</v>
          </cell>
          <cell r="J209" t="str">
            <v>No</v>
          </cell>
          <cell r="K209">
            <v>0.997</v>
          </cell>
          <cell r="L209">
            <v>0.998</v>
          </cell>
          <cell r="M209">
            <v>0.997</v>
          </cell>
          <cell r="N209">
            <v>0.997</v>
          </cell>
        </row>
        <row r="210">
          <cell r="C210" t="str">
            <v>685</v>
          </cell>
          <cell r="D210" t="str">
            <v>Blantyre Muir</v>
          </cell>
          <cell r="E210" t="str">
            <v>D</v>
          </cell>
          <cell r="F210" t="str">
            <v>01/04/2012</v>
          </cell>
          <cell r="H210" t="str">
            <v>Blantyre Muir</v>
          </cell>
          <cell r="I210" t="str">
            <v>33kV</v>
          </cell>
          <cell r="J210" t="str">
            <v>No</v>
          </cell>
          <cell r="K210">
            <v>0.997</v>
          </cell>
          <cell r="L210">
            <v>0.997</v>
          </cell>
          <cell r="M210">
            <v>0.997</v>
          </cell>
          <cell r="N210">
            <v>0.996</v>
          </cell>
        </row>
        <row r="211">
          <cell r="C211" t="str">
            <v>686</v>
          </cell>
          <cell r="D211" t="str">
            <v>Sneddon Law WF Exp</v>
          </cell>
          <cell r="E211" t="str">
            <v>D</v>
          </cell>
          <cell r="F211" t="str">
            <v>01/04/2012</v>
          </cell>
          <cell r="H211" t="str">
            <v>EHV 33kV Export</v>
          </cell>
          <cell r="I211" t="str">
            <v>33kV</v>
          </cell>
          <cell r="J211" t="str">
            <v>No</v>
          </cell>
          <cell r="K211">
            <v>1</v>
          </cell>
          <cell r="L211">
            <v>1</v>
          </cell>
          <cell r="M211">
            <v>1</v>
          </cell>
          <cell r="N211">
            <v>1</v>
          </cell>
        </row>
        <row r="212">
          <cell r="C212" t="str">
            <v>687</v>
          </cell>
          <cell r="D212" t="str">
            <v>Burnhead Bathgate WF Export</v>
          </cell>
          <cell r="E212" t="str">
            <v>D</v>
          </cell>
          <cell r="F212" t="str">
            <v>01/04/2012</v>
          </cell>
          <cell r="H212" t="str">
            <v>Burnhead Bathgate WF Export</v>
          </cell>
          <cell r="I212" t="str">
            <v>33kV</v>
          </cell>
          <cell r="J212" t="str">
            <v>No</v>
          </cell>
          <cell r="K212">
            <v>0.998</v>
          </cell>
          <cell r="L212">
            <v>0.998</v>
          </cell>
          <cell r="M212">
            <v>0.997</v>
          </cell>
          <cell r="N212">
            <v>0.997</v>
          </cell>
        </row>
        <row r="213">
          <cell r="C213" t="str">
            <v>688</v>
          </cell>
          <cell r="D213" t="str">
            <v>Middleton Farm</v>
          </cell>
          <cell r="E213" t="str">
            <v>D</v>
          </cell>
          <cell r="F213" t="str">
            <v>01/04/2012</v>
          </cell>
          <cell r="H213" t="str">
            <v>Middleton Farm</v>
          </cell>
          <cell r="I213" t="str">
            <v>33kV</v>
          </cell>
          <cell r="J213" t="str">
            <v>No</v>
          </cell>
          <cell r="K213">
            <v>0.996</v>
          </cell>
          <cell r="L213">
            <v>0.997</v>
          </cell>
          <cell r="M213">
            <v>0.996</v>
          </cell>
          <cell r="N213">
            <v>0.997</v>
          </cell>
        </row>
        <row r="214">
          <cell r="C214" t="str">
            <v>689</v>
          </cell>
          <cell r="D214" t="str">
            <v>Neilston Community</v>
          </cell>
          <cell r="E214" t="str">
            <v>D</v>
          </cell>
          <cell r="F214" t="str">
            <v>01/04/2012</v>
          </cell>
          <cell r="H214" t="str">
            <v>Neilston Community</v>
          </cell>
          <cell r="I214" t="str">
            <v>33kV</v>
          </cell>
          <cell r="J214" t="str">
            <v>No</v>
          </cell>
          <cell r="K214">
            <v>0.996</v>
          </cell>
          <cell r="L214">
            <v>0.996</v>
          </cell>
          <cell r="M214">
            <v>0.996</v>
          </cell>
          <cell r="N214">
            <v>0.996</v>
          </cell>
        </row>
        <row r="215">
          <cell r="C215" t="str">
            <v>690</v>
          </cell>
          <cell r="D215" t="str">
            <v>Westfield WF</v>
          </cell>
          <cell r="E215" t="str">
            <v>D</v>
          </cell>
          <cell r="F215" t="str">
            <v>01/04/2012</v>
          </cell>
          <cell r="H215" t="str">
            <v>Westfield WF</v>
          </cell>
          <cell r="I215" t="str">
            <v>33kV</v>
          </cell>
          <cell r="J215" t="str">
            <v>No</v>
          </cell>
          <cell r="K215">
            <v>0.998</v>
          </cell>
          <cell r="L215">
            <v>0.998</v>
          </cell>
          <cell r="M215">
            <v>0.998</v>
          </cell>
          <cell r="N215">
            <v>0.998</v>
          </cell>
        </row>
        <row r="216">
          <cell r="C216" t="str">
            <v>691</v>
          </cell>
          <cell r="D216" t="str">
            <v>Barmour</v>
          </cell>
          <cell r="E216" t="str">
            <v>D</v>
          </cell>
          <cell r="F216" t="str">
            <v>01/04/2012</v>
          </cell>
          <cell r="H216" t="str">
            <v>Barmour</v>
          </cell>
          <cell r="I216" t="str">
            <v>33kV</v>
          </cell>
          <cell r="J216" t="str">
            <v>No</v>
          </cell>
          <cell r="K216">
            <v>0.99199999999999999</v>
          </cell>
          <cell r="L216">
            <v>0.99199999999999999</v>
          </cell>
          <cell r="M216">
            <v>0.99199999999999999</v>
          </cell>
          <cell r="N216">
            <v>0.99299999999999999</v>
          </cell>
        </row>
        <row r="217">
          <cell r="C217" t="str">
            <v>692</v>
          </cell>
          <cell r="D217" t="str">
            <v>Nutberry WF Export</v>
          </cell>
          <cell r="E217" t="str">
            <v>D</v>
          </cell>
          <cell r="F217" t="str">
            <v>01/04/2012</v>
          </cell>
          <cell r="H217" t="str">
            <v>Nutberry WF Export</v>
          </cell>
          <cell r="I217" t="str">
            <v>33kV</v>
          </cell>
          <cell r="J217" t="str">
            <v>No</v>
          </cell>
          <cell r="K217">
            <v>0.99299999999999999</v>
          </cell>
          <cell r="L217">
            <v>0.995</v>
          </cell>
          <cell r="M217">
            <v>0.99299999999999999</v>
          </cell>
          <cell r="N217">
            <v>0.99399999999999999</v>
          </cell>
        </row>
        <row r="218">
          <cell r="C218" t="str">
            <v>693</v>
          </cell>
          <cell r="D218" t="str">
            <v>Hunterston WF Export</v>
          </cell>
          <cell r="E218" t="str">
            <v>D</v>
          </cell>
          <cell r="F218" t="str">
            <v>01/04/2012</v>
          </cell>
          <cell r="H218" t="str">
            <v>EHV 33kV Export</v>
          </cell>
          <cell r="I218" t="str">
            <v>33kV</v>
          </cell>
          <cell r="J218" t="str">
            <v>No</v>
          </cell>
          <cell r="K218">
            <v>1</v>
          </cell>
          <cell r="L218">
            <v>1</v>
          </cell>
          <cell r="M218">
            <v>1</v>
          </cell>
          <cell r="N218">
            <v>1</v>
          </cell>
        </row>
        <row r="219">
          <cell r="C219" t="str">
            <v>694</v>
          </cell>
          <cell r="D219" t="str">
            <v>Polmadie (Waste Energy B)</v>
          </cell>
          <cell r="E219" t="str">
            <v>D</v>
          </cell>
          <cell r="F219" t="str">
            <v>01/04/2012</v>
          </cell>
          <cell r="H219" t="str">
            <v>EHV 33kV Export</v>
          </cell>
          <cell r="I219" t="str">
            <v>33kV</v>
          </cell>
          <cell r="J219" t="str">
            <v>No</v>
          </cell>
          <cell r="K219">
            <v>1</v>
          </cell>
          <cell r="L219">
            <v>1</v>
          </cell>
          <cell r="M219">
            <v>1</v>
          </cell>
          <cell r="N219">
            <v>1</v>
          </cell>
        </row>
        <row r="220">
          <cell r="C220" t="str">
            <v>695</v>
          </cell>
          <cell r="D220" t="str">
            <v>Carcreugh WF Export</v>
          </cell>
          <cell r="E220" t="str">
            <v>D</v>
          </cell>
          <cell r="F220" t="str">
            <v>01/04/2012</v>
          </cell>
          <cell r="H220" t="str">
            <v>Carcreugh WF Export</v>
          </cell>
          <cell r="I220" t="str">
            <v>33kV</v>
          </cell>
          <cell r="J220" t="str">
            <v>No</v>
          </cell>
          <cell r="K220">
            <v>0.997</v>
          </cell>
          <cell r="L220">
            <v>0.996</v>
          </cell>
          <cell r="M220">
            <v>0.995</v>
          </cell>
          <cell r="N220">
            <v>0.995</v>
          </cell>
        </row>
        <row r="221">
          <cell r="C221" t="str">
            <v>696</v>
          </cell>
          <cell r="D221" t="str">
            <v>Calder Water WF Export</v>
          </cell>
          <cell r="E221" t="str">
            <v>D</v>
          </cell>
          <cell r="F221" t="str">
            <v>01/04/2012</v>
          </cell>
          <cell r="H221" t="str">
            <v>Calder Water WF Export</v>
          </cell>
          <cell r="I221" t="str">
            <v>33kV</v>
          </cell>
          <cell r="J221" t="str">
            <v>No</v>
          </cell>
          <cell r="K221">
            <v>0.99399999999999999</v>
          </cell>
          <cell r="L221">
            <v>0.99399999999999999</v>
          </cell>
          <cell r="M221">
            <v>0.99199999999999999</v>
          </cell>
          <cell r="N221">
            <v>0.99199999999999999</v>
          </cell>
        </row>
        <row r="222">
          <cell r="C222" t="str">
            <v>697</v>
          </cell>
          <cell r="D222" t="str">
            <v>GlaxoSmithKline Export</v>
          </cell>
          <cell r="E222" t="str">
            <v>D</v>
          </cell>
          <cell r="F222" t="str">
            <v>01/04/2012</v>
          </cell>
          <cell r="H222" t="str">
            <v>GlaxoSmithKline Export</v>
          </cell>
          <cell r="I222" t="str">
            <v>33kV</v>
          </cell>
          <cell r="J222" t="str">
            <v>No</v>
          </cell>
          <cell r="K222">
            <v>1.0129999999999999</v>
          </cell>
          <cell r="L222">
            <v>1.0189999999999999</v>
          </cell>
          <cell r="M222">
            <v>1.0229999999999999</v>
          </cell>
          <cell r="N222">
            <v>1.0269999999999999</v>
          </cell>
        </row>
        <row r="223">
          <cell r="C223" t="str">
            <v>698</v>
          </cell>
          <cell r="D223" t="str">
            <v>Tod Hills WF</v>
          </cell>
          <cell r="E223" t="str">
            <v>D</v>
          </cell>
          <cell r="F223" t="str">
            <v>01/04/2012</v>
          </cell>
          <cell r="H223" t="str">
            <v>Tod Hills WF</v>
          </cell>
          <cell r="I223" t="str">
            <v>33kV</v>
          </cell>
          <cell r="J223" t="str">
            <v>No</v>
          </cell>
          <cell r="K223">
            <v>0.997</v>
          </cell>
          <cell r="L223">
            <v>0.997</v>
          </cell>
          <cell r="M223">
            <v>0.996</v>
          </cell>
          <cell r="N223">
            <v>0.996</v>
          </cell>
        </row>
        <row r="224">
          <cell r="C224">
            <v>699</v>
          </cell>
          <cell r="D224" t="str">
            <v>Viridor Energy Export</v>
          </cell>
          <cell r="E224" t="str">
            <v>D</v>
          </cell>
          <cell r="F224" t="str">
            <v>01/04/2012</v>
          </cell>
          <cell r="H224" t="str">
            <v>Viridor Energy Export</v>
          </cell>
          <cell r="I224" t="str">
            <v>33kV</v>
          </cell>
          <cell r="J224" t="str">
            <v>No</v>
          </cell>
          <cell r="K224">
            <v>0.99299999999999999</v>
          </cell>
          <cell r="L224">
            <v>0.99399999999999999</v>
          </cell>
          <cell r="M224">
            <v>0.995</v>
          </cell>
          <cell r="N224">
            <v>0.995</v>
          </cell>
        </row>
        <row r="225">
          <cell r="C225" t="str">
            <v>700</v>
          </cell>
          <cell r="D225" t="str">
            <v>West Browncastle WF Export</v>
          </cell>
          <cell r="E225" t="str">
            <v>D</v>
          </cell>
          <cell r="F225" t="str">
            <v>01/04/2013</v>
          </cell>
          <cell r="H225" t="str">
            <v>West Browncastle WF Export</v>
          </cell>
          <cell r="I225" t="str">
            <v>33kV</v>
          </cell>
          <cell r="J225" t="str">
            <v>No</v>
          </cell>
          <cell r="K225">
            <v>0.995</v>
          </cell>
          <cell r="L225">
            <v>0.995</v>
          </cell>
          <cell r="M225">
            <v>0.99399999999999999</v>
          </cell>
          <cell r="N225">
            <v>0.99399999999999999</v>
          </cell>
        </row>
        <row r="226">
          <cell r="C226" t="str">
            <v>701</v>
          </cell>
          <cell r="D226" t="str">
            <v>Earlseat WF Export</v>
          </cell>
          <cell r="E226" t="str">
            <v>D</v>
          </cell>
          <cell r="F226" t="str">
            <v>01/04/2013</v>
          </cell>
          <cell r="H226" t="str">
            <v>Earlseat WF Export</v>
          </cell>
          <cell r="I226" t="str">
            <v>33kV</v>
          </cell>
          <cell r="J226" t="str">
            <v>No</v>
          </cell>
          <cell r="K226">
            <v>0.998</v>
          </cell>
          <cell r="L226">
            <v>0.998</v>
          </cell>
          <cell r="M226">
            <v>0.997</v>
          </cell>
          <cell r="N226">
            <v>0.998</v>
          </cell>
        </row>
        <row r="227">
          <cell r="C227" t="str">
            <v>702</v>
          </cell>
          <cell r="D227" t="str">
            <v>Dungavel WF Export</v>
          </cell>
          <cell r="E227" t="str">
            <v>D</v>
          </cell>
          <cell r="F227" t="str">
            <v>01/04/2013</v>
          </cell>
          <cell r="H227" t="str">
            <v>Dungavel WF Export</v>
          </cell>
          <cell r="I227" t="str">
            <v>33kV</v>
          </cell>
          <cell r="J227" t="str">
            <v>No</v>
          </cell>
          <cell r="K227">
            <v>0.99099999999999999</v>
          </cell>
          <cell r="L227">
            <v>0.99199999999999999</v>
          </cell>
          <cell r="M227">
            <v>0.99</v>
          </cell>
          <cell r="N227">
            <v>0.98899999999999999</v>
          </cell>
        </row>
        <row r="228">
          <cell r="C228" t="str">
            <v>703</v>
          </cell>
          <cell r="D228" t="str">
            <v>Ewe Hill WF Export</v>
          </cell>
          <cell r="E228" t="str">
            <v>D</v>
          </cell>
          <cell r="F228" t="str">
            <v>01/04/2013</v>
          </cell>
          <cell r="H228" t="str">
            <v>Ewe Hill WF Export</v>
          </cell>
          <cell r="I228" t="str">
            <v>33kV</v>
          </cell>
          <cell r="J228" t="str">
            <v>No</v>
          </cell>
          <cell r="K228">
            <v>0.997</v>
          </cell>
          <cell r="L228">
            <v>1.0009999999999999</v>
          </cell>
          <cell r="M228">
            <v>1.002</v>
          </cell>
          <cell r="N228">
            <v>1.004</v>
          </cell>
        </row>
        <row r="229">
          <cell r="C229" t="str">
            <v>704</v>
          </cell>
          <cell r="D229" t="str">
            <v>Langhope Rig WF Export</v>
          </cell>
          <cell r="E229" t="str">
            <v>D</v>
          </cell>
          <cell r="F229" t="str">
            <v>01/04/2013</v>
          </cell>
          <cell r="H229" t="str">
            <v>Langhope Rig WF Export</v>
          </cell>
          <cell r="I229" t="str">
            <v>33kV</v>
          </cell>
          <cell r="J229" t="str">
            <v>No</v>
          </cell>
          <cell r="K229">
            <v>1</v>
          </cell>
          <cell r="L229">
            <v>1</v>
          </cell>
          <cell r="M229">
            <v>1</v>
          </cell>
          <cell r="N229">
            <v>1</v>
          </cell>
        </row>
        <row r="230">
          <cell r="C230" t="str">
            <v>705</v>
          </cell>
          <cell r="D230" t="str">
            <v>Muirhall Ext WF Export</v>
          </cell>
          <cell r="E230" t="str">
            <v>D</v>
          </cell>
          <cell r="F230" t="str">
            <v>01/04/2013</v>
          </cell>
          <cell r="H230" t="str">
            <v>Muirhall Ext WF Export</v>
          </cell>
          <cell r="I230" t="str">
            <v>33kV</v>
          </cell>
          <cell r="J230" t="str">
            <v>No</v>
          </cell>
          <cell r="K230">
            <v>0.998</v>
          </cell>
          <cell r="L230">
            <v>0.998</v>
          </cell>
          <cell r="M230">
            <v>0.998</v>
          </cell>
          <cell r="N230">
            <v>0.998</v>
          </cell>
        </row>
        <row r="231">
          <cell r="C231" t="str">
            <v>706</v>
          </cell>
          <cell r="D231" t="str">
            <v>Polmadie (Waste Energy A)</v>
          </cell>
          <cell r="E231" t="str">
            <v>D</v>
          </cell>
          <cell r="F231" t="str">
            <v>01/04/2013</v>
          </cell>
          <cell r="H231" t="str">
            <v>Polmadie (Waste Energy A)</v>
          </cell>
          <cell r="I231" t="str">
            <v>33kV</v>
          </cell>
          <cell r="J231" t="str">
            <v>No</v>
          </cell>
          <cell r="K231">
            <v>1</v>
          </cell>
          <cell r="L231">
            <v>1</v>
          </cell>
          <cell r="M231">
            <v>1</v>
          </cell>
          <cell r="N231">
            <v>1</v>
          </cell>
        </row>
        <row r="232">
          <cell r="C232" t="str">
            <v>707</v>
          </cell>
          <cell r="D232" t="str">
            <v>Embedded Generation - Export</v>
          </cell>
          <cell r="E232" t="str">
            <v>D</v>
          </cell>
          <cell r="F232" t="str">
            <v>01/04/2013</v>
          </cell>
          <cell r="H232" t="str">
            <v>EHV 33kV Export</v>
          </cell>
          <cell r="I232" t="str">
            <v>33kV</v>
          </cell>
          <cell r="J232" t="str">
            <v>No</v>
          </cell>
          <cell r="K232">
            <v>1</v>
          </cell>
          <cell r="L232">
            <v>1</v>
          </cell>
          <cell r="M232">
            <v>1</v>
          </cell>
          <cell r="N232">
            <v>1</v>
          </cell>
        </row>
        <row r="233">
          <cell r="C233" t="str">
            <v>708</v>
          </cell>
          <cell r="D233" t="str">
            <v>Penmansheill</v>
          </cell>
          <cell r="E233" t="str">
            <v>D</v>
          </cell>
          <cell r="F233" t="str">
            <v>01/04/2013</v>
          </cell>
          <cell r="H233" t="str">
            <v>Penmansheill</v>
          </cell>
          <cell r="I233" t="str">
            <v>33kV</v>
          </cell>
          <cell r="J233" t="str">
            <v>No</v>
          </cell>
          <cell r="K233">
            <v>0.99099999999999999</v>
          </cell>
          <cell r="L233">
            <v>0.99199999999999999</v>
          </cell>
          <cell r="M233">
            <v>0.99099999999999999</v>
          </cell>
          <cell r="N233">
            <v>0.99199999999999999</v>
          </cell>
        </row>
        <row r="234">
          <cell r="C234" t="str">
            <v>709</v>
          </cell>
          <cell r="D234" t="str">
            <v>Embedded Generation - Export</v>
          </cell>
          <cell r="E234" t="str">
            <v>D</v>
          </cell>
          <cell r="F234" t="str">
            <v>01/04/2013</v>
          </cell>
          <cell r="H234" t="str">
            <v>EHV 33kV Export</v>
          </cell>
          <cell r="I234" t="str">
            <v>33kV</v>
          </cell>
          <cell r="J234" t="str">
            <v>No</v>
          </cell>
          <cell r="K234">
            <v>1</v>
          </cell>
          <cell r="L234">
            <v>1</v>
          </cell>
          <cell r="M234">
            <v>1</v>
          </cell>
          <cell r="N234">
            <v>1</v>
          </cell>
        </row>
        <row r="235">
          <cell r="C235" t="str">
            <v>710</v>
          </cell>
          <cell r="D235" t="str">
            <v>Millerhill EFW - Export</v>
          </cell>
          <cell r="E235" t="str">
            <v>D</v>
          </cell>
          <cell r="F235" t="str">
            <v>01/04/2013</v>
          </cell>
          <cell r="H235" t="str">
            <v>Millerhill EFW - Export</v>
          </cell>
          <cell r="I235" t="str">
            <v>33kV</v>
          </cell>
          <cell r="J235" t="str">
            <v>No</v>
          </cell>
          <cell r="K235">
            <v>0.996</v>
          </cell>
          <cell r="L235">
            <v>0.997</v>
          </cell>
          <cell r="M235">
            <v>0.997</v>
          </cell>
          <cell r="N235">
            <v>0.997</v>
          </cell>
        </row>
        <row r="236">
          <cell r="C236">
            <v>711</v>
          </cell>
          <cell r="D236" t="str">
            <v>Embedded Generation - Export</v>
          </cell>
          <cell r="E236" t="str">
            <v>D</v>
          </cell>
          <cell r="F236">
            <v>43544</v>
          </cell>
          <cell r="H236" t="str">
            <v>EHV 33kV Export</v>
          </cell>
          <cell r="I236" t="str">
            <v>33kV</v>
          </cell>
          <cell r="J236" t="str">
            <v>No</v>
          </cell>
          <cell r="K236">
            <v>1</v>
          </cell>
          <cell r="L236">
            <v>1</v>
          </cell>
          <cell r="M236">
            <v>1</v>
          </cell>
          <cell r="N236">
            <v>1</v>
          </cell>
        </row>
        <row r="237">
          <cell r="C237">
            <v>712</v>
          </cell>
          <cell r="D237" t="str">
            <v>Embedded Generation - Export</v>
          </cell>
          <cell r="E237" t="str">
            <v>D</v>
          </cell>
          <cell r="F237">
            <v>43544</v>
          </cell>
          <cell r="H237" t="str">
            <v>EHV 33kV Export</v>
          </cell>
          <cell r="I237" t="str">
            <v>33kV</v>
          </cell>
          <cell r="J237" t="str">
            <v>No</v>
          </cell>
          <cell r="K237">
            <v>1</v>
          </cell>
          <cell r="L237">
            <v>1</v>
          </cell>
          <cell r="M237">
            <v>1</v>
          </cell>
          <cell r="N237">
            <v>1</v>
          </cell>
        </row>
        <row r="238">
          <cell r="C238">
            <v>713</v>
          </cell>
          <cell r="D238" t="str">
            <v>Embedded Generation - Export</v>
          </cell>
          <cell r="E238" t="str">
            <v>D</v>
          </cell>
          <cell r="F238">
            <v>43544</v>
          </cell>
          <cell r="H238" t="str">
            <v>EHV 33kV Export</v>
          </cell>
          <cell r="I238" t="str">
            <v>33kV</v>
          </cell>
          <cell r="J238" t="str">
            <v>No</v>
          </cell>
          <cell r="K238">
            <v>1</v>
          </cell>
          <cell r="L238">
            <v>1</v>
          </cell>
          <cell r="M238">
            <v>1</v>
          </cell>
          <cell r="N238">
            <v>1</v>
          </cell>
        </row>
        <row r="239">
          <cell r="C239">
            <v>714</v>
          </cell>
          <cell r="D239" t="str">
            <v>Embedded Generation - Export</v>
          </cell>
          <cell r="E239" t="str">
            <v>D</v>
          </cell>
          <cell r="F239">
            <v>43544</v>
          </cell>
          <cell r="H239" t="str">
            <v>EHV 33kV Export</v>
          </cell>
          <cell r="I239" t="str">
            <v>33kV</v>
          </cell>
          <cell r="J239" t="str">
            <v>No</v>
          </cell>
          <cell r="K239">
            <v>1</v>
          </cell>
          <cell r="L239">
            <v>1</v>
          </cell>
          <cell r="M239">
            <v>1</v>
          </cell>
          <cell r="N239">
            <v>1</v>
          </cell>
        </row>
        <row r="240">
          <cell r="C240">
            <v>715</v>
          </cell>
          <cell r="D240" t="str">
            <v>Embedded Generation - Export</v>
          </cell>
          <cell r="E240" t="str">
            <v>D</v>
          </cell>
          <cell r="F240">
            <v>43544</v>
          </cell>
          <cell r="H240" t="str">
            <v>EHV 33kV Export</v>
          </cell>
          <cell r="I240" t="str">
            <v>33kV</v>
          </cell>
          <cell r="J240" t="str">
            <v>No</v>
          </cell>
          <cell r="K240">
            <v>1</v>
          </cell>
          <cell r="L240">
            <v>1</v>
          </cell>
          <cell r="M240">
            <v>1</v>
          </cell>
          <cell r="N240">
            <v>1</v>
          </cell>
        </row>
        <row r="241">
          <cell r="C241">
            <v>716</v>
          </cell>
          <cell r="D241" t="str">
            <v>Embedded Generation - Export</v>
          </cell>
          <cell r="E241" t="str">
            <v>D</v>
          </cell>
          <cell r="F241">
            <v>43544</v>
          </cell>
          <cell r="H241" t="str">
            <v>EHV 33kV Export</v>
          </cell>
          <cell r="I241" t="str">
            <v>33kV</v>
          </cell>
          <cell r="J241" t="str">
            <v>No</v>
          </cell>
          <cell r="K241">
            <v>1</v>
          </cell>
          <cell r="L241">
            <v>1</v>
          </cell>
          <cell r="M241">
            <v>1</v>
          </cell>
          <cell r="N241">
            <v>1</v>
          </cell>
        </row>
        <row r="242">
          <cell r="C242">
            <v>717</v>
          </cell>
          <cell r="D242" t="str">
            <v>Embedded Generation - Export</v>
          </cell>
          <cell r="E242" t="str">
            <v>D</v>
          </cell>
          <cell r="F242">
            <v>43544</v>
          </cell>
          <cell r="H242" t="str">
            <v>EHV 33kV Export</v>
          </cell>
          <cell r="I242" t="str">
            <v>33kV</v>
          </cell>
          <cell r="J242" t="str">
            <v>No</v>
          </cell>
          <cell r="K242">
            <v>1</v>
          </cell>
          <cell r="L242">
            <v>1</v>
          </cell>
          <cell r="M242">
            <v>1</v>
          </cell>
          <cell r="N242">
            <v>1</v>
          </cell>
        </row>
        <row r="243">
          <cell r="C243">
            <v>718</v>
          </cell>
          <cell r="D243" t="str">
            <v>Embedded Generation - Export</v>
          </cell>
          <cell r="E243" t="str">
            <v>D</v>
          </cell>
          <cell r="F243">
            <v>43544</v>
          </cell>
          <cell r="H243" t="str">
            <v>EHV 33kV Export</v>
          </cell>
          <cell r="I243" t="str">
            <v>33kV</v>
          </cell>
          <cell r="J243" t="str">
            <v>No</v>
          </cell>
          <cell r="K243">
            <v>1</v>
          </cell>
          <cell r="L243">
            <v>1</v>
          </cell>
          <cell r="M243">
            <v>1</v>
          </cell>
          <cell r="N243">
            <v>1</v>
          </cell>
        </row>
        <row r="244">
          <cell r="C244">
            <v>719</v>
          </cell>
          <cell r="D244" t="str">
            <v>Embedded Generation - Export</v>
          </cell>
          <cell r="E244" t="str">
            <v>D</v>
          </cell>
          <cell r="F244">
            <v>43544</v>
          </cell>
          <cell r="H244" t="str">
            <v>EHV 33kV Export</v>
          </cell>
          <cell r="I244" t="str">
            <v>33kV</v>
          </cell>
          <cell r="J244" t="str">
            <v>No</v>
          </cell>
          <cell r="K244">
            <v>1</v>
          </cell>
          <cell r="L244">
            <v>1</v>
          </cell>
          <cell r="M244">
            <v>1</v>
          </cell>
          <cell r="N244">
            <v>1</v>
          </cell>
        </row>
        <row r="245">
          <cell r="C245" t="str">
            <v>750</v>
          </cell>
          <cell r="D245" t="str">
            <v>Cathkin Export</v>
          </cell>
          <cell r="E245" t="str">
            <v>D</v>
          </cell>
          <cell r="F245" t="str">
            <v>01/04/2013</v>
          </cell>
          <cell r="H245" t="str">
            <v>HV Sub</v>
          </cell>
          <cell r="I245" t="str">
            <v>11kV</v>
          </cell>
          <cell r="J245" t="str">
            <v>No</v>
          </cell>
          <cell r="K245">
            <v>1.0129999999999999</v>
          </cell>
          <cell r="L245">
            <v>1.0129999999999999</v>
          </cell>
          <cell r="M245">
            <v>1.0129999999999999</v>
          </cell>
          <cell r="N245">
            <v>1.0129999999999999</v>
          </cell>
        </row>
        <row r="246">
          <cell r="C246" t="str">
            <v>751</v>
          </cell>
          <cell r="D246" t="str">
            <v>HVS Export</v>
          </cell>
          <cell r="E246" t="str">
            <v>D</v>
          </cell>
          <cell r="F246" t="str">
            <v>01/04/2013</v>
          </cell>
          <cell r="H246" t="str">
            <v>HV Sub</v>
          </cell>
          <cell r="I246" t="str">
            <v>11kV</v>
          </cell>
          <cell r="J246" t="str">
            <v>No</v>
          </cell>
          <cell r="K246">
            <v>1.0129999999999999</v>
          </cell>
          <cell r="L246">
            <v>1.0129999999999999</v>
          </cell>
          <cell r="M246">
            <v>1.0129999999999999</v>
          </cell>
          <cell r="N246">
            <v>1.0129999999999999</v>
          </cell>
        </row>
        <row r="247">
          <cell r="C247" t="str">
            <v>752</v>
          </cell>
          <cell r="D247" t="str">
            <v>Torrence WF Export</v>
          </cell>
          <cell r="E247" t="str">
            <v>D</v>
          </cell>
          <cell r="F247" t="str">
            <v>01/04/2013</v>
          </cell>
          <cell r="H247" t="str">
            <v>HV Sub</v>
          </cell>
          <cell r="I247" t="str">
            <v>11kV</v>
          </cell>
          <cell r="J247" t="str">
            <v>No</v>
          </cell>
          <cell r="K247">
            <v>1.0129999999999999</v>
          </cell>
          <cell r="L247">
            <v>1.0129999999999999</v>
          </cell>
          <cell r="M247">
            <v>1.0129999999999999</v>
          </cell>
          <cell r="N247">
            <v>1.0129999999999999</v>
          </cell>
        </row>
        <row r="248">
          <cell r="C248" t="str">
            <v>753</v>
          </cell>
          <cell r="D248" t="str">
            <v>HVS Export</v>
          </cell>
          <cell r="E248" t="str">
            <v>D</v>
          </cell>
          <cell r="F248" t="str">
            <v>01/04/2013</v>
          </cell>
          <cell r="H248" t="str">
            <v>HV Sub</v>
          </cell>
          <cell r="I248" t="str">
            <v>11kV</v>
          </cell>
          <cell r="J248" t="str">
            <v>No</v>
          </cell>
          <cell r="K248">
            <v>1.0129999999999999</v>
          </cell>
          <cell r="L248">
            <v>1.0129999999999999</v>
          </cell>
          <cell r="M248">
            <v>1.0129999999999999</v>
          </cell>
          <cell r="N248">
            <v>1.0129999999999999</v>
          </cell>
        </row>
        <row r="249">
          <cell r="C249" t="str">
            <v>754</v>
          </cell>
          <cell r="D249" t="str">
            <v>Scottish Ent (Samsung) Exp</v>
          </cell>
          <cell r="E249" t="str">
            <v>D</v>
          </cell>
          <cell r="F249" t="str">
            <v>01/04/2013</v>
          </cell>
          <cell r="H249" t="str">
            <v>HV Sub</v>
          </cell>
          <cell r="I249" t="str">
            <v>11kV</v>
          </cell>
          <cell r="J249" t="str">
            <v>No</v>
          </cell>
          <cell r="K249">
            <v>1.0129999999999999</v>
          </cell>
          <cell r="L249">
            <v>1.0129999999999999</v>
          </cell>
          <cell r="M249">
            <v>1.0129999999999999</v>
          </cell>
          <cell r="N249">
            <v>1.0129999999999999</v>
          </cell>
        </row>
        <row r="250">
          <cell r="C250" t="str">
            <v>755</v>
          </cell>
          <cell r="D250" t="str">
            <v>Bonnington Power Station</v>
          </cell>
          <cell r="E250" t="str">
            <v>D</v>
          </cell>
          <cell r="F250" t="str">
            <v>01/04/2013</v>
          </cell>
          <cell r="H250" t="str">
            <v>HV Sub</v>
          </cell>
          <cell r="I250" t="str">
            <v>11kV</v>
          </cell>
          <cell r="J250" t="str">
            <v>No</v>
          </cell>
          <cell r="K250">
            <v>1.0129999999999999</v>
          </cell>
          <cell r="L250">
            <v>1.0129999999999999</v>
          </cell>
          <cell r="M250">
            <v>1.0129999999999999</v>
          </cell>
          <cell r="N250">
            <v>1.0129999999999999</v>
          </cell>
        </row>
        <row r="251">
          <cell r="C251" t="str">
            <v>756</v>
          </cell>
          <cell r="D251" t="str">
            <v>Torrence WF Ext Export</v>
          </cell>
          <cell r="E251" t="str">
            <v>D</v>
          </cell>
          <cell r="F251" t="str">
            <v>01/04/2013</v>
          </cell>
          <cell r="H251" t="str">
            <v>HV Sub</v>
          </cell>
          <cell r="I251" t="str">
            <v>11kV</v>
          </cell>
          <cell r="J251" t="str">
            <v>No</v>
          </cell>
          <cell r="K251">
            <v>1.0129999999999999</v>
          </cell>
          <cell r="L251">
            <v>1.0129999999999999</v>
          </cell>
          <cell r="M251">
            <v>1.0129999999999999</v>
          </cell>
          <cell r="N251">
            <v>1.0129999999999999</v>
          </cell>
        </row>
        <row r="252">
          <cell r="C252" t="str">
            <v>757</v>
          </cell>
          <cell r="D252" t="str">
            <v>HVS Export</v>
          </cell>
          <cell r="E252" t="str">
            <v>D</v>
          </cell>
          <cell r="F252" t="str">
            <v>01/04/2013</v>
          </cell>
          <cell r="H252" t="str">
            <v>HV Sub</v>
          </cell>
          <cell r="I252" t="str">
            <v>11kV</v>
          </cell>
          <cell r="J252" t="str">
            <v>No</v>
          </cell>
          <cell r="K252">
            <v>1.0129999999999999</v>
          </cell>
          <cell r="L252">
            <v>1.0129999999999999</v>
          </cell>
          <cell r="M252">
            <v>1.0129999999999999</v>
          </cell>
          <cell r="N252">
            <v>1.0129999999999999</v>
          </cell>
        </row>
        <row r="253">
          <cell r="C253" t="str">
            <v>758</v>
          </cell>
          <cell r="D253" t="str">
            <v>HVS Export</v>
          </cell>
          <cell r="E253" t="str">
            <v>D</v>
          </cell>
          <cell r="F253" t="str">
            <v>01/04/2013</v>
          </cell>
          <cell r="H253" t="str">
            <v>HV Sub</v>
          </cell>
          <cell r="I253" t="str">
            <v>11kV</v>
          </cell>
          <cell r="J253" t="str">
            <v>No</v>
          </cell>
          <cell r="K253">
            <v>1.0129999999999999</v>
          </cell>
          <cell r="L253">
            <v>1.0129999999999999</v>
          </cell>
          <cell r="M253">
            <v>1.0129999999999999</v>
          </cell>
          <cell r="N253">
            <v>1.0129999999999999</v>
          </cell>
        </row>
        <row r="254">
          <cell r="C254" t="str">
            <v>759</v>
          </cell>
          <cell r="D254" t="str">
            <v>HVS Export</v>
          </cell>
          <cell r="E254" t="str">
            <v>D</v>
          </cell>
          <cell r="F254" t="str">
            <v>01/04/2013</v>
          </cell>
          <cell r="H254" t="str">
            <v>HV Sub</v>
          </cell>
          <cell r="I254" t="str">
            <v>11kV</v>
          </cell>
          <cell r="J254" t="str">
            <v>No</v>
          </cell>
          <cell r="K254">
            <v>1.0129999999999999</v>
          </cell>
          <cell r="L254">
            <v>1.0129999999999999</v>
          </cell>
          <cell r="M254">
            <v>1.0129999999999999</v>
          </cell>
          <cell r="N254">
            <v>1.0129999999999999</v>
          </cell>
        </row>
        <row r="255">
          <cell r="C255" t="str">
            <v>760</v>
          </cell>
          <cell r="D255" t="str">
            <v>HVS Export</v>
          </cell>
          <cell r="E255" t="str">
            <v>D</v>
          </cell>
          <cell r="F255" t="str">
            <v>01/04/2013</v>
          </cell>
          <cell r="H255" t="str">
            <v>HV Sub</v>
          </cell>
          <cell r="I255" t="str">
            <v>11kV</v>
          </cell>
          <cell r="J255" t="str">
            <v>No</v>
          </cell>
          <cell r="K255">
            <v>1.0129999999999999</v>
          </cell>
          <cell r="L255">
            <v>1.0129999999999999</v>
          </cell>
          <cell r="M255">
            <v>1.0129999999999999</v>
          </cell>
          <cell r="N255">
            <v>1.0129999999999999</v>
          </cell>
        </row>
        <row r="256">
          <cell r="C256" t="str">
            <v>761</v>
          </cell>
          <cell r="D256" t="str">
            <v>HVS Export</v>
          </cell>
          <cell r="E256" t="str">
            <v>D</v>
          </cell>
          <cell r="F256" t="str">
            <v>01/04/2013</v>
          </cell>
          <cell r="H256" t="str">
            <v>HV Sub</v>
          </cell>
          <cell r="I256" t="str">
            <v>11kV</v>
          </cell>
          <cell r="J256" t="str">
            <v>No</v>
          </cell>
          <cell r="K256">
            <v>1.0129999999999999</v>
          </cell>
          <cell r="L256">
            <v>1.0129999999999999</v>
          </cell>
          <cell r="M256">
            <v>1.0129999999999999</v>
          </cell>
          <cell r="N256">
            <v>1.0129999999999999</v>
          </cell>
        </row>
        <row r="257">
          <cell r="C257" t="str">
            <v>762</v>
          </cell>
          <cell r="D257" t="str">
            <v>HVS Export</v>
          </cell>
          <cell r="E257" t="str">
            <v>D</v>
          </cell>
          <cell r="F257" t="str">
            <v>01/04/2013</v>
          </cell>
          <cell r="H257" t="str">
            <v>HV Sub</v>
          </cell>
          <cell r="I257" t="str">
            <v>11kV</v>
          </cell>
          <cell r="J257" t="str">
            <v>No</v>
          </cell>
          <cell r="K257">
            <v>1.0129999999999999</v>
          </cell>
          <cell r="L257">
            <v>1.0129999999999999</v>
          </cell>
          <cell r="M257">
            <v>1.0129999999999999</v>
          </cell>
          <cell r="N257">
            <v>1.0129999999999999</v>
          </cell>
        </row>
        <row r="258">
          <cell r="C258" t="str">
            <v>763</v>
          </cell>
          <cell r="D258" t="str">
            <v>HVS Export</v>
          </cell>
          <cell r="E258" t="str">
            <v>D</v>
          </cell>
          <cell r="F258" t="str">
            <v>01/04/2013</v>
          </cell>
          <cell r="H258" t="str">
            <v>HV Sub</v>
          </cell>
          <cell r="I258" t="str">
            <v>11kV</v>
          </cell>
          <cell r="J258" t="str">
            <v>No</v>
          </cell>
          <cell r="K258">
            <v>1.0129999999999999</v>
          </cell>
          <cell r="L258">
            <v>1.0129999999999999</v>
          </cell>
          <cell r="M258">
            <v>1.0129999999999999</v>
          </cell>
          <cell r="N258">
            <v>1.0129999999999999</v>
          </cell>
        </row>
        <row r="259">
          <cell r="C259" t="str">
            <v>764</v>
          </cell>
          <cell r="D259" t="str">
            <v>HVS Export</v>
          </cell>
          <cell r="E259" t="str">
            <v>D</v>
          </cell>
          <cell r="F259" t="str">
            <v>01/04/2013</v>
          </cell>
          <cell r="H259" t="str">
            <v>HV Sub</v>
          </cell>
          <cell r="I259" t="str">
            <v>11kV</v>
          </cell>
          <cell r="J259" t="str">
            <v>No</v>
          </cell>
          <cell r="K259">
            <v>1.0129999999999999</v>
          </cell>
          <cell r="L259">
            <v>1.0129999999999999</v>
          </cell>
          <cell r="M259">
            <v>1.0129999999999999</v>
          </cell>
          <cell r="N259">
            <v>1.0129999999999999</v>
          </cell>
        </row>
        <row r="260">
          <cell r="C260" t="str">
            <v>765</v>
          </cell>
          <cell r="D260" t="str">
            <v>HVS Export</v>
          </cell>
          <cell r="E260" t="str">
            <v>D</v>
          </cell>
          <cell r="F260" t="str">
            <v>01/04/2013</v>
          </cell>
          <cell r="H260" t="str">
            <v>HV Sub</v>
          </cell>
          <cell r="I260" t="str">
            <v>11kV</v>
          </cell>
          <cell r="J260" t="str">
            <v>No</v>
          </cell>
          <cell r="K260">
            <v>1.0129999999999999</v>
          </cell>
          <cell r="L260">
            <v>1.0129999999999999</v>
          </cell>
          <cell r="M260">
            <v>1.0129999999999999</v>
          </cell>
          <cell r="N260">
            <v>1.0129999999999999</v>
          </cell>
        </row>
        <row r="261">
          <cell r="C261" t="str">
            <v>781</v>
          </cell>
          <cell r="D261" t="str">
            <v>Export PV</v>
          </cell>
          <cell r="E261" t="str">
            <v>C</v>
          </cell>
          <cell r="F261" t="str">
            <v>19/10/2001</v>
          </cell>
          <cell r="H261" t="str">
            <v>LV Net</v>
          </cell>
          <cell r="I261" t="str">
            <v>LV</v>
          </cell>
          <cell r="J261" t="str">
            <v>No</v>
          </cell>
          <cell r="K261">
            <v>1.089</v>
          </cell>
          <cell r="L261">
            <v>1.105</v>
          </cell>
          <cell r="M261">
            <v>1.1220000000000001</v>
          </cell>
          <cell r="N261">
            <v>1.135</v>
          </cell>
        </row>
        <row r="262">
          <cell r="C262" t="str">
            <v>782</v>
          </cell>
          <cell r="D262" t="str">
            <v>Export CHP</v>
          </cell>
          <cell r="E262" t="str">
            <v>C</v>
          </cell>
          <cell r="F262" t="str">
            <v>19/10/2001</v>
          </cell>
          <cell r="H262" t="str">
            <v>LV Net</v>
          </cell>
          <cell r="I262" t="str">
            <v>LV</v>
          </cell>
          <cell r="J262" t="str">
            <v>No</v>
          </cell>
          <cell r="K262">
            <v>1.089</v>
          </cell>
          <cell r="L262">
            <v>1.105</v>
          </cell>
          <cell r="M262">
            <v>1.1220000000000001</v>
          </cell>
          <cell r="N262">
            <v>1.135</v>
          </cell>
        </row>
        <row r="263">
          <cell r="C263" t="str">
            <v>783</v>
          </cell>
          <cell r="D263" t="str">
            <v>Export Wind</v>
          </cell>
          <cell r="E263" t="str">
            <v>C</v>
          </cell>
          <cell r="F263" t="str">
            <v>19/10/2001</v>
          </cell>
          <cell r="H263" t="str">
            <v>LV Net</v>
          </cell>
          <cell r="I263" t="str">
            <v>LV</v>
          </cell>
          <cell r="J263" t="str">
            <v>No</v>
          </cell>
          <cell r="K263">
            <v>1.089</v>
          </cell>
          <cell r="L263">
            <v>1.105</v>
          </cell>
          <cell r="M263">
            <v>1.1220000000000001</v>
          </cell>
          <cell r="N263">
            <v>1.135</v>
          </cell>
        </row>
        <row r="264">
          <cell r="C264" t="str">
            <v>784</v>
          </cell>
          <cell r="D264" t="str">
            <v>Export Hydro</v>
          </cell>
          <cell r="E264" t="str">
            <v>C</v>
          </cell>
          <cell r="F264" t="str">
            <v>19/10/2001</v>
          </cell>
          <cell r="H264" t="str">
            <v>LV Net</v>
          </cell>
          <cell r="I264" t="str">
            <v>LV</v>
          </cell>
          <cell r="J264" t="str">
            <v>No</v>
          </cell>
          <cell r="K264">
            <v>1.089</v>
          </cell>
          <cell r="L264">
            <v>1.105</v>
          </cell>
          <cell r="M264">
            <v>1.1220000000000001</v>
          </cell>
          <cell r="N264">
            <v>1.135</v>
          </cell>
        </row>
        <row r="265">
          <cell r="C265" t="str">
            <v>785</v>
          </cell>
          <cell r="D265" t="str">
            <v>Export Other</v>
          </cell>
          <cell r="E265" t="str">
            <v>C</v>
          </cell>
          <cell r="F265" t="str">
            <v>19/10/2001</v>
          </cell>
          <cell r="H265" t="str">
            <v>LV Net</v>
          </cell>
          <cell r="I265" t="str">
            <v>LV</v>
          </cell>
          <cell r="J265" t="str">
            <v>No</v>
          </cell>
          <cell r="K265">
            <v>1.089</v>
          </cell>
          <cell r="L265">
            <v>1.105</v>
          </cell>
          <cell r="M265">
            <v>1.1220000000000001</v>
          </cell>
          <cell r="N265">
            <v>1.135</v>
          </cell>
        </row>
        <row r="266">
          <cell r="C266">
            <v>794</v>
          </cell>
          <cell r="D266" t="str">
            <v>LV Gen Inter no RP charge</v>
          </cell>
          <cell r="E266" t="str">
            <v>C</v>
          </cell>
          <cell r="F266">
            <v>43191</v>
          </cell>
          <cell r="H266" t="str">
            <v>LV Net</v>
          </cell>
          <cell r="I266" t="str">
            <v>LV</v>
          </cell>
          <cell r="J266" t="str">
            <v>No</v>
          </cell>
          <cell r="K266">
            <v>1.089</v>
          </cell>
          <cell r="L266">
            <v>1.105</v>
          </cell>
          <cell r="M266">
            <v>1.1220000000000001</v>
          </cell>
          <cell r="N266">
            <v>1.135</v>
          </cell>
        </row>
        <row r="267">
          <cell r="C267">
            <v>795</v>
          </cell>
          <cell r="D267" t="str">
            <v>LV Gen Non-Inter no RP charge</v>
          </cell>
          <cell r="E267" t="str">
            <v>C</v>
          </cell>
          <cell r="F267">
            <v>43191</v>
          </cell>
          <cell r="H267" t="str">
            <v>LV Net</v>
          </cell>
          <cell r="I267" t="str">
            <v>LV</v>
          </cell>
          <cell r="J267" t="str">
            <v>No</v>
          </cell>
          <cell r="K267">
            <v>1.089</v>
          </cell>
          <cell r="L267">
            <v>1.105</v>
          </cell>
          <cell r="M267">
            <v>1.1220000000000001</v>
          </cell>
          <cell r="N267">
            <v>1.135</v>
          </cell>
        </row>
        <row r="268">
          <cell r="C268">
            <v>796</v>
          </cell>
          <cell r="D268" t="str">
            <v>LV Sub Gen Inter no RP charge</v>
          </cell>
          <cell r="E268" t="str">
            <v>C</v>
          </cell>
          <cell r="F268">
            <v>43191</v>
          </cell>
          <cell r="H268" t="str">
            <v>LV Sub</v>
          </cell>
          <cell r="I268" t="str">
            <v>LV</v>
          </cell>
          <cell r="J268" t="str">
            <v>No</v>
          </cell>
          <cell r="K268">
            <v>1.0449999999999999</v>
          </cell>
          <cell r="L268">
            <v>1.044</v>
          </cell>
          <cell r="M268">
            <v>1.046</v>
          </cell>
          <cell r="N268">
            <v>1.048</v>
          </cell>
        </row>
        <row r="269">
          <cell r="C269">
            <v>797</v>
          </cell>
          <cell r="D269" t="str">
            <v>LVSub Gen Non-Inter no RP chrg</v>
          </cell>
          <cell r="E269" t="str">
            <v>C</v>
          </cell>
          <cell r="F269">
            <v>43191</v>
          </cell>
          <cell r="H269" t="str">
            <v>LV Sub</v>
          </cell>
          <cell r="I269" t="str">
            <v>LV</v>
          </cell>
          <cell r="J269" t="str">
            <v>No</v>
          </cell>
          <cell r="K269">
            <v>1.0449999999999999</v>
          </cell>
          <cell r="L269">
            <v>1.044</v>
          </cell>
          <cell r="M269">
            <v>1.046</v>
          </cell>
          <cell r="N269">
            <v>1.048</v>
          </cell>
        </row>
        <row r="270">
          <cell r="C270">
            <v>798</v>
          </cell>
          <cell r="D270" t="str">
            <v>HV Gen Inter no RP charge</v>
          </cell>
          <cell r="E270" t="str">
            <v>C</v>
          </cell>
          <cell r="F270">
            <v>43191</v>
          </cell>
          <cell r="H270" t="str">
            <v>HV Net</v>
          </cell>
          <cell r="I270" t="str">
            <v>11kV</v>
          </cell>
          <cell r="J270" t="str">
            <v>No</v>
          </cell>
          <cell r="K270">
            <v>1.0229999999999999</v>
          </cell>
          <cell r="L270">
            <v>1.0249999999999999</v>
          </cell>
          <cell r="M270">
            <v>1.028</v>
          </cell>
          <cell r="N270">
            <v>1.03</v>
          </cell>
        </row>
      </sheetData>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6"/>
  <sheetViews>
    <sheetView workbookViewId="0"/>
  </sheetViews>
  <sheetFormatPr defaultRowHeight="12.75" x14ac:dyDescent="0.35"/>
  <cols>
    <col min="1" max="1" width="70.265625" customWidth="1"/>
    <col min="2" max="2" width="42.1328125" customWidth="1"/>
    <col min="3" max="3" width="28" customWidth="1"/>
    <col min="4" max="4" width="18.1328125" customWidth="1"/>
    <col min="5" max="5" width="21.59765625" customWidth="1"/>
  </cols>
  <sheetData>
    <row r="1" spans="1:8" x14ac:dyDescent="0.35">
      <c r="A1" s="23"/>
      <c r="B1" s="23"/>
      <c r="C1" s="23"/>
      <c r="D1" s="23"/>
      <c r="E1" s="23"/>
    </row>
    <row r="2" spans="1:8" ht="16.899999999999999" x14ac:dyDescent="0.35">
      <c r="A2" s="128" t="s">
        <v>145</v>
      </c>
      <c r="B2" s="57"/>
      <c r="C2" s="57"/>
      <c r="D2" s="57"/>
      <c r="E2" s="57"/>
    </row>
    <row r="3" spans="1:8" ht="13.9" x14ac:dyDescent="0.35">
      <c r="A3" s="57"/>
      <c r="B3" s="125" t="s">
        <v>146</v>
      </c>
      <c r="C3" s="124" t="s">
        <v>149</v>
      </c>
      <c r="D3" s="124" t="s">
        <v>27</v>
      </c>
      <c r="E3" s="124" t="s">
        <v>26</v>
      </c>
    </row>
    <row r="4" spans="1:8" ht="13.9" x14ac:dyDescent="0.35">
      <c r="A4" s="58" t="s">
        <v>145</v>
      </c>
      <c r="B4" s="27" t="s">
        <v>909</v>
      </c>
      <c r="C4" s="27" t="s">
        <v>695</v>
      </c>
      <c r="D4" s="27" t="s">
        <v>696</v>
      </c>
      <c r="E4" s="27" t="s">
        <v>144</v>
      </c>
    </row>
    <row r="5" spans="1:8" x14ac:dyDescent="0.35">
      <c r="A5" s="57"/>
      <c r="B5" s="57"/>
      <c r="C5" s="57"/>
      <c r="D5" s="57"/>
      <c r="E5" s="57"/>
    </row>
    <row r="6" spans="1:8" ht="16.899999999999999" x14ac:dyDescent="0.35">
      <c r="A6" s="60" t="s">
        <v>21</v>
      </c>
      <c r="B6" s="57"/>
      <c r="C6" s="57"/>
      <c r="D6" s="57"/>
      <c r="E6" s="57"/>
    </row>
    <row r="7" spans="1:8" ht="13.9" x14ac:dyDescent="0.35">
      <c r="A7" s="61" t="s">
        <v>22</v>
      </c>
      <c r="B7" s="256" t="s">
        <v>23</v>
      </c>
      <c r="C7" s="256"/>
      <c r="D7" s="256"/>
      <c r="E7" s="256"/>
    </row>
    <row r="8" spans="1:8" ht="30" customHeight="1" x14ac:dyDescent="0.35">
      <c r="A8" s="65" t="s">
        <v>200</v>
      </c>
      <c r="B8" s="254" t="s">
        <v>189</v>
      </c>
      <c r="C8" s="254"/>
      <c r="D8" s="254"/>
      <c r="E8" s="254"/>
    </row>
    <row r="9" spans="1:8" ht="30" customHeight="1" x14ac:dyDescent="0.35">
      <c r="A9" s="65" t="s">
        <v>44</v>
      </c>
      <c r="B9" s="254"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SP Distribution Licence area.</v>
      </c>
      <c r="C9" s="254"/>
      <c r="D9" s="254"/>
      <c r="E9" s="254"/>
    </row>
    <row r="10" spans="1:8" ht="30" customHeight="1" x14ac:dyDescent="0.35">
      <c r="A10" s="65" t="s">
        <v>45</v>
      </c>
      <c r="B10" s="254" t="s">
        <v>25</v>
      </c>
      <c r="C10" s="254"/>
      <c r="D10" s="254"/>
      <c r="E10" s="254"/>
    </row>
    <row r="11" spans="1:8" ht="61.5" customHeight="1" x14ac:dyDescent="0.35">
      <c r="A11" s="65" t="s">
        <v>46</v>
      </c>
      <c r="B11" s="254"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SP Distribution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54"/>
      <c r="D11" s="254"/>
      <c r="E11" s="254"/>
      <c r="F11" s="251"/>
      <c r="G11" s="251"/>
      <c r="H11" s="251"/>
    </row>
    <row r="12" spans="1:8" ht="86.25" customHeight="1" x14ac:dyDescent="0.35">
      <c r="A12" s="65" t="s">
        <v>34</v>
      </c>
      <c r="B12" s="254" t="s">
        <v>163</v>
      </c>
      <c r="C12" s="254"/>
      <c r="D12" s="254"/>
      <c r="E12" s="254"/>
    </row>
    <row r="13" spans="1:8" ht="33.75" customHeight="1" x14ac:dyDescent="0.35">
      <c r="A13" s="65" t="s">
        <v>164</v>
      </c>
      <c r="B13" s="254"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SP Distribution Licence area.</v>
      </c>
      <c r="C13" s="254"/>
      <c r="D13" s="254"/>
      <c r="E13" s="254"/>
    </row>
    <row r="14" spans="1:8" ht="33.75" customHeight="1" x14ac:dyDescent="0.35">
      <c r="A14" s="167" t="s">
        <v>500</v>
      </c>
      <c r="B14" s="254" t="s">
        <v>501</v>
      </c>
      <c r="C14" s="254"/>
      <c r="D14" s="254"/>
      <c r="E14" s="254"/>
    </row>
    <row r="15" spans="1:8" ht="29.25" customHeight="1" x14ac:dyDescent="0.35">
      <c r="A15" s="65" t="s">
        <v>37</v>
      </c>
      <c r="B15" s="254" t="s">
        <v>130</v>
      </c>
      <c r="C15" s="254"/>
      <c r="D15" s="254"/>
      <c r="E15" s="254"/>
    </row>
    <row r="16" spans="1:8" ht="29.25" customHeight="1" x14ac:dyDescent="0.35">
      <c r="A16" s="65" t="s">
        <v>668</v>
      </c>
      <c r="B16" s="254" t="s">
        <v>670</v>
      </c>
      <c r="C16" s="254"/>
      <c r="D16" s="254"/>
      <c r="E16" s="254"/>
    </row>
    <row r="17" spans="1:5" ht="30" customHeight="1" x14ac:dyDescent="0.35">
      <c r="A17" s="65" t="s">
        <v>104</v>
      </c>
      <c r="B17" s="254" t="s">
        <v>103</v>
      </c>
      <c r="C17" s="254"/>
      <c r="D17" s="254"/>
      <c r="E17" s="254"/>
    </row>
    <row r="18" spans="1:5" x14ac:dyDescent="0.35">
      <c r="A18" s="57"/>
      <c r="B18" s="57"/>
      <c r="C18" s="57"/>
      <c r="D18" s="57"/>
      <c r="E18" s="57"/>
    </row>
    <row r="19" spans="1:5" ht="13.9" x14ac:dyDescent="0.35">
      <c r="A19" s="62" t="s">
        <v>32</v>
      </c>
      <c r="B19" s="57"/>
      <c r="C19" s="57"/>
      <c r="D19" s="57"/>
      <c r="E19" s="57"/>
    </row>
    <row r="20" spans="1:5" ht="13.9" x14ac:dyDescent="0.35">
      <c r="A20" s="61"/>
      <c r="B20" s="255"/>
      <c r="C20" s="255"/>
      <c r="D20" s="255"/>
      <c r="E20" s="255"/>
    </row>
    <row r="21" spans="1:5" ht="32.25" customHeight="1" x14ac:dyDescent="0.35">
      <c r="A21" s="252" t="s">
        <v>87</v>
      </c>
      <c r="B21" s="253"/>
      <c r="C21" s="253"/>
      <c r="D21" s="253"/>
      <c r="E21" s="253"/>
    </row>
    <row r="22" spans="1:5" x14ac:dyDescent="0.35">
      <c r="A22" s="57"/>
      <c r="B22" s="57"/>
      <c r="C22" s="57"/>
      <c r="D22" s="57"/>
      <c r="E22" s="57"/>
    </row>
    <row r="23" spans="1:5" ht="13.9" x14ac:dyDescent="0.35">
      <c r="A23" s="63" t="s">
        <v>33</v>
      </c>
      <c r="B23" s="57"/>
      <c r="C23" s="57"/>
      <c r="D23" s="57"/>
      <c r="E23" s="57"/>
    </row>
    <row r="24" spans="1:5" ht="13.9" x14ac:dyDescent="0.35">
      <c r="A24" s="59"/>
      <c r="B24" s="255"/>
      <c r="C24" s="255"/>
      <c r="D24" s="255"/>
      <c r="E24" s="255"/>
    </row>
    <row r="25" spans="1:5" ht="28.5" customHeight="1" x14ac:dyDescent="0.35">
      <c r="A25" s="252" t="s">
        <v>47</v>
      </c>
      <c r="B25" s="253"/>
      <c r="C25" s="253"/>
      <c r="D25" s="253"/>
      <c r="E25" s="253"/>
    </row>
    <row r="26" spans="1:5" ht="28.5" customHeight="1" x14ac:dyDescent="0.35">
      <c r="A26" s="250" t="s">
        <v>143</v>
      </c>
      <c r="B26" s="250"/>
      <c r="C26" s="250"/>
      <c r="D26" s="250"/>
      <c r="E26" s="250"/>
    </row>
  </sheetData>
  <customSheetViews>
    <customSheetView guid="{5032A364-B81A-48DA-88DA-AB3B86B47EE9}">
      <selection activeCell="A12" sqref="A12"/>
      <pageMargins left="0.7" right="0.7" top="0.75" bottom="0.75" header="0.3" footer="0.3"/>
    </customSheetView>
  </customSheetViews>
  <mergeCells count="17">
    <mergeCell ref="B8:E8"/>
    <mergeCell ref="B9:E9"/>
    <mergeCell ref="B10:E10"/>
    <mergeCell ref="B11:E11"/>
    <mergeCell ref="B7:E7"/>
    <mergeCell ref="A26:E26"/>
    <mergeCell ref="F11:H11"/>
    <mergeCell ref="A21:E21"/>
    <mergeCell ref="A25:E25"/>
    <mergeCell ref="B12:E12"/>
    <mergeCell ref="B15:E15"/>
    <mergeCell ref="B13:E13"/>
    <mergeCell ref="B17:E17"/>
    <mergeCell ref="B20:E20"/>
    <mergeCell ref="B24:E24"/>
    <mergeCell ref="B14:E14"/>
    <mergeCell ref="B16:E16"/>
  </mergeCells>
  <hyperlinks>
    <hyperlink ref="A8" location="'Annex 1 LV, HV and UMS charges'!A1" display="Annex 1 LV, HV and Unmetered Supplies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7"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6" location="' Residual Charging Bandings'!A1" display="Residual Charging Bandings" xr:uid="{00000000-0004-0000-0000-000009000000}"/>
  </hyperlinks>
  <pageMargins left="0.70866141732283472" right="0.70866141732283472" top="0.74803149606299213" bottom="0.74803149606299213" header="0.31496062992125984" footer="0.31496062992125984"/>
  <pageSetup paperSize="9" scale="64" orientation="landscape" r:id="rId1"/>
  <headerFooter>
    <oddFooter>&amp;C&amp;1#&amp;"Calibri"&amp;12&amp;K008000Internal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46"/>
  <sheetViews>
    <sheetView tabSelected="1" topLeftCell="A16" zoomScale="70" zoomScaleNormal="70" workbookViewId="0">
      <selection activeCell="B17" sqref="B17"/>
    </sheetView>
  </sheetViews>
  <sheetFormatPr defaultColWidth="9.1328125" defaultRowHeight="27.75" customHeight="1" x14ac:dyDescent="0.35"/>
  <cols>
    <col min="1" max="1" width="49" style="2" bestFit="1" customWidth="1"/>
    <col min="2" max="2" width="22.73046875" style="3" customWidth="1"/>
    <col min="3" max="3" width="6.86328125" style="2" customWidth="1"/>
    <col min="4" max="4" width="17.59765625" style="2" customWidth="1"/>
    <col min="5" max="7" width="17.59765625" style="3" customWidth="1"/>
    <col min="8" max="9" width="17.59765625" style="9" customWidth="1"/>
    <col min="10" max="10" width="17.59765625" style="5" customWidth="1"/>
    <col min="11" max="11" width="21.1328125" style="6" customWidth="1"/>
    <col min="12" max="12" width="1.3984375" style="4" customWidth="1"/>
    <col min="13" max="13" width="15.59765625" style="4" customWidth="1"/>
    <col min="14" max="18" width="15.59765625" style="2" customWidth="1"/>
    <col min="19" max="16384" width="9.1328125" style="2"/>
  </cols>
  <sheetData>
    <row r="1" spans="1:14" ht="27.75" customHeight="1" x14ac:dyDescent="0.35">
      <c r="A1" s="85" t="s">
        <v>24</v>
      </c>
      <c r="B1" s="258" t="s">
        <v>159</v>
      </c>
      <c r="C1" s="259"/>
      <c r="D1" s="259"/>
      <c r="E1" s="257"/>
      <c r="F1" s="257"/>
      <c r="G1" s="257"/>
      <c r="H1" s="257"/>
      <c r="I1" s="257"/>
      <c r="J1" s="257"/>
      <c r="K1" s="257"/>
      <c r="L1" s="216"/>
      <c r="M1" s="216"/>
      <c r="N1" s="216"/>
    </row>
    <row r="2" spans="1:14" ht="27" customHeight="1" x14ac:dyDescent="0.35">
      <c r="A2" s="261" t="str">
        <f>Overview!B4&amp; " - Effective from "&amp;Overview!D4&amp;" - "&amp;Overview!E4&amp;" LV and HV charges"</f>
        <v>SP Distribution - Effective from 1 April 2022 - Final LV and HV charges</v>
      </c>
      <c r="B2" s="261"/>
      <c r="C2" s="261"/>
      <c r="D2" s="261"/>
      <c r="E2" s="261"/>
      <c r="F2" s="261"/>
      <c r="G2" s="261"/>
      <c r="H2" s="261"/>
      <c r="I2" s="261"/>
      <c r="J2" s="261"/>
      <c r="K2" s="261"/>
    </row>
    <row r="3" spans="1:14" s="67" customFormat="1" ht="15" customHeight="1" x14ac:dyDescent="0.35">
      <c r="A3" s="75"/>
      <c r="B3" s="75"/>
      <c r="C3" s="75"/>
      <c r="D3" s="75"/>
      <c r="E3" s="75"/>
      <c r="F3" s="75"/>
      <c r="G3" s="75"/>
      <c r="H3" s="75"/>
      <c r="I3" s="75"/>
      <c r="J3" s="75"/>
      <c r="K3" s="75"/>
      <c r="L3" s="39"/>
      <c r="M3" s="39"/>
    </row>
    <row r="4" spans="1:14" ht="27" customHeight="1" x14ac:dyDescent="0.35">
      <c r="A4" s="261" t="s">
        <v>183</v>
      </c>
      <c r="B4" s="261"/>
      <c r="C4" s="261"/>
      <c r="D4" s="261"/>
      <c r="E4" s="261"/>
      <c r="F4" s="75"/>
      <c r="G4" s="261" t="s">
        <v>184</v>
      </c>
      <c r="H4" s="261"/>
      <c r="I4" s="261"/>
      <c r="J4" s="261"/>
      <c r="K4" s="261"/>
    </row>
    <row r="5" spans="1:14" ht="28.5" customHeight="1" x14ac:dyDescent="0.35">
      <c r="A5" s="66" t="s">
        <v>13</v>
      </c>
      <c r="B5" s="71" t="s">
        <v>77</v>
      </c>
      <c r="C5" s="262" t="s">
        <v>78</v>
      </c>
      <c r="D5" s="263"/>
      <c r="E5" s="68" t="s">
        <v>79</v>
      </c>
      <c r="F5" s="75"/>
      <c r="G5" s="265"/>
      <c r="H5" s="266"/>
      <c r="I5" s="72" t="s">
        <v>84</v>
      </c>
      <c r="J5" s="73" t="s">
        <v>85</v>
      </c>
      <c r="K5" s="68" t="s">
        <v>79</v>
      </c>
      <c r="L5" s="75"/>
    </row>
    <row r="6" spans="1:14" ht="50.25" customHeight="1" x14ac:dyDescent="0.35">
      <c r="A6" s="69" t="s">
        <v>80</v>
      </c>
      <c r="B6" s="21" t="s">
        <v>697</v>
      </c>
      <c r="C6" s="264" t="s">
        <v>698</v>
      </c>
      <c r="D6" s="264"/>
      <c r="E6" s="21" t="s">
        <v>699</v>
      </c>
      <c r="F6" s="75"/>
      <c r="G6" s="267" t="s">
        <v>81</v>
      </c>
      <c r="H6" s="267"/>
      <c r="I6" s="175"/>
      <c r="J6" s="21" t="s">
        <v>702</v>
      </c>
      <c r="K6" s="74" t="s">
        <v>699</v>
      </c>
      <c r="L6" s="75"/>
    </row>
    <row r="7" spans="1:14" ht="50.25" customHeight="1" x14ac:dyDescent="0.35">
      <c r="A7" s="69" t="s">
        <v>20</v>
      </c>
      <c r="B7" s="174"/>
      <c r="C7" s="264" t="s">
        <v>700</v>
      </c>
      <c r="D7" s="264"/>
      <c r="E7" s="21" t="s">
        <v>701</v>
      </c>
      <c r="F7" s="75"/>
      <c r="G7" s="267" t="s">
        <v>82</v>
      </c>
      <c r="H7" s="267"/>
      <c r="I7" s="21" t="s">
        <v>697</v>
      </c>
      <c r="J7" s="74" t="s">
        <v>698</v>
      </c>
      <c r="K7" s="176" t="s">
        <v>699</v>
      </c>
      <c r="L7" s="75"/>
    </row>
    <row r="8" spans="1:14" ht="50.25" customHeight="1" x14ac:dyDescent="0.35">
      <c r="A8" s="70" t="s">
        <v>18</v>
      </c>
      <c r="B8" s="268" t="s">
        <v>19</v>
      </c>
      <c r="C8" s="269"/>
      <c r="D8" s="269"/>
      <c r="E8" s="270"/>
      <c r="F8" s="75"/>
      <c r="G8" s="267" t="s">
        <v>910</v>
      </c>
      <c r="H8" s="267"/>
      <c r="I8" s="177"/>
      <c r="J8" s="74" t="s">
        <v>702</v>
      </c>
      <c r="K8" s="176" t="s">
        <v>699</v>
      </c>
      <c r="L8" s="75"/>
    </row>
    <row r="9" spans="1:14" s="67" customFormat="1" ht="50.25" customHeight="1" x14ac:dyDescent="0.35">
      <c r="F9" s="75"/>
      <c r="G9" s="267" t="s">
        <v>88</v>
      </c>
      <c r="H9" s="267"/>
      <c r="I9" s="174"/>
      <c r="J9" s="176" t="s">
        <v>700</v>
      </c>
      <c r="K9" s="21" t="s">
        <v>703</v>
      </c>
      <c r="L9" s="75"/>
      <c r="M9" s="39"/>
    </row>
    <row r="10" spans="1:14" s="67" customFormat="1" ht="36" customHeight="1" x14ac:dyDescent="0.35">
      <c r="F10" s="75"/>
      <c r="G10" s="260" t="s">
        <v>18</v>
      </c>
      <c r="H10" s="260"/>
      <c r="I10" s="268" t="s">
        <v>19</v>
      </c>
      <c r="J10" s="269"/>
      <c r="K10" s="270"/>
      <c r="L10" s="75"/>
      <c r="M10" s="39"/>
    </row>
    <row r="11" spans="1:14" s="67" customFormat="1" ht="27" customHeight="1" x14ac:dyDescent="0.35">
      <c r="A11" s="75"/>
      <c r="B11" s="75"/>
      <c r="C11" s="75"/>
      <c r="D11" s="75"/>
      <c r="E11" s="75"/>
      <c r="F11" s="75"/>
      <c r="G11" s="39"/>
      <c r="H11" s="39"/>
      <c r="I11" s="39"/>
      <c r="J11" s="39"/>
      <c r="K11" s="39"/>
      <c r="L11" s="39"/>
      <c r="M11" s="39"/>
    </row>
    <row r="12" spans="1:14" s="67" customFormat="1" ht="12.75" customHeight="1" x14ac:dyDescent="0.35">
      <c r="A12" s="75"/>
      <c r="B12" s="75"/>
      <c r="C12" s="75"/>
      <c r="D12" s="75"/>
      <c r="E12" s="75"/>
      <c r="F12" s="75"/>
      <c r="G12" s="75"/>
      <c r="H12" s="75"/>
      <c r="I12" s="75"/>
      <c r="J12" s="75"/>
      <c r="K12" s="75"/>
      <c r="L12" s="39"/>
      <c r="M12" s="39"/>
    </row>
    <row r="13" spans="1:14" ht="78.75" customHeight="1" x14ac:dyDescent="0.35">
      <c r="A13" s="26" t="s">
        <v>150</v>
      </c>
      <c r="B13" s="16" t="s">
        <v>28</v>
      </c>
      <c r="C13" s="16" t="s">
        <v>29</v>
      </c>
      <c r="D13" s="44" t="s">
        <v>186</v>
      </c>
      <c r="E13" s="44" t="s">
        <v>188</v>
      </c>
      <c r="F13" s="44" t="s">
        <v>187</v>
      </c>
      <c r="G13" s="16" t="s">
        <v>30</v>
      </c>
      <c r="H13" s="16" t="s">
        <v>31</v>
      </c>
      <c r="I13" s="26" t="s">
        <v>152</v>
      </c>
      <c r="J13" s="16" t="s">
        <v>38</v>
      </c>
      <c r="K13" s="16" t="s">
        <v>0</v>
      </c>
    </row>
    <row r="14" spans="1:14" ht="99" customHeight="1" x14ac:dyDescent="0.35">
      <c r="A14" s="18" t="s">
        <v>502</v>
      </c>
      <c r="B14" s="30" t="s">
        <v>729</v>
      </c>
      <c r="C14" s="171" t="s">
        <v>682</v>
      </c>
      <c r="D14" s="130">
        <v>8.5009999999999994</v>
      </c>
      <c r="E14" s="131">
        <v>0.96199999999999997</v>
      </c>
      <c r="F14" s="132">
        <v>1.9E-2</v>
      </c>
      <c r="G14" s="35">
        <v>27.13</v>
      </c>
      <c r="H14" s="36" t="s">
        <v>1367</v>
      </c>
      <c r="I14" s="36" t="s">
        <v>1367</v>
      </c>
      <c r="J14" s="32" t="s">
        <v>1367</v>
      </c>
      <c r="K14" s="33"/>
    </row>
    <row r="15" spans="1:14" ht="41.65" x14ac:dyDescent="0.35">
      <c r="A15" s="18" t="s">
        <v>503</v>
      </c>
      <c r="B15" s="30" t="s">
        <v>730</v>
      </c>
      <c r="C15" s="168" t="s">
        <v>443</v>
      </c>
      <c r="D15" s="130">
        <v>8.5009999999999994</v>
      </c>
      <c r="E15" s="131">
        <v>0.96199999999999997</v>
      </c>
      <c r="F15" s="132">
        <v>1.9E-2</v>
      </c>
      <c r="G15" s="36" t="s">
        <v>1367</v>
      </c>
      <c r="H15" s="36" t="s">
        <v>1367</v>
      </c>
      <c r="I15" s="36" t="s">
        <v>1367</v>
      </c>
      <c r="J15" s="32" t="s">
        <v>1367</v>
      </c>
      <c r="K15" s="195" t="s">
        <v>731</v>
      </c>
    </row>
    <row r="16" spans="1:14" ht="85.5" customHeight="1" x14ac:dyDescent="0.35">
      <c r="A16" s="18" t="s">
        <v>504</v>
      </c>
      <c r="B16" s="34" t="s">
        <v>732</v>
      </c>
      <c r="C16" s="157" t="s">
        <v>681</v>
      </c>
      <c r="D16" s="130">
        <v>10.706</v>
      </c>
      <c r="E16" s="131">
        <v>1.212</v>
      </c>
      <c r="F16" s="132">
        <v>2.4E-2</v>
      </c>
      <c r="G16" s="35">
        <v>6.37</v>
      </c>
      <c r="H16" s="36" t="s">
        <v>1367</v>
      </c>
      <c r="I16" s="36" t="s">
        <v>1367</v>
      </c>
      <c r="J16" s="32" t="s">
        <v>1367</v>
      </c>
      <c r="K16" s="33" t="s">
        <v>1394</v>
      </c>
    </row>
    <row r="17" spans="1:11" ht="85.5" customHeight="1" x14ac:dyDescent="0.35">
      <c r="A17" s="18" t="s">
        <v>505</v>
      </c>
      <c r="B17" s="34" t="s">
        <v>733</v>
      </c>
      <c r="C17" s="157" t="s">
        <v>681</v>
      </c>
      <c r="D17" s="130">
        <v>10.706</v>
      </c>
      <c r="E17" s="131">
        <v>1.212</v>
      </c>
      <c r="F17" s="132">
        <v>2.4E-2</v>
      </c>
      <c r="G17" s="35">
        <v>11.11</v>
      </c>
      <c r="H17" s="36" t="s">
        <v>1367</v>
      </c>
      <c r="I17" s="36" t="s">
        <v>1367</v>
      </c>
      <c r="J17" s="32" t="s">
        <v>1367</v>
      </c>
      <c r="K17" s="33" t="s">
        <v>1394</v>
      </c>
    </row>
    <row r="18" spans="1:11" ht="85.5" customHeight="1" x14ac:dyDescent="0.35">
      <c r="A18" s="18" t="s">
        <v>506</v>
      </c>
      <c r="B18" s="34" t="s">
        <v>734</v>
      </c>
      <c r="C18" s="157" t="s">
        <v>681</v>
      </c>
      <c r="D18" s="130">
        <v>10.706</v>
      </c>
      <c r="E18" s="131">
        <v>1.212</v>
      </c>
      <c r="F18" s="132">
        <v>2.4E-2</v>
      </c>
      <c r="G18" s="35">
        <v>32.32</v>
      </c>
      <c r="H18" s="36" t="s">
        <v>1367</v>
      </c>
      <c r="I18" s="36" t="s">
        <v>1367</v>
      </c>
      <c r="J18" s="32" t="s">
        <v>1367</v>
      </c>
      <c r="K18" s="33" t="s">
        <v>1394</v>
      </c>
    </row>
    <row r="19" spans="1:11" ht="85.5" customHeight="1" x14ac:dyDescent="0.35">
      <c r="A19" s="18" t="s">
        <v>507</v>
      </c>
      <c r="B19" s="34" t="s">
        <v>735</v>
      </c>
      <c r="C19" s="157" t="s">
        <v>681</v>
      </c>
      <c r="D19" s="130">
        <v>10.706</v>
      </c>
      <c r="E19" s="131">
        <v>1.212</v>
      </c>
      <c r="F19" s="132">
        <v>2.4E-2</v>
      </c>
      <c r="G19" s="35">
        <v>71.14</v>
      </c>
      <c r="H19" s="36" t="s">
        <v>1367</v>
      </c>
      <c r="I19" s="36" t="s">
        <v>1367</v>
      </c>
      <c r="J19" s="32" t="s">
        <v>1367</v>
      </c>
      <c r="K19" s="33" t="s">
        <v>1394</v>
      </c>
    </row>
    <row r="20" spans="1:11" ht="85.5" customHeight="1" x14ac:dyDescent="0.35">
      <c r="A20" s="18" t="s">
        <v>508</v>
      </c>
      <c r="B20" s="34" t="s">
        <v>736</v>
      </c>
      <c r="C20" s="157" t="s">
        <v>681</v>
      </c>
      <c r="D20" s="130">
        <v>10.706</v>
      </c>
      <c r="E20" s="131">
        <v>1.212</v>
      </c>
      <c r="F20" s="132">
        <v>2.4E-2</v>
      </c>
      <c r="G20" s="35">
        <v>209.3</v>
      </c>
      <c r="H20" s="36" t="s">
        <v>1367</v>
      </c>
      <c r="I20" s="36" t="s">
        <v>1367</v>
      </c>
      <c r="J20" s="32" t="s">
        <v>1367</v>
      </c>
      <c r="K20" s="33" t="s">
        <v>1394</v>
      </c>
    </row>
    <row r="21" spans="1:11" ht="32.25" customHeight="1" x14ac:dyDescent="0.35">
      <c r="A21" s="18" t="s">
        <v>169</v>
      </c>
      <c r="B21" s="30" t="s">
        <v>1393</v>
      </c>
      <c r="C21" s="168" t="s">
        <v>444</v>
      </c>
      <c r="D21" s="130">
        <v>10.706</v>
      </c>
      <c r="E21" s="131">
        <v>1.212</v>
      </c>
      <c r="F21" s="132">
        <v>2.4E-2</v>
      </c>
      <c r="G21" s="36" t="s">
        <v>1367</v>
      </c>
      <c r="H21" s="36" t="s">
        <v>1367</v>
      </c>
      <c r="I21" s="36" t="s">
        <v>1367</v>
      </c>
      <c r="J21" s="32" t="s">
        <v>1367</v>
      </c>
      <c r="K21" s="33" t="s">
        <v>1392</v>
      </c>
    </row>
    <row r="22" spans="1:11" ht="24.95" customHeight="1" x14ac:dyDescent="0.35">
      <c r="A22" s="18" t="s">
        <v>509</v>
      </c>
      <c r="B22" s="33" t="s">
        <v>704</v>
      </c>
      <c r="C22" s="170">
        <v>0</v>
      </c>
      <c r="D22" s="130">
        <v>6.9260000000000002</v>
      </c>
      <c r="E22" s="131">
        <v>0.75</v>
      </c>
      <c r="F22" s="132">
        <v>1.4E-2</v>
      </c>
      <c r="G22" s="35">
        <v>25.01</v>
      </c>
      <c r="H22" s="35">
        <v>2.65</v>
      </c>
      <c r="I22" s="129">
        <v>3.84</v>
      </c>
      <c r="J22" s="31">
        <v>0.21299999999999999</v>
      </c>
      <c r="K22" s="33" t="s">
        <v>737</v>
      </c>
    </row>
    <row r="23" spans="1:11" ht="24.95" customHeight="1" x14ac:dyDescent="0.35">
      <c r="A23" s="18" t="s">
        <v>510</v>
      </c>
      <c r="B23" s="33" t="s">
        <v>705</v>
      </c>
      <c r="C23" s="170">
        <v>0</v>
      </c>
      <c r="D23" s="130">
        <v>6.9260000000000002</v>
      </c>
      <c r="E23" s="131">
        <v>0.75</v>
      </c>
      <c r="F23" s="132">
        <v>1.4E-2</v>
      </c>
      <c r="G23" s="35">
        <v>343.29</v>
      </c>
      <c r="H23" s="35">
        <v>2.65</v>
      </c>
      <c r="I23" s="129">
        <v>3.84</v>
      </c>
      <c r="J23" s="31">
        <v>0.21299999999999999</v>
      </c>
      <c r="K23" s="33" t="s">
        <v>737</v>
      </c>
    </row>
    <row r="24" spans="1:11" ht="24.95" customHeight="1" x14ac:dyDescent="0.35">
      <c r="A24" s="18" t="s">
        <v>511</v>
      </c>
      <c r="B24" s="33" t="s">
        <v>706</v>
      </c>
      <c r="C24" s="170">
        <v>0</v>
      </c>
      <c r="D24" s="130">
        <v>6.9260000000000002</v>
      </c>
      <c r="E24" s="131">
        <v>0.75</v>
      </c>
      <c r="F24" s="132">
        <v>1.4E-2</v>
      </c>
      <c r="G24" s="35">
        <v>684.83</v>
      </c>
      <c r="H24" s="35">
        <v>2.65</v>
      </c>
      <c r="I24" s="129">
        <v>3.84</v>
      </c>
      <c r="J24" s="31">
        <v>0.21299999999999999</v>
      </c>
      <c r="K24" s="33" t="s">
        <v>737</v>
      </c>
    </row>
    <row r="25" spans="1:11" ht="24.95" customHeight="1" x14ac:dyDescent="0.35">
      <c r="A25" s="18" t="s">
        <v>512</v>
      </c>
      <c r="B25" s="33" t="s">
        <v>707</v>
      </c>
      <c r="C25" s="170">
        <v>0</v>
      </c>
      <c r="D25" s="130">
        <v>6.9260000000000002</v>
      </c>
      <c r="E25" s="131">
        <v>0.75</v>
      </c>
      <c r="F25" s="132">
        <v>1.4E-2</v>
      </c>
      <c r="G25" s="35">
        <v>1126.71</v>
      </c>
      <c r="H25" s="35">
        <v>2.65</v>
      </c>
      <c r="I25" s="129">
        <v>3.84</v>
      </c>
      <c r="J25" s="31">
        <v>0.21299999999999999</v>
      </c>
      <c r="K25" s="33" t="s">
        <v>737</v>
      </c>
    </row>
    <row r="26" spans="1:11" ht="24.95" customHeight="1" x14ac:dyDescent="0.35">
      <c r="A26" s="18" t="s">
        <v>513</v>
      </c>
      <c r="B26" s="33" t="s">
        <v>708</v>
      </c>
      <c r="C26" s="170">
        <v>0</v>
      </c>
      <c r="D26" s="130">
        <v>6.9260000000000002</v>
      </c>
      <c r="E26" s="131">
        <v>0.75</v>
      </c>
      <c r="F26" s="132">
        <v>1.4E-2</v>
      </c>
      <c r="G26" s="35">
        <v>2465.9899999999998</v>
      </c>
      <c r="H26" s="35">
        <v>2.65</v>
      </c>
      <c r="I26" s="129">
        <v>3.84</v>
      </c>
      <c r="J26" s="31">
        <v>0.21299999999999999</v>
      </c>
      <c r="K26" s="33" t="s">
        <v>737</v>
      </c>
    </row>
    <row r="27" spans="1:11" ht="24.95" customHeight="1" x14ac:dyDescent="0.35">
      <c r="A27" s="18" t="s">
        <v>514</v>
      </c>
      <c r="B27" s="33" t="s">
        <v>709</v>
      </c>
      <c r="C27" s="170">
        <v>0</v>
      </c>
      <c r="D27" s="130">
        <v>4.0730000000000004</v>
      </c>
      <c r="E27" s="131">
        <v>0.38300000000000001</v>
      </c>
      <c r="F27" s="132">
        <v>5.0000000000000001E-3</v>
      </c>
      <c r="G27" s="35">
        <v>8.85</v>
      </c>
      <c r="H27" s="35">
        <v>4.8</v>
      </c>
      <c r="I27" s="129">
        <v>5.45</v>
      </c>
      <c r="J27" s="31">
        <v>0.112</v>
      </c>
      <c r="K27" s="33" t="s">
        <v>738</v>
      </c>
    </row>
    <row r="28" spans="1:11" ht="24.95" customHeight="1" x14ac:dyDescent="0.35">
      <c r="A28" s="18" t="s">
        <v>515</v>
      </c>
      <c r="B28" s="33" t="s">
        <v>710</v>
      </c>
      <c r="C28" s="170">
        <v>0</v>
      </c>
      <c r="D28" s="130">
        <v>4.0730000000000004</v>
      </c>
      <c r="E28" s="131">
        <v>0.38300000000000001</v>
      </c>
      <c r="F28" s="132">
        <v>5.0000000000000001E-3</v>
      </c>
      <c r="G28" s="35">
        <v>327.13</v>
      </c>
      <c r="H28" s="35">
        <v>4.8</v>
      </c>
      <c r="I28" s="129">
        <v>5.45</v>
      </c>
      <c r="J28" s="31">
        <v>0.112</v>
      </c>
      <c r="K28" s="33" t="s">
        <v>738</v>
      </c>
    </row>
    <row r="29" spans="1:11" ht="24.95" customHeight="1" x14ac:dyDescent="0.35">
      <c r="A29" s="18" t="s">
        <v>516</v>
      </c>
      <c r="B29" s="33" t="s">
        <v>711</v>
      </c>
      <c r="C29" s="170">
        <v>0</v>
      </c>
      <c r="D29" s="130">
        <v>4.0730000000000004</v>
      </c>
      <c r="E29" s="131">
        <v>0.38300000000000001</v>
      </c>
      <c r="F29" s="132">
        <v>5.0000000000000001E-3</v>
      </c>
      <c r="G29" s="35">
        <v>668.67</v>
      </c>
      <c r="H29" s="35">
        <v>4.8</v>
      </c>
      <c r="I29" s="129">
        <v>5.45</v>
      </c>
      <c r="J29" s="31">
        <v>0.112</v>
      </c>
      <c r="K29" s="33" t="s">
        <v>738</v>
      </c>
    </row>
    <row r="30" spans="1:11" ht="24.95" customHeight="1" x14ac:dyDescent="0.35">
      <c r="A30" s="18" t="s">
        <v>517</v>
      </c>
      <c r="B30" s="33" t="s">
        <v>712</v>
      </c>
      <c r="C30" s="170">
        <v>0</v>
      </c>
      <c r="D30" s="130">
        <v>4.0730000000000004</v>
      </c>
      <c r="E30" s="131">
        <v>0.38300000000000001</v>
      </c>
      <c r="F30" s="132">
        <v>5.0000000000000001E-3</v>
      </c>
      <c r="G30" s="35">
        <v>1110.54</v>
      </c>
      <c r="H30" s="35">
        <v>4.8</v>
      </c>
      <c r="I30" s="129">
        <v>5.45</v>
      </c>
      <c r="J30" s="31">
        <v>0.112</v>
      </c>
      <c r="K30" s="33" t="s">
        <v>738</v>
      </c>
    </row>
    <row r="31" spans="1:11" ht="24.95" customHeight="1" x14ac:dyDescent="0.35">
      <c r="A31" s="18" t="s">
        <v>518</v>
      </c>
      <c r="B31" s="33" t="s">
        <v>713</v>
      </c>
      <c r="C31" s="170">
        <v>0</v>
      </c>
      <c r="D31" s="130">
        <v>4.0730000000000004</v>
      </c>
      <c r="E31" s="131">
        <v>0.38300000000000001</v>
      </c>
      <c r="F31" s="132">
        <v>5.0000000000000001E-3</v>
      </c>
      <c r="G31" s="35">
        <v>2449.83</v>
      </c>
      <c r="H31" s="35">
        <v>4.8</v>
      </c>
      <c r="I31" s="129">
        <v>5.45</v>
      </c>
      <c r="J31" s="31">
        <v>0.112</v>
      </c>
      <c r="K31" s="33" t="s">
        <v>738</v>
      </c>
    </row>
    <row r="32" spans="1:11" ht="24.95" customHeight="1" x14ac:dyDescent="0.35">
      <c r="A32" s="18" t="s">
        <v>519</v>
      </c>
      <c r="B32" s="33" t="s">
        <v>714</v>
      </c>
      <c r="C32" s="170">
        <v>0</v>
      </c>
      <c r="D32" s="130">
        <v>3.0289999999999999</v>
      </c>
      <c r="E32" s="131">
        <v>0.26200000000000001</v>
      </c>
      <c r="F32" s="132">
        <v>3.0000000000000001E-3</v>
      </c>
      <c r="G32" s="35">
        <v>133.52000000000001</v>
      </c>
      <c r="H32" s="35">
        <v>5.3</v>
      </c>
      <c r="I32" s="129">
        <v>6.49</v>
      </c>
      <c r="J32" s="31">
        <v>7.6999999999999999E-2</v>
      </c>
      <c r="K32" s="33" t="s">
        <v>739</v>
      </c>
    </row>
    <row r="33" spans="1:11" ht="24.95" customHeight="1" x14ac:dyDescent="0.35">
      <c r="A33" s="18" t="s">
        <v>520</v>
      </c>
      <c r="B33" s="33" t="s">
        <v>715</v>
      </c>
      <c r="C33" s="170">
        <v>0</v>
      </c>
      <c r="D33" s="130">
        <v>3.0289999999999999</v>
      </c>
      <c r="E33" s="131">
        <v>0.26200000000000001</v>
      </c>
      <c r="F33" s="132">
        <v>3.0000000000000001E-3</v>
      </c>
      <c r="G33" s="35">
        <v>1603.45</v>
      </c>
      <c r="H33" s="35">
        <v>5.3</v>
      </c>
      <c r="I33" s="129">
        <v>6.49</v>
      </c>
      <c r="J33" s="31">
        <v>7.6999999999999999E-2</v>
      </c>
      <c r="K33" s="33" t="s">
        <v>739</v>
      </c>
    </row>
    <row r="34" spans="1:11" ht="24.95" customHeight="1" x14ac:dyDescent="0.35">
      <c r="A34" s="18" t="s">
        <v>521</v>
      </c>
      <c r="B34" s="33" t="s">
        <v>716</v>
      </c>
      <c r="C34" s="170">
        <v>0</v>
      </c>
      <c r="D34" s="130">
        <v>3.0289999999999999</v>
      </c>
      <c r="E34" s="131">
        <v>0.26200000000000001</v>
      </c>
      <c r="F34" s="132">
        <v>3.0000000000000001E-3</v>
      </c>
      <c r="G34" s="35">
        <v>6317.4</v>
      </c>
      <c r="H34" s="35">
        <v>5.3</v>
      </c>
      <c r="I34" s="129">
        <v>6.49</v>
      </c>
      <c r="J34" s="31">
        <v>7.6999999999999999E-2</v>
      </c>
      <c r="K34" s="33" t="s">
        <v>739</v>
      </c>
    </row>
    <row r="35" spans="1:11" ht="24.95" customHeight="1" x14ac:dyDescent="0.35">
      <c r="A35" s="18" t="s">
        <v>522</v>
      </c>
      <c r="B35" s="33" t="s">
        <v>717</v>
      </c>
      <c r="C35" s="170">
        <v>0</v>
      </c>
      <c r="D35" s="130">
        <v>3.0289999999999999</v>
      </c>
      <c r="E35" s="131">
        <v>0.26200000000000001</v>
      </c>
      <c r="F35" s="132">
        <v>3.0000000000000001E-3</v>
      </c>
      <c r="G35" s="35">
        <v>12641.26</v>
      </c>
      <c r="H35" s="35">
        <v>5.3</v>
      </c>
      <c r="I35" s="129">
        <v>6.49</v>
      </c>
      <c r="J35" s="31">
        <v>7.6999999999999999E-2</v>
      </c>
      <c r="K35" s="33" t="s">
        <v>739</v>
      </c>
    </row>
    <row r="36" spans="1:11" ht="24.95" customHeight="1" x14ac:dyDescent="0.35">
      <c r="A36" s="18" t="s">
        <v>523</v>
      </c>
      <c r="B36" s="33" t="s">
        <v>718</v>
      </c>
      <c r="C36" s="170">
        <v>0</v>
      </c>
      <c r="D36" s="130">
        <v>3.0289999999999999</v>
      </c>
      <c r="E36" s="131">
        <v>0.26200000000000001</v>
      </c>
      <c r="F36" s="132">
        <v>3.0000000000000001E-3</v>
      </c>
      <c r="G36" s="35">
        <v>31562.57</v>
      </c>
      <c r="H36" s="35">
        <v>5.3</v>
      </c>
      <c r="I36" s="129">
        <v>6.49</v>
      </c>
      <c r="J36" s="31">
        <v>7.6999999999999999E-2</v>
      </c>
      <c r="K36" s="33" t="s">
        <v>739</v>
      </c>
    </row>
    <row r="37" spans="1:11" ht="32.25" customHeight="1" x14ac:dyDescent="0.35">
      <c r="A37" s="18" t="s">
        <v>173</v>
      </c>
      <c r="B37" s="33" t="s">
        <v>740</v>
      </c>
      <c r="C37" s="170" t="s">
        <v>445</v>
      </c>
      <c r="D37" s="133">
        <v>21.869</v>
      </c>
      <c r="E37" s="134">
        <v>2.649</v>
      </c>
      <c r="F37" s="132">
        <v>1.788</v>
      </c>
      <c r="G37" s="36" t="s">
        <v>1367</v>
      </c>
      <c r="H37" s="36" t="s">
        <v>1367</v>
      </c>
      <c r="I37" s="36" t="s">
        <v>1367</v>
      </c>
      <c r="J37" s="32" t="s">
        <v>1367</v>
      </c>
      <c r="K37" s="33" t="s">
        <v>748</v>
      </c>
    </row>
    <row r="38" spans="1:11" ht="32.25" customHeight="1" x14ac:dyDescent="0.35">
      <c r="A38" s="18" t="s">
        <v>174</v>
      </c>
      <c r="B38" s="34" t="s">
        <v>741</v>
      </c>
      <c r="C38" s="169">
        <v>0</v>
      </c>
      <c r="D38" s="130">
        <v>-6.3</v>
      </c>
      <c r="E38" s="131">
        <v>-0.71299999999999997</v>
      </c>
      <c r="F38" s="132">
        <v>-1.4E-2</v>
      </c>
      <c r="G38" s="35" t="s">
        <v>1367</v>
      </c>
      <c r="H38" s="36" t="s">
        <v>1367</v>
      </c>
      <c r="I38" s="36" t="s">
        <v>1367</v>
      </c>
      <c r="J38" s="32" t="s">
        <v>1367</v>
      </c>
      <c r="K38" s="33"/>
    </row>
    <row r="39" spans="1:11" ht="24.95" customHeight="1" x14ac:dyDescent="0.35">
      <c r="A39" s="18" t="s">
        <v>175</v>
      </c>
      <c r="B39" s="30">
        <v>602</v>
      </c>
      <c r="C39" s="170">
        <v>0</v>
      </c>
      <c r="D39" s="130">
        <v>-5.55</v>
      </c>
      <c r="E39" s="131">
        <v>-0.61399999999999999</v>
      </c>
      <c r="F39" s="132">
        <v>-1.2E-2</v>
      </c>
      <c r="G39" s="35" t="s">
        <v>1367</v>
      </c>
      <c r="H39" s="36" t="s">
        <v>1367</v>
      </c>
      <c r="I39" s="36" t="s">
        <v>1367</v>
      </c>
      <c r="J39" s="32" t="s">
        <v>1367</v>
      </c>
      <c r="K39" s="33"/>
    </row>
    <row r="40" spans="1:11" ht="24.95" customHeight="1" x14ac:dyDescent="0.35">
      <c r="A40" s="18" t="s">
        <v>176</v>
      </c>
      <c r="B40" s="33" t="s">
        <v>742</v>
      </c>
      <c r="C40" s="170">
        <v>0</v>
      </c>
      <c r="D40" s="130">
        <v>-6.3</v>
      </c>
      <c r="E40" s="131">
        <v>-0.71299999999999997</v>
      </c>
      <c r="F40" s="132">
        <v>-1.4E-2</v>
      </c>
      <c r="G40" s="35" t="s">
        <v>1367</v>
      </c>
      <c r="H40" s="36" t="s">
        <v>1367</v>
      </c>
      <c r="I40" s="36" t="s">
        <v>1367</v>
      </c>
      <c r="J40" s="31">
        <v>0.191</v>
      </c>
      <c r="K40" s="33"/>
    </row>
    <row r="41" spans="1:11" ht="24.95" customHeight="1" x14ac:dyDescent="0.35">
      <c r="A41" s="18" t="s">
        <v>177</v>
      </c>
      <c r="B41" s="33" t="s">
        <v>743</v>
      </c>
      <c r="C41" s="170">
        <v>0</v>
      </c>
      <c r="D41" s="130">
        <v>-6.3</v>
      </c>
      <c r="E41" s="131">
        <v>-0.71299999999999997</v>
      </c>
      <c r="F41" s="132">
        <v>-1.4E-2</v>
      </c>
      <c r="G41" s="35" t="s">
        <v>1367</v>
      </c>
      <c r="H41" s="36" t="s">
        <v>1367</v>
      </c>
      <c r="I41" s="36" t="s">
        <v>1367</v>
      </c>
      <c r="J41" s="32" t="s">
        <v>1367</v>
      </c>
      <c r="K41" s="33"/>
    </row>
    <row r="42" spans="1:11" ht="24.95" customHeight="1" x14ac:dyDescent="0.35">
      <c r="A42" s="18" t="s">
        <v>178</v>
      </c>
      <c r="B42" s="33" t="s">
        <v>744</v>
      </c>
      <c r="C42" s="170">
        <v>0</v>
      </c>
      <c r="D42" s="130">
        <v>-5.55</v>
      </c>
      <c r="E42" s="131">
        <v>-0.61399999999999999</v>
      </c>
      <c r="F42" s="132">
        <v>-1.2E-2</v>
      </c>
      <c r="G42" s="35" t="s">
        <v>1367</v>
      </c>
      <c r="H42" s="36" t="s">
        <v>1367</v>
      </c>
      <c r="I42" s="36" t="s">
        <v>1367</v>
      </c>
      <c r="J42" s="31">
        <v>0.16800000000000001</v>
      </c>
      <c r="K42" s="33"/>
    </row>
    <row r="43" spans="1:11" ht="24.95" customHeight="1" x14ac:dyDescent="0.35">
      <c r="A43" s="18" t="s">
        <v>179</v>
      </c>
      <c r="B43" s="33" t="s">
        <v>745</v>
      </c>
      <c r="C43" s="170">
        <v>0</v>
      </c>
      <c r="D43" s="130">
        <v>-5.55</v>
      </c>
      <c r="E43" s="131">
        <v>-0.61399999999999999</v>
      </c>
      <c r="F43" s="132">
        <v>-1.2E-2</v>
      </c>
      <c r="G43" s="35" t="s">
        <v>1367</v>
      </c>
      <c r="H43" s="36" t="s">
        <v>1367</v>
      </c>
      <c r="I43" s="36" t="s">
        <v>1367</v>
      </c>
      <c r="J43" s="32" t="s">
        <v>1367</v>
      </c>
      <c r="K43" s="33"/>
    </row>
    <row r="44" spans="1:11" ht="24.95" customHeight="1" x14ac:dyDescent="0.35">
      <c r="A44" s="18" t="s">
        <v>180</v>
      </c>
      <c r="B44" s="33" t="s">
        <v>746</v>
      </c>
      <c r="C44" s="170">
        <v>0</v>
      </c>
      <c r="D44" s="130">
        <v>-3.601</v>
      </c>
      <c r="E44" s="131">
        <v>-0.33700000000000002</v>
      </c>
      <c r="F44" s="132">
        <v>-4.0000000000000001E-3</v>
      </c>
      <c r="G44" s="35">
        <v>97.47</v>
      </c>
      <c r="H44" s="36" t="s">
        <v>1367</v>
      </c>
      <c r="I44" s="36" t="s">
        <v>1367</v>
      </c>
      <c r="J44" s="31">
        <v>0.14000000000000001</v>
      </c>
      <c r="K44" s="33"/>
    </row>
    <row r="45" spans="1:11" ht="24.95" customHeight="1" x14ac:dyDescent="0.35">
      <c r="A45" s="18" t="s">
        <v>181</v>
      </c>
      <c r="B45" s="33" t="s">
        <v>747</v>
      </c>
      <c r="C45" s="170">
        <v>0</v>
      </c>
      <c r="D45" s="130">
        <v>-3.601</v>
      </c>
      <c r="E45" s="131">
        <v>-0.33700000000000002</v>
      </c>
      <c r="F45" s="132">
        <v>-4.0000000000000001E-3</v>
      </c>
      <c r="G45" s="35">
        <v>97.47</v>
      </c>
      <c r="H45" s="36" t="s">
        <v>1367</v>
      </c>
      <c r="I45" s="36" t="s">
        <v>1367</v>
      </c>
      <c r="J45" s="32" t="s">
        <v>1367</v>
      </c>
      <c r="K45" s="33"/>
    </row>
    <row r="46" spans="1:11" ht="27.75" customHeight="1" x14ac:dyDescent="0.35">
      <c r="C46"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6">
    <mergeCell ref="E1:K1"/>
    <mergeCell ref="B1:D1"/>
    <mergeCell ref="G10:H10"/>
    <mergeCell ref="A2:K2"/>
    <mergeCell ref="C5:D5"/>
    <mergeCell ref="C6:D6"/>
    <mergeCell ref="G5:H5"/>
    <mergeCell ref="G6:H6"/>
    <mergeCell ref="G4:K4"/>
    <mergeCell ref="A4:E4"/>
    <mergeCell ref="C7:D7"/>
    <mergeCell ref="B8:E8"/>
    <mergeCell ref="G9:H9"/>
    <mergeCell ref="I10:K10"/>
    <mergeCell ref="G7:H7"/>
    <mergeCell ref="G8:H8"/>
  </mergeCells>
  <phoneticPr fontId="6"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5" fitToHeight="0" orientation="portrait" r:id="rId2"/>
  <headerFooter scaleWithDoc="0">
    <oddHeader>&amp;L&amp;"Arial,Bold"
Annex 1&amp;"Arial,Regular" - Schedule of Charges for use of the Distribution System by LV and HV Designated Properties</oddHeader>
    <oddFooter>&amp;LNote: Where a tariff only has a p/kWh unit rate in Unit Charge 1 then this unit rate applies at all times.&amp;R&amp;P of &amp;N&amp;C&amp;1#&amp;"Calibri"&amp;12&amp;K008000Internal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R260"/>
  <sheetViews>
    <sheetView topLeftCell="A108" zoomScale="70" zoomScaleNormal="70" workbookViewId="0">
      <selection activeCell="P134" sqref="P134"/>
    </sheetView>
  </sheetViews>
  <sheetFormatPr defaultColWidth="9.1328125" defaultRowHeight="27.75" customHeight="1" x14ac:dyDescent="0.35"/>
  <cols>
    <col min="1" max="1" width="14.59765625" style="42" customWidth="1"/>
    <col min="2" max="2" width="10.86328125" style="42" customWidth="1"/>
    <col min="3" max="3" width="17.1328125" style="42" customWidth="1"/>
    <col min="4" max="4" width="14.73046875" style="50" customWidth="1"/>
    <col min="5" max="5" width="12.86328125" style="50" customWidth="1"/>
    <col min="6" max="6" width="17.265625" style="50" customWidth="1"/>
    <col min="7" max="7" width="50.73046875" style="50" customWidth="1"/>
    <col min="8" max="8" width="14.73046875" style="50" customWidth="1"/>
    <col min="9" max="9" width="14.73046875" style="51" customWidth="1"/>
    <col min="10" max="11" width="14.73046875" style="52" customWidth="1"/>
    <col min="12" max="15" width="14.73046875" style="42" customWidth="1"/>
    <col min="16" max="16" width="15.59765625" style="212" customWidth="1"/>
    <col min="17" max="17" width="15.59765625" style="42" customWidth="1"/>
    <col min="18" max="16384" width="9.1328125" style="42"/>
  </cols>
  <sheetData>
    <row r="1" spans="1:16" ht="66.75" customHeight="1" x14ac:dyDescent="0.35">
      <c r="A1" s="40" t="s">
        <v>24</v>
      </c>
      <c r="B1" s="40"/>
      <c r="C1" s="274" t="s">
        <v>147</v>
      </c>
      <c r="D1" s="274"/>
      <c r="E1" s="41"/>
      <c r="F1" s="273" t="s">
        <v>36</v>
      </c>
      <c r="G1" s="273"/>
      <c r="H1" s="273"/>
      <c r="I1" s="273"/>
      <c r="J1" s="273"/>
      <c r="K1" s="273"/>
      <c r="L1" s="273"/>
      <c r="M1" s="273"/>
      <c r="N1" s="273"/>
      <c r="O1" s="273"/>
    </row>
    <row r="2" spans="1:16" s="43" customFormat="1" ht="25.5" customHeight="1" x14ac:dyDescent="0.35">
      <c r="A2" s="261" t="str">
        <f>Overview!B4&amp; " - Effective from "&amp;Overview!D4&amp;" - "&amp;Overview!E4&amp;" EDCM charges"</f>
        <v>SP Distribution - Effective from 1 April 2022 - Final EDCM charges</v>
      </c>
      <c r="B2" s="261"/>
      <c r="C2" s="261"/>
      <c r="D2" s="261"/>
      <c r="E2" s="261"/>
      <c r="F2" s="261"/>
      <c r="G2" s="261"/>
      <c r="H2" s="261"/>
      <c r="I2" s="261"/>
      <c r="J2" s="261"/>
      <c r="K2" s="261"/>
      <c r="L2" s="261"/>
      <c r="M2" s="261"/>
      <c r="N2" s="261"/>
      <c r="O2" s="261"/>
      <c r="P2" s="213">
        <v>1</v>
      </c>
    </row>
    <row r="3" spans="1:16" s="76" customFormat="1" ht="10.5" customHeight="1" x14ac:dyDescent="0.35">
      <c r="A3" s="75"/>
      <c r="B3" s="75"/>
      <c r="C3" s="75"/>
      <c r="D3" s="75"/>
      <c r="E3" s="75"/>
      <c r="F3" s="75"/>
      <c r="G3" s="75"/>
      <c r="H3" s="75"/>
      <c r="I3" s="75"/>
      <c r="J3" s="75"/>
      <c r="K3" s="75"/>
      <c r="L3" s="75"/>
      <c r="M3" s="75"/>
      <c r="N3" s="75"/>
      <c r="O3" s="75"/>
      <c r="P3" s="213">
        <v>1</v>
      </c>
    </row>
    <row r="4" spans="1:16" s="76" customFormat="1" ht="25.5" customHeight="1" x14ac:dyDescent="0.35">
      <c r="A4" s="261" t="s">
        <v>86</v>
      </c>
      <c r="B4" s="261"/>
      <c r="C4" s="261"/>
      <c r="D4" s="261"/>
      <c r="E4" s="261"/>
      <c r="F4" s="261"/>
      <c r="G4" s="75"/>
      <c r="H4" s="75"/>
      <c r="I4" s="75"/>
      <c r="J4" s="75"/>
      <c r="K4" s="75"/>
      <c r="L4" s="75"/>
      <c r="M4" s="75"/>
      <c r="N4" s="75"/>
      <c r="O4" s="75"/>
      <c r="P4" s="213">
        <v>1</v>
      </c>
    </row>
    <row r="5" spans="1:16" s="76" customFormat="1" ht="25.5" customHeight="1" x14ac:dyDescent="0.35">
      <c r="A5" s="275" t="s">
        <v>13</v>
      </c>
      <c r="B5" s="276"/>
      <c r="C5" s="276"/>
      <c r="D5" s="271" t="s">
        <v>83</v>
      </c>
      <c r="E5" s="271"/>
      <c r="F5" s="271"/>
      <c r="G5" s="75"/>
      <c r="H5" s="75"/>
      <c r="I5" s="75"/>
      <c r="J5" s="75"/>
      <c r="K5" s="75"/>
      <c r="L5" s="75"/>
      <c r="M5" s="75"/>
      <c r="N5" s="75"/>
      <c r="O5" s="75"/>
      <c r="P5" s="213">
        <v>1</v>
      </c>
    </row>
    <row r="6" spans="1:16" s="76" customFormat="1" ht="48" customHeight="1" x14ac:dyDescent="0.35">
      <c r="A6" s="260" t="s">
        <v>81</v>
      </c>
      <c r="B6" s="260"/>
      <c r="C6" s="260"/>
      <c r="D6" s="272"/>
      <c r="E6" s="272"/>
      <c r="F6" s="272"/>
      <c r="G6" s="75"/>
      <c r="H6" s="181"/>
      <c r="I6" s="75"/>
      <c r="J6" s="75"/>
      <c r="K6" s="75"/>
      <c r="L6" s="75"/>
      <c r="M6" s="75"/>
      <c r="N6" s="75"/>
      <c r="O6" s="75"/>
      <c r="P6" s="213">
        <v>1</v>
      </c>
    </row>
    <row r="7" spans="1:16" s="76" customFormat="1" ht="53.25" customHeight="1" x14ac:dyDescent="0.35">
      <c r="A7" s="260" t="s">
        <v>82</v>
      </c>
      <c r="B7" s="260"/>
      <c r="C7" s="260"/>
      <c r="D7" s="264" t="s">
        <v>719</v>
      </c>
      <c r="E7" s="264"/>
      <c r="F7" s="264"/>
      <c r="G7" s="75"/>
      <c r="H7" s="75"/>
      <c r="I7" s="75"/>
      <c r="J7" s="75"/>
      <c r="K7" s="75"/>
      <c r="L7" s="75"/>
      <c r="M7" s="75"/>
      <c r="N7" s="75"/>
      <c r="O7" s="75"/>
      <c r="P7" s="213">
        <v>1</v>
      </c>
    </row>
    <row r="8" spans="1:16" s="76" customFormat="1" ht="25.5" customHeight="1" x14ac:dyDescent="0.35">
      <c r="A8" s="260" t="s">
        <v>18</v>
      </c>
      <c r="B8" s="260"/>
      <c r="C8" s="260"/>
      <c r="D8" s="264" t="s">
        <v>19</v>
      </c>
      <c r="E8" s="264"/>
      <c r="F8" s="264"/>
      <c r="G8" s="75"/>
      <c r="H8" s="75"/>
      <c r="I8" s="75"/>
      <c r="J8" s="75"/>
      <c r="K8" s="75"/>
      <c r="L8" s="75"/>
      <c r="M8" s="75"/>
      <c r="N8" s="75"/>
      <c r="O8" s="75"/>
      <c r="P8" s="213">
        <v>1</v>
      </c>
    </row>
    <row r="9" spans="1:16" s="76" customFormat="1" ht="10.5" customHeight="1" x14ac:dyDescent="0.35">
      <c r="A9" s="75"/>
      <c r="B9" s="75"/>
      <c r="C9" s="75"/>
      <c r="D9" s="75"/>
      <c r="E9" s="75"/>
      <c r="F9" s="75"/>
      <c r="G9" s="75"/>
      <c r="H9" s="75"/>
      <c r="I9" s="75"/>
      <c r="J9" s="75"/>
      <c r="K9" s="75"/>
      <c r="L9" s="75"/>
      <c r="M9" s="75"/>
      <c r="N9" s="75"/>
      <c r="O9" s="75"/>
      <c r="P9" s="213">
        <v>1</v>
      </c>
    </row>
    <row r="10" spans="1:16" ht="63.75" customHeight="1" x14ac:dyDescent="0.35">
      <c r="A10" s="44" t="s">
        <v>72</v>
      </c>
      <c r="B10" s="45" t="s">
        <v>41</v>
      </c>
      <c r="C10" s="44" t="s">
        <v>42</v>
      </c>
      <c r="D10" s="44" t="s">
        <v>74</v>
      </c>
      <c r="E10" s="45" t="s">
        <v>41</v>
      </c>
      <c r="F10" s="44" t="s">
        <v>43</v>
      </c>
      <c r="G10" s="46" t="s">
        <v>35</v>
      </c>
      <c r="H10" s="47" t="s">
        <v>141</v>
      </c>
      <c r="I10" s="46" t="s">
        <v>75</v>
      </c>
      <c r="J10" s="46" t="s">
        <v>139</v>
      </c>
      <c r="K10" s="126" t="s">
        <v>153</v>
      </c>
      <c r="L10" s="47" t="s">
        <v>142</v>
      </c>
      <c r="M10" s="46" t="s">
        <v>76</v>
      </c>
      <c r="N10" s="46" t="s">
        <v>140</v>
      </c>
      <c r="O10" s="126" t="s">
        <v>154</v>
      </c>
      <c r="P10" s="213" t="s">
        <v>1391</v>
      </c>
    </row>
    <row r="11" spans="1:16" ht="15" customHeight="1" x14ac:dyDescent="0.35">
      <c r="A11" s="179">
        <v>800</v>
      </c>
      <c r="B11" s="179">
        <v>800</v>
      </c>
      <c r="C11" s="180">
        <v>1800060775972</v>
      </c>
      <c r="D11" s="179">
        <v>644</v>
      </c>
      <c r="E11" s="179">
        <v>644</v>
      </c>
      <c r="F11" s="180">
        <v>1800060775990</v>
      </c>
      <c r="G11" s="49" t="s">
        <v>776</v>
      </c>
      <c r="H11" s="53" t="s">
        <v>672</v>
      </c>
      <c r="I11" s="54">
        <v>253.25</v>
      </c>
      <c r="J11" s="54">
        <v>0.66</v>
      </c>
      <c r="K11" s="54">
        <v>0.66</v>
      </c>
      <c r="L11" s="55" t="s">
        <v>672</v>
      </c>
      <c r="M11" s="56">
        <v>5687.62</v>
      </c>
      <c r="N11" s="56">
        <v>0.05</v>
      </c>
      <c r="O11" s="56">
        <v>0.05</v>
      </c>
      <c r="P11" s="213">
        <v>1</v>
      </c>
    </row>
    <row r="12" spans="1:16" ht="15" customHeight="1" x14ac:dyDescent="0.35">
      <c r="A12" s="179">
        <v>801</v>
      </c>
      <c r="B12" s="179">
        <v>801</v>
      </c>
      <c r="C12" s="180">
        <v>1800060004220</v>
      </c>
      <c r="D12" s="179" t="s">
        <v>887</v>
      </c>
      <c r="E12" s="179" t="s">
        <v>887</v>
      </c>
      <c r="F12" s="180" t="s">
        <v>887</v>
      </c>
      <c r="G12" s="49" t="s">
        <v>777</v>
      </c>
      <c r="H12" s="53" t="s">
        <v>672</v>
      </c>
      <c r="I12" s="54">
        <v>419.5</v>
      </c>
      <c r="J12" s="54" t="s">
        <v>672</v>
      </c>
      <c r="K12" s="54" t="s">
        <v>672</v>
      </c>
      <c r="L12" s="55" t="s">
        <v>672</v>
      </c>
      <c r="M12" s="56" t="s">
        <v>672</v>
      </c>
      <c r="N12" s="56" t="s">
        <v>672</v>
      </c>
      <c r="O12" s="56" t="s">
        <v>672</v>
      </c>
      <c r="P12" s="213">
        <v>1</v>
      </c>
    </row>
    <row r="13" spans="1:16" ht="15" customHeight="1" x14ac:dyDescent="0.35">
      <c r="A13" s="179">
        <v>802</v>
      </c>
      <c r="B13" s="179">
        <v>802</v>
      </c>
      <c r="C13" s="180">
        <v>1800060539962</v>
      </c>
      <c r="D13" s="179">
        <v>683</v>
      </c>
      <c r="E13" s="179">
        <v>683</v>
      </c>
      <c r="F13" s="180">
        <v>1800060539971</v>
      </c>
      <c r="G13" s="49" t="s">
        <v>778</v>
      </c>
      <c r="H13" s="53" t="s">
        <v>672</v>
      </c>
      <c r="I13" s="54">
        <v>131.36000000000001</v>
      </c>
      <c r="J13" s="54">
        <v>2.69</v>
      </c>
      <c r="K13" s="54">
        <v>2.69</v>
      </c>
      <c r="L13" s="55" t="s">
        <v>672</v>
      </c>
      <c r="M13" s="56">
        <v>4944.09</v>
      </c>
      <c r="N13" s="56">
        <v>0.05</v>
      </c>
      <c r="O13" s="56">
        <v>0.05</v>
      </c>
      <c r="P13" s="213">
        <v>1</v>
      </c>
    </row>
    <row r="14" spans="1:16" ht="15" customHeight="1" x14ac:dyDescent="0.35">
      <c r="A14" s="179">
        <v>803</v>
      </c>
      <c r="B14" s="179">
        <v>803</v>
      </c>
      <c r="C14" s="180">
        <v>1800060532708</v>
      </c>
      <c r="D14" s="179">
        <v>684</v>
      </c>
      <c r="E14" s="179">
        <v>684</v>
      </c>
      <c r="F14" s="180">
        <v>1800060532717</v>
      </c>
      <c r="G14" s="49" t="s">
        <v>779</v>
      </c>
      <c r="H14" s="53" t="s">
        <v>672</v>
      </c>
      <c r="I14" s="54">
        <v>160.43</v>
      </c>
      <c r="J14" s="54">
        <v>0.84</v>
      </c>
      <c r="K14" s="54">
        <v>0.84</v>
      </c>
      <c r="L14" s="55" t="s">
        <v>672</v>
      </c>
      <c r="M14" s="56">
        <v>8983</v>
      </c>
      <c r="N14" s="56">
        <v>0.05</v>
      </c>
      <c r="O14" s="56">
        <v>0.05</v>
      </c>
      <c r="P14" s="213">
        <v>1</v>
      </c>
    </row>
    <row r="15" spans="1:16" ht="15" customHeight="1" x14ac:dyDescent="0.35">
      <c r="A15" s="179">
        <v>804</v>
      </c>
      <c r="B15" s="179">
        <v>804</v>
      </c>
      <c r="C15" s="180">
        <v>1800060532726</v>
      </c>
      <c r="D15" s="179">
        <v>685</v>
      </c>
      <c r="E15" s="179">
        <v>685</v>
      </c>
      <c r="F15" s="180">
        <v>1800060532735</v>
      </c>
      <c r="G15" s="49" t="s">
        <v>780</v>
      </c>
      <c r="H15" s="53" t="s">
        <v>672</v>
      </c>
      <c r="I15" s="54">
        <v>370.62</v>
      </c>
      <c r="J15" s="54">
        <v>0.66</v>
      </c>
      <c r="K15" s="54">
        <v>0.66</v>
      </c>
      <c r="L15" s="55" t="s">
        <v>672</v>
      </c>
      <c r="M15" s="56">
        <v>5840.28</v>
      </c>
      <c r="N15" s="56">
        <v>0.05</v>
      </c>
      <c r="O15" s="56">
        <v>0.05</v>
      </c>
      <c r="P15" s="213">
        <v>1</v>
      </c>
    </row>
    <row r="16" spans="1:16" ht="15" customHeight="1" x14ac:dyDescent="0.35">
      <c r="A16" s="179">
        <v>805</v>
      </c>
      <c r="B16" s="179">
        <v>805</v>
      </c>
      <c r="C16" s="180">
        <v>1800060587850</v>
      </c>
      <c r="D16" s="179">
        <v>693</v>
      </c>
      <c r="E16" s="179">
        <v>693</v>
      </c>
      <c r="F16" s="180">
        <v>1800060587869</v>
      </c>
      <c r="G16" s="49" t="s">
        <v>781</v>
      </c>
      <c r="H16" s="53" t="s">
        <v>672</v>
      </c>
      <c r="I16" s="54">
        <v>10916.73</v>
      </c>
      <c r="J16" s="54">
        <v>0.63</v>
      </c>
      <c r="K16" s="54">
        <v>0.63</v>
      </c>
      <c r="L16" s="55" t="s">
        <v>672</v>
      </c>
      <c r="M16" s="56" t="s">
        <v>672</v>
      </c>
      <c r="N16" s="56" t="s">
        <v>672</v>
      </c>
      <c r="O16" s="56" t="s">
        <v>672</v>
      </c>
      <c r="P16" s="213">
        <v>1</v>
      </c>
    </row>
    <row r="17" spans="1:16" ht="15" customHeight="1" x14ac:dyDescent="0.35">
      <c r="A17" s="179">
        <v>806</v>
      </c>
      <c r="B17" s="179">
        <v>806</v>
      </c>
      <c r="C17" s="180">
        <v>1800060532647</v>
      </c>
      <c r="D17" s="179">
        <v>688</v>
      </c>
      <c r="E17" s="179">
        <v>688</v>
      </c>
      <c r="F17" s="180">
        <v>1800060532656</v>
      </c>
      <c r="G17" s="49" t="s">
        <v>782</v>
      </c>
      <c r="H17" s="53" t="s">
        <v>672</v>
      </c>
      <c r="I17" s="54">
        <v>229.85</v>
      </c>
      <c r="J17" s="54">
        <v>0.85</v>
      </c>
      <c r="K17" s="54">
        <v>0.85</v>
      </c>
      <c r="L17" s="55" t="s">
        <v>672</v>
      </c>
      <c r="M17" s="56">
        <v>5222.16</v>
      </c>
      <c r="N17" s="56">
        <v>0.05</v>
      </c>
      <c r="O17" s="56">
        <v>0.05</v>
      </c>
      <c r="P17" s="213">
        <v>1</v>
      </c>
    </row>
    <row r="18" spans="1:16" ht="15" customHeight="1" x14ac:dyDescent="0.35">
      <c r="A18" s="179">
        <v>807</v>
      </c>
      <c r="B18" s="179">
        <v>807</v>
      </c>
      <c r="C18" s="180">
        <v>1800060532665</v>
      </c>
      <c r="D18" s="179">
        <v>689</v>
      </c>
      <c r="E18" s="179">
        <v>689</v>
      </c>
      <c r="F18" s="180">
        <v>1800060532674</v>
      </c>
      <c r="G18" s="49" t="s">
        <v>783</v>
      </c>
      <c r="H18" s="53" t="s">
        <v>672</v>
      </c>
      <c r="I18" s="54">
        <v>135.72</v>
      </c>
      <c r="J18" s="54">
        <v>0.94</v>
      </c>
      <c r="K18" s="54">
        <v>0.94</v>
      </c>
      <c r="L18" s="55" t="s">
        <v>672</v>
      </c>
      <c r="M18" s="56">
        <v>6406.7</v>
      </c>
      <c r="N18" s="56">
        <v>0.05</v>
      </c>
      <c r="O18" s="56">
        <v>0.05</v>
      </c>
      <c r="P18" s="213">
        <v>1</v>
      </c>
    </row>
    <row r="19" spans="1:16" ht="15" customHeight="1" x14ac:dyDescent="0.35">
      <c r="A19" s="179">
        <v>808</v>
      </c>
      <c r="B19" s="179">
        <v>808</v>
      </c>
      <c r="C19" s="180">
        <v>1800053653870</v>
      </c>
      <c r="D19" s="179">
        <v>681</v>
      </c>
      <c r="E19" s="179">
        <v>681</v>
      </c>
      <c r="F19" s="180">
        <v>1800053653880</v>
      </c>
      <c r="G19" s="49" t="s">
        <v>784</v>
      </c>
      <c r="H19" s="53" t="s">
        <v>672</v>
      </c>
      <c r="I19" s="54">
        <v>104.76</v>
      </c>
      <c r="J19" s="54">
        <v>0.63</v>
      </c>
      <c r="K19" s="54">
        <v>0.63</v>
      </c>
      <c r="L19" s="55" t="s">
        <v>672</v>
      </c>
      <c r="M19" s="56" t="s">
        <v>672</v>
      </c>
      <c r="N19" s="56" t="s">
        <v>672</v>
      </c>
      <c r="O19" s="56" t="s">
        <v>672</v>
      </c>
      <c r="P19" s="213">
        <v>1</v>
      </c>
    </row>
    <row r="20" spans="1:16" ht="15" customHeight="1" x14ac:dyDescent="0.35">
      <c r="A20" s="179">
        <v>809</v>
      </c>
      <c r="B20" s="179">
        <v>809</v>
      </c>
      <c r="C20" s="180">
        <v>1800054992968</v>
      </c>
      <c r="D20" s="179">
        <v>629</v>
      </c>
      <c r="E20" s="179">
        <v>629</v>
      </c>
      <c r="F20" s="180">
        <v>1800054992977</v>
      </c>
      <c r="G20" s="49" t="s">
        <v>785</v>
      </c>
      <c r="H20" s="53" t="s">
        <v>672</v>
      </c>
      <c r="I20" s="54">
        <v>718.91</v>
      </c>
      <c r="J20" s="54">
        <v>0.66</v>
      </c>
      <c r="K20" s="54">
        <v>0.66</v>
      </c>
      <c r="L20" s="55" t="s">
        <v>672</v>
      </c>
      <c r="M20" s="56">
        <v>18154.96</v>
      </c>
      <c r="N20" s="56">
        <v>0.05</v>
      </c>
      <c r="O20" s="56">
        <v>0.05</v>
      </c>
      <c r="P20" s="213">
        <v>1</v>
      </c>
    </row>
    <row r="21" spans="1:16" ht="15" customHeight="1" x14ac:dyDescent="0.35">
      <c r="A21" s="179">
        <v>811</v>
      </c>
      <c r="B21" s="179">
        <v>811</v>
      </c>
      <c r="C21" s="180">
        <v>1800060328035</v>
      </c>
      <c r="D21" s="179">
        <v>671</v>
      </c>
      <c r="E21" s="179">
        <v>671</v>
      </c>
      <c r="F21" s="180">
        <v>1800060328044</v>
      </c>
      <c r="G21" s="49" t="s">
        <v>786</v>
      </c>
      <c r="H21" s="53" t="s">
        <v>672</v>
      </c>
      <c r="I21" s="54">
        <v>341.85</v>
      </c>
      <c r="J21" s="54">
        <v>0.83</v>
      </c>
      <c r="K21" s="54">
        <v>0.83</v>
      </c>
      <c r="L21" s="55" t="s">
        <v>672</v>
      </c>
      <c r="M21" s="56">
        <v>8204.4500000000007</v>
      </c>
      <c r="N21" s="56">
        <v>0.05</v>
      </c>
      <c r="O21" s="56">
        <v>0.05</v>
      </c>
      <c r="P21" s="213">
        <v>1</v>
      </c>
    </row>
    <row r="22" spans="1:16" ht="15" customHeight="1" x14ac:dyDescent="0.35">
      <c r="A22" s="179">
        <v>812</v>
      </c>
      <c r="B22" s="179">
        <v>812</v>
      </c>
      <c r="C22" s="180">
        <v>1800060372113</v>
      </c>
      <c r="D22" s="179">
        <v>672</v>
      </c>
      <c r="E22" s="179">
        <v>672</v>
      </c>
      <c r="F22" s="180">
        <v>1800060372122</v>
      </c>
      <c r="G22" s="49" t="s">
        <v>787</v>
      </c>
      <c r="H22" s="53" t="s">
        <v>672</v>
      </c>
      <c r="I22" s="54">
        <v>114.9</v>
      </c>
      <c r="J22" s="54">
        <v>0.7</v>
      </c>
      <c r="K22" s="54">
        <v>0.7</v>
      </c>
      <c r="L22" s="55" t="s">
        <v>672</v>
      </c>
      <c r="M22" s="56">
        <v>8017.86</v>
      </c>
      <c r="N22" s="56">
        <v>0.05</v>
      </c>
      <c r="O22" s="56">
        <v>0.05</v>
      </c>
      <c r="P22" s="213">
        <v>1</v>
      </c>
    </row>
    <row r="23" spans="1:16" ht="15" customHeight="1" x14ac:dyDescent="0.35">
      <c r="A23" s="179">
        <v>813</v>
      </c>
      <c r="B23" s="179">
        <v>813</v>
      </c>
      <c r="C23" s="180">
        <v>1800060532498</v>
      </c>
      <c r="D23" s="179">
        <v>690</v>
      </c>
      <c r="E23" s="179">
        <v>690</v>
      </c>
      <c r="F23" s="180">
        <v>1800060532503</v>
      </c>
      <c r="G23" s="49" t="s">
        <v>788</v>
      </c>
      <c r="H23" s="53" t="s">
        <v>672</v>
      </c>
      <c r="I23" s="54">
        <v>60.76</v>
      </c>
      <c r="J23" s="54">
        <v>0.94</v>
      </c>
      <c r="K23" s="54">
        <v>0.94</v>
      </c>
      <c r="L23" s="55" t="s">
        <v>672</v>
      </c>
      <c r="M23" s="56">
        <v>7138.36</v>
      </c>
      <c r="N23" s="56">
        <v>0.05</v>
      </c>
      <c r="O23" s="56">
        <v>0.05</v>
      </c>
      <c r="P23" s="213">
        <v>1</v>
      </c>
    </row>
    <row r="24" spans="1:16" ht="15" customHeight="1" x14ac:dyDescent="0.35">
      <c r="A24" s="179">
        <v>814</v>
      </c>
      <c r="B24" s="179">
        <v>814</v>
      </c>
      <c r="C24" s="180">
        <v>1800060532683</v>
      </c>
      <c r="D24" s="179">
        <v>691</v>
      </c>
      <c r="E24" s="179">
        <v>691</v>
      </c>
      <c r="F24" s="180">
        <v>1800060532692</v>
      </c>
      <c r="G24" s="49" t="s">
        <v>789</v>
      </c>
      <c r="H24" s="53" t="s">
        <v>672</v>
      </c>
      <c r="I24" s="54">
        <v>201.67</v>
      </c>
      <c r="J24" s="54">
        <v>0.9</v>
      </c>
      <c r="K24" s="54">
        <v>0.9</v>
      </c>
      <c r="L24" s="55" t="s">
        <v>672</v>
      </c>
      <c r="M24" s="56">
        <v>19067.14</v>
      </c>
      <c r="N24" s="56">
        <v>0.05</v>
      </c>
      <c r="O24" s="56">
        <v>0.05</v>
      </c>
      <c r="P24" s="213">
        <v>1</v>
      </c>
    </row>
    <row r="25" spans="1:16" ht="15" customHeight="1" x14ac:dyDescent="0.35">
      <c r="A25" s="179">
        <v>815</v>
      </c>
      <c r="B25" s="179">
        <v>815</v>
      </c>
      <c r="C25" s="180">
        <v>1800060566984</v>
      </c>
      <c r="D25" s="179">
        <v>692</v>
      </c>
      <c r="E25" s="179">
        <v>692</v>
      </c>
      <c r="F25" s="180">
        <v>1800060566993</v>
      </c>
      <c r="G25" s="49" t="s">
        <v>790</v>
      </c>
      <c r="H25" s="53" t="s">
        <v>672</v>
      </c>
      <c r="I25" s="54">
        <v>811.8</v>
      </c>
      <c r="J25" s="54">
        <v>0.83</v>
      </c>
      <c r="K25" s="54">
        <v>0.83</v>
      </c>
      <c r="L25" s="55" t="s">
        <v>672</v>
      </c>
      <c r="M25" s="56">
        <v>15368.76</v>
      </c>
      <c r="N25" s="56">
        <v>0.05</v>
      </c>
      <c r="O25" s="56">
        <v>0.05</v>
      </c>
      <c r="P25" s="213">
        <v>1</v>
      </c>
    </row>
    <row r="26" spans="1:16" ht="15" customHeight="1" x14ac:dyDescent="0.35">
      <c r="A26" s="179">
        <v>816</v>
      </c>
      <c r="B26" s="179">
        <v>816</v>
      </c>
      <c r="C26" s="180">
        <v>1800060652454</v>
      </c>
      <c r="D26" s="179">
        <v>695</v>
      </c>
      <c r="E26" s="179">
        <v>695</v>
      </c>
      <c r="F26" s="180">
        <v>1800060652463</v>
      </c>
      <c r="G26" s="49" t="s">
        <v>791</v>
      </c>
      <c r="H26" s="53" t="s">
        <v>672</v>
      </c>
      <c r="I26" s="54">
        <v>314.69</v>
      </c>
      <c r="J26" s="54">
        <v>0.65</v>
      </c>
      <c r="K26" s="54">
        <v>0.65</v>
      </c>
      <c r="L26" s="55" t="s">
        <v>672</v>
      </c>
      <c r="M26" s="56">
        <v>6423.35</v>
      </c>
      <c r="N26" s="56">
        <v>0.05</v>
      </c>
      <c r="O26" s="56">
        <v>0.05</v>
      </c>
      <c r="P26" s="213">
        <v>1</v>
      </c>
    </row>
    <row r="27" spans="1:16" ht="15" customHeight="1" x14ac:dyDescent="0.35">
      <c r="A27" s="179">
        <v>817</v>
      </c>
      <c r="B27" s="179">
        <v>817</v>
      </c>
      <c r="C27" s="180">
        <v>1800060567668</v>
      </c>
      <c r="D27" s="179"/>
      <c r="E27" s="179"/>
      <c r="F27" s="180"/>
      <c r="G27" s="49" t="s">
        <v>792</v>
      </c>
      <c r="H27" s="53" t="s">
        <v>672</v>
      </c>
      <c r="I27" s="54">
        <v>3246.12</v>
      </c>
      <c r="J27" s="54">
        <v>1.74</v>
      </c>
      <c r="K27" s="54">
        <v>1.74</v>
      </c>
      <c r="L27" s="55"/>
      <c r="M27" s="56"/>
      <c r="N27" s="56"/>
      <c r="O27" s="56"/>
      <c r="P27" s="213">
        <v>1</v>
      </c>
    </row>
    <row r="28" spans="1:16" ht="15" customHeight="1" x14ac:dyDescent="0.35">
      <c r="A28" s="179">
        <v>818</v>
      </c>
      <c r="B28" s="179">
        <v>818</v>
      </c>
      <c r="C28" s="180">
        <v>1800060642767</v>
      </c>
      <c r="D28" s="179">
        <v>700</v>
      </c>
      <c r="E28" s="179">
        <v>700</v>
      </c>
      <c r="F28" s="180">
        <v>1800060642776</v>
      </c>
      <c r="G28" s="49" t="s">
        <v>793</v>
      </c>
      <c r="H28" s="53" t="s">
        <v>672</v>
      </c>
      <c r="I28" s="54">
        <v>507.77</v>
      </c>
      <c r="J28" s="54">
        <v>0.69</v>
      </c>
      <c r="K28" s="54">
        <v>0.69</v>
      </c>
      <c r="L28" s="55" t="s">
        <v>672</v>
      </c>
      <c r="M28" s="56">
        <v>28744.73</v>
      </c>
      <c r="N28" s="56">
        <v>0.05</v>
      </c>
      <c r="O28" s="56">
        <v>0.05</v>
      </c>
      <c r="P28" s="213">
        <v>1</v>
      </c>
    </row>
    <row r="29" spans="1:16" ht="15" customHeight="1" x14ac:dyDescent="0.35">
      <c r="A29" s="179">
        <v>819</v>
      </c>
      <c r="B29" s="179">
        <v>819</v>
      </c>
      <c r="C29" s="180">
        <v>1800060632661</v>
      </c>
      <c r="D29" s="179">
        <v>699</v>
      </c>
      <c r="E29" s="179">
        <v>699</v>
      </c>
      <c r="F29" s="180">
        <v>1800060632670</v>
      </c>
      <c r="G29" s="49" t="s">
        <v>794</v>
      </c>
      <c r="H29" s="53" t="s">
        <v>672</v>
      </c>
      <c r="I29" s="54">
        <v>1485.96</v>
      </c>
      <c r="J29" s="54">
        <v>1.01</v>
      </c>
      <c r="K29" s="54">
        <v>1.01</v>
      </c>
      <c r="L29" s="55" t="s">
        <v>672</v>
      </c>
      <c r="M29" s="56">
        <v>8903.35</v>
      </c>
      <c r="N29" s="56">
        <v>0.05</v>
      </c>
      <c r="O29" s="56">
        <v>0.05</v>
      </c>
      <c r="P29" s="213">
        <v>1</v>
      </c>
    </row>
    <row r="30" spans="1:16" ht="15" customHeight="1" x14ac:dyDescent="0.35">
      <c r="A30" s="179">
        <v>820</v>
      </c>
      <c r="B30" s="179">
        <v>820</v>
      </c>
      <c r="C30" s="180">
        <v>1800060289486</v>
      </c>
      <c r="D30" s="179">
        <v>620</v>
      </c>
      <c r="E30" s="179">
        <v>620</v>
      </c>
      <c r="F30" s="180">
        <v>1800060289510</v>
      </c>
      <c r="G30" s="49" t="s">
        <v>795</v>
      </c>
      <c r="H30" s="53" t="s">
        <v>672</v>
      </c>
      <c r="I30" s="54">
        <v>151.25</v>
      </c>
      <c r="J30" s="54">
        <v>0.75</v>
      </c>
      <c r="K30" s="54">
        <v>0.75</v>
      </c>
      <c r="L30" s="55" t="s">
        <v>672</v>
      </c>
      <c r="M30" s="56">
        <v>20660.37</v>
      </c>
      <c r="N30" s="56">
        <v>0.05</v>
      </c>
      <c r="O30" s="56">
        <v>0.05</v>
      </c>
      <c r="P30" s="213">
        <v>1</v>
      </c>
    </row>
    <row r="31" spans="1:16" ht="15" customHeight="1" x14ac:dyDescent="0.35">
      <c r="A31" s="179">
        <v>821</v>
      </c>
      <c r="B31" s="179">
        <v>821</v>
      </c>
      <c r="C31" s="180">
        <v>1800054865132</v>
      </c>
      <c r="D31" s="179">
        <v>621</v>
      </c>
      <c r="E31" s="179">
        <v>621</v>
      </c>
      <c r="F31" s="180">
        <v>1800054865141</v>
      </c>
      <c r="G31" s="49" t="s">
        <v>796</v>
      </c>
      <c r="H31" s="53" t="s">
        <v>672</v>
      </c>
      <c r="I31" s="54">
        <v>621.98</v>
      </c>
      <c r="J31" s="54">
        <v>0.71</v>
      </c>
      <c r="K31" s="54">
        <v>0.71</v>
      </c>
      <c r="L31" s="55" t="s">
        <v>672</v>
      </c>
      <c r="M31" s="56">
        <v>37319.01</v>
      </c>
      <c r="N31" s="56">
        <v>0.05</v>
      </c>
      <c r="O31" s="56">
        <v>0.05</v>
      </c>
      <c r="P31" s="213">
        <v>1</v>
      </c>
    </row>
    <row r="32" spans="1:16" ht="15" customHeight="1" x14ac:dyDescent="0.35">
      <c r="A32" s="179">
        <v>822</v>
      </c>
      <c r="B32" s="179">
        <v>822</v>
      </c>
      <c r="C32" s="180">
        <v>1800060683754</v>
      </c>
      <c r="D32" s="179">
        <v>703</v>
      </c>
      <c r="E32" s="179">
        <v>703</v>
      </c>
      <c r="F32" s="180">
        <v>1800060683763</v>
      </c>
      <c r="G32" s="49" t="s">
        <v>797</v>
      </c>
      <c r="H32" s="53" t="s">
        <v>672</v>
      </c>
      <c r="I32" s="54">
        <v>474.4</v>
      </c>
      <c r="J32" s="54">
        <v>0.91</v>
      </c>
      <c r="K32" s="54">
        <v>0.91</v>
      </c>
      <c r="L32" s="55" t="s">
        <v>672</v>
      </c>
      <c r="M32" s="56">
        <v>21402.14</v>
      </c>
      <c r="N32" s="56">
        <v>0.05</v>
      </c>
      <c r="O32" s="56">
        <v>0.05</v>
      </c>
      <c r="P32" s="213">
        <v>1</v>
      </c>
    </row>
    <row r="33" spans="1:17" ht="15" customHeight="1" x14ac:dyDescent="0.35">
      <c r="A33" s="179">
        <v>823</v>
      </c>
      <c r="B33" s="179">
        <v>823</v>
      </c>
      <c r="C33" s="180">
        <v>1800060697223</v>
      </c>
      <c r="D33" s="179">
        <v>704</v>
      </c>
      <c r="E33" s="179">
        <v>704</v>
      </c>
      <c r="F33" s="180">
        <v>1800060697232</v>
      </c>
      <c r="G33" s="49" t="s">
        <v>798</v>
      </c>
      <c r="H33" s="53" t="s">
        <v>672</v>
      </c>
      <c r="I33" s="54">
        <v>42.69</v>
      </c>
      <c r="J33" s="54">
        <v>1.37</v>
      </c>
      <c r="K33" s="54">
        <v>1.37</v>
      </c>
      <c r="L33" s="55" t="s">
        <v>672</v>
      </c>
      <c r="M33" s="56">
        <v>1400.11</v>
      </c>
      <c r="N33" s="56">
        <v>0.05</v>
      </c>
      <c r="O33" s="56">
        <v>0.05</v>
      </c>
      <c r="P33" s="218" t="s">
        <v>1395</v>
      </c>
      <c r="Q33" s="228"/>
    </row>
    <row r="34" spans="1:17" ht="15" customHeight="1" x14ac:dyDescent="0.35">
      <c r="A34" s="179">
        <v>824</v>
      </c>
      <c r="B34" s="179">
        <v>824</v>
      </c>
      <c r="C34" s="180">
        <v>1800060674253</v>
      </c>
      <c r="D34" s="179">
        <v>705</v>
      </c>
      <c r="E34" s="179">
        <v>705</v>
      </c>
      <c r="F34" s="180">
        <v>1800060674262</v>
      </c>
      <c r="G34" s="49" t="s">
        <v>799</v>
      </c>
      <c r="H34" s="53" t="s">
        <v>672</v>
      </c>
      <c r="I34" s="54">
        <v>54.73</v>
      </c>
      <c r="J34" s="54">
        <v>0.9</v>
      </c>
      <c r="K34" s="54">
        <v>0.9</v>
      </c>
      <c r="L34" s="55" t="s">
        <v>672</v>
      </c>
      <c r="M34" s="56">
        <v>3261.11</v>
      </c>
      <c r="N34" s="56">
        <v>0.05</v>
      </c>
      <c r="O34" s="56">
        <v>0.05</v>
      </c>
      <c r="P34" s="213">
        <v>1</v>
      </c>
    </row>
    <row r="35" spans="1:17" ht="15" customHeight="1" x14ac:dyDescent="0.35">
      <c r="A35" s="179">
        <v>825</v>
      </c>
      <c r="B35" s="179">
        <v>825</v>
      </c>
      <c r="C35" s="180">
        <v>1800060159192</v>
      </c>
      <c r="D35" s="179">
        <v>625</v>
      </c>
      <c r="E35" s="179">
        <v>625</v>
      </c>
      <c r="F35" s="180">
        <v>1800060159208</v>
      </c>
      <c r="G35" s="49" t="s">
        <v>800</v>
      </c>
      <c r="H35" s="53" t="s">
        <v>672</v>
      </c>
      <c r="I35" s="54">
        <v>937.97</v>
      </c>
      <c r="J35" s="54" t="s">
        <v>672</v>
      </c>
      <c r="K35" s="54" t="s">
        <v>672</v>
      </c>
      <c r="L35" s="55" t="s">
        <v>672</v>
      </c>
      <c r="M35" s="56">
        <v>8617.48</v>
      </c>
      <c r="N35" s="56">
        <v>0.05</v>
      </c>
      <c r="O35" s="56">
        <v>0.05</v>
      </c>
      <c r="P35" s="213">
        <v>1</v>
      </c>
    </row>
    <row r="36" spans="1:17" ht="15" customHeight="1" x14ac:dyDescent="0.35">
      <c r="A36" s="179">
        <v>826</v>
      </c>
      <c r="B36" s="179">
        <v>826</v>
      </c>
      <c r="C36" s="180">
        <v>1800053646251</v>
      </c>
      <c r="D36" s="179">
        <v>626</v>
      </c>
      <c r="E36" s="179">
        <v>626</v>
      </c>
      <c r="F36" s="180">
        <v>1800053646260</v>
      </c>
      <c r="G36" s="49" t="s">
        <v>801</v>
      </c>
      <c r="H36" s="53" t="s">
        <v>672</v>
      </c>
      <c r="I36" s="54">
        <v>55.88</v>
      </c>
      <c r="J36" s="54">
        <v>0.9</v>
      </c>
      <c r="K36" s="54">
        <v>0.9</v>
      </c>
      <c r="L36" s="55" t="s">
        <v>672</v>
      </c>
      <c r="M36" s="56">
        <v>1112.01</v>
      </c>
      <c r="N36" s="56">
        <v>0.05</v>
      </c>
      <c r="O36" s="56">
        <v>0.05</v>
      </c>
      <c r="P36" s="213">
        <v>1</v>
      </c>
    </row>
    <row r="37" spans="1:17" ht="15" customHeight="1" x14ac:dyDescent="0.35">
      <c r="A37" s="179">
        <v>827</v>
      </c>
      <c r="B37" s="179">
        <v>827</v>
      </c>
      <c r="C37" s="180">
        <v>1800053646190</v>
      </c>
      <c r="D37" s="179">
        <v>627</v>
      </c>
      <c r="E37" s="179">
        <v>627</v>
      </c>
      <c r="F37" s="180">
        <v>1800053646206</v>
      </c>
      <c r="G37" s="49" t="s">
        <v>802</v>
      </c>
      <c r="H37" s="53" t="s">
        <v>672</v>
      </c>
      <c r="I37" s="54">
        <v>194.88</v>
      </c>
      <c r="J37" s="54">
        <v>0.86</v>
      </c>
      <c r="K37" s="54">
        <v>0.86</v>
      </c>
      <c r="L37" s="55" t="s">
        <v>672</v>
      </c>
      <c r="M37" s="56">
        <v>4209.3</v>
      </c>
      <c r="N37" s="56">
        <v>0.05</v>
      </c>
      <c r="O37" s="56">
        <v>0.05</v>
      </c>
      <c r="P37" s="213">
        <v>1</v>
      </c>
    </row>
    <row r="38" spans="1:17" ht="15" customHeight="1" x14ac:dyDescent="0.35">
      <c r="A38" s="179">
        <v>828</v>
      </c>
      <c r="B38" s="179">
        <v>828</v>
      </c>
      <c r="C38" s="180">
        <v>1800053646172</v>
      </c>
      <c r="D38" s="179">
        <v>628</v>
      </c>
      <c r="E38" s="179">
        <v>628</v>
      </c>
      <c r="F38" s="180">
        <v>1800053646181</v>
      </c>
      <c r="G38" s="49" t="s">
        <v>803</v>
      </c>
      <c r="H38" s="53" t="s">
        <v>672</v>
      </c>
      <c r="I38" s="54">
        <v>231.8</v>
      </c>
      <c r="J38" s="54">
        <v>0.84</v>
      </c>
      <c r="K38" s="54">
        <v>0.84</v>
      </c>
      <c r="L38" s="55" t="s">
        <v>672</v>
      </c>
      <c r="M38" s="56">
        <v>4172.38</v>
      </c>
      <c r="N38" s="56">
        <v>0.05</v>
      </c>
      <c r="O38" s="56">
        <v>0.05</v>
      </c>
      <c r="P38" s="213">
        <v>1</v>
      </c>
    </row>
    <row r="39" spans="1:17" ht="15" customHeight="1" x14ac:dyDescent="0.35">
      <c r="A39" s="179">
        <v>829</v>
      </c>
      <c r="B39" s="179">
        <v>829</v>
      </c>
      <c r="C39" s="180">
        <v>1800054738267</v>
      </c>
      <c r="D39" s="179">
        <v>624</v>
      </c>
      <c r="E39" s="179">
        <v>624</v>
      </c>
      <c r="F39" s="180">
        <v>1800054738276</v>
      </c>
      <c r="G39" s="49" t="s">
        <v>804</v>
      </c>
      <c r="H39" s="53" t="s">
        <v>672</v>
      </c>
      <c r="I39" s="54">
        <v>53.18</v>
      </c>
      <c r="J39" s="54">
        <v>0.93</v>
      </c>
      <c r="K39" s="54">
        <v>0.93</v>
      </c>
      <c r="L39" s="55" t="s">
        <v>672</v>
      </c>
      <c r="M39" s="56">
        <v>3731.55</v>
      </c>
      <c r="N39" s="56">
        <v>0.05</v>
      </c>
      <c r="O39" s="56">
        <v>0.05</v>
      </c>
      <c r="P39" s="213">
        <v>1</v>
      </c>
    </row>
    <row r="40" spans="1:17" ht="15" customHeight="1" x14ac:dyDescent="0.35">
      <c r="A40" s="179">
        <v>830</v>
      </c>
      <c r="B40" s="179">
        <v>830</v>
      </c>
      <c r="C40" s="180">
        <v>1800053647237</v>
      </c>
      <c r="D40" s="179">
        <v>630</v>
      </c>
      <c r="E40" s="179">
        <v>630</v>
      </c>
      <c r="F40" s="180">
        <v>1800053647246</v>
      </c>
      <c r="G40" s="49" t="s">
        <v>805</v>
      </c>
      <c r="H40" s="53" t="s">
        <v>672</v>
      </c>
      <c r="I40" s="54">
        <v>33.51</v>
      </c>
      <c r="J40" s="54">
        <v>0.87</v>
      </c>
      <c r="K40" s="54">
        <v>0.87</v>
      </c>
      <c r="L40" s="55" t="s">
        <v>672</v>
      </c>
      <c r="M40" s="56" t="s">
        <v>672</v>
      </c>
      <c r="N40" s="56" t="s">
        <v>672</v>
      </c>
      <c r="O40" s="56" t="s">
        <v>672</v>
      </c>
      <c r="P40" s="212">
        <v>2</v>
      </c>
    </row>
    <row r="41" spans="1:17" ht="15" customHeight="1" x14ac:dyDescent="0.35">
      <c r="A41" s="179">
        <v>831</v>
      </c>
      <c r="B41" s="179">
        <v>831</v>
      </c>
      <c r="C41" s="180">
        <v>1800053647194</v>
      </c>
      <c r="D41" s="179">
        <v>631</v>
      </c>
      <c r="E41" s="179">
        <v>631</v>
      </c>
      <c r="F41" s="180">
        <v>1800053647200</v>
      </c>
      <c r="G41" s="49" t="s">
        <v>806</v>
      </c>
      <c r="H41" s="53" t="s">
        <v>672</v>
      </c>
      <c r="I41" s="54">
        <v>267.87</v>
      </c>
      <c r="J41" s="54">
        <v>0.99</v>
      </c>
      <c r="K41" s="54">
        <v>0.99</v>
      </c>
      <c r="L41" s="55" t="s">
        <v>672</v>
      </c>
      <c r="M41" s="56" t="s">
        <v>672</v>
      </c>
      <c r="N41" s="56" t="s">
        <v>672</v>
      </c>
      <c r="O41" s="56" t="s">
        <v>672</v>
      </c>
      <c r="P41" s="212">
        <v>2</v>
      </c>
    </row>
    <row r="42" spans="1:17" ht="15" customHeight="1" x14ac:dyDescent="0.35">
      <c r="A42" s="179">
        <v>832</v>
      </c>
      <c r="B42" s="179">
        <v>832</v>
      </c>
      <c r="C42" s="180">
        <v>1800053648027</v>
      </c>
      <c r="D42" s="179">
        <v>632</v>
      </c>
      <c r="E42" s="179">
        <v>632</v>
      </c>
      <c r="F42" s="180">
        <v>1800053648036</v>
      </c>
      <c r="G42" s="49" t="s">
        <v>807</v>
      </c>
      <c r="H42" s="53" t="s">
        <v>672</v>
      </c>
      <c r="I42" s="54">
        <v>173.58</v>
      </c>
      <c r="J42" s="54">
        <v>0.83</v>
      </c>
      <c r="K42" s="54">
        <v>0.83</v>
      </c>
      <c r="L42" s="55" t="s">
        <v>672</v>
      </c>
      <c r="M42" s="56" t="s">
        <v>672</v>
      </c>
      <c r="N42" s="56" t="s">
        <v>672</v>
      </c>
      <c r="O42" s="56" t="s">
        <v>672</v>
      </c>
      <c r="P42" s="212">
        <v>2</v>
      </c>
    </row>
    <row r="43" spans="1:17" ht="15" customHeight="1" x14ac:dyDescent="0.35">
      <c r="A43" s="179">
        <v>833</v>
      </c>
      <c r="B43" s="179">
        <v>833</v>
      </c>
      <c r="C43" s="180">
        <v>1800053648045</v>
      </c>
      <c r="D43" s="179">
        <v>633</v>
      </c>
      <c r="E43" s="179">
        <v>633</v>
      </c>
      <c r="F43" s="180">
        <v>1800053648054</v>
      </c>
      <c r="G43" s="49" t="s">
        <v>808</v>
      </c>
      <c r="H43" s="53" t="s">
        <v>672</v>
      </c>
      <c r="I43" s="54">
        <v>121.16</v>
      </c>
      <c r="J43" s="54">
        <v>0.84</v>
      </c>
      <c r="K43" s="54">
        <v>0.84</v>
      </c>
      <c r="L43" s="55" t="s">
        <v>672</v>
      </c>
      <c r="M43" s="56" t="s">
        <v>672</v>
      </c>
      <c r="N43" s="56" t="s">
        <v>672</v>
      </c>
      <c r="O43" s="56" t="s">
        <v>672</v>
      </c>
      <c r="P43" s="212">
        <v>2</v>
      </c>
    </row>
    <row r="44" spans="1:17" ht="15" customHeight="1" x14ac:dyDescent="0.35">
      <c r="A44" s="179">
        <v>834</v>
      </c>
      <c r="B44" s="179">
        <v>834</v>
      </c>
      <c r="C44" s="180">
        <v>1800053647380</v>
      </c>
      <c r="D44" s="179">
        <v>634</v>
      </c>
      <c r="E44" s="179">
        <v>634</v>
      </c>
      <c r="F44" s="180">
        <v>1800053647399</v>
      </c>
      <c r="G44" s="49" t="s">
        <v>809</v>
      </c>
      <c r="H44" s="53" t="s">
        <v>672</v>
      </c>
      <c r="I44" s="54">
        <v>120.74</v>
      </c>
      <c r="J44" s="54">
        <v>0.85</v>
      </c>
      <c r="K44" s="54">
        <v>0.85</v>
      </c>
      <c r="L44" s="55" t="s">
        <v>672</v>
      </c>
      <c r="M44" s="56" t="s">
        <v>672</v>
      </c>
      <c r="N44" s="56" t="s">
        <v>672</v>
      </c>
      <c r="O44" s="56" t="s">
        <v>672</v>
      </c>
      <c r="P44" s="212">
        <v>2</v>
      </c>
    </row>
    <row r="45" spans="1:17" ht="15" customHeight="1" x14ac:dyDescent="0.35">
      <c r="A45" s="179">
        <v>835</v>
      </c>
      <c r="B45" s="179">
        <v>835</v>
      </c>
      <c r="C45" s="180">
        <v>1800053647618</v>
      </c>
      <c r="D45" s="179">
        <v>635</v>
      </c>
      <c r="E45" s="179">
        <v>635</v>
      </c>
      <c r="F45" s="180">
        <v>1800053647627</v>
      </c>
      <c r="G45" s="49" t="s">
        <v>810</v>
      </c>
      <c r="H45" s="53" t="s">
        <v>672</v>
      </c>
      <c r="I45" s="54">
        <v>113.21</v>
      </c>
      <c r="J45" s="54">
        <v>1.25</v>
      </c>
      <c r="K45" s="54">
        <v>1.25</v>
      </c>
      <c r="L45" s="55" t="s">
        <v>672</v>
      </c>
      <c r="M45" s="56" t="s">
        <v>672</v>
      </c>
      <c r="N45" s="56" t="s">
        <v>672</v>
      </c>
      <c r="O45" s="56" t="s">
        <v>672</v>
      </c>
      <c r="P45" s="212">
        <v>2</v>
      </c>
    </row>
    <row r="46" spans="1:17" ht="15" customHeight="1" x14ac:dyDescent="0.35">
      <c r="A46" s="179">
        <v>836</v>
      </c>
      <c r="B46" s="179">
        <v>836</v>
      </c>
      <c r="C46" s="180">
        <v>1800053647636</v>
      </c>
      <c r="D46" s="179">
        <v>636</v>
      </c>
      <c r="E46" s="179">
        <v>636</v>
      </c>
      <c r="F46" s="180">
        <v>1800053647645</v>
      </c>
      <c r="G46" s="49" t="s">
        <v>811</v>
      </c>
      <c r="H46" s="53" t="s">
        <v>672</v>
      </c>
      <c r="I46" s="54">
        <v>26.57</v>
      </c>
      <c r="J46" s="54">
        <v>0.81</v>
      </c>
      <c r="K46" s="54">
        <v>0.81</v>
      </c>
      <c r="L46" s="55" t="s">
        <v>672</v>
      </c>
      <c r="M46" s="56" t="s">
        <v>672</v>
      </c>
      <c r="N46" s="56" t="s">
        <v>672</v>
      </c>
      <c r="O46" s="56" t="s">
        <v>672</v>
      </c>
      <c r="P46" s="212">
        <v>2</v>
      </c>
    </row>
    <row r="47" spans="1:17" ht="15" customHeight="1" x14ac:dyDescent="0.35">
      <c r="A47" s="179">
        <v>837</v>
      </c>
      <c r="B47" s="179">
        <v>837</v>
      </c>
      <c r="C47" s="180">
        <v>1800053653843</v>
      </c>
      <c r="D47" s="179">
        <v>637</v>
      </c>
      <c r="E47" s="179">
        <v>637</v>
      </c>
      <c r="F47" s="180">
        <v>1800053653852</v>
      </c>
      <c r="G47" s="49" t="s">
        <v>812</v>
      </c>
      <c r="H47" s="53" t="s">
        <v>672</v>
      </c>
      <c r="I47" s="54">
        <v>619.58000000000004</v>
      </c>
      <c r="J47" s="54">
        <v>0.64</v>
      </c>
      <c r="K47" s="54">
        <v>0.64</v>
      </c>
      <c r="L47" s="55" t="s">
        <v>672</v>
      </c>
      <c r="M47" s="56" t="s">
        <v>672</v>
      </c>
      <c r="N47" s="56" t="s">
        <v>672</v>
      </c>
      <c r="O47" s="56" t="s">
        <v>672</v>
      </c>
      <c r="P47" s="212">
        <v>2</v>
      </c>
    </row>
    <row r="48" spans="1:17" ht="15" customHeight="1" x14ac:dyDescent="0.35">
      <c r="A48" s="179">
        <v>838</v>
      </c>
      <c r="B48" s="179">
        <v>838</v>
      </c>
      <c r="C48" s="180">
        <v>1800053694167</v>
      </c>
      <c r="D48" s="179">
        <v>638</v>
      </c>
      <c r="E48" s="179">
        <v>638</v>
      </c>
      <c r="F48" s="180">
        <v>1800053694440</v>
      </c>
      <c r="G48" s="49" t="s">
        <v>813</v>
      </c>
      <c r="H48" s="53" t="s">
        <v>672</v>
      </c>
      <c r="I48" s="54">
        <v>7.01</v>
      </c>
      <c r="J48" s="54">
        <v>0.75</v>
      </c>
      <c r="K48" s="54">
        <v>0.75</v>
      </c>
      <c r="L48" s="55" t="s">
        <v>672</v>
      </c>
      <c r="M48" s="56">
        <v>213.48</v>
      </c>
      <c r="N48" s="56">
        <v>0.05</v>
      </c>
      <c r="O48" s="56">
        <v>0.05</v>
      </c>
      <c r="P48" s="212">
        <v>2</v>
      </c>
    </row>
    <row r="49" spans="1:18" ht="15" customHeight="1" x14ac:dyDescent="0.35">
      <c r="A49" s="179">
        <v>839</v>
      </c>
      <c r="B49" s="179">
        <v>839</v>
      </c>
      <c r="C49" s="180">
        <v>1800053950949</v>
      </c>
      <c r="D49" s="179">
        <v>639</v>
      </c>
      <c r="E49" s="179">
        <v>639</v>
      </c>
      <c r="F49" s="180">
        <v>1800053950958</v>
      </c>
      <c r="G49" s="49" t="s">
        <v>814</v>
      </c>
      <c r="H49" s="53" t="s">
        <v>672</v>
      </c>
      <c r="I49" s="54">
        <v>536.20000000000005</v>
      </c>
      <c r="J49" s="54" t="s">
        <v>672</v>
      </c>
      <c r="K49" s="54" t="s">
        <v>672</v>
      </c>
      <c r="L49" s="55" t="s">
        <v>672</v>
      </c>
      <c r="M49" s="56" t="s">
        <v>672</v>
      </c>
      <c r="N49" s="56" t="s">
        <v>672</v>
      </c>
      <c r="O49" s="56" t="s">
        <v>672</v>
      </c>
      <c r="P49" s="212">
        <v>2</v>
      </c>
    </row>
    <row r="50" spans="1:18" ht="15" customHeight="1" x14ac:dyDescent="0.35">
      <c r="A50" s="179">
        <v>840</v>
      </c>
      <c r="B50" s="179">
        <v>840</v>
      </c>
      <c r="C50" s="180">
        <v>1800053434271</v>
      </c>
      <c r="D50" s="179">
        <v>640</v>
      </c>
      <c r="E50" s="179">
        <v>640</v>
      </c>
      <c r="F50" s="180">
        <v>1800053883993</v>
      </c>
      <c r="G50" s="49" t="s">
        <v>815</v>
      </c>
      <c r="H50" s="53" t="s">
        <v>672</v>
      </c>
      <c r="I50" s="54">
        <v>761.05</v>
      </c>
      <c r="J50" s="54" t="s">
        <v>672</v>
      </c>
      <c r="K50" s="54" t="s">
        <v>672</v>
      </c>
      <c r="L50" s="55" t="s">
        <v>672</v>
      </c>
      <c r="M50" s="56" t="s">
        <v>672</v>
      </c>
      <c r="N50" s="56" t="s">
        <v>672</v>
      </c>
      <c r="O50" s="56" t="s">
        <v>672</v>
      </c>
      <c r="P50" s="218" t="s">
        <v>1395</v>
      </c>
      <c r="Q50" s="228"/>
    </row>
    <row r="51" spans="1:18" ht="15" customHeight="1" x14ac:dyDescent="0.35">
      <c r="A51" s="179">
        <v>841</v>
      </c>
      <c r="B51" s="179">
        <v>841</v>
      </c>
      <c r="C51" s="180">
        <v>1800054152982</v>
      </c>
      <c r="D51" s="179">
        <v>641</v>
      </c>
      <c r="E51" s="179">
        <v>641</v>
      </c>
      <c r="F51" s="180">
        <v>1800054152991</v>
      </c>
      <c r="G51" s="49" t="s">
        <v>816</v>
      </c>
      <c r="H51" s="53" t="s">
        <v>672</v>
      </c>
      <c r="I51" s="54">
        <v>80.84</v>
      </c>
      <c r="J51" s="54">
        <v>0.91</v>
      </c>
      <c r="K51" s="54">
        <v>0.91</v>
      </c>
      <c r="L51" s="55" t="s">
        <v>672</v>
      </c>
      <c r="M51" s="56" t="s">
        <v>672</v>
      </c>
      <c r="N51" s="56" t="s">
        <v>672</v>
      </c>
      <c r="O51" s="56" t="s">
        <v>672</v>
      </c>
      <c r="P51" s="212">
        <v>2</v>
      </c>
    </row>
    <row r="52" spans="1:18" ht="15" customHeight="1" x14ac:dyDescent="0.35">
      <c r="A52" s="179">
        <v>842</v>
      </c>
      <c r="B52" s="179">
        <v>842</v>
      </c>
      <c r="C52" s="180">
        <v>1800054198365</v>
      </c>
      <c r="D52" s="179">
        <v>642</v>
      </c>
      <c r="E52" s="179">
        <v>642</v>
      </c>
      <c r="F52" s="180">
        <v>1800054198374</v>
      </c>
      <c r="G52" s="49" t="s">
        <v>817</v>
      </c>
      <c r="H52" s="53" t="s">
        <v>672</v>
      </c>
      <c r="I52" s="54">
        <v>568.36</v>
      </c>
      <c r="J52" s="54" t="s">
        <v>672</v>
      </c>
      <c r="K52" s="54" t="s">
        <v>672</v>
      </c>
      <c r="L52" s="55" t="s">
        <v>672</v>
      </c>
      <c r="M52" s="56" t="s">
        <v>672</v>
      </c>
      <c r="N52" s="56" t="s">
        <v>672</v>
      </c>
      <c r="O52" s="56" t="s">
        <v>672</v>
      </c>
      <c r="P52" s="212">
        <v>2</v>
      </c>
    </row>
    <row r="53" spans="1:18" ht="15" customHeight="1" x14ac:dyDescent="0.35">
      <c r="A53" s="179">
        <v>843</v>
      </c>
      <c r="B53" s="179">
        <v>843</v>
      </c>
      <c r="C53" s="180">
        <v>1800054244570</v>
      </c>
      <c r="D53" s="179">
        <v>643</v>
      </c>
      <c r="E53" s="179">
        <v>643</v>
      </c>
      <c r="F53" s="180">
        <v>1800054244598</v>
      </c>
      <c r="G53" s="49" t="s">
        <v>818</v>
      </c>
      <c r="H53" s="53" t="s">
        <v>672</v>
      </c>
      <c r="I53" s="54">
        <v>955.36</v>
      </c>
      <c r="J53" s="54" t="s">
        <v>672</v>
      </c>
      <c r="K53" s="54" t="s">
        <v>672</v>
      </c>
      <c r="L53" s="55" t="s">
        <v>672</v>
      </c>
      <c r="M53" s="56">
        <v>22685.63</v>
      </c>
      <c r="N53" s="56">
        <v>0.05</v>
      </c>
      <c r="O53" s="56">
        <v>0.05</v>
      </c>
      <c r="P53" s="212">
        <v>2</v>
      </c>
    </row>
    <row r="54" spans="1:18" ht="15" customHeight="1" x14ac:dyDescent="0.35">
      <c r="A54" s="179">
        <v>844</v>
      </c>
      <c r="B54" s="179">
        <v>844</v>
      </c>
      <c r="C54" s="180">
        <v>1800054451603</v>
      </c>
      <c r="D54" s="179" t="s">
        <v>888</v>
      </c>
      <c r="E54" s="179" t="s">
        <v>888</v>
      </c>
      <c r="F54" s="180" t="s">
        <v>888</v>
      </c>
      <c r="G54" s="49" t="s">
        <v>819</v>
      </c>
      <c r="H54" s="53" t="s">
        <v>672</v>
      </c>
      <c r="I54" s="54">
        <v>450.09</v>
      </c>
      <c r="J54" s="54">
        <v>0.74</v>
      </c>
      <c r="K54" s="54">
        <v>0.74</v>
      </c>
      <c r="L54" s="55" t="s">
        <v>672</v>
      </c>
      <c r="M54" s="56" t="s">
        <v>672</v>
      </c>
      <c r="N54" s="56" t="s">
        <v>672</v>
      </c>
      <c r="O54" s="56" t="s">
        <v>672</v>
      </c>
      <c r="P54" s="212">
        <v>2</v>
      </c>
    </row>
    <row r="55" spans="1:18" ht="15" customHeight="1" x14ac:dyDescent="0.35">
      <c r="A55" s="179">
        <v>845</v>
      </c>
      <c r="B55" s="179">
        <v>845</v>
      </c>
      <c r="C55" s="180">
        <v>1800054498470</v>
      </c>
      <c r="D55" s="179">
        <v>645</v>
      </c>
      <c r="E55" s="179">
        <v>645</v>
      </c>
      <c r="F55" s="180">
        <v>1800054498480</v>
      </c>
      <c r="G55" s="49" t="s">
        <v>820</v>
      </c>
      <c r="H55" s="53" t="s">
        <v>672</v>
      </c>
      <c r="I55" s="54">
        <v>4388.53</v>
      </c>
      <c r="J55" s="54">
        <v>0.69</v>
      </c>
      <c r="K55" s="54">
        <v>0.69</v>
      </c>
      <c r="L55" s="55" t="s">
        <v>672</v>
      </c>
      <c r="M55" s="56" t="s">
        <v>672</v>
      </c>
      <c r="N55" s="56" t="s">
        <v>672</v>
      </c>
      <c r="O55" s="56" t="s">
        <v>672</v>
      </c>
      <c r="P55" s="212">
        <v>2</v>
      </c>
    </row>
    <row r="56" spans="1:18" ht="15" customHeight="1" x14ac:dyDescent="0.35">
      <c r="A56" s="179">
        <v>850</v>
      </c>
      <c r="B56" s="179">
        <v>850</v>
      </c>
      <c r="C56" s="180">
        <v>1800060251872</v>
      </c>
      <c r="D56" s="179">
        <v>650</v>
      </c>
      <c r="E56" s="179">
        <v>650</v>
      </c>
      <c r="F56" s="180">
        <v>1800060251881</v>
      </c>
      <c r="G56" s="49" t="s">
        <v>821</v>
      </c>
      <c r="H56" s="53" t="s">
        <v>672</v>
      </c>
      <c r="I56" s="54">
        <v>745.87</v>
      </c>
      <c r="J56" s="54" t="s">
        <v>672</v>
      </c>
      <c r="K56" s="54" t="s">
        <v>672</v>
      </c>
      <c r="L56" s="55" t="s">
        <v>672</v>
      </c>
      <c r="M56" s="56">
        <v>20524.580000000002</v>
      </c>
      <c r="N56" s="56">
        <v>0.05</v>
      </c>
      <c r="O56" s="56">
        <v>0.05</v>
      </c>
      <c r="P56" s="212">
        <v>2</v>
      </c>
    </row>
    <row r="57" spans="1:18" ht="15" customHeight="1" x14ac:dyDescent="0.35">
      <c r="A57" s="179">
        <v>851</v>
      </c>
      <c r="B57" s="179">
        <v>851</v>
      </c>
      <c r="C57" s="180">
        <v>1800035140431</v>
      </c>
      <c r="D57" s="179"/>
      <c r="E57" s="179"/>
      <c r="F57" s="180"/>
      <c r="G57" s="49" t="s">
        <v>822</v>
      </c>
      <c r="H57" s="53" t="s">
        <v>672</v>
      </c>
      <c r="I57" s="54">
        <v>27615.15</v>
      </c>
      <c r="J57" s="54">
        <v>2.41</v>
      </c>
      <c r="K57" s="54">
        <v>2.41</v>
      </c>
      <c r="L57" s="55"/>
      <c r="M57" s="56"/>
      <c r="N57" s="56"/>
      <c r="O57" s="56"/>
      <c r="P57" s="212">
        <v>2</v>
      </c>
    </row>
    <row r="58" spans="1:18" ht="15" customHeight="1" x14ac:dyDescent="0.35">
      <c r="A58" s="179">
        <v>852</v>
      </c>
      <c r="B58" s="179">
        <v>852</v>
      </c>
      <c r="C58" s="180">
        <v>1800060642702</v>
      </c>
      <c r="D58" s="179">
        <v>696</v>
      </c>
      <c r="E58" s="179">
        <v>696</v>
      </c>
      <c r="F58" s="180">
        <v>1800060642711</v>
      </c>
      <c r="G58" s="49" t="s">
        <v>823</v>
      </c>
      <c r="H58" s="53" t="s">
        <v>672</v>
      </c>
      <c r="I58" s="54">
        <v>225.36</v>
      </c>
      <c r="J58" s="54">
        <v>0.8</v>
      </c>
      <c r="K58" s="54">
        <v>0.8</v>
      </c>
      <c r="L58" s="55" t="s">
        <v>672</v>
      </c>
      <c r="M58" s="56">
        <v>27477.16</v>
      </c>
      <c r="N58" s="56">
        <v>0.05</v>
      </c>
      <c r="O58" s="56">
        <v>0.05</v>
      </c>
      <c r="P58" s="212">
        <v>2</v>
      </c>
    </row>
    <row r="59" spans="1:18" ht="15" customHeight="1" x14ac:dyDescent="0.35">
      <c r="A59" s="179">
        <v>853</v>
      </c>
      <c r="B59" s="179">
        <v>853</v>
      </c>
      <c r="C59" s="180">
        <v>1800035234188</v>
      </c>
      <c r="D59" s="179"/>
      <c r="E59" s="179"/>
      <c r="F59" s="180"/>
      <c r="G59" s="49" t="s">
        <v>824</v>
      </c>
      <c r="H59" s="53" t="s">
        <v>672</v>
      </c>
      <c r="I59" s="54">
        <v>29726.22</v>
      </c>
      <c r="J59" s="54">
        <v>2.81</v>
      </c>
      <c r="K59" s="54">
        <v>2.81</v>
      </c>
      <c r="L59" s="55"/>
      <c r="M59" s="56"/>
      <c r="N59" s="56"/>
      <c r="O59" s="56"/>
      <c r="P59" s="212">
        <v>2</v>
      </c>
    </row>
    <row r="60" spans="1:18" ht="15" customHeight="1" x14ac:dyDescent="0.35">
      <c r="A60" s="179">
        <v>854</v>
      </c>
      <c r="B60" s="179">
        <v>854</v>
      </c>
      <c r="C60" s="180">
        <v>1800035261359</v>
      </c>
      <c r="D60" s="179">
        <v>654</v>
      </c>
      <c r="E60" s="179">
        <v>654</v>
      </c>
      <c r="F60" s="180">
        <v>1800053946507</v>
      </c>
      <c r="G60" s="49" t="s">
        <v>825</v>
      </c>
      <c r="H60" s="53" t="s">
        <v>672</v>
      </c>
      <c r="I60" s="54">
        <v>25406.23</v>
      </c>
      <c r="J60" s="54">
        <v>2.0699999999999998</v>
      </c>
      <c r="K60" s="54">
        <v>2.0699999999999998</v>
      </c>
      <c r="L60" s="55" t="s">
        <v>672</v>
      </c>
      <c r="M60" s="56" t="s">
        <v>672</v>
      </c>
      <c r="N60" s="56" t="s">
        <v>672</v>
      </c>
      <c r="O60" s="56" t="s">
        <v>672</v>
      </c>
      <c r="P60" s="212">
        <v>2</v>
      </c>
    </row>
    <row r="61" spans="1:18" ht="15" customHeight="1" x14ac:dyDescent="0.35">
      <c r="A61" s="179">
        <v>855</v>
      </c>
      <c r="B61" s="179">
        <v>855</v>
      </c>
      <c r="C61" s="180">
        <v>1800060241304</v>
      </c>
      <c r="D61" s="179">
        <v>655</v>
      </c>
      <c r="E61" s="179">
        <v>655</v>
      </c>
      <c r="F61" s="180">
        <v>1800060241313</v>
      </c>
      <c r="G61" s="49" t="s">
        <v>826</v>
      </c>
      <c r="H61" s="53" t="s">
        <v>672</v>
      </c>
      <c r="I61" s="54">
        <v>22.72</v>
      </c>
      <c r="J61" s="54">
        <v>0.93</v>
      </c>
      <c r="K61" s="54">
        <v>0.93</v>
      </c>
      <c r="L61" s="55" t="s">
        <v>672</v>
      </c>
      <c r="M61" s="56">
        <v>1272.56</v>
      </c>
      <c r="N61" s="56">
        <v>0.05</v>
      </c>
      <c r="O61" s="56">
        <v>0.05</v>
      </c>
      <c r="P61" s="218" t="s">
        <v>1395</v>
      </c>
      <c r="R61" s="228"/>
    </row>
    <row r="62" spans="1:18" ht="15" customHeight="1" x14ac:dyDescent="0.35">
      <c r="A62" s="179">
        <v>856</v>
      </c>
      <c r="B62" s="179">
        <v>856</v>
      </c>
      <c r="C62" s="180">
        <v>1800035239460</v>
      </c>
      <c r="D62" s="179"/>
      <c r="E62" s="179"/>
      <c r="F62" s="180"/>
      <c r="G62" s="49" t="s">
        <v>827</v>
      </c>
      <c r="H62" s="53" t="s">
        <v>672</v>
      </c>
      <c r="I62" s="54">
        <v>37789.449999999997</v>
      </c>
      <c r="J62" s="54">
        <v>0.67</v>
      </c>
      <c r="K62" s="54">
        <v>0.67</v>
      </c>
      <c r="L62" s="55"/>
      <c r="M62" s="56"/>
      <c r="N62" s="56"/>
      <c r="O62" s="56"/>
      <c r="P62" s="212">
        <v>2</v>
      </c>
    </row>
    <row r="63" spans="1:18" ht="15" customHeight="1" x14ac:dyDescent="0.35">
      <c r="A63" s="179">
        <v>858</v>
      </c>
      <c r="B63" s="179">
        <v>858</v>
      </c>
      <c r="C63" s="180">
        <v>1800035327257</v>
      </c>
      <c r="D63" s="179"/>
      <c r="E63" s="179"/>
      <c r="F63" s="180"/>
      <c r="G63" s="49" t="s">
        <v>828</v>
      </c>
      <c r="H63" s="53" t="s">
        <v>672</v>
      </c>
      <c r="I63" s="54">
        <v>3821.17</v>
      </c>
      <c r="J63" s="54">
        <v>2.57</v>
      </c>
      <c r="K63" s="54">
        <v>2.57</v>
      </c>
      <c r="L63" s="55"/>
      <c r="M63" s="56"/>
      <c r="N63" s="56"/>
      <c r="O63" s="56"/>
      <c r="P63" s="212">
        <v>2</v>
      </c>
    </row>
    <row r="64" spans="1:18" ht="15" customHeight="1" x14ac:dyDescent="0.35">
      <c r="A64" s="179">
        <v>860</v>
      </c>
      <c r="B64" s="179">
        <v>860</v>
      </c>
      <c r="C64" s="180">
        <v>1800060852030</v>
      </c>
      <c r="D64" s="179">
        <v>666</v>
      </c>
      <c r="E64" s="179">
        <v>666</v>
      </c>
      <c r="F64" s="180">
        <v>1800060852049</v>
      </c>
      <c r="G64" s="49" t="s">
        <v>829</v>
      </c>
      <c r="H64" s="53" t="s">
        <v>672</v>
      </c>
      <c r="I64" s="54">
        <v>22.62</v>
      </c>
      <c r="J64" s="54">
        <v>0.68</v>
      </c>
      <c r="K64" s="54">
        <v>0.68</v>
      </c>
      <c r="L64" s="55" t="s">
        <v>672</v>
      </c>
      <c r="M64" s="56">
        <v>5134.33</v>
      </c>
      <c r="N64" s="56">
        <v>0.05</v>
      </c>
      <c r="O64" s="56">
        <v>0.05</v>
      </c>
      <c r="P64" s="212">
        <v>2</v>
      </c>
    </row>
    <row r="65" spans="1:18" ht="15" customHeight="1" x14ac:dyDescent="0.35">
      <c r="A65" s="179">
        <v>861</v>
      </c>
      <c r="B65" s="179">
        <v>861</v>
      </c>
      <c r="C65" s="180">
        <v>1800035324780</v>
      </c>
      <c r="D65" s="179"/>
      <c r="E65" s="179"/>
      <c r="F65" s="180"/>
      <c r="G65" s="49" t="s">
        <v>830</v>
      </c>
      <c r="H65" s="53" t="s">
        <v>672</v>
      </c>
      <c r="I65" s="54">
        <v>4581.2299999999996</v>
      </c>
      <c r="J65" s="54">
        <v>1.19</v>
      </c>
      <c r="K65" s="54">
        <v>1.19</v>
      </c>
      <c r="L65" s="55"/>
      <c r="M65" s="56"/>
      <c r="N65" s="56"/>
      <c r="O65" s="56"/>
      <c r="P65" s="212">
        <v>2</v>
      </c>
    </row>
    <row r="66" spans="1:18" ht="15" customHeight="1" x14ac:dyDescent="0.35">
      <c r="A66" s="179">
        <v>862</v>
      </c>
      <c r="B66" s="179">
        <v>862</v>
      </c>
      <c r="C66" s="180">
        <v>1800035317453</v>
      </c>
      <c r="D66" s="179"/>
      <c r="E66" s="179"/>
      <c r="F66" s="180"/>
      <c r="G66" s="49" t="s">
        <v>1368</v>
      </c>
      <c r="H66" s="53" t="s">
        <v>672</v>
      </c>
      <c r="I66" s="54">
        <v>91962.67</v>
      </c>
      <c r="J66" s="54">
        <v>2.85</v>
      </c>
      <c r="K66" s="54">
        <v>2.85</v>
      </c>
      <c r="L66" s="55"/>
      <c r="M66" s="56"/>
      <c r="N66" s="56"/>
      <c r="O66" s="56"/>
      <c r="P66" s="212">
        <v>2</v>
      </c>
    </row>
    <row r="67" spans="1:18" ht="15" customHeight="1" x14ac:dyDescent="0.35">
      <c r="A67" s="179">
        <v>863</v>
      </c>
      <c r="B67" s="179">
        <v>863</v>
      </c>
      <c r="C67" s="180">
        <v>1800060207438</v>
      </c>
      <c r="D67" s="179">
        <v>663</v>
      </c>
      <c r="E67" s="179">
        <v>663</v>
      </c>
      <c r="F67" s="180">
        <v>1800060207447</v>
      </c>
      <c r="G67" s="49" t="s">
        <v>831</v>
      </c>
      <c r="H67" s="53" t="s">
        <v>672</v>
      </c>
      <c r="I67" s="54">
        <v>296.39999999999998</v>
      </c>
      <c r="J67" s="54">
        <v>0.86</v>
      </c>
      <c r="K67" s="54">
        <v>0.86</v>
      </c>
      <c r="L67" s="55" t="s">
        <v>672</v>
      </c>
      <c r="M67" s="56">
        <v>8908.32</v>
      </c>
      <c r="N67" s="56">
        <v>0.05</v>
      </c>
      <c r="O67" s="56">
        <v>0.05</v>
      </c>
      <c r="P67" s="218"/>
      <c r="R67" s="228"/>
    </row>
    <row r="68" spans="1:18" ht="15" customHeight="1" x14ac:dyDescent="0.35">
      <c r="A68" s="179">
        <v>864</v>
      </c>
      <c r="B68" s="179">
        <v>864</v>
      </c>
      <c r="C68" s="180">
        <v>1800060709038</v>
      </c>
      <c r="D68" s="179">
        <v>698</v>
      </c>
      <c r="E68" s="179">
        <v>698</v>
      </c>
      <c r="F68" s="180">
        <v>1800060709047</v>
      </c>
      <c r="G68" s="49" t="s">
        <v>832</v>
      </c>
      <c r="H68" s="53" t="s">
        <v>672</v>
      </c>
      <c r="I68" s="54">
        <v>74.92</v>
      </c>
      <c r="J68" s="54">
        <v>1.48</v>
      </c>
      <c r="K68" s="54">
        <v>1.48</v>
      </c>
      <c r="L68" s="55" t="s">
        <v>672</v>
      </c>
      <c r="M68" s="56">
        <v>8230.9699999999993</v>
      </c>
      <c r="N68" s="56">
        <v>0.05</v>
      </c>
      <c r="O68" s="56">
        <v>0.05</v>
      </c>
      <c r="P68" s="212">
        <v>2</v>
      </c>
    </row>
    <row r="69" spans="1:18" ht="15" customHeight="1" x14ac:dyDescent="0.35">
      <c r="A69" s="179">
        <v>865</v>
      </c>
      <c r="B69" s="179">
        <v>865</v>
      </c>
      <c r="C69" s="180">
        <v>1800060877284</v>
      </c>
      <c r="D69" s="179">
        <v>670</v>
      </c>
      <c r="E69" s="179">
        <v>670</v>
      </c>
      <c r="F69" s="180">
        <v>1800060877293</v>
      </c>
      <c r="G69" s="49" t="s">
        <v>833</v>
      </c>
      <c r="H69" s="53" t="s">
        <v>672</v>
      </c>
      <c r="I69" s="54">
        <v>249.36</v>
      </c>
      <c r="J69" s="54">
        <v>0.91</v>
      </c>
      <c r="K69" s="54">
        <v>0.91</v>
      </c>
      <c r="L69" s="55" t="s">
        <v>672</v>
      </c>
      <c r="M69" s="56">
        <v>13122.77</v>
      </c>
      <c r="N69" s="56">
        <v>0.05</v>
      </c>
      <c r="O69" s="56">
        <v>0.05</v>
      </c>
      <c r="P69" s="212">
        <v>2</v>
      </c>
    </row>
    <row r="70" spans="1:18" ht="15" customHeight="1" x14ac:dyDescent="0.35">
      <c r="A70" s="179">
        <v>867</v>
      </c>
      <c r="B70" s="179">
        <v>867</v>
      </c>
      <c r="C70" s="180">
        <v>1800035325436</v>
      </c>
      <c r="D70" s="179"/>
      <c r="E70" s="179"/>
      <c r="F70" s="180"/>
      <c r="G70" s="49" t="s">
        <v>1369</v>
      </c>
      <c r="H70" s="53" t="s">
        <v>672</v>
      </c>
      <c r="I70" s="54">
        <v>35607.629999999997</v>
      </c>
      <c r="J70" s="54">
        <v>1.28</v>
      </c>
      <c r="K70" s="54">
        <v>1.28</v>
      </c>
      <c r="L70" s="55"/>
      <c r="M70" s="56"/>
      <c r="N70" s="56"/>
      <c r="O70" s="56"/>
      <c r="P70" s="212">
        <v>2</v>
      </c>
    </row>
    <row r="71" spans="1:18" ht="15" customHeight="1" x14ac:dyDescent="0.35">
      <c r="A71" s="179">
        <v>868</v>
      </c>
      <c r="B71" s="179">
        <v>868</v>
      </c>
      <c r="C71" s="180">
        <v>1800060809025</v>
      </c>
      <c r="D71" s="179">
        <v>664</v>
      </c>
      <c r="E71" s="179">
        <v>664</v>
      </c>
      <c r="F71" s="180">
        <v>1800060809034</v>
      </c>
      <c r="G71" s="49" t="s">
        <v>834</v>
      </c>
      <c r="H71" s="53" t="s">
        <v>672</v>
      </c>
      <c r="I71" s="54">
        <v>55.71</v>
      </c>
      <c r="J71" s="54">
        <v>0.9</v>
      </c>
      <c r="K71" s="54">
        <v>0.9</v>
      </c>
      <c r="L71" s="55" t="s">
        <v>672</v>
      </c>
      <c r="M71" s="56">
        <v>4775.3999999999996</v>
      </c>
      <c r="N71" s="56">
        <v>0.05</v>
      </c>
      <c r="O71" s="56">
        <v>0.05</v>
      </c>
      <c r="P71" s="212">
        <v>2</v>
      </c>
    </row>
    <row r="72" spans="1:18" ht="15" customHeight="1" x14ac:dyDescent="0.35">
      <c r="A72" s="179">
        <v>887</v>
      </c>
      <c r="B72" s="179">
        <v>887</v>
      </c>
      <c r="C72" s="180">
        <v>1800060749661</v>
      </c>
      <c r="D72" s="179">
        <v>706</v>
      </c>
      <c r="E72" s="179">
        <v>706</v>
      </c>
      <c r="F72" s="180">
        <v>1800060749670</v>
      </c>
      <c r="G72" s="49" t="s">
        <v>835</v>
      </c>
      <c r="H72" s="53" t="s">
        <v>672</v>
      </c>
      <c r="I72" s="54">
        <v>1171.77</v>
      </c>
      <c r="J72" s="54">
        <v>1.36</v>
      </c>
      <c r="K72" s="54">
        <v>1.36</v>
      </c>
      <c r="L72" s="55" t="s">
        <v>672</v>
      </c>
      <c r="M72" s="56">
        <v>4956.4799999999996</v>
      </c>
      <c r="N72" s="56">
        <v>0.05</v>
      </c>
      <c r="O72" s="56">
        <v>0.05</v>
      </c>
      <c r="P72" s="212">
        <v>2</v>
      </c>
    </row>
    <row r="73" spans="1:18" ht="15" customHeight="1" x14ac:dyDescent="0.35">
      <c r="A73" s="179">
        <v>873</v>
      </c>
      <c r="B73" s="179">
        <v>873</v>
      </c>
      <c r="C73" s="180">
        <v>1800060450481</v>
      </c>
      <c r="D73" s="179">
        <v>673</v>
      </c>
      <c r="E73" s="179">
        <v>673</v>
      </c>
      <c r="F73" s="180">
        <v>1800060450490</v>
      </c>
      <c r="G73" s="49" t="s">
        <v>836</v>
      </c>
      <c r="H73" s="53" t="s">
        <v>672</v>
      </c>
      <c r="I73" s="54">
        <v>216.38</v>
      </c>
      <c r="J73" s="54">
        <v>0.69</v>
      </c>
      <c r="K73" s="54">
        <v>0.69</v>
      </c>
      <c r="L73" s="55" t="s">
        <v>672</v>
      </c>
      <c r="M73" s="56">
        <v>14894.93</v>
      </c>
      <c r="N73" s="56">
        <v>0.05</v>
      </c>
      <c r="O73" s="56">
        <v>0.05</v>
      </c>
      <c r="P73" s="212">
        <v>2</v>
      </c>
    </row>
    <row r="74" spans="1:18" ht="15" customHeight="1" x14ac:dyDescent="0.35">
      <c r="A74" s="179">
        <v>874</v>
      </c>
      <c r="B74" s="179">
        <v>874</v>
      </c>
      <c r="C74" s="180">
        <v>1800060441380</v>
      </c>
      <c r="D74" s="179">
        <v>674</v>
      </c>
      <c r="E74" s="179">
        <v>674</v>
      </c>
      <c r="F74" s="180">
        <v>1800060441399</v>
      </c>
      <c r="G74" s="49" t="s">
        <v>837</v>
      </c>
      <c r="H74" s="53" t="s">
        <v>672</v>
      </c>
      <c r="I74" s="54">
        <v>383.19</v>
      </c>
      <c r="J74" s="54">
        <v>0.88</v>
      </c>
      <c r="K74" s="54">
        <v>0.88</v>
      </c>
      <c r="L74" s="55" t="s">
        <v>672</v>
      </c>
      <c r="M74" s="56">
        <v>14844.13</v>
      </c>
      <c r="N74" s="56">
        <v>0.05</v>
      </c>
      <c r="O74" s="56">
        <v>0.05</v>
      </c>
      <c r="P74" s="212">
        <v>2</v>
      </c>
    </row>
    <row r="75" spans="1:18" ht="15" customHeight="1" x14ac:dyDescent="0.35">
      <c r="A75" s="179">
        <v>875</v>
      </c>
      <c r="B75" s="179">
        <v>875</v>
      </c>
      <c r="C75" s="180">
        <v>1800060450524</v>
      </c>
      <c r="D75" s="179">
        <v>675</v>
      </c>
      <c r="E75" s="179">
        <v>675</v>
      </c>
      <c r="F75" s="180">
        <v>1800060450533</v>
      </c>
      <c r="G75" s="49" t="s">
        <v>838</v>
      </c>
      <c r="H75" s="53" t="s">
        <v>672</v>
      </c>
      <c r="I75" s="54">
        <v>176.73</v>
      </c>
      <c r="J75" s="54">
        <v>0.92</v>
      </c>
      <c r="K75" s="54">
        <v>0.92</v>
      </c>
      <c r="L75" s="55" t="s">
        <v>672</v>
      </c>
      <c r="M75" s="56">
        <v>8828.4699999999993</v>
      </c>
      <c r="N75" s="56">
        <v>0.05</v>
      </c>
      <c r="O75" s="56">
        <v>0.05</v>
      </c>
      <c r="P75" s="218" t="s">
        <v>1395</v>
      </c>
      <c r="R75" s="228"/>
    </row>
    <row r="76" spans="1:18" ht="15" customHeight="1" x14ac:dyDescent="0.35">
      <c r="A76" s="179">
        <v>876</v>
      </c>
      <c r="B76" s="179">
        <v>876</v>
      </c>
      <c r="C76" s="180">
        <v>1800060450542</v>
      </c>
      <c r="D76" s="179">
        <v>676</v>
      </c>
      <c r="E76" s="179">
        <v>676</v>
      </c>
      <c r="F76" s="180">
        <v>1800060450551</v>
      </c>
      <c r="G76" s="49" t="s">
        <v>839</v>
      </c>
      <c r="H76" s="53" t="s">
        <v>672</v>
      </c>
      <c r="I76" s="54">
        <v>176.73</v>
      </c>
      <c r="J76" s="54">
        <v>0.92</v>
      </c>
      <c r="K76" s="54">
        <v>0.92</v>
      </c>
      <c r="L76" s="55" t="s">
        <v>672</v>
      </c>
      <c r="M76" s="56">
        <v>8828.4699999999993</v>
      </c>
      <c r="N76" s="56">
        <v>0.05</v>
      </c>
      <c r="O76" s="56">
        <v>0.05</v>
      </c>
      <c r="P76" s="218" t="s">
        <v>1395</v>
      </c>
      <c r="R76" s="228"/>
    </row>
    <row r="77" spans="1:18" ht="15" customHeight="1" x14ac:dyDescent="0.35">
      <c r="A77" s="179">
        <v>877</v>
      </c>
      <c r="B77" s="179">
        <v>877</v>
      </c>
      <c r="C77" s="180">
        <v>1800060450506</v>
      </c>
      <c r="D77" s="179">
        <v>677</v>
      </c>
      <c r="E77" s="179">
        <v>677</v>
      </c>
      <c r="F77" s="180">
        <v>1800060450515</v>
      </c>
      <c r="G77" s="49" t="s">
        <v>840</v>
      </c>
      <c r="H77" s="53" t="s">
        <v>672</v>
      </c>
      <c r="I77" s="54">
        <v>193.98</v>
      </c>
      <c r="J77" s="54">
        <v>0.73</v>
      </c>
      <c r="K77" s="54">
        <v>0.73</v>
      </c>
      <c r="L77" s="55" t="s">
        <v>672</v>
      </c>
      <c r="M77" s="56">
        <v>5334.32</v>
      </c>
      <c r="N77" s="56">
        <v>0.05</v>
      </c>
      <c r="O77" s="56">
        <v>0.05</v>
      </c>
      <c r="P77" s="218" t="s">
        <v>1395</v>
      </c>
      <c r="Q77" s="228"/>
    </row>
    <row r="78" spans="1:18" ht="15" customHeight="1" x14ac:dyDescent="0.35">
      <c r="A78" s="179">
        <v>878</v>
      </c>
      <c r="B78" s="179">
        <v>878</v>
      </c>
      <c r="C78" s="180">
        <v>1800060445640</v>
      </c>
      <c r="D78" s="179">
        <v>678</v>
      </c>
      <c r="E78" s="179">
        <v>678</v>
      </c>
      <c r="F78" s="180">
        <v>1800060445659</v>
      </c>
      <c r="G78" s="49" t="s">
        <v>841</v>
      </c>
      <c r="H78" s="53" t="s">
        <v>672</v>
      </c>
      <c r="I78" s="54">
        <v>536.16</v>
      </c>
      <c r="J78" s="54">
        <v>0.66</v>
      </c>
      <c r="K78" s="54">
        <v>0.66</v>
      </c>
      <c r="L78" s="55" t="s">
        <v>672</v>
      </c>
      <c r="M78" s="56">
        <v>26295.81</v>
      </c>
      <c r="N78" s="56">
        <v>0.05</v>
      </c>
      <c r="O78" s="56">
        <v>0.05</v>
      </c>
      <c r="P78" s="218"/>
      <c r="R78" s="228"/>
    </row>
    <row r="79" spans="1:18" ht="15" customHeight="1" x14ac:dyDescent="0.35">
      <c r="A79" s="179">
        <v>879</v>
      </c>
      <c r="B79" s="179">
        <v>879</v>
      </c>
      <c r="C79" s="180">
        <v>1800060845812</v>
      </c>
      <c r="D79" s="179">
        <v>680</v>
      </c>
      <c r="E79" s="179">
        <v>680</v>
      </c>
      <c r="F79" s="180">
        <v>1800060845821</v>
      </c>
      <c r="G79" s="49" t="s">
        <v>842</v>
      </c>
      <c r="H79" s="53" t="s">
        <v>672</v>
      </c>
      <c r="I79" s="54">
        <v>307.5</v>
      </c>
      <c r="J79" s="54">
        <v>0.9</v>
      </c>
      <c r="K79" s="54">
        <v>0.9</v>
      </c>
      <c r="L79" s="55" t="s">
        <v>672</v>
      </c>
      <c r="M79" s="56">
        <v>15935.82</v>
      </c>
      <c r="N79" s="56">
        <v>0.05</v>
      </c>
      <c r="O79" s="56">
        <v>0.05</v>
      </c>
      <c r="P79" s="212">
        <v>2</v>
      </c>
    </row>
    <row r="80" spans="1:18" ht="15" customHeight="1" x14ac:dyDescent="0.35">
      <c r="A80" s="179">
        <v>880</v>
      </c>
      <c r="B80" s="179">
        <v>880</v>
      </c>
      <c r="C80" s="180">
        <v>1800060673222</v>
      </c>
      <c r="D80" s="179">
        <v>701</v>
      </c>
      <c r="E80" s="179">
        <v>701</v>
      </c>
      <c r="F80" s="180">
        <v>1800060673231</v>
      </c>
      <c r="G80" s="49" t="s">
        <v>843</v>
      </c>
      <c r="H80" s="53" t="s">
        <v>672</v>
      </c>
      <c r="I80" s="54">
        <v>158.63</v>
      </c>
      <c r="J80" s="54">
        <v>1.8</v>
      </c>
      <c r="K80" s="54">
        <v>1.8</v>
      </c>
      <c r="L80" s="55" t="s">
        <v>672</v>
      </c>
      <c r="M80" s="56">
        <v>12034.91</v>
      </c>
      <c r="N80" s="56">
        <v>0.05</v>
      </c>
      <c r="O80" s="56">
        <v>0.05</v>
      </c>
      <c r="P80" s="212">
        <v>2</v>
      </c>
    </row>
    <row r="81" spans="1:16" ht="15" customHeight="1" x14ac:dyDescent="0.35">
      <c r="A81" s="179">
        <v>881</v>
      </c>
      <c r="B81" s="179">
        <v>881</v>
      </c>
      <c r="C81" s="180">
        <v>1800060740288</v>
      </c>
      <c r="D81" s="179">
        <v>702</v>
      </c>
      <c r="E81" s="179">
        <v>702</v>
      </c>
      <c r="F81" s="180">
        <v>1800060740297</v>
      </c>
      <c r="G81" s="49" t="s">
        <v>844</v>
      </c>
      <c r="H81" s="53" t="s">
        <v>672</v>
      </c>
      <c r="I81" s="54">
        <v>529.55999999999995</v>
      </c>
      <c r="J81" s="54">
        <v>0.68</v>
      </c>
      <c r="K81" s="54">
        <v>0.68</v>
      </c>
      <c r="L81" s="55" t="s">
        <v>672</v>
      </c>
      <c r="M81" s="56">
        <v>31667.55</v>
      </c>
      <c r="N81" s="56">
        <v>0.05</v>
      </c>
      <c r="O81" s="56">
        <v>0.05</v>
      </c>
      <c r="P81" s="212">
        <v>2</v>
      </c>
    </row>
    <row r="82" spans="1:16" ht="15" customHeight="1" x14ac:dyDescent="0.35">
      <c r="A82" s="179">
        <v>882</v>
      </c>
      <c r="B82" s="179">
        <v>882</v>
      </c>
      <c r="C82" s="180">
        <v>1800060769738</v>
      </c>
      <c r="D82" s="179">
        <v>687</v>
      </c>
      <c r="E82" s="179">
        <v>687</v>
      </c>
      <c r="F82" s="180">
        <v>1800060769747</v>
      </c>
      <c r="G82" s="49" t="s">
        <v>845</v>
      </c>
      <c r="H82" s="53" t="s">
        <v>672</v>
      </c>
      <c r="I82" s="54">
        <v>63.43</v>
      </c>
      <c r="J82" s="54">
        <v>1.02</v>
      </c>
      <c r="K82" s="54">
        <v>1.02</v>
      </c>
      <c r="L82" s="55" t="s">
        <v>672</v>
      </c>
      <c r="M82" s="56">
        <v>4275.71</v>
      </c>
      <c r="N82" s="56">
        <v>0.05</v>
      </c>
      <c r="O82" s="56">
        <v>0.05</v>
      </c>
      <c r="P82" s="212">
        <v>2</v>
      </c>
    </row>
    <row r="83" spans="1:16" ht="15" customHeight="1" x14ac:dyDescent="0.35">
      <c r="A83" s="179">
        <v>883</v>
      </c>
      <c r="B83" s="179">
        <v>883</v>
      </c>
      <c r="C83" s="180">
        <v>1800053647742</v>
      </c>
      <c r="D83" s="179">
        <v>636</v>
      </c>
      <c r="E83" s="179">
        <v>636</v>
      </c>
      <c r="F83" s="180">
        <v>1800053647751</v>
      </c>
      <c r="G83" s="49" t="s">
        <v>846</v>
      </c>
      <c r="H83" s="53" t="s">
        <v>672</v>
      </c>
      <c r="I83" s="54">
        <v>76.84</v>
      </c>
      <c r="J83" s="54">
        <v>0.81</v>
      </c>
      <c r="K83" s="54">
        <v>0.81</v>
      </c>
      <c r="L83" s="55" t="s">
        <v>672</v>
      </c>
      <c r="M83" s="56" t="s">
        <v>672</v>
      </c>
      <c r="N83" s="56" t="s">
        <v>672</v>
      </c>
      <c r="O83" s="56" t="s">
        <v>672</v>
      </c>
      <c r="P83" s="212">
        <v>2</v>
      </c>
    </row>
    <row r="84" spans="1:16" ht="15" customHeight="1" x14ac:dyDescent="0.35">
      <c r="A84" s="179">
        <v>884</v>
      </c>
      <c r="B84" s="179">
        <v>884</v>
      </c>
      <c r="C84" s="180">
        <v>1800060683693</v>
      </c>
      <c r="D84" s="179">
        <v>679</v>
      </c>
      <c r="E84" s="179">
        <v>679</v>
      </c>
      <c r="F84" s="180">
        <v>1800060683709</v>
      </c>
      <c r="G84" s="49" t="s">
        <v>847</v>
      </c>
      <c r="H84" s="53" t="s">
        <v>672</v>
      </c>
      <c r="I84" s="54">
        <v>577.30999999999995</v>
      </c>
      <c r="J84" s="54">
        <v>0.68</v>
      </c>
      <c r="K84" s="54">
        <v>0.68</v>
      </c>
      <c r="L84" s="55" t="s">
        <v>672</v>
      </c>
      <c r="M84" s="56">
        <v>11647.13</v>
      </c>
      <c r="N84" s="56">
        <v>0.05</v>
      </c>
      <c r="O84" s="56">
        <v>0.05</v>
      </c>
      <c r="P84" s="212">
        <v>2</v>
      </c>
    </row>
    <row r="85" spans="1:16" ht="15" customHeight="1" x14ac:dyDescent="0.35">
      <c r="A85" s="179">
        <v>888</v>
      </c>
      <c r="B85" s="179">
        <v>888</v>
      </c>
      <c r="C85" s="180">
        <v>1800060817230</v>
      </c>
      <c r="D85" s="179" t="s">
        <v>889</v>
      </c>
      <c r="E85" s="179" t="s">
        <v>889</v>
      </c>
      <c r="F85" s="180" t="s">
        <v>889</v>
      </c>
      <c r="G85" s="49" t="s">
        <v>848</v>
      </c>
      <c r="H85" s="53" t="s">
        <v>672</v>
      </c>
      <c r="I85" s="54">
        <v>111.65</v>
      </c>
      <c r="J85" s="54">
        <v>0.78</v>
      </c>
      <c r="K85" s="54">
        <v>0.78</v>
      </c>
      <c r="L85" s="55" t="s">
        <v>672</v>
      </c>
      <c r="M85" s="56">
        <v>14492.4</v>
      </c>
      <c r="N85" s="56">
        <v>0.05</v>
      </c>
      <c r="O85" s="56">
        <v>0.05</v>
      </c>
      <c r="P85" s="212">
        <v>2</v>
      </c>
    </row>
    <row r="86" spans="1:16" ht="15" customHeight="1" x14ac:dyDescent="0.35">
      <c r="A86" s="179">
        <v>889</v>
      </c>
      <c r="B86" s="179">
        <v>889</v>
      </c>
      <c r="C86" s="180">
        <v>1800060819273</v>
      </c>
      <c r="D86" s="179">
        <v>708</v>
      </c>
      <c r="E86" s="179">
        <v>708</v>
      </c>
      <c r="F86" s="180">
        <v>1800060819282</v>
      </c>
      <c r="G86" s="49" t="s">
        <v>849</v>
      </c>
      <c r="H86" s="53" t="s">
        <v>672</v>
      </c>
      <c r="I86" s="54">
        <v>237.54</v>
      </c>
      <c r="J86" s="54">
        <v>0.69</v>
      </c>
      <c r="K86" s="54">
        <v>0.69</v>
      </c>
      <c r="L86" s="55" t="s">
        <v>672</v>
      </c>
      <c r="M86" s="56">
        <v>35880.370000000003</v>
      </c>
      <c r="N86" s="56">
        <v>0.05</v>
      </c>
      <c r="O86" s="56">
        <v>0.05</v>
      </c>
      <c r="P86" s="212">
        <v>2</v>
      </c>
    </row>
    <row r="87" spans="1:16" ht="15" customHeight="1" x14ac:dyDescent="0.35">
      <c r="A87" s="179">
        <v>891</v>
      </c>
      <c r="B87" s="179">
        <v>891</v>
      </c>
      <c r="C87" s="180">
        <v>1800060863723</v>
      </c>
      <c r="D87" s="179">
        <v>668</v>
      </c>
      <c r="E87" s="179">
        <v>668</v>
      </c>
      <c r="F87" s="180">
        <v>1800060863732</v>
      </c>
      <c r="G87" s="49" t="s">
        <v>850</v>
      </c>
      <c r="H87" s="53" t="s">
        <v>672</v>
      </c>
      <c r="I87" s="54">
        <v>58.31</v>
      </c>
      <c r="J87" s="54">
        <v>0.97</v>
      </c>
      <c r="K87" s="54">
        <v>0.97</v>
      </c>
      <c r="L87" s="55" t="s">
        <v>672</v>
      </c>
      <c r="M87" s="56">
        <v>10354.870000000001</v>
      </c>
      <c r="N87" s="56">
        <v>0.05</v>
      </c>
      <c r="O87" s="56">
        <v>0.05</v>
      </c>
      <c r="P87" s="212">
        <v>2</v>
      </c>
    </row>
    <row r="88" spans="1:16" ht="15" customHeight="1" x14ac:dyDescent="0.35">
      <c r="A88" s="179">
        <v>892</v>
      </c>
      <c r="B88" s="179">
        <v>892</v>
      </c>
      <c r="C88" s="180">
        <v>1800060872755</v>
      </c>
      <c r="D88" s="179">
        <v>669</v>
      </c>
      <c r="E88" s="179">
        <v>669</v>
      </c>
      <c r="F88" s="180">
        <v>1800060872764</v>
      </c>
      <c r="G88" s="49" t="s">
        <v>851</v>
      </c>
      <c r="H88" s="53" t="s">
        <v>672</v>
      </c>
      <c r="I88" s="54">
        <v>299.93</v>
      </c>
      <c r="J88" s="54">
        <v>0.66</v>
      </c>
      <c r="K88" s="54">
        <v>0.66</v>
      </c>
      <c r="L88" s="55" t="s">
        <v>672</v>
      </c>
      <c r="M88" s="56">
        <v>27058.240000000002</v>
      </c>
      <c r="N88" s="56">
        <v>0.05</v>
      </c>
      <c r="O88" s="56">
        <v>0.05</v>
      </c>
      <c r="P88" s="212">
        <v>2</v>
      </c>
    </row>
    <row r="89" spans="1:16" ht="15" customHeight="1" x14ac:dyDescent="0.35">
      <c r="A89" s="179" t="s">
        <v>752</v>
      </c>
      <c r="B89" s="179" t="s">
        <v>752</v>
      </c>
      <c r="C89" s="180" t="s">
        <v>752</v>
      </c>
      <c r="D89" s="179"/>
      <c r="E89" s="179"/>
      <c r="F89" s="180"/>
      <c r="G89" s="49" t="s">
        <v>852</v>
      </c>
      <c r="H89" s="53" t="s">
        <v>672</v>
      </c>
      <c r="I89" s="54">
        <v>9458.5</v>
      </c>
      <c r="J89" s="54">
        <v>0.82</v>
      </c>
      <c r="K89" s="54">
        <v>0.82</v>
      </c>
      <c r="L89" s="55"/>
      <c r="M89" s="56"/>
      <c r="N89" s="56"/>
      <c r="O89" s="56"/>
      <c r="P89" s="212">
        <v>2</v>
      </c>
    </row>
    <row r="90" spans="1:16" ht="15" customHeight="1" x14ac:dyDescent="0.35">
      <c r="A90" s="179" t="s">
        <v>753</v>
      </c>
      <c r="B90" s="179" t="s">
        <v>753</v>
      </c>
      <c r="C90" s="180" t="s">
        <v>753</v>
      </c>
      <c r="D90" s="179"/>
      <c r="E90" s="179"/>
      <c r="F90" s="180"/>
      <c r="G90" s="49" t="s">
        <v>853</v>
      </c>
      <c r="H90" s="53" t="s">
        <v>672</v>
      </c>
      <c r="I90" s="54">
        <v>9458.5</v>
      </c>
      <c r="J90" s="54">
        <v>0.75</v>
      </c>
      <c r="K90" s="54">
        <v>0.75</v>
      </c>
      <c r="L90" s="55"/>
      <c r="M90" s="56"/>
      <c r="N90" s="56"/>
      <c r="O90" s="56"/>
      <c r="P90" s="212">
        <v>2</v>
      </c>
    </row>
    <row r="91" spans="1:16" ht="15" customHeight="1" x14ac:dyDescent="0.35">
      <c r="A91" s="179" t="s">
        <v>754</v>
      </c>
      <c r="B91" s="179" t="s">
        <v>754</v>
      </c>
      <c r="C91" s="180" t="s">
        <v>754</v>
      </c>
      <c r="D91" s="179" t="s">
        <v>754</v>
      </c>
      <c r="E91" s="179" t="s">
        <v>754</v>
      </c>
      <c r="F91" s="180" t="s">
        <v>754</v>
      </c>
      <c r="G91" s="49" t="s">
        <v>854</v>
      </c>
      <c r="H91" s="53" t="s">
        <v>672</v>
      </c>
      <c r="I91" s="54">
        <v>3747.69</v>
      </c>
      <c r="J91" s="54">
        <v>0.65</v>
      </c>
      <c r="K91" s="54">
        <v>0.65</v>
      </c>
      <c r="L91" s="55" t="s">
        <v>672</v>
      </c>
      <c r="M91" s="56">
        <v>21669.1</v>
      </c>
      <c r="N91" s="56">
        <v>0.05</v>
      </c>
      <c r="O91" s="56">
        <v>0.05</v>
      </c>
      <c r="P91" s="212">
        <v>2</v>
      </c>
    </row>
    <row r="92" spans="1:16" ht="15" customHeight="1" x14ac:dyDescent="0.35">
      <c r="A92" s="179" t="s">
        <v>755</v>
      </c>
      <c r="B92" s="179" t="s">
        <v>755</v>
      </c>
      <c r="C92" s="180" t="s">
        <v>755</v>
      </c>
      <c r="D92" s="179" t="s">
        <v>755</v>
      </c>
      <c r="E92" s="179" t="s">
        <v>755</v>
      </c>
      <c r="F92" s="180" t="s">
        <v>755</v>
      </c>
      <c r="G92" s="49" t="s">
        <v>855</v>
      </c>
      <c r="H92" s="53" t="s">
        <v>672</v>
      </c>
      <c r="I92" s="54">
        <v>239.52</v>
      </c>
      <c r="J92" s="54">
        <v>1.24</v>
      </c>
      <c r="K92" s="54">
        <v>1.24</v>
      </c>
      <c r="L92" s="55" t="s">
        <v>672</v>
      </c>
      <c r="M92" s="56">
        <v>8437.2800000000007</v>
      </c>
      <c r="N92" s="56">
        <v>0.05</v>
      </c>
      <c r="O92" s="56">
        <v>0.05</v>
      </c>
      <c r="P92" s="212">
        <v>2</v>
      </c>
    </row>
    <row r="93" spans="1:16" ht="15" customHeight="1" x14ac:dyDescent="0.35">
      <c r="A93" s="179">
        <v>847</v>
      </c>
      <c r="B93" s="179">
        <v>847</v>
      </c>
      <c r="C93" s="180">
        <v>1800060931899</v>
      </c>
      <c r="D93" s="179" t="s">
        <v>890</v>
      </c>
      <c r="E93" s="179" t="s">
        <v>890</v>
      </c>
      <c r="F93" s="180" t="s">
        <v>890</v>
      </c>
      <c r="G93" s="49" t="s">
        <v>856</v>
      </c>
      <c r="H93" s="53" t="s">
        <v>672</v>
      </c>
      <c r="I93" s="54">
        <v>126.81</v>
      </c>
      <c r="J93" s="54">
        <v>0.8</v>
      </c>
      <c r="K93" s="54">
        <v>0.8</v>
      </c>
      <c r="L93" s="55" t="s">
        <v>672</v>
      </c>
      <c r="M93" s="56">
        <v>13279.68</v>
      </c>
      <c r="N93" s="56">
        <v>0.05</v>
      </c>
      <c r="O93" s="56">
        <v>0.05</v>
      </c>
      <c r="P93" s="212">
        <v>3</v>
      </c>
    </row>
    <row r="94" spans="1:16" ht="15" customHeight="1" x14ac:dyDescent="0.35">
      <c r="A94" s="179" t="s">
        <v>756</v>
      </c>
      <c r="B94" s="179" t="s">
        <v>756</v>
      </c>
      <c r="C94" s="180" t="s">
        <v>756</v>
      </c>
      <c r="D94" s="179" t="s">
        <v>756</v>
      </c>
      <c r="E94" s="179" t="s">
        <v>756</v>
      </c>
      <c r="F94" s="180" t="s">
        <v>756</v>
      </c>
      <c r="G94" s="49" t="s">
        <v>857</v>
      </c>
      <c r="H94" s="53" t="s">
        <v>672</v>
      </c>
      <c r="I94" s="54">
        <v>192.03</v>
      </c>
      <c r="J94" s="54">
        <v>1.1000000000000001</v>
      </c>
      <c r="K94" s="54">
        <v>1.1000000000000001</v>
      </c>
      <c r="L94" s="55" t="s">
        <v>672</v>
      </c>
      <c r="M94" s="56">
        <v>26202.86</v>
      </c>
      <c r="N94" s="56">
        <v>0.05</v>
      </c>
      <c r="O94" s="56">
        <v>0.05</v>
      </c>
      <c r="P94" s="212">
        <v>3</v>
      </c>
    </row>
    <row r="95" spans="1:16" ht="15" customHeight="1" x14ac:dyDescent="0.35">
      <c r="A95" s="179" t="s">
        <v>757</v>
      </c>
      <c r="B95" s="179" t="s">
        <v>757</v>
      </c>
      <c r="C95" s="180" t="s">
        <v>757</v>
      </c>
      <c r="D95" s="179" t="s">
        <v>757</v>
      </c>
      <c r="E95" s="179" t="s">
        <v>757</v>
      </c>
      <c r="F95" s="180" t="s">
        <v>757</v>
      </c>
      <c r="G95" s="49" t="s">
        <v>858</v>
      </c>
      <c r="H95" s="53" t="s">
        <v>672</v>
      </c>
      <c r="I95" s="54">
        <v>2010.95</v>
      </c>
      <c r="J95" s="54">
        <v>0.63</v>
      </c>
      <c r="K95" s="54">
        <v>0.63</v>
      </c>
      <c r="L95" s="55" t="s">
        <v>672</v>
      </c>
      <c r="M95" s="56">
        <v>47580.43</v>
      </c>
      <c r="N95" s="56">
        <v>0.05</v>
      </c>
      <c r="O95" s="56">
        <v>0.05</v>
      </c>
      <c r="P95" s="212">
        <v>3</v>
      </c>
    </row>
    <row r="96" spans="1:16" ht="15" customHeight="1" x14ac:dyDescent="0.35">
      <c r="A96" s="179" t="s">
        <v>758</v>
      </c>
      <c r="B96" s="179" t="s">
        <v>758</v>
      </c>
      <c r="C96" s="180" t="s">
        <v>758</v>
      </c>
      <c r="D96" s="179" t="s">
        <v>758</v>
      </c>
      <c r="E96" s="179" t="s">
        <v>758</v>
      </c>
      <c r="F96" s="180" t="s">
        <v>758</v>
      </c>
      <c r="G96" s="49" t="s">
        <v>859</v>
      </c>
      <c r="H96" s="53" t="s">
        <v>672</v>
      </c>
      <c r="I96" s="54">
        <v>324.72000000000003</v>
      </c>
      <c r="J96" s="54">
        <v>0.7</v>
      </c>
      <c r="K96" s="54">
        <v>0.7</v>
      </c>
      <c r="L96" s="55" t="s">
        <v>672</v>
      </c>
      <c r="M96" s="56">
        <v>15816.45</v>
      </c>
      <c r="N96" s="56">
        <v>0.05</v>
      </c>
      <c r="O96" s="56">
        <v>0.05</v>
      </c>
      <c r="P96" s="212">
        <v>3</v>
      </c>
    </row>
    <row r="97" spans="1:18" ht="15" customHeight="1" x14ac:dyDescent="0.35">
      <c r="A97" s="179" t="s">
        <v>759</v>
      </c>
      <c r="B97" s="179" t="s">
        <v>759</v>
      </c>
      <c r="C97" s="180" t="s">
        <v>759</v>
      </c>
      <c r="D97" s="179" t="s">
        <v>759</v>
      </c>
      <c r="E97" s="179" t="s">
        <v>759</v>
      </c>
      <c r="F97" s="180" t="s">
        <v>759</v>
      </c>
      <c r="G97" s="49" t="s">
        <v>860</v>
      </c>
      <c r="H97" s="53" t="s">
        <v>672</v>
      </c>
      <c r="I97" s="54">
        <v>45.96</v>
      </c>
      <c r="J97" s="54">
        <v>0.91</v>
      </c>
      <c r="K97" s="54">
        <v>0.91</v>
      </c>
      <c r="L97" s="55" t="s">
        <v>672</v>
      </c>
      <c r="M97" s="56">
        <v>10828.81</v>
      </c>
      <c r="N97" s="56">
        <v>0.05</v>
      </c>
      <c r="O97" s="56">
        <v>0.05</v>
      </c>
      <c r="P97" s="212">
        <v>3</v>
      </c>
    </row>
    <row r="98" spans="1:18" ht="15" customHeight="1" x14ac:dyDescent="0.35">
      <c r="A98" s="179">
        <v>310</v>
      </c>
      <c r="B98" s="179">
        <v>310</v>
      </c>
      <c r="C98" s="180">
        <v>1800036579036</v>
      </c>
      <c r="D98" s="179"/>
      <c r="E98" s="179"/>
      <c r="F98" s="180"/>
      <c r="G98" s="49" t="s">
        <v>1370</v>
      </c>
      <c r="H98" s="53" t="s">
        <v>672</v>
      </c>
      <c r="I98" s="54">
        <v>3271.72</v>
      </c>
      <c r="J98" s="54">
        <v>3.58</v>
      </c>
      <c r="K98" s="54">
        <v>3.58</v>
      </c>
      <c r="L98" s="55"/>
      <c r="M98" s="56"/>
      <c r="N98" s="56"/>
      <c r="O98" s="56"/>
      <c r="P98" s="212">
        <v>3</v>
      </c>
    </row>
    <row r="99" spans="1:18" ht="15" customHeight="1" x14ac:dyDescent="0.35">
      <c r="A99" s="179">
        <v>311</v>
      </c>
      <c r="B99" s="179">
        <v>311</v>
      </c>
      <c r="C99" s="180">
        <v>1800035324497</v>
      </c>
      <c r="D99" s="179"/>
      <c r="E99" s="179"/>
      <c r="F99" s="180"/>
      <c r="G99" s="49" t="s">
        <v>1371</v>
      </c>
      <c r="H99" s="53" t="s">
        <v>672</v>
      </c>
      <c r="I99" s="54">
        <v>3271.72</v>
      </c>
      <c r="J99" s="54">
        <v>1.6</v>
      </c>
      <c r="K99" s="54">
        <v>1.6</v>
      </c>
      <c r="L99" s="55"/>
      <c r="M99" s="56"/>
      <c r="N99" s="56"/>
      <c r="O99" s="56"/>
      <c r="P99" s="212">
        <v>3</v>
      </c>
    </row>
    <row r="100" spans="1:18" ht="15" customHeight="1" x14ac:dyDescent="0.35">
      <c r="A100" s="179">
        <v>312</v>
      </c>
      <c r="B100" s="179">
        <v>312</v>
      </c>
      <c r="C100" s="180">
        <v>1800035324530</v>
      </c>
      <c r="D100" s="179"/>
      <c r="E100" s="179"/>
      <c r="F100" s="180"/>
      <c r="G100" s="49" t="s">
        <v>1372</v>
      </c>
      <c r="H100" s="53" t="s">
        <v>672</v>
      </c>
      <c r="I100" s="54">
        <v>9854.6200000000008</v>
      </c>
      <c r="J100" s="54">
        <v>3.9</v>
      </c>
      <c r="K100" s="54">
        <v>3.9</v>
      </c>
      <c r="L100" s="55"/>
      <c r="M100" s="56"/>
      <c r="N100" s="56"/>
      <c r="O100" s="56"/>
      <c r="P100" s="212">
        <v>3</v>
      </c>
    </row>
    <row r="101" spans="1:18" ht="15" customHeight="1" x14ac:dyDescent="0.35">
      <c r="A101" s="179">
        <v>314</v>
      </c>
      <c r="B101" s="179">
        <v>314</v>
      </c>
      <c r="C101" s="180">
        <v>1800035327674</v>
      </c>
      <c r="D101" s="179"/>
      <c r="E101" s="179"/>
      <c r="F101" s="180"/>
      <c r="G101" s="49" t="s">
        <v>1373</v>
      </c>
      <c r="H101" s="53" t="s">
        <v>672</v>
      </c>
      <c r="I101" s="54">
        <v>3271.72</v>
      </c>
      <c r="J101" s="54">
        <v>2.11</v>
      </c>
      <c r="K101" s="54">
        <v>2.11</v>
      </c>
      <c r="L101" s="55"/>
      <c r="M101" s="56"/>
      <c r="N101" s="56"/>
      <c r="O101" s="56"/>
      <c r="P101" s="212">
        <v>3</v>
      </c>
    </row>
    <row r="102" spans="1:18" ht="15" customHeight="1" x14ac:dyDescent="0.35">
      <c r="A102" s="179">
        <v>315</v>
      </c>
      <c r="B102" s="179">
        <v>315</v>
      </c>
      <c r="C102" s="180">
        <v>1800035313398</v>
      </c>
      <c r="D102" s="179"/>
      <c r="E102" s="179"/>
      <c r="F102" s="180"/>
      <c r="G102" s="49" t="s">
        <v>1374</v>
      </c>
      <c r="H102" s="53" t="s">
        <v>672</v>
      </c>
      <c r="I102" s="54">
        <v>24976.92</v>
      </c>
      <c r="J102" s="54">
        <v>3.43</v>
      </c>
      <c r="K102" s="54">
        <v>3.43</v>
      </c>
      <c r="L102" s="55"/>
      <c r="M102" s="56"/>
      <c r="N102" s="56"/>
      <c r="O102" s="56"/>
      <c r="P102" s="212">
        <v>3</v>
      </c>
    </row>
    <row r="103" spans="1:18" ht="15" customHeight="1" x14ac:dyDescent="0.35">
      <c r="A103" s="179">
        <v>316</v>
      </c>
      <c r="B103" s="179">
        <v>316</v>
      </c>
      <c r="C103" s="180">
        <v>1800035344100</v>
      </c>
      <c r="D103" s="179"/>
      <c r="E103" s="179"/>
      <c r="F103" s="180"/>
      <c r="G103" s="49" t="s">
        <v>1375</v>
      </c>
      <c r="H103" s="53" t="s">
        <v>672</v>
      </c>
      <c r="I103" s="54">
        <v>3271.72</v>
      </c>
      <c r="J103" s="54">
        <v>2.57</v>
      </c>
      <c r="K103" s="54">
        <v>2.57</v>
      </c>
      <c r="L103" s="55"/>
      <c r="M103" s="56"/>
      <c r="N103" s="56"/>
      <c r="O103" s="56"/>
      <c r="P103" s="212">
        <v>3</v>
      </c>
    </row>
    <row r="104" spans="1:18" ht="15" customHeight="1" x14ac:dyDescent="0.35">
      <c r="A104" s="179">
        <v>318</v>
      </c>
      <c r="B104" s="179">
        <v>318</v>
      </c>
      <c r="C104" s="180">
        <v>1800035337584</v>
      </c>
      <c r="D104" s="179"/>
      <c r="E104" s="179"/>
      <c r="F104" s="180"/>
      <c r="G104" s="49" t="s">
        <v>1376</v>
      </c>
      <c r="H104" s="53" t="s">
        <v>672</v>
      </c>
      <c r="I104" s="54">
        <v>3271.72</v>
      </c>
      <c r="J104" s="54">
        <v>0.93</v>
      </c>
      <c r="K104" s="54">
        <v>0.93</v>
      </c>
      <c r="L104" s="55"/>
      <c r="M104" s="56"/>
      <c r="N104" s="56"/>
      <c r="O104" s="56"/>
      <c r="P104" s="212">
        <v>3</v>
      </c>
    </row>
    <row r="105" spans="1:18" ht="15" customHeight="1" x14ac:dyDescent="0.35">
      <c r="A105" s="179">
        <v>319</v>
      </c>
      <c r="B105" s="179">
        <v>319</v>
      </c>
      <c r="C105" s="180">
        <v>1800035331634</v>
      </c>
      <c r="D105" s="179"/>
      <c r="E105" s="179"/>
      <c r="F105" s="180"/>
      <c r="G105" s="49" t="s">
        <v>1377</v>
      </c>
      <c r="H105" s="53" t="s">
        <v>672</v>
      </c>
      <c r="I105" s="54">
        <v>9854.6200000000008</v>
      </c>
      <c r="J105" s="54">
        <v>3.06</v>
      </c>
      <c r="K105" s="54">
        <v>3.06</v>
      </c>
      <c r="L105" s="55"/>
      <c r="M105" s="56"/>
      <c r="N105" s="56"/>
      <c r="O105" s="56"/>
      <c r="P105" s="212">
        <v>3</v>
      </c>
    </row>
    <row r="106" spans="1:18" ht="15" customHeight="1" x14ac:dyDescent="0.35">
      <c r="A106" s="179">
        <v>320</v>
      </c>
      <c r="B106" s="179">
        <v>320</v>
      </c>
      <c r="C106" s="180">
        <v>1800035340220</v>
      </c>
      <c r="D106" s="179"/>
      <c r="E106" s="179"/>
      <c r="F106" s="180"/>
      <c r="G106" s="49" t="s">
        <v>1378</v>
      </c>
      <c r="H106" s="53" t="s">
        <v>672</v>
      </c>
      <c r="I106" s="54">
        <v>19824.560000000001</v>
      </c>
      <c r="J106" s="54">
        <v>3.08</v>
      </c>
      <c r="K106" s="54">
        <v>3.08</v>
      </c>
      <c r="L106" s="55"/>
      <c r="M106" s="56"/>
      <c r="N106" s="56"/>
      <c r="O106" s="56"/>
      <c r="P106" s="212">
        <v>3</v>
      </c>
    </row>
    <row r="107" spans="1:18" ht="15" customHeight="1" x14ac:dyDescent="0.35">
      <c r="A107" s="179">
        <v>321</v>
      </c>
      <c r="B107" s="179">
        <v>321</v>
      </c>
      <c r="C107" s="180">
        <v>1800035346589</v>
      </c>
      <c r="D107" s="179"/>
      <c r="E107" s="179"/>
      <c r="F107" s="180"/>
      <c r="G107" s="49" t="s">
        <v>1379</v>
      </c>
      <c r="H107" s="53" t="s">
        <v>672</v>
      </c>
      <c r="I107" s="54">
        <v>10250.74</v>
      </c>
      <c r="J107" s="54">
        <v>4.38</v>
      </c>
      <c r="K107" s="54">
        <v>4.38</v>
      </c>
      <c r="L107" s="55"/>
      <c r="M107" s="56"/>
      <c r="N107" s="56"/>
      <c r="O107" s="56"/>
      <c r="P107" s="212">
        <v>3</v>
      </c>
    </row>
    <row r="108" spans="1:18" ht="15" customHeight="1" x14ac:dyDescent="0.35">
      <c r="A108" s="179">
        <v>322</v>
      </c>
      <c r="B108" s="179">
        <v>322</v>
      </c>
      <c r="C108" s="180">
        <v>1800035346817</v>
      </c>
      <c r="D108" s="179"/>
      <c r="E108" s="179"/>
      <c r="F108" s="180"/>
      <c r="G108" s="49" t="s">
        <v>1380</v>
      </c>
      <c r="H108" s="53" t="s">
        <v>672</v>
      </c>
      <c r="I108" s="54">
        <v>3271.72</v>
      </c>
      <c r="J108" s="54">
        <v>4.6900000000000004</v>
      </c>
      <c r="K108" s="54">
        <v>4.6900000000000004</v>
      </c>
      <c r="L108" s="55"/>
      <c r="M108" s="56"/>
      <c r="N108" s="56"/>
      <c r="O108" s="56"/>
      <c r="P108" s="212">
        <v>3</v>
      </c>
    </row>
    <row r="109" spans="1:18" ht="15" customHeight="1" x14ac:dyDescent="0.35">
      <c r="A109" s="179">
        <v>323</v>
      </c>
      <c r="B109" s="179">
        <v>323</v>
      </c>
      <c r="C109" s="180">
        <v>1800035326848</v>
      </c>
      <c r="D109" s="179"/>
      <c r="E109" s="179"/>
      <c r="F109" s="180"/>
      <c r="G109" s="49" t="s">
        <v>1381</v>
      </c>
      <c r="H109" s="53" t="s">
        <v>672</v>
      </c>
      <c r="I109" s="54">
        <v>14677.73</v>
      </c>
      <c r="J109" s="54">
        <v>1.53</v>
      </c>
      <c r="K109" s="54">
        <v>1.53</v>
      </c>
      <c r="L109" s="55"/>
      <c r="M109" s="56"/>
      <c r="N109" s="56"/>
      <c r="O109" s="56"/>
      <c r="P109" s="212">
        <v>3</v>
      </c>
    </row>
    <row r="110" spans="1:18" ht="15" customHeight="1" x14ac:dyDescent="0.35">
      <c r="A110" s="179">
        <v>324</v>
      </c>
      <c r="B110" s="179">
        <v>324</v>
      </c>
      <c r="C110" s="180">
        <v>1800035334227</v>
      </c>
      <c r="D110" s="179"/>
      <c r="E110" s="179"/>
      <c r="F110" s="180"/>
      <c r="G110" s="49" t="s">
        <v>1382</v>
      </c>
      <c r="H110" s="53" t="s">
        <v>672</v>
      </c>
      <c r="I110" s="54">
        <v>42366.73</v>
      </c>
      <c r="J110" s="54">
        <v>1.49</v>
      </c>
      <c r="K110" s="54">
        <v>1.49</v>
      </c>
      <c r="L110" s="55"/>
      <c r="M110" s="56"/>
      <c r="N110" s="56"/>
      <c r="O110" s="56"/>
      <c r="P110" s="218" t="s">
        <v>1395</v>
      </c>
    </row>
    <row r="111" spans="1:18" ht="15" customHeight="1" x14ac:dyDescent="0.35">
      <c r="A111" s="179">
        <v>326</v>
      </c>
      <c r="B111" s="179">
        <v>326</v>
      </c>
      <c r="C111" s="180">
        <v>1800053646215</v>
      </c>
      <c r="D111" s="179">
        <v>755</v>
      </c>
      <c r="E111" s="179">
        <v>755</v>
      </c>
      <c r="F111" s="180">
        <v>1800053646224</v>
      </c>
      <c r="G111" s="49" t="s">
        <v>1383</v>
      </c>
      <c r="H111" s="53" t="s">
        <v>672</v>
      </c>
      <c r="I111" s="54">
        <v>3.57</v>
      </c>
      <c r="J111" s="54">
        <v>0.75</v>
      </c>
      <c r="K111" s="54">
        <v>0.75</v>
      </c>
      <c r="L111" s="55" t="s">
        <v>672</v>
      </c>
      <c r="M111" s="56">
        <v>392.56</v>
      </c>
      <c r="N111" s="56">
        <v>0.05</v>
      </c>
      <c r="O111" s="56">
        <v>0.05</v>
      </c>
      <c r="P111" s="212">
        <v>3</v>
      </c>
    </row>
    <row r="112" spans="1:18" ht="15" customHeight="1" x14ac:dyDescent="0.35">
      <c r="A112" s="179">
        <v>328</v>
      </c>
      <c r="B112" s="179">
        <v>328</v>
      </c>
      <c r="C112" s="180">
        <v>1800060586917</v>
      </c>
      <c r="D112" s="179">
        <v>750</v>
      </c>
      <c r="E112" s="179">
        <v>750</v>
      </c>
      <c r="F112" s="180">
        <v>1800060586926</v>
      </c>
      <c r="G112" s="49" t="s">
        <v>1384</v>
      </c>
      <c r="H112" s="53" t="s">
        <v>672</v>
      </c>
      <c r="I112" s="54">
        <v>352.98</v>
      </c>
      <c r="J112" s="54">
        <v>0.82</v>
      </c>
      <c r="K112" s="54">
        <v>0.82</v>
      </c>
      <c r="L112" s="55" t="s">
        <v>672</v>
      </c>
      <c r="M112" s="56">
        <v>5573.54</v>
      </c>
      <c r="N112" s="56">
        <v>0.05</v>
      </c>
      <c r="O112" s="56">
        <v>0.05</v>
      </c>
      <c r="P112" s="218" t="s">
        <v>1395</v>
      </c>
      <c r="R112" s="228"/>
    </row>
    <row r="113" spans="1:18" ht="15" customHeight="1" x14ac:dyDescent="0.35">
      <c r="A113" s="179">
        <v>329</v>
      </c>
      <c r="B113" s="179">
        <v>329</v>
      </c>
      <c r="C113" s="180">
        <v>1800060397697</v>
      </c>
      <c r="D113" s="179"/>
      <c r="E113" s="179"/>
      <c r="F113" s="180"/>
      <c r="G113" s="49" t="s">
        <v>1385</v>
      </c>
      <c r="H113" s="53" t="s">
        <v>672</v>
      </c>
      <c r="I113" s="54">
        <v>19693.46</v>
      </c>
      <c r="J113" s="54">
        <v>2.9</v>
      </c>
      <c r="K113" s="54">
        <v>2.9</v>
      </c>
      <c r="L113" s="55"/>
      <c r="M113" s="56"/>
      <c r="N113" s="56"/>
      <c r="O113" s="56"/>
      <c r="P113" s="212">
        <v>3</v>
      </c>
    </row>
    <row r="114" spans="1:18" ht="15" customHeight="1" x14ac:dyDescent="0.35">
      <c r="A114" s="179">
        <v>330</v>
      </c>
      <c r="B114" s="179">
        <v>330</v>
      </c>
      <c r="C114" s="180">
        <v>1800060614714</v>
      </c>
      <c r="D114" s="179">
        <v>752</v>
      </c>
      <c r="E114" s="179">
        <v>752</v>
      </c>
      <c r="F114" s="180">
        <v>1800060614741</v>
      </c>
      <c r="G114" s="49" t="s">
        <v>1386</v>
      </c>
      <c r="H114" s="53" t="s">
        <v>672</v>
      </c>
      <c r="I114" s="54">
        <v>83.73</v>
      </c>
      <c r="J114" s="54">
        <v>0.88</v>
      </c>
      <c r="K114" s="54">
        <v>0.88</v>
      </c>
      <c r="L114" s="55" t="s">
        <v>672</v>
      </c>
      <c r="M114" s="56">
        <v>7146.27</v>
      </c>
      <c r="N114" s="56">
        <v>0.05</v>
      </c>
      <c r="O114" s="56">
        <v>0.05</v>
      </c>
      <c r="P114" s="212">
        <v>3</v>
      </c>
    </row>
    <row r="115" spans="1:18" ht="15" customHeight="1" x14ac:dyDescent="0.35">
      <c r="A115" s="179">
        <v>331</v>
      </c>
      <c r="B115" s="179">
        <v>331</v>
      </c>
      <c r="C115" s="180">
        <v>1800060613543</v>
      </c>
      <c r="D115" s="179">
        <v>754</v>
      </c>
      <c r="E115" s="179">
        <v>754</v>
      </c>
      <c r="F115" s="180">
        <v>1800060613552</v>
      </c>
      <c r="G115" s="49" t="s">
        <v>1387</v>
      </c>
      <c r="H115" s="53" t="s">
        <v>672</v>
      </c>
      <c r="I115" s="54">
        <v>146.06</v>
      </c>
      <c r="J115" s="54">
        <v>1.06</v>
      </c>
      <c r="K115" s="54">
        <v>1.06</v>
      </c>
      <c r="L115" s="55" t="s">
        <v>672</v>
      </c>
      <c r="M115" s="56">
        <v>5382.21</v>
      </c>
      <c r="N115" s="56">
        <v>0.05</v>
      </c>
      <c r="O115" s="56">
        <v>0.05</v>
      </c>
      <c r="P115" s="212">
        <v>3</v>
      </c>
    </row>
    <row r="116" spans="1:18" ht="15" customHeight="1" x14ac:dyDescent="0.35">
      <c r="A116" s="179">
        <v>332</v>
      </c>
      <c r="B116" s="179">
        <v>332</v>
      </c>
      <c r="C116" s="180">
        <v>1800060709010</v>
      </c>
      <c r="D116" s="179">
        <v>756</v>
      </c>
      <c r="E116" s="179">
        <v>756</v>
      </c>
      <c r="F116" s="180">
        <v>1800060709029</v>
      </c>
      <c r="G116" s="49" t="s">
        <v>1388</v>
      </c>
      <c r="H116" s="53" t="s">
        <v>672</v>
      </c>
      <c r="I116" s="54">
        <v>128.12</v>
      </c>
      <c r="J116" s="54">
        <v>0.89</v>
      </c>
      <c r="K116" s="54">
        <v>0.89</v>
      </c>
      <c r="L116" s="55" t="s">
        <v>672</v>
      </c>
      <c r="M116" s="56">
        <v>7225.32</v>
      </c>
      <c r="N116" s="56">
        <v>0.05</v>
      </c>
      <c r="O116" s="56">
        <v>0.05</v>
      </c>
      <c r="P116" s="212">
        <v>3</v>
      </c>
    </row>
    <row r="117" spans="1:18" ht="15" customHeight="1" x14ac:dyDescent="0.35">
      <c r="A117" s="179">
        <v>334</v>
      </c>
      <c r="B117" s="179">
        <v>334</v>
      </c>
      <c r="C117" s="180">
        <v>1800035327070</v>
      </c>
      <c r="D117" s="179"/>
      <c r="E117" s="179"/>
      <c r="F117" s="180"/>
      <c r="G117" s="49" t="s">
        <v>1389</v>
      </c>
      <c r="H117" s="53">
        <v>0.20100000000000001</v>
      </c>
      <c r="I117" s="54">
        <v>9972.52</v>
      </c>
      <c r="J117" s="54">
        <v>3.87</v>
      </c>
      <c r="K117" s="54">
        <v>3.87</v>
      </c>
      <c r="L117" s="55"/>
      <c r="M117" s="56"/>
      <c r="N117" s="56"/>
      <c r="O117" s="56"/>
      <c r="P117" s="218" t="s">
        <v>1395</v>
      </c>
    </row>
    <row r="118" spans="1:18" ht="15" customHeight="1" x14ac:dyDescent="0.35">
      <c r="A118" s="179">
        <v>313</v>
      </c>
      <c r="B118" s="179">
        <v>313</v>
      </c>
      <c r="C118" s="180">
        <v>1800053648310</v>
      </c>
      <c r="D118" s="179"/>
      <c r="E118" s="179"/>
      <c r="F118" s="180"/>
      <c r="G118" s="49" t="s">
        <v>1390</v>
      </c>
      <c r="H118" s="53" t="s">
        <v>672</v>
      </c>
      <c r="I118" s="54">
        <v>3271.72</v>
      </c>
      <c r="J118" s="54">
        <v>3.75</v>
      </c>
      <c r="K118" s="54">
        <v>3.75</v>
      </c>
      <c r="L118" s="55"/>
      <c r="M118" s="56"/>
      <c r="N118" s="56"/>
      <c r="O118" s="56"/>
      <c r="P118" s="212">
        <v>3</v>
      </c>
    </row>
    <row r="119" spans="1:18" ht="15" customHeight="1" x14ac:dyDescent="0.35">
      <c r="A119" s="179">
        <v>848</v>
      </c>
      <c r="B119" s="179">
        <v>848</v>
      </c>
      <c r="C119" s="180">
        <v>1800060904910</v>
      </c>
      <c r="D119" s="179">
        <v>648</v>
      </c>
      <c r="E119" s="179">
        <v>648</v>
      </c>
      <c r="F119" s="180">
        <v>1800060904929</v>
      </c>
      <c r="G119" s="49" t="s">
        <v>861</v>
      </c>
      <c r="H119" s="53" t="s">
        <v>672</v>
      </c>
      <c r="I119" s="54">
        <v>113.99</v>
      </c>
      <c r="J119" s="54">
        <v>1.43</v>
      </c>
      <c r="K119" s="54">
        <v>1.43</v>
      </c>
      <c r="L119" s="55" t="s">
        <v>672</v>
      </c>
      <c r="M119" s="56">
        <v>2999.81</v>
      </c>
      <c r="N119" s="56">
        <v>0.05</v>
      </c>
      <c r="O119" s="56">
        <v>0.05</v>
      </c>
      <c r="P119" s="212">
        <v>3</v>
      </c>
    </row>
    <row r="120" spans="1:18" ht="15" customHeight="1" x14ac:dyDescent="0.35">
      <c r="A120" s="179">
        <v>890</v>
      </c>
      <c r="B120" s="179">
        <v>890</v>
      </c>
      <c r="C120" s="180">
        <v>1800061032840</v>
      </c>
      <c r="D120" s="179" t="s">
        <v>891</v>
      </c>
      <c r="E120" s="179" t="s">
        <v>891</v>
      </c>
      <c r="F120" s="180" t="s">
        <v>891</v>
      </c>
      <c r="G120" s="49" t="s">
        <v>862</v>
      </c>
      <c r="H120" s="53" t="s">
        <v>672</v>
      </c>
      <c r="I120" s="54">
        <v>60.08</v>
      </c>
      <c r="J120" s="54">
        <v>1.05</v>
      </c>
      <c r="K120" s="54">
        <v>1.05</v>
      </c>
      <c r="L120" s="55" t="s">
        <v>672</v>
      </c>
      <c r="M120" s="56">
        <v>21079.68</v>
      </c>
      <c r="N120" s="56">
        <v>0.05</v>
      </c>
      <c r="O120" s="56">
        <v>0.05</v>
      </c>
      <c r="P120" s="218" t="s">
        <v>1395</v>
      </c>
      <c r="R120" s="228"/>
    </row>
    <row r="121" spans="1:18" ht="15" customHeight="1" x14ac:dyDescent="0.35">
      <c r="A121" s="179">
        <v>870</v>
      </c>
      <c r="B121" s="179">
        <v>870</v>
      </c>
      <c r="C121" s="180">
        <v>1800060963650</v>
      </c>
      <c r="D121" s="179">
        <v>710</v>
      </c>
      <c r="E121" s="179">
        <v>710</v>
      </c>
      <c r="F121" s="180">
        <v>1800060963669</v>
      </c>
      <c r="G121" s="49" t="s">
        <v>863</v>
      </c>
      <c r="H121" s="53" t="s">
        <v>672</v>
      </c>
      <c r="I121" s="54">
        <v>1795.75</v>
      </c>
      <c r="J121" s="54">
        <v>0.84</v>
      </c>
      <c r="K121" s="54">
        <v>0.84</v>
      </c>
      <c r="L121" s="55">
        <v>-0.01</v>
      </c>
      <c r="M121" s="56">
        <v>6734.7</v>
      </c>
      <c r="N121" s="56">
        <v>0.05</v>
      </c>
      <c r="O121" s="56">
        <v>0.05</v>
      </c>
      <c r="P121" s="212">
        <v>3</v>
      </c>
    </row>
    <row r="122" spans="1:18" ht="15" customHeight="1" x14ac:dyDescent="0.35">
      <c r="A122" s="179" t="s">
        <v>760</v>
      </c>
      <c r="B122" s="179" t="s">
        <v>760</v>
      </c>
      <c r="C122" s="180" t="s">
        <v>760</v>
      </c>
      <c r="D122" s="179" t="s">
        <v>892</v>
      </c>
      <c r="E122" s="179" t="s">
        <v>892</v>
      </c>
      <c r="F122" s="180" t="s">
        <v>892</v>
      </c>
      <c r="G122" s="49" t="s">
        <v>864</v>
      </c>
      <c r="H122" s="53" t="s">
        <v>672</v>
      </c>
      <c r="I122" s="54">
        <v>1523.71</v>
      </c>
      <c r="J122" s="54">
        <v>0.88</v>
      </c>
      <c r="K122" s="54">
        <v>0.88</v>
      </c>
      <c r="L122" s="55" t="s">
        <v>672</v>
      </c>
      <c r="M122" s="56">
        <v>1523.71</v>
      </c>
      <c r="N122" s="56">
        <v>0.05</v>
      </c>
      <c r="O122" s="56">
        <v>0.05</v>
      </c>
      <c r="P122" s="212">
        <v>3</v>
      </c>
    </row>
    <row r="123" spans="1:18" ht="15" customHeight="1" x14ac:dyDescent="0.35">
      <c r="A123" s="179">
        <v>886</v>
      </c>
      <c r="B123" s="179">
        <v>886</v>
      </c>
      <c r="C123" s="180" t="s">
        <v>1367</v>
      </c>
      <c r="D123" s="179">
        <v>686</v>
      </c>
      <c r="E123" s="179">
        <v>686</v>
      </c>
      <c r="F123" s="180" t="s">
        <v>1367</v>
      </c>
      <c r="G123" s="49" t="s">
        <v>865</v>
      </c>
      <c r="H123" s="53" t="s">
        <v>672</v>
      </c>
      <c r="I123" s="54">
        <v>487.14</v>
      </c>
      <c r="J123" s="54">
        <v>0.64</v>
      </c>
      <c r="K123" s="54">
        <v>0.64</v>
      </c>
      <c r="L123" s="55" t="s">
        <v>672</v>
      </c>
      <c r="M123" s="56">
        <v>29221.83</v>
      </c>
      <c r="N123" s="56">
        <v>0.05</v>
      </c>
      <c r="O123" s="56">
        <v>0.05</v>
      </c>
      <c r="P123" s="212">
        <v>3</v>
      </c>
    </row>
    <row r="124" spans="1:18" ht="15" customHeight="1" x14ac:dyDescent="0.35">
      <c r="A124" s="179" t="s">
        <v>761</v>
      </c>
      <c r="B124" s="179" t="s">
        <v>761</v>
      </c>
      <c r="C124" s="180" t="s">
        <v>761</v>
      </c>
      <c r="D124" s="179" t="s">
        <v>893</v>
      </c>
      <c r="E124" s="179" t="s">
        <v>893</v>
      </c>
      <c r="F124" s="180" t="s">
        <v>893</v>
      </c>
      <c r="G124" s="49" t="s">
        <v>866</v>
      </c>
      <c r="H124" s="53" t="s">
        <v>672</v>
      </c>
      <c r="I124" s="54">
        <v>1872.57</v>
      </c>
      <c r="J124" s="54">
        <v>1.05</v>
      </c>
      <c r="K124" s="54">
        <v>1.05</v>
      </c>
      <c r="L124" s="55" t="s">
        <v>672</v>
      </c>
      <c r="M124" s="56">
        <v>1872.57</v>
      </c>
      <c r="N124" s="56">
        <v>0.05</v>
      </c>
      <c r="O124" s="56">
        <v>0.05</v>
      </c>
      <c r="P124" s="212">
        <v>3</v>
      </c>
    </row>
    <row r="125" spans="1:18" ht="15" customHeight="1" x14ac:dyDescent="0.35">
      <c r="A125" s="179" t="s">
        <v>762</v>
      </c>
      <c r="B125" s="179" t="s">
        <v>762</v>
      </c>
      <c r="C125" s="180" t="s">
        <v>762</v>
      </c>
      <c r="D125" s="179" t="s">
        <v>894</v>
      </c>
      <c r="E125" s="179" t="s">
        <v>894</v>
      </c>
      <c r="F125" s="180" t="s">
        <v>894</v>
      </c>
      <c r="G125" s="49" t="s">
        <v>867</v>
      </c>
      <c r="H125" s="53" t="s">
        <v>672</v>
      </c>
      <c r="I125" s="54">
        <v>775.96</v>
      </c>
      <c r="J125" s="54">
        <v>1.95</v>
      </c>
      <c r="K125" s="54">
        <v>1.95</v>
      </c>
      <c r="L125" s="55">
        <v>-1.274</v>
      </c>
      <c r="M125" s="56">
        <v>819.09</v>
      </c>
      <c r="N125" s="56">
        <v>0.05</v>
      </c>
      <c r="O125" s="56">
        <v>0.05</v>
      </c>
      <c r="P125" s="218" t="s">
        <v>1395</v>
      </c>
    </row>
    <row r="126" spans="1:18" ht="15" customHeight="1" x14ac:dyDescent="0.35">
      <c r="A126" s="179">
        <v>895</v>
      </c>
      <c r="B126" s="179">
        <v>895</v>
      </c>
      <c r="C126" s="180">
        <v>1800061106740</v>
      </c>
      <c r="D126" s="179">
        <v>713</v>
      </c>
      <c r="E126" s="179">
        <v>713</v>
      </c>
      <c r="F126" s="180">
        <v>1800061106759</v>
      </c>
      <c r="G126" s="49" t="s">
        <v>868</v>
      </c>
      <c r="H126" s="53" t="s">
        <v>672</v>
      </c>
      <c r="I126" s="54">
        <v>6.83</v>
      </c>
      <c r="J126" s="54">
        <v>1.05</v>
      </c>
      <c r="K126" s="54">
        <v>1.05</v>
      </c>
      <c r="L126" s="55" t="s">
        <v>672</v>
      </c>
      <c r="M126" s="56">
        <v>1091.48</v>
      </c>
      <c r="N126" s="56">
        <v>0.05</v>
      </c>
      <c r="O126" s="56">
        <v>0.05</v>
      </c>
      <c r="P126" s="212">
        <v>3</v>
      </c>
    </row>
    <row r="127" spans="1:18" ht="15" customHeight="1" x14ac:dyDescent="0.35">
      <c r="A127" s="179" t="s">
        <v>763</v>
      </c>
      <c r="B127" s="179" t="s">
        <v>763</v>
      </c>
      <c r="C127" s="180" t="s">
        <v>763</v>
      </c>
      <c r="D127" s="179" t="s">
        <v>895</v>
      </c>
      <c r="E127" s="179" t="s">
        <v>895</v>
      </c>
      <c r="F127" s="180" t="s">
        <v>895</v>
      </c>
      <c r="G127" s="49" t="s">
        <v>869</v>
      </c>
      <c r="H127" s="53" t="s">
        <v>672</v>
      </c>
      <c r="I127" s="54">
        <v>22.85</v>
      </c>
      <c r="J127" s="54">
        <v>1.05</v>
      </c>
      <c r="K127" s="54">
        <v>1.05</v>
      </c>
      <c r="L127" s="55" t="s">
        <v>672</v>
      </c>
      <c r="M127" s="56">
        <v>718.27</v>
      </c>
      <c r="N127" s="56">
        <v>0.05</v>
      </c>
      <c r="O127" s="56">
        <v>0.05</v>
      </c>
      <c r="P127" s="212">
        <v>3</v>
      </c>
    </row>
    <row r="128" spans="1:18" ht="15" customHeight="1" x14ac:dyDescent="0.35">
      <c r="A128" s="179" t="s">
        <v>764</v>
      </c>
      <c r="B128" s="179" t="s">
        <v>764</v>
      </c>
      <c r="C128" s="180" t="s">
        <v>764</v>
      </c>
      <c r="D128" s="179" t="s">
        <v>896</v>
      </c>
      <c r="E128" s="179" t="s">
        <v>896</v>
      </c>
      <c r="F128" s="180" t="s">
        <v>896</v>
      </c>
      <c r="G128" s="49" t="s">
        <v>870</v>
      </c>
      <c r="H128" s="53" t="s">
        <v>672</v>
      </c>
      <c r="I128" s="54">
        <v>727.76</v>
      </c>
      <c r="J128" s="54">
        <v>1.05</v>
      </c>
      <c r="K128" s="54">
        <v>1.05</v>
      </c>
      <c r="L128" s="55" t="s">
        <v>672</v>
      </c>
      <c r="M128" s="56">
        <v>705.98</v>
      </c>
      <c r="N128" s="56">
        <v>0.05</v>
      </c>
      <c r="O128" s="56">
        <v>0.05</v>
      </c>
      <c r="P128" s="212">
        <v>3</v>
      </c>
    </row>
    <row r="129" spans="1:17" ht="15" customHeight="1" x14ac:dyDescent="0.35">
      <c r="A129" s="179">
        <v>893</v>
      </c>
      <c r="B129" s="179">
        <v>893</v>
      </c>
      <c r="C129" s="180">
        <v>1800061084529</v>
      </c>
      <c r="D129" s="179">
        <v>711</v>
      </c>
      <c r="E129" s="179">
        <v>711</v>
      </c>
      <c r="F129" s="180">
        <v>1800061084510</v>
      </c>
      <c r="G129" s="49" t="s">
        <v>871</v>
      </c>
      <c r="H129" s="53" t="s">
        <v>672</v>
      </c>
      <c r="I129" s="54">
        <v>136.97</v>
      </c>
      <c r="J129" s="54">
        <v>1.05</v>
      </c>
      <c r="K129" s="54">
        <v>1.05</v>
      </c>
      <c r="L129" s="55" t="s">
        <v>672</v>
      </c>
      <c r="M129" s="56">
        <v>3893.01</v>
      </c>
      <c r="N129" s="56">
        <v>0.05</v>
      </c>
      <c r="O129" s="56">
        <v>0.05</v>
      </c>
      <c r="P129" s="219" t="s">
        <v>1400</v>
      </c>
    </row>
    <row r="130" spans="1:17" ht="15" customHeight="1" x14ac:dyDescent="0.35">
      <c r="A130" s="179">
        <v>894</v>
      </c>
      <c r="B130" s="179">
        <v>894</v>
      </c>
      <c r="C130" s="180">
        <v>1800061084421</v>
      </c>
      <c r="D130" s="179">
        <v>712</v>
      </c>
      <c r="E130" s="179">
        <v>712</v>
      </c>
      <c r="F130" s="180">
        <v>1800061084430</v>
      </c>
      <c r="G130" s="49" t="s">
        <v>872</v>
      </c>
      <c r="H130" s="53" t="s">
        <v>672</v>
      </c>
      <c r="I130" s="54">
        <v>115.45</v>
      </c>
      <c r="J130" s="54">
        <v>1.05</v>
      </c>
      <c r="K130" s="54">
        <v>1.05</v>
      </c>
      <c r="L130" s="55" t="s">
        <v>672</v>
      </c>
      <c r="M130" s="56">
        <v>3281.52</v>
      </c>
      <c r="N130" s="56">
        <v>0.05</v>
      </c>
      <c r="O130" s="56">
        <v>0.05</v>
      </c>
      <c r="P130" s="219" t="s">
        <v>1400</v>
      </c>
    </row>
    <row r="131" spans="1:17" ht="15" customHeight="1" x14ac:dyDescent="0.35">
      <c r="A131" s="179" t="s">
        <v>765</v>
      </c>
      <c r="B131" s="179" t="s">
        <v>765</v>
      </c>
      <c r="C131" s="180" t="s">
        <v>765</v>
      </c>
      <c r="D131" s="179" t="s">
        <v>897</v>
      </c>
      <c r="E131" s="179" t="s">
        <v>897</v>
      </c>
      <c r="F131" s="180" t="s">
        <v>897</v>
      </c>
      <c r="G131" s="49" t="s">
        <v>873</v>
      </c>
      <c r="H131" s="53" t="s">
        <v>672</v>
      </c>
      <c r="I131" s="54">
        <v>103.25</v>
      </c>
      <c r="J131" s="54">
        <v>1.05</v>
      </c>
      <c r="K131" s="54">
        <v>1.05</v>
      </c>
      <c r="L131" s="55" t="s">
        <v>672</v>
      </c>
      <c r="M131" s="56">
        <v>3275.13</v>
      </c>
      <c r="N131" s="56">
        <v>0.05</v>
      </c>
      <c r="O131" s="56">
        <v>0.05</v>
      </c>
      <c r="P131" s="219" t="s">
        <v>1400</v>
      </c>
    </row>
    <row r="132" spans="1:17" ht="15" customHeight="1" x14ac:dyDescent="0.35">
      <c r="A132" s="179">
        <v>896</v>
      </c>
      <c r="B132" s="179">
        <v>896</v>
      </c>
      <c r="C132" s="180">
        <v>1800061114388</v>
      </c>
      <c r="D132" s="179">
        <v>714</v>
      </c>
      <c r="E132" s="179">
        <v>714</v>
      </c>
      <c r="F132" s="180">
        <v>1800061114397</v>
      </c>
      <c r="G132" s="49" t="s">
        <v>874</v>
      </c>
      <c r="H132" s="53" t="s">
        <v>672</v>
      </c>
      <c r="I132" s="54">
        <v>64.38</v>
      </c>
      <c r="J132" s="54">
        <v>1.65</v>
      </c>
      <c r="K132" s="54">
        <v>1.65</v>
      </c>
      <c r="L132" s="55">
        <v>-0.85399999999999998</v>
      </c>
      <c r="M132" s="56">
        <v>3423.8</v>
      </c>
      <c r="N132" s="56">
        <v>0.05</v>
      </c>
      <c r="O132" s="56">
        <v>0.05</v>
      </c>
      <c r="P132" s="220">
        <v>3</v>
      </c>
    </row>
    <row r="133" spans="1:17" ht="15" customHeight="1" x14ac:dyDescent="0.35">
      <c r="A133" s="179" t="s">
        <v>766</v>
      </c>
      <c r="B133" s="179" t="s">
        <v>766</v>
      </c>
      <c r="C133" s="180" t="s">
        <v>766</v>
      </c>
      <c r="D133" s="179" t="s">
        <v>898</v>
      </c>
      <c r="E133" s="179" t="s">
        <v>898</v>
      </c>
      <c r="F133" s="180" t="s">
        <v>898</v>
      </c>
      <c r="G133" s="49" t="s">
        <v>875</v>
      </c>
      <c r="H133" s="53" t="s">
        <v>672</v>
      </c>
      <c r="I133" s="54">
        <v>172.6</v>
      </c>
      <c r="J133" s="54">
        <v>1.05</v>
      </c>
      <c r="K133" s="54">
        <v>1.05</v>
      </c>
      <c r="L133" s="55" t="s">
        <v>672</v>
      </c>
      <c r="M133" s="56">
        <v>5504.49</v>
      </c>
      <c r="N133" s="56">
        <v>0.05</v>
      </c>
      <c r="O133" s="56">
        <v>0.05</v>
      </c>
      <c r="P133" s="220">
        <v>3</v>
      </c>
    </row>
    <row r="134" spans="1:17" ht="15" customHeight="1" x14ac:dyDescent="0.35">
      <c r="A134" s="179">
        <v>859</v>
      </c>
      <c r="B134" s="179">
        <v>859</v>
      </c>
      <c r="C134" s="180">
        <v>1800035320127</v>
      </c>
      <c r="D134" s="179">
        <v>697</v>
      </c>
      <c r="E134" s="179">
        <v>697</v>
      </c>
      <c r="F134" s="180">
        <v>1800060630637</v>
      </c>
      <c r="G134" s="49" t="s">
        <v>876</v>
      </c>
      <c r="H134" s="53" t="s">
        <v>672</v>
      </c>
      <c r="I134" s="54">
        <v>21204</v>
      </c>
      <c r="J134" s="54">
        <v>3.87</v>
      </c>
      <c r="K134" s="54">
        <v>3.87</v>
      </c>
      <c r="L134" s="55" t="s">
        <v>672</v>
      </c>
      <c r="M134" s="56">
        <v>6084.96</v>
      </c>
      <c r="N134" s="56">
        <v>0.05</v>
      </c>
      <c r="O134" s="56">
        <v>0.05</v>
      </c>
      <c r="P134" s="218" t="s">
        <v>1395</v>
      </c>
      <c r="Q134" s="228"/>
    </row>
    <row r="135" spans="1:17" ht="15" customHeight="1" x14ac:dyDescent="0.35">
      <c r="A135" s="179" t="s">
        <v>767</v>
      </c>
      <c r="B135" s="179" t="s">
        <v>767</v>
      </c>
      <c r="C135" s="180" t="s">
        <v>767</v>
      </c>
      <c r="D135" s="179" t="s">
        <v>899</v>
      </c>
      <c r="E135" s="179" t="s">
        <v>899</v>
      </c>
      <c r="F135" s="180" t="s">
        <v>899</v>
      </c>
      <c r="G135" s="49" t="s">
        <v>877</v>
      </c>
      <c r="H135" s="53" t="s">
        <v>672</v>
      </c>
      <c r="I135" s="54">
        <v>20.39</v>
      </c>
      <c r="J135" s="54">
        <v>1.05</v>
      </c>
      <c r="K135" s="54">
        <v>1.05</v>
      </c>
      <c r="L135" s="55" t="s">
        <v>672</v>
      </c>
      <c r="M135" s="56">
        <v>2682.54</v>
      </c>
      <c r="N135" s="56">
        <v>0.05</v>
      </c>
      <c r="O135" s="56">
        <v>0.05</v>
      </c>
      <c r="P135" s="220">
        <v>3</v>
      </c>
    </row>
    <row r="136" spans="1:17" ht="15" customHeight="1" x14ac:dyDescent="0.35">
      <c r="A136" s="179">
        <v>866</v>
      </c>
      <c r="B136" s="179">
        <v>866</v>
      </c>
      <c r="C136" s="180">
        <v>1800051523646</v>
      </c>
      <c r="D136" s="179" t="s">
        <v>900</v>
      </c>
      <c r="E136" s="179" t="s">
        <v>900</v>
      </c>
      <c r="F136" s="180" t="s">
        <v>1367</v>
      </c>
      <c r="G136" s="49" t="s">
        <v>878</v>
      </c>
      <c r="H136" s="53" t="s">
        <v>672</v>
      </c>
      <c r="I136" s="54">
        <v>23372.41</v>
      </c>
      <c r="J136" s="54">
        <v>1.18</v>
      </c>
      <c r="K136" s="54">
        <v>1.18</v>
      </c>
      <c r="L136" s="55" t="s">
        <v>672</v>
      </c>
      <c r="M136" s="56">
        <v>6626.64</v>
      </c>
      <c r="N136" s="56">
        <v>0.05</v>
      </c>
      <c r="O136" s="56">
        <v>0.05</v>
      </c>
      <c r="P136" s="220">
        <v>3</v>
      </c>
    </row>
    <row r="137" spans="1:17" ht="15" customHeight="1" x14ac:dyDescent="0.35">
      <c r="A137" s="179" t="s">
        <v>768</v>
      </c>
      <c r="B137" s="179" t="s">
        <v>768</v>
      </c>
      <c r="C137" s="180" t="s">
        <v>768</v>
      </c>
      <c r="D137" s="179" t="s">
        <v>901</v>
      </c>
      <c r="E137" s="179" t="s">
        <v>901</v>
      </c>
      <c r="F137" s="180" t="s">
        <v>901</v>
      </c>
      <c r="G137" s="49" t="s">
        <v>879</v>
      </c>
      <c r="H137" s="53" t="s">
        <v>672</v>
      </c>
      <c r="I137" s="54">
        <v>71</v>
      </c>
      <c r="J137" s="54">
        <v>1.18</v>
      </c>
      <c r="K137" s="54">
        <v>1.18</v>
      </c>
      <c r="L137" s="55" t="s">
        <v>672</v>
      </c>
      <c r="M137" s="56">
        <v>1349.78</v>
      </c>
      <c r="N137" s="56">
        <v>0.05</v>
      </c>
      <c r="O137" s="56">
        <v>0.05</v>
      </c>
      <c r="P137" s="220">
        <v>3</v>
      </c>
    </row>
    <row r="138" spans="1:17" ht="15" customHeight="1" x14ac:dyDescent="0.35">
      <c r="A138" s="179" t="s">
        <v>769</v>
      </c>
      <c r="B138" s="179" t="s">
        <v>769</v>
      </c>
      <c r="C138" s="180" t="s">
        <v>769</v>
      </c>
      <c r="D138" s="179" t="s">
        <v>902</v>
      </c>
      <c r="E138" s="179" t="s">
        <v>902</v>
      </c>
      <c r="F138" s="180" t="s">
        <v>902</v>
      </c>
      <c r="G138" s="49" t="s">
        <v>880</v>
      </c>
      <c r="H138" s="53" t="s">
        <v>672</v>
      </c>
      <c r="I138" s="54">
        <v>2391.8000000000002</v>
      </c>
      <c r="J138" s="54">
        <v>1.05</v>
      </c>
      <c r="K138" s="54">
        <v>1.05</v>
      </c>
      <c r="L138" s="55" t="s">
        <v>672</v>
      </c>
      <c r="M138" s="56">
        <v>2391.8000000000002</v>
      </c>
      <c r="N138" s="56">
        <v>0.05</v>
      </c>
      <c r="O138" s="56">
        <v>0.05</v>
      </c>
      <c r="P138" s="219" t="s">
        <v>1400</v>
      </c>
    </row>
    <row r="139" spans="1:17" ht="15" customHeight="1" x14ac:dyDescent="0.35">
      <c r="A139" s="179" t="s">
        <v>770</v>
      </c>
      <c r="B139" s="179" t="s">
        <v>770</v>
      </c>
      <c r="C139" s="180" t="s">
        <v>770</v>
      </c>
      <c r="D139" s="179" t="s">
        <v>903</v>
      </c>
      <c r="E139" s="179" t="s">
        <v>903</v>
      </c>
      <c r="F139" s="180" t="s">
        <v>903</v>
      </c>
      <c r="G139" s="49" t="s">
        <v>881</v>
      </c>
      <c r="H139" s="53" t="s">
        <v>672</v>
      </c>
      <c r="I139" s="54">
        <v>372.3</v>
      </c>
      <c r="J139" s="54">
        <v>1.23</v>
      </c>
      <c r="K139" s="54">
        <v>1.23</v>
      </c>
      <c r="L139" s="55" t="s">
        <v>672</v>
      </c>
      <c r="M139" s="56">
        <v>5585.45</v>
      </c>
      <c r="N139" s="56">
        <v>0.05</v>
      </c>
      <c r="O139" s="56">
        <v>0.05</v>
      </c>
      <c r="P139" s="220">
        <v>3</v>
      </c>
    </row>
    <row r="140" spans="1:17" ht="15" customHeight="1" x14ac:dyDescent="0.35">
      <c r="A140" s="179" t="s">
        <v>771</v>
      </c>
      <c r="B140" s="179" t="s">
        <v>771</v>
      </c>
      <c r="C140" s="180" t="s">
        <v>771</v>
      </c>
      <c r="D140" s="179" t="s">
        <v>904</v>
      </c>
      <c r="E140" s="179" t="s">
        <v>904</v>
      </c>
      <c r="F140" s="180" t="s">
        <v>904</v>
      </c>
      <c r="G140" s="49" t="s">
        <v>882</v>
      </c>
      <c r="H140" s="53" t="s">
        <v>672</v>
      </c>
      <c r="I140" s="54">
        <v>2434.5500000000002</v>
      </c>
      <c r="J140" s="54">
        <v>1.05</v>
      </c>
      <c r="K140" s="54">
        <v>1.05</v>
      </c>
      <c r="L140" s="55" t="s">
        <v>672</v>
      </c>
      <c r="M140" s="56">
        <v>2434.5500000000002</v>
      </c>
      <c r="N140" s="56">
        <v>0.05</v>
      </c>
      <c r="O140" s="56">
        <v>0.05</v>
      </c>
      <c r="P140" s="219" t="s">
        <v>1400</v>
      </c>
    </row>
    <row r="141" spans="1:17" ht="15" customHeight="1" x14ac:dyDescent="0.35">
      <c r="A141" s="179" t="s">
        <v>772</v>
      </c>
      <c r="B141" s="179" t="s">
        <v>772</v>
      </c>
      <c r="C141" s="180" t="s">
        <v>772</v>
      </c>
      <c r="D141" s="179" t="s">
        <v>905</v>
      </c>
      <c r="E141" s="179" t="s">
        <v>905</v>
      </c>
      <c r="F141" s="180" t="s">
        <v>905</v>
      </c>
      <c r="G141" s="49" t="s">
        <v>883</v>
      </c>
      <c r="H141" s="53" t="s">
        <v>672</v>
      </c>
      <c r="I141" s="54">
        <v>68.13</v>
      </c>
      <c r="J141" s="54">
        <v>1.18</v>
      </c>
      <c r="K141" s="54">
        <v>1.18</v>
      </c>
      <c r="L141" s="55" t="s">
        <v>672</v>
      </c>
      <c r="M141" s="56">
        <v>1058.2</v>
      </c>
      <c r="N141" s="56">
        <v>0.05</v>
      </c>
      <c r="O141" s="56">
        <v>0.05</v>
      </c>
      <c r="P141" s="220">
        <v>3</v>
      </c>
    </row>
    <row r="142" spans="1:17" ht="15" customHeight="1" x14ac:dyDescent="0.35">
      <c r="A142" s="179" t="s">
        <v>773</v>
      </c>
      <c r="B142" s="179" t="s">
        <v>773</v>
      </c>
      <c r="C142" s="180" t="s">
        <v>773</v>
      </c>
      <c r="D142" s="179" t="s">
        <v>906</v>
      </c>
      <c r="E142" s="179" t="s">
        <v>906</v>
      </c>
      <c r="F142" s="180" t="s">
        <v>906</v>
      </c>
      <c r="G142" s="49" t="s">
        <v>884</v>
      </c>
      <c r="H142" s="53" t="s">
        <v>672</v>
      </c>
      <c r="I142" s="54">
        <v>82.95</v>
      </c>
      <c r="J142" s="54">
        <v>1.18</v>
      </c>
      <c r="K142" s="54">
        <v>1.18</v>
      </c>
      <c r="L142" s="55" t="s">
        <v>672</v>
      </c>
      <c r="M142" s="56">
        <v>1288.25</v>
      </c>
      <c r="N142" s="56">
        <v>0.05</v>
      </c>
      <c r="O142" s="56">
        <v>0.05</v>
      </c>
      <c r="P142" s="220">
        <v>3</v>
      </c>
    </row>
    <row r="143" spans="1:17" ht="15" customHeight="1" x14ac:dyDescent="0.35">
      <c r="A143" s="179" t="s">
        <v>774</v>
      </c>
      <c r="B143" s="179" t="s">
        <v>774</v>
      </c>
      <c r="C143" s="180" t="s">
        <v>774</v>
      </c>
      <c r="D143" s="179" t="s">
        <v>907</v>
      </c>
      <c r="E143" s="179" t="s">
        <v>907</v>
      </c>
      <c r="F143" s="180" t="s">
        <v>907</v>
      </c>
      <c r="G143" s="49" t="s">
        <v>885</v>
      </c>
      <c r="H143" s="53" t="s">
        <v>672</v>
      </c>
      <c r="I143" s="54">
        <v>496.05</v>
      </c>
      <c r="J143" s="54">
        <v>1.18</v>
      </c>
      <c r="K143" s="54">
        <v>1.18</v>
      </c>
      <c r="L143" s="55" t="s">
        <v>672</v>
      </c>
      <c r="M143" s="56">
        <v>6265.76</v>
      </c>
      <c r="N143" s="56">
        <v>0.05</v>
      </c>
      <c r="O143" s="56">
        <v>0.05</v>
      </c>
      <c r="P143" s="220">
        <v>3</v>
      </c>
    </row>
    <row r="144" spans="1:17" ht="15" customHeight="1" x14ac:dyDescent="0.35">
      <c r="A144" s="179" t="s">
        <v>775</v>
      </c>
      <c r="B144" s="179" t="s">
        <v>775</v>
      </c>
      <c r="C144" s="180" t="s">
        <v>775</v>
      </c>
      <c r="D144" s="179" t="s">
        <v>908</v>
      </c>
      <c r="E144" s="179" t="s">
        <v>908</v>
      </c>
      <c r="F144" s="180" t="s">
        <v>908</v>
      </c>
      <c r="G144" s="49" t="s">
        <v>886</v>
      </c>
      <c r="H144" s="53" t="s">
        <v>672</v>
      </c>
      <c r="I144" s="54">
        <v>92.08</v>
      </c>
      <c r="J144" s="54">
        <v>1.05</v>
      </c>
      <c r="K144" s="54">
        <v>1.05</v>
      </c>
      <c r="L144" s="55" t="s">
        <v>672</v>
      </c>
      <c r="M144" s="56">
        <v>1840.76</v>
      </c>
      <c r="N144" s="56">
        <v>0.05</v>
      </c>
      <c r="O144" s="56">
        <v>0.05</v>
      </c>
      <c r="P144" s="219" t="s">
        <v>1400</v>
      </c>
    </row>
    <row r="145" spans="1:15" ht="15" customHeight="1" x14ac:dyDescent="0.35">
      <c r="A145" s="179"/>
      <c r="B145" s="179"/>
      <c r="C145" s="180"/>
      <c r="D145" s="179"/>
      <c r="E145" s="179"/>
      <c r="F145" s="180"/>
      <c r="G145" s="49"/>
      <c r="H145" s="53"/>
      <c r="I145" s="54"/>
      <c r="J145" s="54"/>
      <c r="K145" s="54"/>
      <c r="L145" s="55"/>
      <c r="M145" s="56"/>
      <c r="N145" s="56"/>
      <c r="O145" s="56"/>
    </row>
    <row r="146" spans="1:15" ht="15" customHeight="1" x14ac:dyDescent="0.35">
      <c r="A146" s="179"/>
      <c r="B146" s="179"/>
      <c r="C146" s="180"/>
      <c r="D146" s="179"/>
      <c r="E146" s="179"/>
      <c r="F146" s="180"/>
      <c r="G146" s="49"/>
      <c r="H146" s="53"/>
      <c r="I146" s="54"/>
      <c r="J146" s="54"/>
      <c r="K146" s="54"/>
      <c r="L146" s="55"/>
      <c r="M146" s="56"/>
      <c r="N146" s="56"/>
      <c r="O146" s="56"/>
    </row>
    <row r="147" spans="1:15" ht="15" customHeight="1" x14ac:dyDescent="0.35">
      <c r="A147" s="179"/>
      <c r="B147" s="179"/>
      <c r="C147" s="180"/>
      <c r="D147" s="179"/>
      <c r="E147" s="179"/>
      <c r="F147" s="180"/>
      <c r="G147" s="49"/>
      <c r="H147" s="53"/>
      <c r="I147" s="54"/>
      <c r="J147" s="54"/>
      <c r="K147" s="54"/>
      <c r="L147" s="55"/>
      <c r="M147" s="56"/>
      <c r="N147" s="56"/>
      <c r="O147" s="56"/>
    </row>
    <row r="148" spans="1:15" ht="15" customHeight="1" x14ac:dyDescent="0.35">
      <c r="A148" s="179"/>
      <c r="B148" s="179"/>
      <c r="C148" s="180"/>
      <c r="D148" s="179"/>
      <c r="E148" s="179"/>
      <c r="F148" s="180"/>
      <c r="G148" s="49"/>
      <c r="H148" s="53"/>
      <c r="I148" s="54"/>
      <c r="J148" s="54"/>
      <c r="K148" s="54"/>
      <c r="L148" s="55"/>
      <c r="M148" s="56"/>
      <c r="N148" s="56"/>
      <c r="O148" s="56"/>
    </row>
    <row r="149" spans="1:15" ht="15" customHeight="1" x14ac:dyDescent="0.35">
      <c r="A149" s="179"/>
      <c r="B149" s="179"/>
      <c r="C149" s="180"/>
      <c r="D149" s="179"/>
      <c r="E149" s="179"/>
      <c r="F149" s="180"/>
      <c r="G149" s="49"/>
      <c r="H149" s="53"/>
      <c r="I149" s="54"/>
      <c r="J149" s="54"/>
      <c r="K149" s="54"/>
      <c r="L149" s="55"/>
      <c r="M149" s="56"/>
      <c r="N149" s="56"/>
      <c r="O149" s="56"/>
    </row>
    <row r="150" spans="1:15" ht="15" customHeight="1" x14ac:dyDescent="0.35">
      <c r="A150" s="179"/>
      <c r="B150" s="179"/>
      <c r="C150" s="180"/>
      <c r="D150" s="179"/>
      <c r="E150" s="179"/>
      <c r="F150" s="180"/>
      <c r="G150" s="49"/>
      <c r="H150" s="53"/>
      <c r="I150" s="54"/>
      <c r="J150" s="54"/>
      <c r="K150" s="54"/>
      <c r="L150" s="55"/>
      <c r="M150" s="56"/>
      <c r="N150" s="56"/>
      <c r="O150" s="56"/>
    </row>
    <row r="151" spans="1:15" ht="15" customHeight="1" x14ac:dyDescent="0.35">
      <c r="A151" s="179"/>
      <c r="B151" s="179"/>
      <c r="C151" s="180"/>
      <c r="D151" s="179"/>
      <c r="E151" s="179"/>
      <c r="F151" s="180"/>
      <c r="G151" s="49"/>
      <c r="H151" s="53"/>
      <c r="I151" s="54"/>
      <c r="J151" s="54"/>
      <c r="K151" s="54"/>
      <c r="L151" s="55"/>
      <c r="M151" s="56"/>
      <c r="N151" s="56"/>
      <c r="O151" s="56"/>
    </row>
    <row r="152" spans="1:15" ht="15" customHeight="1" x14ac:dyDescent="0.35">
      <c r="A152" s="179"/>
      <c r="B152" s="179"/>
      <c r="C152" s="180"/>
      <c r="D152" s="179"/>
      <c r="E152" s="179"/>
      <c r="F152" s="180"/>
      <c r="G152" s="49"/>
      <c r="H152" s="53"/>
      <c r="I152" s="54"/>
      <c r="J152" s="54"/>
      <c r="K152" s="54"/>
      <c r="L152" s="55"/>
      <c r="M152" s="56"/>
      <c r="N152" s="56"/>
      <c r="O152" s="56"/>
    </row>
    <row r="153" spans="1:15" ht="15" customHeight="1" x14ac:dyDescent="0.35">
      <c r="A153" s="179"/>
      <c r="B153" s="179"/>
      <c r="C153" s="180"/>
      <c r="D153" s="179"/>
      <c r="E153" s="179"/>
      <c r="F153" s="180"/>
      <c r="G153" s="49"/>
      <c r="H153" s="53"/>
      <c r="I153" s="54"/>
      <c r="J153" s="54"/>
      <c r="K153" s="54"/>
      <c r="L153" s="55"/>
      <c r="M153" s="56"/>
      <c r="N153" s="56"/>
      <c r="O153" s="56"/>
    </row>
    <row r="154" spans="1:15" ht="15" customHeight="1" x14ac:dyDescent="0.35">
      <c r="A154" s="179"/>
      <c r="B154" s="179"/>
      <c r="C154" s="180"/>
      <c r="D154" s="179"/>
      <c r="E154" s="179"/>
      <c r="F154" s="180"/>
      <c r="G154" s="49"/>
      <c r="H154" s="53"/>
      <c r="I154" s="54"/>
      <c r="J154" s="54"/>
      <c r="K154" s="54"/>
      <c r="L154" s="55"/>
      <c r="M154" s="56"/>
      <c r="N154" s="56"/>
      <c r="O154" s="56"/>
    </row>
    <row r="155" spans="1:15" ht="15" customHeight="1" x14ac:dyDescent="0.35">
      <c r="A155" s="179"/>
      <c r="B155" s="179"/>
      <c r="C155" s="180"/>
      <c r="D155" s="179"/>
      <c r="E155" s="179"/>
      <c r="F155" s="180"/>
      <c r="G155" s="49"/>
      <c r="H155" s="53"/>
      <c r="I155" s="54"/>
      <c r="J155" s="54"/>
      <c r="K155" s="54"/>
      <c r="L155" s="55"/>
      <c r="M155" s="56"/>
      <c r="N155" s="56"/>
      <c r="O155" s="56"/>
    </row>
    <row r="156" spans="1:15" ht="15" customHeight="1" x14ac:dyDescent="0.35">
      <c r="A156" s="179"/>
      <c r="B156" s="179"/>
      <c r="C156" s="180"/>
      <c r="D156" s="179"/>
      <c r="E156" s="179"/>
      <c r="F156" s="180"/>
      <c r="G156" s="49"/>
      <c r="H156" s="53"/>
      <c r="I156" s="54"/>
      <c r="J156" s="54"/>
      <c r="K156" s="54"/>
      <c r="L156" s="55"/>
      <c r="M156" s="56"/>
      <c r="N156" s="56"/>
      <c r="O156" s="56"/>
    </row>
    <row r="157" spans="1:15" ht="15" customHeight="1" x14ac:dyDescent="0.35">
      <c r="A157" s="179"/>
      <c r="B157" s="179"/>
      <c r="C157" s="180"/>
      <c r="D157" s="179"/>
      <c r="E157" s="179"/>
      <c r="F157" s="180"/>
      <c r="G157" s="49"/>
      <c r="H157" s="53"/>
      <c r="I157" s="54"/>
      <c r="J157" s="54"/>
      <c r="K157" s="54"/>
      <c r="L157" s="55"/>
      <c r="M157" s="56"/>
      <c r="N157" s="56"/>
      <c r="O157" s="56"/>
    </row>
    <row r="158" spans="1:15" ht="15" customHeight="1" x14ac:dyDescent="0.35">
      <c r="A158" s="179"/>
      <c r="B158" s="179"/>
      <c r="C158" s="180"/>
      <c r="D158" s="179"/>
      <c r="E158" s="179"/>
      <c r="F158" s="180"/>
      <c r="G158" s="49"/>
      <c r="H158" s="53"/>
      <c r="I158" s="54"/>
      <c r="J158" s="54"/>
      <c r="K158" s="54"/>
      <c r="L158" s="55"/>
      <c r="M158" s="56"/>
      <c r="N158" s="56"/>
      <c r="O158" s="56"/>
    </row>
    <row r="159" spans="1:15" ht="15" customHeight="1" x14ac:dyDescent="0.35">
      <c r="A159" s="179"/>
      <c r="B159" s="179"/>
      <c r="C159" s="180"/>
      <c r="D159" s="179"/>
      <c r="E159" s="179"/>
      <c r="F159" s="180"/>
      <c r="G159" s="49"/>
      <c r="H159" s="53"/>
      <c r="I159" s="54"/>
      <c r="J159" s="54"/>
      <c r="K159" s="54"/>
      <c r="L159" s="55"/>
      <c r="M159" s="56"/>
      <c r="N159" s="56"/>
      <c r="O159" s="56"/>
    </row>
    <row r="160" spans="1:15" ht="15" customHeight="1" x14ac:dyDescent="0.35">
      <c r="A160" s="179"/>
      <c r="B160" s="179"/>
      <c r="C160" s="180"/>
      <c r="D160" s="179"/>
      <c r="E160" s="179"/>
      <c r="F160" s="180"/>
      <c r="G160" s="49"/>
      <c r="H160" s="53"/>
      <c r="I160" s="54"/>
      <c r="J160" s="54"/>
      <c r="K160" s="54"/>
      <c r="L160" s="55"/>
      <c r="M160" s="56"/>
      <c r="N160" s="56"/>
      <c r="O160" s="56"/>
    </row>
    <row r="161" spans="1:15" ht="15" customHeight="1" x14ac:dyDescent="0.35">
      <c r="A161" s="179"/>
      <c r="B161" s="179"/>
      <c r="C161" s="180"/>
      <c r="D161" s="179"/>
      <c r="E161" s="179"/>
      <c r="F161" s="180"/>
      <c r="G161" s="49"/>
      <c r="H161" s="53"/>
      <c r="I161" s="54"/>
      <c r="J161" s="54"/>
      <c r="K161" s="54"/>
      <c r="L161" s="55"/>
      <c r="M161" s="56"/>
      <c r="N161" s="56"/>
      <c r="O161" s="56"/>
    </row>
    <row r="162" spans="1:15" ht="15" customHeight="1" x14ac:dyDescent="0.35">
      <c r="A162" s="179"/>
      <c r="B162" s="179"/>
      <c r="C162" s="180"/>
      <c r="D162" s="179"/>
      <c r="E162" s="179"/>
      <c r="F162" s="180"/>
      <c r="G162" s="49"/>
      <c r="H162" s="53"/>
      <c r="I162" s="54"/>
      <c r="J162" s="54"/>
      <c r="K162" s="54"/>
      <c r="L162" s="55"/>
      <c r="M162" s="56"/>
      <c r="N162" s="56"/>
      <c r="O162" s="56"/>
    </row>
    <row r="163" spans="1:15" ht="15" customHeight="1" x14ac:dyDescent="0.35">
      <c r="A163" s="179"/>
      <c r="B163" s="179"/>
      <c r="C163" s="180"/>
      <c r="D163" s="179"/>
      <c r="E163" s="179"/>
      <c r="F163" s="180"/>
      <c r="G163" s="49"/>
      <c r="H163" s="53"/>
      <c r="I163" s="54"/>
      <c r="J163" s="54"/>
      <c r="K163" s="54"/>
      <c r="L163" s="55"/>
      <c r="M163" s="56"/>
      <c r="N163" s="56"/>
      <c r="O163" s="56"/>
    </row>
    <row r="164" spans="1:15" ht="15" customHeight="1" x14ac:dyDescent="0.35">
      <c r="A164" s="179"/>
      <c r="B164" s="179"/>
      <c r="C164" s="180"/>
      <c r="D164" s="179"/>
      <c r="E164" s="179"/>
      <c r="F164" s="180"/>
      <c r="G164" s="49"/>
      <c r="H164" s="53"/>
      <c r="I164" s="54"/>
      <c r="J164" s="54"/>
      <c r="K164" s="54"/>
      <c r="L164" s="55"/>
      <c r="M164" s="56"/>
      <c r="N164" s="56"/>
      <c r="O164" s="56"/>
    </row>
    <row r="165" spans="1:15" ht="15" customHeight="1" x14ac:dyDescent="0.35">
      <c r="A165" s="179"/>
      <c r="B165" s="179"/>
      <c r="C165" s="180"/>
      <c r="D165" s="179"/>
      <c r="E165" s="179"/>
      <c r="F165" s="180"/>
      <c r="G165" s="49"/>
      <c r="H165" s="53"/>
      <c r="I165" s="54"/>
      <c r="J165" s="54"/>
      <c r="K165" s="54"/>
      <c r="L165" s="55"/>
      <c r="M165" s="56"/>
      <c r="N165" s="56"/>
      <c r="O165" s="56"/>
    </row>
    <row r="166" spans="1:15" ht="15" customHeight="1" x14ac:dyDescent="0.35">
      <c r="A166" s="179"/>
      <c r="B166" s="179"/>
      <c r="C166" s="180"/>
      <c r="D166" s="179"/>
      <c r="E166" s="179"/>
      <c r="F166" s="180"/>
      <c r="G166" s="49"/>
      <c r="H166" s="53"/>
      <c r="I166" s="54"/>
      <c r="J166" s="54"/>
      <c r="K166" s="54"/>
      <c r="L166" s="55"/>
      <c r="M166" s="56"/>
      <c r="N166" s="56"/>
      <c r="O166" s="56"/>
    </row>
    <row r="167" spans="1:15" ht="15" customHeight="1" x14ac:dyDescent="0.35">
      <c r="A167" s="179"/>
      <c r="B167" s="179"/>
      <c r="C167" s="180"/>
      <c r="D167" s="179"/>
      <c r="E167" s="179"/>
      <c r="F167" s="180"/>
      <c r="G167" s="49"/>
      <c r="H167" s="53"/>
      <c r="I167" s="54"/>
      <c r="J167" s="54"/>
      <c r="K167" s="54"/>
      <c r="L167" s="55"/>
      <c r="M167" s="56"/>
      <c r="N167" s="56"/>
      <c r="O167" s="56"/>
    </row>
    <row r="168" spans="1:15" ht="15" customHeight="1" x14ac:dyDescent="0.35">
      <c r="A168" s="179"/>
      <c r="B168" s="179"/>
      <c r="C168" s="180"/>
      <c r="D168" s="179"/>
      <c r="E168" s="179"/>
      <c r="F168" s="180"/>
      <c r="G168" s="49"/>
      <c r="H168" s="53"/>
      <c r="I168" s="54"/>
      <c r="J168" s="54"/>
      <c r="K168" s="54"/>
      <c r="L168" s="55"/>
      <c r="M168" s="56"/>
      <c r="N168" s="56"/>
      <c r="O168" s="56"/>
    </row>
    <row r="169" spans="1:15" ht="15" customHeight="1" x14ac:dyDescent="0.35">
      <c r="A169" s="179"/>
      <c r="B169" s="179"/>
      <c r="C169" s="180"/>
      <c r="D169" s="179"/>
      <c r="E169" s="179"/>
      <c r="F169" s="180"/>
      <c r="G169" s="49"/>
      <c r="H169" s="53"/>
      <c r="I169" s="54"/>
      <c r="J169" s="54"/>
      <c r="K169" s="54"/>
      <c r="L169" s="55"/>
      <c r="M169" s="56"/>
      <c r="N169" s="56"/>
      <c r="O169" s="56"/>
    </row>
    <row r="170" spans="1:15" ht="15" customHeight="1" x14ac:dyDescent="0.35">
      <c r="A170" s="179"/>
      <c r="B170" s="179"/>
      <c r="C170" s="180"/>
      <c r="D170" s="179"/>
      <c r="E170" s="179"/>
      <c r="F170" s="180"/>
      <c r="G170" s="49"/>
      <c r="H170" s="53"/>
      <c r="I170" s="54"/>
      <c r="J170" s="54"/>
      <c r="K170" s="54"/>
      <c r="L170" s="55"/>
      <c r="M170" s="56"/>
      <c r="N170" s="56"/>
      <c r="O170" s="56"/>
    </row>
    <row r="171" spans="1:15" ht="15" customHeight="1" x14ac:dyDescent="0.35">
      <c r="A171" s="179"/>
      <c r="B171" s="179"/>
      <c r="C171" s="180"/>
      <c r="D171" s="179"/>
      <c r="E171" s="179"/>
      <c r="F171" s="180"/>
      <c r="G171" s="49"/>
      <c r="H171" s="53"/>
      <c r="I171" s="54"/>
      <c r="J171" s="54"/>
      <c r="K171" s="54"/>
      <c r="L171" s="55"/>
      <c r="M171" s="56"/>
      <c r="N171" s="56"/>
      <c r="O171" s="56"/>
    </row>
    <row r="172" spans="1:15" ht="15" customHeight="1" x14ac:dyDescent="0.35">
      <c r="A172" s="179"/>
      <c r="B172" s="179"/>
      <c r="C172" s="180"/>
      <c r="D172" s="179"/>
      <c r="E172" s="179"/>
      <c r="F172" s="180"/>
      <c r="G172" s="49"/>
      <c r="H172" s="53"/>
      <c r="I172" s="54"/>
      <c r="J172" s="54"/>
      <c r="K172" s="54"/>
      <c r="L172" s="55"/>
      <c r="M172" s="56"/>
      <c r="N172" s="56"/>
      <c r="O172" s="56"/>
    </row>
    <row r="173" spans="1:15" ht="15" customHeight="1" x14ac:dyDescent="0.35">
      <c r="A173" s="179"/>
      <c r="B173" s="179"/>
      <c r="C173" s="180"/>
      <c r="D173" s="179"/>
      <c r="E173" s="179"/>
      <c r="F173" s="180"/>
      <c r="G173" s="49"/>
      <c r="H173" s="53"/>
      <c r="I173" s="54"/>
      <c r="J173" s="54"/>
      <c r="K173" s="54"/>
      <c r="L173" s="55"/>
      <c r="M173" s="56"/>
      <c r="N173" s="56"/>
      <c r="O173" s="56"/>
    </row>
    <row r="174" spans="1:15" ht="15" customHeight="1" x14ac:dyDescent="0.35">
      <c r="A174" s="179"/>
      <c r="B174" s="179"/>
      <c r="C174" s="180"/>
      <c r="D174" s="179"/>
      <c r="E174" s="179"/>
      <c r="F174" s="180"/>
      <c r="G174" s="49"/>
      <c r="H174" s="53"/>
      <c r="I174" s="54"/>
      <c r="J174" s="54"/>
      <c r="K174" s="54"/>
      <c r="L174" s="55"/>
      <c r="M174" s="56"/>
      <c r="N174" s="56"/>
      <c r="O174" s="56"/>
    </row>
    <row r="175" spans="1:15" ht="15" customHeight="1" x14ac:dyDescent="0.35">
      <c r="A175" s="179"/>
      <c r="B175" s="179"/>
      <c r="C175" s="180"/>
      <c r="D175" s="179"/>
      <c r="E175" s="179"/>
      <c r="F175" s="180"/>
      <c r="G175" s="49"/>
      <c r="H175" s="53"/>
      <c r="I175" s="54"/>
      <c r="J175" s="54"/>
      <c r="K175" s="54"/>
      <c r="L175" s="55"/>
      <c r="M175" s="56"/>
      <c r="N175" s="56"/>
      <c r="O175" s="56"/>
    </row>
    <row r="176" spans="1:15" ht="15" customHeight="1" x14ac:dyDescent="0.35">
      <c r="A176" s="179"/>
      <c r="B176" s="179"/>
      <c r="C176" s="180"/>
      <c r="D176" s="179"/>
      <c r="E176" s="179"/>
      <c r="F176" s="180"/>
      <c r="G176" s="49"/>
      <c r="H176" s="53"/>
      <c r="I176" s="54"/>
      <c r="J176" s="54"/>
      <c r="K176" s="54"/>
      <c r="L176" s="55"/>
      <c r="M176" s="56"/>
      <c r="N176" s="56"/>
      <c r="O176" s="56"/>
    </row>
    <row r="177" spans="1:15" ht="15" customHeight="1" x14ac:dyDescent="0.35">
      <c r="A177" s="179"/>
      <c r="B177" s="179"/>
      <c r="C177" s="180"/>
      <c r="D177" s="179"/>
      <c r="E177" s="179"/>
      <c r="F177" s="180"/>
      <c r="G177" s="49"/>
      <c r="H177" s="53"/>
      <c r="I177" s="54"/>
      <c r="J177" s="54"/>
      <c r="K177" s="54"/>
      <c r="L177" s="55"/>
      <c r="M177" s="56"/>
      <c r="N177" s="56"/>
      <c r="O177" s="56"/>
    </row>
    <row r="178" spans="1:15" ht="15" customHeight="1" x14ac:dyDescent="0.35">
      <c r="A178" s="179"/>
      <c r="B178" s="179"/>
      <c r="C178" s="180"/>
      <c r="D178" s="179"/>
      <c r="E178" s="179"/>
      <c r="F178" s="180"/>
      <c r="G178" s="49"/>
      <c r="H178" s="53"/>
      <c r="I178" s="54"/>
      <c r="J178" s="54"/>
      <c r="K178" s="54"/>
      <c r="L178" s="55"/>
      <c r="M178" s="56"/>
      <c r="N178" s="56"/>
      <c r="O178" s="56"/>
    </row>
    <row r="179" spans="1:15" ht="15" customHeight="1" x14ac:dyDescent="0.35">
      <c r="A179" s="179"/>
      <c r="B179" s="179"/>
      <c r="C179" s="180"/>
      <c r="D179" s="179"/>
      <c r="E179" s="179"/>
      <c r="F179" s="180"/>
      <c r="G179" s="49"/>
      <c r="H179" s="53"/>
      <c r="I179" s="54"/>
      <c r="J179" s="54"/>
      <c r="K179" s="54"/>
      <c r="L179" s="55"/>
      <c r="M179" s="56"/>
      <c r="N179" s="56"/>
      <c r="O179" s="56"/>
    </row>
    <row r="180" spans="1:15" ht="15" customHeight="1" x14ac:dyDescent="0.35">
      <c r="A180" s="179"/>
      <c r="B180" s="179"/>
      <c r="C180" s="180"/>
      <c r="D180" s="179"/>
      <c r="E180" s="179"/>
      <c r="F180" s="180"/>
      <c r="G180" s="49"/>
      <c r="H180" s="53"/>
      <c r="I180" s="54"/>
      <c r="J180" s="54"/>
      <c r="K180" s="54"/>
      <c r="L180" s="55"/>
      <c r="M180" s="56"/>
      <c r="N180" s="56"/>
      <c r="O180" s="56"/>
    </row>
    <row r="181" spans="1:15" ht="15" customHeight="1" x14ac:dyDescent="0.35">
      <c r="A181" s="179"/>
      <c r="B181" s="179"/>
      <c r="C181" s="180"/>
      <c r="D181" s="179"/>
      <c r="E181" s="179"/>
      <c r="F181" s="180"/>
      <c r="G181" s="49"/>
      <c r="H181" s="53"/>
      <c r="I181" s="54"/>
      <c r="J181" s="54"/>
      <c r="K181" s="54"/>
      <c r="L181" s="55"/>
      <c r="M181" s="56"/>
      <c r="N181" s="56"/>
      <c r="O181" s="56"/>
    </row>
    <row r="182" spans="1:15" ht="15" customHeight="1" x14ac:dyDescent="0.35">
      <c r="A182" s="179"/>
      <c r="B182" s="179"/>
      <c r="C182" s="180"/>
      <c r="D182" s="179"/>
      <c r="E182" s="179"/>
      <c r="F182" s="180"/>
      <c r="G182" s="49"/>
      <c r="H182" s="53"/>
      <c r="I182" s="54"/>
      <c r="J182" s="54"/>
      <c r="K182" s="54"/>
      <c r="L182" s="55"/>
      <c r="M182" s="56"/>
      <c r="N182" s="56"/>
      <c r="O182" s="56"/>
    </row>
    <row r="183" spans="1:15" ht="15" customHeight="1" x14ac:dyDescent="0.35">
      <c r="A183" s="179"/>
      <c r="B183" s="179"/>
      <c r="C183" s="180"/>
      <c r="D183" s="179"/>
      <c r="E183" s="179"/>
      <c r="F183" s="180"/>
      <c r="G183" s="49"/>
      <c r="H183" s="53"/>
      <c r="I183" s="54"/>
      <c r="J183" s="54"/>
      <c r="K183" s="54"/>
      <c r="L183" s="55"/>
      <c r="M183" s="56"/>
      <c r="N183" s="56"/>
      <c r="O183" s="56"/>
    </row>
    <row r="184" spans="1:15" ht="15" customHeight="1" x14ac:dyDescent="0.35">
      <c r="A184" s="179"/>
      <c r="B184" s="179"/>
      <c r="C184" s="180"/>
      <c r="D184" s="179"/>
      <c r="E184" s="179"/>
      <c r="F184" s="180"/>
      <c r="G184" s="49"/>
      <c r="H184" s="53"/>
      <c r="I184" s="54"/>
      <c r="J184" s="54"/>
      <c r="K184" s="54"/>
      <c r="L184" s="55"/>
      <c r="M184" s="56"/>
      <c r="N184" s="56"/>
      <c r="O184" s="56"/>
    </row>
    <row r="185" spans="1:15" ht="15" customHeight="1" x14ac:dyDescent="0.35">
      <c r="A185" s="179"/>
      <c r="B185" s="179"/>
      <c r="C185" s="180"/>
      <c r="D185" s="179"/>
      <c r="E185" s="179"/>
      <c r="F185" s="180"/>
      <c r="G185" s="49"/>
      <c r="H185" s="53"/>
      <c r="I185" s="54"/>
      <c r="J185" s="54"/>
      <c r="K185" s="54"/>
      <c r="L185" s="55"/>
      <c r="M185" s="56"/>
      <c r="N185" s="56"/>
      <c r="O185" s="56"/>
    </row>
    <row r="186" spans="1:15" ht="15" customHeight="1" x14ac:dyDescent="0.35">
      <c r="A186" s="179"/>
      <c r="B186" s="179"/>
      <c r="C186" s="180"/>
      <c r="D186" s="179"/>
      <c r="E186" s="179"/>
      <c r="F186" s="180"/>
      <c r="G186" s="49"/>
      <c r="H186" s="53"/>
      <c r="I186" s="54"/>
      <c r="J186" s="54"/>
      <c r="K186" s="54"/>
      <c r="L186" s="55"/>
      <c r="M186" s="56"/>
      <c r="N186" s="56"/>
      <c r="O186" s="56"/>
    </row>
    <row r="187" spans="1:15" ht="15" customHeight="1" x14ac:dyDescent="0.35">
      <c r="A187" s="179"/>
      <c r="B187" s="179"/>
      <c r="C187" s="180"/>
      <c r="D187" s="179"/>
      <c r="E187" s="179"/>
      <c r="F187" s="180"/>
      <c r="G187" s="49"/>
      <c r="H187" s="53"/>
      <c r="I187" s="54"/>
      <c r="J187" s="54"/>
      <c r="K187" s="54"/>
      <c r="L187" s="55"/>
      <c r="M187" s="56"/>
      <c r="N187" s="56"/>
      <c r="O187" s="56"/>
    </row>
    <row r="188" spans="1:15" ht="15" customHeight="1" x14ac:dyDescent="0.35">
      <c r="A188" s="179"/>
      <c r="B188" s="179"/>
      <c r="C188" s="180"/>
      <c r="D188" s="179"/>
      <c r="E188" s="179"/>
      <c r="F188" s="180"/>
      <c r="G188" s="49"/>
      <c r="H188" s="53"/>
      <c r="I188" s="54"/>
      <c r="J188" s="54"/>
      <c r="K188" s="54"/>
      <c r="L188" s="55"/>
      <c r="M188" s="56"/>
      <c r="N188" s="56"/>
      <c r="O188" s="56"/>
    </row>
    <row r="189" spans="1:15" ht="15" customHeight="1" x14ac:dyDescent="0.35">
      <c r="A189" s="179"/>
      <c r="B189" s="179"/>
      <c r="C189" s="180"/>
      <c r="D189" s="179"/>
      <c r="E189" s="179"/>
      <c r="F189" s="180"/>
      <c r="G189" s="49"/>
      <c r="H189" s="53"/>
      <c r="I189" s="54"/>
      <c r="J189" s="54"/>
      <c r="K189" s="54"/>
      <c r="L189" s="55"/>
      <c r="M189" s="56"/>
      <c r="N189" s="56"/>
      <c r="O189" s="56"/>
    </row>
    <row r="190" spans="1:15" ht="15" customHeight="1" x14ac:dyDescent="0.35">
      <c r="A190" s="179"/>
      <c r="B190" s="179"/>
      <c r="C190" s="180"/>
      <c r="D190" s="179"/>
      <c r="E190" s="179"/>
      <c r="F190" s="180"/>
      <c r="G190" s="49"/>
      <c r="H190" s="53"/>
      <c r="I190" s="54"/>
      <c r="J190" s="54"/>
      <c r="K190" s="54"/>
      <c r="L190" s="55"/>
      <c r="M190" s="56"/>
      <c r="N190" s="56"/>
      <c r="O190" s="56"/>
    </row>
    <row r="191" spans="1:15" ht="15" customHeight="1" x14ac:dyDescent="0.35">
      <c r="A191" s="179"/>
      <c r="B191" s="179"/>
      <c r="C191" s="180"/>
      <c r="D191" s="179"/>
      <c r="E191" s="179"/>
      <c r="F191" s="180"/>
      <c r="G191" s="49"/>
      <c r="H191" s="53"/>
      <c r="I191" s="54"/>
      <c r="J191" s="54"/>
      <c r="K191" s="54"/>
      <c r="L191" s="55"/>
      <c r="M191" s="56"/>
      <c r="N191" s="56"/>
      <c r="O191" s="56"/>
    </row>
    <row r="192" spans="1:15" ht="15" customHeight="1" x14ac:dyDescent="0.35">
      <c r="A192" s="179"/>
      <c r="B192" s="179"/>
      <c r="C192" s="180"/>
      <c r="D192" s="179"/>
      <c r="E192" s="179"/>
      <c r="F192" s="180"/>
      <c r="G192" s="49"/>
      <c r="H192" s="53"/>
      <c r="I192" s="54"/>
      <c r="J192" s="54"/>
      <c r="K192" s="54"/>
      <c r="L192" s="55"/>
      <c r="M192" s="56"/>
      <c r="N192" s="56"/>
      <c r="O192" s="56"/>
    </row>
    <row r="193" spans="1:15" ht="15" customHeight="1" x14ac:dyDescent="0.35">
      <c r="A193" s="179"/>
      <c r="B193" s="179"/>
      <c r="C193" s="180"/>
      <c r="D193" s="179"/>
      <c r="E193" s="179"/>
      <c r="F193" s="180"/>
      <c r="G193" s="49"/>
      <c r="H193" s="53"/>
      <c r="I193" s="54"/>
      <c r="J193" s="54"/>
      <c r="K193" s="54"/>
      <c r="L193" s="55"/>
      <c r="M193" s="56"/>
      <c r="N193" s="56"/>
      <c r="O193" s="56"/>
    </row>
    <row r="194" spans="1:15" ht="15" customHeight="1" x14ac:dyDescent="0.35">
      <c r="A194" s="179"/>
      <c r="B194" s="179"/>
      <c r="C194" s="180"/>
      <c r="D194" s="179"/>
      <c r="E194" s="179"/>
      <c r="F194" s="180"/>
      <c r="G194" s="49"/>
      <c r="H194" s="53"/>
      <c r="I194" s="54"/>
      <c r="J194" s="54"/>
      <c r="K194" s="54"/>
      <c r="L194" s="55"/>
      <c r="M194" s="56"/>
      <c r="N194" s="56"/>
      <c r="O194" s="56"/>
    </row>
    <row r="195" spans="1:15" ht="15" customHeight="1" x14ac:dyDescent="0.35">
      <c r="A195" s="179"/>
      <c r="B195" s="179"/>
      <c r="C195" s="180"/>
      <c r="D195" s="179"/>
      <c r="E195" s="179"/>
      <c r="F195" s="180"/>
      <c r="G195" s="49"/>
      <c r="H195" s="53"/>
      <c r="I195" s="54"/>
      <c r="J195" s="54"/>
      <c r="K195" s="54"/>
      <c r="L195" s="55"/>
      <c r="M195" s="56"/>
      <c r="N195" s="56"/>
      <c r="O195" s="56"/>
    </row>
    <row r="196" spans="1:15" ht="15" customHeight="1" x14ac:dyDescent="0.35">
      <c r="A196" s="179"/>
      <c r="B196" s="179"/>
      <c r="C196" s="180"/>
      <c r="D196" s="179"/>
      <c r="E196" s="179"/>
      <c r="F196" s="180"/>
      <c r="G196" s="49"/>
      <c r="H196" s="53"/>
      <c r="I196" s="54"/>
      <c r="J196" s="54"/>
      <c r="K196" s="54"/>
      <c r="L196" s="55"/>
      <c r="M196" s="56"/>
      <c r="N196" s="56"/>
      <c r="O196" s="56"/>
    </row>
    <row r="197" spans="1:15" ht="15" customHeight="1" x14ac:dyDescent="0.35">
      <c r="A197" s="179"/>
      <c r="B197" s="179"/>
      <c r="C197" s="180"/>
      <c r="D197" s="179"/>
      <c r="E197" s="179"/>
      <c r="F197" s="180"/>
      <c r="G197" s="49"/>
      <c r="H197" s="53"/>
      <c r="I197" s="54"/>
      <c r="J197" s="54"/>
      <c r="K197" s="54"/>
      <c r="L197" s="55"/>
      <c r="M197" s="56"/>
      <c r="N197" s="56"/>
      <c r="O197" s="56"/>
    </row>
    <row r="198" spans="1:15" ht="15" customHeight="1" x14ac:dyDescent="0.35">
      <c r="A198" s="179"/>
      <c r="B198" s="179"/>
      <c r="C198" s="180"/>
      <c r="D198" s="179"/>
      <c r="E198" s="179"/>
      <c r="F198" s="180"/>
      <c r="G198" s="49"/>
      <c r="H198" s="53"/>
      <c r="I198" s="54"/>
      <c r="J198" s="54"/>
      <c r="K198" s="54"/>
      <c r="L198" s="55"/>
      <c r="M198" s="56"/>
      <c r="N198" s="56"/>
      <c r="O198" s="56"/>
    </row>
    <row r="199" spans="1:15" ht="15" customHeight="1" x14ac:dyDescent="0.35">
      <c r="A199" s="179"/>
      <c r="B199" s="179"/>
      <c r="C199" s="180"/>
      <c r="D199" s="179"/>
      <c r="E199" s="179"/>
      <c r="F199" s="180"/>
      <c r="G199" s="49"/>
      <c r="H199" s="53"/>
      <c r="I199" s="54"/>
      <c r="J199" s="54"/>
      <c r="K199" s="54"/>
      <c r="L199" s="55"/>
      <c r="M199" s="56"/>
      <c r="N199" s="56"/>
      <c r="O199" s="56"/>
    </row>
    <row r="200" spans="1:15" ht="15" customHeight="1" x14ac:dyDescent="0.35">
      <c r="A200" s="179"/>
      <c r="B200" s="179"/>
      <c r="C200" s="180"/>
      <c r="D200" s="179"/>
      <c r="E200" s="179"/>
      <c r="F200" s="180"/>
      <c r="G200" s="49"/>
      <c r="H200" s="53"/>
      <c r="I200" s="54"/>
      <c r="J200" s="54"/>
      <c r="K200" s="54"/>
      <c r="L200" s="55"/>
      <c r="M200" s="56"/>
      <c r="N200" s="56"/>
      <c r="O200" s="56"/>
    </row>
    <row r="201" spans="1:15" ht="15" customHeight="1" x14ac:dyDescent="0.35">
      <c r="A201" s="179"/>
      <c r="B201" s="179"/>
      <c r="C201" s="180"/>
      <c r="D201" s="179"/>
      <c r="E201" s="179"/>
      <c r="F201" s="180"/>
      <c r="G201" s="49"/>
      <c r="H201" s="53"/>
      <c r="I201" s="54"/>
      <c r="J201" s="54"/>
      <c r="K201" s="54"/>
      <c r="L201" s="55"/>
      <c r="M201" s="56"/>
      <c r="N201" s="56"/>
      <c r="O201" s="56"/>
    </row>
    <row r="202" spans="1:15" ht="15" customHeight="1" x14ac:dyDescent="0.35">
      <c r="A202" s="179"/>
      <c r="B202" s="179"/>
      <c r="C202" s="180"/>
      <c r="D202" s="179"/>
      <c r="E202" s="179"/>
      <c r="F202" s="180"/>
      <c r="G202" s="49"/>
      <c r="H202" s="53"/>
      <c r="I202" s="54"/>
      <c r="J202" s="54"/>
      <c r="K202" s="54"/>
      <c r="L202" s="55"/>
      <c r="M202" s="56"/>
      <c r="N202" s="56"/>
      <c r="O202" s="56"/>
    </row>
    <row r="203" spans="1:15" ht="15" customHeight="1" x14ac:dyDescent="0.35">
      <c r="A203" s="179"/>
      <c r="B203" s="179"/>
      <c r="C203" s="180"/>
      <c r="D203" s="179"/>
      <c r="E203" s="179"/>
      <c r="F203" s="180"/>
      <c r="G203" s="49"/>
      <c r="H203" s="53"/>
      <c r="I203" s="54"/>
      <c r="J203" s="54"/>
      <c r="K203" s="54"/>
      <c r="L203" s="55"/>
      <c r="M203" s="56"/>
      <c r="N203" s="56"/>
      <c r="O203" s="56"/>
    </row>
    <row r="204" spans="1:15" ht="15" customHeight="1" x14ac:dyDescent="0.35">
      <c r="A204" s="179"/>
      <c r="B204" s="179"/>
      <c r="C204" s="180"/>
      <c r="D204" s="179"/>
      <c r="E204" s="179"/>
      <c r="F204" s="180"/>
      <c r="G204" s="49"/>
      <c r="H204" s="53"/>
      <c r="I204" s="54"/>
      <c r="J204" s="54"/>
      <c r="K204" s="54"/>
      <c r="L204" s="55"/>
      <c r="M204" s="56"/>
      <c r="N204" s="56"/>
      <c r="O204" s="56"/>
    </row>
    <row r="205" spans="1:15" ht="15" customHeight="1" x14ac:dyDescent="0.35">
      <c r="A205" s="179"/>
      <c r="B205" s="179"/>
      <c r="C205" s="180"/>
      <c r="D205" s="179"/>
      <c r="E205" s="179"/>
      <c r="F205" s="180"/>
      <c r="G205" s="49"/>
      <c r="H205" s="53"/>
      <c r="I205" s="54"/>
      <c r="J205" s="54"/>
      <c r="K205" s="54"/>
      <c r="L205" s="55"/>
      <c r="M205" s="56"/>
      <c r="N205" s="56"/>
      <c r="O205" s="56"/>
    </row>
    <row r="206" spans="1:15" ht="15" customHeight="1" x14ac:dyDescent="0.35">
      <c r="A206" s="179"/>
      <c r="B206" s="179"/>
      <c r="C206" s="180"/>
      <c r="D206" s="179"/>
      <c r="E206" s="179"/>
      <c r="F206" s="180"/>
      <c r="G206" s="49"/>
      <c r="H206" s="53"/>
      <c r="I206" s="54"/>
      <c r="J206" s="54"/>
      <c r="K206" s="54"/>
      <c r="L206" s="55"/>
      <c r="M206" s="56"/>
      <c r="N206" s="56"/>
      <c r="O206" s="56"/>
    </row>
    <row r="207" spans="1:15" ht="15" customHeight="1" x14ac:dyDescent="0.35">
      <c r="A207" s="179"/>
      <c r="B207" s="179"/>
      <c r="C207" s="180"/>
      <c r="D207" s="179"/>
      <c r="E207" s="179"/>
      <c r="F207" s="180"/>
      <c r="G207" s="49"/>
      <c r="H207" s="53"/>
      <c r="I207" s="54"/>
      <c r="J207" s="54"/>
      <c r="K207" s="54"/>
      <c r="L207" s="55"/>
      <c r="M207" s="56"/>
      <c r="N207" s="56"/>
      <c r="O207" s="56"/>
    </row>
    <row r="208" spans="1:15" ht="15" customHeight="1" x14ac:dyDescent="0.35">
      <c r="A208" s="179"/>
      <c r="B208" s="179"/>
      <c r="C208" s="180"/>
      <c r="D208" s="179"/>
      <c r="E208" s="179"/>
      <c r="F208" s="180"/>
      <c r="G208" s="49"/>
      <c r="H208" s="53"/>
      <c r="I208" s="54"/>
      <c r="J208" s="54"/>
      <c r="K208" s="54"/>
      <c r="L208" s="55"/>
      <c r="M208" s="56"/>
      <c r="N208" s="56"/>
      <c r="O208" s="56"/>
    </row>
    <row r="209" spans="1:15" ht="15" customHeight="1" x14ac:dyDescent="0.35">
      <c r="A209" s="179"/>
      <c r="B209" s="179"/>
      <c r="C209" s="180"/>
      <c r="D209" s="179"/>
      <c r="E209" s="179"/>
      <c r="F209" s="180"/>
      <c r="G209" s="49"/>
      <c r="H209" s="53"/>
      <c r="I209" s="54"/>
      <c r="J209" s="54"/>
      <c r="K209" s="54"/>
      <c r="L209" s="55"/>
      <c r="M209" s="56"/>
      <c r="N209" s="56"/>
      <c r="O209" s="56"/>
    </row>
    <row r="210" spans="1:15" ht="15" customHeight="1" x14ac:dyDescent="0.35">
      <c r="A210" s="179"/>
      <c r="B210" s="179"/>
      <c r="C210" s="180"/>
      <c r="D210" s="179"/>
      <c r="E210" s="179"/>
      <c r="F210" s="180"/>
      <c r="G210" s="49"/>
      <c r="H210" s="53"/>
      <c r="I210" s="54"/>
      <c r="J210" s="54"/>
      <c r="K210" s="54"/>
      <c r="L210" s="55"/>
      <c r="M210" s="56"/>
      <c r="N210" s="56"/>
      <c r="O210" s="56"/>
    </row>
    <row r="211" spans="1:15" ht="15" customHeight="1" x14ac:dyDescent="0.35">
      <c r="A211" s="179"/>
      <c r="B211" s="179"/>
      <c r="C211" s="180"/>
      <c r="D211" s="179"/>
      <c r="E211" s="179"/>
      <c r="F211" s="180"/>
      <c r="G211" s="49"/>
      <c r="H211" s="53"/>
      <c r="I211" s="54"/>
      <c r="J211" s="54"/>
      <c r="K211" s="54"/>
      <c r="L211" s="55"/>
      <c r="M211" s="56"/>
      <c r="N211" s="56"/>
      <c r="O211" s="56"/>
    </row>
    <row r="212" spans="1:15" ht="15" customHeight="1" x14ac:dyDescent="0.35">
      <c r="A212" s="179"/>
      <c r="B212" s="179"/>
      <c r="C212" s="180"/>
      <c r="D212" s="179"/>
      <c r="E212" s="179"/>
      <c r="F212" s="180"/>
      <c r="G212" s="49"/>
      <c r="H212" s="53"/>
      <c r="I212" s="54"/>
      <c r="J212" s="54"/>
      <c r="K212" s="54"/>
      <c r="L212" s="55"/>
      <c r="M212" s="56"/>
      <c r="N212" s="56"/>
      <c r="O212" s="56"/>
    </row>
    <row r="213" spans="1:15" ht="15" customHeight="1" x14ac:dyDescent="0.35">
      <c r="A213" s="179"/>
      <c r="B213" s="179"/>
      <c r="C213" s="180"/>
      <c r="D213" s="179"/>
      <c r="E213" s="179"/>
      <c r="F213" s="180"/>
      <c r="G213" s="49"/>
      <c r="H213" s="53"/>
      <c r="I213" s="54"/>
      <c r="J213" s="54"/>
      <c r="K213" s="54"/>
      <c r="L213" s="55"/>
      <c r="M213" s="56"/>
      <c r="N213" s="56"/>
      <c r="O213" s="56"/>
    </row>
    <row r="214" spans="1:15" ht="15" customHeight="1" x14ac:dyDescent="0.35">
      <c r="A214" s="179"/>
      <c r="B214" s="179"/>
      <c r="C214" s="180"/>
      <c r="D214" s="179"/>
      <c r="E214" s="179"/>
      <c r="F214" s="180"/>
      <c r="G214" s="49"/>
      <c r="H214" s="53"/>
      <c r="I214" s="54"/>
      <c r="J214" s="54"/>
      <c r="K214" s="54"/>
      <c r="L214" s="55"/>
      <c r="M214" s="56"/>
      <c r="N214" s="56"/>
      <c r="O214" s="56"/>
    </row>
    <row r="215" spans="1:15" ht="15" customHeight="1" x14ac:dyDescent="0.35">
      <c r="A215" s="179"/>
      <c r="B215" s="179"/>
      <c r="C215" s="180"/>
      <c r="D215" s="179"/>
      <c r="E215" s="179"/>
      <c r="F215" s="180"/>
      <c r="G215" s="49"/>
      <c r="H215" s="53"/>
      <c r="I215" s="54"/>
      <c r="J215" s="54"/>
      <c r="K215" s="54"/>
      <c r="L215" s="55"/>
      <c r="M215" s="56"/>
      <c r="N215" s="56"/>
      <c r="O215" s="56"/>
    </row>
    <row r="216" spans="1:15" ht="15" customHeight="1" x14ac:dyDescent="0.35">
      <c r="A216" s="179"/>
      <c r="B216" s="179"/>
      <c r="C216" s="180"/>
      <c r="D216" s="179"/>
      <c r="E216" s="179"/>
      <c r="F216" s="180"/>
      <c r="G216" s="49"/>
      <c r="H216" s="53"/>
      <c r="I216" s="54"/>
      <c r="J216" s="54"/>
      <c r="K216" s="54"/>
      <c r="L216" s="55"/>
      <c r="M216" s="56"/>
      <c r="N216" s="56"/>
      <c r="O216" s="56"/>
    </row>
    <row r="217" spans="1:15" ht="15" customHeight="1" x14ac:dyDescent="0.35">
      <c r="A217" s="179"/>
      <c r="B217" s="179"/>
      <c r="C217" s="180"/>
      <c r="D217" s="179"/>
      <c r="E217" s="179"/>
      <c r="F217" s="180"/>
      <c r="G217" s="49"/>
      <c r="H217" s="53"/>
      <c r="I217" s="54"/>
      <c r="J217" s="54"/>
      <c r="K217" s="54"/>
      <c r="L217" s="55"/>
      <c r="M217" s="56"/>
      <c r="N217" s="56"/>
      <c r="O217" s="56"/>
    </row>
    <row r="218" spans="1:15" ht="15" customHeight="1" x14ac:dyDescent="0.35">
      <c r="A218" s="179"/>
      <c r="B218" s="179"/>
      <c r="C218" s="180"/>
      <c r="D218" s="179"/>
      <c r="E218" s="179"/>
      <c r="F218" s="180"/>
      <c r="G218" s="49"/>
      <c r="H218" s="53"/>
      <c r="I218" s="54"/>
      <c r="J218" s="54"/>
      <c r="K218" s="54"/>
      <c r="L218" s="55"/>
      <c r="M218" s="56"/>
      <c r="N218" s="56"/>
      <c r="O218" s="56"/>
    </row>
    <row r="219" spans="1:15" ht="15" customHeight="1" x14ac:dyDescent="0.35">
      <c r="A219" s="179"/>
      <c r="B219" s="179"/>
      <c r="C219" s="180"/>
      <c r="D219" s="179"/>
      <c r="E219" s="179"/>
      <c r="F219" s="180"/>
      <c r="G219" s="49"/>
      <c r="H219" s="53"/>
      <c r="I219" s="54"/>
      <c r="J219" s="54"/>
      <c r="K219" s="54"/>
      <c r="L219" s="55"/>
      <c r="M219" s="56"/>
      <c r="N219" s="56"/>
      <c r="O219" s="56"/>
    </row>
    <row r="220" spans="1:15" ht="15" customHeight="1" x14ac:dyDescent="0.35">
      <c r="A220" s="179"/>
      <c r="B220" s="179"/>
      <c r="C220" s="180"/>
      <c r="D220" s="179"/>
      <c r="E220" s="179"/>
      <c r="F220" s="180"/>
      <c r="G220" s="49"/>
      <c r="H220" s="53"/>
      <c r="I220" s="54"/>
      <c r="J220" s="54"/>
      <c r="K220" s="54"/>
      <c r="L220" s="55"/>
      <c r="M220" s="56"/>
      <c r="N220" s="56"/>
      <c r="O220" s="56"/>
    </row>
    <row r="221" spans="1:15" ht="15" customHeight="1" x14ac:dyDescent="0.35">
      <c r="A221" s="179"/>
      <c r="B221" s="179"/>
      <c r="C221" s="180"/>
      <c r="D221" s="179"/>
      <c r="E221" s="179"/>
      <c r="F221" s="180"/>
      <c r="G221" s="49"/>
      <c r="H221" s="53"/>
      <c r="I221" s="54"/>
      <c r="J221" s="54"/>
      <c r="K221" s="54"/>
      <c r="L221" s="55"/>
      <c r="M221" s="56"/>
      <c r="N221" s="56"/>
      <c r="O221" s="56"/>
    </row>
    <row r="222" spans="1:15" ht="15" customHeight="1" x14ac:dyDescent="0.35">
      <c r="A222" s="179"/>
      <c r="B222" s="179"/>
      <c r="C222" s="180"/>
      <c r="D222" s="179"/>
      <c r="E222" s="179"/>
      <c r="F222" s="180"/>
      <c r="G222" s="49"/>
      <c r="H222" s="53"/>
      <c r="I222" s="54"/>
      <c r="J222" s="54"/>
      <c r="K222" s="54"/>
      <c r="L222" s="55"/>
      <c r="M222" s="56"/>
      <c r="N222" s="56"/>
      <c r="O222" s="56"/>
    </row>
    <row r="223" spans="1:15" ht="15" customHeight="1" x14ac:dyDescent="0.35">
      <c r="A223" s="179"/>
      <c r="B223" s="179"/>
      <c r="C223" s="180"/>
      <c r="D223" s="179"/>
      <c r="E223" s="179"/>
      <c r="F223" s="180"/>
      <c r="G223" s="49"/>
      <c r="H223" s="53"/>
      <c r="I223" s="54"/>
      <c r="J223" s="54"/>
      <c r="K223" s="54"/>
      <c r="L223" s="55"/>
      <c r="M223" s="56"/>
      <c r="N223" s="56"/>
      <c r="O223" s="56"/>
    </row>
    <row r="224" spans="1:15" ht="15" customHeight="1" x14ac:dyDescent="0.35">
      <c r="A224" s="179"/>
      <c r="B224" s="179"/>
      <c r="C224" s="180"/>
      <c r="D224" s="179"/>
      <c r="E224" s="179"/>
      <c r="F224" s="180"/>
      <c r="G224" s="49"/>
      <c r="H224" s="53"/>
      <c r="I224" s="54"/>
      <c r="J224" s="54"/>
      <c r="K224" s="54"/>
      <c r="L224" s="55"/>
      <c r="M224" s="56"/>
      <c r="N224" s="56"/>
      <c r="O224" s="56"/>
    </row>
    <row r="225" spans="1:15" ht="15" customHeight="1" x14ac:dyDescent="0.35">
      <c r="A225" s="179"/>
      <c r="B225" s="179"/>
      <c r="C225" s="180"/>
      <c r="D225" s="179"/>
      <c r="E225" s="179"/>
      <c r="F225" s="180"/>
      <c r="G225" s="49"/>
      <c r="H225" s="53"/>
      <c r="I225" s="54"/>
      <c r="J225" s="54"/>
      <c r="K225" s="54"/>
      <c r="L225" s="55"/>
      <c r="M225" s="56"/>
      <c r="N225" s="56"/>
      <c r="O225" s="56"/>
    </row>
    <row r="226" spans="1:15" ht="15" customHeight="1" x14ac:dyDescent="0.35">
      <c r="A226" s="179"/>
      <c r="B226" s="179"/>
      <c r="C226" s="180"/>
      <c r="D226" s="179"/>
      <c r="E226" s="179"/>
      <c r="F226" s="180"/>
      <c r="G226" s="49"/>
      <c r="H226" s="53"/>
      <c r="I226" s="54"/>
      <c r="J226" s="54"/>
      <c r="K226" s="54"/>
      <c r="L226" s="55"/>
      <c r="M226" s="56"/>
      <c r="N226" s="56"/>
      <c r="O226" s="56"/>
    </row>
    <row r="227" spans="1:15" ht="15" customHeight="1" x14ac:dyDescent="0.35">
      <c r="A227" s="179"/>
      <c r="B227" s="179"/>
      <c r="C227" s="180"/>
      <c r="D227" s="179"/>
      <c r="E227" s="179"/>
      <c r="F227" s="180"/>
      <c r="G227" s="49"/>
      <c r="H227" s="53"/>
      <c r="I227" s="54"/>
      <c r="J227" s="54"/>
      <c r="K227" s="54"/>
      <c r="L227" s="55"/>
      <c r="M227" s="56"/>
      <c r="N227" s="56"/>
      <c r="O227" s="56"/>
    </row>
    <row r="228" spans="1:15" ht="15" customHeight="1" x14ac:dyDescent="0.35">
      <c r="A228" s="179"/>
      <c r="B228" s="179"/>
      <c r="C228" s="180"/>
      <c r="D228" s="179"/>
      <c r="E228" s="179"/>
      <c r="F228" s="180"/>
      <c r="G228" s="49"/>
      <c r="H228" s="53"/>
      <c r="I228" s="54"/>
      <c r="J228" s="54"/>
      <c r="K228" s="54"/>
      <c r="L228" s="55"/>
      <c r="M228" s="56"/>
      <c r="N228" s="56"/>
      <c r="O228" s="56"/>
    </row>
    <row r="229" spans="1:15" ht="15" customHeight="1" x14ac:dyDescent="0.35">
      <c r="A229" s="179"/>
      <c r="B229" s="179"/>
      <c r="C229" s="180"/>
      <c r="D229" s="179"/>
      <c r="E229" s="179"/>
      <c r="F229" s="180"/>
      <c r="G229" s="49"/>
      <c r="H229" s="53"/>
      <c r="I229" s="54"/>
      <c r="J229" s="54"/>
      <c r="K229" s="54"/>
      <c r="L229" s="55"/>
      <c r="M229" s="56"/>
      <c r="N229" s="56"/>
      <c r="O229" s="56"/>
    </row>
    <row r="230" spans="1:15" ht="15" customHeight="1" x14ac:dyDescent="0.35">
      <c r="A230" s="179"/>
      <c r="B230" s="179"/>
      <c r="C230" s="180"/>
      <c r="D230" s="179"/>
      <c r="E230" s="179"/>
      <c r="F230" s="180"/>
      <c r="G230" s="49"/>
      <c r="H230" s="53"/>
      <c r="I230" s="54"/>
      <c r="J230" s="54"/>
      <c r="K230" s="54"/>
      <c r="L230" s="55"/>
      <c r="M230" s="56"/>
      <c r="N230" s="56"/>
      <c r="O230" s="56"/>
    </row>
    <row r="231" spans="1:15" ht="15" customHeight="1" x14ac:dyDescent="0.35">
      <c r="A231" s="179"/>
      <c r="B231" s="179"/>
      <c r="C231" s="180"/>
      <c r="D231" s="179"/>
      <c r="E231" s="179"/>
      <c r="F231" s="180"/>
      <c r="G231" s="49"/>
      <c r="H231" s="53"/>
      <c r="I231" s="54"/>
      <c r="J231" s="54"/>
      <c r="K231" s="54"/>
      <c r="L231" s="55"/>
      <c r="M231" s="56"/>
      <c r="N231" s="56"/>
      <c r="O231" s="56"/>
    </row>
    <row r="232" spans="1:15" ht="15" customHeight="1" x14ac:dyDescent="0.35">
      <c r="A232" s="179"/>
      <c r="B232" s="179"/>
      <c r="C232" s="180"/>
      <c r="D232" s="179"/>
      <c r="E232" s="179"/>
      <c r="F232" s="180"/>
      <c r="G232" s="49"/>
      <c r="H232" s="53"/>
      <c r="I232" s="54"/>
      <c r="J232" s="54"/>
      <c r="K232" s="54"/>
      <c r="L232" s="55"/>
      <c r="M232" s="56"/>
      <c r="N232" s="56"/>
      <c r="O232" s="56"/>
    </row>
    <row r="233" spans="1:15" ht="15" customHeight="1" x14ac:dyDescent="0.35">
      <c r="A233" s="179"/>
      <c r="B233" s="179"/>
      <c r="C233" s="180"/>
      <c r="D233" s="179"/>
      <c r="E233" s="179"/>
      <c r="F233" s="180"/>
      <c r="G233" s="49"/>
      <c r="H233" s="53"/>
      <c r="I233" s="54"/>
      <c r="J233" s="54"/>
      <c r="K233" s="54"/>
      <c r="L233" s="55"/>
      <c r="M233" s="56"/>
      <c r="N233" s="56"/>
      <c r="O233" s="56"/>
    </row>
    <row r="234" spans="1:15" ht="15" customHeight="1" x14ac:dyDescent="0.35">
      <c r="A234" s="179"/>
      <c r="B234" s="179"/>
      <c r="C234" s="180"/>
      <c r="D234" s="179"/>
      <c r="E234" s="179"/>
      <c r="F234" s="180"/>
      <c r="G234" s="49"/>
      <c r="H234" s="53"/>
      <c r="I234" s="54"/>
      <c r="J234" s="54"/>
      <c r="K234" s="54"/>
      <c r="L234" s="55"/>
      <c r="M234" s="56"/>
      <c r="N234" s="56"/>
      <c r="O234" s="56"/>
    </row>
    <row r="235" spans="1:15" ht="15" customHeight="1" x14ac:dyDescent="0.35">
      <c r="A235" s="179"/>
      <c r="B235" s="179"/>
      <c r="C235" s="180"/>
      <c r="D235" s="179"/>
      <c r="E235" s="179"/>
      <c r="F235" s="180"/>
      <c r="G235" s="49"/>
      <c r="H235" s="53"/>
      <c r="I235" s="54"/>
      <c r="J235" s="54"/>
      <c r="K235" s="54"/>
      <c r="L235" s="55"/>
      <c r="M235" s="56"/>
      <c r="N235" s="56"/>
      <c r="O235" s="56"/>
    </row>
    <row r="236" spans="1:15" ht="15" customHeight="1" x14ac:dyDescent="0.35">
      <c r="A236" s="179"/>
      <c r="B236" s="179"/>
      <c r="C236" s="180"/>
      <c r="D236" s="179"/>
      <c r="E236" s="179"/>
      <c r="F236" s="180"/>
      <c r="G236" s="49"/>
      <c r="H236" s="53"/>
      <c r="I236" s="54"/>
      <c r="J236" s="54"/>
      <c r="K236" s="54"/>
      <c r="L236" s="55"/>
      <c r="M236" s="56"/>
      <c r="N236" s="56"/>
      <c r="O236" s="56"/>
    </row>
    <row r="237" spans="1:15" ht="15" customHeight="1" x14ac:dyDescent="0.35">
      <c r="A237" s="179"/>
      <c r="B237" s="179"/>
      <c r="C237" s="180"/>
      <c r="D237" s="179"/>
      <c r="E237" s="179"/>
      <c r="F237" s="180"/>
      <c r="G237" s="49"/>
      <c r="H237" s="53"/>
      <c r="I237" s="54"/>
      <c r="J237" s="54"/>
      <c r="K237" s="54"/>
      <c r="L237" s="55"/>
      <c r="M237" s="56"/>
      <c r="N237" s="56"/>
      <c r="O237" s="56"/>
    </row>
    <row r="238" spans="1:15" ht="15" customHeight="1" x14ac:dyDescent="0.35">
      <c r="A238" s="179"/>
      <c r="B238" s="179"/>
      <c r="C238" s="180"/>
      <c r="D238" s="179"/>
      <c r="E238" s="179"/>
      <c r="F238" s="180"/>
      <c r="G238" s="49"/>
      <c r="H238" s="53"/>
      <c r="I238" s="54"/>
      <c r="J238" s="54"/>
      <c r="K238" s="54"/>
      <c r="L238" s="55"/>
      <c r="M238" s="56"/>
      <c r="N238" s="56"/>
      <c r="O238" s="56"/>
    </row>
    <row r="239" spans="1:15" ht="15" customHeight="1" x14ac:dyDescent="0.35">
      <c r="A239" s="179"/>
      <c r="B239" s="179"/>
      <c r="C239" s="180"/>
      <c r="D239" s="179"/>
      <c r="E239" s="179"/>
      <c r="F239" s="180"/>
      <c r="G239" s="49"/>
      <c r="H239" s="53"/>
      <c r="I239" s="54"/>
      <c r="J239" s="54"/>
      <c r="K239" s="54"/>
      <c r="L239" s="55"/>
      <c r="M239" s="56"/>
      <c r="N239" s="56"/>
      <c r="O239" s="56"/>
    </row>
    <row r="240" spans="1:15" ht="15" customHeight="1" x14ac:dyDescent="0.35">
      <c r="A240" s="179"/>
      <c r="B240" s="179"/>
      <c r="C240" s="180"/>
      <c r="D240" s="179"/>
      <c r="E240" s="179"/>
      <c r="F240" s="180"/>
      <c r="G240" s="49"/>
      <c r="H240" s="53"/>
      <c r="I240" s="54"/>
      <c r="J240" s="54"/>
      <c r="K240" s="54"/>
      <c r="L240" s="55"/>
      <c r="M240" s="56"/>
      <c r="N240" s="56"/>
      <c r="O240" s="56"/>
    </row>
    <row r="241" spans="1:15" ht="15" customHeight="1" x14ac:dyDescent="0.35">
      <c r="A241" s="179"/>
      <c r="B241" s="179"/>
      <c r="C241" s="180"/>
      <c r="D241" s="179"/>
      <c r="E241" s="179"/>
      <c r="F241" s="180"/>
      <c r="G241" s="49"/>
      <c r="H241" s="53"/>
      <c r="I241" s="54"/>
      <c r="J241" s="54"/>
      <c r="K241" s="54"/>
      <c r="L241" s="55"/>
      <c r="M241" s="56"/>
      <c r="N241" s="56"/>
      <c r="O241" s="56"/>
    </row>
    <row r="242" spans="1:15" ht="15" customHeight="1" x14ac:dyDescent="0.35">
      <c r="A242" s="179"/>
      <c r="B242" s="179"/>
      <c r="C242" s="180"/>
      <c r="D242" s="179"/>
      <c r="E242" s="179"/>
      <c r="F242" s="180"/>
      <c r="G242" s="49"/>
      <c r="H242" s="53"/>
      <c r="I242" s="54"/>
      <c r="J242" s="54"/>
      <c r="K242" s="54"/>
      <c r="L242" s="55"/>
      <c r="M242" s="56"/>
      <c r="N242" s="56"/>
      <c r="O242" s="56"/>
    </row>
    <row r="243" spans="1:15" ht="15" customHeight="1" x14ac:dyDescent="0.35">
      <c r="A243" s="179"/>
      <c r="B243" s="179"/>
      <c r="C243" s="180"/>
      <c r="D243" s="179"/>
      <c r="E243" s="179"/>
      <c r="F243" s="180"/>
      <c r="G243" s="49"/>
      <c r="H243" s="53"/>
      <c r="I243" s="54"/>
      <c r="J243" s="54"/>
      <c r="K243" s="54"/>
      <c r="L243" s="55"/>
      <c r="M243" s="56"/>
      <c r="N243" s="56"/>
      <c r="O243" s="56"/>
    </row>
    <row r="244" spans="1:15" ht="15" customHeight="1" x14ac:dyDescent="0.35">
      <c r="A244" s="179"/>
      <c r="B244" s="179"/>
      <c r="C244" s="180"/>
      <c r="D244" s="179"/>
      <c r="E244" s="179"/>
      <c r="F244" s="180"/>
      <c r="G244" s="49"/>
      <c r="H244" s="53"/>
      <c r="I244" s="54"/>
      <c r="J244" s="54"/>
      <c r="K244" s="54"/>
      <c r="L244" s="55"/>
      <c r="M244" s="56"/>
      <c r="N244" s="56"/>
      <c r="O244" s="56"/>
    </row>
    <row r="245" spans="1:15" ht="15" customHeight="1" x14ac:dyDescent="0.35">
      <c r="A245" s="179"/>
      <c r="B245" s="179"/>
      <c r="C245" s="180"/>
      <c r="D245" s="179"/>
      <c r="E245" s="179"/>
      <c r="F245" s="180"/>
      <c r="G245" s="49"/>
      <c r="H245" s="53"/>
      <c r="I245" s="54"/>
      <c r="J245" s="54"/>
      <c r="K245" s="54"/>
      <c r="L245" s="55"/>
      <c r="M245" s="56"/>
      <c r="N245" s="56"/>
      <c r="O245" s="56"/>
    </row>
    <row r="246" spans="1:15" ht="15" customHeight="1" x14ac:dyDescent="0.35">
      <c r="A246" s="179"/>
      <c r="B246" s="179"/>
      <c r="C246" s="180"/>
      <c r="D246" s="179"/>
      <c r="E246" s="179"/>
      <c r="F246" s="180"/>
      <c r="G246" s="49"/>
      <c r="H246" s="53"/>
      <c r="I246" s="54"/>
      <c r="J246" s="54"/>
      <c r="K246" s="54"/>
      <c r="L246" s="55"/>
      <c r="M246" s="56"/>
      <c r="N246" s="56"/>
      <c r="O246" s="56"/>
    </row>
    <row r="247" spans="1:15" ht="15" customHeight="1" x14ac:dyDescent="0.35">
      <c r="A247" s="179"/>
      <c r="B247" s="179"/>
      <c r="C247" s="180"/>
      <c r="D247" s="179"/>
      <c r="E247" s="179"/>
      <c r="F247" s="180"/>
      <c r="G247" s="49"/>
      <c r="H247" s="53"/>
      <c r="I247" s="54"/>
      <c r="J247" s="54"/>
      <c r="K247" s="54"/>
      <c r="L247" s="55"/>
      <c r="M247" s="56"/>
      <c r="N247" s="56"/>
      <c r="O247" s="56"/>
    </row>
    <row r="248" spans="1:15" ht="15" customHeight="1" x14ac:dyDescent="0.35">
      <c r="A248" s="179"/>
      <c r="B248" s="179"/>
      <c r="C248" s="180"/>
      <c r="D248" s="179"/>
      <c r="E248" s="179"/>
      <c r="F248" s="180"/>
      <c r="G248" s="49"/>
      <c r="H248" s="53"/>
      <c r="I248" s="54"/>
      <c r="J248" s="54"/>
      <c r="K248" s="54"/>
      <c r="L248" s="55"/>
      <c r="M248" s="56"/>
      <c r="N248" s="56"/>
      <c r="O248" s="56"/>
    </row>
    <row r="249" spans="1:15" ht="15" customHeight="1" x14ac:dyDescent="0.35">
      <c r="A249" s="37"/>
      <c r="B249" s="86"/>
      <c r="C249" s="48"/>
      <c r="D249" s="38"/>
      <c r="E249" s="86"/>
      <c r="F249" s="48"/>
      <c r="G249" s="49"/>
      <c r="H249" s="53"/>
      <c r="I249" s="54"/>
      <c r="J249" s="54"/>
      <c r="K249" s="54"/>
      <c r="L249" s="55"/>
      <c r="M249" s="56"/>
      <c r="N249" s="56"/>
      <c r="O249" s="56"/>
    </row>
    <row r="250" spans="1:15" ht="15" customHeight="1" x14ac:dyDescent="0.35">
      <c r="A250" s="37"/>
      <c r="B250" s="86"/>
      <c r="C250" s="48"/>
      <c r="D250" s="38"/>
      <c r="E250" s="86"/>
      <c r="F250" s="48"/>
      <c r="G250" s="49"/>
      <c r="H250" s="53"/>
      <c r="I250" s="54"/>
      <c r="J250" s="54"/>
      <c r="K250" s="54"/>
      <c r="L250" s="55"/>
      <c r="M250" s="56"/>
      <c r="N250" s="56"/>
      <c r="O250" s="56"/>
    </row>
    <row r="251" spans="1:15" ht="15" customHeight="1" x14ac:dyDescent="0.35">
      <c r="A251" s="37"/>
      <c r="B251" s="86"/>
      <c r="C251" s="48"/>
      <c r="D251" s="38"/>
      <c r="E251" s="86"/>
      <c r="F251" s="48"/>
      <c r="G251" s="49"/>
      <c r="H251" s="53"/>
      <c r="I251" s="54"/>
      <c r="J251" s="54"/>
      <c r="K251" s="54"/>
      <c r="L251" s="55"/>
      <c r="M251" s="56"/>
      <c r="N251" s="56"/>
      <c r="O251" s="56"/>
    </row>
    <row r="252" spans="1:15" ht="15" customHeight="1" x14ac:dyDescent="0.35">
      <c r="A252" s="37"/>
      <c r="B252" s="86"/>
      <c r="C252" s="48"/>
      <c r="D252" s="38"/>
      <c r="E252" s="86"/>
      <c r="F252" s="48"/>
      <c r="G252" s="49"/>
      <c r="H252" s="53"/>
      <c r="I252" s="54"/>
      <c r="J252" s="54"/>
      <c r="K252" s="54"/>
      <c r="L252" s="55"/>
      <c r="M252" s="56"/>
      <c r="N252" s="56"/>
      <c r="O252" s="56"/>
    </row>
    <row r="253" spans="1:15" ht="15" customHeight="1" x14ac:dyDescent="0.35">
      <c r="A253" s="37"/>
      <c r="B253" s="86"/>
      <c r="C253" s="48"/>
      <c r="D253" s="38"/>
      <c r="E253" s="86"/>
      <c r="F253" s="48"/>
      <c r="G253" s="49"/>
      <c r="H253" s="53"/>
      <c r="I253" s="54"/>
      <c r="J253" s="54"/>
      <c r="K253" s="54"/>
      <c r="L253" s="55"/>
      <c r="M253" s="56"/>
      <c r="N253" s="56"/>
      <c r="O253" s="56"/>
    </row>
    <row r="254" spans="1:15" ht="15" customHeight="1" x14ac:dyDescent="0.35">
      <c r="A254" s="37"/>
      <c r="B254" s="86"/>
      <c r="C254" s="48"/>
      <c r="D254" s="38"/>
      <c r="E254" s="86"/>
      <c r="F254" s="48"/>
      <c r="G254" s="49"/>
      <c r="H254" s="53"/>
      <c r="I254" s="54"/>
      <c r="J254" s="54"/>
      <c r="K254" s="54"/>
      <c r="L254" s="55"/>
      <c r="M254" s="56"/>
      <c r="N254" s="56"/>
      <c r="O254" s="56"/>
    </row>
    <row r="255" spans="1:15" ht="15" customHeight="1" x14ac:dyDescent="0.35">
      <c r="A255" s="37"/>
      <c r="B255" s="86"/>
      <c r="C255" s="48"/>
      <c r="D255" s="38"/>
      <c r="E255" s="86"/>
      <c r="F255" s="48"/>
      <c r="G255" s="49"/>
      <c r="H255" s="53"/>
      <c r="I255" s="54"/>
      <c r="J255" s="54"/>
      <c r="K255" s="54"/>
      <c r="L255" s="55"/>
      <c r="M255" s="56"/>
      <c r="N255" s="56"/>
      <c r="O255" s="56"/>
    </row>
    <row r="256" spans="1:15" ht="15" customHeight="1" x14ac:dyDescent="0.35">
      <c r="A256" s="37"/>
      <c r="B256" s="86"/>
      <c r="C256" s="48"/>
      <c r="D256" s="38"/>
      <c r="E256" s="86"/>
      <c r="F256" s="48"/>
      <c r="G256" s="49"/>
      <c r="H256" s="53"/>
      <c r="I256" s="54"/>
      <c r="J256" s="54"/>
      <c r="K256" s="54"/>
      <c r="L256" s="55"/>
      <c r="M256" s="56"/>
      <c r="N256" s="56"/>
      <c r="O256" s="56"/>
    </row>
    <row r="257" spans="1:15" ht="15" customHeight="1" x14ac:dyDescent="0.35">
      <c r="A257" s="37"/>
      <c r="B257" s="86"/>
      <c r="C257" s="48"/>
      <c r="D257" s="38"/>
      <c r="E257" s="86"/>
      <c r="F257" s="48"/>
      <c r="G257" s="49"/>
      <c r="H257" s="53"/>
      <c r="I257" s="54"/>
      <c r="J257" s="54"/>
      <c r="K257" s="54"/>
      <c r="L257" s="55"/>
      <c r="M257" s="56"/>
      <c r="N257" s="56"/>
      <c r="O257" s="56"/>
    </row>
    <row r="258" spans="1:15" ht="15" customHeight="1" x14ac:dyDescent="0.35">
      <c r="A258" s="37"/>
      <c r="B258" s="86"/>
      <c r="C258" s="48"/>
      <c r="D258" s="38"/>
      <c r="E258" s="86"/>
      <c r="F258" s="48"/>
      <c r="G258" s="49"/>
      <c r="H258" s="53"/>
      <c r="I258" s="54"/>
      <c r="J258" s="54"/>
      <c r="K258" s="54"/>
      <c r="L258" s="55"/>
      <c r="M258" s="56"/>
      <c r="N258" s="56"/>
      <c r="O258" s="56"/>
    </row>
    <row r="259" spans="1:15" ht="15" customHeight="1" x14ac:dyDescent="0.35">
      <c r="A259" s="37"/>
      <c r="B259" s="86"/>
      <c r="C259" s="48"/>
      <c r="D259" s="38"/>
      <c r="E259" s="86"/>
      <c r="F259" s="48"/>
      <c r="G259" s="49"/>
      <c r="H259" s="53"/>
      <c r="I259" s="54"/>
      <c r="J259" s="54"/>
      <c r="K259" s="54"/>
      <c r="L259" s="55"/>
      <c r="M259" s="56"/>
      <c r="N259" s="56"/>
      <c r="O259" s="56"/>
    </row>
    <row r="260" spans="1:15" ht="15" customHeight="1" x14ac:dyDescent="0.35">
      <c r="A260" s="37"/>
      <c r="B260" s="86"/>
      <c r="C260" s="48"/>
      <c r="D260" s="38"/>
      <c r="E260" s="86"/>
      <c r="F260" s="48"/>
      <c r="G260" s="49"/>
      <c r="H260" s="53"/>
      <c r="I260" s="54"/>
      <c r="J260" s="54"/>
      <c r="K260" s="54"/>
      <c r="L260" s="55"/>
      <c r="M260" s="56"/>
      <c r="N260" s="56"/>
      <c r="O260" s="56"/>
    </row>
  </sheetData>
  <mergeCells count="12">
    <mergeCell ref="D7:F7"/>
    <mergeCell ref="D8:F8"/>
    <mergeCell ref="A5:C5"/>
    <mergeCell ref="A6:C6"/>
    <mergeCell ref="A7:C7"/>
    <mergeCell ref="A8:C8"/>
    <mergeCell ref="A4:F4"/>
    <mergeCell ref="D5:F5"/>
    <mergeCell ref="D6:F6"/>
    <mergeCell ref="F1:O1"/>
    <mergeCell ref="A2:O2"/>
    <mergeCell ref="C1:D1"/>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4"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&amp;N&amp;C&amp;1#&amp;"Calibri"&amp;12&amp;K008000Internal Use</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&amp;N&amp;C&amp;1#&amp;"Calibri"&amp;12&amp;K008000Internal Use</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4"/>
  <sheetViews>
    <sheetView topLeftCell="A80" workbookViewId="0">
      <selection activeCell="D104" sqref="D104"/>
    </sheetView>
  </sheetViews>
  <sheetFormatPr defaultColWidth="9.1328125" defaultRowHeight="12.75" x14ac:dyDescent="0.35"/>
  <cols>
    <col min="1" max="1" width="14.73046875" style="42" customWidth="1"/>
    <col min="2" max="2" width="8.73046875" style="42" customWidth="1"/>
    <col min="3" max="3" width="15.73046875" style="50" bestFit="1" customWidth="1"/>
    <col min="4" max="4" width="50.73046875" style="50" customWidth="1"/>
    <col min="5" max="5" width="14.73046875" style="51" customWidth="1"/>
    <col min="6" max="7" width="14.73046875" style="52" customWidth="1"/>
    <col min="8" max="8" width="14.73046875" style="42" customWidth="1"/>
    <col min="9" max="9" width="15.59765625" style="42" customWidth="1"/>
    <col min="10" max="13" width="9.1328125" style="42"/>
    <col min="14" max="14" width="9.3984375" style="42" bestFit="1" customWidth="1"/>
    <col min="15" max="16384" width="9.1328125" style="42"/>
  </cols>
  <sheetData>
    <row r="1" spans="1:14" ht="66.75" customHeight="1" x14ac:dyDescent="0.35">
      <c r="A1" s="273" t="s">
        <v>89</v>
      </c>
      <c r="B1" s="273"/>
      <c r="C1" s="273"/>
      <c r="D1" s="273"/>
      <c r="E1" s="273"/>
      <c r="F1" s="273"/>
      <c r="G1" s="273"/>
      <c r="H1" s="273"/>
    </row>
    <row r="2" spans="1:14" s="43" customFormat="1" ht="25.5" customHeight="1" x14ac:dyDescent="0.35">
      <c r="A2" s="246" t="str">
        <f>Overview!B4&amp; " - Effective from "&amp;Overview!D4&amp;" - "&amp;Overview!E4&amp;" EDCM import charges"</f>
        <v>SP Distribution - Effective from 1 April 2022 - Final EDCM import charges</v>
      </c>
      <c r="B2" s="247"/>
      <c r="C2" s="247"/>
      <c r="D2" s="247"/>
      <c r="E2" s="247"/>
      <c r="F2" s="247"/>
      <c r="G2" s="247"/>
      <c r="H2" s="248"/>
    </row>
    <row r="3" spans="1:14" s="76" customFormat="1" ht="17.649999999999999" x14ac:dyDescent="0.35">
      <c r="A3" s="80"/>
      <c r="B3" s="80"/>
      <c r="C3" s="80"/>
      <c r="D3" s="81"/>
      <c r="E3" s="198"/>
      <c r="F3" s="198"/>
      <c r="G3" s="198"/>
      <c r="H3" s="198"/>
      <c r="I3" s="75"/>
      <c r="J3" s="75"/>
      <c r="K3" s="75"/>
      <c r="L3" s="75"/>
      <c r="M3" s="75"/>
      <c r="N3" s="75"/>
    </row>
    <row r="4" spans="1:14" ht="60.75" customHeight="1" x14ac:dyDescent="0.35">
      <c r="A4" s="44" t="s">
        <v>72</v>
      </c>
      <c r="B4" s="45" t="s">
        <v>41</v>
      </c>
      <c r="C4" s="44" t="s">
        <v>42</v>
      </c>
      <c r="D4" s="46" t="s">
        <v>35</v>
      </c>
      <c r="E4" s="121" t="str">
        <f>'Annex 2 EHV charges'!H10</f>
        <v>Import
Super Red
unit charge
(p/kWh)</v>
      </c>
      <c r="F4" s="121" t="str">
        <f>'Annex 2 EHV charges'!I10</f>
        <v>Import
fixed charge
(p/day)</v>
      </c>
      <c r="G4" s="121" t="str">
        <f>'Annex 2 EHV charges'!J10</f>
        <v>Import
capacity charge
(p/kVA/day)</v>
      </c>
      <c r="H4" s="121" t="str">
        <f>'Annex 2 EHV charges'!K10</f>
        <v>Import
exceeded capacity charge
(p/kVA/day)</v>
      </c>
    </row>
    <row r="5" spans="1:14" ht="12.75" customHeight="1" x14ac:dyDescent="0.35">
      <c r="A5" s="87">
        <f t="array" ref="A5">IFERROR(INDEX('Annex 2 EHV charges'!$A$11:$A$260, MATCH(0, IF(ISBLANK('Annex 2 EHV charges'!$A$11:$A$260),1, COUNTIF(A$4:$A4, 'Annex 2 EHV charges'!$A$11:$A$260)), 0)),"")</f>
        <v>800</v>
      </c>
      <c r="B5" s="87">
        <f>IF($A5="","",VLOOKUP($A5,'Annex 2 EHV charges'!$A:$O,2,0))</f>
        <v>800</v>
      </c>
      <c r="C5" s="88">
        <f>IF($A5="","",VLOOKUP($A5,'Annex 2 EHV charges'!$A:$O,3,0))</f>
        <v>1800060775972</v>
      </c>
      <c r="D5" s="87" t="str">
        <f>IF($A5="","",VLOOKUP($A5,'Annex 2 EHV charges'!$A:$O,7,0))</f>
        <v>Rhodders</v>
      </c>
      <c r="E5" s="92" t="str">
        <f>IFERROR(IF(VLOOKUP($A5,'Annex 2 EHV charges'!$A:$O,8,FALSE)=0,"",VLOOKUP($A5,'Annex 2 EHV charges'!$A:$O,8,FALSE)),"")</f>
        <v>-</v>
      </c>
      <c r="F5" s="93">
        <f>IFERROR(IF(VLOOKUP($A5,'Annex 2 EHV charges'!$A:$O,9,FALSE)=0,"",VLOOKUP($A5,'Annex 2 EHV charges'!$A:$O,9,FALSE)),"")</f>
        <v>253.25</v>
      </c>
      <c r="G5" s="94">
        <f>IFERROR(IF(VLOOKUP($A5,'Annex 2 EHV charges'!$A:$O,10,FALSE)=0,"",VLOOKUP($A5,'Annex 2 EHV charges'!$A:$O,10,FALSE)),"")</f>
        <v>0.66</v>
      </c>
      <c r="H5" s="94">
        <f>IFERROR(IF(VLOOKUP($A5,'Annex 2 EHV charges'!$A:$O,11,FALSE)=0,"",VLOOKUP($A5,'Annex 2 EHV charges'!$A:$O,11,FALSE)),"")</f>
        <v>0.66</v>
      </c>
      <c r="I5" s="229" t="str">
        <f>IF(VLOOKUP(C5,'Annex 2 EHV charges'!$C$11:$P$154,14,FALSE)&lt;=5,"",VLOOKUP(C5,'Annex 2 EHV charges'!$C$11:$P$154,14,FALSE))</f>
        <v/>
      </c>
      <c r="J5" s="231"/>
    </row>
    <row r="6" spans="1:14" ht="12.75" customHeight="1" x14ac:dyDescent="0.35">
      <c r="A6" s="87">
        <f t="array" ref="A6">IFERROR(INDEX('Annex 2 EHV charges'!$A$11:$A$260, MATCH(0, IF(ISBLANK('Annex 2 EHV charges'!$A$11:$A$260),1, COUNTIF(A$4:$A5, 'Annex 2 EHV charges'!$A$11:$A$260)), 0)),"")</f>
        <v>801</v>
      </c>
      <c r="B6" s="87">
        <f>IF($A6="","",VLOOKUP($A6,'Annex 2 EHV charges'!$A:$O,2,0))</f>
        <v>801</v>
      </c>
      <c r="C6" s="88">
        <f>IF($A6="","",VLOOKUP($A6,'Annex 2 EHV charges'!$A:$O,3,0))</f>
        <v>1800060004220</v>
      </c>
      <c r="D6" s="87" t="str">
        <f>IF($A6="","",VLOOKUP($A6,'Annex 2 EHV charges'!$A:$O,7,0))</f>
        <v>Minsca</v>
      </c>
      <c r="E6" s="92" t="str">
        <f>IFERROR(IF(VLOOKUP($A6,'Annex 2 EHV charges'!$A:$O,8,FALSE)=0,"",VLOOKUP($A6,'Annex 2 EHV charges'!$A:$O,8,FALSE)),"")</f>
        <v>-</v>
      </c>
      <c r="F6" s="93">
        <f>IFERROR(IF(VLOOKUP($A6,'Annex 2 EHV charges'!$A:$O,9,FALSE)=0,"",VLOOKUP($A6,'Annex 2 EHV charges'!$A:$O,9,FALSE)),"")</f>
        <v>419.5</v>
      </c>
      <c r="G6" s="94" t="str">
        <f>IFERROR(IF(VLOOKUP($A6,'Annex 2 EHV charges'!$A:$O,10,FALSE)=0,"",VLOOKUP($A6,'Annex 2 EHV charges'!$A:$O,10,FALSE)),"")</f>
        <v>-</v>
      </c>
      <c r="H6" s="94" t="str">
        <f>IFERROR(IF(VLOOKUP($A6,'Annex 2 EHV charges'!$A:$O,11,FALSE)=0,"",VLOOKUP($A6,'Annex 2 EHV charges'!$A:$O,11,FALSE)),"")</f>
        <v>-</v>
      </c>
      <c r="I6" s="229" t="str">
        <f>IF(VLOOKUP(C6,'Annex 2 EHV charges'!$C$11:$P$154,14,FALSE)&lt;=5,"",VLOOKUP(C6,'Annex 2 EHV charges'!$C$11:$P$154,14,FALSE))</f>
        <v/>
      </c>
    </row>
    <row r="7" spans="1:14" ht="12.75" customHeight="1" x14ac:dyDescent="0.35">
      <c r="A7" s="87">
        <f t="array" ref="A7">IFERROR(INDEX('Annex 2 EHV charges'!$A$11:$A$260, MATCH(0, IF(ISBLANK('Annex 2 EHV charges'!$A$11:$A$260),1, COUNTIF(A$4:$A6, 'Annex 2 EHV charges'!$A$11:$A$260)), 0)),"")</f>
        <v>802</v>
      </c>
      <c r="B7" s="87">
        <f>IF($A7="","",VLOOKUP($A7,'Annex 2 EHV charges'!$A:$O,2,0))</f>
        <v>802</v>
      </c>
      <c r="C7" s="88">
        <f>IF($A7="","",VLOOKUP($A7,'Annex 2 EHV charges'!$A:$O,3,0))</f>
        <v>1800060539962</v>
      </c>
      <c r="D7" s="87" t="str">
        <f>IF($A7="","",VLOOKUP($A7,'Annex 2 EHV charges'!$A:$O,7,0))</f>
        <v xml:space="preserve">Bankend Rig </v>
      </c>
      <c r="E7" s="92" t="str">
        <f>IFERROR(IF(VLOOKUP($A7,'Annex 2 EHV charges'!$A:$O,8,FALSE)=0,"",VLOOKUP($A7,'Annex 2 EHV charges'!$A:$O,8,FALSE)),"")</f>
        <v>-</v>
      </c>
      <c r="F7" s="93">
        <f>IFERROR(IF(VLOOKUP($A7,'Annex 2 EHV charges'!$A:$O,9,FALSE)=0,"",VLOOKUP($A7,'Annex 2 EHV charges'!$A:$O,9,FALSE)),"")</f>
        <v>131.36000000000001</v>
      </c>
      <c r="G7" s="94">
        <f>IFERROR(IF(VLOOKUP($A7,'Annex 2 EHV charges'!$A:$O,10,FALSE)=0,"",VLOOKUP($A7,'Annex 2 EHV charges'!$A:$O,10,FALSE)),"")</f>
        <v>2.69</v>
      </c>
      <c r="H7" s="94">
        <f>IFERROR(IF(VLOOKUP($A7,'Annex 2 EHV charges'!$A:$O,11,FALSE)=0,"",VLOOKUP($A7,'Annex 2 EHV charges'!$A:$O,11,FALSE)),"")</f>
        <v>2.69</v>
      </c>
      <c r="I7" s="229" t="str">
        <f>IF(VLOOKUP(C7,'Annex 2 EHV charges'!$C$11:$P$154,14,FALSE)&lt;=5,"",VLOOKUP(C7,'Annex 2 EHV charges'!$C$11:$P$154,14,FALSE))</f>
        <v/>
      </c>
    </row>
    <row r="8" spans="1:14" ht="12.75" customHeight="1" x14ac:dyDescent="0.35">
      <c r="A8" s="87">
        <f t="array" ref="A8">IFERROR(INDEX('Annex 2 EHV charges'!$A$11:$A$260, MATCH(0, IF(ISBLANK('Annex 2 EHV charges'!$A$11:$A$260),1, COUNTIF(A$4:$A7, 'Annex 2 EHV charges'!$A$11:$A$260)), 0)),"")</f>
        <v>803</v>
      </c>
      <c r="B8" s="87">
        <f>IF($A8="","",VLOOKUP($A8,'Annex 2 EHV charges'!$A:$O,2,0))</f>
        <v>803</v>
      </c>
      <c r="C8" s="88">
        <f>IF($A8="","",VLOOKUP($A8,'Annex 2 EHV charges'!$A:$O,3,0))</f>
        <v>1800060532708</v>
      </c>
      <c r="D8" s="87" t="str">
        <f>IF($A8="","",VLOOKUP($A8,'Annex 2 EHV charges'!$A:$O,7,0))</f>
        <v>Barlockhart Moor</v>
      </c>
      <c r="E8" s="92" t="str">
        <f>IFERROR(IF(VLOOKUP($A8,'Annex 2 EHV charges'!$A:$O,8,FALSE)=0,"",VLOOKUP($A8,'Annex 2 EHV charges'!$A:$O,8,FALSE)),"")</f>
        <v>-</v>
      </c>
      <c r="F8" s="93">
        <f>IFERROR(IF(VLOOKUP($A8,'Annex 2 EHV charges'!$A:$O,9,FALSE)=0,"",VLOOKUP($A8,'Annex 2 EHV charges'!$A:$O,9,FALSE)),"")</f>
        <v>160.43</v>
      </c>
      <c r="G8" s="94">
        <f>IFERROR(IF(VLOOKUP($A8,'Annex 2 EHV charges'!$A:$O,10,FALSE)=0,"",VLOOKUP($A8,'Annex 2 EHV charges'!$A:$O,10,FALSE)),"")</f>
        <v>0.84</v>
      </c>
      <c r="H8" s="94">
        <f>IFERROR(IF(VLOOKUP($A8,'Annex 2 EHV charges'!$A:$O,11,FALSE)=0,"",VLOOKUP($A8,'Annex 2 EHV charges'!$A:$O,11,FALSE)),"")</f>
        <v>0.84</v>
      </c>
      <c r="I8" s="229" t="str">
        <f>IF(VLOOKUP(C8,'Annex 2 EHV charges'!$C$11:$P$154,14,FALSE)&lt;=5,"",VLOOKUP(C8,'Annex 2 EHV charges'!$C$11:$P$154,14,FALSE))</f>
        <v/>
      </c>
    </row>
    <row r="9" spans="1:14" ht="12.75" customHeight="1" x14ac:dyDescent="0.35">
      <c r="A9" s="87">
        <f t="array" ref="A9">IFERROR(INDEX('Annex 2 EHV charges'!$A$11:$A$260, MATCH(0, IF(ISBLANK('Annex 2 EHV charges'!$A$11:$A$260),1, COUNTIF(A$4:$A8, 'Annex 2 EHV charges'!$A$11:$A$260)), 0)),"")</f>
        <v>804</v>
      </c>
      <c r="B9" s="87">
        <f>IF($A9="","",VLOOKUP($A9,'Annex 2 EHV charges'!$A:$O,2,0))</f>
        <v>804</v>
      </c>
      <c r="C9" s="88">
        <f>IF($A9="","",VLOOKUP($A9,'Annex 2 EHV charges'!$A:$O,3,0))</f>
        <v>1800060532726</v>
      </c>
      <c r="D9" s="87" t="str">
        <f>IF($A9="","",VLOOKUP($A9,'Annex 2 EHV charges'!$A:$O,7,0))</f>
        <v>Blantyre Muir</v>
      </c>
      <c r="E9" s="92" t="str">
        <f>IFERROR(IF(VLOOKUP($A9,'Annex 2 EHV charges'!$A:$O,8,FALSE)=0,"",VLOOKUP($A9,'Annex 2 EHV charges'!$A:$O,8,FALSE)),"")</f>
        <v>-</v>
      </c>
      <c r="F9" s="93">
        <f>IFERROR(IF(VLOOKUP($A9,'Annex 2 EHV charges'!$A:$O,9,FALSE)=0,"",VLOOKUP($A9,'Annex 2 EHV charges'!$A:$O,9,FALSE)),"")</f>
        <v>370.62</v>
      </c>
      <c r="G9" s="94">
        <f>IFERROR(IF(VLOOKUP($A9,'Annex 2 EHV charges'!$A:$O,10,FALSE)=0,"",VLOOKUP($A9,'Annex 2 EHV charges'!$A:$O,10,FALSE)),"")</f>
        <v>0.66</v>
      </c>
      <c r="H9" s="94">
        <f>IFERROR(IF(VLOOKUP($A9,'Annex 2 EHV charges'!$A:$O,11,FALSE)=0,"",VLOOKUP($A9,'Annex 2 EHV charges'!$A:$O,11,FALSE)),"")</f>
        <v>0.66</v>
      </c>
      <c r="I9" s="229" t="str">
        <f>IF(VLOOKUP(C9,'Annex 2 EHV charges'!$C$11:$P$154,14,FALSE)&lt;=5,"",VLOOKUP(C9,'Annex 2 EHV charges'!$C$11:$P$154,14,FALSE))</f>
        <v/>
      </c>
    </row>
    <row r="10" spans="1:14" ht="12.75" customHeight="1" x14ac:dyDescent="0.35">
      <c r="A10" s="87">
        <f t="array" ref="A10">IFERROR(INDEX('Annex 2 EHV charges'!$A$11:$A$260, MATCH(0, IF(ISBLANK('Annex 2 EHV charges'!$A$11:$A$260),1, COUNTIF(A$4:$A9, 'Annex 2 EHV charges'!$A$11:$A$260)), 0)),"")</f>
        <v>805</v>
      </c>
      <c r="B10" s="87">
        <f>IF($A10="","",VLOOKUP($A10,'Annex 2 EHV charges'!$A:$O,2,0))</f>
        <v>805</v>
      </c>
      <c r="C10" s="88">
        <f>IF($A10="","",VLOOKUP($A10,'Annex 2 EHV charges'!$A:$O,3,0))</f>
        <v>1800060587850</v>
      </c>
      <c r="D10" s="87" t="str">
        <f>IF($A10="","",VLOOKUP($A10,'Annex 2 EHV charges'!$A:$O,7,0))</f>
        <v>Hunterston WF</v>
      </c>
      <c r="E10" s="92" t="str">
        <f>IFERROR(IF(VLOOKUP($A10,'Annex 2 EHV charges'!$A:$O,8,FALSE)=0,"",VLOOKUP($A10,'Annex 2 EHV charges'!$A:$O,8,FALSE)),"")</f>
        <v>-</v>
      </c>
      <c r="F10" s="93">
        <f>IFERROR(IF(VLOOKUP($A10,'Annex 2 EHV charges'!$A:$O,9,FALSE)=0,"",VLOOKUP($A10,'Annex 2 EHV charges'!$A:$O,9,FALSE)),"")</f>
        <v>10916.73</v>
      </c>
      <c r="G10" s="94">
        <f>IFERROR(IF(VLOOKUP($A10,'Annex 2 EHV charges'!$A:$O,10,FALSE)=0,"",VLOOKUP($A10,'Annex 2 EHV charges'!$A:$O,10,FALSE)),"")</f>
        <v>0.63</v>
      </c>
      <c r="H10" s="94">
        <f>IFERROR(IF(VLOOKUP($A10,'Annex 2 EHV charges'!$A:$O,11,FALSE)=0,"",VLOOKUP($A10,'Annex 2 EHV charges'!$A:$O,11,FALSE)),"")</f>
        <v>0.63</v>
      </c>
      <c r="I10" s="229" t="str">
        <f>IF(VLOOKUP(C10,'Annex 2 EHV charges'!$C$11:$P$154,14,FALSE)&lt;=5,"",VLOOKUP(C10,'Annex 2 EHV charges'!$C$11:$P$154,14,FALSE))</f>
        <v/>
      </c>
    </row>
    <row r="11" spans="1:14" ht="12.75" customHeight="1" x14ac:dyDescent="0.35">
      <c r="A11" s="87">
        <f t="array" ref="A11">IFERROR(INDEX('Annex 2 EHV charges'!$A$11:$A$260, MATCH(0, IF(ISBLANK('Annex 2 EHV charges'!$A$11:$A$260),1, COUNTIF(A$4:$A10, 'Annex 2 EHV charges'!$A$11:$A$260)), 0)),"")</f>
        <v>806</v>
      </c>
      <c r="B11" s="87">
        <f>IF($A11="","",VLOOKUP($A11,'Annex 2 EHV charges'!$A:$O,2,0))</f>
        <v>806</v>
      </c>
      <c r="C11" s="88">
        <f>IF($A11="","",VLOOKUP($A11,'Annex 2 EHV charges'!$A:$O,3,0))</f>
        <v>1800060532647</v>
      </c>
      <c r="D11" s="87" t="str">
        <f>IF($A11="","",VLOOKUP($A11,'Annex 2 EHV charges'!$A:$O,7,0))</f>
        <v>Middleton Farm</v>
      </c>
      <c r="E11" s="92" t="str">
        <f>IFERROR(IF(VLOOKUP($A11,'Annex 2 EHV charges'!$A:$O,8,FALSE)=0,"",VLOOKUP($A11,'Annex 2 EHV charges'!$A:$O,8,FALSE)),"")</f>
        <v>-</v>
      </c>
      <c r="F11" s="93">
        <f>IFERROR(IF(VLOOKUP($A11,'Annex 2 EHV charges'!$A:$O,9,FALSE)=0,"",VLOOKUP($A11,'Annex 2 EHV charges'!$A:$O,9,FALSE)),"")</f>
        <v>229.85</v>
      </c>
      <c r="G11" s="94">
        <f>IFERROR(IF(VLOOKUP($A11,'Annex 2 EHV charges'!$A:$O,10,FALSE)=0,"",VLOOKUP($A11,'Annex 2 EHV charges'!$A:$O,10,FALSE)),"")</f>
        <v>0.85</v>
      </c>
      <c r="H11" s="94">
        <f>IFERROR(IF(VLOOKUP($A11,'Annex 2 EHV charges'!$A:$O,11,FALSE)=0,"",VLOOKUP($A11,'Annex 2 EHV charges'!$A:$O,11,FALSE)),"")</f>
        <v>0.85</v>
      </c>
      <c r="I11" s="229" t="str">
        <f>IF(VLOOKUP(C11,'Annex 2 EHV charges'!$C$11:$P$154,14,FALSE)&lt;=5,"",VLOOKUP(C11,'Annex 2 EHV charges'!$C$11:$P$154,14,FALSE))</f>
        <v/>
      </c>
    </row>
    <row r="12" spans="1:14" ht="12.75" customHeight="1" x14ac:dyDescent="0.35">
      <c r="A12" s="87">
        <f t="array" ref="A12">IFERROR(INDEX('Annex 2 EHV charges'!$A$11:$A$260, MATCH(0, IF(ISBLANK('Annex 2 EHV charges'!$A$11:$A$260),1, COUNTIF(A$4:$A11, 'Annex 2 EHV charges'!$A$11:$A$260)), 0)),"")</f>
        <v>807</v>
      </c>
      <c r="B12" s="87">
        <f>IF($A12="","",VLOOKUP($A12,'Annex 2 EHV charges'!$A:$O,2,0))</f>
        <v>807</v>
      </c>
      <c r="C12" s="88">
        <f>IF($A12="","",VLOOKUP($A12,'Annex 2 EHV charges'!$A:$O,3,0))</f>
        <v>1800060532665</v>
      </c>
      <c r="D12" s="87" t="str">
        <f>IF($A12="","",VLOOKUP($A12,'Annex 2 EHV charges'!$A:$O,7,0))</f>
        <v>Neilston Community</v>
      </c>
      <c r="E12" s="92" t="str">
        <f>IFERROR(IF(VLOOKUP($A12,'Annex 2 EHV charges'!$A:$O,8,FALSE)=0,"",VLOOKUP($A12,'Annex 2 EHV charges'!$A:$O,8,FALSE)),"")</f>
        <v>-</v>
      </c>
      <c r="F12" s="93">
        <f>IFERROR(IF(VLOOKUP($A12,'Annex 2 EHV charges'!$A:$O,9,FALSE)=0,"",VLOOKUP($A12,'Annex 2 EHV charges'!$A:$O,9,FALSE)),"")</f>
        <v>135.72</v>
      </c>
      <c r="G12" s="94">
        <f>IFERROR(IF(VLOOKUP($A12,'Annex 2 EHV charges'!$A:$O,10,FALSE)=0,"",VLOOKUP($A12,'Annex 2 EHV charges'!$A:$O,10,FALSE)),"")</f>
        <v>0.94</v>
      </c>
      <c r="H12" s="94">
        <f>IFERROR(IF(VLOOKUP($A12,'Annex 2 EHV charges'!$A:$O,11,FALSE)=0,"",VLOOKUP($A12,'Annex 2 EHV charges'!$A:$O,11,FALSE)),"")</f>
        <v>0.94</v>
      </c>
      <c r="I12" s="229" t="str">
        <f>IF(VLOOKUP(C12,'Annex 2 EHV charges'!$C$11:$P$154,14,FALSE)&lt;=5,"",VLOOKUP(C12,'Annex 2 EHV charges'!$C$11:$P$154,14,FALSE))</f>
        <v/>
      </c>
    </row>
    <row r="13" spans="1:14" ht="12.75" customHeight="1" x14ac:dyDescent="0.35">
      <c r="A13" s="87">
        <f t="array" ref="A13">IFERROR(INDEX('Annex 2 EHV charges'!$A$11:$A$260, MATCH(0, IF(ISBLANK('Annex 2 EHV charges'!$A$11:$A$260),1, COUNTIF(A$4:$A12, 'Annex 2 EHV charges'!$A$11:$A$260)), 0)),"")</f>
        <v>808</v>
      </c>
      <c r="B13" s="87">
        <f>IF($A13="","",VLOOKUP($A13,'Annex 2 EHV charges'!$A:$O,2,0))</f>
        <v>808</v>
      </c>
      <c r="C13" s="88">
        <f>IF($A13="","",VLOOKUP($A13,'Annex 2 EHV charges'!$A:$O,3,0))</f>
        <v>1800053653870</v>
      </c>
      <c r="D13" s="87" t="str">
        <f>IF($A13="","",VLOOKUP($A13,'Annex 2 EHV charges'!$A:$O,7,0))</f>
        <v>Garlaff Landfill</v>
      </c>
      <c r="E13" s="92" t="str">
        <f>IFERROR(IF(VLOOKUP($A13,'Annex 2 EHV charges'!$A:$O,8,FALSE)=0,"",VLOOKUP($A13,'Annex 2 EHV charges'!$A:$O,8,FALSE)),"")</f>
        <v>-</v>
      </c>
      <c r="F13" s="93">
        <f>IFERROR(IF(VLOOKUP($A13,'Annex 2 EHV charges'!$A:$O,9,FALSE)=0,"",VLOOKUP($A13,'Annex 2 EHV charges'!$A:$O,9,FALSE)),"")</f>
        <v>104.76</v>
      </c>
      <c r="G13" s="94">
        <f>IFERROR(IF(VLOOKUP($A13,'Annex 2 EHV charges'!$A:$O,10,FALSE)=0,"",VLOOKUP($A13,'Annex 2 EHV charges'!$A:$O,10,FALSE)),"")</f>
        <v>0.63</v>
      </c>
      <c r="H13" s="94">
        <f>IFERROR(IF(VLOOKUP($A13,'Annex 2 EHV charges'!$A:$O,11,FALSE)=0,"",VLOOKUP($A13,'Annex 2 EHV charges'!$A:$O,11,FALSE)),"")</f>
        <v>0.63</v>
      </c>
      <c r="I13" s="229" t="str">
        <f>IF(VLOOKUP(C13,'Annex 2 EHV charges'!$C$11:$P$154,14,FALSE)&lt;=5,"",VLOOKUP(C13,'Annex 2 EHV charges'!$C$11:$P$154,14,FALSE))</f>
        <v/>
      </c>
    </row>
    <row r="14" spans="1:14" ht="12.75" customHeight="1" x14ac:dyDescent="0.35">
      <c r="A14" s="87">
        <f t="array" ref="A14">IFERROR(INDEX('Annex 2 EHV charges'!$A$11:$A$260, MATCH(0, IF(ISBLANK('Annex 2 EHV charges'!$A$11:$A$260),1, COUNTIF(A$4:$A13, 'Annex 2 EHV charges'!$A$11:$A$260)), 0)),"")</f>
        <v>809</v>
      </c>
      <c r="B14" s="87">
        <f>IF($A14="","",VLOOKUP($A14,'Annex 2 EHV charges'!$A:$O,2,0))</f>
        <v>809</v>
      </c>
      <c r="C14" s="88">
        <f>IF($A14="","",VLOOKUP($A14,'Annex 2 EHV charges'!$A:$O,3,0))</f>
        <v>1800054992968</v>
      </c>
      <c r="D14" s="87" t="str">
        <f>IF($A14="","",VLOOKUP($A14,'Annex 2 EHV charges'!$A:$O,7,0))</f>
        <v>Hagshaw Hill Extension</v>
      </c>
      <c r="E14" s="92" t="str">
        <f>IFERROR(IF(VLOOKUP($A14,'Annex 2 EHV charges'!$A:$O,8,FALSE)=0,"",VLOOKUP($A14,'Annex 2 EHV charges'!$A:$O,8,FALSE)),"")</f>
        <v>-</v>
      </c>
      <c r="F14" s="93">
        <f>IFERROR(IF(VLOOKUP($A14,'Annex 2 EHV charges'!$A:$O,9,FALSE)=0,"",VLOOKUP($A14,'Annex 2 EHV charges'!$A:$O,9,FALSE)),"")</f>
        <v>718.91</v>
      </c>
      <c r="G14" s="94">
        <f>IFERROR(IF(VLOOKUP($A14,'Annex 2 EHV charges'!$A:$O,10,FALSE)=0,"",VLOOKUP($A14,'Annex 2 EHV charges'!$A:$O,10,FALSE)),"")</f>
        <v>0.66</v>
      </c>
      <c r="H14" s="94">
        <f>IFERROR(IF(VLOOKUP($A14,'Annex 2 EHV charges'!$A:$O,11,FALSE)=0,"",VLOOKUP($A14,'Annex 2 EHV charges'!$A:$O,11,FALSE)),"")</f>
        <v>0.66</v>
      </c>
      <c r="I14" s="229" t="str">
        <f>IF(VLOOKUP(C14,'Annex 2 EHV charges'!$C$11:$P$154,14,FALSE)&lt;=5,"",VLOOKUP(C14,'Annex 2 EHV charges'!$C$11:$P$154,14,FALSE))</f>
        <v/>
      </c>
    </row>
    <row r="15" spans="1:14" ht="12.75" customHeight="1" x14ac:dyDescent="0.35">
      <c r="A15" s="87">
        <f t="array" ref="A15">IFERROR(INDEX('Annex 2 EHV charges'!$A$11:$A$260, MATCH(0, IF(ISBLANK('Annex 2 EHV charges'!$A$11:$A$260),1, COUNTIF(A$4:$A14, 'Annex 2 EHV charges'!$A$11:$A$260)), 0)),"")</f>
        <v>811</v>
      </c>
      <c r="B15" s="87">
        <f>IF($A15="","",VLOOKUP($A15,'Annex 2 EHV charges'!$A:$O,2,0))</f>
        <v>811</v>
      </c>
      <c r="C15" s="88">
        <f>IF($A15="","",VLOOKUP($A15,'Annex 2 EHV charges'!$A:$O,3,0))</f>
        <v>1800060328035</v>
      </c>
      <c r="D15" s="87" t="str">
        <f>IF($A15="","",VLOOKUP($A15,'Annex 2 EHV charges'!$A:$O,7,0))</f>
        <v>Muirhall</v>
      </c>
      <c r="E15" s="92" t="str">
        <f>IFERROR(IF(VLOOKUP($A15,'Annex 2 EHV charges'!$A:$O,8,FALSE)=0,"",VLOOKUP($A15,'Annex 2 EHV charges'!$A:$O,8,FALSE)),"")</f>
        <v>-</v>
      </c>
      <c r="F15" s="93">
        <f>IFERROR(IF(VLOOKUP($A15,'Annex 2 EHV charges'!$A:$O,9,FALSE)=0,"",VLOOKUP($A15,'Annex 2 EHV charges'!$A:$O,9,FALSE)),"")</f>
        <v>341.85</v>
      </c>
      <c r="G15" s="94">
        <f>IFERROR(IF(VLOOKUP($A15,'Annex 2 EHV charges'!$A:$O,10,FALSE)=0,"",VLOOKUP($A15,'Annex 2 EHV charges'!$A:$O,10,FALSE)),"")</f>
        <v>0.83</v>
      </c>
      <c r="H15" s="94">
        <f>IFERROR(IF(VLOOKUP($A15,'Annex 2 EHV charges'!$A:$O,11,FALSE)=0,"",VLOOKUP($A15,'Annex 2 EHV charges'!$A:$O,11,FALSE)),"")</f>
        <v>0.83</v>
      </c>
      <c r="I15" s="229" t="str">
        <f>IF(VLOOKUP(C15,'Annex 2 EHV charges'!$C$11:$P$154,14,FALSE)&lt;=5,"",VLOOKUP(C15,'Annex 2 EHV charges'!$C$11:$P$154,14,FALSE))</f>
        <v/>
      </c>
    </row>
    <row r="16" spans="1:14" ht="12.75" customHeight="1" x14ac:dyDescent="0.35">
      <c r="A16" s="87">
        <f t="array" ref="A16">IFERROR(INDEX('Annex 2 EHV charges'!$A$11:$A$260, MATCH(0, IF(ISBLANK('Annex 2 EHV charges'!$A$11:$A$260),1, COUNTIF(A$4:$A15, 'Annex 2 EHV charges'!$A$11:$A$260)), 0)),"")</f>
        <v>812</v>
      </c>
      <c r="B16" s="87">
        <f>IF($A16="","",VLOOKUP($A16,'Annex 2 EHV charges'!$A:$O,2,0))</f>
        <v>812</v>
      </c>
      <c r="C16" s="88">
        <f>IF($A16="","",VLOOKUP($A16,'Annex 2 EHV charges'!$A:$O,3,0))</f>
        <v>1800060372113</v>
      </c>
      <c r="D16" s="87" t="str">
        <f>IF($A16="","",VLOOKUP($A16,'Annex 2 EHV charges'!$A:$O,7,0))</f>
        <v>Burnfoot</v>
      </c>
      <c r="E16" s="92" t="str">
        <f>IFERROR(IF(VLOOKUP($A16,'Annex 2 EHV charges'!$A:$O,8,FALSE)=0,"",VLOOKUP($A16,'Annex 2 EHV charges'!$A:$O,8,FALSE)),"")</f>
        <v>-</v>
      </c>
      <c r="F16" s="93">
        <f>IFERROR(IF(VLOOKUP($A16,'Annex 2 EHV charges'!$A:$O,9,FALSE)=0,"",VLOOKUP($A16,'Annex 2 EHV charges'!$A:$O,9,FALSE)),"")</f>
        <v>114.9</v>
      </c>
      <c r="G16" s="94">
        <f>IFERROR(IF(VLOOKUP($A16,'Annex 2 EHV charges'!$A:$O,10,FALSE)=0,"",VLOOKUP($A16,'Annex 2 EHV charges'!$A:$O,10,FALSE)),"")</f>
        <v>0.7</v>
      </c>
      <c r="H16" s="94">
        <f>IFERROR(IF(VLOOKUP($A16,'Annex 2 EHV charges'!$A:$O,11,FALSE)=0,"",VLOOKUP($A16,'Annex 2 EHV charges'!$A:$O,11,FALSE)),"")</f>
        <v>0.7</v>
      </c>
      <c r="I16" s="229" t="str">
        <f>IF(VLOOKUP(C16,'Annex 2 EHV charges'!$C$11:$P$154,14,FALSE)&lt;=5,"",VLOOKUP(C16,'Annex 2 EHV charges'!$C$11:$P$154,14,FALSE))</f>
        <v/>
      </c>
    </row>
    <row r="17" spans="1:9" ht="12.75" customHeight="1" x14ac:dyDescent="0.35">
      <c r="A17" s="87">
        <f t="array" ref="A17">IFERROR(INDEX('Annex 2 EHV charges'!$A$11:$A$260, MATCH(0, IF(ISBLANK('Annex 2 EHV charges'!$A$11:$A$260),1, COUNTIF(A$4:$A16, 'Annex 2 EHV charges'!$A$11:$A$260)), 0)),"")</f>
        <v>813</v>
      </c>
      <c r="B17" s="87">
        <f>IF($A17="","",VLOOKUP($A17,'Annex 2 EHV charges'!$A:$O,2,0))</f>
        <v>813</v>
      </c>
      <c r="C17" s="88">
        <f>IF($A17="","",VLOOKUP($A17,'Annex 2 EHV charges'!$A:$O,3,0))</f>
        <v>1800060532498</v>
      </c>
      <c r="D17" s="87" t="str">
        <f>IF($A17="","",VLOOKUP($A17,'Annex 2 EHV charges'!$A:$O,7,0))</f>
        <v>Westfield WF</v>
      </c>
      <c r="E17" s="92" t="str">
        <f>IFERROR(IF(VLOOKUP($A17,'Annex 2 EHV charges'!$A:$O,8,FALSE)=0,"",VLOOKUP($A17,'Annex 2 EHV charges'!$A:$O,8,FALSE)),"")</f>
        <v>-</v>
      </c>
      <c r="F17" s="93">
        <f>IFERROR(IF(VLOOKUP($A17,'Annex 2 EHV charges'!$A:$O,9,FALSE)=0,"",VLOOKUP($A17,'Annex 2 EHV charges'!$A:$O,9,FALSE)),"")</f>
        <v>60.76</v>
      </c>
      <c r="G17" s="94">
        <f>IFERROR(IF(VLOOKUP($A17,'Annex 2 EHV charges'!$A:$O,10,FALSE)=0,"",VLOOKUP($A17,'Annex 2 EHV charges'!$A:$O,10,FALSE)),"")</f>
        <v>0.94</v>
      </c>
      <c r="H17" s="94">
        <f>IFERROR(IF(VLOOKUP($A17,'Annex 2 EHV charges'!$A:$O,11,FALSE)=0,"",VLOOKUP($A17,'Annex 2 EHV charges'!$A:$O,11,FALSE)),"")</f>
        <v>0.94</v>
      </c>
      <c r="I17" s="229" t="str">
        <f>IF(VLOOKUP(C17,'Annex 2 EHV charges'!$C$11:$P$154,14,FALSE)&lt;=5,"",VLOOKUP(C17,'Annex 2 EHV charges'!$C$11:$P$154,14,FALSE))</f>
        <v/>
      </c>
    </row>
    <row r="18" spans="1:9" ht="12.75" customHeight="1" x14ac:dyDescent="0.35">
      <c r="A18" s="87">
        <f t="array" ref="A18">IFERROR(INDEX('Annex 2 EHV charges'!$A$11:$A$260, MATCH(0, IF(ISBLANK('Annex 2 EHV charges'!$A$11:$A$260),1, COUNTIF(A$4:$A17, 'Annex 2 EHV charges'!$A$11:$A$260)), 0)),"")</f>
        <v>814</v>
      </c>
      <c r="B18" s="87">
        <f>IF($A18="","",VLOOKUP($A18,'Annex 2 EHV charges'!$A:$O,2,0))</f>
        <v>814</v>
      </c>
      <c r="C18" s="88">
        <f>IF($A18="","",VLOOKUP($A18,'Annex 2 EHV charges'!$A:$O,3,0))</f>
        <v>1800060532683</v>
      </c>
      <c r="D18" s="87" t="str">
        <f>IF($A18="","",VLOOKUP($A18,'Annex 2 EHV charges'!$A:$O,7,0))</f>
        <v>Barmoor WF</v>
      </c>
      <c r="E18" s="92" t="str">
        <f>IFERROR(IF(VLOOKUP($A18,'Annex 2 EHV charges'!$A:$O,8,FALSE)=0,"",VLOOKUP($A18,'Annex 2 EHV charges'!$A:$O,8,FALSE)),"")</f>
        <v>-</v>
      </c>
      <c r="F18" s="93">
        <f>IFERROR(IF(VLOOKUP($A18,'Annex 2 EHV charges'!$A:$O,9,FALSE)=0,"",VLOOKUP($A18,'Annex 2 EHV charges'!$A:$O,9,FALSE)),"")</f>
        <v>201.67</v>
      </c>
      <c r="G18" s="94">
        <f>IFERROR(IF(VLOOKUP($A18,'Annex 2 EHV charges'!$A:$O,10,FALSE)=0,"",VLOOKUP($A18,'Annex 2 EHV charges'!$A:$O,10,FALSE)),"")</f>
        <v>0.9</v>
      </c>
      <c r="H18" s="94">
        <f>IFERROR(IF(VLOOKUP($A18,'Annex 2 EHV charges'!$A:$O,11,FALSE)=0,"",VLOOKUP($A18,'Annex 2 EHV charges'!$A:$O,11,FALSE)),"")</f>
        <v>0.9</v>
      </c>
      <c r="I18" s="229" t="str">
        <f>IF(VLOOKUP(C18,'Annex 2 EHV charges'!$C$11:$P$154,14,FALSE)&lt;=5,"",VLOOKUP(C18,'Annex 2 EHV charges'!$C$11:$P$154,14,FALSE))</f>
        <v/>
      </c>
    </row>
    <row r="19" spans="1:9" ht="12.75" customHeight="1" x14ac:dyDescent="0.35">
      <c r="A19" s="87">
        <f t="array" ref="A19">IFERROR(INDEX('Annex 2 EHV charges'!$A$11:$A$260, MATCH(0, IF(ISBLANK('Annex 2 EHV charges'!$A$11:$A$260),1, COUNTIF(A$4:$A18, 'Annex 2 EHV charges'!$A$11:$A$260)), 0)),"")</f>
        <v>815</v>
      </c>
      <c r="B19" s="87">
        <f>IF($A19="","",VLOOKUP($A19,'Annex 2 EHV charges'!$A:$O,2,0))</f>
        <v>815</v>
      </c>
      <c r="C19" s="88">
        <f>IF($A19="","",VLOOKUP($A19,'Annex 2 EHV charges'!$A:$O,3,0))</f>
        <v>1800060566984</v>
      </c>
      <c r="D19" s="87" t="str">
        <f>IF($A19="","",VLOOKUP($A19,'Annex 2 EHV charges'!$A:$O,7,0))</f>
        <v>Nutberry WF</v>
      </c>
      <c r="E19" s="92" t="str">
        <f>IFERROR(IF(VLOOKUP($A19,'Annex 2 EHV charges'!$A:$O,8,FALSE)=0,"",VLOOKUP($A19,'Annex 2 EHV charges'!$A:$O,8,FALSE)),"")</f>
        <v>-</v>
      </c>
      <c r="F19" s="93">
        <f>IFERROR(IF(VLOOKUP($A19,'Annex 2 EHV charges'!$A:$O,9,FALSE)=0,"",VLOOKUP($A19,'Annex 2 EHV charges'!$A:$O,9,FALSE)),"")</f>
        <v>811.8</v>
      </c>
      <c r="G19" s="94">
        <f>IFERROR(IF(VLOOKUP($A19,'Annex 2 EHV charges'!$A:$O,10,FALSE)=0,"",VLOOKUP($A19,'Annex 2 EHV charges'!$A:$O,10,FALSE)),"")</f>
        <v>0.83</v>
      </c>
      <c r="H19" s="94">
        <f>IFERROR(IF(VLOOKUP($A19,'Annex 2 EHV charges'!$A:$O,11,FALSE)=0,"",VLOOKUP($A19,'Annex 2 EHV charges'!$A:$O,11,FALSE)),"")</f>
        <v>0.83</v>
      </c>
      <c r="I19" s="229" t="str">
        <f>IF(VLOOKUP(C19,'Annex 2 EHV charges'!$C$11:$P$154,14,FALSE)&lt;=5,"",VLOOKUP(C19,'Annex 2 EHV charges'!$C$11:$P$154,14,FALSE))</f>
        <v/>
      </c>
    </row>
    <row r="20" spans="1:9" ht="12.75" customHeight="1" x14ac:dyDescent="0.35">
      <c r="A20" s="87">
        <f t="array" ref="A20">IFERROR(INDEX('Annex 2 EHV charges'!$A$11:$A$260, MATCH(0, IF(ISBLANK('Annex 2 EHV charges'!$A$11:$A$260),1, COUNTIF(A$4:$A19, 'Annex 2 EHV charges'!$A$11:$A$260)), 0)),"")</f>
        <v>816</v>
      </c>
      <c r="B20" s="87">
        <f>IF($A20="","",VLOOKUP($A20,'Annex 2 EHV charges'!$A:$O,2,0))</f>
        <v>816</v>
      </c>
      <c r="C20" s="88">
        <f>IF($A20="","",VLOOKUP($A20,'Annex 2 EHV charges'!$A:$O,3,0))</f>
        <v>1800060652454</v>
      </c>
      <c r="D20" s="87" t="str">
        <f>IF($A20="","",VLOOKUP($A20,'Annex 2 EHV charges'!$A:$O,7,0))</f>
        <v>Carcreugh WF</v>
      </c>
      <c r="E20" s="92" t="str">
        <f>IFERROR(IF(VLOOKUP($A20,'Annex 2 EHV charges'!$A:$O,8,FALSE)=0,"",VLOOKUP($A20,'Annex 2 EHV charges'!$A:$O,8,FALSE)),"")</f>
        <v>-</v>
      </c>
      <c r="F20" s="93">
        <f>IFERROR(IF(VLOOKUP($A20,'Annex 2 EHV charges'!$A:$O,9,FALSE)=0,"",VLOOKUP($A20,'Annex 2 EHV charges'!$A:$O,9,FALSE)),"")</f>
        <v>314.69</v>
      </c>
      <c r="G20" s="94">
        <f>IFERROR(IF(VLOOKUP($A20,'Annex 2 EHV charges'!$A:$O,10,FALSE)=0,"",VLOOKUP($A20,'Annex 2 EHV charges'!$A:$O,10,FALSE)),"")</f>
        <v>0.65</v>
      </c>
      <c r="H20" s="94">
        <f>IFERROR(IF(VLOOKUP($A20,'Annex 2 EHV charges'!$A:$O,11,FALSE)=0,"",VLOOKUP($A20,'Annex 2 EHV charges'!$A:$O,11,FALSE)),"")</f>
        <v>0.65</v>
      </c>
      <c r="I20" s="229" t="str">
        <f>IF(VLOOKUP(C20,'Annex 2 EHV charges'!$C$11:$P$154,14,FALSE)&lt;=5,"",VLOOKUP(C20,'Annex 2 EHV charges'!$C$11:$P$154,14,FALSE))</f>
        <v/>
      </c>
    </row>
    <row r="21" spans="1:9" ht="12.75" customHeight="1" x14ac:dyDescent="0.35">
      <c r="A21" s="87">
        <f t="array" ref="A21">IFERROR(INDEX('Annex 2 EHV charges'!$A$11:$A$260, MATCH(0, IF(ISBLANK('Annex 2 EHV charges'!$A$11:$A$260),1, COUNTIF(A$4:$A20, 'Annex 2 EHV charges'!$A$11:$A$260)), 0)),"")</f>
        <v>817</v>
      </c>
      <c r="B21" s="87">
        <f>IF($A21="","",VLOOKUP($A21,'Annex 2 EHV charges'!$A:$O,2,0))</f>
        <v>817</v>
      </c>
      <c r="C21" s="88">
        <f>IF($A21="","",VLOOKUP($A21,'Annex 2 EHV charges'!$A:$O,3,0))</f>
        <v>1800060567668</v>
      </c>
      <c r="D21" s="87" t="str">
        <f>IF($A21="","",VLOOKUP($A21,'Annex 2 EHV charges'!$A:$O,7,0))</f>
        <v>Magnox</v>
      </c>
      <c r="E21" s="92" t="str">
        <f>IFERROR(IF(VLOOKUP($A21,'Annex 2 EHV charges'!$A:$O,8,FALSE)=0,"",VLOOKUP($A21,'Annex 2 EHV charges'!$A:$O,8,FALSE)),"")</f>
        <v>-</v>
      </c>
      <c r="F21" s="93">
        <f>IFERROR(IF(VLOOKUP($A21,'Annex 2 EHV charges'!$A:$O,9,FALSE)=0,"",VLOOKUP($A21,'Annex 2 EHV charges'!$A:$O,9,FALSE)),"")</f>
        <v>3246.12</v>
      </c>
      <c r="G21" s="94">
        <f>IFERROR(IF(VLOOKUP($A21,'Annex 2 EHV charges'!$A:$O,10,FALSE)=0,"",VLOOKUP($A21,'Annex 2 EHV charges'!$A:$O,10,FALSE)),"")</f>
        <v>1.74</v>
      </c>
      <c r="H21" s="94">
        <f>IFERROR(IF(VLOOKUP($A21,'Annex 2 EHV charges'!$A:$O,11,FALSE)=0,"",VLOOKUP($A21,'Annex 2 EHV charges'!$A:$O,11,FALSE)),"")</f>
        <v>1.74</v>
      </c>
      <c r="I21" s="229" t="str">
        <f>IF(VLOOKUP(C21,'Annex 2 EHV charges'!$C$11:$P$154,14,FALSE)&lt;=5,"",VLOOKUP(C21,'Annex 2 EHV charges'!$C$11:$P$154,14,FALSE))</f>
        <v/>
      </c>
    </row>
    <row r="22" spans="1:9" ht="12.75" customHeight="1" x14ac:dyDescent="0.35">
      <c r="A22" s="87">
        <f t="array" ref="A22">IFERROR(INDEX('Annex 2 EHV charges'!$A$11:$A$260, MATCH(0, IF(ISBLANK('Annex 2 EHV charges'!$A$11:$A$260),1, COUNTIF(A$4:$A21, 'Annex 2 EHV charges'!$A$11:$A$260)), 0)),"")</f>
        <v>818</v>
      </c>
      <c r="B22" s="87">
        <f>IF($A22="","",VLOOKUP($A22,'Annex 2 EHV charges'!$A:$O,2,0))</f>
        <v>818</v>
      </c>
      <c r="C22" s="88">
        <f>IF($A22="","",VLOOKUP($A22,'Annex 2 EHV charges'!$A:$O,3,0))</f>
        <v>1800060642767</v>
      </c>
      <c r="D22" s="87" t="str">
        <f>IF($A22="","",VLOOKUP($A22,'Annex 2 EHV charges'!$A:$O,7,0))</f>
        <v>West Browncastle WF</v>
      </c>
      <c r="E22" s="92" t="str">
        <f>IFERROR(IF(VLOOKUP($A22,'Annex 2 EHV charges'!$A:$O,8,FALSE)=0,"",VLOOKUP($A22,'Annex 2 EHV charges'!$A:$O,8,FALSE)),"")</f>
        <v>-</v>
      </c>
      <c r="F22" s="93">
        <f>IFERROR(IF(VLOOKUP($A22,'Annex 2 EHV charges'!$A:$O,9,FALSE)=0,"",VLOOKUP($A22,'Annex 2 EHV charges'!$A:$O,9,FALSE)),"")</f>
        <v>507.77</v>
      </c>
      <c r="G22" s="94">
        <f>IFERROR(IF(VLOOKUP($A22,'Annex 2 EHV charges'!$A:$O,10,FALSE)=0,"",VLOOKUP($A22,'Annex 2 EHV charges'!$A:$O,10,FALSE)),"")</f>
        <v>0.69</v>
      </c>
      <c r="H22" s="94">
        <f>IFERROR(IF(VLOOKUP($A22,'Annex 2 EHV charges'!$A:$O,11,FALSE)=0,"",VLOOKUP($A22,'Annex 2 EHV charges'!$A:$O,11,FALSE)),"")</f>
        <v>0.69</v>
      </c>
      <c r="I22" s="229" t="str">
        <f>IF(VLOOKUP(C22,'Annex 2 EHV charges'!$C$11:$P$154,14,FALSE)&lt;=5,"",VLOOKUP(C22,'Annex 2 EHV charges'!$C$11:$P$154,14,FALSE))</f>
        <v/>
      </c>
    </row>
    <row r="23" spans="1:9" ht="12.75" customHeight="1" x14ac:dyDescent="0.35">
      <c r="A23" s="87">
        <f t="array" ref="A23">IFERROR(INDEX('Annex 2 EHV charges'!$A$11:$A$260, MATCH(0, IF(ISBLANK('Annex 2 EHV charges'!$A$11:$A$260),1, COUNTIF(A$4:$A22, 'Annex 2 EHV charges'!$A$11:$A$260)), 0)),"")</f>
        <v>819</v>
      </c>
      <c r="B23" s="87">
        <f>IF($A23="","",VLOOKUP($A23,'Annex 2 EHV charges'!$A:$O,2,0))</f>
        <v>819</v>
      </c>
      <c r="C23" s="88">
        <f>IF($A23="","",VLOOKUP($A23,'Annex 2 EHV charges'!$A:$O,3,0))</f>
        <v>1800060632661</v>
      </c>
      <c r="D23" s="87" t="str">
        <f>IF($A23="","",VLOOKUP($A23,'Annex 2 EHV charges'!$A:$O,7,0))</f>
        <v>Viridor (Waste energy)</v>
      </c>
      <c r="E23" s="92" t="str">
        <f>IFERROR(IF(VLOOKUP($A23,'Annex 2 EHV charges'!$A:$O,8,FALSE)=0,"",VLOOKUP($A23,'Annex 2 EHV charges'!$A:$O,8,FALSE)),"")</f>
        <v>-</v>
      </c>
      <c r="F23" s="93">
        <f>IFERROR(IF(VLOOKUP($A23,'Annex 2 EHV charges'!$A:$O,9,FALSE)=0,"",VLOOKUP($A23,'Annex 2 EHV charges'!$A:$O,9,FALSE)),"")</f>
        <v>1485.96</v>
      </c>
      <c r="G23" s="94">
        <f>IFERROR(IF(VLOOKUP($A23,'Annex 2 EHV charges'!$A:$O,10,FALSE)=0,"",VLOOKUP($A23,'Annex 2 EHV charges'!$A:$O,10,FALSE)),"")</f>
        <v>1.01</v>
      </c>
      <c r="H23" s="94">
        <f>IFERROR(IF(VLOOKUP($A23,'Annex 2 EHV charges'!$A:$O,11,FALSE)=0,"",VLOOKUP($A23,'Annex 2 EHV charges'!$A:$O,11,FALSE)),"")</f>
        <v>1.01</v>
      </c>
      <c r="I23" s="229" t="str">
        <f>IF(VLOOKUP(C23,'Annex 2 EHV charges'!$C$11:$P$154,14,FALSE)&lt;=5,"",VLOOKUP(C23,'Annex 2 EHV charges'!$C$11:$P$154,14,FALSE))</f>
        <v/>
      </c>
    </row>
    <row r="24" spans="1:9" ht="12.75" customHeight="1" x14ac:dyDescent="0.35">
      <c r="A24" s="87">
        <f t="array" ref="A24">IFERROR(INDEX('Annex 2 EHV charges'!$A$11:$A$260, MATCH(0, IF(ISBLANK('Annex 2 EHV charges'!$A$11:$A$260),1, COUNTIF(A$4:$A23, 'Annex 2 EHV charges'!$A$11:$A$260)), 0)),"")</f>
        <v>820</v>
      </c>
      <c r="B24" s="87">
        <f>IF($A24="","",VLOOKUP($A24,'Annex 2 EHV charges'!$A:$O,2,0))</f>
        <v>820</v>
      </c>
      <c r="C24" s="88">
        <f>IF($A24="","",VLOOKUP($A24,'Annex 2 EHV charges'!$A:$O,3,0))</f>
        <v>1800060289486</v>
      </c>
      <c r="D24" s="87" t="str">
        <f>IF($A24="","",VLOOKUP($A24,'Annex 2 EHV charges'!$A:$O,7,0))</f>
        <v>Craigengelt</v>
      </c>
      <c r="E24" s="92" t="str">
        <f>IFERROR(IF(VLOOKUP($A24,'Annex 2 EHV charges'!$A:$O,8,FALSE)=0,"",VLOOKUP($A24,'Annex 2 EHV charges'!$A:$O,8,FALSE)),"")</f>
        <v>-</v>
      </c>
      <c r="F24" s="93">
        <f>IFERROR(IF(VLOOKUP($A24,'Annex 2 EHV charges'!$A:$O,9,FALSE)=0,"",VLOOKUP($A24,'Annex 2 EHV charges'!$A:$O,9,FALSE)),"")</f>
        <v>151.25</v>
      </c>
      <c r="G24" s="94">
        <f>IFERROR(IF(VLOOKUP($A24,'Annex 2 EHV charges'!$A:$O,10,FALSE)=0,"",VLOOKUP($A24,'Annex 2 EHV charges'!$A:$O,10,FALSE)),"")</f>
        <v>0.75</v>
      </c>
      <c r="H24" s="94">
        <f>IFERROR(IF(VLOOKUP($A24,'Annex 2 EHV charges'!$A:$O,11,FALSE)=0,"",VLOOKUP($A24,'Annex 2 EHV charges'!$A:$O,11,FALSE)),"")</f>
        <v>0.75</v>
      </c>
      <c r="I24" s="229" t="str">
        <f>IF(VLOOKUP(C24,'Annex 2 EHV charges'!$C$11:$P$154,14,FALSE)&lt;=5,"",VLOOKUP(C24,'Annex 2 EHV charges'!$C$11:$P$154,14,FALSE))</f>
        <v/>
      </c>
    </row>
    <row r="25" spans="1:9" ht="12.75" customHeight="1" x14ac:dyDescent="0.35">
      <c r="A25" s="87">
        <f t="array" ref="A25">IFERROR(INDEX('Annex 2 EHV charges'!$A$11:$A$260, MATCH(0, IF(ISBLANK('Annex 2 EHV charges'!$A$11:$A$260),1, COUNTIF(A$4:$A24, 'Annex 2 EHV charges'!$A$11:$A$260)), 0)),"")</f>
        <v>821</v>
      </c>
      <c r="B25" s="87">
        <f>IF($A25="","",VLOOKUP($A25,'Annex 2 EHV charges'!$A:$O,2,0))</f>
        <v>821</v>
      </c>
      <c r="C25" s="88">
        <f>IF($A25="","",VLOOKUP($A25,'Annex 2 EHV charges'!$A:$O,3,0))</f>
        <v>1800054865132</v>
      </c>
      <c r="D25" s="87" t="str">
        <f>IF($A25="","",VLOOKUP($A25,'Annex 2 EHV charges'!$A:$O,7,0))</f>
        <v>Greenknowes</v>
      </c>
      <c r="E25" s="92" t="str">
        <f>IFERROR(IF(VLOOKUP($A25,'Annex 2 EHV charges'!$A:$O,8,FALSE)=0,"",VLOOKUP($A25,'Annex 2 EHV charges'!$A:$O,8,FALSE)),"")</f>
        <v>-</v>
      </c>
      <c r="F25" s="93">
        <f>IFERROR(IF(VLOOKUP($A25,'Annex 2 EHV charges'!$A:$O,9,FALSE)=0,"",VLOOKUP($A25,'Annex 2 EHV charges'!$A:$O,9,FALSE)),"")</f>
        <v>621.98</v>
      </c>
      <c r="G25" s="94">
        <f>IFERROR(IF(VLOOKUP($A25,'Annex 2 EHV charges'!$A:$O,10,FALSE)=0,"",VLOOKUP($A25,'Annex 2 EHV charges'!$A:$O,10,FALSE)),"")</f>
        <v>0.71</v>
      </c>
      <c r="H25" s="94">
        <f>IFERROR(IF(VLOOKUP($A25,'Annex 2 EHV charges'!$A:$O,11,FALSE)=0,"",VLOOKUP($A25,'Annex 2 EHV charges'!$A:$O,11,FALSE)),"")</f>
        <v>0.71</v>
      </c>
      <c r="I25" s="229" t="str">
        <f>IF(VLOOKUP(C25,'Annex 2 EHV charges'!$C$11:$P$154,14,FALSE)&lt;=5,"",VLOOKUP(C25,'Annex 2 EHV charges'!$C$11:$P$154,14,FALSE))</f>
        <v/>
      </c>
    </row>
    <row r="26" spans="1:9" ht="12.75" customHeight="1" x14ac:dyDescent="0.35">
      <c r="A26" s="87">
        <f t="array" ref="A26">IFERROR(INDEX('Annex 2 EHV charges'!$A$11:$A$260, MATCH(0, IF(ISBLANK('Annex 2 EHV charges'!$A$11:$A$260),1, COUNTIF(A$4:$A25, 'Annex 2 EHV charges'!$A$11:$A$260)), 0)),"")</f>
        <v>822</v>
      </c>
      <c r="B26" s="87">
        <f>IF($A26="","",VLOOKUP($A26,'Annex 2 EHV charges'!$A:$O,2,0))</f>
        <v>822</v>
      </c>
      <c r="C26" s="88">
        <f>IF($A26="","",VLOOKUP($A26,'Annex 2 EHV charges'!$A:$O,3,0))</f>
        <v>1800060683754</v>
      </c>
      <c r="D26" s="87" t="str">
        <f>IF($A26="","",VLOOKUP($A26,'Annex 2 EHV charges'!$A:$O,7,0))</f>
        <v>Ewe Hill Dumfries WF</v>
      </c>
      <c r="E26" s="92" t="str">
        <f>IFERROR(IF(VLOOKUP($A26,'Annex 2 EHV charges'!$A:$O,8,FALSE)=0,"",VLOOKUP($A26,'Annex 2 EHV charges'!$A:$O,8,FALSE)),"")</f>
        <v>-</v>
      </c>
      <c r="F26" s="93">
        <f>IFERROR(IF(VLOOKUP($A26,'Annex 2 EHV charges'!$A:$O,9,FALSE)=0,"",VLOOKUP($A26,'Annex 2 EHV charges'!$A:$O,9,FALSE)),"")</f>
        <v>474.4</v>
      </c>
      <c r="G26" s="94">
        <f>IFERROR(IF(VLOOKUP($A26,'Annex 2 EHV charges'!$A:$O,10,FALSE)=0,"",VLOOKUP($A26,'Annex 2 EHV charges'!$A:$O,10,FALSE)),"")</f>
        <v>0.91</v>
      </c>
      <c r="H26" s="94">
        <f>IFERROR(IF(VLOOKUP($A26,'Annex 2 EHV charges'!$A:$O,11,FALSE)=0,"",VLOOKUP($A26,'Annex 2 EHV charges'!$A:$O,11,FALSE)),"")</f>
        <v>0.91</v>
      </c>
      <c r="I26" s="229" t="str">
        <f>IF(VLOOKUP(C26,'Annex 2 EHV charges'!$C$11:$P$154,14,FALSE)&lt;=5,"",VLOOKUP(C26,'Annex 2 EHV charges'!$C$11:$P$154,14,FALSE))</f>
        <v/>
      </c>
    </row>
    <row r="27" spans="1:9" ht="12.75" customHeight="1" x14ac:dyDescent="0.35">
      <c r="A27" s="87">
        <f t="array" ref="A27">IFERROR(INDEX('Annex 2 EHV charges'!$A$11:$A$260, MATCH(0, IF(ISBLANK('Annex 2 EHV charges'!$A$11:$A$260),1, COUNTIF(A$4:$A26, 'Annex 2 EHV charges'!$A$11:$A$260)), 0)),"")</f>
        <v>823</v>
      </c>
      <c r="B27" s="87">
        <f>IF($A27="","",VLOOKUP($A27,'Annex 2 EHV charges'!$A:$O,2,0))</f>
        <v>823</v>
      </c>
      <c r="C27" s="88">
        <f>IF($A27="","",VLOOKUP($A27,'Annex 2 EHV charges'!$A:$O,3,0))</f>
        <v>1800060697223</v>
      </c>
      <c r="D27" s="87" t="str">
        <f>IF($A27="","",VLOOKUP($A27,'Annex 2 EHV charges'!$A:$O,7,0))</f>
        <v>Langhope Rig (D) WF</v>
      </c>
      <c r="E27" s="92" t="str">
        <f>IFERROR(IF(VLOOKUP($A27,'Annex 2 EHV charges'!$A:$O,8,FALSE)=0,"",VLOOKUP($A27,'Annex 2 EHV charges'!$A:$O,8,FALSE)),"")</f>
        <v>-</v>
      </c>
      <c r="F27" s="93">
        <f>IFERROR(IF(VLOOKUP($A27,'Annex 2 EHV charges'!$A:$O,9,FALSE)=0,"",VLOOKUP($A27,'Annex 2 EHV charges'!$A:$O,9,FALSE)),"")</f>
        <v>42.69</v>
      </c>
      <c r="G27" s="94">
        <f>IFERROR(IF(VLOOKUP($A27,'Annex 2 EHV charges'!$A:$O,10,FALSE)=0,"",VLOOKUP($A27,'Annex 2 EHV charges'!$A:$O,10,FALSE)),"")</f>
        <v>1.37</v>
      </c>
      <c r="H27" s="94">
        <f>IFERROR(IF(VLOOKUP($A27,'Annex 2 EHV charges'!$A:$O,11,FALSE)=0,"",VLOOKUP($A27,'Annex 2 EHV charges'!$A:$O,11,FALSE)),"")</f>
        <v>1.37</v>
      </c>
      <c r="I27" s="229" t="str">
        <f>IF(VLOOKUP(C27,'Annex 2 EHV charges'!$C$11:$P$154,14,FALSE)&lt;=5,"",VLOOKUP(C27,'Annex 2 EHV charges'!$C$11:$P$154,14,FALSE))</f>
        <v>See Annex 6</v>
      </c>
    </row>
    <row r="28" spans="1:9" ht="12.75" customHeight="1" x14ac:dyDescent="0.35">
      <c r="A28" s="87">
        <f t="array" ref="A28">IFERROR(INDEX('Annex 2 EHV charges'!$A$11:$A$260, MATCH(0, IF(ISBLANK('Annex 2 EHV charges'!$A$11:$A$260),1, COUNTIF(A$4:$A27, 'Annex 2 EHV charges'!$A$11:$A$260)), 0)),"")</f>
        <v>824</v>
      </c>
      <c r="B28" s="87">
        <f>IF($A28="","",VLOOKUP($A28,'Annex 2 EHV charges'!$A:$O,2,0))</f>
        <v>824</v>
      </c>
      <c r="C28" s="88">
        <f>IF($A28="","",VLOOKUP($A28,'Annex 2 EHV charges'!$A:$O,3,0))</f>
        <v>1800060674253</v>
      </c>
      <c r="D28" s="87" t="str">
        <f>IF($A28="","",VLOOKUP($A28,'Annex 2 EHV charges'!$A:$O,7,0))</f>
        <v>Muirhall Extention WF</v>
      </c>
      <c r="E28" s="92" t="str">
        <f>IFERROR(IF(VLOOKUP($A28,'Annex 2 EHV charges'!$A:$O,8,FALSE)=0,"",VLOOKUP($A28,'Annex 2 EHV charges'!$A:$O,8,FALSE)),"")</f>
        <v>-</v>
      </c>
      <c r="F28" s="93">
        <f>IFERROR(IF(VLOOKUP($A28,'Annex 2 EHV charges'!$A:$O,9,FALSE)=0,"",VLOOKUP($A28,'Annex 2 EHV charges'!$A:$O,9,FALSE)),"")</f>
        <v>54.73</v>
      </c>
      <c r="G28" s="94">
        <f>IFERROR(IF(VLOOKUP($A28,'Annex 2 EHV charges'!$A:$O,10,FALSE)=0,"",VLOOKUP($A28,'Annex 2 EHV charges'!$A:$O,10,FALSE)),"")</f>
        <v>0.9</v>
      </c>
      <c r="H28" s="94">
        <f>IFERROR(IF(VLOOKUP($A28,'Annex 2 EHV charges'!$A:$O,11,FALSE)=0,"",VLOOKUP($A28,'Annex 2 EHV charges'!$A:$O,11,FALSE)),"")</f>
        <v>0.9</v>
      </c>
      <c r="I28" s="229" t="str">
        <f>IF(VLOOKUP(C28,'Annex 2 EHV charges'!$C$11:$P$154,14,FALSE)&lt;=5,"",VLOOKUP(C28,'Annex 2 EHV charges'!$C$11:$P$154,14,FALSE))</f>
        <v/>
      </c>
    </row>
    <row r="29" spans="1:9" ht="12.75" customHeight="1" x14ac:dyDescent="0.35">
      <c r="A29" s="87">
        <f t="array" ref="A29">IFERROR(INDEX('Annex 2 EHV charges'!$A$11:$A$260, MATCH(0, IF(ISBLANK('Annex 2 EHV charges'!$A$11:$A$260),1, COUNTIF(A$4:$A28, 'Annex 2 EHV charges'!$A$11:$A$260)), 0)),"")</f>
        <v>825</v>
      </c>
      <c r="B29" s="87">
        <f>IF($A29="","",VLOOKUP($A29,'Annex 2 EHV charges'!$A:$O,2,0))</f>
        <v>825</v>
      </c>
      <c r="C29" s="88">
        <f>IF($A29="","",VLOOKUP($A29,'Annex 2 EHV charges'!$A:$O,3,0))</f>
        <v>1800060159192</v>
      </c>
      <c r="D29" s="87" t="str">
        <f>IF($A29="","",VLOOKUP($A29,'Annex 2 EHV charges'!$A:$O,7,0))</f>
        <v>Aikengall</v>
      </c>
      <c r="E29" s="92" t="str">
        <f>IFERROR(IF(VLOOKUP($A29,'Annex 2 EHV charges'!$A:$O,8,FALSE)=0,"",VLOOKUP($A29,'Annex 2 EHV charges'!$A:$O,8,FALSE)),"")</f>
        <v>-</v>
      </c>
      <c r="F29" s="93">
        <f>IFERROR(IF(VLOOKUP($A29,'Annex 2 EHV charges'!$A:$O,9,FALSE)=0,"",VLOOKUP($A29,'Annex 2 EHV charges'!$A:$O,9,FALSE)),"")</f>
        <v>937.97</v>
      </c>
      <c r="G29" s="94" t="str">
        <f>IFERROR(IF(VLOOKUP($A29,'Annex 2 EHV charges'!$A:$O,10,FALSE)=0,"",VLOOKUP($A29,'Annex 2 EHV charges'!$A:$O,10,FALSE)),"")</f>
        <v>-</v>
      </c>
      <c r="H29" s="94" t="str">
        <f>IFERROR(IF(VLOOKUP($A29,'Annex 2 EHV charges'!$A:$O,11,FALSE)=0,"",VLOOKUP($A29,'Annex 2 EHV charges'!$A:$O,11,FALSE)),"")</f>
        <v>-</v>
      </c>
      <c r="I29" s="229" t="str">
        <f>IF(VLOOKUP(C29,'Annex 2 EHV charges'!$C$11:$P$154,14,FALSE)&lt;=5,"",VLOOKUP(C29,'Annex 2 EHV charges'!$C$11:$P$154,14,FALSE))</f>
        <v/>
      </c>
    </row>
    <row r="30" spans="1:9" ht="12.75" customHeight="1" x14ac:dyDescent="0.35">
      <c r="A30" s="87">
        <f t="array" ref="A30">IFERROR(INDEX('Annex 2 EHV charges'!$A$11:$A$260, MATCH(0, IF(ISBLANK('Annex 2 EHV charges'!$A$11:$A$260),1, COUNTIF(A$4:$A29, 'Annex 2 EHV charges'!$A$11:$A$260)), 0)),"")</f>
        <v>826</v>
      </c>
      <c r="B30" s="87">
        <f>IF($A30="","",VLOOKUP($A30,'Annex 2 EHV charges'!$A:$O,2,0))</f>
        <v>826</v>
      </c>
      <c r="C30" s="88">
        <f>IF($A30="","",VLOOKUP($A30,'Annex 2 EHV charges'!$A:$O,3,0))</f>
        <v>1800053646251</v>
      </c>
      <c r="D30" s="87" t="str">
        <f>IF($A30="","",VLOOKUP($A30,'Annex 2 EHV charges'!$A:$O,7,0))</f>
        <v>Hagshaw Hill</v>
      </c>
      <c r="E30" s="92" t="str">
        <f>IFERROR(IF(VLOOKUP($A30,'Annex 2 EHV charges'!$A:$O,8,FALSE)=0,"",VLOOKUP($A30,'Annex 2 EHV charges'!$A:$O,8,FALSE)),"")</f>
        <v>-</v>
      </c>
      <c r="F30" s="93">
        <f>IFERROR(IF(VLOOKUP($A30,'Annex 2 EHV charges'!$A:$O,9,FALSE)=0,"",VLOOKUP($A30,'Annex 2 EHV charges'!$A:$O,9,FALSE)),"")</f>
        <v>55.88</v>
      </c>
      <c r="G30" s="94">
        <f>IFERROR(IF(VLOOKUP($A30,'Annex 2 EHV charges'!$A:$O,10,FALSE)=0,"",VLOOKUP($A30,'Annex 2 EHV charges'!$A:$O,10,FALSE)),"")</f>
        <v>0.9</v>
      </c>
      <c r="H30" s="94">
        <f>IFERROR(IF(VLOOKUP($A30,'Annex 2 EHV charges'!$A:$O,11,FALSE)=0,"",VLOOKUP($A30,'Annex 2 EHV charges'!$A:$O,11,FALSE)),"")</f>
        <v>0.9</v>
      </c>
      <c r="I30" s="229" t="str">
        <f>IF(VLOOKUP(C30,'Annex 2 EHV charges'!$C$11:$P$154,14,FALSE)&lt;=5,"",VLOOKUP(C30,'Annex 2 EHV charges'!$C$11:$P$154,14,FALSE))</f>
        <v/>
      </c>
    </row>
    <row r="31" spans="1:9" ht="12.75" customHeight="1" x14ac:dyDescent="0.35">
      <c r="A31" s="87">
        <f t="array" ref="A31">IFERROR(INDEX('Annex 2 EHV charges'!$A$11:$A$260, MATCH(0, IF(ISBLANK('Annex 2 EHV charges'!$A$11:$A$260),1, COUNTIF(A$4:$A30, 'Annex 2 EHV charges'!$A$11:$A$260)), 0)),"")</f>
        <v>827</v>
      </c>
      <c r="B31" s="87">
        <f>IF($A31="","",VLOOKUP($A31,'Annex 2 EHV charges'!$A:$O,2,0))</f>
        <v>827</v>
      </c>
      <c r="C31" s="88">
        <f>IF($A31="","",VLOOKUP($A31,'Annex 2 EHV charges'!$A:$O,3,0))</f>
        <v>1800053646190</v>
      </c>
      <c r="D31" s="87" t="str">
        <f>IF($A31="","",VLOOKUP($A31,'Annex 2 EHV charges'!$A:$O,7,0))</f>
        <v>Gallow Rig</v>
      </c>
      <c r="E31" s="92" t="str">
        <f>IFERROR(IF(VLOOKUP($A31,'Annex 2 EHV charges'!$A:$O,8,FALSE)=0,"",VLOOKUP($A31,'Annex 2 EHV charges'!$A:$O,8,FALSE)),"")</f>
        <v>-</v>
      </c>
      <c r="F31" s="93">
        <f>IFERROR(IF(VLOOKUP($A31,'Annex 2 EHV charges'!$A:$O,9,FALSE)=0,"",VLOOKUP($A31,'Annex 2 EHV charges'!$A:$O,9,FALSE)),"")</f>
        <v>194.88</v>
      </c>
      <c r="G31" s="94">
        <f>IFERROR(IF(VLOOKUP($A31,'Annex 2 EHV charges'!$A:$O,10,FALSE)=0,"",VLOOKUP($A31,'Annex 2 EHV charges'!$A:$O,10,FALSE)),"")</f>
        <v>0.86</v>
      </c>
      <c r="H31" s="94">
        <f>IFERROR(IF(VLOOKUP($A31,'Annex 2 EHV charges'!$A:$O,11,FALSE)=0,"",VLOOKUP($A31,'Annex 2 EHV charges'!$A:$O,11,FALSE)),"")</f>
        <v>0.86</v>
      </c>
      <c r="I31" s="229" t="str">
        <f>IF(VLOOKUP(C31,'Annex 2 EHV charges'!$C$11:$P$154,14,FALSE)&lt;=5,"",VLOOKUP(C31,'Annex 2 EHV charges'!$C$11:$P$154,14,FALSE))</f>
        <v/>
      </c>
    </row>
    <row r="32" spans="1:9" ht="12.75" customHeight="1" x14ac:dyDescent="0.35">
      <c r="A32" s="87">
        <f t="array" ref="A32">IFERROR(INDEX('Annex 2 EHV charges'!$A$11:$A$260, MATCH(0, IF(ISBLANK('Annex 2 EHV charges'!$A$11:$A$260),1, COUNTIF(A$4:$A31, 'Annex 2 EHV charges'!$A$11:$A$260)), 0)),"")</f>
        <v>828</v>
      </c>
      <c r="B32" s="87">
        <f>IF($A32="","",VLOOKUP($A32,'Annex 2 EHV charges'!$A:$O,2,0))</f>
        <v>828</v>
      </c>
      <c r="C32" s="88">
        <f>IF($A32="","",VLOOKUP($A32,'Annex 2 EHV charges'!$A:$O,3,0))</f>
        <v>1800053646172</v>
      </c>
      <c r="D32" s="87" t="str">
        <f>IF($A32="","",VLOOKUP($A32,'Annex 2 EHV charges'!$A:$O,7,0))</f>
        <v>Polwhat Rig</v>
      </c>
      <c r="E32" s="92" t="str">
        <f>IFERROR(IF(VLOOKUP($A32,'Annex 2 EHV charges'!$A:$O,8,FALSE)=0,"",VLOOKUP($A32,'Annex 2 EHV charges'!$A:$O,8,FALSE)),"")</f>
        <v>-</v>
      </c>
      <c r="F32" s="93">
        <f>IFERROR(IF(VLOOKUP($A32,'Annex 2 EHV charges'!$A:$O,9,FALSE)=0,"",VLOOKUP($A32,'Annex 2 EHV charges'!$A:$O,9,FALSE)),"")</f>
        <v>231.8</v>
      </c>
      <c r="G32" s="94">
        <f>IFERROR(IF(VLOOKUP($A32,'Annex 2 EHV charges'!$A:$O,10,FALSE)=0,"",VLOOKUP($A32,'Annex 2 EHV charges'!$A:$O,10,FALSE)),"")</f>
        <v>0.84</v>
      </c>
      <c r="H32" s="94">
        <f>IFERROR(IF(VLOOKUP($A32,'Annex 2 EHV charges'!$A:$O,11,FALSE)=0,"",VLOOKUP($A32,'Annex 2 EHV charges'!$A:$O,11,FALSE)),"")</f>
        <v>0.84</v>
      </c>
      <c r="I32" s="229" t="str">
        <f>IF(VLOOKUP(C32,'Annex 2 EHV charges'!$C$11:$P$154,14,FALSE)&lt;=5,"",VLOOKUP(C32,'Annex 2 EHV charges'!$C$11:$P$154,14,FALSE))</f>
        <v/>
      </c>
    </row>
    <row r="33" spans="1:9" ht="12.75" customHeight="1" x14ac:dyDescent="0.35">
      <c r="A33" s="87">
        <f t="array" ref="A33">IFERROR(INDEX('Annex 2 EHV charges'!$A$11:$A$260, MATCH(0, IF(ISBLANK('Annex 2 EHV charges'!$A$11:$A$260),1, COUNTIF(A$4:$A32, 'Annex 2 EHV charges'!$A$11:$A$260)), 0)),"")</f>
        <v>829</v>
      </c>
      <c r="B33" s="87">
        <f>IF($A33="","",VLOOKUP($A33,'Annex 2 EHV charges'!$A:$O,2,0))</f>
        <v>829</v>
      </c>
      <c r="C33" s="88">
        <f>IF($A33="","",VLOOKUP($A33,'Annex 2 EHV charges'!$A:$O,3,0))</f>
        <v>1800054738267</v>
      </c>
      <c r="D33" s="87" t="str">
        <f>IF($A33="","",VLOOKUP($A33,'Annex 2 EHV charges'!$A:$O,7,0))</f>
        <v>Greendykeside</v>
      </c>
      <c r="E33" s="92" t="str">
        <f>IFERROR(IF(VLOOKUP($A33,'Annex 2 EHV charges'!$A:$O,8,FALSE)=0,"",VLOOKUP($A33,'Annex 2 EHV charges'!$A:$O,8,FALSE)),"")</f>
        <v>-</v>
      </c>
      <c r="F33" s="93">
        <f>IFERROR(IF(VLOOKUP($A33,'Annex 2 EHV charges'!$A:$O,9,FALSE)=0,"",VLOOKUP($A33,'Annex 2 EHV charges'!$A:$O,9,FALSE)),"")</f>
        <v>53.18</v>
      </c>
      <c r="G33" s="94">
        <f>IFERROR(IF(VLOOKUP($A33,'Annex 2 EHV charges'!$A:$O,10,FALSE)=0,"",VLOOKUP($A33,'Annex 2 EHV charges'!$A:$O,10,FALSE)),"")</f>
        <v>0.93</v>
      </c>
      <c r="H33" s="94">
        <f>IFERROR(IF(VLOOKUP($A33,'Annex 2 EHV charges'!$A:$O,11,FALSE)=0,"",VLOOKUP($A33,'Annex 2 EHV charges'!$A:$O,11,FALSE)),"")</f>
        <v>0.93</v>
      </c>
      <c r="I33" s="229" t="str">
        <f>IF(VLOOKUP(C33,'Annex 2 EHV charges'!$C$11:$P$154,14,FALSE)&lt;=5,"",VLOOKUP(C33,'Annex 2 EHV charges'!$C$11:$P$154,14,FALSE))</f>
        <v/>
      </c>
    </row>
    <row r="34" spans="1:9" ht="12.75" customHeight="1" x14ac:dyDescent="0.35">
      <c r="A34" s="87">
        <f t="array" ref="A34">IFERROR(INDEX('Annex 2 EHV charges'!$A$11:$A$260, MATCH(0, IF(ISBLANK('Annex 2 EHV charges'!$A$11:$A$260),1, COUNTIF(A$4:$A33, 'Annex 2 EHV charges'!$A$11:$A$260)), 0)),"")</f>
        <v>830</v>
      </c>
      <c r="B34" s="87">
        <f>IF($A34="","",VLOOKUP($A34,'Annex 2 EHV charges'!$A:$O,2,0))</f>
        <v>830</v>
      </c>
      <c r="C34" s="88">
        <f>IF($A34="","",VLOOKUP($A34,'Annex 2 EHV charges'!$A:$O,3,0))</f>
        <v>1800053647237</v>
      </c>
      <c r="D34" s="87" t="str">
        <f>IF($A34="","",VLOOKUP($A34,'Annex 2 EHV charges'!$A:$O,7,0))</f>
        <v>Dun Law</v>
      </c>
      <c r="E34" s="92" t="str">
        <f>IFERROR(IF(VLOOKUP($A34,'Annex 2 EHV charges'!$A:$O,8,FALSE)=0,"",VLOOKUP($A34,'Annex 2 EHV charges'!$A:$O,8,FALSE)),"")</f>
        <v>-</v>
      </c>
      <c r="F34" s="93">
        <f>IFERROR(IF(VLOOKUP($A34,'Annex 2 EHV charges'!$A:$O,9,FALSE)=0,"",VLOOKUP($A34,'Annex 2 EHV charges'!$A:$O,9,FALSE)),"")</f>
        <v>33.51</v>
      </c>
      <c r="G34" s="94">
        <f>IFERROR(IF(VLOOKUP($A34,'Annex 2 EHV charges'!$A:$O,10,FALSE)=0,"",VLOOKUP($A34,'Annex 2 EHV charges'!$A:$O,10,FALSE)),"")</f>
        <v>0.87</v>
      </c>
      <c r="H34" s="94">
        <f>IFERROR(IF(VLOOKUP($A34,'Annex 2 EHV charges'!$A:$O,11,FALSE)=0,"",VLOOKUP($A34,'Annex 2 EHV charges'!$A:$O,11,FALSE)),"")</f>
        <v>0.87</v>
      </c>
      <c r="I34" s="229" t="str">
        <f>IF(VLOOKUP(C34,'Annex 2 EHV charges'!$C$11:$P$154,14,FALSE)&lt;=5,"",VLOOKUP(C34,'Annex 2 EHV charges'!$C$11:$P$154,14,FALSE))</f>
        <v/>
      </c>
    </row>
    <row r="35" spans="1:9" ht="12.75" customHeight="1" x14ac:dyDescent="0.35">
      <c r="A35" s="87">
        <f t="array" ref="A35">IFERROR(INDEX('Annex 2 EHV charges'!$A$11:$A$260, MATCH(0, IF(ISBLANK('Annex 2 EHV charges'!$A$11:$A$260),1, COUNTIF(A$4:$A34, 'Annex 2 EHV charges'!$A$11:$A$260)), 0)),"")</f>
        <v>831</v>
      </c>
      <c r="B35" s="87">
        <f>IF($A35="","",VLOOKUP($A35,'Annex 2 EHV charges'!$A:$O,2,0))</f>
        <v>831</v>
      </c>
      <c r="C35" s="88">
        <f>IF($A35="","",VLOOKUP($A35,'Annex 2 EHV charges'!$A:$O,3,0))</f>
        <v>1800053647194</v>
      </c>
      <c r="D35" s="87" t="str">
        <f>IF($A35="","",VLOOKUP($A35,'Annex 2 EHV charges'!$A:$O,7,0))</f>
        <v>EPR Scotland Ltd</v>
      </c>
      <c r="E35" s="92" t="str">
        <f>IFERROR(IF(VLOOKUP($A35,'Annex 2 EHV charges'!$A:$O,8,FALSE)=0,"",VLOOKUP($A35,'Annex 2 EHV charges'!$A:$O,8,FALSE)),"")</f>
        <v>-</v>
      </c>
      <c r="F35" s="93">
        <f>IFERROR(IF(VLOOKUP($A35,'Annex 2 EHV charges'!$A:$O,9,FALSE)=0,"",VLOOKUP($A35,'Annex 2 EHV charges'!$A:$O,9,FALSE)),"")</f>
        <v>267.87</v>
      </c>
      <c r="G35" s="94">
        <f>IFERROR(IF(VLOOKUP($A35,'Annex 2 EHV charges'!$A:$O,10,FALSE)=0,"",VLOOKUP($A35,'Annex 2 EHV charges'!$A:$O,10,FALSE)),"")</f>
        <v>0.99</v>
      </c>
      <c r="H35" s="94">
        <f>IFERROR(IF(VLOOKUP($A35,'Annex 2 EHV charges'!$A:$O,11,FALSE)=0,"",VLOOKUP($A35,'Annex 2 EHV charges'!$A:$O,11,FALSE)),"")</f>
        <v>0.99</v>
      </c>
      <c r="I35" s="229" t="str">
        <f>IF(VLOOKUP(C35,'Annex 2 EHV charges'!$C$11:$P$154,14,FALSE)&lt;=5,"",VLOOKUP(C35,'Annex 2 EHV charges'!$C$11:$P$154,14,FALSE))</f>
        <v/>
      </c>
    </row>
    <row r="36" spans="1:9" ht="12.75" customHeight="1" x14ac:dyDescent="0.35">
      <c r="A36" s="87">
        <f t="array" ref="A36">IFERROR(INDEX('Annex 2 EHV charges'!$A$11:$A$260, MATCH(0, IF(ISBLANK('Annex 2 EHV charges'!$A$11:$A$260),1, COUNTIF(A$4:$A35, 'Annex 2 EHV charges'!$A$11:$A$260)), 0)),"")</f>
        <v>832</v>
      </c>
      <c r="B36" s="87">
        <f>IF($A36="","",VLOOKUP($A36,'Annex 2 EHV charges'!$A:$O,2,0))</f>
        <v>832</v>
      </c>
      <c r="C36" s="88">
        <f>IF($A36="","",VLOOKUP($A36,'Annex 2 EHV charges'!$A:$O,3,0))</f>
        <v>1800053648027</v>
      </c>
      <c r="D36" s="87" t="str">
        <f>IF($A36="","",VLOOKUP($A36,'Annex 2 EHV charges'!$A:$O,7,0))</f>
        <v>Bowbeat (Emly Bank)</v>
      </c>
      <c r="E36" s="92" t="str">
        <f>IFERROR(IF(VLOOKUP($A36,'Annex 2 EHV charges'!$A:$O,8,FALSE)=0,"",VLOOKUP($A36,'Annex 2 EHV charges'!$A:$O,8,FALSE)),"")</f>
        <v>-</v>
      </c>
      <c r="F36" s="93">
        <f>IFERROR(IF(VLOOKUP($A36,'Annex 2 EHV charges'!$A:$O,9,FALSE)=0,"",VLOOKUP($A36,'Annex 2 EHV charges'!$A:$O,9,FALSE)),"")</f>
        <v>173.58</v>
      </c>
      <c r="G36" s="94">
        <f>IFERROR(IF(VLOOKUP($A36,'Annex 2 EHV charges'!$A:$O,10,FALSE)=0,"",VLOOKUP($A36,'Annex 2 EHV charges'!$A:$O,10,FALSE)),"")</f>
        <v>0.83</v>
      </c>
      <c r="H36" s="94">
        <f>IFERROR(IF(VLOOKUP($A36,'Annex 2 EHV charges'!$A:$O,11,FALSE)=0,"",VLOOKUP($A36,'Annex 2 EHV charges'!$A:$O,11,FALSE)),"")</f>
        <v>0.83</v>
      </c>
      <c r="I36" s="229" t="str">
        <f>IF(VLOOKUP(C36,'Annex 2 EHV charges'!$C$11:$P$154,14,FALSE)&lt;=5,"",VLOOKUP(C36,'Annex 2 EHV charges'!$C$11:$P$154,14,FALSE))</f>
        <v/>
      </c>
    </row>
    <row r="37" spans="1:9" ht="12.75" customHeight="1" x14ac:dyDescent="0.35">
      <c r="A37" s="87">
        <f t="array" ref="A37">IFERROR(INDEX('Annex 2 EHV charges'!$A$11:$A$260, MATCH(0, IF(ISBLANK('Annex 2 EHV charges'!$A$11:$A$260),1, COUNTIF(A$4:$A36, 'Annex 2 EHV charges'!$A$11:$A$260)), 0)),"")</f>
        <v>833</v>
      </c>
      <c r="B37" s="87">
        <f>IF($A37="","",VLOOKUP($A37,'Annex 2 EHV charges'!$A:$O,2,0))</f>
        <v>833</v>
      </c>
      <c r="C37" s="88">
        <f>IF($A37="","",VLOOKUP($A37,'Annex 2 EHV charges'!$A:$O,3,0))</f>
        <v>1800053648045</v>
      </c>
      <c r="D37" s="87" t="str">
        <f>IF($A37="","",VLOOKUP($A37,'Annex 2 EHV charges'!$A:$O,7,0))</f>
        <v>Bowbeat (Roughsidehill)</v>
      </c>
      <c r="E37" s="92" t="str">
        <f>IFERROR(IF(VLOOKUP($A37,'Annex 2 EHV charges'!$A:$O,8,FALSE)=0,"",VLOOKUP($A37,'Annex 2 EHV charges'!$A:$O,8,FALSE)),"")</f>
        <v>-</v>
      </c>
      <c r="F37" s="93">
        <f>IFERROR(IF(VLOOKUP($A37,'Annex 2 EHV charges'!$A:$O,9,FALSE)=0,"",VLOOKUP($A37,'Annex 2 EHV charges'!$A:$O,9,FALSE)),"")</f>
        <v>121.16</v>
      </c>
      <c r="G37" s="94">
        <f>IFERROR(IF(VLOOKUP($A37,'Annex 2 EHV charges'!$A:$O,10,FALSE)=0,"",VLOOKUP($A37,'Annex 2 EHV charges'!$A:$O,10,FALSE)),"")</f>
        <v>0.84</v>
      </c>
      <c r="H37" s="94">
        <f>IFERROR(IF(VLOOKUP($A37,'Annex 2 EHV charges'!$A:$O,11,FALSE)=0,"",VLOOKUP($A37,'Annex 2 EHV charges'!$A:$O,11,FALSE)),"")</f>
        <v>0.84</v>
      </c>
      <c r="I37" s="229" t="str">
        <f>IF(VLOOKUP(C37,'Annex 2 EHV charges'!$C$11:$P$154,14,FALSE)&lt;=5,"",VLOOKUP(C37,'Annex 2 EHV charges'!$C$11:$P$154,14,FALSE))</f>
        <v/>
      </c>
    </row>
    <row r="38" spans="1:9" ht="12.75" customHeight="1" x14ac:dyDescent="0.35">
      <c r="A38" s="87">
        <f t="array" ref="A38">IFERROR(INDEX('Annex 2 EHV charges'!$A$11:$A$260, MATCH(0, IF(ISBLANK('Annex 2 EHV charges'!$A$11:$A$260),1, COUNTIF(A$4:$A37, 'Annex 2 EHV charges'!$A$11:$A$260)), 0)),"")</f>
        <v>834</v>
      </c>
      <c r="B38" s="87">
        <f>IF($A38="","",VLOOKUP($A38,'Annex 2 EHV charges'!$A:$O,2,0))</f>
        <v>834</v>
      </c>
      <c r="C38" s="88">
        <f>IF($A38="","",VLOOKUP($A38,'Annex 2 EHV charges'!$A:$O,3,0))</f>
        <v>1800053647380</v>
      </c>
      <c r="D38" s="87" t="str">
        <f>IF($A38="","",VLOOKUP($A38,'Annex 2 EHV charges'!$A:$O,7,0))</f>
        <v>Harehill</v>
      </c>
      <c r="E38" s="92" t="str">
        <f>IFERROR(IF(VLOOKUP($A38,'Annex 2 EHV charges'!$A:$O,8,FALSE)=0,"",VLOOKUP($A38,'Annex 2 EHV charges'!$A:$O,8,FALSE)),"")</f>
        <v>-</v>
      </c>
      <c r="F38" s="93">
        <f>IFERROR(IF(VLOOKUP($A38,'Annex 2 EHV charges'!$A:$O,9,FALSE)=0,"",VLOOKUP($A38,'Annex 2 EHV charges'!$A:$O,9,FALSE)),"")</f>
        <v>120.74</v>
      </c>
      <c r="G38" s="94">
        <f>IFERROR(IF(VLOOKUP($A38,'Annex 2 EHV charges'!$A:$O,10,FALSE)=0,"",VLOOKUP($A38,'Annex 2 EHV charges'!$A:$O,10,FALSE)),"")</f>
        <v>0.85</v>
      </c>
      <c r="H38" s="94">
        <f>IFERROR(IF(VLOOKUP($A38,'Annex 2 EHV charges'!$A:$O,11,FALSE)=0,"",VLOOKUP($A38,'Annex 2 EHV charges'!$A:$O,11,FALSE)),"")</f>
        <v>0.85</v>
      </c>
      <c r="I38" s="229" t="str">
        <f>IF(VLOOKUP(C38,'Annex 2 EHV charges'!$C$11:$P$154,14,FALSE)&lt;=5,"",VLOOKUP(C38,'Annex 2 EHV charges'!$C$11:$P$154,14,FALSE))</f>
        <v/>
      </c>
    </row>
    <row r="39" spans="1:9" ht="12.75" customHeight="1" x14ac:dyDescent="0.35">
      <c r="A39" s="87">
        <f t="array" ref="A39">IFERROR(INDEX('Annex 2 EHV charges'!$A$11:$A$260, MATCH(0, IF(ISBLANK('Annex 2 EHV charges'!$A$11:$A$260),1, COUNTIF(A$4:$A38, 'Annex 2 EHV charges'!$A$11:$A$260)), 0)),"")</f>
        <v>835</v>
      </c>
      <c r="B39" s="87">
        <f>IF($A39="","",VLOOKUP($A39,'Annex 2 EHV charges'!$A:$O,2,0))</f>
        <v>835</v>
      </c>
      <c r="C39" s="88">
        <f>IF($A39="","",VLOOKUP($A39,'Annex 2 EHV charges'!$A:$O,3,0))</f>
        <v>1800053647618</v>
      </c>
      <c r="D39" s="87" t="str">
        <f>IF($A39="","",VLOOKUP($A39,'Annex 2 EHV charges'!$A:$O,7,0))</f>
        <v>Shanks &amp; McEwan 3&amp;4</v>
      </c>
      <c r="E39" s="92" t="str">
        <f>IFERROR(IF(VLOOKUP($A39,'Annex 2 EHV charges'!$A:$O,8,FALSE)=0,"",VLOOKUP($A39,'Annex 2 EHV charges'!$A:$O,8,FALSE)),"")</f>
        <v>-</v>
      </c>
      <c r="F39" s="93">
        <f>IFERROR(IF(VLOOKUP($A39,'Annex 2 EHV charges'!$A:$O,9,FALSE)=0,"",VLOOKUP($A39,'Annex 2 EHV charges'!$A:$O,9,FALSE)),"")</f>
        <v>113.21</v>
      </c>
      <c r="G39" s="94">
        <f>IFERROR(IF(VLOOKUP($A39,'Annex 2 EHV charges'!$A:$O,10,FALSE)=0,"",VLOOKUP($A39,'Annex 2 EHV charges'!$A:$O,10,FALSE)),"")</f>
        <v>1.25</v>
      </c>
      <c r="H39" s="94">
        <f>IFERROR(IF(VLOOKUP($A39,'Annex 2 EHV charges'!$A:$O,11,FALSE)=0,"",VLOOKUP($A39,'Annex 2 EHV charges'!$A:$O,11,FALSE)),"")</f>
        <v>1.25</v>
      </c>
      <c r="I39" s="229" t="str">
        <f>IF(VLOOKUP(C39,'Annex 2 EHV charges'!$C$11:$P$154,14,FALSE)&lt;=5,"",VLOOKUP(C39,'Annex 2 EHV charges'!$C$11:$P$154,14,FALSE))</f>
        <v/>
      </c>
    </row>
    <row r="40" spans="1:9" ht="12.75" customHeight="1" x14ac:dyDescent="0.35">
      <c r="A40" s="87">
        <f t="array" ref="A40">IFERROR(INDEX('Annex 2 EHV charges'!$A$11:$A$260, MATCH(0, IF(ISBLANK('Annex 2 EHV charges'!$A$11:$A$260),1, COUNTIF(A$4:$A39, 'Annex 2 EHV charges'!$A$11:$A$260)), 0)),"")</f>
        <v>836</v>
      </c>
      <c r="B40" s="87">
        <f>IF($A40="","",VLOOKUP($A40,'Annex 2 EHV charges'!$A:$O,2,0))</f>
        <v>836</v>
      </c>
      <c r="C40" s="88">
        <f>IF($A40="","",VLOOKUP($A40,'Annex 2 EHV charges'!$A:$O,3,0))</f>
        <v>1800053647636</v>
      </c>
      <c r="D40" s="87" t="str">
        <f>IF($A40="","",VLOOKUP($A40,'Annex 2 EHV charges'!$A:$O,7,0))</f>
        <v>Shanks &amp; McEwan 5</v>
      </c>
      <c r="E40" s="92" t="str">
        <f>IFERROR(IF(VLOOKUP($A40,'Annex 2 EHV charges'!$A:$O,8,FALSE)=0,"",VLOOKUP($A40,'Annex 2 EHV charges'!$A:$O,8,FALSE)),"")</f>
        <v>-</v>
      </c>
      <c r="F40" s="93">
        <f>IFERROR(IF(VLOOKUP($A40,'Annex 2 EHV charges'!$A:$O,9,FALSE)=0,"",VLOOKUP($A40,'Annex 2 EHV charges'!$A:$O,9,FALSE)),"")</f>
        <v>26.57</v>
      </c>
      <c r="G40" s="94">
        <f>IFERROR(IF(VLOOKUP($A40,'Annex 2 EHV charges'!$A:$O,10,FALSE)=0,"",VLOOKUP($A40,'Annex 2 EHV charges'!$A:$O,10,FALSE)),"")</f>
        <v>0.81</v>
      </c>
      <c r="H40" s="94">
        <f>IFERROR(IF(VLOOKUP($A40,'Annex 2 EHV charges'!$A:$O,11,FALSE)=0,"",VLOOKUP($A40,'Annex 2 EHV charges'!$A:$O,11,FALSE)),"")</f>
        <v>0.81</v>
      </c>
      <c r="I40" s="229" t="str">
        <f>IF(VLOOKUP(C40,'Annex 2 EHV charges'!$C$11:$P$154,14,FALSE)&lt;=5,"",VLOOKUP(C40,'Annex 2 EHV charges'!$C$11:$P$154,14,FALSE))</f>
        <v/>
      </c>
    </row>
    <row r="41" spans="1:9" ht="12.75" customHeight="1" x14ac:dyDescent="0.35">
      <c r="A41" s="87">
        <f t="array" ref="A41">IFERROR(INDEX('Annex 2 EHV charges'!$A$11:$A$260, MATCH(0, IF(ISBLANK('Annex 2 EHV charges'!$A$11:$A$260),1, COUNTIF(A$4:$A40, 'Annex 2 EHV charges'!$A$11:$A$260)), 0)),"")</f>
        <v>837</v>
      </c>
      <c r="B41" s="87">
        <f>IF($A41="","",VLOOKUP($A41,'Annex 2 EHV charges'!$A:$O,2,0))</f>
        <v>837</v>
      </c>
      <c r="C41" s="88">
        <f>IF($A41="","",VLOOKUP($A41,'Annex 2 EHV charges'!$A:$O,3,0))</f>
        <v>1800053653843</v>
      </c>
      <c r="D41" s="87" t="str">
        <f>IF($A41="","",VLOOKUP($A41,'Annex 2 EHV charges'!$A:$O,7,0))</f>
        <v>Crystal Rig</v>
      </c>
      <c r="E41" s="92" t="str">
        <f>IFERROR(IF(VLOOKUP($A41,'Annex 2 EHV charges'!$A:$O,8,FALSE)=0,"",VLOOKUP($A41,'Annex 2 EHV charges'!$A:$O,8,FALSE)),"")</f>
        <v>-</v>
      </c>
      <c r="F41" s="93">
        <f>IFERROR(IF(VLOOKUP($A41,'Annex 2 EHV charges'!$A:$O,9,FALSE)=0,"",VLOOKUP($A41,'Annex 2 EHV charges'!$A:$O,9,FALSE)),"")</f>
        <v>619.58000000000004</v>
      </c>
      <c r="G41" s="94">
        <f>IFERROR(IF(VLOOKUP($A41,'Annex 2 EHV charges'!$A:$O,10,FALSE)=0,"",VLOOKUP($A41,'Annex 2 EHV charges'!$A:$O,10,FALSE)),"")</f>
        <v>0.64</v>
      </c>
      <c r="H41" s="94">
        <f>IFERROR(IF(VLOOKUP($A41,'Annex 2 EHV charges'!$A:$O,11,FALSE)=0,"",VLOOKUP($A41,'Annex 2 EHV charges'!$A:$O,11,FALSE)),"")</f>
        <v>0.64</v>
      </c>
      <c r="I41" s="229" t="str">
        <f>IF(VLOOKUP(C41,'Annex 2 EHV charges'!$C$11:$P$154,14,FALSE)&lt;=5,"",VLOOKUP(C41,'Annex 2 EHV charges'!$C$11:$P$154,14,FALSE))</f>
        <v/>
      </c>
    </row>
    <row r="42" spans="1:9" ht="12.75" customHeight="1" x14ac:dyDescent="0.35">
      <c r="A42" s="87">
        <f t="array" ref="A42">IFERROR(INDEX('Annex 2 EHV charges'!$A$11:$A$260, MATCH(0, IF(ISBLANK('Annex 2 EHV charges'!$A$11:$A$260),1, COUNTIF(A$4:$A41, 'Annex 2 EHV charges'!$A$11:$A$260)), 0)),"")</f>
        <v>838</v>
      </c>
      <c r="B42" s="87">
        <f>IF($A42="","",VLOOKUP($A42,'Annex 2 EHV charges'!$A:$O,2,0))</f>
        <v>838</v>
      </c>
      <c r="C42" s="88">
        <f>IF($A42="","",VLOOKUP($A42,'Annex 2 EHV charges'!$A:$O,3,0))</f>
        <v>1800053694167</v>
      </c>
      <c r="D42" s="87" t="str">
        <f>IF($A42="","",VLOOKUP($A42,'Annex 2 EHV charges'!$A:$O,7,0))</f>
        <v>Haupland Muir (Ardrossan)</v>
      </c>
      <c r="E42" s="92" t="str">
        <f>IFERROR(IF(VLOOKUP($A42,'Annex 2 EHV charges'!$A:$O,8,FALSE)=0,"",VLOOKUP($A42,'Annex 2 EHV charges'!$A:$O,8,FALSE)),"")</f>
        <v>-</v>
      </c>
      <c r="F42" s="93">
        <f>IFERROR(IF(VLOOKUP($A42,'Annex 2 EHV charges'!$A:$O,9,FALSE)=0,"",VLOOKUP($A42,'Annex 2 EHV charges'!$A:$O,9,FALSE)),"")</f>
        <v>7.01</v>
      </c>
      <c r="G42" s="94">
        <f>IFERROR(IF(VLOOKUP($A42,'Annex 2 EHV charges'!$A:$O,10,FALSE)=0,"",VLOOKUP($A42,'Annex 2 EHV charges'!$A:$O,10,FALSE)),"")</f>
        <v>0.75</v>
      </c>
      <c r="H42" s="94">
        <f>IFERROR(IF(VLOOKUP($A42,'Annex 2 EHV charges'!$A:$O,11,FALSE)=0,"",VLOOKUP($A42,'Annex 2 EHV charges'!$A:$O,11,FALSE)),"")</f>
        <v>0.75</v>
      </c>
      <c r="I42" s="229" t="str">
        <f>IF(VLOOKUP(C42,'Annex 2 EHV charges'!$C$11:$P$154,14,FALSE)&lt;=5,"",VLOOKUP(C42,'Annex 2 EHV charges'!$C$11:$P$154,14,FALSE))</f>
        <v/>
      </c>
    </row>
    <row r="43" spans="1:9" ht="12.75" customHeight="1" x14ac:dyDescent="0.35">
      <c r="A43" s="87">
        <f t="array" ref="A43">IFERROR(INDEX('Annex 2 EHV charges'!$A$11:$A$260, MATCH(0, IF(ISBLANK('Annex 2 EHV charges'!$A$11:$A$260),1, COUNTIF(A$4:$A42, 'Annex 2 EHV charges'!$A$11:$A$260)), 0)),"")</f>
        <v>839</v>
      </c>
      <c r="B43" s="87">
        <f>IF($A43="","",VLOOKUP($A43,'Annex 2 EHV charges'!$A:$O,2,0))</f>
        <v>839</v>
      </c>
      <c r="C43" s="88">
        <f>IF($A43="","",VLOOKUP($A43,'Annex 2 EHV charges'!$A:$O,3,0))</f>
        <v>1800053950949</v>
      </c>
      <c r="D43" s="87" t="str">
        <f>IF($A43="","",VLOOKUP($A43,'Annex 2 EHV charges'!$A:$O,7,0))</f>
        <v>Wetherhill</v>
      </c>
      <c r="E43" s="92" t="str">
        <f>IFERROR(IF(VLOOKUP($A43,'Annex 2 EHV charges'!$A:$O,8,FALSE)=0,"",VLOOKUP($A43,'Annex 2 EHV charges'!$A:$O,8,FALSE)),"")</f>
        <v>-</v>
      </c>
      <c r="F43" s="93">
        <f>IFERROR(IF(VLOOKUP($A43,'Annex 2 EHV charges'!$A:$O,9,FALSE)=0,"",VLOOKUP($A43,'Annex 2 EHV charges'!$A:$O,9,FALSE)),"")</f>
        <v>536.20000000000005</v>
      </c>
      <c r="G43" s="94" t="str">
        <f>IFERROR(IF(VLOOKUP($A43,'Annex 2 EHV charges'!$A:$O,10,FALSE)=0,"",VLOOKUP($A43,'Annex 2 EHV charges'!$A:$O,10,FALSE)),"")</f>
        <v>-</v>
      </c>
      <c r="H43" s="94" t="str">
        <f>IFERROR(IF(VLOOKUP($A43,'Annex 2 EHV charges'!$A:$O,11,FALSE)=0,"",VLOOKUP($A43,'Annex 2 EHV charges'!$A:$O,11,FALSE)),"")</f>
        <v>-</v>
      </c>
      <c r="I43" s="229" t="str">
        <f>IF(VLOOKUP(C43,'Annex 2 EHV charges'!$C$11:$P$154,14,FALSE)&lt;=5,"",VLOOKUP(C43,'Annex 2 EHV charges'!$C$11:$P$154,14,FALSE))</f>
        <v/>
      </c>
    </row>
    <row r="44" spans="1:9" ht="12.75" customHeight="1" x14ac:dyDescent="0.35">
      <c r="A44" s="87">
        <f t="array" ref="A44">IFERROR(INDEX('Annex 2 EHV charges'!$A$11:$A$260, MATCH(0, IF(ISBLANK('Annex 2 EHV charges'!$A$11:$A$260),1, COUNTIF(A$4:$A43, 'Annex 2 EHV charges'!$A$11:$A$260)), 0)),"")</f>
        <v>840</v>
      </c>
      <c r="B44" s="87">
        <f>IF($A44="","",VLOOKUP($A44,'Annex 2 EHV charges'!$A:$O,2,0))</f>
        <v>840</v>
      </c>
      <c r="C44" s="88">
        <f>IF($A44="","",VLOOKUP($A44,'Annex 2 EHV charges'!$A:$O,3,0))</f>
        <v>1800053434271</v>
      </c>
      <c r="D44" s="87" t="str">
        <f>IF($A44="","",VLOOKUP($A44,'Annex 2 EHV charges'!$A:$O,7,0))</f>
        <v>Artfield WF</v>
      </c>
      <c r="E44" s="92" t="str">
        <f>IFERROR(IF(VLOOKUP($A44,'Annex 2 EHV charges'!$A:$O,8,FALSE)=0,"",VLOOKUP($A44,'Annex 2 EHV charges'!$A:$O,8,FALSE)),"")</f>
        <v>-</v>
      </c>
      <c r="F44" s="93">
        <f>IFERROR(IF(VLOOKUP($A44,'Annex 2 EHV charges'!$A:$O,9,FALSE)=0,"",VLOOKUP($A44,'Annex 2 EHV charges'!$A:$O,9,FALSE)),"")</f>
        <v>761.05</v>
      </c>
      <c r="G44" s="94" t="str">
        <f>IFERROR(IF(VLOOKUP($A44,'Annex 2 EHV charges'!$A:$O,10,FALSE)=0,"",VLOOKUP($A44,'Annex 2 EHV charges'!$A:$O,10,FALSE)),"")</f>
        <v>-</v>
      </c>
      <c r="H44" s="94" t="str">
        <f>IFERROR(IF(VLOOKUP($A44,'Annex 2 EHV charges'!$A:$O,11,FALSE)=0,"",VLOOKUP($A44,'Annex 2 EHV charges'!$A:$O,11,FALSE)),"")</f>
        <v>-</v>
      </c>
      <c r="I44" s="229" t="str">
        <f>IF(VLOOKUP(C44,'Annex 2 EHV charges'!$C$11:$P$154,14,FALSE)&lt;=5,"",VLOOKUP(C44,'Annex 2 EHV charges'!$C$11:$P$154,14,FALSE))</f>
        <v>See Annex 6</v>
      </c>
    </row>
    <row r="45" spans="1:9" ht="12.75" customHeight="1" x14ac:dyDescent="0.35">
      <c r="A45" s="87">
        <f t="array" ref="A45">IFERROR(INDEX('Annex 2 EHV charges'!$A$11:$A$260, MATCH(0, IF(ISBLANK('Annex 2 EHV charges'!$A$11:$A$260),1, COUNTIF(A$4:$A44, 'Annex 2 EHV charges'!$A$11:$A$260)), 0)),"")</f>
        <v>841</v>
      </c>
      <c r="B45" s="87">
        <f>IF($A45="","",VLOOKUP($A45,'Annex 2 EHV charges'!$A:$O,2,0))</f>
        <v>841</v>
      </c>
      <c r="C45" s="88">
        <f>IF($A45="","",VLOOKUP($A45,'Annex 2 EHV charges'!$A:$O,3,0))</f>
        <v>1800054152982</v>
      </c>
      <c r="D45" s="87" t="str">
        <f>IF($A45="","",VLOOKUP($A45,'Annex 2 EHV charges'!$A:$O,7,0))</f>
        <v>Wardlaw Wood</v>
      </c>
      <c r="E45" s="92" t="str">
        <f>IFERROR(IF(VLOOKUP($A45,'Annex 2 EHV charges'!$A:$O,8,FALSE)=0,"",VLOOKUP($A45,'Annex 2 EHV charges'!$A:$O,8,FALSE)),"")</f>
        <v>-</v>
      </c>
      <c r="F45" s="93">
        <f>IFERROR(IF(VLOOKUP($A45,'Annex 2 EHV charges'!$A:$O,9,FALSE)=0,"",VLOOKUP($A45,'Annex 2 EHV charges'!$A:$O,9,FALSE)),"")</f>
        <v>80.84</v>
      </c>
      <c r="G45" s="94">
        <f>IFERROR(IF(VLOOKUP($A45,'Annex 2 EHV charges'!$A:$O,10,FALSE)=0,"",VLOOKUP($A45,'Annex 2 EHV charges'!$A:$O,10,FALSE)),"")</f>
        <v>0.91</v>
      </c>
      <c r="H45" s="94">
        <f>IFERROR(IF(VLOOKUP($A45,'Annex 2 EHV charges'!$A:$O,11,FALSE)=0,"",VLOOKUP($A45,'Annex 2 EHV charges'!$A:$O,11,FALSE)),"")</f>
        <v>0.91</v>
      </c>
      <c r="I45" s="229" t="str">
        <f>IF(VLOOKUP(C45,'Annex 2 EHV charges'!$C$11:$P$154,14,FALSE)&lt;=5,"",VLOOKUP(C45,'Annex 2 EHV charges'!$C$11:$P$154,14,FALSE))</f>
        <v/>
      </c>
    </row>
    <row r="46" spans="1:9" ht="12.75" customHeight="1" x14ac:dyDescent="0.35">
      <c r="A46" s="87">
        <f t="array" ref="A46">IFERROR(INDEX('Annex 2 EHV charges'!$A$11:$A$260, MATCH(0, IF(ISBLANK('Annex 2 EHV charges'!$A$11:$A$260),1, COUNTIF(A$4:$A45, 'Annex 2 EHV charges'!$A$11:$A$260)), 0)),"")</f>
        <v>842</v>
      </c>
      <c r="B46" s="87">
        <f>IF($A46="","",VLOOKUP($A46,'Annex 2 EHV charges'!$A:$O,2,0))</f>
        <v>842</v>
      </c>
      <c r="C46" s="88">
        <f>IF($A46="","",VLOOKUP($A46,'Annex 2 EHV charges'!$A:$O,3,0))</f>
        <v>1800054198365</v>
      </c>
      <c r="D46" s="87" t="str">
        <f>IF($A46="","",VLOOKUP($A46,'Annex 2 EHV charges'!$A:$O,7,0))</f>
        <v>Earlsburn</v>
      </c>
      <c r="E46" s="92" t="str">
        <f>IFERROR(IF(VLOOKUP($A46,'Annex 2 EHV charges'!$A:$O,8,FALSE)=0,"",VLOOKUP($A46,'Annex 2 EHV charges'!$A:$O,8,FALSE)),"")</f>
        <v>-</v>
      </c>
      <c r="F46" s="93">
        <f>IFERROR(IF(VLOOKUP($A46,'Annex 2 EHV charges'!$A:$O,9,FALSE)=0,"",VLOOKUP($A46,'Annex 2 EHV charges'!$A:$O,9,FALSE)),"")</f>
        <v>568.36</v>
      </c>
      <c r="G46" s="94" t="str">
        <f>IFERROR(IF(VLOOKUP($A46,'Annex 2 EHV charges'!$A:$O,10,FALSE)=0,"",VLOOKUP($A46,'Annex 2 EHV charges'!$A:$O,10,FALSE)),"")</f>
        <v>-</v>
      </c>
      <c r="H46" s="94" t="str">
        <f>IFERROR(IF(VLOOKUP($A46,'Annex 2 EHV charges'!$A:$O,11,FALSE)=0,"",VLOOKUP($A46,'Annex 2 EHV charges'!$A:$O,11,FALSE)),"")</f>
        <v>-</v>
      </c>
      <c r="I46" s="229" t="str">
        <f>IF(VLOOKUP(C46,'Annex 2 EHV charges'!$C$11:$P$154,14,FALSE)&lt;=5,"",VLOOKUP(C46,'Annex 2 EHV charges'!$C$11:$P$154,14,FALSE))</f>
        <v/>
      </c>
    </row>
    <row r="47" spans="1:9" ht="12.75" customHeight="1" x14ac:dyDescent="0.35">
      <c r="A47" s="87">
        <f t="array" ref="A47">IFERROR(INDEX('Annex 2 EHV charges'!$A$11:$A$260, MATCH(0, IF(ISBLANK('Annex 2 EHV charges'!$A$11:$A$260),1, COUNTIF(A$4:$A46, 'Annex 2 EHV charges'!$A$11:$A$260)), 0)),"")</f>
        <v>843</v>
      </c>
      <c r="B47" s="87">
        <f>IF($A47="","",VLOOKUP($A47,'Annex 2 EHV charges'!$A:$O,2,0))</f>
        <v>843</v>
      </c>
      <c r="C47" s="88">
        <f>IF($A47="","",VLOOKUP($A47,'Annex 2 EHV charges'!$A:$O,3,0))</f>
        <v>1800054244570</v>
      </c>
      <c r="D47" s="87" t="str">
        <f>IF($A47="","",VLOOKUP($A47,'Annex 2 EHV charges'!$A:$O,7,0))</f>
        <v>Blackhill</v>
      </c>
      <c r="E47" s="92" t="str">
        <f>IFERROR(IF(VLOOKUP($A47,'Annex 2 EHV charges'!$A:$O,8,FALSE)=0,"",VLOOKUP($A47,'Annex 2 EHV charges'!$A:$O,8,FALSE)),"")</f>
        <v>-</v>
      </c>
      <c r="F47" s="93">
        <f>IFERROR(IF(VLOOKUP($A47,'Annex 2 EHV charges'!$A:$O,9,FALSE)=0,"",VLOOKUP($A47,'Annex 2 EHV charges'!$A:$O,9,FALSE)),"")</f>
        <v>955.36</v>
      </c>
      <c r="G47" s="94" t="str">
        <f>IFERROR(IF(VLOOKUP($A47,'Annex 2 EHV charges'!$A:$O,10,FALSE)=0,"",VLOOKUP($A47,'Annex 2 EHV charges'!$A:$O,10,FALSE)),"")</f>
        <v>-</v>
      </c>
      <c r="H47" s="94" t="str">
        <f>IFERROR(IF(VLOOKUP($A47,'Annex 2 EHV charges'!$A:$O,11,FALSE)=0,"",VLOOKUP($A47,'Annex 2 EHV charges'!$A:$O,11,FALSE)),"")</f>
        <v>-</v>
      </c>
      <c r="I47" s="229" t="str">
        <f>IF(VLOOKUP(C47,'Annex 2 EHV charges'!$C$11:$P$154,14,FALSE)&lt;=5,"",VLOOKUP(C47,'Annex 2 EHV charges'!$C$11:$P$154,14,FALSE))</f>
        <v/>
      </c>
    </row>
    <row r="48" spans="1:9" ht="12.75" customHeight="1" x14ac:dyDescent="0.35">
      <c r="A48" s="87">
        <f t="array" ref="A48">IFERROR(INDEX('Annex 2 EHV charges'!$A$11:$A$260, MATCH(0, IF(ISBLANK('Annex 2 EHV charges'!$A$11:$A$260),1, COUNTIF(A$4:$A47, 'Annex 2 EHV charges'!$A$11:$A$260)), 0)),"")</f>
        <v>844</v>
      </c>
      <c r="B48" s="87">
        <f>IF($A48="","",VLOOKUP($A48,'Annex 2 EHV charges'!$A:$O,2,0))</f>
        <v>844</v>
      </c>
      <c r="C48" s="88">
        <f>IF($A48="","",VLOOKUP($A48,'Annex 2 EHV charges'!$A:$O,3,0))</f>
        <v>1800054451603</v>
      </c>
      <c r="D48" s="87" t="str">
        <f>IF($A48="","",VLOOKUP($A48,'Annex 2 EHV charges'!$A:$O,7,0))</f>
        <v>Dalswinton</v>
      </c>
      <c r="E48" s="92" t="str">
        <f>IFERROR(IF(VLOOKUP($A48,'Annex 2 EHV charges'!$A:$O,8,FALSE)=0,"",VLOOKUP($A48,'Annex 2 EHV charges'!$A:$O,8,FALSE)),"")</f>
        <v>-</v>
      </c>
      <c r="F48" s="93">
        <f>IFERROR(IF(VLOOKUP($A48,'Annex 2 EHV charges'!$A:$O,9,FALSE)=0,"",VLOOKUP($A48,'Annex 2 EHV charges'!$A:$O,9,FALSE)),"")</f>
        <v>450.09</v>
      </c>
      <c r="G48" s="94">
        <f>IFERROR(IF(VLOOKUP($A48,'Annex 2 EHV charges'!$A:$O,10,FALSE)=0,"",VLOOKUP($A48,'Annex 2 EHV charges'!$A:$O,10,FALSE)),"")</f>
        <v>0.74</v>
      </c>
      <c r="H48" s="94">
        <f>IFERROR(IF(VLOOKUP($A48,'Annex 2 EHV charges'!$A:$O,11,FALSE)=0,"",VLOOKUP($A48,'Annex 2 EHV charges'!$A:$O,11,FALSE)),"")</f>
        <v>0.74</v>
      </c>
      <c r="I48" s="229" t="str">
        <f>IF(VLOOKUP(C48,'Annex 2 EHV charges'!$C$11:$P$154,14,FALSE)&lt;=5,"",VLOOKUP(C48,'Annex 2 EHV charges'!$C$11:$P$154,14,FALSE))</f>
        <v/>
      </c>
    </row>
    <row r="49" spans="1:9" ht="12.75" customHeight="1" x14ac:dyDescent="0.35">
      <c r="A49" s="87">
        <f t="array" ref="A49">IFERROR(INDEX('Annex 2 EHV charges'!$A$11:$A$260, MATCH(0, IF(ISBLANK('Annex 2 EHV charges'!$A$11:$A$260),1, COUNTIF(A$4:$A48, 'Annex 2 EHV charges'!$A$11:$A$260)), 0)),"")</f>
        <v>845</v>
      </c>
      <c r="B49" s="87">
        <f>IF($A49="","",VLOOKUP($A49,'Annex 2 EHV charges'!$A:$O,2,0))</f>
        <v>845</v>
      </c>
      <c r="C49" s="88">
        <f>IF($A49="","",VLOOKUP($A49,'Annex 2 EHV charges'!$A:$O,3,0))</f>
        <v>1800054498470</v>
      </c>
      <c r="D49" s="87" t="str">
        <f>IF($A49="","",VLOOKUP($A49,'Annex 2 EHV charges'!$A:$O,7,0))</f>
        <v>Steven's Croft Biomass</v>
      </c>
      <c r="E49" s="92" t="str">
        <f>IFERROR(IF(VLOOKUP($A49,'Annex 2 EHV charges'!$A:$O,8,FALSE)=0,"",VLOOKUP($A49,'Annex 2 EHV charges'!$A:$O,8,FALSE)),"")</f>
        <v>-</v>
      </c>
      <c r="F49" s="93">
        <f>IFERROR(IF(VLOOKUP($A49,'Annex 2 EHV charges'!$A:$O,9,FALSE)=0,"",VLOOKUP($A49,'Annex 2 EHV charges'!$A:$O,9,FALSE)),"")</f>
        <v>4388.53</v>
      </c>
      <c r="G49" s="94">
        <f>IFERROR(IF(VLOOKUP($A49,'Annex 2 EHV charges'!$A:$O,10,FALSE)=0,"",VLOOKUP($A49,'Annex 2 EHV charges'!$A:$O,10,FALSE)),"")</f>
        <v>0.69</v>
      </c>
      <c r="H49" s="94">
        <f>IFERROR(IF(VLOOKUP($A49,'Annex 2 EHV charges'!$A:$O,11,FALSE)=0,"",VLOOKUP($A49,'Annex 2 EHV charges'!$A:$O,11,FALSE)),"")</f>
        <v>0.69</v>
      </c>
      <c r="I49" s="229" t="str">
        <f>IF(VLOOKUP(C49,'Annex 2 EHV charges'!$C$11:$P$154,14,FALSE)&lt;=5,"",VLOOKUP(C49,'Annex 2 EHV charges'!$C$11:$P$154,14,FALSE))</f>
        <v/>
      </c>
    </row>
    <row r="50" spans="1:9" ht="12.75" customHeight="1" x14ac:dyDescent="0.35">
      <c r="A50" s="87">
        <f t="array" ref="A50">IFERROR(INDEX('Annex 2 EHV charges'!$A$11:$A$260, MATCH(0, IF(ISBLANK('Annex 2 EHV charges'!$A$11:$A$260),1, COUNTIF(A$4:$A49, 'Annex 2 EHV charges'!$A$11:$A$260)), 0)),"")</f>
        <v>850</v>
      </c>
      <c r="B50" s="87">
        <f>IF($A50="","",VLOOKUP($A50,'Annex 2 EHV charges'!$A:$O,2,0))</f>
        <v>850</v>
      </c>
      <c r="C50" s="88">
        <f>IF($A50="","",VLOOKUP($A50,'Annex 2 EHV charges'!$A:$O,3,0))</f>
        <v>1800060251872</v>
      </c>
      <c r="D50" s="87" t="str">
        <f>IF($A50="","",VLOOKUP($A50,'Annex 2 EHV charges'!$A:$O,7,0))</f>
        <v>Longpark</v>
      </c>
      <c r="E50" s="92" t="str">
        <f>IFERROR(IF(VLOOKUP($A50,'Annex 2 EHV charges'!$A:$O,8,FALSE)=0,"",VLOOKUP($A50,'Annex 2 EHV charges'!$A:$O,8,FALSE)),"")</f>
        <v>-</v>
      </c>
      <c r="F50" s="93">
        <f>IFERROR(IF(VLOOKUP($A50,'Annex 2 EHV charges'!$A:$O,9,FALSE)=0,"",VLOOKUP($A50,'Annex 2 EHV charges'!$A:$O,9,FALSE)),"")</f>
        <v>745.87</v>
      </c>
      <c r="G50" s="94" t="str">
        <f>IFERROR(IF(VLOOKUP($A50,'Annex 2 EHV charges'!$A:$O,10,FALSE)=0,"",VLOOKUP($A50,'Annex 2 EHV charges'!$A:$O,10,FALSE)),"")</f>
        <v>-</v>
      </c>
      <c r="H50" s="94" t="str">
        <f>IFERROR(IF(VLOOKUP($A50,'Annex 2 EHV charges'!$A:$O,11,FALSE)=0,"",VLOOKUP($A50,'Annex 2 EHV charges'!$A:$O,11,FALSE)),"")</f>
        <v>-</v>
      </c>
      <c r="I50" s="229" t="str">
        <f>IF(VLOOKUP(C50,'Annex 2 EHV charges'!$C$11:$P$154,14,FALSE)&lt;=5,"",VLOOKUP(C50,'Annex 2 EHV charges'!$C$11:$P$154,14,FALSE))</f>
        <v/>
      </c>
    </row>
    <row r="51" spans="1:9" ht="12.75" customHeight="1" x14ac:dyDescent="0.35">
      <c r="A51" s="87">
        <f t="array" ref="A51">IFERROR(INDEX('Annex 2 EHV charges'!$A$11:$A$260, MATCH(0, IF(ISBLANK('Annex 2 EHV charges'!$A$11:$A$260),1, COUNTIF(A$4:$A50, 'Annex 2 EHV charges'!$A$11:$A$260)), 0)),"")</f>
        <v>851</v>
      </c>
      <c r="B51" s="87">
        <f>IF($A51="","",VLOOKUP($A51,'Annex 2 EHV charges'!$A:$O,2,0))</f>
        <v>851</v>
      </c>
      <c r="C51" s="88">
        <f>IF($A51="","",VLOOKUP($A51,'Annex 2 EHV charges'!$A:$O,3,0))</f>
        <v>1800035140431</v>
      </c>
      <c r="D51" s="87" t="str">
        <f>IF($A51="","",VLOOKUP($A51,'Annex 2 EHV charges'!$A:$O,7,0))</f>
        <v>BOC</v>
      </c>
      <c r="E51" s="92" t="str">
        <f>IFERROR(IF(VLOOKUP($A51,'Annex 2 EHV charges'!$A:$O,8,FALSE)=0,"",VLOOKUP($A51,'Annex 2 EHV charges'!$A:$O,8,FALSE)),"")</f>
        <v>-</v>
      </c>
      <c r="F51" s="93">
        <f>IFERROR(IF(VLOOKUP($A51,'Annex 2 EHV charges'!$A:$O,9,FALSE)=0,"",VLOOKUP($A51,'Annex 2 EHV charges'!$A:$O,9,FALSE)),"")</f>
        <v>27615.15</v>
      </c>
      <c r="G51" s="94">
        <f>IFERROR(IF(VLOOKUP($A51,'Annex 2 EHV charges'!$A:$O,10,FALSE)=0,"",VLOOKUP($A51,'Annex 2 EHV charges'!$A:$O,10,FALSE)),"")</f>
        <v>2.41</v>
      </c>
      <c r="H51" s="94">
        <f>IFERROR(IF(VLOOKUP($A51,'Annex 2 EHV charges'!$A:$O,11,FALSE)=0,"",VLOOKUP($A51,'Annex 2 EHV charges'!$A:$O,11,FALSE)),"")</f>
        <v>2.41</v>
      </c>
      <c r="I51" s="229" t="str">
        <f>IF(VLOOKUP(C51,'Annex 2 EHV charges'!$C$11:$P$154,14,FALSE)&lt;=5,"",VLOOKUP(C51,'Annex 2 EHV charges'!$C$11:$P$154,14,FALSE))</f>
        <v/>
      </c>
    </row>
    <row r="52" spans="1:9" ht="12.75" customHeight="1" x14ac:dyDescent="0.35">
      <c r="A52" s="87">
        <f t="array" ref="A52">IFERROR(INDEX('Annex 2 EHV charges'!$A$11:$A$260, MATCH(0, IF(ISBLANK('Annex 2 EHV charges'!$A$11:$A$260),1, COUNTIF(A$4:$A51, 'Annex 2 EHV charges'!$A$11:$A$260)), 0)),"")</f>
        <v>852</v>
      </c>
      <c r="B52" s="87">
        <f>IF($A52="","",VLOOKUP($A52,'Annex 2 EHV charges'!$A:$O,2,0))</f>
        <v>852</v>
      </c>
      <c r="C52" s="88">
        <f>IF($A52="","",VLOOKUP($A52,'Annex 2 EHV charges'!$A:$O,3,0))</f>
        <v>1800060642702</v>
      </c>
      <c r="D52" s="87" t="str">
        <f>IF($A52="","",VLOOKUP($A52,'Annex 2 EHV charges'!$A:$O,7,0))</f>
        <v>Calder Water WF</v>
      </c>
      <c r="E52" s="92" t="str">
        <f>IFERROR(IF(VLOOKUP($A52,'Annex 2 EHV charges'!$A:$O,8,FALSE)=0,"",VLOOKUP($A52,'Annex 2 EHV charges'!$A:$O,8,FALSE)),"")</f>
        <v>-</v>
      </c>
      <c r="F52" s="93">
        <f>IFERROR(IF(VLOOKUP($A52,'Annex 2 EHV charges'!$A:$O,9,FALSE)=0,"",VLOOKUP($A52,'Annex 2 EHV charges'!$A:$O,9,FALSE)),"")</f>
        <v>225.36</v>
      </c>
      <c r="G52" s="94">
        <f>IFERROR(IF(VLOOKUP($A52,'Annex 2 EHV charges'!$A:$O,10,FALSE)=0,"",VLOOKUP($A52,'Annex 2 EHV charges'!$A:$O,10,FALSE)),"")</f>
        <v>0.8</v>
      </c>
      <c r="H52" s="94">
        <f>IFERROR(IF(VLOOKUP($A52,'Annex 2 EHV charges'!$A:$O,11,FALSE)=0,"",VLOOKUP($A52,'Annex 2 EHV charges'!$A:$O,11,FALSE)),"")</f>
        <v>0.8</v>
      </c>
      <c r="I52" s="229" t="str">
        <f>IF(VLOOKUP(C52,'Annex 2 EHV charges'!$C$11:$P$154,14,FALSE)&lt;=5,"",VLOOKUP(C52,'Annex 2 EHV charges'!$C$11:$P$154,14,FALSE))</f>
        <v/>
      </c>
    </row>
    <row r="53" spans="1:9" ht="12.75" customHeight="1" x14ac:dyDescent="0.35">
      <c r="A53" s="87">
        <f t="array" ref="A53">IFERROR(INDEX('Annex 2 EHV charges'!$A$11:$A$260, MATCH(0, IF(ISBLANK('Annex 2 EHV charges'!$A$11:$A$260),1, COUNTIF(A$4:$A52, 'Annex 2 EHV charges'!$A$11:$A$260)), 0)),"")</f>
        <v>853</v>
      </c>
      <c r="B53" s="87">
        <f>IF($A53="","",VLOOKUP($A53,'Annex 2 EHV charges'!$A:$O,2,0))</f>
        <v>853</v>
      </c>
      <c r="C53" s="88">
        <f>IF($A53="","",VLOOKUP($A53,'Annex 2 EHV charges'!$A:$O,3,0))</f>
        <v>1800035234188</v>
      </c>
      <c r="D53" s="87" t="str">
        <f>IF($A53="","",VLOOKUP($A53,'Annex 2 EHV charges'!$A:$O,7,0))</f>
        <v>Babcock Thorn</v>
      </c>
      <c r="E53" s="92" t="str">
        <f>IFERROR(IF(VLOOKUP($A53,'Annex 2 EHV charges'!$A:$O,8,FALSE)=0,"",VLOOKUP($A53,'Annex 2 EHV charges'!$A:$O,8,FALSE)),"")</f>
        <v>-</v>
      </c>
      <c r="F53" s="93">
        <f>IFERROR(IF(VLOOKUP($A53,'Annex 2 EHV charges'!$A:$O,9,FALSE)=0,"",VLOOKUP($A53,'Annex 2 EHV charges'!$A:$O,9,FALSE)),"")</f>
        <v>29726.22</v>
      </c>
      <c r="G53" s="94">
        <f>IFERROR(IF(VLOOKUP($A53,'Annex 2 EHV charges'!$A:$O,10,FALSE)=0,"",VLOOKUP($A53,'Annex 2 EHV charges'!$A:$O,10,FALSE)),"")</f>
        <v>2.81</v>
      </c>
      <c r="H53" s="94">
        <f>IFERROR(IF(VLOOKUP($A53,'Annex 2 EHV charges'!$A:$O,11,FALSE)=0,"",VLOOKUP($A53,'Annex 2 EHV charges'!$A:$O,11,FALSE)),"")</f>
        <v>2.81</v>
      </c>
      <c r="I53" s="229" t="str">
        <f>IF(VLOOKUP(C53,'Annex 2 EHV charges'!$C$11:$P$154,14,FALSE)&lt;=5,"",VLOOKUP(C53,'Annex 2 EHV charges'!$C$11:$P$154,14,FALSE))</f>
        <v/>
      </c>
    </row>
    <row r="54" spans="1:9" ht="12.75" customHeight="1" x14ac:dyDescent="0.35">
      <c r="A54" s="87">
        <f t="array" ref="A54">IFERROR(INDEX('Annex 2 EHV charges'!$A$11:$A$260, MATCH(0, IF(ISBLANK('Annex 2 EHV charges'!$A$11:$A$260),1, COUNTIF(A$4:$A53, 'Annex 2 EHV charges'!$A$11:$A$260)), 0)),"")</f>
        <v>854</v>
      </c>
      <c r="B54" s="87">
        <f>IF($A54="","",VLOOKUP($A54,'Annex 2 EHV charges'!$A:$O,2,0))</f>
        <v>854</v>
      </c>
      <c r="C54" s="88">
        <f>IF($A54="","",VLOOKUP($A54,'Annex 2 EHV charges'!$A:$O,3,0))</f>
        <v>1800035261359</v>
      </c>
      <c r="D54" s="87" t="str">
        <f>IF($A54="","",VLOOKUP($A54,'Annex 2 EHV charges'!$A:$O,7,0))</f>
        <v>Lafarge UK</v>
      </c>
      <c r="E54" s="92" t="str">
        <f>IFERROR(IF(VLOOKUP($A54,'Annex 2 EHV charges'!$A:$O,8,FALSE)=0,"",VLOOKUP($A54,'Annex 2 EHV charges'!$A:$O,8,FALSE)),"")</f>
        <v>-</v>
      </c>
      <c r="F54" s="93">
        <f>IFERROR(IF(VLOOKUP($A54,'Annex 2 EHV charges'!$A:$O,9,FALSE)=0,"",VLOOKUP($A54,'Annex 2 EHV charges'!$A:$O,9,FALSE)),"")</f>
        <v>25406.23</v>
      </c>
      <c r="G54" s="94">
        <f>IFERROR(IF(VLOOKUP($A54,'Annex 2 EHV charges'!$A:$O,10,FALSE)=0,"",VLOOKUP($A54,'Annex 2 EHV charges'!$A:$O,10,FALSE)),"")</f>
        <v>2.0699999999999998</v>
      </c>
      <c r="H54" s="94">
        <f>IFERROR(IF(VLOOKUP($A54,'Annex 2 EHV charges'!$A:$O,11,FALSE)=0,"",VLOOKUP($A54,'Annex 2 EHV charges'!$A:$O,11,FALSE)),"")</f>
        <v>2.0699999999999998</v>
      </c>
      <c r="I54" s="229" t="str">
        <f>IF(VLOOKUP(C54,'Annex 2 EHV charges'!$C$11:$P$154,14,FALSE)&lt;=5,"",VLOOKUP(C54,'Annex 2 EHV charges'!$C$11:$P$154,14,FALSE))</f>
        <v/>
      </c>
    </row>
    <row r="55" spans="1:9" ht="12.75" customHeight="1" x14ac:dyDescent="0.35">
      <c r="A55" s="87">
        <f t="array" ref="A55">IFERROR(INDEX('Annex 2 EHV charges'!$A$11:$A$260, MATCH(0, IF(ISBLANK('Annex 2 EHV charges'!$A$11:$A$260),1, COUNTIF(A$4:$A54, 'Annex 2 EHV charges'!$A$11:$A$260)), 0)),"")</f>
        <v>855</v>
      </c>
      <c r="B55" s="87">
        <f>IF($A55="","",VLOOKUP($A55,'Annex 2 EHV charges'!$A:$O,2,0))</f>
        <v>855</v>
      </c>
      <c r="C55" s="88">
        <f>IF($A55="","",VLOOKUP($A55,'Annex 2 EHV charges'!$A:$O,3,0))</f>
        <v>1800060241304</v>
      </c>
      <c r="D55" s="87" t="str">
        <f>IF($A55="","",VLOOKUP($A55,'Annex 2 EHV charges'!$A:$O,7,0))</f>
        <v>Pateshill</v>
      </c>
      <c r="E55" s="92" t="str">
        <f>IFERROR(IF(VLOOKUP($A55,'Annex 2 EHV charges'!$A:$O,8,FALSE)=0,"",VLOOKUP($A55,'Annex 2 EHV charges'!$A:$O,8,FALSE)),"")</f>
        <v>-</v>
      </c>
      <c r="F55" s="93">
        <f>IFERROR(IF(VLOOKUP($A55,'Annex 2 EHV charges'!$A:$O,9,FALSE)=0,"",VLOOKUP($A55,'Annex 2 EHV charges'!$A:$O,9,FALSE)),"")</f>
        <v>22.72</v>
      </c>
      <c r="G55" s="94">
        <f>IFERROR(IF(VLOOKUP($A55,'Annex 2 EHV charges'!$A:$O,10,FALSE)=0,"",VLOOKUP($A55,'Annex 2 EHV charges'!$A:$O,10,FALSE)),"")</f>
        <v>0.93</v>
      </c>
      <c r="H55" s="94">
        <f>IFERROR(IF(VLOOKUP($A55,'Annex 2 EHV charges'!$A:$O,11,FALSE)=0,"",VLOOKUP($A55,'Annex 2 EHV charges'!$A:$O,11,FALSE)),"")</f>
        <v>0.93</v>
      </c>
      <c r="I55" s="229" t="str">
        <f>IF(VLOOKUP(C55,'Annex 2 EHV charges'!$C$11:$P$154,14,FALSE)&lt;=5,"",VLOOKUP(C55,'Annex 2 EHV charges'!$C$11:$P$154,14,FALSE))</f>
        <v>See Annex 6</v>
      </c>
    </row>
    <row r="56" spans="1:9" ht="12.75" customHeight="1" x14ac:dyDescent="0.35">
      <c r="A56" s="87">
        <f t="array" ref="A56">IFERROR(INDEX('Annex 2 EHV charges'!$A$11:$A$260, MATCH(0, IF(ISBLANK('Annex 2 EHV charges'!$A$11:$A$260),1, COUNTIF(A$4:$A55, 'Annex 2 EHV charges'!$A$11:$A$260)), 0)),"")</f>
        <v>856</v>
      </c>
      <c r="B56" s="87">
        <f>IF($A56="","",VLOOKUP($A56,'Annex 2 EHV charges'!$A:$O,2,0))</f>
        <v>856</v>
      </c>
      <c r="C56" s="88">
        <f>IF($A56="","",VLOOKUP($A56,'Annex 2 EHV charges'!$A:$O,3,0))</f>
        <v>1800035239460</v>
      </c>
      <c r="D56" s="87" t="str">
        <f>IF($A56="","",VLOOKUP($A56,'Annex 2 EHV charges'!$A:$O,7,0))</f>
        <v>Clydeport</v>
      </c>
      <c r="E56" s="92" t="str">
        <f>IFERROR(IF(VLOOKUP($A56,'Annex 2 EHV charges'!$A:$O,8,FALSE)=0,"",VLOOKUP($A56,'Annex 2 EHV charges'!$A:$O,8,FALSE)),"")</f>
        <v>-</v>
      </c>
      <c r="F56" s="93">
        <f>IFERROR(IF(VLOOKUP($A56,'Annex 2 EHV charges'!$A:$O,9,FALSE)=0,"",VLOOKUP($A56,'Annex 2 EHV charges'!$A:$O,9,FALSE)),"")</f>
        <v>37789.449999999997</v>
      </c>
      <c r="G56" s="94">
        <f>IFERROR(IF(VLOOKUP($A56,'Annex 2 EHV charges'!$A:$O,10,FALSE)=0,"",VLOOKUP($A56,'Annex 2 EHV charges'!$A:$O,10,FALSE)),"")</f>
        <v>0.67</v>
      </c>
      <c r="H56" s="94">
        <f>IFERROR(IF(VLOOKUP($A56,'Annex 2 EHV charges'!$A:$O,11,FALSE)=0,"",VLOOKUP($A56,'Annex 2 EHV charges'!$A:$O,11,FALSE)),"")</f>
        <v>0.67</v>
      </c>
      <c r="I56" s="229" t="str">
        <f>IF(VLOOKUP(C56,'Annex 2 EHV charges'!$C$11:$P$154,14,FALSE)&lt;=5,"",VLOOKUP(C56,'Annex 2 EHV charges'!$C$11:$P$154,14,FALSE))</f>
        <v/>
      </c>
    </row>
    <row r="57" spans="1:9" ht="12.75" customHeight="1" x14ac:dyDescent="0.35">
      <c r="A57" s="87">
        <f t="array" ref="A57">IFERROR(INDEX('Annex 2 EHV charges'!$A$11:$A$260, MATCH(0, IF(ISBLANK('Annex 2 EHV charges'!$A$11:$A$260),1, COUNTIF(A$4:$A56, 'Annex 2 EHV charges'!$A$11:$A$260)), 0)),"")</f>
        <v>858</v>
      </c>
      <c r="B57" s="87">
        <f>IF($A57="","",VLOOKUP($A57,'Annex 2 EHV charges'!$A:$O,2,0))</f>
        <v>858</v>
      </c>
      <c r="C57" s="88">
        <f>IF($A57="","",VLOOKUP($A57,'Annex 2 EHV charges'!$A:$O,3,0))</f>
        <v>1800035327257</v>
      </c>
      <c r="D57" s="87" t="str">
        <f>IF($A57="","",VLOOKUP($A57,'Annex 2 EHV charges'!$A:$O,7,0))</f>
        <v>Tesco</v>
      </c>
      <c r="E57" s="92" t="str">
        <f>IFERROR(IF(VLOOKUP($A57,'Annex 2 EHV charges'!$A:$O,8,FALSE)=0,"",VLOOKUP($A57,'Annex 2 EHV charges'!$A:$O,8,FALSE)),"")</f>
        <v>-</v>
      </c>
      <c r="F57" s="93">
        <f>IFERROR(IF(VLOOKUP($A57,'Annex 2 EHV charges'!$A:$O,9,FALSE)=0,"",VLOOKUP($A57,'Annex 2 EHV charges'!$A:$O,9,FALSE)),"")</f>
        <v>3821.17</v>
      </c>
      <c r="G57" s="94">
        <f>IFERROR(IF(VLOOKUP($A57,'Annex 2 EHV charges'!$A:$O,10,FALSE)=0,"",VLOOKUP($A57,'Annex 2 EHV charges'!$A:$O,10,FALSE)),"")</f>
        <v>2.57</v>
      </c>
      <c r="H57" s="94">
        <f>IFERROR(IF(VLOOKUP($A57,'Annex 2 EHV charges'!$A:$O,11,FALSE)=0,"",VLOOKUP($A57,'Annex 2 EHV charges'!$A:$O,11,FALSE)),"")</f>
        <v>2.57</v>
      </c>
      <c r="I57" s="229" t="str">
        <f>IF(VLOOKUP(C57,'Annex 2 EHV charges'!$C$11:$P$154,14,FALSE)&lt;=5,"",VLOOKUP(C57,'Annex 2 EHV charges'!$C$11:$P$154,14,FALSE))</f>
        <v/>
      </c>
    </row>
    <row r="58" spans="1:9" ht="12.75" customHeight="1" x14ac:dyDescent="0.35">
      <c r="A58" s="87">
        <f t="array" ref="A58">IFERROR(INDEX('Annex 2 EHV charges'!$A$11:$A$260, MATCH(0, IF(ISBLANK('Annex 2 EHV charges'!$A$11:$A$260),1, COUNTIF(A$4:$A57, 'Annex 2 EHV charges'!$A$11:$A$260)), 0)),"")</f>
        <v>860</v>
      </c>
      <c r="B58" s="87">
        <f>IF($A58="","",VLOOKUP($A58,'Annex 2 EHV charges'!$A:$O,2,0))</f>
        <v>860</v>
      </c>
      <c r="C58" s="88">
        <f>IF($A58="","",VLOOKUP($A58,'Annex 2 EHV charges'!$A:$O,3,0))</f>
        <v>1800060852030</v>
      </c>
      <c r="D58" s="87" t="str">
        <f>IF($A58="","",VLOOKUP($A58,'Annex 2 EHV charges'!$A:$O,7,0))</f>
        <v>Gevens Wind Farm</v>
      </c>
      <c r="E58" s="92" t="str">
        <f>IFERROR(IF(VLOOKUP($A58,'Annex 2 EHV charges'!$A:$O,8,FALSE)=0,"",VLOOKUP($A58,'Annex 2 EHV charges'!$A:$O,8,FALSE)),"")</f>
        <v>-</v>
      </c>
      <c r="F58" s="93">
        <f>IFERROR(IF(VLOOKUP($A58,'Annex 2 EHV charges'!$A:$O,9,FALSE)=0,"",VLOOKUP($A58,'Annex 2 EHV charges'!$A:$O,9,FALSE)),"")</f>
        <v>22.62</v>
      </c>
      <c r="G58" s="94">
        <f>IFERROR(IF(VLOOKUP($A58,'Annex 2 EHV charges'!$A:$O,10,FALSE)=0,"",VLOOKUP($A58,'Annex 2 EHV charges'!$A:$O,10,FALSE)),"")</f>
        <v>0.68</v>
      </c>
      <c r="H58" s="94">
        <f>IFERROR(IF(VLOOKUP($A58,'Annex 2 EHV charges'!$A:$O,11,FALSE)=0,"",VLOOKUP($A58,'Annex 2 EHV charges'!$A:$O,11,FALSE)),"")</f>
        <v>0.68</v>
      </c>
      <c r="I58" s="229" t="str">
        <f>IF(VLOOKUP(C58,'Annex 2 EHV charges'!$C$11:$P$154,14,FALSE)&lt;=5,"",VLOOKUP(C58,'Annex 2 EHV charges'!$C$11:$P$154,14,FALSE))</f>
        <v/>
      </c>
    </row>
    <row r="59" spans="1:9" ht="12.75" customHeight="1" x14ac:dyDescent="0.35">
      <c r="A59" s="87">
        <f t="array" ref="A59">IFERROR(INDEX('Annex 2 EHV charges'!$A$11:$A$260, MATCH(0, IF(ISBLANK('Annex 2 EHV charges'!$A$11:$A$260),1, COUNTIF(A$4:$A58, 'Annex 2 EHV charges'!$A$11:$A$260)), 0)),"")</f>
        <v>861</v>
      </c>
      <c r="B59" s="87">
        <f>IF($A59="","",VLOOKUP($A59,'Annex 2 EHV charges'!$A:$O,2,0))</f>
        <v>861</v>
      </c>
      <c r="C59" s="88">
        <f>IF($A59="","",VLOOKUP($A59,'Annex 2 EHV charges'!$A:$O,3,0))</f>
        <v>1800035324780</v>
      </c>
      <c r="D59" s="87" t="str">
        <f>IF($A59="","",VLOOKUP($A59,'Annex 2 EHV charges'!$A:$O,7,0))</f>
        <v>Weir Pumps</v>
      </c>
      <c r="E59" s="92" t="str">
        <f>IFERROR(IF(VLOOKUP($A59,'Annex 2 EHV charges'!$A:$O,8,FALSE)=0,"",VLOOKUP($A59,'Annex 2 EHV charges'!$A:$O,8,FALSE)),"")</f>
        <v>-</v>
      </c>
      <c r="F59" s="93">
        <f>IFERROR(IF(VLOOKUP($A59,'Annex 2 EHV charges'!$A:$O,9,FALSE)=0,"",VLOOKUP($A59,'Annex 2 EHV charges'!$A:$O,9,FALSE)),"")</f>
        <v>4581.2299999999996</v>
      </c>
      <c r="G59" s="94">
        <f>IFERROR(IF(VLOOKUP($A59,'Annex 2 EHV charges'!$A:$O,10,FALSE)=0,"",VLOOKUP($A59,'Annex 2 EHV charges'!$A:$O,10,FALSE)),"")</f>
        <v>1.19</v>
      </c>
      <c r="H59" s="94">
        <f>IFERROR(IF(VLOOKUP($A59,'Annex 2 EHV charges'!$A:$O,11,FALSE)=0,"",VLOOKUP($A59,'Annex 2 EHV charges'!$A:$O,11,FALSE)),"")</f>
        <v>1.19</v>
      </c>
      <c r="I59" s="229" t="str">
        <f>IF(VLOOKUP(C59,'Annex 2 EHV charges'!$C$11:$P$154,14,FALSE)&lt;=5,"",VLOOKUP(C59,'Annex 2 EHV charges'!$C$11:$P$154,14,FALSE))</f>
        <v/>
      </c>
    </row>
    <row r="60" spans="1:9" ht="12.75" customHeight="1" x14ac:dyDescent="0.35">
      <c r="A60" s="87">
        <f t="array" ref="A60">IFERROR(INDEX('Annex 2 EHV charges'!$A$11:$A$260, MATCH(0, IF(ISBLANK('Annex 2 EHV charges'!$A$11:$A$260),1, COUNTIF(A$4:$A59, 'Annex 2 EHV charges'!$A$11:$A$260)), 0)),"")</f>
        <v>862</v>
      </c>
      <c r="B60" s="87">
        <f>IF($A60="","",VLOOKUP($A60,'Annex 2 EHV charges'!$A:$O,2,0))</f>
        <v>862</v>
      </c>
      <c r="C60" s="88">
        <f>IF($A60="","",VLOOKUP($A60,'Annex 2 EHV charges'!$A:$O,3,0))</f>
        <v>1800035317453</v>
      </c>
      <c r="D60" s="87" t="str">
        <f>IF($A60="","",VLOOKUP($A60,'Annex 2 EHV charges'!$A:$O,7,0))</f>
        <v>Dupont (UK) Ltd</v>
      </c>
      <c r="E60" s="92" t="str">
        <f>IFERROR(IF(VLOOKUP($A60,'Annex 2 EHV charges'!$A:$O,8,FALSE)=0,"",VLOOKUP($A60,'Annex 2 EHV charges'!$A:$O,8,FALSE)),"")</f>
        <v>-</v>
      </c>
      <c r="F60" s="93">
        <f>IFERROR(IF(VLOOKUP($A60,'Annex 2 EHV charges'!$A:$O,9,FALSE)=0,"",VLOOKUP($A60,'Annex 2 EHV charges'!$A:$O,9,FALSE)),"")</f>
        <v>91962.67</v>
      </c>
      <c r="G60" s="94">
        <f>IFERROR(IF(VLOOKUP($A60,'Annex 2 EHV charges'!$A:$O,10,FALSE)=0,"",VLOOKUP($A60,'Annex 2 EHV charges'!$A:$O,10,FALSE)),"")</f>
        <v>2.85</v>
      </c>
      <c r="H60" s="94">
        <f>IFERROR(IF(VLOOKUP($A60,'Annex 2 EHV charges'!$A:$O,11,FALSE)=0,"",VLOOKUP($A60,'Annex 2 EHV charges'!$A:$O,11,FALSE)),"")</f>
        <v>2.85</v>
      </c>
      <c r="I60" s="229" t="str">
        <f>IF(VLOOKUP(C60,'Annex 2 EHV charges'!$C$11:$P$154,14,FALSE)&lt;=5,"",VLOOKUP(C60,'Annex 2 EHV charges'!$C$11:$P$154,14,FALSE))</f>
        <v/>
      </c>
    </row>
    <row r="61" spans="1:9" ht="12.75" customHeight="1" x14ac:dyDescent="0.35">
      <c r="A61" s="87">
        <f t="array" ref="A61">IFERROR(INDEX('Annex 2 EHV charges'!$A$11:$A$260, MATCH(0, IF(ISBLANK('Annex 2 EHV charges'!$A$11:$A$260),1, COUNTIF(A$4:$A60, 'Annex 2 EHV charges'!$A$11:$A$260)), 0)),"")</f>
        <v>863</v>
      </c>
      <c r="B61" s="87">
        <f>IF($A61="","",VLOOKUP($A61,'Annex 2 EHV charges'!$A:$O,2,0))</f>
        <v>863</v>
      </c>
      <c r="C61" s="88">
        <f>IF($A61="","",VLOOKUP($A61,'Annex 2 EHV charges'!$A:$O,3,0))</f>
        <v>1800060207438</v>
      </c>
      <c r="D61" s="87" t="str">
        <f>IF($A61="","",VLOOKUP($A61,'Annex 2 EHV charges'!$A:$O,7,0))</f>
        <v>North Rhins</v>
      </c>
      <c r="E61" s="92" t="str">
        <f>IFERROR(IF(VLOOKUP($A61,'Annex 2 EHV charges'!$A:$O,8,FALSE)=0,"",VLOOKUP($A61,'Annex 2 EHV charges'!$A:$O,8,FALSE)),"")</f>
        <v>-</v>
      </c>
      <c r="F61" s="93">
        <f>IFERROR(IF(VLOOKUP($A61,'Annex 2 EHV charges'!$A:$O,9,FALSE)=0,"",VLOOKUP($A61,'Annex 2 EHV charges'!$A:$O,9,FALSE)),"")</f>
        <v>296.39999999999998</v>
      </c>
      <c r="G61" s="94">
        <f>IFERROR(IF(VLOOKUP($A61,'Annex 2 EHV charges'!$A:$O,10,FALSE)=0,"",VLOOKUP($A61,'Annex 2 EHV charges'!$A:$O,10,FALSE)),"")</f>
        <v>0.86</v>
      </c>
      <c r="H61" s="94">
        <f>IFERROR(IF(VLOOKUP($A61,'Annex 2 EHV charges'!$A:$O,11,FALSE)=0,"",VLOOKUP($A61,'Annex 2 EHV charges'!$A:$O,11,FALSE)),"")</f>
        <v>0.86</v>
      </c>
      <c r="I61" s="229" t="str">
        <f>IF(VLOOKUP(C61,'Annex 2 EHV charges'!$C$11:$P$154,14,FALSE)&lt;=5,"",VLOOKUP(C61,'Annex 2 EHV charges'!$C$11:$P$154,14,FALSE))</f>
        <v/>
      </c>
    </row>
    <row r="62" spans="1:9" ht="12.75" customHeight="1" x14ac:dyDescent="0.35">
      <c r="A62" s="87">
        <f t="array" ref="A62">IFERROR(INDEX('Annex 2 EHV charges'!$A$11:$A$260, MATCH(0, IF(ISBLANK('Annex 2 EHV charges'!$A$11:$A$260),1, COUNTIF(A$4:$A61, 'Annex 2 EHV charges'!$A$11:$A$260)), 0)),"")</f>
        <v>864</v>
      </c>
      <c r="B62" s="87">
        <f>IF($A62="","",VLOOKUP($A62,'Annex 2 EHV charges'!$A:$O,2,0))</f>
        <v>864</v>
      </c>
      <c r="C62" s="88">
        <f>IF($A62="","",VLOOKUP($A62,'Annex 2 EHV charges'!$A:$O,3,0))</f>
        <v>1800060709038</v>
      </c>
      <c r="D62" s="87" t="str">
        <f>IF($A62="","",VLOOKUP($A62,'Annex 2 EHV charges'!$A:$O,7,0))</f>
        <v>Tod Hills Windfarm</v>
      </c>
      <c r="E62" s="92" t="str">
        <f>IFERROR(IF(VLOOKUP($A62,'Annex 2 EHV charges'!$A:$O,8,FALSE)=0,"",VLOOKUP($A62,'Annex 2 EHV charges'!$A:$O,8,FALSE)),"")</f>
        <v>-</v>
      </c>
      <c r="F62" s="93">
        <f>IFERROR(IF(VLOOKUP($A62,'Annex 2 EHV charges'!$A:$O,9,FALSE)=0,"",VLOOKUP($A62,'Annex 2 EHV charges'!$A:$O,9,FALSE)),"")</f>
        <v>74.92</v>
      </c>
      <c r="G62" s="94">
        <f>IFERROR(IF(VLOOKUP($A62,'Annex 2 EHV charges'!$A:$O,10,FALSE)=0,"",VLOOKUP($A62,'Annex 2 EHV charges'!$A:$O,10,FALSE)),"")</f>
        <v>1.48</v>
      </c>
      <c r="H62" s="94">
        <f>IFERROR(IF(VLOOKUP($A62,'Annex 2 EHV charges'!$A:$O,11,FALSE)=0,"",VLOOKUP($A62,'Annex 2 EHV charges'!$A:$O,11,FALSE)),"")</f>
        <v>1.48</v>
      </c>
      <c r="I62" s="229" t="str">
        <f>IF(VLOOKUP(C62,'Annex 2 EHV charges'!$C$11:$P$154,14,FALSE)&lt;=5,"",VLOOKUP(C62,'Annex 2 EHV charges'!$C$11:$P$154,14,FALSE))</f>
        <v/>
      </c>
    </row>
    <row r="63" spans="1:9" ht="12.75" customHeight="1" x14ac:dyDescent="0.35">
      <c r="A63" s="87">
        <f t="array" ref="A63">IFERROR(INDEX('Annex 2 EHV charges'!$A$11:$A$260, MATCH(0, IF(ISBLANK('Annex 2 EHV charges'!$A$11:$A$260),1, COUNTIF(A$4:$A62, 'Annex 2 EHV charges'!$A$11:$A$260)), 0)),"")</f>
        <v>865</v>
      </c>
      <c r="B63" s="87">
        <f>IF($A63="","",VLOOKUP($A63,'Annex 2 EHV charges'!$A:$O,2,0))</f>
        <v>865</v>
      </c>
      <c r="C63" s="88">
        <f>IF($A63="","",VLOOKUP($A63,'Annex 2 EHV charges'!$A:$O,3,0))</f>
        <v>1800060877284</v>
      </c>
      <c r="D63" s="87" t="str">
        <f>IF($A63="","",VLOOKUP($A63,'Annex 2 EHV charges'!$A:$O,7,0))</f>
        <v xml:space="preserve">Hoprigshiels </v>
      </c>
      <c r="E63" s="92" t="str">
        <f>IFERROR(IF(VLOOKUP($A63,'Annex 2 EHV charges'!$A:$O,8,FALSE)=0,"",VLOOKUP($A63,'Annex 2 EHV charges'!$A:$O,8,FALSE)),"")</f>
        <v>-</v>
      </c>
      <c r="F63" s="93">
        <f>IFERROR(IF(VLOOKUP($A63,'Annex 2 EHV charges'!$A:$O,9,FALSE)=0,"",VLOOKUP($A63,'Annex 2 EHV charges'!$A:$O,9,FALSE)),"")</f>
        <v>249.36</v>
      </c>
      <c r="G63" s="94">
        <f>IFERROR(IF(VLOOKUP($A63,'Annex 2 EHV charges'!$A:$O,10,FALSE)=0,"",VLOOKUP($A63,'Annex 2 EHV charges'!$A:$O,10,FALSE)),"")</f>
        <v>0.91</v>
      </c>
      <c r="H63" s="94">
        <f>IFERROR(IF(VLOOKUP($A63,'Annex 2 EHV charges'!$A:$O,11,FALSE)=0,"",VLOOKUP($A63,'Annex 2 EHV charges'!$A:$O,11,FALSE)),"")</f>
        <v>0.91</v>
      </c>
      <c r="I63" s="229" t="str">
        <f>IF(VLOOKUP(C63,'Annex 2 EHV charges'!$C$11:$P$154,14,FALSE)&lt;=5,"",VLOOKUP(C63,'Annex 2 EHV charges'!$C$11:$P$154,14,FALSE))</f>
        <v/>
      </c>
    </row>
    <row r="64" spans="1:9" ht="12.75" customHeight="1" x14ac:dyDescent="0.35">
      <c r="A64" s="87">
        <f t="array" ref="A64">IFERROR(INDEX('Annex 2 EHV charges'!$A$11:$A$260, MATCH(0, IF(ISBLANK('Annex 2 EHV charges'!$A$11:$A$260),1, COUNTIF(A$4:$A63, 'Annex 2 EHV charges'!$A$11:$A$260)), 0)),"")</f>
        <v>867</v>
      </c>
      <c r="B64" s="87">
        <f>IF($A64="","",VLOOKUP($A64,'Annex 2 EHV charges'!$A:$O,2,0))</f>
        <v>867</v>
      </c>
      <c r="C64" s="88">
        <f>IF($A64="","",VLOOKUP($A64,'Annex 2 EHV charges'!$A:$O,3,0))</f>
        <v>1800035325436</v>
      </c>
      <c r="D64" s="87" t="str">
        <f>IF($A64="","",VLOOKUP($A64,'Annex 2 EHV charges'!$A:$O,7,0))</f>
        <v>Norbord</v>
      </c>
      <c r="E64" s="92" t="str">
        <f>IFERROR(IF(VLOOKUP($A64,'Annex 2 EHV charges'!$A:$O,8,FALSE)=0,"",VLOOKUP($A64,'Annex 2 EHV charges'!$A:$O,8,FALSE)),"")</f>
        <v>-</v>
      </c>
      <c r="F64" s="93">
        <f>IFERROR(IF(VLOOKUP($A64,'Annex 2 EHV charges'!$A:$O,9,FALSE)=0,"",VLOOKUP($A64,'Annex 2 EHV charges'!$A:$O,9,FALSE)),"")</f>
        <v>35607.629999999997</v>
      </c>
      <c r="G64" s="94">
        <f>IFERROR(IF(VLOOKUP($A64,'Annex 2 EHV charges'!$A:$O,10,FALSE)=0,"",VLOOKUP($A64,'Annex 2 EHV charges'!$A:$O,10,FALSE)),"")</f>
        <v>1.28</v>
      </c>
      <c r="H64" s="94">
        <f>IFERROR(IF(VLOOKUP($A64,'Annex 2 EHV charges'!$A:$O,11,FALSE)=0,"",VLOOKUP($A64,'Annex 2 EHV charges'!$A:$O,11,FALSE)),"")</f>
        <v>1.28</v>
      </c>
      <c r="I64" s="229" t="str">
        <f>IF(VLOOKUP(C64,'Annex 2 EHV charges'!$C$11:$P$154,14,FALSE)&lt;=5,"",VLOOKUP(C64,'Annex 2 EHV charges'!$C$11:$P$154,14,FALSE))</f>
        <v/>
      </c>
    </row>
    <row r="65" spans="1:9" ht="12.75" customHeight="1" x14ac:dyDescent="0.35">
      <c r="A65" s="87">
        <f t="array" ref="A65">IFERROR(INDEX('Annex 2 EHV charges'!$A$11:$A$260, MATCH(0, IF(ISBLANK('Annex 2 EHV charges'!$A$11:$A$260),1, COUNTIF(A$4:$A64, 'Annex 2 EHV charges'!$A$11:$A$260)), 0)),"")</f>
        <v>868</v>
      </c>
      <c r="B65" s="87">
        <f>IF($A65="","",VLOOKUP($A65,'Annex 2 EHV charges'!$A:$O,2,0))</f>
        <v>868</v>
      </c>
      <c r="C65" s="88">
        <f>IF($A65="","",VLOOKUP($A65,'Annex 2 EHV charges'!$A:$O,3,0))</f>
        <v>1800060809025</v>
      </c>
      <c r="D65" s="87" t="str">
        <f>IF($A65="","",VLOOKUP($A65,'Annex 2 EHV charges'!$A:$O,7,0))</f>
        <v>MuirHall Extension II WF</v>
      </c>
      <c r="E65" s="92" t="str">
        <f>IFERROR(IF(VLOOKUP($A65,'Annex 2 EHV charges'!$A:$O,8,FALSE)=0,"",VLOOKUP($A65,'Annex 2 EHV charges'!$A:$O,8,FALSE)),"")</f>
        <v>-</v>
      </c>
      <c r="F65" s="93">
        <f>IFERROR(IF(VLOOKUP($A65,'Annex 2 EHV charges'!$A:$O,9,FALSE)=0,"",VLOOKUP($A65,'Annex 2 EHV charges'!$A:$O,9,FALSE)),"")</f>
        <v>55.71</v>
      </c>
      <c r="G65" s="94">
        <f>IFERROR(IF(VLOOKUP($A65,'Annex 2 EHV charges'!$A:$O,10,FALSE)=0,"",VLOOKUP($A65,'Annex 2 EHV charges'!$A:$O,10,FALSE)),"")</f>
        <v>0.9</v>
      </c>
      <c r="H65" s="94">
        <f>IFERROR(IF(VLOOKUP($A65,'Annex 2 EHV charges'!$A:$O,11,FALSE)=0,"",VLOOKUP($A65,'Annex 2 EHV charges'!$A:$O,11,FALSE)),"")</f>
        <v>0.9</v>
      </c>
      <c r="I65" s="229" t="str">
        <f>IF(VLOOKUP(C65,'Annex 2 EHV charges'!$C$11:$P$154,14,FALSE)&lt;=5,"",VLOOKUP(C65,'Annex 2 EHV charges'!$C$11:$P$154,14,FALSE))</f>
        <v/>
      </c>
    </row>
    <row r="66" spans="1:9" ht="12.75" customHeight="1" x14ac:dyDescent="0.35">
      <c r="A66" s="87">
        <f t="array" ref="A66">IFERROR(INDEX('Annex 2 EHV charges'!$A$11:$A$260, MATCH(0, IF(ISBLANK('Annex 2 EHV charges'!$A$11:$A$260),1, COUNTIF(A$4:$A65, 'Annex 2 EHV charges'!$A$11:$A$260)), 0)),"")</f>
        <v>887</v>
      </c>
      <c r="B66" s="87">
        <f>IF($A66="","",VLOOKUP($A66,'Annex 2 EHV charges'!$A:$O,2,0))</f>
        <v>887</v>
      </c>
      <c r="C66" s="88">
        <f>IF($A66="","",VLOOKUP($A66,'Annex 2 EHV charges'!$A:$O,3,0))</f>
        <v>1800060749661</v>
      </c>
      <c r="D66" s="87" t="str">
        <f>IF($A66="","",VLOOKUP($A66,'Annex 2 EHV charges'!$A:$O,7,0))</f>
        <v>Polmadie (Waste energy A)</v>
      </c>
      <c r="E66" s="92" t="str">
        <f>IFERROR(IF(VLOOKUP($A66,'Annex 2 EHV charges'!$A:$O,8,FALSE)=0,"",VLOOKUP($A66,'Annex 2 EHV charges'!$A:$O,8,FALSE)),"")</f>
        <v>-</v>
      </c>
      <c r="F66" s="93">
        <f>IFERROR(IF(VLOOKUP($A66,'Annex 2 EHV charges'!$A:$O,9,FALSE)=0,"",VLOOKUP($A66,'Annex 2 EHV charges'!$A:$O,9,FALSE)),"")</f>
        <v>1171.77</v>
      </c>
      <c r="G66" s="94">
        <f>IFERROR(IF(VLOOKUP($A66,'Annex 2 EHV charges'!$A:$O,10,FALSE)=0,"",VLOOKUP($A66,'Annex 2 EHV charges'!$A:$O,10,FALSE)),"")</f>
        <v>1.36</v>
      </c>
      <c r="H66" s="94">
        <f>IFERROR(IF(VLOOKUP($A66,'Annex 2 EHV charges'!$A:$O,11,FALSE)=0,"",VLOOKUP($A66,'Annex 2 EHV charges'!$A:$O,11,FALSE)),"")</f>
        <v>1.36</v>
      </c>
      <c r="I66" s="229" t="str">
        <f>IF(VLOOKUP(C66,'Annex 2 EHV charges'!$C$11:$P$154,14,FALSE)&lt;=5,"",VLOOKUP(C66,'Annex 2 EHV charges'!$C$11:$P$154,14,FALSE))</f>
        <v/>
      </c>
    </row>
    <row r="67" spans="1:9" ht="12.75" customHeight="1" x14ac:dyDescent="0.35">
      <c r="A67" s="87">
        <f t="array" ref="A67">IFERROR(INDEX('Annex 2 EHV charges'!$A$11:$A$260, MATCH(0, IF(ISBLANK('Annex 2 EHV charges'!$A$11:$A$260),1, COUNTIF(A$4:$A66, 'Annex 2 EHV charges'!$A$11:$A$260)), 0)),"")</f>
        <v>873</v>
      </c>
      <c r="B67" s="87">
        <f>IF($A67="","",VLOOKUP($A67,'Annex 2 EHV charges'!$A:$O,2,0))</f>
        <v>873</v>
      </c>
      <c r="C67" s="88">
        <f>IF($A67="","",VLOOKUP($A67,'Annex 2 EHV charges'!$A:$O,3,0))</f>
        <v>1800060450481</v>
      </c>
      <c r="D67" s="87" t="str">
        <f>IF($A67="","",VLOOKUP($A67,'Annex 2 EHV charges'!$A:$O,7,0))</f>
        <v>Millour Hill</v>
      </c>
      <c r="E67" s="92" t="str">
        <f>IFERROR(IF(VLOOKUP($A67,'Annex 2 EHV charges'!$A:$O,8,FALSE)=0,"",VLOOKUP($A67,'Annex 2 EHV charges'!$A:$O,8,FALSE)),"")</f>
        <v>-</v>
      </c>
      <c r="F67" s="93">
        <f>IFERROR(IF(VLOOKUP($A67,'Annex 2 EHV charges'!$A:$O,9,FALSE)=0,"",VLOOKUP($A67,'Annex 2 EHV charges'!$A:$O,9,FALSE)),"")</f>
        <v>216.38</v>
      </c>
      <c r="G67" s="94">
        <f>IFERROR(IF(VLOOKUP($A67,'Annex 2 EHV charges'!$A:$O,10,FALSE)=0,"",VLOOKUP($A67,'Annex 2 EHV charges'!$A:$O,10,FALSE)),"")</f>
        <v>0.69</v>
      </c>
      <c r="H67" s="94">
        <f>IFERROR(IF(VLOOKUP($A67,'Annex 2 EHV charges'!$A:$O,11,FALSE)=0,"",VLOOKUP($A67,'Annex 2 EHV charges'!$A:$O,11,FALSE)),"")</f>
        <v>0.69</v>
      </c>
      <c r="I67" s="229" t="str">
        <f>IF(VLOOKUP(C67,'Annex 2 EHV charges'!$C$11:$P$154,14,FALSE)&lt;=5,"",VLOOKUP(C67,'Annex 2 EHV charges'!$C$11:$P$154,14,FALSE))</f>
        <v/>
      </c>
    </row>
    <row r="68" spans="1:9" ht="12.75" customHeight="1" x14ac:dyDescent="0.35">
      <c r="A68" s="87">
        <f t="array" ref="A68">IFERROR(INDEX('Annex 2 EHV charges'!$A$11:$A$260, MATCH(0, IF(ISBLANK('Annex 2 EHV charges'!$A$11:$A$260),1, COUNTIF(A$4:$A67, 'Annex 2 EHV charges'!$A$11:$A$260)), 0)),"")</f>
        <v>874</v>
      </c>
      <c r="B68" s="87">
        <f>IF($A68="","",VLOOKUP($A68,'Annex 2 EHV charges'!$A:$O,2,0))</f>
        <v>874</v>
      </c>
      <c r="C68" s="88">
        <f>IF($A68="","",VLOOKUP($A68,'Annex 2 EHV charges'!$A:$O,3,0))</f>
        <v>1800060441380</v>
      </c>
      <c r="D68" s="87" t="str">
        <f>IF($A68="","",VLOOKUP($A68,'Annex 2 EHV charges'!$A:$O,7,0))</f>
        <v>Glenkerie</v>
      </c>
      <c r="E68" s="92" t="str">
        <f>IFERROR(IF(VLOOKUP($A68,'Annex 2 EHV charges'!$A:$O,8,FALSE)=0,"",VLOOKUP($A68,'Annex 2 EHV charges'!$A:$O,8,FALSE)),"")</f>
        <v>-</v>
      </c>
      <c r="F68" s="93">
        <f>IFERROR(IF(VLOOKUP($A68,'Annex 2 EHV charges'!$A:$O,9,FALSE)=0,"",VLOOKUP($A68,'Annex 2 EHV charges'!$A:$O,9,FALSE)),"")</f>
        <v>383.19</v>
      </c>
      <c r="G68" s="94">
        <f>IFERROR(IF(VLOOKUP($A68,'Annex 2 EHV charges'!$A:$O,10,FALSE)=0,"",VLOOKUP($A68,'Annex 2 EHV charges'!$A:$O,10,FALSE)),"")</f>
        <v>0.88</v>
      </c>
      <c r="H68" s="94">
        <f>IFERROR(IF(VLOOKUP($A68,'Annex 2 EHV charges'!$A:$O,11,FALSE)=0,"",VLOOKUP($A68,'Annex 2 EHV charges'!$A:$O,11,FALSE)),"")</f>
        <v>0.88</v>
      </c>
      <c r="I68" s="229" t="str">
        <f>IF(VLOOKUP(C68,'Annex 2 EHV charges'!$C$11:$P$154,14,FALSE)&lt;=5,"",VLOOKUP(C68,'Annex 2 EHV charges'!$C$11:$P$154,14,FALSE))</f>
        <v/>
      </c>
    </row>
    <row r="69" spans="1:9" ht="12.75" customHeight="1" x14ac:dyDescent="0.35">
      <c r="A69" s="87">
        <f t="array" ref="A69">IFERROR(INDEX('Annex 2 EHV charges'!$A$11:$A$260, MATCH(0, IF(ISBLANK('Annex 2 EHV charges'!$A$11:$A$260),1, COUNTIF(A$4:$A68, 'Annex 2 EHV charges'!$A$11:$A$260)), 0)),"")</f>
        <v>875</v>
      </c>
      <c r="B69" s="87">
        <f>IF($A69="","",VLOOKUP($A69,'Annex 2 EHV charges'!$A:$O,2,0))</f>
        <v>875</v>
      </c>
      <c r="C69" s="88">
        <f>IF($A69="","",VLOOKUP($A69,'Annex 2 EHV charges'!$A:$O,3,0))</f>
        <v>1800060450524</v>
      </c>
      <c r="D69" s="87" t="str">
        <f>IF($A69="","",VLOOKUP($A69,'Annex 2 EHV charges'!$A:$O,7,0))</f>
        <v>Kelburn (A)</v>
      </c>
      <c r="E69" s="92" t="str">
        <f>IFERROR(IF(VLOOKUP($A69,'Annex 2 EHV charges'!$A:$O,8,FALSE)=0,"",VLOOKUP($A69,'Annex 2 EHV charges'!$A:$O,8,FALSE)),"")</f>
        <v>-</v>
      </c>
      <c r="F69" s="93">
        <f>IFERROR(IF(VLOOKUP($A69,'Annex 2 EHV charges'!$A:$O,9,FALSE)=0,"",VLOOKUP($A69,'Annex 2 EHV charges'!$A:$O,9,FALSE)),"")</f>
        <v>176.73</v>
      </c>
      <c r="G69" s="94">
        <f>IFERROR(IF(VLOOKUP($A69,'Annex 2 EHV charges'!$A:$O,10,FALSE)=0,"",VLOOKUP($A69,'Annex 2 EHV charges'!$A:$O,10,FALSE)),"")</f>
        <v>0.92</v>
      </c>
      <c r="H69" s="94">
        <f>IFERROR(IF(VLOOKUP($A69,'Annex 2 EHV charges'!$A:$O,11,FALSE)=0,"",VLOOKUP($A69,'Annex 2 EHV charges'!$A:$O,11,FALSE)),"")</f>
        <v>0.92</v>
      </c>
      <c r="I69" s="229" t="str">
        <f>IF(VLOOKUP(C69,'Annex 2 EHV charges'!$C$11:$P$154,14,FALSE)&lt;=5,"",VLOOKUP(C69,'Annex 2 EHV charges'!$C$11:$P$154,14,FALSE))</f>
        <v>See Annex 6</v>
      </c>
    </row>
    <row r="70" spans="1:9" ht="12.75" customHeight="1" x14ac:dyDescent="0.35">
      <c r="A70" s="87">
        <f t="array" ref="A70">IFERROR(INDEX('Annex 2 EHV charges'!$A$11:$A$260, MATCH(0, IF(ISBLANK('Annex 2 EHV charges'!$A$11:$A$260),1, COUNTIF(A$4:$A69, 'Annex 2 EHV charges'!$A$11:$A$260)), 0)),"")</f>
        <v>876</v>
      </c>
      <c r="B70" s="87">
        <f>IF($A70="","",VLOOKUP($A70,'Annex 2 EHV charges'!$A:$O,2,0))</f>
        <v>876</v>
      </c>
      <c r="C70" s="88">
        <f>IF($A70="","",VLOOKUP($A70,'Annex 2 EHV charges'!$A:$O,3,0))</f>
        <v>1800060450542</v>
      </c>
      <c r="D70" s="87" t="str">
        <f>IF($A70="","",VLOOKUP($A70,'Annex 2 EHV charges'!$A:$O,7,0))</f>
        <v>Kelburn (B)</v>
      </c>
      <c r="E70" s="92" t="str">
        <f>IFERROR(IF(VLOOKUP($A70,'Annex 2 EHV charges'!$A:$O,8,FALSE)=0,"",VLOOKUP($A70,'Annex 2 EHV charges'!$A:$O,8,FALSE)),"")</f>
        <v>-</v>
      </c>
      <c r="F70" s="93">
        <f>IFERROR(IF(VLOOKUP($A70,'Annex 2 EHV charges'!$A:$O,9,FALSE)=0,"",VLOOKUP($A70,'Annex 2 EHV charges'!$A:$O,9,FALSE)),"")</f>
        <v>176.73</v>
      </c>
      <c r="G70" s="94">
        <f>IFERROR(IF(VLOOKUP($A70,'Annex 2 EHV charges'!$A:$O,10,FALSE)=0,"",VLOOKUP($A70,'Annex 2 EHV charges'!$A:$O,10,FALSE)),"")</f>
        <v>0.92</v>
      </c>
      <c r="H70" s="94">
        <f>IFERROR(IF(VLOOKUP($A70,'Annex 2 EHV charges'!$A:$O,11,FALSE)=0,"",VLOOKUP($A70,'Annex 2 EHV charges'!$A:$O,11,FALSE)),"")</f>
        <v>0.92</v>
      </c>
      <c r="I70" s="229" t="str">
        <f>IF(VLOOKUP(C70,'Annex 2 EHV charges'!$C$11:$P$154,14,FALSE)&lt;=5,"",VLOOKUP(C70,'Annex 2 EHV charges'!$C$11:$P$154,14,FALSE))</f>
        <v>See Annex 6</v>
      </c>
    </row>
    <row r="71" spans="1:9" ht="12.75" customHeight="1" x14ac:dyDescent="0.35">
      <c r="A71" s="87">
        <f t="array" ref="A71">IFERROR(INDEX('Annex 2 EHV charges'!$A$11:$A$260, MATCH(0, IF(ISBLANK('Annex 2 EHV charges'!$A$11:$A$260),1, COUNTIF(A$4:$A70, 'Annex 2 EHV charges'!$A$11:$A$260)), 0)),"")</f>
        <v>877</v>
      </c>
      <c r="B71" s="87">
        <f>IF($A71="","",VLOOKUP($A71,'Annex 2 EHV charges'!$A:$O,2,0))</f>
        <v>877</v>
      </c>
      <c r="C71" s="88">
        <f>IF($A71="","",VLOOKUP($A71,'Annex 2 EHV charges'!$A:$O,3,0))</f>
        <v>1800060450506</v>
      </c>
      <c r="D71" s="87" t="str">
        <f>IF($A71="","",VLOOKUP($A71,'Annex 2 EHV charges'!$A:$O,7,0))</f>
        <v>Little Raith</v>
      </c>
      <c r="E71" s="92" t="str">
        <f>IFERROR(IF(VLOOKUP($A71,'Annex 2 EHV charges'!$A:$O,8,FALSE)=0,"",VLOOKUP($A71,'Annex 2 EHV charges'!$A:$O,8,FALSE)),"")</f>
        <v>-</v>
      </c>
      <c r="F71" s="93">
        <f>IFERROR(IF(VLOOKUP($A71,'Annex 2 EHV charges'!$A:$O,9,FALSE)=0,"",VLOOKUP($A71,'Annex 2 EHV charges'!$A:$O,9,FALSE)),"")</f>
        <v>193.98</v>
      </c>
      <c r="G71" s="94">
        <f>IFERROR(IF(VLOOKUP($A71,'Annex 2 EHV charges'!$A:$O,10,FALSE)=0,"",VLOOKUP($A71,'Annex 2 EHV charges'!$A:$O,10,FALSE)),"")</f>
        <v>0.73</v>
      </c>
      <c r="H71" s="94">
        <f>IFERROR(IF(VLOOKUP($A71,'Annex 2 EHV charges'!$A:$O,11,FALSE)=0,"",VLOOKUP($A71,'Annex 2 EHV charges'!$A:$O,11,FALSE)),"")</f>
        <v>0.73</v>
      </c>
      <c r="I71" s="229" t="str">
        <f>IF(VLOOKUP(C71,'Annex 2 EHV charges'!$C$11:$P$154,14,FALSE)&lt;=5,"",VLOOKUP(C71,'Annex 2 EHV charges'!$C$11:$P$154,14,FALSE))</f>
        <v>See Annex 6</v>
      </c>
    </row>
    <row r="72" spans="1:9" ht="12.75" customHeight="1" x14ac:dyDescent="0.35">
      <c r="A72" s="87">
        <f t="array" ref="A72">IFERROR(INDEX('Annex 2 EHV charges'!$A$11:$A$260, MATCH(0, IF(ISBLANK('Annex 2 EHV charges'!$A$11:$A$260),1, COUNTIF(A$4:$A71, 'Annex 2 EHV charges'!$A$11:$A$260)), 0)),"")</f>
        <v>878</v>
      </c>
      <c r="B72" s="87">
        <f>IF($A72="","",VLOOKUP($A72,'Annex 2 EHV charges'!$A:$O,2,0))</f>
        <v>878</v>
      </c>
      <c r="C72" s="88">
        <f>IF($A72="","",VLOOKUP($A72,'Annex 2 EHV charges'!$A:$O,3,0))</f>
        <v>1800060445640</v>
      </c>
      <c r="D72" s="87" t="str">
        <f>IF($A72="","",VLOOKUP($A72,'Annex 2 EHV charges'!$A:$O,7,0))</f>
        <v>Drone Hill</v>
      </c>
      <c r="E72" s="92" t="str">
        <f>IFERROR(IF(VLOOKUP($A72,'Annex 2 EHV charges'!$A:$O,8,FALSE)=0,"",VLOOKUP($A72,'Annex 2 EHV charges'!$A:$O,8,FALSE)),"")</f>
        <v>-</v>
      </c>
      <c r="F72" s="93">
        <f>IFERROR(IF(VLOOKUP($A72,'Annex 2 EHV charges'!$A:$O,9,FALSE)=0,"",VLOOKUP($A72,'Annex 2 EHV charges'!$A:$O,9,FALSE)),"")</f>
        <v>536.16</v>
      </c>
      <c r="G72" s="94">
        <f>IFERROR(IF(VLOOKUP($A72,'Annex 2 EHV charges'!$A:$O,10,FALSE)=0,"",VLOOKUP($A72,'Annex 2 EHV charges'!$A:$O,10,FALSE)),"")</f>
        <v>0.66</v>
      </c>
      <c r="H72" s="94">
        <f>IFERROR(IF(VLOOKUP($A72,'Annex 2 EHV charges'!$A:$O,11,FALSE)=0,"",VLOOKUP($A72,'Annex 2 EHV charges'!$A:$O,11,FALSE)),"")</f>
        <v>0.66</v>
      </c>
      <c r="I72" s="229" t="str">
        <f>IF(VLOOKUP(C72,'Annex 2 EHV charges'!$C$11:$P$154,14,FALSE)&lt;=5,"",VLOOKUP(C72,'Annex 2 EHV charges'!$C$11:$P$154,14,FALSE))</f>
        <v/>
      </c>
    </row>
    <row r="73" spans="1:9" ht="12.75" customHeight="1" x14ac:dyDescent="0.35">
      <c r="A73" s="87">
        <f t="array" ref="A73">IFERROR(INDEX('Annex 2 EHV charges'!$A$11:$A$260, MATCH(0, IF(ISBLANK('Annex 2 EHV charges'!$A$11:$A$260),1, COUNTIF(A$4:$A72, 'Annex 2 EHV charges'!$A$11:$A$260)), 0)),"")</f>
        <v>879</v>
      </c>
      <c r="B73" s="87">
        <f>IF($A73="","",VLOOKUP($A73,'Annex 2 EHV charges'!$A:$O,2,0))</f>
        <v>879</v>
      </c>
      <c r="C73" s="88">
        <f>IF($A73="","",VLOOKUP($A73,'Annex 2 EHV charges'!$A:$O,3,0))</f>
        <v>1800060845812</v>
      </c>
      <c r="D73" s="87" t="str">
        <f>IF($A73="","",VLOOKUP($A73,'Annex 2 EHV charges'!$A:$O,7,0))</f>
        <v>Pearie Law Wind Farm</v>
      </c>
      <c r="E73" s="92" t="str">
        <f>IFERROR(IF(VLOOKUP($A73,'Annex 2 EHV charges'!$A:$O,8,FALSE)=0,"",VLOOKUP($A73,'Annex 2 EHV charges'!$A:$O,8,FALSE)),"")</f>
        <v>-</v>
      </c>
      <c r="F73" s="93">
        <f>IFERROR(IF(VLOOKUP($A73,'Annex 2 EHV charges'!$A:$O,9,FALSE)=0,"",VLOOKUP($A73,'Annex 2 EHV charges'!$A:$O,9,FALSE)),"")</f>
        <v>307.5</v>
      </c>
      <c r="G73" s="94">
        <f>IFERROR(IF(VLOOKUP($A73,'Annex 2 EHV charges'!$A:$O,10,FALSE)=0,"",VLOOKUP($A73,'Annex 2 EHV charges'!$A:$O,10,FALSE)),"")</f>
        <v>0.9</v>
      </c>
      <c r="H73" s="94">
        <f>IFERROR(IF(VLOOKUP($A73,'Annex 2 EHV charges'!$A:$O,11,FALSE)=0,"",VLOOKUP($A73,'Annex 2 EHV charges'!$A:$O,11,FALSE)),"")</f>
        <v>0.9</v>
      </c>
      <c r="I73" s="229" t="str">
        <f>IF(VLOOKUP(C73,'Annex 2 EHV charges'!$C$11:$P$154,14,FALSE)&lt;=5,"",VLOOKUP(C73,'Annex 2 EHV charges'!$C$11:$P$154,14,FALSE))</f>
        <v/>
      </c>
    </row>
    <row r="74" spans="1:9" ht="12.75" customHeight="1" x14ac:dyDescent="0.35">
      <c r="A74" s="87">
        <f t="array" ref="A74">IFERROR(INDEX('Annex 2 EHV charges'!$A$11:$A$260, MATCH(0, IF(ISBLANK('Annex 2 EHV charges'!$A$11:$A$260),1, COUNTIF(A$4:$A73, 'Annex 2 EHV charges'!$A$11:$A$260)), 0)),"")</f>
        <v>880</v>
      </c>
      <c r="B74" s="87">
        <f>IF($A74="","",VLOOKUP($A74,'Annex 2 EHV charges'!$A:$O,2,0))</f>
        <v>880</v>
      </c>
      <c r="C74" s="88">
        <f>IF($A74="","",VLOOKUP($A74,'Annex 2 EHV charges'!$A:$O,3,0))</f>
        <v>1800060673222</v>
      </c>
      <c r="D74" s="87" t="str">
        <f>IF($A74="","",VLOOKUP($A74,'Annex 2 EHV charges'!$A:$O,7,0))</f>
        <v>Earlseat WF</v>
      </c>
      <c r="E74" s="92" t="str">
        <f>IFERROR(IF(VLOOKUP($A74,'Annex 2 EHV charges'!$A:$O,8,FALSE)=0,"",VLOOKUP($A74,'Annex 2 EHV charges'!$A:$O,8,FALSE)),"")</f>
        <v>-</v>
      </c>
      <c r="F74" s="93">
        <f>IFERROR(IF(VLOOKUP($A74,'Annex 2 EHV charges'!$A:$O,9,FALSE)=0,"",VLOOKUP($A74,'Annex 2 EHV charges'!$A:$O,9,FALSE)),"")</f>
        <v>158.63</v>
      </c>
      <c r="G74" s="94">
        <f>IFERROR(IF(VLOOKUP($A74,'Annex 2 EHV charges'!$A:$O,10,FALSE)=0,"",VLOOKUP($A74,'Annex 2 EHV charges'!$A:$O,10,FALSE)),"")</f>
        <v>1.8</v>
      </c>
      <c r="H74" s="94">
        <f>IFERROR(IF(VLOOKUP($A74,'Annex 2 EHV charges'!$A:$O,11,FALSE)=0,"",VLOOKUP($A74,'Annex 2 EHV charges'!$A:$O,11,FALSE)),"")</f>
        <v>1.8</v>
      </c>
      <c r="I74" s="229" t="str">
        <f>IF(VLOOKUP(C74,'Annex 2 EHV charges'!$C$11:$P$154,14,FALSE)&lt;=5,"",VLOOKUP(C74,'Annex 2 EHV charges'!$C$11:$P$154,14,FALSE))</f>
        <v/>
      </c>
    </row>
    <row r="75" spans="1:9" ht="12.75" customHeight="1" x14ac:dyDescent="0.35">
      <c r="A75" s="87">
        <f t="array" ref="A75">IFERROR(INDEX('Annex 2 EHV charges'!$A$11:$A$260, MATCH(0, IF(ISBLANK('Annex 2 EHV charges'!$A$11:$A$260),1, COUNTIF(A$4:$A74, 'Annex 2 EHV charges'!$A$11:$A$260)), 0)),"")</f>
        <v>881</v>
      </c>
      <c r="B75" s="87">
        <f>IF($A75="","",VLOOKUP($A75,'Annex 2 EHV charges'!$A:$O,2,0))</f>
        <v>881</v>
      </c>
      <c r="C75" s="88">
        <f>IF($A75="","",VLOOKUP($A75,'Annex 2 EHV charges'!$A:$O,3,0))</f>
        <v>1800060740288</v>
      </c>
      <c r="D75" s="87" t="str">
        <f>IF($A75="","",VLOOKUP($A75,'Annex 2 EHV charges'!$A:$O,7,0))</f>
        <v>Dungavel WF</v>
      </c>
      <c r="E75" s="92" t="str">
        <f>IFERROR(IF(VLOOKUP($A75,'Annex 2 EHV charges'!$A:$O,8,FALSE)=0,"",VLOOKUP($A75,'Annex 2 EHV charges'!$A:$O,8,FALSE)),"")</f>
        <v>-</v>
      </c>
      <c r="F75" s="93">
        <f>IFERROR(IF(VLOOKUP($A75,'Annex 2 EHV charges'!$A:$O,9,FALSE)=0,"",VLOOKUP($A75,'Annex 2 EHV charges'!$A:$O,9,FALSE)),"")</f>
        <v>529.55999999999995</v>
      </c>
      <c r="G75" s="94">
        <f>IFERROR(IF(VLOOKUP($A75,'Annex 2 EHV charges'!$A:$O,10,FALSE)=0,"",VLOOKUP($A75,'Annex 2 EHV charges'!$A:$O,10,FALSE)),"")</f>
        <v>0.68</v>
      </c>
      <c r="H75" s="94">
        <f>IFERROR(IF(VLOOKUP($A75,'Annex 2 EHV charges'!$A:$O,11,FALSE)=0,"",VLOOKUP($A75,'Annex 2 EHV charges'!$A:$O,11,FALSE)),"")</f>
        <v>0.68</v>
      </c>
      <c r="I75" s="229" t="str">
        <f>IF(VLOOKUP(C75,'Annex 2 EHV charges'!$C$11:$P$154,14,FALSE)&lt;=5,"",VLOOKUP(C75,'Annex 2 EHV charges'!$C$11:$P$154,14,FALSE))</f>
        <v/>
      </c>
    </row>
    <row r="76" spans="1:9" ht="12.75" customHeight="1" x14ac:dyDescent="0.35">
      <c r="A76" s="87">
        <f t="array" ref="A76">IFERROR(INDEX('Annex 2 EHV charges'!$A$11:$A$260, MATCH(0, IF(ISBLANK('Annex 2 EHV charges'!$A$11:$A$260),1, COUNTIF(A$4:$A75, 'Annex 2 EHV charges'!$A$11:$A$260)), 0)),"")</f>
        <v>882</v>
      </c>
      <c r="B76" s="87">
        <f>IF($A76="","",VLOOKUP($A76,'Annex 2 EHV charges'!$A:$O,2,0))</f>
        <v>882</v>
      </c>
      <c r="C76" s="88">
        <f>IF($A76="","",VLOOKUP($A76,'Annex 2 EHV charges'!$A:$O,3,0))</f>
        <v>1800060769738</v>
      </c>
      <c r="D76" s="87" t="str">
        <f>IF($A76="","",VLOOKUP($A76,'Annex 2 EHV charges'!$A:$O,7,0))</f>
        <v>Burnhead Bathgate WF</v>
      </c>
      <c r="E76" s="92" t="str">
        <f>IFERROR(IF(VLOOKUP($A76,'Annex 2 EHV charges'!$A:$O,8,FALSE)=0,"",VLOOKUP($A76,'Annex 2 EHV charges'!$A:$O,8,FALSE)),"")</f>
        <v>-</v>
      </c>
      <c r="F76" s="93">
        <f>IFERROR(IF(VLOOKUP($A76,'Annex 2 EHV charges'!$A:$O,9,FALSE)=0,"",VLOOKUP($A76,'Annex 2 EHV charges'!$A:$O,9,FALSE)),"")</f>
        <v>63.43</v>
      </c>
      <c r="G76" s="94">
        <f>IFERROR(IF(VLOOKUP($A76,'Annex 2 EHV charges'!$A:$O,10,FALSE)=0,"",VLOOKUP($A76,'Annex 2 EHV charges'!$A:$O,10,FALSE)),"")</f>
        <v>1.02</v>
      </c>
      <c r="H76" s="94">
        <f>IFERROR(IF(VLOOKUP($A76,'Annex 2 EHV charges'!$A:$O,11,FALSE)=0,"",VLOOKUP($A76,'Annex 2 EHV charges'!$A:$O,11,FALSE)),"")</f>
        <v>1.02</v>
      </c>
      <c r="I76" s="229" t="str">
        <f>IF(VLOOKUP(C76,'Annex 2 EHV charges'!$C$11:$P$154,14,FALSE)&lt;=5,"",VLOOKUP(C76,'Annex 2 EHV charges'!$C$11:$P$154,14,FALSE))</f>
        <v/>
      </c>
    </row>
    <row r="77" spans="1:9" ht="12.75" customHeight="1" x14ac:dyDescent="0.35">
      <c r="A77" s="87">
        <f t="array" ref="A77">IFERROR(INDEX('Annex 2 EHV charges'!$A$11:$A$260, MATCH(0, IF(ISBLANK('Annex 2 EHV charges'!$A$11:$A$260),1, COUNTIF(A$4:$A76, 'Annex 2 EHV charges'!$A$11:$A$260)), 0)),"")</f>
        <v>883</v>
      </c>
      <c r="B77" s="87">
        <f>IF($A77="","",VLOOKUP($A77,'Annex 2 EHV charges'!$A:$O,2,0))</f>
        <v>883</v>
      </c>
      <c r="C77" s="88">
        <f>IF($A77="","",VLOOKUP($A77,'Annex 2 EHV charges'!$A:$O,3,0))</f>
        <v>1800053647742</v>
      </c>
      <c r="D77" s="87" t="str">
        <f>IF($A77="","",VLOOKUP($A77,'Annex 2 EHV charges'!$A:$O,7,0))</f>
        <v>Shanks &amp; McEwan 6</v>
      </c>
      <c r="E77" s="92" t="str">
        <f>IFERROR(IF(VLOOKUP($A77,'Annex 2 EHV charges'!$A:$O,8,FALSE)=0,"",VLOOKUP($A77,'Annex 2 EHV charges'!$A:$O,8,FALSE)),"")</f>
        <v>-</v>
      </c>
      <c r="F77" s="93">
        <f>IFERROR(IF(VLOOKUP($A77,'Annex 2 EHV charges'!$A:$O,9,FALSE)=0,"",VLOOKUP($A77,'Annex 2 EHV charges'!$A:$O,9,FALSE)),"")</f>
        <v>76.84</v>
      </c>
      <c r="G77" s="94">
        <f>IFERROR(IF(VLOOKUP($A77,'Annex 2 EHV charges'!$A:$O,10,FALSE)=0,"",VLOOKUP($A77,'Annex 2 EHV charges'!$A:$O,10,FALSE)),"")</f>
        <v>0.81</v>
      </c>
      <c r="H77" s="94">
        <f>IFERROR(IF(VLOOKUP($A77,'Annex 2 EHV charges'!$A:$O,11,FALSE)=0,"",VLOOKUP($A77,'Annex 2 EHV charges'!$A:$O,11,FALSE)),"")</f>
        <v>0.81</v>
      </c>
      <c r="I77" s="229" t="str">
        <f>IF(VLOOKUP(C77,'Annex 2 EHV charges'!$C$11:$P$154,14,FALSE)&lt;=5,"",VLOOKUP(C77,'Annex 2 EHV charges'!$C$11:$P$154,14,FALSE))</f>
        <v/>
      </c>
    </row>
    <row r="78" spans="1:9" ht="12.75" customHeight="1" x14ac:dyDescent="0.35">
      <c r="A78" s="87">
        <f t="array" ref="A78">IFERROR(INDEX('Annex 2 EHV charges'!$A$11:$A$260, MATCH(0, IF(ISBLANK('Annex 2 EHV charges'!$A$11:$A$260),1, COUNTIF(A$4:$A77, 'Annex 2 EHV charges'!$A$11:$A$260)), 0)),"")</f>
        <v>884</v>
      </c>
      <c r="B78" s="87">
        <f>IF($A78="","",VLOOKUP($A78,'Annex 2 EHV charges'!$A:$O,2,0))</f>
        <v>884</v>
      </c>
      <c r="C78" s="88">
        <f>IF($A78="","",VLOOKUP($A78,'Annex 2 EHV charges'!$A:$O,3,0))</f>
        <v>1800060683693</v>
      </c>
      <c r="D78" s="87" t="str">
        <f>IF($A78="","",VLOOKUP($A78,'Annex 2 EHV charges'!$A:$O,7,0))</f>
        <v>Ardoch &amp; Over Enoch WF</v>
      </c>
      <c r="E78" s="92" t="str">
        <f>IFERROR(IF(VLOOKUP($A78,'Annex 2 EHV charges'!$A:$O,8,FALSE)=0,"",VLOOKUP($A78,'Annex 2 EHV charges'!$A:$O,8,FALSE)),"")</f>
        <v>-</v>
      </c>
      <c r="F78" s="93">
        <f>IFERROR(IF(VLOOKUP($A78,'Annex 2 EHV charges'!$A:$O,9,FALSE)=0,"",VLOOKUP($A78,'Annex 2 EHV charges'!$A:$O,9,FALSE)),"")</f>
        <v>577.30999999999995</v>
      </c>
      <c r="G78" s="94">
        <f>IFERROR(IF(VLOOKUP($A78,'Annex 2 EHV charges'!$A:$O,10,FALSE)=0,"",VLOOKUP($A78,'Annex 2 EHV charges'!$A:$O,10,FALSE)),"")</f>
        <v>0.68</v>
      </c>
      <c r="H78" s="94">
        <f>IFERROR(IF(VLOOKUP($A78,'Annex 2 EHV charges'!$A:$O,11,FALSE)=0,"",VLOOKUP($A78,'Annex 2 EHV charges'!$A:$O,11,FALSE)),"")</f>
        <v>0.68</v>
      </c>
      <c r="I78" s="229" t="str">
        <f>IF(VLOOKUP(C78,'Annex 2 EHV charges'!$C$11:$P$154,14,FALSE)&lt;=5,"",VLOOKUP(C78,'Annex 2 EHV charges'!$C$11:$P$154,14,FALSE))</f>
        <v/>
      </c>
    </row>
    <row r="79" spans="1:9" ht="12.75" customHeight="1" x14ac:dyDescent="0.35">
      <c r="A79" s="87">
        <f t="array" ref="A79">IFERROR(INDEX('Annex 2 EHV charges'!$A$11:$A$260, MATCH(0, IF(ISBLANK('Annex 2 EHV charges'!$A$11:$A$260),1, COUNTIF(A$4:$A78, 'Annex 2 EHV charges'!$A$11:$A$260)), 0)),"")</f>
        <v>888</v>
      </c>
      <c r="B79" s="87">
        <f>IF($A79="","",VLOOKUP($A79,'Annex 2 EHV charges'!$A:$O,2,0))</f>
        <v>888</v>
      </c>
      <c r="C79" s="88">
        <f>IF($A79="","",VLOOKUP($A79,'Annex 2 EHV charges'!$A:$O,3,0))</f>
        <v>1800060817230</v>
      </c>
      <c r="D79" s="87" t="str">
        <f>IF($A79="","",VLOOKUP($A79,'Annex 2 EHV charges'!$A:$O,7,0))</f>
        <v>Glenchamber</v>
      </c>
      <c r="E79" s="92" t="str">
        <f>IFERROR(IF(VLOOKUP($A79,'Annex 2 EHV charges'!$A:$O,8,FALSE)=0,"",VLOOKUP($A79,'Annex 2 EHV charges'!$A:$O,8,FALSE)),"")</f>
        <v>-</v>
      </c>
      <c r="F79" s="93">
        <f>IFERROR(IF(VLOOKUP($A79,'Annex 2 EHV charges'!$A:$O,9,FALSE)=0,"",VLOOKUP($A79,'Annex 2 EHV charges'!$A:$O,9,FALSE)),"")</f>
        <v>111.65</v>
      </c>
      <c r="G79" s="94">
        <f>IFERROR(IF(VLOOKUP($A79,'Annex 2 EHV charges'!$A:$O,10,FALSE)=0,"",VLOOKUP($A79,'Annex 2 EHV charges'!$A:$O,10,FALSE)),"")</f>
        <v>0.78</v>
      </c>
      <c r="H79" s="94">
        <f>IFERROR(IF(VLOOKUP($A79,'Annex 2 EHV charges'!$A:$O,11,FALSE)=0,"",VLOOKUP($A79,'Annex 2 EHV charges'!$A:$O,11,FALSE)),"")</f>
        <v>0.78</v>
      </c>
      <c r="I79" s="229" t="str">
        <f>IF(VLOOKUP(C79,'Annex 2 EHV charges'!$C$11:$P$154,14,FALSE)&lt;=5,"",VLOOKUP(C79,'Annex 2 EHV charges'!$C$11:$P$154,14,FALSE))</f>
        <v/>
      </c>
    </row>
    <row r="80" spans="1:9" ht="12.75" customHeight="1" x14ac:dyDescent="0.35">
      <c r="A80" s="87">
        <f t="array" ref="A80">IFERROR(INDEX('Annex 2 EHV charges'!$A$11:$A$260, MATCH(0, IF(ISBLANK('Annex 2 EHV charges'!$A$11:$A$260),1, COUNTIF(A$4:$A79, 'Annex 2 EHV charges'!$A$11:$A$260)), 0)),"")</f>
        <v>889</v>
      </c>
      <c r="B80" s="87">
        <f>IF($A80="","",VLOOKUP($A80,'Annex 2 EHV charges'!$A:$O,2,0))</f>
        <v>889</v>
      </c>
      <c r="C80" s="88">
        <f>IF($A80="","",VLOOKUP($A80,'Annex 2 EHV charges'!$A:$O,3,0))</f>
        <v>1800060819273</v>
      </c>
      <c r="D80" s="87" t="str">
        <f>IF($A80="","",VLOOKUP($A80,'Annex 2 EHV charges'!$A:$O,7,0))</f>
        <v>Penmansheill</v>
      </c>
      <c r="E80" s="92" t="str">
        <f>IFERROR(IF(VLOOKUP($A80,'Annex 2 EHV charges'!$A:$O,8,FALSE)=0,"",VLOOKUP($A80,'Annex 2 EHV charges'!$A:$O,8,FALSE)),"")</f>
        <v>-</v>
      </c>
      <c r="F80" s="93">
        <f>IFERROR(IF(VLOOKUP($A80,'Annex 2 EHV charges'!$A:$O,9,FALSE)=0,"",VLOOKUP($A80,'Annex 2 EHV charges'!$A:$O,9,FALSE)),"")</f>
        <v>237.54</v>
      </c>
      <c r="G80" s="94">
        <f>IFERROR(IF(VLOOKUP($A80,'Annex 2 EHV charges'!$A:$O,10,FALSE)=0,"",VLOOKUP($A80,'Annex 2 EHV charges'!$A:$O,10,FALSE)),"")</f>
        <v>0.69</v>
      </c>
      <c r="H80" s="94">
        <f>IFERROR(IF(VLOOKUP($A80,'Annex 2 EHV charges'!$A:$O,11,FALSE)=0,"",VLOOKUP($A80,'Annex 2 EHV charges'!$A:$O,11,FALSE)),"")</f>
        <v>0.69</v>
      </c>
      <c r="I80" s="229" t="str">
        <f>IF(VLOOKUP(C80,'Annex 2 EHV charges'!$C$11:$P$154,14,FALSE)&lt;=5,"",VLOOKUP(C80,'Annex 2 EHV charges'!$C$11:$P$154,14,FALSE))</f>
        <v/>
      </c>
    </row>
    <row r="81" spans="1:9" ht="12.75" customHeight="1" x14ac:dyDescent="0.35">
      <c r="A81" s="87">
        <f t="array" ref="A81">IFERROR(INDEX('Annex 2 EHV charges'!$A$11:$A$260, MATCH(0, IF(ISBLANK('Annex 2 EHV charges'!$A$11:$A$260),1, COUNTIF(A$4:$A80, 'Annex 2 EHV charges'!$A$11:$A$260)), 0)),"")</f>
        <v>891</v>
      </c>
      <c r="B81" s="87">
        <f>IF($A81="","",VLOOKUP($A81,'Annex 2 EHV charges'!$A:$O,2,0))</f>
        <v>891</v>
      </c>
      <c r="C81" s="88">
        <f>IF($A81="","",VLOOKUP($A81,'Annex 2 EHV charges'!$A:$O,3,0))</f>
        <v>1800060863723</v>
      </c>
      <c r="D81" s="87" t="str">
        <f>IF($A81="","",VLOOKUP($A81,'Annex 2 EHV charges'!$A:$O,7,0))</f>
        <v>Tormywheel</v>
      </c>
      <c r="E81" s="92" t="str">
        <f>IFERROR(IF(VLOOKUP($A81,'Annex 2 EHV charges'!$A:$O,8,FALSE)=0,"",VLOOKUP($A81,'Annex 2 EHV charges'!$A:$O,8,FALSE)),"")</f>
        <v>-</v>
      </c>
      <c r="F81" s="93">
        <f>IFERROR(IF(VLOOKUP($A81,'Annex 2 EHV charges'!$A:$O,9,FALSE)=0,"",VLOOKUP($A81,'Annex 2 EHV charges'!$A:$O,9,FALSE)),"")</f>
        <v>58.31</v>
      </c>
      <c r="G81" s="94">
        <f>IFERROR(IF(VLOOKUP($A81,'Annex 2 EHV charges'!$A:$O,10,FALSE)=0,"",VLOOKUP($A81,'Annex 2 EHV charges'!$A:$O,10,FALSE)),"")</f>
        <v>0.97</v>
      </c>
      <c r="H81" s="94">
        <f>IFERROR(IF(VLOOKUP($A81,'Annex 2 EHV charges'!$A:$O,11,FALSE)=0,"",VLOOKUP($A81,'Annex 2 EHV charges'!$A:$O,11,FALSE)),"")</f>
        <v>0.97</v>
      </c>
      <c r="I81" s="229" t="str">
        <f>IF(VLOOKUP(C81,'Annex 2 EHV charges'!$C$11:$P$154,14,FALSE)&lt;=5,"",VLOOKUP(C81,'Annex 2 EHV charges'!$C$11:$P$154,14,FALSE))</f>
        <v/>
      </c>
    </row>
    <row r="82" spans="1:9" ht="12.75" customHeight="1" x14ac:dyDescent="0.35">
      <c r="A82" s="87">
        <f t="array" ref="A82">IFERROR(INDEX('Annex 2 EHV charges'!$A$11:$A$260, MATCH(0, IF(ISBLANK('Annex 2 EHV charges'!$A$11:$A$260),1, COUNTIF(A$4:$A81, 'Annex 2 EHV charges'!$A$11:$A$260)), 0)),"")</f>
        <v>892</v>
      </c>
      <c r="B82" s="87">
        <f>IF($A82="","",VLOOKUP($A82,'Annex 2 EHV charges'!$A:$O,2,0))</f>
        <v>892</v>
      </c>
      <c r="C82" s="88">
        <f>IF($A82="","",VLOOKUP($A82,'Annex 2 EHV charges'!$A:$O,3,0))</f>
        <v>1800060872755</v>
      </c>
      <c r="D82" s="87" t="str">
        <f>IF($A82="","",VLOOKUP($A82,'Annex 2 EHV charges'!$A:$O,7,0))</f>
        <v>Quixwood Wind Farm</v>
      </c>
      <c r="E82" s="92" t="str">
        <f>IFERROR(IF(VLOOKUP($A82,'Annex 2 EHV charges'!$A:$O,8,FALSE)=0,"",VLOOKUP($A82,'Annex 2 EHV charges'!$A:$O,8,FALSE)),"")</f>
        <v>-</v>
      </c>
      <c r="F82" s="93">
        <f>IFERROR(IF(VLOOKUP($A82,'Annex 2 EHV charges'!$A:$O,9,FALSE)=0,"",VLOOKUP($A82,'Annex 2 EHV charges'!$A:$O,9,FALSE)),"")</f>
        <v>299.93</v>
      </c>
      <c r="G82" s="94">
        <f>IFERROR(IF(VLOOKUP($A82,'Annex 2 EHV charges'!$A:$O,10,FALSE)=0,"",VLOOKUP($A82,'Annex 2 EHV charges'!$A:$O,10,FALSE)),"")</f>
        <v>0.66</v>
      </c>
      <c r="H82" s="94">
        <f>IFERROR(IF(VLOOKUP($A82,'Annex 2 EHV charges'!$A:$O,11,FALSE)=0,"",VLOOKUP($A82,'Annex 2 EHV charges'!$A:$O,11,FALSE)),"")</f>
        <v>0.66</v>
      </c>
      <c r="I82" s="229" t="str">
        <f>IF(VLOOKUP(C82,'Annex 2 EHV charges'!$C$11:$P$154,14,FALSE)&lt;=5,"",VLOOKUP(C82,'Annex 2 EHV charges'!$C$11:$P$154,14,FALSE))</f>
        <v/>
      </c>
    </row>
    <row r="83" spans="1:9" ht="12.75" customHeight="1" x14ac:dyDescent="0.35">
      <c r="A83" s="87" t="str">
        <f t="array" ref="A83">IFERROR(INDEX('Annex 2 EHV charges'!$A$11:$A$260, MATCH(0, IF(ISBLANK('Annex 2 EHV charges'!$A$11:$A$260),1, COUNTIF(A$4:$A82, 'Annex 2 EHV charges'!$A$11:$A$260)), 0)),"")</f>
        <v>MSID 8083</v>
      </c>
      <c r="B83" s="87" t="str">
        <f>IF($A83="","",VLOOKUP($A83,'Annex 2 EHV charges'!$A:$O,2,0))</f>
        <v>MSID 8083</v>
      </c>
      <c r="C83" s="88" t="str">
        <f>IF($A83="","",VLOOKUP($A83,'Annex 2 EHV charges'!$A:$O,3,0))</f>
        <v>MSID 8083</v>
      </c>
      <c r="D83" s="87" t="str">
        <f>IF($A83="","",VLOOKUP($A83,'Annex 2 EHV charges'!$A:$O,7,0))</f>
        <v>Dumbarton</v>
      </c>
      <c r="E83" s="92" t="str">
        <f>IFERROR(IF(VLOOKUP($A83,'Annex 2 EHV charges'!$A:$O,8,FALSE)=0,"",VLOOKUP($A83,'Annex 2 EHV charges'!$A:$O,8,FALSE)),"")</f>
        <v>-</v>
      </c>
      <c r="F83" s="93">
        <f>IFERROR(IF(VLOOKUP($A83,'Annex 2 EHV charges'!$A:$O,9,FALSE)=0,"",VLOOKUP($A83,'Annex 2 EHV charges'!$A:$O,9,FALSE)),"")</f>
        <v>9458.5</v>
      </c>
      <c r="G83" s="94">
        <f>IFERROR(IF(VLOOKUP($A83,'Annex 2 EHV charges'!$A:$O,10,FALSE)=0,"",VLOOKUP($A83,'Annex 2 EHV charges'!$A:$O,10,FALSE)),"")</f>
        <v>0.82</v>
      </c>
      <c r="H83" s="94">
        <f>IFERROR(IF(VLOOKUP($A83,'Annex 2 EHV charges'!$A:$O,11,FALSE)=0,"",VLOOKUP($A83,'Annex 2 EHV charges'!$A:$O,11,FALSE)),"")</f>
        <v>0.82</v>
      </c>
      <c r="I83" s="229" t="str">
        <f>IF(VLOOKUP(C83,'Annex 2 EHV charges'!$C$11:$P$154,14,FALSE)&lt;=5,"",VLOOKUP(C83,'Annex 2 EHV charges'!$C$11:$P$154,14,FALSE))</f>
        <v/>
      </c>
    </row>
    <row r="84" spans="1:9" ht="12.75" customHeight="1" x14ac:dyDescent="0.35">
      <c r="A84" s="87" t="str">
        <f t="array" ref="A84">IFERROR(INDEX('Annex 2 EHV charges'!$A$11:$A$260, MATCH(0, IF(ISBLANK('Annex 2 EHV charges'!$A$11:$A$260),1, COUNTIF(A$4:$A83, 'Annex 2 EHV charges'!$A$11:$A$260)), 0)),"")</f>
        <v>MSID 8085</v>
      </c>
      <c r="B84" s="87" t="str">
        <f>IF($A84="","",VLOOKUP($A84,'Annex 2 EHV charges'!$A:$O,2,0))</f>
        <v>MSID 8085</v>
      </c>
      <c r="C84" s="88" t="str">
        <f>IF($A84="","",VLOOKUP($A84,'Annex 2 EHV charges'!$A:$O,3,0))</f>
        <v>MSID 8085</v>
      </c>
      <c r="D84" s="87" t="str">
        <f>IF($A84="","",VLOOKUP($A84,'Annex 2 EHV charges'!$A:$O,7,0))</f>
        <v>Stirling Road</v>
      </c>
      <c r="E84" s="92" t="str">
        <f>IFERROR(IF(VLOOKUP($A84,'Annex 2 EHV charges'!$A:$O,8,FALSE)=0,"",VLOOKUP($A84,'Annex 2 EHV charges'!$A:$O,8,FALSE)),"")</f>
        <v>-</v>
      </c>
      <c r="F84" s="93">
        <f>IFERROR(IF(VLOOKUP($A84,'Annex 2 EHV charges'!$A:$O,9,FALSE)=0,"",VLOOKUP($A84,'Annex 2 EHV charges'!$A:$O,9,FALSE)),"")</f>
        <v>9458.5</v>
      </c>
      <c r="G84" s="94">
        <f>IFERROR(IF(VLOOKUP($A84,'Annex 2 EHV charges'!$A:$O,10,FALSE)=0,"",VLOOKUP($A84,'Annex 2 EHV charges'!$A:$O,10,FALSE)),"")</f>
        <v>0.75</v>
      </c>
      <c r="H84" s="94">
        <f>IFERROR(IF(VLOOKUP($A84,'Annex 2 EHV charges'!$A:$O,11,FALSE)=0,"",VLOOKUP($A84,'Annex 2 EHV charges'!$A:$O,11,FALSE)),"")</f>
        <v>0.75</v>
      </c>
      <c r="I84" s="229" t="str">
        <f>IF(VLOOKUP(C84,'Annex 2 EHV charges'!$C$11:$P$154,14,FALSE)&lt;=5,"",VLOOKUP(C84,'Annex 2 EHV charges'!$C$11:$P$154,14,FALSE))</f>
        <v/>
      </c>
    </row>
    <row r="85" spans="1:9" ht="12.75" customHeight="1" x14ac:dyDescent="0.35">
      <c r="A85" s="87" t="str">
        <f t="array" ref="A85">IFERROR(INDEX('Annex 2 EHV charges'!$A$11:$A$260, MATCH(0, IF(ISBLANK('Annex 2 EHV charges'!$A$11:$A$260),1, COUNTIF(A$4:$A84, 'Annex 2 EHV charges'!$A$11:$A$260)), 0)),"")</f>
        <v>MSID 8334</v>
      </c>
      <c r="B85" s="87" t="str">
        <f>IF($A85="","",VLOOKUP($A85,'Annex 2 EHV charges'!$A:$O,2,0))</f>
        <v>MSID 8334</v>
      </c>
      <c r="C85" s="88" t="str">
        <f>IF($A85="","",VLOOKUP($A85,'Annex 2 EHV charges'!$A:$O,3,0))</f>
        <v>MSID 8334</v>
      </c>
      <c r="D85" s="87" t="str">
        <f>IF($A85="","",VLOOKUP($A85,'Annex 2 EHV charges'!$A:$O,7,0))</f>
        <v>Markinch</v>
      </c>
      <c r="E85" s="92" t="str">
        <f>IFERROR(IF(VLOOKUP($A85,'Annex 2 EHV charges'!$A:$O,8,FALSE)=0,"",VLOOKUP($A85,'Annex 2 EHV charges'!$A:$O,8,FALSE)),"")</f>
        <v>-</v>
      </c>
      <c r="F85" s="93">
        <f>IFERROR(IF(VLOOKUP($A85,'Annex 2 EHV charges'!$A:$O,9,FALSE)=0,"",VLOOKUP($A85,'Annex 2 EHV charges'!$A:$O,9,FALSE)),"")</f>
        <v>3747.69</v>
      </c>
      <c r="G85" s="94">
        <f>IFERROR(IF(VLOOKUP($A85,'Annex 2 EHV charges'!$A:$O,10,FALSE)=0,"",VLOOKUP($A85,'Annex 2 EHV charges'!$A:$O,10,FALSE)),"")</f>
        <v>0.65</v>
      </c>
      <c r="H85" s="94">
        <f>IFERROR(IF(VLOOKUP($A85,'Annex 2 EHV charges'!$A:$O,11,FALSE)=0,"",VLOOKUP($A85,'Annex 2 EHV charges'!$A:$O,11,FALSE)),"")</f>
        <v>0.65</v>
      </c>
      <c r="I85" s="229" t="str">
        <f>IF(VLOOKUP(C85,'Annex 2 EHV charges'!$C$11:$P$154,14,FALSE)&lt;=5,"",VLOOKUP(C85,'Annex 2 EHV charges'!$C$11:$P$154,14,FALSE))</f>
        <v/>
      </c>
    </row>
    <row r="86" spans="1:9" ht="12.75" customHeight="1" x14ac:dyDescent="0.35">
      <c r="A86" s="87" t="str">
        <f t="array" ref="A86">IFERROR(INDEX('Annex 2 EHV charges'!$A$11:$A$260, MATCH(0, IF(ISBLANK('Annex 2 EHV charges'!$A$11:$A$260),1, COUNTIF(A$4:$A85, 'Annex 2 EHV charges'!$A$11:$A$260)), 0)),"")</f>
        <v>MSID 8339</v>
      </c>
      <c r="B86" s="87" t="str">
        <f>IF($A86="","",VLOOKUP($A86,'Annex 2 EHV charges'!$A:$O,2,0))</f>
        <v>MSID 8339</v>
      </c>
      <c r="C86" s="88" t="str">
        <f>IF($A86="","",VLOOKUP($A86,'Annex 2 EHV charges'!$A:$O,3,0))</f>
        <v>MSID 8339</v>
      </c>
      <c r="D86" s="87" t="str">
        <f>IF($A86="","",VLOOKUP($A86,'Annex 2 EHV charges'!$A:$O,7,0))</f>
        <v>Harehill Extension</v>
      </c>
      <c r="E86" s="92" t="str">
        <f>IFERROR(IF(VLOOKUP($A86,'Annex 2 EHV charges'!$A:$O,8,FALSE)=0,"",VLOOKUP($A86,'Annex 2 EHV charges'!$A:$O,8,FALSE)),"")</f>
        <v>-</v>
      </c>
      <c r="F86" s="93">
        <f>IFERROR(IF(VLOOKUP($A86,'Annex 2 EHV charges'!$A:$O,9,FALSE)=0,"",VLOOKUP($A86,'Annex 2 EHV charges'!$A:$O,9,FALSE)),"")</f>
        <v>239.52</v>
      </c>
      <c r="G86" s="94">
        <f>IFERROR(IF(VLOOKUP($A86,'Annex 2 EHV charges'!$A:$O,10,FALSE)=0,"",VLOOKUP($A86,'Annex 2 EHV charges'!$A:$O,10,FALSE)),"")</f>
        <v>1.24</v>
      </c>
      <c r="H86" s="94">
        <f>IFERROR(IF(VLOOKUP($A86,'Annex 2 EHV charges'!$A:$O,11,FALSE)=0,"",VLOOKUP($A86,'Annex 2 EHV charges'!$A:$O,11,FALSE)),"")</f>
        <v>1.24</v>
      </c>
      <c r="I86" s="229" t="str">
        <f>IF(VLOOKUP(C86,'Annex 2 EHV charges'!$C$11:$P$154,14,FALSE)&lt;=5,"",VLOOKUP(C86,'Annex 2 EHV charges'!$C$11:$P$154,14,FALSE))</f>
        <v/>
      </c>
    </row>
    <row r="87" spans="1:9" ht="12.75" customHeight="1" x14ac:dyDescent="0.35">
      <c r="A87" s="87">
        <f t="array" ref="A87">IFERROR(INDEX('Annex 2 EHV charges'!$A$11:$A$260, MATCH(0, IF(ISBLANK('Annex 2 EHV charges'!$A$11:$A$260),1, COUNTIF(A$4:$A86, 'Annex 2 EHV charges'!$A$11:$A$260)), 0)),"")</f>
        <v>847</v>
      </c>
      <c r="B87" s="87">
        <f>IF($A87="","",VLOOKUP($A87,'Annex 2 EHV charges'!$A:$O,2,0))</f>
        <v>847</v>
      </c>
      <c r="C87" s="88">
        <f>IF($A87="","",VLOOKUP($A87,'Annex 2 EHV charges'!$A:$O,3,0))</f>
        <v>1800060931899</v>
      </c>
      <c r="D87" s="87" t="str">
        <f>IF($A87="","",VLOOKUP($A87,'Annex 2 EHV charges'!$A:$O,7,0))</f>
        <v>Aries</v>
      </c>
      <c r="E87" s="92" t="str">
        <f>IFERROR(IF(VLOOKUP($A87,'Annex 2 EHV charges'!$A:$O,8,FALSE)=0,"",VLOOKUP($A87,'Annex 2 EHV charges'!$A:$O,8,FALSE)),"")</f>
        <v>-</v>
      </c>
      <c r="F87" s="93">
        <f>IFERROR(IF(VLOOKUP($A87,'Annex 2 EHV charges'!$A:$O,9,FALSE)=0,"",VLOOKUP($A87,'Annex 2 EHV charges'!$A:$O,9,FALSE)),"")</f>
        <v>126.81</v>
      </c>
      <c r="G87" s="94">
        <f>IFERROR(IF(VLOOKUP($A87,'Annex 2 EHV charges'!$A:$O,10,FALSE)=0,"",VLOOKUP($A87,'Annex 2 EHV charges'!$A:$O,10,FALSE)),"")</f>
        <v>0.8</v>
      </c>
      <c r="H87" s="94">
        <f>IFERROR(IF(VLOOKUP($A87,'Annex 2 EHV charges'!$A:$O,11,FALSE)=0,"",VLOOKUP($A87,'Annex 2 EHV charges'!$A:$O,11,FALSE)),"")</f>
        <v>0.8</v>
      </c>
      <c r="I87" s="229" t="str">
        <f>IF(VLOOKUP(C87,'Annex 2 EHV charges'!$C$11:$P$154,14,FALSE)&lt;=5,"",VLOOKUP(C87,'Annex 2 EHV charges'!$C$11:$P$154,14,FALSE))</f>
        <v/>
      </c>
    </row>
    <row r="88" spans="1:9" ht="12.75" customHeight="1" x14ac:dyDescent="0.35">
      <c r="A88" s="87" t="str">
        <f t="array" ref="A88">IFERROR(INDEX('Annex 2 EHV charges'!$A$11:$A$260, MATCH(0, IF(ISBLANK('Annex 2 EHV charges'!$A$11:$A$260),1, COUNTIF(A$4:$A87, 'Annex 2 EHV charges'!$A$11:$A$260)), 0)),"")</f>
        <v>MSID 8341</v>
      </c>
      <c r="B88" s="87" t="str">
        <f>IF($A88="","",VLOOKUP($A88,'Annex 2 EHV charges'!$A:$O,2,0))</f>
        <v>MSID 8341</v>
      </c>
      <c r="C88" s="88" t="str">
        <f>IF($A88="","",VLOOKUP($A88,'Annex 2 EHV charges'!$A:$O,3,0))</f>
        <v>MSID 8341</v>
      </c>
      <c r="D88" s="87" t="str">
        <f>IF($A88="","",VLOOKUP($A88,'Annex 2 EHV charges'!$A:$O,7,0))</f>
        <v>Andershaw WF</v>
      </c>
      <c r="E88" s="92" t="str">
        <f>IFERROR(IF(VLOOKUP($A88,'Annex 2 EHV charges'!$A:$O,8,FALSE)=0,"",VLOOKUP($A88,'Annex 2 EHV charges'!$A:$O,8,FALSE)),"")</f>
        <v>-</v>
      </c>
      <c r="F88" s="93">
        <f>IFERROR(IF(VLOOKUP($A88,'Annex 2 EHV charges'!$A:$O,9,FALSE)=0,"",VLOOKUP($A88,'Annex 2 EHV charges'!$A:$O,9,FALSE)),"")</f>
        <v>192.03</v>
      </c>
      <c r="G88" s="94">
        <f>IFERROR(IF(VLOOKUP($A88,'Annex 2 EHV charges'!$A:$O,10,FALSE)=0,"",VLOOKUP($A88,'Annex 2 EHV charges'!$A:$O,10,FALSE)),"")</f>
        <v>1.1000000000000001</v>
      </c>
      <c r="H88" s="94">
        <f>IFERROR(IF(VLOOKUP($A88,'Annex 2 EHV charges'!$A:$O,11,FALSE)=0,"",VLOOKUP($A88,'Annex 2 EHV charges'!$A:$O,11,FALSE)),"")</f>
        <v>1.1000000000000001</v>
      </c>
      <c r="I88" s="229" t="str">
        <f>IF(VLOOKUP(C88,'Annex 2 EHV charges'!$C$11:$P$154,14,FALSE)&lt;=5,"",VLOOKUP(C88,'Annex 2 EHV charges'!$C$11:$P$154,14,FALSE))</f>
        <v/>
      </c>
    </row>
    <row r="89" spans="1:9" ht="12.75" customHeight="1" x14ac:dyDescent="0.35">
      <c r="A89" s="87" t="str">
        <f t="array" ref="A89">IFERROR(INDEX('Annex 2 EHV charges'!$A$11:$A$260, MATCH(0, IF(ISBLANK('Annex 2 EHV charges'!$A$11:$A$260),1, COUNTIF(A$4:$A88, 'Annex 2 EHV charges'!$A$11:$A$260)), 0)),"")</f>
        <v>MSID 8347</v>
      </c>
      <c r="B89" s="87" t="str">
        <f>IF($A89="","",VLOOKUP($A89,'Annex 2 EHV charges'!$A:$O,2,0))</f>
        <v>MSID 8347</v>
      </c>
      <c r="C89" s="88" t="str">
        <f>IF($A89="","",VLOOKUP($A89,'Annex 2 EHV charges'!$A:$O,3,0))</f>
        <v>MSID 8347</v>
      </c>
      <c r="D89" s="87" t="str">
        <f>IF($A89="","",VLOOKUP($A89,'Annex 2 EHV charges'!$A:$O,7,0))</f>
        <v>Assel Valley</v>
      </c>
      <c r="E89" s="92" t="str">
        <f>IFERROR(IF(VLOOKUP($A89,'Annex 2 EHV charges'!$A:$O,8,FALSE)=0,"",VLOOKUP($A89,'Annex 2 EHV charges'!$A:$O,8,FALSE)),"")</f>
        <v>-</v>
      </c>
      <c r="F89" s="93">
        <f>IFERROR(IF(VLOOKUP($A89,'Annex 2 EHV charges'!$A:$O,9,FALSE)=0,"",VLOOKUP($A89,'Annex 2 EHV charges'!$A:$O,9,FALSE)),"")</f>
        <v>2010.95</v>
      </c>
      <c r="G89" s="94">
        <f>IFERROR(IF(VLOOKUP($A89,'Annex 2 EHV charges'!$A:$O,10,FALSE)=0,"",VLOOKUP($A89,'Annex 2 EHV charges'!$A:$O,10,FALSE)),"")</f>
        <v>0.63</v>
      </c>
      <c r="H89" s="94">
        <f>IFERROR(IF(VLOOKUP($A89,'Annex 2 EHV charges'!$A:$O,11,FALSE)=0,"",VLOOKUP($A89,'Annex 2 EHV charges'!$A:$O,11,FALSE)),"")</f>
        <v>0.63</v>
      </c>
      <c r="I89" s="229" t="str">
        <f>IF(VLOOKUP(C89,'Annex 2 EHV charges'!$C$11:$P$154,14,FALSE)&lt;=5,"",VLOOKUP(C89,'Annex 2 EHV charges'!$C$11:$P$154,14,FALSE))</f>
        <v/>
      </c>
    </row>
    <row r="90" spans="1:9" ht="12.75" customHeight="1" x14ac:dyDescent="0.35">
      <c r="A90" s="87" t="str">
        <f t="array" ref="A90">IFERROR(INDEX('Annex 2 EHV charges'!$A$11:$A$260, MATCH(0, IF(ISBLANK('Annex 2 EHV charges'!$A$11:$A$260),1, COUNTIF(A$4:$A89, 'Annex 2 EHV charges'!$A$11:$A$260)), 0)),"")</f>
        <v>MSID 8348</v>
      </c>
      <c r="B90" s="87" t="str">
        <f>IF($A90="","",VLOOKUP($A90,'Annex 2 EHV charges'!$A:$O,2,0))</f>
        <v>MSID 8348</v>
      </c>
      <c r="C90" s="88" t="str">
        <f>IF($A90="","",VLOOKUP($A90,'Annex 2 EHV charges'!$A:$O,3,0))</f>
        <v>MSID 8348</v>
      </c>
      <c r="D90" s="87" t="str">
        <f>IF($A90="","",VLOOKUP($A90,'Annex 2 EHV charges'!$A:$O,7,0))</f>
        <v>Auchrobert</v>
      </c>
      <c r="E90" s="92" t="str">
        <f>IFERROR(IF(VLOOKUP($A90,'Annex 2 EHV charges'!$A:$O,8,FALSE)=0,"",VLOOKUP($A90,'Annex 2 EHV charges'!$A:$O,8,FALSE)),"")</f>
        <v>-</v>
      </c>
      <c r="F90" s="93">
        <f>IFERROR(IF(VLOOKUP($A90,'Annex 2 EHV charges'!$A:$O,9,FALSE)=0,"",VLOOKUP($A90,'Annex 2 EHV charges'!$A:$O,9,FALSE)),"")</f>
        <v>324.72000000000003</v>
      </c>
      <c r="G90" s="94">
        <f>IFERROR(IF(VLOOKUP($A90,'Annex 2 EHV charges'!$A:$O,10,FALSE)=0,"",VLOOKUP($A90,'Annex 2 EHV charges'!$A:$O,10,FALSE)),"")</f>
        <v>0.7</v>
      </c>
      <c r="H90" s="94">
        <f>IFERROR(IF(VLOOKUP($A90,'Annex 2 EHV charges'!$A:$O,11,FALSE)=0,"",VLOOKUP($A90,'Annex 2 EHV charges'!$A:$O,11,FALSE)),"")</f>
        <v>0.7</v>
      </c>
      <c r="I90" s="229" t="str">
        <f>IF(VLOOKUP(C90,'Annex 2 EHV charges'!$C$11:$P$154,14,FALSE)&lt;=5,"",VLOOKUP(C90,'Annex 2 EHV charges'!$C$11:$P$154,14,FALSE))</f>
        <v/>
      </c>
    </row>
    <row r="91" spans="1:9" ht="12.75" customHeight="1" x14ac:dyDescent="0.35">
      <c r="A91" s="87" t="str">
        <f t="array" ref="A91">IFERROR(INDEX('Annex 2 EHV charges'!$A$11:$A$260, MATCH(0, IF(ISBLANK('Annex 2 EHV charges'!$A$11:$A$260),1, COUNTIF(A$4:$A90, 'Annex 2 EHV charges'!$A$11:$A$260)), 0)),"")</f>
        <v>MSID 8349</v>
      </c>
      <c r="B91" s="87" t="str">
        <f>IF($A91="","",VLOOKUP($A91,'Annex 2 EHV charges'!$A:$O,2,0))</f>
        <v>MSID 8349</v>
      </c>
      <c r="C91" s="88" t="str">
        <f>IF($A91="","",VLOOKUP($A91,'Annex 2 EHV charges'!$A:$O,3,0))</f>
        <v>MSID 8349</v>
      </c>
      <c r="D91" s="87" t="str">
        <f>IF($A91="","",VLOOKUP($A91,'Annex 2 EHV charges'!$A:$O,7,0))</f>
        <v>Harburnhead</v>
      </c>
      <c r="E91" s="92" t="str">
        <f>IFERROR(IF(VLOOKUP($A91,'Annex 2 EHV charges'!$A:$O,8,FALSE)=0,"",VLOOKUP($A91,'Annex 2 EHV charges'!$A:$O,8,FALSE)),"")</f>
        <v>-</v>
      </c>
      <c r="F91" s="93">
        <f>IFERROR(IF(VLOOKUP($A91,'Annex 2 EHV charges'!$A:$O,9,FALSE)=0,"",VLOOKUP($A91,'Annex 2 EHV charges'!$A:$O,9,FALSE)),"")</f>
        <v>45.96</v>
      </c>
      <c r="G91" s="94">
        <f>IFERROR(IF(VLOOKUP($A91,'Annex 2 EHV charges'!$A:$O,10,FALSE)=0,"",VLOOKUP($A91,'Annex 2 EHV charges'!$A:$O,10,FALSE)),"")</f>
        <v>0.91</v>
      </c>
      <c r="H91" s="94">
        <f>IFERROR(IF(VLOOKUP($A91,'Annex 2 EHV charges'!$A:$O,11,FALSE)=0,"",VLOOKUP($A91,'Annex 2 EHV charges'!$A:$O,11,FALSE)),"")</f>
        <v>0.91</v>
      </c>
      <c r="I91" s="229" t="str">
        <f>IF(VLOOKUP(C91,'Annex 2 EHV charges'!$C$11:$P$154,14,FALSE)&lt;=5,"",VLOOKUP(C91,'Annex 2 EHV charges'!$C$11:$P$154,14,FALSE))</f>
        <v/>
      </c>
    </row>
    <row r="92" spans="1:9" ht="12.75" customHeight="1" x14ac:dyDescent="0.35">
      <c r="A92" s="87">
        <f t="array" ref="A92">IFERROR(INDEX('Annex 2 EHV charges'!$A$11:$A$260, MATCH(0, IF(ISBLANK('Annex 2 EHV charges'!$A$11:$A$260),1, COUNTIF(A$4:$A91, 'Annex 2 EHV charges'!$A$11:$A$260)), 0)),"")</f>
        <v>310</v>
      </c>
      <c r="B92" s="87">
        <f>IF($A92="","",VLOOKUP($A92,'Annex 2 EHV charges'!$A:$O,2,0))</f>
        <v>310</v>
      </c>
      <c r="C92" s="88">
        <f>IF($A92="","",VLOOKUP($A92,'Annex 2 EHV charges'!$A:$O,3,0))</f>
        <v>1800036579036</v>
      </c>
      <c r="D92" s="87" t="str">
        <f>IF($A92="","",VLOOKUP($A92,'Annex 2 EHV charges'!$A:$O,7,0))</f>
        <v>Magco</v>
      </c>
      <c r="E92" s="92" t="str">
        <f>IFERROR(IF(VLOOKUP($A92,'Annex 2 EHV charges'!$A:$O,8,FALSE)=0,"",VLOOKUP($A92,'Annex 2 EHV charges'!$A:$O,8,FALSE)),"")</f>
        <v>-</v>
      </c>
      <c r="F92" s="93">
        <f>IFERROR(IF(VLOOKUP($A92,'Annex 2 EHV charges'!$A:$O,9,FALSE)=0,"",VLOOKUP($A92,'Annex 2 EHV charges'!$A:$O,9,FALSE)),"")</f>
        <v>3271.72</v>
      </c>
      <c r="G92" s="94">
        <f>IFERROR(IF(VLOOKUP($A92,'Annex 2 EHV charges'!$A:$O,10,FALSE)=0,"",VLOOKUP($A92,'Annex 2 EHV charges'!$A:$O,10,FALSE)),"")</f>
        <v>3.58</v>
      </c>
      <c r="H92" s="94">
        <f>IFERROR(IF(VLOOKUP($A92,'Annex 2 EHV charges'!$A:$O,11,FALSE)=0,"",VLOOKUP($A92,'Annex 2 EHV charges'!$A:$O,11,FALSE)),"")</f>
        <v>3.58</v>
      </c>
      <c r="I92" s="229" t="str">
        <f>IF(VLOOKUP(C92,'Annex 2 EHV charges'!$C$11:$P$154,14,FALSE)&lt;=5,"",VLOOKUP(C92,'Annex 2 EHV charges'!$C$11:$P$154,14,FALSE))</f>
        <v/>
      </c>
    </row>
    <row r="93" spans="1:9" ht="12.75" customHeight="1" x14ac:dyDescent="0.35">
      <c r="A93" s="87">
        <f t="array" ref="A93">IFERROR(INDEX('Annex 2 EHV charges'!$A$11:$A$260, MATCH(0, IF(ISBLANK('Annex 2 EHV charges'!$A$11:$A$260),1, COUNTIF(A$4:$A92, 'Annex 2 EHV charges'!$A$11:$A$260)), 0)),"")</f>
        <v>311</v>
      </c>
      <c r="B93" s="87">
        <f>IF($A93="","",VLOOKUP($A93,'Annex 2 EHV charges'!$A:$O,2,0))</f>
        <v>311</v>
      </c>
      <c r="C93" s="88">
        <f>IF($A93="","",VLOOKUP($A93,'Annex 2 EHV charges'!$A:$O,3,0))</f>
        <v>1800035324497</v>
      </c>
      <c r="D93" s="87" t="str">
        <f>IF($A93="","",VLOOKUP($A93,'Annex 2 EHV charges'!$A:$O,7,0))</f>
        <v>Stirling University</v>
      </c>
      <c r="E93" s="92" t="str">
        <f>IFERROR(IF(VLOOKUP($A93,'Annex 2 EHV charges'!$A:$O,8,FALSE)=0,"",VLOOKUP($A93,'Annex 2 EHV charges'!$A:$O,8,FALSE)),"")</f>
        <v>-</v>
      </c>
      <c r="F93" s="93">
        <f>IFERROR(IF(VLOOKUP($A93,'Annex 2 EHV charges'!$A:$O,9,FALSE)=0,"",VLOOKUP($A93,'Annex 2 EHV charges'!$A:$O,9,FALSE)),"")</f>
        <v>3271.72</v>
      </c>
      <c r="G93" s="94">
        <f>IFERROR(IF(VLOOKUP($A93,'Annex 2 EHV charges'!$A:$O,10,FALSE)=0,"",VLOOKUP($A93,'Annex 2 EHV charges'!$A:$O,10,FALSE)),"")</f>
        <v>1.6</v>
      </c>
      <c r="H93" s="94">
        <f>IFERROR(IF(VLOOKUP($A93,'Annex 2 EHV charges'!$A:$O,11,FALSE)=0,"",VLOOKUP($A93,'Annex 2 EHV charges'!$A:$O,11,FALSE)),"")</f>
        <v>1.6</v>
      </c>
      <c r="I93" s="229" t="str">
        <f>IF(VLOOKUP(C93,'Annex 2 EHV charges'!$C$11:$P$154,14,FALSE)&lt;=5,"",VLOOKUP(C93,'Annex 2 EHV charges'!$C$11:$P$154,14,FALSE))</f>
        <v/>
      </c>
    </row>
    <row r="94" spans="1:9" ht="12.75" customHeight="1" x14ac:dyDescent="0.35">
      <c r="A94" s="87">
        <f t="array" ref="A94">IFERROR(INDEX('Annex 2 EHV charges'!$A$11:$A$260, MATCH(0, IF(ISBLANK('Annex 2 EHV charges'!$A$11:$A$260),1, COUNTIF(A$4:$A93, 'Annex 2 EHV charges'!$A$11:$A$260)), 0)),"")</f>
        <v>312</v>
      </c>
      <c r="B94" s="87">
        <f>IF($A94="","",VLOOKUP($A94,'Annex 2 EHV charges'!$A:$O,2,0))</f>
        <v>312</v>
      </c>
      <c r="C94" s="88">
        <f>IF($A94="","",VLOOKUP($A94,'Annex 2 EHV charges'!$A:$O,3,0))</f>
        <v>1800035324530</v>
      </c>
      <c r="D94" s="87" t="str">
        <f>IF($A94="","",VLOOKUP($A94,'Annex 2 EHV charges'!$A:$O,7,0))</f>
        <v>Glenochil Distillery</v>
      </c>
      <c r="E94" s="92" t="str">
        <f>IFERROR(IF(VLOOKUP($A94,'Annex 2 EHV charges'!$A:$O,8,FALSE)=0,"",VLOOKUP($A94,'Annex 2 EHV charges'!$A:$O,8,FALSE)),"")</f>
        <v>-</v>
      </c>
      <c r="F94" s="93">
        <f>IFERROR(IF(VLOOKUP($A94,'Annex 2 EHV charges'!$A:$O,9,FALSE)=0,"",VLOOKUP($A94,'Annex 2 EHV charges'!$A:$O,9,FALSE)),"")</f>
        <v>9854.6200000000008</v>
      </c>
      <c r="G94" s="94">
        <f>IFERROR(IF(VLOOKUP($A94,'Annex 2 EHV charges'!$A:$O,10,FALSE)=0,"",VLOOKUP($A94,'Annex 2 EHV charges'!$A:$O,10,FALSE)),"")</f>
        <v>3.9</v>
      </c>
      <c r="H94" s="94">
        <f>IFERROR(IF(VLOOKUP($A94,'Annex 2 EHV charges'!$A:$O,11,FALSE)=0,"",VLOOKUP($A94,'Annex 2 EHV charges'!$A:$O,11,FALSE)),"")</f>
        <v>3.9</v>
      </c>
      <c r="I94" s="229" t="str">
        <f>IF(VLOOKUP(C94,'Annex 2 EHV charges'!$C$11:$P$154,14,FALSE)&lt;=5,"",VLOOKUP(C94,'Annex 2 EHV charges'!$C$11:$P$154,14,FALSE))</f>
        <v/>
      </c>
    </row>
    <row r="95" spans="1:9" ht="12.75" customHeight="1" x14ac:dyDescent="0.35">
      <c r="A95" s="87">
        <f t="array" ref="A95">IFERROR(INDEX('Annex 2 EHV charges'!$A$11:$A$260, MATCH(0, IF(ISBLANK('Annex 2 EHV charges'!$A$11:$A$260),1, COUNTIF(A$4:$A94, 'Annex 2 EHV charges'!$A$11:$A$260)), 0)),"")</f>
        <v>314</v>
      </c>
      <c r="B95" s="87">
        <f>IF($A95="","",VLOOKUP($A95,'Annex 2 EHV charges'!$A:$O,2,0))</f>
        <v>314</v>
      </c>
      <c r="C95" s="88">
        <f>IF($A95="","",VLOOKUP($A95,'Annex 2 EHV charges'!$A:$O,3,0))</f>
        <v>1800035327674</v>
      </c>
      <c r="D95" s="87" t="str">
        <f>IF($A95="","",VLOOKUP($A95,'Annex 2 EHV charges'!$A:$O,7,0))</f>
        <v>Cameron Ironworks</v>
      </c>
      <c r="E95" s="92" t="str">
        <f>IFERROR(IF(VLOOKUP($A95,'Annex 2 EHV charges'!$A:$O,8,FALSE)=0,"",VLOOKUP($A95,'Annex 2 EHV charges'!$A:$O,8,FALSE)),"")</f>
        <v>-</v>
      </c>
      <c r="F95" s="93">
        <f>IFERROR(IF(VLOOKUP($A95,'Annex 2 EHV charges'!$A:$O,9,FALSE)=0,"",VLOOKUP($A95,'Annex 2 EHV charges'!$A:$O,9,FALSE)),"")</f>
        <v>3271.72</v>
      </c>
      <c r="G95" s="94">
        <f>IFERROR(IF(VLOOKUP($A95,'Annex 2 EHV charges'!$A:$O,10,FALSE)=0,"",VLOOKUP($A95,'Annex 2 EHV charges'!$A:$O,10,FALSE)),"")</f>
        <v>2.11</v>
      </c>
      <c r="H95" s="94">
        <f>IFERROR(IF(VLOOKUP($A95,'Annex 2 EHV charges'!$A:$O,11,FALSE)=0,"",VLOOKUP($A95,'Annex 2 EHV charges'!$A:$O,11,FALSE)),"")</f>
        <v>2.11</v>
      </c>
      <c r="I95" s="229" t="str">
        <f>IF(VLOOKUP(C95,'Annex 2 EHV charges'!$C$11:$P$154,14,FALSE)&lt;=5,"",VLOOKUP(C95,'Annex 2 EHV charges'!$C$11:$P$154,14,FALSE))</f>
        <v/>
      </c>
    </row>
    <row r="96" spans="1:9" ht="12.75" customHeight="1" x14ac:dyDescent="0.35">
      <c r="A96" s="87">
        <f t="array" ref="A96">IFERROR(INDEX('Annex 2 EHV charges'!$A$11:$A$260, MATCH(0, IF(ISBLANK('Annex 2 EHV charges'!$A$11:$A$260),1, COUNTIF(A$4:$A95, 'Annex 2 EHV charges'!$A$11:$A$260)), 0)),"")</f>
        <v>315</v>
      </c>
      <c r="B96" s="87">
        <f>IF($A96="","",VLOOKUP($A96,'Annex 2 EHV charges'!$A:$O,2,0))</f>
        <v>315</v>
      </c>
      <c r="C96" s="88">
        <f>IF($A96="","",VLOOKUP($A96,'Annex 2 EHV charges'!$A:$O,3,0))</f>
        <v>1800035313398</v>
      </c>
      <c r="D96" s="87" t="str">
        <f>IF($A96="","",VLOOKUP($A96,'Annex 2 EHV charges'!$A:$O,7,0))</f>
        <v>Shin-Etsu</v>
      </c>
      <c r="E96" s="92" t="str">
        <f>IFERROR(IF(VLOOKUP($A96,'Annex 2 EHV charges'!$A:$O,8,FALSE)=0,"",VLOOKUP($A96,'Annex 2 EHV charges'!$A:$O,8,FALSE)),"")</f>
        <v>-</v>
      </c>
      <c r="F96" s="93">
        <f>IFERROR(IF(VLOOKUP($A96,'Annex 2 EHV charges'!$A:$O,9,FALSE)=0,"",VLOOKUP($A96,'Annex 2 EHV charges'!$A:$O,9,FALSE)),"")</f>
        <v>24976.92</v>
      </c>
      <c r="G96" s="94">
        <f>IFERROR(IF(VLOOKUP($A96,'Annex 2 EHV charges'!$A:$O,10,FALSE)=0,"",VLOOKUP($A96,'Annex 2 EHV charges'!$A:$O,10,FALSE)),"")</f>
        <v>3.43</v>
      </c>
      <c r="H96" s="94">
        <f>IFERROR(IF(VLOOKUP($A96,'Annex 2 EHV charges'!$A:$O,11,FALSE)=0,"",VLOOKUP($A96,'Annex 2 EHV charges'!$A:$O,11,FALSE)),"")</f>
        <v>3.43</v>
      </c>
      <c r="I96" s="229" t="str">
        <f>IF(VLOOKUP(C96,'Annex 2 EHV charges'!$C$11:$P$154,14,FALSE)&lt;=5,"",VLOOKUP(C96,'Annex 2 EHV charges'!$C$11:$P$154,14,FALSE))</f>
        <v/>
      </c>
    </row>
    <row r="97" spans="1:9" ht="12.75" customHeight="1" x14ac:dyDescent="0.35">
      <c r="A97" s="87">
        <f t="array" ref="A97">IFERROR(INDEX('Annex 2 EHV charges'!$A$11:$A$260, MATCH(0, IF(ISBLANK('Annex 2 EHV charges'!$A$11:$A$260),1, COUNTIF(A$4:$A96, 'Annex 2 EHV charges'!$A$11:$A$260)), 0)),"")</f>
        <v>316</v>
      </c>
      <c r="B97" s="87">
        <f>IF($A97="","",VLOOKUP($A97,'Annex 2 EHV charges'!$A:$O,2,0))</f>
        <v>316</v>
      </c>
      <c r="C97" s="88">
        <f>IF($A97="","",VLOOKUP($A97,'Annex 2 EHV charges'!$A:$O,3,0))</f>
        <v>1800035344100</v>
      </c>
      <c r="D97" s="87" t="str">
        <f>IF($A97="","",VLOOKUP($A97,'Annex 2 EHV charges'!$A:$O,7,0))</f>
        <v>United Biscuits</v>
      </c>
      <c r="E97" s="92" t="str">
        <f>IFERROR(IF(VLOOKUP($A97,'Annex 2 EHV charges'!$A:$O,8,FALSE)=0,"",VLOOKUP($A97,'Annex 2 EHV charges'!$A:$O,8,FALSE)),"")</f>
        <v>-</v>
      </c>
      <c r="F97" s="93">
        <f>IFERROR(IF(VLOOKUP($A97,'Annex 2 EHV charges'!$A:$O,9,FALSE)=0,"",VLOOKUP($A97,'Annex 2 EHV charges'!$A:$O,9,FALSE)),"")</f>
        <v>3271.72</v>
      </c>
      <c r="G97" s="94">
        <f>IFERROR(IF(VLOOKUP($A97,'Annex 2 EHV charges'!$A:$O,10,FALSE)=0,"",VLOOKUP($A97,'Annex 2 EHV charges'!$A:$O,10,FALSE)),"")</f>
        <v>2.57</v>
      </c>
      <c r="H97" s="94">
        <f>IFERROR(IF(VLOOKUP($A97,'Annex 2 EHV charges'!$A:$O,11,FALSE)=0,"",VLOOKUP($A97,'Annex 2 EHV charges'!$A:$O,11,FALSE)),"")</f>
        <v>2.57</v>
      </c>
      <c r="I97" s="229" t="str">
        <f>IF(VLOOKUP(C97,'Annex 2 EHV charges'!$C$11:$P$154,14,FALSE)&lt;=5,"",VLOOKUP(C97,'Annex 2 EHV charges'!$C$11:$P$154,14,FALSE))</f>
        <v/>
      </c>
    </row>
    <row r="98" spans="1:9" ht="12.75" customHeight="1" x14ac:dyDescent="0.35">
      <c r="A98" s="87">
        <f t="array" ref="A98">IFERROR(INDEX('Annex 2 EHV charges'!$A$11:$A$260, MATCH(0, IF(ISBLANK('Annex 2 EHV charges'!$A$11:$A$260),1, COUNTIF(A$4:$A97, 'Annex 2 EHV charges'!$A$11:$A$260)), 0)),"")</f>
        <v>318</v>
      </c>
      <c r="B98" s="87">
        <f>IF($A98="","",VLOOKUP($A98,'Annex 2 EHV charges'!$A:$O,2,0))</f>
        <v>318</v>
      </c>
      <c r="C98" s="88">
        <f>IF($A98="","",VLOOKUP($A98,'Annex 2 EHV charges'!$A:$O,3,0))</f>
        <v>1800035337584</v>
      </c>
      <c r="D98" s="87" t="str">
        <f>IF($A98="","",VLOOKUP($A98,'Annex 2 EHV charges'!$A:$O,7,0))</f>
        <v>Balfours</v>
      </c>
      <c r="E98" s="92" t="str">
        <f>IFERROR(IF(VLOOKUP($A98,'Annex 2 EHV charges'!$A:$O,8,FALSE)=0,"",VLOOKUP($A98,'Annex 2 EHV charges'!$A:$O,8,FALSE)),"")</f>
        <v>-</v>
      </c>
      <c r="F98" s="93">
        <f>IFERROR(IF(VLOOKUP($A98,'Annex 2 EHV charges'!$A:$O,9,FALSE)=0,"",VLOOKUP($A98,'Annex 2 EHV charges'!$A:$O,9,FALSE)),"")</f>
        <v>3271.72</v>
      </c>
      <c r="G98" s="94">
        <f>IFERROR(IF(VLOOKUP($A98,'Annex 2 EHV charges'!$A:$O,10,FALSE)=0,"",VLOOKUP($A98,'Annex 2 EHV charges'!$A:$O,10,FALSE)),"")</f>
        <v>0.93</v>
      </c>
      <c r="H98" s="94">
        <f>IFERROR(IF(VLOOKUP($A98,'Annex 2 EHV charges'!$A:$O,11,FALSE)=0,"",VLOOKUP($A98,'Annex 2 EHV charges'!$A:$O,11,FALSE)),"")</f>
        <v>0.93</v>
      </c>
      <c r="I98" s="229" t="str">
        <f>IF(VLOOKUP(C98,'Annex 2 EHV charges'!$C$11:$P$154,14,FALSE)&lt;=5,"",VLOOKUP(C98,'Annex 2 EHV charges'!$C$11:$P$154,14,FALSE))</f>
        <v/>
      </c>
    </row>
    <row r="99" spans="1:9" ht="12.75" customHeight="1" x14ac:dyDescent="0.35">
      <c r="A99" s="87">
        <f t="array" ref="A99">IFERROR(INDEX('Annex 2 EHV charges'!$A$11:$A$260, MATCH(0, IF(ISBLANK('Annex 2 EHV charges'!$A$11:$A$260),1, COUNTIF(A$4:$A98, 'Annex 2 EHV charges'!$A$11:$A$260)), 0)),"")</f>
        <v>319</v>
      </c>
      <c r="B99" s="87">
        <f>IF($A99="","",VLOOKUP($A99,'Annex 2 EHV charges'!$A:$O,2,0))</f>
        <v>319</v>
      </c>
      <c r="C99" s="88">
        <f>IF($A99="","",VLOOKUP($A99,'Annex 2 EHV charges'!$A:$O,3,0))</f>
        <v>1800035331634</v>
      </c>
      <c r="D99" s="87" t="str">
        <f>IF($A99="","",VLOOKUP($A99,'Annex 2 EHV charges'!$A:$O,7,0))</f>
        <v>NB Distillery</v>
      </c>
      <c r="E99" s="92" t="str">
        <f>IFERROR(IF(VLOOKUP($A99,'Annex 2 EHV charges'!$A:$O,8,FALSE)=0,"",VLOOKUP($A99,'Annex 2 EHV charges'!$A:$O,8,FALSE)),"")</f>
        <v>-</v>
      </c>
      <c r="F99" s="93">
        <f>IFERROR(IF(VLOOKUP($A99,'Annex 2 EHV charges'!$A:$O,9,FALSE)=0,"",VLOOKUP($A99,'Annex 2 EHV charges'!$A:$O,9,FALSE)),"")</f>
        <v>9854.6200000000008</v>
      </c>
      <c r="G99" s="94">
        <f>IFERROR(IF(VLOOKUP($A99,'Annex 2 EHV charges'!$A:$O,10,FALSE)=0,"",VLOOKUP($A99,'Annex 2 EHV charges'!$A:$O,10,FALSE)),"")</f>
        <v>3.06</v>
      </c>
      <c r="H99" s="94">
        <f>IFERROR(IF(VLOOKUP($A99,'Annex 2 EHV charges'!$A:$O,11,FALSE)=0,"",VLOOKUP($A99,'Annex 2 EHV charges'!$A:$O,11,FALSE)),"")</f>
        <v>3.06</v>
      </c>
      <c r="I99" s="229" t="str">
        <f>IF(VLOOKUP(C99,'Annex 2 EHV charges'!$C$11:$P$154,14,FALSE)&lt;=5,"",VLOOKUP(C99,'Annex 2 EHV charges'!$C$11:$P$154,14,FALSE))</f>
        <v/>
      </c>
    </row>
    <row r="100" spans="1:9" ht="12.75" customHeight="1" x14ac:dyDescent="0.35">
      <c r="A100" s="87">
        <f t="array" ref="A100">IFERROR(INDEX('Annex 2 EHV charges'!$A$11:$A$260, MATCH(0, IF(ISBLANK('Annex 2 EHV charges'!$A$11:$A$260),1, COUNTIF(A$4:$A99, 'Annex 2 EHV charges'!$A$11:$A$260)), 0)),"")</f>
        <v>320</v>
      </c>
      <c r="B100" s="87">
        <f>IF($A100="","",VLOOKUP($A100,'Annex 2 EHV charges'!$A:$O,2,0))</f>
        <v>320</v>
      </c>
      <c r="C100" s="88">
        <f>IF($A100="","",VLOOKUP($A100,'Annex 2 EHV charges'!$A:$O,3,0))</f>
        <v>1800035340220</v>
      </c>
      <c r="D100" s="87" t="str">
        <f>IF($A100="","",VLOOKUP($A100,'Annex 2 EHV charges'!$A:$O,7,0))</f>
        <v>Finnart BP</v>
      </c>
      <c r="E100" s="92" t="str">
        <f>IFERROR(IF(VLOOKUP($A100,'Annex 2 EHV charges'!$A:$O,8,FALSE)=0,"",VLOOKUP($A100,'Annex 2 EHV charges'!$A:$O,8,FALSE)),"")</f>
        <v>-</v>
      </c>
      <c r="F100" s="93">
        <f>IFERROR(IF(VLOOKUP($A100,'Annex 2 EHV charges'!$A:$O,9,FALSE)=0,"",VLOOKUP($A100,'Annex 2 EHV charges'!$A:$O,9,FALSE)),"")</f>
        <v>19824.560000000001</v>
      </c>
      <c r="G100" s="94">
        <f>IFERROR(IF(VLOOKUP($A100,'Annex 2 EHV charges'!$A:$O,10,FALSE)=0,"",VLOOKUP($A100,'Annex 2 EHV charges'!$A:$O,10,FALSE)),"")</f>
        <v>3.08</v>
      </c>
      <c r="H100" s="94">
        <f>IFERROR(IF(VLOOKUP($A100,'Annex 2 EHV charges'!$A:$O,11,FALSE)=0,"",VLOOKUP($A100,'Annex 2 EHV charges'!$A:$O,11,FALSE)),"")</f>
        <v>3.08</v>
      </c>
      <c r="I100" s="229" t="str">
        <f>IF(VLOOKUP(C100,'Annex 2 EHV charges'!$C$11:$P$154,14,FALSE)&lt;=5,"",VLOOKUP(C100,'Annex 2 EHV charges'!$C$11:$P$154,14,FALSE))</f>
        <v/>
      </c>
    </row>
    <row r="101" spans="1:9" ht="12.75" customHeight="1" x14ac:dyDescent="0.35">
      <c r="A101" s="87">
        <f t="array" ref="A101">IFERROR(INDEX('Annex 2 EHV charges'!$A$11:$A$260, MATCH(0, IF(ISBLANK('Annex 2 EHV charges'!$A$11:$A$260),1, COUNTIF(A$4:$A100, 'Annex 2 EHV charges'!$A$11:$A$260)), 0)),"")</f>
        <v>321</v>
      </c>
      <c r="B101" s="87">
        <f>IF($A101="","",VLOOKUP($A101,'Annex 2 EHV charges'!$A:$O,2,0))</f>
        <v>321</v>
      </c>
      <c r="C101" s="88">
        <f>IF($A101="","",VLOOKUP($A101,'Annex 2 EHV charges'!$A:$O,3,0))</f>
        <v>1800035346589</v>
      </c>
      <c r="D101" s="87" t="str">
        <f>IF($A101="","",VLOOKUP($A101,'Annex 2 EHV charges'!$A:$O,7,0))</f>
        <v>Texas Instruments</v>
      </c>
      <c r="E101" s="92" t="str">
        <f>IFERROR(IF(VLOOKUP($A101,'Annex 2 EHV charges'!$A:$O,8,FALSE)=0,"",VLOOKUP($A101,'Annex 2 EHV charges'!$A:$O,8,FALSE)),"")</f>
        <v>-</v>
      </c>
      <c r="F101" s="93">
        <f>IFERROR(IF(VLOOKUP($A101,'Annex 2 EHV charges'!$A:$O,9,FALSE)=0,"",VLOOKUP($A101,'Annex 2 EHV charges'!$A:$O,9,FALSE)),"")</f>
        <v>10250.74</v>
      </c>
      <c r="G101" s="94">
        <f>IFERROR(IF(VLOOKUP($A101,'Annex 2 EHV charges'!$A:$O,10,FALSE)=0,"",VLOOKUP($A101,'Annex 2 EHV charges'!$A:$O,10,FALSE)),"")</f>
        <v>4.38</v>
      </c>
      <c r="H101" s="94">
        <f>IFERROR(IF(VLOOKUP($A101,'Annex 2 EHV charges'!$A:$O,11,FALSE)=0,"",VLOOKUP($A101,'Annex 2 EHV charges'!$A:$O,11,FALSE)),"")</f>
        <v>4.38</v>
      </c>
      <c r="I101" s="229" t="str">
        <f>IF(VLOOKUP(C101,'Annex 2 EHV charges'!$C$11:$P$154,14,FALSE)&lt;=5,"",VLOOKUP(C101,'Annex 2 EHV charges'!$C$11:$P$154,14,FALSE))</f>
        <v/>
      </c>
    </row>
    <row r="102" spans="1:9" ht="12.75" customHeight="1" x14ac:dyDescent="0.35">
      <c r="A102" s="87">
        <f t="array" ref="A102">IFERROR(INDEX('Annex 2 EHV charges'!$A$11:$A$260, MATCH(0, IF(ISBLANK('Annex 2 EHV charges'!$A$11:$A$260),1, COUNTIF(A$4:$A101, 'Annex 2 EHV charges'!$A$11:$A$260)), 0)),"")</f>
        <v>322</v>
      </c>
      <c r="B102" s="87">
        <f>IF($A102="","",VLOOKUP($A102,'Annex 2 EHV charges'!$A:$O,2,0))</f>
        <v>322</v>
      </c>
      <c r="C102" s="88">
        <f>IF($A102="","",VLOOKUP($A102,'Annex 2 EHV charges'!$A:$O,3,0))</f>
        <v>1800035346817</v>
      </c>
      <c r="D102" s="87" t="str">
        <f>IF($A102="","",VLOOKUP($A102,'Annex 2 EHV charges'!$A:$O,7,0))</f>
        <v>Glasgow Airport</v>
      </c>
      <c r="E102" s="92" t="str">
        <f>IFERROR(IF(VLOOKUP($A102,'Annex 2 EHV charges'!$A:$O,8,FALSE)=0,"",VLOOKUP($A102,'Annex 2 EHV charges'!$A:$O,8,FALSE)),"")</f>
        <v>-</v>
      </c>
      <c r="F102" s="93">
        <f>IFERROR(IF(VLOOKUP($A102,'Annex 2 EHV charges'!$A:$O,9,FALSE)=0,"",VLOOKUP($A102,'Annex 2 EHV charges'!$A:$O,9,FALSE)),"")</f>
        <v>3271.72</v>
      </c>
      <c r="G102" s="94">
        <f>IFERROR(IF(VLOOKUP($A102,'Annex 2 EHV charges'!$A:$O,10,FALSE)=0,"",VLOOKUP($A102,'Annex 2 EHV charges'!$A:$O,10,FALSE)),"")</f>
        <v>4.6900000000000004</v>
      </c>
      <c r="H102" s="94">
        <f>IFERROR(IF(VLOOKUP($A102,'Annex 2 EHV charges'!$A:$O,11,FALSE)=0,"",VLOOKUP($A102,'Annex 2 EHV charges'!$A:$O,11,FALSE)),"")</f>
        <v>4.6900000000000004</v>
      </c>
      <c r="I102" s="229" t="str">
        <f>IF(VLOOKUP(C102,'Annex 2 EHV charges'!$C$11:$P$154,14,FALSE)&lt;=5,"",VLOOKUP(C102,'Annex 2 EHV charges'!$C$11:$P$154,14,FALSE))</f>
        <v/>
      </c>
    </row>
    <row r="103" spans="1:9" ht="12.75" customHeight="1" x14ac:dyDescent="0.35">
      <c r="A103" s="87">
        <f t="array" ref="A103">IFERROR(INDEX('Annex 2 EHV charges'!$A$11:$A$260, MATCH(0, IF(ISBLANK('Annex 2 EHV charges'!$A$11:$A$260),1, COUNTIF(A$4:$A102, 'Annex 2 EHV charges'!$A$11:$A$260)), 0)),"")</f>
        <v>323</v>
      </c>
      <c r="B103" s="87">
        <f>IF($A103="","",VLOOKUP($A103,'Annex 2 EHV charges'!$A:$O,2,0))</f>
        <v>323</v>
      </c>
      <c r="C103" s="88">
        <f>IF($A103="","",VLOOKUP($A103,'Annex 2 EHV charges'!$A:$O,3,0))</f>
        <v>1800035326848</v>
      </c>
      <c r="D103" s="87" t="str">
        <f>IF($A103="","",VLOOKUP($A103,'Annex 2 EHV charges'!$A:$O,7,0))</f>
        <v>BP Dalmeny</v>
      </c>
      <c r="E103" s="92" t="str">
        <f>IFERROR(IF(VLOOKUP($A103,'Annex 2 EHV charges'!$A:$O,8,FALSE)=0,"",VLOOKUP($A103,'Annex 2 EHV charges'!$A:$O,8,FALSE)),"")</f>
        <v>-</v>
      </c>
      <c r="F103" s="93">
        <f>IFERROR(IF(VLOOKUP($A103,'Annex 2 EHV charges'!$A:$O,9,FALSE)=0,"",VLOOKUP($A103,'Annex 2 EHV charges'!$A:$O,9,FALSE)),"")</f>
        <v>14677.73</v>
      </c>
      <c r="G103" s="94">
        <f>IFERROR(IF(VLOOKUP($A103,'Annex 2 EHV charges'!$A:$O,10,FALSE)=0,"",VLOOKUP($A103,'Annex 2 EHV charges'!$A:$O,10,FALSE)),"")</f>
        <v>1.53</v>
      </c>
      <c r="H103" s="94">
        <f>IFERROR(IF(VLOOKUP($A103,'Annex 2 EHV charges'!$A:$O,11,FALSE)=0,"",VLOOKUP($A103,'Annex 2 EHV charges'!$A:$O,11,FALSE)),"")</f>
        <v>1.53</v>
      </c>
      <c r="I103" s="229" t="str">
        <f>IF(VLOOKUP(C103,'Annex 2 EHV charges'!$C$11:$P$154,14,FALSE)&lt;=5,"",VLOOKUP(C103,'Annex 2 EHV charges'!$C$11:$P$154,14,FALSE))</f>
        <v/>
      </c>
    </row>
    <row r="104" spans="1:9" ht="12.75" customHeight="1" x14ac:dyDescent="0.35">
      <c r="A104" s="87">
        <f t="array" ref="A104">IFERROR(INDEX('Annex 2 EHV charges'!$A$11:$A$260, MATCH(0, IF(ISBLANK('Annex 2 EHV charges'!$A$11:$A$260),1, COUNTIF(A$4:$A103, 'Annex 2 EHV charges'!$A$11:$A$260)), 0)),"")</f>
        <v>324</v>
      </c>
      <c r="B104" s="87">
        <f>IF($A104="","",VLOOKUP($A104,'Annex 2 EHV charges'!$A:$O,2,0))</f>
        <v>324</v>
      </c>
      <c r="C104" s="88">
        <f>IF($A104="","",VLOOKUP($A104,'Annex 2 EHV charges'!$A:$O,3,0))</f>
        <v>1800035334227</v>
      </c>
      <c r="D104" s="87" t="str">
        <f>IF($A104="","",VLOOKUP($A104,'Annex 2 EHV charges'!$A:$O,7,0))</f>
        <v>Edinburgh Dock North</v>
      </c>
      <c r="E104" s="92" t="str">
        <f>IFERROR(IF(VLOOKUP($A104,'Annex 2 EHV charges'!$A:$O,8,FALSE)=0,"",VLOOKUP($A104,'Annex 2 EHV charges'!$A:$O,8,FALSE)),"")</f>
        <v>-</v>
      </c>
      <c r="F104" s="93">
        <f>IFERROR(IF(VLOOKUP($A104,'Annex 2 EHV charges'!$A:$O,9,FALSE)=0,"",VLOOKUP($A104,'Annex 2 EHV charges'!$A:$O,9,FALSE)),"")</f>
        <v>42366.73</v>
      </c>
      <c r="G104" s="94">
        <f>IFERROR(IF(VLOOKUP($A104,'Annex 2 EHV charges'!$A:$O,10,FALSE)=0,"",VLOOKUP($A104,'Annex 2 EHV charges'!$A:$O,10,FALSE)),"")</f>
        <v>1.49</v>
      </c>
      <c r="H104" s="94">
        <f>IFERROR(IF(VLOOKUP($A104,'Annex 2 EHV charges'!$A:$O,11,FALSE)=0,"",VLOOKUP($A104,'Annex 2 EHV charges'!$A:$O,11,FALSE)),"")</f>
        <v>1.49</v>
      </c>
      <c r="I104" s="229" t="str">
        <f>IF(VLOOKUP(C104,'Annex 2 EHV charges'!$C$11:$P$154,14,FALSE)&lt;=5,"",VLOOKUP(C104,'Annex 2 EHV charges'!$C$11:$P$154,14,FALSE))</f>
        <v>See Annex 6</v>
      </c>
    </row>
    <row r="105" spans="1:9" ht="12.75" customHeight="1" x14ac:dyDescent="0.35">
      <c r="A105" s="87">
        <f t="array" ref="A105">IFERROR(INDEX('Annex 2 EHV charges'!$A$11:$A$260, MATCH(0, IF(ISBLANK('Annex 2 EHV charges'!$A$11:$A$260),1, COUNTIF(A$4:$A104, 'Annex 2 EHV charges'!$A$11:$A$260)), 0)),"")</f>
        <v>326</v>
      </c>
      <c r="B105" s="87">
        <f>IF($A105="","",VLOOKUP($A105,'Annex 2 EHV charges'!$A:$O,2,0))</f>
        <v>326</v>
      </c>
      <c r="C105" s="88">
        <f>IF($A105="","",VLOOKUP($A105,'Annex 2 EHV charges'!$A:$O,3,0))</f>
        <v>1800053646215</v>
      </c>
      <c r="D105" s="87" t="str">
        <f>IF($A105="","",VLOOKUP($A105,'Annex 2 EHV charges'!$A:$O,7,0))</f>
        <v>Bonnington Power Station</v>
      </c>
      <c r="E105" s="92" t="str">
        <f>IFERROR(IF(VLOOKUP($A105,'Annex 2 EHV charges'!$A:$O,8,FALSE)=0,"",VLOOKUP($A105,'Annex 2 EHV charges'!$A:$O,8,FALSE)),"")</f>
        <v>-</v>
      </c>
      <c r="F105" s="93">
        <f>IFERROR(IF(VLOOKUP($A105,'Annex 2 EHV charges'!$A:$O,9,FALSE)=0,"",VLOOKUP($A105,'Annex 2 EHV charges'!$A:$O,9,FALSE)),"")</f>
        <v>3.57</v>
      </c>
      <c r="G105" s="94">
        <f>IFERROR(IF(VLOOKUP($A105,'Annex 2 EHV charges'!$A:$O,10,FALSE)=0,"",VLOOKUP($A105,'Annex 2 EHV charges'!$A:$O,10,FALSE)),"")</f>
        <v>0.75</v>
      </c>
      <c r="H105" s="94">
        <f>IFERROR(IF(VLOOKUP($A105,'Annex 2 EHV charges'!$A:$O,11,FALSE)=0,"",VLOOKUP($A105,'Annex 2 EHV charges'!$A:$O,11,FALSE)),"")</f>
        <v>0.75</v>
      </c>
      <c r="I105" s="229" t="str">
        <f>IF(VLOOKUP(C105,'Annex 2 EHV charges'!$C$11:$P$154,14,FALSE)&lt;=5,"",VLOOKUP(C105,'Annex 2 EHV charges'!$C$11:$P$154,14,FALSE))</f>
        <v/>
      </c>
    </row>
    <row r="106" spans="1:9" ht="12.75" customHeight="1" x14ac:dyDescent="0.35">
      <c r="A106" s="87">
        <f t="array" ref="A106">IFERROR(INDEX('Annex 2 EHV charges'!$A$11:$A$260, MATCH(0, IF(ISBLANK('Annex 2 EHV charges'!$A$11:$A$260),1, COUNTIF(A$4:$A105, 'Annex 2 EHV charges'!$A$11:$A$260)), 0)),"")</f>
        <v>328</v>
      </c>
      <c r="B106" s="87">
        <f>IF($A106="","",VLOOKUP($A106,'Annex 2 EHV charges'!$A:$O,2,0))</f>
        <v>328</v>
      </c>
      <c r="C106" s="88">
        <f>IF($A106="","",VLOOKUP($A106,'Annex 2 EHV charges'!$A:$O,3,0))</f>
        <v>1800060586917</v>
      </c>
      <c r="D106" s="87" t="str">
        <f>IF($A106="","",VLOOKUP($A106,'Annex 2 EHV charges'!$A:$O,7,0))</f>
        <v>Cathkin Braes Wind Farm</v>
      </c>
      <c r="E106" s="92" t="str">
        <f>IFERROR(IF(VLOOKUP($A106,'Annex 2 EHV charges'!$A:$O,8,FALSE)=0,"",VLOOKUP($A106,'Annex 2 EHV charges'!$A:$O,8,FALSE)),"")</f>
        <v>-</v>
      </c>
      <c r="F106" s="93">
        <f>IFERROR(IF(VLOOKUP($A106,'Annex 2 EHV charges'!$A:$O,9,FALSE)=0,"",VLOOKUP($A106,'Annex 2 EHV charges'!$A:$O,9,FALSE)),"")</f>
        <v>352.98</v>
      </c>
      <c r="G106" s="94">
        <f>IFERROR(IF(VLOOKUP($A106,'Annex 2 EHV charges'!$A:$O,10,FALSE)=0,"",VLOOKUP($A106,'Annex 2 EHV charges'!$A:$O,10,FALSE)),"")</f>
        <v>0.82</v>
      </c>
      <c r="H106" s="94">
        <f>IFERROR(IF(VLOOKUP($A106,'Annex 2 EHV charges'!$A:$O,11,FALSE)=0,"",VLOOKUP($A106,'Annex 2 EHV charges'!$A:$O,11,FALSE)),"")</f>
        <v>0.82</v>
      </c>
      <c r="I106" s="229" t="str">
        <f>IF(VLOOKUP(C106,'Annex 2 EHV charges'!$C$11:$P$154,14,FALSE)&lt;=5,"",VLOOKUP(C106,'Annex 2 EHV charges'!$C$11:$P$154,14,FALSE))</f>
        <v>See Annex 6</v>
      </c>
    </row>
    <row r="107" spans="1:9" ht="12.75" customHeight="1" x14ac:dyDescent="0.35">
      <c r="A107" s="87">
        <f t="array" ref="A107">IFERROR(INDEX('Annex 2 EHV charges'!$A$11:$A$260, MATCH(0, IF(ISBLANK('Annex 2 EHV charges'!$A$11:$A$260),1, COUNTIF(A$4:$A106, 'Annex 2 EHV charges'!$A$11:$A$260)), 0)),"")</f>
        <v>329</v>
      </c>
      <c r="B107" s="87">
        <f>IF($A107="","",VLOOKUP($A107,'Annex 2 EHV charges'!$A:$O,2,0))</f>
        <v>329</v>
      </c>
      <c r="C107" s="88">
        <f>IF($A107="","",VLOOKUP($A107,'Annex 2 EHV charges'!$A:$O,3,0))</f>
        <v>1800060397697</v>
      </c>
      <c r="D107" s="87" t="str">
        <f>IF($A107="","",VLOOKUP($A107,'Annex 2 EHV charges'!$A:$O,7,0))</f>
        <v>New Glasgow South Hospital</v>
      </c>
      <c r="E107" s="92" t="str">
        <f>IFERROR(IF(VLOOKUP($A107,'Annex 2 EHV charges'!$A:$O,8,FALSE)=0,"",VLOOKUP($A107,'Annex 2 EHV charges'!$A:$O,8,FALSE)),"")</f>
        <v>-</v>
      </c>
      <c r="F107" s="93">
        <f>IFERROR(IF(VLOOKUP($A107,'Annex 2 EHV charges'!$A:$O,9,FALSE)=0,"",VLOOKUP($A107,'Annex 2 EHV charges'!$A:$O,9,FALSE)),"")</f>
        <v>19693.46</v>
      </c>
      <c r="G107" s="94">
        <f>IFERROR(IF(VLOOKUP($A107,'Annex 2 EHV charges'!$A:$O,10,FALSE)=0,"",VLOOKUP($A107,'Annex 2 EHV charges'!$A:$O,10,FALSE)),"")</f>
        <v>2.9</v>
      </c>
      <c r="H107" s="94">
        <f>IFERROR(IF(VLOOKUP($A107,'Annex 2 EHV charges'!$A:$O,11,FALSE)=0,"",VLOOKUP($A107,'Annex 2 EHV charges'!$A:$O,11,FALSE)),"")</f>
        <v>2.9</v>
      </c>
      <c r="I107" s="229" t="str">
        <f>IF(VLOOKUP(C107,'Annex 2 EHV charges'!$C$11:$P$154,14,FALSE)&lt;=5,"",VLOOKUP(C107,'Annex 2 EHV charges'!$C$11:$P$154,14,FALSE))</f>
        <v/>
      </c>
    </row>
    <row r="108" spans="1:9" ht="12.75" customHeight="1" x14ac:dyDescent="0.35">
      <c r="A108" s="87">
        <f t="array" ref="A108">IFERROR(INDEX('Annex 2 EHV charges'!$A$11:$A$260, MATCH(0, IF(ISBLANK('Annex 2 EHV charges'!$A$11:$A$260),1, COUNTIF(A$4:$A107, 'Annex 2 EHV charges'!$A$11:$A$260)), 0)),"")</f>
        <v>330</v>
      </c>
      <c r="B108" s="87">
        <f>IF($A108="","",VLOOKUP($A108,'Annex 2 EHV charges'!$A:$O,2,0))</f>
        <v>330</v>
      </c>
      <c r="C108" s="88">
        <f>IF($A108="","",VLOOKUP($A108,'Annex 2 EHV charges'!$A:$O,3,0))</f>
        <v>1800060614714</v>
      </c>
      <c r="D108" s="87" t="str">
        <f>IF($A108="","",VLOOKUP($A108,'Annex 2 EHV charges'!$A:$O,7,0))</f>
        <v>Torrance WF</v>
      </c>
      <c r="E108" s="92" t="str">
        <f>IFERROR(IF(VLOOKUP($A108,'Annex 2 EHV charges'!$A:$O,8,FALSE)=0,"",VLOOKUP($A108,'Annex 2 EHV charges'!$A:$O,8,FALSE)),"")</f>
        <v>-</v>
      </c>
      <c r="F108" s="93">
        <f>IFERROR(IF(VLOOKUP($A108,'Annex 2 EHV charges'!$A:$O,9,FALSE)=0,"",VLOOKUP($A108,'Annex 2 EHV charges'!$A:$O,9,FALSE)),"")</f>
        <v>83.73</v>
      </c>
      <c r="G108" s="94">
        <f>IFERROR(IF(VLOOKUP($A108,'Annex 2 EHV charges'!$A:$O,10,FALSE)=0,"",VLOOKUP($A108,'Annex 2 EHV charges'!$A:$O,10,FALSE)),"")</f>
        <v>0.88</v>
      </c>
      <c r="H108" s="94">
        <f>IFERROR(IF(VLOOKUP($A108,'Annex 2 EHV charges'!$A:$O,11,FALSE)=0,"",VLOOKUP($A108,'Annex 2 EHV charges'!$A:$O,11,FALSE)),"")</f>
        <v>0.88</v>
      </c>
      <c r="I108" s="229" t="str">
        <f>IF(VLOOKUP(C108,'Annex 2 EHV charges'!$C$11:$P$154,14,FALSE)&lt;=5,"",VLOOKUP(C108,'Annex 2 EHV charges'!$C$11:$P$154,14,FALSE))</f>
        <v/>
      </c>
    </row>
    <row r="109" spans="1:9" ht="12.75" customHeight="1" x14ac:dyDescent="0.35">
      <c r="A109" s="87">
        <f t="array" ref="A109">IFERROR(INDEX('Annex 2 EHV charges'!$A$11:$A$260, MATCH(0, IF(ISBLANK('Annex 2 EHV charges'!$A$11:$A$260),1, COUNTIF(A$4:$A108, 'Annex 2 EHV charges'!$A$11:$A$260)), 0)),"")</f>
        <v>331</v>
      </c>
      <c r="B109" s="87">
        <f>IF($A109="","",VLOOKUP($A109,'Annex 2 EHV charges'!$A:$O,2,0))</f>
        <v>331</v>
      </c>
      <c r="C109" s="88">
        <f>IF($A109="","",VLOOKUP($A109,'Annex 2 EHV charges'!$A:$O,3,0))</f>
        <v>1800060613543</v>
      </c>
      <c r="D109" s="87" t="str">
        <f>IF($A109="","",VLOOKUP($A109,'Annex 2 EHV charges'!$A:$O,7,0))</f>
        <v>Scottish Enterprise (Samsung WTTF)</v>
      </c>
      <c r="E109" s="92" t="str">
        <f>IFERROR(IF(VLOOKUP($A109,'Annex 2 EHV charges'!$A:$O,8,FALSE)=0,"",VLOOKUP($A109,'Annex 2 EHV charges'!$A:$O,8,FALSE)),"")</f>
        <v>-</v>
      </c>
      <c r="F109" s="93">
        <f>IFERROR(IF(VLOOKUP($A109,'Annex 2 EHV charges'!$A:$O,9,FALSE)=0,"",VLOOKUP($A109,'Annex 2 EHV charges'!$A:$O,9,FALSE)),"")</f>
        <v>146.06</v>
      </c>
      <c r="G109" s="94">
        <f>IFERROR(IF(VLOOKUP($A109,'Annex 2 EHV charges'!$A:$O,10,FALSE)=0,"",VLOOKUP($A109,'Annex 2 EHV charges'!$A:$O,10,FALSE)),"")</f>
        <v>1.06</v>
      </c>
      <c r="H109" s="94">
        <f>IFERROR(IF(VLOOKUP($A109,'Annex 2 EHV charges'!$A:$O,11,FALSE)=0,"",VLOOKUP($A109,'Annex 2 EHV charges'!$A:$O,11,FALSE)),"")</f>
        <v>1.06</v>
      </c>
      <c r="I109" s="229" t="str">
        <f>IF(VLOOKUP(C109,'Annex 2 EHV charges'!$C$11:$P$154,14,FALSE)&lt;=5,"",VLOOKUP(C109,'Annex 2 EHV charges'!$C$11:$P$154,14,FALSE))</f>
        <v/>
      </c>
    </row>
    <row r="110" spans="1:9" ht="12.75" customHeight="1" x14ac:dyDescent="0.35">
      <c r="A110" s="87">
        <f t="array" ref="A110">IFERROR(INDEX('Annex 2 EHV charges'!$A$11:$A$260, MATCH(0, IF(ISBLANK('Annex 2 EHV charges'!$A$11:$A$260),1, COUNTIF(A$4:$A109, 'Annex 2 EHV charges'!$A$11:$A$260)), 0)),"")</f>
        <v>332</v>
      </c>
      <c r="B110" s="87">
        <f>IF($A110="","",VLOOKUP($A110,'Annex 2 EHV charges'!$A:$O,2,0))</f>
        <v>332</v>
      </c>
      <c r="C110" s="88">
        <f>IF($A110="","",VLOOKUP($A110,'Annex 2 EHV charges'!$A:$O,3,0))</f>
        <v>1800060709010</v>
      </c>
      <c r="D110" s="87" t="str">
        <f>IF($A110="","",VLOOKUP($A110,'Annex 2 EHV charges'!$A:$O,7,0))</f>
        <v>Torrance Windfarm Extension</v>
      </c>
      <c r="E110" s="92" t="str">
        <f>IFERROR(IF(VLOOKUP($A110,'Annex 2 EHV charges'!$A:$O,8,FALSE)=0,"",VLOOKUP($A110,'Annex 2 EHV charges'!$A:$O,8,FALSE)),"")</f>
        <v>-</v>
      </c>
      <c r="F110" s="93">
        <f>IFERROR(IF(VLOOKUP($A110,'Annex 2 EHV charges'!$A:$O,9,FALSE)=0,"",VLOOKUP($A110,'Annex 2 EHV charges'!$A:$O,9,FALSE)),"")</f>
        <v>128.12</v>
      </c>
      <c r="G110" s="94">
        <f>IFERROR(IF(VLOOKUP($A110,'Annex 2 EHV charges'!$A:$O,10,FALSE)=0,"",VLOOKUP($A110,'Annex 2 EHV charges'!$A:$O,10,FALSE)),"")</f>
        <v>0.89</v>
      </c>
      <c r="H110" s="94">
        <f>IFERROR(IF(VLOOKUP($A110,'Annex 2 EHV charges'!$A:$O,11,FALSE)=0,"",VLOOKUP($A110,'Annex 2 EHV charges'!$A:$O,11,FALSE)),"")</f>
        <v>0.89</v>
      </c>
      <c r="I110" s="229" t="str">
        <f>IF(VLOOKUP(C110,'Annex 2 EHV charges'!$C$11:$P$154,14,FALSE)&lt;=5,"",VLOOKUP(C110,'Annex 2 EHV charges'!$C$11:$P$154,14,FALSE))</f>
        <v/>
      </c>
    </row>
    <row r="111" spans="1:9" ht="12.75" customHeight="1" x14ac:dyDescent="0.35">
      <c r="A111" s="87">
        <f t="array" ref="A111">IFERROR(INDEX('Annex 2 EHV charges'!$A$11:$A$260, MATCH(0, IF(ISBLANK('Annex 2 EHV charges'!$A$11:$A$260),1, COUNTIF(A$4:$A110, 'Annex 2 EHV charges'!$A$11:$A$260)), 0)),"")</f>
        <v>334</v>
      </c>
      <c r="B111" s="87">
        <f>IF($A111="","",VLOOKUP($A111,'Annex 2 EHV charges'!$A:$O,2,0))</f>
        <v>334</v>
      </c>
      <c r="C111" s="88">
        <f>IF($A111="","",VLOOKUP($A111,'Annex 2 EHV charges'!$A:$O,3,0))</f>
        <v>1800035327070</v>
      </c>
      <c r="D111" s="87" t="str">
        <f>IF($A111="","",VLOOKUP($A111,'Annex 2 EHV charges'!$A:$O,7,0))</f>
        <v>Edinburgh Airport</v>
      </c>
      <c r="E111" s="92">
        <f>IFERROR(IF(VLOOKUP($A111,'Annex 2 EHV charges'!$A:$O,8,FALSE)=0,"",VLOOKUP($A111,'Annex 2 EHV charges'!$A:$O,8,FALSE)),"")</f>
        <v>0.20100000000000001</v>
      </c>
      <c r="F111" s="93">
        <f>IFERROR(IF(VLOOKUP($A111,'Annex 2 EHV charges'!$A:$O,9,FALSE)=0,"",VLOOKUP($A111,'Annex 2 EHV charges'!$A:$O,9,FALSE)),"")</f>
        <v>9972.52</v>
      </c>
      <c r="G111" s="94">
        <f>IFERROR(IF(VLOOKUP($A111,'Annex 2 EHV charges'!$A:$O,10,FALSE)=0,"",VLOOKUP($A111,'Annex 2 EHV charges'!$A:$O,10,FALSE)),"")</f>
        <v>3.87</v>
      </c>
      <c r="H111" s="94">
        <f>IFERROR(IF(VLOOKUP($A111,'Annex 2 EHV charges'!$A:$O,11,FALSE)=0,"",VLOOKUP($A111,'Annex 2 EHV charges'!$A:$O,11,FALSE)),"")</f>
        <v>3.87</v>
      </c>
      <c r="I111" s="229" t="str">
        <f>IF(VLOOKUP(C111,'Annex 2 EHV charges'!$C$11:$P$154,14,FALSE)&lt;=5,"",VLOOKUP(C111,'Annex 2 EHV charges'!$C$11:$P$154,14,FALSE))</f>
        <v>See Annex 6</v>
      </c>
    </row>
    <row r="112" spans="1:9" ht="12.75" customHeight="1" x14ac:dyDescent="0.35">
      <c r="A112" s="87">
        <f t="array" ref="A112">IFERROR(INDEX('Annex 2 EHV charges'!$A$11:$A$260, MATCH(0, IF(ISBLANK('Annex 2 EHV charges'!$A$11:$A$260),1, COUNTIF(A$4:$A111, 'Annex 2 EHV charges'!$A$11:$A$260)), 0)),"")</f>
        <v>313</v>
      </c>
      <c r="B112" s="87">
        <f>IF($A112="","",VLOOKUP($A112,'Annex 2 EHV charges'!$A:$O,2,0))</f>
        <v>313</v>
      </c>
      <c r="C112" s="88">
        <f>IF($A112="","",VLOOKUP($A112,'Annex 2 EHV charges'!$A:$O,3,0))</f>
        <v>1800053648310</v>
      </c>
      <c r="D112" s="87" t="str">
        <f>IF($A112="","",VLOOKUP($A112,'Annex 2 EHV charges'!$A:$O,7,0))</f>
        <v>Longannet Power Station</v>
      </c>
      <c r="E112" s="92" t="str">
        <f>IFERROR(IF(VLOOKUP($A112,'Annex 2 EHV charges'!$A:$O,8,FALSE)=0,"",VLOOKUP($A112,'Annex 2 EHV charges'!$A:$O,8,FALSE)),"")</f>
        <v>-</v>
      </c>
      <c r="F112" s="93">
        <f>IFERROR(IF(VLOOKUP($A112,'Annex 2 EHV charges'!$A:$O,9,FALSE)=0,"",VLOOKUP($A112,'Annex 2 EHV charges'!$A:$O,9,FALSE)),"")</f>
        <v>3271.72</v>
      </c>
      <c r="G112" s="94">
        <f>IFERROR(IF(VLOOKUP($A112,'Annex 2 EHV charges'!$A:$O,10,FALSE)=0,"",VLOOKUP($A112,'Annex 2 EHV charges'!$A:$O,10,FALSE)),"")</f>
        <v>3.75</v>
      </c>
      <c r="H112" s="94">
        <f>IFERROR(IF(VLOOKUP($A112,'Annex 2 EHV charges'!$A:$O,11,FALSE)=0,"",VLOOKUP($A112,'Annex 2 EHV charges'!$A:$O,11,FALSE)),"")</f>
        <v>3.75</v>
      </c>
      <c r="I112" s="229" t="str">
        <f>IF(VLOOKUP(C112,'Annex 2 EHV charges'!$C$11:$P$154,14,FALSE)&lt;=5,"",VLOOKUP(C112,'Annex 2 EHV charges'!$C$11:$P$154,14,FALSE))</f>
        <v/>
      </c>
    </row>
    <row r="113" spans="1:9" ht="12.75" customHeight="1" x14ac:dyDescent="0.35">
      <c r="A113" s="87">
        <f t="array" ref="A113">IFERROR(INDEX('Annex 2 EHV charges'!$A$11:$A$260, MATCH(0, IF(ISBLANK('Annex 2 EHV charges'!$A$11:$A$260),1, COUNTIF(A$4:$A112, 'Annex 2 EHV charges'!$A$11:$A$260)), 0)),"")</f>
        <v>848</v>
      </c>
      <c r="B113" s="87">
        <f>IF($A113="","",VLOOKUP($A113,'Annex 2 EHV charges'!$A:$O,2,0))</f>
        <v>848</v>
      </c>
      <c r="C113" s="88">
        <f>IF($A113="","",VLOOKUP($A113,'Annex 2 EHV charges'!$A:$O,3,0))</f>
        <v>1800060904910</v>
      </c>
      <c r="D113" s="87" t="str">
        <f>IF($A113="","",VLOOKUP($A113,'Annex 2 EHV charges'!$A:$O,7,0))</f>
        <v>Craigannet</v>
      </c>
      <c r="E113" s="92" t="str">
        <f>IFERROR(IF(VLOOKUP($A113,'Annex 2 EHV charges'!$A:$O,8,FALSE)=0,"",VLOOKUP($A113,'Annex 2 EHV charges'!$A:$O,8,FALSE)),"")</f>
        <v>-</v>
      </c>
      <c r="F113" s="93">
        <f>IFERROR(IF(VLOOKUP($A113,'Annex 2 EHV charges'!$A:$O,9,FALSE)=0,"",VLOOKUP($A113,'Annex 2 EHV charges'!$A:$O,9,FALSE)),"")</f>
        <v>113.99</v>
      </c>
      <c r="G113" s="94">
        <f>IFERROR(IF(VLOOKUP($A113,'Annex 2 EHV charges'!$A:$O,10,FALSE)=0,"",VLOOKUP($A113,'Annex 2 EHV charges'!$A:$O,10,FALSE)),"")</f>
        <v>1.43</v>
      </c>
      <c r="H113" s="94">
        <f>IFERROR(IF(VLOOKUP($A113,'Annex 2 EHV charges'!$A:$O,11,FALSE)=0,"",VLOOKUP($A113,'Annex 2 EHV charges'!$A:$O,11,FALSE)),"")</f>
        <v>1.43</v>
      </c>
      <c r="I113" s="229" t="str">
        <f>IF(VLOOKUP(C113,'Annex 2 EHV charges'!$C$11:$P$154,14,FALSE)&lt;=5,"",VLOOKUP(C113,'Annex 2 EHV charges'!$C$11:$P$154,14,FALSE))</f>
        <v/>
      </c>
    </row>
    <row r="114" spans="1:9" ht="12.75" customHeight="1" x14ac:dyDescent="0.35">
      <c r="A114" s="87">
        <f t="array" ref="A114">IFERROR(INDEX('Annex 2 EHV charges'!$A$11:$A$260, MATCH(0, IF(ISBLANK('Annex 2 EHV charges'!$A$11:$A$260),1, COUNTIF(A$4:$A113, 'Annex 2 EHV charges'!$A$11:$A$260)), 0)),"")</f>
        <v>890</v>
      </c>
      <c r="B114" s="87">
        <f>IF($A114="","",VLOOKUP($A114,'Annex 2 EHV charges'!$A:$O,2,0))</f>
        <v>890</v>
      </c>
      <c r="C114" s="88">
        <f>IF($A114="","",VLOOKUP($A114,'Annex 2 EHV charges'!$A:$O,3,0))</f>
        <v>1800061032840</v>
      </c>
      <c r="D114" s="87" t="str">
        <f>IF($A114="","",VLOOKUP($A114,'Annex 2 EHV charges'!$A:$O,7,0))</f>
        <v>Solwaybank</v>
      </c>
      <c r="E114" s="92" t="str">
        <f>IFERROR(IF(VLOOKUP($A114,'Annex 2 EHV charges'!$A:$O,8,FALSE)=0,"",VLOOKUP($A114,'Annex 2 EHV charges'!$A:$O,8,FALSE)),"")</f>
        <v>-</v>
      </c>
      <c r="F114" s="93">
        <f>IFERROR(IF(VLOOKUP($A114,'Annex 2 EHV charges'!$A:$O,9,FALSE)=0,"",VLOOKUP($A114,'Annex 2 EHV charges'!$A:$O,9,FALSE)),"")</f>
        <v>60.08</v>
      </c>
      <c r="G114" s="94">
        <f>IFERROR(IF(VLOOKUP($A114,'Annex 2 EHV charges'!$A:$O,10,FALSE)=0,"",VLOOKUP($A114,'Annex 2 EHV charges'!$A:$O,10,FALSE)),"")</f>
        <v>1.05</v>
      </c>
      <c r="H114" s="94">
        <f>IFERROR(IF(VLOOKUP($A114,'Annex 2 EHV charges'!$A:$O,11,FALSE)=0,"",VLOOKUP($A114,'Annex 2 EHV charges'!$A:$O,11,FALSE)),"")</f>
        <v>1.05</v>
      </c>
      <c r="I114" s="229" t="str">
        <f>IF(VLOOKUP(C114,'Annex 2 EHV charges'!$C$11:$P$154,14,FALSE)&lt;=5,"",VLOOKUP(C114,'Annex 2 EHV charges'!$C$11:$P$154,14,FALSE))</f>
        <v>See Annex 6</v>
      </c>
    </row>
    <row r="115" spans="1:9" ht="12.75" customHeight="1" x14ac:dyDescent="0.35">
      <c r="A115" s="87">
        <f t="array" ref="A115">IFERROR(INDEX('Annex 2 EHV charges'!$A$11:$A$260, MATCH(0, IF(ISBLANK('Annex 2 EHV charges'!$A$11:$A$260),1, COUNTIF(A$4:$A114, 'Annex 2 EHV charges'!$A$11:$A$260)), 0)),"")</f>
        <v>870</v>
      </c>
      <c r="B115" s="87">
        <f>IF($A115="","",VLOOKUP($A115,'Annex 2 EHV charges'!$A:$O,2,0))</f>
        <v>870</v>
      </c>
      <c r="C115" s="88">
        <f>IF($A115="","",VLOOKUP($A115,'Annex 2 EHV charges'!$A:$O,3,0))</f>
        <v>1800060963650</v>
      </c>
      <c r="D115" s="87" t="str">
        <f>IF($A115="","",VLOOKUP($A115,'Annex 2 EHV charges'!$A:$O,7,0))</f>
        <v>Millerhill EFW</v>
      </c>
      <c r="E115" s="92" t="str">
        <f>IFERROR(IF(VLOOKUP($A115,'Annex 2 EHV charges'!$A:$O,8,FALSE)=0,"",VLOOKUP($A115,'Annex 2 EHV charges'!$A:$O,8,FALSE)),"")</f>
        <v>-</v>
      </c>
      <c r="F115" s="93">
        <f>IFERROR(IF(VLOOKUP($A115,'Annex 2 EHV charges'!$A:$O,9,FALSE)=0,"",VLOOKUP($A115,'Annex 2 EHV charges'!$A:$O,9,FALSE)),"")</f>
        <v>1795.75</v>
      </c>
      <c r="G115" s="94">
        <f>IFERROR(IF(VLOOKUP($A115,'Annex 2 EHV charges'!$A:$O,10,FALSE)=0,"",VLOOKUP($A115,'Annex 2 EHV charges'!$A:$O,10,FALSE)),"")</f>
        <v>0.84</v>
      </c>
      <c r="H115" s="94">
        <f>IFERROR(IF(VLOOKUP($A115,'Annex 2 EHV charges'!$A:$O,11,FALSE)=0,"",VLOOKUP($A115,'Annex 2 EHV charges'!$A:$O,11,FALSE)),"")</f>
        <v>0.84</v>
      </c>
      <c r="I115" s="229" t="str">
        <f>IF(VLOOKUP(C115,'Annex 2 EHV charges'!$C$11:$P$154,14,FALSE)&lt;=5,"",VLOOKUP(C115,'Annex 2 EHV charges'!$C$11:$P$154,14,FALSE))</f>
        <v/>
      </c>
    </row>
    <row r="116" spans="1:9" ht="12.75" customHeight="1" x14ac:dyDescent="0.35">
      <c r="A116" s="87" t="str">
        <f t="array" ref="A116">IFERROR(INDEX('Annex 2 EHV charges'!$A$11:$A$260, MATCH(0, IF(ISBLANK('Annex 2 EHV charges'!$A$11:$A$260),1, COUNTIF(A$4:$A115, 'Annex 2 EHV charges'!$A$11:$A$260)), 0)),"")</f>
        <v>MSID 8359</v>
      </c>
      <c r="B116" s="87" t="str">
        <f>IF($A116="","",VLOOKUP($A116,'Annex 2 EHV charges'!$A:$O,2,0))</f>
        <v>MSID 8359</v>
      </c>
      <c r="C116" s="88" t="str">
        <f>IF($A116="","",VLOOKUP($A116,'Annex 2 EHV charges'!$A:$O,3,0))</f>
        <v>MSID 8359</v>
      </c>
      <c r="D116" s="87" t="str">
        <f>IF($A116="","",VLOOKUP($A116,'Annex 2 EHV charges'!$A:$O,7,0))</f>
        <v>Broxburn ESS</v>
      </c>
      <c r="E116" s="92" t="str">
        <f>IFERROR(IF(VLOOKUP($A116,'Annex 2 EHV charges'!$A:$O,8,FALSE)=0,"",VLOOKUP($A116,'Annex 2 EHV charges'!$A:$O,8,FALSE)),"")</f>
        <v>-</v>
      </c>
      <c r="F116" s="93">
        <f>IFERROR(IF(VLOOKUP($A116,'Annex 2 EHV charges'!$A:$O,9,FALSE)=0,"",VLOOKUP($A116,'Annex 2 EHV charges'!$A:$O,9,FALSE)),"")</f>
        <v>1523.71</v>
      </c>
      <c r="G116" s="94">
        <f>IFERROR(IF(VLOOKUP($A116,'Annex 2 EHV charges'!$A:$O,10,FALSE)=0,"",VLOOKUP($A116,'Annex 2 EHV charges'!$A:$O,10,FALSE)),"")</f>
        <v>0.88</v>
      </c>
      <c r="H116" s="94">
        <f>IFERROR(IF(VLOOKUP($A116,'Annex 2 EHV charges'!$A:$O,11,FALSE)=0,"",VLOOKUP($A116,'Annex 2 EHV charges'!$A:$O,11,FALSE)),"")</f>
        <v>0.88</v>
      </c>
      <c r="I116" s="229" t="str">
        <f>IF(VLOOKUP(C116,'Annex 2 EHV charges'!$C$11:$P$154,14,FALSE)&lt;=5,"",VLOOKUP(C116,'Annex 2 EHV charges'!$C$11:$P$154,14,FALSE))</f>
        <v/>
      </c>
    </row>
    <row r="117" spans="1:9" ht="12.75" customHeight="1" x14ac:dyDescent="0.35">
      <c r="A117" s="87">
        <f t="array" ref="A117">IFERROR(INDEX('Annex 2 EHV charges'!$A$11:$A$260, MATCH(0, IF(ISBLANK('Annex 2 EHV charges'!$A$11:$A$260),1, COUNTIF(A$4:$A116, 'Annex 2 EHV charges'!$A$11:$A$260)), 0)),"")</f>
        <v>886</v>
      </c>
      <c r="B117" s="87">
        <f>IF($A117="","",VLOOKUP($A117,'Annex 2 EHV charges'!$A:$O,2,0))</f>
        <v>886</v>
      </c>
      <c r="C117" s="88" t="str">
        <f>IF($A117="","",VLOOKUP($A117,'Annex 2 EHV charges'!$A:$O,3,0))</f>
        <v/>
      </c>
      <c r="D117" s="87" t="str">
        <f>IF($A117="","",VLOOKUP($A117,'Annex 2 EHV charges'!$A:$O,7,0))</f>
        <v>Sneddon Law WF</v>
      </c>
      <c r="E117" s="92" t="str">
        <f>IFERROR(IF(VLOOKUP($A117,'Annex 2 EHV charges'!$A:$O,8,FALSE)=0,"",VLOOKUP($A117,'Annex 2 EHV charges'!$A:$O,8,FALSE)),"")</f>
        <v>-</v>
      </c>
      <c r="F117" s="93">
        <f>IFERROR(IF(VLOOKUP($A117,'Annex 2 EHV charges'!$A:$O,9,FALSE)=0,"",VLOOKUP($A117,'Annex 2 EHV charges'!$A:$O,9,FALSE)),"")</f>
        <v>487.14</v>
      </c>
      <c r="G117" s="94">
        <f>IFERROR(IF(VLOOKUP($A117,'Annex 2 EHV charges'!$A:$O,10,FALSE)=0,"",VLOOKUP($A117,'Annex 2 EHV charges'!$A:$O,10,FALSE)),"")</f>
        <v>0.64</v>
      </c>
      <c r="H117" s="94">
        <f>IFERROR(IF(VLOOKUP($A117,'Annex 2 EHV charges'!$A:$O,11,FALSE)=0,"",VLOOKUP($A117,'Annex 2 EHV charges'!$A:$O,11,FALSE)),"")</f>
        <v>0.64</v>
      </c>
      <c r="I117" s="229" t="str">
        <f>IF(VLOOKUP(C117,'Annex 2 EHV charges'!$C$11:$P$154,14,FALSE)&lt;=5,"",VLOOKUP(C117,'Annex 2 EHV charges'!$C$11:$P$154,14,FALSE))</f>
        <v/>
      </c>
    </row>
    <row r="118" spans="1:9" ht="12.75" customHeight="1" x14ac:dyDescent="0.35">
      <c r="A118" s="87" t="str">
        <f t="array" ref="A118">IFERROR(INDEX('Annex 2 EHV charges'!$A$11:$A$260, MATCH(0, IF(ISBLANK('Annex 2 EHV charges'!$A$11:$A$260),1, COUNTIF(A$4:$A117, 'Annex 2 EHV charges'!$A$11:$A$260)), 0)),"")</f>
        <v>TBA 18A</v>
      </c>
      <c r="B118" s="87" t="str">
        <f>IF($A118="","",VLOOKUP($A118,'Annex 2 EHV charges'!$A:$O,2,0))</f>
        <v>TBA 18A</v>
      </c>
      <c r="C118" s="88" t="str">
        <f>IF($A118="","",VLOOKUP($A118,'Annex 2 EHV charges'!$A:$O,3,0))</f>
        <v>TBA 18A</v>
      </c>
      <c r="D118" s="87" t="str">
        <f>IF($A118="","",VLOOKUP($A118,'Annex 2 EHV charges'!$A:$O,7,0))</f>
        <v>Roaring Hill ESS</v>
      </c>
      <c r="E118" s="92" t="str">
        <f>IFERROR(IF(VLOOKUP($A118,'Annex 2 EHV charges'!$A:$O,8,FALSE)=0,"",VLOOKUP($A118,'Annex 2 EHV charges'!$A:$O,8,FALSE)),"")</f>
        <v>-</v>
      </c>
      <c r="F118" s="93">
        <f>IFERROR(IF(VLOOKUP($A118,'Annex 2 EHV charges'!$A:$O,9,FALSE)=0,"",VLOOKUP($A118,'Annex 2 EHV charges'!$A:$O,9,FALSE)),"")</f>
        <v>1872.57</v>
      </c>
      <c r="G118" s="94">
        <f>IFERROR(IF(VLOOKUP($A118,'Annex 2 EHV charges'!$A:$O,10,FALSE)=0,"",VLOOKUP($A118,'Annex 2 EHV charges'!$A:$O,10,FALSE)),"")</f>
        <v>1.05</v>
      </c>
      <c r="H118" s="94">
        <f>IFERROR(IF(VLOOKUP($A118,'Annex 2 EHV charges'!$A:$O,11,FALSE)=0,"",VLOOKUP($A118,'Annex 2 EHV charges'!$A:$O,11,FALSE)),"")</f>
        <v>1.05</v>
      </c>
      <c r="I118" s="229" t="str">
        <f>IF(VLOOKUP(C118,'Annex 2 EHV charges'!$C$11:$P$154,14,FALSE)&lt;=5,"",VLOOKUP(C118,'Annex 2 EHV charges'!$C$11:$P$154,14,FALSE))</f>
        <v/>
      </c>
    </row>
    <row r="119" spans="1:9" ht="12.75" customHeight="1" x14ac:dyDescent="0.35">
      <c r="A119" s="87" t="str">
        <f t="array" ref="A119">IFERROR(INDEX('Annex 2 EHV charges'!$A$11:$A$260, MATCH(0, IF(ISBLANK('Annex 2 EHV charges'!$A$11:$A$260),1, COUNTIF(A$4:$A118, 'Annex 2 EHV charges'!$A$11:$A$260)), 0)),"")</f>
        <v>TBA 2A</v>
      </c>
      <c r="B119" s="87" t="str">
        <f>IF($A119="","",VLOOKUP($A119,'Annex 2 EHV charges'!$A:$O,2,0))</f>
        <v>TBA 2A</v>
      </c>
      <c r="C119" s="88" t="str">
        <f>IF($A119="","",VLOOKUP($A119,'Annex 2 EHV charges'!$A:$O,3,0))</f>
        <v>TBA 2A</v>
      </c>
      <c r="D119" s="87" t="str">
        <f>IF($A119="","",VLOOKUP($A119,'Annex 2 EHV charges'!$A:$O,7,0))</f>
        <v>Redhouse Energy Storage site (ESS)</v>
      </c>
      <c r="E119" s="92" t="str">
        <f>IFERROR(IF(VLOOKUP($A119,'Annex 2 EHV charges'!$A:$O,8,FALSE)=0,"",VLOOKUP($A119,'Annex 2 EHV charges'!$A:$O,8,FALSE)),"")</f>
        <v>-</v>
      </c>
      <c r="F119" s="93">
        <f>IFERROR(IF(VLOOKUP($A119,'Annex 2 EHV charges'!$A:$O,9,FALSE)=0,"",VLOOKUP($A119,'Annex 2 EHV charges'!$A:$O,9,FALSE)),"")</f>
        <v>775.96</v>
      </c>
      <c r="G119" s="94">
        <f>IFERROR(IF(VLOOKUP($A119,'Annex 2 EHV charges'!$A:$O,10,FALSE)=0,"",VLOOKUP($A119,'Annex 2 EHV charges'!$A:$O,10,FALSE)),"")</f>
        <v>1.95</v>
      </c>
      <c r="H119" s="94">
        <f>IFERROR(IF(VLOOKUP($A119,'Annex 2 EHV charges'!$A:$O,11,FALSE)=0,"",VLOOKUP($A119,'Annex 2 EHV charges'!$A:$O,11,FALSE)),"")</f>
        <v>1.95</v>
      </c>
      <c r="I119" s="218" t="str">
        <f>IF(VLOOKUP(C119,'Annex 2 EHV charges'!$C$11:$P$154,14,FALSE)&lt;=5,"",VLOOKUP(C119,'Annex 2 EHV charges'!$C$11:$P$154,14,FALSE))</f>
        <v>See Annex 6</v>
      </c>
    </row>
    <row r="120" spans="1:9" ht="12.75" customHeight="1" x14ac:dyDescent="0.35">
      <c r="A120" s="87">
        <f t="array" ref="A120">IFERROR(INDEX('Annex 2 EHV charges'!$A$11:$A$260, MATCH(0, IF(ISBLANK('Annex 2 EHV charges'!$A$11:$A$260),1, COUNTIF(A$4:$A119, 'Annex 2 EHV charges'!$A$11:$A$260)), 0)),"")</f>
        <v>895</v>
      </c>
      <c r="B120" s="87">
        <f>IF($A120="","",VLOOKUP($A120,'Annex 2 EHV charges'!$A:$O,2,0))</f>
        <v>895</v>
      </c>
      <c r="C120" s="88">
        <f>IF($A120="","",VLOOKUP($A120,'Annex 2 EHV charges'!$A:$O,3,0))</f>
        <v>1800061106740</v>
      </c>
      <c r="D120" s="87" t="str">
        <f>IF($A120="","",VLOOKUP($A120,'Annex 2 EHV charges'!$A:$O,7,0))</f>
        <v>Inverclyde Windfarm</v>
      </c>
      <c r="E120" s="92" t="str">
        <f>IFERROR(IF(VLOOKUP($A120,'Annex 2 EHV charges'!$A:$O,8,FALSE)=0,"",VLOOKUP($A120,'Annex 2 EHV charges'!$A:$O,8,FALSE)),"")</f>
        <v>-</v>
      </c>
      <c r="F120" s="93">
        <f>IFERROR(IF(VLOOKUP($A120,'Annex 2 EHV charges'!$A:$O,9,FALSE)=0,"",VLOOKUP($A120,'Annex 2 EHV charges'!$A:$O,9,FALSE)),"")</f>
        <v>6.83</v>
      </c>
      <c r="G120" s="94">
        <f>IFERROR(IF(VLOOKUP($A120,'Annex 2 EHV charges'!$A:$O,10,FALSE)=0,"",VLOOKUP($A120,'Annex 2 EHV charges'!$A:$O,10,FALSE)),"")</f>
        <v>1.05</v>
      </c>
      <c r="H120" s="94">
        <f>IFERROR(IF(VLOOKUP($A120,'Annex 2 EHV charges'!$A:$O,11,FALSE)=0,"",VLOOKUP($A120,'Annex 2 EHV charges'!$A:$O,11,FALSE)),"")</f>
        <v>1.05</v>
      </c>
      <c r="I120" s="229" t="str">
        <f>IF(VLOOKUP(C120,'Annex 2 EHV charges'!$C$11:$P$154,14,FALSE)&lt;=5,"",VLOOKUP(C120,'Annex 2 EHV charges'!$C$11:$P$154,14,FALSE))</f>
        <v/>
      </c>
    </row>
    <row r="121" spans="1:9" ht="12.75" customHeight="1" x14ac:dyDescent="0.35">
      <c r="A121" s="87" t="str">
        <f t="array" ref="A121">IFERROR(INDEX('Annex 2 EHV charges'!$A$11:$A$260, MATCH(0, IF(ISBLANK('Annex 2 EHV charges'!$A$11:$A$260),1, COUNTIF(A$4:$A120, 'Annex 2 EHV charges'!$A$11:$A$260)), 0)),"")</f>
        <v>TBA 6A</v>
      </c>
      <c r="B121" s="87" t="str">
        <f>IF($A121="","",VLOOKUP($A121,'Annex 2 EHV charges'!$A:$O,2,0))</f>
        <v>TBA 6A</v>
      </c>
      <c r="C121" s="88" t="str">
        <f>IF($A121="","",VLOOKUP($A121,'Annex 2 EHV charges'!$A:$O,3,0))</f>
        <v>TBA 6A</v>
      </c>
      <c r="D121" s="87" t="str">
        <f>IF($A121="","",VLOOKUP($A121,'Annex 2 EHV charges'!$A:$O,7,0))</f>
        <v>Harelaw Gas</v>
      </c>
      <c r="E121" s="92" t="str">
        <f>IFERROR(IF(VLOOKUP($A121,'Annex 2 EHV charges'!$A:$O,8,FALSE)=0,"",VLOOKUP($A121,'Annex 2 EHV charges'!$A:$O,8,FALSE)),"")</f>
        <v>-</v>
      </c>
      <c r="F121" s="93">
        <f>IFERROR(IF(VLOOKUP($A121,'Annex 2 EHV charges'!$A:$O,9,FALSE)=0,"",VLOOKUP($A121,'Annex 2 EHV charges'!$A:$O,9,FALSE)),"")</f>
        <v>22.85</v>
      </c>
      <c r="G121" s="94">
        <f>IFERROR(IF(VLOOKUP($A121,'Annex 2 EHV charges'!$A:$O,10,FALSE)=0,"",VLOOKUP($A121,'Annex 2 EHV charges'!$A:$O,10,FALSE)),"")</f>
        <v>1.05</v>
      </c>
      <c r="H121" s="94">
        <f>IFERROR(IF(VLOOKUP($A121,'Annex 2 EHV charges'!$A:$O,11,FALSE)=0,"",VLOOKUP($A121,'Annex 2 EHV charges'!$A:$O,11,FALSE)),"")</f>
        <v>1.05</v>
      </c>
      <c r="I121" s="229" t="str">
        <f>IF(VLOOKUP(C121,'Annex 2 EHV charges'!$C$11:$P$154,14,FALSE)&lt;=5,"",VLOOKUP(C121,'Annex 2 EHV charges'!$C$11:$P$154,14,FALSE))</f>
        <v/>
      </c>
    </row>
    <row r="122" spans="1:9" ht="12.75" customHeight="1" x14ac:dyDescent="0.35">
      <c r="A122" s="87" t="str">
        <f t="array" ref="A122">IFERROR(INDEX('Annex 2 EHV charges'!$A$11:$A$260, MATCH(0, IF(ISBLANK('Annex 2 EHV charges'!$A$11:$A$260),1, COUNTIF(A$4:$A121, 'Annex 2 EHV charges'!$A$11:$A$260)), 0)),"")</f>
        <v>TBA 13A</v>
      </c>
      <c r="B122" s="87" t="str">
        <f>IF($A122="","",VLOOKUP($A122,'Annex 2 EHV charges'!$A:$O,2,0))</f>
        <v>TBA 13A</v>
      </c>
      <c r="C122" s="88" t="str">
        <f>IF($A122="","",VLOOKUP($A122,'Annex 2 EHV charges'!$A:$O,3,0))</f>
        <v>TBA 13A</v>
      </c>
      <c r="D122" s="87" t="str">
        <f>IF($A122="","",VLOOKUP($A122,'Annex 2 EHV charges'!$A:$O,7,0))</f>
        <v>Byers Brae Battery Storage</v>
      </c>
      <c r="E122" s="92" t="str">
        <f>IFERROR(IF(VLOOKUP($A122,'Annex 2 EHV charges'!$A:$O,8,FALSE)=0,"",VLOOKUP($A122,'Annex 2 EHV charges'!$A:$O,8,FALSE)),"")</f>
        <v>-</v>
      </c>
      <c r="F122" s="93">
        <f>IFERROR(IF(VLOOKUP($A122,'Annex 2 EHV charges'!$A:$O,9,FALSE)=0,"",VLOOKUP($A122,'Annex 2 EHV charges'!$A:$O,9,FALSE)),"")</f>
        <v>727.76</v>
      </c>
      <c r="G122" s="94">
        <f>IFERROR(IF(VLOOKUP($A122,'Annex 2 EHV charges'!$A:$O,10,FALSE)=0,"",VLOOKUP($A122,'Annex 2 EHV charges'!$A:$O,10,FALSE)),"")</f>
        <v>1.05</v>
      </c>
      <c r="H122" s="94">
        <f>IFERROR(IF(VLOOKUP($A122,'Annex 2 EHV charges'!$A:$O,11,FALSE)=0,"",VLOOKUP($A122,'Annex 2 EHV charges'!$A:$O,11,FALSE)),"")</f>
        <v>1.05</v>
      </c>
      <c r="I122" s="229" t="str">
        <f>IF(VLOOKUP(C122,'Annex 2 EHV charges'!$C$11:$P$154,14,FALSE)&lt;=5,"",VLOOKUP(C122,'Annex 2 EHV charges'!$C$11:$P$154,14,FALSE))</f>
        <v/>
      </c>
    </row>
    <row r="123" spans="1:9" ht="12.75" customHeight="1" x14ac:dyDescent="0.35">
      <c r="A123" s="87">
        <f t="array" ref="A123">IFERROR(INDEX('Annex 2 EHV charges'!$A$11:$A$260, MATCH(0, IF(ISBLANK('Annex 2 EHV charges'!$A$11:$A$260),1, COUNTIF(A$4:$A122, 'Annex 2 EHV charges'!$A$11:$A$260)), 0)),"")</f>
        <v>893</v>
      </c>
      <c r="B123" s="87">
        <f>IF($A123="","",VLOOKUP($A123,'Annex 2 EHV charges'!$A:$O,2,0))</f>
        <v>893</v>
      </c>
      <c r="C123" s="88">
        <f>IF($A123="","",VLOOKUP($A123,'Annex 2 EHV charges'!$A:$O,3,0))</f>
        <v>1800061084529</v>
      </c>
      <c r="D123" s="87" t="str">
        <f>IF($A123="","",VLOOKUP($A123,'Annex 2 EHV charges'!$A:$O,7,0))</f>
        <v>Netherton Gas</v>
      </c>
      <c r="E123" s="92" t="str">
        <f>IFERROR(IF(VLOOKUP($A123,'Annex 2 EHV charges'!$A:$O,8,FALSE)=0,"",VLOOKUP($A123,'Annex 2 EHV charges'!$A:$O,8,FALSE)),"")</f>
        <v>-</v>
      </c>
      <c r="F123" s="93">
        <f>IFERROR(IF(VLOOKUP($A123,'Annex 2 EHV charges'!$A:$O,9,FALSE)=0,"",VLOOKUP($A123,'Annex 2 EHV charges'!$A:$O,9,FALSE)),"")</f>
        <v>136.97</v>
      </c>
      <c r="G123" s="94">
        <f>IFERROR(IF(VLOOKUP($A123,'Annex 2 EHV charges'!$A:$O,10,FALSE)=0,"",VLOOKUP($A123,'Annex 2 EHV charges'!$A:$O,10,FALSE)),"")</f>
        <v>1.05</v>
      </c>
      <c r="H123" s="94">
        <f>IFERROR(IF(VLOOKUP($A123,'Annex 2 EHV charges'!$A:$O,11,FALSE)=0,"",VLOOKUP($A123,'Annex 2 EHV charges'!$A:$O,11,FALSE)),"")</f>
        <v>1.05</v>
      </c>
      <c r="I123" s="218" t="str">
        <f>IF(VLOOKUP(C123,'Annex 2 EHV charges'!$C$11:$P$154,14,FALSE)&lt;=5,"",VLOOKUP(C123,'Annex 2 EHV charges'!$C$11:$P$154,14,FALSE))</f>
        <v>Updated 24/11/21</v>
      </c>
    </row>
    <row r="124" spans="1:9" ht="12.75" customHeight="1" x14ac:dyDescent="0.35">
      <c r="A124" s="87">
        <f t="array" ref="A124">IFERROR(INDEX('Annex 2 EHV charges'!$A$11:$A$260, MATCH(0, IF(ISBLANK('Annex 2 EHV charges'!$A$11:$A$260),1, COUNTIF(A$4:$A123, 'Annex 2 EHV charges'!$A$11:$A$260)), 0)),"")</f>
        <v>894</v>
      </c>
      <c r="B124" s="87">
        <f>IF($A124="","",VLOOKUP($A124,'Annex 2 EHV charges'!$A:$O,2,0))</f>
        <v>894</v>
      </c>
      <c r="C124" s="88">
        <f>IF($A124="","",VLOOKUP($A124,'Annex 2 EHV charges'!$A:$O,3,0))</f>
        <v>1800061084421</v>
      </c>
      <c r="D124" s="87" t="str">
        <f>IF($A124="","",VLOOKUP($A124,'Annex 2 EHV charges'!$A:$O,7,0))</f>
        <v>Carbrain Gas</v>
      </c>
      <c r="E124" s="92" t="str">
        <f>IFERROR(IF(VLOOKUP($A124,'Annex 2 EHV charges'!$A:$O,8,FALSE)=0,"",VLOOKUP($A124,'Annex 2 EHV charges'!$A:$O,8,FALSE)),"")</f>
        <v>-</v>
      </c>
      <c r="F124" s="93">
        <f>IFERROR(IF(VLOOKUP($A124,'Annex 2 EHV charges'!$A:$O,9,FALSE)=0,"",VLOOKUP($A124,'Annex 2 EHV charges'!$A:$O,9,FALSE)),"")</f>
        <v>115.45</v>
      </c>
      <c r="G124" s="94">
        <f>IFERROR(IF(VLOOKUP($A124,'Annex 2 EHV charges'!$A:$O,10,FALSE)=0,"",VLOOKUP($A124,'Annex 2 EHV charges'!$A:$O,10,FALSE)),"")</f>
        <v>1.05</v>
      </c>
      <c r="H124" s="94">
        <f>IFERROR(IF(VLOOKUP($A124,'Annex 2 EHV charges'!$A:$O,11,FALSE)=0,"",VLOOKUP($A124,'Annex 2 EHV charges'!$A:$O,11,FALSE)),"")</f>
        <v>1.05</v>
      </c>
      <c r="I124" s="218" t="str">
        <f>IF(VLOOKUP(C124,'Annex 2 EHV charges'!$C$11:$P$154,14,FALSE)&lt;=5,"",VLOOKUP(C124,'Annex 2 EHV charges'!$C$11:$P$154,14,FALSE))</f>
        <v>Updated 24/11/21</v>
      </c>
    </row>
    <row r="125" spans="1:9" ht="12.75" customHeight="1" x14ac:dyDescent="0.35">
      <c r="A125" s="87" t="str">
        <f t="array" ref="A125">IFERROR(INDEX('Annex 2 EHV charges'!$A$11:$A$260, MATCH(0, IF(ISBLANK('Annex 2 EHV charges'!$A$11:$A$260),1, COUNTIF(A$4:$A124, 'Annex 2 EHV charges'!$A$11:$A$260)), 0)),"")</f>
        <v>TBA 16A</v>
      </c>
      <c r="B125" s="87" t="str">
        <f>IF($A125="","",VLOOKUP($A125,'Annex 2 EHV charges'!$A:$O,2,0))</f>
        <v>TBA 16A</v>
      </c>
      <c r="C125" s="88" t="str">
        <f>IF($A125="","",VLOOKUP($A125,'Annex 2 EHV charges'!$A:$O,3,0))</f>
        <v>TBA 16A</v>
      </c>
      <c r="D125" s="87" t="str">
        <f>IF($A125="","",VLOOKUP($A125,'Annex 2 EHV charges'!$A:$O,7,0))</f>
        <v>Leven Gas Generation</v>
      </c>
      <c r="E125" s="92" t="str">
        <f>IFERROR(IF(VLOOKUP($A125,'Annex 2 EHV charges'!$A:$O,8,FALSE)=0,"",VLOOKUP($A125,'Annex 2 EHV charges'!$A:$O,8,FALSE)),"")</f>
        <v>-</v>
      </c>
      <c r="F125" s="93">
        <f>IFERROR(IF(VLOOKUP($A125,'Annex 2 EHV charges'!$A:$O,9,FALSE)=0,"",VLOOKUP($A125,'Annex 2 EHV charges'!$A:$O,9,FALSE)),"")</f>
        <v>103.25</v>
      </c>
      <c r="G125" s="94">
        <f>IFERROR(IF(VLOOKUP($A125,'Annex 2 EHV charges'!$A:$O,10,FALSE)=0,"",VLOOKUP($A125,'Annex 2 EHV charges'!$A:$O,10,FALSE)),"")</f>
        <v>1.05</v>
      </c>
      <c r="H125" s="94">
        <f>IFERROR(IF(VLOOKUP($A125,'Annex 2 EHV charges'!$A:$O,11,FALSE)=0,"",VLOOKUP($A125,'Annex 2 EHV charges'!$A:$O,11,FALSE)),"")</f>
        <v>1.05</v>
      </c>
      <c r="I125" s="218" t="str">
        <f>IF(VLOOKUP(C125,'Annex 2 EHV charges'!$C$11:$P$154,14,FALSE)&lt;=5,"",VLOOKUP(C125,'Annex 2 EHV charges'!$C$11:$P$154,14,FALSE))</f>
        <v>Updated 24/11/21</v>
      </c>
    </row>
    <row r="126" spans="1:9" ht="12.75" customHeight="1" x14ac:dyDescent="0.35">
      <c r="A126" s="87">
        <f t="array" ref="A126">IFERROR(INDEX('Annex 2 EHV charges'!$A$11:$A$260, MATCH(0, IF(ISBLANK('Annex 2 EHV charges'!$A$11:$A$260),1, COUNTIF(A$4:$A125, 'Annex 2 EHV charges'!$A$11:$A$260)), 0)),"")</f>
        <v>896</v>
      </c>
      <c r="B126" s="87">
        <f>IF($A126="","",VLOOKUP($A126,'Annex 2 EHV charges'!$A:$O,2,0))</f>
        <v>896</v>
      </c>
      <c r="C126" s="88">
        <f>IF($A126="","",VLOOKUP($A126,'Annex 2 EHV charges'!$A:$O,3,0))</f>
        <v>1800061114388</v>
      </c>
      <c r="D126" s="87" t="str">
        <f>IF($A126="","",VLOOKUP($A126,'Annex 2 EHV charges'!$A:$O,7,0))</f>
        <v>Carmuirs Gas</v>
      </c>
      <c r="E126" s="92" t="str">
        <f>IFERROR(IF(VLOOKUP($A126,'Annex 2 EHV charges'!$A:$O,8,FALSE)=0,"",VLOOKUP($A126,'Annex 2 EHV charges'!$A:$O,8,FALSE)),"")</f>
        <v>-</v>
      </c>
      <c r="F126" s="93">
        <f>IFERROR(IF(VLOOKUP($A126,'Annex 2 EHV charges'!$A:$O,9,FALSE)=0,"",VLOOKUP($A126,'Annex 2 EHV charges'!$A:$O,9,FALSE)),"")</f>
        <v>64.38</v>
      </c>
      <c r="G126" s="94">
        <f>IFERROR(IF(VLOOKUP($A126,'Annex 2 EHV charges'!$A:$O,10,FALSE)=0,"",VLOOKUP($A126,'Annex 2 EHV charges'!$A:$O,10,FALSE)),"")</f>
        <v>1.65</v>
      </c>
      <c r="H126" s="94">
        <f>IFERROR(IF(VLOOKUP($A126,'Annex 2 EHV charges'!$A:$O,11,FALSE)=0,"",VLOOKUP($A126,'Annex 2 EHV charges'!$A:$O,11,FALSE)),"")</f>
        <v>1.65</v>
      </c>
      <c r="I126" s="229" t="str">
        <f>IF(VLOOKUP(C126,'Annex 2 EHV charges'!$C$11:$P$154,14,FALSE)&lt;=5,"",VLOOKUP(C126,'Annex 2 EHV charges'!$C$11:$P$154,14,FALSE))</f>
        <v/>
      </c>
    </row>
    <row r="127" spans="1:9" ht="12.75" customHeight="1" x14ac:dyDescent="0.35">
      <c r="A127" s="87" t="str">
        <f t="array" ref="A127">IFERROR(INDEX('Annex 2 EHV charges'!$A$11:$A$260, MATCH(0, IF(ISBLANK('Annex 2 EHV charges'!$A$11:$A$260),1, COUNTIF(A$4:$A126, 'Annex 2 EHV charges'!$A$11:$A$260)), 0)),"")</f>
        <v>TBA 3A</v>
      </c>
      <c r="B127" s="87" t="str">
        <f>IF($A127="","",VLOOKUP($A127,'Annex 2 EHV charges'!$A:$O,2,0))</f>
        <v>TBA 3A</v>
      </c>
      <c r="C127" s="88" t="str">
        <f>IF($A127="","",VLOOKUP($A127,'Annex 2 EHV charges'!$A:$O,3,0))</f>
        <v>TBA 3A</v>
      </c>
      <c r="D127" s="87" t="str">
        <f>IF($A127="","",VLOOKUP($A127,'Annex 2 EHV charges'!$A:$O,7,0))</f>
        <v>Abercorn Street</v>
      </c>
      <c r="E127" s="92" t="str">
        <f>IFERROR(IF(VLOOKUP($A127,'Annex 2 EHV charges'!$A:$O,8,FALSE)=0,"",VLOOKUP($A127,'Annex 2 EHV charges'!$A:$O,8,FALSE)),"")</f>
        <v>-</v>
      </c>
      <c r="F127" s="93">
        <f>IFERROR(IF(VLOOKUP($A127,'Annex 2 EHV charges'!$A:$O,9,FALSE)=0,"",VLOOKUP($A127,'Annex 2 EHV charges'!$A:$O,9,FALSE)),"")</f>
        <v>172.6</v>
      </c>
      <c r="G127" s="94">
        <f>IFERROR(IF(VLOOKUP($A127,'Annex 2 EHV charges'!$A:$O,10,FALSE)=0,"",VLOOKUP($A127,'Annex 2 EHV charges'!$A:$O,10,FALSE)),"")</f>
        <v>1.05</v>
      </c>
      <c r="H127" s="94">
        <f>IFERROR(IF(VLOOKUP($A127,'Annex 2 EHV charges'!$A:$O,11,FALSE)=0,"",VLOOKUP($A127,'Annex 2 EHV charges'!$A:$O,11,FALSE)),"")</f>
        <v>1.05</v>
      </c>
      <c r="I127" s="229" t="str">
        <f>IF(VLOOKUP(C127,'Annex 2 EHV charges'!$C$11:$P$154,14,FALSE)&lt;=5,"",VLOOKUP(C127,'Annex 2 EHV charges'!$C$11:$P$154,14,FALSE))</f>
        <v/>
      </c>
    </row>
    <row r="128" spans="1:9" ht="12.75" customHeight="1" x14ac:dyDescent="0.35">
      <c r="A128" s="87">
        <f t="array" ref="A128">IFERROR(INDEX('Annex 2 EHV charges'!$A$11:$A$260, MATCH(0, IF(ISBLANK('Annex 2 EHV charges'!$A$11:$A$260),1, COUNTIF(A$4:$A127, 'Annex 2 EHV charges'!$A$11:$A$260)), 0)),"")</f>
        <v>859</v>
      </c>
      <c r="B128" s="87">
        <f>IF($A128="","",VLOOKUP($A128,'Annex 2 EHV charges'!$A:$O,2,0))</f>
        <v>859</v>
      </c>
      <c r="C128" s="88">
        <f>IF($A128="","",VLOOKUP($A128,'Annex 2 EHV charges'!$A:$O,3,0))</f>
        <v>1800035320127</v>
      </c>
      <c r="D128" s="87" t="str">
        <f>IF($A128="","",VLOOKUP($A128,'Annex 2 EHV charges'!$A:$O,7,0))</f>
        <v>GSK Irvine</v>
      </c>
      <c r="E128" s="92" t="str">
        <f>IFERROR(IF(VLOOKUP($A128,'Annex 2 EHV charges'!$A:$O,8,FALSE)=0,"",VLOOKUP($A128,'Annex 2 EHV charges'!$A:$O,8,FALSE)),"")</f>
        <v>-</v>
      </c>
      <c r="F128" s="93">
        <f>IFERROR(IF(VLOOKUP($A128,'Annex 2 EHV charges'!$A:$O,9,FALSE)=0,"",VLOOKUP($A128,'Annex 2 EHV charges'!$A:$O,9,FALSE)),"")</f>
        <v>21204</v>
      </c>
      <c r="G128" s="94">
        <f>IFERROR(IF(VLOOKUP($A128,'Annex 2 EHV charges'!$A:$O,10,FALSE)=0,"",VLOOKUP($A128,'Annex 2 EHV charges'!$A:$O,10,FALSE)),"")</f>
        <v>3.87</v>
      </c>
      <c r="H128" s="94">
        <f>IFERROR(IF(VLOOKUP($A128,'Annex 2 EHV charges'!$A:$O,11,FALSE)=0,"",VLOOKUP($A128,'Annex 2 EHV charges'!$A:$O,11,FALSE)),"")</f>
        <v>3.87</v>
      </c>
      <c r="I128" s="229" t="str">
        <f>IF(VLOOKUP(C128,'Annex 2 EHV charges'!$C$11:$P$154,14,FALSE)&lt;=5,"",VLOOKUP(C128,'Annex 2 EHV charges'!$C$11:$P$154,14,FALSE))</f>
        <v>See Annex 6</v>
      </c>
    </row>
    <row r="129" spans="1:9" ht="12.75" customHeight="1" x14ac:dyDescent="0.35">
      <c r="A129" s="87" t="str">
        <f t="array" ref="A129">IFERROR(INDEX('Annex 2 EHV charges'!$A$11:$A$260, MATCH(0, IF(ISBLANK('Annex 2 EHV charges'!$A$11:$A$260),1, COUNTIF(A$4:$A128, 'Annex 2 EHV charges'!$A$11:$A$260)), 0)),"")</f>
        <v>TBA 7A</v>
      </c>
      <c r="B129" s="87" t="str">
        <f>IF($A129="","",VLOOKUP($A129,'Annex 2 EHV charges'!$A:$O,2,0))</f>
        <v>TBA 7A</v>
      </c>
      <c r="C129" s="88" t="str">
        <f>IF($A129="","",VLOOKUP($A129,'Annex 2 EHV charges'!$A:$O,3,0))</f>
        <v>TBA 7A</v>
      </c>
      <c r="D129" s="87" t="str">
        <f>IF($A129="","",VLOOKUP($A129,'Annex 2 EHV charges'!$A:$O,7,0))</f>
        <v>Nether Farm</v>
      </c>
      <c r="E129" s="92" t="str">
        <f>IFERROR(IF(VLOOKUP($A129,'Annex 2 EHV charges'!$A:$O,8,FALSE)=0,"",VLOOKUP($A129,'Annex 2 EHV charges'!$A:$O,8,FALSE)),"")</f>
        <v>-</v>
      </c>
      <c r="F129" s="93">
        <f>IFERROR(IF(VLOOKUP($A129,'Annex 2 EHV charges'!$A:$O,9,FALSE)=0,"",VLOOKUP($A129,'Annex 2 EHV charges'!$A:$O,9,FALSE)),"")</f>
        <v>20.39</v>
      </c>
      <c r="G129" s="94">
        <f>IFERROR(IF(VLOOKUP($A129,'Annex 2 EHV charges'!$A:$O,10,FALSE)=0,"",VLOOKUP($A129,'Annex 2 EHV charges'!$A:$O,10,FALSE)),"")</f>
        <v>1.05</v>
      </c>
      <c r="H129" s="94">
        <f>IFERROR(IF(VLOOKUP($A129,'Annex 2 EHV charges'!$A:$O,11,FALSE)=0,"",VLOOKUP($A129,'Annex 2 EHV charges'!$A:$O,11,FALSE)),"")</f>
        <v>1.05</v>
      </c>
      <c r="I129" s="229" t="str">
        <f>IF(VLOOKUP(C129,'Annex 2 EHV charges'!$C$11:$P$154,14,FALSE)&lt;=5,"",VLOOKUP(C129,'Annex 2 EHV charges'!$C$11:$P$154,14,FALSE))</f>
        <v/>
      </c>
    </row>
    <row r="130" spans="1:9" ht="12.75" customHeight="1" x14ac:dyDescent="0.35">
      <c r="A130" s="87">
        <f t="array" ref="A130">IFERROR(INDEX('Annex 2 EHV charges'!$A$11:$A$260, MATCH(0, IF(ISBLANK('Annex 2 EHV charges'!$A$11:$A$260),1, COUNTIF(A$4:$A129, 'Annex 2 EHV charges'!$A$11:$A$260)), 0)),"")</f>
        <v>866</v>
      </c>
      <c r="B130" s="87">
        <f>IF($A130="","",VLOOKUP($A130,'Annex 2 EHV charges'!$A:$O,2,0))</f>
        <v>866</v>
      </c>
      <c r="C130" s="88">
        <f>IF($A130="","",VLOOKUP($A130,'Annex 2 EHV charges'!$A:$O,3,0))</f>
        <v>1800051523646</v>
      </c>
      <c r="D130" s="87" t="str">
        <f>IF($A130="","",VLOOKUP($A130,'Annex 2 EHV charges'!$A:$O,7,0))</f>
        <v>Calachem RDF CHP Plant</v>
      </c>
      <c r="E130" s="92" t="str">
        <f>IFERROR(IF(VLOOKUP($A130,'Annex 2 EHV charges'!$A:$O,8,FALSE)=0,"",VLOOKUP($A130,'Annex 2 EHV charges'!$A:$O,8,FALSE)),"")</f>
        <v>-</v>
      </c>
      <c r="F130" s="93">
        <f>IFERROR(IF(VLOOKUP($A130,'Annex 2 EHV charges'!$A:$O,9,FALSE)=0,"",VLOOKUP($A130,'Annex 2 EHV charges'!$A:$O,9,FALSE)),"")</f>
        <v>23372.41</v>
      </c>
      <c r="G130" s="94">
        <f>IFERROR(IF(VLOOKUP($A130,'Annex 2 EHV charges'!$A:$O,10,FALSE)=0,"",VLOOKUP($A130,'Annex 2 EHV charges'!$A:$O,10,FALSE)),"")</f>
        <v>1.18</v>
      </c>
      <c r="H130" s="94">
        <f>IFERROR(IF(VLOOKUP($A130,'Annex 2 EHV charges'!$A:$O,11,FALSE)=0,"",VLOOKUP($A130,'Annex 2 EHV charges'!$A:$O,11,FALSE)),"")</f>
        <v>1.18</v>
      </c>
      <c r="I130" s="229" t="str">
        <f>IF(VLOOKUP(C130,'Annex 2 EHV charges'!$C$11:$P$154,14,FALSE)&lt;=5,"",VLOOKUP(C130,'Annex 2 EHV charges'!$C$11:$P$154,14,FALSE))</f>
        <v/>
      </c>
    </row>
    <row r="131" spans="1:9" ht="12.75" customHeight="1" x14ac:dyDescent="0.35">
      <c r="A131" s="87" t="str">
        <f t="array" ref="A131">IFERROR(INDEX('Annex 2 EHV charges'!$A$11:$A$260, MATCH(0, IF(ISBLANK('Annex 2 EHV charges'!$A$11:$A$260),1, COUNTIF(A$4:$A130, 'Annex 2 EHV charges'!$A$11:$A$260)), 0)),"")</f>
        <v>TBA 9A</v>
      </c>
      <c r="B131" s="87" t="str">
        <f>IF($A131="","",VLOOKUP($A131,'Annex 2 EHV charges'!$A:$O,2,0))</f>
        <v>TBA 9A</v>
      </c>
      <c r="C131" s="88" t="str">
        <f>IF($A131="","",VLOOKUP($A131,'Annex 2 EHV charges'!$A:$O,3,0))</f>
        <v>TBA 9A</v>
      </c>
      <c r="D131" s="87" t="str">
        <f>IF($A131="","",VLOOKUP($A131,'Annex 2 EHV charges'!$A:$O,7,0))</f>
        <v>East Mains Gas</v>
      </c>
      <c r="E131" s="92" t="str">
        <f>IFERROR(IF(VLOOKUP($A131,'Annex 2 EHV charges'!$A:$O,8,FALSE)=0,"",VLOOKUP($A131,'Annex 2 EHV charges'!$A:$O,8,FALSE)),"")</f>
        <v>-</v>
      </c>
      <c r="F131" s="93">
        <f>IFERROR(IF(VLOOKUP($A131,'Annex 2 EHV charges'!$A:$O,9,FALSE)=0,"",VLOOKUP($A131,'Annex 2 EHV charges'!$A:$O,9,FALSE)),"")</f>
        <v>71</v>
      </c>
      <c r="G131" s="94">
        <f>IFERROR(IF(VLOOKUP($A131,'Annex 2 EHV charges'!$A:$O,10,FALSE)=0,"",VLOOKUP($A131,'Annex 2 EHV charges'!$A:$O,10,FALSE)),"")</f>
        <v>1.18</v>
      </c>
      <c r="H131" s="94">
        <f>IFERROR(IF(VLOOKUP($A131,'Annex 2 EHV charges'!$A:$O,11,FALSE)=0,"",VLOOKUP($A131,'Annex 2 EHV charges'!$A:$O,11,FALSE)),"")</f>
        <v>1.18</v>
      </c>
      <c r="I131" s="229" t="str">
        <f>IF(VLOOKUP(C131,'Annex 2 EHV charges'!$C$11:$P$154,14,FALSE)&lt;=5,"",VLOOKUP(C131,'Annex 2 EHV charges'!$C$11:$P$154,14,FALSE))</f>
        <v/>
      </c>
    </row>
    <row r="132" spans="1:9" ht="12.75" customHeight="1" x14ac:dyDescent="0.35">
      <c r="A132" s="87" t="str">
        <f t="array" ref="A132">IFERROR(INDEX('Annex 2 EHV charges'!$A$11:$A$260, MATCH(0, IF(ISBLANK('Annex 2 EHV charges'!$A$11:$A$260),1, COUNTIF(A$4:$A131, 'Annex 2 EHV charges'!$A$11:$A$260)), 0)),"")</f>
        <v>TBA 14A</v>
      </c>
      <c r="B132" s="87" t="str">
        <f>IF($A132="","",VLOOKUP($A132,'Annex 2 EHV charges'!$A:$O,2,0))</f>
        <v>TBA 14A</v>
      </c>
      <c r="C132" s="88" t="str">
        <f>IF($A132="","",VLOOKUP($A132,'Annex 2 EHV charges'!$A:$O,3,0))</f>
        <v>TBA 14A</v>
      </c>
      <c r="D132" s="87" t="str">
        <f>IF($A132="","",VLOOKUP($A132,'Annex 2 EHV charges'!$A:$O,7,0))</f>
        <v xml:space="preserve">Drumcross ESS </v>
      </c>
      <c r="E132" s="92" t="str">
        <f>IFERROR(IF(VLOOKUP($A132,'Annex 2 EHV charges'!$A:$O,8,FALSE)=0,"",VLOOKUP($A132,'Annex 2 EHV charges'!$A:$O,8,FALSE)),"")</f>
        <v>-</v>
      </c>
      <c r="F132" s="93">
        <f>IFERROR(IF(VLOOKUP($A132,'Annex 2 EHV charges'!$A:$O,9,FALSE)=0,"",VLOOKUP($A132,'Annex 2 EHV charges'!$A:$O,9,FALSE)),"")</f>
        <v>2391.8000000000002</v>
      </c>
      <c r="G132" s="94">
        <f>IFERROR(IF(VLOOKUP($A132,'Annex 2 EHV charges'!$A:$O,10,FALSE)=0,"",VLOOKUP($A132,'Annex 2 EHV charges'!$A:$O,10,FALSE)),"")</f>
        <v>1.05</v>
      </c>
      <c r="H132" s="94">
        <f>IFERROR(IF(VLOOKUP($A132,'Annex 2 EHV charges'!$A:$O,11,FALSE)=0,"",VLOOKUP($A132,'Annex 2 EHV charges'!$A:$O,11,FALSE)),"")</f>
        <v>1.05</v>
      </c>
      <c r="I132" s="218" t="str">
        <f>IF(VLOOKUP(C132,'Annex 2 EHV charges'!$C$11:$P$154,14,FALSE)&lt;=5,"",VLOOKUP(C132,'Annex 2 EHV charges'!$C$11:$P$154,14,FALSE))</f>
        <v>Updated 24/11/21</v>
      </c>
    </row>
    <row r="133" spans="1:9" ht="12.75" customHeight="1" x14ac:dyDescent="0.35">
      <c r="A133" s="87" t="str">
        <f t="array" ref="A133">IFERROR(INDEX('Annex 2 EHV charges'!$A$11:$A$260, MATCH(0, IF(ISBLANK('Annex 2 EHV charges'!$A$11:$A$260),1, COUNTIF(A$4:$A132, 'Annex 2 EHV charges'!$A$11:$A$260)), 0)),"")</f>
        <v>TBA 15A</v>
      </c>
      <c r="B133" s="87" t="str">
        <f>IF($A133="","",VLOOKUP($A133,'Annex 2 EHV charges'!$A:$O,2,0))</f>
        <v>TBA 15A</v>
      </c>
      <c r="C133" s="88" t="str">
        <f>IF($A133="","",VLOOKUP($A133,'Annex 2 EHV charges'!$A:$O,3,0))</f>
        <v>TBA 15A</v>
      </c>
      <c r="D133" s="87" t="str">
        <f>IF($A133="","",VLOOKUP($A133,'Annex 2 EHV charges'!$A:$O,7,0))</f>
        <v>Easter Drumclair WF</v>
      </c>
      <c r="E133" s="92" t="str">
        <f>IFERROR(IF(VLOOKUP($A133,'Annex 2 EHV charges'!$A:$O,8,FALSE)=0,"",VLOOKUP($A133,'Annex 2 EHV charges'!$A:$O,8,FALSE)),"")</f>
        <v>-</v>
      </c>
      <c r="F133" s="93">
        <f>IFERROR(IF(VLOOKUP($A133,'Annex 2 EHV charges'!$A:$O,9,FALSE)=0,"",VLOOKUP($A133,'Annex 2 EHV charges'!$A:$O,9,FALSE)),"")</f>
        <v>372.3</v>
      </c>
      <c r="G133" s="94">
        <f>IFERROR(IF(VLOOKUP($A133,'Annex 2 EHV charges'!$A:$O,10,FALSE)=0,"",VLOOKUP($A133,'Annex 2 EHV charges'!$A:$O,10,FALSE)),"")</f>
        <v>1.23</v>
      </c>
      <c r="H133" s="94">
        <f>IFERROR(IF(VLOOKUP($A133,'Annex 2 EHV charges'!$A:$O,11,FALSE)=0,"",VLOOKUP($A133,'Annex 2 EHV charges'!$A:$O,11,FALSE)),"")</f>
        <v>1.23</v>
      </c>
      <c r="I133" s="229" t="str">
        <f>IF(VLOOKUP(C133,'Annex 2 EHV charges'!$C$11:$P$154,14,FALSE)&lt;=5,"",VLOOKUP(C133,'Annex 2 EHV charges'!$C$11:$P$154,14,FALSE))</f>
        <v/>
      </c>
    </row>
    <row r="134" spans="1:9" ht="12.75" customHeight="1" x14ac:dyDescent="0.35">
      <c r="A134" s="87" t="str">
        <f t="array" ref="A134">IFERROR(INDEX('Annex 2 EHV charges'!$A$11:$A$260, MATCH(0, IF(ISBLANK('Annex 2 EHV charges'!$A$11:$A$260),1, COUNTIF(A$4:$A133, 'Annex 2 EHV charges'!$A$11:$A$260)), 0)),"")</f>
        <v>TBA 17A</v>
      </c>
      <c r="B134" s="87" t="str">
        <f>IF($A134="","",VLOOKUP($A134,'Annex 2 EHV charges'!$A:$O,2,0))</f>
        <v>TBA 17A</v>
      </c>
      <c r="C134" s="88" t="str">
        <f>IF($A134="","",VLOOKUP($A134,'Annex 2 EHV charges'!$A:$O,3,0))</f>
        <v>TBA 17A</v>
      </c>
      <c r="D134" s="87" t="str">
        <f>IF($A134="","",VLOOKUP($A134,'Annex 2 EHV charges'!$A:$O,7,0))</f>
        <v>Camilla Farm ESS</v>
      </c>
      <c r="E134" s="92" t="str">
        <f>IFERROR(IF(VLOOKUP($A134,'Annex 2 EHV charges'!$A:$O,8,FALSE)=0,"",VLOOKUP($A134,'Annex 2 EHV charges'!$A:$O,8,FALSE)),"")</f>
        <v>-</v>
      </c>
      <c r="F134" s="93">
        <f>IFERROR(IF(VLOOKUP($A134,'Annex 2 EHV charges'!$A:$O,9,FALSE)=0,"",VLOOKUP($A134,'Annex 2 EHV charges'!$A:$O,9,FALSE)),"")</f>
        <v>2434.5500000000002</v>
      </c>
      <c r="G134" s="94">
        <f>IFERROR(IF(VLOOKUP($A134,'Annex 2 EHV charges'!$A:$O,10,FALSE)=0,"",VLOOKUP($A134,'Annex 2 EHV charges'!$A:$O,10,FALSE)),"")</f>
        <v>1.05</v>
      </c>
      <c r="H134" s="94">
        <f>IFERROR(IF(VLOOKUP($A134,'Annex 2 EHV charges'!$A:$O,11,FALSE)=0,"",VLOOKUP($A134,'Annex 2 EHV charges'!$A:$O,11,FALSE)),"")</f>
        <v>1.05</v>
      </c>
      <c r="I134" s="218" t="str">
        <f>IF(VLOOKUP(C134,'Annex 2 EHV charges'!$C$11:$P$154,14,FALSE)&lt;=5,"",VLOOKUP(C134,'Annex 2 EHV charges'!$C$11:$P$154,14,FALSE))</f>
        <v>Updated 24/11/21</v>
      </c>
    </row>
    <row r="135" spans="1:9" ht="12.75" customHeight="1" x14ac:dyDescent="0.35">
      <c r="A135" s="87" t="str">
        <f t="array" ref="A135">IFERROR(INDEX('Annex 2 EHV charges'!$A$11:$A$260, MATCH(0, IF(ISBLANK('Annex 2 EHV charges'!$A$11:$A$260),1, COUNTIF(A$4:$A134, 'Annex 2 EHV charges'!$A$11:$A$260)), 0)),"")</f>
        <v>TBA 10A</v>
      </c>
      <c r="B135" s="87" t="str">
        <f>IF($A135="","",VLOOKUP($A135,'Annex 2 EHV charges'!$A:$O,2,0))</f>
        <v>TBA 10A</v>
      </c>
      <c r="C135" s="88" t="str">
        <f>IF($A135="","",VLOOKUP($A135,'Annex 2 EHV charges'!$A:$O,3,0))</f>
        <v>TBA 10A</v>
      </c>
      <c r="D135" s="87" t="str">
        <f>IF($A135="","",VLOOKUP($A135,'Annex 2 EHV charges'!$A:$O,7,0))</f>
        <v>Nairn Road Alpha</v>
      </c>
      <c r="E135" s="92" t="str">
        <f>IFERROR(IF(VLOOKUP($A135,'Annex 2 EHV charges'!$A:$O,8,FALSE)=0,"",VLOOKUP($A135,'Annex 2 EHV charges'!$A:$O,8,FALSE)),"")</f>
        <v>-</v>
      </c>
      <c r="F135" s="93">
        <f>IFERROR(IF(VLOOKUP($A135,'Annex 2 EHV charges'!$A:$O,9,FALSE)=0,"",VLOOKUP($A135,'Annex 2 EHV charges'!$A:$O,9,FALSE)),"")</f>
        <v>68.13</v>
      </c>
      <c r="G135" s="94">
        <f>IFERROR(IF(VLOOKUP($A135,'Annex 2 EHV charges'!$A:$O,10,FALSE)=0,"",VLOOKUP($A135,'Annex 2 EHV charges'!$A:$O,10,FALSE)),"")</f>
        <v>1.18</v>
      </c>
      <c r="H135" s="94">
        <f>IFERROR(IF(VLOOKUP($A135,'Annex 2 EHV charges'!$A:$O,11,FALSE)=0,"",VLOOKUP($A135,'Annex 2 EHV charges'!$A:$O,11,FALSE)),"")</f>
        <v>1.18</v>
      </c>
      <c r="I135" s="229" t="str">
        <f>IF(VLOOKUP(C135,'Annex 2 EHV charges'!$C$11:$P$154,14,FALSE)&lt;=5,"",VLOOKUP(C135,'Annex 2 EHV charges'!$C$11:$P$154,14,FALSE))</f>
        <v/>
      </c>
    </row>
    <row r="136" spans="1:9" ht="12.75" customHeight="1" x14ac:dyDescent="0.35">
      <c r="A136" s="87" t="str">
        <f t="array" ref="A136">IFERROR(INDEX('Annex 2 EHV charges'!$A$11:$A$260, MATCH(0, IF(ISBLANK('Annex 2 EHV charges'!$A$11:$A$260),1, COUNTIF(A$4:$A135, 'Annex 2 EHV charges'!$A$11:$A$260)), 0)),"")</f>
        <v>TBA 11A</v>
      </c>
      <c r="B136" s="87" t="str">
        <f>IF($A136="","",VLOOKUP($A136,'Annex 2 EHV charges'!$A:$O,2,0))</f>
        <v>TBA 11A</v>
      </c>
      <c r="C136" s="88" t="str">
        <f>IF($A136="","",VLOOKUP($A136,'Annex 2 EHV charges'!$A:$O,3,0))</f>
        <v>TBA 11A</v>
      </c>
      <c r="D136" s="87" t="str">
        <f>IF($A136="","",VLOOKUP($A136,'Annex 2 EHV charges'!$A:$O,7,0))</f>
        <v>Nairn Road Bravo</v>
      </c>
      <c r="E136" s="92" t="str">
        <f>IFERROR(IF(VLOOKUP($A136,'Annex 2 EHV charges'!$A:$O,8,FALSE)=0,"",VLOOKUP($A136,'Annex 2 EHV charges'!$A:$O,8,FALSE)),"")</f>
        <v>-</v>
      </c>
      <c r="F136" s="93">
        <f>IFERROR(IF(VLOOKUP($A136,'Annex 2 EHV charges'!$A:$O,9,FALSE)=0,"",VLOOKUP($A136,'Annex 2 EHV charges'!$A:$O,9,FALSE)),"")</f>
        <v>82.95</v>
      </c>
      <c r="G136" s="94">
        <f>IFERROR(IF(VLOOKUP($A136,'Annex 2 EHV charges'!$A:$O,10,FALSE)=0,"",VLOOKUP($A136,'Annex 2 EHV charges'!$A:$O,10,FALSE)),"")</f>
        <v>1.18</v>
      </c>
      <c r="H136" s="94">
        <f>IFERROR(IF(VLOOKUP($A136,'Annex 2 EHV charges'!$A:$O,11,FALSE)=0,"",VLOOKUP($A136,'Annex 2 EHV charges'!$A:$O,11,FALSE)),"")</f>
        <v>1.18</v>
      </c>
      <c r="I136" s="229" t="str">
        <f>IF(VLOOKUP(C136,'Annex 2 EHV charges'!$C$11:$P$154,14,FALSE)&lt;=5,"",VLOOKUP(C136,'Annex 2 EHV charges'!$C$11:$P$154,14,FALSE))</f>
        <v/>
      </c>
    </row>
    <row r="137" spans="1:9" ht="12.75" customHeight="1" x14ac:dyDescent="0.35">
      <c r="A137" s="87" t="str">
        <f t="array" ref="A137">IFERROR(INDEX('Annex 2 EHV charges'!$A$11:$A$260, MATCH(0, IF(ISBLANK('Annex 2 EHV charges'!$A$11:$A$260),1, COUNTIF(A$4:$A136, 'Annex 2 EHV charges'!$A$11:$A$260)), 0)),"")</f>
        <v>TBA 12A</v>
      </c>
      <c r="B137" s="87" t="str">
        <f>IF($A137="","",VLOOKUP($A137,'Annex 2 EHV charges'!$A:$O,2,0))</f>
        <v>TBA 12A</v>
      </c>
      <c r="C137" s="88" t="str">
        <f>IF($A137="","",VLOOKUP($A137,'Annex 2 EHV charges'!$A:$O,3,0))</f>
        <v>TBA 12A</v>
      </c>
      <c r="D137" s="87" t="str">
        <f>IF($A137="","",VLOOKUP($A137,'Annex 2 EHV charges'!$A:$O,7,0))</f>
        <v>Southrigg 2 WF</v>
      </c>
      <c r="E137" s="92" t="str">
        <f>IFERROR(IF(VLOOKUP($A137,'Annex 2 EHV charges'!$A:$O,8,FALSE)=0,"",VLOOKUP($A137,'Annex 2 EHV charges'!$A:$O,8,FALSE)),"")</f>
        <v>-</v>
      </c>
      <c r="F137" s="93">
        <f>IFERROR(IF(VLOOKUP($A137,'Annex 2 EHV charges'!$A:$O,9,FALSE)=0,"",VLOOKUP($A137,'Annex 2 EHV charges'!$A:$O,9,FALSE)),"")</f>
        <v>496.05</v>
      </c>
      <c r="G137" s="94">
        <f>IFERROR(IF(VLOOKUP($A137,'Annex 2 EHV charges'!$A:$O,10,FALSE)=0,"",VLOOKUP($A137,'Annex 2 EHV charges'!$A:$O,10,FALSE)),"")</f>
        <v>1.18</v>
      </c>
      <c r="H137" s="94">
        <f>IFERROR(IF(VLOOKUP($A137,'Annex 2 EHV charges'!$A:$O,11,FALSE)=0,"",VLOOKUP($A137,'Annex 2 EHV charges'!$A:$O,11,FALSE)),"")</f>
        <v>1.18</v>
      </c>
      <c r="I137" s="229" t="str">
        <f>IF(VLOOKUP(C137,'Annex 2 EHV charges'!$C$11:$P$154,14,FALSE)&lt;=5,"",VLOOKUP(C137,'Annex 2 EHV charges'!$C$11:$P$154,14,FALSE))</f>
        <v/>
      </c>
    </row>
    <row r="138" spans="1:9" ht="12.75" customHeight="1" x14ac:dyDescent="0.35">
      <c r="A138" s="87" t="str">
        <f t="array" ref="A138">IFERROR(INDEX('Annex 2 EHV charges'!$A$11:$A$260, MATCH(0, IF(ISBLANK('Annex 2 EHV charges'!$A$11:$A$260),1, COUNTIF(A$4:$A137, 'Annex 2 EHV charges'!$A$11:$A$260)), 0)),"")</f>
        <v>TBA 1A</v>
      </c>
      <c r="B138" s="87" t="str">
        <f>IF($A138="","",VLOOKUP($A138,'Annex 2 EHV charges'!$A:$O,2,0))</f>
        <v>TBA 1A</v>
      </c>
      <c r="C138" s="88" t="str">
        <f>IF($A138="","",VLOOKUP($A138,'Annex 2 EHV charges'!$A:$O,3,0))</f>
        <v>TBA 1A</v>
      </c>
      <c r="D138" s="87" t="str">
        <f>IF($A138="","",VLOOKUP($A138,'Annex 2 EHV charges'!$A:$O,7,0))</f>
        <v>Abbotshaugh Reserve Power Facility</v>
      </c>
      <c r="E138" s="92" t="str">
        <f>IFERROR(IF(VLOOKUP($A138,'Annex 2 EHV charges'!$A:$O,8,FALSE)=0,"",VLOOKUP($A138,'Annex 2 EHV charges'!$A:$O,8,FALSE)),"")</f>
        <v>-</v>
      </c>
      <c r="F138" s="93">
        <f>IFERROR(IF(VLOOKUP($A138,'Annex 2 EHV charges'!$A:$O,9,FALSE)=0,"",VLOOKUP($A138,'Annex 2 EHV charges'!$A:$O,9,FALSE)),"")</f>
        <v>92.08</v>
      </c>
      <c r="G138" s="94">
        <f>IFERROR(IF(VLOOKUP($A138,'Annex 2 EHV charges'!$A:$O,10,FALSE)=0,"",VLOOKUP($A138,'Annex 2 EHV charges'!$A:$O,10,FALSE)),"")</f>
        <v>1.05</v>
      </c>
      <c r="H138" s="94">
        <f>IFERROR(IF(VLOOKUP($A138,'Annex 2 EHV charges'!$A:$O,11,FALSE)=0,"",VLOOKUP($A138,'Annex 2 EHV charges'!$A:$O,11,FALSE)),"")</f>
        <v>1.05</v>
      </c>
      <c r="I138" s="218" t="str">
        <f>IF(VLOOKUP(C138,'Annex 2 EHV charges'!$C$11:$P$154,14,FALSE)&lt;=5,"",VLOOKUP(C138,'Annex 2 EHV charges'!$C$11:$P$154,14,FALSE))</f>
        <v>Updated 24/11/21</v>
      </c>
    </row>
    <row r="139" spans="1:9" ht="12.75" customHeight="1" x14ac:dyDescent="0.35">
      <c r="A139" s="87" t="str">
        <f t="array" ref="A139">IFERROR(INDEX('Annex 2 EHV charges'!$A$11:$A$260, MATCH(0, IF(ISBLANK('Annex 2 EHV charges'!$A$11:$A$260),1, COUNTIF(A$4:$A138, 'Annex 2 EHV charges'!$A$11:$A$260)), 0)),"")</f>
        <v/>
      </c>
      <c r="B139" s="87" t="str">
        <f>IF($A139="","",VLOOKUP($A139,'Annex 2 EHV charges'!$A:$O,2,0))</f>
        <v/>
      </c>
      <c r="C139" s="88" t="str">
        <f>IF($A139="","",VLOOKUP($A139,'Annex 2 EHV charges'!$A:$O,3,0))</f>
        <v/>
      </c>
      <c r="D139" s="87" t="str">
        <f>IF($A139="","",VLOOKUP($A139,'Annex 2 EHV charges'!$A:$O,7,0))</f>
        <v/>
      </c>
      <c r="E139" s="92" t="str">
        <f>IFERROR(IF(VLOOKUP($A139,'Annex 2 EHV charges'!$A:$O,8,FALSE)=0,"",VLOOKUP($A139,'Annex 2 EHV charges'!$A:$O,8,FALSE)),"")</f>
        <v/>
      </c>
      <c r="F139" s="93" t="str">
        <f>IFERROR(IF(VLOOKUP($A139,'Annex 2 EHV charges'!$A:$O,9,FALSE)=0,"",VLOOKUP($A139,'Annex 2 EHV charges'!$A:$O,9,FALSE)),"")</f>
        <v/>
      </c>
      <c r="G139" s="94" t="str">
        <f>IFERROR(IF(VLOOKUP($A139,'Annex 2 EHV charges'!$A:$O,10,FALSE)=0,"",VLOOKUP($A139,'Annex 2 EHV charges'!$A:$O,10,FALSE)),"")</f>
        <v/>
      </c>
      <c r="H139" s="94" t="str">
        <f>IFERROR(IF(VLOOKUP($A139,'Annex 2 EHV charges'!$A:$O,11,FALSE)=0,"",VLOOKUP($A139,'Annex 2 EHV charges'!$A:$O,11,FALSE)),"")</f>
        <v/>
      </c>
      <c r="I139" s="229" t="str">
        <f>IF(VLOOKUP(C139,'Annex 2 EHV charges'!$C$11:$P$154,14,FALSE)&lt;=5,"",VLOOKUP(C139,'Annex 2 EHV charges'!$C$11:$P$154,14,FALSE))</f>
        <v/>
      </c>
    </row>
    <row r="140" spans="1:9" ht="12.75" customHeight="1" x14ac:dyDescent="0.35">
      <c r="A140" s="87" t="str">
        <f t="array" ref="A140">IFERROR(INDEX('Annex 2 EHV charges'!$A$11:$A$260, MATCH(0, IF(ISBLANK('Annex 2 EHV charges'!$A$11:$A$260),1, COUNTIF(A$4:$A139, 'Annex 2 EHV charges'!$A$11:$A$260)), 0)),"")</f>
        <v/>
      </c>
      <c r="B140" s="87" t="str">
        <f>IF($A140="","",VLOOKUP($A140,'Annex 2 EHV charges'!$A:$O,2,0))</f>
        <v/>
      </c>
      <c r="C140" s="88" t="str">
        <f>IF($A140="","",VLOOKUP($A140,'Annex 2 EHV charges'!$A:$O,3,0))</f>
        <v/>
      </c>
      <c r="D140" s="87" t="str">
        <f>IF($A140="","",VLOOKUP($A140,'Annex 2 EHV charges'!$A:$O,7,0))</f>
        <v/>
      </c>
      <c r="E140" s="92" t="str">
        <f>IFERROR(IF(VLOOKUP($A140,'Annex 2 EHV charges'!$A:$O,8,FALSE)=0,"",VLOOKUP($A140,'Annex 2 EHV charges'!$A:$O,8,FALSE)),"")</f>
        <v/>
      </c>
      <c r="F140" s="93" t="str">
        <f>IFERROR(IF(VLOOKUP($A140,'Annex 2 EHV charges'!$A:$O,9,FALSE)=0,"",VLOOKUP($A140,'Annex 2 EHV charges'!$A:$O,9,FALSE)),"")</f>
        <v/>
      </c>
      <c r="G140" s="94" t="str">
        <f>IFERROR(IF(VLOOKUP($A140,'Annex 2 EHV charges'!$A:$O,10,FALSE)=0,"",VLOOKUP($A140,'Annex 2 EHV charges'!$A:$O,10,FALSE)),"")</f>
        <v/>
      </c>
      <c r="H140" s="94" t="str">
        <f>IFERROR(IF(VLOOKUP($A140,'Annex 2 EHV charges'!$A:$O,11,FALSE)=0,"",VLOOKUP($A140,'Annex 2 EHV charges'!$A:$O,11,FALSE)),"")</f>
        <v/>
      </c>
      <c r="I140" s="229" t="str">
        <f>IF(VLOOKUP(C140,'Annex 2 EHV charges'!$C$11:$P$154,14,FALSE)&lt;=5,"",VLOOKUP(C140,'Annex 2 EHV charges'!$C$11:$P$154,14,FALSE))</f>
        <v/>
      </c>
    </row>
    <row r="141" spans="1:9" ht="12.75" customHeight="1" x14ac:dyDescent="0.35">
      <c r="A141" s="87" t="str">
        <f t="array" ref="A141">IFERROR(INDEX('Annex 2 EHV charges'!$A$11:$A$260, MATCH(0, IF(ISBLANK('Annex 2 EHV charges'!$A$11:$A$260),1, COUNTIF(A$4:$A140, 'Annex 2 EHV charges'!$A$11:$A$260)), 0)),"")</f>
        <v/>
      </c>
      <c r="B141" s="87" t="str">
        <f>IF($A141="","",VLOOKUP($A141,'Annex 2 EHV charges'!$A:$O,2,0))</f>
        <v/>
      </c>
      <c r="C141" s="88" t="str">
        <f>IF($A141="","",VLOOKUP($A141,'Annex 2 EHV charges'!$A:$O,3,0))</f>
        <v/>
      </c>
      <c r="D141" s="87" t="str">
        <f>IF($A141="","",VLOOKUP($A141,'Annex 2 EHV charges'!$A:$O,7,0))</f>
        <v/>
      </c>
      <c r="E141" s="92" t="str">
        <f>IFERROR(IF(VLOOKUP($A141,'Annex 2 EHV charges'!$A:$O,8,FALSE)=0,"",VLOOKUP($A141,'Annex 2 EHV charges'!$A:$O,8,FALSE)),"")</f>
        <v/>
      </c>
      <c r="F141" s="93" t="str">
        <f>IFERROR(IF(VLOOKUP($A141,'Annex 2 EHV charges'!$A:$O,9,FALSE)=0,"",VLOOKUP($A141,'Annex 2 EHV charges'!$A:$O,9,FALSE)),"")</f>
        <v/>
      </c>
      <c r="G141" s="94" t="str">
        <f>IFERROR(IF(VLOOKUP($A141,'Annex 2 EHV charges'!$A:$O,10,FALSE)=0,"",VLOOKUP($A141,'Annex 2 EHV charges'!$A:$O,10,FALSE)),"")</f>
        <v/>
      </c>
      <c r="H141" s="94" t="str">
        <f>IFERROR(IF(VLOOKUP($A141,'Annex 2 EHV charges'!$A:$O,11,FALSE)=0,"",VLOOKUP($A141,'Annex 2 EHV charges'!$A:$O,11,FALSE)),"")</f>
        <v/>
      </c>
      <c r="I141" s="229" t="str">
        <f>IF(VLOOKUP(C141,'Annex 2 EHV charges'!$C$11:$P$154,14,FALSE)&lt;=5,"",VLOOKUP(C141,'Annex 2 EHV charges'!$C$11:$P$154,14,FALSE))</f>
        <v/>
      </c>
    </row>
    <row r="142" spans="1:9" ht="12.75" customHeight="1" x14ac:dyDescent="0.35">
      <c r="A142" s="87" t="str">
        <f t="array" ref="A142">IFERROR(INDEX('Annex 2 EHV charges'!$A$11:$A$260, MATCH(0, IF(ISBLANK('Annex 2 EHV charges'!$A$11:$A$260),1, COUNTIF(A$4:$A141, 'Annex 2 EHV charges'!$A$11:$A$260)), 0)),"")</f>
        <v/>
      </c>
      <c r="B142" s="87" t="str">
        <f>IF($A142="","",VLOOKUP($A142,'Annex 2 EHV charges'!$A:$O,2,0))</f>
        <v/>
      </c>
      <c r="C142" s="88" t="str">
        <f>IF($A142="","",VLOOKUP($A142,'Annex 2 EHV charges'!$A:$O,3,0))</f>
        <v/>
      </c>
      <c r="D142" s="87" t="str">
        <f>IF($A142="","",VLOOKUP($A142,'Annex 2 EHV charges'!$A:$O,7,0))</f>
        <v/>
      </c>
      <c r="E142" s="92" t="str">
        <f>IFERROR(IF(VLOOKUP($A142,'Annex 2 EHV charges'!$A:$O,8,FALSE)=0,"",VLOOKUP($A142,'Annex 2 EHV charges'!$A:$O,8,FALSE)),"")</f>
        <v/>
      </c>
      <c r="F142" s="93" t="str">
        <f>IFERROR(IF(VLOOKUP($A142,'Annex 2 EHV charges'!$A:$O,9,FALSE)=0,"",VLOOKUP($A142,'Annex 2 EHV charges'!$A:$O,9,FALSE)),"")</f>
        <v/>
      </c>
      <c r="G142" s="94" t="str">
        <f>IFERROR(IF(VLOOKUP($A142,'Annex 2 EHV charges'!$A:$O,10,FALSE)=0,"",VLOOKUP($A142,'Annex 2 EHV charges'!$A:$O,10,FALSE)),"")</f>
        <v/>
      </c>
      <c r="H142" s="94" t="str">
        <f>IFERROR(IF(VLOOKUP($A142,'Annex 2 EHV charges'!$A:$O,11,FALSE)=0,"",VLOOKUP($A142,'Annex 2 EHV charges'!$A:$O,11,FALSE)),"")</f>
        <v/>
      </c>
      <c r="I142" s="229" t="str">
        <f>IF(VLOOKUP(C142,'Annex 2 EHV charges'!$C$11:$P$154,14,FALSE)&lt;=5,"",VLOOKUP(C142,'Annex 2 EHV charges'!$C$11:$P$154,14,FALSE))</f>
        <v/>
      </c>
    </row>
    <row r="143" spans="1:9" ht="12.75" customHeight="1" x14ac:dyDescent="0.35">
      <c r="A143" s="87" t="str">
        <f t="array" ref="A143">IFERROR(INDEX('Annex 2 EHV charges'!$A$11:$A$260, MATCH(0, IF(ISBLANK('Annex 2 EHV charges'!$A$11:$A$260),1, COUNTIF(A$4:$A142, 'Annex 2 EHV charges'!$A$11:$A$260)), 0)),"")</f>
        <v/>
      </c>
      <c r="B143" s="87" t="str">
        <f>IF($A143="","",VLOOKUP($A143,'Annex 2 EHV charges'!$A:$O,2,0))</f>
        <v/>
      </c>
      <c r="C143" s="88" t="str">
        <f>IF($A143="","",VLOOKUP($A143,'Annex 2 EHV charges'!$A:$O,3,0))</f>
        <v/>
      </c>
      <c r="D143" s="87" t="str">
        <f>IF($A143="","",VLOOKUP($A143,'Annex 2 EHV charges'!$A:$O,7,0))</f>
        <v/>
      </c>
      <c r="E143" s="92" t="str">
        <f>IFERROR(IF(VLOOKUP($A143,'Annex 2 EHV charges'!$A:$O,8,FALSE)=0,"",VLOOKUP($A143,'Annex 2 EHV charges'!$A:$O,8,FALSE)),"")</f>
        <v/>
      </c>
      <c r="F143" s="93" t="str">
        <f>IFERROR(IF(VLOOKUP($A143,'Annex 2 EHV charges'!$A:$O,9,FALSE)=0,"",VLOOKUP($A143,'Annex 2 EHV charges'!$A:$O,9,FALSE)),"")</f>
        <v/>
      </c>
      <c r="G143" s="94" t="str">
        <f>IFERROR(IF(VLOOKUP($A143,'Annex 2 EHV charges'!$A:$O,10,FALSE)=0,"",VLOOKUP($A143,'Annex 2 EHV charges'!$A:$O,10,FALSE)),"")</f>
        <v/>
      </c>
      <c r="H143" s="94" t="str">
        <f>IFERROR(IF(VLOOKUP($A143,'Annex 2 EHV charges'!$A:$O,11,FALSE)=0,"",VLOOKUP($A143,'Annex 2 EHV charges'!$A:$O,11,FALSE)),"")</f>
        <v/>
      </c>
    </row>
    <row r="144" spans="1:9" x14ac:dyDescent="0.35">
      <c r="A144" s="87" t="str">
        <f t="array" ref="A144">IFERROR(INDEX('Annex 2 EHV charges'!$A$11:$A$260, MATCH(0, IF(ISBLANK('Annex 2 EHV charges'!$A$11:$A$260),1, COUNTIF(A$4:$A143, 'Annex 2 EHV charges'!$A$11:$A$260)), 0)),"")</f>
        <v/>
      </c>
      <c r="B144" s="87" t="str">
        <f>IF($A144="","",VLOOKUP($A144,'Annex 2 EHV charges'!$A:$O,2,0))</f>
        <v/>
      </c>
      <c r="C144" s="88" t="str">
        <f>IF($A144="","",VLOOKUP($A144,'Annex 2 EHV charges'!$A:$O,3,0))</f>
        <v/>
      </c>
      <c r="D144" s="87" t="str">
        <f>IF($A144="","",VLOOKUP($A144,'Annex 2 EHV charges'!$A:$O,7,0))</f>
        <v/>
      </c>
      <c r="E144" s="92" t="str">
        <f>IFERROR(IF(VLOOKUP($A144,'Annex 2 EHV charges'!$A:$O,8,FALSE)=0,"",VLOOKUP($A144,'Annex 2 EHV charges'!$A:$O,8,FALSE)),"")</f>
        <v/>
      </c>
      <c r="F144" s="93" t="str">
        <f>IFERROR(IF(VLOOKUP($A144,'Annex 2 EHV charges'!$A:$O,9,FALSE)=0,"",VLOOKUP($A144,'Annex 2 EHV charges'!$A:$O,9,FALSE)),"")</f>
        <v/>
      </c>
      <c r="G144" s="94" t="str">
        <f>IFERROR(IF(VLOOKUP($A144,'Annex 2 EHV charges'!$A:$O,10,FALSE)=0,"",VLOOKUP($A144,'Annex 2 EHV charges'!$A:$O,10,FALSE)),"")</f>
        <v/>
      </c>
      <c r="H144" s="94" t="str">
        <f>IFERROR(IF(VLOOKUP($A144,'Annex 2 EHV charges'!$A:$O,11,FALSE)=0,"",VLOOKUP($A144,'Annex 2 EHV charges'!$A:$O,11,FALSE)),"")</f>
        <v/>
      </c>
    </row>
    <row r="145" spans="1:8" x14ac:dyDescent="0.35">
      <c r="A145" s="87" t="str">
        <f t="array" ref="A145">IFERROR(INDEX('Annex 2 EHV charges'!$A$11:$A$260, MATCH(0, IF(ISBLANK('Annex 2 EHV charges'!$A$11:$A$260),1, COUNTIF(A$4:$A144, 'Annex 2 EHV charges'!$A$11:$A$260)), 0)),"")</f>
        <v/>
      </c>
      <c r="B145" s="87" t="str">
        <f>IF($A145="","",VLOOKUP($A145,'Annex 2 EHV charges'!$A:$O,2,0))</f>
        <v/>
      </c>
      <c r="C145" s="88" t="str">
        <f>IF($A145="","",VLOOKUP($A145,'Annex 2 EHV charges'!$A:$O,3,0))</f>
        <v/>
      </c>
      <c r="D145" s="87" t="str">
        <f>IF($A145="","",VLOOKUP($A145,'Annex 2 EHV charges'!$A:$O,7,0))</f>
        <v/>
      </c>
      <c r="E145" s="92" t="str">
        <f>IFERROR(IF(VLOOKUP($A145,'Annex 2 EHV charges'!$A:$O,8,FALSE)=0,"",VLOOKUP($A145,'Annex 2 EHV charges'!$A:$O,8,FALSE)),"")</f>
        <v/>
      </c>
      <c r="F145" s="93" t="str">
        <f>IFERROR(IF(VLOOKUP($A145,'Annex 2 EHV charges'!$A:$O,9,FALSE)=0,"",VLOOKUP($A145,'Annex 2 EHV charges'!$A:$O,9,FALSE)),"")</f>
        <v/>
      </c>
      <c r="G145" s="94" t="str">
        <f>IFERROR(IF(VLOOKUP($A145,'Annex 2 EHV charges'!$A:$O,10,FALSE)=0,"",VLOOKUP($A145,'Annex 2 EHV charges'!$A:$O,10,FALSE)),"")</f>
        <v/>
      </c>
      <c r="H145" s="94" t="str">
        <f>IFERROR(IF(VLOOKUP($A145,'Annex 2 EHV charges'!$A:$O,11,FALSE)=0,"",VLOOKUP($A145,'Annex 2 EHV charges'!$A:$O,11,FALSE)),"")</f>
        <v/>
      </c>
    </row>
    <row r="146" spans="1:8" x14ac:dyDescent="0.35">
      <c r="A146" s="87" t="str">
        <f t="array" ref="A146">IFERROR(INDEX('Annex 2 EHV charges'!$A$11:$A$260, MATCH(0, IF(ISBLANK('Annex 2 EHV charges'!$A$11:$A$260),1, COUNTIF(A$4:$A145, 'Annex 2 EHV charges'!$A$11:$A$260)), 0)),"")</f>
        <v/>
      </c>
      <c r="B146" s="87" t="str">
        <f>IF($A146="","",VLOOKUP($A146,'Annex 2 EHV charges'!$A:$O,2,0))</f>
        <v/>
      </c>
      <c r="C146" s="88" t="str">
        <f>IF($A146="","",VLOOKUP($A146,'Annex 2 EHV charges'!$A:$O,3,0))</f>
        <v/>
      </c>
      <c r="D146" s="87" t="str">
        <f>IF($A146="","",VLOOKUP($A146,'Annex 2 EHV charges'!$A:$O,7,0))</f>
        <v/>
      </c>
      <c r="E146" s="92" t="str">
        <f>IFERROR(IF(VLOOKUP($A146,'Annex 2 EHV charges'!$A:$O,8,FALSE)=0,"",VLOOKUP($A146,'Annex 2 EHV charges'!$A:$O,8,FALSE)),"")</f>
        <v/>
      </c>
      <c r="F146" s="93" t="str">
        <f>IFERROR(IF(VLOOKUP($A146,'Annex 2 EHV charges'!$A:$O,9,FALSE)=0,"",VLOOKUP($A146,'Annex 2 EHV charges'!$A:$O,9,FALSE)),"")</f>
        <v/>
      </c>
      <c r="G146" s="94" t="str">
        <f>IFERROR(IF(VLOOKUP($A146,'Annex 2 EHV charges'!$A:$O,10,FALSE)=0,"",VLOOKUP($A146,'Annex 2 EHV charges'!$A:$O,10,FALSE)),"")</f>
        <v/>
      </c>
      <c r="H146" s="94" t="str">
        <f>IFERROR(IF(VLOOKUP($A146,'Annex 2 EHV charges'!$A:$O,11,FALSE)=0,"",VLOOKUP($A146,'Annex 2 EHV charges'!$A:$O,11,FALSE)),"")</f>
        <v/>
      </c>
    </row>
    <row r="147" spans="1:8" x14ac:dyDescent="0.35">
      <c r="A147" s="87" t="str">
        <f t="array" ref="A147">IFERROR(INDEX('Annex 2 EHV charges'!$A$11:$A$260, MATCH(0, IF(ISBLANK('Annex 2 EHV charges'!$A$11:$A$260),1, COUNTIF(A$4:$A146, 'Annex 2 EHV charges'!$A$11:$A$260)), 0)),"")</f>
        <v/>
      </c>
      <c r="B147" s="87" t="str">
        <f>IF($A147="","",VLOOKUP($A147,'Annex 2 EHV charges'!$A:$O,2,0))</f>
        <v/>
      </c>
      <c r="C147" s="88" t="str">
        <f>IF($A147="","",VLOOKUP($A147,'Annex 2 EHV charges'!$A:$O,3,0))</f>
        <v/>
      </c>
      <c r="D147" s="87" t="str">
        <f>IF($A147="","",VLOOKUP($A147,'Annex 2 EHV charges'!$A:$O,7,0))</f>
        <v/>
      </c>
      <c r="E147" s="92" t="str">
        <f>IFERROR(IF(VLOOKUP($A147,'Annex 2 EHV charges'!$A:$O,8,FALSE)=0,"",VLOOKUP($A147,'Annex 2 EHV charges'!$A:$O,8,FALSE)),"")</f>
        <v/>
      </c>
      <c r="F147" s="93" t="str">
        <f>IFERROR(IF(VLOOKUP($A147,'Annex 2 EHV charges'!$A:$O,9,FALSE)=0,"",VLOOKUP($A147,'Annex 2 EHV charges'!$A:$O,9,FALSE)),"")</f>
        <v/>
      </c>
      <c r="G147" s="94" t="str">
        <f>IFERROR(IF(VLOOKUP($A147,'Annex 2 EHV charges'!$A:$O,10,FALSE)=0,"",VLOOKUP($A147,'Annex 2 EHV charges'!$A:$O,10,FALSE)),"")</f>
        <v/>
      </c>
      <c r="H147" s="94" t="str">
        <f>IFERROR(IF(VLOOKUP($A147,'Annex 2 EHV charges'!$A:$O,11,FALSE)=0,"",VLOOKUP($A147,'Annex 2 EHV charges'!$A:$O,11,FALSE)),"")</f>
        <v/>
      </c>
    </row>
    <row r="148" spans="1:8" x14ac:dyDescent="0.35">
      <c r="A148" s="87" t="str">
        <f t="array" ref="A148">IFERROR(INDEX('Annex 2 EHV charges'!$A$11:$A$260, MATCH(0, IF(ISBLANK('Annex 2 EHV charges'!$A$11:$A$260),1, COUNTIF(A$4:$A147, 'Annex 2 EHV charges'!$A$11:$A$260)), 0)),"")</f>
        <v/>
      </c>
      <c r="B148" s="87" t="str">
        <f>IF($A148="","",VLOOKUP($A148,'Annex 2 EHV charges'!$A:$O,2,0))</f>
        <v/>
      </c>
      <c r="C148" s="88" t="str">
        <f>IF($A148="","",VLOOKUP($A148,'Annex 2 EHV charges'!$A:$O,3,0))</f>
        <v/>
      </c>
      <c r="D148" s="87" t="str">
        <f>IF($A148="","",VLOOKUP($A148,'Annex 2 EHV charges'!$A:$O,7,0))</f>
        <v/>
      </c>
      <c r="E148" s="92" t="str">
        <f>IFERROR(IF(VLOOKUP($A148,'Annex 2 EHV charges'!$A:$O,8,FALSE)=0,"",VLOOKUP($A148,'Annex 2 EHV charges'!$A:$O,8,FALSE)),"")</f>
        <v/>
      </c>
      <c r="F148" s="93" t="str">
        <f>IFERROR(IF(VLOOKUP($A148,'Annex 2 EHV charges'!$A:$O,9,FALSE)=0,"",VLOOKUP($A148,'Annex 2 EHV charges'!$A:$O,9,FALSE)),"")</f>
        <v/>
      </c>
      <c r="G148" s="94" t="str">
        <f>IFERROR(IF(VLOOKUP($A148,'Annex 2 EHV charges'!$A:$O,10,FALSE)=0,"",VLOOKUP($A148,'Annex 2 EHV charges'!$A:$O,10,FALSE)),"")</f>
        <v/>
      </c>
      <c r="H148" s="94" t="str">
        <f>IFERROR(IF(VLOOKUP($A148,'Annex 2 EHV charges'!$A:$O,11,FALSE)=0,"",VLOOKUP($A148,'Annex 2 EHV charges'!$A:$O,11,FALSE)),"")</f>
        <v/>
      </c>
    </row>
    <row r="149" spans="1:8" x14ac:dyDescent="0.35">
      <c r="A149" s="87" t="str">
        <f t="array" ref="A149">IFERROR(INDEX('Annex 2 EHV charges'!$A$11:$A$260, MATCH(0, IF(ISBLANK('Annex 2 EHV charges'!$A$11:$A$260),1, COUNTIF(A$4:$A148, 'Annex 2 EHV charges'!$A$11:$A$260)), 0)),"")</f>
        <v/>
      </c>
      <c r="B149" s="87" t="str">
        <f>IF($A149="","",VLOOKUP($A149,'Annex 2 EHV charges'!$A:$O,2,0))</f>
        <v/>
      </c>
      <c r="C149" s="88" t="str">
        <f>IF($A149="","",VLOOKUP($A149,'Annex 2 EHV charges'!$A:$O,3,0))</f>
        <v/>
      </c>
      <c r="D149" s="87" t="str">
        <f>IF($A149="","",VLOOKUP($A149,'Annex 2 EHV charges'!$A:$O,7,0))</f>
        <v/>
      </c>
      <c r="E149" s="92" t="str">
        <f>IFERROR(IF(VLOOKUP($A149,'Annex 2 EHV charges'!$A:$O,8,FALSE)=0,"",VLOOKUP($A149,'Annex 2 EHV charges'!$A:$O,8,FALSE)),"")</f>
        <v/>
      </c>
      <c r="F149" s="93" t="str">
        <f>IFERROR(IF(VLOOKUP($A149,'Annex 2 EHV charges'!$A:$O,9,FALSE)=0,"",VLOOKUP($A149,'Annex 2 EHV charges'!$A:$O,9,FALSE)),"")</f>
        <v/>
      </c>
      <c r="G149" s="94" t="str">
        <f>IFERROR(IF(VLOOKUP($A149,'Annex 2 EHV charges'!$A:$O,10,FALSE)=0,"",VLOOKUP($A149,'Annex 2 EHV charges'!$A:$O,10,FALSE)),"")</f>
        <v/>
      </c>
      <c r="H149" s="94" t="str">
        <f>IFERROR(IF(VLOOKUP($A149,'Annex 2 EHV charges'!$A:$O,11,FALSE)=0,"",VLOOKUP($A149,'Annex 2 EHV charges'!$A:$O,11,FALSE)),"")</f>
        <v/>
      </c>
    </row>
    <row r="150" spans="1:8" x14ac:dyDescent="0.35">
      <c r="A150" s="87" t="str">
        <f t="array" ref="A150">IFERROR(INDEX('Annex 2 EHV charges'!$A$11:$A$260, MATCH(0, IF(ISBLANK('Annex 2 EHV charges'!$A$11:$A$260),1, COUNTIF(A$4:$A149, 'Annex 2 EHV charges'!$A$11:$A$260)), 0)),"")</f>
        <v/>
      </c>
      <c r="B150" s="87" t="str">
        <f>IF($A150="","",VLOOKUP($A150,'Annex 2 EHV charges'!$A:$O,2,0))</f>
        <v/>
      </c>
      <c r="C150" s="88" t="str">
        <f>IF($A150="","",VLOOKUP($A150,'Annex 2 EHV charges'!$A:$O,3,0))</f>
        <v/>
      </c>
      <c r="D150" s="87" t="str">
        <f>IF($A150="","",VLOOKUP($A150,'Annex 2 EHV charges'!$A:$O,7,0))</f>
        <v/>
      </c>
      <c r="E150" s="92" t="str">
        <f>IFERROR(IF(VLOOKUP($A150,'Annex 2 EHV charges'!$A:$O,8,FALSE)=0,"",VLOOKUP($A150,'Annex 2 EHV charges'!$A:$O,8,FALSE)),"")</f>
        <v/>
      </c>
      <c r="F150" s="93" t="str">
        <f>IFERROR(IF(VLOOKUP($A150,'Annex 2 EHV charges'!$A:$O,9,FALSE)=0,"",VLOOKUP($A150,'Annex 2 EHV charges'!$A:$O,9,FALSE)),"")</f>
        <v/>
      </c>
      <c r="G150" s="94" t="str">
        <f>IFERROR(IF(VLOOKUP($A150,'Annex 2 EHV charges'!$A:$O,10,FALSE)=0,"",VLOOKUP($A150,'Annex 2 EHV charges'!$A:$O,10,FALSE)),"")</f>
        <v/>
      </c>
      <c r="H150" s="94" t="str">
        <f>IFERROR(IF(VLOOKUP($A150,'Annex 2 EHV charges'!$A:$O,11,FALSE)=0,"",VLOOKUP($A150,'Annex 2 EHV charges'!$A:$O,11,FALSE)),"")</f>
        <v/>
      </c>
    </row>
    <row r="151" spans="1:8" x14ac:dyDescent="0.35">
      <c r="A151" s="87" t="str">
        <f t="array" ref="A151">IFERROR(INDEX('Annex 2 EHV charges'!$A$11:$A$260, MATCH(0, IF(ISBLANK('Annex 2 EHV charges'!$A$11:$A$260),1, COUNTIF(A$4:$A150, 'Annex 2 EHV charges'!$A$11:$A$260)), 0)),"")</f>
        <v/>
      </c>
      <c r="B151" s="87" t="str">
        <f>IF($A151="","",VLOOKUP($A151,'Annex 2 EHV charges'!$A:$O,2,0))</f>
        <v/>
      </c>
      <c r="C151" s="88" t="str">
        <f>IF($A151="","",VLOOKUP($A151,'Annex 2 EHV charges'!$A:$O,3,0))</f>
        <v/>
      </c>
      <c r="D151" s="87" t="str">
        <f>IF($A151="","",VLOOKUP($A151,'Annex 2 EHV charges'!$A:$O,7,0))</f>
        <v/>
      </c>
      <c r="E151" s="92" t="str">
        <f>IFERROR(IF(VLOOKUP($A151,'Annex 2 EHV charges'!$A:$O,8,FALSE)=0,"",VLOOKUP($A151,'Annex 2 EHV charges'!$A:$O,8,FALSE)),"")</f>
        <v/>
      </c>
      <c r="F151" s="93" t="str">
        <f>IFERROR(IF(VLOOKUP($A151,'Annex 2 EHV charges'!$A:$O,9,FALSE)=0,"",VLOOKUP($A151,'Annex 2 EHV charges'!$A:$O,9,FALSE)),"")</f>
        <v/>
      </c>
      <c r="G151" s="94" t="str">
        <f>IFERROR(IF(VLOOKUP($A151,'Annex 2 EHV charges'!$A:$O,10,FALSE)=0,"",VLOOKUP($A151,'Annex 2 EHV charges'!$A:$O,10,FALSE)),"")</f>
        <v/>
      </c>
      <c r="H151" s="94" t="str">
        <f>IFERROR(IF(VLOOKUP($A151,'Annex 2 EHV charges'!$A:$O,11,FALSE)=0,"",VLOOKUP($A151,'Annex 2 EHV charges'!$A:$O,11,FALSE)),"")</f>
        <v/>
      </c>
    </row>
    <row r="152" spans="1:8" x14ac:dyDescent="0.35">
      <c r="A152" s="87" t="str">
        <f t="array" ref="A152">IFERROR(INDEX('Annex 2 EHV charges'!$A$11:$A$260, MATCH(0, IF(ISBLANK('Annex 2 EHV charges'!$A$11:$A$260),1, COUNTIF(A$4:$A151, 'Annex 2 EHV charges'!$A$11:$A$260)), 0)),"")</f>
        <v/>
      </c>
      <c r="B152" s="87" t="str">
        <f>IF($A152="","",VLOOKUP($A152,'Annex 2 EHV charges'!$A:$O,2,0))</f>
        <v/>
      </c>
      <c r="C152" s="88" t="str">
        <f>IF($A152="","",VLOOKUP($A152,'Annex 2 EHV charges'!$A:$O,3,0))</f>
        <v/>
      </c>
      <c r="D152" s="87" t="str">
        <f>IF($A152="","",VLOOKUP($A152,'Annex 2 EHV charges'!$A:$O,7,0))</f>
        <v/>
      </c>
      <c r="E152" s="92" t="str">
        <f>IFERROR(IF(VLOOKUP($A152,'Annex 2 EHV charges'!$A:$O,8,FALSE)=0,"",VLOOKUP($A152,'Annex 2 EHV charges'!$A:$O,8,FALSE)),"")</f>
        <v/>
      </c>
      <c r="F152" s="93" t="str">
        <f>IFERROR(IF(VLOOKUP($A152,'Annex 2 EHV charges'!$A:$O,9,FALSE)=0,"",VLOOKUP($A152,'Annex 2 EHV charges'!$A:$O,9,FALSE)),"")</f>
        <v/>
      </c>
      <c r="G152" s="94" t="str">
        <f>IFERROR(IF(VLOOKUP($A152,'Annex 2 EHV charges'!$A:$O,10,FALSE)=0,"",VLOOKUP($A152,'Annex 2 EHV charges'!$A:$O,10,FALSE)),"")</f>
        <v/>
      </c>
      <c r="H152" s="94" t="str">
        <f>IFERROR(IF(VLOOKUP($A152,'Annex 2 EHV charges'!$A:$O,11,FALSE)=0,"",VLOOKUP($A152,'Annex 2 EHV charges'!$A:$O,11,FALSE)),"")</f>
        <v/>
      </c>
    </row>
    <row r="153" spans="1:8" x14ac:dyDescent="0.35">
      <c r="A153" s="87" t="str">
        <f t="array" ref="A153">IFERROR(INDEX('Annex 2 EHV charges'!$A$11:$A$260, MATCH(0, IF(ISBLANK('Annex 2 EHV charges'!$A$11:$A$260),1, COUNTIF(A$4:$A152, 'Annex 2 EHV charges'!$A$11:$A$260)), 0)),"")</f>
        <v/>
      </c>
      <c r="B153" s="87" t="str">
        <f>IF($A153="","",VLOOKUP($A153,'Annex 2 EHV charges'!$A:$O,2,0))</f>
        <v/>
      </c>
      <c r="C153" s="88" t="str">
        <f>IF($A153="","",VLOOKUP($A153,'Annex 2 EHV charges'!$A:$O,3,0))</f>
        <v/>
      </c>
      <c r="D153" s="87" t="str">
        <f>IF($A153="","",VLOOKUP($A153,'Annex 2 EHV charges'!$A:$O,7,0))</f>
        <v/>
      </c>
      <c r="E153" s="92" t="str">
        <f>IFERROR(IF(VLOOKUP($A153,'Annex 2 EHV charges'!$A:$O,8,FALSE)=0,"",VLOOKUP($A153,'Annex 2 EHV charges'!$A:$O,8,FALSE)),"")</f>
        <v/>
      </c>
      <c r="F153" s="93" t="str">
        <f>IFERROR(IF(VLOOKUP($A153,'Annex 2 EHV charges'!$A:$O,9,FALSE)=0,"",VLOOKUP($A153,'Annex 2 EHV charges'!$A:$O,9,FALSE)),"")</f>
        <v/>
      </c>
      <c r="G153" s="94" t="str">
        <f>IFERROR(IF(VLOOKUP($A153,'Annex 2 EHV charges'!$A:$O,10,FALSE)=0,"",VLOOKUP($A153,'Annex 2 EHV charges'!$A:$O,10,FALSE)),"")</f>
        <v/>
      </c>
      <c r="H153" s="94" t="str">
        <f>IFERROR(IF(VLOOKUP($A153,'Annex 2 EHV charges'!$A:$O,11,FALSE)=0,"",VLOOKUP($A153,'Annex 2 EHV charges'!$A:$O,11,FALSE)),"")</f>
        <v/>
      </c>
    </row>
    <row r="154" spans="1:8" x14ac:dyDescent="0.35">
      <c r="A154" s="87" t="str">
        <f t="array" ref="A154">IFERROR(INDEX('Annex 2 EHV charges'!$A$11:$A$260, MATCH(0, IF(ISBLANK('Annex 2 EHV charges'!$A$11:$A$260),1, COUNTIF(A$4:$A153, 'Annex 2 EHV charges'!$A$11:$A$260)), 0)),"")</f>
        <v/>
      </c>
      <c r="B154" s="87" t="str">
        <f>IF($A154="","",VLOOKUP($A154,'Annex 2 EHV charges'!$A:$O,2,0))</f>
        <v/>
      </c>
      <c r="C154" s="88" t="str">
        <f>IF($A154="","",VLOOKUP($A154,'Annex 2 EHV charges'!$A:$O,3,0))</f>
        <v/>
      </c>
      <c r="D154" s="87" t="str">
        <f>IF($A154="","",VLOOKUP($A154,'Annex 2 EHV charges'!$A:$O,7,0))</f>
        <v/>
      </c>
      <c r="E154" s="92" t="str">
        <f>IFERROR(IF(VLOOKUP($A154,'Annex 2 EHV charges'!$A:$O,8,FALSE)=0,"",VLOOKUP($A154,'Annex 2 EHV charges'!$A:$O,8,FALSE)),"")</f>
        <v/>
      </c>
      <c r="F154" s="93" t="str">
        <f>IFERROR(IF(VLOOKUP($A154,'Annex 2 EHV charges'!$A:$O,9,FALSE)=0,"",VLOOKUP($A154,'Annex 2 EHV charges'!$A:$O,9,FALSE)),"")</f>
        <v/>
      </c>
      <c r="G154" s="94" t="str">
        <f>IFERROR(IF(VLOOKUP($A154,'Annex 2 EHV charges'!$A:$O,10,FALSE)=0,"",VLOOKUP($A154,'Annex 2 EHV charges'!$A:$O,10,FALSE)),"")</f>
        <v/>
      </c>
      <c r="H154" s="94" t="str">
        <f>IFERROR(IF(VLOOKUP($A154,'Annex 2 EHV charges'!$A:$O,11,FALSE)=0,"",VLOOKUP($A154,'Annex 2 EHV charges'!$A:$O,11,FALSE)),"")</f>
        <v/>
      </c>
    </row>
    <row r="155" spans="1:8" x14ac:dyDescent="0.35">
      <c r="A155" s="87" t="str">
        <f t="array" ref="A155">IFERROR(INDEX('Annex 2 EHV charges'!$A$11:$A$260, MATCH(0, IF(ISBLANK('Annex 2 EHV charges'!$A$11:$A$260),1, COUNTIF(A$4:$A154, 'Annex 2 EHV charges'!$A$11:$A$260)), 0)),"")</f>
        <v/>
      </c>
      <c r="B155" s="87" t="str">
        <f>IF($A155="","",VLOOKUP($A155,'Annex 2 EHV charges'!$A:$O,2,0))</f>
        <v/>
      </c>
      <c r="C155" s="88" t="str">
        <f>IF($A155="","",VLOOKUP($A155,'Annex 2 EHV charges'!$A:$O,3,0))</f>
        <v/>
      </c>
      <c r="D155" s="87" t="str">
        <f>IF($A155="","",VLOOKUP($A155,'Annex 2 EHV charges'!$A:$O,7,0))</f>
        <v/>
      </c>
      <c r="E155" s="92" t="str">
        <f>IFERROR(IF(VLOOKUP($A155,'Annex 2 EHV charges'!$A:$O,8,FALSE)=0,"",VLOOKUP($A155,'Annex 2 EHV charges'!$A:$O,8,FALSE)),"")</f>
        <v/>
      </c>
      <c r="F155" s="93" t="str">
        <f>IFERROR(IF(VLOOKUP($A155,'Annex 2 EHV charges'!$A:$O,9,FALSE)=0,"",VLOOKUP($A155,'Annex 2 EHV charges'!$A:$O,9,FALSE)),"")</f>
        <v/>
      </c>
      <c r="G155" s="94" t="str">
        <f>IFERROR(IF(VLOOKUP($A155,'Annex 2 EHV charges'!$A:$O,10,FALSE)=0,"",VLOOKUP($A155,'Annex 2 EHV charges'!$A:$O,10,FALSE)),"")</f>
        <v/>
      </c>
      <c r="H155" s="94" t="str">
        <f>IFERROR(IF(VLOOKUP($A155,'Annex 2 EHV charges'!$A:$O,11,FALSE)=0,"",VLOOKUP($A155,'Annex 2 EHV charges'!$A:$O,11,FALSE)),"")</f>
        <v/>
      </c>
    </row>
    <row r="156" spans="1:8" x14ac:dyDescent="0.35">
      <c r="A156" s="87" t="str">
        <f t="array" ref="A156">IFERROR(INDEX('Annex 2 EHV charges'!$A$11:$A$260, MATCH(0, IF(ISBLANK('Annex 2 EHV charges'!$A$11:$A$260),1, COUNTIF(A$4:$A155, 'Annex 2 EHV charges'!$A$11:$A$260)), 0)),"")</f>
        <v/>
      </c>
      <c r="B156" s="87" t="str">
        <f>IF($A156="","",VLOOKUP($A156,'Annex 2 EHV charges'!$A:$O,2,0))</f>
        <v/>
      </c>
      <c r="C156" s="88" t="str">
        <f>IF($A156="","",VLOOKUP($A156,'Annex 2 EHV charges'!$A:$O,3,0))</f>
        <v/>
      </c>
      <c r="D156" s="87" t="str">
        <f>IF($A156="","",VLOOKUP($A156,'Annex 2 EHV charges'!$A:$O,7,0))</f>
        <v/>
      </c>
      <c r="E156" s="92" t="str">
        <f>IFERROR(IF(VLOOKUP($A156,'Annex 2 EHV charges'!$A:$O,8,FALSE)=0,"",VLOOKUP($A156,'Annex 2 EHV charges'!$A:$O,8,FALSE)),"")</f>
        <v/>
      </c>
      <c r="F156" s="93" t="str">
        <f>IFERROR(IF(VLOOKUP($A156,'Annex 2 EHV charges'!$A:$O,9,FALSE)=0,"",VLOOKUP($A156,'Annex 2 EHV charges'!$A:$O,9,FALSE)),"")</f>
        <v/>
      </c>
      <c r="G156" s="94" t="str">
        <f>IFERROR(IF(VLOOKUP($A156,'Annex 2 EHV charges'!$A:$O,10,FALSE)=0,"",VLOOKUP($A156,'Annex 2 EHV charges'!$A:$O,10,FALSE)),"")</f>
        <v/>
      </c>
      <c r="H156" s="94" t="str">
        <f>IFERROR(IF(VLOOKUP($A156,'Annex 2 EHV charges'!$A:$O,11,FALSE)=0,"",VLOOKUP($A156,'Annex 2 EHV charges'!$A:$O,11,FALSE)),"")</f>
        <v/>
      </c>
    </row>
    <row r="157" spans="1:8" x14ac:dyDescent="0.35">
      <c r="A157" s="87" t="str">
        <f t="array" ref="A157">IFERROR(INDEX('Annex 2 EHV charges'!$A$11:$A$260, MATCH(0, IF(ISBLANK('Annex 2 EHV charges'!$A$11:$A$260),1, COUNTIF(A$4:$A156, 'Annex 2 EHV charges'!$A$11:$A$260)), 0)),"")</f>
        <v/>
      </c>
      <c r="B157" s="87" t="str">
        <f>IF($A157="","",VLOOKUP($A157,'Annex 2 EHV charges'!$A:$O,2,0))</f>
        <v/>
      </c>
      <c r="C157" s="88" t="str">
        <f>IF($A157="","",VLOOKUP($A157,'Annex 2 EHV charges'!$A:$O,3,0))</f>
        <v/>
      </c>
      <c r="D157" s="87" t="str">
        <f>IF($A157="","",VLOOKUP($A157,'Annex 2 EHV charges'!$A:$O,7,0))</f>
        <v/>
      </c>
      <c r="E157" s="92" t="str">
        <f>IFERROR(IF(VLOOKUP($A157,'Annex 2 EHV charges'!$A:$O,8,FALSE)=0,"",VLOOKUP($A157,'Annex 2 EHV charges'!$A:$O,8,FALSE)),"")</f>
        <v/>
      </c>
      <c r="F157" s="93" t="str">
        <f>IFERROR(IF(VLOOKUP($A157,'Annex 2 EHV charges'!$A:$O,9,FALSE)=0,"",VLOOKUP($A157,'Annex 2 EHV charges'!$A:$O,9,FALSE)),"")</f>
        <v/>
      </c>
      <c r="G157" s="94" t="str">
        <f>IFERROR(IF(VLOOKUP($A157,'Annex 2 EHV charges'!$A:$O,10,FALSE)=0,"",VLOOKUP($A157,'Annex 2 EHV charges'!$A:$O,10,FALSE)),"")</f>
        <v/>
      </c>
      <c r="H157" s="94" t="str">
        <f>IFERROR(IF(VLOOKUP($A157,'Annex 2 EHV charges'!$A:$O,11,FALSE)=0,"",VLOOKUP($A157,'Annex 2 EHV charges'!$A:$O,11,FALSE)),"")</f>
        <v/>
      </c>
    </row>
    <row r="158" spans="1:8" x14ac:dyDescent="0.35">
      <c r="A158" s="87" t="str">
        <f t="array" ref="A158">IFERROR(INDEX('Annex 2 EHV charges'!$A$11:$A$260, MATCH(0, IF(ISBLANK('Annex 2 EHV charges'!$A$11:$A$260),1, COUNTIF(A$4:$A157, 'Annex 2 EHV charges'!$A$11:$A$260)), 0)),"")</f>
        <v/>
      </c>
      <c r="B158" s="87" t="str">
        <f>IF($A158="","",VLOOKUP($A158,'Annex 2 EHV charges'!$A:$O,2,0))</f>
        <v/>
      </c>
      <c r="C158" s="88" t="str">
        <f>IF($A158="","",VLOOKUP($A158,'Annex 2 EHV charges'!$A:$O,3,0))</f>
        <v/>
      </c>
      <c r="D158" s="87" t="str">
        <f>IF($A158="","",VLOOKUP($A158,'Annex 2 EHV charges'!$A:$O,7,0))</f>
        <v/>
      </c>
      <c r="E158" s="92" t="str">
        <f>IFERROR(IF(VLOOKUP($A158,'Annex 2 EHV charges'!$A:$O,8,FALSE)=0,"",VLOOKUP($A158,'Annex 2 EHV charges'!$A:$O,8,FALSE)),"")</f>
        <v/>
      </c>
      <c r="F158" s="93" t="str">
        <f>IFERROR(IF(VLOOKUP($A158,'Annex 2 EHV charges'!$A:$O,9,FALSE)=0,"",VLOOKUP($A158,'Annex 2 EHV charges'!$A:$O,9,FALSE)),"")</f>
        <v/>
      </c>
      <c r="G158" s="94" t="str">
        <f>IFERROR(IF(VLOOKUP($A158,'Annex 2 EHV charges'!$A:$O,10,FALSE)=0,"",VLOOKUP($A158,'Annex 2 EHV charges'!$A:$O,10,FALSE)),"")</f>
        <v/>
      </c>
      <c r="H158" s="94" t="str">
        <f>IFERROR(IF(VLOOKUP($A158,'Annex 2 EHV charges'!$A:$O,11,FALSE)=0,"",VLOOKUP($A158,'Annex 2 EHV charges'!$A:$O,11,FALSE)),"")</f>
        <v/>
      </c>
    </row>
    <row r="159" spans="1:8" x14ac:dyDescent="0.35">
      <c r="A159" s="87" t="str">
        <f t="array" ref="A159">IFERROR(INDEX('Annex 2 EHV charges'!$A$11:$A$260, MATCH(0, IF(ISBLANK('Annex 2 EHV charges'!$A$11:$A$260),1, COUNTIF(A$4:$A158, 'Annex 2 EHV charges'!$A$11:$A$260)), 0)),"")</f>
        <v/>
      </c>
      <c r="B159" s="87" t="str">
        <f>IF($A159="","",VLOOKUP($A159,'Annex 2 EHV charges'!$A:$O,2,0))</f>
        <v/>
      </c>
      <c r="C159" s="88" t="str">
        <f>IF($A159="","",VLOOKUP($A159,'Annex 2 EHV charges'!$A:$O,3,0))</f>
        <v/>
      </c>
      <c r="D159" s="87" t="str">
        <f>IF($A159="","",VLOOKUP($A159,'Annex 2 EHV charges'!$A:$O,7,0))</f>
        <v/>
      </c>
      <c r="E159" s="92" t="str">
        <f>IFERROR(IF(VLOOKUP($A159,'Annex 2 EHV charges'!$A:$O,8,FALSE)=0,"",VLOOKUP($A159,'Annex 2 EHV charges'!$A:$O,8,FALSE)),"")</f>
        <v/>
      </c>
      <c r="F159" s="93" t="str">
        <f>IFERROR(IF(VLOOKUP($A159,'Annex 2 EHV charges'!$A:$O,9,FALSE)=0,"",VLOOKUP($A159,'Annex 2 EHV charges'!$A:$O,9,FALSE)),"")</f>
        <v/>
      </c>
      <c r="G159" s="94" t="str">
        <f>IFERROR(IF(VLOOKUP($A159,'Annex 2 EHV charges'!$A:$O,10,FALSE)=0,"",VLOOKUP($A159,'Annex 2 EHV charges'!$A:$O,10,FALSE)),"")</f>
        <v/>
      </c>
      <c r="H159" s="94" t="str">
        <f>IFERROR(IF(VLOOKUP($A159,'Annex 2 EHV charges'!$A:$O,11,FALSE)=0,"",VLOOKUP($A159,'Annex 2 EHV charges'!$A:$O,11,FALSE)),"")</f>
        <v/>
      </c>
    </row>
    <row r="160" spans="1:8" x14ac:dyDescent="0.35">
      <c r="A160" s="87" t="str">
        <f t="array" ref="A160">IFERROR(INDEX('Annex 2 EHV charges'!$A$11:$A$260, MATCH(0, IF(ISBLANK('Annex 2 EHV charges'!$A$11:$A$260),1, COUNTIF(A$4:$A159, 'Annex 2 EHV charges'!$A$11:$A$260)), 0)),"")</f>
        <v/>
      </c>
      <c r="B160" s="87" t="str">
        <f>IF($A160="","",VLOOKUP($A160,'Annex 2 EHV charges'!$A:$O,2,0))</f>
        <v/>
      </c>
      <c r="C160" s="88" t="str">
        <f>IF($A160="","",VLOOKUP($A160,'Annex 2 EHV charges'!$A:$O,3,0))</f>
        <v/>
      </c>
      <c r="D160" s="87" t="str">
        <f>IF($A160="","",VLOOKUP($A160,'Annex 2 EHV charges'!$A:$O,7,0))</f>
        <v/>
      </c>
      <c r="E160" s="92" t="str">
        <f>IFERROR(IF(VLOOKUP($A160,'Annex 2 EHV charges'!$A:$O,8,FALSE)=0,"",VLOOKUP($A160,'Annex 2 EHV charges'!$A:$O,8,FALSE)),"")</f>
        <v/>
      </c>
      <c r="F160" s="93" t="str">
        <f>IFERROR(IF(VLOOKUP($A160,'Annex 2 EHV charges'!$A:$O,9,FALSE)=0,"",VLOOKUP($A160,'Annex 2 EHV charges'!$A:$O,9,FALSE)),"")</f>
        <v/>
      </c>
      <c r="G160" s="94" t="str">
        <f>IFERROR(IF(VLOOKUP($A160,'Annex 2 EHV charges'!$A:$O,10,FALSE)=0,"",VLOOKUP($A160,'Annex 2 EHV charges'!$A:$O,10,FALSE)),"")</f>
        <v/>
      </c>
      <c r="H160" s="94" t="str">
        <f>IFERROR(IF(VLOOKUP($A160,'Annex 2 EHV charges'!$A:$O,11,FALSE)=0,"",VLOOKUP($A160,'Annex 2 EHV charges'!$A:$O,11,FALSE)),"")</f>
        <v/>
      </c>
    </row>
    <row r="161" spans="1:8" x14ac:dyDescent="0.35">
      <c r="A161" s="87" t="str">
        <f t="array" ref="A161">IFERROR(INDEX('Annex 2 EHV charges'!$A$11:$A$260, MATCH(0, IF(ISBLANK('Annex 2 EHV charges'!$A$11:$A$260),1, COUNTIF(A$4:$A160, 'Annex 2 EHV charges'!$A$11:$A$260)), 0)),"")</f>
        <v/>
      </c>
      <c r="B161" s="87" t="str">
        <f>IF($A161="","",VLOOKUP($A161,'Annex 2 EHV charges'!$A:$O,2,0))</f>
        <v/>
      </c>
      <c r="C161" s="88" t="str">
        <f>IF($A161="","",VLOOKUP($A161,'Annex 2 EHV charges'!$A:$O,3,0))</f>
        <v/>
      </c>
      <c r="D161" s="87" t="str">
        <f>IF($A161="","",VLOOKUP($A161,'Annex 2 EHV charges'!$A:$O,7,0))</f>
        <v/>
      </c>
      <c r="E161" s="92" t="str">
        <f>IFERROR(IF(VLOOKUP($A161,'Annex 2 EHV charges'!$A:$O,8,FALSE)=0,"",VLOOKUP($A161,'Annex 2 EHV charges'!$A:$O,8,FALSE)),"")</f>
        <v/>
      </c>
      <c r="F161" s="93" t="str">
        <f>IFERROR(IF(VLOOKUP($A161,'Annex 2 EHV charges'!$A:$O,9,FALSE)=0,"",VLOOKUP($A161,'Annex 2 EHV charges'!$A:$O,9,FALSE)),"")</f>
        <v/>
      </c>
      <c r="G161" s="94" t="str">
        <f>IFERROR(IF(VLOOKUP($A161,'Annex 2 EHV charges'!$A:$O,10,FALSE)=0,"",VLOOKUP($A161,'Annex 2 EHV charges'!$A:$O,10,FALSE)),"")</f>
        <v/>
      </c>
      <c r="H161" s="94" t="str">
        <f>IFERROR(IF(VLOOKUP($A161,'Annex 2 EHV charges'!$A:$O,11,FALSE)=0,"",VLOOKUP($A161,'Annex 2 EHV charges'!$A:$O,11,FALSE)),"")</f>
        <v/>
      </c>
    </row>
    <row r="162" spans="1:8" x14ac:dyDescent="0.35">
      <c r="A162" s="87" t="str">
        <f t="array" ref="A162">IFERROR(INDEX('Annex 2 EHV charges'!$A$11:$A$260, MATCH(0, IF(ISBLANK('Annex 2 EHV charges'!$A$11:$A$260),1, COUNTIF(A$4:$A161, 'Annex 2 EHV charges'!$A$11:$A$260)), 0)),"")</f>
        <v/>
      </c>
      <c r="B162" s="87" t="str">
        <f>IF($A162="","",VLOOKUP($A162,'Annex 2 EHV charges'!$A:$O,2,0))</f>
        <v/>
      </c>
      <c r="C162" s="88" t="str">
        <f>IF($A162="","",VLOOKUP($A162,'Annex 2 EHV charges'!$A:$O,3,0))</f>
        <v/>
      </c>
      <c r="D162" s="87" t="str">
        <f>IF($A162="","",VLOOKUP($A162,'Annex 2 EHV charges'!$A:$O,7,0))</f>
        <v/>
      </c>
      <c r="E162" s="92" t="str">
        <f>IFERROR(IF(VLOOKUP($A162,'Annex 2 EHV charges'!$A:$O,8,FALSE)=0,"",VLOOKUP($A162,'Annex 2 EHV charges'!$A:$O,8,FALSE)),"")</f>
        <v/>
      </c>
      <c r="F162" s="93" t="str">
        <f>IFERROR(IF(VLOOKUP($A162,'Annex 2 EHV charges'!$A:$O,9,FALSE)=0,"",VLOOKUP($A162,'Annex 2 EHV charges'!$A:$O,9,FALSE)),"")</f>
        <v/>
      </c>
      <c r="G162" s="94" t="str">
        <f>IFERROR(IF(VLOOKUP($A162,'Annex 2 EHV charges'!$A:$O,10,FALSE)=0,"",VLOOKUP($A162,'Annex 2 EHV charges'!$A:$O,10,FALSE)),"")</f>
        <v/>
      </c>
      <c r="H162" s="94" t="str">
        <f>IFERROR(IF(VLOOKUP($A162,'Annex 2 EHV charges'!$A:$O,11,FALSE)=0,"",VLOOKUP($A162,'Annex 2 EHV charges'!$A:$O,11,FALSE)),"")</f>
        <v/>
      </c>
    </row>
    <row r="163" spans="1:8" x14ac:dyDescent="0.35">
      <c r="A163" s="87" t="str">
        <f t="array" ref="A163">IFERROR(INDEX('Annex 2 EHV charges'!$A$11:$A$260, MATCH(0, IF(ISBLANK('Annex 2 EHV charges'!$A$11:$A$260),1, COUNTIF(A$4:$A162, 'Annex 2 EHV charges'!$A$11:$A$260)), 0)),"")</f>
        <v/>
      </c>
      <c r="B163" s="87" t="str">
        <f>IF($A163="","",VLOOKUP($A163,'Annex 2 EHV charges'!$A:$O,2,0))</f>
        <v/>
      </c>
      <c r="C163" s="88" t="str">
        <f>IF($A163="","",VLOOKUP($A163,'Annex 2 EHV charges'!$A:$O,3,0))</f>
        <v/>
      </c>
      <c r="D163" s="87" t="str">
        <f>IF($A163="","",VLOOKUP($A163,'Annex 2 EHV charges'!$A:$O,7,0))</f>
        <v/>
      </c>
      <c r="E163" s="92" t="str">
        <f>IFERROR(IF(VLOOKUP($A163,'Annex 2 EHV charges'!$A:$O,8,FALSE)=0,"",VLOOKUP($A163,'Annex 2 EHV charges'!$A:$O,8,FALSE)),"")</f>
        <v/>
      </c>
      <c r="F163" s="93" t="str">
        <f>IFERROR(IF(VLOOKUP($A163,'Annex 2 EHV charges'!$A:$O,9,FALSE)=0,"",VLOOKUP($A163,'Annex 2 EHV charges'!$A:$O,9,FALSE)),"")</f>
        <v/>
      </c>
      <c r="G163" s="94" t="str">
        <f>IFERROR(IF(VLOOKUP($A163,'Annex 2 EHV charges'!$A:$O,10,FALSE)=0,"",VLOOKUP($A163,'Annex 2 EHV charges'!$A:$O,10,FALSE)),"")</f>
        <v/>
      </c>
      <c r="H163" s="94" t="str">
        <f>IFERROR(IF(VLOOKUP($A163,'Annex 2 EHV charges'!$A:$O,11,FALSE)=0,"",VLOOKUP($A163,'Annex 2 EHV charges'!$A:$O,11,FALSE)),"")</f>
        <v/>
      </c>
    </row>
    <row r="164" spans="1:8" x14ac:dyDescent="0.35">
      <c r="A164" s="87" t="str">
        <f t="array" ref="A164">IFERROR(INDEX('Annex 2 EHV charges'!$A$11:$A$260, MATCH(0, IF(ISBLANK('Annex 2 EHV charges'!$A$11:$A$260),1, COUNTIF(A$4:$A163, 'Annex 2 EHV charges'!$A$11:$A$260)), 0)),"")</f>
        <v/>
      </c>
      <c r="B164" s="87" t="str">
        <f>IF($A164="","",VLOOKUP($A164,'Annex 2 EHV charges'!$A:$O,2,0))</f>
        <v/>
      </c>
      <c r="C164" s="88" t="str">
        <f>IF($A164="","",VLOOKUP($A164,'Annex 2 EHV charges'!$A:$O,3,0))</f>
        <v/>
      </c>
      <c r="D164" s="87" t="str">
        <f>IF($A164="","",VLOOKUP($A164,'Annex 2 EHV charges'!$A:$O,7,0))</f>
        <v/>
      </c>
      <c r="E164" s="92" t="str">
        <f>IFERROR(IF(VLOOKUP($A164,'Annex 2 EHV charges'!$A:$O,8,FALSE)=0,"",VLOOKUP($A164,'Annex 2 EHV charges'!$A:$O,8,FALSE)),"")</f>
        <v/>
      </c>
      <c r="F164" s="93" t="str">
        <f>IFERROR(IF(VLOOKUP($A164,'Annex 2 EHV charges'!$A:$O,9,FALSE)=0,"",VLOOKUP($A164,'Annex 2 EHV charges'!$A:$O,9,FALSE)),"")</f>
        <v/>
      </c>
      <c r="G164" s="94" t="str">
        <f>IFERROR(IF(VLOOKUP($A164,'Annex 2 EHV charges'!$A:$O,10,FALSE)=0,"",VLOOKUP($A164,'Annex 2 EHV charges'!$A:$O,10,FALSE)),"")</f>
        <v/>
      </c>
      <c r="H164" s="94" t="str">
        <f>IFERROR(IF(VLOOKUP($A164,'Annex 2 EHV charges'!$A:$O,11,FALSE)=0,"",VLOOKUP($A164,'Annex 2 EHV charges'!$A:$O,11,FALSE)),"")</f>
        <v/>
      </c>
    </row>
    <row r="165" spans="1:8" x14ac:dyDescent="0.35">
      <c r="A165" s="87" t="str">
        <f t="array" ref="A165">IFERROR(INDEX('Annex 2 EHV charges'!$A$11:$A$260, MATCH(0, IF(ISBLANK('Annex 2 EHV charges'!$A$11:$A$260),1, COUNTIF(A$4:$A164, 'Annex 2 EHV charges'!$A$11:$A$260)), 0)),"")</f>
        <v/>
      </c>
      <c r="B165" s="87" t="str">
        <f>IF($A165="","",VLOOKUP($A165,'Annex 2 EHV charges'!$A:$O,2,0))</f>
        <v/>
      </c>
      <c r="C165" s="88" t="str">
        <f>IF($A165="","",VLOOKUP($A165,'Annex 2 EHV charges'!$A:$O,3,0))</f>
        <v/>
      </c>
      <c r="D165" s="87" t="str">
        <f>IF($A165="","",VLOOKUP($A165,'Annex 2 EHV charges'!$A:$O,7,0))</f>
        <v/>
      </c>
      <c r="E165" s="92" t="str">
        <f>IFERROR(IF(VLOOKUP($A165,'Annex 2 EHV charges'!$A:$O,8,FALSE)=0,"",VLOOKUP($A165,'Annex 2 EHV charges'!$A:$O,8,FALSE)),"")</f>
        <v/>
      </c>
      <c r="F165" s="93" t="str">
        <f>IFERROR(IF(VLOOKUP($A165,'Annex 2 EHV charges'!$A:$O,9,FALSE)=0,"",VLOOKUP($A165,'Annex 2 EHV charges'!$A:$O,9,FALSE)),"")</f>
        <v/>
      </c>
      <c r="G165" s="94" t="str">
        <f>IFERROR(IF(VLOOKUP($A165,'Annex 2 EHV charges'!$A:$O,10,FALSE)=0,"",VLOOKUP($A165,'Annex 2 EHV charges'!$A:$O,10,FALSE)),"")</f>
        <v/>
      </c>
      <c r="H165" s="94" t="str">
        <f>IFERROR(IF(VLOOKUP($A165,'Annex 2 EHV charges'!$A:$O,11,FALSE)=0,"",VLOOKUP($A165,'Annex 2 EHV charges'!$A:$O,11,FALSE)),"")</f>
        <v/>
      </c>
    </row>
    <row r="166" spans="1:8" x14ac:dyDescent="0.35">
      <c r="A166" s="87" t="str">
        <f t="array" ref="A166">IFERROR(INDEX('Annex 2 EHV charges'!$A$11:$A$260, MATCH(0, IF(ISBLANK('Annex 2 EHV charges'!$A$11:$A$260),1, COUNTIF(A$4:$A165, 'Annex 2 EHV charges'!$A$11:$A$260)), 0)),"")</f>
        <v/>
      </c>
      <c r="B166" s="87" t="str">
        <f>IF($A166="","",VLOOKUP($A166,'Annex 2 EHV charges'!$A:$O,2,0))</f>
        <v/>
      </c>
      <c r="C166" s="88" t="str">
        <f>IF($A166="","",VLOOKUP($A166,'Annex 2 EHV charges'!$A:$O,3,0))</f>
        <v/>
      </c>
      <c r="D166" s="87" t="str">
        <f>IF($A166="","",VLOOKUP($A166,'Annex 2 EHV charges'!$A:$O,7,0))</f>
        <v/>
      </c>
      <c r="E166" s="92" t="str">
        <f>IFERROR(IF(VLOOKUP($A166,'Annex 2 EHV charges'!$A:$O,8,FALSE)=0,"",VLOOKUP($A166,'Annex 2 EHV charges'!$A:$O,8,FALSE)),"")</f>
        <v/>
      </c>
      <c r="F166" s="93" t="str">
        <f>IFERROR(IF(VLOOKUP($A166,'Annex 2 EHV charges'!$A:$O,9,FALSE)=0,"",VLOOKUP($A166,'Annex 2 EHV charges'!$A:$O,9,FALSE)),"")</f>
        <v/>
      </c>
      <c r="G166" s="94" t="str">
        <f>IFERROR(IF(VLOOKUP($A166,'Annex 2 EHV charges'!$A:$O,10,FALSE)=0,"",VLOOKUP($A166,'Annex 2 EHV charges'!$A:$O,10,FALSE)),"")</f>
        <v/>
      </c>
      <c r="H166" s="94" t="str">
        <f>IFERROR(IF(VLOOKUP($A166,'Annex 2 EHV charges'!$A:$O,11,FALSE)=0,"",VLOOKUP($A166,'Annex 2 EHV charges'!$A:$O,11,FALSE)),"")</f>
        <v/>
      </c>
    </row>
    <row r="167" spans="1:8" x14ac:dyDescent="0.35">
      <c r="A167" s="87" t="str">
        <f t="array" ref="A167">IFERROR(INDEX('Annex 2 EHV charges'!$A$11:$A$260, MATCH(0, IF(ISBLANK('Annex 2 EHV charges'!$A$11:$A$260),1, COUNTIF(A$4:$A166, 'Annex 2 EHV charges'!$A$11:$A$260)), 0)),"")</f>
        <v/>
      </c>
      <c r="B167" s="87" t="str">
        <f>IF($A167="","",VLOOKUP($A167,'Annex 2 EHV charges'!$A:$O,2,0))</f>
        <v/>
      </c>
      <c r="C167" s="88" t="str">
        <f>IF($A167="","",VLOOKUP($A167,'Annex 2 EHV charges'!$A:$O,3,0))</f>
        <v/>
      </c>
      <c r="D167" s="87" t="str">
        <f>IF($A167="","",VLOOKUP($A167,'Annex 2 EHV charges'!$A:$O,7,0))</f>
        <v/>
      </c>
      <c r="E167" s="92" t="str">
        <f>IFERROR(IF(VLOOKUP($A167,'Annex 2 EHV charges'!$A:$O,8,FALSE)=0,"",VLOOKUP($A167,'Annex 2 EHV charges'!$A:$O,8,FALSE)),"")</f>
        <v/>
      </c>
      <c r="F167" s="93" t="str">
        <f>IFERROR(IF(VLOOKUP($A167,'Annex 2 EHV charges'!$A:$O,9,FALSE)=0,"",VLOOKUP($A167,'Annex 2 EHV charges'!$A:$O,9,FALSE)),"")</f>
        <v/>
      </c>
      <c r="G167" s="94" t="str">
        <f>IFERROR(IF(VLOOKUP($A167,'Annex 2 EHV charges'!$A:$O,10,FALSE)=0,"",VLOOKUP($A167,'Annex 2 EHV charges'!$A:$O,10,FALSE)),"")</f>
        <v/>
      </c>
      <c r="H167" s="94" t="str">
        <f>IFERROR(IF(VLOOKUP($A167,'Annex 2 EHV charges'!$A:$O,11,FALSE)=0,"",VLOOKUP($A167,'Annex 2 EHV charges'!$A:$O,11,FALSE)),"")</f>
        <v/>
      </c>
    </row>
    <row r="168" spans="1:8" x14ac:dyDescent="0.35">
      <c r="A168" s="87" t="str">
        <f t="array" ref="A168">IFERROR(INDEX('Annex 2 EHV charges'!$A$11:$A$260, MATCH(0, IF(ISBLANK('Annex 2 EHV charges'!$A$11:$A$260),1, COUNTIF(A$4:$A167, 'Annex 2 EHV charges'!$A$11:$A$260)), 0)),"")</f>
        <v/>
      </c>
      <c r="B168" s="87" t="str">
        <f>IF($A168="","",VLOOKUP($A168,'Annex 2 EHV charges'!$A:$O,2,0))</f>
        <v/>
      </c>
      <c r="C168" s="88" t="str">
        <f>IF($A168="","",VLOOKUP($A168,'Annex 2 EHV charges'!$A:$O,3,0))</f>
        <v/>
      </c>
      <c r="D168" s="87" t="str">
        <f>IF($A168="","",VLOOKUP($A168,'Annex 2 EHV charges'!$A:$O,7,0))</f>
        <v/>
      </c>
      <c r="E168" s="92" t="str">
        <f>IFERROR(IF(VLOOKUP($A168,'Annex 2 EHV charges'!$A:$O,8,FALSE)=0,"",VLOOKUP($A168,'Annex 2 EHV charges'!$A:$O,8,FALSE)),"")</f>
        <v/>
      </c>
      <c r="F168" s="93" t="str">
        <f>IFERROR(IF(VLOOKUP($A168,'Annex 2 EHV charges'!$A:$O,9,FALSE)=0,"",VLOOKUP($A168,'Annex 2 EHV charges'!$A:$O,9,FALSE)),"")</f>
        <v/>
      </c>
      <c r="G168" s="94" t="str">
        <f>IFERROR(IF(VLOOKUP($A168,'Annex 2 EHV charges'!$A:$O,10,FALSE)=0,"",VLOOKUP($A168,'Annex 2 EHV charges'!$A:$O,10,FALSE)),"")</f>
        <v/>
      </c>
      <c r="H168" s="94" t="str">
        <f>IFERROR(IF(VLOOKUP($A168,'Annex 2 EHV charges'!$A:$O,11,FALSE)=0,"",VLOOKUP($A168,'Annex 2 EHV charges'!$A:$O,11,FALSE)),"")</f>
        <v/>
      </c>
    </row>
    <row r="169" spans="1:8" x14ac:dyDescent="0.35">
      <c r="A169" s="87" t="str">
        <f t="array" ref="A169">IFERROR(INDEX('Annex 2 EHV charges'!$A$11:$A$260, MATCH(0, IF(ISBLANK('Annex 2 EHV charges'!$A$11:$A$260),1, COUNTIF(A$4:$A168, 'Annex 2 EHV charges'!$A$11:$A$260)), 0)),"")</f>
        <v/>
      </c>
      <c r="B169" s="87" t="str">
        <f>IF($A169="","",VLOOKUP($A169,'Annex 2 EHV charges'!$A:$O,2,0))</f>
        <v/>
      </c>
      <c r="C169" s="88" t="str">
        <f>IF($A169="","",VLOOKUP($A169,'Annex 2 EHV charges'!$A:$O,3,0))</f>
        <v/>
      </c>
      <c r="D169" s="87" t="str">
        <f>IF($A169="","",VLOOKUP($A169,'Annex 2 EHV charges'!$A:$O,7,0))</f>
        <v/>
      </c>
      <c r="E169" s="92" t="str">
        <f>IFERROR(IF(VLOOKUP($A169,'Annex 2 EHV charges'!$A:$O,8,FALSE)=0,"",VLOOKUP($A169,'Annex 2 EHV charges'!$A:$O,8,FALSE)),"")</f>
        <v/>
      </c>
      <c r="F169" s="93" t="str">
        <f>IFERROR(IF(VLOOKUP($A169,'Annex 2 EHV charges'!$A:$O,9,FALSE)=0,"",VLOOKUP($A169,'Annex 2 EHV charges'!$A:$O,9,FALSE)),"")</f>
        <v/>
      </c>
      <c r="G169" s="94" t="str">
        <f>IFERROR(IF(VLOOKUP($A169,'Annex 2 EHV charges'!$A:$O,10,FALSE)=0,"",VLOOKUP($A169,'Annex 2 EHV charges'!$A:$O,10,FALSE)),"")</f>
        <v/>
      </c>
      <c r="H169" s="94" t="str">
        <f>IFERROR(IF(VLOOKUP($A169,'Annex 2 EHV charges'!$A:$O,11,FALSE)=0,"",VLOOKUP($A169,'Annex 2 EHV charges'!$A:$O,11,FALSE)),"")</f>
        <v/>
      </c>
    </row>
    <row r="170" spans="1:8" x14ac:dyDescent="0.35">
      <c r="A170" s="87" t="str">
        <f t="array" ref="A170">IFERROR(INDEX('Annex 2 EHV charges'!$A$11:$A$260, MATCH(0, IF(ISBLANK('Annex 2 EHV charges'!$A$11:$A$260),1, COUNTIF(A$4:$A169, 'Annex 2 EHV charges'!$A$11:$A$260)), 0)),"")</f>
        <v/>
      </c>
      <c r="B170" s="87" t="str">
        <f>IF($A170="","",VLOOKUP($A170,'Annex 2 EHV charges'!$A:$O,2,0))</f>
        <v/>
      </c>
      <c r="C170" s="88" t="str">
        <f>IF($A170="","",VLOOKUP($A170,'Annex 2 EHV charges'!$A:$O,3,0))</f>
        <v/>
      </c>
      <c r="D170" s="87" t="str">
        <f>IF($A170="","",VLOOKUP($A170,'Annex 2 EHV charges'!$A:$O,7,0))</f>
        <v/>
      </c>
      <c r="E170" s="92" t="str">
        <f>IFERROR(IF(VLOOKUP($A170,'Annex 2 EHV charges'!$A:$O,8,FALSE)=0,"",VLOOKUP($A170,'Annex 2 EHV charges'!$A:$O,8,FALSE)),"")</f>
        <v/>
      </c>
      <c r="F170" s="93" t="str">
        <f>IFERROR(IF(VLOOKUP($A170,'Annex 2 EHV charges'!$A:$O,9,FALSE)=0,"",VLOOKUP($A170,'Annex 2 EHV charges'!$A:$O,9,FALSE)),"")</f>
        <v/>
      </c>
      <c r="G170" s="94" t="str">
        <f>IFERROR(IF(VLOOKUP($A170,'Annex 2 EHV charges'!$A:$O,10,FALSE)=0,"",VLOOKUP($A170,'Annex 2 EHV charges'!$A:$O,10,FALSE)),"")</f>
        <v/>
      </c>
      <c r="H170" s="94" t="str">
        <f>IFERROR(IF(VLOOKUP($A170,'Annex 2 EHV charges'!$A:$O,11,FALSE)=0,"",VLOOKUP($A170,'Annex 2 EHV charges'!$A:$O,11,FALSE)),"")</f>
        <v/>
      </c>
    </row>
    <row r="171" spans="1:8" x14ac:dyDescent="0.35">
      <c r="A171" s="87" t="str">
        <f t="array" ref="A171">IFERROR(INDEX('Annex 2 EHV charges'!$A$11:$A$260, MATCH(0, IF(ISBLANK('Annex 2 EHV charges'!$A$11:$A$260),1, COUNTIF(A$4:$A170, 'Annex 2 EHV charges'!$A$11:$A$260)), 0)),"")</f>
        <v/>
      </c>
      <c r="B171" s="87" t="str">
        <f>IF($A171="","",VLOOKUP($A171,'Annex 2 EHV charges'!$A:$O,2,0))</f>
        <v/>
      </c>
      <c r="C171" s="88" t="str">
        <f>IF($A171="","",VLOOKUP($A171,'Annex 2 EHV charges'!$A:$O,3,0))</f>
        <v/>
      </c>
      <c r="D171" s="87" t="str">
        <f>IF($A171="","",VLOOKUP($A171,'Annex 2 EHV charges'!$A:$O,7,0))</f>
        <v/>
      </c>
      <c r="E171" s="92" t="str">
        <f>IFERROR(IF(VLOOKUP($A171,'Annex 2 EHV charges'!$A:$O,8,FALSE)=0,"",VLOOKUP($A171,'Annex 2 EHV charges'!$A:$O,8,FALSE)),"")</f>
        <v/>
      </c>
      <c r="F171" s="93" t="str">
        <f>IFERROR(IF(VLOOKUP($A171,'Annex 2 EHV charges'!$A:$O,9,FALSE)=0,"",VLOOKUP($A171,'Annex 2 EHV charges'!$A:$O,9,FALSE)),"")</f>
        <v/>
      </c>
      <c r="G171" s="94" t="str">
        <f>IFERROR(IF(VLOOKUP($A171,'Annex 2 EHV charges'!$A:$O,10,FALSE)=0,"",VLOOKUP($A171,'Annex 2 EHV charges'!$A:$O,10,FALSE)),"")</f>
        <v/>
      </c>
      <c r="H171" s="94" t="str">
        <f>IFERROR(IF(VLOOKUP($A171,'Annex 2 EHV charges'!$A:$O,11,FALSE)=0,"",VLOOKUP($A171,'Annex 2 EHV charges'!$A:$O,11,FALSE)),"")</f>
        <v/>
      </c>
    </row>
    <row r="172" spans="1:8" x14ac:dyDescent="0.35">
      <c r="A172" s="87" t="str">
        <f t="array" ref="A172">IFERROR(INDEX('Annex 2 EHV charges'!$A$11:$A$260, MATCH(0, IF(ISBLANK('Annex 2 EHV charges'!$A$11:$A$260),1, COUNTIF(A$4:$A171, 'Annex 2 EHV charges'!$A$11:$A$260)), 0)),"")</f>
        <v/>
      </c>
      <c r="B172" s="87" t="str">
        <f>IF($A172="","",VLOOKUP($A172,'Annex 2 EHV charges'!$A:$O,2,0))</f>
        <v/>
      </c>
      <c r="C172" s="88" t="str">
        <f>IF($A172="","",VLOOKUP($A172,'Annex 2 EHV charges'!$A:$O,3,0))</f>
        <v/>
      </c>
      <c r="D172" s="87" t="str">
        <f>IF($A172="","",VLOOKUP($A172,'Annex 2 EHV charges'!$A:$O,7,0))</f>
        <v/>
      </c>
      <c r="E172" s="92" t="str">
        <f>IFERROR(IF(VLOOKUP($A172,'Annex 2 EHV charges'!$A:$O,8,FALSE)=0,"",VLOOKUP($A172,'Annex 2 EHV charges'!$A:$O,8,FALSE)),"")</f>
        <v/>
      </c>
      <c r="F172" s="93" t="str">
        <f>IFERROR(IF(VLOOKUP($A172,'Annex 2 EHV charges'!$A:$O,9,FALSE)=0,"",VLOOKUP($A172,'Annex 2 EHV charges'!$A:$O,9,FALSE)),"")</f>
        <v/>
      </c>
      <c r="G172" s="94" t="str">
        <f>IFERROR(IF(VLOOKUP($A172,'Annex 2 EHV charges'!$A:$O,10,FALSE)=0,"",VLOOKUP($A172,'Annex 2 EHV charges'!$A:$O,10,FALSE)),"")</f>
        <v/>
      </c>
      <c r="H172" s="94" t="str">
        <f>IFERROR(IF(VLOOKUP($A172,'Annex 2 EHV charges'!$A:$O,11,FALSE)=0,"",VLOOKUP($A172,'Annex 2 EHV charges'!$A:$O,11,FALSE)),"")</f>
        <v/>
      </c>
    </row>
    <row r="173" spans="1:8" x14ac:dyDescent="0.35">
      <c r="A173" s="87" t="str">
        <f t="array" ref="A173">IFERROR(INDEX('Annex 2 EHV charges'!$A$11:$A$260, MATCH(0, IF(ISBLANK('Annex 2 EHV charges'!$A$11:$A$260),1, COUNTIF(A$4:$A172, 'Annex 2 EHV charges'!$A$11:$A$260)), 0)),"")</f>
        <v/>
      </c>
      <c r="B173" s="87" t="str">
        <f>IF($A173="","",VLOOKUP($A173,'Annex 2 EHV charges'!$A:$O,2,0))</f>
        <v/>
      </c>
      <c r="C173" s="88" t="str">
        <f>IF($A173="","",VLOOKUP($A173,'Annex 2 EHV charges'!$A:$O,3,0))</f>
        <v/>
      </c>
      <c r="D173" s="87" t="str">
        <f>IF($A173="","",VLOOKUP($A173,'Annex 2 EHV charges'!$A:$O,7,0))</f>
        <v/>
      </c>
      <c r="E173" s="92" t="str">
        <f>IFERROR(IF(VLOOKUP($A173,'Annex 2 EHV charges'!$A:$O,8,FALSE)=0,"",VLOOKUP($A173,'Annex 2 EHV charges'!$A:$O,8,FALSE)),"")</f>
        <v/>
      </c>
      <c r="F173" s="93" t="str">
        <f>IFERROR(IF(VLOOKUP($A173,'Annex 2 EHV charges'!$A:$O,9,FALSE)=0,"",VLOOKUP($A173,'Annex 2 EHV charges'!$A:$O,9,FALSE)),"")</f>
        <v/>
      </c>
      <c r="G173" s="94" t="str">
        <f>IFERROR(IF(VLOOKUP($A173,'Annex 2 EHV charges'!$A:$O,10,FALSE)=0,"",VLOOKUP($A173,'Annex 2 EHV charges'!$A:$O,10,FALSE)),"")</f>
        <v/>
      </c>
      <c r="H173" s="94" t="str">
        <f>IFERROR(IF(VLOOKUP($A173,'Annex 2 EHV charges'!$A:$O,11,FALSE)=0,"",VLOOKUP($A173,'Annex 2 EHV charges'!$A:$O,11,FALSE)),"")</f>
        <v/>
      </c>
    </row>
    <row r="174" spans="1:8" x14ac:dyDescent="0.35">
      <c r="A174" s="87" t="str">
        <f t="array" ref="A174">IFERROR(INDEX('Annex 2 EHV charges'!$A$11:$A$260, MATCH(0, IF(ISBLANK('Annex 2 EHV charges'!$A$11:$A$260),1, COUNTIF(A$4:$A173, 'Annex 2 EHV charges'!$A$11:$A$260)), 0)),"")</f>
        <v/>
      </c>
      <c r="B174" s="87" t="str">
        <f>IF($A174="","",VLOOKUP($A174,'Annex 2 EHV charges'!$A:$O,2,0))</f>
        <v/>
      </c>
      <c r="C174" s="88" t="str">
        <f>IF($A174="","",VLOOKUP($A174,'Annex 2 EHV charges'!$A:$O,3,0))</f>
        <v/>
      </c>
      <c r="D174" s="87" t="str">
        <f>IF($A174="","",VLOOKUP($A174,'Annex 2 EHV charges'!$A:$O,7,0))</f>
        <v/>
      </c>
      <c r="E174" s="92" t="str">
        <f>IFERROR(IF(VLOOKUP($A174,'Annex 2 EHV charges'!$A:$O,8,FALSE)=0,"",VLOOKUP($A174,'Annex 2 EHV charges'!$A:$O,8,FALSE)),"")</f>
        <v/>
      </c>
      <c r="F174" s="93" t="str">
        <f>IFERROR(IF(VLOOKUP($A174,'Annex 2 EHV charges'!$A:$O,9,FALSE)=0,"",VLOOKUP($A174,'Annex 2 EHV charges'!$A:$O,9,FALSE)),"")</f>
        <v/>
      </c>
      <c r="G174" s="94" t="str">
        <f>IFERROR(IF(VLOOKUP($A174,'Annex 2 EHV charges'!$A:$O,10,FALSE)=0,"",VLOOKUP($A174,'Annex 2 EHV charges'!$A:$O,10,FALSE)),"")</f>
        <v/>
      </c>
      <c r="H174" s="94" t="str">
        <f>IFERROR(IF(VLOOKUP($A174,'Annex 2 EHV charges'!$A:$O,11,FALSE)=0,"",VLOOKUP($A174,'Annex 2 EHV charges'!$A:$O,11,FALSE)),"")</f>
        <v/>
      </c>
    </row>
    <row r="175" spans="1:8" x14ac:dyDescent="0.35">
      <c r="A175" s="87" t="str">
        <f t="array" ref="A175">IFERROR(INDEX('Annex 2 EHV charges'!$A$11:$A$260, MATCH(0, IF(ISBLANK('Annex 2 EHV charges'!$A$11:$A$260),1, COUNTIF(A$4:$A174, 'Annex 2 EHV charges'!$A$11:$A$260)), 0)),"")</f>
        <v/>
      </c>
      <c r="B175" s="87" t="str">
        <f>IF($A175="","",VLOOKUP($A175,'Annex 2 EHV charges'!$A:$O,2,0))</f>
        <v/>
      </c>
      <c r="C175" s="88" t="str">
        <f>IF($A175="","",VLOOKUP($A175,'Annex 2 EHV charges'!$A:$O,3,0))</f>
        <v/>
      </c>
      <c r="D175" s="87" t="str">
        <f>IF($A175="","",VLOOKUP($A175,'Annex 2 EHV charges'!$A:$O,7,0))</f>
        <v/>
      </c>
      <c r="E175" s="92" t="str">
        <f>IFERROR(IF(VLOOKUP($A175,'Annex 2 EHV charges'!$A:$O,8,FALSE)=0,"",VLOOKUP($A175,'Annex 2 EHV charges'!$A:$O,8,FALSE)),"")</f>
        <v/>
      </c>
      <c r="F175" s="93" t="str">
        <f>IFERROR(IF(VLOOKUP($A175,'Annex 2 EHV charges'!$A:$O,9,FALSE)=0,"",VLOOKUP($A175,'Annex 2 EHV charges'!$A:$O,9,FALSE)),"")</f>
        <v/>
      </c>
      <c r="G175" s="94" t="str">
        <f>IFERROR(IF(VLOOKUP($A175,'Annex 2 EHV charges'!$A:$O,10,FALSE)=0,"",VLOOKUP($A175,'Annex 2 EHV charges'!$A:$O,10,FALSE)),"")</f>
        <v/>
      </c>
      <c r="H175" s="94" t="str">
        <f>IFERROR(IF(VLOOKUP($A175,'Annex 2 EHV charges'!$A:$O,11,FALSE)=0,"",VLOOKUP($A175,'Annex 2 EHV charges'!$A:$O,11,FALSE)),"")</f>
        <v/>
      </c>
    </row>
    <row r="176" spans="1:8" x14ac:dyDescent="0.35">
      <c r="A176" s="87" t="str">
        <f t="array" ref="A176">IFERROR(INDEX('Annex 2 EHV charges'!$A$11:$A$260, MATCH(0, IF(ISBLANK('Annex 2 EHV charges'!$A$11:$A$260),1, COUNTIF(A$4:$A175, 'Annex 2 EHV charges'!$A$11:$A$260)), 0)),"")</f>
        <v/>
      </c>
      <c r="B176" s="87" t="str">
        <f>IF($A176="","",VLOOKUP($A176,'Annex 2 EHV charges'!$A:$O,2,0))</f>
        <v/>
      </c>
      <c r="C176" s="88" t="str">
        <f>IF($A176="","",VLOOKUP($A176,'Annex 2 EHV charges'!$A:$O,3,0))</f>
        <v/>
      </c>
      <c r="D176" s="87" t="str">
        <f>IF($A176="","",VLOOKUP($A176,'Annex 2 EHV charges'!$A:$O,7,0))</f>
        <v/>
      </c>
      <c r="E176" s="92" t="str">
        <f>IFERROR(IF(VLOOKUP($A176,'Annex 2 EHV charges'!$A:$O,8,FALSE)=0,"",VLOOKUP($A176,'Annex 2 EHV charges'!$A:$O,8,FALSE)),"")</f>
        <v/>
      </c>
      <c r="F176" s="93" t="str">
        <f>IFERROR(IF(VLOOKUP($A176,'Annex 2 EHV charges'!$A:$O,9,FALSE)=0,"",VLOOKUP($A176,'Annex 2 EHV charges'!$A:$O,9,FALSE)),"")</f>
        <v/>
      </c>
      <c r="G176" s="94" t="str">
        <f>IFERROR(IF(VLOOKUP($A176,'Annex 2 EHV charges'!$A:$O,10,FALSE)=0,"",VLOOKUP($A176,'Annex 2 EHV charges'!$A:$O,10,FALSE)),"")</f>
        <v/>
      </c>
      <c r="H176" s="94" t="str">
        <f>IFERROR(IF(VLOOKUP($A176,'Annex 2 EHV charges'!$A:$O,11,FALSE)=0,"",VLOOKUP($A176,'Annex 2 EHV charges'!$A:$O,11,FALSE)),"")</f>
        <v/>
      </c>
    </row>
    <row r="177" spans="1:8" x14ac:dyDescent="0.35">
      <c r="A177" s="87" t="str">
        <f t="array" ref="A177">IFERROR(INDEX('Annex 2 EHV charges'!$A$11:$A$260, MATCH(0, IF(ISBLANK('Annex 2 EHV charges'!$A$11:$A$260),1, COUNTIF(A$4:$A176, 'Annex 2 EHV charges'!$A$11:$A$260)), 0)),"")</f>
        <v/>
      </c>
      <c r="B177" s="87" t="str">
        <f>IF($A177="","",VLOOKUP($A177,'Annex 2 EHV charges'!$A:$O,2,0))</f>
        <v/>
      </c>
      <c r="C177" s="88" t="str">
        <f>IF($A177="","",VLOOKUP($A177,'Annex 2 EHV charges'!$A:$O,3,0))</f>
        <v/>
      </c>
      <c r="D177" s="87" t="str">
        <f>IF($A177="","",VLOOKUP($A177,'Annex 2 EHV charges'!$A:$O,7,0))</f>
        <v/>
      </c>
      <c r="E177" s="92" t="str">
        <f>IFERROR(IF(VLOOKUP($A177,'Annex 2 EHV charges'!$A:$O,8,FALSE)=0,"",VLOOKUP($A177,'Annex 2 EHV charges'!$A:$O,8,FALSE)),"")</f>
        <v/>
      </c>
      <c r="F177" s="93" t="str">
        <f>IFERROR(IF(VLOOKUP($A177,'Annex 2 EHV charges'!$A:$O,9,FALSE)=0,"",VLOOKUP($A177,'Annex 2 EHV charges'!$A:$O,9,FALSE)),"")</f>
        <v/>
      </c>
      <c r="G177" s="94" t="str">
        <f>IFERROR(IF(VLOOKUP($A177,'Annex 2 EHV charges'!$A:$O,10,FALSE)=0,"",VLOOKUP($A177,'Annex 2 EHV charges'!$A:$O,10,FALSE)),"")</f>
        <v/>
      </c>
      <c r="H177" s="94" t="str">
        <f>IFERROR(IF(VLOOKUP($A177,'Annex 2 EHV charges'!$A:$O,11,FALSE)=0,"",VLOOKUP($A177,'Annex 2 EHV charges'!$A:$O,11,FALSE)),"")</f>
        <v/>
      </c>
    </row>
    <row r="178" spans="1:8" x14ac:dyDescent="0.35">
      <c r="A178" s="87" t="str">
        <f t="array" ref="A178">IFERROR(INDEX('Annex 2 EHV charges'!$A$11:$A$260, MATCH(0, IF(ISBLANK('Annex 2 EHV charges'!$A$11:$A$260),1, COUNTIF(A$4:$A177, 'Annex 2 EHV charges'!$A$11:$A$260)), 0)),"")</f>
        <v/>
      </c>
      <c r="B178" s="87" t="str">
        <f>IF($A178="","",VLOOKUP($A178,'Annex 2 EHV charges'!$A:$O,2,0))</f>
        <v/>
      </c>
      <c r="C178" s="88" t="str">
        <f>IF($A178="","",VLOOKUP($A178,'Annex 2 EHV charges'!$A:$O,3,0))</f>
        <v/>
      </c>
      <c r="D178" s="87" t="str">
        <f>IF($A178="","",VLOOKUP($A178,'Annex 2 EHV charges'!$A:$O,7,0))</f>
        <v/>
      </c>
      <c r="E178" s="92" t="str">
        <f>IFERROR(IF(VLOOKUP($A178,'Annex 2 EHV charges'!$A:$O,8,FALSE)=0,"",VLOOKUP($A178,'Annex 2 EHV charges'!$A:$O,8,FALSE)),"")</f>
        <v/>
      </c>
      <c r="F178" s="93" t="str">
        <f>IFERROR(IF(VLOOKUP($A178,'Annex 2 EHV charges'!$A:$O,9,FALSE)=0,"",VLOOKUP($A178,'Annex 2 EHV charges'!$A:$O,9,FALSE)),"")</f>
        <v/>
      </c>
      <c r="G178" s="94" t="str">
        <f>IFERROR(IF(VLOOKUP($A178,'Annex 2 EHV charges'!$A:$O,10,FALSE)=0,"",VLOOKUP($A178,'Annex 2 EHV charges'!$A:$O,10,FALSE)),"")</f>
        <v/>
      </c>
      <c r="H178" s="94" t="str">
        <f>IFERROR(IF(VLOOKUP($A178,'Annex 2 EHV charges'!$A:$O,11,FALSE)=0,"",VLOOKUP($A178,'Annex 2 EHV charges'!$A:$O,11,FALSE)),"")</f>
        <v/>
      </c>
    </row>
    <row r="179" spans="1:8" x14ac:dyDescent="0.35">
      <c r="A179" s="87" t="str">
        <f t="array" ref="A179">IFERROR(INDEX('Annex 2 EHV charges'!$A$11:$A$260, MATCH(0, IF(ISBLANK('Annex 2 EHV charges'!$A$11:$A$260),1, COUNTIF(A$4:$A178, 'Annex 2 EHV charges'!$A$11:$A$260)), 0)),"")</f>
        <v/>
      </c>
      <c r="B179" s="87" t="str">
        <f>IF($A179="","",VLOOKUP($A179,'Annex 2 EHV charges'!$A:$O,2,0))</f>
        <v/>
      </c>
      <c r="C179" s="88" t="str">
        <f>IF($A179="","",VLOOKUP($A179,'Annex 2 EHV charges'!$A:$O,3,0))</f>
        <v/>
      </c>
      <c r="D179" s="87" t="str">
        <f>IF($A179="","",VLOOKUP($A179,'Annex 2 EHV charges'!$A:$O,7,0))</f>
        <v/>
      </c>
      <c r="E179" s="92" t="str">
        <f>IFERROR(IF(VLOOKUP($A179,'Annex 2 EHV charges'!$A:$O,8,FALSE)=0,"",VLOOKUP($A179,'Annex 2 EHV charges'!$A:$O,8,FALSE)),"")</f>
        <v/>
      </c>
      <c r="F179" s="93" t="str">
        <f>IFERROR(IF(VLOOKUP($A179,'Annex 2 EHV charges'!$A:$O,9,FALSE)=0,"",VLOOKUP($A179,'Annex 2 EHV charges'!$A:$O,9,FALSE)),"")</f>
        <v/>
      </c>
      <c r="G179" s="94" t="str">
        <f>IFERROR(IF(VLOOKUP($A179,'Annex 2 EHV charges'!$A:$O,10,FALSE)=0,"",VLOOKUP($A179,'Annex 2 EHV charges'!$A:$O,10,FALSE)),"")</f>
        <v/>
      </c>
      <c r="H179" s="94" t="str">
        <f>IFERROR(IF(VLOOKUP($A179,'Annex 2 EHV charges'!$A:$O,11,FALSE)=0,"",VLOOKUP($A179,'Annex 2 EHV charges'!$A:$O,11,FALSE)),"")</f>
        <v/>
      </c>
    </row>
    <row r="180" spans="1:8" x14ac:dyDescent="0.35">
      <c r="A180" s="87" t="str">
        <f t="array" ref="A180">IFERROR(INDEX('Annex 2 EHV charges'!$A$11:$A$260, MATCH(0, IF(ISBLANK('Annex 2 EHV charges'!$A$11:$A$260),1, COUNTIF(A$4:$A179, 'Annex 2 EHV charges'!$A$11:$A$260)), 0)),"")</f>
        <v/>
      </c>
      <c r="B180" s="87" t="str">
        <f>IF($A180="","",VLOOKUP($A180,'Annex 2 EHV charges'!$A:$O,2,0))</f>
        <v/>
      </c>
      <c r="C180" s="88" t="str">
        <f>IF($A180="","",VLOOKUP($A180,'Annex 2 EHV charges'!$A:$O,3,0))</f>
        <v/>
      </c>
      <c r="D180" s="87" t="str">
        <f>IF($A180="","",VLOOKUP($A180,'Annex 2 EHV charges'!$A:$O,7,0))</f>
        <v/>
      </c>
      <c r="E180" s="92" t="str">
        <f>IFERROR(IF(VLOOKUP($A180,'Annex 2 EHV charges'!$A:$O,8,FALSE)=0,"",VLOOKUP($A180,'Annex 2 EHV charges'!$A:$O,8,FALSE)),"")</f>
        <v/>
      </c>
      <c r="F180" s="93" t="str">
        <f>IFERROR(IF(VLOOKUP($A180,'Annex 2 EHV charges'!$A:$O,9,FALSE)=0,"",VLOOKUP($A180,'Annex 2 EHV charges'!$A:$O,9,FALSE)),"")</f>
        <v/>
      </c>
      <c r="G180" s="94" t="str">
        <f>IFERROR(IF(VLOOKUP($A180,'Annex 2 EHV charges'!$A:$O,10,FALSE)=0,"",VLOOKUP($A180,'Annex 2 EHV charges'!$A:$O,10,FALSE)),"")</f>
        <v/>
      </c>
      <c r="H180" s="94" t="str">
        <f>IFERROR(IF(VLOOKUP($A180,'Annex 2 EHV charges'!$A:$O,11,FALSE)=0,"",VLOOKUP($A180,'Annex 2 EHV charges'!$A:$O,11,FALSE)),"")</f>
        <v/>
      </c>
    </row>
    <row r="181" spans="1:8" x14ac:dyDescent="0.35">
      <c r="A181" s="87" t="str">
        <f t="array" ref="A181">IFERROR(INDEX('Annex 2 EHV charges'!$A$11:$A$260, MATCH(0, IF(ISBLANK('Annex 2 EHV charges'!$A$11:$A$260),1, COUNTIF(A$4:$A180, 'Annex 2 EHV charges'!$A$11:$A$260)), 0)),"")</f>
        <v/>
      </c>
      <c r="B181" s="87" t="str">
        <f>IF($A181="","",VLOOKUP($A181,'Annex 2 EHV charges'!$A:$O,2,0))</f>
        <v/>
      </c>
      <c r="C181" s="88" t="str">
        <f>IF($A181="","",VLOOKUP($A181,'Annex 2 EHV charges'!$A:$O,3,0))</f>
        <v/>
      </c>
      <c r="D181" s="87" t="str">
        <f>IF($A181="","",VLOOKUP($A181,'Annex 2 EHV charges'!$A:$O,7,0))</f>
        <v/>
      </c>
      <c r="E181" s="92" t="str">
        <f>IFERROR(IF(VLOOKUP($A181,'Annex 2 EHV charges'!$A:$O,8,FALSE)=0,"",VLOOKUP($A181,'Annex 2 EHV charges'!$A:$O,8,FALSE)),"")</f>
        <v/>
      </c>
      <c r="F181" s="93" t="str">
        <f>IFERROR(IF(VLOOKUP($A181,'Annex 2 EHV charges'!$A:$O,9,FALSE)=0,"",VLOOKUP($A181,'Annex 2 EHV charges'!$A:$O,9,FALSE)),"")</f>
        <v/>
      </c>
      <c r="G181" s="94" t="str">
        <f>IFERROR(IF(VLOOKUP($A181,'Annex 2 EHV charges'!$A:$O,10,FALSE)=0,"",VLOOKUP($A181,'Annex 2 EHV charges'!$A:$O,10,FALSE)),"")</f>
        <v/>
      </c>
      <c r="H181" s="94" t="str">
        <f>IFERROR(IF(VLOOKUP($A181,'Annex 2 EHV charges'!$A:$O,11,FALSE)=0,"",VLOOKUP($A181,'Annex 2 EHV charges'!$A:$O,11,FALSE)),"")</f>
        <v/>
      </c>
    </row>
    <row r="182" spans="1:8" x14ac:dyDescent="0.35">
      <c r="A182" s="87" t="str">
        <f t="array" ref="A182">IFERROR(INDEX('Annex 2 EHV charges'!$A$11:$A$260, MATCH(0, IF(ISBLANK('Annex 2 EHV charges'!$A$11:$A$260),1, COUNTIF(A$4:$A181, 'Annex 2 EHV charges'!$A$11:$A$260)), 0)),"")</f>
        <v/>
      </c>
      <c r="B182" s="87" t="str">
        <f>IF($A182="","",VLOOKUP($A182,'Annex 2 EHV charges'!$A:$O,2,0))</f>
        <v/>
      </c>
      <c r="C182" s="88" t="str">
        <f>IF($A182="","",VLOOKUP($A182,'Annex 2 EHV charges'!$A:$O,3,0))</f>
        <v/>
      </c>
      <c r="D182" s="87" t="str">
        <f>IF($A182="","",VLOOKUP($A182,'Annex 2 EHV charges'!$A:$O,7,0))</f>
        <v/>
      </c>
      <c r="E182" s="92" t="str">
        <f>IFERROR(IF(VLOOKUP($A182,'Annex 2 EHV charges'!$A:$O,8,FALSE)=0,"",VLOOKUP($A182,'Annex 2 EHV charges'!$A:$O,8,FALSE)),"")</f>
        <v/>
      </c>
      <c r="F182" s="93" t="str">
        <f>IFERROR(IF(VLOOKUP($A182,'Annex 2 EHV charges'!$A:$O,9,FALSE)=0,"",VLOOKUP($A182,'Annex 2 EHV charges'!$A:$O,9,FALSE)),"")</f>
        <v/>
      </c>
      <c r="G182" s="94" t="str">
        <f>IFERROR(IF(VLOOKUP($A182,'Annex 2 EHV charges'!$A:$O,10,FALSE)=0,"",VLOOKUP($A182,'Annex 2 EHV charges'!$A:$O,10,FALSE)),"")</f>
        <v/>
      </c>
      <c r="H182" s="94" t="str">
        <f>IFERROR(IF(VLOOKUP($A182,'Annex 2 EHV charges'!$A:$O,11,FALSE)=0,"",VLOOKUP($A182,'Annex 2 EHV charges'!$A:$O,11,FALSE)),"")</f>
        <v/>
      </c>
    </row>
    <row r="183" spans="1:8" x14ac:dyDescent="0.35">
      <c r="A183" s="87" t="str">
        <f t="array" ref="A183">IFERROR(INDEX('Annex 2 EHV charges'!$A$11:$A$260, MATCH(0, IF(ISBLANK('Annex 2 EHV charges'!$A$11:$A$260),1, COUNTIF(A$4:$A182, 'Annex 2 EHV charges'!$A$11:$A$260)), 0)),"")</f>
        <v/>
      </c>
      <c r="B183" s="87" t="str">
        <f>IF($A183="","",VLOOKUP($A183,'Annex 2 EHV charges'!$A:$O,2,0))</f>
        <v/>
      </c>
      <c r="C183" s="88" t="str">
        <f>IF($A183="","",VLOOKUP($A183,'Annex 2 EHV charges'!$A:$O,3,0))</f>
        <v/>
      </c>
      <c r="D183" s="87" t="str">
        <f>IF($A183="","",VLOOKUP($A183,'Annex 2 EHV charges'!$A:$O,7,0))</f>
        <v/>
      </c>
      <c r="E183" s="92" t="str">
        <f>IFERROR(IF(VLOOKUP($A183,'Annex 2 EHV charges'!$A:$O,8,FALSE)=0,"",VLOOKUP($A183,'Annex 2 EHV charges'!$A:$O,8,FALSE)),"")</f>
        <v/>
      </c>
      <c r="F183" s="93" t="str">
        <f>IFERROR(IF(VLOOKUP($A183,'Annex 2 EHV charges'!$A:$O,9,FALSE)=0,"",VLOOKUP($A183,'Annex 2 EHV charges'!$A:$O,9,FALSE)),"")</f>
        <v/>
      </c>
      <c r="G183" s="94" t="str">
        <f>IFERROR(IF(VLOOKUP($A183,'Annex 2 EHV charges'!$A:$O,10,FALSE)=0,"",VLOOKUP($A183,'Annex 2 EHV charges'!$A:$O,10,FALSE)),"")</f>
        <v/>
      </c>
      <c r="H183" s="94" t="str">
        <f>IFERROR(IF(VLOOKUP($A183,'Annex 2 EHV charges'!$A:$O,11,FALSE)=0,"",VLOOKUP($A183,'Annex 2 EHV charges'!$A:$O,11,FALSE)),"")</f>
        <v/>
      </c>
    </row>
    <row r="184" spans="1:8" x14ac:dyDescent="0.35">
      <c r="A184" s="87" t="str">
        <f t="array" ref="A184">IFERROR(INDEX('Annex 2 EHV charges'!$A$11:$A$260, MATCH(0, IF(ISBLANK('Annex 2 EHV charges'!$A$11:$A$260),1, COUNTIF(A$4:$A183, 'Annex 2 EHV charges'!$A$11:$A$260)), 0)),"")</f>
        <v/>
      </c>
      <c r="B184" s="87" t="str">
        <f>IF($A184="","",VLOOKUP($A184,'Annex 2 EHV charges'!$A:$O,2,0))</f>
        <v/>
      </c>
      <c r="C184" s="88" t="str">
        <f>IF($A184="","",VLOOKUP($A184,'Annex 2 EHV charges'!$A:$O,3,0))</f>
        <v/>
      </c>
      <c r="D184" s="87" t="str">
        <f>IF($A184="","",VLOOKUP($A184,'Annex 2 EHV charges'!$A:$O,7,0))</f>
        <v/>
      </c>
      <c r="E184" s="92" t="str">
        <f>IFERROR(IF(VLOOKUP($A184,'Annex 2 EHV charges'!$A:$O,8,FALSE)=0,"",VLOOKUP($A184,'Annex 2 EHV charges'!$A:$O,8,FALSE)),"")</f>
        <v/>
      </c>
      <c r="F184" s="93" t="str">
        <f>IFERROR(IF(VLOOKUP($A184,'Annex 2 EHV charges'!$A:$O,9,FALSE)=0,"",VLOOKUP($A184,'Annex 2 EHV charges'!$A:$O,9,FALSE)),"")</f>
        <v/>
      </c>
      <c r="G184" s="94" t="str">
        <f>IFERROR(IF(VLOOKUP($A184,'Annex 2 EHV charges'!$A:$O,10,FALSE)=0,"",VLOOKUP($A184,'Annex 2 EHV charges'!$A:$O,10,FALSE)),"")</f>
        <v/>
      </c>
      <c r="H184" s="94" t="str">
        <f>IFERROR(IF(VLOOKUP($A184,'Annex 2 EHV charges'!$A:$O,11,FALSE)=0,"",VLOOKUP($A184,'Annex 2 EHV charges'!$A:$O,11,FALSE)),"")</f>
        <v/>
      </c>
    </row>
    <row r="185" spans="1:8" x14ac:dyDescent="0.35">
      <c r="A185" s="87" t="str">
        <f t="array" ref="A185">IFERROR(INDEX('Annex 2 EHV charges'!$A$11:$A$260, MATCH(0, IF(ISBLANK('Annex 2 EHV charges'!$A$11:$A$260),1, COUNTIF(A$4:$A184, 'Annex 2 EHV charges'!$A$11:$A$260)), 0)),"")</f>
        <v/>
      </c>
      <c r="B185" s="87" t="str">
        <f>IF($A185="","",VLOOKUP($A185,'Annex 2 EHV charges'!$A:$O,2,0))</f>
        <v/>
      </c>
      <c r="C185" s="88" t="str">
        <f>IF($A185="","",VLOOKUP($A185,'Annex 2 EHV charges'!$A:$O,3,0))</f>
        <v/>
      </c>
      <c r="D185" s="87" t="str">
        <f>IF($A185="","",VLOOKUP($A185,'Annex 2 EHV charges'!$A:$O,7,0))</f>
        <v/>
      </c>
      <c r="E185" s="92" t="str">
        <f>IFERROR(IF(VLOOKUP($A185,'Annex 2 EHV charges'!$A:$O,8,FALSE)=0,"",VLOOKUP($A185,'Annex 2 EHV charges'!$A:$O,8,FALSE)),"")</f>
        <v/>
      </c>
      <c r="F185" s="93" t="str">
        <f>IFERROR(IF(VLOOKUP($A185,'Annex 2 EHV charges'!$A:$O,9,FALSE)=0,"",VLOOKUP($A185,'Annex 2 EHV charges'!$A:$O,9,FALSE)),"")</f>
        <v/>
      </c>
      <c r="G185" s="94" t="str">
        <f>IFERROR(IF(VLOOKUP($A185,'Annex 2 EHV charges'!$A:$O,10,FALSE)=0,"",VLOOKUP($A185,'Annex 2 EHV charges'!$A:$O,10,FALSE)),"")</f>
        <v/>
      </c>
      <c r="H185" s="94" t="str">
        <f>IFERROR(IF(VLOOKUP($A185,'Annex 2 EHV charges'!$A:$O,11,FALSE)=0,"",VLOOKUP($A185,'Annex 2 EHV charges'!$A:$O,11,FALSE)),"")</f>
        <v/>
      </c>
    </row>
    <row r="186" spans="1:8" x14ac:dyDescent="0.35">
      <c r="A186" s="87" t="str">
        <f t="array" ref="A186">IFERROR(INDEX('Annex 2 EHV charges'!$A$11:$A$260, MATCH(0, IF(ISBLANK('Annex 2 EHV charges'!$A$11:$A$260),1, COUNTIF(A$4:$A185, 'Annex 2 EHV charges'!$A$11:$A$260)), 0)),"")</f>
        <v/>
      </c>
      <c r="B186" s="87" t="str">
        <f>IF($A186="","",VLOOKUP($A186,'Annex 2 EHV charges'!$A:$O,2,0))</f>
        <v/>
      </c>
      <c r="C186" s="88" t="str">
        <f>IF($A186="","",VLOOKUP($A186,'Annex 2 EHV charges'!$A:$O,3,0))</f>
        <v/>
      </c>
      <c r="D186" s="87" t="str">
        <f>IF($A186="","",VLOOKUP($A186,'Annex 2 EHV charges'!$A:$O,7,0))</f>
        <v/>
      </c>
      <c r="E186" s="92" t="str">
        <f>IFERROR(IF(VLOOKUP($A186,'Annex 2 EHV charges'!$A:$O,8,FALSE)=0,"",VLOOKUP($A186,'Annex 2 EHV charges'!$A:$O,8,FALSE)),"")</f>
        <v/>
      </c>
      <c r="F186" s="93" t="str">
        <f>IFERROR(IF(VLOOKUP($A186,'Annex 2 EHV charges'!$A:$O,9,FALSE)=0,"",VLOOKUP($A186,'Annex 2 EHV charges'!$A:$O,9,FALSE)),"")</f>
        <v/>
      </c>
      <c r="G186" s="94" t="str">
        <f>IFERROR(IF(VLOOKUP($A186,'Annex 2 EHV charges'!$A:$O,10,FALSE)=0,"",VLOOKUP($A186,'Annex 2 EHV charges'!$A:$O,10,FALSE)),"")</f>
        <v/>
      </c>
      <c r="H186" s="94" t="str">
        <f>IFERROR(IF(VLOOKUP($A186,'Annex 2 EHV charges'!$A:$O,11,FALSE)=0,"",VLOOKUP($A186,'Annex 2 EHV charges'!$A:$O,11,FALSE)),"")</f>
        <v/>
      </c>
    </row>
    <row r="187" spans="1:8" x14ac:dyDescent="0.35">
      <c r="A187" s="87" t="str">
        <f t="array" ref="A187">IFERROR(INDEX('Annex 2 EHV charges'!$A$11:$A$260, MATCH(0, IF(ISBLANK('Annex 2 EHV charges'!$A$11:$A$260),1, COUNTIF(A$4:$A186, 'Annex 2 EHV charges'!$A$11:$A$260)), 0)),"")</f>
        <v/>
      </c>
      <c r="B187" s="87" t="str">
        <f>IF($A187="","",VLOOKUP($A187,'Annex 2 EHV charges'!$A:$O,2,0))</f>
        <v/>
      </c>
      <c r="C187" s="88" t="str">
        <f>IF($A187="","",VLOOKUP($A187,'Annex 2 EHV charges'!$A:$O,3,0))</f>
        <v/>
      </c>
      <c r="D187" s="87" t="str">
        <f>IF($A187="","",VLOOKUP($A187,'Annex 2 EHV charges'!$A:$O,7,0))</f>
        <v/>
      </c>
      <c r="E187" s="92" t="str">
        <f>IFERROR(IF(VLOOKUP($A187,'Annex 2 EHV charges'!$A:$O,8,FALSE)=0,"",VLOOKUP($A187,'Annex 2 EHV charges'!$A:$O,8,FALSE)),"")</f>
        <v/>
      </c>
      <c r="F187" s="93" t="str">
        <f>IFERROR(IF(VLOOKUP($A187,'Annex 2 EHV charges'!$A:$O,9,FALSE)=0,"",VLOOKUP($A187,'Annex 2 EHV charges'!$A:$O,9,FALSE)),"")</f>
        <v/>
      </c>
      <c r="G187" s="94" t="str">
        <f>IFERROR(IF(VLOOKUP($A187,'Annex 2 EHV charges'!$A:$O,10,FALSE)=0,"",VLOOKUP($A187,'Annex 2 EHV charges'!$A:$O,10,FALSE)),"")</f>
        <v/>
      </c>
      <c r="H187" s="94" t="str">
        <f>IFERROR(IF(VLOOKUP($A187,'Annex 2 EHV charges'!$A:$O,11,FALSE)=0,"",VLOOKUP($A187,'Annex 2 EHV charges'!$A:$O,11,FALSE)),"")</f>
        <v/>
      </c>
    </row>
    <row r="188" spans="1:8" x14ac:dyDescent="0.35">
      <c r="A188" s="87" t="str">
        <f t="array" ref="A188">IFERROR(INDEX('Annex 2 EHV charges'!$A$11:$A$260, MATCH(0, IF(ISBLANK('Annex 2 EHV charges'!$A$11:$A$260),1, COUNTIF(A$4:$A187, 'Annex 2 EHV charges'!$A$11:$A$260)), 0)),"")</f>
        <v/>
      </c>
      <c r="B188" s="87" t="str">
        <f>IF($A188="","",VLOOKUP($A188,'Annex 2 EHV charges'!$A:$O,2,0))</f>
        <v/>
      </c>
      <c r="C188" s="88" t="str">
        <f>IF($A188="","",VLOOKUP($A188,'Annex 2 EHV charges'!$A:$O,3,0))</f>
        <v/>
      </c>
      <c r="D188" s="87" t="str">
        <f>IF($A188="","",VLOOKUP($A188,'Annex 2 EHV charges'!$A:$O,7,0))</f>
        <v/>
      </c>
      <c r="E188" s="92" t="str">
        <f>IFERROR(IF(VLOOKUP($A188,'Annex 2 EHV charges'!$A:$O,8,FALSE)=0,"",VLOOKUP($A188,'Annex 2 EHV charges'!$A:$O,8,FALSE)),"")</f>
        <v/>
      </c>
      <c r="F188" s="93" t="str">
        <f>IFERROR(IF(VLOOKUP($A188,'Annex 2 EHV charges'!$A:$O,9,FALSE)=0,"",VLOOKUP($A188,'Annex 2 EHV charges'!$A:$O,9,FALSE)),"")</f>
        <v/>
      </c>
      <c r="G188" s="94" t="str">
        <f>IFERROR(IF(VLOOKUP($A188,'Annex 2 EHV charges'!$A:$O,10,FALSE)=0,"",VLOOKUP($A188,'Annex 2 EHV charges'!$A:$O,10,FALSE)),"")</f>
        <v/>
      </c>
      <c r="H188" s="94" t="str">
        <f>IFERROR(IF(VLOOKUP($A188,'Annex 2 EHV charges'!$A:$O,11,FALSE)=0,"",VLOOKUP($A188,'Annex 2 EHV charges'!$A:$O,11,FALSE)),"")</f>
        <v/>
      </c>
    </row>
    <row r="189" spans="1:8" x14ac:dyDescent="0.35">
      <c r="A189" s="87" t="str">
        <f t="array" ref="A189">IFERROR(INDEX('Annex 2 EHV charges'!$A$11:$A$260, MATCH(0, IF(ISBLANK('Annex 2 EHV charges'!$A$11:$A$260),1, COUNTIF(A$4:$A188, 'Annex 2 EHV charges'!$A$11:$A$260)), 0)),"")</f>
        <v/>
      </c>
      <c r="B189" s="87" t="str">
        <f>IF($A189="","",VLOOKUP($A189,'Annex 2 EHV charges'!$A:$O,2,0))</f>
        <v/>
      </c>
      <c r="C189" s="88" t="str">
        <f>IF($A189="","",VLOOKUP($A189,'Annex 2 EHV charges'!$A:$O,3,0))</f>
        <v/>
      </c>
      <c r="D189" s="87" t="str">
        <f>IF($A189="","",VLOOKUP($A189,'Annex 2 EHV charges'!$A:$O,7,0))</f>
        <v/>
      </c>
      <c r="E189" s="92" t="str">
        <f>IFERROR(IF(VLOOKUP($A189,'Annex 2 EHV charges'!$A:$O,8,FALSE)=0,"",VLOOKUP($A189,'Annex 2 EHV charges'!$A:$O,8,FALSE)),"")</f>
        <v/>
      </c>
      <c r="F189" s="93" t="str">
        <f>IFERROR(IF(VLOOKUP($A189,'Annex 2 EHV charges'!$A:$O,9,FALSE)=0,"",VLOOKUP($A189,'Annex 2 EHV charges'!$A:$O,9,FALSE)),"")</f>
        <v/>
      </c>
      <c r="G189" s="94" t="str">
        <f>IFERROR(IF(VLOOKUP($A189,'Annex 2 EHV charges'!$A:$O,10,FALSE)=0,"",VLOOKUP($A189,'Annex 2 EHV charges'!$A:$O,10,FALSE)),"")</f>
        <v/>
      </c>
      <c r="H189" s="94" t="str">
        <f>IFERROR(IF(VLOOKUP($A189,'Annex 2 EHV charges'!$A:$O,11,FALSE)=0,"",VLOOKUP($A189,'Annex 2 EHV charges'!$A:$O,11,FALSE)),"")</f>
        <v/>
      </c>
    </row>
    <row r="190" spans="1:8" x14ac:dyDescent="0.35">
      <c r="A190" s="87" t="str">
        <f t="array" ref="A190">IFERROR(INDEX('Annex 2 EHV charges'!$A$11:$A$260, MATCH(0, IF(ISBLANK('Annex 2 EHV charges'!$A$11:$A$260),1, COUNTIF(A$4:$A189, 'Annex 2 EHV charges'!$A$11:$A$260)), 0)),"")</f>
        <v/>
      </c>
      <c r="B190" s="87" t="str">
        <f>IF($A190="","",VLOOKUP($A190,'Annex 2 EHV charges'!$A:$O,2,0))</f>
        <v/>
      </c>
      <c r="C190" s="88" t="str">
        <f>IF($A190="","",VLOOKUP($A190,'Annex 2 EHV charges'!$A:$O,3,0))</f>
        <v/>
      </c>
      <c r="D190" s="87" t="str">
        <f>IF($A190="","",VLOOKUP($A190,'Annex 2 EHV charges'!$A:$O,7,0))</f>
        <v/>
      </c>
      <c r="E190" s="92" t="str">
        <f>IFERROR(IF(VLOOKUP($A190,'Annex 2 EHV charges'!$A:$O,8,FALSE)=0,"",VLOOKUP($A190,'Annex 2 EHV charges'!$A:$O,8,FALSE)),"")</f>
        <v/>
      </c>
      <c r="F190" s="93" t="str">
        <f>IFERROR(IF(VLOOKUP($A190,'Annex 2 EHV charges'!$A:$O,9,FALSE)=0,"",VLOOKUP($A190,'Annex 2 EHV charges'!$A:$O,9,FALSE)),"")</f>
        <v/>
      </c>
      <c r="G190" s="94" t="str">
        <f>IFERROR(IF(VLOOKUP($A190,'Annex 2 EHV charges'!$A:$O,10,FALSE)=0,"",VLOOKUP($A190,'Annex 2 EHV charges'!$A:$O,10,FALSE)),"")</f>
        <v/>
      </c>
      <c r="H190" s="94" t="str">
        <f>IFERROR(IF(VLOOKUP($A190,'Annex 2 EHV charges'!$A:$O,11,FALSE)=0,"",VLOOKUP($A190,'Annex 2 EHV charges'!$A:$O,11,FALSE)),"")</f>
        <v/>
      </c>
    </row>
    <row r="191" spans="1:8" x14ac:dyDescent="0.35">
      <c r="A191" s="87" t="str">
        <f t="array" ref="A191">IFERROR(INDEX('Annex 2 EHV charges'!$A$11:$A$260, MATCH(0, IF(ISBLANK('Annex 2 EHV charges'!$A$11:$A$260),1, COUNTIF(A$4:$A190, 'Annex 2 EHV charges'!$A$11:$A$260)), 0)),"")</f>
        <v/>
      </c>
      <c r="B191" s="87" t="str">
        <f>IF($A191="","",VLOOKUP($A191,'Annex 2 EHV charges'!$A:$O,2,0))</f>
        <v/>
      </c>
      <c r="C191" s="88" t="str">
        <f>IF($A191="","",VLOOKUP($A191,'Annex 2 EHV charges'!$A:$O,3,0))</f>
        <v/>
      </c>
      <c r="D191" s="87" t="str">
        <f>IF($A191="","",VLOOKUP($A191,'Annex 2 EHV charges'!$A:$O,7,0))</f>
        <v/>
      </c>
      <c r="E191" s="92" t="str">
        <f>IFERROR(IF(VLOOKUP($A191,'Annex 2 EHV charges'!$A:$O,8,FALSE)=0,"",VLOOKUP($A191,'Annex 2 EHV charges'!$A:$O,8,FALSE)),"")</f>
        <v/>
      </c>
      <c r="F191" s="93" t="str">
        <f>IFERROR(IF(VLOOKUP($A191,'Annex 2 EHV charges'!$A:$O,9,FALSE)=0,"",VLOOKUP($A191,'Annex 2 EHV charges'!$A:$O,9,FALSE)),"")</f>
        <v/>
      </c>
      <c r="G191" s="94" t="str">
        <f>IFERROR(IF(VLOOKUP($A191,'Annex 2 EHV charges'!$A:$O,10,FALSE)=0,"",VLOOKUP($A191,'Annex 2 EHV charges'!$A:$O,10,FALSE)),"")</f>
        <v/>
      </c>
      <c r="H191" s="94" t="str">
        <f>IFERROR(IF(VLOOKUP($A191,'Annex 2 EHV charges'!$A:$O,11,FALSE)=0,"",VLOOKUP($A191,'Annex 2 EHV charges'!$A:$O,11,FALSE)),"")</f>
        <v/>
      </c>
    </row>
    <row r="192" spans="1:8" x14ac:dyDescent="0.35">
      <c r="A192" s="87" t="str">
        <f t="array" ref="A192">IFERROR(INDEX('Annex 2 EHV charges'!$A$11:$A$260, MATCH(0, IF(ISBLANK('Annex 2 EHV charges'!$A$11:$A$260),1, COUNTIF(A$4:$A191, 'Annex 2 EHV charges'!$A$11:$A$260)), 0)),"")</f>
        <v/>
      </c>
      <c r="B192" s="87" t="str">
        <f>IF($A192="","",VLOOKUP($A192,'Annex 2 EHV charges'!$A:$O,2,0))</f>
        <v/>
      </c>
      <c r="C192" s="88" t="str">
        <f>IF($A192="","",VLOOKUP($A192,'Annex 2 EHV charges'!$A:$O,3,0))</f>
        <v/>
      </c>
      <c r="D192" s="87" t="str">
        <f>IF($A192="","",VLOOKUP($A192,'Annex 2 EHV charges'!$A:$O,7,0))</f>
        <v/>
      </c>
      <c r="E192" s="92" t="str">
        <f>IFERROR(IF(VLOOKUP($A192,'Annex 2 EHV charges'!$A:$O,8,FALSE)=0,"",VLOOKUP($A192,'Annex 2 EHV charges'!$A:$O,8,FALSE)),"")</f>
        <v/>
      </c>
      <c r="F192" s="93" t="str">
        <f>IFERROR(IF(VLOOKUP($A192,'Annex 2 EHV charges'!$A:$O,9,FALSE)=0,"",VLOOKUP($A192,'Annex 2 EHV charges'!$A:$O,9,FALSE)),"")</f>
        <v/>
      </c>
      <c r="G192" s="94" t="str">
        <f>IFERROR(IF(VLOOKUP($A192,'Annex 2 EHV charges'!$A:$O,10,FALSE)=0,"",VLOOKUP($A192,'Annex 2 EHV charges'!$A:$O,10,FALSE)),"")</f>
        <v/>
      </c>
      <c r="H192" s="94" t="str">
        <f>IFERROR(IF(VLOOKUP($A192,'Annex 2 EHV charges'!$A:$O,11,FALSE)=0,"",VLOOKUP($A192,'Annex 2 EHV charges'!$A:$O,11,FALSE)),"")</f>
        <v/>
      </c>
    </row>
    <row r="193" spans="1:8" x14ac:dyDescent="0.35">
      <c r="A193" s="87" t="str">
        <f t="array" ref="A193">IFERROR(INDEX('Annex 2 EHV charges'!$A$11:$A$260, MATCH(0, IF(ISBLANK('Annex 2 EHV charges'!$A$11:$A$260),1, COUNTIF(A$4:$A192, 'Annex 2 EHV charges'!$A$11:$A$260)), 0)),"")</f>
        <v/>
      </c>
      <c r="B193" s="87" t="str">
        <f>IF($A193="","",VLOOKUP($A193,'Annex 2 EHV charges'!$A:$O,2,0))</f>
        <v/>
      </c>
      <c r="C193" s="88" t="str">
        <f>IF($A193="","",VLOOKUP($A193,'Annex 2 EHV charges'!$A:$O,3,0))</f>
        <v/>
      </c>
      <c r="D193" s="87" t="str">
        <f>IF($A193="","",VLOOKUP($A193,'Annex 2 EHV charges'!$A:$O,7,0))</f>
        <v/>
      </c>
      <c r="E193" s="92" t="str">
        <f>IFERROR(IF(VLOOKUP($A193,'Annex 2 EHV charges'!$A:$O,8,FALSE)=0,"",VLOOKUP($A193,'Annex 2 EHV charges'!$A:$O,8,FALSE)),"")</f>
        <v/>
      </c>
      <c r="F193" s="93" t="str">
        <f>IFERROR(IF(VLOOKUP($A193,'Annex 2 EHV charges'!$A:$O,9,FALSE)=0,"",VLOOKUP($A193,'Annex 2 EHV charges'!$A:$O,9,FALSE)),"")</f>
        <v/>
      </c>
      <c r="G193" s="94" t="str">
        <f>IFERROR(IF(VLOOKUP($A193,'Annex 2 EHV charges'!$A:$O,10,FALSE)=0,"",VLOOKUP($A193,'Annex 2 EHV charges'!$A:$O,10,FALSE)),"")</f>
        <v/>
      </c>
      <c r="H193" s="94" t="str">
        <f>IFERROR(IF(VLOOKUP($A193,'Annex 2 EHV charges'!$A:$O,11,FALSE)=0,"",VLOOKUP($A193,'Annex 2 EHV charges'!$A:$O,11,FALSE)),"")</f>
        <v/>
      </c>
    </row>
    <row r="194" spans="1:8" x14ac:dyDescent="0.35">
      <c r="A194" s="87" t="str">
        <f t="array" ref="A194">IFERROR(INDEX('Annex 2 EHV charges'!$A$11:$A$260, MATCH(0, IF(ISBLANK('Annex 2 EHV charges'!$A$11:$A$260),1, COUNTIF(A$4:$A193, 'Annex 2 EHV charges'!$A$11:$A$260)), 0)),"")</f>
        <v/>
      </c>
      <c r="B194" s="87" t="str">
        <f>IF($A194="","",VLOOKUP($A194,'Annex 2 EHV charges'!$A:$O,2,0))</f>
        <v/>
      </c>
      <c r="C194" s="88" t="str">
        <f>IF($A194="","",VLOOKUP($A194,'Annex 2 EHV charges'!$A:$O,3,0))</f>
        <v/>
      </c>
      <c r="D194" s="87" t="str">
        <f>IF($A194="","",VLOOKUP($A194,'Annex 2 EHV charges'!$A:$O,7,0))</f>
        <v/>
      </c>
      <c r="E194" s="92" t="str">
        <f>IFERROR(IF(VLOOKUP($A194,'Annex 2 EHV charges'!$A:$O,8,FALSE)=0,"",VLOOKUP($A194,'Annex 2 EHV charges'!$A:$O,8,FALSE)),"")</f>
        <v/>
      </c>
      <c r="F194" s="93" t="str">
        <f>IFERROR(IF(VLOOKUP($A194,'Annex 2 EHV charges'!$A:$O,9,FALSE)=0,"",VLOOKUP($A194,'Annex 2 EHV charges'!$A:$O,9,FALSE)),"")</f>
        <v/>
      </c>
      <c r="G194" s="94" t="str">
        <f>IFERROR(IF(VLOOKUP($A194,'Annex 2 EHV charges'!$A:$O,10,FALSE)=0,"",VLOOKUP($A194,'Annex 2 EHV charges'!$A:$O,10,FALSE)),"")</f>
        <v/>
      </c>
      <c r="H194" s="94" t="str">
        <f>IFERROR(IF(VLOOKUP($A194,'Annex 2 EHV charges'!$A:$O,11,FALSE)=0,"",VLOOKUP($A194,'Annex 2 EHV charges'!$A:$O,11,FALSE)),"")</f>
        <v/>
      </c>
    </row>
    <row r="195" spans="1:8" x14ac:dyDescent="0.35">
      <c r="A195" s="87" t="str">
        <f t="array" ref="A195">IFERROR(INDEX('Annex 2 EHV charges'!$A$11:$A$260, MATCH(0, IF(ISBLANK('Annex 2 EHV charges'!$A$11:$A$260),1, COUNTIF(A$4:$A194, 'Annex 2 EHV charges'!$A$11:$A$260)), 0)),"")</f>
        <v/>
      </c>
      <c r="B195" s="87" t="str">
        <f>IF($A195="","",VLOOKUP($A195,'Annex 2 EHV charges'!$A:$O,2,0))</f>
        <v/>
      </c>
      <c r="C195" s="88" t="str">
        <f>IF($A195="","",VLOOKUP($A195,'Annex 2 EHV charges'!$A:$O,3,0))</f>
        <v/>
      </c>
      <c r="D195" s="87" t="str">
        <f>IF($A195="","",VLOOKUP($A195,'Annex 2 EHV charges'!$A:$O,7,0))</f>
        <v/>
      </c>
      <c r="E195" s="92" t="str">
        <f>IFERROR(IF(VLOOKUP($A195,'Annex 2 EHV charges'!$A:$O,8,FALSE)=0,"",VLOOKUP($A195,'Annex 2 EHV charges'!$A:$O,8,FALSE)),"")</f>
        <v/>
      </c>
      <c r="F195" s="93" t="str">
        <f>IFERROR(IF(VLOOKUP($A195,'Annex 2 EHV charges'!$A:$O,9,FALSE)=0,"",VLOOKUP($A195,'Annex 2 EHV charges'!$A:$O,9,FALSE)),"")</f>
        <v/>
      </c>
      <c r="G195" s="94" t="str">
        <f>IFERROR(IF(VLOOKUP($A195,'Annex 2 EHV charges'!$A:$O,10,FALSE)=0,"",VLOOKUP($A195,'Annex 2 EHV charges'!$A:$O,10,FALSE)),"")</f>
        <v/>
      </c>
      <c r="H195" s="94" t="str">
        <f>IFERROR(IF(VLOOKUP($A195,'Annex 2 EHV charges'!$A:$O,11,FALSE)=0,"",VLOOKUP($A195,'Annex 2 EHV charges'!$A:$O,11,FALSE)),"")</f>
        <v/>
      </c>
    </row>
    <row r="196" spans="1:8" x14ac:dyDescent="0.35">
      <c r="A196" s="87" t="str">
        <f t="array" ref="A196">IFERROR(INDEX('Annex 2 EHV charges'!$A$11:$A$260, MATCH(0, IF(ISBLANK('Annex 2 EHV charges'!$A$11:$A$260),1, COUNTIF(A$4:$A195, 'Annex 2 EHV charges'!$A$11:$A$260)), 0)),"")</f>
        <v/>
      </c>
      <c r="B196" s="87" t="str">
        <f>IF($A196="","",VLOOKUP($A196,'Annex 2 EHV charges'!$A:$O,2,0))</f>
        <v/>
      </c>
      <c r="C196" s="88" t="str">
        <f>IF($A196="","",VLOOKUP($A196,'Annex 2 EHV charges'!$A:$O,3,0))</f>
        <v/>
      </c>
      <c r="D196" s="87" t="str">
        <f>IF($A196="","",VLOOKUP($A196,'Annex 2 EHV charges'!$A:$O,7,0))</f>
        <v/>
      </c>
      <c r="E196" s="92" t="str">
        <f>IFERROR(IF(VLOOKUP($A196,'Annex 2 EHV charges'!$A:$O,8,FALSE)=0,"",VLOOKUP($A196,'Annex 2 EHV charges'!$A:$O,8,FALSE)),"")</f>
        <v/>
      </c>
      <c r="F196" s="93" t="str">
        <f>IFERROR(IF(VLOOKUP($A196,'Annex 2 EHV charges'!$A:$O,9,FALSE)=0,"",VLOOKUP($A196,'Annex 2 EHV charges'!$A:$O,9,FALSE)),"")</f>
        <v/>
      </c>
      <c r="G196" s="94" t="str">
        <f>IFERROR(IF(VLOOKUP($A196,'Annex 2 EHV charges'!$A:$O,10,FALSE)=0,"",VLOOKUP($A196,'Annex 2 EHV charges'!$A:$O,10,FALSE)),"")</f>
        <v/>
      </c>
      <c r="H196" s="94" t="str">
        <f>IFERROR(IF(VLOOKUP($A196,'Annex 2 EHV charges'!$A:$O,11,FALSE)=0,"",VLOOKUP($A196,'Annex 2 EHV charges'!$A:$O,11,FALSE)),"")</f>
        <v/>
      </c>
    </row>
    <row r="197" spans="1:8" x14ac:dyDescent="0.35">
      <c r="A197" s="87" t="str">
        <f t="array" ref="A197">IFERROR(INDEX('Annex 2 EHV charges'!$A$11:$A$260, MATCH(0, IF(ISBLANK('Annex 2 EHV charges'!$A$11:$A$260),1, COUNTIF(A$4:$A196, 'Annex 2 EHV charges'!$A$11:$A$260)), 0)),"")</f>
        <v/>
      </c>
      <c r="B197" s="87" t="str">
        <f>IF($A197="","",VLOOKUP($A197,'Annex 2 EHV charges'!$A:$O,2,0))</f>
        <v/>
      </c>
      <c r="C197" s="88" t="str">
        <f>IF($A197="","",VLOOKUP($A197,'Annex 2 EHV charges'!$A:$O,3,0))</f>
        <v/>
      </c>
      <c r="D197" s="87" t="str">
        <f>IF($A197="","",VLOOKUP($A197,'Annex 2 EHV charges'!$A:$O,7,0))</f>
        <v/>
      </c>
      <c r="E197" s="92" t="str">
        <f>IFERROR(IF(VLOOKUP($A197,'Annex 2 EHV charges'!$A:$O,8,FALSE)=0,"",VLOOKUP($A197,'Annex 2 EHV charges'!$A:$O,8,FALSE)),"")</f>
        <v/>
      </c>
      <c r="F197" s="93" t="str">
        <f>IFERROR(IF(VLOOKUP($A197,'Annex 2 EHV charges'!$A:$O,9,FALSE)=0,"",VLOOKUP($A197,'Annex 2 EHV charges'!$A:$O,9,FALSE)),"")</f>
        <v/>
      </c>
      <c r="G197" s="94" t="str">
        <f>IFERROR(IF(VLOOKUP($A197,'Annex 2 EHV charges'!$A:$O,10,FALSE)=0,"",VLOOKUP($A197,'Annex 2 EHV charges'!$A:$O,10,FALSE)),"")</f>
        <v/>
      </c>
      <c r="H197" s="94" t="str">
        <f>IFERROR(IF(VLOOKUP($A197,'Annex 2 EHV charges'!$A:$O,11,FALSE)=0,"",VLOOKUP($A197,'Annex 2 EHV charges'!$A:$O,11,FALSE)),"")</f>
        <v/>
      </c>
    </row>
    <row r="198" spans="1:8" x14ac:dyDescent="0.35">
      <c r="A198" s="87" t="str">
        <f t="array" ref="A198">IFERROR(INDEX('Annex 2 EHV charges'!$A$11:$A$260, MATCH(0, IF(ISBLANK('Annex 2 EHV charges'!$A$11:$A$260),1, COUNTIF(A$4:$A197, 'Annex 2 EHV charges'!$A$11:$A$260)), 0)),"")</f>
        <v/>
      </c>
      <c r="B198" s="87" t="str">
        <f>IF($A198="","",VLOOKUP($A198,'Annex 2 EHV charges'!$A:$O,2,0))</f>
        <v/>
      </c>
      <c r="C198" s="88" t="str">
        <f>IF($A198="","",VLOOKUP($A198,'Annex 2 EHV charges'!$A:$O,3,0))</f>
        <v/>
      </c>
      <c r="D198" s="87" t="str">
        <f>IF($A198="","",VLOOKUP($A198,'Annex 2 EHV charges'!$A:$O,7,0))</f>
        <v/>
      </c>
      <c r="E198" s="92" t="str">
        <f>IFERROR(IF(VLOOKUP($A198,'Annex 2 EHV charges'!$A:$O,8,FALSE)=0,"",VLOOKUP($A198,'Annex 2 EHV charges'!$A:$O,8,FALSE)),"")</f>
        <v/>
      </c>
      <c r="F198" s="93" t="str">
        <f>IFERROR(IF(VLOOKUP($A198,'Annex 2 EHV charges'!$A:$O,9,FALSE)=0,"",VLOOKUP($A198,'Annex 2 EHV charges'!$A:$O,9,FALSE)),"")</f>
        <v/>
      </c>
      <c r="G198" s="94" t="str">
        <f>IFERROR(IF(VLOOKUP($A198,'Annex 2 EHV charges'!$A:$O,10,FALSE)=0,"",VLOOKUP($A198,'Annex 2 EHV charges'!$A:$O,10,FALSE)),"")</f>
        <v/>
      </c>
      <c r="H198" s="94" t="str">
        <f>IFERROR(IF(VLOOKUP($A198,'Annex 2 EHV charges'!$A:$O,11,FALSE)=0,"",VLOOKUP($A198,'Annex 2 EHV charges'!$A:$O,11,FALSE)),"")</f>
        <v/>
      </c>
    </row>
    <row r="199" spans="1:8" x14ac:dyDescent="0.35">
      <c r="A199" s="87" t="str">
        <f t="array" ref="A199">IFERROR(INDEX('Annex 2 EHV charges'!$A$11:$A$260, MATCH(0, IF(ISBLANK('Annex 2 EHV charges'!$A$11:$A$260),1, COUNTIF(A$4:$A198, 'Annex 2 EHV charges'!$A$11:$A$260)), 0)),"")</f>
        <v/>
      </c>
      <c r="B199" s="87" t="str">
        <f>IF($A199="","",VLOOKUP($A199,'Annex 2 EHV charges'!$A:$O,2,0))</f>
        <v/>
      </c>
      <c r="C199" s="88" t="str">
        <f>IF($A199="","",VLOOKUP($A199,'Annex 2 EHV charges'!$A:$O,3,0))</f>
        <v/>
      </c>
      <c r="D199" s="87" t="str">
        <f>IF($A199="","",VLOOKUP($A199,'Annex 2 EHV charges'!$A:$O,7,0))</f>
        <v/>
      </c>
      <c r="E199" s="92" t="str">
        <f>IFERROR(IF(VLOOKUP($A199,'Annex 2 EHV charges'!$A:$O,8,FALSE)=0,"",VLOOKUP($A199,'Annex 2 EHV charges'!$A:$O,8,FALSE)),"")</f>
        <v/>
      </c>
      <c r="F199" s="93" t="str">
        <f>IFERROR(IF(VLOOKUP($A199,'Annex 2 EHV charges'!$A:$O,9,FALSE)=0,"",VLOOKUP($A199,'Annex 2 EHV charges'!$A:$O,9,FALSE)),"")</f>
        <v/>
      </c>
      <c r="G199" s="94" t="str">
        <f>IFERROR(IF(VLOOKUP($A199,'Annex 2 EHV charges'!$A:$O,10,FALSE)=0,"",VLOOKUP($A199,'Annex 2 EHV charges'!$A:$O,10,FALSE)),"")</f>
        <v/>
      </c>
      <c r="H199" s="94" t="str">
        <f>IFERROR(IF(VLOOKUP($A199,'Annex 2 EHV charges'!$A:$O,11,FALSE)=0,"",VLOOKUP($A199,'Annex 2 EHV charges'!$A:$O,11,FALSE)),"")</f>
        <v/>
      </c>
    </row>
    <row r="200" spans="1:8" x14ac:dyDescent="0.35">
      <c r="A200" s="87" t="str">
        <f t="array" ref="A200">IFERROR(INDEX('Annex 2 EHV charges'!$A$11:$A$260, MATCH(0, IF(ISBLANK('Annex 2 EHV charges'!$A$11:$A$260),1, COUNTIF(A$4:$A199, 'Annex 2 EHV charges'!$A$11:$A$260)), 0)),"")</f>
        <v/>
      </c>
      <c r="B200" s="87" t="str">
        <f>IF($A200="","",VLOOKUP($A200,'Annex 2 EHV charges'!$A:$O,2,0))</f>
        <v/>
      </c>
      <c r="C200" s="88" t="str">
        <f>IF($A200="","",VLOOKUP($A200,'Annex 2 EHV charges'!$A:$O,3,0))</f>
        <v/>
      </c>
      <c r="D200" s="87" t="str">
        <f>IF($A200="","",VLOOKUP($A200,'Annex 2 EHV charges'!$A:$O,7,0))</f>
        <v/>
      </c>
      <c r="E200" s="92" t="str">
        <f>IFERROR(IF(VLOOKUP($A200,'Annex 2 EHV charges'!$A:$O,8,FALSE)=0,"",VLOOKUP($A200,'Annex 2 EHV charges'!$A:$O,8,FALSE)),"")</f>
        <v/>
      </c>
      <c r="F200" s="93" t="str">
        <f>IFERROR(IF(VLOOKUP($A200,'Annex 2 EHV charges'!$A:$O,9,FALSE)=0,"",VLOOKUP($A200,'Annex 2 EHV charges'!$A:$O,9,FALSE)),"")</f>
        <v/>
      </c>
      <c r="G200" s="94" t="str">
        <f>IFERROR(IF(VLOOKUP($A200,'Annex 2 EHV charges'!$A:$O,10,FALSE)=0,"",VLOOKUP($A200,'Annex 2 EHV charges'!$A:$O,10,FALSE)),"")</f>
        <v/>
      </c>
      <c r="H200" s="94" t="str">
        <f>IFERROR(IF(VLOOKUP($A200,'Annex 2 EHV charges'!$A:$O,11,FALSE)=0,"",VLOOKUP($A200,'Annex 2 EHV charges'!$A:$O,11,FALSE)),"")</f>
        <v/>
      </c>
    </row>
    <row r="201" spans="1:8" x14ac:dyDescent="0.35">
      <c r="A201" s="87" t="str">
        <f t="array" ref="A201">IFERROR(INDEX('Annex 2 EHV charges'!$A$11:$A$260, MATCH(0, IF(ISBLANK('Annex 2 EHV charges'!$A$11:$A$260),1, COUNTIF(A$4:$A200, 'Annex 2 EHV charges'!$A$11:$A$260)), 0)),"")</f>
        <v/>
      </c>
      <c r="B201" s="87" t="str">
        <f>IF($A201="","",VLOOKUP($A201,'Annex 2 EHV charges'!$A:$O,2,0))</f>
        <v/>
      </c>
      <c r="C201" s="88" t="str">
        <f>IF($A201="","",VLOOKUP($A201,'Annex 2 EHV charges'!$A:$O,3,0))</f>
        <v/>
      </c>
      <c r="D201" s="87" t="str">
        <f>IF($A201="","",VLOOKUP($A201,'Annex 2 EHV charges'!$A:$O,7,0))</f>
        <v/>
      </c>
      <c r="E201" s="92" t="str">
        <f>IFERROR(IF(VLOOKUP($A201,'Annex 2 EHV charges'!$A:$O,8,FALSE)=0,"",VLOOKUP($A201,'Annex 2 EHV charges'!$A:$O,8,FALSE)),"")</f>
        <v/>
      </c>
      <c r="F201" s="93" t="str">
        <f>IFERROR(IF(VLOOKUP($A201,'Annex 2 EHV charges'!$A:$O,9,FALSE)=0,"",VLOOKUP($A201,'Annex 2 EHV charges'!$A:$O,9,FALSE)),"")</f>
        <v/>
      </c>
      <c r="G201" s="94" t="str">
        <f>IFERROR(IF(VLOOKUP($A201,'Annex 2 EHV charges'!$A:$O,10,FALSE)=0,"",VLOOKUP($A201,'Annex 2 EHV charges'!$A:$O,10,FALSE)),"")</f>
        <v/>
      </c>
      <c r="H201" s="94" t="str">
        <f>IFERROR(IF(VLOOKUP($A201,'Annex 2 EHV charges'!$A:$O,11,FALSE)=0,"",VLOOKUP($A201,'Annex 2 EHV charges'!$A:$O,11,FALSE)),"")</f>
        <v/>
      </c>
    </row>
    <row r="202" spans="1:8" x14ac:dyDescent="0.35">
      <c r="A202" s="87" t="str">
        <f t="array" ref="A202">IFERROR(INDEX('Annex 2 EHV charges'!$A$11:$A$260, MATCH(0, IF(ISBLANK('Annex 2 EHV charges'!$A$11:$A$260),1, COUNTIF(A$4:$A201, 'Annex 2 EHV charges'!$A$11:$A$260)), 0)),"")</f>
        <v/>
      </c>
      <c r="B202" s="87" t="str">
        <f>IF($A202="","",VLOOKUP($A202,'Annex 2 EHV charges'!$A:$O,2,0))</f>
        <v/>
      </c>
      <c r="C202" s="88" t="str">
        <f>IF($A202="","",VLOOKUP($A202,'Annex 2 EHV charges'!$A:$O,3,0))</f>
        <v/>
      </c>
      <c r="D202" s="87" t="str">
        <f>IF($A202="","",VLOOKUP($A202,'Annex 2 EHV charges'!$A:$O,7,0))</f>
        <v/>
      </c>
      <c r="E202" s="92" t="str">
        <f>IFERROR(IF(VLOOKUP($A202,'Annex 2 EHV charges'!$A:$O,8,FALSE)=0,"",VLOOKUP($A202,'Annex 2 EHV charges'!$A:$O,8,FALSE)),"")</f>
        <v/>
      </c>
      <c r="F202" s="93" t="str">
        <f>IFERROR(IF(VLOOKUP($A202,'Annex 2 EHV charges'!$A:$O,9,FALSE)=0,"",VLOOKUP($A202,'Annex 2 EHV charges'!$A:$O,9,FALSE)),"")</f>
        <v/>
      </c>
      <c r="G202" s="94" t="str">
        <f>IFERROR(IF(VLOOKUP($A202,'Annex 2 EHV charges'!$A:$O,10,FALSE)=0,"",VLOOKUP($A202,'Annex 2 EHV charges'!$A:$O,10,FALSE)),"")</f>
        <v/>
      </c>
      <c r="H202" s="94" t="str">
        <f>IFERROR(IF(VLOOKUP($A202,'Annex 2 EHV charges'!$A:$O,11,FALSE)=0,"",VLOOKUP($A202,'Annex 2 EHV charges'!$A:$O,11,FALSE)),"")</f>
        <v/>
      </c>
    </row>
    <row r="203" spans="1:8" x14ac:dyDescent="0.35">
      <c r="A203" s="87" t="str">
        <f t="array" ref="A203">IFERROR(INDEX('Annex 2 EHV charges'!$A$11:$A$260, MATCH(0, IF(ISBLANK('Annex 2 EHV charges'!$A$11:$A$260),1, COUNTIF(A$4:$A202, 'Annex 2 EHV charges'!$A$11:$A$260)), 0)),"")</f>
        <v/>
      </c>
      <c r="B203" s="87" t="str">
        <f>IF($A203="","",VLOOKUP($A203,'Annex 2 EHV charges'!$A:$O,2,0))</f>
        <v/>
      </c>
      <c r="C203" s="88" t="str">
        <f>IF($A203="","",VLOOKUP($A203,'Annex 2 EHV charges'!$A:$O,3,0))</f>
        <v/>
      </c>
      <c r="D203" s="87" t="str">
        <f>IF($A203="","",VLOOKUP($A203,'Annex 2 EHV charges'!$A:$O,7,0))</f>
        <v/>
      </c>
      <c r="E203" s="92" t="str">
        <f>IFERROR(IF(VLOOKUP($A203,'Annex 2 EHV charges'!$A:$O,8,FALSE)=0,"",VLOOKUP($A203,'Annex 2 EHV charges'!$A:$O,8,FALSE)),"")</f>
        <v/>
      </c>
      <c r="F203" s="93" t="str">
        <f>IFERROR(IF(VLOOKUP($A203,'Annex 2 EHV charges'!$A:$O,9,FALSE)=0,"",VLOOKUP($A203,'Annex 2 EHV charges'!$A:$O,9,FALSE)),"")</f>
        <v/>
      </c>
      <c r="G203" s="94" t="str">
        <f>IFERROR(IF(VLOOKUP($A203,'Annex 2 EHV charges'!$A:$O,10,FALSE)=0,"",VLOOKUP($A203,'Annex 2 EHV charges'!$A:$O,10,FALSE)),"")</f>
        <v/>
      </c>
      <c r="H203" s="94" t="str">
        <f>IFERROR(IF(VLOOKUP($A203,'Annex 2 EHV charges'!$A:$O,11,FALSE)=0,"",VLOOKUP($A203,'Annex 2 EHV charges'!$A:$O,11,FALSE)),"")</f>
        <v/>
      </c>
    </row>
    <row r="204" spans="1:8" x14ac:dyDescent="0.35">
      <c r="A204" s="87" t="str">
        <f t="array" ref="A204">IFERROR(INDEX('Annex 2 EHV charges'!$A$11:$A$260, MATCH(0, IF(ISBLANK('Annex 2 EHV charges'!$A$11:$A$260),1, COUNTIF(A$4:$A203, 'Annex 2 EHV charges'!$A$11:$A$260)), 0)),"")</f>
        <v/>
      </c>
      <c r="B204" s="87" t="str">
        <f>IF($A204="","",VLOOKUP($A204,'Annex 2 EHV charges'!$A:$O,2,0))</f>
        <v/>
      </c>
      <c r="C204" s="88" t="str">
        <f>IF($A204="","",VLOOKUP($A204,'Annex 2 EHV charges'!$A:$O,3,0))</f>
        <v/>
      </c>
      <c r="D204" s="87" t="str">
        <f>IF($A204="","",VLOOKUP($A204,'Annex 2 EHV charges'!$A:$O,7,0))</f>
        <v/>
      </c>
      <c r="E204" s="92" t="str">
        <f>IFERROR(IF(VLOOKUP($A204,'Annex 2 EHV charges'!$A:$O,8,FALSE)=0,"",VLOOKUP($A204,'Annex 2 EHV charges'!$A:$O,8,FALSE)),"")</f>
        <v/>
      </c>
      <c r="F204" s="93" t="str">
        <f>IFERROR(IF(VLOOKUP($A204,'Annex 2 EHV charges'!$A:$O,9,FALSE)=0,"",VLOOKUP($A204,'Annex 2 EHV charges'!$A:$O,9,FALSE)),"")</f>
        <v/>
      </c>
      <c r="G204" s="94" t="str">
        <f>IFERROR(IF(VLOOKUP($A204,'Annex 2 EHV charges'!$A:$O,10,FALSE)=0,"",VLOOKUP($A204,'Annex 2 EHV charges'!$A:$O,10,FALSE)),"")</f>
        <v/>
      </c>
      <c r="H204" s="94" t="str">
        <f>IFERROR(IF(VLOOKUP($A204,'Annex 2 EHV charges'!$A:$O,11,FALSE)=0,"",VLOOKUP($A204,'Annex 2 EHV charges'!$A:$O,11,FALSE)),"")</f>
        <v/>
      </c>
    </row>
    <row r="205" spans="1:8" x14ac:dyDescent="0.35">
      <c r="A205" s="87" t="str">
        <f t="array" ref="A205">IFERROR(INDEX('Annex 2 EHV charges'!$A$11:$A$260, MATCH(0, IF(ISBLANK('Annex 2 EHV charges'!$A$11:$A$260),1, COUNTIF(A$4:$A204, 'Annex 2 EHV charges'!$A$11:$A$260)), 0)),"")</f>
        <v/>
      </c>
      <c r="B205" s="87" t="str">
        <f>IF($A205="","",VLOOKUP($A205,'Annex 2 EHV charges'!$A:$O,2,0))</f>
        <v/>
      </c>
      <c r="C205" s="88" t="str">
        <f>IF($A205="","",VLOOKUP($A205,'Annex 2 EHV charges'!$A:$O,3,0))</f>
        <v/>
      </c>
      <c r="D205" s="87" t="str">
        <f>IF($A205="","",VLOOKUP($A205,'Annex 2 EHV charges'!$A:$O,7,0))</f>
        <v/>
      </c>
      <c r="E205" s="92" t="str">
        <f>IFERROR(IF(VLOOKUP($A205,'Annex 2 EHV charges'!$A:$O,8,FALSE)=0,"",VLOOKUP($A205,'Annex 2 EHV charges'!$A:$O,8,FALSE)),"")</f>
        <v/>
      </c>
      <c r="F205" s="93" t="str">
        <f>IFERROR(IF(VLOOKUP($A205,'Annex 2 EHV charges'!$A:$O,9,FALSE)=0,"",VLOOKUP($A205,'Annex 2 EHV charges'!$A:$O,9,FALSE)),"")</f>
        <v/>
      </c>
      <c r="G205" s="94" t="str">
        <f>IFERROR(IF(VLOOKUP($A205,'Annex 2 EHV charges'!$A:$O,10,FALSE)=0,"",VLOOKUP($A205,'Annex 2 EHV charges'!$A:$O,10,FALSE)),"")</f>
        <v/>
      </c>
      <c r="H205" s="94" t="str">
        <f>IFERROR(IF(VLOOKUP($A205,'Annex 2 EHV charges'!$A:$O,11,FALSE)=0,"",VLOOKUP($A205,'Annex 2 EHV charges'!$A:$O,11,FALSE)),"")</f>
        <v/>
      </c>
    </row>
    <row r="206" spans="1:8" x14ac:dyDescent="0.35">
      <c r="A206" s="87" t="str">
        <f t="array" ref="A206">IFERROR(INDEX('Annex 2 EHV charges'!$A$11:$A$260, MATCH(0, IF(ISBLANK('Annex 2 EHV charges'!$A$11:$A$260),1, COUNTIF(A$4:$A205, 'Annex 2 EHV charges'!$A$11:$A$260)), 0)),"")</f>
        <v/>
      </c>
      <c r="B206" s="87" t="str">
        <f>IF($A206="","",VLOOKUP($A206,'Annex 2 EHV charges'!$A:$O,2,0))</f>
        <v/>
      </c>
      <c r="C206" s="88" t="str">
        <f>IF($A206="","",VLOOKUP($A206,'Annex 2 EHV charges'!$A:$O,3,0))</f>
        <v/>
      </c>
      <c r="D206" s="87" t="str">
        <f>IF($A206="","",VLOOKUP($A206,'Annex 2 EHV charges'!$A:$O,7,0))</f>
        <v/>
      </c>
      <c r="E206" s="92" t="str">
        <f>IFERROR(IF(VLOOKUP($A206,'Annex 2 EHV charges'!$A:$O,8,FALSE)=0,"",VLOOKUP($A206,'Annex 2 EHV charges'!$A:$O,8,FALSE)),"")</f>
        <v/>
      </c>
      <c r="F206" s="93" t="str">
        <f>IFERROR(IF(VLOOKUP($A206,'Annex 2 EHV charges'!$A:$O,9,FALSE)=0,"",VLOOKUP($A206,'Annex 2 EHV charges'!$A:$O,9,FALSE)),"")</f>
        <v/>
      </c>
      <c r="G206" s="94" t="str">
        <f>IFERROR(IF(VLOOKUP($A206,'Annex 2 EHV charges'!$A:$O,10,FALSE)=0,"",VLOOKUP($A206,'Annex 2 EHV charges'!$A:$O,10,FALSE)),"")</f>
        <v/>
      </c>
      <c r="H206" s="94" t="str">
        <f>IFERROR(IF(VLOOKUP($A206,'Annex 2 EHV charges'!$A:$O,11,FALSE)=0,"",VLOOKUP($A206,'Annex 2 EHV charges'!$A:$O,11,FALSE)),"")</f>
        <v/>
      </c>
    </row>
    <row r="207" spans="1:8" x14ac:dyDescent="0.35">
      <c r="A207" s="87" t="str">
        <f t="array" ref="A207">IFERROR(INDEX('Annex 2 EHV charges'!$A$11:$A$260, MATCH(0, IF(ISBLANK('Annex 2 EHV charges'!$A$11:$A$260),1, COUNTIF(A$4:$A206, 'Annex 2 EHV charges'!$A$11:$A$260)), 0)),"")</f>
        <v/>
      </c>
      <c r="B207" s="87" t="str">
        <f>IF($A207="","",VLOOKUP($A207,'Annex 2 EHV charges'!$A:$O,2,0))</f>
        <v/>
      </c>
      <c r="C207" s="88" t="str">
        <f>IF($A207="","",VLOOKUP($A207,'Annex 2 EHV charges'!$A:$O,3,0))</f>
        <v/>
      </c>
      <c r="D207" s="87" t="str">
        <f>IF($A207="","",VLOOKUP($A207,'Annex 2 EHV charges'!$A:$O,7,0))</f>
        <v/>
      </c>
      <c r="E207" s="92" t="str">
        <f>IFERROR(IF(VLOOKUP($A207,'Annex 2 EHV charges'!$A:$O,8,FALSE)=0,"",VLOOKUP($A207,'Annex 2 EHV charges'!$A:$O,8,FALSE)),"")</f>
        <v/>
      </c>
      <c r="F207" s="93" t="str">
        <f>IFERROR(IF(VLOOKUP($A207,'Annex 2 EHV charges'!$A:$O,9,FALSE)=0,"",VLOOKUP($A207,'Annex 2 EHV charges'!$A:$O,9,FALSE)),"")</f>
        <v/>
      </c>
      <c r="G207" s="94" t="str">
        <f>IFERROR(IF(VLOOKUP($A207,'Annex 2 EHV charges'!$A:$O,10,FALSE)=0,"",VLOOKUP($A207,'Annex 2 EHV charges'!$A:$O,10,FALSE)),"")</f>
        <v/>
      </c>
      <c r="H207" s="94" t="str">
        <f>IFERROR(IF(VLOOKUP($A207,'Annex 2 EHV charges'!$A:$O,11,FALSE)=0,"",VLOOKUP($A207,'Annex 2 EHV charges'!$A:$O,11,FALSE)),"")</f>
        <v/>
      </c>
    </row>
    <row r="208" spans="1:8" x14ac:dyDescent="0.35">
      <c r="A208" s="87" t="str">
        <f t="array" ref="A208">IFERROR(INDEX('Annex 2 EHV charges'!$A$11:$A$260, MATCH(0, IF(ISBLANK('Annex 2 EHV charges'!$A$11:$A$260),1, COUNTIF(A$4:$A207, 'Annex 2 EHV charges'!$A$11:$A$260)), 0)),"")</f>
        <v/>
      </c>
      <c r="B208" s="87" t="str">
        <f>IF($A208="","",VLOOKUP($A208,'Annex 2 EHV charges'!$A:$O,2,0))</f>
        <v/>
      </c>
      <c r="C208" s="88" t="str">
        <f>IF($A208="","",VLOOKUP($A208,'Annex 2 EHV charges'!$A:$O,3,0))</f>
        <v/>
      </c>
      <c r="D208" s="87" t="str">
        <f>IF($A208="","",VLOOKUP($A208,'Annex 2 EHV charges'!$A:$O,7,0))</f>
        <v/>
      </c>
      <c r="E208" s="92" t="str">
        <f>IFERROR(IF(VLOOKUP($A208,'Annex 2 EHV charges'!$A:$O,8,FALSE)=0,"",VLOOKUP($A208,'Annex 2 EHV charges'!$A:$O,8,FALSE)),"")</f>
        <v/>
      </c>
      <c r="F208" s="93" t="str">
        <f>IFERROR(IF(VLOOKUP($A208,'Annex 2 EHV charges'!$A:$O,9,FALSE)=0,"",VLOOKUP($A208,'Annex 2 EHV charges'!$A:$O,9,FALSE)),"")</f>
        <v/>
      </c>
      <c r="G208" s="94" t="str">
        <f>IFERROR(IF(VLOOKUP($A208,'Annex 2 EHV charges'!$A:$O,10,FALSE)=0,"",VLOOKUP($A208,'Annex 2 EHV charges'!$A:$O,10,FALSE)),"")</f>
        <v/>
      </c>
      <c r="H208" s="94" t="str">
        <f>IFERROR(IF(VLOOKUP($A208,'Annex 2 EHV charges'!$A:$O,11,FALSE)=0,"",VLOOKUP($A208,'Annex 2 EHV charges'!$A:$O,11,FALSE)),"")</f>
        <v/>
      </c>
    </row>
    <row r="209" spans="1:8" x14ac:dyDescent="0.35">
      <c r="A209" s="87" t="str">
        <f t="array" ref="A209">IFERROR(INDEX('Annex 2 EHV charges'!$A$11:$A$260, MATCH(0, IF(ISBLANK('Annex 2 EHV charges'!$A$11:$A$260),1, COUNTIF(A$4:$A208, 'Annex 2 EHV charges'!$A$11:$A$260)), 0)),"")</f>
        <v/>
      </c>
      <c r="B209" s="87" t="str">
        <f>IF($A209="","",VLOOKUP($A209,'Annex 2 EHV charges'!$A:$O,2,0))</f>
        <v/>
      </c>
      <c r="C209" s="88" t="str">
        <f>IF($A209="","",VLOOKUP($A209,'Annex 2 EHV charges'!$A:$O,3,0))</f>
        <v/>
      </c>
      <c r="D209" s="87" t="str">
        <f>IF($A209="","",VLOOKUP($A209,'Annex 2 EHV charges'!$A:$O,7,0))</f>
        <v/>
      </c>
      <c r="E209" s="92" t="str">
        <f>IFERROR(IF(VLOOKUP($A209,'Annex 2 EHV charges'!$A:$O,8,FALSE)=0,"",VLOOKUP($A209,'Annex 2 EHV charges'!$A:$O,8,FALSE)),"")</f>
        <v/>
      </c>
      <c r="F209" s="93" t="str">
        <f>IFERROR(IF(VLOOKUP($A209,'Annex 2 EHV charges'!$A:$O,9,FALSE)=0,"",VLOOKUP($A209,'Annex 2 EHV charges'!$A:$O,9,FALSE)),"")</f>
        <v/>
      </c>
      <c r="G209" s="94" t="str">
        <f>IFERROR(IF(VLOOKUP($A209,'Annex 2 EHV charges'!$A:$O,10,FALSE)=0,"",VLOOKUP($A209,'Annex 2 EHV charges'!$A:$O,10,FALSE)),"")</f>
        <v/>
      </c>
      <c r="H209" s="94" t="str">
        <f>IFERROR(IF(VLOOKUP($A209,'Annex 2 EHV charges'!$A:$O,11,FALSE)=0,"",VLOOKUP($A209,'Annex 2 EHV charges'!$A:$O,11,FALSE)),"")</f>
        <v/>
      </c>
    </row>
    <row r="210" spans="1:8" x14ac:dyDescent="0.35">
      <c r="A210" s="87" t="str">
        <f t="array" ref="A210">IFERROR(INDEX('Annex 2 EHV charges'!$A$11:$A$260, MATCH(0, IF(ISBLANK('Annex 2 EHV charges'!$A$11:$A$260),1, COUNTIF(A$4:$A209, 'Annex 2 EHV charges'!$A$11:$A$260)), 0)),"")</f>
        <v/>
      </c>
      <c r="B210" s="87" t="str">
        <f>IF($A210="","",VLOOKUP($A210,'Annex 2 EHV charges'!$A:$O,2,0))</f>
        <v/>
      </c>
      <c r="C210" s="88" t="str">
        <f>IF($A210="","",VLOOKUP($A210,'Annex 2 EHV charges'!$A:$O,3,0))</f>
        <v/>
      </c>
      <c r="D210" s="87" t="str">
        <f>IF($A210="","",VLOOKUP($A210,'Annex 2 EHV charges'!$A:$O,7,0))</f>
        <v/>
      </c>
      <c r="E210" s="92" t="str">
        <f>IFERROR(IF(VLOOKUP($A210,'Annex 2 EHV charges'!$A:$O,8,FALSE)=0,"",VLOOKUP($A210,'Annex 2 EHV charges'!$A:$O,8,FALSE)),"")</f>
        <v/>
      </c>
      <c r="F210" s="93" t="str">
        <f>IFERROR(IF(VLOOKUP($A210,'Annex 2 EHV charges'!$A:$O,9,FALSE)=0,"",VLOOKUP($A210,'Annex 2 EHV charges'!$A:$O,9,FALSE)),"")</f>
        <v/>
      </c>
      <c r="G210" s="94" t="str">
        <f>IFERROR(IF(VLOOKUP($A210,'Annex 2 EHV charges'!$A:$O,10,FALSE)=0,"",VLOOKUP($A210,'Annex 2 EHV charges'!$A:$O,10,FALSE)),"")</f>
        <v/>
      </c>
      <c r="H210" s="94" t="str">
        <f>IFERROR(IF(VLOOKUP($A210,'Annex 2 EHV charges'!$A:$O,11,FALSE)=0,"",VLOOKUP($A210,'Annex 2 EHV charges'!$A:$O,11,FALSE)),"")</f>
        <v/>
      </c>
    </row>
    <row r="211" spans="1:8" x14ac:dyDescent="0.35">
      <c r="A211" s="87" t="str">
        <f t="array" ref="A211">IFERROR(INDEX('Annex 2 EHV charges'!$A$11:$A$260, MATCH(0, IF(ISBLANK('Annex 2 EHV charges'!$A$11:$A$260),1, COUNTIF(A$4:$A210, 'Annex 2 EHV charges'!$A$11:$A$260)), 0)),"")</f>
        <v/>
      </c>
      <c r="B211" s="87" t="str">
        <f>IF($A211="","",VLOOKUP($A211,'Annex 2 EHV charges'!$A:$O,2,0))</f>
        <v/>
      </c>
      <c r="C211" s="88" t="str">
        <f>IF($A211="","",VLOOKUP($A211,'Annex 2 EHV charges'!$A:$O,3,0))</f>
        <v/>
      </c>
      <c r="D211" s="87" t="str">
        <f>IF($A211="","",VLOOKUP($A211,'Annex 2 EHV charges'!$A:$O,7,0))</f>
        <v/>
      </c>
      <c r="E211" s="92" t="str">
        <f>IFERROR(IF(VLOOKUP($A211,'Annex 2 EHV charges'!$A:$O,8,FALSE)=0,"",VLOOKUP($A211,'Annex 2 EHV charges'!$A:$O,8,FALSE)),"")</f>
        <v/>
      </c>
      <c r="F211" s="93" t="str">
        <f>IFERROR(IF(VLOOKUP($A211,'Annex 2 EHV charges'!$A:$O,9,FALSE)=0,"",VLOOKUP($A211,'Annex 2 EHV charges'!$A:$O,9,FALSE)),"")</f>
        <v/>
      </c>
      <c r="G211" s="94" t="str">
        <f>IFERROR(IF(VLOOKUP($A211,'Annex 2 EHV charges'!$A:$O,10,FALSE)=0,"",VLOOKUP($A211,'Annex 2 EHV charges'!$A:$O,10,FALSE)),"")</f>
        <v/>
      </c>
      <c r="H211" s="94" t="str">
        <f>IFERROR(IF(VLOOKUP($A211,'Annex 2 EHV charges'!$A:$O,11,FALSE)=0,"",VLOOKUP($A211,'Annex 2 EHV charges'!$A:$O,11,FALSE)),"")</f>
        <v/>
      </c>
    </row>
    <row r="212" spans="1:8" x14ac:dyDescent="0.35">
      <c r="A212" s="87" t="str">
        <f t="array" ref="A212">IFERROR(INDEX('Annex 2 EHV charges'!$A$11:$A$260, MATCH(0, IF(ISBLANK('Annex 2 EHV charges'!$A$11:$A$260),1, COUNTIF(A$4:$A211, 'Annex 2 EHV charges'!$A$11:$A$260)), 0)),"")</f>
        <v/>
      </c>
      <c r="B212" s="87" t="str">
        <f>IF($A212="","",VLOOKUP($A212,'Annex 2 EHV charges'!$A:$O,2,0))</f>
        <v/>
      </c>
      <c r="C212" s="88" t="str">
        <f>IF($A212="","",VLOOKUP($A212,'Annex 2 EHV charges'!$A:$O,3,0))</f>
        <v/>
      </c>
      <c r="D212" s="87" t="str">
        <f>IF($A212="","",VLOOKUP($A212,'Annex 2 EHV charges'!$A:$O,7,0))</f>
        <v/>
      </c>
      <c r="E212" s="92" t="str">
        <f>IFERROR(IF(VLOOKUP($A212,'Annex 2 EHV charges'!$A:$O,8,FALSE)=0,"",VLOOKUP($A212,'Annex 2 EHV charges'!$A:$O,8,FALSE)),"")</f>
        <v/>
      </c>
      <c r="F212" s="93" t="str">
        <f>IFERROR(IF(VLOOKUP($A212,'Annex 2 EHV charges'!$A:$O,9,FALSE)=0,"",VLOOKUP($A212,'Annex 2 EHV charges'!$A:$O,9,FALSE)),"")</f>
        <v/>
      </c>
      <c r="G212" s="94" t="str">
        <f>IFERROR(IF(VLOOKUP($A212,'Annex 2 EHV charges'!$A:$O,10,FALSE)=0,"",VLOOKUP($A212,'Annex 2 EHV charges'!$A:$O,10,FALSE)),"")</f>
        <v/>
      </c>
      <c r="H212" s="94" t="str">
        <f>IFERROR(IF(VLOOKUP($A212,'Annex 2 EHV charges'!$A:$O,11,FALSE)=0,"",VLOOKUP($A212,'Annex 2 EHV charges'!$A:$O,11,FALSE)),"")</f>
        <v/>
      </c>
    </row>
    <row r="213" spans="1:8" x14ac:dyDescent="0.35">
      <c r="A213" s="87" t="str">
        <f t="array" ref="A213">IFERROR(INDEX('Annex 2 EHV charges'!$A$11:$A$260, MATCH(0, IF(ISBLANK('Annex 2 EHV charges'!$A$11:$A$260),1, COUNTIF(A$4:$A212, 'Annex 2 EHV charges'!$A$11:$A$260)), 0)),"")</f>
        <v/>
      </c>
      <c r="B213" s="87" t="str">
        <f>IF($A213="","",VLOOKUP($A213,'Annex 2 EHV charges'!$A:$O,2,0))</f>
        <v/>
      </c>
      <c r="C213" s="88" t="str">
        <f>IF($A213="","",VLOOKUP($A213,'Annex 2 EHV charges'!$A:$O,3,0))</f>
        <v/>
      </c>
      <c r="D213" s="87" t="str">
        <f>IF($A213="","",VLOOKUP($A213,'Annex 2 EHV charges'!$A:$O,7,0))</f>
        <v/>
      </c>
      <c r="E213" s="92" t="str">
        <f>IFERROR(IF(VLOOKUP($A213,'Annex 2 EHV charges'!$A:$O,8,FALSE)=0,"",VLOOKUP($A213,'Annex 2 EHV charges'!$A:$O,8,FALSE)),"")</f>
        <v/>
      </c>
      <c r="F213" s="93" t="str">
        <f>IFERROR(IF(VLOOKUP($A213,'Annex 2 EHV charges'!$A:$O,9,FALSE)=0,"",VLOOKUP($A213,'Annex 2 EHV charges'!$A:$O,9,FALSE)),"")</f>
        <v/>
      </c>
      <c r="G213" s="94" t="str">
        <f>IFERROR(IF(VLOOKUP($A213,'Annex 2 EHV charges'!$A:$O,10,FALSE)=0,"",VLOOKUP($A213,'Annex 2 EHV charges'!$A:$O,10,FALSE)),"")</f>
        <v/>
      </c>
      <c r="H213" s="94" t="str">
        <f>IFERROR(IF(VLOOKUP($A213,'Annex 2 EHV charges'!$A:$O,11,FALSE)=0,"",VLOOKUP($A213,'Annex 2 EHV charges'!$A:$O,11,FALSE)),"")</f>
        <v/>
      </c>
    </row>
    <row r="214" spans="1:8" x14ac:dyDescent="0.35">
      <c r="A214" s="87" t="str">
        <f t="array" ref="A214">IFERROR(INDEX('Annex 2 EHV charges'!$A$11:$A$260, MATCH(0, IF(ISBLANK('Annex 2 EHV charges'!$A$11:$A$260),1, COUNTIF(A$4:$A213, 'Annex 2 EHV charges'!$A$11:$A$260)), 0)),"")</f>
        <v/>
      </c>
      <c r="B214" s="87" t="str">
        <f>IF($A214="","",VLOOKUP($A214,'Annex 2 EHV charges'!$A:$O,2,0))</f>
        <v/>
      </c>
      <c r="C214" s="88" t="str">
        <f>IF($A214="","",VLOOKUP($A214,'Annex 2 EHV charges'!$A:$O,3,0))</f>
        <v/>
      </c>
      <c r="D214" s="87" t="str">
        <f>IF($A214="","",VLOOKUP($A214,'Annex 2 EHV charges'!$A:$O,7,0))</f>
        <v/>
      </c>
      <c r="E214" s="92" t="str">
        <f>IFERROR(IF(VLOOKUP($A214,'Annex 2 EHV charges'!$A:$O,8,FALSE)=0,"",VLOOKUP($A214,'Annex 2 EHV charges'!$A:$O,8,FALSE)),"")</f>
        <v/>
      </c>
      <c r="F214" s="93" t="str">
        <f>IFERROR(IF(VLOOKUP($A214,'Annex 2 EHV charges'!$A:$O,9,FALSE)=0,"",VLOOKUP($A214,'Annex 2 EHV charges'!$A:$O,9,FALSE)),"")</f>
        <v/>
      </c>
      <c r="G214" s="94" t="str">
        <f>IFERROR(IF(VLOOKUP($A214,'Annex 2 EHV charges'!$A:$O,10,FALSE)=0,"",VLOOKUP($A214,'Annex 2 EHV charges'!$A:$O,10,FALSE)),"")</f>
        <v/>
      </c>
      <c r="H214" s="94" t="str">
        <f>IFERROR(IF(VLOOKUP($A214,'Annex 2 EHV charges'!$A:$O,11,FALSE)=0,"",VLOOKUP($A214,'Annex 2 EHV charges'!$A:$O,11,FALSE)),"")</f>
        <v/>
      </c>
    </row>
    <row r="215" spans="1:8" x14ac:dyDescent="0.35">
      <c r="A215" s="87" t="str">
        <f t="array" ref="A215">IFERROR(INDEX('Annex 2 EHV charges'!$A$11:$A$260, MATCH(0, IF(ISBLANK('Annex 2 EHV charges'!$A$11:$A$260),1, COUNTIF(A$4:$A214, 'Annex 2 EHV charges'!$A$11:$A$260)), 0)),"")</f>
        <v/>
      </c>
      <c r="B215" s="87" t="str">
        <f>IF($A215="","",VLOOKUP($A215,'Annex 2 EHV charges'!$A:$O,2,0))</f>
        <v/>
      </c>
      <c r="C215" s="88" t="str">
        <f>IF($A215="","",VLOOKUP($A215,'Annex 2 EHV charges'!$A:$O,3,0))</f>
        <v/>
      </c>
      <c r="D215" s="87" t="str">
        <f>IF($A215="","",VLOOKUP($A215,'Annex 2 EHV charges'!$A:$O,7,0))</f>
        <v/>
      </c>
      <c r="E215" s="92" t="str">
        <f>IFERROR(IF(VLOOKUP($A215,'Annex 2 EHV charges'!$A:$O,8,FALSE)=0,"",VLOOKUP($A215,'Annex 2 EHV charges'!$A:$O,8,FALSE)),"")</f>
        <v/>
      </c>
      <c r="F215" s="93" t="str">
        <f>IFERROR(IF(VLOOKUP($A215,'Annex 2 EHV charges'!$A:$O,9,FALSE)=0,"",VLOOKUP($A215,'Annex 2 EHV charges'!$A:$O,9,FALSE)),"")</f>
        <v/>
      </c>
      <c r="G215" s="94" t="str">
        <f>IFERROR(IF(VLOOKUP($A215,'Annex 2 EHV charges'!$A:$O,10,FALSE)=0,"",VLOOKUP($A215,'Annex 2 EHV charges'!$A:$O,10,FALSE)),"")</f>
        <v/>
      </c>
      <c r="H215" s="94" t="str">
        <f>IFERROR(IF(VLOOKUP($A215,'Annex 2 EHV charges'!$A:$O,11,FALSE)=0,"",VLOOKUP($A215,'Annex 2 EHV charges'!$A:$O,11,FALSE)),"")</f>
        <v/>
      </c>
    </row>
    <row r="216" spans="1:8" x14ac:dyDescent="0.35">
      <c r="A216" s="87" t="str">
        <f t="array" ref="A216">IFERROR(INDEX('Annex 2 EHV charges'!$A$11:$A$260, MATCH(0, IF(ISBLANK('Annex 2 EHV charges'!$A$11:$A$260),1, COUNTIF(A$4:$A215, 'Annex 2 EHV charges'!$A$11:$A$260)), 0)),"")</f>
        <v/>
      </c>
      <c r="B216" s="87" t="str">
        <f>IF($A216="","",VLOOKUP($A216,'Annex 2 EHV charges'!$A:$O,2,0))</f>
        <v/>
      </c>
      <c r="C216" s="88" t="str">
        <f>IF($A216="","",VLOOKUP($A216,'Annex 2 EHV charges'!$A:$O,3,0))</f>
        <v/>
      </c>
      <c r="D216" s="87" t="str">
        <f>IF($A216="","",VLOOKUP($A216,'Annex 2 EHV charges'!$A:$O,7,0))</f>
        <v/>
      </c>
      <c r="E216" s="92" t="str">
        <f>IFERROR(IF(VLOOKUP($A216,'Annex 2 EHV charges'!$A:$O,8,FALSE)=0,"",VLOOKUP($A216,'Annex 2 EHV charges'!$A:$O,8,FALSE)),"")</f>
        <v/>
      </c>
      <c r="F216" s="93" t="str">
        <f>IFERROR(IF(VLOOKUP($A216,'Annex 2 EHV charges'!$A:$O,9,FALSE)=0,"",VLOOKUP($A216,'Annex 2 EHV charges'!$A:$O,9,FALSE)),"")</f>
        <v/>
      </c>
      <c r="G216" s="94" t="str">
        <f>IFERROR(IF(VLOOKUP($A216,'Annex 2 EHV charges'!$A:$O,10,FALSE)=0,"",VLOOKUP($A216,'Annex 2 EHV charges'!$A:$O,10,FALSE)),"")</f>
        <v/>
      </c>
      <c r="H216" s="94" t="str">
        <f>IFERROR(IF(VLOOKUP($A216,'Annex 2 EHV charges'!$A:$O,11,FALSE)=0,"",VLOOKUP($A216,'Annex 2 EHV charges'!$A:$O,11,FALSE)),"")</f>
        <v/>
      </c>
    </row>
    <row r="217" spans="1:8" x14ac:dyDescent="0.35">
      <c r="A217" s="87" t="str">
        <f t="array" ref="A217">IFERROR(INDEX('Annex 2 EHV charges'!$A$11:$A$260, MATCH(0, IF(ISBLANK('Annex 2 EHV charges'!$A$11:$A$260),1, COUNTIF(A$4:$A216, 'Annex 2 EHV charges'!$A$11:$A$260)), 0)),"")</f>
        <v/>
      </c>
      <c r="B217" s="87" t="str">
        <f>IF($A217="","",VLOOKUP($A217,'Annex 2 EHV charges'!$A:$O,2,0))</f>
        <v/>
      </c>
      <c r="C217" s="88" t="str">
        <f>IF($A217="","",VLOOKUP($A217,'Annex 2 EHV charges'!$A:$O,3,0))</f>
        <v/>
      </c>
      <c r="D217" s="87" t="str">
        <f>IF($A217="","",VLOOKUP($A217,'Annex 2 EHV charges'!$A:$O,7,0))</f>
        <v/>
      </c>
      <c r="E217" s="92" t="str">
        <f>IFERROR(IF(VLOOKUP($A217,'Annex 2 EHV charges'!$A:$O,8,FALSE)=0,"",VLOOKUP($A217,'Annex 2 EHV charges'!$A:$O,8,FALSE)),"")</f>
        <v/>
      </c>
      <c r="F217" s="93" t="str">
        <f>IFERROR(IF(VLOOKUP($A217,'Annex 2 EHV charges'!$A:$O,9,FALSE)=0,"",VLOOKUP($A217,'Annex 2 EHV charges'!$A:$O,9,FALSE)),"")</f>
        <v/>
      </c>
      <c r="G217" s="94" t="str">
        <f>IFERROR(IF(VLOOKUP($A217,'Annex 2 EHV charges'!$A:$O,10,FALSE)=0,"",VLOOKUP($A217,'Annex 2 EHV charges'!$A:$O,10,FALSE)),"")</f>
        <v/>
      </c>
      <c r="H217" s="94" t="str">
        <f>IFERROR(IF(VLOOKUP($A217,'Annex 2 EHV charges'!$A:$O,11,FALSE)=0,"",VLOOKUP($A217,'Annex 2 EHV charges'!$A:$O,11,FALSE)),"")</f>
        <v/>
      </c>
    </row>
    <row r="218" spans="1:8" x14ac:dyDescent="0.35">
      <c r="A218" s="87" t="str">
        <f t="array" ref="A218">IFERROR(INDEX('Annex 2 EHV charges'!$A$11:$A$260, MATCH(0, IF(ISBLANK('Annex 2 EHV charges'!$A$11:$A$260),1, COUNTIF(A$4:$A217, 'Annex 2 EHV charges'!$A$11:$A$260)), 0)),"")</f>
        <v/>
      </c>
      <c r="B218" s="87" t="str">
        <f>IF($A218="","",VLOOKUP($A218,'Annex 2 EHV charges'!$A:$O,2,0))</f>
        <v/>
      </c>
      <c r="C218" s="88" t="str">
        <f>IF($A218="","",VLOOKUP($A218,'Annex 2 EHV charges'!$A:$O,3,0))</f>
        <v/>
      </c>
      <c r="D218" s="87" t="str">
        <f>IF($A218="","",VLOOKUP($A218,'Annex 2 EHV charges'!$A:$O,7,0))</f>
        <v/>
      </c>
      <c r="E218" s="92" t="str">
        <f>IFERROR(IF(VLOOKUP($A218,'Annex 2 EHV charges'!$A:$O,8,FALSE)=0,"",VLOOKUP($A218,'Annex 2 EHV charges'!$A:$O,8,FALSE)),"")</f>
        <v/>
      </c>
      <c r="F218" s="93" t="str">
        <f>IFERROR(IF(VLOOKUP($A218,'Annex 2 EHV charges'!$A:$O,9,FALSE)=0,"",VLOOKUP($A218,'Annex 2 EHV charges'!$A:$O,9,FALSE)),"")</f>
        <v/>
      </c>
      <c r="G218" s="94" t="str">
        <f>IFERROR(IF(VLOOKUP($A218,'Annex 2 EHV charges'!$A:$O,10,FALSE)=0,"",VLOOKUP($A218,'Annex 2 EHV charges'!$A:$O,10,FALSE)),"")</f>
        <v/>
      </c>
      <c r="H218" s="94" t="str">
        <f>IFERROR(IF(VLOOKUP($A218,'Annex 2 EHV charges'!$A:$O,11,FALSE)=0,"",VLOOKUP($A218,'Annex 2 EHV charges'!$A:$O,11,FALSE)),"")</f>
        <v/>
      </c>
    </row>
    <row r="219" spans="1:8" x14ac:dyDescent="0.35">
      <c r="A219" s="87" t="str">
        <f t="array" ref="A219">IFERROR(INDEX('Annex 2 EHV charges'!$A$11:$A$260, MATCH(0, IF(ISBLANK('Annex 2 EHV charges'!$A$11:$A$260),1, COUNTIF(A$4:$A218, 'Annex 2 EHV charges'!$A$11:$A$260)), 0)),"")</f>
        <v/>
      </c>
      <c r="B219" s="87" t="str">
        <f>IF($A219="","",VLOOKUP($A219,'Annex 2 EHV charges'!$A:$O,2,0))</f>
        <v/>
      </c>
      <c r="C219" s="88" t="str">
        <f>IF($A219="","",VLOOKUP($A219,'Annex 2 EHV charges'!$A:$O,3,0))</f>
        <v/>
      </c>
      <c r="D219" s="87" t="str">
        <f>IF($A219="","",VLOOKUP($A219,'Annex 2 EHV charges'!$A:$O,7,0))</f>
        <v/>
      </c>
      <c r="E219" s="92" t="str">
        <f>IFERROR(IF(VLOOKUP($A219,'Annex 2 EHV charges'!$A:$O,8,FALSE)=0,"",VLOOKUP($A219,'Annex 2 EHV charges'!$A:$O,8,FALSE)),"")</f>
        <v/>
      </c>
      <c r="F219" s="93" t="str">
        <f>IFERROR(IF(VLOOKUP($A219,'Annex 2 EHV charges'!$A:$O,9,FALSE)=0,"",VLOOKUP($A219,'Annex 2 EHV charges'!$A:$O,9,FALSE)),"")</f>
        <v/>
      </c>
      <c r="G219" s="94" t="str">
        <f>IFERROR(IF(VLOOKUP($A219,'Annex 2 EHV charges'!$A:$O,10,FALSE)=0,"",VLOOKUP($A219,'Annex 2 EHV charges'!$A:$O,10,FALSE)),"")</f>
        <v/>
      </c>
      <c r="H219" s="94" t="str">
        <f>IFERROR(IF(VLOOKUP($A219,'Annex 2 EHV charges'!$A:$O,11,FALSE)=0,"",VLOOKUP($A219,'Annex 2 EHV charges'!$A:$O,11,FALSE)),"")</f>
        <v/>
      </c>
    </row>
    <row r="220" spans="1:8" x14ac:dyDescent="0.35">
      <c r="A220" s="87" t="str">
        <f t="array" ref="A220">IFERROR(INDEX('Annex 2 EHV charges'!$A$11:$A$260, MATCH(0, IF(ISBLANK('Annex 2 EHV charges'!$A$11:$A$260),1, COUNTIF(A$4:$A219, 'Annex 2 EHV charges'!$A$11:$A$260)), 0)),"")</f>
        <v/>
      </c>
      <c r="B220" s="87" t="str">
        <f>IF($A220="","",VLOOKUP($A220,'Annex 2 EHV charges'!$A:$O,2,0))</f>
        <v/>
      </c>
      <c r="C220" s="88" t="str">
        <f>IF($A220="","",VLOOKUP($A220,'Annex 2 EHV charges'!$A:$O,3,0))</f>
        <v/>
      </c>
      <c r="D220" s="87" t="str">
        <f>IF($A220="","",VLOOKUP($A220,'Annex 2 EHV charges'!$A:$O,7,0))</f>
        <v/>
      </c>
      <c r="E220" s="92" t="str">
        <f>IFERROR(IF(VLOOKUP($A220,'Annex 2 EHV charges'!$A:$O,8,FALSE)=0,"",VLOOKUP($A220,'Annex 2 EHV charges'!$A:$O,8,FALSE)),"")</f>
        <v/>
      </c>
      <c r="F220" s="93" t="str">
        <f>IFERROR(IF(VLOOKUP($A220,'Annex 2 EHV charges'!$A:$O,9,FALSE)=0,"",VLOOKUP($A220,'Annex 2 EHV charges'!$A:$O,9,FALSE)),"")</f>
        <v/>
      </c>
      <c r="G220" s="94" t="str">
        <f>IFERROR(IF(VLOOKUP($A220,'Annex 2 EHV charges'!$A:$O,10,FALSE)=0,"",VLOOKUP($A220,'Annex 2 EHV charges'!$A:$O,10,FALSE)),"")</f>
        <v/>
      </c>
      <c r="H220" s="94" t="str">
        <f>IFERROR(IF(VLOOKUP($A220,'Annex 2 EHV charges'!$A:$O,11,FALSE)=0,"",VLOOKUP($A220,'Annex 2 EHV charges'!$A:$O,11,FALSE)),"")</f>
        <v/>
      </c>
    </row>
    <row r="221" spans="1:8" x14ac:dyDescent="0.35">
      <c r="A221" s="87" t="str">
        <f t="array" ref="A221">IFERROR(INDEX('Annex 2 EHV charges'!$A$11:$A$260, MATCH(0, IF(ISBLANK('Annex 2 EHV charges'!$A$11:$A$260),1, COUNTIF(A$4:$A220, 'Annex 2 EHV charges'!$A$11:$A$260)), 0)),"")</f>
        <v/>
      </c>
      <c r="B221" s="87" t="str">
        <f>IF($A221="","",VLOOKUP($A221,'Annex 2 EHV charges'!$A:$O,2,0))</f>
        <v/>
      </c>
      <c r="C221" s="88" t="str">
        <f>IF($A221="","",VLOOKUP($A221,'Annex 2 EHV charges'!$A:$O,3,0))</f>
        <v/>
      </c>
      <c r="D221" s="87" t="str">
        <f>IF($A221="","",VLOOKUP($A221,'Annex 2 EHV charges'!$A:$O,7,0))</f>
        <v/>
      </c>
      <c r="E221" s="92" t="str">
        <f>IFERROR(IF(VLOOKUP($A221,'Annex 2 EHV charges'!$A:$O,8,FALSE)=0,"",VLOOKUP($A221,'Annex 2 EHV charges'!$A:$O,8,FALSE)),"")</f>
        <v/>
      </c>
      <c r="F221" s="93" t="str">
        <f>IFERROR(IF(VLOOKUP($A221,'Annex 2 EHV charges'!$A:$O,9,FALSE)=0,"",VLOOKUP($A221,'Annex 2 EHV charges'!$A:$O,9,FALSE)),"")</f>
        <v/>
      </c>
      <c r="G221" s="94" t="str">
        <f>IFERROR(IF(VLOOKUP($A221,'Annex 2 EHV charges'!$A:$O,10,FALSE)=0,"",VLOOKUP($A221,'Annex 2 EHV charges'!$A:$O,10,FALSE)),"")</f>
        <v/>
      </c>
      <c r="H221" s="94" t="str">
        <f>IFERROR(IF(VLOOKUP($A221,'Annex 2 EHV charges'!$A:$O,11,FALSE)=0,"",VLOOKUP($A221,'Annex 2 EHV charges'!$A:$O,11,FALSE)),"")</f>
        <v/>
      </c>
    </row>
    <row r="222" spans="1:8" x14ac:dyDescent="0.35">
      <c r="A222" s="87" t="str">
        <f t="array" ref="A222">IFERROR(INDEX('Annex 2 EHV charges'!$A$11:$A$260, MATCH(0, IF(ISBLANK('Annex 2 EHV charges'!$A$11:$A$260),1, COUNTIF(A$4:$A221, 'Annex 2 EHV charges'!$A$11:$A$260)), 0)),"")</f>
        <v/>
      </c>
      <c r="B222" s="87" t="str">
        <f>IF($A222="","",VLOOKUP($A222,'Annex 2 EHV charges'!$A:$O,2,0))</f>
        <v/>
      </c>
      <c r="C222" s="88" t="str">
        <f>IF($A222="","",VLOOKUP($A222,'Annex 2 EHV charges'!$A:$O,3,0))</f>
        <v/>
      </c>
      <c r="D222" s="87" t="str">
        <f>IF($A222="","",VLOOKUP($A222,'Annex 2 EHV charges'!$A:$O,7,0))</f>
        <v/>
      </c>
      <c r="E222" s="92" t="str">
        <f>IFERROR(IF(VLOOKUP($A222,'Annex 2 EHV charges'!$A:$O,8,FALSE)=0,"",VLOOKUP($A222,'Annex 2 EHV charges'!$A:$O,8,FALSE)),"")</f>
        <v/>
      </c>
      <c r="F222" s="93" t="str">
        <f>IFERROR(IF(VLOOKUP($A222,'Annex 2 EHV charges'!$A:$O,9,FALSE)=0,"",VLOOKUP($A222,'Annex 2 EHV charges'!$A:$O,9,FALSE)),"")</f>
        <v/>
      </c>
      <c r="G222" s="94" t="str">
        <f>IFERROR(IF(VLOOKUP($A222,'Annex 2 EHV charges'!$A:$O,10,FALSE)=0,"",VLOOKUP($A222,'Annex 2 EHV charges'!$A:$O,10,FALSE)),"")</f>
        <v/>
      </c>
      <c r="H222" s="94" t="str">
        <f>IFERROR(IF(VLOOKUP($A222,'Annex 2 EHV charges'!$A:$O,11,FALSE)=0,"",VLOOKUP($A222,'Annex 2 EHV charges'!$A:$O,11,FALSE)),"")</f>
        <v/>
      </c>
    </row>
    <row r="223" spans="1:8" x14ac:dyDescent="0.35">
      <c r="A223" s="87" t="str">
        <f t="array" ref="A223">IFERROR(INDEX('Annex 2 EHV charges'!$A$11:$A$260, MATCH(0, IF(ISBLANK('Annex 2 EHV charges'!$A$11:$A$260),1, COUNTIF(A$4:$A222, 'Annex 2 EHV charges'!$A$11:$A$260)), 0)),"")</f>
        <v/>
      </c>
      <c r="B223" s="87" t="str">
        <f>IF($A223="","",VLOOKUP($A223,'Annex 2 EHV charges'!$A:$O,2,0))</f>
        <v/>
      </c>
      <c r="C223" s="88" t="str">
        <f>IF($A223="","",VLOOKUP($A223,'Annex 2 EHV charges'!$A:$O,3,0))</f>
        <v/>
      </c>
      <c r="D223" s="87" t="str">
        <f>IF($A223="","",VLOOKUP($A223,'Annex 2 EHV charges'!$A:$O,7,0))</f>
        <v/>
      </c>
      <c r="E223" s="92" t="str">
        <f>IFERROR(IF(VLOOKUP($A223,'Annex 2 EHV charges'!$A:$O,8,FALSE)=0,"",VLOOKUP($A223,'Annex 2 EHV charges'!$A:$O,8,FALSE)),"")</f>
        <v/>
      </c>
      <c r="F223" s="93" t="str">
        <f>IFERROR(IF(VLOOKUP($A223,'Annex 2 EHV charges'!$A:$O,9,FALSE)=0,"",VLOOKUP($A223,'Annex 2 EHV charges'!$A:$O,9,FALSE)),"")</f>
        <v/>
      </c>
      <c r="G223" s="94" t="str">
        <f>IFERROR(IF(VLOOKUP($A223,'Annex 2 EHV charges'!$A:$O,10,FALSE)=0,"",VLOOKUP($A223,'Annex 2 EHV charges'!$A:$O,10,FALSE)),"")</f>
        <v/>
      </c>
      <c r="H223" s="94" t="str">
        <f>IFERROR(IF(VLOOKUP($A223,'Annex 2 EHV charges'!$A:$O,11,FALSE)=0,"",VLOOKUP($A223,'Annex 2 EHV charges'!$A:$O,11,FALSE)),"")</f>
        <v/>
      </c>
    </row>
    <row r="224" spans="1:8" x14ac:dyDescent="0.35">
      <c r="A224" s="87" t="str">
        <f t="array" ref="A224">IFERROR(INDEX('Annex 2 EHV charges'!$A$11:$A$260, MATCH(0, IF(ISBLANK('Annex 2 EHV charges'!$A$11:$A$260),1, COUNTIF(A$4:$A223, 'Annex 2 EHV charges'!$A$11:$A$260)), 0)),"")</f>
        <v/>
      </c>
      <c r="B224" s="87" t="str">
        <f>IF($A224="","",VLOOKUP($A224,'Annex 2 EHV charges'!$A:$O,2,0))</f>
        <v/>
      </c>
      <c r="C224" s="88" t="str">
        <f>IF($A224="","",VLOOKUP($A224,'Annex 2 EHV charges'!$A:$O,3,0))</f>
        <v/>
      </c>
      <c r="D224" s="87" t="str">
        <f>IF($A224="","",VLOOKUP($A224,'Annex 2 EHV charges'!$A:$O,7,0))</f>
        <v/>
      </c>
      <c r="E224" s="92" t="str">
        <f>IFERROR(IF(VLOOKUP($A224,'Annex 2 EHV charges'!$A:$O,8,FALSE)=0,"",VLOOKUP($A224,'Annex 2 EHV charges'!$A:$O,8,FALSE)),"")</f>
        <v/>
      </c>
      <c r="F224" s="93" t="str">
        <f>IFERROR(IF(VLOOKUP($A224,'Annex 2 EHV charges'!$A:$O,9,FALSE)=0,"",VLOOKUP($A224,'Annex 2 EHV charges'!$A:$O,9,FALSE)),"")</f>
        <v/>
      </c>
      <c r="G224" s="94" t="str">
        <f>IFERROR(IF(VLOOKUP($A224,'Annex 2 EHV charges'!$A:$O,10,FALSE)=0,"",VLOOKUP($A224,'Annex 2 EHV charges'!$A:$O,10,FALSE)),"")</f>
        <v/>
      </c>
      <c r="H224" s="94" t="str">
        <f>IFERROR(IF(VLOOKUP($A224,'Annex 2 EHV charges'!$A:$O,11,FALSE)=0,"",VLOOKUP($A224,'Annex 2 EHV charges'!$A:$O,11,FALSE)),"")</f>
        <v/>
      </c>
    </row>
    <row r="225" spans="1:8" x14ac:dyDescent="0.35">
      <c r="A225" s="87" t="str">
        <f t="array" ref="A225">IFERROR(INDEX('Annex 2 EHV charges'!$A$11:$A$260, MATCH(0, IF(ISBLANK('Annex 2 EHV charges'!$A$11:$A$260),1, COUNTIF(A$4:$A224, 'Annex 2 EHV charges'!$A$11:$A$260)), 0)),"")</f>
        <v/>
      </c>
      <c r="B225" s="87" t="str">
        <f>IF($A225="","",VLOOKUP($A225,'Annex 2 EHV charges'!$A:$O,2,0))</f>
        <v/>
      </c>
      <c r="C225" s="88" t="str">
        <f>IF($A225="","",VLOOKUP($A225,'Annex 2 EHV charges'!$A:$O,3,0))</f>
        <v/>
      </c>
      <c r="D225" s="87" t="str">
        <f>IF($A225="","",VLOOKUP($A225,'Annex 2 EHV charges'!$A:$O,7,0))</f>
        <v/>
      </c>
      <c r="E225" s="92" t="str">
        <f>IFERROR(IF(VLOOKUP($A225,'Annex 2 EHV charges'!$A:$O,8,FALSE)=0,"",VLOOKUP($A225,'Annex 2 EHV charges'!$A:$O,8,FALSE)),"")</f>
        <v/>
      </c>
      <c r="F225" s="93" t="str">
        <f>IFERROR(IF(VLOOKUP($A225,'Annex 2 EHV charges'!$A:$O,9,FALSE)=0,"",VLOOKUP($A225,'Annex 2 EHV charges'!$A:$O,9,FALSE)),"")</f>
        <v/>
      </c>
      <c r="G225" s="94" t="str">
        <f>IFERROR(IF(VLOOKUP($A225,'Annex 2 EHV charges'!$A:$O,10,FALSE)=0,"",VLOOKUP($A225,'Annex 2 EHV charges'!$A:$O,10,FALSE)),"")</f>
        <v/>
      </c>
      <c r="H225" s="94" t="str">
        <f>IFERROR(IF(VLOOKUP($A225,'Annex 2 EHV charges'!$A:$O,11,FALSE)=0,"",VLOOKUP($A225,'Annex 2 EHV charges'!$A:$O,11,FALSE)),"")</f>
        <v/>
      </c>
    </row>
    <row r="226" spans="1:8" x14ac:dyDescent="0.35">
      <c r="A226" s="87" t="str">
        <f t="array" ref="A226">IFERROR(INDEX('Annex 2 EHV charges'!$A$11:$A$260, MATCH(0, IF(ISBLANK('Annex 2 EHV charges'!$A$11:$A$260),1, COUNTIF(A$4:$A225, 'Annex 2 EHV charges'!$A$11:$A$260)), 0)),"")</f>
        <v/>
      </c>
      <c r="B226" s="87" t="str">
        <f>IF($A226="","",VLOOKUP($A226,'Annex 2 EHV charges'!$A:$O,2,0))</f>
        <v/>
      </c>
      <c r="C226" s="88" t="str">
        <f>IF($A226="","",VLOOKUP($A226,'Annex 2 EHV charges'!$A:$O,3,0))</f>
        <v/>
      </c>
      <c r="D226" s="87" t="str">
        <f>IF($A226="","",VLOOKUP($A226,'Annex 2 EHV charges'!$A:$O,7,0))</f>
        <v/>
      </c>
      <c r="E226" s="92" t="str">
        <f>IFERROR(IF(VLOOKUP($A226,'Annex 2 EHV charges'!$A:$O,8,FALSE)=0,"",VLOOKUP($A226,'Annex 2 EHV charges'!$A:$O,8,FALSE)),"")</f>
        <v/>
      </c>
      <c r="F226" s="93" t="str">
        <f>IFERROR(IF(VLOOKUP($A226,'Annex 2 EHV charges'!$A:$O,9,FALSE)=0,"",VLOOKUP($A226,'Annex 2 EHV charges'!$A:$O,9,FALSE)),"")</f>
        <v/>
      </c>
      <c r="G226" s="94" t="str">
        <f>IFERROR(IF(VLOOKUP($A226,'Annex 2 EHV charges'!$A:$O,10,FALSE)=0,"",VLOOKUP($A226,'Annex 2 EHV charges'!$A:$O,10,FALSE)),"")</f>
        <v/>
      </c>
      <c r="H226" s="94" t="str">
        <f>IFERROR(IF(VLOOKUP($A226,'Annex 2 EHV charges'!$A:$O,11,FALSE)=0,"",VLOOKUP($A226,'Annex 2 EHV charges'!$A:$O,11,FALSE)),"")</f>
        <v/>
      </c>
    </row>
    <row r="227" spans="1:8" x14ac:dyDescent="0.35">
      <c r="A227" s="87" t="str">
        <f t="array" ref="A227">IFERROR(INDEX('Annex 2 EHV charges'!$A$11:$A$260, MATCH(0, IF(ISBLANK('Annex 2 EHV charges'!$A$11:$A$260),1, COUNTIF(A$4:$A226, 'Annex 2 EHV charges'!$A$11:$A$260)), 0)),"")</f>
        <v/>
      </c>
      <c r="B227" s="87" t="str">
        <f>IF($A227="","",VLOOKUP($A227,'Annex 2 EHV charges'!$A:$O,2,0))</f>
        <v/>
      </c>
      <c r="C227" s="88" t="str">
        <f>IF($A227="","",VLOOKUP($A227,'Annex 2 EHV charges'!$A:$O,3,0))</f>
        <v/>
      </c>
      <c r="D227" s="87" t="str">
        <f>IF($A227="","",VLOOKUP($A227,'Annex 2 EHV charges'!$A:$O,7,0))</f>
        <v/>
      </c>
      <c r="E227" s="92" t="str">
        <f>IFERROR(IF(VLOOKUP($A227,'Annex 2 EHV charges'!$A:$O,8,FALSE)=0,"",VLOOKUP($A227,'Annex 2 EHV charges'!$A:$O,8,FALSE)),"")</f>
        <v/>
      </c>
      <c r="F227" s="93" t="str">
        <f>IFERROR(IF(VLOOKUP($A227,'Annex 2 EHV charges'!$A:$O,9,FALSE)=0,"",VLOOKUP($A227,'Annex 2 EHV charges'!$A:$O,9,FALSE)),"")</f>
        <v/>
      </c>
      <c r="G227" s="94" t="str">
        <f>IFERROR(IF(VLOOKUP($A227,'Annex 2 EHV charges'!$A:$O,10,FALSE)=0,"",VLOOKUP($A227,'Annex 2 EHV charges'!$A:$O,10,FALSE)),"")</f>
        <v/>
      </c>
      <c r="H227" s="94" t="str">
        <f>IFERROR(IF(VLOOKUP($A227,'Annex 2 EHV charges'!$A:$O,11,FALSE)=0,"",VLOOKUP($A227,'Annex 2 EHV charges'!$A:$O,11,FALSE)),"")</f>
        <v/>
      </c>
    </row>
    <row r="228" spans="1:8" x14ac:dyDescent="0.35">
      <c r="A228" s="87" t="str">
        <f t="array" ref="A228">IFERROR(INDEX('Annex 2 EHV charges'!$A$11:$A$260, MATCH(0, IF(ISBLANK('Annex 2 EHV charges'!$A$11:$A$260),1, COUNTIF(A$4:$A227, 'Annex 2 EHV charges'!$A$11:$A$260)), 0)),"")</f>
        <v/>
      </c>
      <c r="B228" s="87" t="str">
        <f>IF($A228="","",VLOOKUP($A228,'Annex 2 EHV charges'!$A:$O,2,0))</f>
        <v/>
      </c>
      <c r="C228" s="88" t="str">
        <f>IF($A228="","",VLOOKUP($A228,'Annex 2 EHV charges'!$A:$O,3,0))</f>
        <v/>
      </c>
      <c r="D228" s="87" t="str">
        <f>IF($A228="","",VLOOKUP($A228,'Annex 2 EHV charges'!$A:$O,7,0))</f>
        <v/>
      </c>
      <c r="E228" s="92" t="str">
        <f>IFERROR(IF(VLOOKUP($A228,'Annex 2 EHV charges'!$A:$O,8,FALSE)=0,"",VLOOKUP($A228,'Annex 2 EHV charges'!$A:$O,8,FALSE)),"")</f>
        <v/>
      </c>
      <c r="F228" s="93" t="str">
        <f>IFERROR(IF(VLOOKUP($A228,'Annex 2 EHV charges'!$A:$O,9,FALSE)=0,"",VLOOKUP($A228,'Annex 2 EHV charges'!$A:$O,9,FALSE)),"")</f>
        <v/>
      </c>
      <c r="G228" s="94" t="str">
        <f>IFERROR(IF(VLOOKUP($A228,'Annex 2 EHV charges'!$A:$O,10,FALSE)=0,"",VLOOKUP($A228,'Annex 2 EHV charges'!$A:$O,10,FALSE)),"")</f>
        <v/>
      </c>
      <c r="H228" s="94" t="str">
        <f>IFERROR(IF(VLOOKUP($A228,'Annex 2 EHV charges'!$A:$O,11,FALSE)=0,"",VLOOKUP($A228,'Annex 2 EHV charges'!$A:$O,11,FALSE)),"")</f>
        <v/>
      </c>
    </row>
    <row r="229" spans="1:8" x14ac:dyDescent="0.35">
      <c r="A229" s="87" t="str">
        <f t="array" ref="A229">IFERROR(INDEX('Annex 2 EHV charges'!$A$11:$A$260, MATCH(0, IF(ISBLANK('Annex 2 EHV charges'!$A$11:$A$260),1, COUNTIF(A$4:$A228, 'Annex 2 EHV charges'!$A$11:$A$260)), 0)),"")</f>
        <v/>
      </c>
      <c r="B229" s="87" t="str">
        <f>IF($A229="","",VLOOKUP($A229,'Annex 2 EHV charges'!$A:$O,2,0))</f>
        <v/>
      </c>
      <c r="C229" s="88" t="str">
        <f>IF($A229="","",VLOOKUP($A229,'Annex 2 EHV charges'!$A:$O,3,0))</f>
        <v/>
      </c>
      <c r="D229" s="87" t="str">
        <f>IF($A229="","",VLOOKUP($A229,'Annex 2 EHV charges'!$A:$O,7,0))</f>
        <v/>
      </c>
      <c r="E229" s="92" t="str">
        <f>IFERROR(IF(VLOOKUP($A229,'Annex 2 EHV charges'!$A:$O,8,FALSE)=0,"",VLOOKUP($A229,'Annex 2 EHV charges'!$A:$O,8,FALSE)),"")</f>
        <v/>
      </c>
      <c r="F229" s="93" t="str">
        <f>IFERROR(IF(VLOOKUP($A229,'Annex 2 EHV charges'!$A:$O,9,FALSE)=0,"",VLOOKUP($A229,'Annex 2 EHV charges'!$A:$O,9,FALSE)),"")</f>
        <v/>
      </c>
      <c r="G229" s="94" t="str">
        <f>IFERROR(IF(VLOOKUP($A229,'Annex 2 EHV charges'!$A:$O,10,FALSE)=0,"",VLOOKUP($A229,'Annex 2 EHV charges'!$A:$O,10,FALSE)),"")</f>
        <v/>
      </c>
      <c r="H229" s="94" t="str">
        <f>IFERROR(IF(VLOOKUP($A229,'Annex 2 EHV charges'!$A:$O,11,FALSE)=0,"",VLOOKUP($A229,'Annex 2 EHV charges'!$A:$O,11,FALSE)),"")</f>
        <v/>
      </c>
    </row>
    <row r="230" spans="1:8" x14ac:dyDescent="0.35">
      <c r="A230" s="87" t="str">
        <f t="array" ref="A230">IFERROR(INDEX('Annex 2 EHV charges'!$A$11:$A$260, MATCH(0, IF(ISBLANK('Annex 2 EHV charges'!$A$11:$A$260),1, COUNTIF(A$4:$A229, 'Annex 2 EHV charges'!$A$11:$A$260)), 0)),"")</f>
        <v/>
      </c>
      <c r="B230" s="87" t="str">
        <f>IF($A230="","",VLOOKUP($A230,'Annex 2 EHV charges'!$A:$O,2,0))</f>
        <v/>
      </c>
      <c r="C230" s="88" t="str">
        <f>IF($A230="","",VLOOKUP($A230,'Annex 2 EHV charges'!$A:$O,3,0))</f>
        <v/>
      </c>
      <c r="D230" s="87" t="str">
        <f>IF($A230="","",VLOOKUP($A230,'Annex 2 EHV charges'!$A:$O,7,0))</f>
        <v/>
      </c>
      <c r="E230" s="92" t="str">
        <f>IFERROR(IF(VLOOKUP($A230,'Annex 2 EHV charges'!$A:$O,8,FALSE)=0,"",VLOOKUP($A230,'Annex 2 EHV charges'!$A:$O,8,FALSE)),"")</f>
        <v/>
      </c>
      <c r="F230" s="93" t="str">
        <f>IFERROR(IF(VLOOKUP($A230,'Annex 2 EHV charges'!$A:$O,9,FALSE)=0,"",VLOOKUP($A230,'Annex 2 EHV charges'!$A:$O,9,FALSE)),"")</f>
        <v/>
      </c>
      <c r="G230" s="94" t="str">
        <f>IFERROR(IF(VLOOKUP($A230,'Annex 2 EHV charges'!$A:$O,10,FALSE)=0,"",VLOOKUP($A230,'Annex 2 EHV charges'!$A:$O,10,FALSE)),"")</f>
        <v/>
      </c>
      <c r="H230" s="94" t="str">
        <f>IFERROR(IF(VLOOKUP($A230,'Annex 2 EHV charges'!$A:$O,11,FALSE)=0,"",VLOOKUP($A230,'Annex 2 EHV charges'!$A:$O,11,FALSE)),"")</f>
        <v/>
      </c>
    </row>
    <row r="231" spans="1:8" x14ac:dyDescent="0.35">
      <c r="A231" s="87" t="str">
        <f t="array" ref="A231">IFERROR(INDEX('Annex 2 EHV charges'!$A$11:$A$260, MATCH(0, IF(ISBLANK('Annex 2 EHV charges'!$A$11:$A$260),1, COUNTIF(A$4:$A230, 'Annex 2 EHV charges'!$A$11:$A$260)), 0)),"")</f>
        <v/>
      </c>
      <c r="B231" s="87" t="str">
        <f>IF($A231="","",VLOOKUP($A231,'Annex 2 EHV charges'!$A:$O,2,0))</f>
        <v/>
      </c>
      <c r="C231" s="88" t="str">
        <f>IF($A231="","",VLOOKUP($A231,'Annex 2 EHV charges'!$A:$O,3,0))</f>
        <v/>
      </c>
      <c r="D231" s="87" t="str">
        <f>IF($A231="","",VLOOKUP($A231,'Annex 2 EHV charges'!$A:$O,7,0))</f>
        <v/>
      </c>
      <c r="E231" s="92" t="str">
        <f>IFERROR(IF(VLOOKUP($A231,'Annex 2 EHV charges'!$A:$O,8,FALSE)=0,"",VLOOKUP($A231,'Annex 2 EHV charges'!$A:$O,8,FALSE)),"")</f>
        <v/>
      </c>
      <c r="F231" s="93" t="str">
        <f>IFERROR(IF(VLOOKUP($A231,'Annex 2 EHV charges'!$A:$O,9,FALSE)=0,"",VLOOKUP($A231,'Annex 2 EHV charges'!$A:$O,9,FALSE)),"")</f>
        <v/>
      </c>
      <c r="G231" s="94" t="str">
        <f>IFERROR(IF(VLOOKUP($A231,'Annex 2 EHV charges'!$A:$O,10,FALSE)=0,"",VLOOKUP($A231,'Annex 2 EHV charges'!$A:$O,10,FALSE)),"")</f>
        <v/>
      </c>
      <c r="H231" s="94" t="str">
        <f>IFERROR(IF(VLOOKUP($A231,'Annex 2 EHV charges'!$A:$O,11,FALSE)=0,"",VLOOKUP($A231,'Annex 2 EHV charges'!$A:$O,11,FALSE)),"")</f>
        <v/>
      </c>
    </row>
    <row r="232" spans="1:8" x14ac:dyDescent="0.35">
      <c r="A232" s="87" t="str">
        <f t="array" ref="A232">IFERROR(INDEX('Annex 2 EHV charges'!$A$11:$A$260, MATCH(0, IF(ISBLANK('Annex 2 EHV charges'!$A$11:$A$260),1, COUNTIF(A$4:$A231, 'Annex 2 EHV charges'!$A$11:$A$260)), 0)),"")</f>
        <v/>
      </c>
      <c r="B232" s="87" t="str">
        <f>IF($A232="","",VLOOKUP($A232,'Annex 2 EHV charges'!$A:$O,2,0))</f>
        <v/>
      </c>
      <c r="C232" s="88" t="str">
        <f>IF($A232="","",VLOOKUP($A232,'Annex 2 EHV charges'!$A:$O,3,0))</f>
        <v/>
      </c>
      <c r="D232" s="87" t="str">
        <f>IF($A232="","",VLOOKUP($A232,'Annex 2 EHV charges'!$A:$O,7,0))</f>
        <v/>
      </c>
      <c r="E232" s="92" t="str">
        <f>IFERROR(IF(VLOOKUP($A232,'Annex 2 EHV charges'!$A:$O,8,FALSE)=0,"",VLOOKUP($A232,'Annex 2 EHV charges'!$A:$O,8,FALSE)),"")</f>
        <v/>
      </c>
      <c r="F232" s="93" t="str">
        <f>IFERROR(IF(VLOOKUP($A232,'Annex 2 EHV charges'!$A:$O,9,FALSE)=0,"",VLOOKUP($A232,'Annex 2 EHV charges'!$A:$O,9,FALSE)),"")</f>
        <v/>
      </c>
      <c r="G232" s="94" t="str">
        <f>IFERROR(IF(VLOOKUP($A232,'Annex 2 EHV charges'!$A:$O,10,FALSE)=0,"",VLOOKUP($A232,'Annex 2 EHV charges'!$A:$O,10,FALSE)),"")</f>
        <v/>
      </c>
      <c r="H232" s="94" t="str">
        <f>IFERROR(IF(VLOOKUP($A232,'Annex 2 EHV charges'!$A:$O,11,FALSE)=0,"",VLOOKUP($A232,'Annex 2 EHV charges'!$A:$O,11,FALSE)),"")</f>
        <v/>
      </c>
    </row>
    <row r="233" spans="1:8" x14ac:dyDescent="0.35">
      <c r="A233" s="87" t="str">
        <f t="array" ref="A233">IFERROR(INDEX('Annex 2 EHV charges'!$A$11:$A$260, MATCH(0, IF(ISBLANK('Annex 2 EHV charges'!$A$11:$A$260),1, COUNTIF(A$4:$A232, 'Annex 2 EHV charges'!$A$11:$A$260)), 0)),"")</f>
        <v/>
      </c>
      <c r="B233" s="87" t="str">
        <f>IF($A233="","",VLOOKUP($A233,'Annex 2 EHV charges'!$A:$O,2,0))</f>
        <v/>
      </c>
      <c r="C233" s="88" t="str">
        <f>IF($A233="","",VLOOKUP($A233,'Annex 2 EHV charges'!$A:$O,3,0))</f>
        <v/>
      </c>
      <c r="D233" s="87" t="str">
        <f>IF($A233="","",VLOOKUP($A233,'Annex 2 EHV charges'!$A:$O,7,0))</f>
        <v/>
      </c>
      <c r="E233" s="92" t="str">
        <f>IFERROR(IF(VLOOKUP($A233,'Annex 2 EHV charges'!$A:$O,8,FALSE)=0,"",VLOOKUP($A233,'Annex 2 EHV charges'!$A:$O,8,FALSE)),"")</f>
        <v/>
      </c>
      <c r="F233" s="93" t="str">
        <f>IFERROR(IF(VLOOKUP($A233,'Annex 2 EHV charges'!$A:$O,9,FALSE)=0,"",VLOOKUP($A233,'Annex 2 EHV charges'!$A:$O,9,FALSE)),"")</f>
        <v/>
      </c>
      <c r="G233" s="94" t="str">
        <f>IFERROR(IF(VLOOKUP($A233,'Annex 2 EHV charges'!$A:$O,10,FALSE)=0,"",VLOOKUP($A233,'Annex 2 EHV charges'!$A:$O,10,FALSE)),"")</f>
        <v/>
      </c>
      <c r="H233" s="94" t="str">
        <f>IFERROR(IF(VLOOKUP($A233,'Annex 2 EHV charges'!$A:$O,11,FALSE)=0,"",VLOOKUP($A233,'Annex 2 EHV charges'!$A:$O,11,FALSE)),"")</f>
        <v/>
      </c>
    </row>
    <row r="234" spans="1:8" x14ac:dyDescent="0.35">
      <c r="A234" s="87" t="str">
        <f t="array" ref="A234">IFERROR(INDEX('Annex 2 EHV charges'!$A$11:$A$260, MATCH(0, IF(ISBLANK('Annex 2 EHV charges'!$A$11:$A$260),1, COUNTIF(A$4:$A233, 'Annex 2 EHV charges'!$A$11:$A$260)), 0)),"")</f>
        <v/>
      </c>
      <c r="B234" s="87" t="str">
        <f>IF($A234="","",VLOOKUP($A234,'Annex 2 EHV charges'!$A:$O,2,0))</f>
        <v/>
      </c>
      <c r="C234" s="88" t="str">
        <f>IF($A234="","",VLOOKUP($A234,'Annex 2 EHV charges'!$A:$O,3,0))</f>
        <v/>
      </c>
      <c r="D234" s="87" t="str">
        <f>IF($A234="","",VLOOKUP($A234,'Annex 2 EHV charges'!$A:$O,7,0))</f>
        <v/>
      </c>
      <c r="E234" s="92" t="str">
        <f>IFERROR(IF(VLOOKUP($A234,'Annex 2 EHV charges'!$A:$O,8,FALSE)=0,"",VLOOKUP($A234,'Annex 2 EHV charges'!$A:$O,8,FALSE)),"")</f>
        <v/>
      </c>
      <c r="F234" s="93" t="str">
        <f>IFERROR(IF(VLOOKUP($A234,'Annex 2 EHV charges'!$A:$O,9,FALSE)=0,"",VLOOKUP($A234,'Annex 2 EHV charges'!$A:$O,9,FALSE)),"")</f>
        <v/>
      </c>
      <c r="G234" s="94" t="str">
        <f>IFERROR(IF(VLOOKUP($A234,'Annex 2 EHV charges'!$A:$O,10,FALSE)=0,"",VLOOKUP($A234,'Annex 2 EHV charges'!$A:$O,10,FALSE)),"")</f>
        <v/>
      </c>
      <c r="H234" s="94" t="str">
        <f>IFERROR(IF(VLOOKUP($A234,'Annex 2 EHV charges'!$A:$O,11,FALSE)=0,"",VLOOKUP($A234,'Annex 2 EHV charges'!$A:$O,11,FALSE)),"")</f>
        <v/>
      </c>
    </row>
    <row r="235" spans="1:8" x14ac:dyDescent="0.35">
      <c r="A235" s="87" t="str">
        <f t="array" ref="A235">IFERROR(INDEX('Annex 2 EHV charges'!$A$11:$A$260, MATCH(0, IF(ISBLANK('Annex 2 EHV charges'!$A$11:$A$260),1, COUNTIF(A$4:$A234, 'Annex 2 EHV charges'!$A$11:$A$260)), 0)),"")</f>
        <v/>
      </c>
      <c r="B235" s="87" t="str">
        <f>IF($A235="","",VLOOKUP($A235,'Annex 2 EHV charges'!$A:$O,2,0))</f>
        <v/>
      </c>
      <c r="C235" s="88" t="str">
        <f>IF($A235="","",VLOOKUP($A235,'Annex 2 EHV charges'!$A:$O,3,0))</f>
        <v/>
      </c>
      <c r="D235" s="87" t="str">
        <f>IF($A235="","",VLOOKUP($A235,'Annex 2 EHV charges'!$A:$O,7,0))</f>
        <v/>
      </c>
      <c r="E235" s="92" t="str">
        <f>IFERROR(IF(VLOOKUP($A235,'Annex 2 EHV charges'!$A:$O,8,FALSE)=0,"",VLOOKUP($A235,'Annex 2 EHV charges'!$A:$O,8,FALSE)),"")</f>
        <v/>
      </c>
      <c r="F235" s="93" t="str">
        <f>IFERROR(IF(VLOOKUP($A235,'Annex 2 EHV charges'!$A:$O,9,FALSE)=0,"",VLOOKUP($A235,'Annex 2 EHV charges'!$A:$O,9,FALSE)),"")</f>
        <v/>
      </c>
      <c r="G235" s="94" t="str">
        <f>IFERROR(IF(VLOOKUP($A235,'Annex 2 EHV charges'!$A:$O,10,FALSE)=0,"",VLOOKUP($A235,'Annex 2 EHV charges'!$A:$O,10,FALSE)),"")</f>
        <v/>
      </c>
      <c r="H235" s="94" t="str">
        <f>IFERROR(IF(VLOOKUP($A235,'Annex 2 EHV charges'!$A:$O,11,FALSE)=0,"",VLOOKUP($A235,'Annex 2 EHV charges'!$A:$O,11,FALSE)),"")</f>
        <v/>
      </c>
    </row>
    <row r="236" spans="1:8" x14ac:dyDescent="0.35">
      <c r="A236" s="87" t="str">
        <f t="array" ref="A236">IFERROR(INDEX('Annex 2 EHV charges'!$A$11:$A$260, MATCH(0, IF(ISBLANK('Annex 2 EHV charges'!$A$11:$A$260),1, COUNTIF(A$4:$A235, 'Annex 2 EHV charges'!$A$11:$A$260)), 0)),"")</f>
        <v/>
      </c>
      <c r="B236" s="87" t="str">
        <f>IF($A236="","",VLOOKUP($A236,'Annex 2 EHV charges'!$A:$O,2,0))</f>
        <v/>
      </c>
      <c r="C236" s="88" t="str">
        <f>IF($A236="","",VLOOKUP($A236,'Annex 2 EHV charges'!$A:$O,3,0))</f>
        <v/>
      </c>
      <c r="D236" s="87" t="str">
        <f>IF($A236="","",VLOOKUP($A236,'Annex 2 EHV charges'!$A:$O,7,0))</f>
        <v/>
      </c>
      <c r="E236" s="92" t="str">
        <f>IFERROR(IF(VLOOKUP($A236,'Annex 2 EHV charges'!$A:$O,8,FALSE)=0,"",VLOOKUP($A236,'Annex 2 EHV charges'!$A:$O,8,FALSE)),"")</f>
        <v/>
      </c>
      <c r="F236" s="93" t="str">
        <f>IFERROR(IF(VLOOKUP($A236,'Annex 2 EHV charges'!$A:$O,9,FALSE)=0,"",VLOOKUP($A236,'Annex 2 EHV charges'!$A:$O,9,FALSE)),"")</f>
        <v/>
      </c>
      <c r="G236" s="94" t="str">
        <f>IFERROR(IF(VLOOKUP($A236,'Annex 2 EHV charges'!$A:$O,10,FALSE)=0,"",VLOOKUP($A236,'Annex 2 EHV charges'!$A:$O,10,FALSE)),"")</f>
        <v/>
      </c>
      <c r="H236" s="94" t="str">
        <f>IFERROR(IF(VLOOKUP($A236,'Annex 2 EHV charges'!$A:$O,11,FALSE)=0,"",VLOOKUP($A236,'Annex 2 EHV charges'!$A:$O,11,FALSE)),"")</f>
        <v/>
      </c>
    </row>
    <row r="237" spans="1:8" x14ac:dyDescent="0.35">
      <c r="A237" s="87" t="str">
        <f t="array" ref="A237">IFERROR(INDEX('Annex 2 EHV charges'!$A$11:$A$260, MATCH(0, IF(ISBLANK('Annex 2 EHV charges'!$A$11:$A$260),1, COUNTIF(A$4:$A236, 'Annex 2 EHV charges'!$A$11:$A$260)), 0)),"")</f>
        <v/>
      </c>
      <c r="B237" s="87" t="str">
        <f>IF($A237="","",VLOOKUP($A237,'Annex 2 EHV charges'!$A:$O,2,0))</f>
        <v/>
      </c>
      <c r="C237" s="88" t="str">
        <f>IF($A237="","",VLOOKUP($A237,'Annex 2 EHV charges'!$A:$O,3,0))</f>
        <v/>
      </c>
      <c r="D237" s="87" t="str">
        <f>IF($A237="","",VLOOKUP($A237,'Annex 2 EHV charges'!$A:$O,7,0))</f>
        <v/>
      </c>
      <c r="E237" s="92" t="str">
        <f>IFERROR(IF(VLOOKUP($A237,'Annex 2 EHV charges'!$A:$O,8,FALSE)=0,"",VLOOKUP($A237,'Annex 2 EHV charges'!$A:$O,8,FALSE)),"")</f>
        <v/>
      </c>
      <c r="F237" s="93" t="str">
        <f>IFERROR(IF(VLOOKUP($A237,'Annex 2 EHV charges'!$A:$O,9,FALSE)=0,"",VLOOKUP($A237,'Annex 2 EHV charges'!$A:$O,9,FALSE)),"")</f>
        <v/>
      </c>
      <c r="G237" s="94" t="str">
        <f>IFERROR(IF(VLOOKUP($A237,'Annex 2 EHV charges'!$A:$O,10,FALSE)=0,"",VLOOKUP($A237,'Annex 2 EHV charges'!$A:$O,10,FALSE)),"")</f>
        <v/>
      </c>
      <c r="H237" s="94" t="str">
        <f>IFERROR(IF(VLOOKUP($A237,'Annex 2 EHV charges'!$A:$O,11,FALSE)=0,"",VLOOKUP($A237,'Annex 2 EHV charges'!$A:$O,11,FALSE)),"")</f>
        <v/>
      </c>
    </row>
    <row r="238" spans="1:8" x14ac:dyDescent="0.35">
      <c r="A238" s="87" t="str">
        <f t="array" ref="A238">IFERROR(INDEX('Annex 2 EHV charges'!$A$11:$A$260, MATCH(0, IF(ISBLANK('Annex 2 EHV charges'!$A$11:$A$260),1, COUNTIF(A$4:$A237, 'Annex 2 EHV charges'!$A$11:$A$260)), 0)),"")</f>
        <v/>
      </c>
      <c r="B238" s="87" t="str">
        <f>IF($A238="","",VLOOKUP($A238,'Annex 2 EHV charges'!$A:$O,2,0))</f>
        <v/>
      </c>
      <c r="C238" s="88" t="str">
        <f>IF($A238="","",VLOOKUP($A238,'Annex 2 EHV charges'!$A:$O,3,0))</f>
        <v/>
      </c>
      <c r="D238" s="87" t="str">
        <f>IF($A238="","",VLOOKUP($A238,'Annex 2 EHV charges'!$A:$O,7,0))</f>
        <v/>
      </c>
      <c r="E238" s="92" t="str">
        <f>IFERROR(IF(VLOOKUP($A238,'Annex 2 EHV charges'!$A:$O,8,FALSE)=0,"",VLOOKUP($A238,'Annex 2 EHV charges'!$A:$O,8,FALSE)),"")</f>
        <v/>
      </c>
      <c r="F238" s="93" t="str">
        <f>IFERROR(IF(VLOOKUP($A238,'Annex 2 EHV charges'!$A:$O,9,FALSE)=0,"",VLOOKUP($A238,'Annex 2 EHV charges'!$A:$O,9,FALSE)),"")</f>
        <v/>
      </c>
      <c r="G238" s="94" t="str">
        <f>IFERROR(IF(VLOOKUP($A238,'Annex 2 EHV charges'!$A:$O,10,FALSE)=0,"",VLOOKUP($A238,'Annex 2 EHV charges'!$A:$O,10,FALSE)),"")</f>
        <v/>
      </c>
      <c r="H238" s="94" t="str">
        <f>IFERROR(IF(VLOOKUP($A238,'Annex 2 EHV charges'!$A:$O,11,FALSE)=0,"",VLOOKUP($A238,'Annex 2 EHV charges'!$A:$O,11,FALSE)),"")</f>
        <v/>
      </c>
    </row>
    <row r="239" spans="1:8" x14ac:dyDescent="0.35">
      <c r="A239" s="87" t="str">
        <f t="array" ref="A239">IFERROR(INDEX('Annex 2 EHV charges'!$A$11:$A$260, MATCH(0, IF(ISBLANK('Annex 2 EHV charges'!$A$11:$A$260),1, COUNTIF(A$4:$A238, 'Annex 2 EHV charges'!$A$11:$A$260)), 0)),"")</f>
        <v/>
      </c>
      <c r="B239" s="87" t="str">
        <f>IF($A239="","",VLOOKUP($A239,'Annex 2 EHV charges'!$A:$O,2,0))</f>
        <v/>
      </c>
      <c r="C239" s="88" t="str">
        <f>IF($A239="","",VLOOKUP($A239,'Annex 2 EHV charges'!$A:$O,3,0))</f>
        <v/>
      </c>
      <c r="D239" s="87" t="str">
        <f>IF($A239="","",VLOOKUP($A239,'Annex 2 EHV charges'!$A:$O,7,0))</f>
        <v/>
      </c>
      <c r="E239" s="92" t="str">
        <f>IFERROR(IF(VLOOKUP($A239,'Annex 2 EHV charges'!$A:$O,8,FALSE)=0,"",VLOOKUP($A239,'Annex 2 EHV charges'!$A:$O,8,FALSE)),"")</f>
        <v/>
      </c>
      <c r="F239" s="93" t="str">
        <f>IFERROR(IF(VLOOKUP($A239,'Annex 2 EHV charges'!$A:$O,9,FALSE)=0,"",VLOOKUP($A239,'Annex 2 EHV charges'!$A:$O,9,FALSE)),"")</f>
        <v/>
      </c>
      <c r="G239" s="94" t="str">
        <f>IFERROR(IF(VLOOKUP($A239,'Annex 2 EHV charges'!$A:$O,10,FALSE)=0,"",VLOOKUP($A239,'Annex 2 EHV charges'!$A:$O,10,FALSE)),"")</f>
        <v/>
      </c>
      <c r="H239" s="94" t="str">
        <f>IFERROR(IF(VLOOKUP($A239,'Annex 2 EHV charges'!$A:$O,11,FALSE)=0,"",VLOOKUP($A239,'Annex 2 EHV charges'!$A:$O,11,FALSE)),"")</f>
        <v/>
      </c>
    </row>
    <row r="240" spans="1:8" x14ac:dyDescent="0.35">
      <c r="A240" s="87" t="str">
        <f t="array" ref="A240">IFERROR(INDEX('Annex 2 EHV charges'!$A$11:$A$260, MATCH(0, IF(ISBLANK('Annex 2 EHV charges'!$A$11:$A$260),1, COUNTIF(A$4:$A239, 'Annex 2 EHV charges'!$A$11:$A$260)), 0)),"")</f>
        <v/>
      </c>
      <c r="B240" s="87" t="str">
        <f>IF($A240="","",VLOOKUP($A240,'Annex 2 EHV charges'!$A:$O,2,0))</f>
        <v/>
      </c>
      <c r="C240" s="88" t="str">
        <f>IF($A240="","",VLOOKUP($A240,'Annex 2 EHV charges'!$A:$O,3,0))</f>
        <v/>
      </c>
      <c r="D240" s="87" t="str">
        <f>IF($A240="","",VLOOKUP($A240,'Annex 2 EHV charges'!$A:$O,7,0))</f>
        <v/>
      </c>
      <c r="E240" s="92" t="str">
        <f>IFERROR(IF(VLOOKUP($A240,'Annex 2 EHV charges'!$A:$O,8,FALSE)=0,"",VLOOKUP($A240,'Annex 2 EHV charges'!$A:$O,8,FALSE)),"")</f>
        <v/>
      </c>
      <c r="F240" s="93" t="str">
        <f>IFERROR(IF(VLOOKUP($A240,'Annex 2 EHV charges'!$A:$O,9,FALSE)=0,"",VLOOKUP($A240,'Annex 2 EHV charges'!$A:$O,9,FALSE)),"")</f>
        <v/>
      </c>
      <c r="G240" s="94" t="str">
        <f>IFERROR(IF(VLOOKUP($A240,'Annex 2 EHV charges'!$A:$O,10,FALSE)=0,"",VLOOKUP($A240,'Annex 2 EHV charges'!$A:$O,10,FALSE)),"")</f>
        <v/>
      </c>
      <c r="H240" s="94" t="str">
        <f>IFERROR(IF(VLOOKUP($A240,'Annex 2 EHV charges'!$A:$O,11,FALSE)=0,"",VLOOKUP($A240,'Annex 2 EHV charges'!$A:$O,11,FALSE)),"")</f>
        <v/>
      </c>
    </row>
    <row r="241" spans="1:8" x14ac:dyDescent="0.35">
      <c r="A241" s="87" t="str">
        <f t="array" ref="A241">IFERROR(INDEX('Annex 2 EHV charges'!$A$11:$A$260, MATCH(0, IF(ISBLANK('Annex 2 EHV charges'!$A$11:$A$260),1, COUNTIF(A$4:$A240, 'Annex 2 EHV charges'!$A$11:$A$260)), 0)),"")</f>
        <v/>
      </c>
      <c r="B241" s="87" t="str">
        <f>IF($A241="","",VLOOKUP($A241,'Annex 2 EHV charges'!$A:$O,2,0))</f>
        <v/>
      </c>
      <c r="C241" s="88" t="str">
        <f>IF($A241="","",VLOOKUP($A241,'Annex 2 EHV charges'!$A:$O,3,0))</f>
        <v/>
      </c>
      <c r="D241" s="87" t="str">
        <f>IF($A241="","",VLOOKUP($A241,'Annex 2 EHV charges'!$A:$O,7,0))</f>
        <v/>
      </c>
      <c r="E241" s="92" t="str">
        <f>IFERROR(IF(VLOOKUP($A241,'Annex 2 EHV charges'!$A:$O,8,FALSE)=0,"",VLOOKUP($A241,'Annex 2 EHV charges'!$A:$O,8,FALSE)),"")</f>
        <v/>
      </c>
      <c r="F241" s="93" t="str">
        <f>IFERROR(IF(VLOOKUP($A241,'Annex 2 EHV charges'!$A:$O,9,FALSE)=0,"",VLOOKUP($A241,'Annex 2 EHV charges'!$A:$O,9,FALSE)),"")</f>
        <v/>
      </c>
      <c r="G241" s="94" t="str">
        <f>IFERROR(IF(VLOOKUP($A241,'Annex 2 EHV charges'!$A:$O,10,FALSE)=0,"",VLOOKUP($A241,'Annex 2 EHV charges'!$A:$O,10,FALSE)),"")</f>
        <v/>
      </c>
      <c r="H241" s="94" t="str">
        <f>IFERROR(IF(VLOOKUP($A241,'Annex 2 EHV charges'!$A:$O,11,FALSE)=0,"",VLOOKUP($A241,'Annex 2 EHV charges'!$A:$O,11,FALSE)),"")</f>
        <v/>
      </c>
    </row>
    <row r="242" spans="1:8" x14ac:dyDescent="0.35">
      <c r="A242" s="87" t="str">
        <f t="array" ref="A242">IFERROR(INDEX('Annex 2 EHV charges'!$A$11:$A$260, MATCH(0, IF(ISBLANK('Annex 2 EHV charges'!$A$11:$A$260),1, COUNTIF(A$4:$A241, 'Annex 2 EHV charges'!$A$11:$A$260)), 0)),"")</f>
        <v/>
      </c>
      <c r="B242" s="87" t="str">
        <f>IF($A242="","",VLOOKUP($A242,'Annex 2 EHV charges'!$A:$O,2,0))</f>
        <v/>
      </c>
      <c r="C242" s="88" t="str">
        <f>IF($A242="","",VLOOKUP($A242,'Annex 2 EHV charges'!$A:$O,3,0))</f>
        <v/>
      </c>
      <c r="D242" s="87" t="str">
        <f>IF($A242="","",VLOOKUP($A242,'Annex 2 EHV charges'!$A:$O,7,0))</f>
        <v/>
      </c>
      <c r="E242" s="92" t="str">
        <f>IFERROR(IF(VLOOKUP($A242,'Annex 2 EHV charges'!$A:$O,8,FALSE)=0,"",VLOOKUP($A242,'Annex 2 EHV charges'!$A:$O,8,FALSE)),"")</f>
        <v/>
      </c>
      <c r="F242" s="93" t="str">
        <f>IFERROR(IF(VLOOKUP($A242,'Annex 2 EHV charges'!$A:$O,9,FALSE)=0,"",VLOOKUP($A242,'Annex 2 EHV charges'!$A:$O,9,FALSE)),"")</f>
        <v/>
      </c>
      <c r="G242" s="94" t="str">
        <f>IFERROR(IF(VLOOKUP($A242,'Annex 2 EHV charges'!$A:$O,10,FALSE)=0,"",VLOOKUP($A242,'Annex 2 EHV charges'!$A:$O,10,FALSE)),"")</f>
        <v/>
      </c>
      <c r="H242" s="94" t="str">
        <f>IFERROR(IF(VLOOKUP($A242,'Annex 2 EHV charges'!$A:$O,11,FALSE)=0,"",VLOOKUP($A242,'Annex 2 EHV charges'!$A:$O,11,FALSE)),"")</f>
        <v/>
      </c>
    </row>
    <row r="243" spans="1:8" x14ac:dyDescent="0.35">
      <c r="A243" s="87" t="str">
        <f t="array" ref="A243">IFERROR(INDEX('Annex 2 EHV charges'!$A$11:$A$260, MATCH(0, IF(ISBLANK('Annex 2 EHV charges'!$A$11:$A$260),1, COUNTIF(A$4:$A242, 'Annex 2 EHV charges'!$A$11:$A$260)), 0)),"")</f>
        <v/>
      </c>
      <c r="B243" s="87" t="str">
        <f>IF($A243="","",VLOOKUP($A243,'Annex 2 EHV charges'!$A:$O,2,0))</f>
        <v/>
      </c>
      <c r="C243" s="88" t="str">
        <f>IF($A243="","",VLOOKUP($A243,'Annex 2 EHV charges'!$A:$O,3,0))</f>
        <v/>
      </c>
      <c r="D243" s="87" t="str">
        <f>IF($A243="","",VLOOKUP($A243,'Annex 2 EHV charges'!$A:$O,7,0))</f>
        <v/>
      </c>
      <c r="E243" s="92" t="str">
        <f>IFERROR(IF(VLOOKUP($A243,'Annex 2 EHV charges'!$A:$O,8,FALSE)=0,"",VLOOKUP($A243,'Annex 2 EHV charges'!$A:$O,8,FALSE)),"")</f>
        <v/>
      </c>
      <c r="F243" s="93" t="str">
        <f>IFERROR(IF(VLOOKUP($A243,'Annex 2 EHV charges'!$A:$O,9,FALSE)=0,"",VLOOKUP($A243,'Annex 2 EHV charges'!$A:$O,9,FALSE)),"")</f>
        <v/>
      </c>
      <c r="G243" s="94" t="str">
        <f>IFERROR(IF(VLOOKUP($A243,'Annex 2 EHV charges'!$A:$O,10,FALSE)=0,"",VLOOKUP($A243,'Annex 2 EHV charges'!$A:$O,10,FALSE)),"")</f>
        <v/>
      </c>
      <c r="H243" s="94" t="str">
        <f>IFERROR(IF(VLOOKUP($A243,'Annex 2 EHV charges'!$A:$O,11,FALSE)=0,"",VLOOKUP($A243,'Annex 2 EHV charges'!$A:$O,11,FALSE)),"")</f>
        <v/>
      </c>
    </row>
    <row r="244" spans="1:8" x14ac:dyDescent="0.35">
      <c r="A244" s="87" t="str">
        <f t="array" ref="A244">IFERROR(INDEX('Annex 2 EHV charges'!$A$11:$A$260, MATCH(0, IF(ISBLANK('Annex 2 EHV charges'!$A$11:$A$260),1, COUNTIF(A$4:$A243, 'Annex 2 EHV charges'!$A$11:$A$260)), 0)),"")</f>
        <v/>
      </c>
      <c r="B244" s="87" t="str">
        <f>IF($A244="","",VLOOKUP($A244,'Annex 2 EHV charges'!$A:$O,2,0))</f>
        <v/>
      </c>
      <c r="C244" s="88" t="str">
        <f>IF($A244="","",VLOOKUP($A244,'Annex 2 EHV charges'!$A:$O,3,0))</f>
        <v/>
      </c>
      <c r="D244" s="87" t="str">
        <f>IF($A244="","",VLOOKUP($A244,'Annex 2 EHV charges'!$A:$O,7,0))</f>
        <v/>
      </c>
      <c r="E244" s="92" t="str">
        <f>IFERROR(IF(VLOOKUP($A244,'Annex 2 EHV charges'!$A:$O,8,FALSE)=0,"",VLOOKUP($A244,'Annex 2 EHV charges'!$A:$O,8,FALSE)),"")</f>
        <v/>
      </c>
      <c r="F244" s="93" t="str">
        <f>IFERROR(IF(VLOOKUP($A244,'Annex 2 EHV charges'!$A:$O,9,FALSE)=0,"",VLOOKUP($A244,'Annex 2 EHV charges'!$A:$O,9,FALSE)),"")</f>
        <v/>
      </c>
      <c r="G244" s="94" t="str">
        <f>IFERROR(IF(VLOOKUP($A244,'Annex 2 EHV charges'!$A:$O,10,FALSE)=0,"",VLOOKUP($A244,'Annex 2 EHV charges'!$A:$O,10,FALSE)),"")</f>
        <v/>
      </c>
      <c r="H244" s="94" t="str">
        <f>IFERROR(IF(VLOOKUP($A244,'Annex 2 EHV charges'!$A:$O,11,FALSE)=0,"",VLOOKUP($A244,'Annex 2 EHV charges'!$A:$O,11,FALSE)),"")</f>
        <v/>
      </c>
    </row>
    <row r="245" spans="1:8" x14ac:dyDescent="0.35">
      <c r="A245" s="87" t="str">
        <f t="array" ref="A245">IFERROR(INDEX('Annex 2 EHV charges'!$A$11:$A$260, MATCH(0, IF(ISBLANK('Annex 2 EHV charges'!$A$11:$A$260),1, COUNTIF(A$4:$A244, 'Annex 2 EHV charges'!$A$11:$A$260)), 0)),"")</f>
        <v/>
      </c>
      <c r="B245" s="87" t="str">
        <f>IF($A245="","",VLOOKUP($A245,'Annex 2 EHV charges'!$A:$O,2,0))</f>
        <v/>
      </c>
      <c r="C245" s="88" t="str">
        <f>IF($A245="","",VLOOKUP($A245,'Annex 2 EHV charges'!$A:$O,3,0))</f>
        <v/>
      </c>
      <c r="D245" s="87" t="str">
        <f>IF($A245="","",VLOOKUP($A245,'Annex 2 EHV charges'!$A:$O,7,0))</f>
        <v/>
      </c>
      <c r="E245" s="92" t="str">
        <f>IFERROR(IF(VLOOKUP($A245,'Annex 2 EHV charges'!$A:$O,8,FALSE)=0,"",VLOOKUP($A245,'Annex 2 EHV charges'!$A:$O,8,FALSE)),"")</f>
        <v/>
      </c>
      <c r="F245" s="93" t="str">
        <f>IFERROR(IF(VLOOKUP($A245,'Annex 2 EHV charges'!$A:$O,9,FALSE)=0,"",VLOOKUP($A245,'Annex 2 EHV charges'!$A:$O,9,FALSE)),"")</f>
        <v/>
      </c>
      <c r="G245" s="94" t="str">
        <f>IFERROR(IF(VLOOKUP($A245,'Annex 2 EHV charges'!$A:$O,10,FALSE)=0,"",VLOOKUP($A245,'Annex 2 EHV charges'!$A:$O,10,FALSE)),"")</f>
        <v/>
      </c>
      <c r="H245" s="94" t="str">
        <f>IFERROR(IF(VLOOKUP($A245,'Annex 2 EHV charges'!$A:$O,11,FALSE)=0,"",VLOOKUP($A245,'Annex 2 EHV charges'!$A:$O,11,FALSE)),"")</f>
        <v/>
      </c>
    </row>
    <row r="246" spans="1:8" x14ac:dyDescent="0.35">
      <c r="A246" s="87" t="str">
        <f t="array" ref="A246">IFERROR(INDEX('Annex 2 EHV charges'!$A$11:$A$260, MATCH(0, IF(ISBLANK('Annex 2 EHV charges'!$A$11:$A$260),1, COUNTIF(A$4:$A245, 'Annex 2 EHV charges'!$A$11:$A$260)), 0)),"")</f>
        <v/>
      </c>
      <c r="B246" s="87" t="str">
        <f>IF($A246="","",VLOOKUP($A246,'Annex 2 EHV charges'!$A:$O,2,0))</f>
        <v/>
      </c>
      <c r="C246" s="88" t="str">
        <f>IF($A246="","",VLOOKUP($A246,'Annex 2 EHV charges'!$A:$O,3,0))</f>
        <v/>
      </c>
      <c r="D246" s="87" t="str">
        <f>IF($A246="","",VLOOKUP($A246,'Annex 2 EHV charges'!$A:$O,7,0))</f>
        <v/>
      </c>
      <c r="E246" s="92" t="str">
        <f>IFERROR(IF(VLOOKUP($A246,'Annex 2 EHV charges'!$A:$O,8,FALSE)=0,"",VLOOKUP($A246,'Annex 2 EHV charges'!$A:$O,8,FALSE)),"")</f>
        <v/>
      </c>
      <c r="F246" s="93" t="str">
        <f>IFERROR(IF(VLOOKUP($A246,'Annex 2 EHV charges'!$A:$O,9,FALSE)=0,"",VLOOKUP($A246,'Annex 2 EHV charges'!$A:$O,9,FALSE)),"")</f>
        <v/>
      </c>
      <c r="G246" s="94" t="str">
        <f>IFERROR(IF(VLOOKUP($A246,'Annex 2 EHV charges'!$A:$O,10,FALSE)=0,"",VLOOKUP($A246,'Annex 2 EHV charges'!$A:$O,10,FALSE)),"")</f>
        <v/>
      </c>
      <c r="H246" s="94" t="str">
        <f>IFERROR(IF(VLOOKUP($A246,'Annex 2 EHV charges'!$A:$O,11,FALSE)=0,"",VLOOKUP($A246,'Annex 2 EHV charges'!$A:$O,11,FALSE)),"")</f>
        <v/>
      </c>
    </row>
    <row r="247" spans="1:8" x14ac:dyDescent="0.35">
      <c r="A247" s="87" t="str">
        <f t="array" ref="A247">IFERROR(INDEX('Annex 2 EHV charges'!$A$11:$A$260, MATCH(0, IF(ISBLANK('Annex 2 EHV charges'!$A$11:$A$260),1, COUNTIF(A$4:$A246, 'Annex 2 EHV charges'!$A$11:$A$260)), 0)),"")</f>
        <v/>
      </c>
      <c r="B247" s="87" t="str">
        <f>IF($A247="","",VLOOKUP($A247,'Annex 2 EHV charges'!$A:$O,2,0))</f>
        <v/>
      </c>
      <c r="C247" s="88" t="str">
        <f>IF($A247="","",VLOOKUP($A247,'Annex 2 EHV charges'!$A:$O,3,0))</f>
        <v/>
      </c>
      <c r="D247" s="87" t="str">
        <f>IF($A247="","",VLOOKUP($A247,'Annex 2 EHV charges'!$A:$O,7,0))</f>
        <v/>
      </c>
      <c r="E247" s="92" t="str">
        <f>IFERROR(IF(VLOOKUP($A247,'Annex 2 EHV charges'!$A:$O,8,FALSE)=0,"",VLOOKUP($A247,'Annex 2 EHV charges'!$A:$O,8,FALSE)),"")</f>
        <v/>
      </c>
      <c r="F247" s="93" t="str">
        <f>IFERROR(IF(VLOOKUP($A247,'Annex 2 EHV charges'!$A:$O,9,FALSE)=0,"",VLOOKUP($A247,'Annex 2 EHV charges'!$A:$O,9,FALSE)),"")</f>
        <v/>
      </c>
      <c r="G247" s="94" t="str">
        <f>IFERROR(IF(VLOOKUP($A247,'Annex 2 EHV charges'!$A:$O,10,FALSE)=0,"",VLOOKUP($A247,'Annex 2 EHV charges'!$A:$O,10,FALSE)),"")</f>
        <v/>
      </c>
      <c r="H247" s="94" t="str">
        <f>IFERROR(IF(VLOOKUP($A247,'Annex 2 EHV charges'!$A:$O,11,FALSE)=0,"",VLOOKUP($A247,'Annex 2 EHV charges'!$A:$O,11,FALSE)),"")</f>
        <v/>
      </c>
    </row>
    <row r="248" spans="1:8" x14ac:dyDescent="0.35">
      <c r="A248" s="87" t="str">
        <f t="array" ref="A248">IFERROR(INDEX('Annex 2 EHV charges'!$A$11:$A$260, MATCH(0, IF(ISBLANK('Annex 2 EHV charges'!$A$11:$A$260),1, COUNTIF(A$4:$A247, 'Annex 2 EHV charges'!$A$11:$A$260)), 0)),"")</f>
        <v/>
      </c>
      <c r="B248" s="87" t="str">
        <f>IF($A248="","",VLOOKUP($A248,'Annex 2 EHV charges'!$A:$O,2,0))</f>
        <v/>
      </c>
      <c r="C248" s="88" t="str">
        <f>IF($A248="","",VLOOKUP($A248,'Annex 2 EHV charges'!$A:$O,3,0))</f>
        <v/>
      </c>
      <c r="D248" s="87" t="str">
        <f>IF($A248="","",VLOOKUP($A248,'Annex 2 EHV charges'!$A:$O,7,0))</f>
        <v/>
      </c>
      <c r="E248" s="92" t="str">
        <f>IFERROR(IF(VLOOKUP($A248,'Annex 2 EHV charges'!$A:$O,8,FALSE)=0,"",VLOOKUP($A248,'Annex 2 EHV charges'!$A:$O,8,FALSE)),"")</f>
        <v/>
      </c>
      <c r="F248" s="93" t="str">
        <f>IFERROR(IF(VLOOKUP($A248,'Annex 2 EHV charges'!$A:$O,9,FALSE)=0,"",VLOOKUP($A248,'Annex 2 EHV charges'!$A:$O,9,FALSE)),"")</f>
        <v/>
      </c>
      <c r="G248" s="94" t="str">
        <f>IFERROR(IF(VLOOKUP($A248,'Annex 2 EHV charges'!$A:$O,10,FALSE)=0,"",VLOOKUP($A248,'Annex 2 EHV charges'!$A:$O,10,FALSE)),"")</f>
        <v/>
      </c>
      <c r="H248" s="94" t="str">
        <f>IFERROR(IF(VLOOKUP($A248,'Annex 2 EHV charges'!$A:$O,11,FALSE)=0,"",VLOOKUP($A248,'Annex 2 EHV charges'!$A:$O,11,FALSE)),"")</f>
        <v/>
      </c>
    </row>
    <row r="249" spans="1:8" x14ac:dyDescent="0.35">
      <c r="A249" s="87" t="str">
        <f t="array" ref="A249">IFERROR(INDEX('Annex 2 EHV charges'!$A$11:$A$260, MATCH(0, IF(ISBLANK('Annex 2 EHV charges'!$A$11:$A$260),1, COUNTIF(A$4:$A248, 'Annex 2 EHV charges'!$A$11:$A$260)), 0)),"")</f>
        <v/>
      </c>
      <c r="B249" s="87" t="str">
        <f>IF($A249="","",VLOOKUP($A249,'Annex 2 EHV charges'!$A:$O,2,0))</f>
        <v/>
      </c>
      <c r="C249" s="88" t="str">
        <f>IF($A249="","",VLOOKUP($A249,'Annex 2 EHV charges'!$A:$O,3,0))</f>
        <v/>
      </c>
      <c r="D249" s="87" t="str">
        <f>IF($A249="","",VLOOKUP($A249,'Annex 2 EHV charges'!$A:$O,7,0))</f>
        <v/>
      </c>
      <c r="E249" s="92" t="str">
        <f>IFERROR(IF(VLOOKUP($A249,'Annex 2 EHV charges'!$A:$O,8,FALSE)=0,"",VLOOKUP($A249,'Annex 2 EHV charges'!$A:$O,8,FALSE)),"")</f>
        <v/>
      </c>
      <c r="F249" s="93" t="str">
        <f>IFERROR(IF(VLOOKUP($A249,'Annex 2 EHV charges'!$A:$O,9,FALSE)=0,"",VLOOKUP($A249,'Annex 2 EHV charges'!$A:$O,9,FALSE)),"")</f>
        <v/>
      </c>
      <c r="G249" s="94" t="str">
        <f>IFERROR(IF(VLOOKUP($A249,'Annex 2 EHV charges'!$A:$O,10,FALSE)=0,"",VLOOKUP($A249,'Annex 2 EHV charges'!$A:$O,10,FALSE)),"")</f>
        <v/>
      </c>
      <c r="H249" s="94" t="str">
        <f>IFERROR(IF(VLOOKUP($A249,'Annex 2 EHV charges'!$A:$O,11,FALSE)=0,"",VLOOKUP($A249,'Annex 2 EHV charges'!$A:$O,11,FALSE)),"")</f>
        <v/>
      </c>
    </row>
    <row r="250" spans="1:8" x14ac:dyDescent="0.35">
      <c r="A250" s="87" t="str">
        <f t="array" ref="A250">IFERROR(INDEX('Annex 2 EHV charges'!$A$11:$A$260, MATCH(0, IF(ISBLANK('Annex 2 EHV charges'!$A$11:$A$260),1, COUNTIF(A$4:$A249, 'Annex 2 EHV charges'!$A$11:$A$260)), 0)),"")</f>
        <v/>
      </c>
      <c r="B250" s="87" t="str">
        <f>IF($A250="","",VLOOKUP($A250,'Annex 2 EHV charges'!$A:$O,2,0))</f>
        <v/>
      </c>
      <c r="C250" s="88" t="str">
        <f>IF($A250="","",VLOOKUP($A250,'Annex 2 EHV charges'!$A:$O,3,0))</f>
        <v/>
      </c>
      <c r="D250" s="87" t="str">
        <f>IF($A250="","",VLOOKUP($A250,'Annex 2 EHV charges'!$A:$O,7,0))</f>
        <v/>
      </c>
      <c r="E250" s="92" t="str">
        <f>IFERROR(IF(VLOOKUP($A250,'Annex 2 EHV charges'!$A:$O,8,FALSE)=0,"",VLOOKUP($A250,'Annex 2 EHV charges'!$A:$O,8,FALSE)),"")</f>
        <v/>
      </c>
      <c r="F250" s="93" t="str">
        <f>IFERROR(IF(VLOOKUP($A250,'Annex 2 EHV charges'!$A:$O,9,FALSE)=0,"",VLOOKUP($A250,'Annex 2 EHV charges'!$A:$O,9,FALSE)),"")</f>
        <v/>
      </c>
      <c r="G250" s="94" t="str">
        <f>IFERROR(IF(VLOOKUP($A250,'Annex 2 EHV charges'!$A:$O,10,FALSE)=0,"",VLOOKUP($A250,'Annex 2 EHV charges'!$A:$O,10,FALSE)),"")</f>
        <v/>
      </c>
      <c r="H250" s="94" t="str">
        <f>IFERROR(IF(VLOOKUP($A250,'Annex 2 EHV charges'!$A:$O,11,FALSE)=0,"",VLOOKUP($A250,'Annex 2 EHV charges'!$A:$O,11,FALSE)),"")</f>
        <v/>
      </c>
    </row>
    <row r="251" spans="1:8" x14ac:dyDescent="0.35">
      <c r="A251" s="87" t="str">
        <f t="array" ref="A251">IFERROR(INDEX('Annex 2 EHV charges'!$A$11:$A$260, MATCH(0, IF(ISBLANK('Annex 2 EHV charges'!$A$11:$A$260),1, COUNTIF(A$4:$A250, 'Annex 2 EHV charges'!$A$11:$A$260)), 0)),"")</f>
        <v/>
      </c>
      <c r="B251" s="87" t="str">
        <f>IF($A251="","",VLOOKUP($A251,'Annex 2 EHV charges'!$A:$O,2,0))</f>
        <v/>
      </c>
      <c r="C251" s="88" t="str">
        <f>IF($A251="","",VLOOKUP($A251,'Annex 2 EHV charges'!$A:$O,3,0))</f>
        <v/>
      </c>
      <c r="D251" s="87" t="str">
        <f>IF($A251="","",VLOOKUP($A251,'Annex 2 EHV charges'!$A:$O,7,0))</f>
        <v/>
      </c>
      <c r="E251" s="92" t="str">
        <f>IFERROR(IF(VLOOKUP($A251,'Annex 2 EHV charges'!$A:$O,8,FALSE)=0,"",VLOOKUP($A251,'Annex 2 EHV charges'!$A:$O,8,FALSE)),"")</f>
        <v/>
      </c>
      <c r="F251" s="93" t="str">
        <f>IFERROR(IF(VLOOKUP($A251,'Annex 2 EHV charges'!$A:$O,9,FALSE)=0,"",VLOOKUP($A251,'Annex 2 EHV charges'!$A:$O,9,FALSE)),"")</f>
        <v/>
      </c>
      <c r="G251" s="94" t="str">
        <f>IFERROR(IF(VLOOKUP($A251,'Annex 2 EHV charges'!$A:$O,10,FALSE)=0,"",VLOOKUP($A251,'Annex 2 EHV charges'!$A:$O,10,FALSE)),"")</f>
        <v/>
      </c>
      <c r="H251" s="94" t="str">
        <f>IFERROR(IF(VLOOKUP($A251,'Annex 2 EHV charges'!$A:$O,11,FALSE)=0,"",VLOOKUP($A251,'Annex 2 EHV charges'!$A:$O,11,FALSE)),"")</f>
        <v/>
      </c>
    </row>
    <row r="252" spans="1:8" x14ac:dyDescent="0.35">
      <c r="A252" s="87" t="str">
        <f t="array" ref="A252">IFERROR(INDEX('Annex 2 EHV charges'!$A$11:$A$260, MATCH(0, IF(ISBLANK('Annex 2 EHV charges'!$A$11:$A$260),1, COUNTIF(A$4:$A251, 'Annex 2 EHV charges'!$A$11:$A$260)), 0)),"")</f>
        <v/>
      </c>
      <c r="B252" s="87" t="str">
        <f>IF($A252="","",VLOOKUP($A252,'Annex 2 EHV charges'!$A:$O,2,0))</f>
        <v/>
      </c>
      <c r="C252" s="88" t="str">
        <f>IF($A252="","",VLOOKUP($A252,'Annex 2 EHV charges'!$A:$O,3,0))</f>
        <v/>
      </c>
      <c r="D252" s="87" t="str">
        <f>IF($A252="","",VLOOKUP($A252,'Annex 2 EHV charges'!$A:$O,7,0))</f>
        <v/>
      </c>
      <c r="E252" s="92" t="str">
        <f>IFERROR(IF(VLOOKUP($A252,'Annex 2 EHV charges'!$A:$O,8,FALSE)=0,"",VLOOKUP($A252,'Annex 2 EHV charges'!$A:$O,8,FALSE)),"")</f>
        <v/>
      </c>
      <c r="F252" s="93" t="str">
        <f>IFERROR(IF(VLOOKUP($A252,'Annex 2 EHV charges'!$A:$O,9,FALSE)=0,"",VLOOKUP($A252,'Annex 2 EHV charges'!$A:$O,9,FALSE)),"")</f>
        <v/>
      </c>
      <c r="G252" s="94" t="str">
        <f>IFERROR(IF(VLOOKUP($A252,'Annex 2 EHV charges'!$A:$O,10,FALSE)=0,"",VLOOKUP($A252,'Annex 2 EHV charges'!$A:$O,10,FALSE)),"")</f>
        <v/>
      </c>
      <c r="H252" s="94" t="str">
        <f>IFERROR(IF(VLOOKUP($A252,'Annex 2 EHV charges'!$A:$O,11,FALSE)=0,"",VLOOKUP($A252,'Annex 2 EHV charges'!$A:$O,11,FALSE)),"")</f>
        <v/>
      </c>
    </row>
    <row r="253" spans="1:8" x14ac:dyDescent="0.35">
      <c r="A253" s="87" t="str">
        <f t="array" ref="A253">IFERROR(INDEX('Annex 2 EHV charges'!$A$11:$A$260, MATCH(0, IF(ISBLANK('Annex 2 EHV charges'!$A$11:$A$260),1, COUNTIF(A$4:$A252, 'Annex 2 EHV charges'!$A$11:$A$260)), 0)),"")</f>
        <v/>
      </c>
      <c r="B253" s="87" t="str">
        <f>IF($A253="","",VLOOKUP($A253,'Annex 2 EHV charges'!$A:$O,2,0))</f>
        <v/>
      </c>
      <c r="C253" s="88" t="str">
        <f>IF($A253="","",VLOOKUP($A253,'Annex 2 EHV charges'!$A:$O,3,0))</f>
        <v/>
      </c>
      <c r="D253" s="87" t="str">
        <f>IF($A253="","",VLOOKUP($A253,'Annex 2 EHV charges'!$A:$O,7,0))</f>
        <v/>
      </c>
      <c r="E253" s="92" t="str">
        <f>IFERROR(IF(VLOOKUP($A253,'Annex 2 EHV charges'!$A:$O,8,FALSE)=0,"",VLOOKUP($A253,'Annex 2 EHV charges'!$A:$O,8,FALSE)),"")</f>
        <v/>
      </c>
      <c r="F253" s="93" t="str">
        <f>IFERROR(IF(VLOOKUP($A253,'Annex 2 EHV charges'!$A:$O,9,FALSE)=0,"",VLOOKUP($A253,'Annex 2 EHV charges'!$A:$O,9,FALSE)),"")</f>
        <v/>
      </c>
      <c r="G253" s="94" t="str">
        <f>IFERROR(IF(VLOOKUP($A253,'Annex 2 EHV charges'!$A:$O,10,FALSE)=0,"",VLOOKUP($A253,'Annex 2 EHV charges'!$A:$O,10,FALSE)),"")</f>
        <v/>
      </c>
      <c r="H253" s="94" t="str">
        <f>IFERROR(IF(VLOOKUP($A253,'Annex 2 EHV charges'!$A:$O,11,FALSE)=0,"",VLOOKUP($A253,'Annex 2 EHV charges'!$A:$O,11,FALSE)),"")</f>
        <v/>
      </c>
    </row>
    <row r="254" spans="1:8" x14ac:dyDescent="0.35">
      <c r="A254" s="87" t="str">
        <f t="array" ref="A254">IFERROR(INDEX('Annex 2 EHV charges'!$A$11:$A$260, MATCH(0, IF(ISBLANK('Annex 2 EHV charges'!$A$11:$A$260),1, COUNTIF(A$4:$A253, 'Annex 2 EHV charges'!$A$11:$A$260)), 0)),"")</f>
        <v/>
      </c>
      <c r="B254" s="87" t="str">
        <f>IF($A254="","",VLOOKUP($A254,'Annex 2 EHV charges'!$A:$O,2,0))</f>
        <v/>
      </c>
      <c r="C254" s="88" t="str">
        <f>IF($A254="","",VLOOKUP($A254,'Annex 2 EHV charges'!$A:$O,3,0))</f>
        <v/>
      </c>
      <c r="D254" s="87" t="str">
        <f>IF($A254="","",VLOOKUP($A254,'Annex 2 EHV charges'!$A:$O,7,0))</f>
        <v/>
      </c>
      <c r="E254" s="92" t="str">
        <f>IFERROR(IF(VLOOKUP($A254,'Annex 2 EHV charges'!$A:$O,8,FALSE)=0,"",VLOOKUP($A254,'Annex 2 EHV charges'!$A:$O,8,FALSE)),"")</f>
        <v/>
      </c>
      <c r="F254" s="93" t="str">
        <f>IFERROR(IF(VLOOKUP($A254,'Annex 2 EHV charges'!$A:$O,9,FALSE)=0,"",VLOOKUP($A254,'Annex 2 EHV charges'!$A:$O,9,FALSE)),"")</f>
        <v/>
      </c>
      <c r="G254" s="94" t="str">
        <f>IFERROR(IF(VLOOKUP($A254,'Annex 2 EHV charges'!$A:$O,10,FALSE)=0,"",VLOOKUP($A254,'Annex 2 EHV charges'!$A:$O,10,FALSE)),"")</f>
        <v/>
      </c>
      <c r="H254" s="94" t="str">
        <f>IFERROR(IF(VLOOKUP($A254,'Annex 2 EHV charges'!$A:$O,11,FALSE)=0,"",VLOOKUP($A254,'Annex 2 EHV charges'!$A:$O,11,FALSE)),"")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&amp;N&amp;C&amp;1#&amp;"Calibri"&amp;12&amp;K008000Internal Use</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&amp;N&amp;C&amp;1#&amp;"Calibri"&amp;12&amp;K008000Internal Use</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workbookViewId="0"/>
  </sheetViews>
  <sheetFormatPr defaultColWidth="9.1328125" defaultRowHeight="12.75" x14ac:dyDescent="0.35"/>
  <cols>
    <col min="1" max="1" width="14.73046875" style="42" customWidth="1"/>
    <col min="2" max="2" width="8.73046875" style="42" customWidth="1"/>
    <col min="3" max="3" width="15.73046875" style="50" bestFit="1" customWidth="1"/>
    <col min="4" max="4" width="50.73046875" style="50" customWidth="1"/>
    <col min="5" max="5" width="14.73046875" style="51" customWidth="1"/>
    <col min="6" max="7" width="14.73046875" style="52" customWidth="1"/>
    <col min="8" max="8" width="14.73046875" style="42" customWidth="1"/>
    <col min="9" max="9" width="15.59765625" style="42" customWidth="1"/>
    <col min="10" max="16384" width="9.1328125" style="42"/>
  </cols>
  <sheetData>
    <row r="1" spans="1:15" ht="66.75" customHeight="1" x14ac:dyDescent="0.35">
      <c r="A1" s="273" t="s">
        <v>89</v>
      </c>
      <c r="B1" s="273"/>
      <c r="C1" s="273"/>
      <c r="D1" s="273"/>
      <c r="E1" s="273"/>
      <c r="F1" s="273"/>
      <c r="G1" s="273"/>
      <c r="H1" s="273"/>
    </row>
    <row r="2" spans="1:15" s="43" customFormat="1" ht="25.5" customHeight="1" x14ac:dyDescent="0.35">
      <c r="A2" s="246" t="str">
        <f>Overview!B4&amp; " - Effective from "&amp;Overview!D4&amp;" - "&amp;Overview!E4&amp;" EDCM export charges"</f>
        <v>SP Distribution - Effective from 1 April 2022 - Final EDCM export charges</v>
      </c>
      <c r="B2" s="247"/>
      <c r="C2" s="247"/>
      <c r="D2" s="247"/>
      <c r="E2" s="247"/>
      <c r="F2" s="247"/>
      <c r="G2" s="247"/>
      <c r="H2" s="248"/>
    </row>
    <row r="3" spans="1:15" s="76" customFormat="1" ht="17.649999999999999" x14ac:dyDescent="0.35">
      <c r="A3" s="80"/>
      <c r="B3" s="80"/>
      <c r="C3" s="80"/>
      <c r="D3" s="81"/>
      <c r="E3" s="82"/>
      <c r="F3" s="197"/>
      <c r="G3" s="197"/>
      <c r="H3" s="197"/>
      <c r="I3" s="75"/>
      <c r="J3" s="75"/>
      <c r="K3" s="75"/>
      <c r="L3" s="75"/>
      <c r="M3" s="75"/>
      <c r="N3" s="75"/>
      <c r="O3" s="75"/>
    </row>
    <row r="4" spans="1:15" ht="60.75" customHeight="1" x14ac:dyDescent="0.35">
      <c r="A4" s="44" t="s">
        <v>73</v>
      </c>
      <c r="B4" s="45" t="s">
        <v>41</v>
      </c>
      <c r="C4" s="44" t="s">
        <v>43</v>
      </c>
      <c r="D4" s="46" t="s">
        <v>35</v>
      </c>
      <c r="E4" s="46" t="str">
        <f>'Annex 2 EHV charges'!L10</f>
        <v>Export
Super Red
unit charge
(p/kWh)</v>
      </c>
      <c r="F4" s="46" t="str">
        <f>'Annex 2 EHV charges'!M10</f>
        <v>Export
fixed charge
(p/day)</v>
      </c>
      <c r="G4" s="46" t="str">
        <f>'Annex 2 EHV charges'!N10</f>
        <v>Export
capacity charge
(p/kVA/day)</v>
      </c>
      <c r="H4" s="46" t="str">
        <f>'Annex 2 EHV charges'!O10</f>
        <v>Export
exceeded capacity charge
(p/kVA/day)</v>
      </c>
    </row>
    <row r="5" spans="1:15" ht="12.75" customHeight="1" x14ac:dyDescent="0.35">
      <c r="A5" s="88">
        <f t="array" ref="A5">IFERROR(INDEX('Annex 2 EHV charges'!$D$11:$D$260, MATCH(0, IF(ISBLANK('Annex 2 EHV charges'!$D$11:$D$260),1, COUNTIF(A$4:$A4, 'Annex 2 EHV charges'!$D$11:$D$260)), 0)),"")</f>
        <v>644</v>
      </c>
      <c r="B5" s="87">
        <f>IF($A5="","",VLOOKUP($A5,'Annex 2 EHV charges'!$D:$O,2,0))</f>
        <v>644</v>
      </c>
      <c r="C5" s="88">
        <f>IF($A5="","",VLOOKUP($A5,'Annex 2 EHV charges'!$D:$O,3,0))</f>
        <v>1800060775990</v>
      </c>
      <c r="D5" s="87" t="str">
        <f>IF($A5="","",VLOOKUP($A5,'Annex 2 EHV charges'!$D:$O,4,0))</f>
        <v>Rhodders</v>
      </c>
      <c r="E5" s="89" t="str">
        <f>IFERROR(IF(VLOOKUP($A5,'Annex 2 EHV charges'!$D:$O,9,FALSE)=0,"",VLOOKUP($A5,'Annex 2 EHV charges'!$D:$O,9,FALSE)),"")</f>
        <v>-</v>
      </c>
      <c r="F5" s="90">
        <f>IFERROR(IF(VLOOKUP($A5,'Annex 2 EHV charges'!$D:$O,10,FALSE)=0,"",VLOOKUP($A5,'Annex 2 EHV charges'!$D:$O,10,FALSE)),"")</f>
        <v>5687.62</v>
      </c>
      <c r="G5" s="91">
        <f>IFERROR(IF(VLOOKUP($A5,'Annex 2 EHV charges'!$D:$O,11,FALSE)=0,"",VLOOKUP($A5,'Annex 2 EHV charges'!$D:$O,11,FALSE)),"")</f>
        <v>0.05</v>
      </c>
      <c r="H5" s="91">
        <f>IFERROR(IF(VLOOKUP($A5,'Annex 2 EHV charges'!$D:$O,12,FALSE)=0,"",VLOOKUP($A5,'Annex 2 EHV charges'!$D:$O,12,FALSE)),"")</f>
        <v>0.05</v>
      </c>
      <c r="I5" s="229" t="str">
        <f>IF(VLOOKUP(C5,'Annex 2 EHV charges'!$F$11:$P$157,11,FALSE)&lt;=5,"",VLOOKUP(C5,'Annex 2 EHV charges'!$F$11:$P$157,11,FALSE))</f>
        <v/>
      </c>
    </row>
    <row r="6" spans="1:15" ht="12.75" customHeight="1" x14ac:dyDescent="0.35">
      <c r="A6" s="88" t="str">
        <f t="array" ref="A6">IFERROR(INDEX('Annex 2 EHV charges'!$D$11:$D$260, MATCH(0, IF(ISBLANK('Annex 2 EHV charges'!$D$11:$D$260),1, COUNTIF(A$4:$A5, 'Annex 2 EHV charges'!$D$11:$D$260)), 0)),"")</f>
        <v>MSID 8182</v>
      </c>
      <c r="B6" s="87" t="str">
        <f>IF($A6="","",VLOOKUP($A6,'Annex 2 EHV charges'!$D:$O,2,0))</f>
        <v>MSID 8182</v>
      </c>
      <c r="C6" s="88" t="str">
        <f>IF($A6="","",VLOOKUP($A6,'Annex 2 EHV charges'!$D:$O,3,0))</f>
        <v>MSID 8182</v>
      </c>
      <c r="D6" s="87" t="str">
        <f>IF($A6="","",VLOOKUP($A6,'Annex 2 EHV charges'!$D:$O,4,0))</f>
        <v>Minsca</v>
      </c>
      <c r="E6" s="89" t="str">
        <f>IFERROR(IF(VLOOKUP($A6,'Annex 2 EHV charges'!$D:$O,9,FALSE)=0,"",VLOOKUP($A6,'Annex 2 EHV charges'!$D:$O,9,FALSE)),"")</f>
        <v>-</v>
      </c>
      <c r="F6" s="90" t="str">
        <f>IFERROR(IF(VLOOKUP($A6,'Annex 2 EHV charges'!$D:$O,10,FALSE)=0,"",VLOOKUP($A6,'Annex 2 EHV charges'!$D:$O,10,FALSE)),"")</f>
        <v>-</v>
      </c>
      <c r="G6" s="91" t="str">
        <f>IFERROR(IF(VLOOKUP($A6,'Annex 2 EHV charges'!$D:$O,11,FALSE)=0,"",VLOOKUP($A6,'Annex 2 EHV charges'!$D:$O,11,FALSE)),"")</f>
        <v>-</v>
      </c>
      <c r="H6" s="91" t="str">
        <f>IFERROR(IF(VLOOKUP($A6,'Annex 2 EHV charges'!$D:$O,12,FALSE)=0,"",VLOOKUP($A6,'Annex 2 EHV charges'!$D:$O,12,FALSE)),"")</f>
        <v>-</v>
      </c>
      <c r="I6" s="229" t="str">
        <f>IF(VLOOKUP(C6,'Annex 2 EHV charges'!$F$11:$P$157,11,FALSE)&lt;=5,"",VLOOKUP(C6,'Annex 2 EHV charges'!$F$11:$P$157,11,FALSE))</f>
        <v/>
      </c>
    </row>
    <row r="7" spans="1:15" ht="12.75" customHeight="1" x14ac:dyDescent="0.35">
      <c r="A7" s="88">
        <f t="array" ref="A7">IFERROR(INDEX('Annex 2 EHV charges'!$D$11:$D$260, MATCH(0, IF(ISBLANK('Annex 2 EHV charges'!$D$11:$D$260),1, COUNTIF(A$4:$A6, 'Annex 2 EHV charges'!$D$11:$D$260)), 0)),"")</f>
        <v>683</v>
      </c>
      <c r="B7" s="87">
        <f>IF($A7="","",VLOOKUP($A7,'Annex 2 EHV charges'!$D:$O,2,0))</f>
        <v>683</v>
      </c>
      <c r="C7" s="88">
        <f>IF($A7="","",VLOOKUP($A7,'Annex 2 EHV charges'!$D:$O,3,0))</f>
        <v>1800060539971</v>
      </c>
      <c r="D7" s="87" t="str">
        <f>IF($A7="","",VLOOKUP($A7,'Annex 2 EHV charges'!$D:$O,4,0))</f>
        <v xml:space="preserve">Bankend Rig </v>
      </c>
      <c r="E7" s="89" t="str">
        <f>IFERROR(IF(VLOOKUP($A7,'Annex 2 EHV charges'!$D:$O,9,FALSE)=0,"",VLOOKUP($A7,'Annex 2 EHV charges'!$D:$O,9,FALSE)),"")</f>
        <v>-</v>
      </c>
      <c r="F7" s="90">
        <f>IFERROR(IF(VLOOKUP($A7,'Annex 2 EHV charges'!$D:$O,10,FALSE)=0,"",VLOOKUP($A7,'Annex 2 EHV charges'!$D:$O,10,FALSE)),"")</f>
        <v>4944.09</v>
      </c>
      <c r="G7" s="91">
        <f>IFERROR(IF(VLOOKUP($A7,'Annex 2 EHV charges'!$D:$O,11,FALSE)=0,"",VLOOKUP($A7,'Annex 2 EHV charges'!$D:$O,11,FALSE)),"")</f>
        <v>0.05</v>
      </c>
      <c r="H7" s="91">
        <f>IFERROR(IF(VLOOKUP($A7,'Annex 2 EHV charges'!$D:$O,12,FALSE)=0,"",VLOOKUP($A7,'Annex 2 EHV charges'!$D:$O,12,FALSE)),"")</f>
        <v>0.05</v>
      </c>
      <c r="I7" s="229" t="str">
        <f>IF(VLOOKUP(C7,'Annex 2 EHV charges'!$F$11:$P$157,11,FALSE)&lt;=5,"",VLOOKUP(C7,'Annex 2 EHV charges'!$F$11:$P$157,11,FALSE))</f>
        <v/>
      </c>
    </row>
    <row r="8" spans="1:15" ht="12.75" customHeight="1" x14ac:dyDescent="0.35">
      <c r="A8" s="88">
        <f t="array" ref="A8">IFERROR(INDEX('Annex 2 EHV charges'!$D$11:$D$260, MATCH(0, IF(ISBLANK('Annex 2 EHV charges'!$D$11:$D$260),1, COUNTIF(A$4:$A7, 'Annex 2 EHV charges'!$D$11:$D$260)), 0)),"")</f>
        <v>684</v>
      </c>
      <c r="B8" s="87">
        <f>IF($A8="","",VLOOKUP($A8,'Annex 2 EHV charges'!$D:$O,2,0))</f>
        <v>684</v>
      </c>
      <c r="C8" s="88">
        <f>IF($A8="","",VLOOKUP($A8,'Annex 2 EHV charges'!$D:$O,3,0))</f>
        <v>1800060532717</v>
      </c>
      <c r="D8" s="87" t="str">
        <f>IF($A8="","",VLOOKUP($A8,'Annex 2 EHV charges'!$D:$O,4,0))</f>
        <v>Barlockhart Moor</v>
      </c>
      <c r="E8" s="89" t="str">
        <f>IFERROR(IF(VLOOKUP($A8,'Annex 2 EHV charges'!$D:$O,9,FALSE)=0,"",VLOOKUP($A8,'Annex 2 EHV charges'!$D:$O,9,FALSE)),"")</f>
        <v>-</v>
      </c>
      <c r="F8" s="90">
        <f>IFERROR(IF(VLOOKUP($A8,'Annex 2 EHV charges'!$D:$O,10,FALSE)=0,"",VLOOKUP($A8,'Annex 2 EHV charges'!$D:$O,10,FALSE)),"")</f>
        <v>8983</v>
      </c>
      <c r="G8" s="91">
        <f>IFERROR(IF(VLOOKUP($A8,'Annex 2 EHV charges'!$D:$O,11,FALSE)=0,"",VLOOKUP($A8,'Annex 2 EHV charges'!$D:$O,11,FALSE)),"")</f>
        <v>0.05</v>
      </c>
      <c r="H8" s="91">
        <f>IFERROR(IF(VLOOKUP($A8,'Annex 2 EHV charges'!$D:$O,12,FALSE)=0,"",VLOOKUP($A8,'Annex 2 EHV charges'!$D:$O,12,FALSE)),"")</f>
        <v>0.05</v>
      </c>
      <c r="I8" s="229" t="str">
        <f>IF(VLOOKUP(C8,'Annex 2 EHV charges'!$F$11:$P$157,11,FALSE)&lt;=5,"",VLOOKUP(C8,'Annex 2 EHV charges'!$F$11:$P$157,11,FALSE))</f>
        <v/>
      </c>
    </row>
    <row r="9" spans="1:15" ht="12.75" customHeight="1" x14ac:dyDescent="0.35">
      <c r="A9" s="88">
        <f t="array" ref="A9">IFERROR(INDEX('Annex 2 EHV charges'!$D$11:$D$260, MATCH(0, IF(ISBLANK('Annex 2 EHV charges'!$D$11:$D$260),1, COUNTIF(A$4:$A8, 'Annex 2 EHV charges'!$D$11:$D$260)), 0)),"")</f>
        <v>685</v>
      </c>
      <c r="B9" s="87">
        <f>IF($A9="","",VLOOKUP($A9,'Annex 2 EHV charges'!$D:$O,2,0))</f>
        <v>685</v>
      </c>
      <c r="C9" s="88">
        <f>IF($A9="","",VLOOKUP($A9,'Annex 2 EHV charges'!$D:$O,3,0))</f>
        <v>1800060532735</v>
      </c>
      <c r="D9" s="87" t="str">
        <f>IF($A9="","",VLOOKUP($A9,'Annex 2 EHV charges'!$D:$O,4,0))</f>
        <v>Blantyre Muir</v>
      </c>
      <c r="E9" s="89" t="str">
        <f>IFERROR(IF(VLOOKUP($A9,'Annex 2 EHV charges'!$D:$O,9,FALSE)=0,"",VLOOKUP($A9,'Annex 2 EHV charges'!$D:$O,9,FALSE)),"")</f>
        <v>-</v>
      </c>
      <c r="F9" s="90">
        <f>IFERROR(IF(VLOOKUP($A9,'Annex 2 EHV charges'!$D:$O,10,FALSE)=0,"",VLOOKUP($A9,'Annex 2 EHV charges'!$D:$O,10,FALSE)),"")</f>
        <v>5840.28</v>
      </c>
      <c r="G9" s="91">
        <f>IFERROR(IF(VLOOKUP($A9,'Annex 2 EHV charges'!$D:$O,11,FALSE)=0,"",VLOOKUP($A9,'Annex 2 EHV charges'!$D:$O,11,FALSE)),"")</f>
        <v>0.05</v>
      </c>
      <c r="H9" s="91">
        <f>IFERROR(IF(VLOOKUP($A9,'Annex 2 EHV charges'!$D:$O,12,FALSE)=0,"",VLOOKUP($A9,'Annex 2 EHV charges'!$D:$O,12,FALSE)),"")</f>
        <v>0.05</v>
      </c>
      <c r="I9" s="229" t="str">
        <f>IF(VLOOKUP(C9,'Annex 2 EHV charges'!$F$11:$P$157,11,FALSE)&lt;=5,"",VLOOKUP(C9,'Annex 2 EHV charges'!$F$11:$P$157,11,FALSE))</f>
        <v/>
      </c>
    </row>
    <row r="10" spans="1:15" ht="12.75" customHeight="1" x14ac:dyDescent="0.35">
      <c r="A10" s="88">
        <f t="array" ref="A10">IFERROR(INDEX('Annex 2 EHV charges'!$D$11:$D$260, MATCH(0, IF(ISBLANK('Annex 2 EHV charges'!$D$11:$D$260),1, COUNTIF(A$4:$A9, 'Annex 2 EHV charges'!$D$11:$D$260)), 0)),"")</f>
        <v>693</v>
      </c>
      <c r="B10" s="87">
        <f>IF($A10="","",VLOOKUP($A10,'Annex 2 EHV charges'!$D:$O,2,0))</f>
        <v>693</v>
      </c>
      <c r="C10" s="88">
        <f>IF($A10="","",VLOOKUP($A10,'Annex 2 EHV charges'!$D:$O,3,0))</f>
        <v>1800060587869</v>
      </c>
      <c r="D10" s="87" t="str">
        <f>IF($A10="","",VLOOKUP($A10,'Annex 2 EHV charges'!$D:$O,4,0))</f>
        <v>Hunterston WF</v>
      </c>
      <c r="E10" s="89" t="str">
        <f>IFERROR(IF(VLOOKUP($A10,'Annex 2 EHV charges'!$D:$O,9,FALSE)=0,"",VLOOKUP($A10,'Annex 2 EHV charges'!$D:$O,9,FALSE)),"")</f>
        <v>-</v>
      </c>
      <c r="F10" s="90" t="str">
        <f>IFERROR(IF(VLOOKUP($A10,'Annex 2 EHV charges'!$D:$O,10,FALSE)=0,"",VLOOKUP($A10,'Annex 2 EHV charges'!$D:$O,10,FALSE)),"")</f>
        <v>-</v>
      </c>
      <c r="G10" s="91" t="str">
        <f>IFERROR(IF(VLOOKUP($A10,'Annex 2 EHV charges'!$D:$O,11,FALSE)=0,"",VLOOKUP($A10,'Annex 2 EHV charges'!$D:$O,11,FALSE)),"")</f>
        <v>-</v>
      </c>
      <c r="H10" s="91" t="str">
        <f>IFERROR(IF(VLOOKUP($A10,'Annex 2 EHV charges'!$D:$O,12,FALSE)=0,"",VLOOKUP($A10,'Annex 2 EHV charges'!$D:$O,12,FALSE)),"")</f>
        <v>-</v>
      </c>
      <c r="I10" s="229" t="str">
        <f>IF(VLOOKUP(C10,'Annex 2 EHV charges'!$F$11:$P$157,11,FALSE)&lt;=5,"",VLOOKUP(C10,'Annex 2 EHV charges'!$F$11:$P$157,11,FALSE))</f>
        <v/>
      </c>
    </row>
    <row r="11" spans="1:15" ht="12.75" customHeight="1" x14ac:dyDescent="0.35">
      <c r="A11" s="88">
        <f t="array" ref="A11">IFERROR(INDEX('Annex 2 EHV charges'!$D$11:$D$260, MATCH(0, IF(ISBLANK('Annex 2 EHV charges'!$D$11:$D$260),1, COUNTIF(A$4:$A10, 'Annex 2 EHV charges'!$D$11:$D$260)), 0)),"")</f>
        <v>688</v>
      </c>
      <c r="B11" s="87">
        <f>IF($A11="","",VLOOKUP($A11,'Annex 2 EHV charges'!$D:$O,2,0))</f>
        <v>688</v>
      </c>
      <c r="C11" s="88">
        <f>IF($A11="","",VLOOKUP($A11,'Annex 2 EHV charges'!$D:$O,3,0))</f>
        <v>1800060532656</v>
      </c>
      <c r="D11" s="87" t="str">
        <f>IF($A11="","",VLOOKUP($A11,'Annex 2 EHV charges'!$D:$O,4,0))</f>
        <v>Middleton Farm</v>
      </c>
      <c r="E11" s="89" t="str">
        <f>IFERROR(IF(VLOOKUP($A11,'Annex 2 EHV charges'!$D:$O,9,FALSE)=0,"",VLOOKUP($A11,'Annex 2 EHV charges'!$D:$O,9,FALSE)),"")</f>
        <v>-</v>
      </c>
      <c r="F11" s="90">
        <f>IFERROR(IF(VLOOKUP($A11,'Annex 2 EHV charges'!$D:$O,10,FALSE)=0,"",VLOOKUP($A11,'Annex 2 EHV charges'!$D:$O,10,FALSE)),"")</f>
        <v>5222.16</v>
      </c>
      <c r="G11" s="91">
        <f>IFERROR(IF(VLOOKUP($A11,'Annex 2 EHV charges'!$D:$O,11,FALSE)=0,"",VLOOKUP($A11,'Annex 2 EHV charges'!$D:$O,11,FALSE)),"")</f>
        <v>0.05</v>
      </c>
      <c r="H11" s="91">
        <f>IFERROR(IF(VLOOKUP($A11,'Annex 2 EHV charges'!$D:$O,12,FALSE)=0,"",VLOOKUP($A11,'Annex 2 EHV charges'!$D:$O,12,FALSE)),"")</f>
        <v>0.05</v>
      </c>
      <c r="I11" s="229" t="str">
        <f>IF(VLOOKUP(C11,'Annex 2 EHV charges'!$F$11:$P$157,11,FALSE)&lt;=5,"",VLOOKUP(C11,'Annex 2 EHV charges'!$F$11:$P$157,11,FALSE))</f>
        <v/>
      </c>
    </row>
    <row r="12" spans="1:15" ht="12.75" customHeight="1" x14ac:dyDescent="0.35">
      <c r="A12" s="88">
        <f t="array" ref="A12">IFERROR(INDEX('Annex 2 EHV charges'!$D$11:$D$260, MATCH(0, IF(ISBLANK('Annex 2 EHV charges'!$D$11:$D$260),1, COUNTIF(A$4:$A11, 'Annex 2 EHV charges'!$D$11:$D$260)), 0)),"")</f>
        <v>689</v>
      </c>
      <c r="B12" s="87">
        <f>IF($A12="","",VLOOKUP($A12,'Annex 2 EHV charges'!$D:$O,2,0))</f>
        <v>689</v>
      </c>
      <c r="C12" s="88">
        <f>IF($A12="","",VLOOKUP($A12,'Annex 2 EHV charges'!$D:$O,3,0))</f>
        <v>1800060532674</v>
      </c>
      <c r="D12" s="87" t="str">
        <f>IF($A12="","",VLOOKUP($A12,'Annex 2 EHV charges'!$D:$O,4,0))</f>
        <v>Neilston Community</v>
      </c>
      <c r="E12" s="89" t="str">
        <f>IFERROR(IF(VLOOKUP($A12,'Annex 2 EHV charges'!$D:$O,9,FALSE)=0,"",VLOOKUP($A12,'Annex 2 EHV charges'!$D:$O,9,FALSE)),"")</f>
        <v>-</v>
      </c>
      <c r="F12" s="90">
        <f>IFERROR(IF(VLOOKUP($A12,'Annex 2 EHV charges'!$D:$O,10,FALSE)=0,"",VLOOKUP($A12,'Annex 2 EHV charges'!$D:$O,10,FALSE)),"")</f>
        <v>6406.7</v>
      </c>
      <c r="G12" s="91">
        <f>IFERROR(IF(VLOOKUP($A12,'Annex 2 EHV charges'!$D:$O,11,FALSE)=0,"",VLOOKUP($A12,'Annex 2 EHV charges'!$D:$O,11,FALSE)),"")</f>
        <v>0.05</v>
      </c>
      <c r="H12" s="91">
        <f>IFERROR(IF(VLOOKUP($A12,'Annex 2 EHV charges'!$D:$O,12,FALSE)=0,"",VLOOKUP($A12,'Annex 2 EHV charges'!$D:$O,12,FALSE)),"")</f>
        <v>0.05</v>
      </c>
      <c r="I12" s="229" t="str">
        <f>IF(VLOOKUP(C12,'Annex 2 EHV charges'!$F$11:$P$157,11,FALSE)&lt;=5,"",VLOOKUP(C12,'Annex 2 EHV charges'!$F$11:$P$157,11,FALSE))</f>
        <v/>
      </c>
    </row>
    <row r="13" spans="1:15" ht="12.75" customHeight="1" x14ac:dyDescent="0.35">
      <c r="A13" s="88">
        <f t="array" ref="A13">IFERROR(INDEX('Annex 2 EHV charges'!$D$11:$D$260, MATCH(0, IF(ISBLANK('Annex 2 EHV charges'!$D$11:$D$260),1, COUNTIF(A$4:$A12, 'Annex 2 EHV charges'!$D$11:$D$260)), 0)),"")</f>
        <v>681</v>
      </c>
      <c r="B13" s="87">
        <f>IF($A13="","",VLOOKUP($A13,'Annex 2 EHV charges'!$D:$O,2,0))</f>
        <v>681</v>
      </c>
      <c r="C13" s="88">
        <f>IF($A13="","",VLOOKUP($A13,'Annex 2 EHV charges'!$D:$O,3,0))</f>
        <v>1800053653880</v>
      </c>
      <c r="D13" s="87" t="str">
        <f>IF($A13="","",VLOOKUP($A13,'Annex 2 EHV charges'!$D:$O,4,0))</f>
        <v>Garlaff Landfill</v>
      </c>
      <c r="E13" s="89" t="str">
        <f>IFERROR(IF(VLOOKUP($A13,'Annex 2 EHV charges'!$D:$O,9,FALSE)=0,"",VLOOKUP($A13,'Annex 2 EHV charges'!$D:$O,9,FALSE)),"")</f>
        <v>-</v>
      </c>
      <c r="F13" s="90" t="str">
        <f>IFERROR(IF(VLOOKUP($A13,'Annex 2 EHV charges'!$D:$O,10,FALSE)=0,"",VLOOKUP($A13,'Annex 2 EHV charges'!$D:$O,10,FALSE)),"")</f>
        <v>-</v>
      </c>
      <c r="G13" s="91" t="str">
        <f>IFERROR(IF(VLOOKUP($A13,'Annex 2 EHV charges'!$D:$O,11,FALSE)=0,"",VLOOKUP($A13,'Annex 2 EHV charges'!$D:$O,11,FALSE)),"")</f>
        <v>-</v>
      </c>
      <c r="H13" s="91" t="str">
        <f>IFERROR(IF(VLOOKUP($A13,'Annex 2 EHV charges'!$D:$O,12,FALSE)=0,"",VLOOKUP($A13,'Annex 2 EHV charges'!$D:$O,12,FALSE)),"")</f>
        <v>-</v>
      </c>
      <c r="I13" s="229" t="str">
        <f>IF(VLOOKUP(C13,'Annex 2 EHV charges'!$F$11:$P$157,11,FALSE)&lt;=5,"",VLOOKUP(C13,'Annex 2 EHV charges'!$F$11:$P$157,11,FALSE))</f>
        <v/>
      </c>
    </row>
    <row r="14" spans="1:15" ht="12.75" customHeight="1" x14ac:dyDescent="0.35">
      <c r="A14" s="88">
        <f t="array" ref="A14">IFERROR(INDEX('Annex 2 EHV charges'!$D$11:$D$260, MATCH(0, IF(ISBLANK('Annex 2 EHV charges'!$D$11:$D$260),1, COUNTIF(A$4:$A13, 'Annex 2 EHV charges'!$D$11:$D$260)), 0)),"")</f>
        <v>629</v>
      </c>
      <c r="B14" s="87">
        <f>IF($A14="","",VLOOKUP($A14,'Annex 2 EHV charges'!$D:$O,2,0))</f>
        <v>629</v>
      </c>
      <c r="C14" s="88">
        <f>IF($A14="","",VLOOKUP($A14,'Annex 2 EHV charges'!$D:$O,3,0))</f>
        <v>1800054992977</v>
      </c>
      <c r="D14" s="87" t="str">
        <f>IF($A14="","",VLOOKUP($A14,'Annex 2 EHV charges'!$D:$O,4,0))</f>
        <v>Hagshaw Hill Extension</v>
      </c>
      <c r="E14" s="89" t="str">
        <f>IFERROR(IF(VLOOKUP($A14,'Annex 2 EHV charges'!$D:$O,9,FALSE)=0,"",VLOOKUP($A14,'Annex 2 EHV charges'!$D:$O,9,FALSE)),"")</f>
        <v>-</v>
      </c>
      <c r="F14" s="90">
        <f>IFERROR(IF(VLOOKUP($A14,'Annex 2 EHV charges'!$D:$O,10,FALSE)=0,"",VLOOKUP($A14,'Annex 2 EHV charges'!$D:$O,10,FALSE)),"")</f>
        <v>18154.96</v>
      </c>
      <c r="G14" s="91">
        <f>IFERROR(IF(VLOOKUP($A14,'Annex 2 EHV charges'!$D:$O,11,FALSE)=0,"",VLOOKUP($A14,'Annex 2 EHV charges'!$D:$O,11,FALSE)),"")</f>
        <v>0.05</v>
      </c>
      <c r="H14" s="91">
        <f>IFERROR(IF(VLOOKUP($A14,'Annex 2 EHV charges'!$D:$O,12,FALSE)=0,"",VLOOKUP($A14,'Annex 2 EHV charges'!$D:$O,12,FALSE)),"")</f>
        <v>0.05</v>
      </c>
      <c r="I14" s="229" t="str">
        <f>IF(VLOOKUP(C14,'Annex 2 EHV charges'!$F$11:$P$157,11,FALSE)&lt;=5,"",VLOOKUP(C14,'Annex 2 EHV charges'!$F$11:$P$157,11,FALSE))</f>
        <v/>
      </c>
    </row>
    <row r="15" spans="1:15" ht="12.75" customHeight="1" x14ac:dyDescent="0.35">
      <c r="A15" s="88">
        <f t="array" ref="A15">IFERROR(INDEX('Annex 2 EHV charges'!$D$11:$D$260, MATCH(0, IF(ISBLANK('Annex 2 EHV charges'!$D$11:$D$260),1, COUNTIF(A$4:$A14, 'Annex 2 EHV charges'!$D$11:$D$260)), 0)),"")</f>
        <v>671</v>
      </c>
      <c r="B15" s="87">
        <f>IF($A15="","",VLOOKUP($A15,'Annex 2 EHV charges'!$D:$O,2,0))</f>
        <v>671</v>
      </c>
      <c r="C15" s="88">
        <f>IF($A15="","",VLOOKUP($A15,'Annex 2 EHV charges'!$D:$O,3,0))</f>
        <v>1800060328044</v>
      </c>
      <c r="D15" s="87" t="str">
        <f>IF($A15="","",VLOOKUP($A15,'Annex 2 EHV charges'!$D:$O,4,0))</f>
        <v>Muirhall</v>
      </c>
      <c r="E15" s="89" t="str">
        <f>IFERROR(IF(VLOOKUP($A15,'Annex 2 EHV charges'!$D:$O,9,FALSE)=0,"",VLOOKUP($A15,'Annex 2 EHV charges'!$D:$O,9,FALSE)),"")</f>
        <v>-</v>
      </c>
      <c r="F15" s="90">
        <f>IFERROR(IF(VLOOKUP($A15,'Annex 2 EHV charges'!$D:$O,10,FALSE)=0,"",VLOOKUP($A15,'Annex 2 EHV charges'!$D:$O,10,FALSE)),"")</f>
        <v>8204.4500000000007</v>
      </c>
      <c r="G15" s="91">
        <f>IFERROR(IF(VLOOKUP($A15,'Annex 2 EHV charges'!$D:$O,11,FALSE)=0,"",VLOOKUP($A15,'Annex 2 EHV charges'!$D:$O,11,FALSE)),"")</f>
        <v>0.05</v>
      </c>
      <c r="H15" s="91">
        <f>IFERROR(IF(VLOOKUP($A15,'Annex 2 EHV charges'!$D:$O,12,FALSE)=0,"",VLOOKUP($A15,'Annex 2 EHV charges'!$D:$O,12,FALSE)),"")</f>
        <v>0.05</v>
      </c>
      <c r="I15" s="229" t="str">
        <f>IF(VLOOKUP(C15,'Annex 2 EHV charges'!$F$11:$P$157,11,FALSE)&lt;=5,"",VLOOKUP(C15,'Annex 2 EHV charges'!$F$11:$P$157,11,FALSE))</f>
        <v/>
      </c>
    </row>
    <row r="16" spans="1:15" ht="12.75" customHeight="1" x14ac:dyDescent="0.35">
      <c r="A16" s="88">
        <f t="array" ref="A16">IFERROR(INDEX('Annex 2 EHV charges'!$D$11:$D$260, MATCH(0, IF(ISBLANK('Annex 2 EHV charges'!$D$11:$D$260),1, COUNTIF(A$4:$A15, 'Annex 2 EHV charges'!$D$11:$D$260)), 0)),"")</f>
        <v>672</v>
      </c>
      <c r="B16" s="87">
        <f>IF($A16="","",VLOOKUP($A16,'Annex 2 EHV charges'!$D:$O,2,0))</f>
        <v>672</v>
      </c>
      <c r="C16" s="88">
        <f>IF($A16="","",VLOOKUP($A16,'Annex 2 EHV charges'!$D:$O,3,0))</f>
        <v>1800060372122</v>
      </c>
      <c r="D16" s="87" t="str">
        <f>IF($A16="","",VLOOKUP($A16,'Annex 2 EHV charges'!$D:$O,4,0))</f>
        <v>Burnfoot</v>
      </c>
      <c r="E16" s="89" t="str">
        <f>IFERROR(IF(VLOOKUP($A16,'Annex 2 EHV charges'!$D:$O,9,FALSE)=0,"",VLOOKUP($A16,'Annex 2 EHV charges'!$D:$O,9,FALSE)),"")</f>
        <v>-</v>
      </c>
      <c r="F16" s="90">
        <f>IFERROR(IF(VLOOKUP($A16,'Annex 2 EHV charges'!$D:$O,10,FALSE)=0,"",VLOOKUP($A16,'Annex 2 EHV charges'!$D:$O,10,FALSE)),"")</f>
        <v>8017.86</v>
      </c>
      <c r="G16" s="91">
        <f>IFERROR(IF(VLOOKUP($A16,'Annex 2 EHV charges'!$D:$O,11,FALSE)=0,"",VLOOKUP($A16,'Annex 2 EHV charges'!$D:$O,11,FALSE)),"")</f>
        <v>0.05</v>
      </c>
      <c r="H16" s="91">
        <f>IFERROR(IF(VLOOKUP($A16,'Annex 2 EHV charges'!$D:$O,12,FALSE)=0,"",VLOOKUP($A16,'Annex 2 EHV charges'!$D:$O,12,FALSE)),"")</f>
        <v>0.05</v>
      </c>
      <c r="I16" s="229" t="str">
        <f>IF(VLOOKUP(C16,'Annex 2 EHV charges'!$F$11:$P$157,11,FALSE)&lt;=5,"",VLOOKUP(C16,'Annex 2 EHV charges'!$F$11:$P$157,11,FALSE))</f>
        <v/>
      </c>
    </row>
    <row r="17" spans="1:9" ht="12.75" customHeight="1" x14ac:dyDescent="0.35">
      <c r="A17" s="88">
        <f t="array" ref="A17">IFERROR(INDEX('Annex 2 EHV charges'!$D$11:$D$260, MATCH(0, IF(ISBLANK('Annex 2 EHV charges'!$D$11:$D$260),1, COUNTIF(A$4:$A16, 'Annex 2 EHV charges'!$D$11:$D$260)), 0)),"")</f>
        <v>690</v>
      </c>
      <c r="B17" s="87">
        <f>IF($A17="","",VLOOKUP($A17,'Annex 2 EHV charges'!$D:$O,2,0))</f>
        <v>690</v>
      </c>
      <c r="C17" s="88">
        <f>IF($A17="","",VLOOKUP($A17,'Annex 2 EHV charges'!$D:$O,3,0))</f>
        <v>1800060532503</v>
      </c>
      <c r="D17" s="87" t="str">
        <f>IF($A17="","",VLOOKUP($A17,'Annex 2 EHV charges'!$D:$O,4,0))</f>
        <v>Westfield WF</v>
      </c>
      <c r="E17" s="89" t="str">
        <f>IFERROR(IF(VLOOKUP($A17,'Annex 2 EHV charges'!$D:$O,9,FALSE)=0,"",VLOOKUP($A17,'Annex 2 EHV charges'!$D:$O,9,FALSE)),"")</f>
        <v>-</v>
      </c>
      <c r="F17" s="90">
        <f>IFERROR(IF(VLOOKUP($A17,'Annex 2 EHV charges'!$D:$O,10,FALSE)=0,"",VLOOKUP($A17,'Annex 2 EHV charges'!$D:$O,10,FALSE)),"")</f>
        <v>7138.36</v>
      </c>
      <c r="G17" s="91">
        <f>IFERROR(IF(VLOOKUP($A17,'Annex 2 EHV charges'!$D:$O,11,FALSE)=0,"",VLOOKUP($A17,'Annex 2 EHV charges'!$D:$O,11,FALSE)),"")</f>
        <v>0.05</v>
      </c>
      <c r="H17" s="91">
        <f>IFERROR(IF(VLOOKUP($A17,'Annex 2 EHV charges'!$D:$O,12,FALSE)=0,"",VLOOKUP($A17,'Annex 2 EHV charges'!$D:$O,12,FALSE)),"")</f>
        <v>0.05</v>
      </c>
      <c r="I17" s="229" t="str">
        <f>IF(VLOOKUP(C17,'Annex 2 EHV charges'!$F$11:$P$157,11,FALSE)&lt;=5,"",VLOOKUP(C17,'Annex 2 EHV charges'!$F$11:$P$157,11,FALSE))</f>
        <v/>
      </c>
    </row>
    <row r="18" spans="1:9" ht="12.75" customHeight="1" x14ac:dyDescent="0.35">
      <c r="A18" s="88">
        <f t="array" ref="A18">IFERROR(INDEX('Annex 2 EHV charges'!$D$11:$D$260, MATCH(0, IF(ISBLANK('Annex 2 EHV charges'!$D$11:$D$260),1, COUNTIF(A$4:$A17, 'Annex 2 EHV charges'!$D$11:$D$260)), 0)),"")</f>
        <v>691</v>
      </c>
      <c r="B18" s="87">
        <f>IF($A18="","",VLOOKUP($A18,'Annex 2 EHV charges'!$D:$O,2,0))</f>
        <v>691</v>
      </c>
      <c r="C18" s="88">
        <f>IF($A18="","",VLOOKUP($A18,'Annex 2 EHV charges'!$D:$O,3,0))</f>
        <v>1800060532692</v>
      </c>
      <c r="D18" s="87" t="str">
        <f>IF($A18="","",VLOOKUP($A18,'Annex 2 EHV charges'!$D:$O,4,0))</f>
        <v>Barmoor WF</v>
      </c>
      <c r="E18" s="89" t="str">
        <f>IFERROR(IF(VLOOKUP($A18,'Annex 2 EHV charges'!$D:$O,9,FALSE)=0,"",VLOOKUP($A18,'Annex 2 EHV charges'!$D:$O,9,FALSE)),"")</f>
        <v>-</v>
      </c>
      <c r="F18" s="90">
        <f>IFERROR(IF(VLOOKUP($A18,'Annex 2 EHV charges'!$D:$O,10,FALSE)=0,"",VLOOKUP($A18,'Annex 2 EHV charges'!$D:$O,10,FALSE)),"")</f>
        <v>19067.14</v>
      </c>
      <c r="G18" s="91">
        <f>IFERROR(IF(VLOOKUP($A18,'Annex 2 EHV charges'!$D:$O,11,FALSE)=0,"",VLOOKUP($A18,'Annex 2 EHV charges'!$D:$O,11,FALSE)),"")</f>
        <v>0.05</v>
      </c>
      <c r="H18" s="91">
        <f>IFERROR(IF(VLOOKUP($A18,'Annex 2 EHV charges'!$D:$O,12,FALSE)=0,"",VLOOKUP($A18,'Annex 2 EHV charges'!$D:$O,12,FALSE)),"")</f>
        <v>0.05</v>
      </c>
      <c r="I18" s="229" t="str">
        <f>IF(VLOOKUP(C18,'Annex 2 EHV charges'!$F$11:$P$157,11,FALSE)&lt;=5,"",VLOOKUP(C18,'Annex 2 EHV charges'!$F$11:$P$157,11,FALSE))</f>
        <v/>
      </c>
    </row>
    <row r="19" spans="1:9" ht="12.75" customHeight="1" x14ac:dyDescent="0.35">
      <c r="A19" s="88">
        <f t="array" ref="A19">IFERROR(INDEX('Annex 2 EHV charges'!$D$11:$D$260, MATCH(0, IF(ISBLANK('Annex 2 EHV charges'!$D$11:$D$260),1, COUNTIF(A$4:$A18, 'Annex 2 EHV charges'!$D$11:$D$260)), 0)),"")</f>
        <v>692</v>
      </c>
      <c r="B19" s="87">
        <f>IF($A19="","",VLOOKUP($A19,'Annex 2 EHV charges'!$D:$O,2,0))</f>
        <v>692</v>
      </c>
      <c r="C19" s="88">
        <f>IF($A19="","",VLOOKUP($A19,'Annex 2 EHV charges'!$D:$O,3,0))</f>
        <v>1800060566993</v>
      </c>
      <c r="D19" s="87" t="str">
        <f>IF($A19="","",VLOOKUP($A19,'Annex 2 EHV charges'!$D:$O,4,0))</f>
        <v>Nutberry WF</v>
      </c>
      <c r="E19" s="89" t="str">
        <f>IFERROR(IF(VLOOKUP($A19,'Annex 2 EHV charges'!$D:$O,9,FALSE)=0,"",VLOOKUP($A19,'Annex 2 EHV charges'!$D:$O,9,FALSE)),"")</f>
        <v>-</v>
      </c>
      <c r="F19" s="90">
        <f>IFERROR(IF(VLOOKUP($A19,'Annex 2 EHV charges'!$D:$O,10,FALSE)=0,"",VLOOKUP($A19,'Annex 2 EHV charges'!$D:$O,10,FALSE)),"")</f>
        <v>15368.76</v>
      </c>
      <c r="G19" s="91">
        <f>IFERROR(IF(VLOOKUP($A19,'Annex 2 EHV charges'!$D:$O,11,FALSE)=0,"",VLOOKUP($A19,'Annex 2 EHV charges'!$D:$O,11,FALSE)),"")</f>
        <v>0.05</v>
      </c>
      <c r="H19" s="91">
        <f>IFERROR(IF(VLOOKUP($A19,'Annex 2 EHV charges'!$D:$O,12,FALSE)=0,"",VLOOKUP($A19,'Annex 2 EHV charges'!$D:$O,12,FALSE)),"")</f>
        <v>0.05</v>
      </c>
      <c r="I19" s="229" t="str">
        <f>IF(VLOOKUP(C19,'Annex 2 EHV charges'!$F$11:$P$157,11,FALSE)&lt;=5,"",VLOOKUP(C19,'Annex 2 EHV charges'!$F$11:$P$157,11,FALSE))</f>
        <v/>
      </c>
    </row>
    <row r="20" spans="1:9" ht="12.75" customHeight="1" x14ac:dyDescent="0.35">
      <c r="A20" s="88">
        <f t="array" ref="A20">IFERROR(INDEX('Annex 2 EHV charges'!$D$11:$D$260, MATCH(0, IF(ISBLANK('Annex 2 EHV charges'!$D$11:$D$260),1, COUNTIF(A$4:$A19, 'Annex 2 EHV charges'!$D$11:$D$260)), 0)),"")</f>
        <v>695</v>
      </c>
      <c r="B20" s="87">
        <f>IF($A20="","",VLOOKUP($A20,'Annex 2 EHV charges'!$D:$O,2,0))</f>
        <v>695</v>
      </c>
      <c r="C20" s="88">
        <f>IF($A20="","",VLOOKUP($A20,'Annex 2 EHV charges'!$D:$O,3,0))</f>
        <v>1800060652463</v>
      </c>
      <c r="D20" s="87" t="str">
        <f>IF($A20="","",VLOOKUP($A20,'Annex 2 EHV charges'!$D:$O,4,0))</f>
        <v>Carcreugh WF</v>
      </c>
      <c r="E20" s="89" t="str">
        <f>IFERROR(IF(VLOOKUP($A20,'Annex 2 EHV charges'!$D:$O,9,FALSE)=0,"",VLOOKUP($A20,'Annex 2 EHV charges'!$D:$O,9,FALSE)),"")</f>
        <v>-</v>
      </c>
      <c r="F20" s="90">
        <f>IFERROR(IF(VLOOKUP($A20,'Annex 2 EHV charges'!$D:$O,10,FALSE)=0,"",VLOOKUP($A20,'Annex 2 EHV charges'!$D:$O,10,FALSE)),"")</f>
        <v>6423.35</v>
      </c>
      <c r="G20" s="91">
        <f>IFERROR(IF(VLOOKUP($A20,'Annex 2 EHV charges'!$D:$O,11,FALSE)=0,"",VLOOKUP($A20,'Annex 2 EHV charges'!$D:$O,11,FALSE)),"")</f>
        <v>0.05</v>
      </c>
      <c r="H20" s="91">
        <f>IFERROR(IF(VLOOKUP($A20,'Annex 2 EHV charges'!$D:$O,12,FALSE)=0,"",VLOOKUP($A20,'Annex 2 EHV charges'!$D:$O,12,FALSE)),"")</f>
        <v>0.05</v>
      </c>
      <c r="I20" s="229" t="str">
        <f>IF(VLOOKUP(C20,'Annex 2 EHV charges'!$F$11:$P$157,11,FALSE)&lt;=5,"",VLOOKUP(C20,'Annex 2 EHV charges'!$F$11:$P$157,11,FALSE))</f>
        <v/>
      </c>
    </row>
    <row r="21" spans="1:9" ht="12.75" customHeight="1" x14ac:dyDescent="0.35">
      <c r="A21" s="88">
        <f t="array" ref="A21">IFERROR(INDEX('Annex 2 EHV charges'!$D$11:$D$260, MATCH(0, IF(ISBLANK('Annex 2 EHV charges'!$D$11:$D$260),1, COUNTIF(A$4:$A20, 'Annex 2 EHV charges'!$D$11:$D$260)), 0)),"")</f>
        <v>700</v>
      </c>
      <c r="B21" s="87">
        <f>IF($A21="","",VLOOKUP($A21,'Annex 2 EHV charges'!$D:$O,2,0))</f>
        <v>700</v>
      </c>
      <c r="C21" s="88">
        <f>IF($A21="","",VLOOKUP($A21,'Annex 2 EHV charges'!$D:$O,3,0))</f>
        <v>1800060642776</v>
      </c>
      <c r="D21" s="87" t="str">
        <f>IF($A21="","",VLOOKUP($A21,'Annex 2 EHV charges'!$D:$O,4,0))</f>
        <v>West Browncastle WF</v>
      </c>
      <c r="E21" s="89" t="str">
        <f>IFERROR(IF(VLOOKUP($A21,'Annex 2 EHV charges'!$D:$O,9,FALSE)=0,"",VLOOKUP($A21,'Annex 2 EHV charges'!$D:$O,9,FALSE)),"")</f>
        <v>-</v>
      </c>
      <c r="F21" s="90">
        <f>IFERROR(IF(VLOOKUP($A21,'Annex 2 EHV charges'!$D:$O,10,FALSE)=0,"",VLOOKUP($A21,'Annex 2 EHV charges'!$D:$O,10,FALSE)),"")</f>
        <v>28744.73</v>
      </c>
      <c r="G21" s="91">
        <f>IFERROR(IF(VLOOKUP($A21,'Annex 2 EHV charges'!$D:$O,11,FALSE)=0,"",VLOOKUP($A21,'Annex 2 EHV charges'!$D:$O,11,FALSE)),"")</f>
        <v>0.05</v>
      </c>
      <c r="H21" s="91">
        <f>IFERROR(IF(VLOOKUP($A21,'Annex 2 EHV charges'!$D:$O,12,FALSE)=0,"",VLOOKUP($A21,'Annex 2 EHV charges'!$D:$O,12,FALSE)),"")</f>
        <v>0.05</v>
      </c>
      <c r="I21" s="229" t="str">
        <f>IF(VLOOKUP(C21,'Annex 2 EHV charges'!$F$11:$P$157,11,FALSE)&lt;=5,"",VLOOKUP(C21,'Annex 2 EHV charges'!$F$11:$P$157,11,FALSE))</f>
        <v/>
      </c>
    </row>
    <row r="22" spans="1:9" ht="12.75" customHeight="1" x14ac:dyDescent="0.35">
      <c r="A22" s="88">
        <f t="array" ref="A22">IFERROR(INDEX('Annex 2 EHV charges'!$D$11:$D$260, MATCH(0, IF(ISBLANK('Annex 2 EHV charges'!$D$11:$D$260),1, COUNTIF(A$4:$A21, 'Annex 2 EHV charges'!$D$11:$D$260)), 0)),"")</f>
        <v>699</v>
      </c>
      <c r="B22" s="87">
        <f>IF($A22="","",VLOOKUP($A22,'Annex 2 EHV charges'!$D:$O,2,0))</f>
        <v>699</v>
      </c>
      <c r="C22" s="88">
        <f>IF($A22="","",VLOOKUP($A22,'Annex 2 EHV charges'!$D:$O,3,0))</f>
        <v>1800060632670</v>
      </c>
      <c r="D22" s="87" t="str">
        <f>IF($A22="","",VLOOKUP($A22,'Annex 2 EHV charges'!$D:$O,4,0))</f>
        <v>Viridor (Waste energy)</v>
      </c>
      <c r="E22" s="89" t="str">
        <f>IFERROR(IF(VLOOKUP($A22,'Annex 2 EHV charges'!$D:$O,9,FALSE)=0,"",VLOOKUP($A22,'Annex 2 EHV charges'!$D:$O,9,FALSE)),"")</f>
        <v>-</v>
      </c>
      <c r="F22" s="90">
        <f>IFERROR(IF(VLOOKUP($A22,'Annex 2 EHV charges'!$D:$O,10,FALSE)=0,"",VLOOKUP($A22,'Annex 2 EHV charges'!$D:$O,10,FALSE)),"")</f>
        <v>8903.35</v>
      </c>
      <c r="G22" s="91">
        <f>IFERROR(IF(VLOOKUP($A22,'Annex 2 EHV charges'!$D:$O,11,FALSE)=0,"",VLOOKUP($A22,'Annex 2 EHV charges'!$D:$O,11,FALSE)),"")</f>
        <v>0.05</v>
      </c>
      <c r="H22" s="91">
        <f>IFERROR(IF(VLOOKUP($A22,'Annex 2 EHV charges'!$D:$O,12,FALSE)=0,"",VLOOKUP($A22,'Annex 2 EHV charges'!$D:$O,12,FALSE)),"")</f>
        <v>0.05</v>
      </c>
      <c r="I22" s="229" t="str">
        <f>IF(VLOOKUP(C22,'Annex 2 EHV charges'!$F$11:$P$157,11,FALSE)&lt;=5,"",VLOOKUP(C22,'Annex 2 EHV charges'!$F$11:$P$157,11,FALSE))</f>
        <v/>
      </c>
    </row>
    <row r="23" spans="1:9" ht="12.75" customHeight="1" x14ac:dyDescent="0.35">
      <c r="A23" s="88">
        <f t="array" ref="A23">IFERROR(INDEX('Annex 2 EHV charges'!$D$11:$D$260, MATCH(0, IF(ISBLANK('Annex 2 EHV charges'!$D$11:$D$260),1, COUNTIF(A$4:$A22, 'Annex 2 EHV charges'!$D$11:$D$260)), 0)),"")</f>
        <v>620</v>
      </c>
      <c r="B23" s="87">
        <f>IF($A23="","",VLOOKUP($A23,'Annex 2 EHV charges'!$D:$O,2,0))</f>
        <v>620</v>
      </c>
      <c r="C23" s="88">
        <f>IF($A23="","",VLOOKUP($A23,'Annex 2 EHV charges'!$D:$O,3,0))</f>
        <v>1800060289510</v>
      </c>
      <c r="D23" s="87" t="str">
        <f>IF($A23="","",VLOOKUP($A23,'Annex 2 EHV charges'!$D:$O,4,0))</f>
        <v>Craigengelt</v>
      </c>
      <c r="E23" s="89" t="str">
        <f>IFERROR(IF(VLOOKUP($A23,'Annex 2 EHV charges'!$D:$O,9,FALSE)=0,"",VLOOKUP($A23,'Annex 2 EHV charges'!$D:$O,9,FALSE)),"")</f>
        <v>-</v>
      </c>
      <c r="F23" s="90">
        <f>IFERROR(IF(VLOOKUP($A23,'Annex 2 EHV charges'!$D:$O,10,FALSE)=0,"",VLOOKUP($A23,'Annex 2 EHV charges'!$D:$O,10,FALSE)),"")</f>
        <v>20660.37</v>
      </c>
      <c r="G23" s="91">
        <f>IFERROR(IF(VLOOKUP($A23,'Annex 2 EHV charges'!$D:$O,11,FALSE)=0,"",VLOOKUP($A23,'Annex 2 EHV charges'!$D:$O,11,FALSE)),"")</f>
        <v>0.05</v>
      </c>
      <c r="H23" s="91">
        <f>IFERROR(IF(VLOOKUP($A23,'Annex 2 EHV charges'!$D:$O,12,FALSE)=0,"",VLOOKUP($A23,'Annex 2 EHV charges'!$D:$O,12,FALSE)),"")</f>
        <v>0.05</v>
      </c>
      <c r="I23" s="229" t="str">
        <f>IF(VLOOKUP(C23,'Annex 2 EHV charges'!$F$11:$P$157,11,FALSE)&lt;=5,"",VLOOKUP(C23,'Annex 2 EHV charges'!$F$11:$P$157,11,FALSE))</f>
        <v/>
      </c>
    </row>
    <row r="24" spans="1:9" ht="12.75" customHeight="1" x14ac:dyDescent="0.35">
      <c r="A24" s="88">
        <f t="array" ref="A24">IFERROR(INDEX('Annex 2 EHV charges'!$D$11:$D$260, MATCH(0, IF(ISBLANK('Annex 2 EHV charges'!$D$11:$D$260),1, COUNTIF(A$4:$A23, 'Annex 2 EHV charges'!$D$11:$D$260)), 0)),"")</f>
        <v>621</v>
      </c>
      <c r="B24" s="87">
        <f>IF($A24="","",VLOOKUP($A24,'Annex 2 EHV charges'!$D:$O,2,0))</f>
        <v>621</v>
      </c>
      <c r="C24" s="88">
        <f>IF($A24="","",VLOOKUP($A24,'Annex 2 EHV charges'!$D:$O,3,0))</f>
        <v>1800054865141</v>
      </c>
      <c r="D24" s="87" t="str">
        <f>IF($A24="","",VLOOKUP($A24,'Annex 2 EHV charges'!$D:$O,4,0))</f>
        <v>Greenknowes</v>
      </c>
      <c r="E24" s="89" t="str">
        <f>IFERROR(IF(VLOOKUP($A24,'Annex 2 EHV charges'!$D:$O,9,FALSE)=0,"",VLOOKUP($A24,'Annex 2 EHV charges'!$D:$O,9,FALSE)),"")</f>
        <v>-</v>
      </c>
      <c r="F24" s="90">
        <f>IFERROR(IF(VLOOKUP($A24,'Annex 2 EHV charges'!$D:$O,10,FALSE)=0,"",VLOOKUP($A24,'Annex 2 EHV charges'!$D:$O,10,FALSE)),"")</f>
        <v>37319.01</v>
      </c>
      <c r="G24" s="91">
        <f>IFERROR(IF(VLOOKUP($A24,'Annex 2 EHV charges'!$D:$O,11,FALSE)=0,"",VLOOKUP($A24,'Annex 2 EHV charges'!$D:$O,11,FALSE)),"")</f>
        <v>0.05</v>
      </c>
      <c r="H24" s="91">
        <f>IFERROR(IF(VLOOKUP($A24,'Annex 2 EHV charges'!$D:$O,12,FALSE)=0,"",VLOOKUP($A24,'Annex 2 EHV charges'!$D:$O,12,FALSE)),"")</f>
        <v>0.05</v>
      </c>
      <c r="I24" s="229" t="str">
        <f>IF(VLOOKUP(C24,'Annex 2 EHV charges'!$F$11:$P$157,11,FALSE)&lt;=5,"",VLOOKUP(C24,'Annex 2 EHV charges'!$F$11:$P$157,11,FALSE))</f>
        <v/>
      </c>
    </row>
    <row r="25" spans="1:9" ht="12.75" customHeight="1" x14ac:dyDescent="0.35">
      <c r="A25" s="88">
        <f t="array" ref="A25">IFERROR(INDEX('Annex 2 EHV charges'!$D$11:$D$260, MATCH(0, IF(ISBLANK('Annex 2 EHV charges'!$D$11:$D$260),1, COUNTIF(A$4:$A24, 'Annex 2 EHV charges'!$D$11:$D$260)), 0)),"")</f>
        <v>703</v>
      </c>
      <c r="B25" s="87">
        <f>IF($A25="","",VLOOKUP($A25,'Annex 2 EHV charges'!$D:$O,2,0))</f>
        <v>703</v>
      </c>
      <c r="C25" s="88">
        <f>IF($A25="","",VLOOKUP($A25,'Annex 2 EHV charges'!$D:$O,3,0))</f>
        <v>1800060683763</v>
      </c>
      <c r="D25" s="87" t="str">
        <f>IF($A25="","",VLOOKUP($A25,'Annex 2 EHV charges'!$D:$O,4,0))</f>
        <v>Ewe Hill Dumfries WF</v>
      </c>
      <c r="E25" s="89" t="str">
        <f>IFERROR(IF(VLOOKUP($A25,'Annex 2 EHV charges'!$D:$O,9,FALSE)=0,"",VLOOKUP($A25,'Annex 2 EHV charges'!$D:$O,9,FALSE)),"")</f>
        <v>-</v>
      </c>
      <c r="F25" s="90">
        <f>IFERROR(IF(VLOOKUP($A25,'Annex 2 EHV charges'!$D:$O,10,FALSE)=0,"",VLOOKUP($A25,'Annex 2 EHV charges'!$D:$O,10,FALSE)),"")</f>
        <v>21402.14</v>
      </c>
      <c r="G25" s="91">
        <f>IFERROR(IF(VLOOKUP($A25,'Annex 2 EHV charges'!$D:$O,11,FALSE)=0,"",VLOOKUP($A25,'Annex 2 EHV charges'!$D:$O,11,FALSE)),"")</f>
        <v>0.05</v>
      </c>
      <c r="H25" s="91">
        <f>IFERROR(IF(VLOOKUP($A25,'Annex 2 EHV charges'!$D:$O,12,FALSE)=0,"",VLOOKUP($A25,'Annex 2 EHV charges'!$D:$O,12,FALSE)),"")</f>
        <v>0.05</v>
      </c>
      <c r="I25" s="229" t="str">
        <f>IF(VLOOKUP(C25,'Annex 2 EHV charges'!$F$11:$P$157,11,FALSE)&lt;=5,"",VLOOKUP(C25,'Annex 2 EHV charges'!$F$11:$P$157,11,FALSE))</f>
        <v/>
      </c>
    </row>
    <row r="26" spans="1:9" ht="12.75" customHeight="1" x14ac:dyDescent="0.35">
      <c r="A26" s="88">
        <f t="array" ref="A26">IFERROR(INDEX('Annex 2 EHV charges'!$D$11:$D$260, MATCH(0, IF(ISBLANK('Annex 2 EHV charges'!$D$11:$D$260),1, COUNTIF(A$4:$A25, 'Annex 2 EHV charges'!$D$11:$D$260)), 0)),"")</f>
        <v>704</v>
      </c>
      <c r="B26" s="87">
        <f>IF($A26="","",VLOOKUP($A26,'Annex 2 EHV charges'!$D:$O,2,0))</f>
        <v>704</v>
      </c>
      <c r="C26" s="88">
        <f>IF($A26="","",VLOOKUP($A26,'Annex 2 EHV charges'!$D:$O,3,0))</f>
        <v>1800060697232</v>
      </c>
      <c r="D26" s="87" t="str">
        <f>IF($A26="","",VLOOKUP($A26,'Annex 2 EHV charges'!$D:$O,4,0))</f>
        <v>Langhope Rig (D) WF</v>
      </c>
      <c r="E26" s="89" t="str">
        <f>IFERROR(IF(VLOOKUP($A26,'Annex 2 EHV charges'!$D:$O,9,FALSE)=0,"",VLOOKUP($A26,'Annex 2 EHV charges'!$D:$O,9,FALSE)),"")</f>
        <v>-</v>
      </c>
      <c r="F26" s="90">
        <f>IFERROR(IF(VLOOKUP($A26,'Annex 2 EHV charges'!$D:$O,10,FALSE)=0,"",VLOOKUP($A26,'Annex 2 EHV charges'!$D:$O,10,FALSE)),"")</f>
        <v>1400.11</v>
      </c>
      <c r="G26" s="91">
        <f>IFERROR(IF(VLOOKUP($A26,'Annex 2 EHV charges'!$D:$O,11,FALSE)=0,"",VLOOKUP($A26,'Annex 2 EHV charges'!$D:$O,11,FALSE)),"")</f>
        <v>0.05</v>
      </c>
      <c r="H26" s="91">
        <f>IFERROR(IF(VLOOKUP($A26,'Annex 2 EHV charges'!$D:$O,12,FALSE)=0,"",VLOOKUP($A26,'Annex 2 EHV charges'!$D:$O,12,FALSE)),"")</f>
        <v>0.05</v>
      </c>
      <c r="I26" s="229" t="str">
        <f>IF(VLOOKUP(C26,'Annex 2 EHV charges'!$F$11:$P$157,11,FALSE)&lt;=5,"",VLOOKUP(C26,'Annex 2 EHV charges'!$F$11:$P$157,11,FALSE))</f>
        <v>See Annex 6</v>
      </c>
    </row>
    <row r="27" spans="1:9" ht="12.75" customHeight="1" x14ac:dyDescent="0.35">
      <c r="A27" s="88">
        <f t="array" ref="A27">IFERROR(INDEX('Annex 2 EHV charges'!$D$11:$D$260, MATCH(0, IF(ISBLANK('Annex 2 EHV charges'!$D$11:$D$260),1, COUNTIF(A$4:$A26, 'Annex 2 EHV charges'!$D$11:$D$260)), 0)),"")</f>
        <v>705</v>
      </c>
      <c r="B27" s="87">
        <f>IF($A27="","",VLOOKUP($A27,'Annex 2 EHV charges'!$D:$O,2,0))</f>
        <v>705</v>
      </c>
      <c r="C27" s="88">
        <f>IF($A27="","",VLOOKUP($A27,'Annex 2 EHV charges'!$D:$O,3,0))</f>
        <v>1800060674262</v>
      </c>
      <c r="D27" s="87" t="str">
        <f>IF($A27="","",VLOOKUP($A27,'Annex 2 EHV charges'!$D:$O,4,0))</f>
        <v>Muirhall Extention WF</v>
      </c>
      <c r="E27" s="89" t="str">
        <f>IFERROR(IF(VLOOKUP($A27,'Annex 2 EHV charges'!$D:$O,9,FALSE)=0,"",VLOOKUP($A27,'Annex 2 EHV charges'!$D:$O,9,FALSE)),"")</f>
        <v>-</v>
      </c>
      <c r="F27" s="90">
        <f>IFERROR(IF(VLOOKUP($A27,'Annex 2 EHV charges'!$D:$O,10,FALSE)=0,"",VLOOKUP($A27,'Annex 2 EHV charges'!$D:$O,10,FALSE)),"")</f>
        <v>3261.11</v>
      </c>
      <c r="G27" s="91">
        <f>IFERROR(IF(VLOOKUP($A27,'Annex 2 EHV charges'!$D:$O,11,FALSE)=0,"",VLOOKUP($A27,'Annex 2 EHV charges'!$D:$O,11,FALSE)),"")</f>
        <v>0.05</v>
      </c>
      <c r="H27" s="91">
        <f>IFERROR(IF(VLOOKUP($A27,'Annex 2 EHV charges'!$D:$O,12,FALSE)=0,"",VLOOKUP($A27,'Annex 2 EHV charges'!$D:$O,12,FALSE)),"")</f>
        <v>0.05</v>
      </c>
      <c r="I27" s="229" t="str">
        <f>IF(VLOOKUP(C27,'Annex 2 EHV charges'!$F$11:$P$157,11,FALSE)&lt;=5,"",VLOOKUP(C27,'Annex 2 EHV charges'!$F$11:$P$157,11,FALSE))</f>
        <v/>
      </c>
    </row>
    <row r="28" spans="1:9" ht="12.75" customHeight="1" x14ac:dyDescent="0.35">
      <c r="A28" s="88">
        <f t="array" ref="A28">IFERROR(INDEX('Annex 2 EHV charges'!$D$11:$D$260, MATCH(0, IF(ISBLANK('Annex 2 EHV charges'!$D$11:$D$260),1, COUNTIF(A$4:$A27, 'Annex 2 EHV charges'!$D$11:$D$260)), 0)),"")</f>
        <v>625</v>
      </c>
      <c r="B28" s="87">
        <f>IF($A28="","",VLOOKUP($A28,'Annex 2 EHV charges'!$D:$O,2,0))</f>
        <v>625</v>
      </c>
      <c r="C28" s="88">
        <f>IF($A28="","",VLOOKUP($A28,'Annex 2 EHV charges'!$D:$O,3,0))</f>
        <v>1800060159208</v>
      </c>
      <c r="D28" s="87" t="str">
        <f>IF($A28="","",VLOOKUP($A28,'Annex 2 EHV charges'!$D:$O,4,0))</f>
        <v>Aikengall</v>
      </c>
      <c r="E28" s="89" t="str">
        <f>IFERROR(IF(VLOOKUP($A28,'Annex 2 EHV charges'!$D:$O,9,FALSE)=0,"",VLOOKUP($A28,'Annex 2 EHV charges'!$D:$O,9,FALSE)),"")</f>
        <v>-</v>
      </c>
      <c r="F28" s="90">
        <f>IFERROR(IF(VLOOKUP($A28,'Annex 2 EHV charges'!$D:$O,10,FALSE)=0,"",VLOOKUP($A28,'Annex 2 EHV charges'!$D:$O,10,FALSE)),"")</f>
        <v>8617.48</v>
      </c>
      <c r="G28" s="91">
        <f>IFERROR(IF(VLOOKUP($A28,'Annex 2 EHV charges'!$D:$O,11,FALSE)=0,"",VLOOKUP($A28,'Annex 2 EHV charges'!$D:$O,11,FALSE)),"")</f>
        <v>0.05</v>
      </c>
      <c r="H28" s="91">
        <f>IFERROR(IF(VLOOKUP($A28,'Annex 2 EHV charges'!$D:$O,12,FALSE)=0,"",VLOOKUP($A28,'Annex 2 EHV charges'!$D:$O,12,FALSE)),"")</f>
        <v>0.05</v>
      </c>
      <c r="I28" s="229" t="str">
        <f>IF(VLOOKUP(C28,'Annex 2 EHV charges'!$F$11:$P$157,11,FALSE)&lt;=5,"",VLOOKUP(C28,'Annex 2 EHV charges'!$F$11:$P$157,11,FALSE))</f>
        <v/>
      </c>
    </row>
    <row r="29" spans="1:9" ht="12.75" customHeight="1" x14ac:dyDescent="0.35">
      <c r="A29" s="88">
        <f t="array" ref="A29">IFERROR(INDEX('Annex 2 EHV charges'!$D$11:$D$260, MATCH(0, IF(ISBLANK('Annex 2 EHV charges'!$D$11:$D$260),1, COUNTIF(A$4:$A28, 'Annex 2 EHV charges'!$D$11:$D$260)), 0)),"")</f>
        <v>626</v>
      </c>
      <c r="B29" s="87">
        <f>IF($A29="","",VLOOKUP($A29,'Annex 2 EHV charges'!$D:$O,2,0))</f>
        <v>626</v>
      </c>
      <c r="C29" s="88">
        <f>IF($A29="","",VLOOKUP($A29,'Annex 2 EHV charges'!$D:$O,3,0))</f>
        <v>1800053646260</v>
      </c>
      <c r="D29" s="87" t="str">
        <f>IF($A29="","",VLOOKUP($A29,'Annex 2 EHV charges'!$D:$O,4,0))</f>
        <v>Hagshaw Hill</v>
      </c>
      <c r="E29" s="89" t="str">
        <f>IFERROR(IF(VLOOKUP($A29,'Annex 2 EHV charges'!$D:$O,9,FALSE)=0,"",VLOOKUP($A29,'Annex 2 EHV charges'!$D:$O,9,FALSE)),"")</f>
        <v>-</v>
      </c>
      <c r="F29" s="90">
        <f>IFERROR(IF(VLOOKUP($A29,'Annex 2 EHV charges'!$D:$O,10,FALSE)=0,"",VLOOKUP($A29,'Annex 2 EHV charges'!$D:$O,10,FALSE)),"")</f>
        <v>1112.01</v>
      </c>
      <c r="G29" s="91">
        <f>IFERROR(IF(VLOOKUP($A29,'Annex 2 EHV charges'!$D:$O,11,FALSE)=0,"",VLOOKUP($A29,'Annex 2 EHV charges'!$D:$O,11,FALSE)),"")</f>
        <v>0.05</v>
      </c>
      <c r="H29" s="91">
        <f>IFERROR(IF(VLOOKUP($A29,'Annex 2 EHV charges'!$D:$O,12,FALSE)=0,"",VLOOKUP($A29,'Annex 2 EHV charges'!$D:$O,12,FALSE)),"")</f>
        <v>0.05</v>
      </c>
      <c r="I29" s="229" t="str">
        <f>IF(VLOOKUP(C29,'Annex 2 EHV charges'!$F$11:$P$157,11,FALSE)&lt;=5,"",VLOOKUP(C29,'Annex 2 EHV charges'!$F$11:$P$157,11,FALSE))</f>
        <v/>
      </c>
    </row>
    <row r="30" spans="1:9" ht="12.75" customHeight="1" x14ac:dyDescent="0.35">
      <c r="A30" s="88">
        <f t="array" ref="A30">IFERROR(INDEX('Annex 2 EHV charges'!$D$11:$D$260, MATCH(0, IF(ISBLANK('Annex 2 EHV charges'!$D$11:$D$260),1, COUNTIF(A$4:$A29, 'Annex 2 EHV charges'!$D$11:$D$260)), 0)),"")</f>
        <v>627</v>
      </c>
      <c r="B30" s="87">
        <f>IF($A30="","",VLOOKUP($A30,'Annex 2 EHV charges'!$D:$O,2,0))</f>
        <v>627</v>
      </c>
      <c r="C30" s="88">
        <f>IF($A30="","",VLOOKUP($A30,'Annex 2 EHV charges'!$D:$O,3,0))</f>
        <v>1800053646206</v>
      </c>
      <c r="D30" s="87" t="str">
        <f>IF($A30="","",VLOOKUP($A30,'Annex 2 EHV charges'!$D:$O,4,0))</f>
        <v>Gallow Rig</v>
      </c>
      <c r="E30" s="89" t="str">
        <f>IFERROR(IF(VLOOKUP($A30,'Annex 2 EHV charges'!$D:$O,9,FALSE)=0,"",VLOOKUP($A30,'Annex 2 EHV charges'!$D:$O,9,FALSE)),"")</f>
        <v>-</v>
      </c>
      <c r="F30" s="90">
        <f>IFERROR(IF(VLOOKUP($A30,'Annex 2 EHV charges'!$D:$O,10,FALSE)=0,"",VLOOKUP($A30,'Annex 2 EHV charges'!$D:$O,10,FALSE)),"")</f>
        <v>4209.3</v>
      </c>
      <c r="G30" s="91">
        <f>IFERROR(IF(VLOOKUP($A30,'Annex 2 EHV charges'!$D:$O,11,FALSE)=0,"",VLOOKUP($A30,'Annex 2 EHV charges'!$D:$O,11,FALSE)),"")</f>
        <v>0.05</v>
      </c>
      <c r="H30" s="91">
        <f>IFERROR(IF(VLOOKUP($A30,'Annex 2 EHV charges'!$D:$O,12,FALSE)=0,"",VLOOKUP($A30,'Annex 2 EHV charges'!$D:$O,12,FALSE)),"")</f>
        <v>0.05</v>
      </c>
      <c r="I30" s="229" t="str">
        <f>IF(VLOOKUP(C30,'Annex 2 EHV charges'!$F$11:$P$157,11,FALSE)&lt;=5,"",VLOOKUP(C30,'Annex 2 EHV charges'!$F$11:$P$157,11,FALSE))</f>
        <v/>
      </c>
    </row>
    <row r="31" spans="1:9" ht="12.75" customHeight="1" x14ac:dyDescent="0.35">
      <c r="A31" s="88">
        <f t="array" ref="A31">IFERROR(INDEX('Annex 2 EHV charges'!$D$11:$D$260, MATCH(0, IF(ISBLANK('Annex 2 EHV charges'!$D$11:$D$260),1, COUNTIF(A$4:$A30, 'Annex 2 EHV charges'!$D$11:$D$260)), 0)),"")</f>
        <v>628</v>
      </c>
      <c r="B31" s="87">
        <f>IF($A31="","",VLOOKUP($A31,'Annex 2 EHV charges'!$D:$O,2,0))</f>
        <v>628</v>
      </c>
      <c r="C31" s="88">
        <f>IF($A31="","",VLOOKUP($A31,'Annex 2 EHV charges'!$D:$O,3,0))</f>
        <v>1800053646181</v>
      </c>
      <c r="D31" s="87" t="str">
        <f>IF($A31="","",VLOOKUP($A31,'Annex 2 EHV charges'!$D:$O,4,0))</f>
        <v>Polwhat Rig</v>
      </c>
      <c r="E31" s="89" t="str">
        <f>IFERROR(IF(VLOOKUP($A31,'Annex 2 EHV charges'!$D:$O,9,FALSE)=0,"",VLOOKUP($A31,'Annex 2 EHV charges'!$D:$O,9,FALSE)),"")</f>
        <v>-</v>
      </c>
      <c r="F31" s="90">
        <f>IFERROR(IF(VLOOKUP($A31,'Annex 2 EHV charges'!$D:$O,10,FALSE)=0,"",VLOOKUP($A31,'Annex 2 EHV charges'!$D:$O,10,FALSE)),"")</f>
        <v>4172.38</v>
      </c>
      <c r="G31" s="91">
        <f>IFERROR(IF(VLOOKUP($A31,'Annex 2 EHV charges'!$D:$O,11,FALSE)=0,"",VLOOKUP($A31,'Annex 2 EHV charges'!$D:$O,11,FALSE)),"")</f>
        <v>0.05</v>
      </c>
      <c r="H31" s="91">
        <f>IFERROR(IF(VLOOKUP($A31,'Annex 2 EHV charges'!$D:$O,12,FALSE)=0,"",VLOOKUP($A31,'Annex 2 EHV charges'!$D:$O,12,FALSE)),"")</f>
        <v>0.05</v>
      </c>
      <c r="I31" s="229" t="str">
        <f>IF(VLOOKUP(C31,'Annex 2 EHV charges'!$F$11:$P$157,11,FALSE)&lt;=5,"",VLOOKUP(C31,'Annex 2 EHV charges'!$F$11:$P$157,11,FALSE))</f>
        <v/>
      </c>
    </row>
    <row r="32" spans="1:9" ht="12.75" customHeight="1" x14ac:dyDescent="0.35">
      <c r="A32" s="88">
        <f t="array" ref="A32">IFERROR(INDEX('Annex 2 EHV charges'!$D$11:$D$260, MATCH(0, IF(ISBLANK('Annex 2 EHV charges'!$D$11:$D$260),1, COUNTIF(A$4:$A31, 'Annex 2 EHV charges'!$D$11:$D$260)), 0)),"")</f>
        <v>624</v>
      </c>
      <c r="B32" s="87">
        <f>IF($A32="","",VLOOKUP($A32,'Annex 2 EHV charges'!$D:$O,2,0))</f>
        <v>624</v>
      </c>
      <c r="C32" s="88">
        <f>IF($A32="","",VLOOKUP($A32,'Annex 2 EHV charges'!$D:$O,3,0))</f>
        <v>1800054738276</v>
      </c>
      <c r="D32" s="87" t="str">
        <f>IF($A32="","",VLOOKUP($A32,'Annex 2 EHV charges'!$D:$O,4,0))</f>
        <v>Greendykeside</v>
      </c>
      <c r="E32" s="89" t="str">
        <f>IFERROR(IF(VLOOKUP($A32,'Annex 2 EHV charges'!$D:$O,9,FALSE)=0,"",VLOOKUP($A32,'Annex 2 EHV charges'!$D:$O,9,FALSE)),"")</f>
        <v>-</v>
      </c>
      <c r="F32" s="90">
        <f>IFERROR(IF(VLOOKUP($A32,'Annex 2 EHV charges'!$D:$O,10,FALSE)=0,"",VLOOKUP($A32,'Annex 2 EHV charges'!$D:$O,10,FALSE)),"")</f>
        <v>3731.55</v>
      </c>
      <c r="G32" s="91">
        <f>IFERROR(IF(VLOOKUP($A32,'Annex 2 EHV charges'!$D:$O,11,FALSE)=0,"",VLOOKUP($A32,'Annex 2 EHV charges'!$D:$O,11,FALSE)),"")</f>
        <v>0.05</v>
      </c>
      <c r="H32" s="91">
        <f>IFERROR(IF(VLOOKUP($A32,'Annex 2 EHV charges'!$D:$O,12,FALSE)=0,"",VLOOKUP($A32,'Annex 2 EHV charges'!$D:$O,12,FALSE)),"")</f>
        <v>0.05</v>
      </c>
      <c r="I32" s="229" t="str">
        <f>IF(VLOOKUP(C32,'Annex 2 EHV charges'!$F$11:$P$157,11,FALSE)&lt;=5,"",VLOOKUP(C32,'Annex 2 EHV charges'!$F$11:$P$157,11,FALSE))</f>
        <v/>
      </c>
    </row>
    <row r="33" spans="1:9" ht="12.75" customHeight="1" x14ac:dyDescent="0.35">
      <c r="A33" s="88">
        <f t="array" ref="A33">IFERROR(INDEX('Annex 2 EHV charges'!$D$11:$D$260, MATCH(0, IF(ISBLANK('Annex 2 EHV charges'!$D$11:$D$260),1, COUNTIF(A$4:$A32, 'Annex 2 EHV charges'!$D$11:$D$260)), 0)),"")</f>
        <v>630</v>
      </c>
      <c r="B33" s="87">
        <f>IF($A33="","",VLOOKUP($A33,'Annex 2 EHV charges'!$D:$O,2,0))</f>
        <v>630</v>
      </c>
      <c r="C33" s="88">
        <f>IF($A33="","",VLOOKUP($A33,'Annex 2 EHV charges'!$D:$O,3,0))</f>
        <v>1800053647246</v>
      </c>
      <c r="D33" s="87" t="str">
        <f>IF($A33="","",VLOOKUP($A33,'Annex 2 EHV charges'!$D:$O,4,0))</f>
        <v>Dun Law</v>
      </c>
      <c r="E33" s="89" t="str">
        <f>IFERROR(IF(VLOOKUP($A33,'Annex 2 EHV charges'!$D:$O,9,FALSE)=0,"",VLOOKUP($A33,'Annex 2 EHV charges'!$D:$O,9,FALSE)),"")</f>
        <v>-</v>
      </c>
      <c r="F33" s="90" t="str">
        <f>IFERROR(IF(VLOOKUP($A33,'Annex 2 EHV charges'!$D:$O,10,FALSE)=0,"",VLOOKUP($A33,'Annex 2 EHV charges'!$D:$O,10,FALSE)),"")</f>
        <v>-</v>
      </c>
      <c r="G33" s="91" t="str">
        <f>IFERROR(IF(VLOOKUP($A33,'Annex 2 EHV charges'!$D:$O,11,FALSE)=0,"",VLOOKUP($A33,'Annex 2 EHV charges'!$D:$O,11,FALSE)),"")</f>
        <v>-</v>
      </c>
      <c r="H33" s="91" t="str">
        <f>IFERROR(IF(VLOOKUP($A33,'Annex 2 EHV charges'!$D:$O,12,FALSE)=0,"",VLOOKUP($A33,'Annex 2 EHV charges'!$D:$O,12,FALSE)),"")</f>
        <v>-</v>
      </c>
      <c r="I33" s="229" t="str">
        <f>IF(VLOOKUP(C33,'Annex 2 EHV charges'!$F$11:$P$157,11,FALSE)&lt;=5,"",VLOOKUP(C33,'Annex 2 EHV charges'!$F$11:$P$157,11,FALSE))</f>
        <v/>
      </c>
    </row>
    <row r="34" spans="1:9" ht="12.75" customHeight="1" x14ac:dyDescent="0.35">
      <c r="A34" s="88">
        <f t="array" ref="A34">IFERROR(INDEX('Annex 2 EHV charges'!$D$11:$D$260, MATCH(0, IF(ISBLANK('Annex 2 EHV charges'!$D$11:$D$260),1, COUNTIF(A$4:$A33, 'Annex 2 EHV charges'!$D$11:$D$260)), 0)),"")</f>
        <v>631</v>
      </c>
      <c r="B34" s="87">
        <f>IF($A34="","",VLOOKUP($A34,'Annex 2 EHV charges'!$D:$O,2,0))</f>
        <v>631</v>
      </c>
      <c r="C34" s="88">
        <f>IF($A34="","",VLOOKUP($A34,'Annex 2 EHV charges'!$D:$O,3,0))</f>
        <v>1800053647200</v>
      </c>
      <c r="D34" s="87" t="str">
        <f>IF($A34="","",VLOOKUP($A34,'Annex 2 EHV charges'!$D:$O,4,0))</f>
        <v>EPR Scotland Ltd</v>
      </c>
      <c r="E34" s="89" t="str">
        <f>IFERROR(IF(VLOOKUP($A34,'Annex 2 EHV charges'!$D:$O,9,FALSE)=0,"",VLOOKUP($A34,'Annex 2 EHV charges'!$D:$O,9,FALSE)),"")</f>
        <v>-</v>
      </c>
      <c r="F34" s="90" t="str">
        <f>IFERROR(IF(VLOOKUP($A34,'Annex 2 EHV charges'!$D:$O,10,FALSE)=0,"",VLOOKUP($A34,'Annex 2 EHV charges'!$D:$O,10,FALSE)),"")</f>
        <v>-</v>
      </c>
      <c r="G34" s="91" t="str">
        <f>IFERROR(IF(VLOOKUP($A34,'Annex 2 EHV charges'!$D:$O,11,FALSE)=0,"",VLOOKUP($A34,'Annex 2 EHV charges'!$D:$O,11,FALSE)),"")</f>
        <v>-</v>
      </c>
      <c r="H34" s="91" t="str">
        <f>IFERROR(IF(VLOOKUP($A34,'Annex 2 EHV charges'!$D:$O,12,FALSE)=0,"",VLOOKUP($A34,'Annex 2 EHV charges'!$D:$O,12,FALSE)),"")</f>
        <v>-</v>
      </c>
      <c r="I34" s="229" t="str">
        <f>IF(VLOOKUP(C34,'Annex 2 EHV charges'!$F$11:$P$157,11,FALSE)&lt;=5,"",VLOOKUP(C34,'Annex 2 EHV charges'!$F$11:$P$157,11,FALSE))</f>
        <v/>
      </c>
    </row>
    <row r="35" spans="1:9" ht="12.75" customHeight="1" x14ac:dyDescent="0.35">
      <c r="A35" s="88">
        <f t="array" ref="A35">IFERROR(INDEX('Annex 2 EHV charges'!$D$11:$D$260, MATCH(0, IF(ISBLANK('Annex 2 EHV charges'!$D$11:$D$260),1, COUNTIF(A$4:$A34, 'Annex 2 EHV charges'!$D$11:$D$260)), 0)),"")</f>
        <v>632</v>
      </c>
      <c r="B35" s="87">
        <f>IF($A35="","",VLOOKUP($A35,'Annex 2 EHV charges'!$D:$O,2,0))</f>
        <v>632</v>
      </c>
      <c r="C35" s="88">
        <f>IF($A35="","",VLOOKUP($A35,'Annex 2 EHV charges'!$D:$O,3,0))</f>
        <v>1800053648036</v>
      </c>
      <c r="D35" s="87" t="str">
        <f>IF($A35="","",VLOOKUP($A35,'Annex 2 EHV charges'!$D:$O,4,0))</f>
        <v>Bowbeat (Emly Bank)</v>
      </c>
      <c r="E35" s="89" t="str">
        <f>IFERROR(IF(VLOOKUP($A35,'Annex 2 EHV charges'!$D:$O,9,FALSE)=0,"",VLOOKUP($A35,'Annex 2 EHV charges'!$D:$O,9,FALSE)),"")</f>
        <v>-</v>
      </c>
      <c r="F35" s="90" t="str">
        <f>IFERROR(IF(VLOOKUP($A35,'Annex 2 EHV charges'!$D:$O,10,FALSE)=0,"",VLOOKUP($A35,'Annex 2 EHV charges'!$D:$O,10,FALSE)),"")</f>
        <v>-</v>
      </c>
      <c r="G35" s="91" t="str">
        <f>IFERROR(IF(VLOOKUP($A35,'Annex 2 EHV charges'!$D:$O,11,FALSE)=0,"",VLOOKUP($A35,'Annex 2 EHV charges'!$D:$O,11,FALSE)),"")</f>
        <v>-</v>
      </c>
      <c r="H35" s="91" t="str">
        <f>IFERROR(IF(VLOOKUP($A35,'Annex 2 EHV charges'!$D:$O,12,FALSE)=0,"",VLOOKUP($A35,'Annex 2 EHV charges'!$D:$O,12,FALSE)),"")</f>
        <v>-</v>
      </c>
      <c r="I35" s="229" t="str">
        <f>IF(VLOOKUP(C35,'Annex 2 EHV charges'!$F$11:$P$157,11,FALSE)&lt;=5,"",VLOOKUP(C35,'Annex 2 EHV charges'!$F$11:$P$157,11,FALSE))</f>
        <v/>
      </c>
    </row>
    <row r="36" spans="1:9" ht="12.75" customHeight="1" x14ac:dyDescent="0.35">
      <c r="A36" s="88">
        <f t="array" ref="A36">IFERROR(INDEX('Annex 2 EHV charges'!$D$11:$D$260, MATCH(0, IF(ISBLANK('Annex 2 EHV charges'!$D$11:$D$260),1, COUNTIF(A$4:$A35, 'Annex 2 EHV charges'!$D$11:$D$260)), 0)),"")</f>
        <v>633</v>
      </c>
      <c r="B36" s="87">
        <f>IF($A36="","",VLOOKUP($A36,'Annex 2 EHV charges'!$D:$O,2,0))</f>
        <v>633</v>
      </c>
      <c r="C36" s="88">
        <f>IF($A36="","",VLOOKUP($A36,'Annex 2 EHV charges'!$D:$O,3,0))</f>
        <v>1800053648054</v>
      </c>
      <c r="D36" s="87" t="str">
        <f>IF($A36="","",VLOOKUP($A36,'Annex 2 EHV charges'!$D:$O,4,0))</f>
        <v>Bowbeat (Roughsidehill)</v>
      </c>
      <c r="E36" s="89" t="str">
        <f>IFERROR(IF(VLOOKUP($A36,'Annex 2 EHV charges'!$D:$O,9,FALSE)=0,"",VLOOKUP($A36,'Annex 2 EHV charges'!$D:$O,9,FALSE)),"")</f>
        <v>-</v>
      </c>
      <c r="F36" s="90" t="str">
        <f>IFERROR(IF(VLOOKUP($A36,'Annex 2 EHV charges'!$D:$O,10,FALSE)=0,"",VLOOKUP($A36,'Annex 2 EHV charges'!$D:$O,10,FALSE)),"")</f>
        <v>-</v>
      </c>
      <c r="G36" s="91" t="str">
        <f>IFERROR(IF(VLOOKUP($A36,'Annex 2 EHV charges'!$D:$O,11,FALSE)=0,"",VLOOKUP($A36,'Annex 2 EHV charges'!$D:$O,11,FALSE)),"")</f>
        <v>-</v>
      </c>
      <c r="H36" s="91" t="str">
        <f>IFERROR(IF(VLOOKUP($A36,'Annex 2 EHV charges'!$D:$O,12,FALSE)=0,"",VLOOKUP($A36,'Annex 2 EHV charges'!$D:$O,12,FALSE)),"")</f>
        <v>-</v>
      </c>
      <c r="I36" s="229" t="str">
        <f>IF(VLOOKUP(C36,'Annex 2 EHV charges'!$F$11:$P$157,11,FALSE)&lt;=5,"",VLOOKUP(C36,'Annex 2 EHV charges'!$F$11:$P$157,11,FALSE))</f>
        <v/>
      </c>
    </row>
    <row r="37" spans="1:9" ht="12.75" customHeight="1" x14ac:dyDescent="0.35">
      <c r="A37" s="88">
        <f t="array" ref="A37">IFERROR(INDEX('Annex 2 EHV charges'!$D$11:$D$260, MATCH(0, IF(ISBLANK('Annex 2 EHV charges'!$D$11:$D$260),1, COUNTIF(A$4:$A36, 'Annex 2 EHV charges'!$D$11:$D$260)), 0)),"")</f>
        <v>634</v>
      </c>
      <c r="B37" s="87">
        <f>IF($A37="","",VLOOKUP($A37,'Annex 2 EHV charges'!$D:$O,2,0))</f>
        <v>634</v>
      </c>
      <c r="C37" s="88">
        <f>IF($A37="","",VLOOKUP($A37,'Annex 2 EHV charges'!$D:$O,3,0))</f>
        <v>1800053647399</v>
      </c>
      <c r="D37" s="87" t="str">
        <f>IF($A37="","",VLOOKUP($A37,'Annex 2 EHV charges'!$D:$O,4,0))</f>
        <v>Harehill</v>
      </c>
      <c r="E37" s="89" t="str">
        <f>IFERROR(IF(VLOOKUP($A37,'Annex 2 EHV charges'!$D:$O,9,FALSE)=0,"",VLOOKUP($A37,'Annex 2 EHV charges'!$D:$O,9,FALSE)),"")</f>
        <v>-</v>
      </c>
      <c r="F37" s="90" t="str">
        <f>IFERROR(IF(VLOOKUP($A37,'Annex 2 EHV charges'!$D:$O,10,FALSE)=0,"",VLOOKUP($A37,'Annex 2 EHV charges'!$D:$O,10,FALSE)),"")</f>
        <v>-</v>
      </c>
      <c r="G37" s="91" t="str">
        <f>IFERROR(IF(VLOOKUP($A37,'Annex 2 EHV charges'!$D:$O,11,FALSE)=0,"",VLOOKUP($A37,'Annex 2 EHV charges'!$D:$O,11,FALSE)),"")</f>
        <v>-</v>
      </c>
      <c r="H37" s="91" t="str">
        <f>IFERROR(IF(VLOOKUP($A37,'Annex 2 EHV charges'!$D:$O,12,FALSE)=0,"",VLOOKUP($A37,'Annex 2 EHV charges'!$D:$O,12,FALSE)),"")</f>
        <v>-</v>
      </c>
      <c r="I37" s="229" t="str">
        <f>IF(VLOOKUP(C37,'Annex 2 EHV charges'!$F$11:$P$157,11,FALSE)&lt;=5,"",VLOOKUP(C37,'Annex 2 EHV charges'!$F$11:$P$157,11,FALSE))</f>
        <v/>
      </c>
    </row>
    <row r="38" spans="1:9" ht="12.75" customHeight="1" x14ac:dyDescent="0.35">
      <c r="A38" s="88">
        <f t="array" ref="A38">IFERROR(INDEX('Annex 2 EHV charges'!$D$11:$D$260, MATCH(0, IF(ISBLANK('Annex 2 EHV charges'!$D$11:$D$260),1, COUNTIF(A$4:$A37, 'Annex 2 EHV charges'!$D$11:$D$260)), 0)),"")</f>
        <v>635</v>
      </c>
      <c r="B38" s="87">
        <f>IF($A38="","",VLOOKUP($A38,'Annex 2 EHV charges'!$D:$O,2,0))</f>
        <v>635</v>
      </c>
      <c r="C38" s="88">
        <f>IF($A38="","",VLOOKUP($A38,'Annex 2 EHV charges'!$D:$O,3,0))</f>
        <v>1800053647627</v>
      </c>
      <c r="D38" s="87" t="str">
        <f>IF($A38="","",VLOOKUP($A38,'Annex 2 EHV charges'!$D:$O,4,0))</f>
        <v>Shanks &amp; McEwan 3&amp;4</v>
      </c>
      <c r="E38" s="89" t="str">
        <f>IFERROR(IF(VLOOKUP($A38,'Annex 2 EHV charges'!$D:$O,9,FALSE)=0,"",VLOOKUP($A38,'Annex 2 EHV charges'!$D:$O,9,FALSE)),"")</f>
        <v>-</v>
      </c>
      <c r="F38" s="90" t="str">
        <f>IFERROR(IF(VLOOKUP($A38,'Annex 2 EHV charges'!$D:$O,10,FALSE)=0,"",VLOOKUP($A38,'Annex 2 EHV charges'!$D:$O,10,FALSE)),"")</f>
        <v>-</v>
      </c>
      <c r="G38" s="91" t="str">
        <f>IFERROR(IF(VLOOKUP($A38,'Annex 2 EHV charges'!$D:$O,11,FALSE)=0,"",VLOOKUP($A38,'Annex 2 EHV charges'!$D:$O,11,FALSE)),"")</f>
        <v>-</v>
      </c>
      <c r="H38" s="91" t="str">
        <f>IFERROR(IF(VLOOKUP($A38,'Annex 2 EHV charges'!$D:$O,12,FALSE)=0,"",VLOOKUP($A38,'Annex 2 EHV charges'!$D:$O,12,FALSE)),"")</f>
        <v>-</v>
      </c>
      <c r="I38" s="229" t="str">
        <f>IF(VLOOKUP(C38,'Annex 2 EHV charges'!$F$11:$P$157,11,FALSE)&lt;=5,"",VLOOKUP(C38,'Annex 2 EHV charges'!$F$11:$P$157,11,FALSE))</f>
        <v/>
      </c>
    </row>
    <row r="39" spans="1:9" ht="12.75" customHeight="1" x14ac:dyDescent="0.35">
      <c r="A39" s="88">
        <f t="array" ref="A39">IFERROR(INDEX('Annex 2 EHV charges'!$D$11:$D$260, MATCH(0, IF(ISBLANK('Annex 2 EHV charges'!$D$11:$D$260),1, COUNTIF(A$4:$A38, 'Annex 2 EHV charges'!$D$11:$D$260)), 0)),"")</f>
        <v>636</v>
      </c>
      <c r="B39" s="87">
        <f>IF($A39="","",VLOOKUP($A39,'Annex 2 EHV charges'!$D:$O,2,0))</f>
        <v>636</v>
      </c>
      <c r="C39" s="88">
        <f>IF($A39="","",VLOOKUP($A39,'Annex 2 EHV charges'!$D:$O,3,0))</f>
        <v>1800053647645</v>
      </c>
      <c r="D39" s="87" t="str">
        <f>IF($A39="","",VLOOKUP($A39,'Annex 2 EHV charges'!$D:$O,4,0))</f>
        <v>Shanks &amp; McEwan 5</v>
      </c>
      <c r="E39" s="89" t="str">
        <f>IFERROR(IF(VLOOKUP($A39,'Annex 2 EHV charges'!$D:$O,9,FALSE)=0,"",VLOOKUP($A39,'Annex 2 EHV charges'!$D:$O,9,FALSE)),"")</f>
        <v>-</v>
      </c>
      <c r="F39" s="90" t="str">
        <f>IFERROR(IF(VLOOKUP($A39,'Annex 2 EHV charges'!$D:$O,10,FALSE)=0,"",VLOOKUP($A39,'Annex 2 EHV charges'!$D:$O,10,FALSE)),"")</f>
        <v>-</v>
      </c>
      <c r="G39" s="91" t="str">
        <f>IFERROR(IF(VLOOKUP($A39,'Annex 2 EHV charges'!$D:$O,11,FALSE)=0,"",VLOOKUP($A39,'Annex 2 EHV charges'!$D:$O,11,FALSE)),"")</f>
        <v>-</v>
      </c>
      <c r="H39" s="91" t="str">
        <f>IFERROR(IF(VLOOKUP($A39,'Annex 2 EHV charges'!$D:$O,12,FALSE)=0,"",VLOOKUP($A39,'Annex 2 EHV charges'!$D:$O,12,FALSE)),"")</f>
        <v>-</v>
      </c>
      <c r="I39" s="229" t="str">
        <f>IF(VLOOKUP(C39,'Annex 2 EHV charges'!$F$11:$P$157,11,FALSE)&lt;=5,"",VLOOKUP(C39,'Annex 2 EHV charges'!$F$11:$P$157,11,FALSE))</f>
        <v/>
      </c>
    </row>
    <row r="40" spans="1:9" ht="12.75" customHeight="1" x14ac:dyDescent="0.35">
      <c r="A40" s="88">
        <f t="array" ref="A40">IFERROR(INDEX('Annex 2 EHV charges'!$D$11:$D$260, MATCH(0, IF(ISBLANK('Annex 2 EHV charges'!$D$11:$D$260),1, COUNTIF(A$4:$A39, 'Annex 2 EHV charges'!$D$11:$D$260)), 0)),"")</f>
        <v>637</v>
      </c>
      <c r="B40" s="87">
        <f>IF($A40="","",VLOOKUP($A40,'Annex 2 EHV charges'!$D:$O,2,0))</f>
        <v>637</v>
      </c>
      <c r="C40" s="88">
        <f>IF($A40="","",VLOOKUP($A40,'Annex 2 EHV charges'!$D:$O,3,0))</f>
        <v>1800053653852</v>
      </c>
      <c r="D40" s="87" t="str">
        <f>IF($A40="","",VLOOKUP($A40,'Annex 2 EHV charges'!$D:$O,4,0))</f>
        <v>Crystal Rig</v>
      </c>
      <c r="E40" s="89" t="str">
        <f>IFERROR(IF(VLOOKUP($A40,'Annex 2 EHV charges'!$D:$O,9,FALSE)=0,"",VLOOKUP($A40,'Annex 2 EHV charges'!$D:$O,9,FALSE)),"")</f>
        <v>-</v>
      </c>
      <c r="F40" s="90" t="str">
        <f>IFERROR(IF(VLOOKUP($A40,'Annex 2 EHV charges'!$D:$O,10,FALSE)=0,"",VLOOKUP($A40,'Annex 2 EHV charges'!$D:$O,10,FALSE)),"")</f>
        <v>-</v>
      </c>
      <c r="G40" s="91" t="str">
        <f>IFERROR(IF(VLOOKUP($A40,'Annex 2 EHV charges'!$D:$O,11,FALSE)=0,"",VLOOKUP($A40,'Annex 2 EHV charges'!$D:$O,11,FALSE)),"")</f>
        <v>-</v>
      </c>
      <c r="H40" s="91" t="str">
        <f>IFERROR(IF(VLOOKUP($A40,'Annex 2 EHV charges'!$D:$O,12,FALSE)=0,"",VLOOKUP($A40,'Annex 2 EHV charges'!$D:$O,12,FALSE)),"")</f>
        <v>-</v>
      </c>
      <c r="I40" s="229" t="str">
        <f>IF(VLOOKUP(C40,'Annex 2 EHV charges'!$F$11:$P$157,11,FALSE)&lt;=5,"",VLOOKUP(C40,'Annex 2 EHV charges'!$F$11:$P$157,11,FALSE))</f>
        <v/>
      </c>
    </row>
    <row r="41" spans="1:9" ht="12.75" customHeight="1" x14ac:dyDescent="0.35">
      <c r="A41" s="88">
        <f t="array" ref="A41">IFERROR(INDEX('Annex 2 EHV charges'!$D$11:$D$260, MATCH(0, IF(ISBLANK('Annex 2 EHV charges'!$D$11:$D$260),1, COUNTIF(A$4:$A40, 'Annex 2 EHV charges'!$D$11:$D$260)), 0)),"")</f>
        <v>638</v>
      </c>
      <c r="B41" s="87">
        <f>IF($A41="","",VLOOKUP($A41,'Annex 2 EHV charges'!$D:$O,2,0))</f>
        <v>638</v>
      </c>
      <c r="C41" s="88">
        <f>IF($A41="","",VLOOKUP($A41,'Annex 2 EHV charges'!$D:$O,3,0))</f>
        <v>1800053694440</v>
      </c>
      <c r="D41" s="87" t="str">
        <f>IF($A41="","",VLOOKUP($A41,'Annex 2 EHV charges'!$D:$O,4,0))</f>
        <v>Haupland Muir (Ardrossan)</v>
      </c>
      <c r="E41" s="89" t="str">
        <f>IFERROR(IF(VLOOKUP($A41,'Annex 2 EHV charges'!$D:$O,9,FALSE)=0,"",VLOOKUP($A41,'Annex 2 EHV charges'!$D:$O,9,FALSE)),"")</f>
        <v>-</v>
      </c>
      <c r="F41" s="90">
        <f>IFERROR(IF(VLOOKUP($A41,'Annex 2 EHV charges'!$D:$O,10,FALSE)=0,"",VLOOKUP($A41,'Annex 2 EHV charges'!$D:$O,10,FALSE)),"")</f>
        <v>213.48</v>
      </c>
      <c r="G41" s="91">
        <f>IFERROR(IF(VLOOKUP($A41,'Annex 2 EHV charges'!$D:$O,11,FALSE)=0,"",VLOOKUP($A41,'Annex 2 EHV charges'!$D:$O,11,FALSE)),"")</f>
        <v>0.05</v>
      </c>
      <c r="H41" s="91">
        <f>IFERROR(IF(VLOOKUP($A41,'Annex 2 EHV charges'!$D:$O,12,FALSE)=0,"",VLOOKUP($A41,'Annex 2 EHV charges'!$D:$O,12,FALSE)),"")</f>
        <v>0.05</v>
      </c>
      <c r="I41" s="229" t="str">
        <f>IF(VLOOKUP(C41,'Annex 2 EHV charges'!$F$11:$P$157,11,FALSE)&lt;=5,"",VLOOKUP(C41,'Annex 2 EHV charges'!$F$11:$P$157,11,FALSE))</f>
        <v/>
      </c>
    </row>
    <row r="42" spans="1:9" ht="12.75" customHeight="1" x14ac:dyDescent="0.35">
      <c r="A42" s="88">
        <f t="array" ref="A42">IFERROR(INDEX('Annex 2 EHV charges'!$D$11:$D$260, MATCH(0, IF(ISBLANK('Annex 2 EHV charges'!$D$11:$D$260),1, COUNTIF(A$4:$A41, 'Annex 2 EHV charges'!$D$11:$D$260)), 0)),"")</f>
        <v>639</v>
      </c>
      <c r="B42" s="87">
        <f>IF($A42="","",VLOOKUP($A42,'Annex 2 EHV charges'!$D:$O,2,0))</f>
        <v>639</v>
      </c>
      <c r="C42" s="88">
        <f>IF($A42="","",VLOOKUP($A42,'Annex 2 EHV charges'!$D:$O,3,0))</f>
        <v>1800053950958</v>
      </c>
      <c r="D42" s="87" t="str">
        <f>IF($A42="","",VLOOKUP($A42,'Annex 2 EHV charges'!$D:$O,4,0))</f>
        <v>Wetherhill</v>
      </c>
      <c r="E42" s="89" t="str">
        <f>IFERROR(IF(VLOOKUP($A42,'Annex 2 EHV charges'!$D:$O,9,FALSE)=0,"",VLOOKUP($A42,'Annex 2 EHV charges'!$D:$O,9,FALSE)),"")</f>
        <v>-</v>
      </c>
      <c r="F42" s="90" t="str">
        <f>IFERROR(IF(VLOOKUP($A42,'Annex 2 EHV charges'!$D:$O,10,FALSE)=0,"",VLOOKUP($A42,'Annex 2 EHV charges'!$D:$O,10,FALSE)),"")</f>
        <v>-</v>
      </c>
      <c r="G42" s="91" t="str">
        <f>IFERROR(IF(VLOOKUP($A42,'Annex 2 EHV charges'!$D:$O,11,FALSE)=0,"",VLOOKUP($A42,'Annex 2 EHV charges'!$D:$O,11,FALSE)),"")</f>
        <v>-</v>
      </c>
      <c r="H42" s="91" t="str">
        <f>IFERROR(IF(VLOOKUP($A42,'Annex 2 EHV charges'!$D:$O,12,FALSE)=0,"",VLOOKUP($A42,'Annex 2 EHV charges'!$D:$O,12,FALSE)),"")</f>
        <v>-</v>
      </c>
      <c r="I42" s="229" t="str">
        <f>IF(VLOOKUP(C42,'Annex 2 EHV charges'!$F$11:$P$157,11,FALSE)&lt;=5,"",VLOOKUP(C42,'Annex 2 EHV charges'!$F$11:$P$157,11,FALSE))</f>
        <v/>
      </c>
    </row>
    <row r="43" spans="1:9" ht="12.75" customHeight="1" x14ac:dyDescent="0.35">
      <c r="A43" s="88">
        <f t="array" ref="A43">IFERROR(INDEX('Annex 2 EHV charges'!$D$11:$D$260, MATCH(0, IF(ISBLANK('Annex 2 EHV charges'!$D$11:$D$260),1, COUNTIF(A$4:$A42, 'Annex 2 EHV charges'!$D$11:$D$260)), 0)),"")</f>
        <v>640</v>
      </c>
      <c r="B43" s="87">
        <f>IF($A43="","",VLOOKUP($A43,'Annex 2 EHV charges'!$D:$O,2,0))</f>
        <v>640</v>
      </c>
      <c r="C43" s="88">
        <f>IF($A43="","",VLOOKUP($A43,'Annex 2 EHV charges'!$D:$O,3,0))</f>
        <v>1800053883993</v>
      </c>
      <c r="D43" s="87" t="str">
        <f>IF($A43="","",VLOOKUP($A43,'Annex 2 EHV charges'!$D:$O,4,0))</f>
        <v>Artfield WF</v>
      </c>
      <c r="E43" s="89" t="str">
        <f>IFERROR(IF(VLOOKUP($A43,'Annex 2 EHV charges'!$D:$O,9,FALSE)=0,"",VLOOKUP($A43,'Annex 2 EHV charges'!$D:$O,9,FALSE)),"")</f>
        <v>-</v>
      </c>
      <c r="F43" s="90" t="str">
        <f>IFERROR(IF(VLOOKUP($A43,'Annex 2 EHV charges'!$D:$O,10,FALSE)=0,"",VLOOKUP($A43,'Annex 2 EHV charges'!$D:$O,10,FALSE)),"")</f>
        <v>-</v>
      </c>
      <c r="G43" s="91" t="str">
        <f>IFERROR(IF(VLOOKUP($A43,'Annex 2 EHV charges'!$D:$O,11,FALSE)=0,"",VLOOKUP($A43,'Annex 2 EHV charges'!$D:$O,11,FALSE)),"")</f>
        <v>-</v>
      </c>
      <c r="H43" s="91" t="str">
        <f>IFERROR(IF(VLOOKUP($A43,'Annex 2 EHV charges'!$D:$O,12,FALSE)=0,"",VLOOKUP($A43,'Annex 2 EHV charges'!$D:$O,12,FALSE)),"")</f>
        <v>-</v>
      </c>
      <c r="I43" s="229" t="str">
        <f>IF(VLOOKUP(C43,'Annex 2 EHV charges'!$F$11:$P$157,11,FALSE)&lt;=5,"",VLOOKUP(C43,'Annex 2 EHV charges'!$F$11:$P$157,11,FALSE))</f>
        <v>See Annex 6</v>
      </c>
    </row>
    <row r="44" spans="1:9" ht="12.75" customHeight="1" x14ac:dyDescent="0.35">
      <c r="A44" s="88">
        <f t="array" ref="A44">IFERROR(INDEX('Annex 2 EHV charges'!$D$11:$D$260, MATCH(0, IF(ISBLANK('Annex 2 EHV charges'!$D$11:$D$260),1, COUNTIF(A$4:$A43, 'Annex 2 EHV charges'!$D$11:$D$260)), 0)),"")</f>
        <v>641</v>
      </c>
      <c r="B44" s="87">
        <f>IF($A44="","",VLOOKUP($A44,'Annex 2 EHV charges'!$D:$O,2,0))</f>
        <v>641</v>
      </c>
      <c r="C44" s="88">
        <f>IF($A44="","",VLOOKUP($A44,'Annex 2 EHV charges'!$D:$O,3,0))</f>
        <v>1800054152991</v>
      </c>
      <c r="D44" s="87" t="str">
        <f>IF($A44="","",VLOOKUP($A44,'Annex 2 EHV charges'!$D:$O,4,0))</f>
        <v>Wardlaw Wood</v>
      </c>
      <c r="E44" s="89" t="str">
        <f>IFERROR(IF(VLOOKUP($A44,'Annex 2 EHV charges'!$D:$O,9,FALSE)=0,"",VLOOKUP($A44,'Annex 2 EHV charges'!$D:$O,9,FALSE)),"")</f>
        <v>-</v>
      </c>
      <c r="F44" s="90" t="str">
        <f>IFERROR(IF(VLOOKUP($A44,'Annex 2 EHV charges'!$D:$O,10,FALSE)=0,"",VLOOKUP($A44,'Annex 2 EHV charges'!$D:$O,10,FALSE)),"")</f>
        <v>-</v>
      </c>
      <c r="G44" s="91" t="str">
        <f>IFERROR(IF(VLOOKUP($A44,'Annex 2 EHV charges'!$D:$O,11,FALSE)=0,"",VLOOKUP($A44,'Annex 2 EHV charges'!$D:$O,11,FALSE)),"")</f>
        <v>-</v>
      </c>
      <c r="H44" s="91" t="str">
        <f>IFERROR(IF(VLOOKUP($A44,'Annex 2 EHV charges'!$D:$O,12,FALSE)=0,"",VLOOKUP($A44,'Annex 2 EHV charges'!$D:$O,12,FALSE)),"")</f>
        <v>-</v>
      </c>
      <c r="I44" s="229" t="str">
        <f>IF(VLOOKUP(C44,'Annex 2 EHV charges'!$F$11:$P$157,11,FALSE)&lt;=5,"",VLOOKUP(C44,'Annex 2 EHV charges'!$F$11:$P$157,11,FALSE))</f>
        <v/>
      </c>
    </row>
    <row r="45" spans="1:9" ht="12.75" customHeight="1" x14ac:dyDescent="0.35">
      <c r="A45" s="88">
        <f t="array" ref="A45">IFERROR(INDEX('Annex 2 EHV charges'!$D$11:$D$260, MATCH(0, IF(ISBLANK('Annex 2 EHV charges'!$D$11:$D$260),1, COUNTIF(A$4:$A44, 'Annex 2 EHV charges'!$D$11:$D$260)), 0)),"")</f>
        <v>642</v>
      </c>
      <c r="B45" s="87">
        <f>IF($A45="","",VLOOKUP($A45,'Annex 2 EHV charges'!$D:$O,2,0))</f>
        <v>642</v>
      </c>
      <c r="C45" s="88">
        <f>IF($A45="","",VLOOKUP($A45,'Annex 2 EHV charges'!$D:$O,3,0))</f>
        <v>1800054198374</v>
      </c>
      <c r="D45" s="87" t="str">
        <f>IF($A45="","",VLOOKUP($A45,'Annex 2 EHV charges'!$D:$O,4,0))</f>
        <v>Earlsburn</v>
      </c>
      <c r="E45" s="89" t="str">
        <f>IFERROR(IF(VLOOKUP($A45,'Annex 2 EHV charges'!$D:$O,9,FALSE)=0,"",VLOOKUP($A45,'Annex 2 EHV charges'!$D:$O,9,FALSE)),"")</f>
        <v>-</v>
      </c>
      <c r="F45" s="90" t="str">
        <f>IFERROR(IF(VLOOKUP($A45,'Annex 2 EHV charges'!$D:$O,10,FALSE)=0,"",VLOOKUP($A45,'Annex 2 EHV charges'!$D:$O,10,FALSE)),"")</f>
        <v>-</v>
      </c>
      <c r="G45" s="91" t="str">
        <f>IFERROR(IF(VLOOKUP($A45,'Annex 2 EHV charges'!$D:$O,11,FALSE)=0,"",VLOOKUP($A45,'Annex 2 EHV charges'!$D:$O,11,FALSE)),"")</f>
        <v>-</v>
      </c>
      <c r="H45" s="91" t="str">
        <f>IFERROR(IF(VLOOKUP($A45,'Annex 2 EHV charges'!$D:$O,12,FALSE)=0,"",VLOOKUP($A45,'Annex 2 EHV charges'!$D:$O,12,FALSE)),"")</f>
        <v>-</v>
      </c>
      <c r="I45" s="229" t="str">
        <f>IF(VLOOKUP(C45,'Annex 2 EHV charges'!$F$11:$P$157,11,FALSE)&lt;=5,"",VLOOKUP(C45,'Annex 2 EHV charges'!$F$11:$P$157,11,FALSE))</f>
        <v/>
      </c>
    </row>
    <row r="46" spans="1:9" ht="12.75" customHeight="1" x14ac:dyDescent="0.35">
      <c r="A46" s="88">
        <f t="array" ref="A46">IFERROR(INDEX('Annex 2 EHV charges'!$D$11:$D$260, MATCH(0, IF(ISBLANK('Annex 2 EHV charges'!$D$11:$D$260),1, COUNTIF(A$4:$A45, 'Annex 2 EHV charges'!$D$11:$D$260)), 0)),"")</f>
        <v>643</v>
      </c>
      <c r="B46" s="87">
        <f>IF($A46="","",VLOOKUP($A46,'Annex 2 EHV charges'!$D:$O,2,0))</f>
        <v>643</v>
      </c>
      <c r="C46" s="88">
        <f>IF($A46="","",VLOOKUP($A46,'Annex 2 EHV charges'!$D:$O,3,0))</f>
        <v>1800054244598</v>
      </c>
      <c r="D46" s="87" t="str">
        <f>IF($A46="","",VLOOKUP($A46,'Annex 2 EHV charges'!$D:$O,4,0))</f>
        <v>Blackhill</v>
      </c>
      <c r="E46" s="89" t="str">
        <f>IFERROR(IF(VLOOKUP($A46,'Annex 2 EHV charges'!$D:$O,9,FALSE)=0,"",VLOOKUP($A46,'Annex 2 EHV charges'!$D:$O,9,FALSE)),"")</f>
        <v>-</v>
      </c>
      <c r="F46" s="90">
        <f>IFERROR(IF(VLOOKUP($A46,'Annex 2 EHV charges'!$D:$O,10,FALSE)=0,"",VLOOKUP($A46,'Annex 2 EHV charges'!$D:$O,10,FALSE)),"")</f>
        <v>22685.63</v>
      </c>
      <c r="G46" s="91">
        <f>IFERROR(IF(VLOOKUP($A46,'Annex 2 EHV charges'!$D:$O,11,FALSE)=0,"",VLOOKUP($A46,'Annex 2 EHV charges'!$D:$O,11,FALSE)),"")</f>
        <v>0.05</v>
      </c>
      <c r="H46" s="91">
        <f>IFERROR(IF(VLOOKUP($A46,'Annex 2 EHV charges'!$D:$O,12,FALSE)=0,"",VLOOKUP($A46,'Annex 2 EHV charges'!$D:$O,12,FALSE)),"")</f>
        <v>0.05</v>
      </c>
      <c r="I46" s="229" t="str">
        <f>IF(VLOOKUP(C46,'Annex 2 EHV charges'!$F$11:$P$157,11,FALSE)&lt;=5,"",VLOOKUP(C46,'Annex 2 EHV charges'!$F$11:$P$157,11,FALSE))</f>
        <v/>
      </c>
    </row>
    <row r="47" spans="1:9" ht="12.75" customHeight="1" x14ac:dyDescent="0.35">
      <c r="A47" s="88" t="str">
        <f t="array" ref="A47">IFERROR(INDEX('Annex 2 EHV charges'!$D$11:$D$260, MATCH(0, IF(ISBLANK('Annex 2 EHV charges'!$D$11:$D$260),1, COUNTIF(A$4:$A46, 'Annex 2 EHV charges'!$D$11:$D$260)), 0)),"")</f>
        <v>MSID 8183</v>
      </c>
      <c r="B47" s="87" t="str">
        <f>IF($A47="","",VLOOKUP($A47,'Annex 2 EHV charges'!$D:$O,2,0))</f>
        <v>MSID 8183</v>
      </c>
      <c r="C47" s="88" t="str">
        <f>IF($A47="","",VLOOKUP($A47,'Annex 2 EHV charges'!$D:$O,3,0))</f>
        <v>MSID 8183</v>
      </c>
      <c r="D47" s="87" t="str">
        <f>IF($A47="","",VLOOKUP($A47,'Annex 2 EHV charges'!$D:$O,4,0))</f>
        <v>Dalswinton</v>
      </c>
      <c r="E47" s="89" t="str">
        <f>IFERROR(IF(VLOOKUP($A47,'Annex 2 EHV charges'!$D:$O,9,FALSE)=0,"",VLOOKUP($A47,'Annex 2 EHV charges'!$D:$O,9,FALSE)),"")</f>
        <v>-</v>
      </c>
      <c r="F47" s="90" t="str">
        <f>IFERROR(IF(VLOOKUP($A47,'Annex 2 EHV charges'!$D:$O,10,FALSE)=0,"",VLOOKUP($A47,'Annex 2 EHV charges'!$D:$O,10,FALSE)),"")</f>
        <v>-</v>
      </c>
      <c r="G47" s="91" t="str">
        <f>IFERROR(IF(VLOOKUP($A47,'Annex 2 EHV charges'!$D:$O,11,FALSE)=0,"",VLOOKUP($A47,'Annex 2 EHV charges'!$D:$O,11,FALSE)),"")</f>
        <v>-</v>
      </c>
      <c r="H47" s="91" t="str">
        <f>IFERROR(IF(VLOOKUP($A47,'Annex 2 EHV charges'!$D:$O,12,FALSE)=0,"",VLOOKUP($A47,'Annex 2 EHV charges'!$D:$O,12,FALSE)),"")</f>
        <v>-</v>
      </c>
      <c r="I47" s="229" t="str">
        <f>IF(VLOOKUP(C47,'Annex 2 EHV charges'!$F$11:$P$157,11,FALSE)&lt;=5,"",VLOOKUP(C47,'Annex 2 EHV charges'!$F$11:$P$157,11,FALSE))</f>
        <v/>
      </c>
    </row>
    <row r="48" spans="1:9" ht="12.75" customHeight="1" x14ac:dyDescent="0.35">
      <c r="A48" s="88">
        <f t="array" ref="A48">IFERROR(INDEX('Annex 2 EHV charges'!$D$11:$D$260, MATCH(0, IF(ISBLANK('Annex 2 EHV charges'!$D$11:$D$260),1, COUNTIF(A$4:$A47, 'Annex 2 EHV charges'!$D$11:$D$260)), 0)),"")</f>
        <v>645</v>
      </c>
      <c r="B48" s="87">
        <f>IF($A48="","",VLOOKUP($A48,'Annex 2 EHV charges'!$D:$O,2,0))</f>
        <v>645</v>
      </c>
      <c r="C48" s="88">
        <f>IF($A48="","",VLOOKUP($A48,'Annex 2 EHV charges'!$D:$O,3,0))</f>
        <v>1800054498480</v>
      </c>
      <c r="D48" s="87" t="str">
        <f>IF($A48="","",VLOOKUP($A48,'Annex 2 EHV charges'!$D:$O,4,0))</f>
        <v>Steven's Croft Biomass</v>
      </c>
      <c r="E48" s="89" t="str">
        <f>IFERROR(IF(VLOOKUP($A48,'Annex 2 EHV charges'!$D:$O,9,FALSE)=0,"",VLOOKUP($A48,'Annex 2 EHV charges'!$D:$O,9,FALSE)),"")</f>
        <v>-</v>
      </c>
      <c r="F48" s="90" t="str">
        <f>IFERROR(IF(VLOOKUP($A48,'Annex 2 EHV charges'!$D:$O,10,FALSE)=0,"",VLOOKUP($A48,'Annex 2 EHV charges'!$D:$O,10,FALSE)),"")</f>
        <v>-</v>
      </c>
      <c r="G48" s="91" t="str">
        <f>IFERROR(IF(VLOOKUP($A48,'Annex 2 EHV charges'!$D:$O,11,FALSE)=0,"",VLOOKUP($A48,'Annex 2 EHV charges'!$D:$O,11,FALSE)),"")</f>
        <v>-</v>
      </c>
      <c r="H48" s="91" t="str">
        <f>IFERROR(IF(VLOOKUP($A48,'Annex 2 EHV charges'!$D:$O,12,FALSE)=0,"",VLOOKUP($A48,'Annex 2 EHV charges'!$D:$O,12,FALSE)),"")</f>
        <v>-</v>
      </c>
      <c r="I48" s="229" t="str">
        <f>IF(VLOOKUP(C48,'Annex 2 EHV charges'!$F$11:$P$157,11,FALSE)&lt;=5,"",VLOOKUP(C48,'Annex 2 EHV charges'!$F$11:$P$157,11,FALSE))</f>
        <v/>
      </c>
    </row>
    <row r="49" spans="1:9" ht="12.75" customHeight="1" x14ac:dyDescent="0.35">
      <c r="A49" s="88">
        <f t="array" ref="A49">IFERROR(INDEX('Annex 2 EHV charges'!$D$11:$D$260, MATCH(0, IF(ISBLANK('Annex 2 EHV charges'!$D$11:$D$260),1, COUNTIF(A$4:$A48, 'Annex 2 EHV charges'!$D$11:$D$260)), 0)),"")</f>
        <v>650</v>
      </c>
      <c r="B49" s="87">
        <f>IF($A49="","",VLOOKUP($A49,'Annex 2 EHV charges'!$D:$O,2,0))</f>
        <v>650</v>
      </c>
      <c r="C49" s="88">
        <f>IF($A49="","",VLOOKUP($A49,'Annex 2 EHV charges'!$D:$O,3,0))</f>
        <v>1800060251881</v>
      </c>
      <c r="D49" s="87" t="str">
        <f>IF($A49="","",VLOOKUP($A49,'Annex 2 EHV charges'!$D:$O,4,0))</f>
        <v>Longpark</v>
      </c>
      <c r="E49" s="89" t="str">
        <f>IFERROR(IF(VLOOKUP($A49,'Annex 2 EHV charges'!$D:$O,9,FALSE)=0,"",VLOOKUP($A49,'Annex 2 EHV charges'!$D:$O,9,FALSE)),"")</f>
        <v>-</v>
      </c>
      <c r="F49" s="90">
        <f>IFERROR(IF(VLOOKUP($A49,'Annex 2 EHV charges'!$D:$O,10,FALSE)=0,"",VLOOKUP($A49,'Annex 2 EHV charges'!$D:$O,10,FALSE)),"")</f>
        <v>20524.580000000002</v>
      </c>
      <c r="G49" s="91">
        <f>IFERROR(IF(VLOOKUP($A49,'Annex 2 EHV charges'!$D:$O,11,FALSE)=0,"",VLOOKUP($A49,'Annex 2 EHV charges'!$D:$O,11,FALSE)),"")</f>
        <v>0.05</v>
      </c>
      <c r="H49" s="91">
        <f>IFERROR(IF(VLOOKUP($A49,'Annex 2 EHV charges'!$D:$O,12,FALSE)=0,"",VLOOKUP($A49,'Annex 2 EHV charges'!$D:$O,12,FALSE)),"")</f>
        <v>0.05</v>
      </c>
      <c r="I49" s="229" t="str">
        <f>IF(VLOOKUP(C49,'Annex 2 EHV charges'!$F$11:$P$157,11,FALSE)&lt;=5,"",VLOOKUP(C49,'Annex 2 EHV charges'!$F$11:$P$157,11,FALSE))</f>
        <v/>
      </c>
    </row>
    <row r="50" spans="1:9" ht="12.75" customHeight="1" x14ac:dyDescent="0.35">
      <c r="A50" s="88">
        <f t="array" ref="A50">IFERROR(INDEX('Annex 2 EHV charges'!$D$11:$D$260, MATCH(0, IF(ISBLANK('Annex 2 EHV charges'!$D$11:$D$260),1, COUNTIF(A$4:$A49, 'Annex 2 EHV charges'!$D$11:$D$260)), 0)),"")</f>
        <v>696</v>
      </c>
      <c r="B50" s="87">
        <f>IF($A50="","",VLOOKUP($A50,'Annex 2 EHV charges'!$D:$O,2,0))</f>
        <v>696</v>
      </c>
      <c r="C50" s="88">
        <f>IF($A50="","",VLOOKUP($A50,'Annex 2 EHV charges'!$D:$O,3,0))</f>
        <v>1800060642711</v>
      </c>
      <c r="D50" s="87" t="str">
        <f>IF($A50="","",VLOOKUP($A50,'Annex 2 EHV charges'!$D:$O,4,0))</f>
        <v>Calder Water WF</v>
      </c>
      <c r="E50" s="89" t="str">
        <f>IFERROR(IF(VLOOKUP($A50,'Annex 2 EHV charges'!$D:$O,9,FALSE)=0,"",VLOOKUP($A50,'Annex 2 EHV charges'!$D:$O,9,FALSE)),"")</f>
        <v>-</v>
      </c>
      <c r="F50" s="90">
        <f>IFERROR(IF(VLOOKUP($A50,'Annex 2 EHV charges'!$D:$O,10,FALSE)=0,"",VLOOKUP($A50,'Annex 2 EHV charges'!$D:$O,10,FALSE)),"")</f>
        <v>27477.16</v>
      </c>
      <c r="G50" s="91">
        <f>IFERROR(IF(VLOOKUP($A50,'Annex 2 EHV charges'!$D:$O,11,FALSE)=0,"",VLOOKUP($A50,'Annex 2 EHV charges'!$D:$O,11,FALSE)),"")</f>
        <v>0.05</v>
      </c>
      <c r="H50" s="91">
        <f>IFERROR(IF(VLOOKUP($A50,'Annex 2 EHV charges'!$D:$O,12,FALSE)=0,"",VLOOKUP($A50,'Annex 2 EHV charges'!$D:$O,12,FALSE)),"")</f>
        <v>0.05</v>
      </c>
      <c r="I50" s="229" t="str">
        <f>IF(VLOOKUP(C50,'Annex 2 EHV charges'!$F$11:$P$157,11,FALSE)&lt;=5,"",VLOOKUP(C50,'Annex 2 EHV charges'!$F$11:$P$157,11,FALSE))</f>
        <v/>
      </c>
    </row>
    <row r="51" spans="1:9" ht="12.75" customHeight="1" x14ac:dyDescent="0.35">
      <c r="A51" s="88">
        <f t="array" ref="A51">IFERROR(INDEX('Annex 2 EHV charges'!$D$11:$D$260, MATCH(0, IF(ISBLANK('Annex 2 EHV charges'!$D$11:$D$260),1, COUNTIF(A$4:$A50, 'Annex 2 EHV charges'!$D$11:$D$260)), 0)),"")</f>
        <v>654</v>
      </c>
      <c r="B51" s="87">
        <f>IF($A51="","",VLOOKUP($A51,'Annex 2 EHV charges'!$D:$O,2,0))</f>
        <v>654</v>
      </c>
      <c r="C51" s="88">
        <f>IF($A51="","",VLOOKUP($A51,'Annex 2 EHV charges'!$D:$O,3,0))</f>
        <v>1800053946507</v>
      </c>
      <c r="D51" s="87" t="str">
        <f>IF($A51="","",VLOOKUP($A51,'Annex 2 EHV charges'!$D:$O,4,0))</f>
        <v>Lafarge UK</v>
      </c>
      <c r="E51" s="89" t="str">
        <f>IFERROR(IF(VLOOKUP($A51,'Annex 2 EHV charges'!$D:$O,9,FALSE)=0,"",VLOOKUP($A51,'Annex 2 EHV charges'!$D:$O,9,FALSE)),"")</f>
        <v>-</v>
      </c>
      <c r="F51" s="90" t="str">
        <f>IFERROR(IF(VLOOKUP($A51,'Annex 2 EHV charges'!$D:$O,10,FALSE)=0,"",VLOOKUP($A51,'Annex 2 EHV charges'!$D:$O,10,FALSE)),"")</f>
        <v>-</v>
      </c>
      <c r="G51" s="91" t="str">
        <f>IFERROR(IF(VLOOKUP($A51,'Annex 2 EHV charges'!$D:$O,11,FALSE)=0,"",VLOOKUP($A51,'Annex 2 EHV charges'!$D:$O,11,FALSE)),"")</f>
        <v>-</v>
      </c>
      <c r="H51" s="91" t="str">
        <f>IFERROR(IF(VLOOKUP($A51,'Annex 2 EHV charges'!$D:$O,12,FALSE)=0,"",VLOOKUP($A51,'Annex 2 EHV charges'!$D:$O,12,FALSE)),"")</f>
        <v>-</v>
      </c>
      <c r="I51" s="229" t="str">
        <f>IF(VLOOKUP(C51,'Annex 2 EHV charges'!$F$11:$P$157,11,FALSE)&lt;=5,"",VLOOKUP(C51,'Annex 2 EHV charges'!$F$11:$P$157,11,FALSE))</f>
        <v/>
      </c>
    </row>
    <row r="52" spans="1:9" ht="12.75" customHeight="1" x14ac:dyDescent="0.35">
      <c r="A52" s="88">
        <f t="array" ref="A52">IFERROR(INDEX('Annex 2 EHV charges'!$D$11:$D$260, MATCH(0, IF(ISBLANK('Annex 2 EHV charges'!$D$11:$D$260),1, COUNTIF(A$4:$A51, 'Annex 2 EHV charges'!$D$11:$D$260)), 0)),"")</f>
        <v>655</v>
      </c>
      <c r="B52" s="87">
        <f>IF($A52="","",VLOOKUP($A52,'Annex 2 EHV charges'!$D:$O,2,0))</f>
        <v>655</v>
      </c>
      <c r="C52" s="88">
        <f>IF($A52="","",VLOOKUP($A52,'Annex 2 EHV charges'!$D:$O,3,0))</f>
        <v>1800060241313</v>
      </c>
      <c r="D52" s="87" t="str">
        <f>IF($A52="","",VLOOKUP($A52,'Annex 2 EHV charges'!$D:$O,4,0))</f>
        <v>Pateshill</v>
      </c>
      <c r="E52" s="89" t="str">
        <f>IFERROR(IF(VLOOKUP($A52,'Annex 2 EHV charges'!$D:$O,9,FALSE)=0,"",VLOOKUP($A52,'Annex 2 EHV charges'!$D:$O,9,FALSE)),"")</f>
        <v>-</v>
      </c>
      <c r="F52" s="90">
        <f>IFERROR(IF(VLOOKUP($A52,'Annex 2 EHV charges'!$D:$O,10,FALSE)=0,"",VLOOKUP($A52,'Annex 2 EHV charges'!$D:$O,10,FALSE)),"")</f>
        <v>1272.56</v>
      </c>
      <c r="G52" s="91">
        <f>IFERROR(IF(VLOOKUP($A52,'Annex 2 EHV charges'!$D:$O,11,FALSE)=0,"",VLOOKUP($A52,'Annex 2 EHV charges'!$D:$O,11,FALSE)),"")</f>
        <v>0.05</v>
      </c>
      <c r="H52" s="91">
        <f>IFERROR(IF(VLOOKUP($A52,'Annex 2 EHV charges'!$D:$O,12,FALSE)=0,"",VLOOKUP($A52,'Annex 2 EHV charges'!$D:$O,12,FALSE)),"")</f>
        <v>0.05</v>
      </c>
      <c r="I52" s="229" t="str">
        <f>IF(VLOOKUP(C52,'Annex 2 EHV charges'!$F$11:$P$157,11,FALSE)&lt;=5,"",VLOOKUP(C52,'Annex 2 EHV charges'!$F$11:$P$157,11,FALSE))</f>
        <v>See Annex 6</v>
      </c>
    </row>
    <row r="53" spans="1:9" ht="12.75" customHeight="1" x14ac:dyDescent="0.35">
      <c r="A53" s="88">
        <f t="array" ref="A53">IFERROR(INDEX('Annex 2 EHV charges'!$D$11:$D$260, MATCH(0, IF(ISBLANK('Annex 2 EHV charges'!$D$11:$D$260),1, COUNTIF(A$4:$A52, 'Annex 2 EHV charges'!$D$11:$D$260)), 0)),"")</f>
        <v>666</v>
      </c>
      <c r="B53" s="87">
        <f>IF($A53="","",VLOOKUP($A53,'Annex 2 EHV charges'!$D:$O,2,0))</f>
        <v>666</v>
      </c>
      <c r="C53" s="88">
        <f>IF($A53="","",VLOOKUP($A53,'Annex 2 EHV charges'!$D:$O,3,0))</f>
        <v>1800060852049</v>
      </c>
      <c r="D53" s="87" t="str">
        <f>IF($A53="","",VLOOKUP($A53,'Annex 2 EHV charges'!$D:$O,4,0))</f>
        <v>Gevens Wind Farm</v>
      </c>
      <c r="E53" s="89" t="str">
        <f>IFERROR(IF(VLOOKUP($A53,'Annex 2 EHV charges'!$D:$O,9,FALSE)=0,"",VLOOKUP($A53,'Annex 2 EHV charges'!$D:$O,9,FALSE)),"")</f>
        <v>-</v>
      </c>
      <c r="F53" s="90">
        <f>IFERROR(IF(VLOOKUP($A53,'Annex 2 EHV charges'!$D:$O,10,FALSE)=0,"",VLOOKUP($A53,'Annex 2 EHV charges'!$D:$O,10,FALSE)),"")</f>
        <v>5134.33</v>
      </c>
      <c r="G53" s="91">
        <f>IFERROR(IF(VLOOKUP($A53,'Annex 2 EHV charges'!$D:$O,11,FALSE)=0,"",VLOOKUP($A53,'Annex 2 EHV charges'!$D:$O,11,FALSE)),"")</f>
        <v>0.05</v>
      </c>
      <c r="H53" s="91">
        <f>IFERROR(IF(VLOOKUP($A53,'Annex 2 EHV charges'!$D:$O,12,FALSE)=0,"",VLOOKUP($A53,'Annex 2 EHV charges'!$D:$O,12,FALSE)),"")</f>
        <v>0.05</v>
      </c>
      <c r="I53" s="229" t="str">
        <f>IF(VLOOKUP(C53,'Annex 2 EHV charges'!$F$11:$P$157,11,FALSE)&lt;=5,"",VLOOKUP(C53,'Annex 2 EHV charges'!$F$11:$P$157,11,FALSE))</f>
        <v/>
      </c>
    </row>
    <row r="54" spans="1:9" ht="12.75" customHeight="1" x14ac:dyDescent="0.35">
      <c r="A54" s="88">
        <f t="array" ref="A54">IFERROR(INDEX('Annex 2 EHV charges'!$D$11:$D$260, MATCH(0, IF(ISBLANK('Annex 2 EHV charges'!$D$11:$D$260),1, COUNTIF(A$4:$A53, 'Annex 2 EHV charges'!$D$11:$D$260)), 0)),"")</f>
        <v>663</v>
      </c>
      <c r="B54" s="87">
        <f>IF($A54="","",VLOOKUP($A54,'Annex 2 EHV charges'!$D:$O,2,0))</f>
        <v>663</v>
      </c>
      <c r="C54" s="88">
        <f>IF($A54="","",VLOOKUP($A54,'Annex 2 EHV charges'!$D:$O,3,0))</f>
        <v>1800060207447</v>
      </c>
      <c r="D54" s="87" t="str">
        <f>IF($A54="","",VLOOKUP($A54,'Annex 2 EHV charges'!$D:$O,4,0))</f>
        <v>North Rhins</v>
      </c>
      <c r="E54" s="89" t="str">
        <f>IFERROR(IF(VLOOKUP($A54,'Annex 2 EHV charges'!$D:$O,9,FALSE)=0,"",VLOOKUP($A54,'Annex 2 EHV charges'!$D:$O,9,FALSE)),"")</f>
        <v>-</v>
      </c>
      <c r="F54" s="90">
        <f>IFERROR(IF(VLOOKUP($A54,'Annex 2 EHV charges'!$D:$O,10,FALSE)=0,"",VLOOKUP($A54,'Annex 2 EHV charges'!$D:$O,10,FALSE)),"")</f>
        <v>8908.32</v>
      </c>
      <c r="G54" s="91">
        <f>IFERROR(IF(VLOOKUP($A54,'Annex 2 EHV charges'!$D:$O,11,FALSE)=0,"",VLOOKUP($A54,'Annex 2 EHV charges'!$D:$O,11,FALSE)),"")</f>
        <v>0.05</v>
      </c>
      <c r="H54" s="91">
        <f>IFERROR(IF(VLOOKUP($A54,'Annex 2 EHV charges'!$D:$O,12,FALSE)=0,"",VLOOKUP($A54,'Annex 2 EHV charges'!$D:$O,12,FALSE)),"")</f>
        <v>0.05</v>
      </c>
      <c r="I54" s="229" t="str">
        <f>IF(VLOOKUP(C54,'Annex 2 EHV charges'!$F$11:$P$157,11,FALSE)&lt;=5,"",VLOOKUP(C54,'Annex 2 EHV charges'!$F$11:$P$157,11,FALSE))</f>
        <v/>
      </c>
    </row>
    <row r="55" spans="1:9" ht="12.75" customHeight="1" x14ac:dyDescent="0.35">
      <c r="A55" s="88">
        <f t="array" ref="A55">IFERROR(INDEX('Annex 2 EHV charges'!$D$11:$D$260, MATCH(0, IF(ISBLANK('Annex 2 EHV charges'!$D$11:$D$260),1, COUNTIF(A$4:$A54, 'Annex 2 EHV charges'!$D$11:$D$260)), 0)),"")</f>
        <v>698</v>
      </c>
      <c r="B55" s="87">
        <f>IF($A55="","",VLOOKUP($A55,'Annex 2 EHV charges'!$D:$O,2,0))</f>
        <v>698</v>
      </c>
      <c r="C55" s="88">
        <f>IF($A55="","",VLOOKUP($A55,'Annex 2 EHV charges'!$D:$O,3,0))</f>
        <v>1800060709047</v>
      </c>
      <c r="D55" s="87" t="str">
        <f>IF($A55="","",VLOOKUP($A55,'Annex 2 EHV charges'!$D:$O,4,0))</f>
        <v>Tod Hills Windfarm</v>
      </c>
      <c r="E55" s="89" t="str">
        <f>IFERROR(IF(VLOOKUP($A55,'Annex 2 EHV charges'!$D:$O,9,FALSE)=0,"",VLOOKUP($A55,'Annex 2 EHV charges'!$D:$O,9,FALSE)),"")</f>
        <v>-</v>
      </c>
      <c r="F55" s="90">
        <f>IFERROR(IF(VLOOKUP($A55,'Annex 2 EHV charges'!$D:$O,10,FALSE)=0,"",VLOOKUP($A55,'Annex 2 EHV charges'!$D:$O,10,FALSE)),"")</f>
        <v>8230.9699999999993</v>
      </c>
      <c r="G55" s="91">
        <f>IFERROR(IF(VLOOKUP($A55,'Annex 2 EHV charges'!$D:$O,11,FALSE)=0,"",VLOOKUP($A55,'Annex 2 EHV charges'!$D:$O,11,FALSE)),"")</f>
        <v>0.05</v>
      </c>
      <c r="H55" s="91">
        <f>IFERROR(IF(VLOOKUP($A55,'Annex 2 EHV charges'!$D:$O,12,FALSE)=0,"",VLOOKUP($A55,'Annex 2 EHV charges'!$D:$O,12,FALSE)),"")</f>
        <v>0.05</v>
      </c>
      <c r="I55" s="229" t="str">
        <f>IF(VLOOKUP(C55,'Annex 2 EHV charges'!$F$11:$P$157,11,FALSE)&lt;=5,"",VLOOKUP(C55,'Annex 2 EHV charges'!$F$11:$P$157,11,FALSE))</f>
        <v/>
      </c>
    </row>
    <row r="56" spans="1:9" ht="12.75" customHeight="1" x14ac:dyDescent="0.35">
      <c r="A56" s="88">
        <f t="array" ref="A56">IFERROR(INDEX('Annex 2 EHV charges'!$D$11:$D$260, MATCH(0, IF(ISBLANK('Annex 2 EHV charges'!$D$11:$D$260),1, COUNTIF(A$4:$A55, 'Annex 2 EHV charges'!$D$11:$D$260)), 0)),"")</f>
        <v>670</v>
      </c>
      <c r="B56" s="87">
        <f>IF($A56="","",VLOOKUP($A56,'Annex 2 EHV charges'!$D:$O,2,0))</f>
        <v>670</v>
      </c>
      <c r="C56" s="88">
        <f>IF($A56="","",VLOOKUP($A56,'Annex 2 EHV charges'!$D:$O,3,0))</f>
        <v>1800060877293</v>
      </c>
      <c r="D56" s="87" t="str">
        <f>IF($A56="","",VLOOKUP($A56,'Annex 2 EHV charges'!$D:$O,4,0))</f>
        <v xml:space="preserve">Hoprigshiels </v>
      </c>
      <c r="E56" s="89" t="str">
        <f>IFERROR(IF(VLOOKUP($A56,'Annex 2 EHV charges'!$D:$O,9,FALSE)=0,"",VLOOKUP($A56,'Annex 2 EHV charges'!$D:$O,9,FALSE)),"")</f>
        <v>-</v>
      </c>
      <c r="F56" s="90">
        <f>IFERROR(IF(VLOOKUP($A56,'Annex 2 EHV charges'!$D:$O,10,FALSE)=0,"",VLOOKUP($A56,'Annex 2 EHV charges'!$D:$O,10,FALSE)),"")</f>
        <v>13122.77</v>
      </c>
      <c r="G56" s="91">
        <f>IFERROR(IF(VLOOKUP($A56,'Annex 2 EHV charges'!$D:$O,11,FALSE)=0,"",VLOOKUP($A56,'Annex 2 EHV charges'!$D:$O,11,FALSE)),"")</f>
        <v>0.05</v>
      </c>
      <c r="H56" s="91">
        <f>IFERROR(IF(VLOOKUP($A56,'Annex 2 EHV charges'!$D:$O,12,FALSE)=0,"",VLOOKUP($A56,'Annex 2 EHV charges'!$D:$O,12,FALSE)),"")</f>
        <v>0.05</v>
      </c>
      <c r="I56" s="229" t="str">
        <f>IF(VLOOKUP(C56,'Annex 2 EHV charges'!$F$11:$P$157,11,FALSE)&lt;=5,"",VLOOKUP(C56,'Annex 2 EHV charges'!$F$11:$P$157,11,FALSE))</f>
        <v/>
      </c>
    </row>
    <row r="57" spans="1:9" ht="12.75" customHeight="1" x14ac:dyDescent="0.35">
      <c r="A57" s="88">
        <f t="array" ref="A57">IFERROR(INDEX('Annex 2 EHV charges'!$D$11:$D$260, MATCH(0, IF(ISBLANK('Annex 2 EHV charges'!$D$11:$D$260),1, COUNTIF(A$4:$A56, 'Annex 2 EHV charges'!$D$11:$D$260)), 0)),"")</f>
        <v>664</v>
      </c>
      <c r="B57" s="87">
        <f>IF($A57="","",VLOOKUP($A57,'Annex 2 EHV charges'!$D:$O,2,0))</f>
        <v>664</v>
      </c>
      <c r="C57" s="88">
        <f>IF($A57="","",VLOOKUP($A57,'Annex 2 EHV charges'!$D:$O,3,0))</f>
        <v>1800060809034</v>
      </c>
      <c r="D57" s="87" t="str">
        <f>IF($A57="","",VLOOKUP($A57,'Annex 2 EHV charges'!$D:$O,4,0))</f>
        <v>MuirHall Extension II WF</v>
      </c>
      <c r="E57" s="89" t="str">
        <f>IFERROR(IF(VLOOKUP($A57,'Annex 2 EHV charges'!$D:$O,9,FALSE)=0,"",VLOOKUP($A57,'Annex 2 EHV charges'!$D:$O,9,FALSE)),"")</f>
        <v>-</v>
      </c>
      <c r="F57" s="90">
        <f>IFERROR(IF(VLOOKUP($A57,'Annex 2 EHV charges'!$D:$O,10,FALSE)=0,"",VLOOKUP($A57,'Annex 2 EHV charges'!$D:$O,10,FALSE)),"")</f>
        <v>4775.3999999999996</v>
      </c>
      <c r="G57" s="91">
        <f>IFERROR(IF(VLOOKUP($A57,'Annex 2 EHV charges'!$D:$O,11,FALSE)=0,"",VLOOKUP($A57,'Annex 2 EHV charges'!$D:$O,11,FALSE)),"")</f>
        <v>0.05</v>
      </c>
      <c r="H57" s="91">
        <f>IFERROR(IF(VLOOKUP($A57,'Annex 2 EHV charges'!$D:$O,12,FALSE)=0,"",VLOOKUP($A57,'Annex 2 EHV charges'!$D:$O,12,FALSE)),"")</f>
        <v>0.05</v>
      </c>
      <c r="I57" s="229" t="str">
        <f>IF(VLOOKUP(C57,'Annex 2 EHV charges'!$F$11:$P$157,11,FALSE)&lt;=5,"",VLOOKUP(C57,'Annex 2 EHV charges'!$F$11:$P$157,11,FALSE))</f>
        <v/>
      </c>
    </row>
    <row r="58" spans="1:9" ht="12.75" customHeight="1" x14ac:dyDescent="0.35">
      <c r="A58" s="88">
        <f t="array" ref="A58">IFERROR(INDEX('Annex 2 EHV charges'!$D$11:$D$260, MATCH(0, IF(ISBLANK('Annex 2 EHV charges'!$D$11:$D$260),1, COUNTIF(A$4:$A57, 'Annex 2 EHV charges'!$D$11:$D$260)), 0)),"")</f>
        <v>706</v>
      </c>
      <c r="B58" s="87">
        <f>IF($A58="","",VLOOKUP($A58,'Annex 2 EHV charges'!$D:$O,2,0))</f>
        <v>706</v>
      </c>
      <c r="C58" s="88">
        <f>IF($A58="","",VLOOKUP($A58,'Annex 2 EHV charges'!$D:$O,3,0))</f>
        <v>1800060749670</v>
      </c>
      <c r="D58" s="87" t="str">
        <f>IF($A58="","",VLOOKUP($A58,'Annex 2 EHV charges'!$D:$O,4,0))</f>
        <v>Polmadie (Waste energy A)</v>
      </c>
      <c r="E58" s="89" t="str">
        <f>IFERROR(IF(VLOOKUP($A58,'Annex 2 EHV charges'!$D:$O,9,FALSE)=0,"",VLOOKUP($A58,'Annex 2 EHV charges'!$D:$O,9,FALSE)),"")</f>
        <v>-</v>
      </c>
      <c r="F58" s="90">
        <f>IFERROR(IF(VLOOKUP($A58,'Annex 2 EHV charges'!$D:$O,10,FALSE)=0,"",VLOOKUP($A58,'Annex 2 EHV charges'!$D:$O,10,FALSE)),"")</f>
        <v>4956.4799999999996</v>
      </c>
      <c r="G58" s="91">
        <f>IFERROR(IF(VLOOKUP($A58,'Annex 2 EHV charges'!$D:$O,11,FALSE)=0,"",VLOOKUP($A58,'Annex 2 EHV charges'!$D:$O,11,FALSE)),"")</f>
        <v>0.05</v>
      </c>
      <c r="H58" s="91">
        <f>IFERROR(IF(VLOOKUP($A58,'Annex 2 EHV charges'!$D:$O,12,FALSE)=0,"",VLOOKUP($A58,'Annex 2 EHV charges'!$D:$O,12,FALSE)),"")</f>
        <v>0.05</v>
      </c>
      <c r="I58" s="229" t="str">
        <f>IF(VLOOKUP(C58,'Annex 2 EHV charges'!$F$11:$P$157,11,FALSE)&lt;=5,"",VLOOKUP(C58,'Annex 2 EHV charges'!$F$11:$P$157,11,FALSE))</f>
        <v/>
      </c>
    </row>
    <row r="59" spans="1:9" ht="12.75" customHeight="1" x14ac:dyDescent="0.35">
      <c r="A59" s="88">
        <f t="array" ref="A59">IFERROR(INDEX('Annex 2 EHV charges'!$D$11:$D$260, MATCH(0, IF(ISBLANK('Annex 2 EHV charges'!$D$11:$D$260),1, COUNTIF(A$4:$A58, 'Annex 2 EHV charges'!$D$11:$D$260)), 0)),"")</f>
        <v>673</v>
      </c>
      <c r="B59" s="87">
        <f>IF($A59="","",VLOOKUP($A59,'Annex 2 EHV charges'!$D:$O,2,0))</f>
        <v>673</v>
      </c>
      <c r="C59" s="88">
        <f>IF($A59="","",VLOOKUP($A59,'Annex 2 EHV charges'!$D:$O,3,0))</f>
        <v>1800060450490</v>
      </c>
      <c r="D59" s="87" t="str">
        <f>IF($A59="","",VLOOKUP($A59,'Annex 2 EHV charges'!$D:$O,4,0))</f>
        <v>Millour Hill</v>
      </c>
      <c r="E59" s="89" t="str">
        <f>IFERROR(IF(VLOOKUP($A59,'Annex 2 EHV charges'!$D:$O,9,FALSE)=0,"",VLOOKUP($A59,'Annex 2 EHV charges'!$D:$O,9,FALSE)),"")</f>
        <v>-</v>
      </c>
      <c r="F59" s="90">
        <f>IFERROR(IF(VLOOKUP($A59,'Annex 2 EHV charges'!$D:$O,10,FALSE)=0,"",VLOOKUP($A59,'Annex 2 EHV charges'!$D:$O,10,FALSE)),"")</f>
        <v>14894.93</v>
      </c>
      <c r="G59" s="91">
        <f>IFERROR(IF(VLOOKUP($A59,'Annex 2 EHV charges'!$D:$O,11,FALSE)=0,"",VLOOKUP($A59,'Annex 2 EHV charges'!$D:$O,11,FALSE)),"")</f>
        <v>0.05</v>
      </c>
      <c r="H59" s="91">
        <f>IFERROR(IF(VLOOKUP($A59,'Annex 2 EHV charges'!$D:$O,12,FALSE)=0,"",VLOOKUP($A59,'Annex 2 EHV charges'!$D:$O,12,FALSE)),"")</f>
        <v>0.05</v>
      </c>
      <c r="I59" s="229" t="str">
        <f>IF(VLOOKUP(C59,'Annex 2 EHV charges'!$F$11:$P$157,11,FALSE)&lt;=5,"",VLOOKUP(C59,'Annex 2 EHV charges'!$F$11:$P$157,11,FALSE))</f>
        <v/>
      </c>
    </row>
    <row r="60" spans="1:9" ht="12.75" customHeight="1" x14ac:dyDescent="0.35">
      <c r="A60" s="88">
        <f t="array" ref="A60">IFERROR(INDEX('Annex 2 EHV charges'!$D$11:$D$260, MATCH(0, IF(ISBLANK('Annex 2 EHV charges'!$D$11:$D$260),1, COUNTIF(A$4:$A59, 'Annex 2 EHV charges'!$D$11:$D$260)), 0)),"")</f>
        <v>674</v>
      </c>
      <c r="B60" s="87">
        <f>IF($A60="","",VLOOKUP($A60,'Annex 2 EHV charges'!$D:$O,2,0))</f>
        <v>674</v>
      </c>
      <c r="C60" s="88">
        <f>IF($A60="","",VLOOKUP($A60,'Annex 2 EHV charges'!$D:$O,3,0))</f>
        <v>1800060441399</v>
      </c>
      <c r="D60" s="87" t="str">
        <f>IF($A60="","",VLOOKUP($A60,'Annex 2 EHV charges'!$D:$O,4,0))</f>
        <v>Glenkerie</v>
      </c>
      <c r="E60" s="89" t="str">
        <f>IFERROR(IF(VLOOKUP($A60,'Annex 2 EHV charges'!$D:$O,9,FALSE)=0,"",VLOOKUP($A60,'Annex 2 EHV charges'!$D:$O,9,FALSE)),"")</f>
        <v>-</v>
      </c>
      <c r="F60" s="90">
        <f>IFERROR(IF(VLOOKUP($A60,'Annex 2 EHV charges'!$D:$O,10,FALSE)=0,"",VLOOKUP($A60,'Annex 2 EHV charges'!$D:$O,10,FALSE)),"")</f>
        <v>14844.13</v>
      </c>
      <c r="G60" s="91">
        <f>IFERROR(IF(VLOOKUP($A60,'Annex 2 EHV charges'!$D:$O,11,FALSE)=0,"",VLOOKUP($A60,'Annex 2 EHV charges'!$D:$O,11,FALSE)),"")</f>
        <v>0.05</v>
      </c>
      <c r="H60" s="91">
        <f>IFERROR(IF(VLOOKUP($A60,'Annex 2 EHV charges'!$D:$O,12,FALSE)=0,"",VLOOKUP($A60,'Annex 2 EHV charges'!$D:$O,12,FALSE)),"")</f>
        <v>0.05</v>
      </c>
      <c r="I60" s="229" t="str">
        <f>IF(VLOOKUP(C60,'Annex 2 EHV charges'!$F$11:$P$157,11,FALSE)&lt;=5,"",VLOOKUP(C60,'Annex 2 EHV charges'!$F$11:$P$157,11,FALSE))</f>
        <v/>
      </c>
    </row>
    <row r="61" spans="1:9" ht="12.75" customHeight="1" x14ac:dyDescent="0.35">
      <c r="A61" s="88">
        <f t="array" ref="A61">IFERROR(INDEX('Annex 2 EHV charges'!$D$11:$D$260, MATCH(0, IF(ISBLANK('Annex 2 EHV charges'!$D$11:$D$260),1, COUNTIF(A$4:$A60, 'Annex 2 EHV charges'!$D$11:$D$260)), 0)),"")</f>
        <v>675</v>
      </c>
      <c r="B61" s="87">
        <f>IF($A61="","",VLOOKUP($A61,'Annex 2 EHV charges'!$D:$O,2,0))</f>
        <v>675</v>
      </c>
      <c r="C61" s="88">
        <f>IF($A61="","",VLOOKUP($A61,'Annex 2 EHV charges'!$D:$O,3,0))</f>
        <v>1800060450533</v>
      </c>
      <c r="D61" s="87" t="str">
        <f>IF($A61="","",VLOOKUP($A61,'Annex 2 EHV charges'!$D:$O,4,0))</f>
        <v>Kelburn (A)</v>
      </c>
      <c r="E61" s="89" t="str">
        <f>IFERROR(IF(VLOOKUP($A61,'Annex 2 EHV charges'!$D:$O,9,FALSE)=0,"",VLOOKUP($A61,'Annex 2 EHV charges'!$D:$O,9,FALSE)),"")</f>
        <v>-</v>
      </c>
      <c r="F61" s="90">
        <f>IFERROR(IF(VLOOKUP($A61,'Annex 2 EHV charges'!$D:$O,10,FALSE)=0,"",VLOOKUP($A61,'Annex 2 EHV charges'!$D:$O,10,FALSE)),"")</f>
        <v>8828.4699999999993</v>
      </c>
      <c r="G61" s="91">
        <f>IFERROR(IF(VLOOKUP($A61,'Annex 2 EHV charges'!$D:$O,11,FALSE)=0,"",VLOOKUP($A61,'Annex 2 EHV charges'!$D:$O,11,FALSE)),"")</f>
        <v>0.05</v>
      </c>
      <c r="H61" s="91">
        <f>IFERROR(IF(VLOOKUP($A61,'Annex 2 EHV charges'!$D:$O,12,FALSE)=0,"",VLOOKUP($A61,'Annex 2 EHV charges'!$D:$O,12,FALSE)),"")</f>
        <v>0.05</v>
      </c>
      <c r="I61" s="229" t="str">
        <f>IF(VLOOKUP(C61,'Annex 2 EHV charges'!$F$11:$P$157,11,FALSE)&lt;=5,"",VLOOKUP(C61,'Annex 2 EHV charges'!$F$11:$P$157,11,FALSE))</f>
        <v>See Annex 6</v>
      </c>
    </row>
    <row r="62" spans="1:9" ht="12.75" customHeight="1" x14ac:dyDescent="0.35">
      <c r="A62" s="88">
        <f t="array" ref="A62">IFERROR(INDEX('Annex 2 EHV charges'!$D$11:$D$260, MATCH(0, IF(ISBLANK('Annex 2 EHV charges'!$D$11:$D$260),1, COUNTIF(A$4:$A61, 'Annex 2 EHV charges'!$D$11:$D$260)), 0)),"")</f>
        <v>676</v>
      </c>
      <c r="B62" s="87">
        <f>IF($A62="","",VLOOKUP($A62,'Annex 2 EHV charges'!$D:$O,2,0))</f>
        <v>676</v>
      </c>
      <c r="C62" s="88">
        <f>IF($A62="","",VLOOKUP($A62,'Annex 2 EHV charges'!$D:$O,3,0))</f>
        <v>1800060450551</v>
      </c>
      <c r="D62" s="87" t="str">
        <f>IF($A62="","",VLOOKUP($A62,'Annex 2 EHV charges'!$D:$O,4,0))</f>
        <v>Kelburn (B)</v>
      </c>
      <c r="E62" s="89" t="str">
        <f>IFERROR(IF(VLOOKUP($A62,'Annex 2 EHV charges'!$D:$O,9,FALSE)=0,"",VLOOKUP($A62,'Annex 2 EHV charges'!$D:$O,9,FALSE)),"")</f>
        <v>-</v>
      </c>
      <c r="F62" s="90">
        <f>IFERROR(IF(VLOOKUP($A62,'Annex 2 EHV charges'!$D:$O,10,FALSE)=0,"",VLOOKUP($A62,'Annex 2 EHV charges'!$D:$O,10,FALSE)),"")</f>
        <v>8828.4699999999993</v>
      </c>
      <c r="G62" s="91">
        <f>IFERROR(IF(VLOOKUP($A62,'Annex 2 EHV charges'!$D:$O,11,FALSE)=0,"",VLOOKUP($A62,'Annex 2 EHV charges'!$D:$O,11,FALSE)),"")</f>
        <v>0.05</v>
      </c>
      <c r="H62" s="91">
        <f>IFERROR(IF(VLOOKUP($A62,'Annex 2 EHV charges'!$D:$O,12,FALSE)=0,"",VLOOKUP($A62,'Annex 2 EHV charges'!$D:$O,12,FALSE)),"")</f>
        <v>0.05</v>
      </c>
      <c r="I62" s="229" t="str">
        <f>IF(VLOOKUP(C62,'Annex 2 EHV charges'!$F$11:$P$157,11,FALSE)&lt;=5,"",VLOOKUP(C62,'Annex 2 EHV charges'!$F$11:$P$157,11,FALSE))</f>
        <v>See Annex 6</v>
      </c>
    </row>
    <row r="63" spans="1:9" ht="12.75" customHeight="1" x14ac:dyDescent="0.35">
      <c r="A63" s="88">
        <f t="array" ref="A63">IFERROR(INDEX('Annex 2 EHV charges'!$D$11:$D$260, MATCH(0, IF(ISBLANK('Annex 2 EHV charges'!$D$11:$D$260),1, COUNTIF(A$4:$A62, 'Annex 2 EHV charges'!$D$11:$D$260)), 0)),"")</f>
        <v>677</v>
      </c>
      <c r="B63" s="87">
        <f>IF($A63="","",VLOOKUP($A63,'Annex 2 EHV charges'!$D:$O,2,0))</f>
        <v>677</v>
      </c>
      <c r="C63" s="88">
        <f>IF($A63="","",VLOOKUP($A63,'Annex 2 EHV charges'!$D:$O,3,0))</f>
        <v>1800060450515</v>
      </c>
      <c r="D63" s="87" t="str">
        <f>IF($A63="","",VLOOKUP($A63,'Annex 2 EHV charges'!$D:$O,4,0))</f>
        <v>Little Raith</v>
      </c>
      <c r="E63" s="89" t="str">
        <f>IFERROR(IF(VLOOKUP($A63,'Annex 2 EHV charges'!$D:$O,9,FALSE)=0,"",VLOOKUP($A63,'Annex 2 EHV charges'!$D:$O,9,FALSE)),"")</f>
        <v>-</v>
      </c>
      <c r="F63" s="90">
        <f>IFERROR(IF(VLOOKUP($A63,'Annex 2 EHV charges'!$D:$O,10,FALSE)=0,"",VLOOKUP($A63,'Annex 2 EHV charges'!$D:$O,10,FALSE)),"")</f>
        <v>5334.32</v>
      </c>
      <c r="G63" s="91">
        <f>IFERROR(IF(VLOOKUP($A63,'Annex 2 EHV charges'!$D:$O,11,FALSE)=0,"",VLOOKUP($A63,'Annex 2 EHV charges'!$D:$O,11,FALSE)),"")</f>
        <v>0.05</v>
      </c>
      <c r="H63" s="91">
        <f>IFERROR(IF(VLOOKUP($A63,'Annex 2 EHV charges'!$D:$O,12,FALSE)=0,"",VLOOKUP($A63,'Annex 2 EHV charges'!$D:$O,12,FALSE)),"")</f>
        <v>0.05</v>
      </c>
      <c r="I63" s="229" t="str">
        <f>IF(VLOOKUP(C63,'Annex 2 EHV charges'!$F$11:$P$157,11,FALSE)&lt;=5,"",VLOOKUP(C63,'Annex 2 EHV charges'!$F$11:$P$157,11,FALSE))</f>
        <v>See Annex 6</v>
      </c>
    </row>
    <row r="64" spans="1:9" ht="12.75" customHeight="1" x14ac:dyDescent="0.35">
      <c r="A64" s="88">
        <f t="array" ref="A64">IFERROR(INDEX('Annex 2 EHV charges'!$D$11:$D$260, MATCH(0, IF(ISBLANK('Annex 2 EHV charges'!$D$11:$D$260),1, COUNTIF(A$4:$A63, 'Annex 2 EHV charges'!$D$11:$D$260)), 0)),"")</f>
        <v>678</v>
      </c>
      <c r="B64" s="87">
        <f>IF($A64="","",VLOOKUP($A64,'Annex 2 EHV charges'!$D:$O,2,0))</f>
        <v>678</v>
      </c>
      <c r="C64" s="88">
        <f>IF($A64="","",VLOOKUP($A64,'Annex 2 EHV charges'!$D:$O,3,0))</f>
        <v>1800060445659</v>
      </c>
      <c r="D64" s="87" t="str">
        <f>IF($A64="","",VLOOKUP($A64,'Annex 2 EHV charges'!$D:$O,4,0))</f>
        <v>Drone Hill</v>
      </c>
      <c r="E64" s="89" t="str">
        <f>IFERROR(IF(VLOOKUP($A64,'Annex 2 EHV charges'!$D:$O,9,FALSE)=0,"",VLOOKUP($A64,'Annex 2 EHV charges'!$D:$O,9,FALSE)),"")</f>
        <v>-</v>
      </c>
      <c r="F64" s="90">
        <f>IFERROR(IF(VLOOKUP($A64,'Annex 2 EHV charges'!$D:$O,10,FALSE)=0,"",VLOOKUP($A64,'Annex 2 EHV charges'!$D:$O,10,FALSE)),"")</f>
        <v>26295.81</v>
      </c>
      <c r="G64" s="91">
        <f>IFERROR(IF(VLOOKUP($A64,'Annex 2 EHV charges'!$D:$O,11,FALSE)=0,"",VLOOKUP($A64,'Annex 2 EHV charges'!$D:$O,11,FALSE)),"")</f>
        <v>0.05</v>
      </c>
      <c r="H64" s="91">
        <f>IFERROR(IF(VLOOKUP($A64,'Annex 2 EHV charges'!$D:$O,12,FALSE)=0,"",VLOOKUP($A64,'Annex 2 EHV charges'!$D:$O,12,FALSE)),"")</f>
        <v>0.05</v>
      </c>
      <c r="I64" s="229" t="str">
        <f>IF(VLOOKUP(C64,'Annex 2 EHV charges'!$F$11:$P$157,11,FALSE)&lt;=5,"",VLOOKUP(C64,'Annex 2 EHV charges'!$F$11:$P$157,11,FALSE))</f>
        <v/>
      </c>
    </row>
    <row r="65" spans="1:9" ht="12.75" customHeight="1" x14ac:dyDescent="0.35">
      <c r="A65" s="88">
        <f t="array" ref="A65">IFERROR(INDEX('Annex 2 EHV charges'!$D$11:$D$260, MATCH(0, IF(ISBLANK('Annex 2 EHV charges'!$D$11:$D$260),1, COUNTIF(A$4:$A64, 'Annex 2 EHV charges'!$D$11:$D$260)), 0)),"")</f>
        <v>680</v>
      </c>
      <c r="B65" s="87">
        <f>IF($A65="","",VLOOKUP($A65,'Annex 2 EHV charges'!$D:$O,2,0))</f>
        <v>680</v>
      </c>
      <c r="C65" s="88">
        <f>IF($A65="","",VLOOKUP($A65,'Annex 2 EHV charges'!$D:$O,3,0))</f>
        <v>1800060845821</v>
      </c>
      <c r="D65" s="87" t="str">
        <f>IF($A65="","",VLOOKUP($A65,'Annex 2 EHV charges'!$D:$O,4,0))</f>
        <v>Pearie Law Wind Farm</v>
      </c>
      <c r="E65" s="89" t="str">
        <f>IFERROR(IF(VLOOKUP($A65,'Annex 2 EHV charges'!$D:$O,9,FALSE)=0,"",VLOOKUP($A65,'Annex 2 EHV charges'!$D:$O,9,FALSE)),"")</f>
        <v>-</v>
      </c>
      <c r="F65" s="90">
        <f>IFERROR(IF(VLOOKUP($A65,'Annex 2 EHV charges'!$D:$O,10,FALSE)=0,"",VLOOKUP($A65,'Annex 2 EHV charges'!$D:$O,10,FALSE)),"")</f>
        <v>15935.82</v>
      </c>
      <c r="G65" s="91">
        <f>IFERROR(IF(VLOOKUP($A65,'Annex 2 EHV charges'!$D:$O,11,FALSE)=0,"",VLOOKUP($A65,'Annex 2 EHV charges'!$D:$O,11,FALSE)),"")</f>
        <v>0.05</v>
      </c>
      <c r="H65" s="91">
        <f>IFERROR(IF(VLOOKUP($A65,'Annex 2 EHV charges'!$D:$O,12,FALSE)=0,"",VLOOKUP($A65,'Annex 2 EHV charges'!$D:$O,12,FALSE)),"")</f>
        <v>0.05</v>
      </c>
      <c r="I65" s="229" t="str">
        <f>IF(VLOOKUP(C65,'Annex 2 EHV charges'!$F$11:$P$157,11,FALSE)&lt;=5,"",VLOOKUP(C65,'Annex 2 EHV charges'!$F$11:$P$157,11,FALSE))</f>
        <v/>
      </c>
    </row>
    <row r="66" spans="1:9" ht="12.75" customHeight="1" x14ac:dyDescent="0.35">
      <c r="A66" s="88">
        <f t="array" ref="A66">IFERROR(INDEX('Annex 2 EHV charges'!$D$11:$D$260, MATCH(0, IF(ISBLANK('Annex 2 EHV charges'!$D$11:$D$260),1, COUNTIF(A$4:$A65, 'Annex 2 EHV charges'!$D$11:$D$260)), 0)),"")</f>
        <v>701</v>
      </c>
      <c r="B66" s="87">
        <f>IF($A66="","",VLOOKUP($A66,'Annex 2 EHV charges'!$D:$O,2,0))</f>
        <v>701</v>
      </c>
      <c r="C66" s="88">
        <f>IF($A66="","",VLOOKUP($A66,'Annex 2 EHV charges'!$D:$O,3,0))</f>
        <v>1800060673231</v>
      </c>
      <c r="D66" s="87" t="str">
        <f>IF($A66="","",VLOOKUP($A66,'Annex 2 EHV charges'!$D:$O,4,0))</f>
        <v>Earlseat WF</v>
      </c>
      <c r="E66" s="89" t="str">
        <f>IFERROR(IF(VLOOKUP($A66,'Annex 2 EHV charges'!$D:$O,9,FALSE)=0,"",VLOOKUP($A66,'Annex 2 EHV charges'!$D:$O,9,FALSE)),"")</f>
        <v>-</v>
      </c>
      <c r="F66" s="90">
        <f>IFERROR(IF(VLOOKUP($A66,'Annex 2 EHV charges'!$D:$O,10,FALSE)=0,"",VLOOKUP($A66,'Annex 2 EHV charges'!$D:$O,10,FALSE)),"")</f>
        <v>12034.91</v>
      </c>
      <c r="G66" s="91">
        <f>IFERROR(IF(VLOOKUP($A66,'Annex 2 EHV charges'!$D:$O,11,FALSE)=0,"",VLOOKUP($A66,'Annex 2 EHV charges'!$D:$O,11,FALSE)),"")</f>
        <v>0.05</v>
      </c>
      <c r="H66" s="91">
        <f>IFERROR(IF(VLOOKUP($A66,'Annex 2 EHV charges'!$D:$O,12,FALSE)=0,"",VLOOKUP($A66,'Annex 2 EHV charges'!$D:$O,12,FALSE)),"")</f>
        <v>0.05</v>
      </c>
      <c r="I66" s="229" t="str">
        <f>IF(VLOOKUP(C66,'Annex 2 EHV charges'!$F$11:$P$157,11,FALSE)&lt;=5,"",VLOOKUP(C66,'Annex 2 EHV charges'!$F$11:$P$157,11,FALSE))</f>
        <v/>
      </c>
    </row>
    <row r="67" spans="1:9" ht="12.75" customHeight="1" x14ac:dyDescent="0.35">
      <c r="A67" s="88">
        <f t="array" ref="A67">IFERROR(INDEX('Annex 2 EHV charges'!$D$11:$D$260, MATCH(0, IF(ISBLANK('Annex 2 EHV charges'!$D$11:$D$260),1, COUNTIF(A$4:$A66, 'Annex 2 EHV charges'!$D$11:$D$260)), 0)),"")</f>
        <v>702</v>
      </c>
      <c r="B67" s="87">
        <f>IF($A67="","",VLOOKUP($A67,'Annex 2 EHV charges'!$D:$O,2,0))</f>
        <v>702</v>
      </c>
      <c r="C67" s="88">
        <f>IF($A67="","",VLOOKUP($A67,'Annex 2 EHV charges'!$D:$O,3,0))</f>
        <v>1800060740297</v>
      </c>
      <c r="D67" s="87" t="str">
        <f>IF($A67="","",VLOOKUP($A67,'Annex 2 EHV charges'!$D:$O,4,0))</f>
        <v>Dungavel WF</v>
      </c>
      <c r="E67" s="89" t="str">
        <f>IFERROR(IF(VLOOKUP($A67,'Annex 2 EHV charges'!$D:$O,9,FALSE)=0,"",VLOOKUP($A67,'Annex 2 EHV charges'!$D:$O,9,FALSE)),"")</f>
        <v>-</v>
      </c>
      <c r="F67" s="90">
        <f>IFERROR(IF(VLOOKUP($A67,'Annex 2 EHV charges'!$D:$O,10,FALSE)=0,"",VLOOKUP($A67,'Annex 2 EHV charges'!$D:$O,10,FALSE)),"")</f>
        <v>31667.55</v>
      </c>
      <c r="G67" s="91">
        <f>IFERROR(IF(VLOOKUP($A67,'Annex 2 EHV charges'!$D:$O,11,FALSE)=0,"",VLOOKUP($A67,'Annex 2 EHV charges'!$D:$O,11,FALSE)),"")</f>
        <v>0.05</v>
      </c>
      <c r="H67" s="91">
        <f>IFERROR(IF(VLOOKUP($A67,'Annex 2 EHV charges'!$D:$O,12,FALSE)=0,"",VLOOKUP($A67,'Annex 2 EHV charges'!$D:$O,12,FALSE)),"")</f>
        <v>0.05</v>
      </c>
      <c r="I67" s="229" t="str">
        <f>IF(VLOOKUP(C67,'Annex 2 EHV charges'!$F$11:$P$157,11,FALSE)&lt;=5,"",VLOOKUP(C67,'Annex 2 EHV charges'!$F$11:$P$157,11,FALSE))</f>
        <v/>
      </c>
    </row>
    <row r="68" spans="1:9" ht="12.75" customHeight="1" x14ac:dyDescent="0.35">
      <c r="A68" s="88">
        <f t="array" ref="A68">IFERROR(INDEX('Annex 2 EHV charges'!$D$11:$D$260, MATCH(0, IF(ISBLANK('Annex 2 EHV charges'!$D$11:$D$260),1, COUNTIF(A$4:$A67, 'Annex 2 EHV charges'!$D$11:$D$260)), 0)),"")</f>
        <v>687</v>
      </c>
      <c r="B68" s="87">
        <f>IF($A68="","",VLOOKUP($A68,'Annex 2 EHV charges'!$D:$O,2,0))</f>
        <v>687</v>
      </c>
      <c r="C68" s="88">
        <f>IF($A68="","",VLOOKUP($A68,'Annex 2 EHV charges'!$D:$O,3,0))</f>
        <v>1800060769747</v>
      </c>
      <c r="D68" s="87" t="str">
        <f>IF($A68="","",VLOOKUP($A68,'Annex 2 EHV charges'!$D:$O,4,0))</f>
        <v>Burnhead Bathgate WF</v>
      </c>
      <c r="E68" s="89" t="str">
        <f>IFERROR(IF(VLOOKUP($A68,'Annex 2 EHV charges'!$D:$O,9,FALSE)=0,"",VLOOKUP($A68,'Annex 2 EHV charges'!$D:$O,9,FALSE)),"")</f>
        <v>-</v>
      </c>
      <c r="F68" s="90">
        <f>IFERROR(IF(VLOOKUP($A68,'Annex 2 EHV charges'!$D:$O,10,FALSE)=0,"",VLOOKUP($A68,'Annex 2 EHV charges'!$D:$O,10,FALSE)),"")</f>
        <v>4275.71</v>
      </c>
      <c r="G68" s="91">
        <f>IFERROR(IF(VLOOKUP($A68,'Annex 2 EHV charges'!$D:$O,11,FALSE)=0,"",VLOOKUP($A68,'Annex 2 EHV charges'!$D:$O,11,FALSE)),"")</f>
        <v>0.05</v>
      </c>
      <c r="H68" s="91">
        <f>IFERROR(IF(VLOOKUP($A68,'Annex 2 EHV charges'!$D:$O,12,FALSE)=0,"",VLOOKUP($A68,'Annex 2 EHV charges'!$D:$O,12,FALSE)),"")</f>
        <v>0.05</v>
      </c>
      <c r="I68" s="229" t="str">
        <f>IF(VLOOKUP(C68,'Annex 2 EHV charges'!$F$11:$P$157,11,FALSE)&lt;=5,"",VLOOKUP(C68,'Annex 2 EHV charges'!$F$11:$P$157,11,FALSE))</f>
        <v/>
      </c>
    </row>
    <row r="69" spans="1:9" ht="12.75" customHeight="1" x14ac:dyDescent="0.35">
      <c r="A69" s="88">
        <f t="array" ref="A69">IFERROR(INDEX('Annex 2 EHV charges'!$D$11:$D$260, MATCH(0, IF(ISBLANK('Annex 2 EHV charges'!$D$11:$D$260),1, COUNTIF(A$4:$A68, 'Annex 2 EHV charges'!$D$11:$D$260)), 0)),"")</f>
        <v>679</v>
      </c>
      <c r="B69" s="87">
        <f>IF($A69="","",VLOOKUP($A69,'Annex 2 EHV charges'!$D:$O,2,0))</f>
        <v>679</v>
      </c>
      <c r="C69" s="88">
        <f>IF($A69="","",VLOOKUP($A69,'Annex 2 EHV charges'!$D:$O,3,0))</f>
        <v>1800060683709</v>
      </c>
      <c r="D69" s="87" t="str">
        <f>IF($A69="","",VLOOKUP($A69,'Annex 2 EHV charges'!$D:$O,4,0))</f>
        <v>Ardoch &amp; Over Enoch WF</v>
      </c>
      <c r="E69" s="89" t="str">
        <f>IFERROR(IF(VLOOKUP($A69,'Annex 2 EHV charges'!$D:$O,9,FALSE)=0,"",VLOOKUP($A69,'Annex 2 EHV charges'!$D:$O,9,FALSE)),"")</f>
        <v>-</v>
      </c>
      <c r="F69" s="90">
        <f>IFERROR(IF(VLOOKUP($A69,'Annex 2 EHV charges'!$D:$O,10,FALSE)=0,"",VLOOKUP($A69,'Annex 2 EHV charges'!$D:$O,10,FALSE)),"")</f>
        <v>11647.13</v>
      </c>
      <c r="G69" s="91">
        <f>IFERROR(IF(VLOOKUP($A69,'Annex 2 EHV charges'!$D:$O,11,FALSE)=0,"",VLOOKUP($A69,'Annex 2 EHV charges'!$D:$O,11,FALSE)),"")</f>
        <v>0.05</v>
      </c>
      <c r="H69" s="91">
        <f>IFERROR(IF(VLOOKUP($A69,'Annex 2 EHV charges'!$D:$O,12,FALSE)=0,"",VLOOKUP($A69,'Annex 2 EHV charges'!$D:$O,12,FALSE)),"")</f>
        <v>0.05</v>
      </c>
      <c r="I69" s="229" t="str">
        <f>IF(VLOOKUP(C69,'Annex 2 EHV charges'!$F$11:$P$157,11,FALSE)&lt;=5,"",VLOOKUP(C69,'Annex 2 EHV charges'!$F$11:$P$157,11,FALSE))</f>
        <v/>
      </c>
    </row>
    <row r="70" spans="1:9" ht="12.75" customHeight="1" x14ac:dyDescent="0.35">
      <c r="A70" s="88" t="str">
        <f t="array" ref="A70">IFERROR(INDEX('Annex 2 EHV charges'!$D$11:$D$260, MATCH(0, IF(ISBLANK('Annex 2 EHV charges'!$D$11:$D$260),1, COUNTIF(A$4:$A69, 'Annex 2 EHV charges'!$D$11:$D$260)), 0)),"")</f>
        <v>MSID 8732</v>
      </c>
      <c r="B70" s="87" t="str">
        <f>IF($A70="","",VLOOKUP($A70,'Annex 2 EHV charges'!$D:$O,2,0))</f>
        <v>MSID 8732</v>
      </c>
      <c r="C70" s="88" t="str">
        <f>IF($A70="","",VLOOKUP($A70,'Annex 2 EHV charges'!$D:$O,3,0))</f>
        <v>MSID 8732</v>
      </c>
      <c r="D70" s="87" t="str">
        <f>IF($A70="","",VLOOKUP($A70,'Annex 2 EHV charges'!$D:$O,4,0))</f>
        <v>Glenchamber</v>
      </c>
      <c r="E70" s="89" t="str">
        <f>IFERROR(IF(VLOOKUP($A70,'Annex 2 EHV charges'!$D:$O,9,FALSE)=0,"",VLOOKUP($A70,'Annex 2 EHV charges'!$D:$O,9,FALSE)),"")</f>
        <v>-</v>
      </c>
      <c r="F70" s="90">
        <f>IFERROR(IF(VLOOKUP($A70,'Annex 2 EHV charges'!$D:$O,10,FALSE)=0,"",VLOOKUP($A70,'Annex 2 EHV charges'!$D:$O,10,FALSE)),"")</f>
        <v>14492.4</v>
      </c>
      <c r="G70" s="91">
        <f>IFERROR(IF(VLOOKUP($A70,'Annex 2 EHV charges'!$D:$O,11,FALSE)=0,"",VLOOKUP($A70,'Annex 2 EHV charges'!$D:$O,11,FALSE)),"")</f>
        <v>0.05</v>
      </c>
      <c r="H70" s="91">
        <f>IFERROR(IF(VLOOKUP($A70,'Annex 2 EHV charges'!$D:$O,12,FALSE)=0,"",VLOOKUP($A70,'Annex 2 EHV charges'!$D:$O,12,FALSE)),"")</f>
        <v>0.05</v>
      </c>
      <c r="I70" s="229" t="str">
        <f>IF(VLOOKUP(C70,'Annex 2 EHV charges'!$F$11:$P$157,11,FALSE)&lt;=5,"",VLOOKUP(C70,'Annex 2 EHV charges'!$F$11:$P$157,11,FALSE))</f>
        <v/>
      </c>
    </row>
    <row r="71" spans="1:9" ht="12.75" customHeight="1" x14ac:dyDescent="0.35">
      <c r="A71" s="88">
        <f t="array" ref="A71">IFERROR(INDEX('Annex 2 EHV charges'!$D$11:$D$260, MATCH(0, IF(ISBLANK('Annex 2 EHV charges'!$D$11:$D$260),1, COUNTIF(A$4:$A70, 'Annex 2 EHV charges'!$D$11:$D$260)), 0)),"")</f>
        <v>708</v>
      </c>
      <c r="B71" s="87">
        <f>IF($A71="","",VLOOKUP($A71,'Annex 2 EHV charges'!$D:$O,2,0))</f>
        <v>708</v>
      </c>
      <c r="C71" s="88">
        <f>IF($A71="","",VLOOKUP($A71,'Annex 2 EHV charges'!$D:$O,3,0))</f>
        <v>1800060819282</v>
      </c>
      <c r="D71" s="87" t="str">
        <f>IF($A71="","",VLOOKUP($A71,'Annex 2 EHV charges'!$D:$O,4,0))</f>
        <v>Penmansheill</v>
      </c>
      <c r="E71" s="89" t="str">
        <f>IFERROR(IF(VLOOKUP($A71,'Annex 2 EHV charges'!$D:$O,9,FALSE)=0,"",VLOOKUP($A71,'Annex 2 EHV charges'!$D:$O,9,FALSE)),"")</f>
        <v>-</v>
      </c>
      <c r="F71" s="90">
        <f>IFERROR(IF(VLOOKUP($A71,'Annex 2 EHV charges'!$D:$O,10,FALSE)=0,"",VLOOKUP($A71,'Annex 2 EHV charges'!$D:$O,10,FALSE)),"")</f>
        <v>35880.370000000003</v>
      </c>
      <c r="G71" s="91">
        <f>IFERROR(IF(VLOOKUP($A71,'Annex 2 EHV charges'!$D:$O,11,FALSE)=0,"",VLOOKUP($A71,'Annex 2 EHV charges'!$D:$O,11,FALSE)),"")</f>
        <v>0.05</v>
      </c>
      <c r="H71" s="91">
        <f>IFERROR(IF(VLOOKUP($A71,'Annex 2 EHV charges'!$D:$O,12,FALSE)=0,"",VLOOKUP($A71,'Annex 2 EHV charges'!$D:$O,12,FALSE)),"")</f>
        <v>0.05</v>
      </c>
      <c r="I71" s="229" t="str">
        <f>IF(VLOOKUP(C71,'Annex 2 EHV charges'!$F$11:$P$157,11,FALSE)&lt;=5,"",VLOOKUP(C71,'Annex 2 EHV charges'!$F$11:$P$157,11,FALSE))</f>
        <v/>
      </c>
    </row>
    <row r="72" spans="1:9" ht="12.75" customHeight="1" x14ac:dyDescent="0.35">
      <c r="A72" s="88">
        <f t="array" ref="A72">IFERROR(INDEX('Annex 2 EHV charges'!$D$11:$D$260, MATCH(0, IF(ISBLANK('Annex 2 EHV charges'!$D$11:$D$260),1, COUNTIF(A$4:$A71, 'Annex 2 EHV charges'!$D$11:$D$260)), 0)),"")</f>
        <v>668</v>
      </c>
      <c r="B72" s="87">
        <f>IF($A72="","",VLOOKUP($A72,'Annex 2 EHV charges'!$D:$O,2,0))</f>
        <v>668</v>
      </c>
      <c r="C72" s="88">
        <f>IF($A72="","",VLOOKUP($A72,'Annex 2 EHV charges'!$D:$O,3,0))</f>
        <v>1800060863732</v>
      </c>
      <c r="D72" s="87" t="str">
        <f>IF($A72="","",VLOOKUP($A72,'Annex 2 EHV charges'!$D:$O,4,0))</f>
        <v>Tormywheel</v>
      </c>
      <c r="E72" s="89" t="str">
        <f>IFERROR(IF(VLOOKUP($A72,'Annex 2 EHV charges'!$D:$O,9,FALSE)=0,"",VLOOKUP($A72,'Annex 2 EHV charges'!$D:$O,9,FALSE)),"")</f>
        <v>-</v>
      </c>
      <c r="F72" s="90">
        <f>IFERROR(IF(VLOOKUP($A72,'Annex 2 EHV charges'!$D:$O,10,FALSE)=0,"",VLOOKUP($A72,'Annex 2 EHV charges'!$D:$O,10,FALSE)),"")</f>
        <v>10354.870000000001</v>
      </c>
      <c r="G72" s="91">
        <f>IFERROR(IF(VLOOKUP($A72,'Annex 2 EHV charges'!$D:$O,11,FALSE)=0,"",VLOOKUP($A72,'Annex 2 EHV charges'!$D:$O,11,FALSE)),"")</f>
        <v>0.05</v>
      </c>
      <c r="H72" s="91">
        <f>IFERROR(IF(VLOOKUP($A72,'Annex 2 EHV charges'!$D:$O,12,FALSE)=0,"",VLOOKUP($A72,'Annex 2 EHV charges'!$D:$O,12,FALSE)),"")</f>
        <v>0.05</v>
      </c>
      <c r="I72" s="229" t="str">
        <f>IF(VLOOKUP(C72,'Annex 2 EHV charges'!$F$11:$P$157,11,FALSE)&lt;=5,"",VLOOKUP(C72,'Annex 2 EHV charges'!$F$11:$P$157,11,FALSE))</f>
        <v/>
      </c>
    </row>
    <row r="73" spans="1:9" ht="12.75" customHeight="1" x14ac:dyDescent="0.35">
      <c r="A73" s="88">
        <f t="array" ref="A73">IFERROR(INDEX('Annex 2 EHV charges'!$D$11:$D$260, MATCH(0, IF(ISBLANK('Annex 2 EHV charges'!$D$11:$D$260),1, COUNTIF(A$4:$A72, 'Annex 2 EHV charges'!$D$11:$D$260)), 0)),"")</f>
        <v>669</v>
      </c>
      <c r="B73" s="87">
        <f>IF($A73="","",VLOOKUP($A73,'Annex 2 EHV charges'!$D:$O,2,0))</f>
        <v>669</v>
      </c>
      <c r="C73" s="88">
        <f>IF($A73="","",VLOOKUP($A73,'Annex 2 EHV charges'!$D:$O,3,0))</f>
        <v>1800060872764</v>
      </c>
      <c r="D73" s="87" t="str">
        <f>IF($A73="","",VLOOKUP($A73,'Annex 2 EHV charges'!$D:$O,4,0))</f>
        <v>Quixwood Wind Farm</v>
      </c>
      <c r="E73" s="89" t="str">
        <f>IFERROR(IF(VLOOKUP($A73,'Annex 2 EHV charges'!$D:$O,9,FALSE)=0,"",VLOOKUP($A73,'Annex 2 EHV charges'!$D:$O,9,FALSE)),"")</f>
        <v>-</v>
      </c>
      <c r="F73" s="90">
        <f>IFERROR(IF(VLOOKUP($A73,'Annex 2 EHV charges'!$D:$O,10,FALSE)=0,"",VLOOKUP($A73,'Annex 2 EHV charges'!$D:$O,10,FALSE)),"")</f>
        <v>27058.240000000002</v>
      </c>
      <c r="G73" s="91">
        <f>IFERROR(IF(VLOOKUP($A73,'Annex 2 EHV charges'!$D:$O,11,FALSE)=0,"",VLOOKUP($A73,'Annex 2 EHV charges'!$D:$O,11,FALSE)),"")</f>
        <v>0.05</v>
      </c>
      <c r="H73" s="91">
        <f>IFERROR(IF(VLOOKUP($A73,'Annex 2 EHV charges'!$D:$O,12,FALSE)=0,"",VLOOKUP($A73,'Annex 2 EHV charges'!$D:$O,12,FALSE)),"")</f>
        <v>0.05</v>
      </c>
      <c r="I73" s="229" t="str">
        <f>IF(VLOOKUP(C73,'Annex 2 EHV charges'!$F$11:$P$157,11,FALSE)&lt;=5,"",VLOOKUP(C73,'Annex 2 EHV charges'!$F$11:$P$157,11,FALSE))</f>
        <v/>
      </c>
    </row>
    <row r="74" spans="1:9" ht="12.75" customHeight="1" x14ac:dyDescent="0.35">
      <c r="A74" s="88" t="str">
        <f t="array" ref="A74">IFERROR(INDEX('Annex 2 EHV charges'!$D$11:$D$260, MATCH(0, IF(ISBLANK('Annex 2 EHV charges'!$D$11:$D$260),1, COUNTIF(A$4:$A73, 'Annex 2 EHV charges'!$D$11:$D$260)), 0)),"")</f>
        <v>MSID 8334</v>
      </c>
      <c r="B74" s="87" t="str">
        <f>IF($A74="","",VLOOKUP($A74,'Annex 2 EHV charges'!$D:$O,2,0))</f>
        <v>MSID 8334</v>
      </c>
      <c r="C74" s="88" t="str">
        <f>IF($A74="","",VLOOKUP($A74,'Annex 2 EHV charges'!$D:$O,3,0))</f>
        <v>MSID 8334</v>
      </c>
      <c r="D74" s="87" t="str">
        <f>IF($A74="","",VLOOKUP($A74,'Annex 2 EHV charges'!$D:$O,4,0))</f>
        <v>Markinch</v>
      </c>
      <c r="E74" s="89" t="str">
        <f>IFERROR(IF(VLOOKUP($A74,'Annex 2 EHV charges'!$D:$O,9,FALSE)=0,"",VLOOKUP($A74,'Annex 2 EHV charges'!$D:$O,9,FALSE)),"")</f>
        <v>-</v>
      </c>
      <c r="F74" s="90">
        <f>IFERROR(IF(VLOOKUP($A74,'Annex 2 EHV charges'!$D:$O,10,FALSE)=0,"",VLOOKUP($A74,'Annex 2 EHV charges'!$D:$O,10,FALSE)),"")</f>
        <v>21669.1</v>
      </c>
      <c r="G74" s="91">
        <f>IFERROR(IF(VLOOKUP($A74,'Annex 2 EHV charges'!$D:$O,11,FALSE)=0,"",VLOOKUP($A74,'Annex 2 EHV charges'!$D:$O,11,FALSE)),"")</f>
        <v>0.05</v>
      </c>
      <c r="H74" s="91">
        <f>IFERROR(IF(VLOOKUP($A74,'Annex 2 EHV charges'!$D:$O,12,FALSE)=0,"",VLOOKUP($A74,'Annex 2 EHV charges'!$D:$O,12,FALSE)),"")</f>
        <v>0.05</v>
      </c>
      <c r="I74" s="229" t="str">
        <f>IF(VLOOKUP(C74,'Annex 2 EHV charges'!$F$11:$P$157,11,FALSE)&lt;=5,"",VLOOKUP(C74,'Annex 2 EHV charges'!$F$11:$P$157,11,FALSE))</f>
        <v/>
      </c>
    </row>
    <row r="75" spans="1:9" ht="12.75" customHeight="1" x14ac:dyDescent="0.35">
      <c r="A75" s="88" t="str">
        <f t="array" ref="A75">IFERROR(INDEX('Annex 2 EHV charges'!$D$11:$D$260, MATCH(0, IF(ISBLANK('Annex 2 EHV charges'!$D$11:$D$260),1, COUNTIF(A$4:$A74, 'Annex 2 EHV charges'!$D$11:$D$260)), 0)),"")</f>
        <v>MSID 8339</v>
      </c>
      <c r="B75" s="87" t="str">
        <f>IF($A75="","",VLOOKUP($A75,'Annex 2 EHV charges'!$D:$O,2,0))</f>
        <v>MSID 8339</v>
      </c>
      <c r="C75" s="88" t="str">
        <f>IF($A75="","",VLOOKUP($A75,'Annex 2 EHV charges'!$D:$O,3,0))</f>
        <v>MSID 8339</v>
      </c>
      <c r="D75" s="87" t="str">
        <f>IF($A75="","",VLOOKUP($A75,'Annex 2 EHV charges'!$D:$O,4,0))</f>
        <v>Harehill Extension</v>
      </c>
      <c r="E75" s="89" t="str">
        <f>IFERROR(IF(VLOOKUP($A75,'Annex 2 EHV charges'!$D:$O,9,FALSE)=0,"",VLOOKUP($A75,'Annex 2 EHV charges'!$D:$O,9,FALSE)),"")</f>
        <v>-</v>
      </c>
      <c r="F75" s="90">
        <f>IFERROR(IF(VLOOKUP($A75,'Annex 2 EHV charges'!$D:$O,10,FALSE)=0,"",VLOOKUP($A75,'Annex 2 EHV charges'!$D:$O,10,FALSE)),"")</f>
        <v>8437.2800000000007</v>
      </c>
      <c r="G75" s="91">
        <f>IFERROR(IF(VLOOKUP($A75,'Annex 2 EHV charges'!$D:$O,11,FALSE)=0,"",VLOOKUP($A75,'Annex 2 EHV charges'!$D:$O,11,FALSE)),"")</f>
        <v>0.05</v>
      </c>
      <c r="H75" s="91">
        <f>IFERROR(IF(VLOOKUP($A75,'Annex 2 EHV charges'!$D:$O,12,FALSE)=0,"",VLOOKUP($A75,'Annex 2 EHV charges'!$D:$O,12,FALSE)),"")</f>
        <v>0.05</v>
      </c>
      <c r="I75" s="229" t="str">
        <f>IF(VLOOKUP(C75,'Annex 2 EHV charges'!$F$11:$P$157,11,FALSE)&lt;=5,"",VLOOKUP(C75,'Annex 2 EHV charges'!$F$11:$P$157,11,FALSE))</f>
        <v/>
      </c>
    </row>
    <row r="76" spans="1:9" ht="12.75" customHeight="1" x14ac:dyDescent="0.35">
      <c r="A76" s="88" t="str">
        <f t="array" ref="A76">IFERROR(INDEX('Annex 2 EHV charges'!$D$11:$D$260, MATCH(0, IF(ISBLANK('Annex 2 EHV charges'!$D$11:$D$260),1, COUNTIF(A$4:$A75, 'Annex 2 EHV charges'!$D$11:$D$260)), 0)),"")</f>
        <v>MSID 8340</v>
      </c>
      <c r="B76" s="87" t="str">
        <f>IF($A76="","",VLOOKUP($A76,'Annex 2 EHV charges'!$D:$O,2,0))</f>
        <v>MSID 8340</v>
      </c>
      <c r="C76" s="88" t="str">
        <f>IF($A76="","",VLOOKUP($A76,'Annex 2 EHV charges'!$D:$O,3,0))</f>
        <v>MSID 8340</v>
      </c>
      <c r="D76" s="87" t="str">
        <f>IF($A76="","",VLOOKUP($A76,'Annex 2 EHV charges'!$D:$O,4,0))</f>
        <v>Aries</v>
      </c>
      <c r="E76" s="89" t="str">
        <f>IFERROR(IF(VLOOKUP($A76,'Annex 2 EHV charges'!$D:$O,9,FALSE)=0,"",VLOOKUP($A76,'Annex 2 EHV charges'!$D:$O,9,FALSE)),"")</f>
        <v>-</v>
      </c>
      <c r="F76" s="90">
        <f>IFERROR(IF(VLOOKUP($A76,'Annex 2 EHV charges'!$D:$O,10,FALSE)=0,"",VLOOKUP($A76,'Annex 2 EHV charges'!$D:$O,10,FALSE)),"")</f>
        <v>13279.68</v>
      </c>
      <c r="G76" s="91">
        <f>IFERROR(IF(VLOOKUP($A76,'Annex 2 EHV charges'!$D:$O,11,FALSE)=0,"",VLOOKUP($A76,'Annex 2 EHV charges'!$D:$O,11,FALSE)),"")</f>
        <v>0.05</v>
      </c>
      <c r="H76" s="91">
        <f>IFERROR(IF(VLOOKUP($A76,'Annex 2 EHV charges'!$D:$O,12,FALSE)=0,"",VLOOKUP($A76,'Annex 2 EHV charges'!$D:$O,12,FALSE)),"")</f>
        <v>0.05</v>
      </c>
      <c r="I76" s="229" t="str">
        <f>IF(VLOOKUP(C76,'Annex 2 EHV charges'!$F$11:$P$157,11,FALSE)&lt;=5,"",VLOOKUP(C76,'Annex 2 EHV charges'!$F$11:$P$157,11,FALSE))</f>
        <v/>
      </c>
    </row>
    <row r="77" spans="1:9" ht="12.75" customHeight="1" x14ac:dyDescent="0.35">
      <c r="A77" s="88" t="str">
        <f t="array" ref="A77">IFERROR(INDEX('Annex 2 EHV charges'!$D$11:$D$260, MATCH(0, IF(ISBLANK('Annex 2 EHV charges'!$D$11:$D$260),1, COUNTIF(A$4:$A76, 'Annex 2 EHV charges'!$D$11:$D$260)), 0)),"")</f>
        <v>MSID 8341</v>
      </c>
      <c r="B77" s="87" t="str">
        <f>IF($A77="","",VLOOKUP($A77,'Annex 2 EHV charges'!$D:$O,2,0))</f>
        <v>MSID 8341</v>
      </c>
      <c r="C77" s="88" t="str">
        <f>IF($A77="","",VLOOKUP($A77,'Annex 2 EHV charges'!$D:$O,3,0))</f>
        <v>MSID 8341</v>
      </c>
      <c r="D77" s="87" t="str">
        <f>IF($A77="","",VLOOKUP($A77,'Annex 2 EHV charges'!$D:$O,4,0))</f>
        <v>Andershaw WF</v>
      </c>
      <c r="E77" s="89" t="str">
        <f>IFERROR(IF(VLOOKUP($A77,'Annex 2 EHV charges'!$D:$O,9,FALSE)=0,"",VLOOKUP($A77,'Annex 2 EHV charges'!$D:$O,9,FALSE)),"")</f>
        <v>-</v>
      </c>
      <c r="F77" s="90">
        <f>IFERROR(IF(VLOOKUP($A77,'Annex 2 EHV charges'!$D:$O,10,FALSE)=0,"",VLOOKUP($A77,'Annex 2 EHV charges'!$D:$O,10,FALSE)),"")</f>
        <v>26202.86</v>
      </c>
      <c r="G77" s="91">
        <f>IFERROR(IF(VLOOKUP($A77,'Annex 2 EHV charges'!$D:$O,11,FALSE)=0,"",VLOOKUP($A77,'Annex 2 EHV charges'!$D:$O,11,FALSE)),"")</f>
        <v>0.05</v>
      </c>
      <c r="H77" s="91">
        <f>IFERROR(IF(VLOOKUP($A77,'Annex 2 EHV charges'!$D:$O,12,FALSE)=0,"",VLOOKUP($A77,'Annex 2 EHV charges'!$D:$O,12,FALSE)),"")</f>
        <v>0.05</v>
      </c>
      <c r="I77" s="229" t="str">
        <f>IF(VLOOKUP(C77,'Annex 2 EHV charges'!$F$11:$P$157,11,FALSE)&lt;=5,"",VLOOKUP(C77,'Annex 2 EHV charges'!$F$11:$P$157,11,FALSE))</f>
        <v/>
      </c>
    </row>
    <row r="78" spans="1:9" ht="12.75" customHeight="1" x14ac:dyDescent="0.35">
      <c r="A78" s="88" t="str">
        <f t="array" ref="A78">IFERROR(INDEX('Annex 2 EHV charges'!$D$11:$D$260, MATCH(0, IF(ISBLANK('Annex 2 EHV charges'!$D$11:$D$260),1, COUNTIF(A$4:$A77, 'Annex 2 EHV charges'!$D$11:$D$260)), 0)),"")</f>
        <v>MSID 8347</v>
      </c>
      <c r="B78" s="87" t="str">
        <f>IF($A78="","",VLOOKUP($A78,'Annex 2 EHV charges'!$D:$O,2,0))</f>
        <v>MSID 8347</v>
      </c>
      <c r="C78" s="88" t="str">
        <f>IF($A78="","",VLOOKUP($A78,'Annex 2 EHV charges'!$D:$O,3,0))</f>
        <v>MSID 8347</v>
      </c>
      <c r="D78" s="87" t="str">
        <f>IF($A78="","",VLOOKUP($A78,'Annex 2 EHV charges'!$D:$O,4,0))</f>
        <v>Assel Valley</v>
      </c>
      <c r="E78" s="89" t="str">
        <f>IFERROR(IF(VLOOKUP($A78,'Annex 2 EHV charges'!$D:$O,9,FALSE)=0,"",VLOOKUP($A78,'Annex 2 EHV charges'!$D:$O,9,FALSE)),"")</f>
        <v>-</v>
      </c>
      <c r="F78" s="90">
        <f>IFERROR(IF(VLOOKUP($A78,'Annex 2 EHV charges'!$D:$O,10,FALSE)=0,"",VLOOKUP($A78,'Annex 2 EHV charges'!$D:$O,10,FALSE)),"")</f>
        <v>47580.43</v>
      </c>
      <c r="G78" s="91">
        <f>IFERROR(IF(VLOOKUP($A78,'Annex 2 EHV charges'!$D:$O,11,FALSE)=0,"",VLOOKUP($A78,'Annex 2 EHV charges'!$D:$O,11,FALSE)),"")</f>
        <v>0.05</v>
      </c>
      <c r="H78" s="91">
        <f>IFERROR(IF(VLOOKUP($A78,'Annex 2 EHV charges'!$D:$O,12,FALSE)=0,"",VLOOKUP($A78,'Annex 2 EHV charges'!$D:$O,12,FALSE)),"")</f>
        <v>0.05</v>
      </c>
      <c r="I78" s="229" t="str">
        <f>IF(VLOOKUP(C78,'Annex 2 EHV charges'!$F$11:$P$157,11,FALSE)&lt;=5,"",VLOOKUP(C78,'Annex 2 EHV charges'!$F$11:$P$157,11,FALSE))</f>
        <v/>
      </c>
    </row>
    <row r="79" spans="1:9" ht="12.75" customHeight="1" x14ac:dyDescent="0.35">
      <c r="A79" s="88" t="str">
        <f t="array" ref="A79">IFERROR(INDEX('Annex 2 EHV charges'!$D$11:$D$260, MATCH(0, IF(ISBLANK('Annex 2 EHV charges'!$D$11:$D$260),1, COUNTIF(A$4:$A78, 'Annex 2 EHV charges'!$D$11:$D$260)), 0)),"")</f>
        <v>MSID 8348</v>
      </c>
      <c r="B79" s="87" t="str">
        <f>IF($A79="","",VLOOKUP($A79,'Annex 2 EHV charges'!$D:$O,2,0))</f>
        <v>MSID 8348</v>
      </c>
      <c r="C79" s="88" t="str">
        <f>IF($A79="","",VLOOKUP($A79,'Annex 2 EHV charges'!$D:$O,3,0))</f>
        <v>MSID 8348</v>
      </c>
      <c r="D79" s="87" t="str">
        <f>IF($A79="","",VLOOKUP($A79,'Annex 2 EHV charges'!$D:$O,4,0))</f>
        <v>Auchrobert</v>
      </c>
      <c r="E79" s="89" t="str">
        <f>IFERROR(IF(VLOOKUP($A79,'Annex 2 EHV charges'!$D:$O,9,FALSE)=0,"",VLOOKUP($A79,'Annex 2 EHV charges'!$D:$O,9,FALSE)),"")</f>
        <v>-</v>
      </c>
      <c r="F79" s="90">
        <f>IFERROR(IF(VLOOKUP($A79,'Annex 2 EHV charges'!$D:$O,10,FALSE)=0,"",VLOOKUP($A79,'Annex 2 EHV charges'!$D:$O,10,FALSE)),"")</f>
        <v>15816.45</v>
      </c>
      <c r="G79" s="91">
        <f>IFERROR(IF(VLOOKUP($A79,'Annex 2 EHV charges'!$D:$O,11,FALSE)=0,"",VLOOKUP($A79,'Annex 2 EHV charges'!$D:$O,11,FALSE)),"")</f>
        <v>0.05</v>
      </c>
      <c r="H79" s="91">
        <f>IFERROR(IF(VLOOKUP($A79,'Annex 2 EHV charges'!$D:$O,12,FALSE)=0,"",VLOOKUP($A79,'Annex 2 EHV charges'!$D:$O,12,FALSE)),"")</f>
        <v>0.05</v>
      </c>
      <c r="I79" s="229" t="str">
        <f>IF(VLOOKUP(C79,'Annex 2 EHV charges'!$F$11:$P$157,11,FALSE)&lt;=5,"",VLOOKUP(C79,'Annex 2 EHV charges'!$F$11:$P$157,11,FALSE))</f>
        <v/>
      </c>
    </row>
    <row r="80" spans="1:9" ht="12.75" customHeight="1" x14ac:dyDescent="0.35">
      <c r="A80" s="88" t="str">
        <f t="array" ref="A80">IFERROR(INDEX('Annex 2 EHV charges'!$D$11:$D$260, MATCH(0, IF(ISBLANK('Annex 2 EHV charges'!$D$11:$D$260),1, COUNTIF(A$4:$A79, 'Annex 2 EHV charges'!$D$11:$D$260)), 0)),"")</f>
        <v>MSID 8349</v>
      </c>
      <c r="B80" s="87" t="str">
        <f>IF($A80="","",VLOOKUP($A80,'Annex 2 EHV charges'!$D:$O,2,0))</f>
        <v>MSID 8349</v>
      </c>
      <c r="C80" s="88" t="str">
        <f>IF($A80="","",VLOOKUP($A80,'Annex 2 EHV charges'!$D:$O,3,0))</f>
        <v>MSID 8349</v>
      </c>
      <c r="D80" s="87" t="str">
        <f>IF($A80="","",VLOOKUP($A80,'Annex 2 EHV charges'!$D:$O,4,0))</f>
        <v>Harburnhead</v>
      </c>
      <c r="E80" s="89" t="str">
        <f>IFERROR(IF(VLOOKUP($A80,'Annex 2 EHV charges'!$D:$O,9,FALSE)=0,"",VLOOKUP($A80,'Annex 2 EHV charges'!$D:$O,9,FALSE)),"")</f>
        <v>-</v>
      </c>
      <c r="F80" s="90">
        <f>IFERROR(IF(VLOOKUP($A80,'Annex 2 EHV charges'!$D:$O,10,FALSE)=0,"",VLOOKUP($A80,'Annex 2 EHV charges'!$D:$O,10,FALSE)),"")</f>
        <v>10828.81</v>
      </c>
      <c r="G80" s="91">
        <f>IFERROR(IF(VLOOKUP($A80,'Annex 2 EHV charges'!$D:$O,11,FALSE)=0,"",VLOOKUP($A80,'Annex 2 EHV charges'!$D:$O,11,FALSE)),"")</f>
        <v>0.05</v>
      </c>
      <c r="H80" s="91">
        <f>IFERROR(IF(VLOOKUP($A80,'Annex 2 EHV charges'!$D:$O,12,FALSE)=0,"",VLOOKUP($A80,'Annex 2 EHV charges'!$D:$O,12,FALSE)),"")</f>
        <v>0.05</v>
      </c>
      <c r="I80" s="229" t="str">
        <f>IF(VLOOKUP(C80,'Annex 2 EHV charges'!$F$11:$P$157,11,FALSE)&lt;=5,"",VLOOKUP(C80,'Annex 2 EHV charges'!$F$11:$P$157,11,FALSE))</f>
        <v/>
      </c>
    </row>
    <row r="81" spans="1:9" ht="12.75" customHeight="1" x14ac:dyDescent="0.35">
      <c r="A81" s="88">
        <f t="array" ref="A81">IFERROR(INDEX('Annex 2 EHV charges'!$D$11:$D$260, MATCH(0, IF(ISBLANK('Annex 2 EHV charges'!$D$11:$D$260),1, COUNTIF(A$4:$A80, 'Annex 2 EHV charges'!$D$11:$D$260)), 0)),"")</f>
        <v>755</v>
      </c>
      <c r="B81" s="87">
        <f>IF($A81="","",VLOOKUP($A81,'Annex 2 EHV charges'!$D:$O,2,0))</f>
        <v>755</v>
      </c>
      <c r="C81" s="88">
        <f>IF($A81="","",VLOOKUP($A81,'Annex 2 EHV charges'!$D:$O,3,0))</f>
        <v>1800053646224</v>
      </c>
      <c r="D81" s="87" t="str">
        <f>IF($A81="","",VLOOKUP($A81,'Annex 2 EHV charges'!$D:$O,4,0))</f>
        <v>Bonnington Power Station</v>
      </c>
      <c r="E81" s="89" t="str">
        <f>IFERROR(IF(VLOOKUP($A81,'Annex 2 EHV charges'!$D:$O,9,FALSE)=0,"",VLOOKUP($A81,'Annex 2 EHV charges'!$D:$O,9,FALSE)),"")</f>
        <v>-</v>
      </c>
      <c r="F81" s="90">
        <f>IFERROR(IF(VLOOKUP($A81,'Annex 2 EHV charges'!$D:$O,10,FALSE)=0,"",VLOOKUP($A81,'Annex 2 EHV charges'!$D:$O,10,FALSE)),"")</f>
        <v>392.56</v>
      </c>
      <c r="G81" s="91">
        <f>IFERROR(IF(VLOOKUP($A81,'Annex 2 EHV charges'!$D:$O,11,FALSE)=0,"",VLOOKUP($A81,'Annex 2 EHV charges'!$D:$O,11,FALSE)),"")</f>
        <v>0.05</v>
      </c>
      <c r="H81" s="91">
        <f>IFERROR(IF(VLOOKUP($A81,'Annex 2 EHV charges'!$D:$O,12,FALSE)=0,"",VLOOKUP($A81,'Annex 2 EHV charges'!$D:$O,12,FALSE)),"")</f>
        <v>0.05</v>
      </c>
      <c r="I81" s="229" t="str">
        <f>IF(VLOOKUP(C81,'Annex 2 EHV charges'!$F$11:$P$157,11,FALSE)&lt;=5,"",VLOOKUP(C81,'Annex 2 EHV charges'!$F$11:$P$157,11,FALSE))</f>
        <v/>
      </c>
    </row>
    <row r="82" spans="1:9" ht="12.75" customHeight="1" x14ac:dyDescent="0.35">
      <c r="A82" s="88">
        <f t="array" ref="A82">IFERROR(INDEX('Annex 2 EHV charges'!$D$11:$D$260, MATCH(0, IF(ISBLANK('Annex 2 EHV charges'!$D$11:$D$260),1, COUNTIF(A$4:$A81, 'Annex 2 EHV charges'!$D$11:$D$260)), 0)),"")</f>
        <v>750</v>
      </c>
      <c r="B82" s="87">
        <f>IF($A82="","",VLOOKUP($A82,'Annex 2 EHV charges'!$D:$O,2,0))</f>
        <v>750</v>
      </c>
      <c r="C82" s="88">
        <f>IF($A82="","",VLOOKUP($A82,'Annex 2 EHV charges'!$D:$O,3,0))</f>
        <v>1800060586926</v>
      </c>
      <c r="D82" s="87" t="str">
        <f>IF($A82="","",VLOOKUP($A82,'Annex 2 EHV charges'!$D:$O,4,0))</f>
        <v>Cathkin Braes Wind Farm</v>
      </c>
      <c r="E82" s="89" t="str">
        <f>IFERROR(IF(VLOOKUP($A82,'Annex 2 EHV charges'!$D:$O,9,FALSE)=0,"",VLOOKUP($A82,'Annex 2 EHV charges'!$D:$O,9,FALSE)),"")</f>
        <v>-</v>
      </c>
      <c r="F82" s="90">
        <f>IFERROR(IF(VLOOKUP($A82,'Annex 2 EHV charges'!$D:$O,10,FALSE)=0,"",VLOOKUP($A82,'Annex 2 EHV charges'!$D:$O,10,FALSE)),"")</f>
        <v>5573.54</v>
      </c>
      <c r="G82" s="91">
        <f>IFERROR(IF(VLOOKUP($A82,'Annex 2 EHV charges'!$D:$O,11,FALSE)=0,"",VLOOKUP($A82,'Annex 2 EHV charges'!$D:$O,11,FALSE)),"")</f>
        <v>0.05</v>
      </c>
      <c r="H82" s="91">
        <f>IFERROR(IF(VLOOKUP($A82,'Annex 2 EHV charges'!$D:$O,12,FALSE)=0,"",VLOOKUP($A82,'Annex 2 EHV charges'!$D:$O,12,FALSE)),"")</f>
        <v>0.05</v>
      </c>
      <c r="I82" s="229" t="str">
        <f>IF(VLOOKUP(C82,'Annex 2 EHV charges'!$F$11:$P$157,11,FALSE)&lt;=5,"",VLOOKUP(C82,'Annex 2 EHV charges'!$F$11:$P$157,11,FALSE))</f>
        <v>See Annex 6</v>
      </c>
    </row>
    <row r="83" spans="1:9" ht="12.75" customHeight="1" x14ac:dyDescent="0.35">
      <c r="A83" s="88">
        <f t="array" ref="A83">IFERROR(INDEX('Annex 2 EHV charges'!$D$11:$D$260, MATCH(0, IF(ISBLANK('Annex 2 EHV charges'!$D$11:$D$260),1, COUNTIF(A$4:$A82, 'Annex 2 EHV charges'!$D$11:$D$260)), 0)),"")</f>
        <v>752</v>
      </c>
      <c r="B83" s="87">
        <f>IF($A83="","",VLOOKUP($A83,'Annex 2 EHV charges'!$D:$O,2,0))</f>
        <v>752</v>
      </c>
      <c r="C83" s="88">
        <f>IF($A83="","",VLOOKUP($A83,'Annex 2 EHV charges'!$D:$O,3,0))</f>
        <v>1800060614741</v>
      </c>
      <c r="D83" s="87" t="str">
        <f>IF($A83="","",VLOOKUP($A83,'Annex 2 EHV charges'!$D:$O,4,0))</f>
        <v>Torrance WF</v>
      </c>
      <c r="E83" s="89" t="str">
        <f>IFERROR(IF(VLOOKUP($A83,'Annex 2 EHV charges'!$D:$O,9,FALSE)=0,"",VLOOKUP($A83,'Annex 2 EHV charges'!$D:$O,9,FALSE)),"")</f>
        <v>-</v>
      </c>
      <c r="F83" s="90">
        <f>IFERROR(IF(VLOOKUP($A83,'Annex 2 EHV charges'!$D:$O,10,FALSE)=0,"",VLOOKUP($A83,'Annex 2 EHV charges'!$D:$O,10,FALSE)),"")</f>
        <v>7146.27</v>
      </c>
      <c r="G83" s="91">
        <f>IFERROR(IF(VLOOKUP($A83,'Annex 2 EHV charges'!$D:$O,11,FALSE)=0,"",VLOOKUP($A83,'Annex 2 EHV charges'!$D:$O,11,FALSE)),"")</f>
        <v>0.05</v>
      </c>
      <c r="H83" s="91">
        <f>IFERROR(IF(VLOOKUP($A83,'Annex 2 EHV charges'!$D:$O,12,FALSE)=0,"",VLOOKUP($A83,'Annex 2 EHV charges'!$D:$O,12,FALSE)),"")</f>
        <v>0.05</v>
      </c>
      <c r="I83" s="229" t="str">
        <f>IF(VLOOKUP(C83,'Annex 2 EHV charges'!$F$11:$P$157,11,FALSE)&lt;=5,"",VLOOKUP(C83,'Annex 2 EHV charges'!$F$11:$P$157,11,FALSE))</f>
        <v/>
      </c>
    </row>
    <row r="84" spans="1:9" ht="12.75" customHeight="1" x14ac:dyDescent="0.35">
      <c r="A84" s="88">
        <f t="array" ref="A84">IFERROR(INDEX('Annex 2 EHV charges'!$D$11:$D$260, MATCH(0, IF(ISBLANK('Annex 2 EHV charges'!$D$11:$D$260),1, COUNTIF(A$4:$A83, 'Annex 2 EHV charges'!$D$11:$D$260)), 0)),"")</f>
        <v>754</v>
      </c>
      <c r="B84" s="87">
        <f>IF($A84="","",VLOOKUP($A84,'Annex 2 EHV charges'!$D:$O,2,0))</f>
        <v>754</v>
      </c>
      <c r="C84" s="88">
        <f>IF($A84="","",VLOOKUP($A84,'Annex 2 EHV charges'!$D:$O,3,0))</f>
        <v>1800060613552</v>
      </c>
      <c r="D84" s="87" t="str">
        <f>IF($A84="","",VLOOKUP($A84,'Annex 2 EHV charges'!$D:$O,4,0))</f>
        <v>Scottish Enterprise (Samsung WTTF)</v>
      </c>
      <c r="E84" s="89" t="str">
        <f>IFERROR(IF(VLOOKUP($A84,'Annex 2 EHV charges'!$D:$O,9,FALSE)=0,"",VLOOKUP($A84,'Annex 2 EHV charges'!$D:$O,9,FALSE)),"")</f>
        <v>-</v>
      </c>
      <c r="F84" s="90">
        <f>IFERROR(IF(VLOOKUP($A84,'Annex 2 EHV charges'!$D:$O,10,FALSE)=0,"",VLOOKUP($A84,'Annex 2 EHV charges'!$D:$O,10,FALSE)),"")</f>
        <v>5382.21</v>
      </c>
      <c r="G84" s="91">
        <f>IFERROR(IF(VLOOKUP($A84,'Annex 2 EHV charges'!$D:$O,11,FALSE)=0,"",VLOOKUP($A84,'Annex 2 EHV charges'!$D:$O,11,FALSE)),"")</f>
        <v>0.05</v>
      </c>
      <c r="H84" s="91">
        <f>IFERROR(IF(VLOOKUP($A84,'Annex 2 EHV charges'!$D:$O,12,FALSE)=0,"",VLOOKUP($A84,'Annex 2 EHV charges'!$D:$O,12,FALSE)),"")</f>
        <v>0.05</v>
      </c>
      <c r="I84" s="229" t="str">
        <f>IF(VLOOKUP(C84,'Annex 2 EHV charges'!$F$11:$P$157,11,FALSE)&lt;=5,"",VLOOKUP(C84,'Annex 2 EHV charges'!$F$11:$P$157,11,FALSE))</f>
        <v/>
      </c>
    </row>
    <row r="85" spans="1:9" ht="12.75" customHeight="1" x14ac:dyDescent="0.35">
      <c r="A85" s="88">
        <f t="array" ref="A85">IFERROR(INDEX('Annex 2 EHV charges'!$D$11:$D$260, MATCH(0, IF(ISBLANK('Annex 2 EHV charges'!$D$11:$D$260),1, COUNTIF(A$4:$A84, 'Annex 2 EHV charges'!$D$11:$D$260)), 0)),"")</f>
        <v>756</v>
      </c>
      <c r="B85" s="87">
        <f>IF($A85="","",VLOOKUP($A85,'Annex 2 EHV charges'!$D:$O,2,0))</f>
        <v>756</v>
      </c>
      <c r="C85" s="88">
        <f>IF($A85="","",VLOOKUP($A85,'Annex 2 EHV charges'!$D:$O,3,0))</f>
        <v>1800060709029</v>
      </c>
      <c r="D85" s="87" t="str">
        <f>IF($A85="","",VLOOKUP($A85,'Annex 2 EHV charges'!$D:$O,4,0))</f>
        <v>Torrance Windfarm Extension</v>
      </c>
      <c r="E85" s="89" t="str">
        <f>IFERROR(IF(VLOOKUP($A85,'Annex 2 EHV charges'!$D:$O,9,FALSE)=0,"",VLOOKUP($A85,'Annex 2 EHV charges'!$D:$O,9,FALSE)),"")</f>
        <v>-</v>
      </c>
      <c r="F85" s="90">
        <f>IFERROR(IF(VLOOKUP($A85,'Annex 2 EHV charges'!$D:$O,10,FALSE)=0,"",VLOOKUP($A85,'Annex 2 EHV charges'!$D:$O,10,FALSE)),"")</f>
        <v>7225.32</v>
      </c>
      <c r="G85" s="91">
        <f>IFERROR(IF(VLOOKUP($A85,'Annex 2 EHV charges'!$D:$O,11,FALSE)=0,"",VLOOKUP($A85,'Annex 2 EHV charges'!$D:$O,11,FALSE)),"")</f>
        <v>0.05</v>
      </c>
      <c r="H85" s="91">
        <f>IFERROR(IF(VLOOKUP($A85,'Annex 2 EHV charges'!$D:$O,12,FALSE)=0,"",VLOOKUP($A85,'Annex 2 EHV charges'!$D:$O,12,FALSE)),"")</f>
        <v>0.05</v>
      </c>
      <c r="I85" s="229" t="str">
        <f>IF(VLOOKUP(C85,'Annex 2 EHV charges'!$F$11:$P$157,11,FALSE)&lt;=5,"",VLOOKUP(C85,'Annex 2 EHV charges'!$F$11:$P$157,11,FALSE))</f>
        <v/>
      </c>
    </row>
    <row r="86" spans="1:9" ht="12.75" customHeight="1" x14ac:dyDescent="0.35">
      <c r="A86" s="88">
        <f t="array" ref="A86">IFERROR(INDEX('Annex 2 EHV charges'!$D$11:$D$260, MATCH(0, IF(ISBLANK('Annex 2 EHV charges'!$D$11:$D$260),1, COUNTIF(A$4:$A85, 'Annex 2 EHV charges'!$D$11:$D$260)), 0)),"")</f>
        <v>648</v>
      </c>
      <c r="B86" s="87">
        <f>IF($A86="","",VLOOKUP($A86,'Annex 2 EHV charges'!$D:$O,2,0))</f>
        <v>648</v>
      </c>
      <c r="C86" s="88">
        <f>IF($A86="","",VLOOKUP($A86,'Annex 2 EHV charges'!$D:$O,3,0))</f>
        <v>1800060904929</v>
      </c>
      <c r="D86" s="87" t="str">
        <f>IF($A86="","",VLOOKUP($A86,'Annex 2 EHV charges'!$D:$O,4,0))</f>
        <v>Craigannet</v>
      </c>
      <c r="E86" s="89" t="str">
        <f>IFERROR(IF(VLOOKUP($A86,'Annex 2 EHV charges'!$D:$O,9,FALSE)=0,"",VLOOKUP($A86,'Annex 2 EHV charges'!$D:$O,9,FALSE)),"")</f>
        <v>-</v>
      </c>
      <c r="F86" s="90">
        <f>IFERROR(IF(VLOOKUP($A86,'Annex 2 EHV charges'!$D:$O,10,FALSE)=0,"",VLOOKUP($A86,'Annex 2 EHV charges'!$D:$O,10,FALSE)),"")</f>
        <v>2999.81</v>
      </c>
      <c r="G86" s="91">
        <f>IFERROR(IF(VLOOKUP($A86,'Annex 2 EHV charges'!$D:$O,11,FALSE)=0,"",VLOOKUP($A86,'Annex 2 EHV charges'!$D:$O,11,FALSE)),"")</f>
        <v>0.05</v>
      </c>
      <c r="H86" s="91">
        <f>IFERROR(IF(VLOOKUP($A86,'Annex 2 EHV charges'!$D:$O,12,FALSE)=0,"",VLOOKUP($A86,'Annex 2 EHV charges'!$D:$O,12,FALSE)),"")</f>
        <v>0.05</v>
      </c>
      <c r="I86" s="229" t="str">
        <f>IF(VLOOKUP(C86,'Annex 2 EHV charges'!$F$11:$P$157,11,FALSE)&lt;=5,"",VLOOKUP(C86,'Annex 2 EHV charges'!$F$11:$P$157,11,FALSE))</f>
        <v/>
      </c>
    </row>
    <row r="87" spans="1:9" ht="12.75" customHeight="1" x14ac:dyDescent="0.35">
      <c r="A87" s="88" t="str">
        <f t="array" ref="A87">IFERROR(INDEX('Annex 2 EHV charges'!$D$11:$D$260, MATCH(0, IF(ISBLANK('Annex 2 EHV charges'!$D$11:$D$260),1, COUNTIF(A$4:$A86, 'Annex 2 EHV charges'!$D$11:$D$260)), 0)),"")</f>
        <v>MSID 8366</v>
      </c>
      <c r="B87" s="87" t="str">
        <f>IF($A87="","",VLOOKUP($A87,'Annex 2 EHV charges'!$D:$O,2,0))</f>
        <v>MSID 8366</v>
      </c>
      <c r="C87" s="88" t="str">
        <f>IF($A87="","",VLOOKUP($A87,'Annex 2 EHV charges'!$D:$O,3,0))</f>
        <v>MSID 8366</v>
      </c>
      <c r="D87" s="87" t="str">
        <f>IF($A87="","",VLOOKUP($A87,'Annex 2 EHV charges'!$D:$O,4,0))</f>
        <v>Solwaybank</v>
      </c>
      <c r="E87" s="89" t="str">
        <f>IFERROR(IF(VLOOKUP($A87,'Annex 2 EHV charges'!$D:$O,9,FALSE)=0,"",VLOOKUP($A87,'Annex 2 EHV charges'!$D:$O,9,FALSE)),"")</f>
        <v>-</v>
      </c>
      <c r="F87" s="90">
        <f>IFERROR(IF(VLOOKUP($A87,'Annex 2 EHV charges'!$D:$O,10,FALSE)=0,"",VLOOKUP($A87,'Annex 2 EHV charges'!$D:$O,10,FALSE)),"")</f>
        <v>21079.68</v>
      </c>
      <c r="G87" s="91">
        <f>IFERROR(IF(VLOOKUP($A87,'Annex 2 EHV charges'!$D:$O,11,FALSE)=0,"",VLOOKUP($A87,'Annex 2 EHV charges'!$D:$O,11,FALSE)),"")</f>
        <v>0.05</v>
      </c>
      <c r="H87" s="91">
        <f>IFERROR(IF(VLOOKUP($A87,'Annex 2 EHV charges'!$D:$O,12,FALSE)=0,"",VLOOKUP($A87,'Annex 2 EHV charges'!$D:$O,12,FALSE)),"")</f>
        <v>0.05</v>
      </c>
      <c r="I87" s="229" t="str">
        <f>IF(VLOOKUP(C87,'Annex 2 EHV charges'!$F$11:$P$157,11,FALSE)&lt;=5,"",VLOOKUP(C87,'Annex 2 EHV charges'!$F$11:$P$157,11,FALSE))</f>
        <v>See Annex 6</v>
      </c>
    </row>
    <row r="88" spans="1:9" ht="12.75" customHeight="1" x14ac:dyDescent="0.35">
      <c r="A88" s="88">
        <f t="array" ref="A88">IFERROR(INDEX('Annex 2 EHV charges'!$D$11:$D$260, MATCH(0, IF(ISBLANK('Annex 2 EHV charges'!$D$11:$D$260),1, COUNTIF(A$4:$A87, 'Annex 2 EHV charges'!$D$11:$D$260)), 0)),"")</f>
        <v>710</v>
      </c>
      <c r="B88" s="87">
        <f>IF($A88="","",VLOOKUP($A88,'Annex 2 EHV charges'!$D:$O,2,0))</f>
        <v>710</v>
      </c>
      <c r="C88" s="88">
        <f>IF($A88="","",VLOOKUP($A88,'Annex 2 EHV charges'!$D:$O,3,0))</f>
        <v>1800060963669</v>
      </c>
      <c r="D88" s="87" t="str">
        <f>IF($A88="","",VLOOKUP($A88,'Annex 2 EHV charges'!$D:$O,4,0))</f>
        <v>Millerhill EFW</v>
      </c>
      <c r="E88" s="89">
        <f>IFERROR(IF(VLOOKUP($A88,'Annex 2 EHV charges'!$D:$O,9,FALSE)=0,"",VLOOKUP($A88,'Annex 2 EHV charges'!$D:$O,9,FALSE)),"")</f>
        <v>-0.01</v>
      </c>
      <c r="F88" s="90">
        <f>IFERROR(IF(VLOOKUP($A88,'Annex 2 EHV charges'!$D:$O,10,FALSE)=0,"",VLOOKUP($A88,'Annex 2 EHV charges'!$D:$O,10,FALSE)),"")</f>
        <v>6734.7</v>
      </c>
      <c r="G88" s="91">
        <f>IFERROR(IF(VLOOKUP($A88,'Annex 2 EHV charges'!$D:$O,11,FALSE)=0,"",VLOOKUP($A88,'Annex 2 EHV charges'!$D:$O,11,FALSE)),"")</f>
        <v>0.05</v>
      </c>
      <c r="H88" s="91">
        <f>IFERROR(IF(VLOOKUP($A88,'Annex 2 EHV charges'!$D:$O,12,FALSE)=0,"",VLOOKUP($A88,'Annex 2 EHV charges'!$D:$O,12,FALSE)),"")</f>
        <v>0.05</v>
      </c>
      <c r="I88" s="229" t="str">
        <f>IF(VLOOKUP(C88,'Annex 2 EHV charges'!$F$11:$P$157,11,FALSE)&lt;=5,"",VLOOKUP(C88,'Annex 2 EHV charges'!$F$11:$P$157,11,FALSE))</f>
        <v/>
      </c>
    </row>
    <row r="89" spans="1:9" ht="12.75" customHeight="1" x14ac:dyDescent="0.35">
      <c r="A89" s="88" t="str">
        <f t="array" ref="A89">IFERROR(INDEX('Annex 2 EHV charges'!$D$11:$D$260, MATCH(0, IF(ISBLANK('Annex 2 EHV charges'!$D$11:$D$260),1, COUNTIF(A$4:$A88, 'Annex 2 EHV charges'!$D$11:$D$260)), 0)),"")</f>
        <v>MSID 8360</v>
      </c>
      <c r="B89" s="87" t="str">
        <f>IF($A89="","",VLOOKUP($A89,'Annex 2 EHV charges'!$D:$O,2,0))</f>
        <v>MSID 8360</v>
      </c>
      <c r="C89" s="88" t="str">
        <f>IF($A89="","",VLOOKUP($A89,'Annex 2 EHV charges'!$D:$O,3,0))</f>
        <v>MSID 8360</v>
      </c>
      <c r="D89" s="87" t="str">
        <f>IF($A89="","",VLOOKUP($A89,'Annex 2 EHV charges'!$D:$O,4,0))</f>
        <v>Broxburn ESS</v>
      </c>
      <c r="E89" s="89" t="str">
        <f>IFERROR(IF(VLOOKUP($A89,'Annex 2 EHV charges'!$D:$O,9,FALSE)=0,"",VLOOKUP($A89,'Annex 2 EHV charges'!$D:$O,9,FALSE)),"")</f>
        <v>-</v>
      </c>
      <c r="F89" s="90">
        <f>IFERROR(IF(VLOOKUP($A89,'Annex 2 EHV charges'!$D:$O,10,FALSE)=0,"",VLOOKUP($A89,'Annex 2 EHV charges'!$D:$O,10,FALSE)),"")</f>
        <v>1523.71</v>
      </c>
      <c r="G89" s="91">
        <f>IFERROR(IF(VLOOKUP($A89,'Annex 2 EHV charges'!$D:$O,11,FALSE)=0,"",VLOOKUP($A89,'Annex 2 EHV charges'!$D:$O,11,FALSE)),"")</f>
        <v>0.05</v>
      </c>
      <c r="H89" s="91">
        <f>IFERROR(IF(VLOOKUP($A89,'Annex 2 EHV charges'!$D:$O,12,FALSE)=0,"",VLOOKUP($A89,'Annex 2 EHV charges'!$D:$O,12,FALSE)),"")</f>
        <v>0.05</v>
      </c>
      <c r="I89" s="229" t="str">
        <f>IF(VLOOKUP(C89,'Annex 2 EHV charges'!$F$11:$P$157,11,FALSE)&lt;=5,"",VLOOKUP(C89,'Annex 2 EHV charges'!$F$11:$P$157,11,FALSE))</f>
        <v/>
      </c>
    </row>
    <row r="90" spans="1:9" ht="12.75" customHeight="1" x14ac:dyDescent="0.35">
      <c r="A90" s="88">
        <f t="array" ref="A90">IFERROR(INDEX('Annex 2 EHV charges'!$D$11:$D$260, MATCH(0, IF(ISBLANK('Annex 2 EHV charges'!$D$11:$D$260),1, COUNTIF(A$4:$A89, 'Annex 2 EHV charges'!$D$11:$D$260)), 0)),"")</f>
        <v>686</v>
      </c>
      <c r="B90" s="87">
        <f>IF($A90="","",VLOOKUP($A90,'Annex 2 EHV charges'!$D:$O,2,0))</f>
        <v>686</v>
      </c>
      <c r="C90" s="88" t="str">
        <f>IF($A90="","",VLOOKUP($A90,'Annex 2 EHV charges'!$D:$O,3,0))</f>
        <v/>
      </c>
      <c r="D90" s="87" t="str">
        <f>IF($A90="","",VLOOKUP($A90,'Annex 2 EHV charges'!$D:$O,4,0))</f>
        <v>Sneddon Law WF</v>
      </c>
      <c r="E90" s="89" t="str">
        <f>IFERROR(IF(VLOOKUP($A90,'Annex 2 EHV charges'!$D:$O,9,FALSE)=0,"",VLOOKUP($A90,'Annex 2 EHV charges'!$D:$O,9,FALSE)),"")</f>
        <v>-</v>
      </c>
      <c r="F90" s="90">
        <f>IFERROR(IF(VLOOKUP($A90,'Annex 2 EHV charges'!$D:$O,10,FALSE)=0,"",VLOOKUP($A90,'Annex 2 EHV charges'!$D:$O,10,FALSE)),"")</f>
        <v>29221.83</v>
      </c>
      <c r="G90" s="91">
        <f>IFERROR(IF(VLOOKUP($A90,'Annex 2 EHV charges'!$D:$O,11,FALSE)=0,"",VLOOKUP($A90,'Annex 2 EHV charges'!$D:$O,11,FALSE)),"")</f>
        <v>0.05</v>
      </c>
      <c r="H90" s="91">
        <f>IFERROR(IF(VLOOKUP($A90,'Annex 2 EHV charges'!$D:$O,12,FALSE)=0,"",VLOOKUP($A90,'Annex 2 EHV charges'!$D:$O,12,FALSE)),"")</f>
        <v>0.05</v>
      </c>
      <c r="I90" s="229" t="str">
        <f>IF(VLOOKUP(C90,'Annex 2 EHV charges'!$F$11:$P$157,11,FALSE)&lt;=5,"",VLOOKUP(C90,'Annex 2 EHV charges'!$F$11:$P$157,11,FALSE))</f>
        <v/>
      </c>
    </row>
    <row r="91" spans="1:9" ht="12.75" customHeight="1" x14ac:dyDescent="0.35">
      <c r="A91" s="88" t="str">
        <f t="array" ref="A91">IFERROR(INDEX('Annex 2 EHV charges'!$D$11:$D$260, MATCH(0, IF(ISBLANK('Annex 2 EHV charges'!$D$11:$D$260),1, COUNTIF(A$4:$A90, 'Annex 2 EHV charges'!$D$11:$D$260)), 0)),"")</f>
        <v>TBA 18B</v>
      </c>
      <c r="B91" s="87" t="str">
        <f>IF($A91="","",VLOOKUP($A91,'Annex 2 EHV charges'!$D:$O,2,0))</f>
        <v>TBA 18B</v>
      </c>
      <c r="C91" s="88" t="str">
        <f>IF($A91="","",VLOOKUP($A91,'Annex 2 EHV charges'!$D:$O,3,0))</f>
        <v>TBA 18B</v>
      </c>
      <c r="D91" s="87" t="str">
        <f>IF($A91="","",VLOOKUP($A91,'Annex 2 EHV charges'!$D:$O,4,0))</f>
        <v>Roaring Hill ESS</v>
      </c>
      <c r="E91" s="89" t="str">
        <f>IFERROR(IF(VLOOKUP($A91,'Annex 2 EHV charges'!$D:$O,9,FALSE)=0,"",VLOOKUP($A91,'Annex 2 EHV charges'!$D:$O,9,FALSE)),"")</f>
        <v>-</v>
      </c>
      <c r="F91" s="90">
        <f>IFERROR(IF(VLOOKUP($A91,'Annex 2 EHV charges'!$D:$O,10,FALSE)=0,"",VLOOKUP($A91,'Annex 2 EHV charges'!$D:$O,10,FALSE)),"")</f>
        <v>1872.57</v>
      </c>
      <c r="G91" s="91">
        <f>IFERROR(IF(VLOOKUP($A91,'Annex 2 EHV charges'!$D:$O,11,FALSE)=0,"",VLOOKUP($A91,'Annex 2 EHV charges'!$D:$O,11,FALSE)),"")</f>
        <v>0.05</v>
      </c>
      <c r="H91" s="91">
        <f>IFERROR(IF(VLOOKUP($A91,'Annex 2 EHV charges'!$D:$O,12,FALSE)=0,"",VLOOKUP($A91,'Annex 2 EHV charges'!$D:$O,12,FALSE)),"")</f>
        <v>0.05</v>
      </c>
      <c r="I91" s="229" t="str">
        <f>IF(VLOOKUP(C91,'Annex 2 EHV charges'!$F$11:$P$157,11,FALSE)&lt;=5,"",VLOOKUP(C91,'Annex 2 EHV charges'!$F$11:$P$157,11,FALSE))</f>
        <v/>
      </c>
    </row>
    <row r="92" spans="1:9" ht="12.75" customHeight="1" x14ac:dyDescent="0.35">
      <c r="A92" s="88" t="str">
        <f t="array" ref="A92">IFERROR(INDEX('Annex 2 EHV charges'!$D$11:$D$260, MATCH(0, IF(ISBLANK('Annex 2 EHV charges'!$D$11:$D$260),1, COUNTIF(A$4:$A91, 'Annex 2 EHV charges'!$D$11:$D$260)), 0)),"")</f>
        <v>TBA 2B</v>
      </c>
      <c r="B92" s="87" t="str">
        <f>IF($A92="","",VLOOKUP($A92,'Annex 2 EHV charges'!$D:$O,2,0))</f>
        <v>TBA 2B</v>
      </c>
      <c r="C92" s="88" t="str">
        <f>IF($A92="","",VLOOKUP($A92,'Annex 2 EHV charges'!$D:$O,3,0))</f>
        <v>TBA 2B</v>
      </c>
      <c r="D92" s="87" t="str">
        <f>IF($A92="","",VLOOKUP($A92,'Annex 2 EHV charges'!$D:$O,4,0))</f>
        <v>Redhouse Energy Storage site (ESS)</v>
      </c>
      <c r="E92" s="89">
        <f>IFERROR(IF(VLOOKUP($A92,'Annex 2 EHV charges'!$D:$O,9,FALSE)=0,"",VLOOKUP($A92,'Annex 2 EHV charges'!$D:$O,9,FALSE)),"")</f>
        <v>-1.274</v>
      </c>
      <c r="F92" s="90">
        <f>IFERROR(IF(VLOOKUP($A92,'Annex 2 EHV charges'!$D:$O,10,FALSE)=0,"",VLOOKUP($A92,'Annex 2 EHV charges'!$D:$O,10,FALSE)),"")</f>
        <v>819.09</v>
      </c>
      <c r="G92" s="91">
        <f>IFERROR(IF(VLOOKUP($A92,'Annex 2 EHV charges'!$D:$O,11,FALSE)=0,"",VLOOKUP($A92,'Annex 2 EHV charges'!$D:$O,11,FALSE)),"")</f>
        <v>0.05</v>
      </c>
      <c r="H92" s="91">
        <f>IFERROR(IF(VLOOKUP($A92,'Annex 2 EHV charges'!$D:$O,12,FALSE)=0,"",VLOOKUP($A92,'Annex 2 EHV charges'!$D:$O,12,FALSE)),"")</f>
        <v>0.05</v>
      </c>
      <c r="I92" s="229" t="str">
        <f>IF(VLOOKUP(C92,'Annex 2 EHV charges'!$F$11:$P$157,11,FALSE)&lt;=5,"",VLOOKUP(C92,'Annex 2 EHV charges'!$F$11:$P$157,11,FALSE))</f>
        <v>See Annex 6</v>
      </c>
    </row>
    <row r="93" spans="1:9" ht="12.75" customHeight="1" x14ac:dyDescent="0.35">
      <c r="A93" s="88">
        <f t="array" ref="A93">IFERROR(INDEX('Annex 2 EHV charges'!$D$11:$D$260, MATCH(0, IF(ISBLANK('Annex 2 EHV charges'!$D$11:$D$260),1, COUNTIF(A$4:$A92, 'Annex 2 EHV charges'!$D$11:$D$260)), 0)),"")</f>
        <v>713</v>
      </c>
      <c r="B93" s="87">
        <f>IF($A93="","",VLOOKUP($A93,'Annex 2 EHV charges'!$D:$O,2,0))</f>
        <v>713</v>
      </c>
      <c r="C93" s="88">
        <f>IF($A93="","",VLOOKUP($A93,'Annex 2 EHV charges'!$D:$O,3,0))</f>
        <v>1800061106759</v>
      </c>
      <c r="D93" s="87" t="str">
        <f>IF($A93="","",VLOOKUP($A93,'Annex 2 EHV charges'!$D:$O,4,0))</f>
        <v>Inverclyde Windfarm</v>
      </c>
      <c r="E93" s="89" t="str">
        <f>IFERROR(IF(VLOOKUP($A93,'Annex 2 EHV charges'!$D:$O,9,FALSE)=0,"",VLOOKUP($A93,'Annex 2 EHV charges'!$D:$O,9,FALSE)),"")</f>
        <v>-</v>
      </c>
      <c r="F93" s="90">
        <f>IFERROR(IF(VLOOKUP($A93,'Annex 2 EHV charges'!$D:$O,10,FALSE)=0,"",VLOOKUP($A93,'Annex 2 EHV charges'!$D:$O,10,FALSE)),"")</f>
        <v>1091.48</v>
      </c>
      <c r="G93" s="91">
        <f>IFERROR(IF(VLOOKUP($A93,'Annex 2 EHV charges'!$D:$O,11,FALSE)=0,"",VLOOKUP($A93,'Annex 2 EHV charges'!$D:$O,11,FALSE)),"")</f>
        <v>0.05</v>
      </c>
      <c r="H93" s="91">
        <f>IFERROR(IF(VLOOKUP($A93,'Annex 2 EHV charges'!$D:$O,12,FALSE)=0,"",VLOOKUP($A93,'Annex 2 EHV charges'!$D:$O,12,FALSE)),"")</f>
        <v>0.05</v>
      </c>
      <c r="I93" s="229" t="str">
        <f>IF(VLOOKUP(C93,'Annex 2 EHV charges'!$F$11:$P$157,11,FALSE)&lt;=5,"",VLOOKUP(C93,'Annex 2 EHV charges'!$F$11:$P$157,11,FALSE))</f>
        <v/>
      </c>
    </row>
    <row r="94" spans="1:9" ht="12.75" customHeight="1" x14ac:dyDescent="0.35">
      <c r="A94" s="88" t="str">
        <f t="array" ref="A94">IFERROR(INDEX('Annex 2 EHV charges'!$D$11:$D$260, MATCH(0, IF(ISBLANK('Annex 2 EHV charges'!$D$11:$D$260),1, COUNTIF(A$4:$A93, 'Annex 2 EHV charges'!$D$11:$D$260)), 0)),"")</f>
        <v>TBA 6B</v>
      </c>
      <c r="B94" s="87" t="str">
        <f>IF($A94="","",VLOOKUP($A94,'Annex 2 EHV charges'!$D:$O,2,0))</f>
        <v>TBA 6B</v>
      </c>
      <c r="C94" s="88" t="str">
        <f>IF($A94="","",VLOOKUP($A94,'Annex 2 EHV charges'!$D:$O,3,0))</f>
        <v>TBA 6B</v>
      </c>
      <c r="D94" s="87" t="str">
        <f>IF($A94="","",VLOOKUP($A94,'Annex 2 EHV charges'!$D:$O,4,0))</f>
        <v>Harelaw Gas</v>
      </c>
      <c r="E94" s="89" t="str">
        <f>IFERROR(IF(VLOOKUP($A94,'Annex 2 EHV charges'!$D:$O,9,FALSE)=0,"",VLOOKUP($A94,'Annex 2 EHV charges'!$D:$O,9,FALSE)),"")</f>
        <v>-</v>
      </c>
      <c r="F94" s="90">
        <f>IFERROR(IF(VLOOKUP($A94,'Annex 2 EHV charges'!$D:$O,10,FALSE)=0,"",VLOOKUP($A94,'Annex 2 EHV charges'!$D:$O,10,FALSE)),"")</f>
        <v>718.27</v>
      </c>
      <c r="G94" s="91">
        <f>IFERROR(IF(VLOOKUP($A94,'Annex 2 EHV charges'!$D:$O,11,FALSE)=0,"",VLOOKUP($A94,'Annex 2 EHV charges'!$D:$O,11,FALSE)),"")</f>
        <v>0.05</v>
      </c>
      <c r="H94" s="91">
        <f>IFERROR(IF(VLOOKUP($A94,'Annex 2 EHV charges'!$D:$O,12,FALSE)=0,"",VLOOKUP($A94,'Annex 2 EHV charges'!$D:$O,12,FALSE)),"")</f>
        <v>0.05</v>
      </c>
      <c r="I94" s="229" t="str">
        <f>IF(VLOOKUP(C94,'Annex 2 EHV charges'!$F$11:$P$157,11,FALSE)&lt;=5,"",VLOOKUP(C94,'Annex 2 EHV charges'!$F$11:$P$157,11,FALSE))</f>
        <v/>
      </c>
    </row>
    <row r="95" spans="1:9" ht="12.75" customHeight="1" x14ac:dyDescent="0.35">
      <c r="A95" s="88" t="str">
        <f t="array" ref="A95">IFERROR(INDEX('Annex 2 EHV charges'!$D$11:$D$260, MATCH(0, IF(ISBLANK('Annex 2 EHV charges'!$D$11:$D$260),1, COUNTIF(A$4:$A94, 'Annex 2 EHV charges'!$D$11:$D$260)), 0)),"")</f>
        <v>TBA 13B</v>
      </c>
      <c r="B95" s="87" t="str">
        <f>IF($A95="","",VLOOKUP($A95,'Annex 2 EHV charges'!$D:$O,2,0))</f>
        <v>TBA 13B</v>
      </c>
      <c r="C95" s="88" t="str">
        <f>IF($A95="","",VLOOKUP($A95,'Annex 2 EHV charges'!$D:$O,3,0))</f>
        <v>TBA 13B</v>
      </c>
      <c r="D95" s="87" t="str">
        <f>IF($A95="","",VLOOKUP($A95,'Annex 2 EHV charges'!$D:$O,4,0))</f>
        <v>Byers Brae Battery Storage</v>
      </c>
      <c r="E95" s="89" t="str">
        <f>IFERROR(IF(VLOOKUP($A95,'Annex 2 EHV charges'!$D:$O,9,FALSE)=0,"",VLOOKUP($A95,'Annex 2 EHV charges'!$D:$O,9,FALSE)),"")</f>
        <v>-</v>
      </c>
      <c r="F95" s="90">
        <f>IFERROR(IF(VLOOKUP($A95,'Annex 2 EHV charges'!$D:$O,10,FALSE)=0,"",VLOOKUP($A95,'Annex 2 EHV charges'!$D:$O,10,FALSE)),"")</f>
        <v>705.98</v>
      </c>
      <c r="G95" s="91">
        <f>IFERROR(IF(VLOOKUP($A95,'Annex 2 EHV charges'!$D:$O,11,FALSE)=0,"",VLOOKUP($A95,'Annex 2 EHV charges'!$D:$O,11,FALSE)),"")</f>
        <v>0.05</v>
      </c>
      <c r="H95" s="91">
        <f>IFERROR(IF(VLOOKUP($A95,'Annex 2 EHV charges'!$D:$O,12,FALSE)=0,"",VLOOKUP($A95,'Annex 2 EHV charges'!$D:$O,12,FALSE)),"")</f>
        <v>0.05</v>
      </c>
      <c r="I95" s="229" t="str">
        <f>IF(VLOOKUP(C95,'Annex 2 EHV charges'!$F$11:$P$157,11,FALSE)&lt;=5,"",VLOOKUP(C95,'Annex 2 EHV charges'!$F$11:$P$157,11,FALSE))</f>
        <v/>
      </c>
    </row>
    <row r="96" spans="1:9" ht="12.75" customHeight="1" x14ac:dyDescent="0.35">
      <c r="A96" s="88">
        <f t="array" ref="A96">IFERROR(INDEX('Annex 2 EHV charges'!$D$11:$D$260, MATCH(0, IF(ISBLANK('Annex 2 EHV charges'!$D$11:$D$260),1, COUNTIF(A$4:$A95, 'Annex 2 EHV charges'!$D$11:$D$260)), 0)),"")</f>
        <v>711</v>
      </c>
      <c r="B96" s="87">
        <f>IF($A96="","",VLOOKUP($A96,'Annex 2 EHV charges'!$D:$O,2,0))</f>
        <v>711</v>
      </c>
      <c r="C96" s="88">
        <f>IF($A96="","",VLOOKUP($A96,'Annex 2 EHV charges'!$D:$O,3,0))</f>
        <v>1800061084510</v>
      </c>
      <c r="D96" s="87" t="str">
        <f>IF($A96="","",VLOOKUP($A96,'Annex 2 EHV charges'!$D:$O,4,0))</f>
        <v>Netherton Gas</v>
      </c>
      <c r="E96" s="89" t="str">
        <f>IFERROR(IF(VLOOKUP($A96,'Annex 2 EHV charges'!$D:$O,9,FALSE)=0,"",VLOOKUP($A96,'Annex 2 EHV charges'!$D:$O,9,FALSE)),"")</f>
        <v>-</v>
      </c>
      <c r="F96" s="90">
        <f>IFERROR(IF(VLOOKUP($A96,'Annex 2 EHV charges'!$D:$O,10,FALSE)=0,"",VLOOKUP($A96,'Annex 2 EHV charges'!$D:$O,10,FALSE)),"")</f>
        <v>3893.01</v>
      </c>
      <c r="G96" s="91">
        <f>IFERROR(IF(VLOOKUP($A96,'Annex 2 EHV charges'!$D:$O,11,FALSE)=0,"",VLOOKUP($A96,'Annex 2 EHV charges'!$D:$O,11,FALSE)),"")</f>
        <v>0.05</v>
      </c>
      <c r="H96" s="91">
        <f>IFERROR(IF(VLOOKUP($A96,'Annex 2 EHV charges'!$D:$O,12,FALSE)=0,"",VLOOKUP($A96,'Annex 2 EHV charges'!$D:$O,12,FALSE)),"")</f>
        <v>0.05</v>
      </c>
      <c r="I96" s="229" t="str">
        <f>IF(VLOOKUP(C96,'Annex 2 EHV charges'!$F$11:$P$157,11,FALSE)&lt;=5,"",VLOOKUP(C96,'Annex 2 EHV charges'!$F$11:$P$157,11,FALSE))</f>
        <v>Updated 24/11/21</v>
      </c>
    </row>
    <row r="97" spans="1:9" ht="12.75" customHeight="1" x14ac:dyDescent="0.35">
      <c r="A97" s="88">
        <f t="array" ref="A97">IFERROR(INDEX('Annex 2 EHV charges'!$D$11:$D$260, MATCH(0, IF(ISBLANK('Annex 2 EHV charges'!$D$11:$D$260),1, COUNTIF(A$4:$A96, 'Annex 2 EHV charges'!$D$11:$D$260)), 0)),"")</f>
        <v>712</v>
      </c>
      <c r="B97" s="87">
        <f>IF($A97="","",VLOOKUP($A97,'Annex 2 EHV charges'!$D:$O,2,0))</f>
        <v>712</v>
      </c>
      <c r="C97" s="88">
        <f>IF($A97="","",VLOOKUP($A97,'Annex 2 EHV charges'!$D:$O,3,0))</f>
        <v>1800061084430</v>
      </c>
      <c r="D97" s="87" t="str">
        <f>IF($A97="","",VLOOKUP($A97,'Annex 2 EHV charges'!$D:$O,4,0))</f>
        <v>Carbrain Gas</v>
      </c>
      <c r="E97" s="89" t="str">
        <f>IFERROR(IF(VLOOKUP($A97,'Annex 2 EHV charges'!$D:$O,9,FALSE)=0,"",VLOOKUP($A97,'Annex 2 EHV charges'!$D:$O,9,FALSE)),"")</f>
        <v>-</v>
      </c>
      <c r="F97" s="90">
        <f>IFERROR(IF(VLOOKUP($A97,'Annex 2 EHV charges'!$D:$O,10,FALSE)=0,"",VLOOKUP($A97,'Annex 2 EHV charges'!$D:$O,10,FALSE)),"")</f>
        <v>3281.52</v>
      </c>
      <c r="G97" s="91">
        <f>IFERROR(IF(VLOOKUP($A97,'Annex 2 EHV charges'!$D:$O,11,FALSE)=0,"",VLOOKUP($A97,'Annex 2 EHV charges'!$D:$O,11,FALSE)),"")</f>
        <v>0.05</v>
      </c>
      <c r="H97" s="91">
        <f>IFERROR(IF(VLOOKUP($A97,'Annex 2 EHV charges'!$D:$O,12,FALSE)=0,"",VLOOKUP($A97,'Annex 2 EHV charges'!$D:$O,12,FALSE)),"")</f>
        <v>0.05</v>
      </c>
      <c r="I97" s="229" t="str">
        <f>IF(VLOOKUP(C97,'Annex 2 EHV charges'!$F$11:$P$157,11,FALSE)&lt;=5,"",VLOOKUP(C97,'Annex 2 EHV charges'!$F$11:$P$157,11,FALSE))</f>
        <v>Updated 24/11/21</v>
      </c>
    </row>
    <row r="98" spans="1:9" ht="12.75" customHeight="1" x14ac:dyDescent="0.35">
      <c r="A98" s="88" t="str">
        <f t="array" ref="A98">IFERROR(INDEX('Annex 2 EHV charges'!$D$11:$D$260, MATCH(0, IF(ISBLANK('Annex 2 EHV charges'!$D$11:$D$260),1, COUNTIF(A$4:$A97, 'Annex 2 EHV charges'!$D$11:$D$260)), 0)),"")</f>
        <v>TBA 16B</v>
      </c>
      <c r="B98" s="87" t="str">
        <f>IF($A98="","",VLOOKUP($A98,'Annex 2 EHV charges'!$D:$O,2,0))</f>
        <v>TBA 16B</v>
      </c>
      <c r="C98" s="88" t="str">
        <f>IF($A98="","",VLOOKUP($A98,'Annex 2 EHV charges'!$D:$O,3,0))</f>
        <v>TBA 16B</v>
      </c>
      <c r="D98" s="87" t="str">
        <f>IF($A98="","",VLOOKUP($A98,'Annex 2 EHV charges'!$D:$O,4,0))</f>
        <v>Leven Gas Generation</v>
      </c>
      <c r="E98" s="89" t="str">
        <f>IFERROR(IF(VLOOKUP($A98,'Annex 2 EHV charges'!$D:$O,9,FALSE)=0,"",VLOOKUP($A98,'Annex 2 EHV charges'!$D:$O,9,FALSE)),"")</f>
        <v>-</v>
      </c>
      <c r="F98" s="90">
        <f>IFERROR(IF(VLOOKUP($A98,'Annex 2 EHV charges'!$D:$O,10,FALSE)=0,"",VLOOKUP($A98,'Annex 2 EHV charges'!$D:$O,10,FALSE)),"")</f>
        <v>3275.13</v>
      </c>
      <c r="G98" s="91">
        <f>IFERROR(IF(VLOOKUP($A98,'Annex 2 EHV charges'!$D:$O,11,FALSE)=0,"",VLOOKUP($A98,'Annex 2 EHV charges'!$D:$O,11,FALSE)),"")</f>
        <v>0.05</v>
      </c>
      <c r="H98" s="91">
        <f>IFERROR(IF(VLOOKUP($A98,'Annex 2 EHV charges'!$D:$O,12,FALSE)=0,"",VLOOKUP($A98,'Annex 2 EHV charges'!$D:$O,12,FALSE)),"")</f>
        <v>0.05</v>
      </c>
      <c r="I98" s="229" t="str">
        <f>IF(VLOOKUP(C98,'Annex 2 EHV charges'!$F$11:$P$157,11,FALSE)&lt;=5,"",VLOOKUP(C98,'Annex 2 EHV charges'!$F$11:$P$157,11,FALSE))</f>
        <v>Updated 24/11/21</v>
      </c>
    </row>
    <row r="99" spans="1:9" ht="12.75" customHeight="1" x14ac:dyDescent="0.35">
      <c r="A99" s="88">
        <f t="array" ref="A99">IFERROR(INDEX('Annex 2 EHV charges'!$D$11:$D$260, MATCH(0, IF(ISBLANK('Annex 2 EHV charges'!$D$11:$D$260),1, COUNTIF(A$4:$A98, 'Annex 2 EHV charges'!$D$11:$D$260)), 0)),"")</f>
        <v>714</v>
      </c>
      <c r="B99" s="87">
        <f>IF($A99="","",VLOOKUP($A99,'Annex 2 EHV charges'!$D:$O,2,0))</f>
        <v>714</v>
      </c>
      <c r="C99" s="88">
        <f>IF($A99="","",VLOOKUP($A99,'Annex 2 EHV charges'!$D:$O,3,0))</f>
        <v>1800061114397</v>
      </c>
      <c r="D99" s="87" t="str">
        <f>IF($A99="","",VLOOKUP($A99,'Annex 2 EHV charges'!$D:$O,4,0))</f>
        <v>Carmuirs Gas</v>
      </c>
      <c r="E99" s="89">
        <f>IFERROR(IF(VLOOKUP($A99,'Annex 2 EHV charges'!$D:$O,9,FALSE)=0,"",VLOOKUP($A99,'Annex 2 EHV charges'!$D:$O,9,FALSE)),"")</f>
        <v>-0.85399999999999998</v>
      </c>
      <c r="F99" s="90">
        <f>IFERROR(IF(VLOOKUP($A99,'Annex 2 EHV charges'!$D:$O,10,FALSE)=0,"",VLOOKUP($A99,'Annex 2 EHV charges'!$D:$O,10,FALSE)),"")</f>
        <v>3423.8</v>
      </c>
      <c r="G99" s="91">
        <f>IFERROR(IF(VLOOKUP($A99,'Annex 2 EHV charges'!$D:$O,11,FALSE)=0,"",VLOOKUP($A99,'Annex 2 EHV charges'!$D:$O,11,FALSE)),"")</f>
        <v>0.05</v>
      </c>
      <c r="H99" s="91">
        <f>IFERROR(IF(VLOOKUP($A99,'Annex 2 EHV charges'!$D:$O,12,FALSE)=0,"",VLOOKUP($A99,'Annex 2 EHV charges'!$D:$O,12,FALSE)),"")</f>
        <v>0.05</v>
      </c>
      <c r="I99" s="229" t="str">
        <f>IF(VLOOKUP(C99,'Annex 2 EHV charges'!$F$11:$P$157,11,FALSE)&lt;=5,"",VLOOKUP(C99,'Annex 2 EHV charges'!$F$11:$P$157,11,FALSE))</f>
        <v/>
      </c>
    </row>
    <row r="100" spans="1:9" ht="12.75" customHeight="1" x14ac:dyDescent="0.35">
      <c r="A100" s="88" t="str">
        <f t="array" ref="A100">IFERROR(INDEX('Annex 2 EHV charges'!$D$11:$D$260, MATCH(0, IF(ISBLANK('Annex 2 EHV charges'!$D$11:$D$260),1, COUNTIF(A$4:$A99, 'Annex 2 EHV charges'!$D$11:$D$260)), 0)),"")</f>
        <v>TBA 3B</v>
      </c>
      <c r="B100" s="87" t="str">
        <f>IF($A100="","",VLOOKUP($A100,'Annex 2 EHV charges'!$D:$O,2,0))</f>
        <v>TBA 3B</v>
      </c>
      <c r="C100" s="88" t="str">
        <f>IF($A100="","",VLOOKUP($A100,'Annex 2 EHV charges'!$D:$O,3,0))</f>
        <v>TBA 3B</v>
      </c>
      <c r="D100" s="87" t="str">
        <f>IF($A100="","",VLOOKUP($A100,'Annex 2 EHV charges'!$D:$O,4,0))</f>
        <v>Abercorn Street</v>
      </c>
      <c r="E100" s="89" t="str">
        <f>IFERROR(IF(VLOOKUP($A100,'Annex 2 EHV charges'!$D:$O,9,FALSE)=0,"",VLOOKUP($A100,'Annex 2 EHV charges'!$D:$O,9,FALSE)),"")</f>
        <v>-</v>
      </c>
      <c r="F100" s="90">
        <f>IFERROR(IF(VLOOKUP($A100,'Annex 2 EHV charges'!$D:$O,10,FALSE)=0,"",VLOOKUP($A100,'Annex 2 EHV charges'!$D:$O,10,FALSE)),"")</f>
        <v>5504.49</v>
      </c>
      <c r="G100" s="91">
        <f>IFERROR(IF(VLOOKUP($A100,'Annex 2 EHV charges'!$D:$O,11,FALSE)=0,"",VLOOKUP($A100,'Annex 2 EHV charges'!$D:$O,11,FALSE)),"")</f>
        <v>0.05</v>
      </c>
      <c r="H100" s="91">
        <f>IFERROR(IF(VLOOKUP($A100,'Annex 2 EHV charges'!$D:$O,12,FALSE)=0,"",VLOOKUP($A100,'Annex 2 EHV charges'!$D:$O,12,FALSE)),"")</f>
        <v>0.05</v>
      </c>
      <c r="I100" s="229" t="str">
        <f>IF(VLOOKUP(C100,'Annex 2 EHV charges'!$F$11:$P$157,11,FALSE)&lt;=5,"",VLOOKUP(C100,'Annex 2 EHV charges'!$F$11:$P$157,11,FALSE))</f>
        <v/>
      </c>
    </row>
    <row r="101" spans="1:9" ht="12.75" customHeight="1" x14ac:dyDescent="0.35">
      <c r="A101" s="88">
        <f t="array" ref="A101">IFERROR(INDEX('Annex 2 EHV charges'!$D$11:$D$260, MATCH(0, IF(ISBLANK('Annex 2 EHV charges'!$D$11:$D$260),1, COUNTIF(A$4:$A100, 'Annex 2 EHV charges'!$D$11:$D$260)), 0)),"")</f>
        <v>697</v>
      </c>
      <c r="B101" s="87">
        <f>IF($A101="","",VLOOKUP($A101,'Annex 2 EHV charges'!$D:$O,2,0))</f>
        <v>697</v>
      </c>
      <c r="C101" s="88">
        <f>IF($A101="","",VLOOKUP($A101,'Annex 2 EHV charges'!$D:$O,3,0))</f>
        <v>1800060630637</v>
      </c>
      <c r="D101" s="87" t="str">
        <f>IF($A101="","",VLOOKUP($A101,'Annex 2 EHV charges'!$D:$O,4,0))</f>
        <v>GSK Irvine</v>
      </c>
      <c r="E101" s="89" t="str">
        <f>IFERROR(IF(VLOOKUP($A101,'Annex 2 EHV charges'!$D:$O,9,FALSE)=0,"",VLOOKUP($A101,'Annex 2 EHV charges'!$D:$O,9,FALSE)),"")</f>
        <v>-</v>
      </c>
      <c r="F101" s="90">
        <f>IFERROR(IF(VLOOKUP($A101,'Annex 2 EHV charges'!$D:$O,10,FALSE)=0,"",VLOOKUP($A101,'Annex 2 EHV charges'!$D:$O,10,FALSE)),"")</f>
        <v>6084.96</v>
      </c>
      <c r="G101" s="91">
        <f>IFERROR(IF(VLOOKUP($A101,'Annex 2 EHV charges'!$D:$O,11,FALSE)=0,"",VLOOKUP($A101,'Annex 2 EHV charges'!$D:$O,11,FALSE)),"")</f>
        <v>0.05</v>
      </c>
      <c r="H101" s="91">
        <f>IFERROR(IF(VLOOKUP($A101,'Annex 2 EHV charges'!$D:$O,12,FALSE)=0,"",VLOOKUP($A101,'Annex 2 EHV charges'!$D:$O,12,FALSE)),"")</f>
        <v>0.05</v>
      </c>
      <c r="I101" s="229" t="str">
        <f>IF(VLOOKUP(C101,'Annex 2 EHV charges'!$F$11:$P$157,11,FALSE)&lt;=5,"",VLOOKUP(C101,'Annex 2 EHV charges'!$F$11:$P$157,11,FALSE))</f>
        <v>See Annex 6</v>
      </c>
    </row>
    <row r="102" spans="1:9" ht="12.75" customHeight="1" x14ac:dyDescent="0.35">
      <c r="A102" s="88" t="str">
        <f t="array" ref="A102">IFERROR(INDEX('Annex 2 EHV charges'!$D$11:$D$260, MATCH(0, IF(ISBLANK('Annex 2 EHV charges'!$D$11:$D$260),1, COUNTIF(A$4:$A101, 'Annex 2 EHV charges'!$D$11:$D$260)), 0)),"")</f>
        <v>TBA 7B</v>
      </c>
      <c r="B102" s="87" t="str">
        <f>IF($A102="","",VLOOKUP($A102,'Annex 2 EHV charges'!$D:$O,2,0))</f>
        <v>TBA 7B</v>
      </c>
      <c r="C102" s="88" t="str">
        <f>IF($A102="","",VLOOKUP($A102,'Annex 2 EHV charges'!$D:$O,3,0))</f>
        <v>TBA 7B</v>
      </c>
      <c r="D102" s="87" t="str">
        <f>IF($A102="","",VLOOKUP($A102,'Annex 2 EHV charges'!$D:$O,4,0))</f>
        <v>Nether Farm</v>
      </c>
      <c r="E102" s="89" t="str">
        <f>IFERROR(IF(VLOOKUP($A102,'Annex 2 EHV charges'!$D:$O,9,FALSE)=0,"",VLOOKUP($A102,'Annex 2 EHV charges'!$D:$O,9,FALSE)),"")</f>
        <v>-</v>
      </c>
      <c r="F102" s="90">
        <f>IFERROR(IF(VLOOKUP($A102,'Annex 2 EHV charges'!$D:$O,10,FALSE)=0,"",VLOOKUP($A102,'Annex 2 EHV charges'!$D:$O,10,FALSE)),"")</f>
        <v>2682.54</v>
      </c>
      <c r="G102" s="91">
        <f>IFERROR(IF(VLOOKUP($A102,'Annex 2 EHV charges'!$D:$O,11,FALSE)=0,"",VLOOKUP($A102,'Annex 2 EHV charges'!$D:$O,11,FALSE)),"")</f>
        <v>0.05</v>
      </c>
      <c r="H102" s="91">
        <f>IFERROR(IF(VLOOKUP($A102,'Annex 2 EHV charges'!$D:$O,12,FALSE)=0,"",VLOOKUP($A102,'Annex 2 EHV charges'!$D:$O,12,FALSE)),"")</f>
        <v>0.05</v>
      </c>
      <c r="I102" s="229" t="str">
        <f>IF(VLOOKUP(C102,'Annex 2 EHV charges'!$F$11:$P$157,11,FALSE)&lt;=5,"",VLOOKUP(C102,'Annex 2 EHV charges'!$F$11:$P$157,11,FALSE))</f>
        <v/>
      </c>
    </row>
    <row r="103" spans="1:9" ht="12.75" customHeight="1" x14ac:dyDescent="0.35">
      <c r="A103" s="88" t="str">
        <f t="array" ref="A103">IFERROR(INDEX('Annex 2 EHV charges'!$D$11:$D$260, MATCH(0, IF(ISBLANK('Annex 2 EHV charges'!$D$11:$D$260),1, COUNTIF(A$4:$A102, 'Annex 2 EHV charges'!$D$11:$D$260)), 0)),"")</f>
        <v>TBA 8B</v>
      </c>
      <c r="B103" s="87" t="str">
        <f>IF($A103="","",VLOOKUP($A103,'Annex 2 EHV charges'!$D:$O,2,0))</f>
        <v>TBA 8B</v>
      </c>
      <c r="C103" s="88" t="str">
        <f>IF($A103="","",VLOOKUP($A103,'Annex 2 EHV charges'!$D:$O,3,0))</f>
        <v/>
      </c>
      <c r="D103" s="87" t="str">
        <f>IF($A103="","",VLOOKUP($A103,'Annex 2 EHV charges'!$D:$O,4,0))</f>
        <v>Calachem RDF CHP Plant</v>
      </c>
      <c r="E103" s="89" t="str">
        <f>IFERROR(IF(VLOOKUP($A103,'Annex 2 EHV charges'!$D:$O,9,FALSE)=0,"",VLOOKUP($A103,'Annex 2 EHV charges'!$D:$O,9,FALSE)),"")</f>
        <v>-</v>
      </c>
      <c r="F103" s="90">
        <f>IFERROR(IF(VLOOKUP($A103,'Annex 2 EHV charges'!$D:$O,10,FALSE)=0,"",VLOOKUP($A103,'Annex 2 EHV charges'!$D:$O,10,FALSE)),"")</f>
        <v>6626.64</v>
      </c>
      <c r="G103" s="91">
        <f>IFERROR(IF(VLOOKUP($A103,'Annex 2 EHV charges'!$D:$O,11,FALSE)=0,"",VLOOKUP($A103,'Annex 2 EHV charges'!$D:$O,11,FALSE)),"")</f>
        <v>0.05</v>
      </c>
      <c r="H103" s="91">
        <f>IFERROR(IF(VLOOKUP($A103,'Annex 2 EHV charges'!$D:$O,12,FALSE)=0,"",VLOOKUP($A103,'Annex 2 EHV charges'!$D:$O,12,FALSE)),"")</f>
        <v>0.05</v>
      </c>
      <c r="I103" s="229" t="str">
        <f>IF(VLOOKUP(C103,'Annex 2 EHV charges'!$F$11:$P$157,11,FALSE)&lt;=5,"",VLOOKUP(C103,'Annex 2 EHV charges'!$F$11:$P$157,11,FALSE))</f>
        <v/>
      </c>
    </row>
    <row r="104" spans="1:9" ht="12.75" customHeight="1" x14ac:dyDescent="0.35">
      <c r="A104" s="88" t="str">
        <f t="array" ref="A104">IFERROR(INDEX('Annex 2 EHV charges'!$D$11:$D$260, MATCH(0, IF(ISBLANK('Annex 2 EHV charges'!$D$11:$D$260),1, COUNTIF(A$4:$A103, 'Annex 2 EHV charges'!$D$11:$D$260)), 0)),"")</f>
        <v>TBA 9B</v>
      </c>
      <c r="B104" s="87" t="str">
        <f>IF($A104="","",VLOOKUP($A104,'Annex 2 EHV charges'!$D:$O,2,0))</f>
        <v>TBA 9B</v>
      </c>
      <c r="C104" s="88" t="str">
        <f>IF($A104="","",VLOOKUP($A104,'Annex 2 EHV charges'!$D:$O,3,0))</f>
        <v>TBA 9B</v>
      </c>
      <c r="D104" s="87" t="str">
        <f>IF($A104="","",VLOOKUP($A104,'Annex 2 EHV charges'!$D:$O,4,0))</f>
        <v>East Mains Gas</v>
      </c>
      <c r="E104" s="89" t="str">
        <f>IFERROR(IF(VLOOKUP($A104,'Annex 2 EHV charges'!$D:$O,9,FALSE)=0,"",VLOOKUP($A104,'Annex 2 EHV charges'!$D:$O,9,FALSE)),"")</f>
        <v>-</v>
      </c>
      <c r="F104" s="90">
        <f>IFERROR(IF(VLOOKUP($A104,'Annex 2 EHV charges'!$D:$O,10,FALSE)=0,"",VLOOKUP($A104,'Annex 2 EHV charges'!$D:$O,10,FALSE)),"")</f>
        <v>1349.78</v>
      </c>
      <c r="G104" s="91">
        <f>IFERROR(IF(VLOOKUP($A104,'Annex 2 EHV charges'!$D:$O,11,FALSE)=0,"",VLOOKUP($A104,'Annex 2 EHV charges'!$D:$O,11,FALSE)),"")</f>
        <v>0.05</v>
      </c>
      <c r="H104" s="91">
        <f>IFERROR(IF(VLOOKUP($A104,'Annex 2 EHV charges'!$D:$O,12,FALSE)=0,"",VLOOKUP($A104,'Annex 2 EHV charges'!$D:$O,12,FALSE)),"")</f>
        <v>0.05</v>
      </c>
      <c r="I104" s="229" t="str">
        <f>IF(VLOOKUP(C104,'Annex 2 EHV charges'!$F$11:$P$157,11,FALSE)&lt;=5,"",VLOOKUP(C104,'Annex 2 EHV charges'!$F$11:$P$157,11,FALSE))</f>
        <v/>
      </c>
    </row>
    <row r="105" spans="1:9" ht="12.75" customHeight="1" x14ac:dyDescent="0.35">
      <c r="A105" s="88" t="str">
        <f t="array" ref="A105">IFERROR(INDEX('Annex 2 EHV charges'!$D$11:$D$260, MATCH(0, IF(ISBLANK('Annex 2 EHV charges'!$D$11:$D$260),1, COUNTIF(A$4:$A104, 'Annex 2 EHV charges'!$D$11:$D$260)), 0)),"")</f>
        <v>TBA 14B</v>
      </c>
      <c r="B105" s="87" t="str">
        <f>IF($A105="","",VLOOKUP($A105,'Annex 2 EHV charges'!$D:$O,2,0))</f>
        <v>TBA 14B</v>
      </c>
      <c r="C105" s="88" t="str">
        <f>IF($A105="","",VLOOKUP($A105,'Annex 2 EHV charges'!$D:$O,3,0))</f>
        <v>TBA 14B</v>
      </c>
      <c r="D105" s="87" t="str">
        <f>IF($A105="","",VLOOKUP($A105,'Annex 2 EHV charges'!$D:$O,4,0))</f>
        <v xml:space="preserve">Drumcross ESS </v>
      </c>
      <c r="E105" s="89" t="str">
        <f>IFERROR(IF(VLOOKUP($A105,'Annex 2 EHV charges'!$D:$O,9,FALSE)=0,"",VLOOKUP($A105,'Annex 2 EHV charges'!$D:$O,9,FALSE)),"")</f>
        <v>-</v>
      </c>
      <c r="F105" s="90">
        <f>IFERROR(IF(VLOOKUP($A105,'Annex 2 EHV charges'!$D:$O,10,FALSE)=0,"",VLOOKUP($A105,'Annex 2 EHV charges'!$D:$O,10,FALSE)),"")</f>
        <v>2391.8000000000002</v>
      </c>
      <c r="G105" s="91">
        <f>IFERROR(IF(VLOOKUP($A105,'Annex 2 EHV charges'!$D:$O,11,FALSE)=0,"",VLOOKUP($A105,'Annex 2 EHV charges'!$D:$O,11,FALSE)),"")</f>
        <v>0.05</v>
      </c>
      <c r="H105" s="91">
        <f>IFERROR(IF(VLOOKUP($A105,'Annex 2 EHV charges'!$D:$O,12,FALSE)=0,"",VLOOKUP($A105,'Annex 2 EHV charges'!$D:$O,12,FALSE)),"")</f>
        <v>0.05</v>
      </c>
      <c r="I105" s="229" t="str">
        <f>IF(VLOOKUP(C105,'Annex 2 EHV charges'!$F$11:$P$157,11,FALSE)&lt;=5,"",VLOOKUP(C105,'Annex 2 EHV charges'!$F$11:$P$157,11,FALSE))</f>
        <v>Updated 24/11/21</v>
      </c>
    </row>
    <row r="106" spans="1:9" ht="12.75" customHeight="1" x14ac:dyDescent="0.35">
      <c r="A106" s="88" t="str">
        <f t="array" ref="A106">IFERROR(INDEX('Annex 2 EHV charges'!$D$11:$D$260, MATCH(0, IF(ISBLANK('Annex 2 EHV charges'!$D$11:$D$260),1, COUNTIF(A$4:$A105, 'Annex 2 EHV charges'!$D$11:$D$260)), 0)),"")</f>
        <v>TBA 15B</v>
      </c>
      <c r="B106" s="87" t="str">
        <f>IF($A106="","",VLOOKUP($A106,'Annex 2 EHV charges'!$D:$O,2,0))</f>
        <v>TBA 15B</v>
      </c>
      <c r="C106" s="88" t="str">
        <f>IF($A106="","",VLOOKUP($A106,'Annex 2 EHV charges'!$D:$O,3,0))</f>
        <v>TBA 15B</v>
      </c>
      <c r="D106" s="87" t="str">
        <f>IF($A106="","",VLOOKUP($A106,'Annex 2 EHV charges'!$D:$O,4,0))</f>
        <v>Easter Drumclair WF</v>
      </c>
      <c r="E106" s="89" t="str">
        <f>IFERROR(IF(VLOOKUP($A106,'Annex 2 EHV charges'!$D:$O,9,FALSE)=0,"",VLOOKUP($A106,'Annex 2 EHV charges'!$D:$O,9,FALSE)),"")</f>
        <v>-</v>
      </c>
      <c r="F106" s="90">
        <f>IFERROR(IF(VLOOKUP($A106,'Annex 2 EHV charges'!$D:$O,10,FALSE)=0,"",VLOOKUP($A106,'Annex 2 EHV charges'!$D:$O,10,FALSE)),"")</f>
        <v>5585.45</v>
      </c>
      <c r="G106" s="91">
        <f>IFERROR(IF(VLOOKUP($A106,'Annex 2 EHV charges'!$D:$O,11,FALSE)=0,"",VLOOKUP($A106,'Annex 2 EHV charges'!$D:$O,11,FALSE)),"")</f>
        <v>0.05</v>
      </c>
      <c r="H106" s="91">
        <f>IFERROR(IF(VLOOKUP($A106,'Annex 2 EHV charges'!$D:$O,12,FALSE)=0,"",VLOOKUP($A106,'Annex 2 EHV charges'!$D:$O,12,FALSE)),"")</f>
        <v>0.05</v>
      </c>
      <c r="I106" s="229" t="str">
        <f>IF(VLOOKUP(C106,'Annex 2 EHV charges'!$F$11:$P$157,11,FALSE)&lt;=5,"",VLOOKUP(C106,'Annex 2 EHV charges'!$F$11:$P$157,11,FALSE))</f>
        <v/>
      </c>
    </row>
    <row r="107" spans="1:9" ht="12.75" customHeight="1" x14ac:dyDescent="0.35">
      <c r="A107" s="88" t="str">
        <f t="array" ref="A107">IFERROR(INDEX('Annex 2 EHV charges'!$D$11:$D$260, MATCH(0, IF(ISBLANK('Annex 2 EHV charges'!$D$11:$D$260),1, COUNTIF(A$4:$A106, 'Annex 2 EHV charges'!$D$11:$D$260)), 0)),"")</f>
        <v>TBA 17B</v>
      </c>
      <c r="B107" s="87" t="str">
        <f>IF($A107="","",VLOOKUP($A107,'Annex 2 EHV charges'!$D:$O,2,0))</f>
        <v>TBA 17B</v>
      </c>
      <c r="C107" s="88" t="str">
        <f>IF($A107="","",VLOOKUP($A107,'Annex 2 EHV charges'!$D:$O,3,0))</f>
        <v>TBA 17B</v>
      </c>
      <c r="D107" s="87" t="str">
        <f>IF($A107="","",VLOOKUP($A107,'Annex 2 EHV charges'!$D:$O,4,0))</f>
        <v>Camilla Farm ESS</v>
      </c>
      <c r="E107" s="89" t="str">
        <f>IFERROR(IF(VLOOKUP($A107,'Annex 2 EHV charges'!$D:$O,9,FALSE)=0,"",VLOOKUP($A107,'Annex 2 EHV charges'!$D:$O,9,FALSE)),"")</f>
        <v>-</v>
      </c>
      <c r="F107" s="90">
        <f>IFERROR(IF(VLOOKUP($A107,'Annex 2 EHV charges'!$D:$O,10,FALSE)=0,"",VLOOKUP($A107,'Annex 2 EHV charges'!$D:$O,10,FALSE)),"")</f>
        <v>2434.5500000000002</v>
      </c>
      <c r="G107" s="91">
        <f>IFERROR(IF(VLOOKUP($A107,'Annex 2 EHV charges'!$D:$O,11,FALSE)=0,"",VLOOKUP($A107,'Annex 2 EHV charges'!$D:$O,11,FALSE)),"")</f>
        <v>0.05</v>
      </c>
      <c r="H107" s="91">
        <f>IFERROR(IF(VLOOKUP($A107,'Annex 2 EHV charges'!$D:$O,12,FALSE)=0,"",VLOOKUP($A107,'Annex 2 EHV charges'!$D:$O,12,FALSE)),"")</f>
        <v>0.05</v>
      </c>
      <c r="I107" s="229" t="str">
        <f>IF(VLOOKUP(C107,'Annex 2 EHV charges'!$F$11:$P$157,11,FALSE)&lt;=5,"",VLOOKUP(C107,'Annex 2 EHV charges'!$F$11:$P$157,11,FALSE))</f>
        <v>Updated 24/11/21</v>
      </c>
    </row>
    <row r="108" spans="1:9" ht="12.75" customHeight="1" x14ac:dyDescent="0.35">
      <c r="A108" s="88" t="str">
        <f t="array" ref="A108">IFERROR(INDEX('Annex 2 EHV charges'!$D$11:$D$260, MATCH(0, IF(ISBLANK('Annex 2 EHV charges'!$D$11:$D$260),1, COUNTIF(A$4:$A107, 'Annex 2 EHV charges'!$D$11:$D$260)), 0)),"")</f>
        <v>TBA 10B</v>
      </c>
      <c r="B108" s="87" t="str">
        <f>IF($A108="","",VLOOKUP($A108,'Annex 2 EHV charges'!$D:$O,2,0))</f>
        <v>TBA 10B</v>
      </c>
      <c r="C108" s="88" t="str">
        <f>IF($A108="","",VLOOKUP($A108,'Annex 2 EHV charges'!$D:$O,3,0))</f>
        <v>TBA 10B</v>
      </c>
      <c r="D108" s="87" t="str">
        <f>IF($A108="","",VLOOKUP($A108,'Annex 2 EHV charges'!$D:$O,4,0))</f>
        <v>Nairn Road Alpha</v>
      </c>
      <c r="E108" s="89" t="str">
        <f>IFERROR(IF(VLOOKUP($A108,'Annex 2 EHV charges'!$D:$O,9,FALSE)=0,"",VLOOKUP($A108,'Annex 2 EHV charges'!$D:$O,9,FALSE)),"")</f>
        <v>-</v>
      </c>
      <c r="F108" s="90">
        <f>IFERROR(IF(VLOOKUP($A108,'Annex 2 EHV charges'!$D:$O,10,FALSE)=0,"",VLOOKUP($A108,'Annex 2 EHV charges'!$D:$O,10,FALSE)),"")</f>
        <v>1058.2</v>
      </c>
      <c r="G108" s="91">
        <f>IFERROR(IF(VLOOKUP($A108,'Annex 2 EHV charges'!$D:$O,11,FALSE)=0,"",VLOOKUP($A108,'Annex 2 EHV charges'!$D:$O,11,FALSE)),"")</f>
        <v>0.05</v>
      </c>
      <c r="H108" s="91">
        <f>IFERROR(IF(VLOOKUP($A108,'Annex 2 EHV charges'!$D:$O,12,FALSE)=0,"",VLOOKUP($A108,'Annex 2 EHV charges'!$D:$O,12,FALSE)),"")</f>
        <v>0.05</v>
      </c>
      <c r="I108" s="229" t="str">
        <f>IF(VLOOKUP(C108,'Annex 2 EHV charges'!$F$11:$P$157,11,FALSE)&lt;=5,"",VLOOKUP(C108,'Annex 2 EHV charges'!$F$11:$P$157,11,FALSE))</f>
        <v/>
      </c>
    </row>
    <row r="109" spans="1:9" ht="12.75" customHeight="1" x14ac:dyDescent="0.35">
      <c r="A109" s="88" t="str">
        <f t="array" ref="A109">IFERROR(INDEX('Annex 2 EHV charges'!$D$11:$D$260, MATCH(0, IF(ISBLANK('Annex 2 EHV charges'!$D$11:$D$260),1, COUNTIF(A$4:$A108, 'Annex 2 EHV charges'!$D$11:$D$260)), 0)),"")</f>
        <v>TBA 11B</v>
      </c>
      <c r="B109" s="87" t="str">
        <f>IF($A109="","",VLOOKUP($A109,'Annex 2 EHV charges'!$D:$O,2,0))</f>
        <v>TBA 11B</v>
      </c>
      <c r="C109" s="88" t="str">
        <f>IF($A109="","",VLOOKUP($A109,'Annex 2 EHV charges'!$D:$O,3,0))</f>
        <v>TBA 11B</v>
      </c>
      <c r="D109" s="87" t="str">
        <f>IF($A109="","",VLOOKUP($A109,'Annex 2 EHV charges'!$D:$O,4,0))</f>
        <v>Nairn Road Bravo</v>
      </c>
      <c r="E109" s="89" t="str">
        <f>IFERROR(IF(VLOOKUP($A109,'Annex 2 EHV charges'!$D:$O,9,FALSE)=0,"",VLOOKUP($A109,'Annex 2 EHV charges'!$D:$O,9,FALSE)),"")</f>
        <v>-</v>
      </c>
      <c r="F109" s="90">
        <f>IFERROR(IF(VLOOKUP($A109,'Annex 2 EHV charges'!$D:$O,10,FALSE)=0,"",VLOOKUP($A109,'Annex 2 EHV charges'!$D:$O,10,FALSE)),"")</f>
        <v>1288.25</v>
      </c>
      <c r="G109" s="91">
        <f>IFERROR(IF(VLOOKUP($A109,'Annex 2 EHV charges'!$D:$O,11,FALSE)=0,"",VLOOKUP($A109,'Annex 2 EHV charges'!$D:$O,11,FALSE)),"")</f>
        <v>0.05</v>
      </c>
      <c r="H109" s="91">
        <f>IFERROR(IF(VLOOKUP($A109,'Annex 2 EHV charges'!$D:$O,12,FALSE)=0,"",VLOOKUP($A109,'Annex 2 EHV charges'!$D:$O,12,FALSE)),"")</f>
        <v>0.05</v>
      </c>
      <c r="I109" s="229" t="str">
        <f>IF(VLOOKUP(C109,'Annex 2 EHV charges'!$F$11:$P$157,11,FALSE)&lt;=5,"",VLOOKUP(C109,'Annex 2 EHV charges'!$F$11:$P$157,11,FALSE))</f>
        <v/>
      </c>
    </row>
    <row r="110" spans="1:9" ht="12.75" customHeight="1" x14ac:dyDescent="0.35">
      <c r="A110" s="88" t="str">
        <f t="array" ref="A110">IFERROR(INDEX('Annex 2 EHV charges'!$D$11:$D$260, MATCH(0, IF(ISBLANK('Annex 2 EHV charges'!$D$11:$D$260),1, COUNTIF(A$4:$A109, 'Annex 2 EHV charges'!$D$11:$D$260)), 0)),"")</f>
        <v>TBA 12B</v>
      </c>
      <c r="B110" s="87" t="str">
        <f>IF($A110="","",VLOOKUP($A110,'Annex 2 EHV charges'!$D:$O,2,0))</f>
        <v>TBA 12B</v>
      </c>
      <c r="C110" s="88" t="str">
        <f>IF($A110="","",VLOOKUP($A110,'Annex 2 EHV charges'!$D:$O,3,0))</f>
        <v>TBA 12B</v>
      </c>
      <c r="D110" s="87" t="str">
        <f>IF($A110="","",VLOOKUP($A110,'Annex 2 EHV charges'!$D:$O,4,0))</f>
        <v>Southrigg 2 WF</v>
      </c>
      <c r="E110" s="89" t="str">
        <f>IFERROR(IF(VLOOKUP($A110,'Annex 2 EHV charges'!$D:$O,9,FALSE)=0,"",VLOOKUP($A110,'Annex 2 EHV charges'!$D:$O,9,FALSE)),"")</f>
        <v>-</v>
      </c>
      <c r="F110" s="90">
        <f>IFERROR(IF(VLOOKUP($A110,'Annex 2 EHV charges'!$D:$O,10,FALSE)=0,"",VLOOKUP($A110,'Annex 2 EHV charges'!$D:$O,10,FALSE)),"")</f>
        <v>6265.76</v>
      </c>
      <c r="G110" s="91">
        <f>IFERROR(IF(VLOOKUP($A110,'Annex 2 EHV charges'!$D:$O,11,FALSE)=0,"",VLOOKUP($A110,'Annex 2 EHV charges'!$D:$O,11,FALSE)),"")</f>
        <v>0.05</v>
      </c>
      <c r="H110" s="91">
        <f>IFERROR(IF(VLOOKUP($A110,'Annex 2 EHV charges'!$D:$O,12,FALSE)=0,"",VLOOKUP($A110,'Annex 2 EHV charges'!$D:$O,12,FALSE)),"")</f>
        <v>0.05</v>
      </c>
      <c r="I110" s="229" t="str">
        <f>IF(VLOOKUP(C110,'Annex 2 EHV charges'!$F$11:$P$157,11,FALSE)&lt;=5,"",VLOOKUP(C110,'Annex 2 EHV charges'!$F$11:$P$157,11,FALSE))</f>
        <v/>
      </c>
    </row>
    <row r="111" spans="1:9" ht="12.75" customHeight="1" x14ac:dyDescent="0.35">
      <c r="A111" s="88" t="str">
        <f t="array" ref="A111">IFERROR(INDEX('Annex 2 EHV charges'!$D$11:$D$260, MATCH(0, IF(ISBLANK('Annex 2 EHV charges'!$D$11:$D$260),1, COUNTIF(A$4:$A110, 'Annex 2 EHV charges'!$D$11:$D$260)), 0)),"")</f>
        <v>TBA 1B</v>
      </c>
      <c r="B111" s="87" t="str">
        <f>IF($A111="","",VLOOKUP($A111,'Annex 2 EHV charges'!$D:$O,2,0))</f>
        <v>TBA 1B</v>
      </c>
      <c r="C111" s="88" t="str">
        <f>IF($A111="","",VLOOKUP($A111,'Annex 2 EHV charges'!$D:$O,3,0))</f>
        <v>TBA 1B</v>
      </c>
      <c r="D111" s="87" t="str">
        <f>IF($A111="","",VLOOKUP($A111,'Annex 2 EHV charges'!$D:$O,4,0))</f>
        <v>Abbotshaugh Reserve Power Facility</v>
      </c>
      <c r="E111" s="89" t="str">
        <f>IFERROR(IF(VLOOKUP($A111,'Annex 2 EHV charges'!$D:$O,9,FALSE)=0,"",VLOOKUP($A111,'Annex 2 EHV charges'!$D:$O,9,FALSE)),"")</f>
        <v>-</v>
      </c>
      <c r="F111" s="90">
        <f>IFERROR(IF(VLOOKUP($A111,'Annex 2 EHV charges'!$D:$O,10,FALSE)=0,"",VLOOKUP($A111,'Annex 2 EHV charges'!$D:$O,10,FALSE)),"")</f>
        <v>1840.76</v>
      </c>
      <c r="G111" s="91">
        <f>IFERROR(IF(VLOOKUP($A111,'Annex 2 EHV charges'!$D:$O,11,FALSE)=0,"",VLOOKUP($A111,'Annex 2 EHV charges'!$D:$O,11,FALSE)),"")</f>
        <v>0.05</v>
      </c>
      <c r="H111" s="91">
        <f>IFERROR(IF(VLOOKUP($A111,'Annex 2 EHV charges'!$D:$O,12,FALSE)=0,"",VLOOKUP($A111,'Annex 2 EHV charges'!$D:$O,12,FALSE)),"")</f>
        <v>0.05</v>
      </c>
      <c r="I111" s="229" t="str">
        <f>IF(VLOOKUP(C111,'Annex 2 EHV charges'!$F$11:$P$157,11,FALSE)&lt;=5,"",VLOOKUP(C111,'Annex 2 EHV charges'!$F$11:$P$157,11,FALSE))</f>
        <v>Updated 24/11/21</v>
      </c>
    </row>
    <row r="112" spans="1:9" ht="12.75" customHeight="1" x14ac:dyDescent="0.35">
      <c r="A112" s="88" t="str">
        <f t="array" ref="A112">IFERROR(INDEX('Annex 2 EHV charges'!$D$11:$D$260, MATCH(0, IF(ISBLANK('Annex 2 EHV charges'!$D$11:$D$260),1, COUNTIF(A$4:$A111, 'Annex 2 EHV charges'!$D$11:$D$260)), 0)),"")</f>
        <v/>
      </c>
      <c r="B112" s="87" t="str">
        <f>IF($A112="","",VLOOKUP($A112,'Annex 2 EHV charges'!$D:$O,2,0))</f>
        <v/>
      </c>
      <c r="C112" s="88" t="str">
        <f>IF($A112="","",VLOOKUP($A112,'Annex 2 EHV charges'!$D:$O,3,0))</f>
        <v/>
      </c>
      <c r="D112" s="87" t="str">
        <f>IF($A112="","",VLOOKUP($A112,'Annex 2 EHV charges'!$D:$O,4,0))</f>
        <v/>
      </c>
      <c r="E112" s="89" t="str">
        <f>IFERROR(IF(VLOOKUP($A112,'Annex 2 EHV charges'!$D:$O,9,FALSE)=0,"",VLOOKUP($A112,'Annex 2 EHV charges'!$D:$O,9,FALSE)),"")</f>
        <v/>
      </c>
      <c r="F112" s="90" t="str">
        <f>IFERROR(IF(VLOOKUP($A112,'Annex 2 EHV charges'!$D:$O,10,FALSE)=0,"",VLOOKUP($A112,'Annex 2 EHV charges'!$D:$O,10,FALSE)),"")</f>
        <v/>
      </c>
      <c r="G112" s="91" t="str">
        <f>IFERROR(IF(VLOOKUP($A112,'Annex 2 EHV charges'!$D:$O,11,FALSE)=0,"",VLOOKUP($A112,'Annex 2 EHV charges'!$D:$O,11,FALSE)),"")</f>
        <v/>
      </c>
      <c r="H112" s="91" t="str">
        <f>IFERROR(IF(VLOOKUP($A112,'Annex 2 EHV charges'!$D:$O,12,FALSE)=0,"",VLOOKUP($A112,'Annex 2 EHV charges'!$D:$O,12,FALSE)),"")</f>
        <v/>
      </c>
      <c r="I112" s="42" t="str">
        <f>IF(VLOOKUP(C112,'Annex 2 EHV charges'!$F$11:$P$157,11,FALSE)&lt;=5,"",VLOOKUP(C112,'Annex 2 EHV charges'!$F$11:$P$157,11,FALSE))</f>
        <v/>
      </c>
    </row>
    <row r="113" spans="1:9" ht="12.75" customHeight="1" x14ac:dyDescent="0.35">
      <c r="A113" s="88" t="str">
        <f t="array" ref="A113">IFERROR(INDEX('Annex 2 EHV charges'!$D$11:$D$260, MATCH(0, IF(ISBLANK('Annex 2 EHV charges'!$D$11:$D$260),1, COUNTIF(A$4:$A112, 'Annex 2 EHV charges'!$D$11:$D$260)), 0)),"")</f>
        <v/>
      </c>
      <c r="B113" s="87" t="str">
        <f>IF($A113="","",VLOOKUP($A113,'Annex 2 EHV charges'!$D:$O,2,0))</f>
        <v/>
      </c>
      <c r="C113" s="88" t="str">
        <f>IF($A113="","",VLOOKUP($A113,'Annex 2 EHV charges'!$D:$O,3,0))</f>
        <v/>
      </c>
      <c r="D113" s="87" t="str">
        <f>IF($A113="","",VLOOKUP($A113,'Annex 2 EHV charges'!$D:$O,4,0))</f>
        <v/>
      </c>
      <c r="E113" s="89" t="str">
        <f>IFERROR(IF(VLOOKUP($A113,'Annex 2 EHV charges'!$D:$O,9,FALSE)=0,"",VLOOKUP($A113,'Annex 2 EHV charges'!$D:$O,9,FALSE)),"")</f>
        <v/>
      </c>
      <c r="F113" s="90" t="str">
        <f>IFERROR(IF(VLOOKUP($A113,'Annex 2 EHV charges'!$D:$O,10,FALSE)=0,"",VLOOKUP($A113,'Annex 2 EHV charges'!$D:$O,10,FALSE)),"")</f>
        <v/>
      </c>
      <c r="G113" s="91" t="str">
        <f>IFERROR(IF(VLOOKUP($A113,'Annex 2 EHV charges'!$D:$O,11,FALSE)=0,"",VLOOKUP($A113,'Annex 2 EHV charges'!$D:$O,11,FALSE)),"")</f>
        <v/>
      </c>
      <c r="H113" s="91" t="str">
        <f>IFERROR(IF(VLOOKUP($A113,'Annex 2 EHV charges'!$D:$O,12,FALSE)=0,"",VLOOKUP($A113,'Annex 2 EHV charges'!$D:$O,12,FALSE)),"")</f>
        <v/>
      </c>
      <c r="I113" s="42" t="str">
        <f>IF(VLOOKUP(C113,'Annex 2 EHV charges'!$F$11:$P$157,11,FALSE)&lt;=5,"",VLOOKUP(C113,'Annex 2 EHV charges'!$F$11:$P$157,11,FALSE))</f>
        <v/>
      </c>
    </row>
    <row r="114" spans="1:9" ht="12.75" customHeight="1" x14ac:dyDescent="0.35">
      <c r="A114" s="88" t="str">
        <f t="array" ref="A114">IFERROR(INDEX('Annex 2 EHV charges'!$D$11:$D$260, MATCH(0, IF(ISBLANK('Annex 2 EHV charges'!$D$11:$D$260),1, COUNTIF(A$4:$A113, 'Annex 2 EHV charges'!$D$11:$D$260)), 0)),"")</f>
        <v/>
      </c>
      <c r="B114" s="87" t="str">
        <f>IF($A114="","",VLOOKUP($A114,'Annex 2 EHV charges'!$D:$O,2,0))</f>
        <v/>
      </c>
      <c r="C114" s="88" t="str">
        <f>IF($A114="","",VLOOKUP($A114,'Annex 2 EHV charges'!$D:$O,3,0))</f>
        <v/>
      </c>
      <c r="D114" s="87" t="str">
        <f>IF($A114="","",VLOOKUP($A114,'Annex 2 EHV charges'!$D:$O,4,0))</f>
        <v/>
      </c>
      <c r="E114" s="89" t="str">
        <f>IFERROR(IF(VLOOKUP($A114,'Annex 2 EHV charges'!$D:$O,9,FALSE)=0,"",VLOOKUP($A114,'Annex 2 EHV charges'!$D:$O,9,FALSE)),"")</f>
        <v/>
      </c>
      <c r="F114" s="90" t="str">
        <f>IFERROR(IF(VLOOKUP($A114,'Annex 2 EHV charges'!$D:$O,10,FALSE)=0,"",VLOOKUP($A114,'Annex 2 EHV charges'!$D:$O,10,FALSE)),"")</f>
        <v/>
      </c>
      <c r="G114" s="91" t="str">
        <f>IFERROR(IF(VLOOKUP($A114,'Annex 2 EHV charges'!$D:$O,11,FALSE)=0,"",VLOOKUP($A114,'Annex 2 EHV charges'!$D:$O,11,FALSE)),"")</f>
        <v/>
      </c>
      <c r="H114" s="91" t="str">
        <f>IFERROR(IF(VLOOKUP($A114,'Annex 2 EHV charges'!$D:$O,12,FALSE)=0,"",VLOOKUP($A114,'Annex 2 EHV charges'!$D:$O,12,FALSE)),"")</f>
        <v/>
      </c>
      <c r="I114" s="42" t="str">
        <f>IF(VLOOKUP(C114,'Annex 2 EHV charges'!$F$11:$P$157,11,FALSE)&lt;=5,"",VLOOKUP(C114,'Annex 2 EHV charges'!$F$11:$P$157,11,FALSE))</f>
        <v/>
      </c>
    </row>
    <row r="115" spans="1:9" ht="12.75" customHeight="1" x14ac:dyDescent="0.35">
      <c r="A115" s="88" t="str">
        <f t="array" ref="A115">IFERROR(INDEX('Annex 2 EHV charges'!$D$11:$D$260, MATCH(0, IF(ISBLANK('Annex 2 EHV charges'!$D$11:$D$260),1, COUNTIF(A$4:$A114, 'Annex 2 EHV charges'!$D$11:$D$260)), 0)),"")</f>
        <v/>
      </c>
      <c r="B115" s="87" t="str">
        <f>IF($A115="","",VLOOKUP($A115,'Annex 2 EHV charges'!$D:$O,2,0))</f>
        <v/>
      </c>
      <c r="C115" s="88" t="str">
        <f>IF($A115="","",VLOOKUP($A115,'Annex 2 EHV charges'!$D:$O,3,0))</f>
        <v/>
      </c>
      <c r="D115" s="87" t="str">
        <f>IF($A115="","",VLOOKUP($A115,'Annex 2 EHV charges'!$D:$O,4,0))</f>
        <v/>
      </c>
      <c r="E115" s="89" t="str">
        <f>IFERROR(IF(VLOOKUP($A115,'Annex 2 EHV charges'!$D:$O,9,FALSE)=0,"",VLOOKUP($A115,'Annex 2 EHV charges'!$D:$O,9,FALSE)),"")</f>
        <v/>
      </c>
      <c r="F115" s="90" t="str">
        <f>IFERROR(IF(VLOOKUP($A115,'Annex 2 EHV charges'!$D:$O,10,FALSE)=0,"",VLOOKUP($A115,'Annex 2 EHV charges'!$D:$O,10,FALSE)),"")</f>
        <v/>
      </c>
      <c r="G115" s="91" t="str">
        <f>IFERROR(IF(VLOOKUP($A115,'Annex 2 EHV charges'!$D:$O,11,FALSE)=0,"",VLOOKUP($A115,'Annex 2 EHV charges'!$D:$O,11,FALSE)),"")</f>
        <v/>
      </c>
      <c r="H115" s="91" t="str">
        <f>IFERROR(IF(VLOOKUP($A115,'Annex 2 EHV charges'!$D:$O,12,FALSE)=0,"",VLOOKUP($A115,'Annex 2 EHV charges'!$D:$O,12,FALSE)),"")</f>
        <v/>
      </c>
      <c r="I115" s="42" t="str">
        <f>IF(VLOOKUP(C115,'Annex 2 EHV charges'!$F$11:$P$157,11,FALSE)&lt;=5,"",VLOOKUP(C115,'Annex 2 EHV charges'!$F$11:$P$157,11,FALSE))</f>
        <v/>
      </c>
    </row>
    <row r="116" spans="1:9" ht="12.75" customHeight="1" x14ac:dyDescent="0.35">
      <c r="A116" s="88" t="str">
        <f t="array" ref="A116">IFERROR(INDEX('Annex 2 EHV charges'!$D$11:$D$260, MATCH(0, IF(ISBLANK('Annex 2 EHV charges'!$D$11:$D$260),1, COUNTIF(A$4:$A115, 'Annex 2 EHV charges'!$D$11:$D$260)), 0)),"")</f>
        <v/>
      </c>
      <c r="B116" s="87" t="str">
        <f>IF($A116="","",VLOOKUP($A116,'Annex 2 EHV charges'!$D:$O,2,0))</f>
        <v/>
      </c>
      <c r="C116" s="88" t="str">
        <f>IF($A116="","",VLOOKUP($A116,'Annex 2 EHV charges'!$D:$O,3,0))</f>
        <v/>
      </c>
      <c r="D116" s="87" t="str">
        <f>IF($A116="","",VLOOKUP($A116,'Annex 2 EHV charges'!$D:$O,4,0))</f>
        <v/>
      </c>
      <c r="E116" s="89" t="str">
        <f>IFERROR(IF(VLOOKUP($A116,'Annex 2 EHV charges'!$D:$O,9,FALSE)=0,"",VLOOKUP($A116,'Annex 2 EHV charges'!$D:$O,9,FALSE)),"")</f>
        <v/>
      </c>
      <c r="F116" s="90" t="str">
        <f>IFERROR(IF(VLOOKUP($A116,'Annex 2 EHV charges'!$D:$O,10,FALSE)=0,"",VLOOKUP($A116,'Annex 2 EHV charges'!$D:$O,10,FALSE)),"")</f>
        <v/>
      </c>
      <c r="G116" s="91" t="str">
        <f>IFERROR(IF(VLOOKUP($A116,'Annex 2 EHV charges'!$D:$O,11,FALSE)=0,"",VLOOKUP($A116,'Annex 2 EHV charges'!$D:$O,11,FALSE)),"")</f>
        <v/>
      </c>
      <c r="H116" s="91" t="str">
        <f>IFERROR(IF(VLOOKUP($A116,'Annex 2 EHV charges'!$D:$O,12,FALSE)=0,"",VLOOKUP($A116,'Annex 2 EHV charges'!$D:$O,12,FALSE)),"")</f>
        <v/>
      </c>
    </row>
    <row r="117" spans="1:9" ht="12.75" customHeight="1" x14ac:dyDescent="0.35">
      <c r="A117" s="88" t="str">
        <f t="array" ref="A117">IFERROR(INDEX('Annex 2 EHV charges'!$D$11:$D$260, MATCH(0, IF(ISBLANK('Annex 2 EHV charges'!$D$11:$D$260),1, COUNTIF(A$4:$A116, 'Annex 2 EHV charges'!$D$11:$D$260)), 0)),"")</f>
        <v/>
      </c>
      <c r="B117" s="87" t="str">
        <f>IF($A117="","",VLOOKUP($A117,'Annex 2 EHV charges'!$D:$O,2,0))</f>
        <v/>
      </c>
      <c r="C117" s="88" t="str">
        <f>IF($A117="","",VLOOKUP($A117,'Annex 2 EHV charges'!$D:$O,3,0))</f>
        <v/>
      </c>
      <c r="D117" s="87" t="str">
        <f>IF($A117="","",VLOOKUP($A117,'Annex 2 EHV charges'!$D:$O,4,0))</f>
        <v/>
      </c>
      <c r="E117" s="89" t="str">
        <f>IFERROR(IF(VLOOKUP($A117,'Annex 2 EHV charges'!$D:$O,9,FALSE)=0,"",VLOOKUP($A117,'Annex 2 EHV charges'!$D:$O,9,FALSE)),"")</f>
        <v/>
      </c>
      <c r="F117" s="90" t="str">
        <f>IFERROR(IF(VLOOKUP($A117,'Annex 2 EHV charges'!$D:$O,10,FALSE)=0,"",VLOOKUP($A117,'Annex 2 EHV charges'!$D:$O,10,FALSE)),"")</f>
        <v/>
      </c>
      <c r="G117" s="91" t="str">
        <f>IFERROR(IF(VLOOKUP($A117,'Annex 2 EHV charges'!$D:$O,11,FALSE)=0,"",VLOOKUP($A117,'Annex 2 EHV charges'!$D:$O,11,FALSE)),"")</f>
        <v/>
      </c>
      <c r="H117" s="91" t="str">
        <f>IFERROR(IF(VLOOKUP($A117,'Annex 2 EHV charges'!$D:$O,12,FALSE)=0,"",VLOOKUP($A117,'Annex 2 EHV charges'!$D:$O,12,FALSE)),"")</f>
        <v/>
      </c>
    </row>
    <row r="118" spans="1:9" ht="12.75" customHeight="1" x14ac:dyDescent="0.35">
      <c r="A118" s="88" t="str">
        <f t="array" ref="A118">IFERROR(INDEX('Annex 2 EHV charges'!$D$11:$D$260, MATCH(0, IF(ISBLANK('Annex 2 EHV charges'!$D$11:$D$260),1, COUNTIF(A$4:$A117, 'Annex 2 EHV charges'!$D$11:$D$260)), 0)),"")</f>
        <v/>
      </c>
      <c r="B118" s="87" t="str">
        <f>IF($A118="","",VLOOKUP($A118,'Annex 2 EHV charges'!$D:$O,2,0))</f>
        <v/>
      </c>
      <c r="C118" s="88" t="str">
        <f>IF($A118="","",VLOOKUP($A118,'Annex 2 EHV charges'!$D:$O,3,0))</f>
        <v/>
      </c>
      <c r="D118" s="87" t="str">
        <f>IF($A118="","",VLOOKUP($A118,'Annex 2 EHV charges'!$D:$O,4,0))</f>
        <v/>
      </c>
      <c r="E118" s="89" t="str">
        <f>IFERROR(IF(VLOOKUP($A118,'Annex 2 EHV charges'!$D:$O,9,FALSE)=0,"",VLOOKUP($A118,'Annex 2 EHV charges'!$D:$O,9,FALSE)),"")</f>
        <v/>
      </c>
      <c r="F118" s="90" t="str">
        <f>IFERROR(IF(VLOOKUP($A118,'Annex 2 EHV charges'!$D:$O,10,FALSE)=0,"",VLOOKUP($A118,'Annex 2 EHV charges'!$D:$O,10,FALSE)),"")</f>
        <v/>
      </c>
      <c r="G118" s="91" t="str">
        <f>IFERROR(IF(VLOOKUP($A118,'Annex 2 EHV charges'!$D:$O,11,FALSE)=0,"",VLOOKUP($A118,'Annex 2 EHV charges'!$D:$O,11,FALSE)),"")</f>
        <v/>
      </c>
      <c r="H118" s="91" t="str">
        <f>IFERROR(IF(VLOOKUP($A118,'Annex 2 EHV charges'!$D:$O,12,FALSE)=0,"",VLOOKUP($A118,'Annex 2 EHV charges'!$D:$O,12,FALSE)),"")</f>
        <v/>
      </c>
    </row>
    <row r="119" spans="1:9" ht="12.75" customHeight="1" x14ac:dyDescent="0.35">
      <c r="A119" s="88" t="str">
        <f t="array" ref="A119">IFERROR(INDEX('Annex 2 EHV charges'!$D$11:$D$260, MATCH(0, IF(ISBLANK('Annex 2 EHV charges'!$D$11:$D$260),1, COUNTIF(A$4:$A118, 'Annex 2 EHV charges'!$D$11:$D$260)), 0)),"")</f>
        <v/>
      </c>
      <c r="B119" s="87" t="str">
        <f>IF($A119="","",VLOOKUP($A119,'Annex 2 EHV charges'!$D:$O,2,0))</f>
        <v/>
      </c>
      <c r="C119" s="88" t="str">
        <f>IF($A119="","",VLOOKUP($A119,'Annex 2 EHV charges'!$D:$O,3,0))</f>
        <v/>
      </c>
      <c r="D119" s="87" t="str">
        <f>IF($A119="","",VLOOKUP($A119,'Annex 2 EHV charges'!$D:$O,4,0))</f>
        <v/>
      </c>
      <c r="E119" s="89" t="str">
        <f>IFERROR(IF(VLOOKUP($A119,'Annex 2 EHV charges'!$D:$O,9,FALSE)=0,"",VLOOKUP($A119,'Annex 2 EHV charges'!$D:$O,9,FALSE)),"")</f>
        <v/>
      </c>
      <c r="F119" s="90" t="str">
        <f>IFERROR(IF(VLOOKUP($A119,'Annex 2 EHV charges'!$D:$O,10,FALSE)=0,"",VLOOKUP($A119,'Annex 2 EHV charges'!$D:$O,10,FALSE)),"")</f>
        <v/>
      </c>
      <c r="G119" s="91" t="str">
        <f>IFERROR(IF(VLOOKUP($A119,'Annex 2 EHV charges'!$D:$O,11,FALSE)=0,"",VLOOKUP($A119,'Annex 2 EHV charges'!$D:$O,11,FALSE)),"")</f>
        <v/>
      </c>
      <c r="H119" s="91" t="str">
        <f>IFERROR(IF(VLOOKUP($A119,'Annex 2 EHV charges'!$D:$O,12,FALSE)=0,"",VLOOKUP($A119,'Annex 2 EHV charges'!$D:$O,12,FALSE)),"")</f>
        <v/>
      </c>
    </row>
    <row r="120" spans="1:9" ht="12.75" customHeight="1" x14ac:dyDescent="0.35">
      <c r="A120" s="88" t="str">
        <f t="array" ref="A120">IFERROR(INDEX('Annex 2 EHV charges'!$D$11:$D$260, MATCH(0, IF(ISBLANK('Annex 2 EHV charges'!$D$11:$D$260),1, COUNTIF(A$4:$A119, 'Annex 2 EHV charges'!$D$11:$D$260)), 0)),"")</f>
        <v/>
      </c>
      <c r="B120" s="87" t="str">
        <f>IF($A120="","",VLOOKUP($A120,'Annex 2 EHV charges'!$D:$O,2,0))</f>
        <v/>
      </c>
      <c r="C120" s="88" t="str">
        <f>IF($A120="","",VLOOKUP($A120,'Annex 2 EHV charges'!$D:$O,3,0))</f>
        <v/>
      </c>
      <c r="D120" s="87" t="str">
        <f>IF($A120="","",VLOOKUP($A120,'Annex 2 EHV charges'!$D:$O,4,0))</f>
        <v/>
      </c>
      <c r="E120" s="89" t="str">
        <f>IFERROR(IF(VLOOKUP($A120,'Annex 2 EHV charges'!$D:$O,9,FALSE)=0,"",VLOOKUP($A120,'Annex 2 EHV charges'!$D:$O,9,FALSE)),"")</f>
        <v/>
      </c>
      <c r="F120" s="90" t="str">
        <f>IFERROR(IF(VLOOKUP($A120,'Annex 2 EHV charges'!$D:$O,10,FALSE)=0,"",VLOOKUP($A120,'Annex 2 EHV charges'!$D:$O,10,FALSE)),"")</f>
        <v/>
      </c>
      <c r="G120" s="91" t="str">
        <f>IFERROR(IF(VLOOKUP($A120,'Annex 2 EHV charges'!$D:$O,11,FALSE)=0,"",VLOOKUP($A120,'Annex 2 EHV charges'!$D:$O,11,FALSE)),"")</f>
        <v/>
      </c>
      <c r="H120" s="91" t="str">
        <f>IFERROR(IF(VLOOKUP($A120,'Annex 2 EHV charges'!$D:$O,12,FALSE)=0,"",VLOOKUP($A120,'Annex 2 EHV charges'!$D:$O,12,FALSE)),"")</f>
        <v/>
      </c>
    </row>
    <row r="121" spans="1:9" ht="12.75" customHeight="1" x14ac:dyDescent="0.35">
      <c r="A121" s="88" t="str">
        <f t="array" ref="A121">IFERROR(INDEX('Annex 2 EHV charges'!$D$11:$D$260, MATCH(0, IF(ISBLANK('Annex 2 EHV charges'!$D$11:$D$260),1, COUNTIF(A$4:$A120, 'Annex 2 EHV charges'!$D$11:$D$260)), 0)),"")</f>
        <v/>
      </c>
      <c r="B121" s="87" t="str">
        <f>IF($A121="","",VLOOKUP($A121,'Annex 2 EHV charges'!$D:$O,2,0))</f>
        <v/>
      </c>
      <c r="C121" s="88" t="str">
        <f>IF($A121="","",VLOOKUP($A121,'Annex 2 EHV charges'!$D:$O,3,0))</f>
        <v/>
      </c>
      <c r="D121" s="87" t="str">
        <f>IF($A121="","",VLOOKUP($A121,'Annex 2 EHV charges'!$D:$O,4,0))</f>
        <v/>
      </c>
      <c r="E121" s="89" t="str">
        <f>IFERROR(IF(VLOOKUP($A121,'Annex 2 EHV charges'!$D:$O,9,FALSE)=0,"",VLOOKUP($A121,'Annex 2 EHV charges'!$D:$O,9,FALSE)),"")</f>
        <v/>
      </c>
      <c r="F121" s="90" t="str">
        <f>IFERROR(IF(VLOOKUP($A121,'Annex 2 EHV charges'!$D:$O,10,FALSE)=0,"",VLOOKUP($A121,'Annex 2 EHV charges'!$D:$O,10,FALSE)),"")</f>
        <v/>
      </c>
      <c r="G121" s="91" t="str">
        <f>IFERROR(IF(VLOOKUP($A121,'Annex 2 EHV charges'!$D:$O,11,FALSE)=0,"",VLOOKUP($A121,'Annex 2 EHV charges'!$D:$O,11,FALSE)),"")</f>
        <v/>
      </c>
      <c r="H121" s="91" t="str">
        <f>IFERROR(IF(VLOOKUP($A121,'Annex 2 EHV charges'!$D:$O,12,FALSE)=0,"",VLOOKUP($A121,'Annex 2 EHV charges'!$D:$O,12,FALSE)),"")</f>
        <v/>
      </c>
    </row>
    <row r="122" spans="1:9" ht="12.75" customHeight="1" x14ac:dyDescent="0.35">
      <c r="A122" s="88" t="str">
        <f t="array" ref="A122">IFERROR(INDEX('Annex 2 EHV charges'!$D$11:$D$260, MATCH(0, IF(ISBLANK('Annex 2 EHV charges'!$D$11:$D$260),1, COUNTIF(A$4:$A121, 'Annex 2 EHV charges'!$D$11:$D$260)), 0)),"")</f>
        <v/>
      </c>
      <c r="B122" s="87" t="str">
        <f>IF($A122="","",VLOOKUP($A122,'Annex 2 EHV charges'!$D:$O,2,0))</f>
        <v/>
      </c>
      <c r="C122" s="88" t="str">
        <f>IF($A122="","",VLOOKUP($A122,'Annex 2 EHV charges'!$D:$O,3,0))</f>
        <v/>
      </c>
      <c r="D122" s="87" t="str">
        <f>IF($A122="","",VLOOKUP($A122,'Annex 2 EHV charges'!$D:$O,4,0))</f>
        <v/>
      </c>
      <c r="E122" s="89" t="str">
        <f>IFERROR(IF(VLOOKUP($A122,'Annex 2 EHV charges'!$D:$O,9,FALSE)=0,"",VLOOKUP($A122,'Annex 2 EHV charges'!$D:$O,9,FALSE)),"")</f>
        <v/>
      </c>
      <c r="F122" s="90" t="str">
        <f>IFERROR(IF(VLOOKUP($A122,'Annex 2 EHV charges'!$D:$O,10,FALSE)=0,"",VLOOKUP($A122,'Annex 2 EHV charges'!$D:$O,10,FALSE)),"")</f>
        <v/>
      </c>
      <c r="G122" s="91" t="str">
        <f>IFERROR(IF(VLOOKUP($A122,'Annex 2 EHV charges'!$D:$O,11,FALSE)=0,"",VLOOKUP($A122,'Annex 2 EHV charges'!$D:$O,11,FALSE)),"")</f>
        <v/>
      </c>
      <c r="H122" s="91" t="str">
        <f>IFERROR(IF(VLOOKUP($A122,'Annex 2 EHV charges'!$D:$O,12,FALSE)=0,"",VLOOKUP($A122,'Annex 2 EHV charges'!$D:$O,12,FALSE)),"")</f>
        <v/>
      </c>
    </row>
    <row r="123" spans="1:9" ht="12.75" customHeight="1" x14ac:dyDescent="0.35">
      <c r="A123" s="88" t="str">
        <f t="array" ref="A123">IFERROR(INDEX('Annex 2 EHV charges'!$D$11:$D$260, MATCH(0, IF(ISBLANK('Annex 2 EHV charges'!$D$11:$D$260),1, COUNTIF(A$4:$A122, 'Annex 2 EHV charges'!$D$11:$D$260)), 0)),"")</f>
        <v/>
      </c>
      <c r="B123" s="87" t="str">
        <f>IF($A123="","",VLOOKUP($A123,'Annex 2 EHV charges'!$D:$O,2,0))</f>
        <v/>
      </c>
      <c r="C123" s="88" t="str">
        <f>IF($A123="","",VLOOKUP($A123,'Annex 2 EHV charges'!$D:$O,3,0))</f>
        <v/>
      </c>
      <c r="D123" s="87" t="str">
        <f>IF($A123="","",VLOOKUP($A123,'Annex 2 EHV charges'!$D:$O,4,0))</f>
        <v/>
      </c>
      <c r="E123" s="89" t="str">
        <f>IFERROR(IF(VLOOKUP($A123,'Annex 2 EHV charges'!$D:$O,9,FALSE)=0,"",VLOOKUP($A123,'Annex 2 EHV charges'!$D:$O,9,FALSE)),"")</f>
        <v/>
      </c>
      <c r="F123" s="90" t="str">
        <f>IFERROR(IF(VLOOKUP($A123,'Annex 2 EHV charges'!$D:$O,10,FALSE)=0,"",VLOOKUP($A123,'Annex 2 EHV charges'!$D:$O,10,FALSE)),"")</f>
        <v/>
      </c>
      <c r="G123" s="91" t="str">
        <f>IFERROR(IF(VLOOKUP($A123,'Annex 2 EHV charges'!$D:$O,11,FALSE)=0,"",VLOOKUP($A123,'Annex 2 EHV charges'!$D:$O,11,FALSE)),"")</f>
        <v/>
      </c>
      <c r="H123" s="91" t="str">
        <f>IFERROR(IF(VLOOKUP($A123,'Annex 2 EHV charges'!$D:$O,12,FALSE)=0,"",VLOOKUP($A123,'Annex 2 EHV charges'!$D:$O,12,FALSE)),"")</f>
        <v/>
      </c>
    </row>
    <row r="124" spans="1:9" ht="12.75" customHeight="1" x14ac:dyDescent="0.35">
      <c r="A124" s="88" t="str">
        <f t="array" ref="A124">IFERROR(INDEX('Annex 2 EHV charges'!$D$11:$D$260, MATCH(0, IF(ISBLANK('Annex 2 EHV charges'!$D$11:$D$260),1, COUNTIF(A$4:$A123, 'Annex 2 EHV charges'!$D$11:$D$260)), 0)),"")</f>
        <v/>
      </c>
      <c r="B124" s="87" t="str">
        <f>IF($A124="","",VLOOKUP($A124,'Annex 2 EHV charges'!$D:$O,2,0))</f>
        <v/>
      </c>
      <c r="C124" s="88" t="str">
        <f>IF($A124="","",VLOOKUP($A124,'Annex 2 EHV charges'!$D:$O,3,0))</f>
        <v/>
      </c>
      <c r="D124" s="87" t="str">
        <f>IF($A124="","",VLOOKUP($A124,'Annex 2 EHV charges'!$D:$O,4,0))</f>
        <v/>
      </c>
      <c r="E124" s="89" t="str">
        <f>IFERROR(IF(VLOOKUP($A124,'Annex 2 EHV charges'!$D:$O,9,FALSE)=0,"",VLOOKUP($A124,'Annex 2 EHV charges'!$D:$O,9,FALSE)),"")</f>
        <v/>
      </c>
      <c r="F124" s="90" t="str">
        <f>IFERROR(IF(VLOOKUP($A124,'Annex 2 EHV charges'!$D:$O,10,FALSE)=0,"",VLOOKUP($A124,'Annex 2 EHV charges'!$D:$O,10,FALSE)),"")</f>
        <v/>
      </c>
      <c r="G124" s="91" t="str">
        <f>IFERROR(IF(VLOOKUP($A124,'Annex 2 EHV charges'!$D:$O,11,FALSE)=0,"",VLOOKUP($A124,'Annex 2 EHV charges'!$D:$O,11,FALSE)),"")</f>
        <v/>
      </c>
      <c r="H124" s="91" t="str">
        <f>IFERROR(IF(VLOOKUP($A124,'Annex 2 EHV charges'!$D:$O,12,FALSE)=0,"",VLOOKUP($A124,'Annex 2 EHV charges'!$D:$O,12,FALSE)),"")</f>
        <v/>
      </c>
    </row>
    <row r="125" spans="1:9" ht="12.75" customHeight="1" x14ac:dyDescent="0.35">
      <c r="A125" s="88" t="str">
        <f t="array" ref="A125">IFERROR(INDEX('Annex 2 EHV charges'!$D$11:$D$260, MATCH(0, IF(ISBLANK('Annex 2 EHV charges'!$D$11:$D$260),1, COUNTIF(A$4:$A124, 'Annex 2 EHV charges'!$D$11:$D$260)), 0)),"")</f>
        <v/>
      </c>
      <c r="B125" s="87" t="str">
        <f>IF($A125="","",VLOOKUP($A125,'Annex 2 EHV charges'!$D:$O,2,0))</f>
        <v/>
      </c>
      <c r="C125" s="88" t="str">
        <f>IF($A125="","",VLOOKUP($A125,'Annex 2 EHV charges'!$D:$O,3,0))</f>
        <v/>
      </c>
      <c r="D125" s="87" t="str">
        <f>IF($A125="","",VLOOKUP($A125,'Annex 2 EHV charges'!$D:$O,4,0))</f>
        <v/>
      </c>
      <c r="E125" s="89" t="str">
        <f>IFERROR(IF(VLOOKUP($A125,'Annex 2 EHV charges'!$D:$O,9,FALSE)=0,"",VLOOKUP($A125,'Annex 2 EHV charges'!$D:$O,9,FALSE)),"")</f>
        <v/>
      </c>
      <c r="F125" s="90" t="str">
        <f>IFERROR(IF(VLOOKUP($A125,'Annex 2 EHV charges'!$D:$O,10,FALSE)=0,"",VLOOKUP($A125,'Annex 2 EHV charges'!$D:$O,10,FALSE)),"")</f>
        <v/>
      </c>
      <c r="G125" s="91" t="str">
        <f>IFERROR(IF(VLOOKUP($A125,'Annex 2 EHV charges'!$D:$O,11,FALSE)=0,"",VLOOKUP($A125,'Annex 2 EHV charges'!$D:$O,11,FALSE)),"")</f>
        <v/>
      </c>
      <c r="H125" s="91" t="str">
        <f>IFERROR(IF(VLOOKUP($A125,'Annex 2 EHV charges'!$D:$O,12,FALSE)=0,"",VLOOKUP($A125,'Annex 2 EHV charges'!$D:$O,12,FALSE)),"")</f>
        <v/>
      </c>
    </row>
    <row r="126" spans="1:9" ht="12.75" customHeight="1" x14ac:dyDescent="0.35">
      <c r="A126" s="88" t="str">
        <f t="array" ref="A126">IFERROR(INDEX('Annex 2 EHV charges'!$D$11:$D$260, MATCH(0, IF(ISBLANK('Annex 2 EHV charges'!$D$11:$D$260),1, COUNTIF(A$4:$A125, 'Annex 2 EHV charges'!$D$11:$D$260)), 0)),"")</f>
        <v/>
      </c>
      <c r="B126" s="87" t="str">
        <f>IF($A126="","",VLOOKUP($A126,'Annex 2 EHV charges'!$D:$O,2,0))</f>
        <v/>
      </c>
      <c r="C126" s="88" t="str">
        <f>IF($A126="","",VLOOKUP($A126,'Annex 2 EHV charges'!$D:$O,3,0))</f>
        <v/>
      </c>
      <c r="D126" s="87" t="str">
        <f>IF($A126="","",VLOOKUP($A126,'Annex 2 EHV charges'!$D:$O,4,0))</f>
        <v/>
      </c>
      <c r="E126" s="89" t="str">
        <f>IFERROR(IF(VLOOKUP($A126,'Annex 2 EHV charges'!$D:$O,9,FALSE)=0,"",VLOOKUP($A126,'Annex 2 EHV charges'!$D:$O,9,FALSE)),"")</f>
        <v/>
      </c>
      <c r="F126" s="90" t="str">
        <f>IFERROR(IF(VLOOKUP($A126,'Annex 2 EHV charges'!$D:$O,10,FALSE)=0,"",VLOOKUP($A126,'Annex 2 EHV charges'!$D:$O,10,FALSE)),"")</f>
        <v/>
      </c>
      <c r="G126" s="91" t="str">
        <f>IFERROR(IF(VLOOKUP($A126,'Annex 2 EHV charges'!$D:$O,11,FALSE)=0,"",VLOOKUP($A126,'Annex 2 EHV charges'!$D:$O,11,FALSE)),"")</f>
        <v/>
      </c>
      <c r="H126" s="91" t="str">
        <f>IFERROR(IF(VLOOKUP($A126,'Annex 2 EHV charges'!$D:$O,12,FALSE)=0,"",VLOOKUP($A126,'Annex 2 EHV charges'!$D:$O,12,FALSE)),"")</f>
        <v/>
      </c>
    </row>
    <row r="127" spans="1:9" ht="12.75" customHeight="1" x14ac:dyDescent="0.35">
      <c r="A127" s="88" t="str">
        <f t="array" ref="A127">IFERROR(INDEX('Annex 2 EHV charges'!$D$11:$D$260, MATCH(0, IF(ISBLANK('Annex 2 EHV charges'!$D$11:$D$260),1, COUNTIF(A$4:$A126, 'Annex 2 EHV charges'!$D$11:$D$260)), 0)),"")</f>
        <v/>
      </c>
      <c r="B127" s="87" t="str">
        <f>IF($A127="","",VLOOKUP($A127,'Annex 2 EHV charges'!$D:$O,2,0))</f>
        <v/>
      </c>
      <c r="C127" s="88" t="str">
        <f>IF($A127="","",VLOOKUP($A127,'Annex 2 EHV charges'!$D:$O,3,0))</f>
        <v/>
      </c>
      <c r="D127" s="87" t="str">
        <f>IF($A127="","",VLOOKUP($A127,'Annex 2 EHV charges'!$D:$O,4,0))</f>
        <v/>
      </c>
      <c r="E127" s="89" t="str">
        <f>IFERROR(IF(VLOOKUP($A127,'Annex 2 EHV charges'!$D:$O,9,FALSE)=0,"",VLOOKUP($A127,'Annex 2 EHV charges'!$D:$O,9,FALSE)),"")</f>
        <v/>
      </c>
      <c r="F127" s="90" t="str">
        <f>IFERROR(IF(VLOOKUP($A127,'Annex 2 EHV charges'!$D:$O,10,FALSE)=0,"",VLOOKUP($A127,'Annex 2 EHV charges'!$D:$O,10,FALSE)),"")</f>
        <v/>
      </c>
      <c r="G127" s="91" t="str">
        <f>IFERROR(IF(VLOOKUP($A127,'Annex 2 EHV charges'!$D:$O,11,FALSE)=0,"",VLOOKUP($A127,'Annex 2 EHV charges'!$D:$O,11,FALSE)),"")</f>
        <v/>
      </c>
      <c r="H127" s="91" t="str">
        <f>IFERROR(IF(VLOOKUP($A127,'Annex 2 EHV charges'!$D:$O,12,FALSE)=0,"",VLOOKUP($A127,'Annex 2 EHV charges'!$D:$O,12,FALSE)),"")</f>
        <v/>
      </c>
    </row>
    <row r="128" spans="1:9" ht="12.75" customHeight="1" x14ac:dyDescent="0.35">
      <c r="A128" s="88" t="str">
        <f t="array" ref="A128">IFERROR(INDEX('Annex 2 EHV charges'!$D$11:$D$260, MATCH(0, IF(ISBLANK('Annex 2 EHV charges'!$D$11:$D$260),1, COUNTIF(A$4:$A127, 'Annex 2 EHV charges'!$D$11:$D$260)), 0)),"")</f>
        <v/>
      </c>
      <c r="B128" s="87" t="str">
        <f>IF($A128="","",VLOOKUP($A128,'Annex 2 EHV charges'!$D:$O,2,0))</f>
        <v/>
      </c>
      <c r="C128" s="88" t="str">
        <f>IF($A128="","",VLOOKUP($A128,'Annex 2 EHV charges'!$D:$O,3,0))</f>
        <v/>
      </c>
      <c r="D128" s="87" t="str">
        <f>IF($A128="","",VLOOKUP($A128,'Annex 2 EHV charges'!$D:$O,4,0))</f>
        <v/>
      </c>
      <c r="E128" s="89" t="str">
        <f>IFERROR(IF(VLOOKUP($A128,'Annex 2 EHV charges'!$D:$O,9,FALSE)=0,"",VLOOKUP($A128,'Annex 2 EHV charges'!$D:$O,9,FALSE)),"")</f>
        <v/>
      </c>
      <c r="F128" s="90" t="str">
        <f>IFERROR(IF(VLOOKUP($A128,'Annex 2 EHV charges'!$D:$O,10,FALSE)=0,"",VLOOKUP($A128,'Annex 2 EHV charges'!$D:$O,10,FALSE)),"")</f>
        <v/>
      </c>
      <c r="G128" s="91" t="str">
        <f>IFERROR(IF(VLOOKUP($A128,'Annex 2 EHV charges'!$D:$O,11,FALSE)=0,"",VLOOKUP($A128,'Annex 2 EHV charges'!$D:$O,11,FALSE)),"")</f>
        <v/>
      </c>
      <c r="H128" s="91" t="str">
        <f>IFERROR(IF(VLOOKUP($A128,'Annex 2 EHV charges'!$D:$O,12,FALSE)=0,"",VLOOKUP($A128,'Annex 2 EHV charges'!$D:$O,12,FALSE)),"")</f>
        <v/>
      </c>
    </row>
    <row r="129" spans="1:8" ht="12.75" customHeight="1" x14ac:dyDescent="0.35">
      <c r="A129" s="88" t="str">
        <f t="array" ref="A129">IFERROR(INDEX('Annex 2 EHV charges'!$D$11:$D$260, MATCH(0, IF(ISBLANK('Annex 2 EHV charges'!$D$11:$D$260),1, COUNTIF(A$4:$A128, 'Annex 2 EHV charges'!$D$11:$D$260)), 0)),"")</f>
        <v/>
      </c>
      <c r="B129" s="87" t="str">
        <f>IF($A129="","",VLOOKUP($A129,'Annex 2 EHV charges'!$D:$O,2,0))</f>
        <v/>
      </c>
      <c r="C129" s="88" t="str">
        <f>IF($A129="","",VLOOKUP($A129,'Annex 2 EHV charges'!$D:$O,3,0))</f>
        <v/>
      </c>
      <c r="D129" s="87" t="str">
        <f>IF($A129="","",VLOOKUP($A129,'Annex 2 EHV charges'!$D:$O,4,0))</f>
        <v/>
      </c>
      <c r="E129" s="89" t="str">
        <f>IFERROR(IF(VLOOKUP($A129,'Annex 2 EHV charges'!$D:$O,9,FALSE)=0,"",VLOOKUP($A129,'Annex 2 EHV charges'!$D:$O,9,FALSE)),"")</f>
        <v/>
      </c>
      <c r="F129" s="90" t="str">
        <f>IFERROR(IF(VLOOKUP($A129,'Annex 2 EHV charges'!$D:$O,10,FALSE)=0,"",VLOOKUP($A129,'Annex 2 EHV charges'!$D:$O,10,FALSE)),"")</f>
        <v/>
      </c>
      <c r="G129" s="91" t="str">
        <f>IFERROR(IF(VLOOKUP($A129,'Annex 2 EHV charges'!$D:$O,11,FALSE)=0,"",VLOOKUP($A129,'Annex 2 EHV charges'!$D:$O,11,FALSE)),"")</f>
        <v/>
      </c>
      <c r="H129" s="91" t="str">
        <f>IFERROR(IF(VLOOKUP($A129,'Annex 2 EHV charges'!$D:$O,12,FALSE)=0,"",VLOOKUP($A129,'Annex 2 EHV charges'!$D:$O,12,FALSE)),"")</f>
        <v/>
      </c>
    </row>
    <row r="130" spans="1:8" ht="12.75" customHeight="1" x14ac:dyDescent="0.35">
      <c r="A130" s="88" t="str">
        <f t="array" ref="A130">IFERROR(INDEX('Annex 2 EHV charges'!$D$11:$D$260, MATCH(0, IF(ISBLANK('Annex 2 EHV charges'!$D$11:$D$260),1, COUNTIF(A$4:$A129, 'Annex 2 EHV charges'!$D$11:$D$260)), 0)),"")</f>
        <v/>
      </c>
      <c r="B130" s="87" t="str">
        <f>IF($A130="","",VLOOKUP($A130,'Annex 2 EHV charges'!$D:$O,2,0))</f>
        <v/>
      </c>
      <c r="C130" s="88" t="str">
        <f>IF($A130="","",VLOOKUP($A130,'Annex 2 EHV charges'!$D:$O,3,0))</f>
        <v/>
      </c>
      <c r="D130" s="87" t="str">
        <f>IF($A130="","",VLOOKUP($A130,'Annex 2 EHV charges'!$D:$O,4,0))</f>
        <v/>
      </c>
      <c r="E130" s="89" t="str">
        <f>IFERROR(IF(VLOOKUP($A130,'Annex 2 EHV charges'!$D:$O,9,FALSE)=0,"",VLOOKUP($A130,'Annex 2 EHV charges'!$D:$O,9,FALSE)),"")</f>
        <v/>
      </c>
      <c r="F130" s="90" t="str">
        <f>IFERROR(IF(VLOOKUP($A130,'Annex 2 EHV charges'!$D:$O,10,FALSE)=0,"",VLOOKUP($A130,'Annex 2 EHV charges'!$D:$O,10,FALSE)),"")</f>
        <v/>
      </c>
      <c r="G130" s="91" t="str">
        <f>IFERROR(IF(VLOOKUP($A130,'Annex 2 EHV charges'!$D:$O,11,FALSE)=0,"",VLOOKUP($A130,'Annex 2 EHV charges'!$D:$O,11,FALSE)),"")</f>
        <v/>
      </c>
      <c r="H130" s="91" t="str">
        <f>IFERROR(IF(VLOOKUP($A130,'Annex 2 EHV charges'!$D:$O,12,FALSE)=0,"",VLOOKUP($A130,'Annex 2 EHV charges'!$D:$O,12,FALSE)),"")</f>
        <v/>
      </c>
    </row>
    <row r="131" spans="1:8" ht="12.75" customHeight="1" x14ac:dyDescent="0.35">
      <c r="A131" s="88" t="str">
        <f t="array" ref="A131">IFERROR(INDEX('Annex 2 EHV charges'!$D$11:$D$260, MATCH(0, IF(ISBLANK('Annex 2 EHV charges'!$D$11:$D$260),1, COUNTIF(A$4:$A130, 'Annex 2 EHV charges'!$D$11:$D$260)), 0)),"")</f>
        <v/>
      </c>
      <c r="B131" s="87" t="str">
        <f>IF($A131="","",VLOOKUP($A131,'Annex 2 EHV charges'!$D:$O,2,0))</f>
        <v/>
      </c>
      <c r="C131" s="88" t="str">
        <f>IF($A131="","",VLOOKUP($A131,'Annex 2 EHV charges'!$D:$O,3,0))</f>
        <v/>
      </c>
      <c r="D131" s="87" t="str">
        <f>IF($A131="","",VLOOKUP($A131,'Annex 2 EHV charges'!$D:$O,4,0))</f>
        <v/>
      </c>
      <c r="E131" s="89" t="str">
        <f>IFERROR(IF(VLOOKUP($A131,'Annex 2 EHV charges'!$D:$O,9,FALSE)=0,"",VLOOKUP($A131,'Annex 2 EHV charges'!$D:$O,9,FALSE)),"")</f>
        <v/>
      </c>
      <c r="F131" s="90" t="str">
        <f>IFERROR(IF(VLOOKUP($A131,'Annex 2 EHV charges'!$D:$O,10,FALSE)=0,"",VLOOKUP($A131,'Annex 2 EHV charges'!$D:$O,10,FALSE)),"")</f>
        <v/>
      </c>
      <c r="G131" s="91" t="str">
        <f>IFERROR(IF(VLOOKUP($A131,'Annex 2 EHV charges'!$D:$O,11,FALSE)=0,"",VLOOKUP($A131,'Annex 2 EHV charges'!$D:$O,11,FALSE)),"")</f>
        <v/>
      </c>
      <c r="H131" s="91" t="str">
        <f>IFERROR(IF(VLOOKUP($A131,'Annex 2 EHV charges'!$D:$O,12,FALSE)=0,"",VLOOKUP($A131,'Annex 2 EHV charges'!$D:$O,12,FALSE)),"")</f>
        <v/>
      </c>
    </row>
    <row r="132" spans="1:8" ht="12.75" customHeight="1" x14ac:dyDescent="0.35">
      <c r="A132" s="88" t="str">
        <f t="array" ref="A132">IFERROR(INDEX('Annex 2 EHV charges'!$D$11:$D$260, MATCH(0, IF(ISBLANK('Annex 2 EHV charges'!$D$11:$D$260),1, COUNTIF(A$4:$A131, 'Annex 2 EHV charges'!$D$11:$D$260)), 0)),"")</f>
        <v/>
      </c>
      <c r="B132" s="87" t="str">
        <f>IF($A132="","",VLOOKUP($A132,'Annex 2 EHV charges'!$D:$O,2,0))</f>
        <v/>
      </c>
      <c r="C132" s="88" t="str">
        <f>IF($A132="","",VLOOKUP($A132,'Annex 2 EHV charges'!$D:$O,3,0))</f>
        <v/>
      </c>
      <c r="D132" s="87" t="str">
        <f>IF($A132="","",VLOOKUP($A132,'Annex 2 EHV charges'!$D:$O,4,0))</f>
        <v/>
      </c>
      <c r="E132" s="89" t="str">
        <f>IFERROR(IF(VLOOKUP($A132,'Annex 2 EHV charges'!$D:$O,9,FALSE)=0,"",VLOOKUP($A132,'Annex 2 EHV charges'!$D:$O,9,FALSE)),"")</f>
        <v/>
      </c>
      <c r="F132" s="90" t="str">
        <f>IFERROR(IF(VLOOKUP($A132,'Annex 2 EHV charges'!$D:$O,10,FALSE)=0,"",VLOOKUP($A132,'Annex 2 EHV charges'!$D:$O,10,FALSE)),"")</f>
        <v/>
      </c>
      <c r="G132" s="91" t="str">
        <f>IFERROR(IF(VLOOKUP($A132,'Annex 2 EHV charges'!$D:$O,11,FALSE)=0,"",VLOOKUP($A132,'Annex 2 EHV charges'!$D:$O,11,FALSE)),"")</f>
        <v/>
      </c>
      <c r="H132" s="91" t="str">
        <f>IFERROR(IF(VLOOKUP($A132,'Annex 2 EHV charges'!$D:$O,12,FALSE)=0,"",VLOOKUP($A132,'Annex 2 EHV charges'!$D:$O,12,FALSE)),"")</f>
        <v/>
      </c>
    </row>
    <row r="133" spans="1:8" ht="12.75" customHeight="1" x14ac:dyDescent="0.35">
      <c r="A133" s="88" t="str">
        <f t="array" ref="A133">IFERROR(INDEX('Annex 2 EHV charges'!$D$11:$D$260, MATCH(0, IF(ISBLANK('Annex 2 EHV charges'!$D$11:$D$260),1, COUNTIF(A$4:$A132, 'Annex 2 EHV charges'!$D$11:$D$260)), 0)),"")</f>
        <v/>
      </c>
      <c r="B133" s="87" t="str">
        <f>IF($A133="","",VLOOKUP($A133,'Annex 2 EHV charges'!$D:$O,2,0))</f>
        <v/>
      </c>
      <c r="C133" s="88" t="str">
        <f>IF($A133="","",VLOOKUP($A133,'Annex 2 EHV charges'!$D:$O,3,0))</f>
        <v/>
      </c>
      <c r="D133" s="87" t="str">
        <f>IF($A133="","",VLOOKUP($A133,'Annex 2 EHV charges'!$D:$O,4,0))</f>
        <v/>
      </c>
      <c r="E133" s="89" t="str">
        <f>IFERROR(IF(VLOOKUP($A133,'Annex 2 EHV charges'!$D:$O,9,FALSE)=0,"",VLOOKUP($A133,'Annex 2 EHV charges'!$D:$O,9,FALSE)),"")</f>
        <v/>
      </c>
      <c r="F133" s="90" t="str">
        <f>IFERROR(IF(VLOOKUP($A133,'Annex 2 EHV charges'!$D:$O,10,FALSE)=0,"",VLOOKUP($A133,'Annex 2 EHV charges'!$D:$O,10,FALSE)),"")</f>
        <v/>
      </c>
      <c r="G133" s="91" t="str">
        <f>IFERROR(IF(VLOOKUP($A133,'Annex 2 EHV charges'!$D:$O,11,FALSE)=0,"",VLOOKUP($A133,'Annex 2 EHV charges'!$D:$O,11,FALSE)),"")</f>
        <v/>
      </c>
      <c r="H133" s="91" t="str">
        <f>IFERROR(IF(VLOOKUP($A133,'Annex 2 EHV charges'!$D:$O,12,FALSE)=0,"",VLOOKUP($A133,'Annex 2 EHV charges'!$D:$O,12,FALSE)),"")</f>
        <v/>
      </c>
    </row>
    <row r="134" spans="1:8" ht="12.75" customHeight="1" x14ac:dyDescent="0.35">
      <c r="A134" s="88" t="str">
        <f t="array" ref="A134">IFERROR(INDEX('Annex 2 EHV charges'!$D$11:$D$260, MATCH(0, IF(ISBLANK('Annex 2 EHV charges'!$D$11:$D$260),1, COUNTIF(A$4:$A133, 'Annex 2 EHV charges'!$D$11:$D$260)), 0)),"")</f>
        <v/>
      </c>
      <c r="B134" s="87" t="str">
        <f>IF($A134="","",VLOOKUP($A134,'Annex 2 EHV charges'!$D:$O,2,0))</f>
        <v/>
      </c>
      <c r="C134" s="88" t="str">
        <f>IF($A134="","",VLOOKUP($A134,'Annex 2 EHV charges'!$D:$O,3,0))</f>
        <v/>
      </c>
      <c r="D134" s="87" t="str">
        <f>IF($A134="","",VLOOKUP($A134,'Annex 2 EHV charges'!$D:$O,4,0))</f>
        <v/>
      </c>
      <c r="E134" s="89" t="str">
        <f>IFERROR(IF(VLOOKUP($A134,'Annex 2 EHV charges'!$D:$O,9,FALSE)=0,"",VLOOKUP($A134,'Annex 2 EHV charges'!$D:$O,9,FALSE)),"")</f>
        <v/>
      </c>
      <c r="F134" s="90" t="str">
        <f>IFERROR(IF(VLOOKUP($A134,'Annex 2 EHV charges'!$D:$O,10,FALSE)=0,"",VLOOKUP($A134,'Annex 2 EHV charges'!$D:$O,10,FALSE)),"")</f>
        <v/>
      </c>
      <c r="G134" s="91" t="str">
        <f>IFERROR(IF(VLOOKUP($A134,'Annex 2 EHV charges'!$D:$O,11,FALSE)=0,"",VLOOKUP($A134,'Annex 2 EHV charges'!$D:$O,11,FALSE)),"")</f>
        <v/>
      </c>
      <c r="H134" s="91" t="str">
        <f>IFERROR(IF(VLOOKUP($A134,'Annex 2 EHV charges'!$D:$O,12,FALSE)=0,"",VLOOKUP($A134,'Annex 2 EHV charges'!$D:$O,12,FALSE)),"")</f>
        <v/>
      </c>
    </row>
    <row r="135" spans="1:8" ht="12.75" customHeight="1" x14ac:dyDescent="0.35">
      <c r="A135" s="88" t="str">
        <f t="array" ref="A135">IFERROR(INDEX('Annex 2 EHV charges'!$D$11:$D$260, MATCH(0, IF(ISBLANK('Annex 2 EHV charges'!$D$11:$D$260),1, COUNTIF(A$4:$A134, 'Annex 2 EHV charges'!$D$11:$D$260)), 0)),"")</f>
        <v/>
      </c>
      <c r="B135" s="87" t="str">
        <f>IF($A135="","",VLOOKUP($A135,'Annex 2 EHV charges'!$D:$O,2,0))</f>
        <v/>
      </c>
      <c r="C135" s="88" t="str">
        <f>IF($A135="","",VLOOKUP($A135,'Annex 2 EHV charges'!$D:$O,3,0))</f>
        <v/>
      </c>
      <c r="D135" s="87" t="str">
        <f>IF($A135="","",VLOOKUP($A135,'Annex 2 EHV charges'!$D:$O,4,0))</f>
        <v/>
      </c>
      <c r="E135" s="89" t="str">
        <f>IFERROR(IF(VLOOKUP($A135,'Annex 2 EHV charges'!$D:$O,9,FALSE)=0,"",VLOOKUP($A135,'Annex 2 EHV charges'!$D:$O,9,FALSE)),"")</f>
        <v/>
      </c>
      <c r="F135" s="90" t="str">
        <f>IFERROR(IF(VLOOKUP($A135,'Annex 2 EHV charges'!$D:$O,10,FALSE)=0,"",VLOOKUP($A135,'Annex 2 EHV charges'!$D:$O,10,FALSE)),"")</f>
        <v/>
      </c>
      <c r="G135" s="91" t="str">
        <f>IFERROR(IF(VLOOKUP($A135,'Annex 2 EHV charges'!$D:$O,11,FALSE)=0,"",VLOOKUP($A135,'Annex 2 EHV charges'!$D:$O,11,FALSE)),"")</f>
        <v/>
      </c>
      <c r="H135" s="91" t="str">
        <f>IFERROR(IF(VLOOKUP($A135,'Annex 2 EHV charges'!$D:$O,12,FALSE)=0,"",VLOOKUP($A135,'Annex 2 EHV charges'!$D:$O,12,FALSE)),"")</f>
        <v/>
      </c>
    </row>
    <row r="136" spans="1:8" ht="12.75" customHeight="1" x14ac:dyDescent="0.35">
      <c r="A136" s="88" t="str">
        <f t="array" ref="A136">IFERROR(INDEX('Annex 2 EHV charges'!$D$11:$D$260, MATCH(0, IF(ISBLANK('Annex 2 EHV charges'!$D$11:$D$260),1, COUNTIF(A$4:$A135, 'Annex 2 EHV charges'!$D$11:$D$260)), 0)),"")</f>
        <v/>
      </c>
      <c r="B136" s="87" t="str">
        <f>IF($A136="","",VLOOKUP($A136,'Annex 2 EHV charges'!$D:$O,2,0))</f>
        <v/>
      </c>
      <c r="C136" s="88" t="str">
        <f>IF($A136="","",VLOOKUP($A136,'Annex 2 EHV charges'!$D:$O,3,0))</f>
        <v/>
      </c>
      <c r="D136" s="87" t="str">
        <f>IF($A136="","",VLOOKUP($A136,'Annex 2 EHV charges'!$D:$O,4,0))</f>
        <v/>
      </c>
      <c r="E136" s="89" t="str">
        <f>IFERROR(IF(VLOOKUP($A136,'Annex 2 EHV charges'!$D:$O,9,FALSE)=0,"",VLOOKUP($A136,'Annex 2 EHV charges'!$D:$O,9,FALSE)),"")</f>
        <v/>
      </c>
      <c r="F136" s="90" t="str">
        <f>IFERROR(IF(VLOOKUP($A136,'Annex 2 EHV charges'!$D:$O,10,FALSE)=0,"",VLOOKUP($A136,'Annex 2 EHV charges'!$D:$O,10,FALSE)),"")</f>
        <v/>
      </c>
      <c r="G136" s="91" t="str">
        <f>IFERROR(IF(VLOOKUP($A136,'Annex 2 EHV charges'!$D:$O,11,FALSE)=0,"",VLOOKUP($A136,'Annex 2 EHV charges'!$D:$O,11,FALSE)),"")</f>
        <v/>
      </c>
      <c r="H136" s="91" t="str">
        <f>IFERROR(IF(VLOOKUP($A136,'Annex 2 EHV charges'!$D:$O,12,FALSE)=0,"",VLOOKUP($A136,'Annex 2 EHV charges'!$D:$O,12,FALSE)),"")</f>
        <v/>
      </c>
    </row>
    <row r="137" spans="1:8" ht="12.75" customHeight="1" x14ac:dyDescent="0.35">
      <c r="A137" s="88" t="str">
        <f t="array" ref="A137">IFERROR(INDEX('Annex 2 EHV charges'!$D$11:$D$260, MATCH(0, IF(ISBLANK('Annex 2 EHV charges'!$D$11:$D$260),1, COUNTIF(A$4:$A136, 'Annex 2 EHV charges'!$D$11:$D$260)), 0)),"")</f>
        <v/>
      </c>
      <c r="B137" s="87" t="str">
        <f>IF($A137="","",VLOOKUP($A137,'Annex 2 EHV charges'!$D:$O,2,0))</f>
        <v/>
      </c>
      <c r="C137" s="88" t="str">
        <f>IF($A137="","",VLOOKUP($A137,'Annex 2 EHV charges'!$D:$O,3,0))</f>
        <v/>
      </c>
      <c r="D137" s="87" t="str">
        <f>IF($A137="","",VLOOKUP($A137,'Annex 2 EHV charges'!$D:$O,4,0))</f>
        <v/>
      </c>
      <c r="E137" s="89" t="str">
        <f>IFERROR(IF(VLOOKUP($A137,'Annex 2 EHV charges'!$D:$O,9,FALSE)=0,"",VLOOKUP($A137,'Annex 2 EHV charges'!$D:$O,9,FALSE)),"")</f>
        <v/>
      </c>
      <c r="F137" s="90" t="str">
        <f>IFERROR(IF(VLOOKUP($A137,'Annex 2 EHV charges'!$D:$O,10,FALSE)=0,"",VLOOKUP($A137,'Annex 2 EHV charges'!$D:$O,10,FALSE)),"")</f>
        <v/>
      </c>
      <c r="G137" s="91" t="str">
        <f>IFERROR(IF(VLOOKUP($A137,'Annex 2 EHV charges'!$D:$O,11,FALSE)=0,"",VLOOKUP($A137,'Annex 2 EHV charges'!$D:$O,11,FALSE)),"")</f>
        <v/>
      </c>
      <c r="H137" s="91" t="str">
        <f>IFERROR(IF(VLOOKUP($A137,'Annex 2 EHV charges'!$D:$O,12,FALSE)=0,"",VLOOKUP($A137,'Annex 2 EHV charges'!$D:$O,12,FALSE)),"")</f>
        <v/>
      </c>
    </row>
    <row r="138" spans="1:8" ht="12.75" customHeight="1" x14ac:dyDescent="0.35">
      <c r="A138" s="88" t="str">
        <f t="array" ref="A138">IFERROR(INDEX('Annex 2 EHV charges'!$D$11:$D$260, MATCH(0, IF(ISBLANK('Annex 2 EHV charges'!$D$11:$D$260),1, COUNTIF(A$4:$A137, 'Annex 2 EHV charges'!$D$11:$D$260)), 0)),"")</f>
        <v/>
      </c>
      <c r="B138" s="87" t="str">
        <f>IF($A138="","",VLOOKUP($A138,'Annex 2 EHV charges'!$D:$O,2,0))</f>
        <v/>
      </c>
      <c r="C138" s="88" t="str">
        <f>IF($A138="","",VLOOKUP($A138,'Annex 2 EHV charges'!$D:$O,3,0))</f>
        <v/>
      </c>
      <c r="D138" s="87" t="str">
        <f>IF($A138="","",VLOOKUP($A138,'Annex 2 EHV charges'!$D:$O,4,0))</f>
        <v/>
      </c>
      <c r="E138" s="89" t="str">
        <f>IFERROR(IF(VLOOKUP($A138,'Annex 2 EHV charges'!$D:$O,9,FALSE)=0,"",VLOOKUP($A138,'Annex 2 EHV charges'!$D:$O,9,FALSE)),"")</f>
        <v/>
      </c>
      <c r="F138" s="90" t="str">
        <f>IFERROR(IF(VLOOKUP($A138,'Annex 2 EHV charges'!$D:$O,10,FALSE)=0,"",VLOOKUP($A138,'Annex 2 EHV charges'!$D:$O,10,FALSE)),"")</f>
        <v/>
      </c>
      <c r="G138" s="91" t="str">
        <f>IFERROR(IF(VLOOKUP($A138,'Annex 2 EHV charges'!$D:$O,11,FALSE)=0,"",VLOOKUP($A138,'Annex 2 EHV charges'!$D:$O,11,FALSE)),"")</f>
        <v/>
      </c>
      <c r="H138" s="91" t="str">
        <f>IFERROR(IF(VLOOKUP($A138,'Annex 2 EHV charges'!$D:$O,12,FALSE)=0,"",VLOOKUP($A138,'Annex 2 EHV charges'!$D:$O,12,FALSE)),"")</f>
        <v/>
      </c>
    </row>
    <row r="139" spans="1:8" ht="12.75" customHeight="1" x14ac:dyDescent="0.35">
      <c r="A139" s="88" t="str">
        <f t="array" ref="A139">IFERROR(INDEX('Annex 2 EHV charges'!$D$11:$D$260, MATCH(0, IF(ISBLANK('Annex 2 EHV charges'!$D$11:$D$260),1, COUNTIF(A$4:$A138, 'Annex 2 EHV charges'!$D$11:$D$260)), 0)),"")</f>
        <v/>
      </c>
      <c r="B139" s="87" t="str">
        <f>IF($A139="","",VLOOKUP($A139,'Annex 2 EHV charges'!$D:$O,2,0))</f>
        <v/>
      </c>
      <c r="C139" s="88" t="str">
        <f>IF($A139="","",VLOOKUP($A139,'Annex 2 EHV charges'!$D:$O,3,0))</f>
        <v/>
      </c>
      <c r="D139" s="87" t="str">
        <f>IF($A139="","",VLOOKUP($A139,'Annex 2 EHV charges'!$D:$O,4,0))</f>
        <v/>
      </c>
      <c r="E139" s="89" t="str">
        <f>IFERROR(IF(VLOOKUP($A139,'Annex 2 EHV charges'!$D:$O,9,FALSE)=0,"",VLOOKUP($A139,'Annex 2 EHV charges'!$D:$O,9,FALSE)),"")</f>
        <v/>
      </c>
      <c r="F139" s="90" t="str">
        <f>IFERROR(IF(VLOOKUP($A139,'Annex 2 EHV charges'!$D:$O,10,FALSE)=0,"",VLOOKUP($A139,'Annex 2 EHV charges'!$D:$O,10,FALSE)),"")</f>
        <v/>
      </c>
      <c r="G139" s="91" t="str">
        <f>IFERROR(IF(VLOOKUP($A139,'Annex 2 EHV charges'!$D:$O,11,FALSE)=0,"",VLOOKUP($A139,'Annex 2 EHV charges'!$D:$O,11,FALSE)),"")</f>
        <v/>
      </c>
      <c r="H139" s="91" t="str">
        <f>IFERROR(IF(VLOOKUP($A139,'Annex 2 EHV charges'!$D:$O,12,FALSE)=0,"",VLOOKUP($A139,'Annex 2 EHV charges'!$D:$O,12,FALSE)),"")</f>
        <v/>
      </c>
    </row>
    <row r="140" spans="1:8" ht="12.75" customHeight="1" x14ac:dyDescent="0.35">
      <c r="A140" s="88" t="str">
        <f t="array" ref="A140">IFERROR(INDEX('Annex 2 EHV charges'!$D$11:$D$260, MATCH(0, IF(ISBLANK('Annex 2 EHV charges'!$D$11:$D$260),1, COUNTIF(A$4:$A139, 'Annex 2 EHV charges'!$D$11:$D$260)), 0)),"")</f>
        <v/>
      </c>
      <c r="B140" s="87" t="str">
        <f>IF($A140="","",VLOOKUP($A140,'Annex 2 EHV charges'!$D:$O,2,0))</f>
        <v/>
      </c>
      <c r="C140" s="88" t="str">
        <f>IF($A140="","",VLOOKUP($A140,'Annex 2 EHV charges'!$D:$O,3,0))</f>
        <v/>
      </c>
      <c r="D140" s="87" t="str">
        <f>IF($A140="","",VLOOKUP($A140,'Annex 2 EHV charges'!$D:$O,4,0))</f>
        <v/>
      </c>
      <c r="E140" s="89" t="str">
        <f>IFERROR(IF(VLOOKUP($A140,'Annex 2 EHV charges'!$D:$O,9,FALSE)=0,"",VLOOKUP($A140,'Annex 2 EHV charges'!$D:$O,9,FALSE)),"")</f>
        <v/>
      </c>
      <c r="F140" s="90" t="str">
        <f>IFERROR(IF(VLOOKUP($A140,'Annex 2 EHV charges'!$D:$O,10,FALSE)=0,"",VLOOKUP($A140,'Annex 2 EHV charges'!$D:$O,10,FALSE)),"")</f>
        <v/>
      </c>
      <c r="G140" s="91" t="str">
        <f>IFERROR(IF(VLOOKUP($A140,'Annex 2 EHV charges'!$D:$O,11,FALSE)=0,"",VLOOKUP($A140,'Annex 2 EHV charges'!$D:$O,11,FALSE)),"")</f>
        <v/>
      </c>
      <c r="H140" s="91" t="str">
        <f>IFERROR(IF(VLOOKUP($A140,'Annex 2 EHV charges'!$D:$O,12,FALSE)=0,"",VLOOKUP($A140,'Annex 2 EHV charges'!$D:$O,12,FALSE)),"")</f>
        <v/>
      </c>
    </row>
    <row r="141" spans="1:8" ht="12.75" customHeight="1" x14ac:dyDescent="0.35">
      <c r="A141" s="88" t="str">
        <f t="array" ref="A141">IFERROR(INDEX('Annex 2 EHV charges'!$D$11:$D$260, MATCH(0, IF(ISBLANK('Annex 2 EHV charges'!$D$11:$D$260),1, COUNTIF(A$4:$A140, 'Annex 2 EHV charges'!$D$11:$D$260)), 0)),"")</f>
        <v/>
      </c>
      <c r="B141" s="87" t="str">
        <f>IF($A141="","",VLOOKUP($A141,'Annex 2 EHV charges'!$D:$O,2,0))</f>
        <v/>
      </c>
      <c r="C141" s="88" t="str">
        <f>IF($A141="","",VLOOKUP($A141,'Annex 2 EHV charges'!$D:$O,3,0))</f>
        <v/>
      </c>
      <c r="D141" s="87" t="str">
        <f>IF($A141="","",VLOOKUP($A141,'Annex 2 EHV charges'!$D:$O,4,0))</f>
        <v/>
      </c>
      <c r="E141" s="89" t="str">
        <f>IFERROR(IF(VLOOKUP($A141,'Annex 2 EHV charges'!$D:$O,9,FALSE)=0,"",VLOOKUP($A141,'Annex 2 EHV charges'!$D:$O,9,FALSE)),"")</f>
        <v/>
      </c>
      <c r="F141" s="90" t="str">
        <f>IFERROR(IF(VLOOKUP($A141,'Annex 2 EHV charges'!$D:$O,10,FALSE)=0,"",VLOOKUP($A141,'Annex 2 EHV charges'!$D:$O,10,FALSE)),"")</f>
        <v/>
      </c>
      <c r="G141" s="91" t="str">
        <f>IFERROR(IF(VLOOKUP($A141,'Annex 2 EHV charges'!$D:$O,11,FALSE)=0,"",VLOOKUP($A141,'Annex 2 EHV charges'!$D:$O,11,FALSE)),"")</f>
        <v/>
      </c>
      <c r="H141" s="91" t="str">
        <f>IFERROR(IF(VLOOKUP($A141,'Annex 2 EHV charges'!$D:$O,12,FALSE)=0,"",VLOOKUP($A141,'Annex 2 EHV charges'!$D:$O,12,FALSE)),"")</f>
        <v/>
      </c>
    </row>
    <row r="142" spans="1:8" ht="12.75" customHeight="1" x14ac:dyDescent="0.35">
      <c r="A142" s="88" t="str">
        <f t="array" ref="A142">IFERROR(INDEX('Annex 2 EHV charges'!$D$11:$D$260, MATCH(0, IF(ISBLANK('Annex 2 EHV charges'!$D$11:$D$260),1, COUNTIF(A$4:$A141, 'Annex 2 EHV charges'!$D$11:$D$260)), 0)),"")</f>
        <v/>
      </c>
      <c r="B142" s="87" t="str">
        <f>IF($A142="","",VLOOKUP($A142,'Annex 2 EHV charges'!$D:$O,2,0))</f>
        <v/>
      </c>
      <c r="C142" s="88" t="str">
        <f>IF($A142="","",VLOOKUP($A142,'Annex 2 EHV charges'!$D:$O,3,0))</f>
        <v/>
      </c>
      <c r="D142" s="87" t="str">
        <f>IF($A142="","",VLOOKUP($A142,'Annex 2 EHV charges'!$D:$O,4,0))</f>
        <v/>
      </c>
      <c r="E142" s="89" t="str">
        <f>IFERROR(IF(VLOOKUP($A142,'Annex 2 EHV charges'!$D:$O,9,FALSE)=0,"",VLOOKUP($A142,'Annex 2 EHV charges'!$D:$O,9,FALSE)),"")</f>
        <v/>
      </c>
      <c r="F142" s="90" t="str">
        <f>IFERROR(IF(VLOOKUP($A142,'Annex 2 EHV charges'!$D:$O,10,FALSE)=0,"",VLOOKUP($A142,'Annex 2 EHV charges'!$D:$O,10,FALSE)),"")</f>
        <v/>
      </c>
      <c r="G142" s="91" t="str">
        <f>IFERROR(IF(VLOOKUP($A142,'Annex 2 EHV charges'!$D:$O,11,FALSE)=0,"",VLOOKUP($A142,'Annex 2 EHV charges'!$D:$O,11,FALSE)),"")</f>
        <v/>
      </c>
      <c r="H142" s="91" t="str">
        <f>IFERROR(IF(VLOOKUP($A142,'Annex 2 EHV charges'!$D:$O,12,FALSE)=0,"",VLOOKUP($A142,'Annex 2 EHV charges'!$D:$O,12,FALSE)),"")</f>
        <v/>
      </c>
    </row>
    <row r="143" spans="1:8" ht="12.75" customHeight="1" x14ac:dyDescent="0.35">
      <c r="A143" s="88" t="str">
        <f t="array" ref="A143">IFERROR(INDEX('Annex 2 EHV charges'!$D$11:$D$260, MATCH(0, IF(ISBLANK('Annex 2 EHV charges'!$D$11:$D$260),1, COUNTIF(A$4:$A142, 'Annex 2 EHV charges'!$D$11:$D$260)), 0)),"")</f>
        <v/>
      </c>
      <c r="B143" s="87" t="str">
        <f>IF($A143="","",VLOOKUP($A143,'Annex 2 EHV charges'!$D:$O,2,0))</f>
        <v/>
      </c>
      <c r="C143" s="88" t="str">
        <f>IF($A143="","",VLOOKUP($A143,'Annex 2 EHV charges'!$D:$O,3,0))</f>
        <v/>
      </c>
      <c r="D143" s="87" t="str">
        <f>IF($A143="","",VLOOKUP($A143,'Annex 2 EHV charges'!$D:$O,4,0))</f>
        <v/>
      </c>
      <c r="E143" s="89" t="str">
        <f>IFERROR(IF(VLOOKUP($A143,'Annex 2 EHV charges'!$D:$O,9,FALSE)=0,"",VLOOKUP($A143,'Annex 2 EHV charges'!$D:$O,9,FALSE)),"")</f>
        <v/>
      </c>
      <c r="F143" s="90" t="str">
        <f>IFERROR(IF(VLOOKUP($A143,'Annex 2 EHV charges'!$D:$O,10,FALSE)=0,"",VLOOKUP($A143,'Annex 2 EHV charges'!$D:$O,10,FALSE)),"")</f>
        <v/>
      </c>
      <c r="G143" s="91" t="str">
        <f>IFERROR(IF(VLOOKUP($A143,'Annex 2 EHV charges'!$D:$O,11,FALSE)=0,"",VLOOKUP($A143,'Annex 2 EHV charges'!$D:$O,11,FALSE)),"")</f>
        <v/>
      </c>
      <c r="H143" s="91" t="str">
        <f>IFERROR(IF(VLOOKUP($A143,'Annex 2 EHV charges'!$D:$O,12,FALSE)=0,"",VLOOKUP($A143,'Annex 2 EHV charges'!$D:$O,12,FALSE)),"")</f>
        <v/>
      </c>
    </row>
    <row r="144" spans="1:8" ht="12.75" customHeight="1" x14ac:dyDescent="0.35">
      <c r="A144" s="88" t="str">
        <f t="array" ref="A144">IFERROR(INDEX('Annex 2 EHV charges'!$D$11:$D$260, MATCH(0, IF(ISBLANK('Annex 2 EHV charges'!$D$11:$D$260),1, COUNTIF(A$4:$A143, 'Annex 2 EHV charges'!$D$11:$D$260)), 0)),"")</f>
        <v/>
      </c>
      <c r="B144" s="87" t="str">
        <f>IF($A144="","",VLOOKUP($A144,'Annex 2 EHV charges'!$D:$O,2,0))</f>
        <v/>
      </c>
      <c r="C144" s="88" t="str">
        <f>IF($A144="","",VLOOKUP($A144,'Annex 2 EHV charges'!$D:$O,3,0))</f>
        <v/>
      </c>
      <c r="D144" s="87" t="str">
        <f>IF($A144="","",VLOOKUP($A144,'Annex 2 EHV charges'!$D:$O,4,0))</f>
        <v/>
      </c>
      <c r="E144" s="89" t="str">
        <f>IFERROR(IF(VLOOKUP($A144,'Annex 2 EHV charges'!$D:$O,9,FALSE)=0,"",VLOOKUP($A144,'Annex 2 EHV charges'!$D:$O,9,FALSE)),"")</f>
        <v/>
      </c>
      <c r="F144" s="90" t="str">
        <f>IFERROR(IF(VLOOKUP($A144,'Annex 2 EHV charges'!$D:$O,10,FALSE)=0,"",VLOOKUP($A144,'Annex 2 EHV charges'!$D:$O,10,FALSE)),"")</f>
        <v/>
      </c>
      <c r="G144" s="91" t="str">
        <f>IFERROR(IF(VLOOKUP($A144,'Annex 2 EHV charges'!$D:$O,11,FALSE)=0,"",VLOOKUP($A144,'Annex 2 EHV charges'!$D:$O,11,FALSE)),"")</f>
        <v/>
      </c>
      <c r="H144" s="91" t="str">
        <f>IFERROR(IF(VLOOKUP($A144,'Annex 2 EHV charges'!$D:$O,12,FALSE)=0,"",VLOOKUP($A144,'Annex 2 EHV charges'!$D:$O,12,FALSE)),"")</f>
        <v/>
      </c>
    </row>
    <row r="145" spans="1:8" ht="12.75" customHeight="1" x14ac:dyDescent="0.35">
      <c r="A145" s="88" t="str">
        <f t="array" ref="A145">IFERROR(INDEX('Annex 2 EHV charges'!$D$11:$D$260, MATCH(0, IF(ISBLANK('Annex 2 EHV charges'!$D$11:$D$260),1, COUNTIF(A$4:$A144, 'Annex 2 EHV charges'!$D$11:$D$260)), 0)),"")</f>
        <v/>
      </c>
      <c r="B145" s="87" t="str">
        <f>IF($A145="","",VLOOKUP($A145,'Annex 2 EHV charges'!$D:$O,2,0))</f>
        <v/>
      </c>
      <c r="C145" s="88" t="str">
        <f>IF($A145="","",VLOOKUP($A145,'Annex 2 EHV charges'!$D:$O,3,0))</f>
        <v/>
      </c>
      <c r="D145" s="87" t="str">
        <f>IF($A145="","",VLOOKUP($A145,'Annex 2 EHV charges'!$D:$O,4,0))</f>
        <v/>
      </c>
      <c r="E145" s="89" t="str">
        <f>IFERROR(IF(VLOOKUP($A145,'Annex 2 EHV charges'!$D:$O,9,FALSE)=0,"",VLOOKUP($A145,'Annex 2 EHV charges'!$D:$O,9,FALSE)),"")</f>
        <v/>
      </c>
      <c r="F145" s="90" t="str">
        <f>IFERROR(IF(VLOOKUP($A145,'Annex 2 EHV charges'!$D:$O,10,FALSE)=0,"",VLOOKUP($A145,'Annex 2 EHV charges'!$D:$O,10,FALSE)),"")</f>
        <v/>
      </c>
      <c r="G145" s="91" t="str">
        <f>IFERROR(IF(VLOOKUP($A145,'Annex 2 EHV charges'!$D:$O,11,FALSE)=0,"",VLOOKUP($A145,'Annex 2 EHV charges'!$D:$O,11,FALSE)),"")</f>
        <v/>
      </c>
      <c r="H145" s="91" t="str">
        <f>IFERROR(IF(VLOOKUP($A145,'Annex 2 EHV charges'!$D:$O,12,FALSE)=0,"",VLOOKUP($A145,'Annex 2 EHV charges'!$D:$O,12,FALSE)),"")</f>
        <v/>
      </c>
    </row>
    <row r="146" spans="1:8" ht="12.75" customHeight="1" x14ac:dyDescent="0.35">
      <c r="A146" s="88" t="str">
        <f t="array" ref="A146">IFERROR(INDEX('Annex 2 EHV charges'!$D$11:$D$260, MATCH(0, IF(ISBLANK('Annex 2 EHV charges'!$D$11:$D$260),1, COUNTIF(A$4:$A145, 'Annex 2 EHV charges'!$D$11:$D$260)), 0)),"")</f>
        <v/>
      </c>
      <c r="B146" s="87" t="str">
        <f>IF($A146="","",VLOOKUP($A146,'Annex 2 EHV charges'!$D:$O,2,0))</f>
        <v/>
      </c>
      <c r="C146" s="88" t="str">
        <f>IF($A146="","",VLOOKUP($A146,'Annex 2 EHV charges'!$D:$O,3,0))</f>
        <v/>
      </c>
      <c r="D146" s="87" t="str">
        <f>IF($A146="","",VLOOKUP($A146,'Annex 2 EHV charges'!$D:$O,4,0))</f>
        <v/>
      </c>
      <c r="E146" s="89" t="str">
        <f>IFERROR(IF(VLOOKUP($A146,'Annex 2 EHV charges'!$D:$O,9,FALSE)=0,"",VLOOKUP($A146,'Annex 2 EHV charges'!$D:$O,9,FALSE)),"")</f>
        <v/>
      </c>
      <c r="F146" s="90" t="str">
        <f>IFERROR(IF(VLOOKUP($A146,'Annex 2 EHV charges'!$D:$O,10,FALSE)=0,"",VLOOKUP($A146,'Annex 2 EHV charges'!$D:$O,10,FALSE)),"")</f>
        <v/>
      </c>
      <c r="G146" s="91" t="str">
        <f>IFERROR(IF(VLOOKUP($A146,'Annex 2 EHV charges'!$D:$O,11,FALSE)=0,"",VLOOKUP($A146,'Annex 2 EHV charges'!$D:$O,11,FALSE)),"")</f>
        <v/>
      </c>
      <c r="H146" s="91" t="str">
        <f>IFERROR(IF(VLOOKUP($A146,'Annex 2 EHV charges'!$D:$O,12,FALSE)=0,"",VLOOKUP($A146,'Annex 2 EHV charges'!$D:$O,12,FALSE)),"")</f>
        <v/>
      </c>
    </row>
    <row r="147" spans="1:8" ht="12.75" customHeight="1" x14ac:dyDescent="0.35">
      <c r="A147" s="88" t="str">
        <f t="array" ref="A147">IFERROR(INDEX('Annex 2 EHV charges'!$D$11:$D$260, MATCH(0, IF(ISBLANK('Annex 2 EHV charges'!$D$11:$D$260),1, COUNTIF(A$4:$A146, 'Annex 2 EHV charges'!$D$11:$D$260)), 0)),"")</f>
        <v/>
      </c>
      <c r="B147" s="87" t="str">
        <f>IF($A147="","",VLOOKUP($A147,'Annex 2 EHV charges'!$D:$O,2,0))</f>
        <v/>
      </c>
      <c r="C147" s="88" t="str">
        <f>IF($A147="","",VLOOKUP($A147,'Annex 2 EHV charges'!$D:$O,3,0))</f>
        <v/>
      </c>
      <c r="D147" s="87" t="str">
        <f>IF($A147="","",VLOOKUP($A147,'Annex 2 EHV charges'!$D:$O,4,0))</f>
        <v/>
      </c>
      <c r="E147" s="89" t="str">
        <f>IFERROR(IF(VLOOKUP($A147,'Annex 2 EHV charges'!$D:$O,9,FALSE)=0,"",VLOOKUP($A147,'Annex 2 EHV charges'!$D:$O,9,FALSE)),"")</f>
        <v/>
      </c>
      <c r="F147" s="90" t="str">
        <f>IFERROR(IF(VLOOKUP($A147,'Annex 2 EHV charges'!$D:$O,10,FALSE)=0,"",VLOOKUP($A147,'Annex 2 EHV charges'!$D:$O,10,FALSE)),"")</f>
        <v/>
      </c>
      <c r="G147" s="91" t="str">
        <f>IFERROR(IF(VLOOKUP($A147,'Annex 2 EHV charges'!$D:$O,11,FALSE)=0,"",VLOOKUP($A147,'Annex 2 EHV charges'!$D:$O,11,FALSE)),"")</f>
        <v/>
      </c>
      <c r="H147" s="91" t="str">
        <f>IFERROR(IF(VLOOKUP($A147,'Annex 2 EHV charges'!$D:$O,12,FALSE)=0,"",VLOOKUP($A147,'Annex 2 EHV charges'!$D:$O,12,FALSE)),"")</f>
        <v/>
      </c>
    </row>
    <row r="148" spans="1:8" ht="12.75" customHeight="1" x14ac:dyDescent="0.35">
      <c r="A148" s="88" t="str">
        <f t="array" ref="A148">IFERROR(INDEX('Annex 2 EHV charges'!$D$11:$D$260, MATCH(0, IF(ISBLANK('Annex 2 EHV charges'!$D$11:$D$260),1, COUNTIF(A$4:$A147, 'Annex 2 EHV charges'!$D$11:$D$260)), 0)),"")</f>
        <v/>
      </c>
      <c r="B148" s="87" t="str">
        <f>IF($A148="","",VLOOKUP($A148,'Annex 2 EHV charges'!$D:$O,2,0))</f>
        <v/>
      </c>
      <c r="C148" s="88" t="str">
        <f>IF($A148="","",VLOOKUP($A148,'Annex 2 EHV charges'!$D:$O,3,0))</f>
        <v/>
      </c>
      <c r="D148" s="87" t="str">
        <f>IF($A148="","",VLOOKUP($A148,'Annex 2 EHV charges'!$D:$O,4,0))</f>
        <v/>
      </c>
      <c r="E148" s="89" t="str">
        <f>IFERROR(IF(VLOOKUP($A148,'Annex 2 EHV charges'!$D:$O,9,FALSE)=0,"",VLOOKUP($A148,'Annex 2 EHV charges'!$D:$O,9,FALSE)),"")</f>
        <v/>
      </c>
      <c r="F148" s="90" t="str">
        <f>IFERROR(IF(VLOOKUP($A148,'Annex 2 EHV charges'!$D:$O,10,FALSE)=0,"",VLOOKUP($A148,'Annex 2 EHV charges'!$D:$O,10,FALSE)),"")</f>
        <v/>
      </c>
      <c r="G148" s="91" t="str">
        <f>IFERROR(IF(VLOOKUP($A148,'Annex 2 EHV charges'!$D:$O,11,FALSE)=0,"",VLOOKUP($A148,'Annex 2 EHV charges'!$D:$O,11,FALSE)),"")</f>
        <v/>
      </c>
      <c r="H148" s="91" t="str">
        <f>IFERROR(IF(VLOOKUP($A148,'Annex 2 EHV charges'!$D:$O,12,FALSE)=0,"",VLOOKUP($A148,'Annex 2 EHV charges'!$D:$O,12,FALSE)),"")</f>
        <v/>
      </c>
    </row>
    <row r="149" spans="1:8" ht="12.75" customHeight="1" x14ac:dyDescent="0.35">
      <c r="A149" s="88" t="str">
        <f t="array" ref="A149">IFERROR(INDEX('Annex 2 EHV charges'!$D$11:$D$260, MATCH(0, IF(ISBLANK('Annex 2 EHV charges'!$D$11:$D$260),1, COUNTIF(A$4:$A148, 'Annex 2 EHV charges'!$D$11:$D$260)), 0)),"")</f>
        <v/>
      </c>
      <c r="B149" s="87" t="str">
        <f>IF($A149="","",VLOOKUP($A149,'Annex 2 EHV charges'!$D:$O,2,0))</f>
        <v/>
      </c>
      <c r="C149" s="88" t="str">
        <f>IF($A149="","",VLOOKUP($A149,'Annex 2 EHV charges'!$D:$O,3,0))</f>
        <v/>
      </c>
      <c r="D149" s="87" t="str">
        <f>IF($A149="","",VLOOKUP($A149,'Annex 2 EHV charges'!$D:$O,4,0))</f>
        <v/>
      </c>
      <c r="E149" s="89" t="str">
        <f>IFERROR(IF(VLOOKUP($A149,'Annex 2 EHV charges'!$D:$O,9,FALSE)=0,"",VLOOKUP($A149,'Annex 2 EHV charges'!$D:$O,9,FALSE)),"")</f>
        <v/>
      </c>
      <c r="F149" s="90" t="str">
        <f>IFERROR(IF(VLOOKUP($A149,'Annex 2 EHV charges'!$D:$O,10,FALSE)=0,"",VLOOKUP($A149,'Annex 2 EHV charges'!$D:$O,10,FALSE)),"")</f>
        <v/>
      </c>
      <c r="G149" s="91" t="str">
        <f>IFERROR(IF(VLOOKUP($A149,'Annex 2 EHV charges'!$D:$O,11,FALSE)=0,"",VLOOKUP($A149,'Annex 2 EHV charges'!$D:$O,11,FALSE)),"")</f>
        <v/>
      </c>
      <c r="H149" s="91" t="str">
        <f>IFERROR(IF(VLOOKUP($A149,'Annex 2 EHV charges'!$D:$O,12,FALSE)=0,"",VLOOKUP($A149,'Annex 2 EHV charges'!$D:$O,12,FALSE)),"")</f>
        <v/>
      </c>
    </row>
    <row r="150" spans="1:8" ht="12.75" customHeight="1" x14ac:dyDescent="0.35">
      <c r="A150" s="88" t="str">
        <f t="array" ref="A150">IFERROR(INDEX('Annex 2 EHV charges'!$D$11:$D$260, MATCH(0, IF(ISBLANK('Annex 2 EHV charges'!$D$11:$D$260),1, COUNTIF(A$4:$A149, 'Annex 2 EHV charges'!$D$11:$D$260)), 0)),"")</f>
        <v/>
      </c>
      <c r="B150" s="87" t="str">
        <f>IF($A150="","",VLOOKUP($A150,'Annex 2 EHV charges'!$D:$O,2,0))</f>
        <v/>
      </c>
      <c r="C150" s="88" t="str">
        <f>IF($A150="","",VLOOKUP($A150,'Annex 2 EHV charges'!$D:$O,3,0))</f>
        <v/>
      </c>
      <c r="D150" s="87" t="str">
        <f>IF($A150="","",VLOOKUP($A150,'Annex 2 EHV charges'!$D:$O,4,0))</f>
        <v/>
      </c>
      <c r="E150" s="89" t="str">
        <f>IFERROR(IF(VLOOKUP($A150,'Annex 2 EHV charges'!$D:$O,9,FALSE)=0,"",VLOOKUP($A150,'Annex 2 EHV charges'!$D:$O,9,FALSE)),"")</f>
        <v/>
      </c>
      <c r="F150" s="90" t="str">
        <f>IFERROR(IF(VLOOKUP($A150,'Annex 2 EHV charges'!$D:$O,10,FALSE)=0,"",VLOOKUP($A150,'Annex 2 EHV charges'!$D:$O,10,FALSE)),"")</f>
        <v/>
      </c>
      <c r="G150" s="91" t="str">
        <f>IFERROR(IF(VLOOKUP($A150,'Annex 2 EHV charges'!$D:$O,11,FALSE)=0,"",VLOOKUP($A150,'Annex 2 EHV charges'!$D:$O,11,FALSE)),"")</f>
        <v/>
      </c>
      <c r="H150" s="91" t="str">
        <f>IFERROR(IF(VLOOKUP($A150,'Annex 2 EHV charges'!$D:$O,12,FALSE)=0,"",VLOOKUP($A150,'Annex 2 EHV charges'!$D:$O,12,FALSE)),"")</f>
        <v/>
      </c>
    </row>
    <row r="151" spans="1:8" ht="12.75" customHeight="1" x14ac:dyDescent="0.35">
      <c r="A151" s="88" t="str">
        <f t="array" ref="A151">IFERROR(INDEX('Annex 2 EHV charges'!$D$11:$D$260, MATCH(0, IF(ISBLANK('Annex 2 EHV charges'!$D$11:$D$260),1, COUNTIF(A$4:$A150, 'Annex 2 EHV charges'!$D$11:$D$260)), 0)),"")</f>
        <v/>
      </c>
      <c r="B151" s="87" t="str">
        <f>IF($A151="","",VLOOKUP($A151,'Annex 2 EHV charges'!$D:$O,2,0))</f>
        <v/>
      </c>
      <c r="C151" s="88" t="str">
        <f>IF($A151="","",VLOOKUP($A151,'Annex 2 EHV charges'!$D:$O,3,0))</f>
        <v/>
      </c>
      <c r="D151" s="87" t="str">
        <f>IF($A151="","",VLOOKUP($A151,'Annex 2 EHV charges'!$D:$O,4,0))</f>
        <v/>
      </c>
      <c r="E151" s="89" t="str">
        <f>IFERROR(IF(VLOOKUP($A151,'Annex 2 EHV charges'!$D:$O,9,FALSE)=0,"",VLOOKUP($A151,'Annex 2 EHV charges'!$D:$O,9,FALSE)),"")</f>
        <v/>
      </c>
      <c r="F151" s="90" t="str">
        <f>IFERROR(IF(VLOOKUP($A151,'Annex 2 EHV charges'!$D:$O,10,FALSE)=0,"",VLOOKUP($A151,'Annex 2 EHV charges'!$D:$O,10,FALSE)),"")</f>
        <v/>
      </c>
      <c r="G151" s="91" t="str">
        <f>IFERROR(IF(VLOOKUP($A151,'Annex 2 EHV charges'!$D:$O,11,FALSE)=0,"",VLOOKUP($A151,'Annex 2 EHV charges'!$D:$O,11,FALSE)),"")</f>
        <v/>
      </c>
      <c r="H151" s="91" t="str">
        <f>IFERROR(IF(VLOOKUP($A151,'Annex 2 EHV charges'!$D:$O,12,FALSE)=0,"",VLOOKUP($A151,'Annex 2 EHV charges'!$D:$O,12,FALSE)),"")</f>
        <v/>
      </c>
    </row>
    <row r="152" spans="1:8" x14ac:dyDescent="0.35">
      <c r="A152" s="88" t="str">
        <f t="array" ref="A152">IFERROR(INDEX('Annex 2 EHV charges'!$D$11:$D$260, MATCH(0, IF(ISBLANK('Annex 2 EHV charges'!$D$11:$D$260),1, COUNTIF(A$4:$A151, 'Annex 2 EHV charges'!$D$11:$D$260)), 0)),"")</f>
        <v/>
      </c>
      <c r="B152" s="87" t="str">
        <f>IF($A152="","",VLOOKUP($A152,'Annex 2 EHV charges'!$D:$O,2,0))</f>
        <v/>
      </c>
      <c r="C152" s="88" t="str">
        <f>IF($A152="","",VLOOKUP($A152,'Annex 2 EHV charges'!$D:$O,3,0))</f>
        <v/>
      </c>
      <c r="D152" s="87" t="str">
        <f>IF($A152="","",VLOOKUP($A152,'Annex 2 EHV charges'!$D:$O,4,0))</f>
        <v/>
      </c>
      <c r="E152" s="89" t="str">
        <f>IFERROR(IF(VLOOKUP($A152,'Annex 2 EHV charges'!$D:$O,9,FALSE)=0,"",VLOOKUP($A152,'Annex 2 EHV charges'!$D:$O,9,FALSE)),"")</f>
        <v/>
      </c>
      <c r="F152" s="90" t="str">
        <f>IFERROR(IF(VLOOKUP($A152,'Annex 2 EHV charges'!$D:$O,10,FALSE)=0,"",VLOOKUP($A152,'Annex 2 EHV charges'!$D:$O,10,FALSE)),"")</f>
        <v/>
      </c>
      <c r="G152" s="91" t="str">
        <f>IFERROR(IF(VLOOKUP($A152,'Annex 2 EHV charges'!$D:$O,11,FALSE)=0,"",VLOOKUP($A152,'Annex 2 EHV charges'!$D:$O,11,FALSE)),"")</f>
        <v/>
      </c>
      <c r="H152" s="91" t="str">
        <f>IFERROR(IF(VLOOKUP($A152,'Annex 2 EHV charges'!$D:$O,12,FALSE)=0,"",VLOOKUP($A152,'Annex 2 EHV charges'!$D:$O,12,FALSE)),"")</f>
        <v/>
      </c>
    </row>
    <row r="153" spans="1:8" x14ac:dyDescent="0.35">
      <c r="A153" s="88" t="str">
        <f t="array" ref="A153">IFERROR(INDEX('Annex 2 EHV charges'!$D$11:$D$260, MATCH(0, IF(ISBLANK('Annex 2 EHV charges'!$D$11:$D$260),1, COUNTIF(A$4:$A152, 'Annex 2 EHV charges'!$D$11:$D$260)), 0)),"")</f>
        <v/>
      </c>
      <c r="B153" s="87" t="str">
        <f>IF($A153="","",VLOOKUP($A153,'Annex 2 EHV charges'!$D:$O,2,0))</f>
        <v/>
      </c>
      <c r="C153" s="88" t="str">
        <f>IF($A153="","",VLOOKUP($A153,'Annex 2 EHV charges'!$D:$O,3,0))</f>
        <v/>
      </c>
      <c r="D153" s="87" t="str">
        <f>IF($A153="","",VLOOKUP($A153,'Annex 2 EHV charges'!$D:$O,4,0))</f>
        <v/>
      </c>
      <c r="E153" s="89" t="str">
        <f>IFERROR(IF(VLOOKUP($A153,'Annex 2 EHV charges'!$D:$O,9,FALSE)=0,"",VLOOKUP($A153,'Annex 2 EHV charges'!$D:$O,9,FALSE)),"")</f>
        <v/>
      </c>
      <c r="F153" s="90" t="str">
        <f>IFERROR(IF(VLOOKUP($A153,'Annex 2 EHV charges'!$D:$O,10,FALSE)=0,"",VLOOKUP($A153,'Annex 2 EHV charges'!$D:$O,10,FALSE)),"")</f>
        <v/>
      </c>
      <c r="G153" s="91" t="str">
        <f>IFERROR(IF(VLOOKUP($A153,'Annex 2 EHV charges'!$D:$O,11,FALSE)=0,"",VLOOKUP($A153,'Annex 2 EHV charges'!$D:$O,11,FALSE)),"")</f>
        <v/>
      </c>
      <c r="H153" s="91" t="str">
        <f>IFERROR(IF(VLOOKUP($A153,'Annex 2 EHV charges'!$D:$O,12,FALSE)=0,"",VLOOKUP($A153,'Annex 2 EHV charges'!$D:$O,12,FALSE)),"")</f>
        <v/>
      </c>
    </row>
    <row r="154" spans="1:8" x14ac:dyDescent="0.35">
      <c r="A154" s="88" t="str">
        <f t="array" ref="A154">IFERROR(INDEX('Annex 2 EHV charges'!$D$11:$D$260, MATCH(0, IF(ISBLANK('Annex 2 EHV charges'!$D$11:$D$260),1, COUNTIF(A$4:$A153, 'Annex 2 EHV charges'!$D$11:$D$260)), 0)),"")</f>
        <v/>
      </c>
      <c r="B154" s="87" t="str">
        <f>IF($A154="","",VLOOKUP($A154,'Annex 2 EHV charges'!$D:$O,2,0))</f>
        <v/>
      </c>
      <c r="C154" s="88" t="str">
        <f>IF($A154="","",VLOOKUP($A154,'Annex 2 EHV charges'!$D:$O,3,0))</f>
        <v/>
      </c>
      <c r="D154" s="87" t="str">
        <f>IF($A154="","",VLOOKUP($A154,'Annex 2 EHV charges'!$D:$O,4,0))</f>
        <v/>
      </c>
      <c r="E154" s="89" t="str">
        <f>IFERROR(IF(VLOOKUP($A154,'Annex 2 EHV charges'!$D:$O,9,FALSE)=0,"",VLOOKUP($A154,'Annex 2 EHV charges'!$D:$O,9,FALSE)),"")</f>
        <v/>
      </c>
      <c r="F154" s="90" t="str">
        <f>IFERROR(IF(VLOOKUP($A154,'Annex 2 EHV charges'!$D:$O,10,FALSE)=0,"",VLOOKUP($A154,'Annex 2 EHV charges'!$D:$O,10,FALSE)),"")</f>
        <v/>
      </c>
      <c r="G154" s="91" t="str">
        <f>IFERROR(IF(VLOOKUP($A154,'Annex 2 EHV charges'!$D:$O,11,FALSE)=0,"",VLOOKUP($A154,'Annex 2 EHV charges'!$D:$O,11,FALSE)),"")</f>
        <v/>
      </c>
      <c r="H154" s="91" t="str">
        <f>IFERROR(IF(VLOOKUP($A154,'Annex 2 EHV charges'!$D:$O,12,FALSE)=0,"",VLOOKUP($A154,'Annex 2 EHV charges'!$D:$O,12,FALSE)),"")</f>
        <v/>
      </c>
    </row>
    <row r="155" spans="1:8" x14ac:dyDescent="0.35">
      <c r="A155" s="88" t="str">
        <f t="array" ref="A155">IFERROR(INDEX('Annex 2 EHV charges'!$D$11:$D$260, MATCH(0, IF(ISBLANK('Annex 2 EHV charges'!$D$11:$D$260),1, COUNTIF(A$4:$A154, 'Annex 2 EHV charges'!$D$11:$D$260)), 0)),"")</f>
        <v/>
      </c>
      <c r="B155" s="87" t="str">
        <f>IF($A155="","",VLOOKUP($A155,'Annex 2 EHV charges'!$D:$O,2,0))</f>
        <v/>
      </c>
      <c r="C155" s="88" t="str">
        <f>IF($A155="","",VLOOKUP($A155,'Annex 2 EHV charges'!$D:$O,3,0))</f>
        <v/>
      </c>
      <c r="D155" s="87" t="str">
        <f>IF($A155="","",VLOOKUP($A155,'Annex 2 EHV charges'!$D:$O,4,0))</f>
        <v/>
      </c>
      <c r="E155" s="89" t="str">
        <f>IFERROR(IF(VLOOKUP($A155,'Annex 2 EHV charges'!$D:$O,9,FALSE)=0,"",VLOOKUP($A155,'Annex 2 EHV charges'!$D:$O,9,FALSE)),"")</f>
        <v/>
      </c>
      <c r="F155" s="90" t="str">
        <f>IFERROR(IF(VLOOKUP($A155,'Annex 2 EHV charges'!$D:$O,10,FALSE)=0,"",VLOOKUP($A155,'Annex 2 EHV charges'!$D:$O,10,FALSE)),"")</f>
        <v/>
      </c>
      <c r="G155" s="91" t="str">
        <f>IFERROR(IF(VLOOKUP($A155,'Annex 2 EHV charges'!$D:$O,11,FALSE)=0,"",VLOOKUP($A155,'Annex 2 EHV charges'!$D:$O,11,FALSE)),"")</f>
        <v/>
      </c>
      <c r="H155" s="91" t="str">
        <f>IFERROR(IF(VLOOKUP($A155,'Annex 2 EHV charges'!$D:$O,12,FALSE)=0,"",VLOOKUP($A155,'Annex 2 EHV charges'!$D:$O,12,FALSE)),"")</f>
        <v/>
      </c>
    </row>
    <row r="156" spans="1:8" x14ac:dyDescent="0.35">
      <c r="A156" s="88" t="str">
        <f t="array" ref="A156">IFERROR(INDEX('Annex 2 EHV charges'!$D$11:$D$260, MATCH(0, IF(ISBLANK('Annex 2 EHV charges'!$D$11:$D$260),1, COUNTIF(A$4:$A155, 'Annex 2 EHV charges'!$D$11:$D$260)), 0)),"")</f>
        <v/>
      </c>
      <c r="B156" s="87" t="str">
        <f>IF($A156="","",VLOOKUP($A156,'Annex 2 EHV charges'!$D:$O,2,0))</f>
        <v/>
      </c>
      <c r="C156" s="88" t="str">
        <f>IF($A156="","",VLOOKUP($A156,'Annex 2 EHV charges'!$D:$O,3,0))</f>
        <v/>
      </c>
      <c r="D156" s="87" t="str">
        <f>IF($A156="","",VLOOKUP($A156,'Annex 2 EHV charges'!$D:$O,4,0))</f>
        <v/>
      </c>
      <c r="E156" s="89" t="str">
        <f>IFERROR(IF(VLOOKUP($A156,'Annex 2 EHV charges'!$D:$O,9,FALSE)=0,"",VLOOKUP($A156,'Annex 2 EHV charges'!$D:$O,9,FALSE)),"")</f>
        <v/>
      </c>
      <c r="F156" s="90" t="str">
        <f>IFERROR(IF(VLOOKUP($A156,'Annex 2 EHV charges'!$D:$O,10,FALSE)=0,"",VLOOKUP($A156,'Annex 2 EHV charges'!$D:$O,10,FALSE)),"")</f>
        <v/>
      </c>
      <c r="G156" s="91" t="str">
        <f>IFERROR(IF(VLOOKUP($A156,'Annex 2 EHV charges'!$D:$O,11,FALSE)=0,"",VLOOKUP($A156,'Annex 2 EHV charges'!$D:$O,11,FALSE)),"")</f>
        <v/>
      </c>
      <c r="H156" s="91" t="str">
        <f>IFERROR(IF(VLOOKUP($A156,'Annex 2 EHV charges'!$D:$O,12,FALSE)=0,"",VLOOKUP($A156,'Annex 2 EHV charges'!$D:$O,12,FALSE)),"")</f>
        <v/>
      </c>
    </row>
    <row r="157" spans="1:8" x14ac:dyDescent="0.35">
      <c r="A157" s="88" t="str">
        <f t="array" ref="A157">IFERROR(INDEX('Annex 2 EHV charges'!$D$11:$D$260, MATCH(0, IF(ISBLANK('Annex 2 EHV charges'!$D$11:$D$260),1, COUNTIF(A$4:$A156, 'Annex 2 EHV charges'!$D$11:$D$260)), 0)),"")</f>
        <v/>
      </c>
      <c r="B157" s="87" t="str">
        <f>IF($A157="","",VLOOKUP($A157,'Annex 2 EHV charges'!$D:$O,2,0))</f>
        <v/>
      </c>
      <c r="C157" s="88" t="str">
        <f>IF($A157="","",VLOOKUP($A157,'Annex 2 EHV charges'!$D:$O,3,0))</f>
        <v/>
      </c>
      <c r="D157" s="87" t="str">
        <f>IF($A157="","",VLOOKUP($A157,'Annex 2 EHV charges'!$D:$O,4,0))</f>
        <v/>
      </c>
      <c r="E157" s="89" t="str">
        <f>IFERROR(IF(VLOOKUP($A157,'Annex 2 EHV charges'!$D:$O,9,FALSE)=0,"",VLOOKUP($A157,'Annex 2 EHV charges'!$D:$O,9,FALSE)),"")</f>
        <v/>
      </c>
      <c r="F157" s="90" t="str">
        <f>IFERROR(IF(VLOOKUP($A157,'Annex 2 EHV charges'!$D:$O,10,FALSE)=0,"",VLOOKUP($A157,'Annex 2 EHV charges'!$D:$O,10,FALSE)),"")</f>
        <v/>
      </c>
      <c r="G157" s="91" t="str">
        <f>IFERROR(IF(VLOOKUP($A157,'Annex 2 EHV charges'!$D:$O,11,FALSE)=0,"",VLOOKUP($A157,'Annex 2 EHV charges'!$D:$O,11,FALSE)),"")</f>
        <v/>
      </c>
      <c r="H157" s="91" t="str">
        <f>IFERROR(IF(VLOOKUP($A157,'Annex 2 EHV charges'!$D:$O,12,FALSE)=0,"",VLOOKUP($A157,'Annex 2 EHV charges'!$D:$O,12,FALSE)),"")</f>
        <v/>
      </c>
    </row>
    <row r="158" spans="1:8" x14ac:dyDescent="0.35">
      <c r="A158" s="88" t="str">
        <f t="array" ref="A158">IFERROR(INDEX('Annex 2 EHV charges'!$D$11:$D$260, MATCH(0, IF(ISBLANK('Annex 2 EHV charges'!$D$11:$D$260),1, COUNTIF(A$4:$A157, 'Annex 2 EHV charges'!$D$11:$D$260)), 0)),"")</f>
        <v/>
      </c>
      <c r="B158" s="87" t="str">
        <f>IF($A158="","",VLOOKUP($A158,'Annex 2 EHV charges'!$D:$O,2,0))</f>
        <v/>
      </c>
      <c r="C158" s="88" t="str">
        <f>IF($A158="","",VLOOKUP($A158,'Annex 2 EHV charges'!$D:$O,3,0))</f>
        <v/>
      </c>
      <c r="D158" s="87" t="str">
        <f>IF($A158="","",VLOOKUP($A158,'Annex 2 EHV charges'!$D:$O,4,0))</f>
        <v/>
      </c>
      <c r="E158" s="89" t="str">
        <f>IFERROR(IF(VLOOKUP($A158,'Annex 2 EHV charges'!$D:$O,9,FALSE)=0,"",VLOOKUP($A158,'Annex 2 EHV charges'!$D:$O,9,FALSE)),"")</f>
        <v/>
      </c>
      <c r="F158" s="90" t="str">
        <f>IFERROR(IF(VLOOKUP($A158,'Annex 2 EHV charges'!$D:$O,10,FALSE)=0,"",VLOOKUP($A158,'Annex 2 EHV charges'!$D:$O,10,FALSE)),"")</f>
        <v/>
      </c>
      <c r="G158" s="91" t="str">
        <f>IFERROR(IF(VLOOKUP($A158,'Annex 2 EHV charges'!$D:$O,11,FALSE)=0,"",VLOOKUP($A158,'Annex 2 EHV charges'!$D:$O,11,FALSE)),"")</f>
        <v/>
      </c>
      <c r="H158" s="91" t="str">
        <f>IFERROR(IF(VLOOKUP($A158,'Annex 2 EHV charges'!$D:$O,12,FALSE)=0,"",VLOOKUP($A158,'Annex 2 EHV charges'!$D:$O,12,FALSE)),"")</f>
        <v/>
      </c>
    </row>
    <row r="159" spans="1:8" x14ac:dyDescent="0.35">
      <c r="A159" s="88" t="str">
        <f t="array" ref="A159">IFERROR(INDEX('Annex 2 EHV charges'!$D$11:$D$260, MATCH(0, IF(ISBLANK('Annex 2 EHV charges'!$D$11:$D$260),1, COUNTIF(A$4:$A158, 'Annex 2 EHV charges'!$D$11:$D$260)), 0)),"")</f>
        <v/>
      </c>
      <c r="B159" s="87" t="str">
        <f>IF($A159="","",VLOOKUP($A159,'Annex 2 EHV charges'!$D:$O,2,0))</f>
        <v/>
      </c>
      <c r="C159" s="88" t="str">
        <f>IF($A159="","",VLOOKUP($A159,'Annex 2 EHV charges'!$D:$O,3,0))</f>
        <v/>
      </c>
      <c r="D159" s="87" t="str">
        <f>IF($A159="","",VLOOKUP($A159,'Annex 2 EHV charges'!$D:$O,4,0))</f>
        <v/>
      </c>
      <c r="E159" s="89" t="str">
        <f>IFERROR(IF(VLOOKUP($A159,'Annex 2 EHV charges'!$D:$O,9,FALSE)=0,"",VLOOKUP($A159,'Annex 2 EHV charges'!$D:$O,9,FALSE)),"")</f>
        <v/>
      </c>
      <c r="F159" s="90" t="str">
        <f>IFERROR(IF(VLOOKUP($A159,'Annex 2 EHV charges'!$D:$O,10,FALSE)=0,"",VLOOKUP($A159,'Annex 2 EHV charges'!$D:$O,10,FALSE)),"")</f>
        <v/>
      </c>
      <c r="G159" s="91" t="str">
        <f>IFERROR(IF(VLOOKUP($A159,'Annex 2 EHV charges'!$D:$O,11,FALSE)=0,"",VLOOKUP($A159,'Annex 2 EHV charges'!$D:$O,11,FALSE)),"")</f>
        <v/>
      </c>
      <c r="H159" s="91" t="str">
        <f>IFERROR(IF(VLOOKUP($A159,'Annex 2 EHV charges'!$D:$O,12,FALSE)=0,"",VLOOKUP($A159,'Annex 2 EHV charges'!$D:$O,12,FALSE)),"")</f>
        <v/>
      </c>
    </row>
    <row r="160" spans="1:8" x14ac:dyDescent="0.35">
      <c r="A160" s="88" t="str">
        <f t="array" ref="A160">IFERROR(INDEX('Annex 2 EHV charges'!$D$11:$D$260, MATCH(0, IF(ISBLANK('Annex 2 EHV charges'!$D$11:$D$260),1, COUNTIF(A$4:$A159, 'Annex 2 EHV charges'!$D$11:$D$260)), 0)),"")</f>
        <v/>
      </c>
      <c r="B160" s="87" t="str">
        <f>IF($A160="","",VLOOKUP($A160,'Annex 2 EHV charges'!$D:$O,2,0))</f>
        <v/>
      </c>
      <c r="C160" s="88" t="str">
        <f>IF($A160="","",VLOOKUP($A160,'Annex 2 EHV charges'!$D:$O,3,0))</f>
        <v/>
      </c>
      <c r="D160" s="87" t="str">
        <f>IF($A160="","",VLOOKUP($A160,'Annex 2 EHV charges'!$D:$O,4,0))</f>
        <v/>
      </c>
      <c r="E160" s="89" t="str">
        <f>IFERROR(IF(VLOOKUP($A160,'Annex 2 EHV charges'!$D:$O,9,FALSE)=0,"",VLOOKUP($A160,'Annex 2 EHV charges'!$D:$O,9,FALSE)),"")</f>
        <v/>
      </c>
      <c r="F160" s="90" t="str">
        <f>IFERROR(IF(VLOOKUP($A160,'Annex 2 EHV charges'!$D:$O,10,FALSE)=0,"",VLOOKUP($A160,'Annex 2 EHV charges'!$D:$O,10,FALSE)),"")</f>
        <v/>
      </c>
      <c r="G160" s="91" t="str">
        <f>IFERROR(IF(VLOOKUP($A160,'Annex 2 EHV charges'!$D:$O,11,FALSE)=0,"",VLOOKUP($A160,'Annex 2 EHV charges'!$D:$O,11,FALSE)),"")</f>
        <v/>
      </c>
      <c r="H160" s="91" t="str">
        <f>IFERROR(IF(VLOOKUP($A160,'Annex 2 EHV charges'!$D:$O,12,FALSE)=0,"",VLOOKUP($A160,'Annex 2 EHV charges'!$D:$O,12,FALSE)),"")</f>
        <v/>
      </c>
    </row>
    <row r="161" spans="1:8" x14ac:dyDescent="0.35">
      <c r="A161" s="88" t="str">
        <f t="array" ref="A161">IFERROR(INDEX('Annex 2 EHV charges'!$D$11:$D$260, MATCH(0, IF(ISBLANK('Annex 2 EHV charges'!$D$11:$D$260),1, COUNTIF(A$4:$A160, 'Annex 2 EHV charges'!$D$11:$D$260)), 0)),"")</f>
        <v/>
      </c>
      <c r="B161" s="87" t="str">
        <f>IF($A161="","",VLOOKUP($A161,'Annex 2 EHV charges'!$D:$O,2,0))</f>
        <v/>
      </c>
      <c r="C161" s="88" t="str">
        <f>IF($A161="","",VLOOKUP($A161,'Annex 2 EHV charges'!$D:$O,3,0))</f>
        <v/>
      </c>
      <c r="D161" s="87" t="str">
        <f>IF($A161="","",VLOOKUP($A161,'Annex 2 EHV charges'!$D:$O,4,0))</f>
        <v/>
      </c>
      <c r="E161" s="89" t="str">
        <f>IFERROR(IF(VLOOKUP($A161,'Annex 2 EHV charges'!$D:$O,9,FALSE)=0,"",VLOOKUP($A161,'Annex 2 EHV charges'!$D:$O,9,FALSE)),"")</f>
        <v/>
      </c>
      <c r="F161" s="90" t="str">
        <f>IFERROR(IF(VLOOKUP($A161,'Annex 2 EHV charges'!$D:$O,10,FALSE)=0,"",VLOOKUP($A161,'Annex 2 EHV charges'!$D:$O,10,FALSE)),"")</f>
        <v/>
      </c>
      <c r="G161" s="91" t="str">
        <f>IFERROR(IF(VLOOKUP($A161,'Annex 2 EHV charges'!$D:$O,11,FALSE)=0,"",VLOOKUP($A161,'Annex 2 EHV charges'!$D:$O,11,FALSE)),"")</f>
        <v/>
      </c>
      <c r="H161" s="91" t="str">
        <f>IFERROR(IF(VLOOKUP($A161,'Annex 2 EHV charges'!$D:$O,12,FALSE)=0,"",VLOOKUP($A161,'Annex 2 EHV charges'!$D:$O,12,FALSE)),"")</f>
        <v/>
      </c>
    </row>
    <row r="162" spans="1:8" x14ac:dyDescent="0.35">
      <c r="A162" s="88" t="str">
        <f t="array" ref="A162">IFERROR(INDEX('Annex 2 EHV charges'!$D$11:$D$260, MATCH(0, IF(ISBLANK('Annex 2 EHV charges'!$D$11:$D$260),1, COUNTIF(A$4:$A161, 'Annex 2 EHV charges'!$D$11:$D$260)), 0)),"")</f>
        <v/>
      </c>
      <c r="B162" s="87" t="str">
        <f>IF($A162="","",VLOOKUP($A162,'Annex 2 EHV charges'!$D:$O,2,0))</f>
        <v/>
      </c>
      <c r="C162" s="88" t="str">
        <f>IF($A162="","",VLOOKUP($A162,'Annex 2 EHV charges'!$D:$O,3,0))</f>
        <v/>
      </c>
      <c r="D162" s="87" t="str">
        <f>IF($A162="","",VLOOKUP($A162,'Annex 2 EHV charges'!$D:$O,4,0))</f>
        <v/>
      </c>
      <c r="E162" s="89" t="str">
        <f>IFERROR(IF(VLOOKUP($A162,'Annex 2 EHV charges'!$D:$O,9,FALSE)=0,"",VLOOKUP($A162,'Annex 2 EHV charges'!$D:$O,9,FALSE)),"")</f>
        <v/>
      </c>
      <c r="F162" s="90" t="str">
        <f>IFERROR(IF(VLOOKUP($A162,'Annex 2 EHV charges'!$D:$O,10,FALSE)=0,"",VLOOKUP($A162,'Annex 2 EHV charges'!$D:$O,10,FALSE)),"")</f>
        <v/>
      </c>
      <c r="G162" s="91" t="str">
        <f>IFERROR(IF(VLOOKUP($A162,'Annex 2 EHV charges'!$D:$O,11,FALSE)=0,"",VLOOKUP($A162,'Annex 2 EHV charges'!$D:$O,11,FALSE)),"")</f>
        <v/>
      </c>
      <c r="H162" s="91" t="str">
        <f>IFERROR(IF(VLOOKUP($A162,'Annex 2 EHV charges'!$D:$O,12,FALSE)=0,"",VLOOKUP($A162,'Annex 2 EHV charges'!$D:$O,12,FALSE)),"")</f>
        <v/>
      </c>
    </row>
    <row r="163" spans="1:8" x14ac:dyDescent="0.35">
      <c r="A163" s="88" t="str">
        <f t="array" ref="A163">IFERROR(INDEX('Annex 2 EHV charges'!$D$11:$D$260, MATCH(0, IF(ISBLANK('Annex 2 EHV charges'!$D$11:$D$260),1, COUNTIF(A$4:$A162, 'Annex 2 EHV charges'!$D$11:$D$260)), 0)),"")</f>
        <v/>
      </c>
      <c r="B163" s="87" t="str">
        <f>IF($A163="","",VLOOKUP($A163,'Annex 2 EHV charges'!$D:$O,2,0))</f>
        <v/>
      </c>
      <c r="C163" s="88" t="str">
        <f>IF($A163="","",VLOOKUP($A163,'Annex 2 EHV charges'!$D:$O,3,0))</f>
        <v/>
      </c>
      <c r="D163" s="87" t="str">
        <f>IF($A163="","",VLOOKUP($A163,'Annex 2 EHV charges'!$D:$O,4,0))</f>
        <v/>
      </c>
      <c r="E163" s="89" t="str">
        <f>IFERROR(IF(VLOOKUP($A163,'Annex 2 EHV charges'!$D:$O,9,FALSE)=0,"",VLOOKUP($A163,'Annex 2 EHV charges'!$D:$O,9,FALSE)),"")</f>
        <v/>
      </c>
      <c r="F163" s="90" t="str">
        <f>IFERROR(IF(VLOOKUP($A163,'Annex 2 EHV charges'!$D:$O,10,FALSE)=0,"",VLOOKUP($A163,'Annex 2 EHV charges'!$D:$O,10,FALSE)),"")</f>
        <v/>
      </c>
      <c r="G163" s="91" t="str">
        <f>IFERROR(IF(VLOOKUP($A163,'Annex 2 EHV charges'!$D:$O,11,FALSE)=0,"",VLOOKUP($A163,'Annex 2 EHV charges'!$D:$O,11,FALSE)),"")</f>
        <v/>
      </c>
      <c r="H163" s="91" t="str">
        <f>IFERROR(IF(VLOOKUP($A163,'Annex 2 EHV charges'!$D:$O,12,FALSE)=0,"",VLOOKUP($A163,'Annex 2 EHV charges'!$D:$O,12,FALSE)),"")</f>
        <v/>
      </c>
    </row>
    <row r="164" spans="1:8" x14ac:dyDescent="0.35">
      <c r="A164" s="88" t="str">
        <f t="array" ref="A164">IFERROR(INDEX('Annex 2 EHV charges'!$D$11:$D$260, MATCH(0, IF(ISBLANK('Annex 2 EHV charges'!$D$11:$D$260),1, COUNTIF(A$4:$A163, 'Annex 2 EHV charges'!$D$11:$D$260)), 0)),"")</f>
        <v/>
      </c>
      <c r="B164" s="87" t="str">
        <f>IF($A164="","",VLOOKUP($A164,'Annex 2 EHV charges'!$D:$O,2,0))</f>
        <v/>
      </c>
      <c r="C164" s="88" t="str">
        <f>IF($A164="","",VLOOKUP($A164,'Annex 2 EHV charges'!$D:$O,3,0))</f>
        <v/>
      </c>
      <c r="D164" s="87" t="str">
        <f>IF($A164="","",VLOOKUP($A164,'Annex 2 EHV charges'!$D:$O,4,0))</f>
        <v/>
      </c>
      <c r="E164" s="89" t="str">
        <f>IFERROR(IF(VLOOKUP($A164,'Annex 2 EHV charges'!$D:$O,9,FALSE)=0,"",VLOOKUP($A164,'Annex 2 EHV charges'!$D:$O,9,FALSE)),"")</f>
        <v/>
      </c>
      <c r="F164" s="90" t="str">
        <f>IFERROR(IF(VLOOKUP($A164,'Annex 2 EHV charges'!$D:$O,10,FALSE)=0,"",VLOOKUP($A164,'Annex 2 EHV charges'!$D:$O,10,FALSE)),"")</f>
        <v/>
      </c>
      <c r="G164" s="91" t="str">
        <f>IFERROR(IF(VLOOKUP($A164,'Annex 2 EHV charges'!$D:$O,11,FALSE)=0,"",VLOOKUP($A164,'Annex 2 EHV charges'!$D:$O,11,FALSE)),"")</f>
        <v/>
      </c>
      <c r="H164" s="91" t="str">
        <f>IFERROR(IF(VLOOKUP($A164,'Annex 2 EHV charges'!$D:$O,12,FALSE)=0,"",VLOOKUP($A164,'Annex 2 EHV charges'!$D:$O,12,FALSE)),"")</f>
        <v/>
      </c>
    </row>
    <row r="165" spans="1:8" x14ac:dyDescent="0.35">
      <c r="A165" s="88" t="str">
        <f t="array" ref="A165">IFERROR(INDEX('Annex 2 EHV charges'!$D$11:$D$260, MATCH(0, IF(ISBLANK('Annex 2 EHV charges'!$D$11:$D$260),1, COUNTIF(A$4:$A164, 'Annex 2 EHV charges'!$D$11:$D$260)), 0)),"")</f>
        <v/>
      </c>
      <c r="B165" s="87" t="str">
        <f>IF($A165="","",VLOOKUP($A165,'Annex 2 EHV charges'!$D:$O,2,0))</f>
        <v/>
      </c>
      <c r="C165" s="88" t="str">
        <f>IF($A165="","",VLOOKUP($A165,'Annex 2 EHV charges'!$D:$O,3,0))</f>
        <v/>
      </c>
      <c r="D165" s="87" t="str">
        <f>IF($A165="","",VLOOKUP($A165,'Annex 2 EHV charges'!$D:$O,4,0))</f>
        <v/>
      </c>
      <c r="E165" s="89" t="str">
        <f>IFERROR(IF(VLOOKUP($A165,'Annex 2 EHV charges'!$D:$O,9,FALSE)=0,"",VLOOKUP($A165,'Annex 2 EHV charges'!$D:$O,9,FALSE)),"")</f>
        <v/>
      </c>
      <c r="F165" s="90" t="str">
        <f>IFERROR(IF(VLOOKUP($A165,'Annex 2 EHV charges'!$D:$O,10,FALSE)=0,"",VLOOKUP($A165,'Annex 2 EHV charges'!$D:$O,10,FALSE)),"")</f>
        <v/>
      </c>
      <c r="G165" s="91" t="str">
        <f>IFERROR(IF(VLOOKUP($A165,'Annex 2 EHV charges'!$D:$O,11,FALSE)=0,"",VLOOKUP($A165,'Annex 2 EHV charges'!$D:$O,11,FALSE)),"")</f>
        <v/>
      </c>
      <c r="H165" s="91" t="str">
        <f>IFERROR(IF(VLOOKUP($A165,'Annex 2 EHV charges'!$D:$O,12,FALSE)=0,"",VLOOKUP($A165,'Annex 2 EHV charges'!$D:$O,12,FALSE)),"")</f>
        <v/>
      </c>
    </row>
    <row r="166" spans="1:8" x14ac:dyDescent="0.35">
      <c r="A166" s="88" t="str">
        <f t="array" ref="A166">IFERROR(INDEX('Annex 2 EHV charges'!$D$11:$D$260, MATCH(0, IF(ISBLANK('Annex 2 EHV charges'!$D$11:$D$260),1, COUNTIF(A$4:$A165, 'Annex 2 EHV charges'!$D$11:$D$260)), 0)),"")</f>
        <v/>
      </c>
      <c r="B166" s="87" t="str">
        <f>IF($A166="","",VLOOKUP($A166,'Annex 2 EHV charges'!$D:$O,2,0))</f>
        <v/>
      </c>
      <c r="C166" s="88" t="str">
        <f>IF($A166="","",VLOOKUP($A166,'Annex 2 EHV charges'!$D:$O,3,0))</f>
        <v/>
      </c>
      <c r="D166" s="87" t="str">
        <f>IF($A166="","",VLOOKUP($A166,'Annex 2 EHV charges'!$D:$O,4,0))</f>
        <v/>
      </c>
      <c r="E166" s="89" t="str">
        <f>IFERROR(IF(VLOOKUP($A166,'Annex 2 EHV charges'!$D:$O,9,FALSE)=0,"",VLOOKUP($A166,'Annex 2 EHV charges'!$D:$O,9,FALSE)),"")</f>
        <v/>
      </c>
      <c r="F166" s="90" t="str">
        <f>IFERROR(IF(VLOOKUP($A166,'Annex 2 EHV charges'!$D:$O,10,FALSE)=0,"",VLOOKUP($A166,'Annex 2 EHV charges'!$D:$O,10,FALSE)),"")</f>
        <v/>
      </c>
      <c r="G166" s="91" t="str">
        <f>IFERROR(IF(VLOOKUP($A166,'Annex 2 EHV charges'!$D:$O,11,FALSE)=0,"",VLOOKUP($A166,'Annex 2 EHV charges'!$D:$O,11,FALSE)),"")</f>
        <v/>
      </c>
      <c r="H166" s="91" t="str">
        <f>IFERROR(IF(VLOOKUP($A166,'Annex 2 EHV charges'!$D:$O,12,FALSE)=0,"",VLOOKUP($A166,'Annex 2 EHV charges'!$D:$O,12,FALSE)),"")</f>
        <v/>
      </c>
    </row>
    <row r="167" spans="1:8" x14ac:dyDescent="0.35">
      <c r="A167" s="88" t="str">
        <f t="array" ref="A167">IFERROR(INDEX('Annex 2 EHV charges'!$D$11:$D$260, MATCH(0, IF(ISBLANK('Annex 2 EHV charges'!$D$11:$D$260),1, COUNTIF(A$4:$A166, 'Annex 2 EHV charges'!$D$11:$D$260)), 0)),"")</f>
        <v/>
      </c>
      <c r="B167" s="87" t="str">
        <f>IF($A167="","",VLOOKUP($A167,'Annex 2 EHV charges'!$D:$O,2,0))</f>
        <v/>
      </c>
      <c r="C167" s="88" t="str">
        <f>IF($A167="","",VLOOKUP($A167,'Annex 2 EHV charges'!$D:$O,3,0))</f>
        <v/>
      </c>
      <c r="D167" s="87" t="str">
        <f>IF($A167="","",VLOOKUP($A167,'Annex 2 EHV charges'!$D:$O,4,0))</f>
        <v/>
      </c>
      <c r="E167" s="89" t="str">
        <f>IFERROR(IF(VLOOKUP($A167,'Annex 2 EHV charges'!$D:$O,9,FALSE)=0,"",VLOOKUP($A167,'Annex 2 EHV charges'!$D:$O,9,FALSE)),"")</f>
        <v/>
      </c>
      <c r="F167" s="90" t="str">
        <f>IFERROR(IF(VLOOKUP($A167,'Annex 2 EHV charges'!$D:$O,10,FALSE)=0,"",VLOOKUP($A167,'Annex 2 EHV charges'!$D:$O,10,FALSE)),"")</f>
        <v/>
      </c>
      <c r="G167" s="91" t="str">
        <f>IFERROR(IF(VLOOKUP($A167,'Annex 2 EHV charges'!$D:$O,11,FALSE)=0,"",VLOOKUP($A167,'Annex 2 EHV charges'!$D:$O,11,FALSE)),"")</f>
        <v/>
      </c>
      <c r="H167" s="91" t="str">
        <f>IFERROR(IF(VLOOKUP($A167,'Annex 2 EHV charges'!$D:$O,12,FALSE)=0,"",VLOOKUP($A167,'Annex 2 EHV charges'!$D:$O,12,FALSE)),"")</f>
        <v/>
      </c>
    </row>
    <row r="168" spans="1:8" x14ac:dyDescent="0.35">
      <c r="A168" s="88" t="str">
        <f t="array" ref="A168">IFERROR(INDEX('Annex 2 EHV charges'!$D$11:$D$260, MATCH(0, IF(ISBLANK('Annex 2 EHV charges'!$D$11:$D$260),1, COUNTIF(A$4:$A167, 'Annex 2 EHV charges'!$D$11:$D$260)), 0)),"")</f>
        <v/>
      </c>
      <c r="B168" s="87" t="str">
        <f>IF($A168="","",VLOOKUP($A168,'Annex 2 EHV charges'!$D:$O,2,0))</f>
        <v/>
      </c>
      <c r="C168" s="88" t="str">
        <f>IF($A168="","",VLOOKUP($A168,'Annex 2 EHV charges'!$D:$O,3,0))</f>
        <v/>
      </c>
      <c r="D168" s="87" t="str">
        <f>IF($A168="","",VLOOKUP($A168,'Annex 2 EHV charges'!$D:$O,4,0))</f>
        <v/>
      </c>
      <c r="E168" s="89" t="str">
        <f>IFERROR(IF(VLOOKUP($A168,'Annex 2 EHV charges'!$D:$O,9,FALSE)=0,"",VLOOKUP($A168,'Annex 2 EHV charges'!$D:$O,9,FALSE)),"")</f>
        <v/>
      </c>
      <c r="F168" s="90" t="str">
        <f>IFERROR(IF(VLOOKUP($A168,'Annex 2 EHV charges'!$D:$O,10,FALSE)=0,"",VLOOKUP($A168,'Annex 2 EHV charges'!$D:$O,10,FALSE)),"")</f>
        <v/>
      </c>
      <c r="G168" s="91" t="str">
        <f>IFERROR(IF(VLOOKUP($A168,'Annex 2 EHV charges'!$D:$O,11,FALSE)=0,"",VLOOKUP($A168,'Annex 2 EHV charges'!$D:$O,11,FALSE)),"")</f>
        <v/>
      </c>
      <c r="H168" s="91" t="str">
        <f>IFERROR(IF(VLOOKUP($A168,'Annex 2 EHV charges'!$D:$O,12,FALSE)=0,"",VLOOKUP($A168,'Annex 2 EHV charges'!$D:$O,12,FALSE)),"")</f>
        <v/>
      </c>
    </row>
    <row r="169" spans="1:8" x14ac:dyDescent="0.35">
      <c r="A169" s="88" t="str">
        <f t="array" ref="A169">IFERROR(INDEX('Annex 2 EHV charges'!$D$11:$D$260, MATCH(0, IF(ISBLANK('Annex 2 EHV charges'!$D$11:$D$260),1, COUNTIF(A$4:$A168, 'Annex 2 EHV charges'!$D$11:$D$260)), 0)),"")</f>
        <v/>
      </c>
      <c r="B169" s="87" t="str">
        <f>IF($A169="","",VLOOKUP($A169,'Annex 2 EHV charges'!$D:$O,2,0))</f>
        <v/>
      </c>
      <c r="C169" s="88" t="str">
        <f>IF($A169="","",VLOOKUP($A169,'Annex 2 EHV charges'!$D:$O,3,0))</f>
        <v/>
      </c>
      <c r="D169" s="87" t="str">
        <f>IF($A169="","",VLOOKUP($A169,'Annex 2 EHV charges'!$D:$O,4,0))</f>
        <v/>
      </c>
      <c r="E169" s="89" t="str">
        <f>IFERROR(IF(VLOOKUP($A169,'Annex 2 EHV charges'!$D:$O,9,FALSE)=0,"",VLOOKUP($A169,'Annex 2 EHV charges'!$D:$O,9,FALSE)),"")</f>
        <v/>
      </c>
      <c r="F169" s="90" t="str">
        <f>IFERROR(IF(VLOOKUP($A169,'Annex 2 EHV charges'!$D:$O,10,FALSE)=0,"",VLOOKUP($A169,'Annex 2 EHV charges'!$D:$O,10,FALSE)),"")</f>
        <v/>
      </c>
      <c r="G169" s="91" t="str">
        <f>IFERROR(IF(VLOOKUP($A169,'Annex 2 EHV charges'!$D:$O,11,FALSE)=0,"",VLOOKUP($A169,'Annex 2 EHV charges'!$D:$O,11,FALSE)),"")</f>
        <v/>
      </c>
      <c r="H169" s="91" t="str">
        <f>IFERROR(IF(VLOOKUP($A169,'Annex 2 EHV charges'!$D:$O,12,FALSE)=0,"",VLOOKUP($A169,'Annex 2 EHV charges'!$D:$O,12,FALSE)),"")</f>
        <v/>
      </c>
    </row>
    <row r="170" spans="1:8" x14ac:dyDescent="0.35">
      <c r="A170" s="88" t="str">
        <f t="array" ref="A170">IFERROR(INDEX('Annex 2 EHV charges'!$D$11:$D$260, MATCH(0, IF(ISBLANK('Annex 2 EHV charges'!$D$11:$D$260),1, COUNTIF(A$4:$A169, 'Annex 2 EHV charges'!$D$11:$D$260)), 0)),"")</f>
        <v/>
      </c>
      <c r="B170" s="87" t="str">
        <f>IF($A170="","",VLOOKUP($A170,'Annex 2 EHV charges'!$D:$O,2,0))</f>
        <v/>
      </c>
      <c r="C170" s="88" t="str">
        <f>IF($A170="","",VLOOKUP($A170,'Annex 2 EHV charges'!$D:$O,3,0))</f>
        <v/>
      </c>
      <c r="D170" s="87" t="str">
        <f>IF($A170="","",VLOOKUP($A170,'Annex 2 EHV charges'!$D:$O,4,0))</f>
        <v/>
      </c>
      <c r="E170" s="89" t="str">
        <f>IFERROR(IF(VLOOKUP($A170,'Annex 2 EHV charges'!$D:$O,9,FALSE)=0,"",VLOOKUP($A170,'Annex 2 EHV charges'!$D:$O,9,FALSE)),"")</f>
        <v/>
      </c>
      <c r="F170" s="90" t="str">
        <f>IFERROR(IF(VLOOKUP($A170,'Annex 2 EHV charges'!$D:$O,10,FALSE)=0,"",VLOOKUP($A170,'Annex 2 EHV charges'!$D:$O,10,FALSE)),"")</f>
        <v/>
      </c>
      <c r="G170" s="91" t="str">
        <f>IFERROR(IF(VLOOKUP($A170,'Annex 2 EHV charges'!$D:$O,11,FALSE)=0,"",VLOOKUP($A170,'Annex 2 EHV charges'!$D:$O,11,FALSE)),"")</f>
        <v/>
      </c>
      <c r="H170" s="91" t="str">
        <f>IFERROR(IF(VLOOKUP($A170,'Annex 2 EHV charges'!$D:$O,12,FALSE)=0,"",VLOOKUP($A170,'Annex 2 EHV charges'!$D:$O,12,FALSE)),"")</f>
        <v/>
      </c>
    </row>
    <row r="171" spans="1:8" x14ac:dyDescent="0.35">
      <c r="A171" s="88" t="str">
        <f t="array" ref="A171">IFERROR(INDEX('Annex 2 EHV charges'!$D$11:$D$260, MATCH(0, IF(ISBLANK('Annex 2 EHV charges'!$D$11:$D$260),1, COUNTIF(A$4:$A170, 'Annex 2 EHV charges'!$D$11:$D$260)), 0)),"")</f>
        <v/>
      </c>
      <c r="B171" s="87" t="str">
        <f>IF($A171="","",VLOOKUP($A171,'Annex 2 EHV charges'!$D:$O,2,0))</f>
        <v/>
      </c>
      <c r="C171" s="88" t="str">
        <f>IF($A171="","",VLOOKUP($A171,'Annex 2 EHV charges'!$D:$O,3,0))</f>
        <v/>
      </c>
      <c r="D171" s="87" t="str">
        <f>IF($A171="","",VLOOKUP($A171,'Annex 2 EHV charges'!$D:$O,4,0))</f>
        <v/>
      </c>
      <c r="E171" s="89" t="str">
        <f>IFERROR(IF(VLOOKUP($A171,'Annex 2 EHV charges'!$D:$O,9,FALSE)=0,"",VLOOKUP($A171,'Annex 2 EHV charges'!$D:$O,9,FALSE)),"")</f>
        <v/>
      </c>
      <c r="F171" s="90" t="str">
        <f>IFERROR(IF(VLOOKUP($A171,'Annex 2 EHV charges'!$D:$O,10,FALSE)=0,"",VLOOKUP($A171,'Annex 2 EHV charges'!$D:$O,10,FALSE)),"")</f>
        <v/>
      </c>
      <c r="G171" s="91" t="str">
        <f>IFERROR(IF(VLOOKUP($A171,'Annex 2 EHV charges'!$D:$O,11,FALSE)=0,"",VLOOKUP($A171,'Annex 2 EHV charges'!$D:$O,11,FALSE)),"")</f>
        <v/>
      </c>
      <c r="H171" s="91" t="str">
        <f>IFERROR(IF(VLOOKUP($A171,'Annex 2 EHV charges'!$D:$O,12,FALSE)=0,"",VLOOKUP($A171,'Annex 2 EHV charges'!$D:$O,12,FALSE)),"")</f>
        <v/>
      </c>
    </row>
    <row r="172" spans="1:8" x14ac:dyDescent="0.35">
      <c r="A172" s="88" t="str">
        <f t="array" ref="A172">IFERROR(INDEX('Annex 2 EHV charges'!$D$11:$D$260, MATCH(0, IF(ISBLANK('Annex 2 EHV charges'!$D$11:$D$260),1, COUNTIF(A$4:$A171, 'Annex 2 EHV charges'!$D$11:$D$260)), 0)),"")</f>
        <v/>
      </c>
      <c r="B172" s="87" t="str">
        <f>IF($A172="","",VLOOKUP($A172,'Annex 2 EHV charges'!$D:$O,2,0))</f>
        <v/>
      </c>
      <c r="C172" s="88" t="str">
        <f>IF($A172="","",VLOOKUP($A172,'Annex 2 EHV charges'!$D:$O,3,0))</f>
        <v/>
      </c>
      <c r="D172" s="87" t="str">
        <f>IF($A172="","",VLOOKUP($A172,'Annex 2 EHV charges'!$D:$O,4,0))</f>
        <v/>
      </c>
      <c r="E172" s="89" t="str">
        <f>IFERROR(IF(VLOOKUP($A172,'Annex 2 EHV charges'!$D:$O,9,FALSE)=0,"",VLOOKUP($A172,'Annex 2 EHV charges'!$D:$O,9,FALSE)),"")</f>
        <v/>
      </c>
      <c r="F172" s="90" t="str">
        <f>IFERROR(IF(VLOOKUP($A172,'Annex 2 EHV charges'!$D:$O,10,FALSE)=0,"",VLOOKUP($A172,'Annex 2 EHV charges'!$D:$O,10,FALSE)),"")</f>
        <v/>
      </c>
      <c r="G172" s="91" t="str">
        <f>IFERROR(IF(VLOOKUP($A172,'Annex 2 EHV charges'!$D:$O,11,FALSE)=0,"",VLOOKUP($A172,'Annex 2 EHV charges'!$D:$O,11,FALSE)),"")</f>
        <v/>
      </c>
      <c r="H172" s="91" t="str">
        <f>IFERROR(IF(VLOOKUP($A172,'Annex 2 EHV charges'!$D:$O,12,FALSE)=0,"",VLOOKUP($A172,'Annex 2 EHV charges'!$D:$O,12,FALSE)),"")</f>
        <v/>
      </c>
    </row>
    <row r="173" spans="1:8" x14ac:dyDescent="0.35">
      <c r="A173" s="88" t="str">
        <f t="array" ref="A173">IFERROR(INDEX('Annex 2 EHV charges'!$D$11:$D$260, MATCH(0, IF(ISBLANK('Annex 2 EHV charges'!$D$11:$D$260),1, COUNTIF(A$4:$A172, 'Annex 2 EHV charges'!$D$11:$D$260)), 0)),"")</f>
        <v/>
      </c>
      <c r="B173" s="87" t="str">
        <f>IF($A173="","",VLOOKUP($A173,'Annex 2 EHV charges'!$D:$O,2,0))</f>
        <v/>
      </c>
      <c r="C173" s="88" t="str">
        <f>IF($A173="","",VLOOKUP($A173,'Annex 2 EHV charges'!$D:$O,3,0))</f>
        <v/>
      </c>
      <c r="D173" s="87" t="str">
        <f>IF($A173="","",VLOOKUP($A173,'Annex 2 EHV charges'!$D:$O,4,0))</f>
        <v/>
      </c>
      <c r="E173" s="89" t="str">
        <f>IFERROR(IF(VLOOKUP($A173,'Annex 2 EHV charges'!$D:$O,9,FALSE)=0,"",VLOOKUP($A173,'Annex 2 EHV charges'!$D:$O,9,FALSE)),"")</f>
        <v/>
      </c>
      <c r="F173" s="90" t="str">
        <f>IFERROR(IF(VLOOKUP($A173,'Annex 2 EHV charges'!$D:$O,10,FALSE)=0,"",VLOOKUP($A173,'Annex 2 EHV charges'!$D:$O,10,FALSE)),"")</f>
        <v/>
      </c>
      <c r="G173" s="91" t="str">
        <f>IFERROR(IF(VLOOKUP($A173,'Annex 2 EHV charges'!$D:$O,11,FALSE)=0,"",VLOOKUP($A173,'Annex 2 EHV charges'!$D:$O,11,FALSE)),"")</f>
        <v/>
      </c>
      <c r="H173" s="91" t="str">
        <f>IFERROR(IF(VLOOKUP($A173,'Annex 2 EHV charges'!$D:$O,12,FALSE)=0,"",VLOOKUP($A173,'Annex 2 EHV charges'!$D:$O,12,FALSE)),"")</f>
        <v/>
      </c>
    </row>
    <row r="174" spans="1:8" x14ac:dyDescent="0.35">
      <c r="A174" s="88" t="str">
        <f t="array" ref="A174">IFERROR(INDEX('Annex 2 EHV charges'!$D$11:$D$260, MATCH(0, IF(ISBLANK('Annex 2 EHV charges'!$D$11:$D$260),1, COUNTIF(A$4:$A173, 'Annex 2 EHV charges'!$D$11:$D$260)), 0)),"")</f>
        <v/>
      </c>
      <c r="B174" s="87" t="str">
        <f>IF($A174="","",VLOOKUP($A174,'Annex 2 EHV charges'!$D:$O,2,0))</f>
        <v/>
      </c>
      <c r="C174" s="88" t="str">
        <f>IF($A174="","",VLOOKUP($A174,'Annex 2 EHV charges'!$D:$O,3,0))</f>
        <v/>
      </c>
      <c r="D174" s="87" t="str">
        <f>IF($A174="","",VLOOKUP($A174,'Annex 2 EHV charges'!$D:$O,4,0))</f>
        <v/>
      </c>
      <c r="E174" s="89" t="str">
        <f>IFERROR(IF(VLOOKUP($A174,'Annex 2 EHV charges'!$D:$O,9,FALSE)=0,"",VLOOKUP($A174,'Annex 2 EHV charges'!$D:$O,9,FALSE)),"")</f>
        <v/>
      </c>
      <c r="F174" s="90" t="str">
        <f>IFERROR(IF(VLOOKUP($A174,'Annex 2 EHV charges'!$D:$O,10,FALSE)=0,"",VLOOKUP($A174,'Annex 2 EHV charges'!$D:$O,10,FALSE)),"")</f>
        <v/>
      </c>
      <c r="G174" s="91" t="str">
        <f>IFERROR(IF(VLOOKUP($A174,'Annex 2 EHV charges'!$D:$O,11,FALSE)=0,"",VLOOKUP($A174,'Annex 2 EHV charges'!$D:$O,11,FALSE)),"")</f>
        <v/>
      </c>
      <c r="H174" s="91" t="str">
        <f>IFERROR(IF(VLOOKUP($A174,'Annex 2 EHV charges'!$D:$O,12,FALSE)=0,"",VLOOKUP($A174,'Annex 2 EHV charges'!$D:$O,12,FALSE)),"")</f>
        <v/>
      </c>
    </row>
    <row r="175" spans="1:8" x14ac:dyDescent="0.35">
      <c r="A175" s="88" t="str">
        <f t="array" ref="A175">IFERROR(INDEX('Annex 2 EHV charges'!$D$11:$D$260, MATCH(0, IF(ISBLANK('Annex 2 EHV charges'!$D$11:$D$260),1, COUNTIF(A$4:$A174, 'Annex 2 EHV charges'!$D$11:$D$260)), 0)),"")</f>
        <v/>
      </c>
      <c r="B175" s="87" t="str">
        <f>IF($A175="","",VLOOKUP($A175,'Annex 2 EHV charges'!$D:$O,2,0))</f>
        <v/>
      </c>
      <c r="C175" s="88" t="str">
        <f>IF($A175="","",VLOOKUP($A175,'Annex 2 EHV charges'!$D:$O,3,0))</f>
        <v/>
      </c>
      <c r="D175" s="87" t="str">
        <f>IF($A175="","",VLOOKUP($A175,'Annex 2 EHV charges'!$D:$O,4,0))</f>
        <v/>
      </c>
      <c r="E175" s="89" t="str">
        <f>IFERROR(IF(VLOOKUP($A175,'Annex 2 EHV charges'!$D:$O,9,FALSE)=0,"",VLOOKUP($A175,'Annex 2 EHV charges'!$D:$O,9,FALSE)),"")</f>
        <v/>
      </c>
      <c r="F175" s="90" t="str">
        <f>IFERROR(IF(VLOOKUP($A175,'Annex 2 EHV charges'!$D:$O,10,FALSE)=0,"",VLOOKUP($A175,'Annex 2 EHV charges'!$D:$O,10,FALSE)),"")</f>
        <v/>
      </c>
      <c r="G175" s="91" t="str">
        <f>IFERROR(IF(VLOOKUP($A175,'Annex 2 EHV charges'!$D:$O,11,FALSE)=0,"",VLOOKUP($A175,'Annex 2 EHV charges'!$D:$O,11,FALSE)),"")</f>
        <v/>
      </c>
      <c r="H175" s="91" t="str">
        <f>IFERROR(IF(VLOOKUP($A175,'Annex 2 EHV charges'!$D:$O,12,FALSE)=0,"",VLOOKUP($A175,'Annex 2 EHV charges'!$D:$O,12,FALSE)),"")</f>
        <v/>
      </c>
    </row>
    <row r="176" spans="1:8" x14ac:dyDescent="0.35">
      <c r="A176" s="88" t="str">
        <f t="array" ref="A176">IFERROR(INDEX('Annex 2 EHV charges'!$D$11:$D$260, MATCH(0, IF(ISBLANK('Annex 2 EHV charges'!$D$11:$D$260),1, COUNTIF(A$4:$A175, 'Annex 2 EHV charges'!$D$11:$D$260)), 0)),"")</f>
        <v/>
      </c>
      <c r="B176" s="87" t="str">
        <f>IF($A176="","",VLOOKUP($A176,'Annex 2 EHV charges'!$D:$O,2,0))</f>
        <v/>
      </c>
      <c r="C176" s="88" t="str">
        <f>IF($A176="","",VLOOKUP($A176,'Annex 2 EHV charges'!$D:$O,3,0))</f>
        <v/>
      </c>
      <c r="D176" s="87" t="str">
        <f>IF($A176="","",VLOOKUP($A176,'Annex 2 EHV charges'!$D:$O,4,0))</f>
        <v/>
      </c>
      <c r="E176" s="89" t="str">
        <f>IFERROR(IF(VLOOKUP($A176,'Annex 2 EHV charges'!$D:$O,9,FALSE)=0,"",VLOOKUP($A176,'Annex 2 EHV charges'!$D:$O,9,FALSE)),"")</f>
        <v/>
      </c>
      <c r="F176" s="90" t="str">
        <f>IFERROR(IF(VLOOKUP($A176,'Annex 2 EHV charges'!$D:$O,10,FALSE)=0,"",VLOOKUP($A176,'Annex 2 EHV charges'!$D:$O,10,FALSE)),"")</f>
        <v/>
      </c>
      <c r="G176" s="91" t="str">
        <f>IFERROR(IF(VLOOKUP($A176,'Annex 2 EHV charges'!$D:$O,11,FALSE)=0,"",VLOOKUP($A176,'Annex 2 EHV charges'!$D:$O,11,FALSE)),"")</f>
        <v/>
      </c>
      <c r="H176" s="91" t="str">
        <f>IFERROR(IF(VLOOKUP($A176,'Annex 2 EHV charges'!$D:$O,12,FALSE)=0,"",VLOOKUP($A176,'Annex 2 EHV charges'!$D:$O,12,FALSE)),"")</f>
        <v/>
      </c>
    </row>
    <row r="177" spans="1:8" x14ac:dyDescent="0.35">
      <c r="A177" s="88" t="str">
        <f t="array" ref="A177">IFERROR(INDEX('Annex 2 EHV charges'!$D$11:$D$260, MATCH(0, IF(ISBLANK('Annex 2 EHV charges'!$D$11:$D$260),1, COUNTIF(A$4:$A176, 'Annex 2 EHV charges'!$D$11:$D$260)), 0)),"")</f>
        <v/>
      </c>
      <c r="B177" s="87" t="str">
        <f>IF($A177="","",VLOOKUP($A177,'Annex 2 EHV charges'!$D:$O,2,0))</f>
        <v/>
      </c>
      <c r="C177" s="88" t="str">
        <f>IF($A177="","",VLOOKUP($A177,'Annex 2 EHV charges'!$D:$O,3,0))</f>
        <v/>
      </c>
      <c r="D177" s="87" t="str">
        <f>IF($A177="","",VLOOKUP($A177,'Annex 2 EHV charges'!$D:$O,4,0))</f>
        <v/>
      </c>
      <c r="E177" s="89" t="str">
        <f>IFERROR(IF(VLOOKUP($A177,'Annex 2 EHV charges'!$D:$O,9,FALSE)=0,"",VLOOKUP($A177,'Annex 2 EHV charges'!$D:$O,9,FALSE)),"")</f>
        <v/>
      </c>
      <c r="F177" s="90" t="str">
        <f>IFERROR(IF(VLOOKUP($A177,'Annex 2 EHV charges'!$D:$O,10,FALSE)=0,"",VLOOKUP($A177,'Annex 2 EHV charges'!$D:$O,10,FALSE)),"")</f>
        <v/>
      </c>
      <c r="G177" s="91" t="str">
        <f>IFERROR(IF(VLOOKUP($A177,'Annex 2 EHV charges'!$D:$O,11,FALSE)=0,"",VLOOKUP($A177,'Annex 2 EHV charges'!$D:$O,11,FALSE)),"")</f>
        <v/>
      </c>
      <c r="H177" s="91" t="str">
        <f>IFERROR(IF(VLOOKUP($A177,'Annex 2 EHV charges'!$D:$O,12,FALSE)=0,"",VLOOKUP($A177,'Annex 2 EHV charges'!$D:$O,12,FALSE)),"")</f>
        <v/>
      </c>
    </row>
    <row r="178" spans="1:8" x14ac:dyDescent="0.35">
      <c r="A178" s="88" t="str">
        <f t="array" ref="A178">IFERROR(INDEX('Annex 2 EHV charges'!$D$11:$D$260, MATCH(0, IF(ISBLANK('Annex 2 EHV charges'!$D$11:$D$260),1, COUNTIF(A$4:$A177, 'Annex 2 EHV charges'!$D$11:$D$260)), 0)),"")</f>
        <v/>
      </c>
      <c r="B178" s="87" t="str">
        <f>IF($A178="","",VLOOKUP($A178,'Annex 2 EHV charges'!$D:$O,2,0))</f>
        <v/>
      </c>
      <c r="C178" s="88" t="str">
        <f>IF($A178="","",VLOOKUP($A178,'Annex 2 EHV charges'!$D:$O,3,0))</f>
        <v/>
      </c>
      <c r="D178" s="87" t="str">
        <f>IF($A178="","",VLOOKUP($A178,'Annex 2 EHV charges'!$D:$O,4,0))</f>
        <v/>
      </c>
      <c r="E178" s="89" t="str">
        <f>IFERROR(IF(VLOOKUP($A178,'Annex 2 EHV charges'!$D:$O,9,FALSE)=0,"",VLOOKUP($A178,'Annex 2 EHV charges'!$D:$O,9,FALSE)),"")</f>
        <v/>
      </c>
      <c r="F178" s="90" t="str">
        <f>IFERROR(IF(VLOOKUP($A178,'Annex 2 EHV charges'!$D:$O,10,FALSE)=0,"",VLOOKUP($A178,'Annex 2 EHV charges'!$D:$O,10,FALSE)),"")</f>
        <v/>
      </c>
      <c r="G178" s="91" t="str">
        <f>IFERROR(IF(VLOOKUP($A178,'Annex 2 EHV charges'!$D:$O,11,FALSE)=0,"",VLOOKUP($A178,'Annex 2 EHV charges'!$D:$O,11,FALSE)),"")</f>
        <v/>
      </c>
      <c r="H178" s="91" t="str">
        <f>IFERROR(IF(VLOOKUP($A178,'Annex 2 EHV charges'!$D:$O,12,FALSE)=0,"",VLOOKUP($A178,'Annex 2 EHV charges'!$D:$O,12,FALSE)),"")</f>
        <v/>
      </c>
    </row>
    <row r="179" spans="1:8" x14ac:dyDescent="0.35">
      <c r="A179" s="88" t="str">
        <f t="array" ref="A179">IFERROR(INDEX('Annex 2 EHV charges'!$D$11:$D$260, MATCH(0, IF(ISBLANK('Annex 2 EHV charges'!$D$11:$D$260),1, COUNTIF(A$4:$A178, 'Annex 2 EHV charges'!$D$11:$D$260)), 0)),"")</f>
        <v/>
      </c>
      <c r="B179" s="87" t="str">
        <f>IF($A179="","",VLOOKUP($A179,'Annex 2 EHV charges'!$D:$O,2,0))</f>
        <v/>
      </c>
      <c r="C179" s="88" t="str">
        <f>IF($A179="","",VLOOKUP($A179,'Annex 2 EHV charges'!$D:$O,3,0))</f>
        <v/>
      </c>
      <c r="D179" s="87" t="str">
        <f>IF($A179="","",VLOOKUP($A179,'Annex 2 EHV charges'!$D:$O,4,0))</f>
        <v/>
      </c>
      <c r="E179" s="89" t="str">
        <f>IFERROR(IF(VLOOKUP($A179,'Annex 2 EHV charges'!$D:$O,9,FALSE)=0,"",VLOOKUP($A179,'Annex 2 EHV charges'!$D:$O,9,FALSE)),"")</f>
        <v/>
      </c>
      <c r="F179" s="90" t="str">
        <f>IFERROR(IF(VLOOKUP($A179,'Annex 2 EHV charges'!$D:$O,10,FALSE)=0,"",VLOOKUP($A179,'Annex 2 EHV charges'!$D:$O,10,FALSE)),"")</f>
        <v/>
      </c>
      <c r="G179" s="91" t="str">
        <f>IFERROR(IF(VLOOKUP($A179,'Annex 2 EHV charges'!$D:$O,11,FALSE)=0,"",VLOOKUP($A179,'Annex 2 EHV charges'!$D:$O,11,FALSE)),"")</f>
        <v/>
      </c>
      <c r="H179" s="91" t="str">
        <f>IFERROR(IF(VLOOKUP($A179,'Annex 2 EHV charges'!$D:$O,12,FALSE)=0,"",VLOOKUP($A179,'Annex 2 EHV charges'!$D:$O,12,FALSE)),"")</f>
        <v/>
      </c>
    </row>
    <row r="180" spans="1:8" x14ac:dyDescent="0.35">
      <c r="A180" s="88" t="str">
        <f t="array" ref="A180">IFERROR(INDEX('Annex 2 EHV charges'!$D$11:$D$260, MATCH(0, IF(ISBLANK('Annex 2 EHV charges'!$D$11:$D$260),1, COUNTIF(A$4:$A179, 'Annex 2 EHV charges'!$D$11:$D$260)), 0)),"")</f>
        <v/>
      </c>
      <c r="B180" s="87" t="str">
        <f>IF($A180="","",VLOOKUP($A180,'Annex 2 EHV charges'!$D:$O,2,0))</f>
        <v/>
      </c>
      <c r="C180" s="88" t="str">
        <f>IF($A180="","",VLOOKUP($A180,'Annex 2 EHV charges'!$D:$O,3,0))</f>
        <v/>
      </c>
      <c r="D180" s="87" t="str">
        <f>IF($A180="","",VLOOKUP($A180,'Annex 2 EHV charges'!$D:$O,4,0))</f>
        <v/>
      </c>
      <c r="E180" s="89" t="str">
        <f>IFERROR(IF(VLOOKUP($A180,'Annex 2 EHV charges'!$D:$O,9,FALSE)=0,"",VLOOKUP($A180,'Annex 2 EHV charges'!$D:$O,9,FALSE)),"")</f>
        <v/>
      </c>
      <c r="F180" s="90" t="str">
        <f>IFERROR(IF(VLOOKUP($A180,'Annex 2 EHV charges'!$D:$O,10,FALSE)=0,"",VLOOKUP($A180,'Annex 2 EHV charges'!$D:$O,10,FALSE)),"")</f>
        <v/>
      </c>
      <c r="G180" s="91" t="str">
        <f>IFERROR(IF(VLOOKUP($A180,'Annex 2 EHV charges'!$D:$O,11,FALSE)=0,"",VLOOKUP($A180,'Annex 2 EHV charges'!$D:$O,11,FALSE)),"")</f>
        <v/>
      </c>
      <c r="H180" s="91" t="str">
        <f>IFERROR(IF(VLOOKUP($A180,'Annex 2 EHV charges'!$D:$O,12,FALSE)=0,"",VLOOKUP($A180,'Annex 2 EHV charges'!$D:$O,12,FALSE)),"")</f>
        <v/>
      </c>
    </row>
    <row r="181" spans="1:8" x14ac:dyDescent="0.35">
      <c r="A181" s="88" t="str">
        <f t="array" ref="A181">IFERROR(INDEX('Annex 2 EHV charges'!$D$11:$D$260, MATCH(0, IF(ISBLANK('Annex 2 EHV charges'!$D$11:$D$260),1, COUNTIF(A$4:$A180, 'Annex 2 EHV charges'!$D$11:$D$260)), 0)),"")</f>
        <v/>
      </c>
      <c r="B181" s="87" t="str">
        <f>IF($A181="","",VLOOKUP($A181,'Annex 2 EHV charges'!$D:$O,2,0))</f>
        <v/>
      </c>
      <c r="C181" s="88" t="str">
        <f>IF($A181="","",VLOOKUP($A181,'Annex 2 EHV charges'!$D:$O,3,0))</f>
        <v/>
      </c>
      <c r="D181" s="87" t="str">
        <f>IF($A181="","",VLOOKUP($A181,'Annex 2 EHV charges'!$D:$O,4,0))</f>
        <v/>
      </c>
      <c r="E181" s="89" t="str">
        <f>IFERROR(IF(VLOOKUP($A181,'Annex 2 EHV charges'!$D:$O,9,FALSE)=0,"",VLOOKUP($A181,'Annex 2 EHV charges'!$D:$O,9,FALSE)),"")</f>
        <v/>
      </c>
      <c r="F181" s="90" t="str">
        <f>IFERROR(IF(VLOOKUP($A181,'Annex 2 EHV charges'!$D:$O,10,FALSE)=0,"",VLOOKUP($A181,'Annex 2 EHV charges'!$D:$O,10,FALSE)),"")</f>
        <v/>
      </c>
      <c r="G181" s="91" t="str">
        <f>IFERROR(IF(VLOOKUP($A181,'Annex 2 EHV charges'!$D:$O,11,FALSE)=0,"",VLOOKUP($A181,'Annex 2 EHV charges'!$D:$O,11,FALSE)),"")</f>
        <v/>
      </c>
      <c r="H181" s="91" t="str">
        <f>IFERROR(IF(VLOOKUP($A181,'Annex 2 EHV charges'!$D:$O,12,FALSE)=0,"",VLOOKUP($A181,'Annex 2 EHV charges'!$D:$O,12,FALSE)),"")</f>
        <v/>
      </c>
    </row>
    <row r="182" spans="1:8" x14ac:dyDescent="0.35">
      <c r="A182" s="88" t="str">
        <f t="array" ref="A182">IFERROR(INDEX('Annex 2 EHV charges'!$D$11:$D$260, MATCH(0, IF(ISBLANK('Annex 2 EHV charges'!$D$11:$D$260),1, COUNTIF(A$4:$A181, 'Annex 2 EHV charges'!$D$11:$D$260)), 0)),"")</f>
        <v/>
      </c>
      <c r="B182" s="87" t="str">
        <f>IF($A182="","",VLOOKUP($A182,'Annex 2 EHV charges'!$D:$O,2,0))</f>
        <v/>
      </c>
      <c r="C182" s="88" t="str">
        <f>IF($A182="","",VLOOKUP($A182,'Annex 2 EHV charges'!$D:$O,3,0))</f>
        <v/>
      </c>
      <c r="D182" s="87" t="str">
        <f>IF($A182="","",VLOOKUP($A182,'Annex 2 EHV charges'!$D:$O,4,0))</f>
        <v/>
      </c>
      <c r="E182" s="89" t="str">
        <f>IFERROR(IF(VLOOKUP($A182,'Annex 2 EHV charges'!$D:$O,9,FALSE)=0,"",VLOOKUP($A182,'Annex 2 EHV charges'!$D:$O,9,FALSE)),"")</f>
        <v/>
      </c>
      <c r="F182" s="90" t="str">
        <f>IFERROR(IF(VLOOKUP($A182,'Annex 2 EHV charges'!$D:$O,10,FALSE)=0,"",VLOOKUP($A182,'Annex 2 EHV charges'!$D:$O,10,FALSE)),"")</f>
        <v/>
      </c>
      <c r="G182" s="91" t="str">
        <f>IFERROR(IF(VLOOKUP($A182,'Annex 2 EHV charges'!$D:$O,11,FALSE)=0,"",VLOOKUP($A182,'Annex 2 EHV charges'!$D:$O,11,FALSE)),"")</f>
        <v/>
      </c>
      <c r="H182" s="91" t="str">
        <f>IFERROR(IF(VLOOKUP($A182,'Annex 2 EHV charges'!$D:$O,12,FALSE)=0,"",VLOOKUP($A182,'Annex 2 EHV charges'!$D:$O,12,FALSE)),"")</f>
        <v/>
      </c>
    </row>
    <row r="183" spans="1:8" x14ac:dyDescent="0.35">
      <c r="A183" s="88" t="str">
        <f t="array" ref="A183">IFERROR(INDEX('Annex 2 EHV charges'!$D$11:$D$260, MATCH(0, IF(ISBLANK('Annex 2 EHV charges'!$D$11:$D$260),1, COUNTIF(A$4:$A182, 'Annex 2 EHV charges'!$D$11:$D$260)), 0)),"")</f>
        <v/>
      </c>
      <c r="B183" s="87" t="str">
        <f>IF($A183="","",VLOOKUP($A183,'Annex 2 EHV charges'!$D:$O,2,0))</f>
        <v/>
      </c>
      <c r="C183" s="88" t="str">
        <f>IF($A183="","",VLOOKUP($A183,'Annex 2 EHV charges'!$D:$O,3,0))</f>
        <v/>
      </c>
      <c r="D183" s="87" t="str">
        <f>IF($A183="","",VLOOKUP($A183,'Annex 2 EHV charges'!$D:$O,4,0))</f>
        <v/>
      </c>
      <c r="E183" s="89" t="str">
        <f>IFERROR(IF(VLOOKUP($A183,'Annex 2 EHV charges'!$D:$O,9,FALSE)=0,"",VLOOKUP($A183,'Annex 2 EHV charges'!$D:$O,9,FALSE)),"")</f>
        <v/>
      </c>
      <c r="F183" s="90" t="str">
        <f>IFERROR(IF(VLOOKUP($A183,'Annex 2 EHV charges'!$D:$O,10,FALSE)=0,"",VLOOKUP($A183,'Annex 2 EHV charges'!$D:$O,10,FALSE)),"")</f>
        <v/>
      </c>
      <c r="G183" s="91" t="str">
        <f>IFERROR(IF(VLOOKUP($A183,'Annex 2 EHV charges'!$D:$O,11,FALSE)=0,"",VLOOKUP($A183,'Annex 2 EHV charges'!$D:$O,11,FALSE)),"")</f>
        <v/>
      </c>
      <c r="H183" s="91" t="str">
        <f>IFERROR(IF(VLOOKUP($A183,'Annex 2 EHV charges'!$D:$O,12,FALSE)=0,"",VLOOKUP($A183,'Annex 2 EHV charges'!$D:$O,12,FALSE)),"")</f>
        <v/>
      </c>
    </row>
    <row r="184" spans="1:8" x14ac:dyDescent="0.35">
      <c r="A184" s="88" t="str">
        <f t="array" ref="A184">IFERROR(INDEX('Annex 2 EHV charges'!$D$11:$D$260, MATCH(0, IF(ISBLANK('Annex 2 EHV charges'!$D$11:$D$260),1, COUNTIF(A$4:$A183, 'Annex 2 EHV charges'!$D$11:$D$260)), 0)),"")</f>
        <v/>
      </c>
      <c r="B184" s="87" t="str">
        <f>IF($A184="","",VLOOKUP($A184,'Annex 2 EHV charges'!$D:$O,2,0))</f>
        <v/>
      </c>
      <c r="C184" s="88" t="str">
        <f>IF($A184="","",VLOOKUP($A184,'Annex 2 EHV charges'!$D:$O,3,0))</f>
        <v/>
      </c>
      <c r="D184" s="87" t="str">
        <f>IF($A184="","",VLOOKUP($A184,'Annex 2 EHV charges'!$D:$O,4,0))</f>
        <v/>
      </c>
      <c r="E184" s="89" t="str">
        <f>IFERROR(IF(VLOOKUP($A184,'Annex 2 EHV charges'!$D:$O,9,FALSE)=0,"",VLOOKUP($A184,'Annex 2 EHV charges'!$D:$O,9,FALSE)),"")</f>
        <v/>
      </c>
      <c r="F184" s="90" t="str">
        <f>IFERROR(IF(VLOOKUP($A184,'Annex 2 EHV charges'!$D:$O,10,FALSE)=0,"",VLOOKUP($A184,'Annex 2 EHV charges'!$D:$O,10,FALSE)),"")</f>
        <v/>
      </c>
      <c r="G184" s="91" t="str">
        <f>IFERROR(IF(VLOOKUP($A184,'Annex 2 EHV charges'!$D:$O,11,FALSE)=0,"",VLOOKUP($A184,'Annex 2 EHV charges'!$D:$O,11,FALSE)),"")</f>
        <v/>
      </c>
      <c r="H184" s="91" t="str">
        <f>IFERROR(IF(VLOOKUP($A184,'Annex 2 EHV charges'!$D:$O,12,FALSE)=0,"",VLOOKUP($A184,'Annex 2 EHV charges'!$D:$O,12,FALSE)),"")</f>
        <v/>
      </c>
    </row>
    <row r="185" spans="1:8" x14ac:dyDescent="0.35">
      <c r="A185" s="88" t="str">
        <f t="array" ref="A185">IFERROR(INDEX('Annex 2 EHV charges'!$D$11:$D$260, MATCH(0, IF(ISBLANK('Annex 2 EHV charges'!$D$11:$D$260),1, COUNTIF(A$4:$A184, 'Annex 2 EHV charges'!$D$11:$D$260)), 0)),"")</f>
        <v/>
      </c>
      <c r="B185" s="87" t="str">
        <f>IF($A185="","",VLOOKUP($A185,'Annex 2 EHV charges'!$D:$O,2,0))</f>
        <v/>
      </c>
      <c r="C185" s="88" t="str">
        <f>IF($A185="","",VLOOKUP($A185,'Annex 2 EHV charges'!$D:$O,3,0))</f>
        <v/>
      </c>
      <c r="D185" s="87" t="str">
        <f>IF($A185="","",VLOOKUP($A185,'Annex 2 EHV charges'!$D:$O,4,0))</f>
        <v/>
      </c>
      <c r="E185" s="89" t="str">
        <f>IFERROR(IF(VLOOKUP($A185,'Annex 2 EHV charges'!$D:$O,9,FALSE)=0,"",VLOOKUP($A185,'Annex 2 EHV charges'!$D:$O,9,FALSE)),"")</f>
        <v/>
      </c>
      <c r="F185" s="90" t="str">
        <f>IFERROR(IF(VLOOKUP($A185,'Annex 2 EHV charges'!$D:$O,10,FALSE)=0,"",VLOOKUP($A185,'Annex 2 EHV charges'!$D:$O,10,FALSE)),"")</f>
        <v/>
      </c>
      <c r="G185" s="91" t="str">
        <f>IFERROR(IF(VLOOKUP($A185,'Annex 2 EHV charges'!$D:$O,11,FALSE)=0,"",VLOOKUP($A185,'Annex 2 EHV charges'!$D:$O,11,FALSE)),"")</f>
        <v/>
      </c>
      <c r="H185" s="91" t="str">
        <f>IFERROR(IF(VLOOKUP($A185,'Annex 2 EHV charges'!$D:$O,12,FALSE)=0,"",VLOOKUP($A185,'Annex 2 EHV charges'!$D:$O,12,FALSE)),"")</f>
        <v/>
      </c>
    </row>
    <row r="186" spans="1:8" x14ac:dyDescent="0.35">
      <c r="A186" s="88" t="str">
        <f t="array" ref="A186">IFERROR(INDEX('Annex 2 EHV charges'!$D$11:$D$260, MATCH(0, IF(ISBLANK('Annex 2 EHV charges'!$D$11:$D$260),1, COUNTIF(A$4:$A185, 'Annex 2 EHV charges'!$D$11:$D$260)), 0)),"")</f>
        <v/>
      </c>
      <c r="B186" s="87" t="str">
        <f>IF($A186="","",VLOOKUP($A186,'Annex 2 EHV charges'!$D:$O,2,0))</f>
        <v/>
      </c>
      <c r="C186" s="88" t="str">
        <f>IF($A186="","",VLOOKUP($A186,'Annex 2 EHV charges'!$D:$O,3,0))</f>
        <v/>
      </c>
      <c r="D186" s="87" t="str">
        <f>IF($A186="","",VLOOKUP($A186,'Annex 2 EHV charges'!$D:$O,4,0))</f>
        <v/>
      </c>
      <c r="E186" s="89" t="str">
        <f>IFERROR(IF(VLOOKUP($A186,'Annex 2 EHV charges'!$D:$O,9,FALSE)=0,"",VLOOKUP($A186,'Annex 2 EHV charges'!$D:$O,9,FALSE)),"")</f>
        <v/>
      </c>
      <c r="F186" s="90" t="str">
        <f>IFERROR(IF(VLOOKUP($A186,'Annex 2 EHV charges'!$D:$O,10,FALSE)=0,"",VLOOKUP($A186,'Annex 2 EHV charges'!$D:$O,10,FALSE)),"")</f>
        <v/>
      </c>
      <c r="G186" s="91" t="str">
        <f>IFERROR(IF(VLOOKUP($A186,'Annex 2 EHV charges'!$D:$O,11,FALSE)=0,"",VLOOKUP($A186,'Annex 2 EHV charges'!$D:$O,11,FALSE)),"")</f>
        <v/>
      </c>
      <c r="H186" s="91" t="str">
        <f>IFERROR(IF(VLOOKUP($A186,'Annex 2 EHV charges'!$D:$O,12,FALSE)=0,"",VLOOKUP($A186,'Annex 2 EHV charges'!$D:$O,12,FALSE)),"")</f>
        <v/>
      </c>
    </row>
    <row r="187" spans="1:8" x14ac:dyDescent="0.35">
      <c r="A187" s="88" t="str">
        <f t="array" ref="A187">IFERROR(INDEX('Annex 2 EHV charges'!$D$11:$D$260, MATCH(0, IF(ISBLANK('Annex 2 EHV charges'!$D$11:$D$260),1, COUNTIF(A$4:$A186, 'Annex 2 EHV charges'!$D$11:$D$260)), 0)),"")</f>
        <v/>
      </c>
      <c r="B187" s="87" t="str">
        <f>IF($A187="","",VLOOKUP($A187,'Annex 2 EHV charges'!$D:$O,2,0))</f>
        <v/>
      </c>
      <c r="C187" s="88" t="str">
        <f>IF($A187="","",VLOOKUP($A187,'Annex 2 EHV charges'!$D:$O,3,0))</f>
        <v/>
      </c>
      <c r="D187" s="87" t="str">
        <f>IF($A187="","",VLOOKUP($A187,'Annex 2 EHV charges'!$D:$O,4,0))</f>
        <v/>
      </c>
      <c r="E187" s="89" t="str">
        <f>IFERROR(IF(VLOOKUP($A187,'Annex 2 EHV charges'!$D:$O,9,FALSE)=0,"",VLOOKUP($A187,'Annex 2 EHV charges'!$D:$O,9,FALSE)),"")</f>
        <v/>
      </c>
      <c r="F187" s="90" t="str">
        <f>IFERROR(IF(VLOOKUP($A187,'Annex 2 EHV charges'!$D:$O,10,FALSE)=0,"",VLOOKUP($A187,'Annex 2 EHV charges'!$D:$O,10,FALSE)),"")</f>
        <v/>
      </c>
      <c r="G187" s="91" t="str">
        <f>IFERROR(IF(VLOOKUP($A187,'Annex 2 EHV charges'!$D:$O,11,FALSE)=0,"",VLOOKUP($A187,'Annex 2 EHV charges'!$D:$O,11,FALSE)),"")</f>
        <v/>
      </c>
      <c r="H187" s="91" t="str">
        <f>IFERROR(IF(VLOOKUP($A187,'Annex 2 EHV charges'!$D:$O,12,FALSE)=0,"",VLOOKUP($A187,'Annex 2 EHV charges'!$D:$O,12,FALSE)),"")</f>
        <v/>
      </c>
    </row>
    <row r="188" spans="1:8" x14ac:dyDescent="0.35">
      <c r="A188" s="88" t="str">
        <f t="array" ref="A188">IFERROR(INDEX('Annex 2 EHV charges'!$D$11:$D$260, MATCH(0, IF(ISBLANK('Annex 2 EHV charges'!$D$11:$D$260),1, COUNTIF(A$4:$A187, 'Annex 2 EHV charges'!$D$11:$D$260)), 0)),"")</f>
        <v/>
      </c>
      <c r="B188" s="87" t="str">
        <f>IF($A188="","",VLOOKUP($A188,'Annex 2 EHV charges'!$D:$O,2,0))</f>
        <v/>
      </c>
      <c r="C188" s="88" t="str">
        <f>IF($A188="","",VLOOKUP($A188,'Annex 2 EHV charges'!$D:$O,3,0))</f>
        <v/>
      </c>
      <c r="D188" s="87" t="str">
        <f>IF($A188="","",VLOOKUP($A188,'Annex 2 EHV charges'!$D:$O,4,0))</f>
        <v/>
      </c>
      <c r="E188" s="89" t="str">
        <f>IFERROR(IF(VLOOKUP($A188,'Annex 2 EHV charges'!$D:$O,9,FALSE)=0,"",VLOOKUP($A188,'Annex 2 EHV charges'!$D:$O,9,FALSE)),"")</f>
        <v/>
      </c>
      <c r="F188" s="90" t="str">
        <f>IFERROR(IF(VLOOKUP($A188,'Annex 2 EHV charges'!$D:$O,10,FALSE)=0,"",VLOOKUP($A188,'Annex 2 EHV charges'!$D:$O,10,FALSE)),"")</f>
        <v/>
      </c>
      <c r="G188" s="91" t="str">
        <f>IFERROR(IF(VLOOKUP($A188,'Annex 2 EHV charges'!$D:$O,11,FALSE)=0,"",VLOOKUP($A188,'Annex 2 EHV charges'!$D:$O,11,FALSE)),"")</f>
        <v/>
      </c>
      <c r="H188" s="91" t="str">
        <f>IFERROR(IF(VLOOKUP($A188,'Annex 2 EHV charges'!$D:$O,12,FALSE)=0,"",VLOOKUP($A188,'Annex 2 EHV charges'!$D:$O,12,FALSE)),"")</f>
        <v/>
      </c>
    </row>
    <row r="189" spans="1:8" x14ac:dyDescent="0.35">
      <c r="A189" s="88" t="str">
        <f t="array" ref="A189">IFERROR(INDEX('Annex 2 EHV charges'!$D$11:$D$260, MATCH(0, IF(ISBLANK('Annex 2 EHV charges'!$D$11:$D$260),1, COUNTIF(A$4:$A188, 'Annex 2 EHV charges'!$D$11:$D$260)), 0)),"")</f>
        <v/>
      </c>
      <c r="B189" s="87" t="str">
        <f>IF($A189="","",VLOOKUP($A189,'Annex 2 EHV charges'!$D:$O,2,0))</f>
        <v/>
      </c>
      <c r="C189" s="88" t="str">
        <f>IF($A189="","",VLOOKUP($A189,'Annex 2 EHV charges'!$D:$O,3,0))</f>
        <v/>
      </c>
      <c r="D189" s="87" t="str">
        <f>IF($A189="","",VLOOKUP($A189,'Annex 2 EHV charges'!$D:$O,4,0))</f>
        <v/>
      </c>
      <c r="E189" s="89" t="str">
        <f>IFERROR(IF(VLOOKUP($A189,'Annex 2 EHV charges'!$D:$O,9,FALSE)=0,"",VLOOKUP($A189,'Annex 2 EHV charges'!$D:$O,9,FALSE)),"")</f>
        <v/>
      </c>
      <c r="F189" s="90" t="str">
        <f>IFERROR(IF(VLOOKUP($A189,'Annex 2 EHV charges'!$D:$O,10,FALSE)=0,"",VLOOKUP($A189,'Annex 2 EHV charges'!$D:$O,10,FALSE)),"")</f>
        <v/>
      </c>
      <c r="G189" s="91" t="str">
        <f>IFERROR(IF(VLOOKUP($A189,'Annex 2 EHV charges'!$D:$O,11,FALSE)=0,"",VLOOKUP($A189,'Annex 2 EHV charges'!$D:$O,11,FALSE)),"")</f>
        <v/>
      </c>
      <c r="H189" s="91" t="str">
        <f>IFERROR(IF(VLOOKUP($A189,'Annex 2 EHV charges'!$D:$O,12,FALSE)=0,"",VLOOKUP($A189,'Annex 2 EHV charges'!$D:$O,12,FALSE)),"")</f>
        <v/>
      </c>
    </row>
    <row r="190" spans="1:8" x14ac:dyDescent="0.35">
      <c r="A190" s="88" t="str">
        <f t="array" ref="A190">IFERROR(INDEX('Annex 2 EHV charges'!$D$11:$D$260, MATCH(0, IF(ISBLANK('Annex 2 EHV charges'!$D$11:$D$260),1, COUNTIF(A$4:$A189, 'Annex 2 EHV charges'!$D$11:$D$260)), 0)),"")</f>
        <v/>
      </c>
      <c r="B190" s="87" t="str">
        <f>IF($A190="","",VLOOKUP($A190,'Annex 2 EHV charges'!$D:$O,2,0))</f>
        <v/>
      </c>
      <c r="C190" s="88" t="str">
        <f>IF($A190="","",VLOOKUP($A190,'Annex 2 EHV charges'!$D:$O,3,0))</f>
        <v/>
      </c>
      <c r="D190" s="87" t="str">
        <f>IF($A190="","",VLOOKUP($A190,'Annex 2 EHV charges'!$D:$O,4,0))</f>
        <v/>
      </c>
      <c r="E190" s="89" t="str">
        <f>IFERROR(IF(VLOOKUP($A190,'Annex 2 EHV charges'!$D:$O,9,FALSE)=0,"",VLOOKUP($A190,'Annex 2 EHV charges'!$D:$O,9,FALSE)),"")</f>
        <v/>
      </c>
      <c r="F190" s="90" t="str">
        <f>IFERROR(IF(VLOOKUP($A190,'Annex 2 EHV charges'!$D:$O,10,FALSE)=0,"",VLOOKUP($A190,'Annex 2 EHV charges'!$D:$O,10,FALSE)),"")</f>
        <v/>
      </c>
      <c r="G190" s="91" t="str">
        <f>IFERROR(IF(VLOOKUP($A190,'Annex 2 EHV charges'!$D:$O,11,FALSE)=0,"",VLOOKUP($A190,'Annex 2 EHV charges'!$D:$O,11,FALSE)),"")</f>
        <v/>
      </c>
      <c r="H190" s="91" t="str">
        <f>IFERROR(IF(VLOOKUP($A190,'Annex 2 EHV charges'!$D:$O,12,FALSE)=0,"",VLOOKUP($A190,'Annex 2 EHV charges'!$D:$O,12,FALSE)),"")</f>
        <v/>
      </c>
    </row>
    <row r="191" spans="1:8" x14ac:dyDescent="0.35">
      <c r="A191" s="88" t="str">
        <f t="array" ref="A191">IFERROR(INDEX('Annex 2 EHV charges'!$D$11:$D$260, MATCH(0, IF(ISBLANK('Annex 2 EHV charges'!$D$11:$D$260),1, COUNTIF(A$4:$A190, 'Annex 2 EHV charges'!$D$11:$D$260)), 0)),"")</f>
        <v/>
      </c>
      <c r="B191" s="87" t="str">
        <f>IF($A191="","",VLOOKUP($A191,'Annex 2 EHV charges'!$D:$O,2,0))</f>
        <v/>
      </c>
      <c r="C191" s="88" t="str">
        <f>IF($A191="","",VLOOKUP($A191,'Annex 2 EHV charges'!$D:$O,3,0))</f>
        <v/>
      </c>
      <c r="D191" s="87" t="str">
        <f>IF($A191="","",VLOOKUP($A191,'Annex 2 EHV charges'!$D:$O,4,0))</f>
        <v/>
      </c>
      <c r="E191" s="89" t="str">
        <f>IFERROR(IF(VLOOKUP($A191,'Annex 2 EHV charges'!$D:$O,9,FALSE)=0,"",VLOOKUP($A191,'Annex 2 EHV charges'!$D:$O,9,FALSE)),"")</f>
        <v/>
      </c>
      <c r="F191" s="90" t="str">
        <f>IFERROR(IF(VLOOKUP($A191,'Annex 2 EHV charges'!$D:$O,10,FALSE)=0,"",VLOOKUP($A191,'Annex 2 EHV charges'!$D:$O,10,FALSE)),"")</f>
        <v/>
      </c>
      <c r="G191" s="91" t="str">
        <f>IFERROR(IF(VLOOKUP($A191,'Annex 2 EHV charges'!$D:$O,11,FALSE)=0,"",VLOOKUP($A191,'Annex 2 EHV charges'!$D:$O,11,FALSE)),"")</f>
        <v/>
      </c>
      <c r="H191" s="91" t="str">
        <f>IFERROR(IF(VLOOKUP($A191,'Annex 2 EHV charges'!$D:$O,12,FALSE)=0,"",VLOOKUP($A191,'Annex 2 EHV charges'!$D:$O,12,FALSE)),"")</f>
        <v/>
      </c>
    </row>
    <row r="192" spans="1:8" x14ac:dyDescent="0.35">
      <c r="A192" s="88" t="str">
        <f t="array" ref="A192">IFERROR(INDEX('Annex 2 EHV charges'!$D$11:$D$260, MATCH(0, IF(ISBLANK('Annex 2 EHV charges'!$D$11:$D$260),1, COUNTIF(A$4:$A191, 'Annex 2 EHV charges'!$D$11:$D$260)), 0)),"")</f>
        <v/>
      </c>
      <c r="B192" s="87" t="str">
        <f>IF($A192="","",VLOOKUP($A192,'Annex 2 EHV charges'!$D:$O,2,0))</f>
        <v/>
      </c>
      <c r="C192" s="88" t="str">
        <f>IF($A192="","",VLOOKUP($A192,'Annex 2 EHV charges'!$D:$O,3,0))</f>
        <v/>
      </c>
      <c r="D192" s="87" t="str">
        <f>IF($A192="","",VLOOKUP($A192,'Annex 2 EHV charges'!$D:$O,4,0))</f>
        <v/>
      </c>
      <c r="E192" s="89" t="str">
        <f>IFERROR(IF(VLOOKUP($A192,'Annex 2 EHV charges'!$D:$O,9,FALSE)=0,"",VLOOKUP($A192,'Annex 2 EHV charges'!$D:$O,9,FALSE)),"")</f>
        <v/>
      </c>
      <c r="F192" s="90" t="str">
        <f>IFERROR(IF(VLOOKUP($A192,'Annex 2 EHV charges'!$D:$O,10,FALSE)=0,"",VLOOKUP($A192,'Annex 2 EHV charges'!$D:$O,10,FALSE)),"")</f>
        <v/>
      </c>
      <c r="G192" s="91" t="str">
        <f>IFERROR(IF(VLOOKUP($A192,'Annex 2 EHV charges'!$D:$O,11,FALSE)=0,"",VLOOKUP($A192,'Annex 2 EHV charges'!$D:$O,11,FALSE)),"")</f>
        <v/>
      </c>
      <c r="H192" s="91" t="str">
        <f>IFERROR(IF(VLOOKUP($A192,'Annex 2 EHV charges'!$D:$O,12,FALSE)=0,"",VLOOKUP($A192,'Annex 2 EHV charges'!$D:$O,12,FALSE)),"")</f>
        <v/>
      </c>
    </row>
    <row r="193" spans="1:8" x14ac:dyDescent="0.35">
      <c r="A193" s="88" t="str">
        <f t="array" ref="A193">IFERROR(INDEX('Annex 2 EHV charges'!$D$11:$D$260, MATCH(0, IF(ISBLANK('Annex 2 EHV charges'!$D$11:$D$260),1, COUNTIF(A$4:$A192, 'Annex 2 EHV charges'!$D$11:$D$260)), 0)),"")</f>
        <v/>
      </c>
      <c r="B193" s="87" t="str">
        <f>IF($A193="","",VLOOKUP($A193,'Annex 2 EHV charges'!$D:$O,2,0))</f>
        <v/>
      </c>
      <c r="C193" s="88" t="str">
        <f>IF($A193="","",VLOOKUP($A193,'Annex 2 EHV charges'!$D:$O,3,0))</f>
        <v/>
      </c>
      <c r="D193" s="87" t="str">
        <f>IF($A193="","",VLOOKUP($A193,'Annex 2 EHV charges'!$D:$O,4,0))</f>
        <v/>
      </c>
      <c r="E193" s="89" t="str">
        <f>IFERROR(IF(VLOOKUP($A193,'Annex 2 EHV charges'!$D:$O,9,FALSE)=0,"",VLOOKUP($A193,'Annex 2 EHV charges'!$D:$O,9,FALSE)),"")</f>
        <v/>
      </c>
      <c r="F193" s="90" t="str">
        <f>IFERROR(IF(VLOOKUP($A193,'Annex 2 EHV charges'!$D:$O,10,FALSE)=0,"",VLOOKUP($A193,'Annex 2 EHV charges'!$D:$O,10,FALSE)),"")</f>
        <v/>
      </c>
      <c r="G193" s="91" t="str">
        <f>IFERROR(IF(VLOOKUP($A193,'Annex 2 EHV charges'!$D:$O,11,FALSE)=0,"",VLOOKUP($A193,'Annex 2 EHV charges'!$D:$O,11,FALSE)),"")</f>
        <v/>
      </c>
      <c r="H193" s="91" t="str">
        <f>IFERROR(IF(VLOOKUP($A193,'Annex 2 EHV charges'!$D:$O,12,FALSE)=0,"",VLOOKUP($A193,'Annex 2 EHV charges'!$D:$O,12,FALSE)),"")</f>
        <v/>
      </c>
    </row>
    <row r="194" spans="1:8" x14ac:dyDescent="0.35">
      <c r="A194" s="88" t="str">
        <f t="array" ref="A194">IFERROR(INDEX('Annex 2 EHV charges'!$D$11:$D$260, MATCH(0, IF(ISBLANK('Annex 2 EHV charges'!$D$11:$D$260),1, COUNTIF(A$4:$A193, 'Annex 2 EHV charges'!$D$11:$D$260)), 0)),"")</f>
        <v/>
      </c>
      <c r="B194" s="87" t="str">
        <f>IF($A194="","",VLOOKUP($A194,'Annex 2 EHV charges'!$D:$O,2,0))</f>
        <v/>
      </c>
      <c r="C194" s="88" t="str">
        <f>IF($A194="","",VLOOKUP($A194,'Annex 2 EHV charges'!$D:$O,3,0))</f>
        <v/>
      </c>
      <c r="D194" s="87" t="str">
        <f>IF($A194="","",VLOOKUP($A194,'Annex 2 EHV charges'!$D:$O,4,0))</f>
        <v/>
      </c>
      <c r="E194" s="89" t="str">
        <f>IFERROR(IF(VLOOKUP($A194,'Annex 2 EHV charges'!$D:$O,9,FALSE)=0,"",VLOOKUP($A194,'Annex 2 EHV charges'!$D:$O,9,FALSE)),"")</f>
        <v/>
      </c>
      <c r="F194" s="90" t="str">
        <f>IFERROR(IF(VLOOKUP($A194,'Annex 2 EHV charges'!$D:$O,10,FALSE)=0,"",VLOOKUP($A194,'Annex 2 EHV charges'!$D:$O,10,FALSE)),"")</f>
        <v/>
      </c>
      <c r="G194" s="91" t="str">
        <f>IFERROR(IF(VLOOKUP($A194,'Annex 2 EHV charges'!$D:$O,11,FALSE)=0,"",VLOOKUP($A194,'Annex 2 EHV charges'!$D:$O,11,FALSE)),"")</f>
        <v/>
      </c>
      <c r="H194" s="91" t="str">
        <f>IFERROR(IF(VLOOKUP($A194,'Annex 2 EHV charges'!$D:$O,12,FALSE)=0,"",VLOOKUP($A194,'Annex 2 EHV charges'!$D:$O,12,FALSE)),"")</f>
        <v/>
      </c>
    </row>
    <row r="195" spans="1:8" x14ac:dyDescent="0.35">
      <c r="A195" s="88" t="str">
        <f t="array" ref="A195">IFERROR(INDEX('Annex 2 EHV charges'!$D$11:$D$260, MATCH(0, IF(ISBLANK('Annex 2 EHV charges'!$D$11:$D$260),1, COUNTIF(A$4:$A194, 'Annex 2 EHV charges'!$D$11:$D$260)), 0)),"")</f>
        <v/>
      </c>
      <c r="B195" s="87" t="str">
        <f>IF($A195="","",VLOOKUP($A195,'Annex 2 EHV charges'!$D:$O,2,0))</f>
        <v/>
      </c>
      <c r="C195" s="88" t="str">
        <f>IF($A195="","",VLOOKUP($A195,'Annex 2 EHV charges'!$D:$O,3,0))</f>
        <v/>
      </c>
      <c r="D195" s="87" t="str">
        <f>IF($A195="","",VLOOKUP($A195,'Annex 2 EHV charges'!$D:$O,4,0))</f>
        <v/>
      </c>
      <c r="E195" s="89" t="str">
        <f>IFERROR(IF(VLOOKUP($A195,'Annex 2 EHV charges'!$D:$O,9,FALSE)=0,"",VLOOKUP($A195,'Annex 2 EHV charges'!$D:$O,9,FALSE)),"")</f>
        <v/>
      </c>
      <c r="F195" s="90" t="str">
        <f>IFERROR(IF(VLOOKUP($A195,'Annex 2 EHV charges'!$D:$O,10,FALSE)=0,"",VLOOKUP($A195,'Annex 2 EHV charges'!$D:$O,10,FALSE)),"")</f>
        <v/>
      </c>
      <c r="G195" s="91" t="str">
        <f>IFERROR(IF(VLOOKUP($A195,'Annex 2 EHV charges'!$D:$O,11,FALSE)=0,"",VLOOKUP($A195,'Annex 2 EHV charges'!$D:$O,11,FALSE)),"")</f>
        <v/>
      </c>
      <c r="H195" s="91" t="str">
        <f>IFERROR(IF(VLOOKUP($A195,'Annex 2 EHV charges'!$D:$O,12,FALSE)=0,"",VLOOKUP($A195,'Annex 2 EHV charges'!$D:$O,12,FALSE)),"")</f>
        <v/>
      </c>
    </row>
    <row r="196" spans="1:8" x14ac:dyDescent="0.35">
      <c r="A196" s="88" t="str">
        <f t="array" ref="A196">IFERROR(INDEX('Annex 2 EHV charges'!$D$11:$D$260, MATCH(0, IF(ISBLANK('Annex 2 EHV charges'!$D$11:$D$260),1, COUNTIF(A$4:$A195, 'Annex 2 EHV charges'!$D$11:$D$260)), 0)),"")</f>
        <v/>
      </c>
      <c r="B196" s="87" t="str">
        <f>IF($A196="","",VLOOKUP($A196,'Annex 2 EHV charges'!$D:$O,2,0))</f>
        <v/>
      </c>
      <c r="C196" s="88" t="str">
        <f>IF($A196="","",VLOOKUP($A196,'Annex 2 EHV charges'!$D:$O,3,0))</f>
        <v/>
      </c>
      <c r="D196" s="87" t="str">
        <f>IF($A196="","",VLOOKUP($A196,'Annex 2 EHV charges'!$D:$O,4,0))</f>
        <v/>
      </c>
      <c r="E196" s="89" t="str">
        <f>IFERROR(IF(VLOOKUP($A196,'Annex 2 EHV charges'!$D:$O,9,FALSE)=0,"",VLOOKUP($A196,'Annex 2 EHV charges'!$D:$O,9,FALSE)),"")</f>
        <v/>
      </c>
      <c r="F196" s="90" t="str">
        <f>IFERROR(IF(VLOOKUP($A196,'Annex 2 EHV charges'!$D:$O,10,FALSE)=0,"",VLOOKUP($A196,'Annex 2 EHV charges'!$D:$O,10,FALSE)),"")</f>
        <v/>
      </c>
      <c r="G196" s="91" t="str">
        <f>IFERROR(IF(VLOOKUP($A196,'Annex 2 EHV charges'!$D:$O,11,FALSE)=0,"",VLOOKUP($A196,'Annex 2 EHV charges'!$D:$O,11,FALSE)),"")</f>
        <v/>
      </c>
      <c r="H196" s="91" t="str">
        <f>IFERROR(IF(VLOOKUP($A196,'Annex 2 EHV charges'!$D:$O,12,FALSE)=0,"",VLOOKUP($A196,'Annex 2 EHV charges'!$D:$O,12,FALSE)),"")</f>
        <v/>
      </c>
    </row>
    <row r="197" spans="1:8" x14ac:dyDescent="0.35">
      <c r="A197" s="88" t="str">
        <f t="array" ref="A197">IFERROR(INDEX('Annex 2 EHV charges'!$D$11:$D$260, MATCH(0, IF(ISBLANK('Annex 2 EHV charges'!$D$11:$D$260),1, COUNTIF(A$4:$A196, 'Annex 2 EHV charges'!$D$11:$D$260)), 0)),"")</f>
        <v/>
      </c>
      <c r="B197" s="87" t="str">
        <f>IF($A197="","",VLOOKUP($A197,'Annex 2 EHV charges'!$D:$O,2,0))</f>
        <v/>
      </c>
      <c r="C197" s="88" t="str">
        <f>IF($A197="","",VLOOKUP($A197,'Annex 2 EHV charges'!$D:$O,3,0))</f>
        <v/>
      </c>
      <c r="D197" s="87" t="str">
        <f>IF($A197="","",VLOOKUP($A197,'Annex 2 EHV charges'!$D:$O,4,0))</f>
        <v/>
      </c>
      <c r="E197" s="89" t="str">
        <f>IFERROR(IF(VLOOKUP($A197,'Annex 2 EHV charges'!$D:$O,9,FALSE)=0,"",VLOOKUP($A197,'Annex 2 EHV charges'!$D:$O,9,FALSE)),"")</f>
        <v/>
      </c>
      <c r="F197" s="90" t="str">
        <f>IFERROR(IF(VLOOKUP($A197,'Annex 2 EHV charges'!$D:$O,10,FALSE)=0,"",VLOOKUP($A197,'Annex 2 EHV charges'!$D:$O,10,FALSE)),"")</f>
        <v/>
      </c>
      <c r="G197" s="91" t="str">
        <f>IFERROR(IF(VLOOKUP($A197,'Annex 2 EHV charges'!$D:$O,11,FALSE)=0,"",VLOOKUP($A197,'Annex 2 EHV charges'!$D:$O,11,FALSE)),"")</f>
        <v/>
      </c>
      <c r="H197" s="91" t="str">
        <f>IFERROR(IF(VLOOKUP($A197,'Annex 2 EHV charges'!$D:$O,12,FALSE)=0,"",VLOOKUP($A197,'Annex 2 EHV charges'!$D:$O,12,FALSE)),"")</f>
        <v/>
      </c>
    </row>
    <row r="198" spans="1:8" x14ac:dyDescent="0.35">
      <c r="A198" s="88" t="str">
        <f t="array" ref="A198">IFERROR(INDEX('Annex 2 EHV charges'!$D$11:$D$260, MATCH(0, IF(ISBLANK('Annex 2 EHV charges'!$D$11:$D$260),1, COUNTIF(A$4:$A197, 'Annex 2 EHV charges'!$D$11:$D$260)), 0)),"")</f>
        <v/>
      </c>
      <c r="B198" s="87" t="str">
        <f>IF($A198="","",VLOOKUP($A198,'Annex 2 EHV charges'!$D:$O,2,0))</f>
        <v/>
      </c>
      <c r="C198" s="88" t="str">
        <f>IF($A198="","",VLOOKUP($A198,'Annex 2 EHV charges'!$D:$O,3,0))</f>
        <v/>
      </c>
      <c r="D198" s="87" t="str">
        <f>IF($A198="","",VLOOKUP($A198,'Annex 2 EHV charges'!$D:$O,4,0))</f>
        <v/>
      </c>
      <c r="E198" s="89" t="str">
        <f>IFERROR(IF(VLOOKUP($A198,'Annex 2 EHV charges'!$D:$O,9,FALSE)=0,"",VLOOKUP($A198,'Annex 2 EHV charges'!$D:$O,9,FALSE)),"")</f>
        <v/>
      </c>
      <c r="F198" s="90" t="str">
        <f>IFERROR(IF(VLOOKUP($A198,'Annex 2 EHV charges'!$D:$O,10,FALSE)=0,"",VLOOKUP($A198,'Annex 2 EHV charges'!$D:$O,10,FALSE)),"")</f>
        <v/>
      </c>
      <c r="G198" s="91" t="str">
        <f>IFERROR(IF(VLOOKUP($A198,'Annex 2 EHV charges'!$D:$O,11,FALSE)=0,"",VLOOKUP($A198,'Annex 2 EHV charges'!$D:$O,11,FALSE)),"")</f>
        <v/>
      </c>
      <c r="H198" s="91" t="str">
        <f>IFERROR(IF(VLOOKUP($A198,'Annex 2 EHV charges'!$D:$O,12,FALSE)=0,"",VLOOKUP($A198,'Annex 2 EHV charges'!$D:$O,12,FALSE)),"")</f>
        <v/>
      </c>
    </row>
    <row r="199" spans="1:8" x14ac:dyDescent="0.35">
      <c r="A199" s="88" t="str">
        <f t="array" ref="A199">IFERROR(INDEX('Annex 2 EHV charges'!$D$11:$D$260, MATCH(0, IF(ISBLANK('Annex 2 EHV charges'!$D$11:$D$260),1, COUNTIF(A$4:$A198, 'Annex 2 EHV charges'!$D$11:$D$260)), 0)),"")</f>
        <v/>
      </c>
      <c r="B199" s="87" t="str">
        <f>IF($A199="","",VLOOKUP($A199,'Annex 2 EHV charges'!$D:$O,2,0))</f>
        <v/>
      </c>
      <c r="C199" s="88" t="str">
        <f>IF($A199="","",VLOOKUP($A199,'Annex 2 EHV charges'!$D:$O,3,0))</f>
        <v/>
      </c>
      <c r="D199" s="87" t="str">
        <f>IF($A199="","",VLOOKUP($A199,'Annex 2 EHV charges'!$D:$O,4,0))</f>
        <v/>
      </c>
      <c r="E199" s="89" t="str">
        <f>IFERROR(IF(VLOOKUP($A199,'Annex 2 EHV charges'!$D:$O,9,FALSE)=0,"",VLOOKUP($A199,'Annex 2 EHV charges'!$D:$O,9,FALSE)),"")</f>
        <v/>
      </c>
      <c r="F199" s="90" t="str">
        <f>IFERROR(IF(VLOOKUP($A199,'Annex 2 EHV charges'!$D:$O,10,FALSE)=0,"",VLOOKUP($A199,'Annex 2 EHV charges'!$D:$O,10,FALSE)),"")</f>
        <v/>
      </c>
      <c r="G199" s="91" t="str">
        <f>IFERROR(IF(VLOOKUP($A199,'Annex 2 EHV charges'!$D:$O,11,FALSE)=0,"",VLOOKUP($A199,'Annex 2 EHV charges'!$D:$O,11,FALSE)),"")</f>
        <v/>
      </c>
      <c r="H199" s="91" t="str">
        <f>IFERROR(IF(VLOOKUP($A199,'Annex 2 EHV charges'!$D:$O,12,FALSE)=0,"",VLOOKUP($A199,'Annex 2 EHV charges'!$D:$O,12,FALSE)),"")</f>
        <v/>
      </c>
    </row>
    <row r="200" spans="1:8" x14ac:dyDescent="0.35">
      <c r="A200" s="88" t="str">
        <f t="array" ref="A200">IFERROR(INDEX('Annex 2 EHV charges'!$D$11:$D$260, MATCH(0, IF(ISBLANK('Annex 2 EHV charges'!$D$11:$D$260),1, COUNTIF(A$4:$A199, 'Annex 2 EHV charges'!$D$11:$D$260)), 0)),"")</f>
        <v/>
      </c>
      <c r="B200" s="87" t="str">
        <f>IF($A200="","",VLOOKUP($A200,'Annex 2 EHV charges'!$D:$O,2,0))</f>
        <v/>
      </c>
      <c r="C200" s="88" t="str">
        <f>IF($A200="","",VLOOKUP($A200,'Annex 2 EHV charges'!$D:$O,3,0))</f>
        <v/>
      </c>
      <c r="D200" s="87" t="str">
        <f>IF($A200="","",VLOOKUP($A200,'Annex 2 EHV charges'!$D:$O,4,0))</f>
        <v/>
      </c>
      <c r="E200" s="89" t="str">
        <f>IFERROR(IF(VLOOKUP($A200,'Annex 2 EHV charges'!$D:$O,9,FALSE)=0,"",VLOOKUP($A200,'Annex 2 EHV charges'!$D:$O,9,FALSE)),"")</f>
        <v/>
      </c>
      <c r="F200" s="90" t="str">
        <f>IFERROR(IF(VLOOKUP($A200,'Annex 2 EHV charges'!$D:$O,10,FALSE)=0,"",VLOOKUP($A200,'Annex 2 EHV charges'!$D:$O,10,FALSE)),"")</f>
        <v/>
      </c>
      <c r="G200" s="91" t="str">
        <f>IFERROR(IF(VLOOKUP($A200,'Annex 2 EHV charges'!$D:$O,11,FALSE)=0,"",VLOOKUP($A200,'Annex 2 EHV charges'!$D:$O,11,FALSE)),"")</f>
        <v/>
      </c>
      <c r="H200" s="91" t="str">
        <f>IFERROR(IF(VLOOKUP($A200,'Annex 2 EHV charges'!$D:$O,12,FALSE)=0,"",VLOOKUP($A200,'Annex 2 EHV charges'!$D:$O,12,FALSE)),"")</f>
        <v/>
      </c>
    </row>
    <row r="201" spans="1:8" x14ac:dyDescent="0.35">
      <c r="A201" s="88" t="str">
        <f t="array" ref="A201">IFERROR(INDEX('Annex 2 EHV charges'!$D$11:$D$260, MATCH(0, IF(ISBLANK('Annex 2 EHV charges'!$D$11:$D$260),1, COUNTIF(A$4:$A200, 'Annex 2 EHV charges'!$D$11:$D$260)), 0)),"")</f>
        <v/>
      </c>
      <c r="B201" s="87" t="str">
        <f>IF($A201="","",VLOOKUP($A201,'Annex 2 EHV charges'!$D:$O,2,0))</f>
        <v/>
      </c>
      <c r="C201" s="88" t="str">
        <f>IF($A201="","",VLOOKUP($A201,'Annex 2 EHV charges'!$D:$O,3,0))</f>
        <v/>
      </c>
      <c r="D201" s="87" t="str">
        <f>IF($A201="","",VLOOKUP($A201,'Annex 2 EHV charges'!$D:$O,4,0))</f>
        <v/>
      </c>
      <c r="E201" s="89" t="str">
        <f>IFERROR(IF(VLOOKUP($A201,'Annex 2 EHV charges'!$D:$O,9,FALSE)=0,"",VLOOKUP($A201,'Annex 2 EHV charges'!$D:$O,9,FALSE)),"")</f>
        <v/>
      </c>
      <c r="F201" s="90" t="str">
        <f>IFERROR(IF(VLOOKUP($A201,'Annex 2 EHV charges'!$D:$O,10,FALSE)=0,"",VLOOKUP($A201,'Annex 2 EHV charges'!$D:$O,10,FALSE)),"")</f>
        <v/>
      </c>
      <c r="G201" s="91" t="str">
        <f>IFERROR(IF(VLOOKUP($A201,'Annex 2 EHV charges'!$D:$O,11,FALSE)=0,"",VLOOKUP($A201,'Annex 2 EHV charges'!$D:$O,11,FALSE)),"")</f>
        <v/>
      </c>
      <c r="H201" s="91" t="str">
        <f>IFERROR(IF(VLOOKUP($A201,'Annex 2 EHV charges'!$D:$O,12,FALSE)=0,"",VLOOKUP($A201,'Annex 2 EHV charges'!$D:$O,12,FALSE)),"")</f>
        <v/>
      </c>
    </row>
    <row r="202" spans="1:8" x14ac:dyDescent="0.35">
      <c r="A202" s="88" t="str">
        <f t="array" ref="A202">IFERROR(INDEX('Annex 2 EHV charges'!$D$11:$D$260, MATCH(0, IF(ISBLANK('Annex 2 EHV charges'!$D$11:$D$260),1, COUNTIF(A$4:$A201, 'Annex 2 EHV charges'!$D$11:$D$260)), 0)),"")</f>
        <v/>
      </c>
      <c r="B202" s="87" t="str">
        <f>IF($A202="","",VLOOKUP($A202,'Annex 2 EHV charges'!$D:$O,2,0))</f>
        <v/>
      </c>
      <c r="C202" s="88" t="str">
        <f>IF($A202="","",VLOOKUP($A202,'Annex 2 EHV charges'!$D:$O,3,0))</f>
        <v/>
      </c>
      <c r="D202" s="87" t="str">
        <f>IF($A202="","",VLOOKUP($A202,'Annex 2 EHV charges'!$D:$O,4,0))</f>
        <v/>
      </c>
      <c r="E202" s="89" t="str">
        <f>IFERROR(IF(VLOOKUP($A202,'Annex 2 EHV charges'!$D:$O,9,FALSE)=0,"",VLOOKUP($A202,'Annex 2 EHV charges'!$D:$O,9,FALSE)),"")</f>
        <v/>
      </c>
      <c r="F202" s="90" t="str">
        <f>IFERROR(IF(VLOOKUP($A202,'Annex 2 EHV charges'!$D:$O,10,FALSE)=0,"",VLOOKUP($A202,'Annex 2 EHV charges'!$D:$O,10,FALSE)),"")</f>
        <v/>
      </c>
      <c r="G202" s="91" t="str">
        <f>IFERROR(IF(VLOOKUP($A202,'Annex 2 EHV charges'!$D:$O,11,FALSE)=0,"",VLOOKUP($A202,'Annex 2 EHV charges'!$D:$O,11,FALSE)),"")</f>
        <v/>
      </c>
      <c r="H202" s="91" t="str">
        <f>IFERROR(IF(VLOOKUP($A202,'Annex 2 EHV charges'!$D:$O,12,FALSE)=0,"",VLOOKUP($A202,'Annex 2 EHV charges'!$D:$O,12,FALSE)),"")</f>
        <v/>
      </c>
    </row>
    <row r="203" spans="1:8" x14ac:dyDescent="0.35">
      <c r="A203" s="88" t="str">
        <f t="array" ref="A203">IFERROR(INDEX('Annex 2 EHV charges'!$D$11:$D$260, MATCH(0, IF(ISBLANK('Annex 2 EHV charges'!$D$11:$D$260),1, COUNTIF(A$4:$A202, 'Annex 2 EHV charges'!$D$11:$D$260)), 0)),"")</f>
        <v/>
      </c>
      <c r="B203" s="87" t="str">
        <f>IF($A203="","",VLOOKUP($A203,'Annex 2 EHV charges'!$D:$O,2,0))</f>
        <v/>
      </c>
      <c r="C203" s="88" t="str">
        <f>IF($A203="","",VLOOKUP($A203,'Annex 2 EHV charges'!$D:$O,3,0))</f>
        <v/>
      </c>
      <c r="D203" s="87" t="str">
        <f>IF($A203="","",VLOOKUP($A203,'Annex 2 EHV charges'!$D:$O,4,0))</f>
        <v/>
      </c>
      <c r="E203" s="89" t="str">
        <f>IFERROR(IF(VLOOKUP($A203,'Annex 2 EHV charges'!$D:$O,9,FALSE)=0,"",VLOOKUP($A203,'Annex 2 EHV charges'!$D:$O,9,FALSE)),"")</f>
        <v/>
      </c>
      <c r="F203" s="90" t="str">
        <f>IFERROR(IF(VLOOKUP($A203,'Annex 2 EHV charges'!$D:$O,10,FALSE)=0,"",VLOOKUP($A203,'Annex 2 EHV charges'!$D:$O,10,FALSE)),"")</f>
        <v/>
      </c>
      <c r="G203" s="91" t="str">
        <f>IFERROR(IF(VLOOKUP($A203,'Annex 2 EHV charges'!$D:$O,11,FALSE)=0,"",VLOOKUP($A203,'Annex 2 EHV charges'!$D:$O,11,FALSE)),"")</f>
        <v/>
      </c>
      <c r="H203" s="91" t="str">
        <f>IFERROR(IF(VLOOKUP($A203,'Annex 2 EHV charges'!$D:$O,12,FALSE)=0,"",VLOOKUP($A203,'Annex 2 EHV charges'!$D:$O,12,FALSE)),"")</f>
        <v/>
      </c>
    </row>
    <row r="204" spans="1:8" x14ac:dyDescent="0.35">
      <c r="A204" s="88" t="str">
        <f t="array" ref="A204">IFERROR(INDEX('Annex 2 EHV charges'!$D$11:$D$260, MATCH(0, IF(ISBLANK('Annex 2 EHV charges'!$D$11:$D$260),1, COUNTIF(A$4:$A203, 'Annex 2 EHV charges'!$D$11:$D$260)), 0)),"")</f>
        <v/>
      </c>
      <c r="B204" s="87" t="str">
        <f>IF($A204="","",VLOOKUP($A204,'Annex 2 EHV charges'!$D:$O,2,0))</f>
        <v/>
      </c>
      <c r="C204" s="88" t="str">
        <f>IF($A204="","",VLOOKUP($A204,'Annex 2 EHV charges'!$D:$O,3,0))</f>
        <v/>
      </c>
      <c r="D204" s="87" t="str">
        <f>IF($A204="","",VLOOKUP($A204,'Annex 2 EHV charges'!$D:$O,4,0))</f>
        <v/>
      </c>
      <c r="E204" s="89" t="str">
        <f>IFERROR(IF(VLOOKUP($A204,'Annex 2 EHV charges'!$D:$O,9,FALSE)=0,"",VLOOKUP($A204,'Annex 2 EHV charges'!$D:$O,9,FALSE)),"")</f>
        <v/>
      </c>
      <c r="F204" s="90" t="str">
        <f>IFERROR(IF(VLOOKUP($A204,'Annex 2 EHV charges'!$D:$O,10,FALSE)=0,"",VLOOKUP($A204,'Annex 2 EHV charges'!$D:$O,10,FALSE)),"")</f>
        <v/>
      </c>
      <c r="G204" s="91" t="str">
        <f>IFERROR(IF(VLOOKUP($A204,'Annex 2 EHV charges'!$D:$O,11,FALSE)=0,"",VLOOKUP($A204,'Annex 2 EHV charges'!$D:$O,11,FALSE)),"")</f>
        <v/>
      </c>
      <c r="H204" s="91" t="str">
        <f>IFERROR(IF(VLOOKUP($A204,'Annex 2 EHV charges'!$D:$O,12,FALSE)=0,"",VLOOKUP($A204,'Annex 2 EHV charges'!$D:$O,12,FALSE)),"")</f>
        <v/>
      </c>
    </row>
    <row r="205" spans="1:8" x14ac:dyDescent="0.35">
      <c r="A205" s="88" t="str">
        <f t="array" ref="A205">IFERROR(INDEX('Annex 2 EHV charges'!$D$11:$D$260, MATCH(0, IF(ISBLANK('Annex 2 EHV charges'!$D$11:$D$260),1, COUNTIF(A$4:$A204, 'Annex 2 EHV charges'!$D$11:$D$260)), 0)),"")</f>
        <v/>
      </c>
      <c r="B205" s="87" t="str">
        <f>IF($A205="","",VLOOKUP($A205,'Annex 2 EHV charges'!$D:$O,2,0))</f>
        <v/>
      </c>
      <c r="C205" s="88" t="str">
        <f>IF($A205="","",VLOOKUP($A205,'Annex 2 EHV charges'!$D:$O,3,0))</f>
        <v/>
      </c>
      <c r="D205" s="87" t="str">
        <f>IF($A205="","",VLOOKUP($A205,'Annex 2 EHV charges'!$D:$O,4,0))</f>
        <v/>
      </c>
      <c r="E205" s="89" t="str">
        <f>IFERROR(IF(VLOOKUP($A205,'Annex 2 EHV charges'!$D:$O,9,FALSE)=0,"",VLOOKUP($A205,'Annex 2 EHV charges'!$D:$O,9,FALSE)),"")</f>
        <v/>
      </c>
      <c r="F205" s="90" t="str">
        <f>IFERROR(IF(VLOOKUP($A205,'Annex 2 EHV charges'!$D:$O,10,FALSE)=0,"",VLOOKUP($A205,'Annex 2 EHV charges'!$D:$O,10,FALSE)),"")</f>
        <v/>
      </c>
      <c r="G205" s="91" t="str">
        <f>IFERROR(IF(VLOOKUP($A205,'Annex 2 EHV charges'!$D:$O,11,FALSE)=0,"",VLOOKUP($A205,'Annex 2 EHV charges'!$D:$O,11,FALSE)),"")</f>
        <v/>
      </c>
      <c r="H205" s="91" t="str">
        <f>IFERROR(IF(VLOOKUP($A205,'Annex 2 EHV charges'!$D:$O,12,FALSE)=0,"",VLOOKUP($A205,'Annex 2 EHV charges'!$D:$O,12,FALSE)),"")</f>
        <v/>
      </c>
    </row>
    <row r="206" spans="1:8" x14ac:dyDescent="0.35">
      <c r="A206" s="88" t="str">
        <f t="array" ref="A206">IFERROR(INDEX('Annex 2 EHV charges'!$D$11:$D$260, MATCH(0, IF(ISBLANK('Annex 2 EHV charges'!$D$11:$D$260),1, COUNTIF(A$4:$A205, 'Annex 2 EHV charges'!$D$11:$D$260)), 0)),"")</f>
        <v/>
      </c>
      <c r="B206" s="87" t="str">
        <f>IF($A206="","",VLOOKUP($A206,'Annex 2 EHV charges'!$D:$O,2,0))</f>
        <v/>
      </c>
      <c r="C206" s="88" t="str">
        <f>IF($A206="","",VLOOKUP($A206,'Annex 2 EHV charges'!$D:$O,3,0))</f>
        <v/>
      </c>
      <c r="D206" s="87" t="str">
        <f>IF($A206="","",VLOOKUP($A206,'Annex 2 EHV charges'!$D:$O,4,0))</f>
        <v/>
      </c>
      <c r="E206" s="89" t="str">
        <f>IFERROR(IF(VLOOKUP($A206,'Annex 2 EHV charges'!$D:$O,9,FALSE)=0,"",VLOOKUP($A206,'Annex 2 EHV charges'!$D:$O,9,FALSE)),"")</f>
        <v/>
      </c>
      <c r="F206" s="90" t="str">
        <f>IFERROR(IF(VLOOKUP($A206,'Annex 2 EHV charges'!$D:$O,10,FALSE)=0,"",VLOOKUP($A206,'Annex 2 EHV charges'!$D:$O,10,FALSE)),"")</f>
        <v/>
      </c>
      <c r="G206" s="91" t="str">
        <f>IFERROR(IF(VLOOKUP($A206,'Annex 2 EHV charges'!$D:$O,11,FALSE)=0,"",VLOOKUP($A206,'Annex 2 EHV charges'!$D:$O,11,FALSE)),"")</f>
        <v/>
      </c>
      <c r="H206" s="91" t="str">
        <f>IFERROR(IF(VLOOKUP($A206,'Annex 2 EHV charges'!$D:$O,12,FALSE)=0,"",VLOOKUP($A206,'Annex 2 EHV charges'!$D:$O,12,FALSE)),"")</f>
        <v/>
      </c>
    </row>
    <row r="207" spans="1:8" x14ac:dyDescent="0.35">
      <c r="A207" s="88" t="str">
        <f t="array" ref="A207">IFERROR(INDEX('Annex 2 EHV charges'!$D$11:$D$260, MATCH(0, IF(ISBLANK('Annex 2 EHV charges'!$D$11:$D$260),1, COUNTIF(A$4:$A206, 'Annex 2 EHV charges'!$D$11:$D$260)), 0)),"")</f>
        <v/>
      </c>
      <c r="B207" s="87" t="str">
        <f>IF($A207="","",VLOOKUP($A207,'Annex 2 EHV charges'!$D:$O,2,0))</f>
        <v/>
      </c>
      <c r="C207" s="88" t="str">
        <f>IF($A207="","",VLOOKUP($A207,'Annex 2 EHV charges'!$D:$O,3,0))</f>
        <v/>
      </c>
      <c r="D207" s="87" t="str">
        <f>IF($A207="","",VLOOKUP($A207,'Annex 2 EHV charges'!$D:$O,4,0))</f>
        <v/>
      </c>
      <c r="E207" s="89" t="str">
        <f>IFERROR(IF(VLOOKUP($A207,'Annex 2 EHV charges'!$D:$O,9,FALSE)=0,"",VLOOKUP($A207,'Annex 2 EHV charges'!$D:$O,9,FALSE)),"")</f>
        <v/>
      </c>
      <c r="F207" s="90" t="str">
        <f>IFERROR(IF(VLOOKUP($A207,'Annex 2 EHV charges'!$D:$O,10,FALSE)=0,"",VLOOKUP($A207,'Annex 2 EHV charges'!$D:$O,10,FALSE)),"")</f>
        <v/>
      </c>
      <c r="G207" s="91" t="str">
        <f>IFERROR(IF(VLOOKUP($A207,'Annex 2 EHV charges'!$D:$O,11,FALSE)=0,"",VLOOKUP($A207,'Annex 2 EHV charges'!$D:$O,11,FALSE)),"")</f>
        <v/>
      </c>
      <c r="H207" s="91" t="str">
        <f>IFERROR(IF(VLOOKUP($A207,'Annex 2 EHV charges'!$D:$O,12,FALSE)=0,"",VLOOKUP($A207,'Annex 2 EHV charges'!$D:$O,12,FALSE)),"")</f>
        <v/>
      </c>
    </row>
    <row r="208" spans="1:8" x14ac:dyDescent="0.35">
      <c r="A208" s="88" t="str">
        <f t="array" ref="A208">IFERROR(INDEX('Annex 2 EHV charges'!$D$11:$D$260, MATCH(0, IF(ISBLANK('Annex 2 EHV charges'!$D$11:$D$260),1, COUNTIF(A$4:$A207, 'Annex 2 EHV charges'!$D$11:$D$260)), 0)),"")</f>
        <v/>
      </c>
      <c r="B208" s="87" t="str">
        <f>IF($A208="","",VLOOKUP($A208,'Annex 2 EHV charges'!$D:$O,2,0))</f>
        <v/>
      </c>
      <c r="C208" s="88" t="str">
        <f>IF($A208="","",VLOOKUP($A208,'Annex 2 EHV charges'!$D:$O,3,0))</f>
        <v/>
      </c>
      <c r="D208" s="87" t="str">
        <f>IF($A208="","",VLOOKUP($A208,'Annex 2 EHV charges'!$D:$O,4,0))</f>
        <v/>
      </c>
      <c r="E208" s="89" t="str">
        <f>IFERROR(IF(VLOOKUP($A208,'Annex 2 EHV charges'!$D:$O,9,FALSE)=0,"",VLOOKUP($A208,'Annex 2 EHV charges'!$D:$O,9,FALSE)),"")</f>
        <v/>
      </c>
      <c r="F208" s="90" t="str">
        <f>IFERROR(IF(VLOOKUP($A208,'Annex 2 EHV charges'!$D:$O,10,FALSE)=0,"",VLOOKUP($A208,'Annex 2 EHV charges'!$D:$O,10,FALSE)),"")</f>
        <v/>
      </c>
      <c r="G208" s="91" t="str">
        <f>IFERROR(IF(VLOOKUP($A208,'Annex 2 EHV charges'!$D:$O,11,FALSE)=0,"",VLOOKUP($A208,'Annex 2 EHV charges'!$D:$O,11,FALSE)),"")</f>
        <v/>
      </c>
      <c r="H208" s="91" t="str">
        <f>IFERROR(IF(VLOOKUP($A208,'Annex 2 EHV charges'!$D:$O,12,FALSE)=0,"",VLOOKUP($A208,'Annex 2 EHV charges'!$D:$O,12,FALSE)),"")</f>
        <v/>
      </c>
    </row>
    <row r="209" spans="1:8" x14ac:dyDescent="0.35">
      <c r="A209" s="88" t="str">
        <f t="array" ref="A209">IFERROR(INDEX('Annex 2 EHV charges'!$D$11:$D$260, MATCH(0, IF(ISBLANK('Annex 2 EHV charges'!$D$11:$D$260),1, COUNTIF(A$4:$A208, 'Annex 2 EHV charges'!$D$11:$D$260)), 0)),"")</f>
        <v/>
      </c>
      <c r="B209" s="87" t="str">
        <f>IF($A209="","",VLOOKUP($A209,'Annex 2 EHV charges'!$D:$O,2,0))</f>
        <v/>
      </c>
      <c r="C209" s="88" t="str">
        <f>IF($A209="","",VLOOKUP($A209,'Annex 2 EHV charges'!$D:$O,3,0))</f>
        <v/>
      </c>
      <c r="D209" s="87" t="str">
        <f>IF($A209="","",VLOOKUP($A209,'Annex 2 EHV charges'!$D:$O,4,0))</f>
        <v/>
      </c>
      <c r="E209" s="89" t="str">
        <f>IFERROR(IF(VLOOKUP($A209,'Annex 2 EHV charges'!$D:$O,9,FALSE)=0,"",VLOOKUP($A209,'Annex 2 EHV charges'!$D:$O,9,FALSE)),"")</f>
        <v/>
      </c>
      <c r="F209" s="90" t="str">
        <f>IFERROR(IF(VLOOKUP($A209,'Annex 2 EHV charges'!$D:$O,10,FALSE)=0,"",VLOOKUP($A209,'Annex 2 EHV charges'!$D:$O,10,FALSE)),"")</f>
        <v/>
      </c>
      <c r="G209" s="91" t="str">
        <f>IFERROR(IF(VLOOKUP($A209,'Annex 2 EHV charges'!$D:$O,11,FALSE)=0,"",VLOOKUP($A209,'Annex 2 EHV charges'!$D:$O,11,FALSE)),"")</f>
        <v/>
      </c>
      <c r="H209" s="91" t="str">
        <f>IFERROR(IF(VLOOKUP($A209,'Annex 2 EHV charges'!$D:$O,12,FALSE)=0,"",VLOOKUP($A209,'Annex 2 EHV charges'!$D:$O,12,FALSE)),"")</f>
        <v/>
      </c>
    </row>
    <row r="210" spans="1:8" x14ac:dyDescent="0.35">
      <c r="A210" s="88" t="str">
        <f t="array" ref="A210">IFERROR(INDEX('Annex 2 EHV charges'!$D$11:$D$260, MATCH(0, IF(ISBLANK('Annex 2 EHV charges'!$D$11:$D$260),1, COUNTIF(A$4:$A209, 'Annex 2 EHV charges'!$D$11:$D$260)), 0)),"")</f>
        <v/>
      </c>
      <c r="B210" s="87" t="str">
        <f>IF($A210="","",VLOOKUP($A210,'Annex 2 EHV charges'!$D:$O,2,0))</f>
        <v/>
      </c>
      <c r="C210" s="88" t="str">
        <f>IF($A210="","",VLOOKUP($A210,'Annex 2 EHV charges'!$D:$O,3,0))</f>
        <v/>
      </c>
      <c r="D210" s="87" t="str">
        <f>IF($A210="","",VLOOKUP($A210,'Annex 2 EHV charges'!$D:$O,4,0))</f>
        <v/>
      </c>
      <c r="E210" s="89" t="str">
        <f>IFERROR(IF(VLOOKUP($A210,'Annex 2 EHV charges'!$D:$O,9,FALSE)=0,"",VLOOKUP($A210,'Annex 2 EHV charges'!$D:$O,9,FALSE)),"")</f>
        <v/>
      </c>
      <c r="F210" s="90" t="str">
        <f>IFERROR(IF(VLOOKUP($A210,'Annex 2 EHV charges'!$D:$O,10,FALSE)=0,"",VLOOKUP($A210,'Annex 2 EHV charges'!$D:$O,10,FALSE)),"")</f>
        <v/>
      </c>
      <c r="G210" s="91" t="str">
        <f>IFERROR(IF(VLOOKUP($A210,'Annex 2 EHV charges'!$D:$O,11,FALSE)=0,"",VLOOKUP($A210,'Annex 2 EHV charges'!$D:$O,11,FALSE)),"")</f>
        <v/>
      </c>
      <c r="H210" s="91" t="str">
        <f>IFERROR(IF(VLOOKUP($A210,'Annex 2 EHV charges'!$D:$O,12,FALSE)=0,"",VLOOKUP($A210,'Annex 2 EHV charges'!$D:$O,12,FALSE)),"")</f>
        <v/>
      </c>
    </row>
    <row r="211" spans="1:8" x14ac:dyDescent="0.35">
      <c r="A211" s="88" t="str">
        <f t="array" ref="A211">IFERROR(INDEX('Annex 2 EHV charges'!$D$11:$D$260, MATCH(0, IF(ISBLANK('Annex 2 EHV charges'!$D$11:$D$260),1, COUNTIF(A$4:$A210, 'Annex 2 EHV charges'!$D$11:$D$260)), 0)),"")</f>
        <v/>
      </c>
      <c r="B211" s="87" t="str">
        <f>IF($A211="","",VLOOKUP($A211,'Annex 2 EHV charges'!$D:$O,2,0))</f>
        <v/>
      </c>
      <c r="C211" s="88" t="str">
        <f>IF($A211="","",VLOOKUP($A211,'Annex 2 EHV charges'!$D:$O,3,0))</f>
        <v/>
      </c>
      <c r="D211" s="87" t="str">
        <f>IF($A211="","",VLOOKUP($A211,'Annex 2 EHV charges'!$D:$O,4,0))</f>
        <v/>
      </c>
      <c r="E211" s="89" t="str">
        <f>IFERROR(IF(VLOOKUP($A211,'Annex 2 EHV charges'!$D:$O,9,FALSE)=0,"",VLOOKUP($A211,'Annex 2 EHV charges'!$D:$O,9,FALSE)),"")</f>
        <v/>
      </c>
      <c r="F211" s="90" t="str">
        <f>IFERROR(IF(VLOOKUP($A211,'Annex 2 EHV charges'!$D:$O,10,FALSE)=0,"",VLOOKUP($A211,'Annex 2 EHV charges'!$D:$O,10,FALSE)),"")</f>
        <v/>
      </c>
      <c r="G211" s="91" t="str">
        <f>IFERROR(IF(VLOOKUP($A211,'Annex 2 EHV charges'!$D:$O,11,FALSE)=0,"",VLOOKUP($A211,'Annex 2 EHV charges'!$D:$O,11,FALSE)),"")</f>
        <v/>
      </c>
      <c r="H211" s="91" t="str">
        <f>IFERROR(IF(VLOOKUP($A211,'Annex 2 EHV charges'!$D:$O,12,FALSE)=0,"",VLOOKUP($A211,'Annex 2 EHV charges'!$D:$O,12,FALSE)),"")</f>
        <v/>
      </c>
    </row>
    <row r="212" spans="1:8" x14ac:dyDescent="0.35">
      <c r="A212" s="88" t="str">
        <f t="array" ref="A212">IFERROR(INDEX('Annex 2 EHV charges'!$D$11:$D$260, MATCH(0, IF(ISBLANK('Annex 2 EHV charges'!$D$11:$D$260),1, COUNTIF(A$4:$A211, 'Annex 2 EHV charges'!$D$11:$D$260)), 0)),"")</f>
        <v/>
      </c>
      <c r="B212" s="87" t="str">
        <f>IF($A212="","",VLOOKUP($A212,'Annex 2 EHV charges'!$D:$O,2,0))</f>
        <v/>
      </c>
      <c r="C212" s="88" t="str">
        <f>IF($A212="","",VLOOKUP($A212,'Annex 2 EHV charges'!$D:$O,3,0))</f>
        <v/>
      </c>
      <c r="D212" s="87" t="str">
        <f>IF($A212="","",VLOOKUP($A212,'Annex 2 EHV charges'!$D:$O,4,0))</f>
        <v/>
      </c>
      <c r="E212" s="89" t="str">
        <f>IFERROR(IF(VLOOKUP($A212,'Annex 2 EHV charges'!$D:$O,9,FALSE)=0,"",VLOOKUP($A212,'Annex 2 EHV charges'!$D:$O,9,FALSE)),"")</f>
        <v/>
      </c>
      <c r="F212" s="90" t="str">
        <f>IFERROR(IF(VLOOKUP($A212,'Annex 2 EHV charges'!$D:$O,10,FALSE)=0,"",VLOOKUP($A212,'Annex 2 EHV charges'!$D:$O,10,FALSE)),"")</f>
        <v/>
      </c>
      <c r="G212" s="91" t="str">
        <f>IFERROR(IF(VLOOKUP($A212,'Annex 2 EHV charges'!$D:$O,11,FALSE)=0,"",VLOOKUP($A212,'Annex 2 EHV charges'!$D:$O,11,FALSE)),"")</f>
        <v/>
      </c>
      <c r="H212" s="91" t="str">
        <f>IFERROR(IF(VLOOKUP($A212,'Annex 2 EHV charges'!$D:$O,12,FALSE)=0,"",VLOOKUP($A212,'Annex 2 EHV charges'!$D:$O,12,FALSE)),"")</f>
        <v/>
      </c>
    </row>
    <row r="213" spans="1:8" x14ac:dyDescent="0.35">
      <c r="A213" s="88" t="str">
        <f t="array" ref="A213">IFERROR(INDEX('Annex 2 EHV charges'!$D$11:$D$260, MATCH(0, IF(ISBLANK('Annex 2 EHV charges'!$D$11:$D$260),1, COUNTIF(A$4:$A212, 'Annex 2 EHV charges'!$D$11:$D$260)), 0)),"")</f>
        <v/>
      </c>
      <c r="B213" s="87" t="str">
        <f>IF($A213="","",VLOOKUP($A213,'Annex 2 EHV charges'!$D:$O,2,0))</f>
        <v/>
      </c>
      <c r="C213" s="88" t="str">
        <f>IF($A213="","",VLOOKUP($A213,'Annex 2 EHV charges'!$D:$O,3,0))</f>
        <v/>
      </c>
      <c r="D213" s="87" t="str">
        <f>IF($A213="","",VLOOKUP($A213,'Annex 2 EHV charges'!$D:$O,4,0))</f>
        <v/>
      </c>
      <c r="E213" s="89" t="str">
        <f>IFERROR(IF(VLOOKUP($A213,'Annex 2 EHV charges'!$D:$O,9,FALSE)=0,"",VLOOKUP($A213,'Annex 2 EHV charges'!$D:$O,9,FALSE)),"")</f>
        <v/>
      </c>
      <c r="F213" s="90" t="str">
        <f>IFERROR(IF(VLOOKUP($A213,'Annex 2 EHV charges'!$D:$O,10,FALSE)=0,"",VLOOKUP($A213,'Annex 2 EHV charges'!$D:$O,10,FALSE)),"")</f>
        <v/>
      </c>
      <c r="G213" s="91" t="str">
        <f>IFERROR(IF(VLOOKUP($A213,'Annex 2 EHV charges'!$D:$O,11,FALSE)=0,"",VLOOKUP($A213,'Annex 2 EHV charges'!$D:$O,11,FALSE)),"")</f>
        <v/>
      </c>
      <c r="H213" s="91" t="str">
        <f>IFERROR(IF(VLOOKUP($A213,'Annex 2 EHV charges'!$D:$O,12,FALSE)=0,"",VLOOKUP($A213,'Annex 2 EHV charges'!$D:$O,12,FALSE)),"")</f>
        <v/>
      </c>
    </row>
    <row r="214" spans="1:8" x14ac:dyDescent="0.35">
      <c r="A214" s="88" t="str">
        <f t="array" ref="A214">IFERROR(INDEX('Annex 2 EHV charges'!$D$11:$D$260, MATCH(0, IF(ISBLANK('Annex 2 EHV charges'!$D$11:$D$260),1, COUNTIF(A$4:$A213, 'Annex 2 EHV charges'!$D$11:$D$260)), 0)),"")</f>
        <v/>
      </c>
      <c r="B214" s="87" t="str">
        <f>IF($A214="","",VLOOKUP($A214,'Annex 2 EHV charges'!$D:$O,2,0))</f>
        <v/>
      </c>
      <c r="C214" s="88" t="str">
        <f>IF($A214="","",VLOOKUP($A214,'Annex 2 EHV charges'!$D:$O,3,0))</f>
        <v/>
      </c>
      <c r="D214" s="87" t="str">
        <f>IF($A214="","",VLOOKUP($A214,'Annex 2 EHV charges'!$D:$O,4,0))</f>
        <v/>
      </c>
      <c r="E214" s="89" t="str">
        <f>IFERROR(IF(VLOOKUP($A214,'Annex 2 EHV charges'!$D:$O,9,FALSE)=0,"",VLOOKUP($A214,'Annex 2 EHV charges'!$D:$O,9,FALSE)),"")</f>
        <v/>
      </c>
      <c r="F214" s="90" t="str">
        <f>IFERROR(IF(VLOOKUP($A214,'Annex 2 EHV charges'!$D:$O,10,FALSE)=0,"",VLOOKUP($A214,'Annex 2 EHV charges'!$D:$O,10,FALSE)),"")</f>
        <v/>
      </c>
      <c r="G214" s="91" t="str">
        <f>IFERROR(IF(VLOOKUP($A214,'Annex 2 EHV charges'!$D:$O,11,FALSE)=0,"",VLOOKUP($A214,'Annex 2 EHV charges'!$D:$O,11,FALSE)),"")</f>
        <v/>
      </c>
      <c r="H214" s="91" t="str">
        <f>IFERROR(IF(VLOOKUP($A214,'Annex 2 EHV charges'!$D:$O,12,FALSE)=0,"",VLOOKUP($A214,'Annex 2 EHV charges'!$D:$O,12,FALSE)),"")</f>
        <v/>
      </c>
    </row>
    <row r="215" spans="1:8" x14ac:dyDescent="0.35">
      <c r="A215" s="88" t="str">
        <f t="array" ref="A215">IFERROR(INDEX('Annex 2 EHV charges'!$D$11:$D$260, MATCH(0, IF(ISBLANK('Annex 2 EHV charges'!$D$11:$D$260),1, COUNTIF(A$4:$A214, 'Annex 2 EHV charges'!$D$11:$D$260)), 0)),"")</f>
        <v/>
      </c>
      <c r="B215" s="87" t="str">
        <f>IF($A215="","",VLOOKUP($A215,'Annex 2 EHV charges'!$D:$O,2,0))</f>
        <v/>
      </c>
      <c r="C215" s="88" t="str">
        <f>IF($A215="","",VLOOKUP($A215,'Annex 2 EHV charges'!$D:$O,3,0))</f>
        <v/>
      </c>
      <c r="D215" s="87" t="str">
        <f>IF($A215="","",VLOOKUP($A215,'Annex 2 EHV charges'!$D:$O,4,0))</f>
        <v/>
      </c>
      <c r="E215" s="89" t="str">
        <f>IFERROR(IF(VLOOKUP($A215,'Annex 2 EHV charges'!$D:$O,9,FALSE)=0,"",VLOOKUP($A215,'Annex 2 EHV charges'!$D:$O,9,FALSE)),"")</f>
        <v/>
      </c>
      <c r="F215" s="90" t="str">
        <f>IFERROR(IF(VLOOKUP($A215,'Annex 2 EHV charges'!$D:$O,10,FALSE)=0,"",VLOOKUP($A215,'Annex 2 EHV charges'!$D:$O,10,FALSE)),"")</f>
        <v/>
      </c>
      <c r="G215" s="91" t="str">
        <f>IFERROR(IF(VLOOKUP($A215,'Annex 2 EHV charges'!$D:$O,11,FALSE)=0,"",VLOOKUP($A215,'Annex 2 EHV charges'!$D:$O,11,FALSE)),"")</f>
        <v/>
      </c>
      <c r="H215" s="91" t="str">
        <f>IFERROR(IF(VLOOKUP($A215,'Annex 2 EHV charges'!$D:$O,12,FALSE)=0,"",VLOOKUP($A215,'Annex 2 EHV charges'!$D:$O,12,FALSE)),"")</f>
        <v/>
      </c>
    </row>
    <row r="216" spans="1:8" x14ac:dyDescent="0.35">
      <c r="A216" s="88" t="str">
        <f t="array" ref="A216">IFERROR(INDEX('Annex 2 EHV charges'!$D$11:$D$260, MATCH(0, IF(ISBLANK('Annex 2 EHV charges'!$D$11:$D$260),1, COUNTIF(A$4:$A215, 'Annex 2 EHV charges'!$D$11:$D$260)), 0)),"")</f>
        <v/>
      </c>
      <c r="B216" s="87" t="str">
        <f>IF($A216="","",VLOOKUP($A216,'Annex 2 EHV charges'!$D:$O,2,0))</f>
        <v/>
      </c>
      <c r="C216" s="88" t="str">
        <f>IF($A216="","",VLOOKUP($A216,'Annex 2 EHV charges'!$D:$O,3,0))</f>
        <v/>
      </c>
      <c r="D216" s="87" t="str">
        <f>IF($A216="","",VLOOKUP($A216,'Annex 2 EHV charges'!$D:$O,4,0))</f>
        <v/>
      </c>
      <c r="E216" s="89" t="str">
        <f>IFERROR(IF(VLOOKUP($A216,'Annex 2 EHV charges'!$D:$O,9,FALSE)=0,"",VLOOKUP($A216,'Annex 2 EHV charges'!$D:$O,9,FALSE)),"")</f>
        <v/>
      </c>
      <c r="F216" s="90" t="str">
        <f>IFERROR(IF(VLOOKUP($A216,'Annex 2 EHV charges'!$D:$O,10,FALSE)=0,"",VLOOKUP($A216,'Annex 2 EHV charges'!$D:$O,10,FALSE)),"")</f>
        <v/>
      </c>
      <c r="G216" s="91" t="str">
        <f>IFERROR(IF(VLOOKUP($A216,'Annex 2 EHV charges'!$D:$O,11,FALSE)=0,"",VLOOKUP($A216,'Annex 2 EHV charges'!$D:$O,11,FALSE)),"")</f>
        <v/>
      </c>
      <c r="H216" s="91" t="str">
        <f>IFERROR(IF(VLOOKUP($A216,'Annex 2 EHV charges'!$D:$O,12,FALSE)=0,"",VLOOKUP($A216,'Annex 2 EHV charges'!$D:$O,12,FALSE)),"")</f>
        <v/>
      </c>
    </row>
    <row r="217" spans="1:8" x14ac:dyDescent="0.35">
      <c r="A217" s="88" t="str">
        <f t="array" ref="A217">IFERROR(INDEX('Annex 2 EHV charges'!$D$11:$D$260, MATCH(0, IF(ISBLANK('Annex 2 EHV charges'!$D$11:$D$260),1, COUNTIF(A$4:$A216, 'Annex 2 EHV charges'!$D$11:$D$260)), 0)),"")</f>
        <v/>
      </c>
      <c r="B217" s="87" t="str">
        <f>IF($A217="","",VLOOKUP($A217,'Annex 2 EHV charges'!$D:$O,2,0))</f>
        <v/>
      </c>
      <c r="C217" s="88" t="str">
        <f>IF($A217="","",VLOOKUP($A217,'Annex 2 EHV charges'!$D:$O,3,0))</f>
        <v/>
      </c>
      <c r="D217" s="87" t="str">
        <f>IF($A217="","",VLOOKUP($A217,'Annex 2 EHV charges'!$D:$O,4,0))</f>
        <v/>
      </c>
      <c r="E217" s="89" t="str">
        <f>IFERROR(IF(VLOOKUP($A217,'Annex 2 EHV charges'!$D:$O,9,FALSE)=0,"",VLOOKUP($A217,'Annex 2 EHV charges'!$D:$O,9,FALSE)),"")</f>
        <v/>
      </c>
      <c r="F217" s="90" t="str">
        <f>IFERROR(IF(VLOOKUP($A217,'Annex 2 EHV charges'!$D:$O,10,FALSE)=0,"",VLOOKUP($A217,'Annex 2 EHV charges'!$D:$O,10,FALSE)),"")</f>
        <v/>
      </c>
      <c r="G217" s="91" t="str">
        <f>IFERROR(IF(VLOOKUP($A217,'Annex 2 EHV charges'!$D:$O,11,FALSE)=0,"",VLOOKUP($A217,'Annex 2 EHV charges'!$D:$O,11,FALSE)),"")</f>
        <v/>
      </c>
      <c r="H217" s="91" t="str">
        <f>IFERROR(IF(VLOOKUP($A217,'Annex 2 EHV charges'!$D:$O,12,FALSE)=0,"",VLOOKUP($A217,'Annex 2 EHV charges'!$D:$O,12,FALSE)),"")</f>
        <v/>
      </c>
    </row>
    <row r="218" spans="1:8" x14ac:dyDescent="0.35">
      <c r="A218" s="88" t="str">
        <f t="array" ref="A218">IFERROR(INDEX('Annex 2 EHV charges'!$D$11:$D$260, MATCH(0, IF(ISBLANK('Annex 2 EHV charges'!$D$11:$D$260),1, COUNTIF(A$4:$A217, 'Annex 2 EHV charges'!$D$11:$D$260)), 0)),"")</f>
        <v/>
      </c>
      <c r="B218" s="87" t="str">
        <f>IF($A218="","",VLOOKUP($A218,'Annex 2 EHV charges'!$D:$O,2,0))</f>
        <v/>
      </c>
      <c r="C218" s="88" t="str">
        <f>IF($A218="","",VLOOKUP($A218,'Annex 2 EHV charges'!$D:$O,3,0))</f>
        <v/>
      </c>
      <c r="D218" s="87" t="str">
        <f>IF($A218="","",VLOOKUP($A218,'Annex 2 EHV charges'!$D:$O,4,0))</f>
        <v/>
      </c>
      <c r="E218" s="89" t="str">
        <f>IFERROR(IF(VLOOKUP($A218,'Annex 2 EHV charges'!$D:$O,9,FALSE)=0,"",VLOOKUP($A218,'Annex 2 EHV charges'!$D:$O,9,FALSE)),"")</f>
        <v/>
      </c>
      <c r="F218" s="90" t="str">
        <f>IFERROR(IF(VLOOKUP($A218,'Annex 2 EHV charges'!$D:$O,10,FALSE)=0,"",VLOOKUP($A218,'Annex 2 EHV charges'!$D:$O,10,FALSE)),"")</f>
        <v/>
      </c>
      <c r="G218" s="91" t="str">
        <f>IFERROR(IF(VLOOKUP($A218,'Annex 2 EHV charges'!$D:$O,11,FALSE)=0,"",VLOOKUP($A218,'Annex 2 EHV charges'!$D:$O,11,FALSE)),"")</f>
        <v/>
      </c>
      <c r="H218" s="91" t="str">
        <f>IFERROR(IF(VLOOKUP($A218,'Annex 2 EHV charges'!$D:$O,12,FALSE)=0,"",VLOOKUP($A218,'Annex 2 EHV charges'!$D:$O,12,FALSE)),"")</f>
        <v/>
      </c>
    </row>
    <row r="219" spans="1:8" x14ac:dyDescent="0.35">
      <c r="A219" s="88" t="str">
        <f t="array" ref="A219">IFERROR(INDEX('Annex 2 EHV charges'!$D$11:$D$260, MATCH(0, IF(ISBLANK('Annex 2 EHV charges'!$D$11:$D$260),1, COUNTIF(A$4:$A218, 'Annex 2 EHV charges'!$D$11:$D$260)), 0)),"")</f>
        <v/>
      </c>
      <c r="B219" s="87" t="str">
        <f>IF($A219="","",VLOOKUP($A219,'Annex 2 EHV charges'!$D:$O,2,0))</f>
        <v/>
      </c>
      <c r="C219" s="88" t="str">
        <f>IF($A219="","",VLOOKUP($A219,'Annex 2 EHV charges'!$D:$O,3,0))</f>
        <v/>
      </c>
      <c r="D219" s="87" t="str">
        <f>IF($A219="","",VLOOKUP($A219,'Annex 2 EHV charges'!$D:$O,4,0))</f>
        <v/>
      </c>
      <c r="E219" s="89" t="str">
        <f>IFERROR(IF(VLOOKUP($A219,'Annex 2 EHV charges'!$D:$O,9,FALSE)=0,"",VLOOKUP($A219,'Annex 2 EHV charges'!$D:$O,9,FALSE)),"")</f>
        <v/>
      </c>
      <c r="F219" s="90" t="str">
        <f>IFERROR(IF(VLOOKUP($A219,'Annex 2 EHV charges'!$D:$O,10,FALSE)=0,"",VLOOKUP($A219,'Annex 2 EHV charges'!$D:$O,10,FALSE)),"")</f>
        <v/>
      </c>
      <c r="G219" s="91" t="str">
        <f>IFERROR(IF(VLOOKUP($A219,'Annex 2 EHV charges'!$D:$O,11,FALSE)=0,"",VLOOKUP($A219,'Annex 2 EHV charges'!$D:$O,11,FALSE)),"")</f>
        <v/>
      </c>
      <c r="H219" s="91" t="str">
        <f>IFERROR(IF(VLOOKUP($A219,'Annex 2 EHV charges'!$D:$O,12,FALSE)=0,"",VLOOKUP($A219,'Annex 2 EHV charges'!$D:$O,12,FALSE)),"")</f>
        <v/>
      </c>
    </row>
    <row r="220" spans="1:8" x14ac:dyDescent="0.35">
      <c r="A220" s="88" t="str">
        <f t="array" ref="A220">IFERROR(INDEX('Annex 2 EHV charges'!$D$11:$D$260, MATCH(0, IF(ISBLANK('Annex 2 EHV charges'!$D$11:$D$260),1, COUNTIF(A$4:$A219, 'Annex 2 EHV charges'!$D$11:$D$260)), 0)),"")</f>
        <v/>
      </c>
      <c r="B220" s="87" t="str">
        <f>IF($A220="","",VLOOKUP($A220,'Annex 2 EHV charges'!$D:$O,2,0))</f>
        <v/>
      </c>
      <c r="C220" s="88" t="str">
        <f>IF($A220="","",VLOOKUP($A220,'Annex 2 EHV charges'!$D:$O,3,0))</f>
        <v/>
      </c>
      <c r="D220" s="87" t="str">
        <f>IF($A220="","",VLOOKUP($A220,'Annex 2 EHV charges'!$D:$O,4,0))</f>
        <v/>
      </c>
      <c r="E220" s="89" t="str">
        <f>IFERROR(IF(VLOOKUP($A220,'Annex 2 EHV charges'!$D:$O,9,FALSE)=0,"",VLOOKUP($A220,'Annex 2 EHV charges'!$D:$O,9,FALSE)),"")</f>
        <v/>
      </c>
      <c r="F220" s="90" t="str">
        <f>IFERROR(IF(VLOOKUP($A220,'Annex 2 EHV charges'!$D:$O,10,FALSE)=0,"",VLOOKUP($A220,'Annex 2 EHV charges'!$D:$O,10,FALSE)),"")</f>
        <v/>
      </c>
      <c r="G220" s="91" t="str">
        <f>IFERROR(IF(VLOOKUP($A220,'Annex 2 EHV charges'!$D:$O,11,FALSE)=0,"",VLOOKUP($A220,'Annex 2 EHV charges'!$D:$O,11,FALSE)),"")</f>
        <v/>
      </c>
      <c r="H220" s="91" t="str">
        <f>IFERROR(IF(VLOOKUP($A220,'Annex 2 EHV charges'!$D:$O,12,FALSE)=0,"",VLOOKUP($A220,'Annex 2 EHV charges'!$D:$O,12,FALSE)),"")</f>
        <v/>
      </c>
    </row>
    <row r="221" spans="1:8" x14ac:dyDescent="0.35">
      <c r="A221" s="88" t="str">
        <f t="array" ref="A221">IFERROR(INDEX('Annex 2 EHV charges'!$D$11:$D$260, MATCH(0, IF(ISBLANK('Annex 2 EHV charges'!$D$11:$D$260),1, COUNTIF(A$4:$A220, 'Annex 2 EHV charges'!$D$11:$D$260)), 0)),"")</f>
        <v/>
      </c>
      <c r="B221" s="87" t="str">
        <f>IF($A221="","",VLOOKUP($A221,'Annex 2 EHV charges'!$D:$O,2,0))</f>
        <v/>
      </c>
      <c r="C221" s="88" t="str">
        <f>IF($A221="","",VLOOKUP($A221,'Annex 2 EHV charges'!$D:$O,3,0))</f>
        <v/>
      </c>
      <c r="D221" s="87" t="str">
        <f>IF($A221="","",VLOOKUP($A221,'Annex 2 EHV charges'!$D:$O,4,0))</f>
        <v/>
      </c>
      <c r="E221" s="89" t="str">
        <f>IFERROR(IF(VLOOKUP($A221,'Annex 2 EHV charges'!$D:$O,9,FALSE)=0,"",VLOOKUP($A221,'Annex 2 EHV charges'!$D:$O,9,FALSE)),"")</f>
        <v/>
      </c>
      <c r="F221" s="90" t="str">
        <f>IFERROR(IF(VLOOKUP($A221,'Annex 2 EHV charges'!$D:$O,10,FALSE)=0,"",VLOOKUP($A221,'Annex 2 EHV charges'!$D:$O,10,FALSE)),"")</f>
        <v/>
      </c>
      <c r="G221" s="91" t="str">
        <f>IFERROR(IF(VLOOKUP($A221,'Annex 2 EHV charges'!$D:$O,11,FALSE)=0,"",VLOOKUP($A221,'Annex 2 EHV charges'!$D:$O,11,FALSE)),"")</f>
        <v/>
      </c>
      <c r="H221" s="91" t="str">
        <f>IFERROR(IF(VLOOKUP($A221,'Annex 2 EHV charges'!$D:$O,12,FALSE)=0,"",VLOOKUP($A221,'Annex 2 EHV charges'!$D:$O,12,FALSE)),"")</f>
        <v/>
      </c>
    </row>
    <row r="222" spans="1:8" x14ac:dyDescent="0.35">
      <c r="A222" s="88" t="str">
        <f t="array" ref="A222">IFERROR(INDEX('Annex 2 EHV charges'!$D$11:$D$260, MATCH(0, IF(ISBLANK('Annex 2 EHV charges'!$D$11:$D$260),1, COUNTIF(A$4:$A221, 'Annex 2 EHV charges'!$D$11:$D$260)), 0)),"")</f>
        <v/>
      </c>
      <c r="B222" s="87" t="str">
        <f>IF($A222="","",VLOOKUP($A222,'Annex 2 EHV charges'!$D:$O,2,0))</f>
        <v/>
      </c>
      <c r="C222" s="88" t="str">
        <f>IF($A222="","",VLOOKUP($A222,'Annex 2 EHV charges'!$D:$O,3,0))</f>
        <v/>
      </c>
      <c r="D222" s="87" t="str">
        <f>IF($A222="","",VLOOKUP($A222,'Annex 2 EHV charges'!$D:$O,4,0))</f>
        <v/>
      </c>
      <c r="E222" s="89" t="str">
        <f>IFERROR(IF(VLOOKUP($A222,'Annex 2 EHV charges'!$D:$O,9,FALSE)=0,"",VLOOKUP($A222,'Annex 2 EHV charges'!$D:$O,9,FALSE)),"")</f>
        <v/>
      </c>
      <c r="F222" s="90" t="str">
        <f>IFERROR(IF(VLOOKUP($A222,'Annex 2 EHV charges'!$D:$O,10,FALSE)=0,"",VLOOKUP($A222,'Annex 2 EHV charges'!$D:$O,10,FALSE)),"")</f>
        <v/>
      </c>
      <c r="G222" s="91" t="str">
        <f>IFERROR(IF(VLOOKUP($A222,'Annex 2 EHV charges'!$D:$O,11,FALSE)=0,"",VLOOKUP($A222,'Annex 2 EHV charges'!$D:$O,11,FALSE)),"")</f>
        <v/>
      </c>
      <c r="H222" s="91" t="str">
        <f>IFERROR(IF(VLOOKUP($A222,'Annex 2 EHV charges'!$D:$O,12,FALSE)=0,"",VLOOKUP($A222,'Annex 2 EHV charges'!$D:$O,12,FALSE)),"")</f>
        <v/>
      </c>
    </row>
    <row r="223" spans="1:8" x14ac:dyDescent="0.35">
      <c r="A223" s="88" t="str">
        <f t="array" ref="A223">IFERROR(INDEX('Annex 2 EHV charges'!$D$11:$D$260, MATCH(0, IF(ISBLANK('Annex 2 EHV charges'!$D$11:$D$260),1, COUNTIF(A$4:$A222, 'Annex 2 EHV charges'!$D$11:$D$260)), 0)),"")</f>
        <v/>
      </c>
      <c r="B223" s="87" t="str">
        <f>IF($A223="","",VLOOKUP($A223,'Annex 2 EHV charges'!$D:$O,2,0))</f>
        <v/>
      </c>
      <c r="C223" s="88" t="str">
        <f>IF($A223="","",VLOOKUP($A223,'Annex 2 EHV charges'!$D:$O,3,0))</f>
        <v/>
      </c>
      <c r="D223" s="87" t="str">
        <f>IF($A223="","",VLOOKUP($A223,'Annex 2 EHV charges'!$D:$O,4,0))</f>
        <v/>
      </c>
      <c r="E223" s="89" t="str">
        <f>IFERROR(IF(VLOOKUP($A223,'Annex 2 EHV charges'!$D:$O,9,FALSE)=0,"",VLOOKUP($A223,'Annex 2 EHV charges'!$D:$O,9,FALSE)),"")</f>
        <v/>
      </c>
      <c r="F223" s="90" t="str">
        <f>IFERROR(IF(VLOOKUP($A223,'Annex 2 EHV charges'!$D:$O,10,FALSE)=0,"",VLOOKUP($A223,'Annex 2 EHV charges'!$D:$O,10,FALSE)),"")</f>
        <v/>
      </c>
      <c r="G223" s="91" t="str">
        <f>IFERROR(IF(VLOOKUP($A223,'Annex 2 EHV charges'!$D:$O,11,FALSE)=0,"",VLOOKUP($A223,'Annex 2 EHV charges'!$D:$O,11,FALSE)),"")</f>
        <v/>
      </c>
      <c r="H223" s="91" t="str">
        <f>IFERROR(IF(VLOOKUP($A223,'Annex 2 EHV charges'!$D:$O,12,FALSE)=0,"",VLOOKUP($A223,'Annex 2 EHV charges'!$D:$O,12,FALSE)),"")</f>
        <v/>
      </c>
    </row>
    <row r="224" spans="1:8" x14ac:dyDescent="0.35">
      <c r="A224" s="88" t="str">
        <f t="array" ref="A224">IFERROR(INDEX('Annex 2 EHV charges'!$D$11:$D$260, MATCH(0, IF(ISBLANK('Annex 2 EHV charges'!$D$11:$D$260),1, COUNTIF(A$4:$A223, 'Annex 2 EHV charges'!$D$11:$D$260)), 0)),"")</f>
        <v/>
      </c>
      <c r="B224" s="87" t="str">
        <f>IF($A224="","",VLOOKUP($A224,'Annex 2 EHV charges'!$D:$O,2,0))</f>
        <v/>
      </c>
      <c r="C224" s="88" t="str">
        <f>IF($A224="","",VLOOKUP($A224,'Annex 2 EHV charges'!$D:$O,3,0))</f>
        <v/>
      </c>
      <c r="D224" s="87" t="str">
        <f>IF($A224="","",VLOOKUP($A224,'Annex 2 EHV charges'!$D:$O,4,0))</f>
        <v/>
      </c>
      <c r="E224" s="89" t="str">
        <f>IFERROR(IF(VLOOKUP($A224,'Annex 2 EHV charges'!$D:$O,9,FALSE)=0,"",VLOOKUP($A224,'Annex 2 EHV charges'!$D:$O,9,FALSE)),"")</f>
        <v/>
      </c>
      <c r="F224" s="90" t="str">
        <f>IFERROR(IF(VLOOKUP($A224,'Annex 2 EHV charges'!$D:$O,10,FALSE)=0,"",VLOOKUP($A224,'Annex 2 EHV charges'!$D:$O,10,FALSE)),"")</f>
        <v/>
      </c>
      <c r="G224" s="91" t="str">
        <f>IFERROR(IF(VLOOKUP($A224,'Annex 2 EHV charges'!$D:$O,11,FALSE)=0,"",VLOOKUP($A224,'Annex 2 EHV charges'!$D:$O,11,FALSE)),"")</f>
        <v/>
      </c>
      <c r="H224" s="91" t="str">
        <f>IFERROR(IF(VLOOKUP($A224,'Annex 2 EHV charges'!$D:$O,12,FALSE)=0,"",VLOOKUP($A224,'Annex 2 EHV charges'!$D:$O,12,FALSE)),"")</f>
        <v/>
      </c>
    </row>
    <row r="225" spans="1:8" x14ac:dyDescent="0.35">
      <c r="A225" s="88" t="str">
        <f t="array" ref="A225">IFERROR(INDEX('Annex 2 EHV charges'!$D$11:$D$260, MATCH(0, IF(ISBLANK('Annex 2 EHV charges'!$D$11:$D$260),1, COUNTIF(A$4:$A224, 'Annex 2 EHV charges'!$D$11:$D$260)), 0)),"")</f>
        <v/>
      </c>
      <c r="B225" s="87" t="str">
        <f>IF($A225="","",VLOOKUP($A225,'Annex 2 EHV charges'!$D:$O,2,0))</f>
        <v/>
      </c>
      <c r="C225" s="88" t="str">
        <f>IF($A225="","",VLOOKUP($A225,'Annex 2 EHV charges'!$D:$O,3,0))</f>
        <v/>
      </c>
      <c r="D225" s="87" t="str">
        <f>IF($A225="","",VLOOKUP($A225,'Annex 2 EHV charges'!$D:$O,4,0))</f>
        <v/>
      </c>
      <c r="E225" s="89" t="str">
        <f>IFERROR(IF(VLOOKUP($A225,'Annex 2 EHV charges'!$D:$O,9,FALSE)=0,"",VLOOKUP($A225,'Annex 2 EHV charges'!$D:$O,9,FALSE)),"")</f>
        <v/>
      </c>
      <c r="F225" s="90" t="str">
        <f>IFERROR(IF(VLOOKUP($A225,'Annex 2 EHV charges'!$D:$O,10,FALSE)=0,"",VLOOKUP($A225,'Annex 2 EHV charges'!$D:$O,10,FALSE)),"")</f>
        <v/>
      </c>
      <c r="G225" s="91" t="str">
        <f>IFERROR(IF(VLOOKUP($A225,'Annex 2 EHV charges'!$D:$O,11,FALSE)=0,"",VLOOKUP($A225,'Annex 2 EHV charges'!$D:$O,11,FALSE)),"")</f>
        <v/>
      </c>
      <c r="H225" s="91" t="str">
        <f>IFERROR(IF(VLOOKUP($A225,'Annex 2 EHV charges'!$D:$O,12,FALSE)=0,"",VLOOKUP($A225,'Annex 2 EHV charges'!$D:$O,12,FALSE)),"")</f>
        <v/>
      </c>
    </row>
    <row r="226" spans="1:8" x14ac:dyDescent="0.35">
      <c r="A226" s="88" t="str">
        <f t="array" ref="A226">IFERROR(INDEX('Annex 2 EHV charges'!$D$11:$D$260, MATCH(0, IF(ISBLANK('Annex 2 EHV charges'!$D$11:$D$260),1, COUNTIF(A$4:$A225, 'Annex 2 EHV charges'!$D$11:$D$260)), 0)),"")</f>
        <v/>
      </c>
      <c r="B226" s="87" t="str">
        <f>IF($A226="","",VLOOKUP($A226,'Annex 2 EHV charges'!$D:$O,2,0))</f>
        <v/>
      </c>
      <c r="C226" s="88" t="str">
        <f>IF($A226="","",VLOOKUP($A226,'Annex 2 EHV charges'!$D:$O,3,0))</f>
        <v/>
      </c>
      <c r="D226" s="87" t="str">
        <f>IF($A226="","",VLOOKUP($A226,'Annex 2 EHV charges'!$D:$O,4,0))</f>
        <v/>
      </c>
      <c r="E226" s="89" t="str">
        <f>IFERROR(IF(VLOOKUP($A226,'Annex 2 EHV charges'!$D:$O,9,FALSE)=0,"",VLOOKUP($A226,'Annex 2 EHV charges'!$D:$O,9,FALSE)),"")</f>
        <v/>
      </c>
      <c r="F226" s="90" t="str">
        <f>IFERROR(IF(VLOOKUP($A226,'Annex 2 EHV charges'!$D:$O,10,FALSE)=0,"",VLOOKUP($A226,'Annex 2 EHV charges'!$D:$O,10,FALSE)),"")</f>
        <v/>
      </c>
      <c r="G226" s="91" t="str">
        <f>IFERROR(IF(VLOOKUP($A226,'Annex 2 EHV charges'!$D:$O,11,FALSE)=0,"",VLOOKUP($A226,'Annex 2 EHV charges'!$D:$O,11,FALSE)),"")</f>
        <v/>
      </c>
      <c r="H226" s="91" t="str">
        <f>IFERROR(IF(VLOOKUP($A226,'Annex 2 EHV charges'!$D:$O,12,FALSE)=0,"",VLOOKUP($A226,'Annex 2 EHV charges'!$D:$O,12,FALSE)),"")</f>
        <v/>
      </c>
    </row>
    <row r="227" spans="1:8" x14ac:dyDescent="0.35">
      <c r="A227" s="88" t="str">
        <f t="array" ref="A227">IFERROR(INDEX('Annex 2 EHV charges'!$D$11:$D$260, MATCH(0, IF(ISBLANK('Annex 2 EHV charges'!$D$11:$D$260),1, COUNTIF(A$4:$A226, 'Annex 2 EHV charges'!$D$11:$D$260)), 0)),"")</f>
        <v/>
      </c>
      <c r="B227" s="87" t="str">
        <f>IF($A227="","",VLOOKUP($A227,'Annex 2 EHV charges'!$D:$O,2,0))</f>
        <v/>
      </c>
      <c r="C227" s="88" t="str">
        <f>IF($A227="","",VLOOKUP($A227,'Annex 2 EHV charges'!$D:$O,3,0))</f>
        <v/>
      </c>
      <c r="D227" s="87" t="str">
        <f>IF($A227="","",VLOOKUP($A227,'Annex 2 EHV charges'!$D:$O,4,0))</f>
        <v/>
      </c>
      <c r="E227" s="89" t="str">
        <f>IFERROR(IF(VLOOKUP($A227,'Annex 2 EHV charges'!$D:$O,9,FALSE)=0,"",VLOOKUP($A227,'Annex 2 EHV charges'!$D:$O,9,FALSE)),"")</f>
        <v/>
      </c>
      <c r="F227" s="90" t="str">
        <f>IFERROR(IF(VLOOKUP($A227,'Annex 2 EHV charges'!$D:$O,10,FALSE)=0,"",VLOOKUP($A227,'Annex 2 EHV charges'!$D:$O,10,FALSE)),"")</f>
        <v/>
      </c>
      <c r="G227" s="91" t="str">
        <f>IFERROR(IF(VLOOKUP($A227,'Annex 2 EHV charges'!$D:$O,11,FALSE)=0,"",VLOOKUP($A227,'Annex 2 EHV charges'!$D:$O,11,FALSE)),"")</f>
        <v/>
      </c>
      <c r="H227" s="91" t="str">
        <f>IFERROR(IF(VLOOKUP($A227,'Annex 2 EHV charges'!$D:$O,12,FALSE)=0,"",VLOOKUP($A227,'Annex 2 EHV charges'!$D:$O,12,FALSE)),"")</f>
        <v/>
      </c>
    </row>
    <row r="228" spans="1:8" x14ac:dyDescent="0.35">
      <c r="A228" s="88" t="str">
        <f t="array" ref="A228">IFERROR(INDEX('Annex 2 EHV charges'!$D$11:$D$260, MATCH(0, IF(ISBLANK('Annex 2 EHV charges'!$D$11:$D$260),1, COUNTIF(A$4:$A227, 'Annex 2 EHV charges'!$D$11:$D$260)), 0)),"")</f>
        <v/>
      </c>
      <c r="B228" s="87" t="str">
        <f>IF($A228="","",VLOOKUP($A228,'Annex 2 EHV charges'!$D:$O,2,0))</f>
        <v/>
      </c>
      <c r="C228" s="88" t="str">
        <f>IF($A228="","",VLOOKUP($A228,'Annex 2 EHV charges'!$D:$O,3,0))</f>
        <v/>
      </c>
      <c r="D228" s="87" t="str">
        <f>IF($A228="","",VLOOKUP($A228,'Annex 2 EHV charges'!$D:$O,4,0))</f>
        <v/>
      </c>
      <c r="E228" s="89" t="str">
        <f>IFERROR(IF(VLOOKUP($A228,'Annex 2 EHV charges'!$D:$O,9,FALSE)=0,"",VLOOKUP($A228,'Annex 2 EHV charges'!$D:$O,9,FALSE)),"")</f>
        <v/>
      </c>
      <c r="F228" s="90" t="str">
        <f>IFERROR(IF(VLOOKUP($A228,'Annex 2 EHV charges'!$D:$O,10,FALSE)=0,"",VLOOKUP($A228,'Annex 2 EHV charges'!$D:$O,10,FALSE)),"")</f>
        <v/>
      </c>
      <c r="G228" s="91" t="str">
        <f>IFERROR(IF(VLOOKUP($A228,'Annex 2 EHV charges'!$D:$O,11,FALSE)=0,"",VLOOKUP($A228,'Annex 2 EHV charges'!$D:$O,11,FALSE)),"")</f>
        <v/>
      </c>
      <c r="H228" s="91" t="str">
        <f>IFERROR(IF(VLOOKUP($A228,'Annex 2 EHV charges'!$D:$O,12,FALSE)=0,"",VLOOKUP($A228,'Annex 2 EHV charges'!$D:$O,12,FALSE)),"")</f>
        <v/>
      </c>
    </row>
    <row r="229" spans="1:8" x14ac:dyDescent="0.35">
      <c r="A229" s="88" t="str">
        <f t="array" ref="A229">IFERROR(INDEX('Annex 2 EHV charges'!$D$11:$D$260, MATCH(0, IF(ISBLANK('Annex 2 EHV charges'!$D$11:$D$260),1, COUNTIF(A$4:$A228, 'Annex 2 EHV charges'!$D$11:$D$260)), 0)),"")</f>
        <v/>
      </c>
      <c r="B229" s="87" t="str">
        <f>IF($A229="","",VLOOKUP($A229,'Annex 2 EHV charges'!$D:$O,2,0))</f>
        <v/>
      </c>
      <c r="C229" s="88" t="str">
        <f>IF($A229="","",VLOOKUP($A229,'Annex 2 EHV charges'!$D:$O,3,0))</f>
        <v/>
      </c>
      <c r="D229" s="87" t="str">
        <f>IF($A229="","",VLOOKUP($A229,'Annex 2 EHV charges'!$D:$O,4,0))</f>
        <v/>
      </c>
      <c r="E229" s="89" t="str">
        <f>IFERROR(IF(VLOOKUP($A229,'Annex 2 EHV charges'!$D:$O,9,FALSE)=0,"",VLOOKUP($A229,'Annex 2 EHV charges'!$D:$O,9,FALSE)),"")</f>
        <v/>
      </c>
      <c r="F229" s="90" t="str">
        <f>IFERROR(IF(VLOOKUP($A229,'Annex 2 EHV charges'!$D:$O,10,FALSE)=0,"",VLOOKUP($A229,'Annex 2 EHV charges'!$D:$O,10,FALSE)),"")</f>
        <v/>
      </c>
      <c r="G229" s="91" t="str">
        <f>IFERROR(IF(VLOOKUP($A229,'Annex 2 EHV charges'!$D:$O,11,FALSE)=0,"",VLOOKUP($A229,'Annex 2 EHV charges'!$D:$O,11,FALSE)),"")</f>
        <v/>
      </c>
      <c r="H229" s="91" t="str">
        <f>IFERROR(IF(VLOOKUP($A229,'Annex 2 EHV charges'!$D:$O,12,FALSE)=0,"",VLOOKUP($A229,'Annex 2 EHV charges'!$D:$O,12,FALSE)),"")</f>
        <v/>
      </c>
    </row>
    <row r="230" spans="1:8" x14ac:dyDescent="0.35">
      <c r="A230" s="88" t="str">
        <f t="array" ref="A230">IFERROR(INDEX('Annex 2 EHV charges'!$D$11:$D$260, MATCH(0, IF(ISBLANK('Annex 2 EHV charges'!$D$11:$D$260),1, COUNTIF(A$4:$A229, 'Annex 2 EHV charges'!$D$11:$D$260)), 0)),"")</f>
        <v/>
      </c>
      <c r="B230" s="87" t="str">
        <f>IF($A230="","",VLOOKUP($A230,'Annex 2 EHV charges'!$D:$O,2,0))</f>
        <v/>
      </c>
      <c r="C230" s="88" t="str">
        <f>IF($A230="","",VLOOKUP($A230,'Annex 2 EHV charges'!$D:$O,3,0))</f>
        <v/>
      </c>
      <c r="D230" s="87" t="str">
        <f>IF($A230="","",VLOOKUP($A230,'Annex 2 EHV charges'!$D:$O,4,0))</f>
        <v/>
      </c>
      <c r="E230" s="89" t="str">
        <f>IFERROR(IF(VLOOKUP($A230,'Annex 2 EHV charges'!$D:$O,9,FALSE)=0,"",VLOOKUP($A230,'Annex 2 EHV charges'!$D:$O,9,FALSE)),"")</f>
        <v/>
      </c>
      <c r="F230" s="90" t="str">
        <f>IFERROR(IF(VLOOKUP($A230,'Annex 2 EHV charges'!$D:$O,10,FALSE)=0,"",VLOOKUP($A230,'Annex 2 EHV charges'!$D:$O,10,FALSE)),"")</f>
        <v/>
      </c>
      <c r="G230" s="91" t="str">
        <f>IFERROR(IF(VLOOKUP($A230,'Annex 2 EHV charges'!$D:$O,11,FALSE)=0,"",VLOOKUP($A230,'Annex 2 EHV charges'!$D:$O,11,FALSE)),"")</f>
        <v/>
      </c>
      <c r="H230" s="91" t="str">
        <f>IFERROR(IF(VLOOKUP($A230,'Annex 2 EHV charges'!$D:$O,12,FALSE)=0,"",VLOOKUP($A230,'Annex 2 EHV charges'!$D:$O,12,FALSE)),"")</f>
        <v/>
      </c>
    </row>
    <row r="231" spans="1:8" x14ac:dyDescent="0.35">
      <c r="A231" s="88" t="str">
        <f t="array" ref="A231">IFERROR(INDEX('Annex 2 EHV charges'!$D$11:$D$260, MATCH(0, IF(ISBLANK('Annex 2 EHV charges'!$D$11:$D$260),1, COUNTIF(A$4:$A230, 'Annex 2 EHV charges'!$D$11:$D$260)), 0)),"")</f>
        <v/>
      </c>
      <c r="B231" s="87" t="str">
        <f>IF($A231="","",VLOOKUP($A231,'Annex 2 EHV charges'!$D:$O,2,0))</f>
        <v/>
      </c>
      <c r="C231" s="88" t="str">
        <f>IF($A231="","",VLOOKUP($A231,'Annex 2 EHV charges'!$D:$O,3,0))</f>
        <v/>
      </c>
      <c r="D231" s="87" t="str">
        <f>IF($A231="","",VLOOKUP($A231,'Annex 2 EHV charges'!$D:$O,4,0))</f>
        <v/>
      </c>
      <c r="E231" s="89" t="str">
        <f>IFERROR(IF(VLOOKUP($A231,'Annex 2 EHV charges'!$D:$O,9,FALSE)=0,"",VLOOKUP($A231,'Annex 2 EHV charges'!$D:$O,9,FALSE)),"")</f>
        <v/>
      </c>
      <c r="F231" s="90" t="str">
        <f>IFERROR(IF(VLOOKUP($A231,'Annex 2 EHV charges'!$D:$O,10,FALSE)=0,"",VLOOKUP($A231,'Annex 2 EHV charges'!$D:$O,10,FALSE)),"")</f>
        <v/>
      </c>
      <c r="G231" s="91" t="str">
        <f>IFERROR(IF(VLOOKUP($A231,'Annex 2 EHV charges'!$D:$O,11,FALSE)=0,"",VLOOKUP($A231,'Annex 2 EHV charges'!$D:$O,11,FALSE)),"")</f>
        <v/>
      </c>
      <c r="H231" s="91" t="str">
        <f>IFERROR(IF(VLOOKUP($A231,'Annex 2 EHV charges'!$D:$O,12,FALSE)=0,"",VLOOKUP($A231,'Annex 2 EHV charges'!$D:$O,12,FALSE)),"")</f>
        <v/>
      </c>
    </row>
    <row r="232" spans="1:8" x14ac:dyDescent="0.35">
      <c r="A232" s="88" t="str">
        <f t="array" ref="A232">IFERROR(INDEX('Annex 2 EHV charges'!$D$11:$D$260, MATCH(0, IF(ISBLANK('Annex 2 EHV charges'!$D$11:$D$260),1, COUNTIF(A$4:$A231, 'Annex 2 EHV charges'!$D$11:$D$260)), 0)),"")</f>
        <v/>
      </c>
      <c r="B232" s="87" t="str">
        <f>IF($A232="","",VLOOKUP($A232,'Annex 2 EHV charges'!$D:$O,2,0))</f>
        <v/>
      </c>
      <c r="C232" s="88" t="str">
        <f>IF($A232="","",VLOOKUP($A232,'Annex 2 EHV charges'!$D:$O,3,0))</f>
        <v/>
      </c>
      <c r="D232" s="87" t="str">
        <f>IF($A232="","",VLOOKUP($A232,'Annex 2 EHV charges'!$D:$O,4,0))</f>
        <v/>
      </c>
      <c r="E232" s="89" t="str">
        <f>IFERROR(IF(VLOOKUP($A232,'Annex 2 EHV charges'!$D:$O,9,FALSE)=0,"",VLOOKUP($A232,'Annex 2 EHV charges'!$D:$O,9,FALSE)),"")</f>
        <v/>
      </c>
      <c r="F232" s="90" t="str">
        <f>IFERROR(IF(VLOOKUP($A232,'Annex 2 EHV charges'!$D:$O,10,FALSE)=0,"",VLOOKUP($A232,'Annex 2 EHV charges'!$D:$O,10,FALSE)),"")</f>
        <v/>
      </c>
      <c r="G232" s="91" t="str">
        <f>IFERROR(IF(VLOOKUP($A232,'Annex 2 EHV charges'!$D:$O,11,FALSE)=0,"",VLOOKUP($A232,'Annex 2 EHV charges'!$D:$O,11,FALSE)),"")</f>
        <v/>
      </c>
      <c r="H232" s="91" t="str">
        <f>IFERROR(IF(VLOOKUP($A232,'Annex 2 EHV charges'!$D:$O,12,FALSE)=0,"",VLOOKUP($A232,'Annex 2 EHV charges'!$D:$O,12,FALSE)),"")</f>
        <v/>
      </c>
    </row>
    <row r="233" spans="1:8" x14ac:dyDescent="0.35">
      <c r="A233" s="88" t="str">
        <f t="array" ref="A233">IFERROR(INDEX('Annex 2 EHV charges'!$D$11:$D$260, MATCH(0, IF(ISBLANK('Annex 2 EHV charges'!$D$11:$D$260),1, COUNTIF(A$4:$A232, 'Annex 2 EHV charges'!$D$11:$D$260)), 0)),"")</f>
        <v/>
      </c>
      <c r="B233" s="87" t="str">
        <f>IF($A233="","",VLOOKUP($A233,'Annex 2 EHV charges'!$D:$O,2,0))</f>
        <v/>
      </c>
      <c r="C233" s="88" t="str">
        <f>IF($A233="","",VLOOKUP($A233,'Annex 2 EHV charges'!$D:$O,3,0))</f>
        <v/>
      </c>
      <c r="D233" s="87" t="str">
        <f>IF($A233="","",VLOOKUP($A233,'Annex 2 EHV charges'!$D:$O,4,0))</f>
        <v/>
      </c>
      <c r="E233" s="89" t="str">
        <f>IFERROR(IF(VLOOKUP($A233,'Annex 2 EHV charges'!$D:$O,9,FALSE)=0,"",VLOOKUP($A233,'Annex 2 EHV charges'!$D:$O,9,FALSE)),"")</f>
        <v/>
      </c>
      <c r="F233" s="90" t="str">
        <f>IFERROR(IF(VLOOKUP($A233,'Annex 2 EHV charges'!$D:$O,10,FALSE)=0,"",VLOOKUP($A233,'Annex 2 EHV charges'!$D:$O,10,FALSE)),"")</f>
        <v/>
      </c>
      <c r="G233" s="91" t="str">
        <f>IFERROR(IF(VLOOKUP($A233,'Annex 2 EHV charges'!$D:$O,11,FALSE)=0,"",VLOOKUP($A233,'Annex 2 EHV charges'!$D:$O,11,FALSE)),"")</f>
        <v/>
      </c>
      <c r="H233" s="91" t="str">
        <f>IFERROR(IF(VLOOKUP($A233,'Annex 2 EHV charges'!$D:$O,12,FALSE)=0,"",VLOOKUP($A233,'Annex 2 EHV charges'!$D:$O,12,FALSE)),"")</f>
        <v/>
      </c>
    </row>
    <row r="234" spans="1:8" x14ac:dyDescent="0.35">
      <c r="A234" s="88" t="str">
        <f t="array" ref="A234">IFERROR(INDEX('Annex 2 EHV charges'!$D$11:$D$260, MATCH(0, IF(ISBLANK('Annex 2 EHV charges'!$D$11:$D$260),1, COUNTIF(A$4:$A233, 'Annex 2 EHV charges'!$D$11:$D$260)), 0)),"")</f>
        <v/>
      </c>
      <c r="B234" s="87" t="str">
        <f>IF($A234="","",VLOOKUP($A234,'Annex 2 EHV charges'!$D:$O,2,0))</f>
        <v/>
      </c>
      <c r="C234" s="88" t="str">
        <f>IF($A234="","",VLOOKUP($A234,'Annex 2 EHV charges'!$D:$O,3,0))</f>
        <v/>
      </c>
      <c r="D234" s="87" t="str">
        <f>IF($A234="","",VLOOKUP($A234,'Annex 2 EHV charges'!$D:$O,4,0))</f>
        <v/>
      </c>
      <c r="E234" s="89" t="str">
        <f>IFERROR(IF(VLOOKUP($A234,'Annex 2 EHV charges'!$D:$O,9,FALSE)=0,"",VLOOKUP($A234,'Annex 2 EHV charges'!$D:$O,9,FALSE)),"")</f>
        <v/>
      </c>
      <c r="F234" s="90" t="str">
        <f>IFERROR(IF(VLOOKUP($A234,'Annex 2 EHV charges'!$D:$O,10,FALSE)=0,"",VLOOKUP($A234,'Annex 2 EHV charges'!$D:$O,10,FALSE)),"")</f>
        <v/>
      </c>
      <c r="G234" s="91" t="str">
        <f>IFERROR(IF(VLOOKUP($A234,'Annex 2 EHV charges'!$D:$O,11,FALSE)=0,"",VLOOKUP($A234,'Annex 2 EHV charges'!$D:$O,11,FALSE)),"")</f>
        <v/>
      </c>
      <c r="H234" s="91" t="str">
        <f>IFERROR(IF(VLOOKUP($A234,'Annex 2 EHV charges'!$D:$O,12,FALSE)=0,"",VLOOKUP($A234,'Annex 2 EHV charges'!$D:$O,12,FALSE)),"")</f>
        <v/>
      </c>
    </row>
    <row r="235" spans="1:8" x14ac:dyDescent="0.35">
      <c r="A235" s="88" t="str">
        <f t="array" ref="A235">IFERROR(INDEX('Annex 2 EHV charges'!$D$11:$D$260, MATCH(0, IF(ISBLANK('Annex 2 EHV charges'!$D$11:$D$260),1, COUNTIF(A$4:$A234, 'Annex 2 EHV charges'!$D$11:$D$260)), 0)),"")</f>
        <v/>
      </c>
      <c r="B235" s="87" t="str">
        <f>IF($A235="","",VLOOKUP($A235,'Annex 2 EHV charges'!$D:$O,2,0))</f>
        <v/>
      </c>
      <c r="C235" s="88" t="str">
        <f>IF($A235="","",VLOOKUP($A235,'Annex 2 EHV charges'!$D:$O,3,0))</f>
        <v/>
      </c>
      <c r="D235" s="87" t="str">
        <f>IF($A235="","",VLOOKUP($A235,'Annex 2 EHV charges'!$D:$O,4,0))</f>
        <v/>
      </c>
      <c r="E235" s="89" t="str">
        <f>IFERROR(IF(VLOOKUP($A235,'Annex 2 EHV charges'!$D:$O,9,FALSE)=0,"",VLOOKUP($A235,'Annex 2 EHV charges'!$D:$O,9,FALSE)),"")</f>
        <v/>
      </c>
      <c r="F235" s="90" t="str">
        <f>IFERROR(IF(VLOOKUP($A235,'Annex 2 EHV charges'!$D:$O,10,FALSE)=0,"",VLOOKUP($A235,'Annex 2 EHV charges'!$D:$O,10,FALSE)),"")</f>
        <v/>
      </c>
      <c r="G235" s="91" t="str">
        <f>IFERROR(IF(VLOOKUP($A235,'Annex 2 EHV charges'!$D:$O,11,FALSE)=0,"",VLOOKUP($A235,'Annex 2 EHV charges'!$D:$O,11,FALSE)),"")</f>
        <v/>
      </c>
      <c r="H235" s="91" t="str">
        <f>IFERROR(IF(VLOOKUP($A235,'Annex 2 EHV charges'!$D:$O,12,FALSE)=0,"",VLOOKUP($A235,'Annex 2 EHV charges'!$D:$O,12,FALSE)),"")</f>
        <v/>
      </c>
    </row>
    <row r="236" spans="1:8" x14ac:dyDescent="0.35">
      <c r="A236" s="88" t="str">
        <f t="array" ref="A236">IFERROR(INDEX('Annex 2 EHV charges'!$D$11:$D$260, MATCH(0, IF(ISBLANK('Annex 2 EHV charges'!$D$11:$D$260),1, COUNTIF(A$4:$A235, 'Annex 2 EHV charges'!$D$11:$D$260)), 0)),"")</f>
        <v/>
      </c>
      <c r="B236" s="87" t="str">
        <f>IF($A236="","",VLOOKUP($A236,'Annex 2 EHV charges'!$D:$O,2,0))</f>
        <v/>
      </c>
      <c r="C236" s="88" t="str">
        <f>IF($A236="","",VLOOKUP($A236,'Annex 2 EHV charges'!$D:$O,3,0))</f>
        <v/>
      </c>
      <c r="D236" s="87" t="str">
        <f>IF($A236="","",VLOOKUP($A236,'Annex 2 EHV charges'!$D:$O,4,0))</f>
        <v/>
      </c>
      <c r="E236" s="89" t="str">
        <f>IFERROR(IF(VLOOKUP($A236,'Annex 2 EHV charges'!$D:$O,9,FALSE)=0,"",VLOOKUP($A236,'Annex 2 EHV charges'!$D:$O,9,FALSE)),"")</f>
        <v/>
      </c>
      <c r="F236" s="90" t="str">
        <f>IFERROR(IF(VLOOKUP($A236,'Annex 2 EHV charges'!$D:$O,10,FALSE)=0,"",VLOOKUP($A236,'Annex 2 EHV charges'!$D:$O,10,FALSE)),"")</f>
        <v/>
      </c>
      <c r="G236" s="91" t="str">
        <f>IFERROR(IF(VLOOKUP($A236,'Annex 2 EHV charges'!$D:$O,11,FALSE)=0,"",VLOOKUP($A236,'Annex 2 EHV charges'!$D:$O,11,FALSE)),"")</f>
        <v/>
      </c>
      <c r="H236" s="91" t="str">
        <f>IFERROR(IF(VLOOKUP($A236,'Annex 2 EHV charges'!$D:$O,12,FALSE)=0,"",VLOOKUP($A236,'Annex 2 EHV charges'!$D:$O,12,FALSE)),"")</f>
        <v/>
      </c>
    </row>
    <row r="237" spans="1:8" x14ac:dyDescent="0.35">
      <c r="A237" s="88" t="str">
        <f t="array" ref="A237">IFERROR(INDEX('Annex 2 EHV charges'!$D$11:$D$260, MATCH(0, IF(ISBLANK('Annex 2 EHV charges'!$D$11:$D$260),1, COUNTIF(A$4:$A236, 'Annex 2 EHV charges'!$D$11:$D$260)), 0)),"")</f>
        <v/>
      </c>
      <c r="B237" s="87" t="str">
        <f>IF($A237="","",VLOOKUP($A237,'Annex 2 EHV charges'!$D:$O,2,0))</f>
        <v/>
      </c>
      <c r="C237" s="88" t="str">
        <f>IF($A237="","",VLOOKUP($A237,'Annex 2 EHV charges'!$D:$O,3,0))</f>
        <v/>
      </c>
      <c r="D237" s="87" t="str">
        <f>IF($A237="","",VLOOKUP($A237,'Annex 2 EHV charges'!$D:$O,4,0))</f>
        <v/>
      </c>
      <c r="E237" s="89" t="str">
        <f>IFERROR(IF(VLOOKUP($A237,'Annex 2 EHV charges'!$D:$O,9,FALSE)=0,"",VLOOKUP($A237,'Annex 2 EHV charges'!$D:$O,9,FALSE)),"")</f>
        <v/>
      </c>
      <c r="F237" s="90" t="str">
        <f>IFERROR(IF(VLOOKUP($A237,'Annex 2 EHV charges'!$D:$O,10,FALSE)=0,"",VLOOKUP($A237,'Annex 2 EHV charges'!$D:$O,10,FALSE)),"")</f>
        <v/>
      </c>
      <c r="G237" s="91" t="str">
        <f>IFERROR(IF(VLOOKUP($A237,'Annex 2 EHV charges'!$D:$O,11,FALSE)=0,"",VLOOKUP($A237,'Annex 2 EHV charges'!$D:$O,11,FALSE)),"")</f>
        <v/>
      </c>
      <c r="H237" s="91" t="str">
        <f>IFERROR(IF(VLOOKUP($A237,'Annex 2 EHV charges'!$D:$O,12,FALSE)=0,"",VLOOKUP($A237,'Annex 2 EHV charges'!$D:$O,12,FALSE)),"")</f>
        <v/>
      </c>
    </row>
    <row r="238" spans="1:8" x14ac:dyDescent="0.35">
      <c r="A238" s="88" t="str">
        <f t="array" ref="A238">IFERROR(INDEX('Annex 2 EHV charges'!$D$11:$D$260, MATCH(0, IF(ISBLANK('Annex 2 EHV charges'!$D$11:$D$260),1, COUNTIF(A$4:$A237, 'Annex 2 EHV charges'!$D$11:$D$260)), 0)),"")</f>
        <v/>
      </c>
      <c r="B238" s="87" t="str">
        <f>IF($A238="","",VLOOKUP($A238,'Annex 2 EHV charges'!$D:$O,2,0))</f>
        <v/>
      </c>
      <c r="C238" s="88" t="str">
        <f>IF($A238="","",VLOOKUP($A238,'Annex 2 EHV charges'!$D:$O,3,0))</f>
        <v/>
      </c>
      <c r="D238" s="87" t="str">
        <f>IF($A238="","",VLOOKUP($A238,'Annex 2 EHV charges'!$D:$O,4,0))</f>
        <v/>
      </c>
      <c r="E238" s="89" t="str">
        <f>IFERROR(IF(VLOOKUP($A238,'Annex 2 EHV charges'!$D:$O,9,FALSE)=0,"",VLOOKUP($A238,'Annex 2 EHV charges'!$D:$O,9,FALSE)),"")</f>
        <v/>
      </c>
      <c r="F238" s="90" t="str">
        <f>IFERROR(IF(VLOOKUP($A238,'Annex 2 EHV charges'!$D:$O,10,FALSE)=0,"",VLOOKUP($A238,'Annex 2 EHV charges'!$D:$O,10,FALSE)),"")</f>
        <v/>
      </c>
      <c r="G238" s="91" t="str">
        <f>IFERROR(IF(VLOOKUP($A238,'Annex 2 EHV charges'!$D:$O,11,FALSE)=0,"",VLOOKUP($A238,'Annex 2 EHV charges'!$D:$O,11,FALSE)),"")</f>
        <v/>
      </c>
      <c r="H238" s="91" t="str">
        <f>IFERROR(IF(VLOOKUP($A238,'Annex 2 EHV charges'!$D:$O,12,FALSE)=0,"",VLOOKUP($A238,'Annex 2 EHV charges'!$D:$O,12,FALSE)),"")</f>
        <v/>
      </c>
    </row>
    <row r="239" spans="1:8" x14ac:dyDescent="0.35">
      <c r="A239" s="88" t="str">
        <f t="array" ref="A239">IFERROR(INDEX('Annex 2 EHV charges'!$D$11:$D$260, MATCH(0, IF(ISBLANK('Annex 2 EHV charges'!$D$11:$D$260),1, COUNTIF(A$4:$A238, 'Annex 2 EHV charges'!$D$11:$D$260)), 0)),"")</f>
        <v/>
      </c>
      <c r="B239" s="87" t="str">
        <f>IF($A239="","",VLOOKUP($A239,'Annex 2 EHV charges'!$D:$O,2,0))</f>
        <v/>
      </c>
      <c r="C239" s="88" t="str">
        <f>IF($A239="","",VLOOKUP($A239,'Annex 2 EHV charges'!$D:$O,3,0))</f>
        <v/>
      </c>
      <c r="D239" s="87" t="str">
        <f>IF($A239="","",VLOOKUP($A239,'Annex 2 EHV charges'!$D:$O,4,0))</f>
        <v/>
      </c>
      <c r="E239" s="89" t="str">
        <f>IFERROR(IF(VLOOKUP($A239,'Annex 2 EHV charges'!$D:$O,9,FALSE)=0,"",VLOOKUP($A239,'Annex 2 EHV charges'!$D:$O,9,FALSE)),"")</f>
        <v/>
      </c>
      <c r="F239" s="90" t="str">
        <f>IFERROR(IF(VLOOKUP($A239,'Annex 2 EHV charges'!$D:$O,10,FALSE)=0,"",VLOOKUP($A239,'Annex 2 EHV charges'!$D:$O,10,FALSE)),"")</f>
        <v/>
      </c>
      <c r="G239" s="91" t="str">
        <f>IFERROR(IF(VLOOKUP($A239,'Annex 2 EHV charges'!$D:$O,11,FALSE)=0,"",VLOOKUP($A239,'Annex 2 EHV charges'!$D:$O,11,FALSE)),"")</f>
        <v/>
      </c>
      <c r="H239" s="91" t="str">
        <f>IFERROR(IF(VLOOKUP($A239,'Annex 2 EHV charges'!$D:$O,12,FALSE)=0,"",VLOOKUP($A239,'Annex 2 EHV charges'!$D:$O,12,FALSE)),"")</f>
        <v/>
      </c>
    </row>
    <row r="240" spans="1:8" x14ac:dyDescent="0.35">
      <c r="A240" s="88" t="str">
        <f t="array" ref="A240">IFERROR(INDEX('Annex 2 EHV charges'!$D$11:$D$260, MATCH(0, IF(ISBLANK('Annex 2 EHV charges'!$D$11:$D$260),1, COUNTIF(A$4:$A239, 'Annex 2 EHV charges'!$D$11:$D$260)), 0)),"")</f>
        <v/>
      </c>
      <c r="B240" s="87" t="str">
        <f>IF($A240="","",VLOOKUP($A240,'Annex 2 EHV charges'!$D:$O,2,0))</f>
        <v/>
      </c>
      <c r="C240" s="88" t="str">
        <f>IF($A240="","",VLOOKUP($A240,'Annex 2 EHV charges'!$D:$O,3,0))</f>
        <v/>
      </c>
      <c r="D240" s="87" t="str">
        <f>IF($A240="","",VLOOKUP($A240,'Annex 2 EHV charges'!$D:$O,4,0))</f>
        <v/>
      </c>
      <c r="E240" s="89" t="str">
        <f>IFERROR(IF(VLOOKUP($A240,'Annex 2 EHV charges'!$D:$O,9,FALSE)=0,"",VLOOKUP($A240,'Annex 2 EHV charges'!$D:$O,9,FALSE)),"")</f>
        <v/>
      </c>
      <c r="F240" s="90" t="str">
        <f>IFERROR(IF(VLOOKUP($A240,'Annex 2 EHV charges'!$D:$O,10,FALSE)=0,"",VLOOKUP($A240,'Annex 2 EHV charges'!$D:$O,10,FALSE)),"")</f>
        <v/>
      </c>
      <c r="G240" s="91" t="str">
        <f>IFERROR(IF(VLOOKUP($A240,'Annex 2 EHV charges'!$D:$O,11,FALSE)=0,"",VLOOKUP($A240,'Annex 2 EHV charges'!$D:$O,11,FALSE)),"")</f>
        <v/>
      </c>
      <c r="H240" s="91" t="str">
        <f>IFERROR(IF(VLOOKUP($A240,'Annex 2 EHV charges'!$D:$O,12,FALSE)=0,"",VLOOKUP($A240,'Annex 2 EHV charges'!$D:$O,12,FALSE)),"")</f>
        <v/>
      </c>
    </row>
    <row r="241" spans="1:8" x14ac:dyDescent="0.35">
      <c r="A241" s="88" t="str">
        <f t="array" ref="A241">IFERROR(INDEX('Annex 2 EHV charges'!$D$11:$D$260, MATCH(0, IF(ISBLANK('Annex 2 EHV charges'!$D$11:$D$260),1, COUNTIF(A$4:$A240, 'Annex 2 EHV charges'!$D$11:$D$260)), 0)),"")</f>
        <v/>
      </c>
      <c r="B241" s="87" t="str">
        <f>IF($A241="","",VLOOKUP($A241,'Annex 2 EHV charges'!$D:$O,2,0))</f>
        <v/>
      </c>
      <c r="C241" s="88" t="str">
        <f>IF($A241="","",VLOOKUP($A241,'Annex 2 EHV charges'!$D:$O,3,0))</f>
        <v/>
      </c>
      <c r="D241" s="87" t="str">
        <f>IF($A241="","",VLOOKUP($A241,'Annex 2 EHV charges'!$D:$O,4,0))</f>
        <v/>
      </c>
      <c r="E241" s="89" t="str">
        <f>IFERROR(IF(VLOOKUP($A241,'Annex 2 EHV charges'!$D:$O,9,FALSE)=0,"",VLOOKUP($A241,'Annex 2 EHV charges'!$D:$O,9,FALSE)),"")</f>
        <v/>
      </c>
      <c r="F241" s="90" t="str">
        <f>IFERROR(IF(VLOOKUP($A241,'Annex 2 EHV charges'!$D:$O,10,FALSE)=0,"",VLOOKUP($A241,'Annex 2 EHV charges'!$D:$O,10,FALSE)),"")</f>
        <v/>
      </c>
      <c r="G241" s="91" t="str">
        <f>IFERROR(IF(VLOOKUP($A241,'Annex 2 EHV charges'!$D:$O,11,FALSE)=0,"",VLOOKUP($A241,'Annex 2 EHV charges'!$D:$O,11,FALSE)),"")</f>
        <v/>
      </c>
      <c r="H241" s="91" t="str">
        <f>IFERROR(IF(VLOOKUP($A241,'Annex 2 EHV charges'!$D:$O,12,FALSE)=0,"",VLOOKUP($A241,'Annex 2 EHV charges'!$D:$O,12,FALSE)),"")</f>
        <v/>
      </c>
    </row>
    <row r="242" spans="1:8" x14ac:dyDescent="0.35">
      <c r="A242" s="88" t="str">
        <f t="array" ref="A242">IFERROR(INDEX('Annex 2 EHV charges'!$D$11:$D$260, MATCH(0, IF(ISBLANK('Annex 2 EHV charges'!$D$11:$D$260),1, COUNTIF(A$4:$A241, 'Annex 2 EHV charges'!$D$11:$D$260)), 0)),"")</f>
        <v/>
      </c>
      <c r="B242" s="87" t="str">
        <f>IF($A242="","",VLOOKUP($A242,'Annex 2 EHV charges'!$D:$O,2,0))</f>
        <v/>
      </c>
      <c r="C242" s="88" t="str">
        <f>IF($A242="","",VLOOKUP($A242,'Annex 2 EHV charges'!$D:$O,3,0))</f>
        <v/>
      </c>
      <c r="D242" s="87" t="str">
        <f>IF($A242="","",VLOOKUP($A242,'Annex 2 EHV charges'!$D:$O,4,0))</f>
        <v/>
      </c>
      <c r="E242" s="89" t="str">
        <f>IFERROR(IF(VLOOKUP($A242,'Annex 2 EHV charges'!$D:$O,9,FALSE)=0,"",VLOOKUP($A242,'Annex 2 EHV charges'!$D:$O,9,FALSE)),"")</f>
        <v/>
      </c>
      <c r="F242" s="90" t="str">
        <f>IFERROR(IF(VLOOKUP($A242,'Annex 2 EHV charges'!$D:$O,10,FALSE)=0,"",VLOOKUP($A242,'Annex 2 EHV charges'!$D:$O,10,FALSE)),"")</f>
        <v/>
      </c>
      <c r="G242" s="91" t="str">
        <f>IFERROR(IF(VLOOKUP($A242,'Annex 2 EHV charges'!$D:$O,11,FALSE)=0,"",VLOOKUP($A242,'Annex 2 EHV charges'!$D:$O,11,FALSE)),"")</f>
        <v/>
      </c>
      <c r="H242" s="91" t="str">
        <f>IFERROR(IF(VLOOKUP($A242,'Annex 2 EHV charges'!$D:$O,12,FALSE)=0,"",VLOOKUP($A242,'Annex 2 EHV charges'!$D:$O,12,FALSE)),"")</f>
        <v/>
      </c>
    </row>
    <row r="243" spans="1:8" x14ac:dyDescent="0.35">
      <c r="A243" s="88" t="str">
        <f t="array" ref="A243">IFERROR(INDEX('Annex 2 EHV charges'!$D$11:$D$260, MATCH(0, IF(ISBLANK('Annex 2 EHV charges'!$D$11:$D$260),1, COUNTIF(A$4:$A242, 'Annex 2 EHV charges'!$D$11:$D$260)), 0)),"")</f>
        <v/>
      </c>
      <c r="B243" s="87" t="str">
        <f>IF($A243="","",VLOOKUP($A243,'Annex 2 EHV charges'!$D:$O,2,0))</f>
        <v/>
      </c>
      <c r="C243" s="88" t="str">
        <f>IF($A243="","",VLOOKUP($A243,'Annex 2 EHV charges'!$D:$O,3,0))</f>
        <v/>
      </c>
      <c r="D243" s="87" t="str">
        <f>IF($A243="","",VLOOKUP($A243,'Annex 2 EHV charges'!$D:$O,4,0))</f>
        <v/>
      </c>
      <c r="E243" s="89" t="str">
        <f>IFERROR(IF(VLOOKUP($A243,'Annex 2 EHV charges'!$D:$O,9,FALSE)=0,"",VLOOKUP($A243,'Annex 2 EHV charges'!$D:$O,9,FALSE)),"")</f>
        <v/>
      </c>
      <c r="F243" s="90" t="str">
        <f>IFERROR(IF(VLOOKUP($A243,'Annex 2 EHV charges'!$D:$O,10,FALSE)=0,"",VLOOKUP($A243,'Annex 2 EHV charges'!$D:$O,10,FALSE)),"")</f>
        <v/>
      </c>
      <c r="G243" s="91" t="str">
        <f>IFERROR(IF(VLOOKUP($A243,'Annex 2 EHV charges'!$D:$O,11,FALSE)=0,"",VLOOKUP($A243,'Annex 2 EHV charges'!$D:$O,11,FALSE)),"")</f>
        <v/>
      </c>
      <c r="H243" s="91" t="str">
        <f>IFERROR(IF(VLOOKUP($A243,'Annex 2 EHV charges'!$D:$O,12,FALSE)=0,"",VLOOKUP($A243,'Annex 2 EHV charges'!$D:$O,12,FALSE)),"")</f>
        <v/>
      </c>
    </row>
    <row r="244" spans="1:8" x14ac:dyDescent="0.35">
      <c r="A244" s="88" t="str">
        <f t="array" ref="A244">IFERROR(INDEX('Annex 2 EHV charges'!$D$11:$D$260, MATCH(0, IF(ISBLANK('Annex 2 EHV charges'!$D$11:$D$260),1, COUNTIF(A$4:$A243, 'Annex 2 EHV charges'!$D$11:$D$260)), 0)),"")</f>
        <v/>
      </c>
      <c r="B244" s="87" t="str">
        <f>IF($A244="","",VLOOKUP($A244,'Annex 2 EHV charges'!$D:$O,2,0))</f>
        <v/>
      </c>
      <c r="C244" s="88" t="str">
        <f>IF($A244="","",VLOOKUP($A244,'Annex 2 EHV charges'!$D:$O,3,0))</f>
        <v/>
      </c>
      <c r="D244" s="87" t="str">
        <f>IF($A244="","",VLOOKUP($A244,'Annex 2 EHV charges'!$D:$O,4,0))</f>
        <v/>
      </c>
      <c r="E244" s="89" t="str">
        <f>IFERROR(IF(VLOOKUP($A244,'Annex 2 EHV charges'!$D:$O,9,FALSE)=0,"",VLOOKUP($A244,'Annex 2 EHV charges'!$D:$O,9,FALSE)),"")</f>
        <v/>
      </c>
      <c r="F244" s="90" t="str">
        <f>IFERROR(IF(VLOOKUP($A244,'Annex 2 EHV charges'!$D:$O,10,FALSE)=0,"",VLOOKUP($A244,'Annex 2 EHV charges'!$D:$O,10,FALSE)),"")</f>
        <v/>
      </c>
      <c r="G244" s="91" t="str">
        <f>IFERROR(IF(VLOOKUP($A244,'Annex 2 EHV charges'!$D:$O,11,FALSE)=0,"",VLOOKUP($A244,'Annex 2 EHV charges'!$D:$O,11,FALSE)),"")</f>
        <v/>
      </c>
      <c r="H244" s="91" t="str">
        <f>IFERROR(IF(VLOOKUP($A244,'Annex 2 EHV charges'!$D:$O,12,FALSE)=0,"",VLOOKUP($A244,'Annex 2 EHV charges'!$D:$O,12,FALSE)),"")</f>
        <v/>
      </c>
    </row>
    <row r="245" spans="1:8" x14ac:dyDescent="0.35">
      <c r="A245" s="88" t="str">
        <f t="array" ref="A245">IFERROR(INDEX('Annex 2 EHV charges'!$D$11:$D$260, MATCH(0, IF(ISBLANK('Annex 2 EHV charges'!$D$11:$D$260),1, COUNTIF(A$4:$A244, 'Annex 2 EHV charges'!$D$11:$D$260)), 0)),"")</f>
        <v/>
      </c>
      <c r="B245" s="87" t="str">
        <f>IF($A245="","",VLOOKUP($A245,'Annex 2 EHV charges'!$D:$O,2,0))</f>
        <v/>
      </c>
      <c r="C245" s="88" t="str">
        <f>IF($A245="","",VLOOKUP($A245,'Annex 2 EHV charges'!$D:$O,3,0))</f>
        <v/>
      </c>
      <c r="D245" s="87" t="str">
        <f>IF($A245="","",VLOOKUP($A245,'Annex 2 EHV charges'!$D:$O,4,0))</f>
        <v/>
      </c>
      <c r="E245" s="89" t="str">
        <f>IFERROR(IF(VLOOKUP($A245,'Annex 2 EHV charges'!$D:$O,9,FALSE)=0,"",VLOOKUP($A245,'Annex 2 EHV charges'!$D:$O,9,FALSE)),"")</f>
        <v/>
      </c>
      <c r="F245" s="90" t="str">
        <f>IFERROR(IF(VLOOKUP($A245,'Annex 2 EHV charges'!$D:$O,10,FALSE)=0,"",VLOOKUP($A245,'Annex 2 EHV charges'!$D:$O,10,FALSE)),"")</f>
        <v/>
      </c>
      <c r="G245" s="91" t="str">
        <f>IFERROR(IF(VLOOKUP($A245,'Annex 2 EHV charges'!$D:$O,11,FALSE)=0,"",VLOOKUP($A245,'Annex 2 EHV charges'!$D:$O,11,FALSE)),"")</f>
        <v/>
      </c>
      <c r="H245" s="91" t="str">
        <f>IFERROR(IF(VLOOKUP($A245,'Annex 2 EHV charges'!$D:$O,12,FALSE)=0,"",VLOOKUP($A245,'Annex 2 EHV charges'!$D:$O,12,FALSE)),"")</f>
        <v/>
      </c>
    </row>
    <row r="246" spans="1:8" x14ac:dyDescent="0.35">
      <c r="A246" s="88" t="str">
        <f t="array" ref="A246">IFERROR(INDEX('Annex 2 EHV charges'!$D$11:$D$260, MATCH(0, IF(ISBLANK('Annex 2 EHV charges'!$D$11:$D$260),1, COUNTIF(A$4:$A245, 'Annex 2 EHV charges'!$D$11:$D$260)), 0)),"")</f>
        <v/>
      </c>
      <c r="B246" s="87" t="str">
        <f>IF($A246="","",VLOOKUP($A246,'Annex 2 EHV charges'!$D:$O,2,0))</f>
        <v/>
      </c>
      <c r="C246" s="88" t="str">
        <f>IF($A246="","",VLOOKUP($A246,'Annex 2 EHV charges'!$D:$O,3,0))</f>
        <v/>
      </c>
      <c r="D246" s="87" t="str">
        <f>IF($A246="","",VLOOKUP($A246,'Annex 2 EHV charges'!$D:$O,4,0))</f>
        <v/>
      </c>
      <c r="E246" s="89" t="str">
        <f>IFERROR(IF(VLOOKUP($A246,'Annex 2 EHV charges'!$D:$O,9,FALSE)=0,"",VLOOKUP($A246,'Annex 2 EHV charges'!$D:$O,9,FALSE)),"")</f>
        <v/>
      </c>
      <c r="F246" s="90" t="str">
        <f>IFERROR(IF(VLOOKUP($A246,'Annex 2 EHV charges'!$D:$O,10,FALSE)=0,"",VLOOKUP($A246,'Annex 2 EHV charges'!$D:$O,10,FALSE)),"")</f>
        <v/>
      </c>
      <c r="G246" s="91" t="str">
        <f>IFERROR(IF(VLOOKUP($A246,'Annex 2 EHV charges'!$D:$O,11,FALSE)=0,"",VLOOKUP($A246,'Annex 2 EHV charges'!$D:$O,11,FALSE)),"")</f>
        <v/>
      </c>
      <c r="H246" s="91" t="str">
        <f>IFERROR(IF(VLOOKUP($A246,'Annex 2 EHV charges'!$D:$O,12,FALSE)=0,"",VLOOKUP($A246,'Annex 2 EHV charges'!$D:$O,12,FALSE)),"")</f>
        <v/>
      </c>
    </row>
    <row r="247" spans="1:8" x14ac:dyDescent="0.35">
      <c r="A247" s="88" t="str">
        <f t="array" ref="A247">IFERROR(INDEX('Annex 2 EHV charges'!$D$11:$D$260, MATCH(0, IF(ISBLANK('Annex 2 EHV charges'!$D$11:$D$260),1, COUNTIF(A$4:$A246, 'Annex 2 EHV charges'!$D$11:$D$260)), 0)),"")</f>
        <v/>
      </c>
      <c r="B247" s="87" t="str">
        <f>IF($A247="","",VLOOKUP($A247,'Annex 2 EHV charges'!$D:$O,2,0))</f>
        <v/>
      </c>
      <c r="C247" s="88" t="str">
        <f>IF($A247="","",VLOOKUP($A247,'Annex 2 EHV charges'!$D:$O,3,0))</f>
        <v/>
      </c>
      <c r="D247" s="87" t="str">
        <f>IF($A247="","",VLOOKUP($A247,'Annex 2 EHV charges'!$D:$O,4,0))</f>
        <v/>
      </c>
      <c r="E247" s="89" t="str">
        <f>IFERROR(IF(VLOOKUP($A247,'Annex 2 EHV charges'!$D:$O,9,FALSE)=0,"",VLOOKUP($A247,'Annex 2 EHV charges'!$D:$O,9,FALSE)),"")</f>
        <v/>
      </c>
      <c r="F247" s="90" t="str">
        <f>IFERROR(IF(VLOOKUP($A247,'Annex 2 EHV charges'!$D:$O,10,FALSE)=0,"",VLOOKUP($A247,'Annex 2 EHV charges'!$D:$O,10,FALSE)),"")</f>
        <v/>
      </c>
      <c r="G247" s="91" t="str">
        <f>IFERROR(IF(VLOOKUP($A247,'Annex 2 EHV charges'!$D:$O,11,FALSE)=0,"",VLOOKUP($A247,'Annex 2 EHV charges'!$D:$O,11,FALSE)),"")</f>
        <v/>
      </c>
      <c r="H247" s="91" t="str">
        <f>IFERROR(IF(VLOOKUP($A247,'Annex 2 EHV charges'!$D:$O,12,FALSE)=0,"",VLOOKUP($A247,'Annex 2 EHV charges'!$D:$O,12,FALSE)),"")</f>
        <v/>
      </c>
    </row>
    <row r="248" spans="1:8" x14ac:dyDescent="0.35">
      <c r="A248" s="88" t="str">
        <f t="array" ref="A248">IFERROR(INDEX('Annex 2 EHV charges'!$D$11:$D$260, MATCH(0, IF(ISBLANK('Annex 2 EHV charges'!$D$11:$D$260),1, COUNTIF(A$4:$A247, 'Annex 2 EHV charges'!$D$11:$D$260)), 0)),"")</f>
        <v/>
      </c>
      <c r="B248" s="87" t="str">
        <f>IF($A248="","",VLOOKUP($A248,'Annex 2 EHV charges'!$D:$O,2,0))</f>
        <v/>
      </c>
      <c r="C248" s="88" t="str">
        <f>IF($A248="","",VLOOKUP($A248,'Annex 2 EHV charges'!$D:$O,3,0))</f>
        <v/>
      </c>
      <c r="D248" s="87" t="str">
        <f>IF($A248="","",VLOOKUP($A248,'Annex 2 EHV charges'!$D:$O,4,0))</f>
        <v/>
      </c>
      <c r="E248" s="89" t="str">
        <f>IFERROR(IF(VLOOKUP($A248,'Annex 2 EHV charges'!$D:$O,9,FALSE)=0,"",VLOOKUP($A248,'Annex 2 EHV charges'!$D:$O,9,FALSE)),"")</f>
        <v/>
      </c>
      <c r="F248" s="90" t="str">
        <f>IFERROR(IF(VLOOKUP($A248,'Annex 2 EHV charges'!$D:$O,10,FALSE)=0,"",VLOOKUP($A248,'Annex 2 EHV charges'!$D:$O,10,FALSE)),"")</f>
        <v/>
      </c>
      <c r="G248" s="91" t="str">
        <f>IFERROR(IF(VLOOKUP($A248,'Annex 2 EHV charges'!$D:$O,11,FALSE)=0,"",VLOOKUP($A248,'Annex 2 EHV charges'!$D:$O,11,FALSE)),"")</f>
        <v/>
      </c>
      <c r="H248" s="91" t="str">
        <f>IFERROR(IF(VLOOKUP($A248,'Annex 2 EHV charges'!$D:$O,12,FALSE)=0,"",VLOOKUP($A248,'Annex 2 EHV charges'!$D:$O,12,FALSE)),"")</f>
        <v/>
      </c>
    </row>
    <row r="249" spans="1:8" x14ac:dyDescent="0.35">
      <c r="A249" s="88" t="str">
        <f t="array" ref="A249">IFERROR(INDEX('Annex 2 EHV charges'!$D$11:$D$260, MATCH(0, IF(ISBLANK('Annex 2 EHV charges'!$D$11:$D$260),1, COUNTIF(A$4:$A248, 'Annex 2 EHV charges'!$D$11:$D$260)), 0)),"")</f>
        <v/>
      </c>
      <c r="B249" s="87" t="str">
        <f>IF($A249="","",VLOOKUP($A249,'Annex 2 EHV charges'!$D:$O,2,0))</f>
        <v/>
      </c>
      <c r="C249" s="88" t="str">
        <f>IF($A249="","",VLOOKUP($A249,'Annex 2 EHV charges'!$D:$O,3,0))</f>
        <v/>
      </c>
      <c r="D249" s="87" t="str">
        <f>IF($A249="","",VLOOKUP($A249,'Annex 2 EHV charges'!$D:$O,4,0))</f>
        <v/>
      </c>
      <c r="E249" s="89" t="str">
        <f>IFERROR(IF(VLOOKUP($A249,'Annex 2 EHV charges'!$D:$O,9,FALSE)=0,"",VLOOKUP($A249,'Annex 2 EHV charges'!$D:$O,9,FALSE)),"")</f>
        <v/>
      </c>
      <c r="F249" s="90" t="str">
        <f>IFERROR(IF(VLOOKUP($A249,'Annex 2 EHV charges'!$D:$O,10,FALSE)=0,"",VLOOKUP($A249,'Annex 2 EHV charges'!$D:$O,10,FALSE)),"")</f>
        <v/>
      </c>
      <c r="G249" s="91" t="str">
        <f>IFERROR(IF(VLOOKUP($A249,'Annex 2 EHV charges'!$D:$O,11,FALSE)=0,"",VLOOKUP($A249,'Annex 2 EHV charges'!$D:$O,11,FALSE)),"")</f>
        <v/>
      </c>
      <c r="H249" s="91" t="str">
        <f>IFERROR(IF(VLOOKUP($A249,'Annex 2 EHV charges'!$D:$O,12,FALSE)=0,"",VLOOKUP($A249,'Annex 2 EHV charges'!$D:$O,12,FALSE)),"")</f>
        <v/>
      </c>
    </row>
    <row r="250" spans="1:8" x14ac:dyDescent="0.35">
      <c r="A250" s="88" t="str">
        <f t="array" ref="A250">IFERROR(INDEX('Annex 2 EHV charges'!$D$11:$D$260, MATCH(0, IF(ISBLANK('Annex 2 EHV charges'!$D$11:$D$260),1, COUNTIF(A$4:$A249, 'Annex 2 EHV charges'!$D$11:$D$260)), 0)),"")</f>
        <v/>
      </c>
      <c r="B250" s="87" t="str">
        <f>IF($A250="","",VLOOKUP($A250,'Annex 2 EHV charges'!$D:$O,2,0))</f>
        <v/>
      </c>
      <c r="C250" s="88" t="str">
        <f>IF($A250="","",VLOOKUP($A250,'Annex 2 EHV charges'!$D:$O,3,0))</f>
        <v/>
      </c>
      <c r="D250" s="87" t="str">
        <f>IF($A250="","",VLOOKUP($A250,'Annex 2 EHV charges'!$D:$O,4,0))</f>
        <v/>
      </c>
      <c r="E250" s="89" t="str">
        <f>IFERROR(IF(VLOOKUP($A250,'Annex 2 EHV charges'!$D:$O,9,FALSE)=0,"",VLOOKUP($A250,'Annex 2 EHV charges'!$D:$O,9,FALSE)),"")</f>
        <v/>
      </c>
      <c r="F250" s="90" t="str">
        <f>IFERROR(IF(VLOOKUP($A250,'Annex 2 EHV charges'!$D:$O,10,FALSE)=0,"",VLOOKUP($A250,'Annex 2 EHV charges'!$D:$O,10,FALSE)),"")</f>
        <v/>
      </c>
      <c r="G250" s="91" t="str">
        <f>IFERROR(IF(VLOOKUP($A250,'Annex 2 EHV charges'!$D:$O,11,FALSE)=0,"",VLOOKUP($A250,'Annex 2 EHV charges'!$D:$O,11,FALSE)),"")</f>
        <v/>
      </c>
      <c r="H250" s="91" t="str">
        <f>IFERROR(IF(VLOOKUP($A250,'Annex 2 EHV charges'!$D:$O,12,FALSE)=0,"",VLOOKUP($A250,'Annex 2 EHV charges'!$D:$O,12,FALSE)),"")</f>
        <v/>
      </c>
    </row>
    <row r="251" spans="1:8" x14ac:dyDescent="0.35">
      <c r="A251" s="88" t="str">
        <f t="array" ref="A251">IFERROR(INDEX('Annex 2 EHV charges'!$D$11:$D$260, MATCH(0, IF(ISBLANK('Annex 2 EHV charges'!$D$11:$D$260),1, COUNTIF(A$4:$A250, 'Annex 2 EHV charges'!$D$11:$D$260)), 0)),"")</f>
        <v/>
      </c>
      <c r="B251" s="87" t="str">
        <f>IF($A251="","",VLOOKUP($A251,'Annex 2 EHV charges'!$D:$O,2,0))</f>
        <v/>
      </c>
      <c r="C251" s="88" t="str">
        <f>IF($A251="","",VLOOKUP($A251,'Annex 2 EHV charges'!$D:$O,3,0))</f>
        <v/>
      </c>
      <c r="D251" s="87" t="str">
        <f>IF($A251="","",VLOOKUP($A251,'Annex 2 EHV charges'!$D:$O,4,0))</f>
        <v/>
      </c>
      <c r="E251" s="89" t="str">
        <f>IFERROR(IF(VLOOKUP($A251,'Annex 2 EHV charges'!$D:$O,9,FALSE)=0,"",VLOOKUP($A251,'Annex 2 EHV charges'!$D:$O,9,FALSE)),"")</f>
        <v/>
      </c>
      <c r="F251" s="90" t="str">
        <f>IFERROR(IF(VLOOKUP($A251,'Annex 2 EHV charges'!$D:$O,10,FALSE)=0,"",VLOOKUP($A251,'Annex 2 EHV charges'!$D:$O,10,FALSE)),"")</f>
        <v/>
      </c>
      <c r="G251" s="91" t="str">
        <f>IFERROR(IF(VLOOKUP($A251,'Annex 2 EHV charges'!$D:$O,11,FALSE)=0,"",VLOOKUP($A251,'Annex 2 EHV charges'!$D:$O,11,FALSE)),"")</f>
        <v/>
      </c>
      <c r="H251" s="91" t="str">
        <f>IFERROR(IF(VLOOKUP($A251,'Annex 2 EHV charges'!$D:$O,12,FALSE)=0,"",VLOOKUP($A251,'Annex 2 EHV charges'!$D:$O,12,FALSE)),"")</f>
        <v/>
      </c>
    </row>
    <row r="252" spans="1:8" x14ac:dyDescent="0.35">
      <c r="A252" s="88" t="str">
        <f t="array" ref="A252">IFERROR(INDEX('Annex 2 EHV charges'!$D$11:$D$260, MATCH(0, IF(ISBLANK('Annex 2 EHV charges'!$D$11:$D$260),1, COUNTIF(A$4:$A251, 'Annex 2 EHV charges'!$D$11:$D$260)), 0)),"")</f>
        <v/>
      </c>
      <c r="B252" s="87" t="str">
        <f>IF($A252="","",VLOOKUP($A252,'Annex 2 EHV charges'!$D:$O,2,0))</f>
        <v/>
      </c>
      <c r="C252" s="88" t="str">
        <f>IF($A252="","",VLOOKUP($A252,'Annex 2 EHV charges'!$D:$O,3,0))</f>
        <v/>
      </c>
      <c r="D252" s="87" t="str">
        <f>IF($A252="","",VLOOKUP($A252,'Annex 2 EHV charges'!$D:$O,4,0))</f>
        <v/>
      </c>
      <c r="E252" s="89" t="str">
        <f>IFERROR(IF(VLOOKUP($A252,'Annex 2 EHV charges'!$D:$O,9,FALSE)=0,"",VLOOKUP($A252,'Annex 2 EHV charges'!$D:$O,9,FALSE)),"")</f>
        <v/>
      </c>
      <c r="F252" s="90" t="str">
        <f>IFERROR(IF(VLOOKUP($A252,'Annex 2 EHV charges'!$D:$O,10,FALSE)=0,"",VLOOKUP($A252,'Annex 2 EHV charges'!$D:$O,10,FALSE)),"")</f>
        <v/>
      </c>
      <c r="G252" s="91" t="str">
        <f>IFERROR(IF(VLOOKUP($A252,'Annex 2 EHV charges'!$D:$O,11,FALSE)=0,"",VLOOKUP($A252,'Annex 2 EHV charges'!$D:$O,11,FALSE)),"")</f>
        <v/>
      </c>
      <c r="H252" s="91" t="str">
        <f>IFERROR(IF(VLOOKUP($A252,'Annex 2 EHV charges'!$D:$O,12,FALSE)=0,"",VLOOKUP($A252,'Annex 2 EHV charges'!$D:$O,12,FALSE)),"")</f>
        <v/>
      </c>
    </row>
    <row r="253" spans="1:8" x14ac:dyDescent="0.35">
      <c r="A253" s="88" t="str">
        <f t="array" ref="A253">IFERROR(INDEX('Annex 2 EHV charges'!$D$11:$D$260, MATCH(0, IF(ISBLANK('Annex 2 EHV charges'!$D$11:$D$260),1, COUNTIF(A$4:$A252, 'Annex 2 EHV charges'!$D$11:$D$260)), 0)),"")</f>
        <v/>
      </c>
      <c r="B253" s="87" t="str">
        <f>IF($A253="","",VLOOKUP($A253,'Annex 2 EHV charges'!$D:$O,2,0))</f>
        <v/>
      </c>
      <c r="C253" s="88" t="str">
        <f>IF($A253="","",VLOOKUP($A253,'Annex 2 EHV charges'!$D:$O,3,0))</f>
        <v/>
      </c>
      <c r="D253" s="87" t="str">
        <f>IF($A253="","",VLOOKUP($A253,'Annex 2 EHV charges'!$D:$O,4,0))</f>
        <v/>
      </c>
      <c r="E253" s="89" t="str">
        <f>IFERROR(IF(VLOOKUP($A253,'Annex 2 EHV charges'!$D:$O,9,FALSE)=0,"",VLOOKUP($A253,'Annex 2 EHV charges'!$D:$O,9,FALSE)),"")</f>
        <v/>
      </c>
      <c r="F253" s="90" t="str">
        <f>IFERROR(IF(VLOOKUP($A253,'Annex 2 EHV charges'!$D:$O,10,FALSE)=0,"",VLOOKUP($A253,'Annex 2 EHV charges'!$D:$O,10,FALSE)),"")</f>
        <v/>
      </c>
      <c r="G253" s="91" t="str">
        <f>IFERROR(IF(VLOOKUP($A253,'Annex 2 EHV charges'!$D:$O,11,FALSE)=0,"",VLOOKUP($A253,'Annex 2 EHV charges'!$D:$O,11,FALSE)),"")</f>
        <v/>
      </c>
      <c r="H253" s="91" t="str">
        <f>IFERROR(IF(VLOOKUP($A253,'Annex 2 EHV charges'!$D:$O,12,FALSE)=0,"",VLOOKUP($A253,'Annex 2 EHV charges'!$D:$O,12,FALSE)),"")</f>
        <v/>
      </c>
    </row>
    <row r="254" spans="1:8" x14ac:dyDescent="0.35">
      <c r="A254" s="88" t="str">
        <f t="array" ref="A254">IFERROR(INDEX('Annex 2 EHV charges'!$D$11:$D$260, MATCH(0, IF(ISBLANK('Annex 2 EHV charges'!$D$11:$D$260),1, COUNTIF(A$4:$A253, 'Annex 2 EHV charges'!$D$11:$D$260)), 0)),"")</f>
        <v/>
      </c>
      <c r="B254" s="87" t="str">
        <f>IF($A254="","",VLOOKUP($A254,'Annex 2 EHV charges'!$D:$O,2,0))</f>
        <v/>
      </c>
      <c r="C254" s="88" t="str">
        <f>IF($A254="","",VLOOKUP($A254,'Annex 2 EHV charges'!$D:$O,3,0))</f>
        <v/>
      </c>
      <c r="D254" s="87" t="str">
        <f>IF($A254="","",VLOOKUP($A254,'Annex 2 EHV charges'!$D:$O,4,0))</f>
        <v/>
      </c>
      <c r="E254" s="89" t="str">
        <f>IFERROR(IF(VLOOKUP($A254,'Annex 2 EHV charges'!$D:$O,9,FALSE)=0,"",VLOOKUP($A254,'Annex 2 EHV charges'!$D:$O,9,FALSE)),"")</f>
        <v/>
      </c>
      <c r="F254" s="90" t="str">
        <f>IFERROR(IF(VLOOKUP($A254,'Annex 2 EHV charges'!$D:$O,10,FALSE)=0,"",VLOOKUP($A254,'Annex 2 EHV charges'!$D:$O,10,FALSE)),"")</f>
        <v/>
      </c>
      <c r="G254" s="91" t="str">
        <f>IFERROR(IF(VLOOKUP($A254,'Annex 2 EHV charges'!$D:$O,11,FALSE)=0,"",VLOOKUP($A254,'Annex 2 EHV charges'!$D:$O,11,FALSE)),"")</f>
        <v/>
      </c>
      <c r="H254" s="91" t="str">
        <f>IFERROR(IF(VLOOKUP($A254,'Annex 2 EHV charges'!$D:$O,12,FALSE)=0,"",VLOOKUP($A254,'Annex 2 EHV charges'!$D:$O,12,FALSE)),"")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&amp;N&amp;C&amp;1#&amp;"Calibri"&amp;12&amp;K008000Internal Use</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&amp;N&amp;C&amp;1#&amp;"Calibri"&amp;12&amp;K008000Internal Use</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42"/>
  <sheetViews>
    <sheetView workbookViewId="0"/>
  </sheetViews>
  <sheetFormatPr defaultRowHeight="12.75" x14ac:dyDescent="0.35"/>
  <cols>
    <col min="1" max="1" width="47.265625" customWidth="1"/>
    <col min="2" max="2" width="23.86328125" customWidth="1"/>
    <col min="4" max="10" width="16.59765625" customWidth="1"/>
    <col min="11" max="11" width="57.73046875" bestFit="1" customWidth="1"/>
  </cols>
  <sheetData>
    <row r="1" spans="1:12" s="2" customFormat="1" ht="27.75" customHeight="1" x14ac:dyDescent="0.35">
      <c r="A1" s="15" t="s">
        <v>24</v>
      </c>
      <c r="B1" s="3"/>
      <c r="D1" s="3"/>
      <c r="E1" s="3"/>
      <c r="F1" s="3"/>
      <c r="G1" s="10"/>
      <c r="H1" s="4"/>
      <c r="I1" s="4"/>
    </row>
    <row r="2" spans="1:12" s="2" customFormat="1" ht="27" customHeight="1" x14ac:dyDescent="0.35">
      <c r="A2" s="261" t="str">
        <f>Overview!B4&amp; " - Effective from "&amp;Overview!D4&amp;" - "&amp;Overview!E4&amp;" LV and HV tariffs"</f>
        <v>SP Distribution - Effective from 1 April 2022 - Final LV and HV tariffs</v>
      </c>
      <c r="B2" s="261"/>
      <c r="C2" s="261"/>
      <c r="D2" s="261"/>
      <c r="E2" s="261"/>
      <c r="F2" s="261"/>
      <c r="G2" s="261"/>
      <c r="H2" s="261"/>
      <c r="I2" s="261"/>
      <c r="J2" s="261"/>
      <c r="K2" s="4"/>
      <c r="L2" s="4"/>
    </row>
    <row r="3" spans="1:12" s="2" customFormat="1" ht="27" customHeight="1" x14ac:dyDescent="0.35">
      <c r="A3" s="281" t="s">
        <v>185</v>
      </c>
      <c r="B3" s="281"/>
      <c r="C3" s="281"/>
      <c r="D3" s="281"/>
      <c r="E3" s="281"/>
      <c r="F3" s="281"/>
      <c r="G3" s="281"/>
      <c r="H3" s="281"/>
      <c r="I3" s="281"/>
      <c r="J3" s="281"/>
      <c r="K3" s="4"/>
      <c r="L3" s="4"/>
    </row>
    <row r="4" spans="1:12" s="2" customFormat="1" ht="71.25" customHeight="1" x14ac:dyDescent="0.35">
      <c r="A4" s="17"/>
      <c r="B4" s="26" t="s">
        <v>0</v>
      </c>
      <c r="C4" s="16" t="s">
        <v>29</v>
      </c>
      <c r="D4" s="44" t="s">
        <v>186</v>
      </c>
      <c r="E4" s="44" t="s">
        <v>188</v>
      </c>
      <c r="F4" s="44" t="s">
        <v>187</v>
      </c>
      <c r="G4" s="16" t="s">
        <v>30</v>
      </c>
      <c r="H4" s="16"/>
      <c r="I4" s="16"/>
      <c r="J4" s="16"/>
      <c r="K4" s="4"/>
      <c r="L4" s="4"/>
    </row>
    <row r="5" spans="1:12" s="2" customFormat="1" ht="32.25" customHeight="1" x14ac:dyDescent="0.35">
      <c r="A5" s="18" t="s">
        <v>503</v>
      </c>
      <c r="B5" s="196" t="s">
        <v>731</v>
      </c>
      <c r="C5" s="19">
        <v>2</v>
      </c>
      <c r="D5" s="130">
        <v>8.5009999999999994</v>
      </c>
      <c r="E5" s="131">
        <v>0.96199999999999997</v>
      </c>
      <c r="F5" s="132">
        <v>1.9E-2</v>
      </c>
      <c r="G5" s="24" t="s">
        <v>1367</v>
      </c>
      <c r="H5" s="24"/>
      <c r="I5" s="24"/>
      <c r="J5" s="24"/>
      <c r="K5" s="4"/>
      <c r="L5" s="4"/>
    </row>
    <row r="6" spans="1:12" s="2" customFormat="1" ht="72" customHeight="1" x14ac:dyDescent="0.35">
      <c r="A6" s="18" t="s">
        <v>504</v>
      </c>
      <c r="B6" s="182" t="s">
        <v>1394</v>
      </c>
      <c r="C6" s="19" t="s">
        <v>720</v>
      </c>
      <c r="D6" s="130">
        <v>10.706</v>
      </c>
      <c r="E6" s="131">
        <v>1.212</v>
      </c>
      <c r="F6" s="132">
        <v>2.4E-2</v>
      </c>
      <c r="G6" s="35">
        <v>6.37</v>
      </c>
      <c r="H6" s="24"/>
      <c r="I6" s="24"/>
      <c r="J6" s="24"/>
      <c r="K6" s="4"/>
      <c r="L6" s="4"/>
    </row>
    <row r="7" spans="1:12" s="2" customFormat="1" ht="72" customHeight="1" x14ac:dyDescent="0.35">
      <c r="A7" s="18" t="s">
        <v>505</v>
      </c>
      <c r="B7" s="182" t="s">
        <v>1394</v>
      </c>
      <c r="C7" s="19" t="s">
        <v>681</v>
      </c>
      <c r="D7" s="130">
        <v>10.706</v>
      </c>
      <c r="E7" s="131">
        <v>1.212</v>
      </c>
      <c r="F7" s="132">
        <v>2.4E-2</v>
      </c>
      <c r="G7" s="35">
        <v>11.11</v>
      </c>
      <c r="H7" s="24"/>
      <c r="I7" s="24"/>
      <c r="J7" s="24"/>
      <c r="K7" s="4"/>
      <c r="L7" s="4"/>
    </row>
    <row r="8" spans="1:12" s="2" customFormat="1" ht="72" customHeight="1" x14ac:dyDescent="0.35">
      <c r="A8" s="18" t="s">
        <v>506</v>
      </c>
      <c r="B8" s="182" t="s">
        <v>1394</v>
      </c>
      <c r="C8" s="19" t="s">
        <v>681</v>
      </c>
      <c r="D8" s="130">
        <v>10.706</v>
      </c>
      <c r="E8" s="131">
        <v>1.212</v>
      </c>
      <c r="F8" s="132">
        <v>2.4E-2</v>
      </c>
      <c r="G8" s="35">
        <v>32.32</v>
      </c>
      <c r="H8" s="24"/>
      <c r="I8" s="24"/>
      <c r="J8" s="24"/>
      <c r="K8" s="4"/>
      <c r="L8" s="4"/>
    </row>
    <row r="9" spans="1:12" s="2" customFormat="1" ht="72" customHeight="1" x14ac:dyDescent="0.35">
      <c r="A9" s="18" t="s">
        <v>507</v>
      </c>
      <c r="B9" s="182" t="s">
        <v>1394</v>
      </c>
      <c r="C9" s="19" t="s">
        <v>681</v>
      </c>
      <c r="D9" s="130">
        <v>10.706</v>
      </c>
      <c r="E9" s="131">
        <v>1.212</v>
      </c>
      <c r="F9" s="132">
        <v>2.4E-2</v>
      </c>
      <c r="G9" s="35">
        <v>71.14</v>
      </c>
      <c r="H9" s="24"/>
      <c r="I9" s="24"/>
      <c r="J9" s="24"/>
      <c r="K9" s="4"/>
      <c r="L9" s="4"/>
    </row>
    <row r="10" spans="1:12" s="2" customFormat="1" ht="72" customHeight="1" x14ac:dyDescent="0.35">
      <c r="A10" s="18" t="s">
        <v>508</v>
      </c>
      <c r="B10" s="182" t="s">
        <v>1394</v>
      </c>
      <c r="C10" s="19" t="s">
        <v>681</v>
      </c>
      <c r="D10" s="130">
        <v>10.706</v>
      </c>
      <c r="E10" s="131">
        <v>1.212</v>
      </c>
      <c r="F10" s="132">
        <v>2.4E-2</v>
      </c>
      <c r="G10" s="35">
        <v>209.3</v>
      </c>
      <c r="H10" s="24"/>
      <c r="I10" s="24"/>
      <c r="J10" s="24"/>
      <c r="K10" s="4"/>
      <c r="L10" s="4"/>
    </row>
    <row r="11" spans="1:12" s="2" customFormat="1" ht="32.25" customHeight="1" x14ac:dyDescent="0.35">
      <c r="A11" s="18" t="s">
        <v>169</v>
      </c>
      <c r="B11" s="182" t="s">
        <v>1392</v>
      </c>
      <c r="C11" s="19" t="s">
        <v>1399</v>
      </c>
      <c r="D11" s="130">
        <v>10.706</v>
      </c>
      <c r="E11" s="131">
        <v>1.212</v>
      </c>
      <c r="F11" s="132">
        <v>2.4E-2</v>
      </c>
      <c r="G11" s="24" t="s">
        <v>1367</v>
      </c>
      <c r="H11" s="24"/>
      <c r="I11" s="24"/>
      <c r="J11" s="24"/>
      <c r="K11" s="4"/>
      <c r="L11" s="4"/>
    </row>
    <row r="12" spans="1:12" s="2" customFormat="1" ht="32.25" customHeight="1" x14ac:dyDescent="0.35">
      <c r="A12" s="18" t="s">
        <v>173</v>
      </c>
      <c r="B12" s="182" t="s">
        <v>748</v>
      </c>
      <c r="C12" s="19" t="s">
        <v>445</v>
      </c>
      <c r="D12" s="133">
        <v>21.869</v>
      </c>
      <c r="E12" s="134">
        <v>2.649</v>
      </c>
      <c r="F12" s="132">
        <v>1.788</v>
      </c>
      <c r="G12" s="24" t="s">
        <v>1367</v>
      </c>
      <c r="H12" s="24"/>
      <c r="I12" s="24"/>
      <c r="J12" s="24"/>
      <c r="K12" s="4"/>
      <c r="L12" s="4"/>
    </row>
    <row r="13" spans="1:12" ht="20.25" customHeight="1" x14ac:dyDescent="0.35">
      <c r="A13" s="288" t="s">
        <v>2</v>
      </c>
      <c r="B13" s="282" t="s">
        <v>721</v>
      </c>
      <c r="C13" s="283"/>
      <c r="D13" s="283"/>
      <c r="E13" s="283"/>
      <c r="F13" s="283"/>
      <c r="G13" s="283"/>
      <c r="H13" s="283"/>
      <c r="I13" s="283"/>
      <c r="J13" s="284"/>
    </row>
    <row r="14" spans="1:12" ht="103.5" customHeight="1" x14ac:dyDescent="0.35">
      <c r="A14" s="288"/>
      <c r="B14" s="285" t="s">
        <v>722</v>
      </c>
      <c r="C14" s="286"/>
      <c r="D14" s="286"/>
      <c r="E14" s="286"/>
      <c r="F14" s="286"/>
      <c r="G14" s="286"/>
      <c r="H14" s="286"/>
      <c r="I14" s="286"/>
      <c r="J14" s="287"/>
    </row>
    <row r="15" spans="1:12" x14ac:dyDescent="0.35">
      <c r="A15" s="288"/>
      <c r="B15" s="279"/>
      <c r="C15" s="279"/>
      <c r="D15" s="279"/>
      <c r="E15" s="279"/>
      <c r="F15" s="279"/>
      <c r="G15" s="279"/>
      <c r="H15" s="280"/>
      <c r="I15" s="280"/>
      <c r="J15" s="280"/>
    </row>
    <row r="16" spans="1:12" x14ac:dyDescent="0.35">
      <c r="A16" s="39"/>
      <c r="B16" s="39"/>
      <c r="C16" s="39"/>
      <c r="D16" s="39"/>
      <c r="E16" s="39"/>
      <c r="F16" s="39"/>
      <c r="G16" s="39"/>
      <c r="H16" s="39"/>
      <c r="I16" s="39"/>
      <c r="J16" s="39"/>
    </row>
    <row r="17" spans="1:12" x14ac:dyDescent="0.35">
      <c r="A17" s="39"/>
      <c r="B17" s="39"/>
      <c r="C17" s="39"/>
      <c r="D17" s="39"/>
      <c r="E17" s="39"/>
      <c r="F17" s="39"/>
      <c r="G17" s="39"/>
      <c r="H17" s="39"/>
      <c r="I17" s="39"/>
      <c r="J17" s="39"/>
    </row>
    <row r="18" spans="1:12" s="2" customFormat="1" ht="27" customHeight="1" x14ac:dyDescent="0.35">
      <c r="A18" s="281" t="s">
        <v>182</v>
      </c>
      <c r="B18" s="281"/>
      <c r="C18" s="281"/>
      <c r="D18" s="281"/>
      <c r="E18" s="281"/>
      <c r="F18" s="281"/>
      <c r="G18" s="281"/>
      <c r="H18" s="281"/>
      <c r="I18" s="281"/>
      <c r="J18" s="281"/>
      <c r="K18" s="4"/>
      <c r="L18" s="4"/>
    </row>
    <row r="19" spans="1:12" s="2" customFormat="1" ht="58.5" customHeight="1" x14ac:dyDescent="0.35">
      <c r="A19" s="17"/>
      <c r="B19" s="26" t="s">
        <v>0</v>
      </c>
      <c r="C19" s="16" t="s">
        <v>29</v>
      </c>
      <c r="D19" s="44" t="s">
        <v>186</v>
      </c>
      <c r="E19" s="44" t="s">
        <v>188</v>
      </c>
      <c r="F19" s="44" t="s">
        <v>187</v>
      </c>
      <c r="G19" s="16" t="s">
        <v>30</v>
      </c>
      <c r="H19" s="16" t="s">
        <v>31</v>
      </c>
      <c r="I19" s="26" t="s">
        <v>152</v>
      </c>
      <c r="J19" s="16" t="s">
        <v>38</v>
      </c>
      <c r="K19" s="4"/>
      <c r="L19" s="4"/>
    </row>
    <row r="20" spans="1:12" s="2" customFormat="1" ht="32.25" customHeight="1" x14ac:dyDescent="0.35">
      <c r="A20" s="18" t="s">
        <v>509</v>
      </c>
      <c r="B20" s="182" t="s">
        <v>737</v>
      </c>
      <c r="C20" s="19">
        <v>0</v>
      </c>
      <c r="D20" s="130">
        <v>6.9260000000000002</v>
      </c>
      <c r="E20" s="131">
        <v>0.75</v>
      </c>
      <c r="F20" s="132">
        <v>1.4E-2</v>
      </c>
      <c r="G20" s="35">
        <v>25.01</v>
      </c>
      <c r="H20" s="24"/>
      <c r="I20" s="24"/>
      <c r="J20" s="24"/>
      <c r="K20" s="4"/>
      <c r="L20" s="4"/>
    </row>
    <row r="21" spans="1:12" s="2" customFormat="1" ht="32.25" customHeight="1" x14ac:dyDescent="0.35">
      <c r="A21" s="18" t="s">
        <v>510</v>
      </c>
      <c r="B21" s="182" t="s">
        <v>737</v>
      </c>
      <c r="C21" s="19">
        <v>0</v>
      </c>
      <c r="D21" s="130">
        <v>6.9260000000000002</v>
      </c>
      <c r="E21" s="131">
        <v>0.75</v>
      </c>
      <c r="F21" s="132">
        <v>1.4E-2</v>
      </c>
      <c r="G21" s="35">
        <v>343.29</v>
      </c>
      <c r="H21" s="24"/>
      <c r="I21" s="24"/>
      <c r="J21" s="24"/>
      <c r="K21" s="4"/>
      <c r="L21" s="4"/>
    </row>
    <row r="22" spans="1:12" s="2" customFormat="1" ht="32.25" customHeight="1" x14ac:dyDescent="0.35">
      <c r="A22" s="18" t="s">
        <v>511</v>
      </c>
      <c r="B22" s="182" t="s">
        <v>737</v>
      </c>
      <c r="C22" s="19">
        <v>0</v>
      </c>
      <c r="D22" s="130">
        <v>6.9260000000000002</v>
      </c>
      <c r="E22" s="131">
        <v>0.75</v>
      </c>
      <c r="F22" s="132">
        <v>1.4E-2</v>
      </c>
      <c r="G22" s="35">
        <v>684.83</v>
      </c>
      <c r="H22" s="24"/>
      <c r="I22" s="24"/>
      <c r="J22" s="24"/>
      <c r="K22" s="4"/>
      <c r="L22" s="4"/>
    </row>
    <row r="23" spans="1:12" s="2" customFormat="1" ht="32.25" customHeight="1" x14ac:dyDescent="0.35">
      <c r="A23" s="18" t="s">
        <v>512</v>
      </c>
      <c r="B23" s="182" t="s">
        <v>737</v>
      </c>
      <c r="C23" s="19">
        <v>0</v>
      </c>
      <c r="D23" s="130">
        <v>6.9260000000000002</v>
      </c>
      <c r="E23" s="131">
        <v>0.75</v>
      </c>
      <c r="F23" s="132">
        <v>1.4E-2</v>
      </c>
      <c r="G23" s="35">
        <v>1126.71</v>
      </c>
      <c r="H23" s="24"/>
      <c r="I23" s="24"/>
      <c r="J23" s="24"/>
      <c r="K23" s="4"/>
      <c r="L23" s="4"/>
    </row>
    <row r="24" spans="1:12" s="2" customFormat="1" ht="32.25" customHeight="1" x14ac:dyDescent="0.35">
      <c r="A24" s="18" t="s">
        <v>513</v>
      </c>
      <c r="B24" s="182" t="s">
        <v>737</v>
      </c>
      <c r="C24" s="19">
        <v>0</v>
      </c>
      <c r="D24" s="130">
        <v>6.9260000000000002</v>
      </c>
      <c r="E24" s="131">
        <v>0.75</v>
      </c>
      <c r="F24" s="132">
        <v>1.4E-2</v>
      </c>
      <c r="G24" s="35">
        <v>2465.9899999999998</v>
      </c>
      <c r="H24" s="24"/>
      <c r="I24" s="24"/>
      <c r="J24" s="24"/>
      <c r="K24" s="4"/>
      <c r="L24" s="4"/>
    </row>
    <row r="25" spans="1:12" s="2" customFormat="1" ht="32.25" customHeight="1" x14ac:dyDescent="0.35">
      <c r="A25" s="18" t="s">
        <v>514</v>
      </c>
      <c r="B25" s="182" t="s">
        <v>738</v>
      </c>
      <c r="C25" s="19">
        <v>0</v>
      </c>
      <c r="D25" s="130">
        <v>4.0730000000000004</v>
      </c>
      <c r="E25" s="131">
        <v>0.38300000000000001</v>
      </c>
      <c r="F25" s="132">
        <v>5.0000000000000001E-3</v>
      </c>
      <c r="G25" s="35">
        <v>8.85</v>
      </c>
      <c r="H25" s="24"/>
      <c r="I25" s="24"/>
      <c r="J25" s="24"/>
      <c r="K25" s="4"/>
      <c r="L25" s="4"/>
    </row>
    <row r="26" spans="1:12" s="2" customFormat="1" ht="32.25" customHeight="1" x14ac:dyDescent="0.35">
      <c r="A26" s="18" t="s">
        <v>515</v>
      </c>
      <c r="B26" s="182" t="s">
        <v>738</v>
      </c>
      <c r="C26" s="19">
        <v>0</v>
      </c>
      <c r="D26" s="130">
        <v>4.0730000000000004</v>
      </c>
      <c r="E26" s="131">
        <v>0.38300000000000001</v>
      </c>
      <c r="F26" s="132">
        <v>5.0000000000000001E-3</v>
      </c>
      <c r="G26" s="35">
        <v>327.13</v>
      </c>
      <c r="H26" s="24"/>
      <c r="I26" s="24"/>
      <c r="J26" s="24"/>
      <c r="K26" s="4"/>
      <c r="L26" s="4"/>
    </row>
    <row r="27" spans="1:12" s="2" customFormat="1" ht="32.25" customHeight="1" x14ac:dyDescent="0.35">
      <c r="A27" s="18" t="s">
        <v>516</v>
      </c>
      <c r="B27" s="182" t="s">
        <v>738</v>
      </c>
      <c r="C27" s="19">
        <v>0</v>
      </c>
      <c r="D27" s="130">
        <v>4.0730000000000004</v>
      </c>
      <c r="E27" s="131">
        <v>0.38300000000000001</v>
      </c>
      <c r="F27" s="132">
        <v>5.0000000000000001E-3</v>
      </c>
      <c r="G27" s="35">
        <v>668.67</v>
      </c>
      <c r="H27" s="24"/>
      <c r="I27" s="24"/>
      <c r="J27" s="24"/>
      <c r="K27" s="4"/>
      <c r="L27" s="4"/>
    </row>
    <row r="28" spans="1:12" s="2" customFormat="1" ht="32.25" customHeight="1" x14ac:dyDescent="0.35">
      <c r="A28" s="18" t="s">
        <v>517</v>
      </c>
      <c r="B28" s="182" t="s">
        <v>738</v>
      </c>
      <c r="C28" s="19">
        <v>0</v>
      </c>
      <c r="D28" s="130">
        <v>4.0730000000000004</v>
      </c>
      <c r="E28" s="131">
        <v>0.38300000000000001</v>
      </c>
      <c r="F28" s="132">
        <v>5.0000000000000001E-3</v>
      </c>
      <c r="G28" s="35">
        <v>1110.54</v>
      </c>
      <c r="H28" s="24"/>
      <c r="I28" s="24"/>
      <c r="J28" s="24"/>
      <c r="K28" s="4"/>
      <c r="L28" s="4"/>
    </row>
    <row r="29" spans="1:12" s="2" customFormat="1" ht="32.25" customHeight="1" x14ac:dyDescent="0.35">
      <c r="A29" s="18" t="s">
        <v>518</v>
      </c>
      <c r="B29" s="182" t="s">
        <v>738</v>
      </c>
      <c r="C29" s="19">
        <v>0</v>
      </c>
      <c r="D29" s="130">
        <v>4.0730000000000004</v>
      </c>
      <c r="E29" s="131">
        <v>0.38300000000000001</v>
      </c>
      <c r="F29" s="132">
        <v>5.0000000000000001E-3</v>
      </c>
      <c r="G29" s="35">
        <v>2449.83</v>
      </c>
      <c r="H29" s="24"/>
      <c r="I29" s="24"/>
      <c r="J29" s="24"/>
      <c r="K29" s="4"/>
      <c r="L29" s="4"/>
    </row>
    <row r="30" spans="1:12" s="2" customFormat="1" ht="32.25" customHeight="1" x14ac:dyDescent="0.35">
      <c r="A30" s="18" t="s">
        <v>519</v>
      </c>
      <c r="B30" s="182" t="s">
        <v>739</v>
      </c>
      <c r="C30" s="19">
        <v>0</v>
      </c>
      <c r="D30" s="130">
        <v>3.0289999999999999</v>
      </c>
      <c r="E30" s="131">
        <v>0.26200000000000001</v>
      </c>
      <c r="F30" s="132">
        <v>3.0000000000000001E-3</v>
      </c>
      <c r="G30" s="35">
        <v>133.52000000000001</v>
      </c>
      <c r="H30" s="24"/>
      <c r="I30" s="24"/>
      <c r="J30" s="24"/>
      <c r="K30" s="4"/>
      <c r="L30" s="4"/>
    </row>
    <row r="31" spans="1:12" s="2" customFormat="1" ht="32.25" customHeight="1" x14ac:dyDescent="0.35">
      <c r="A31" s="18" t="s">
        <v>520</v>
      </c>
      <c r="B31" s="182" t="s">
        <v>739</v>
      </c>
      <c r="C31" s="19">
        <v>0</v>
      </c>
      <c r="D31" s="130">
        <v>3.0289999999999999</v>
      </c>
      <c r="E31" s="131">
        <v>0.26200000000000001</v>
      </c>
      <c r="F31" s="132">
        <v>3.0000000000000001E-3</v>
      </c>
      <c r="G31" s="35">
        <v>1603.45</v>
      </c>
      <c r="H31" s="24"/>
      <c r="I31" s="24"/>
      <c r="J31" s="24"/>
      <c r="K31" s="4"/>
      <c r="L31" s="4"/>
    </row>
    <row r="32" spans="1:12" s="2" customFormat="1" ht="32.25" customHeight="1" x14ac:dyDescent="0.35">
      <c r="A32" s="18" t="s">
        <v>521</v>
      </c>
      <c r="B32" s="182" t="s">
        <v>739</v>
      </c>
      <c r="C32" s="19">
        <v>0</v>
      </c>
      <c r="D32" s="130">
        <v>3.0289999999999999</v>
      </c>
      <c r="E32" s="131">
        <v>0.26200000000000001</v>
      </c>
      <c r="F32" s="132">
        <v>3.0000000000000001E-3</v>
      </c>
      <c r="G32" s="35">
        <v>6317.4</v>
      </c>
      <c r="H32" s="24"/>
      <c r="I32" s="24"/>
      <c r="J32" s="24"/>
      <c r="K32" s="4"/>
      <c r="L32" s="4"/>
    </row>
    <row r="33" spans="1:12" s="2" customFormat="1" ht="32.25" customHeight="1" x14ac:dyDescent="0.35">
      <c r="A33" s="18" t="s">
        <v>522</v>
      </c>
      <c r="B33" s="182" t="s">
        <v>739</v>
      </c>
      <c r="C33" s="19">
        <v>0</v>
      </c>
      <c r="D33" s="130">
        <v>3.0289999999999999</v>
      </c>
      <c r="E33" s="131">
        <v>0.26200000000000001</v>
      </c>
      <c r="F33" s="132">
        <v>3.0000000000000001E-3</v>
      </c>
      <c r="G33" s="35">
        <v>12641.26</v>
      </c>
      <c r="H33" s="24"/>
      <c r="I33" s="24"/>
      <c r="J33" s="24"/>
      <c r="K33" s="4"/>
      <c r="L33" s="4"/>
    </row>
    <row r="34" spans="1:12" s="2" customFormat="1" ht="32.25" customHeight="1" x14ac:dyDescent="0.35">
      <c r="A34" s="18" t="s">
        <v>523</v>
      </c>
      <c r="B34" s="182" t="s">
        <v>739</v>
      </c>
      <c r="C34" s="19">
        <v>0</v>
      </c>
      <c r="D34" s="130">
        <v>3.0289999999999999</v>
      </c>
      <c r="E34" s="131">
        <v>0.26200000000000001</v>
      </c>
      <c r="F34" s="132">
        <v>3.0000000000000001E-3</v>
      </c>
      <c r="G34" s="35">
        <v>31562.57</v>
      </c>
      <c r="H34" s="24"/>
      <c r="I34" s="24"/>
      <c r="J34" s="24"/>
      <c r="K34" s="4"/>
      <c r="L34" s="4"/>
    </row>
    <row r="35" spans="1:12" ht="13.15" x14ac:dyDescent="0.4">
      <c r="A35" s="288" t="s">
        <v>2</v>
      </c>
      <c r="B35" s="289" t="s">
        <v>13</v>
      </c>
      <c r="C35" s="289"/>
      <c r="D35" s="289"/>
      <c r="E35" s="289"/>
      <c r="F35" s="289"/>
      <c r="G35" s="289"/>
      <c r="H35" s="290"/>
      <c r="I35" s="290"/>
      <c r="J35" s="290"/>
    </row>
    <row r="36" spans="1:12" ht="12.75" customHeight="1" x14ac:dyDescent="0.35">
      <c r="A36" s="288"/>
      <c r="B36" s="279" t="s">
        <v>723</v>
      </c>
      <c r="C36" s="279"/>
      <c r="D36" s="279"/>
      <c r="E36" s="279"/>
      <c r="F36" s="279"/>
      <c r="G36" s="279"/>
      <c r="H36" s="280"/>
      <c r="I36" s="280"/>
      <c r="J36" s="280"/>
    </row>
    <row r="37" spans="1:12" ht="12.75" customHeight="1" x14ac:dyDescent="0.35">
      <c r="A37" s="288"/>
      <c r="B37" s="279"/>
      <c r="C37" s="279"/>
      <c r="D37" s="279"/>
      <c r="E37" s="279"/>
      <c r="F37" s="279"/>
      <c r="G37" s="279"/>
      <c r="H37" s="280"/>
      <c r="I37" s="280"/>
      <c r="J37" s="280"/>
    </row>
    <row r="38" spans="1:12" ht="12.75" customHeight="1" x14ac:dyDescent="0.35">
      <c r="A38" s="291"/>
      <c r="B38" s="279" t="s">
        <v>3</v>
      </c>
      <c r="C38" s="279"/>
      <c r="D38" s="279"/>
      <c r="E38" s="279"/>
      <c r="F38" s="279"/>
      <c r="G38" s="279"/>
      <c r="H38" s="280"/>
      <c r="I38" s="280"/>
      <c r="J38" s="280"/>
    </row>
    <row r="39" spans="1:12" ht="12.75" customHeight="1" x14ac:dyDescent="0.35">
      <c r="A39" s="291"/>
      <c r="B39" s="279"/>
      <c r="C39" s="279"/>
      <c r="D39" s="279"/>
      <c r="E39" s="279"/>
      <c r="F39" s="279"/>
      <c r="G39" s="279"/>
      <c r="H39" s="280"/>
      <c r="I39" s="280"/>
      <c r="J39" s="280"/>
    </row>
    <row r="40" spans="1:12" ht="60.75" customHeight="1" x14ac:dyDescent="0.35">
      <c r="A40" s="291"/>
      <c r="B40" s="277" t="s">
        <v>724</v>
      </c>
      <c r="C40" s="277"/>
      <c r="D40" s="277"/>
      <c r="E40" s="277"/>
      <c r="F40" s="277"/>
      <c r="G40" s="277"/>
      <c r="H40" s="278"/>
      <c r="I40" s="278"/>
      <c r="J40" s="278"/>
    </row>
    <row r="41" spans="1:12" x14ac:dyDescent="0.35">
      <c r="A41" s="291"/>
      <c r="B41" s="279"/>
      <c r="C41" s="279"/>
      <c r="D41" s="279"/>
      <c r="E41" s="279"/>
      <c r="F41" s="279"/>
      <c r="G41" s="279"/>
      <c r="H41" s="280"/>
      <c r="I41" s="280"/>
      <c r="J41" s="280"/>
    </row>
    <row r="42" spans="1:12" x14ac:dyDescent="0.35">
      <c r="A42" s="291"/>
      <c r="B42" s="279"/>
      <c r="C42" s="279"/>
      <c r="D42" s="279"/>
      <c r="E42" s="279"/>
      <c r="F42" s="279"/>
      <c r="G42" s="279"/>
      <c r="H42" s="280"/>
      <c r="I42" s="280"/>
      <c r="J42" s="280"/>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16">
    <mergeCell ref="B40:J40"/>
    <mergeCell ref="B41:J41"/>
    <mergeCell ref="B42:J42"/>
    <mergeCell ref="B39:J39"/>
    <mergeCell ref="A2:J2"/>
    <mergeCell ref="A3:J3"/>
    <mergeCell ref="B13:J13"/>
    <mergeCell ref="B14:J14"/>
    <mergeCell ref="B38:J38"/>
    <mergeCell ref="B15:J15"/>
    <mergeCell ref="A13:A15"/>
    <mergeCell ref="A18:J18"/>
    <mergeCell ref="B35:J35"/>
    <mergeCell ref="B36:J36"/>
    <mergeCell ref="B37:J37"/>
    <mergeCell ref="A35:A42"/>
  </mergeCells>
  <phoneticPr fontId="11"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&amp;"Arial,Bold"Annex 3&amp;"Arial,Regular" - Schedule of Chargesfor use of the Distribution System to Preserved/Additional LLFC Classes</oddHeader>
    <oddFooter>&amp;C&amp;"Calibri"&amp;11&amp;K000000&amp;P of &amp;N_x000D_&amp;1#&amp;"Calibri"&amp;12&amp;K008000Internal Use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3"/>
  <sheetViews>
    <sheetView zoomScale="70" zoomScaleNormal="70" workbookViewId="0"/>
  </sheetViews>
  <sheetFormatPr defaultColWidth="9.1328125" defaultRowHeight="27.75" customHeight="1" x14ac:dyDescent="0.35"/>
  <cols>
    <col min="1" max="1" width="58" style="2" bestFit="1" customWidth="1"/>
    <col min="2" max="2" width="17.73046875" style="3" customWidth="1"/>
    <col min="3" max="4" width="17.73046875" style="2" customWidth="1"/>
    <col min="5" max="7" width="17.73046875" style="3" customWidth="1"/>
    <col min="8" max="9" width="17.73046875" style="9" customWidth="1"/>
    <col min="10" max="10" width="17.73046875" style="4" customWidth="1"/>
    <col min="11" max="11" width="15.59765625" style="210" customWidth="1"/>
    <col min="12" max="17" width="15.59765625" style="2" customWidth="1"/>
    <col min="18" max="16384" width="9.1328125" style="2"/>
  </cols>
  <sheetData>
    <row r="1" spans="1:13" ht="27.75" customHeight="1" x14ac:dyDescent="0.35">
      <c r="A1" s="15" t="s">
        <v>24</v>
      </c>
      <c r="B1" s="292" t="s">
        <v>148</v>
      </c>
      <c r="C1" s="293"/>
      <c r="D1" s="293"/>
      <c r="F1" s="294" t="s">
        <v>151</v>
      </c>
      <c r="G1" s="295"/>
      <c r="H1" s="296"/>
      <c r="I1" s="4"/>
      <c r="J1" s="2"/>
      <c r="K1" s="209"/>
    </row>
    <row r="2" spans="1:13" ht="31.5" customHeight="1" x14ac:dyDescent="0.35">
      <c r="A2" s="297" t="str">
        <f>Overview!B4&amp; " - Effective from "&amp;Overview!D4&amp;" - "&amp;Overview!E4&amp;" LDNO tariffs"</f>
        <v>SP Distribution - Effective from 1 April 2022 - Final LDNO tariffs</v>
      </c>
      <c r="B2" s="297"/>
      <c r="C2" s="297"/>
      <c r="D2" s="297"/>
      <c r="E2" s="297"/>
      <c r="F2" s="297"/>
      <c r="G2" s="297"/>
      <c r="H2" s="297"/>
      <c r="I2" s="297"/>
      <c r="J2" s="297"/>
      <c r="K2" s="210">
        <v>1</v>
      </c>
    </row>
    <row r="3" spans="1:13" ht="8.25" customHeight="1" x14ac:dyDescent="0.35">
      <c r="A3" s="77"/>
      <c r="B3" s="77"/>
      <c r="C3" s="77"/>
      <c r="D3" s="77"/>
      <c r="E3" s="77"/>
      <c r="F3" s="77"/>
      <c r="G3" s="77"/>
      <c r="H3" s="77"/>
      <c r="I3" s="77"/>
      <c r="J3" s="77"/>
      <c r="K3" s="210">
        <v>1</v>
      </c>
    </row>
    <row r="4" spans="1:13" ht="27" customHeight="1" x14ac:dyDescent="0.35">
      <c r="A4" s="261" t="s">
        <v>183</v>
      </c>
      <c r="B4" s="261"/>
      <c r="C4" s="261"/>
      <c r="D4" s="261"/>
      <c r="E4" s="79"/>
      <c r="F4" s="261" t="s">
        <v>184</v>
      </c>
      <c r="G4" s="261"/>
      <c r="H4" s="261"/>
      <c r="I4" s="261"/>
      <c r="J4" s="261"/>
      <c r="K4" s="210">
        <v>1</v>
      </c>
      <c r="L4" s="4"/>
    </row>
    <row r="5" spans="1:13" ht="32.25" customHeight="1" x14ac:dyDescent="0.35">
      <c r="A5" s="66" t="s">
        <v>13</v>
      </c>
      <c r="B5" s="71" t="s">
        <v>77</v>
      </c>
      <c r="C5" s="83" t="s">
        <v>78</v>
      </c>
      <c r="D5" s="68" t="s">
        <v>79</v>
      </c>
      <c r="E5" s="75"/>
      <c r="F5" s="265"/>
      <c r="G5" s="266"/>
      <c r="H5" s="72" t="s">
        <v>84</v>
      </c>
      <c r="I5" s="73" t="s">
        <v>85</v>
      </c>
      <c r="J5" s="68" t="s">
        <v>79</v>
      </c>
      <c r="K5" s="210">
        <v>1</v>
      </c>
      <c r="L5" s="4"/>
      <c r="M5" s="4"/>
    </row>
    <row r="6" spans="1:13" ht="56.25" customHeight="1" x14ac:dyDescent="0.35">
      <c r="A6" s="69" t="s">
        <v>80</v>
      </c>
      <c r="B6" s="21" t="s">
        <v>697</v>
      </c>
      <c r="C6" s="178" t="s">
        <v>698</v>
      </c>
      <c r="D6" s="176" t="s">
        <v>699</v>
      </c>
      <c r="E6" s="75"/>
      <c r="F6" s="267" t="s">
        <v>81</v>
      </c>
      <c r="G6" s="267"/>
      <c r="H6" s="174"/>
      <c r="I6" s="74" t="s">
        <v>702</v>
      </c>
      <c r="J6" s="176" t="s">
        <v>699</v>
      </c>
      <c r="K6" s="210">
        <v>1</v>
      </c>
      <c r="L6" s="4"/>
      <c r="M6" s="4"/>
    </row>
    <row r="7" spans="1:13" ht="56.25" customHeight="1" x14ac:dyDescent="0.35">
      <c r="A7" s="69" t="s">
        <v>20</v>
      </c>
      <c r="B7" s="174"/>
      <c r="C7" s="183" t="s">
        <v>700</v>
      </c>
      <c r="D7" s="74" t="s">
        <v>701</v>
      </c>
      <c r="E7" s="75"/>
      <c r="F7" s="267" t="s">
        <v>82</v>
      </c>
      <c r="G7" s="267"/>
      <c r="H7" s="21" t="s">
        <v>697</v>
      </c>
      <c r="I7" s="74" t="s">
        <v>698</v>
      </c>
      <c r="J7" s="176" t="s">
        <v>699</v>
      </c>
      <c r="K7" s="210">
        <v>1</v>
      </c>
      <c r="L7" s="4"/>
      <c r="M7" s="4"/>
    </row>
    <row r="8" spans="1:13" ht="55.5" customHeight="1" x14ac:dyDescent="0.35">
      <c r="A8" s="70" t="s">
        <v>18</v>
      </c>
      <c r="B8" s="301" t="s">
        <v>19</v>
      </c>
      <c r="C8" s="302"/>
      <c r="D8" s="303"/>
      <c r="E8" s="75"/>
      <c r="F8" s="267" t="s">
        <v>911</v>
      </c>
      <c r="G8" s="267"/>
      <c r="H8" s="174"/>
      <c r="I8" s="74" t="s">
        <v>702</v>
      </c>
      <c r="J8" s="176" t="s">
        <v>699</v>
      </c>
      <c r="K8" s="210">
        <v>1</v>
      </c>
      <c r="L8" s="4"/>
      <c r="M8" s="4"/>
    </row>
    <row r="9" spans="1:13" s="67" customFormat="1" ht="30" customHeight="1" x14ac:dyDescent="0.35">
      <c r="E9" s="78"/>
      <c r="F9" s="299" t="s">
        <v>88</v>
      </c>
      <c r="G9" s="300"/>
      <c r="H9" s="174"/>
      <c r="I9" s="176" t="s">
        <v>700</v>
      </c>
      <c r="J9" s="176" t="s">
        <v>703</v>
      </c>
      <c r="K9" s="210">
        <v>1</v>
      </c>
      <c r="L9" s="39"/>
      <c r="M9" s="39"/>
    </row>
    <row r="10" spans="1:13" ht="27.75" customHeight="1" x14ac:dyDescent="0.35">
      <c r="F10" s="260" t="s">
        <v>18</v>
      </c>
      <c r="G10" s="260"/>
      <c r="H10" s="298" t="s">
        <v>19</v>
      </c>
      <c r="I10" s="298"/>
      <c r="J10" s="298"/>
      <c r="K10" s="210">
        <v>1</v>
      </c>
    </row>
    <row r="11" spans="1:13" ht="18" customHeight="1" x14ac:dyDescent="0.35">
      <c r="K11" s="210">
        <v>1</v>
      </c>
    </row>
    <row r="12" spans="1:13" ht="18" customHeight="1" x14ac:dyDescent="0.35">
      <c r="K12" s="210">
        <v>1</v>
      </c>
    </row>
    <row r="13" spans="1:13" ht="39.4" x14ac:dyDescent="0.35">
      <c r="A13" s="26" t="s">
        <v>150</v>
      </c>
      <c r="B13" s="26" t="s">
        <v>493</v>
      </c>
      <c r="C13" s="16" t="s">
        <v>29</v>
      </c>
      <c r="D13" s="44" t="s">
        <v>186</v>
      </c>
      <c r="E13" s="44" t="s">
        <v>188</v>
      </c>
      <c r="F13" s="44" t="s">
        <v>187</v>
      </c>
      <c r="G13" s="16" t="s">
        <v>30</v>
      </c>
      <c r="H13" s="16" t="s">
        <v>31</v>
      </c>
      <c r="I13" s="16" t="s">
        <v>152</v>
      </c>
      <c r="J13" s="16" t="s">
        <v>38</v>
      </c>
      <c r="K13" s="210">
        <v>1</v>
      </c>
    </row>
    <row r="14" spans="1:13" ht="27.75" customHeight="1" x14ac:dyDescent="0.35">
      <c r="A14" s="158" t="s">
        <v>524</v>
      </c>
      <c r="B14" s="25"/>
      <c r="C14" s="159"/>
      <c r="D14" s="130">
        <v>5.173</v>
      </c>
      <c r="E14" s="131">
        <v>0.58499999999999996</v>
      </c>
      <c r="F14" s="132">
        <v>1.2E-2</v>
      </c>
      <c r="G14" s="160">
        <v>20.18</v>
      </c>
      <c r="H14" s="161" t="s">
        <v>1367</v>
      </c>
      <c r="I14" s="163" t="s">
        <v>1367</v>
      </c>
      <c r="J14" s="32" t="s">
        <v>1367</v>
      </c>
      <c r="K14" s="210">
        <v>1</v>
      </c>
    </row>
    <row r="15" spans="1:13" ht="27.75" customHeight="1" x14ac:dyDescent="0.35">
      <c r="A15" s="158" t="s">
        <v>525</v>
      </c>
      <c r="B15" s="25"/>
      <c r="C15" s="159"/>
      <c r="D15" s="130">
        <v>5.173</v>
      </c>
      <c r="E15" s="131">
        <v>0.58499999999999996</v>
      </c>
      <c r="F15" s="132">
        <v>1.2E-2</v>
      </c>
      <c r="G15" s="161" t="s">
        <v>1367</v>
      </c>
      <c r="H15" s="161" t="s">
        <v>1367</v>
      </c>
      <c r="I15" s="163" t="s">
        <v>1367</v>
      </c>
      <c r="J15" s="32" t="s">
        <v>1367</v>
      </c>
      <c r="K15" s="210">
        <v>1</v>
      </c>
    </row>
    <row r="16" spans="1:13" ht="27.75" customHeight="1" x14ac:dyDescent="0.35">
      <c r="A16" s="158" t="s">
        <v>526</v>
      </c>
      <c r="B16" s="25"/>
      <c r="C16" s="159"/>
      <c r="D16" s="130">
        <v>6.516</v>
      </c>
      <c r="E16" s="131">
        <v>0.73699999999999999</v>
      </c>
      <c r="F16" s="132">
        <v>1.4999999999999999E-2</v>
      </c>
      <c r="G16" s="160">
        <v>3.89</v>
      </c>
      <c r="H16" s="161" t="s">
        <v>1367</v>
      </c>
      <c r="I16" s="163" t="s">
        <v>1367</v>
      </c>
      <c r="J16" s="32" t="s">
        <v>1367</v>
      </c>
      <c r="K16" s="210">
        <v>1</v>
      </c>
    </row>
    <row r="17" spans="1:11" ht="27.75" customHeight="1" x14ac:dyDescent="0.35">
      <c r="A17" s="158" t="s">
        <v>527</v>
      </c>
      <c r="B17" s="25"/>
      <c r="C17" s="159"/>
      <c r="D17" s="130">
        <v>6.516</v>
      </c>
      <c r="E17" s="131">
        <v>0.73699999999999999</v>
      </c>
      <c r="F17" s="132">
        <v>1.4999999999999999E-2</v>
      </c>
      <c r="G17" s="160">
        <v>6.78</v>
      </c>
      <c r="H17" s="161" t="s">
        <v>1367</v>
      </c>
      <c r="I17" s="163" t="s">
        <v>1367</v>
      </c>
      <c r="J17" s="32" t="s">
        <v>1367</v>
      </c>
      <c r="K17" s="210">
        <v>1</v>
      </c>
    </row>
    <row r="18" spans="1:11" ht="27.75" customHeight="1" x14ac:dyDescent="0.35">
      <c r="A18" s="158" t="s">
        <v>528</v>
      </c>
      <c r="B18" s="25"/>
      <c r="C18" s="159"/>
      <c r="D18" s="130">
        <v>6.516</v>
      </c>
      <c r="E18" s="131">
        <v>0.73699999999999999</v>
      </c>
      <c r="F18" s="132">
        <v>1.4999999999999999E-2</v>
      </c>
      <c r="G18" s="160">
        <v>19.68</v>
      </c>
      <c r="H18" s="161" t="s">
        <v>1367</v>
      </c>
      <c r="I18" s="163" t="s">
        <v>1367</v>
      </c>
      <c r="J18" s="32" t="s">
        <v>1367</v>
      </c>
      <c r="K18" s="210">
        <v>1</v>
      </c>
    </row>
    <row r="19" spans="1:11" ht="27.75" customHeight="1" x14ac:dyDescent="0.35">
      <c r="A19" s="158" t="s">
        <v>529</v>
      </c>
      <c r="B19" s="25"/>
      <c r="C19" s="159"/>
      <c r="D19" s="130">
        <v>6.516</v>
      </c>
      <c r="E19" s="131">
        <v>0.73699999999999999</v>
      </c>
      <c r="F19" s="132">
        <v>1.4999999999999999E-2</v>
      </c>
      <c r="G19" s="160">
        <v>43.31</v>
      </c>
      <c r="H19" s="161" t="s">
        <v>1367</v>
      </c>
      <c r="I19" s="163" t="s">
        <v>1367</v>
      </c>
      <c r="J19" s="32" t="s">
        <v>1367</v>
      </c>
      <c r="K19" s="210">
        <v>1</v>
      </c>
    </row>
    <row r="20" spans="1:11" ht="27.75" customHeight="1" x14ac:dyDescent="0.35">
      <c r="A20" s="158" t="s">
        <v>530</v>
      </c>
      <c r="B20" s="25"/>
      <c r="C20" s="159"/>
      <c r="D20" s="130">
        <v>6.516</v>
      </c>
      <c r="E20" s="131">
        <v>0.73699999999999999</v>
      </c>
      <c r="F20" s="132">
        <v>1.4999999999999999E-2</v>
      </c>
      <c r="G20" s="160">
        <v>127.39</v>
      </c>
      <c r="H20" s="161" t="s">
        <v>1367</v>
      </c>
      <c r="I20" s="163" t="s">
        <v>1367</v>
      </c>
      <c r="J20" s="32" t="s">
        <v>1367</v>
      </c>
      <c r="K20" s="210">
        <v>1</v>
      </c>
    </row>
    <row r="21" spans="1:11" ht="27.75" customHeight="1" x14ac:dyDescent="0.35">
      <c r="A21" s="158" t="s">
        <v>447</v>
      </c>
      <c r="B21" s="25"/>
      <c r="C21" s="159"/>
      <c r="D21" s="130">
        <v>6.516</v>
      </c>
      <c r="E21" s="131">
        <v>0.73699999999999999</v>
      </c>
      <c r="F21" s="132">
        <v>1.4999999999999999E-2</v>
      </c>
      <c r="G21" s="161" t="s">
        <v>1367</v>
      </c>
      <c r="H21" s="161" t="s">
        <v>1367</v>
      </c>
      <c r="I21" s="163" t="s">
        <v>1367</v>
      </c>
      <c r="J21" s="32" t="s">
        <v>1367</v>
      </c>
      <c r="K21" s="210">
        <v>1</v>
      </c>
    </row>
    <row r="22" spans="1:11" ht="27.75" customHeight="1" x14ac:dyDescent="0.35">
      <c r="A22" s="158" t="s">
        <v>531</v>
      </c>
      <c r="B22" s="25"/>
      <c r="C22" s="159"/>
      <c r="D22" s="130">
        <v>4.2149999999999999</v>
      </c>
      <c r="E22" s="131">
        <v>0.45600000000000002</v>
      </c>
      <c r="F22" s="132">
        <v>8.9999999999999993E-3</v>
      </c>
      <c r="G22" s="160">
        <v>15.24</v>
      </c>
      <c r="H22" s="160">
        <v>1.62</v>
      </c>
      <c r="I22" s="164">
        <v>2.33</v>
      </c>
      <c r="J22" s="31">
        <v>0.129</v>
      </c>
      <c r="K22" s="210">
        <v>1</v>
      </c>
    </row>
    <row r="23" spans="1:11" ht="27.75" customHeight="1" x14ac:dyDescent="0.35">
      <c r="A23" s="158" t="s">
        <v>532</v>
      </c>
      <c r="B23" s="25"/>
      <c r="C23" s="159"/>
      <c r="D23" s="130">
        <v>4.2149999999999999</v>
      </c>
      <c r="E23" s="131">
        <v>0.45600000000000002</v>
      </c>
      <c r="F23" s="132">
        <v>8.9999999999999993E-3</v>
      </c>
      <c r="G23" s="160">
        <v>208.94</v>
      </c>
      <c r="H23" s="160">
        <v>1.62</v>
      </c>
      <c r="I23" s="164">
        <v>2.33</v>
      </c>
      <c r="J23" s="31">
        <v>0.129</v>
      </c>
      <c r="K23" s="210">
        <v>1</v>
      </c>
    </row>
    <row r="24" spans="1:11" ht="27.75" customHeight="1" x14ac:dyDescent="0.35">
      <c r="A24" s="158" t="s">
        <v>533</v>
      </c>
      <c r="B24" s="25"/>
      <c r="C24" s="159"/>
      <c r="D24" s="130">
        <v>4.2149999999999999</v>
      </c>
      <c r="E24" s="131">
        <v>0.45600000000000002</v>
      </c>
      <c r="F24" s="132">
        <v>8.9999999999999993E-3</v>
      </c>
      <c r="G24" s="160">
        <v>416.79</v>
      </c>
      <c r="H24" s="160">
        <v>1.62</v>
      </c>
      <c r="I24" s="164">
        <v>2.33</v>
      </c>
      <c r="J24" s="31">
        <v>0.129</v>
      </c>
      <c r="K24" s="210">
        <v>1</v>
      </c>
    </row>
    <row r="25" spans="1:11" ht="27.75" customHeight="1" x14ac:dyDescent="0.35">
      <c r="A25" s="158" t="s">
        <v>534</v>
      </c>
      <c r="B25" s="25"/>
      <c r="C25" s="159"/>
      <c r="D25" s="130">
        <v>4.2149999999999999</v>
      </c>
      <c r="E25" s="131">
        <v>0.45600000000000002</v>
      </c>
      <c r="F25" s="132">
        <v>8.9999999999999993E-3</v>
      </c>
      <c r="G25" s="160">
        <v>685.71</v>
      </c>
      <c r="H25" s="160">
        <v>1.62</v>
      </c>
      <c r="I25" s="164">
        <v>2.33</v>
      </c>
      <c r="J25" s="31">
        <v>0.129</v>
      </c>
      <c r="K25" s="210">
        <v>1</v>
      </c>
    </row>
    <row r="26" spans="1:11" ht="27.75" customHeight="1" x14ac:dyDescent="0.35">
      <c r="A26" s="158" t="s">
        <v>535</v>
      </c>
      <c r="B26" s="25"/>
      <c r="C26" s="159"/>
      <c r="D26" s="130">
        <v>4.2149999999999999</v>
      </c>
      <c r="E26" s="131">
        <v>0.45600000000000002</v>
      </c>
      <c r="F26" s="132">
        <v>8.9999999999999993E-3</v>
      </c>
      <c r="G26" s="160">
        <v>1500.78</v>
      </c>
      <c r="H26" s="160">
        <v>1.62</v>
      </c>
      <c r="I26" s="164">
        <v>2.33</v>
      </c>
      <c r="J26" s="31">
        <v>0.129</v>
      </c>
      <c r="K26" s="210">
        <v>1</v>
      </c>
    </row>
    <row r="27" spans="1:11" ht="27.75" customHeight="1" x14ac:dyDescent="0.35">
      <c r="A27" s="158" t="s">
        <v>448</v>
      </c>
      <c r="B27" s="25"/>
      <c r="C27" s="165"/>
      <c r="D27" s="133">
        <v>13.308999999999999</v>
      </c>
      <c r="E27" s="134">
        <v>1.6120000000000001</v>
      </c>
      <c r="F27" s="132">
        <v>1.0880000000000001</v>
      </c>
      <c r="G27" s="161" t="s">
        <v>1367</v>
      </c>
      <c r="H27" s="161" t="s">
        <v>1367</v>
      </c>
      <c r="I27" s="163" t="s">
        <v>1367</v>
      </c>
      <c r="J27" s="32" t="s">
        <v>1367</v>
      </c>
      <c r="K27" s="210">
        <v>1</v>
      </c>
    </row>
    <row r="28" spans="1:11" ht="27.75" customHeight="1" x14ac:dyDescent="0.35">
      <c r="A28" s="158" t="s">
        <v>449</v>
      </c>
      <c r="B28" s="25"/>
      <c r="C28" s="165"/>
      <c r="D28" s="130">
        <v>-6.3</v>
      </c>
      <c r="E28" s="131">
        <v>-0.71299999999999997</v>
      </c>
      <c r="F28" s="132">
        <v>-1.4E-2</v>
      </c>
      <c r="G28" s="160" t="s">
        <v>672</v>
      </c>
      <c r="H28" s="161" t="s">
        <v>1367</v>
      </c>
      <c r="I28" s="163" t="s">
        <v>1367</v>
      </c>
      <c r="J28" s="32" t="s">
        <v>1367</v>
      </c>
      <c r="K28" s="210">
        <v>1</v>
      </c>
    </row>
    <row r="29" spans="1:11" ht="27.75" customHeight="1" x14ac:dyDescent="0.35">
      <c r="A29" s="158" t="s">
        <v>450</v>
      </c>
      <c r="B29" s="25"/>
      <c r="C29" s="165"/>
      <c r="D29" s="130">
        <v>-6.3</v>
      </c>
      <c r="E29" s="131">
        <v>-0.71299999999999997</v>
      </c>
      <c r="F29" s="132">
        <v>-1.4E-2</v>
      </c>
      <c r="G29" s="160" t="s">
        <v>672</v>
      </c>
      <c r="H29" s="161" t="s">
        <v>1367</v>
      </c>
      <c r="I29" s="163" t="s">
        <v>1367</v>
      </c>
      <c r="J29" s="31">
        <v>0.191</v>
      </c>
      <c r="K29" s="210">
        <v>1</v>
      </c>
    </row>
    <row r="30" spans="1:11" ht="27.75" customHeight="1" x14ac:dyDescent="0.35">
      <c r="A30" s="162" t="s">
        <v>536</v>
      </c>
      <c r="B30" s="25"/>
      <c r="C30" s="165"/>
      <c r="D30" s="130">
        <v>3.4329999999999998</v>
      </c>
      <c r="E30" s="131">
        <v>0.38900000000000001</v>
      </c>
      <c r="F30" s="132">
        <v>8.0000000000000002E-3</v>
      </c>
      <c r="G30" s="160">
        <v>16.55</v>
      </c>
      <c r="H30" s="161" t="s">
        <v>1367</v>
      </c>
      <c r="I30" s="163" t="s">
        <v>1367</v>
      </c>
      <c r="J30" s="32" t="s">
        <v>1367</v>
      </c>
      <c r="K30" s="210">
        <v>1</v>
      </c>
    </row>
    <row r="31" spans="1:11" ht="27.75" customHeight="1" x14ac:dyDescent="0.35">
      <c r="A31" s="162" t="s">
        <v>537</v>
      </c>
      <c r="B31" s="25"/>
      <c r="C31" s="165"/>
      <c r="D31" s="130">
        <v>3.4329999999999998</v>
      </c>
      <c r="E31" s="131">
        <v>0.38900000000000001</v>
      </c>
      <c r="F31" s="132">
        <v>8.0000000000000002E-3</v>
      </c>
      <c r="G31" s="161" t="s">
        <v>1367</v>
      </c>
      <c r="H31" s="161" t="s">
        <v>1367</v>
      </c>
      <c r="I31" s="163" t="s">
        <v>1367</v>
      </c>
      <c r="J31" s="32" t="s">
        <v>1367</v>
      </c>
      <c r="K31" s="210">
        <v>1</v>
      </c>
    </row>
    <row r="32" spans="1:11" ht="27.75" customHeight="1" x14ac:dyDescent="0.35">
      <c r="A32" s="162" t="s">
        <v>538</v>
      </c>
      <c r="B32" s="25"/>
      <c r="C32" s="165"/>
      <c r="D32" s="130">
        <v>4.3239999999999998</v>
      </c>
      <c r="E32" s="131">
        <v>0.48899999999999999</v>
      </c>
      <c r="F32" s="132">
        <v>0.01</v>
      </c>
      <c r="G32" s="160">
        <v>2.59</v>
      </c>
      <c r="H32" s="161" t="s">
        <v>1367</v>
      </c>
      <c r="I32" s="163" t="s">
        <v>1367</v>
      </c>
      <c r="J32" s="32" t="s">
        <v>1367</v>
      </c>
      <c r="K32" s="210">
        <v>1</v>
      </c>
    </row>
    <row r="33" spans="1:11" ht="27.75" customHeight="1" x14ac:dyDescent="0.35">
      <c r="A33" s="162" t="s">
        <v>539</v>
      </c>
      <c r="B33" s="25"/>
      <c r="C33" s="165"/>
      <c r="D33" s="130">
        <v>4.3239999999999998</v>
      </c>
      <c r="E33" s="131">
        <v>0.48899999999999999</v>
      </c>
      <c r="F33" s="132">
        <v>0.01</v>
      </c>
      <c r="G33" s="160">
        <v>4.51</v>
      </c>
      <c r="H33" s="161" t="s">
        <v>1367</v>
      </c>
      <c r="I33" s="163" t="s">
        <v>1367</v>
      </c>
      <c r="J33" s="32" t="s">
        <v>1367</v>
      </c>
      <c r="K33" s="210">
        <v>1</v>
      </c>
    </row>
    <row r="34" spans="1:11" ht="27.75" customHeight="1" x14ac:dyDescent="0.35">
      <c r="A34" s="162" t="s">
        <v>540</v>
      </c>
      <c r="B34" s="25"/>
      <c r="C34" s="165"/>
      <c r="D34" s="130">
        <v>4.3239999999999998</v>
      </c>
      <c r="E34" s="131">
        <v>0.48899999999999999</v>
      </c>
      <c r="F34" s="132">
        <v>0.01</v>
      </c>
      <c r="G34" s="160">
        <v>13.07</v>
      </c>
      <c r="H34" s="161" t="s">
        <v>1367</v>
      </c>
      <c r="I34" s="163" t="s">
        <v>1367</v>
      </c>
      <c r="J34" s="32" t="s">
        <v>1367</v>
      </c>
      <c r="K34" s="210">
        <v>1</v>
      </c>
    </row>
    <row r="35" spans="1:11" ht="27.75" customHeight="1" x14ac:dyDescent="0.35">
      <c r="A35" s="162" t="s">
        <v>541</v>
      </c>
      <c r="B35" s="25"/>
      <c r="C35" s="165"/>
      <c r="D35" s="130">
        <v>4.3239999999999998</v>
      </c>
      <c r="E35" s="131">
        <v>0.48899999999999999</v>
      </c>
      <c r="F35" s="132">
        <v>0.01</v>
      </c>
      <c r="G35" s="160">
        <v>28.75</v>
      </c>
      <c r="H35" s="161" t="s">
        <v>1367</v>
      </c>
      <c r="I35" s="163" t="s">
        <v>1367</v>
      </c>
      <c r="J35" s="32" t="s">
        <v>1367</v>
      </c>
      <c r="K35" s="210">
        <v>1</v>
      </c>
    </row>
    <row r="36" spans="1:11" ht="27.75" customHeight="1" x14ac:dyDescent="0.35">
      <c r="A36" s="162" t="s">
        <v>542</v>
      </c>
      <c r="B36" s="25"/>
      <c r="C36" s="165"/>
      <c r="D36" s="130">
        <v>4.3239999999999998</v>
      </c>
      <c r="E36" s="131">
        <v>0.48899999999999999</v>
      </c>
      <c r="F36" s="132">
        <v>0.01</v>
      </c>
      <c r="G36" s="160">
        <v>84.55</v>
      </c>
      <c r="H36" s="161" t="s">
        <v>1367</v>
      </c>
      <c r="I36" s="163" t="s">
        <v>1367</v>
      </c>
      <c r="J36" s="32" t="s">
        <v>1367</v>
      </c>
      <c r="K36" s="210">
        <v>1</v>
      </c>
    </row>
    <row r="37" spans="1:11" ht="27.75" customHeight="1" x14ac:dyDescent="0.35">
      <c r="A37" s="162" t="s">
        <v>451</v>
      </c>
      <c r="B37" s="25"/>
      <c r="C37" s="165"/>
      <c r="D37" s="130">
        <v>4.3239999999999998</v>
      </c>
      <c r="E37" s="131">
        <v>0.48899999999999999</v>
      </c>
      <c r="F37" s="132">
        <v>0.01</v>
      </c>
      <c r="G37" s="161" t="s">
        <v>1367</v>
      </c>
      <c r="H37" s="161" t="s">
        <v>1367</v>
      </c>
      <c r="I37" s="163" t="s">
        <v>1367</v>
      </c>
      <c r="J37" s="32" t="s">
        <v>1367</v>
      </c>
      <c r="K37" s="210">
        <v>1</v>
      </c>
    </row>
    <row r="38" spans="1:11" ht="27.75" customHeight="1" x14ac:dyDescent="0.35">
      <c r="A38" s="162" t="s">
        <v>543</v>
      </c>
      <c r="B38" s="25"/>
      <c r="C38" s="165"/>
      <c r="D38" s="130">
        <v>2.798</v>
      </c>
      <c r="E38" s="131">
        <v>0.30299999999999999</v>
      </c>
      <c r="F38" s="132">
        <v>6.0000000000000001E-3</v>
      </c>
      <c r="G38" s="160">
        <v>10.119999999999999</v>
      </c>
      <c r="H38" s="160">
        <v>1.07</v>
      </c>
      <c r="I38" s="164">
        <v>1.55</v>
      </c>
      <c r="J38" s="31">
        <v>8.5999999999999993E-2</v>
      </c>
      <c r="K38" s="210">
        <v>1</v>
      </c>
    </row>
    <row r="39" spans="1:11" ht="27.75" customHeight="1" x14ac:dyDescent="0.35">
      <c r="A39" s="162" t="s">
        <v>544</v>
      </c>
      <c r="B39" s="25"/>
      <c r="C39" s="165"/>
      <c r="D39" s="130">
        <v>2.798</v>
      </c>
      <c r="E39" s="131">
        <v>0.30299999999999999</v>
      </c>
      <c r="F39" s="132">
        <v>6.0000000000000001E-3</v>
      </c>
      <c r="G39" s="160">
        <v>138.66999999999999</v>
      </c>
      <c r="H39" s="160">
        <v>1.07</v>
      </c>
      <c r="I39" s="164">
        <v>1.55</v>
      </c>
      <c r="J39" s="31">
        <v>8.5999999999999993E-2</v>
      </c>
      <c r="K39" s="210">
        <v>1</v>
      </c>
    </row>
    <row r="40" spans="1:11" ht="27.75" customHeight="1" x14ac:dyDescent="0.35">
      <c r="A40" s="162" t="s">
        <v>545</v>
      </c>
      <c r="B40" s="25"/>
      <c r="C40" s="165"/>
      <c r="D40" s="130">
        <v>2.798</v>
      </c>
      <c r="E40" s="131">
        <v>0.30299999999999999</v>
      </c>
      <c r="F40" s="132">
        <v>6.0000000000000001E-3</v>
      </c>
      <c r="G40" s="160">
        <v>276.62</v>
      </c>
      <c r="H40" s="160">
        <v>1.07</v>
      </c>
      <c r="I40" s="164">
        <v>1.55</v>
      </c>
      <c r="J40" s="31">
        <v>8.5999999999999993E-2</v>
      </c>
      <c r="K40" s="210">
        <v>1</v>
      </c>
    </row>
    <row r="41" spans="1:11" ht="27.75" customHeight="1" x14ac:dyDescent="0.35">
      <c r="A41" s="162" t="s">
        <v>546</v>
      </c>
      <c r="B41" s="25"/>
      <c r="C41" s="165"/>
      <c r="D41" s="130">
        <v>2.798</v>
      </c>
      <c r="E41" s="131">
        <v>0.30299999999999999</v>
      </c>
      <c r="F41" s="132">
        <v>6.0000000000000001E-3</v>
      </c>
      <c r="G41" s="160">
        <v>455.09</v>
      </c>
      <c r="H41" s="160">
        <v>1.07</v>
      </c>
      <c r="I41" s="164">
        <v>1.55</v>
      </c>
      <c r="J41" s="31">
        <v>8.5999999999999993E-2</v>
      </c>
      <c r="K41" s="210">
        <v>1</v>
      </c>
    </row>
    <row r="42" spans="1:11" ht="27.75" customHeight="1" x14ac:dyDescent="0.35">
      <c r="A42" s="162" t="s">
        <v>547</v>
      </c>
      <c r="B42" s="25"/>
      <c r="C42" s="165"/>
      <c r="D42" s="130">
        <v>2.798</v>
      </c>
      <c r="E42" s="131">
        <v>0.30299999999999999</v>
      </c>
      <c r="F42" s="132">
        <v>6.0000000000000001E-3</v>
      </c>
      <c r="G42" s="160">
        <v>996.02</v>
      </c>
      <c r="H42" s="160">
        <v>1.07</v>
      </c>
      <c r="I42" s="164">
        <v>1.55</v>
      </c>
      <c r="J42" s="31">
        <v>8.5999999999999993E-2</v>
      </c>
      <c r="K42" s="210">
        <v>1</v>
      </c>
    </row>
    <row r="43" spans="1:11" ht="27.75" customHeight="1" x14ac:dyDescent="0.35">
      <c r="A43" s="162" t="s">
        <v>548</v>
      </c>
      <c r="B43" s="25"/>
      <c r="C43" s="165"/>
      <c r="D43" s="130">
        <v>2.7080000000000002</v>
      </c>
      <c r="E43" s="131">
        <v>0.254</v>
      </c>
      <c r="F43" s="132">
        <v>3.0000000000000001E-3</v>
      </c>
      <c r="G43" s="160">
        <v>5.9</v>
      </c>
      <c r="H43" s="160">
        <v>3.19</v>
      </c>
      <c r="I43" s="164">
        <v>3.63</v>
      </c>
      <c r="J43" s="31">
        <v>7.3999999999999996E-2</v>
      </c>
      <c r="K43" s="210">
        <v>1</v>
      </c>
    </row>
    <row r="44" spans="1:11" ht="27.75" customHeight="1" x14ac:dyDescent="0.35">
      <c r="A44" s="162" t="s">
        <v>549</v>
      </c>
      <c r="B44" s="25"/>
      <c r="C44" s="165"/>
      <c r="D44" s="130">
        <v>2.7080000000000002</v>
      </c>
      <c r="E44" s="131">
        <v>0.254</v>
      </c>
      <c r="F44" s="132">
        <v>3.0000000000000001E-3</v>
      </c>
      <c r="G44" s="160">
        <v>217.5</v>
      </c>
      <c r="H44" s="160">
        <v>3.19</v>
      </c>
      <c r="I44" s="164">
        <v>3.63</v>
      </c>
      <c r="J44" s="31">
        <v>7.3999999999999996E-2</v>
      </c>
      <c r="K44" s="210">
        <v>1</v>
      </c>
    </row>
    <row r="45" spans="1:11" ht="27.75" customHeight="1" x14ac:dyDescent="0.35">
      <c r="A45" s="162" t="s">
        <v>550</v>
      </c>
      <c r="B45" s="25"/>
      <c r="C45" s="165"/>
      <c r="D45" s="130">
        <v>2.7080000000000002</v>
      </c>
      <c r="E45" s="131">
        <v>0.254</v>
      </c>
      <c r="F45" s="132">
        <v>3.0000000000000001E-3</v>
      </c>
      <c r="G45" s="160">
        <v>444.57</v>
      </c>
      <c r="H45" s="160">
        <v>3.19</v>
      </c>
      <c r="I45" s="164">
        <v>3.63</v>
      </c>
      <c r="J45" s="31">
        <v>7.3999999999999996E-2</v>
      </c>
      <c r="K45" s="210">
        <v>1</v>
      </c>
    </row>
    <row r="46" spans="1:11" ht="27.75" customHeight="1" x14ac:dyDescent="0.35">
      <c r="A46" s="162" t="s">
        <v>551</v>
      </c>
      <c r="B46" s="25"/>
      <c r="C46" s="165"/>
      <c r="D46" s="130">
        <v>2.7080000000000002</v>
      </c>
      <c r="E46" s="131">
        <v>0.254</v>
      </c>
      <c r="F46" s="132">
        <v>3.0000000000000001E-3</v>
      </c>
      <c r="G46" s="160">
        <v>738.34</v>
      </c>
      <c r="H46" s="160">
        <v>3.19</v>
      </c>
      <c r="I46" s="164">
        <v>3.63</v>
      </c>
      <c r="J46" s="31">
        <v>7.3999999999999996E-2</v>
      </c>
      <c r="K46" s="210">
        <v>1</v>
      </c>
    </row>
    <row r="47" spans="1:11" ht="27.75" customHeight="1" x14ac:dyDescent="0.35">
      <c r="A47" s="162" t="s">
        <v>552</v>
      </c>
      <c r="B47" s="25"/>
      <c r="C47" s="165"/>
      <c r="D47" s="130">
        <v>2.7080000000000002</v>
      </c>
      <c r="E47" s="131">
        <v>0.254</v>
      </c>
      <c r="F47" s="132">
        <v>3.0000000000000001E-3</v>
      </c>
      <c r="G47" s="160">
        <v>1628.74</v>
      </c>
      <c r="H47" s="160">
        <v>3.19</v>
      </c>
      <c r="I47" s="164">
        <v>3.63</v>
      </c>
      <c r="J47" s="31">
        <v>7.3999999999999996E-2</v>
      </c>
      <c r="K47" s="210">
        <v>1</v>
      </c>
    </row>
    <row r="48" spans="1:11" ht="27.75" customHeight="1" x14ac:dyDescent="0.35">
      <c r="A48" s="162" t="s">
        <v>553</v>
      </c>
      <c r="B48" s="25"/>
      <c r="C48" s="165"/>
      <c r="D48" s="130">
        <v>2.3130000000000002</v>
      </c>
      <c r="E48" s="131">
        <v>0.2</v>
      </c>
      <c r="F48" s="132">
        <v>2E-3</v>
      </c>
      <c r="G48" s="160">
        <v>101.95</v>
      </c>
      <c r="H48" s="160">
        <v>4.05</v>
      </c>
      <c r="I48" s="164">
        <v>4.96</v>
      </c>
      <c r="J48" s="31">
        <v>5.8999999999999997E-2</v>
      </c>
      <c r="K48" s="210">
        <v>1</v>
      </c>
    </row>
    <row r="49" spans="1:11" ht="27.75" customHeight="1" x14ac:dyDescent="0.35">
      <c r="A49" s="162" t="s">
        <v>554</v>
      </c>
      <c r="B49" s="25"/>
      <c r="C49" s="165"/>
      <c r="D49" s="130">
        <v>2.3130000000000002</v>
      </c>
      <c r="E49" s="131">
        <v>0.2</v>
      </c>
      <c r="F49" s="132">
        <v>2E-3</v>
      </c>
      <c r="G49" s="160">
        <v>1224.25</v>
      </c>
      <c r="H49" s="160">
        <v>4.05</v>
      </c>
      <c r="I49" s="164">
        <v>4.96</v>
      </c>
      <c r="J49" s="31">
        <v>5.8999999999999997E-2</v>
      </c>
      <c r="K49" s="210">
        <v>1</v>
      </c>
    </row>
    <row r="50" spans="1:11" ht="27.75" customHeight="1" x14ac:dyDescent="0.35">
      <c r="A50" s="162" t="s">
        <v>555</v>
      </c>
      <c r="B50" s="25"/>
      <c r="C50" s="165"/>
      <c r="D50" s="130">
        <v>2.3130000000000002</v>
      </c>
      <c r="E50" s="131">
        <v>0.2</v>
      </c>
      <c r="F50" s="132">
        <v>2E-3</v>
      </c>
      <c r="G50" s="160">
        <v>4823.37</v>
      </c>
      <c r="H50" s="160">
        <v>4.05</v>
      </c>
      <c r="I50" s="164">
        <v>4.96</v>
      </c>
      <c r="J50" s="31">
        <v>5.8999999999999997E-2</v>
      </c>
      <c r="K50" s="210">
        <v>1</v>
      </c>
    </row>
    <row r="51" spans="1:11" ht="27.75" customHeight="1" x14ac:dyDescent="0.35">
      <c r="A51" s="162" t="s">
        <v>556</v>
      </c>
      <c r="B51" s="25"/>
      <c r="C51" s="165"/>
      <c r="D51" s="130">
        <v>2.3130000000000002</v>
      </c>
      <c r="E51" s="131">
        <v>0.2</v>
      </c>
      <c r="F51" s="132">
        <v>2E-3</v>
      </c>
      <c r="G51" s="160">
        <v>9651.67</v>
      </c>
      <c r="H51" s="160">
        <v>4.05</v>
      </c>
      <c r="I51" s="164">
        <v>4.96</v>
      </c>
      <c r="J51" s="31">
        <v>5.8999999999999997E-2</v>
      </c>
      <c r="K51" s="210">
        <v>1</v>
      </c>
    </row>
    <row r="52" spans="1:11" ht="27.75" customHeight="1" x14ac:dyDescent="0.35">
      <c r="A52" s="162" t="s">
        <v>557</v>
      </c>
      <c r="B52" s="25"/>
      <c r="C52" s="165"/>
      <c r="D52" s="130">
        <v>2.3130000000000002</v>
      </c>
      <c r="E52" s="131">
        <v>0.2</v>
      </c>
      <c r="F52" s="132">
        <v>2E-3</v>
      </c>
      <c r="G52" s="160">
        <v>24098.17</v>
      </c>
      <c r="H52" s="160">
        <v>4.05</v>
      </c>
      <c r="I52" s="164">
        <v>4.96</v>
      </c>
      <c r="J52" s="31">
        <v>5.8999999999999997E-2</v>
      </c>
      <c r="K52" s="210">
        <v>1</v>
      </c>
    </row>
    <row r="53" spans="1:11" ht="27.75" customHeight="1" x14ac:dyDescent="0.35">
      <c r="A53" s="162" t="s">
        <v>452</v>
      </c>
      <c r="B53" s="25"/>
      <c r="C53" s="165"/>
      <c r="D53" s="133">
        <v>8.8330000000000002</v>
      </c>
      <c r="E53" s="134">
        <v>1.07</v>
      </c>
      <c r="F53" s="132">
        <v>0.72199999999999998</v>
      </c>
      <c r="G53" s="161" t="s">
        <v>1367</v>
      </c>
      <c r="H53" s="161" t="s">
        <v>1367</v>
      </c>
      <c r="I53" s="163" t="s">
        <v>1367</v>
      </c>
      <c r="J53" s="32" t="s">
        <v>1367</v>
      </c>
      <c r="K53" s="210">
        <v>1</v>
      </c>
    </row>
    <row r="54" spans="1:11" ht="27.75" customHeight="1" x14ac:dyDescent="0.35">
      <c r="A54" s="162" t="s">
        <v>453</v>
      </c>
      <c r="B54" s="25"/>
      <c r="C54" s="165"/>
      <c r="D54" s="130">
        <v>-6.3</v>
      </c>
      <c r="E54" s="131">
        <v>-0.71299999999999997</v>
      </c>
      <c r="F54" s="132">
        <v>-1.4E-2</v>
      </c>
      <c r="G54" s="160" t="s">
        <v>672</v>
      </c>
      <c r="H54" s="161" t="s">
        <v>1367</v>
      </c>
      <c r="I54" s="163" t="s">
        <v>1367</v>
      </c>
      <c r="J54" s="32" t="s">
        <v>1367</v>
      </c>
      <c r="K54" s="210">
        <v>1</v>
      </c>
    </row>
    <row r="55" spans="1:11" ht="27.75" customHeight="1" x14ac:dyDescent="0.35">
      <c r="A55" s="162" t="s">
        <v>454</v>
      </c>
      <c r="B55" s="25"/>
      <c r="C55" s="165"/>
      <c r="D55" s="130">
        <v>-5.55</v>
      </c>
      <c r="E55" s="131">
        <v>-0.61399999999999999</v>
      </c>
      <c r="F55" s="132">
        <v>-1.2E-2</v>
      </c>
      <c r="G55" s="160" t="s">
        <v>672</v>
      </c>
      <c r="H55" s="161" t="s">
        <v>1367</v>
      </c>
      <c r="I55" s="163" t="s">
        <v>1367</v>
      </c>
      <c r="J55" s="32" t="s">
        <v>1367</v>
      </c>
      <c r="K55" s="210">
        <v>1</v>
      </c>
    </row>
    <row r="56" spans="1:11" ht="27.75" customHeight="1" x14ac:dyDescent="0.35">
      <c r="A56" s="162" t="s">
        <v>455</v>
      </c>
      <c r="B56" s="25"/>
      <c r="C56" s="165"/>
      <c r="D56" s="130">
        <v>-6.3</v>
      </c>
      <c r="E56" s="131">
        <v>-0.71299999999999997</v>
      </c>
      <c r="F56" s="132">
        <v>-1.4E-2</v>
      </c>
      <c r="G56" s="160" t="s">
        <v>672</v>
      </c>
      <c r="H56" s="161" t="s">
        <v>1367</v>
      </c>
      <c r="I56" s="163" t="s">
        <v>1367</v>
      </c>
      <c r="J56" s="31">
        <v>0.191</v>
      </c>
      <c r="K56" s="210">
        <v>1</v>
      </c>
    </row>
    <row r="57" spans="1:11" ht="27.75" customHeight="1" x14ac:dyDescent="0.35">
      <c r="A57" s="162" t="s">
        <v>456</v>
      </c>
      <c r="B57" s="25"/>
      <c r="C57" s="165"/>
      <c r="D57" s="130">
        <v>-5.55</v>
      </c>
      <c r="E57" s="131">
        <v>-0.61399999999999999</v>
      </c>
      <c r="F57" s="132">
        <v>-1.2E-2</v>
      </c>
      <c r="G57" s="160" t="s">
        <v>672</v>
      </c>
      <c r="H57" s="161" t="s">
        <v>1367</v>
      </c>
      <c r="I57" s="163" t="s">
        <v>1367</v>
      </c>
      <c r="J57" s="31">
        <v>0.16800000000000001</v>
      </c>
      <c r="K57" s="210">
        <v>1</v>
      </c>
    </row>
    <row r="58" spans="1:11" ht="27.75" customHeight="1" x14ac:dyDescent="0.35">
      <c r="A58" s="162" t="s">
        <v>457</v>
      </c>
      <c r="B58" s="25"/>
      <c r="C58" s="165"/>
      <c r="D58" s="130">
        <v>-3.601</v>
      </c>
      <c r="E58" s="131">
        <v>-0.33700000000000002</v>
      </c>
      <c r="F58" s="132">
        <v>-4.0000000000000001E-3</v>
      </c>
      <c r="G58" s="160" t="s">
        <v>672</v>
      </c>
      <c r="H58" s="161" t="s">
        <v>1367</v>
      </c>
      <c r="I58" s="163" t="s">
        <v>1367</v>
      </c>
      <c r="J58" s="31">
        <v>0.14000000000000001</v>
      </c>
      <c r="K58" s="210">
        <v>1</v>
      </c>
    </row>
    <row r="59" spans="1:11" ht="27.75" customHeight="1" x14ac:dyDescent="0.35">
      <c r="A59" s="158" t="s">
        <v>646</v>
      </c>
      <c r="B59" s="25"/>
      <c r="C59" s="165"/>
      <c r="D59" s="130">
        <v>2.0139999999999998</v>
      </c>
      <c r="E59" s="131">
        <v>0.22800000000000001</v>
      </c>
      <c r="F59" s="132">
        <v>5.0000000000000001E-3</v>
      </c>
      <c r="G59" s="160">
        <v>13.59</v>
      </c>
      <c r="H59" s="161" t="s">
        <v>1367</v>
      </c>
      <c r="I59" s="163" t="s">
        <v>1367</v>
      </c>
      <c r="J59" s="32" t="s">
        <v>1367</v>
      </c>
      <c r="K59" s="210">
        <v>2</v>
      </c>
    </row>
    <row r="60" spans="1:11" ht="27.75" customHeight="1" x14ac:dyDescent="0.35">
      <c r="A60" s="158" t="s">
        <v>647</v>
      </c>
      <c r="B60" s="25"/>
      <c r="C60" s="165"/>
      <c r="D60" s="130">
        <v>2.0139999999999998</v>
      </c>
      <c r="E60" s="131">
        <v>0.22800000000000001</v>
      </c>
      <c r="F60" s="132">
        <v>5.0000000000000001E-3</v>
      </c>
      <c r="G60" s="160" t="s">
        <v>672</v>
      </c>
      <c r="H60" s="161" t="s">
        <v>1367</v>
      </c>
      <c r="I60" s="163" t="s">
        <v>1367</v>
      </c>
      <c r="J60" s="32" t="s">
        <v>1367</v>
      </c>
      <c r="K60" s="210">
        <v>2</v>
      </c>
    </row>
    <row r="61" spans="1:11" ht="27.75" customHeight="1" x14ac:dyDescent="0.35">
      <c r="A61" s="158" t="s">
        <v>648</v>
      </c>
      <c r="B61" s="25"/>
      <c r="C61" s="165"/>
      <c r="D61" s="130">
        <v>2.5369999999999999</v>
      </c>
      <c r="E61" s="131">
        <v>0.28699999999999998</v>
      </c>
      <c r="F61" s="132">
        <v>6.0000000000000001E-3</v>
      </c>
      <c r="G61" s="160">
        <v>1.53</v>
      </c>
      <c r="H61" s="161" t="s">
        <v>1367</v>
      </c>
      <c r="I61" s="163" t="s">
        <v>1367</v>
      </c>
      <c r="J61" s="32" t="s">
        <v>1367</v>
      </c>
      <c r="K61" s="210">
        <v>2</v>
      </c>
    </row>
    <row r="62" spans="1:11" ht="27.75" customHeight="1" x14ac:dyDescent="0.35">
      <c r="A62" s="158" t="s">
        <v>649</v>
      </c>
      <c r="B62" s="25"/>
      <c r="C62" s="165"/>
      <c r="D62" s="130">
        <v>2.5369999999999999</v>
      </c>
      <c r="E62" s="131">
        <v>0.28699999999999998</v>
      </c>
      <c r="F62" s="132">
        <v>6.0000000000000001E-3</v>
      </c>
      <c r="G62" s="160">
        <v>2.66</v>
      </c>
      <c r="H62" s="161" t="s">
        <v>1367</v>
      </c>
      <c r="I62" s="163" t="s">
        <v>1367</v>
      </c>
      <c r="J62" s="32" t="s">
        <v>1367</v>
      </c>
      <c r="K62" s="210">
        <v>2</v>
      </c>
    </row>
    <row r="63" spans="1:11" ht="27.75" customHeight="1" x14ac:dyDescent="0.35">
      <c r="A63" s="158" t="s">
        <v>650</v>
      </c>
      <c r="B63" s="25"/>
      <c r="C63" s="165"/>
      <c r="D63" s="130">
        <v>2.5369999999999999</v>
      </c>
      <c r="E63" s="131">
        <v>0.28699999999999998</v>
      </c>
      <c r="F63" s="132">
        <v>6.0000000000000001E-3</v>
      </c>
      <c r="G63" s="160">
        <v>7.68</v>
      </c>
      <c r="H63" s="161" t="s">
        <v>1367</v>
      </c>
      <c r="I63" s="163" t="s">
        <v>1367</v>
      </c>
      <c r="J63" s="32" t="s">
        <v>1367</v>
      </c>
      <c r="K63" s="210">
        <v>2</v>
      </c>
    </row>
    <row r="64" spans="1:11" ht="27.75" customHeight="1" x14ac:dyDescent="0.35">
      <c r="A64" s="158" t="s">
        <v>651</v>
      </c>
      <c r="B64" s="25"/>
      <c r="C64" s="165"/>
      <c r="D64" s="130">
        <v>2.5369999999999999</v>
      </c>
      <c r="E64" s="131">
        <v>0.28699999999999998</v>
      </c>
      <c r="F64" s="132">
        <v>6.0000000000000001E-3</v>
      </c>
      <c r="G64" s="160">
        <v>16.88</v>
      </c>
      <c r="H64" s="161" t="s">
        <v>1367</v>
      </c>
      <c r="I64" s="163" t="s">
        <v>1367</v>
      </c>
      <c r="J64" s="32" t="s">
        <v>1367</v>
      </c>
      <c r="K64" s="210">
        <v>2</v>
      </c>
    </row>
    <row r="65" spans="1:11" ht="27.75" customHeight="1" x14ac:dyDescent="0.35">
      <c r="A65" s="158" t="s">
        <v>652</v>
      </c>
      <c r="B65" s="25"/>
      <c r="C65" s="165"/>
      <c r="D65" s="130">
        <v>2.5369999999999999</v>
      </c>
      <c r="E65" s="131">
        <v>0.28699999999999998</v>
      </c>
      <c r="F65" s="132">
        <v>6.0000000000000001E-3</v>
      </c>
      <c r="G65" s="160">
        <v>49.62</v>
      </c>
      <c r="H65" s="161" t="s">
        <v>1367</v>
      </c>
      <c r="I65" s="163" t="s">
        <v>1367</v>
      </c>
      <c r="J65" s="32" t="s">
        <v>1367</v>
      </c>
      <c r="K65" s="210">
        <v>2</v>
      </c>
    </row>
    <row r="66" spans="1:11" ht="27.75" customHeight="1" x14ac:dyDescent="0.35">
      <c r="A66" s="158" t="s">
        <v>458</v>
      </c>
      <c r="B66" s="25"/>
      <c r="C66" s="165"/>
      <c r="D66" s="130">
        <v>2.5369999999999999</v>
      </c>
      <c r="E66" s="131">
        <v>0.28699999999999998</v>
      </c>
      <c r="F66" s="132">
        <v>6.0000000000000001E-3</v>
      </c>
      <c r="G66" s="161" t="s">
        <v>1367</v>
      </c>
      <c r="H66" s="161" t="s">
        <v>1367</v>
      </c>
      <c r="I66" s="163" t="s">
        <v>1367</v>
      </c>
      <c r="J66" s="32" t="s">
        <v>1367</v>
      </c>
      <c r="K66" s="210">
        <v>2</v>
      </c>
    </row>
    <row r="67" spans="1:11" ht="27.75" customHeight="1" x14ac:dyDescent="0.35">
      <c r="A67" s="158" t="s">
        <v>653</v>
      </c>
      <c r="B67" s="25"/>
      <c r="C67" s="165"/>
      <c r="D67" s="130">
        <v>1.641</v>
      </c>
      <c r="E67" s="131">
        <v>0.17799999999999999</v>
      </c>
      <c r="F67" s="132">
        <v>3.0000000000000001E-3</v>
      </c>
      <c r="G67" s="160">
        <v>5.95</v>
      </c>
      <c r="H67" s="160">
        <v>0.63</v>
      </c>
      <c r="I67" s="164">
        <v>0.91</v>
      </c>
      <c r="J67" s="31">
        <v>0.05</v>
      </c>
      <c r="K67" s="210">
        <v>2</v>
      </c>
    </row>
    <row r="68" spans="1:11" ht="27.75" customHeight="1" x14ac:dyDescent="0.35">
      <c r="A68" s="158" t="s">
        <v>654</v>
      </c>
      <c r="B68" s="25"/>
      <c r="C68" s="165"/>
      <c r="D68" s="130">
        <v>1.641</v>
      </c>
      <c r="E68" s="131">
        <v>0.17799999999999999</v>
      </c>
      <c r="F68" s="132">
        <v>3.0000000000000001E-3</v>
      </c>
      <c r="G68" s="160">
        <v>81.38</v>
      </c>
      <c r="H68" s="160">
        <v>0.63</v>
      </c>
      <c r="I68" s="164">
        <v>0.91</v>
      </c>
      <c r="J68" s="31">
        <v>0.05</v>
      </c>
      <c r="K68" s="210">
        <v>2</v>
      </c>
    </row>
    <row r="69" spans="1:11" ht="27.75" customHeight="1" x14ac:dyDescent="0.35">
      <c r="A69" s="158" t="s">
        <v>655</v>
      </c>
      <c r="B69" s="25"/>
      <c r="C69" s="165"/>
      <c r="D69" s="130">
        <v>1.641</v>
      </c>
      <c r="E69" s="131">
        <v>0.17799999999999999</v>
      </c>
      <c r="F69" s="132">
        <v>3.0000000000000001E-3</v>
      </c>
      <c r="G69" s="160">
        <v>162.31</v>
      </c>
      <c r="H69" s="160">
        <v>0.63</v>
      </c>
      <c r="I69" s="164">
        <v>0.91</v>
      </c>
      <c r="J69" s="31">
        <v>0.05</v>
      </c>
      <c r="K69" s="210">
        <v>2</v>
      </c>
    </row>
    <row r="70" spans="1:11" ht="27.75" customHeight="1" x14ac:dyDescent="0.35">
      <c r="A70" s="158" t="s">
        <v>656</v>
      </c>
      <c r="B70" s="25"/>
      <c r="C70" s="165"/>
      <c r="D70" s="130">
        <v>1.641</v>
      </c>
      <c r="E70" s="131">
        <v>0.17799999999999999</v>
      </c>
      <c r="F70" s="132">
        <v>3.0000000000000001E-3</v>
      </c>
      <c r="G70" s="160">
        <v>267.02</v>
      </c>
      <c r="H70" s="160">
        <v>0.63</v>
      </c>
      <c r="I70" s="164">
        <v>0.91</v>
      </c>
      <c r="J70" s="31">
        <v>0.05</v>
      </c>
      <c r="K70" s="210">
        <v>2</v>
      </c>
    </row>
    <row r="71" spans="1:11" ht="27.75" customHeight="1" x14ac:dyDescent="0.35">
      <c r="A71" s="158" t="s">
        <v>657</v>
      </c>
      <c r="B71" s="25"/>
      <c r="C71" s="165"/>
      <c r="D71" s="130">
        <v>1.641</v>
      </c>
      <c r="E71" s="131">
        <v>0.17799999999999999</v>
      </c>
      <c r="F71" s="132">
        <v>3.0000000000000001E-3</v>
      </c>
      <c r="G71" s="160">
        <v>584.38</v>
      </c>
      <c r="H71" s="160">
        <v>0.63</v>
      </c>
      <c r="I71" s="164">
        <v>0.91</v>
      </c>
      <c r="J71" s="31">
        <v>0.05</v>
      </c>
      <c r="K71" s="210">
        <v>2</v>
      </c>
    </row>
    <row r="72" spans="1:11" ht="27.75" customHeight="1" x14ac:dyDescent="0.35">
      <c r="A72" s="158" t="s">
        <v>658</v>
      </c>
      <c r="B72" s="25"/>
      <c r="C72" s="165"/>
      <c r="D72" s="130">
        <v>1.5429999999999999</v>
      </c>
      <c r="E72" s="131">
        <v>0.14499999999999999</v>
      </c>
      <c r="F72" s="132">
        <v>2E-3</v>
      </c>
      <c r="G72" s="160">
        <v>3.38</v>
      </c>
      <c r="H72" s="160">
        <v>1.82</v>
      </c>
      <c r="I72" s="164">
        <v>2.0699999999999998</v>
      </c>
      <c r="J72" s="31">
        <v>4.2000000000000003E-2</v>
      </c>
      <c r="K72" s="210">
        <v>2</v>
      </c>
    </row>
    <row r="73" spans="1:11" ht="27.75" customHeight="1" x14ac:dyDescent="0.35">
      <c r="A73" s="158" t="s">
        <v>659</v>
      </c>
      <c r="B73" s="25"/>
      <c r="C73" s="165"/>
      <c r="D73" s="130">
        <v>1.5429999999999999</v>
      </c>
      <c r="E73" s="131">
        <v>0.14499999999999999</v>
      </c>
      <c r="F73" s="132">
        <v>2E-3</v>
      </c>
      <c r="G73" s="160">
        <v>123.98</v>
      </c>
      <c r="H73" s="160">
        <v>1.82</v>
      </c>
      <c r="I73" s="164">
        <v>2.0699999999999998</v>
      </c>
      <c r="J73" s="31">
        <v>4.2000000000000003E-2</v>
      </c>
      <c r="K73" s="210">
        <v>2</v>
      </c>
    </row>
    <row r="74" spans="1:11" ht="27.75" customHeight="1" x14ac:dyDescent="0.35">
      <c r="A74" s="158" t="s">
        <v>660</v>
      </c>
      <c r="B74" s="25"/>
      <c r="C74" s="165"/>
      <c r="D74" s="130">
        <v>1.5429999999999999</v>
      </c>
      <c r="E74" s="131">
        <v>0.14499999999999999</v>
      </c>
      <c r="F74" s="132">
        <v>2E-3</v>
      </c>
      <c r="G74" s="160">
        <v>253.4</v>
      </c>
      <c r="H74" s="160">
        <v>1.82</v>
      </c>
      <c r="I74" s="164">
        <v>2.0699999999999998</v>
      </c>
      <c r="J74" s="31">
        <v>4.2000000000000003E-2</v>
      </c>
      <c r="K74" s="210">
        <v>2</v>
      </c>
    </row>
    <row r="75" spans="1:11" ht="27.75" customHeight="1" x14ac:dyDescent="0.35">
      <c r="A75" s="158" t="s">
        <v>661</v>
      </c>
      <c r="B75" s="25"/>
      <c r="C75" s="165"/>
      <c r="D75" s="130">
        <v>1.5429999999999999</v>
      </c>
      <c r="E75" s="131">
        <v>0.14499999999999999</v>
      </c>
      <c r="F75" s="132">
        <v>2E-3</v>
      </c>
      <c r="G75" s="160">
        <v>420.85</v>
      </c>
      <c r="H75" s="160">
        <v>1.82</v>
      </c>
      <c r="I75" s="164">
        <v>2.0699999999999998</v>
      </c>
      <c r="J75" s="31">
        <v>4.2000000000000003E-2</v>
      </c>
      <c r="K75" s="210">
        <v>2</v>
      </c>
    </row>
    <row r="76" spans="1:11" ht="27.75" customHeight="1" x14ac:dyDescent="0.35">
      <c r="A76" s="158" t="s">
        <v>662</v>
      </c>
      <c r="B76" s="25"/>
      <c r="C76" s="165"/>
      <c r="D76" s="130">
        <v>1.5429999999999999</v>
      </c>
      <c r="E76" s="131">
        <v>0.14499999999999999</v>
      </c>
      <c r="F76" s="132">
        <v>2E-3</v>
      </c>
      <c r="G76" s="160">
        <v>928.35</v>
      </c>
      <c r="H76" s="160">
        <v>1.82</v>
      </c>
      <c r="I76" s="164">
        <v>2.0699999999999998</v>
      </c>
      <c r="J76" s="31">
        <v>4.2000000000000003E-2</v>
      </c>
      <c r="K76" s="210">
        <v>2</v>
      </c>
    </row>
    <row r="77" spans="1:11" ht="27.75" customHeight="1" x14ac:dyDescent="0.35">
      <c r="A77" s="158" t="s">
        <v>663</v>
      </c>
      <c r="B77" s="25"/>
      <c r="C77" s="165"/>
      <c r="D77" s="130">
        <v>1.304</v>
      </c>
      <c r="E77" s="131">
        <v>0.113</v>
      </c>
      <c r="F77" s="132">
        <v>1E-3</v>
      </c>
      <c r="G77" s="160">
        <v>57.51</v>
      </c>
      <c r="H77" s="160">
        <v>2.2799999999999998</v>
      </c>
      <c r="I77" s="164">
        <v>2.8</v>
      </c>
      <c r="J77" s="31">
        <v>3.3000000000000002E-2</v>
      </c>
      <c r="K77" s="210">
        <v>2</v>
      </c>
    </row>
    <row r="78" spans="1:11" ht="27.75" customHeight="1" x14ac:dyDescent="0.35">
      <c r="A78" s="158" t="s">
        <v>664</v>
      </c>
      <c r="B78" s="25"/>
      <c r="C78" s="165"/>
      <c r="D78" s="130">
        <v>1.304</v>
      </c>
      <c r="E78" s="131">
        <v>0.113</v>
      </c>
      <c r="F78" s="132">
        <v>1E-3</v>
      </c>
      <c r="G78" s="160">
        <v>690.49</v>
      </c>
      <c r="H78" s="160">
        <v>2.2799999999999998</v>
      </c>
      <c r="I78" s="164">
        <v>2.8</v>
      </c>
      <c r="J78" s="31">
        <v>3.3000000000000002E-2</v>
      </c>
      <c r="K78" s="210">
        <v>2</v>
      </c>
    </row>
    <row r="79" spans="1:11" ht="27.75" customHeight="1" x14ac:dyDescent="0.35">
      <c r="A79" s="158" t="s">
        <v>665</v>
      </c>
      <c r="B79" s="25"/>
      <c r="C79" s="165"/>
      <c r="D79" s="130">
        <v>1.304</v>
      </c>
      <c r="E79" s="131">
        <v>0.113</v>
      </c>
      <c r="F79" s="132">
        <v>1E-3</v>
      </c>
      <c r="G79" s="160">
        <v>2720.39</v>
      </c>
      <c r="H79" s="160">
        <v>2.2799999999999998</v>
      </c>
      <c r="I79" s="164">
        <v>2.8</v>
      </c>
      <c r="J79" s="31">
        <v>3.3000000000000002E-2</v>
      </c>
      <c r="K79" s="210">
        <v>2</v>
      </c>
    </row>
    <row r="80" spans="1:11" ht="27.75" customHeight="1" x14ac:dyDescent="0.35">
      <c r="A80" s="158" t="s">
        <v>666</v>
      </c>
      <c r="B80" s="25"/>
      <c r="C80" s="165"/>
      <c r="D80" s="130">
        <v>1.304</v>
      </c>
      <c r="E80" s="131">
        <v>0.113</v>
      </c>
      <c r="F80" s="132">
        <v>1E-3</v>
      </c>
      <c r="G80" s="160">
        <v>5443.54</v>
      </c>
      <c r="H80" s="160">
        <v>2.2799999999999998</v>
      </c>
      <c r="I80" s="164">
        <v>2.8</v>
      </c>
      <c r="J80" s="31">
        <v>3.3000000000000002E-2</v>
      </c>
      <c r="K80" s="210">
        <v>2</v>
      </c>
    </row>
    <row r="81" spans="1:11" ht="27.75" customHeight="1" x14ac:dyDescent="0.35">
      <c r="A81" s="158" t="s">
        <v>667</v>
      </c>
      <c r="B81" s="25"/>
      <c r="C81" s="165"/>
      <c r="D81" s="130">
        <v>1.304</v>
      </c>
      <c r="E81" s="131">
        <v>0.113</v>
      </c>
      <c r="F81" s="132">
        <v>1E-3</v>
      </c>
      <c r="G81" s="160">
        <v>13591.35</v>
      </c>
      <c r="H81" s="160">
        <v>2.2799999999999998</v>
      </c>
      <c r="I81" s="164">
        <v>2.8</v>
      </c>
      <c r="J81" s="31">
        <v>3.3000000000000002E-2</v>
      </c>
      <c r="K81" s="210">
        <v>2</v>
      </c>
    </row>
    <row r="82" spans="1:11" ht="27.75" customHeight="1" x14ac:dyDescent="0.35">
      <c r="A82" s="158" t="s">
        <v>459</v>
      </c>
      <c r="B82" s="25"/>
      <c r="C82" s="165"/>
      <c r="D82" s="133">
        <v>5.1820000000000004</v>
      </c>
      <c r="E82" s="134">
        <v>0.628</v>
      </c>
      <c r="F82" s="132">
        <v>0.42399999999999999</v>
      </c>
      <c r="G82" s="161" t="s">
        <v>1367</v>
      </c>
      <c r="H82" s="161" t="s">
        <v>1367</v>
      </c>
      <c r="I82" s="163" t="s">
        <v>1367</v>
      </c>
      <c r="J82" s="32" t="s">
        <v>1367</v>
      </c>
      <c r="K82" s="210">
        <v>2</v>
      </c>
    </row>
    <row r="83" spans="1:11" ht="27.75" customHeight="1" x14ac:dyDescent="0.35">
      <c r="A83" s="158" t="s">
        <v>460</v>
      </c>
      <c r="B83" s="25"/>
      <c r="C83" s="165"/>
      <c r="D83" s="130">
        <v>-2.387</v>
      </c>
      <c r="E83" s="131">
        <v>-0.27</v>
      </c>
      <c r="F83" s="132">
        <v>-5.0000000000000001E-3</v>
      </c>
      <c r="G83" s="160" t="s">
        <v>672</v>
      </c>
      <c r="H83" s="161" t="s">
        <v>1367</v>
      </c>
      <c r="I83" s="163" t="s">
        <v>1367</v>
      </c>
      <c r="J83" s="32" t="s">
        <v>1367</v>
      </c>
      <c r="K83" s="210">
        <v>2</v>
      </c>
    </row>
    <row r="84" spans="1:11" ht="27.75" customHeight="1" x14ac:dyDescent="0.35">
      <c r="A84" s="158" t="s">
        <v>461</v>
      </c>
      <c r="B84" s="25"/>
      <c r="C84" s="165"/>
      <c r="D84" s="130">
        <v>-2.39</v>
      </c>
      <c r="E84" s="131">
        <v>-0.26400000000000001</v>
      </c>
      <c r="F84" s="132">
        <v>-5.0000000000000001E-3</v>
      </c>
      <c r="G84" s="160" t="s">
        <v>672</v>
      </c>
      <c r="H84" s="161" t="s">
        <v>1367</v>
      </c>
      <c r="I84" s="163" t="s">
        <v>1367</v>
      </c>
      <c r="J84" s="32" t="s">
        <v>1367</v>
      </c>
      <c r="K84" s="210">
        <v>2</v>
      </c>
    </row>
    <row r="85" spans="1:11" ht="27.75" customHeight="1" x14ac:dyDescent="0.35">
      <c r="A85" s="158" t="s">
        <v>462</v>
      </c>
      <c r="B85" s="25"/>
      <c r="C85" s="165"/>
      <c r="D85" s="130">
        <v>-2.387</v>
      </c>
      <c r="E85" s="131">
        <v>-0.27</v>
      </c>
      <c r="F85" s="132">
        <v>-5.0000000000000001E-3</v>
      </c>
      <c r="G85" s="160" t="s">
        <v>672</v>
      </c>
      <c r="H85" s="161" t="s">
        <v>1367</v>
      </c>
      <c r="I85" s="163" t="s">
        <v>1367</v>
      </c>
      <c r="J85" s="31">
        <v>7.1999999999999995E-2</v>
      </c>
      <c r="K85" s="210">
        <v>2</v>
      </c>
    </row>
    <row r="86" spans="1:11" ht="27.75" customHeight="1" x14ac:dyDescent="0.35">
      <c r="A86" s="158" t="s">
        <v>463</v>
      </c>
      <c r="B86" s="25"/>
      <c r="C86" s="165"/>
      <c r="D86" s="130">
        <v>-2.39</v>
      </c>
      <c r="E86" s="131">
        <v>-0.26400000000000001</v>
      </c>
      <c r="F86" s="132">
        <v>-5.0000000000000001E-3</v>
      </c>
      <c r="G86" s="160" t="s">
        <v>672</v>
      </c>
      <c r="H86" s="161" t="s">
        <v>1367</v>
      </c>
      <c r="I86" s="163" t="s">
        <v>1367</v>
      </c>
      <c r="J86" s="31">
        <v>7.1999999999999995E-2</v>
      </c>
      <c r="K86" s="210">
        <v>2</v>
      </c>
    </row>
    <row r="87" spans="1:11" ht="27.75" customHeight="1" x14ac:dyDescent="0.35">
      <c r="A87" s="158" t="s">
        <v>464</v>
      </c>
      <c r="B87" s="25"/>
      <c r="C87" s="165"/>
      <c r="D87" s="130">
        <v>-3.601</v>
      </c>
      <c r="E87" s="131">
        <v>-0.33700000000000002</v>
      </c>
      <c r="F87" s="132">
        <v>-4.0000000000000001E-3</v>
      </c>
      <c r="G87" s="160">
        <v>97.47</v>
      </c>
      <c r="H87" s="161" t="s">
        <v>1367</v>
      </c>
      <c r="I87" s="163" t="s">
        <v>1367</v>
      </c>
      <c r="J87" s="31">
        <v>0.14000000000000001</v>
      </c>
      <c r="K87" s="210">
        <v>2</v>
      </c>
    </row>
    <row r="88" spans="1:11" ht="27.75" customHeight="1" x14ac:dyDescent="0.35">
      <c r="A88" s="158" t="s">
        <v>624</v>
      </c>
      <c r="B88" s="25"/>
      <c r="C88" s="165"/>
      <c r="D88" s="130">
        <v>0.98099999999999998</v>
      </c>
      <c r="E88" s="131">
        <v>0.111</v>
      </c>
      <c r="F88" s="132">
        <v>2E-3</v>
      </c>
      <c r="G88" s="160">
        <v>11.43</v>
      </c>
      <c r="H88" s="161" t="s">
        <v>1367</v>
      </c>
      <c r="I88" s="163" t="s">
        <v>1367</v>
      </c>
      <c r="J88" s="32" t="s">
        <v>1367</v>
      </c>
      <c r="K88" s="210">
        <v>2</v>
      </c>
    </row>
    <row r="89" spans="1:11" ht="27.75" customHeight="1" x14ac:dyDescent="0.35">
      <c r="A89" s="158" t="s">
        <v>625</v>
      </c>
      <c r="B89" s="25"/>
      <c r="C89" s="165"/>
      <c r="D89" s="130">
        <v>0.98099999999999998</v>
      </c>
      <c r="E89" s="131">
        <v>0.111</v>
      </c>
      <c r="F89" s="132">
        <v>2E-3</v>
      </c>
      <c r="G89" s="161" t="s">
        <v>1367</v>
      </c>
      <c r="H89" s="161" t="s">
        <v>1367</v>
      </c>
      <c r="I89" s="163" t="s">
        <v>1367</v>
      </c>
      <c r="J89" s="32" t="s">
        <v>1367</v>
      </c>
      <c r="K89" s="210">
        <v>2</v>
      </c>
    </row>
    <row r="90" spans="1:11" ht="27.75" customHeight="1" x14ac:dyDescent="0.35">
      <c r="A90" s="158" t="s">
        <v>626</v>
      </c>
      <c r="B90" s="25"/>
      <c r="C90" s="165"/>
      <c r="D90" s="130">
        <v>1.236</v>
      </c>
      <c r="E90" s="131">
        <v>0.14000000000000001</v>
      </c>
      <c r="F90" s="132">
        <v>3.0000000000000001E-3</v>
      </c>
      <c r="G90" s="160">
        <v>0.77</v>
      </c>
      <c r="H90" s="161" t="s">
        <v>1367</v>
      </c>
      <c r="I90" s="163" t="s">
        <v>1367</v>
      </c>
      <c r="J90" s="32" t="s">
        <v>1367</v>
      </c>
      <c r="K90" s="210">
        <v>2</v>
      </c>
    </row>
    <row r="91" spans="1:11" ht="27.75" customHeight="1" x14ac:dyDescent="0.35">
      <c r="A91" s="158" t="s">
        <v>627</v>
      </c>
      <c r="B91" s="25"/>
      <c r="C91" s="165"/>
      <c r="D91" s="130">
        <v>1.236</v>
      </c>
      <c r="E91" s="131">
        <v>0.14000000000000001</v>
      </c>
      <c r="F91" s="132">
        <v>3.0000000000000001E-3</v>
      </c>
      <c r="G91" s="160">
        <v>1.31</v>
      </c>
      <c r="H91" s="161" t="s">
        <v>1367</v>
      </c>
      <c r="I91" s="163" t="s">
        <v>1367</v>
      </c>
      <c r="J91" s="32" t="s">
        <v>1367</v>
      </c>
      <c r="K91" s="210">
        <v>2</v>
      </c>
    </row>
    <row r="92" spans="1:11" ht="27.75" customHeight="1" x14ac:dyDescent="0.35">
      <c r="A92" s="158" t="s">
        <v>628</v>
      </c>
      <c r="B92" s="25"/>
      <c r="C92" s="165"/>
      <c r="D92" s="130">
        <v>1.236</v>
      </c>
      <c r="E92" s="131">
        <v>0.14000000000000001</v>
      </c>
      <c r="F92" s="132">
        <v>3.0000000000000001E-3</v>
      </c>
      <c r="G92" s="160">
        <v>3.76</v>
      </c>
      <c r="H92" s="161" t="s">
        <v>1367</v>
      </c>
      <c r="I92" s="163" t="s">
        <v>1367</v>
      </c>
      <c r="J92" s="32" t="s">
        <v>1367</v>
      </c>
      <c r="K92" s="210">
        <v>2</v>
      </c>
    </row>
    <row r="93" spans="1:11" ht="27.75" customHeight="1" x14ac:dyDescent="0.35">
      <c r="A93" s="158" t="s">
        <v>629</v>
      </c>
      <c r="B93" s="25"/>
      <c r="C93" s="165"/>
      <c r="D93" s="130">
        <v>1.236</v>
      </c>
      <c r="E93" s="131">
        <v>0.14000000000000001</v>
      </c>
      <c r="F93" s="132">
        <v>3.0000000000000001E-3</v>
      </c>
      <c r="G93" s="160">
        <v>8.24</v>
      </c>
      <c r="H93" s="161" t="s">
        <v>1367</v>
      </c>
      <c r="I93" s="163" t="s">
        <v>1367</v>
      </c>
      <c r="J93" s="32" t="s">
        <v>1367</v>
      </c>
      <c r="K93" s="210">
        <v>2</v>
      </c>
    </row>
    <row r="94" spans="1:11" ht="27.75" customHeight="1" x14ac:dyDescent="0.35">
      <c r="A94" s="158" t="s">
        <v>630</v>
      </c>
      <c r="B94" s="25"/>
      <c r="C94" s="165"/>
      <c r="D94" s="130">
        <v>1.236</v>
      </c>
      <c r="E94" s="131">
        <v>0.14000000000000001</v>
      </c>
      <c r="F94" s="132">
        <v>3.0000000000000001E-3</v>
      </c>
      <c r="G94" s="160">
        <v>24.19</v>
      </c>
      <c r="H94" s="161" t="s">
        <v>1367</v>
      </c>
      <c r="I94" s="163" t="s">
        <v>1367</v>
      </c>
      <c r="J94" s="32" t="s">
        <v>1367</v>
      </c>
      <c r="K94" s="210">
        <v>2</v>
      </c>
    </row>
    <row r="95" spans="1:11" ht="27.75" customHeight="1" x14ac:dyDescent="0.35">
      <c r="A95" s="158" t="s">
        <v>465</v>
      </c>
      <c r="B95" s="25"/>
      <c r="C95" s="165"/>
      <c r="D95" s="130">
        <v>1.236</v>
      </c>
      <c r="E95" s="131">
        <v>0.14000000000000001</v>
      </c>
      <c r="F95" s="132">
        <v>3.0000000000000001E-3</v>
      </c>
      <c r="G95" s="161" t="s">
        <v>1367</v>
      </c>
      <c r="H95" s="161" t="s">
        <v>1367</v>
      </c>
      <c r="I95" s="163" t="s">
        <v>1367</v>
      </c>
      <c r="J95" s="32" t="s">
        <v>1367</v>
      </c>
      <c r="K95" s="210">
        <v>2</v>
      </c>
    </row>
    <row r="96" spans="1:11" ht="27.75" customHeight="1" x14ac:dyDescent="0.35">
      <c r="A96" s="158" t="s">
        <v>631</v>
      </c>
      <c r="B96" s="25"/>
      <c r="C96" s="165"/>
      <c r="D96" s="130">
        <v>0.8</v>
      </c>
      <c r="E96" s="131">
        <v>8.6999999999999994E-2</v>
      </c>
      <c r="F96" s="132">
        <v>2E-3</v>
      </c>
      <c r="G96" s="160">
        <v>2.92</v>
      </c>
      <c r="H96" s="160">
        <v>0.31</v>
      </c>
      <c r="I96" s="164">
        <v>0.44</v>
      </c>
      <c r="J96" s="31">
        <v>2.5000000000000001E-2</v>
      </c>
      <c r="K96" s="210">
        <v>2</v>
      </c>
    </row>
    <row r="97" spans="1:11" ht="27.75" customHeight="1" x14ac:dyDescent="0.35">
      <c r="A97" s="158" t="s">
        <v>632</v>
      </c>
      <c r="B97" s="25"/>
      <c r="C97" s="165"/>
      <c r="D97" s="130">
        <v>0.8</v>
      </c>
      <c r="E97" s="131">
        <v>8.6999999999999994E-2</v>
      </c>
      <c r="F97" s="132">
        <v>2E-3</v>
      </c>
      <c r="G97" s="160">
        <v>39.659999999999997</v>
      </c>
      <c r="H97" s="160">
        <v>0.31</v>
      </c>
      <c r="I97" s="164">
        <v>0.44</v>
      </c>
      <c r="J97" s="31">
        <v>2.5000000000000001E-2</v>
      </c>
      <c r="K97" s="210">
        <v>2</v>
      </c>
    </row>
    <row r="98" spans="1:11" ht="27.75" customHeight="1" x14ac:dyDescent="0.35">
      <c r="A98" s="158" t="s">
        <v>633</v>
      </c>
      <c r="B98" s="25"/>
      <c r="C98" s="165"/>
      <c r="D98" s="130">
        <v>0.8</v>
      </c>
      <c r="E98" s="131">
        <v>8.6999999999999994E-2</v>
      </c>
      <c r="F98" s="132">
        <v>2E-3</v>
      </c>
      <c r="G98" s="160">
        <v>79.09</v>
      </c>
      <c r="H98" s="160">
        <v>0.31</v>
      </c>
      <c r="I98" s="164">
        <v>0.44</v>
      </c>
      <c r="J98" s="31">
        <v>2.5000000000000001E-2</v>
      </c>
      <c r="K98" s="210">
        <v>2</v>
      </c>
    </row>
    <row r="99" spans="1:11" ht="27.75" customHeight="1" x14ac:dyDescent="0.35">
      <c r="A99" s="158" t="s">
        <v>634</v>
      </c>
      <c r="B99" s="25"/>
      <c r="C99" s="165"/>
      <c r="D99" s="130">
        <v>0.8</v>
      </c>
      <c r="E99" s="131">
        <v>8.6999999999999994E-2</v>
      </c>
      <c r="F99" s="132">
        <v>2E-3</v>
      </c>
      <c r="G99" s="160">
        <v>130.1</v>
      </c>
      <c r="H99" s="160">
        <v>0.31</v>
      </c>
      <c r="I99" s="164">
        <v>0.44</v>
      </c>
      <c r="J99" s="31">
        <v>2.5000000000000001E-2</v>
      </c>
      <c r="K99" s="210">
        <v>2</v>
      </c>
    </row>
    <row r="100" spans="1:11" ht="27.75" customHeight="1" x14ac:dyDescent="0.35">
      <c r="A100" s="158" t="s">
        <v>635</v>
      </c>
      <c r="B100" s="25"/>
      <c r="C100" s="165"/>
      <c r="D100" s="130">
        <v>0.8</v>
      </c>
      <c r="E100" s="131">
        <v>8.6999999999999994E-2</v>
      </c>
      <c r="F100" s="132">
        <v>2E-3</v>
      </c>
      <c r="G100" s="160">
        <v>284.72000000000003</v>
      </c>
      <c r="H100" s="160">
        <v>0.31</v>
      </c>
      <c r="I100" s="164">
        <v>0.44</v>
      </c>
      <c r="J100" s="31">
        <v>2.5000000000000001E-2</v>
      </c>
      <c r="K100" s="210">
        <v>2</v>
      </c>
    </row>
    <row r="101" spans="1:11" ht="27.75" customHeight="1" x14ac:dyDescent="0.35">
      <c r="A101" s="158" t="s">
        <v>636</v>
      </c>
      <c r="B101" s="25"/>
      <c r="C101" s="165"/>
      <c r="D101" s="130">
        <v>0.752</v>
      </c>
      <c r="E101" s="131">
        <v>7.0999999999999994E-2</v>
      </c>
      <c r="F101" s="132">
        <v>1E-3</v>
      </c>
      <c r="G101" s="160">
        <v>1.66</v>
      </c>
      <c r="H101" s="160">
        <v>0.89</v>
      </c>
      <c r="I101" s="164">
        <v>1.01</v>
      </c>
      <c r="J101" s="31">
        <v>2.1000000000000001E-2</v>
      </c>
      <c r="K101" s="210">
        <v>2</v>
      </c>
    </row>
    <row r="102" spans="1:11" ht="27.75" customHeight="1" x14ac:dyDescent="0.35">
      <c r="A102" s="158" t="s">
        <v>637</v>
      </c>
      <c r="B102" s="25"/>
      <c r="C102" s="165"/>
      <c r="D102" s="130">
        <v>0.752</v>
      </c>
      <c r="E102" s="131">
        <v>7.0999999999999994E-2</v>
      </c>
      <c r="F102" s="132">
        <v>1E-3</v>
      </c>
      <c r="G102" s="160">
        <v>60.42</v>
      </c>
      <c r="H102" s="160">
        <v>0.89</v>
      </c>
      <c r="I102" s="164">
        <v>1.01</v>
      </c>
      <c r="J102" s="31">
        <v>2.1000000000000001E-2</v>
      </c>
      <c r="K102" s="210">
        <v>2</v>
      </c>
    </row>
    <row r="103" spans="1:11" ht="27.75" customHeight="1" x14ac:dyDescent="0.35">
      <c r="A103" s="158" t="s">
        <v>638</v>
      </c>
      <c r="B103" s="25"/>
      <c r="C103" s="165"/>
      <c r="D103" s="130">
        <v>0.752</v>
      </c>
      <c r="E103" s="131">
        <v>7.0999999999999994E-2</v>
      </c>
      <c r="F103" s="132">
        <v>1E-3</v>
      </c>
      <c r="G103" s="160">
        <v>123.47</v>
      </c>
      <c r="H103" s="160">
        <v>0.89</v>
      </c>
      <c r="I103" s="164">
        <v>1.01</v>
      </c>
      <c r="J103" s="31">
        <v>2.1000000000000001E-2</v>
      </c>
      <c r="K103" s="210">
        <v>2</v>
      </c>
    </row>
    <row r="104" spans="1:11" ht="27.75" customHeight="1" x14ac:dyDescent="0.35">
      <c r="A104" s="158" t="s">
        <v>639</v>
      </c>
      <c r="B104" s="25"/>
      <c r="C104" s="165"/>
      <c r="D104" s="130">
        <v>0.752</v>
      </c>
      <c r="E104" s="131">
        <v>7.0999999999999994E-2</v>
      </c>
      <c r="F104" s="132">
        <v>1E-3</v>
      </c>
      <c r="G104" s="160">
        <v>205.04</v>
      </c>
      <c r="H104" s="160">
        <v>0.89</v>
      </c>
      <c r="I104" s="164">
        <v>1.01</v>
      </c>
      <c r="J104" s="31">
        <v>2.1000000000000001E-2</v>
      </c>
      <c r="K104" s="210">
        <v>2</v>
      </c>
    </row>
    <row r="105" spans="1:11" ht="27.75" customHeight="1" x14ac:dyDescent="0.35">
      <c r="A105" s="158" t="s">
        <v>640</v>
      </c>
      <c r="B105" s="25"/>
      <c r="C105" s="165"/>
      <c r="D105" s="130">
        <v>0.752</v>
      </c>
      <c r="E105" s="131">
        <v>7.0999999999999994E-2</v>
      </c>
      <c r="F105" s="132">
        <v>1E-3</v>
      </c>
      <c r="G105" s="160">
        <v>452.29</v>
      </c>
      <c r="H105" s="160">
        <v>0.89</v>
      </c>
      <c r="I105" s="164">
        <v>1.01</v>
      </c>
      <c r="J105" s="31">
        <v>2.1000000000000001E-2</v>
      </c>
      <c r="K105" s="210">
        <v>2</v>
      </c>
    </row>
    <row r="106" spans="1:11" ht="27.75" customHeight="1" x14ac:dyDescent="0.35">
      <c r="A106" s="158" t="s">
        <v>641</v>
      </c>
      <c r="B106" s="25"/>
      <c r="C106" s="165"/>
      <c r="D106" s="130">
        <v>0.63500000000000001</v>
      </c>
      <c r="E106" s="131">
        <v>5.5E-2</v>
      </c>
      <c r="F106" s="132">
        <v>1E-3</v>
      </c>
      <c r="G106" s="160">
        <v>28.04</v>
      </c>
      <c r="H106" s="160">
        <v>1.1100000000000001</v>
      </c>
      <c r="I106" s="164">
        <v>1.36</v>
      </c>
      <c r="J106" s="31">
        <v>1.6E-2</v>
      </c>
      <c r="K106" s="210">
        <v>2</v>
      </c>
    </row>
    <row r="107" spans="1:11" ht="27.75" customHeight="1" x14ac:dyDescent="0.35">
      <c r="A107" s="158" t="s">
        <v>642</v>
      </c>
      <c r="B107" s="25"/>
      <c r="C107" s="165"/>
      <c r="D107" s="130">
        <v>0.63500000000000001</v>
      </c>
      <c r="E107" s="131">
        <v>5.5E-2</v>
      </c>
      <c r="F107" s="132">
        <v>1E-3</v>
      </c>
      <c r="G107" s="160">
        <v>336.41</v>
      </c>
      <c r="H107" s="160">
        <v>1.1100000000000001</v>
      </c>
      <c r="I107" s="164">
        <v>1.36</v>
      </c>
      <c r="J107" s="31">
        <v>1.6E-2</v>
      </c>
      <c r="K107" s="210">
        <v>2</v>
      </c>
    </row>
    <row r="108" spans="1:11" ht="27.75" customHeight="1" x14ac:dyDescent="0.35">
      <c r="A108" s="158" t="s">
        <v>643</v>
      </c>
      <c r="B108" s="25"/>
      <c r="C108" s="165"/>
      <c r="D108" s="130">
        <v>0.63500000000000001</v>
      </c>
      <c r="E108" s="131">
        <v>5.5E-2</v>
      </c>
      <c r="F108" s="132">
        <v>1E-3</v>
      </c>
      <c r="G108" s="160">
        <v>1325.33</v>
      </c>
      <c r="H108" s="160">
        <v>1.1100000000000001</v>
      </c>
      <c r="I108" s="164">
        <v>1.36</v>
      </c>
      <c r="J108" s="31">
        <v>1.6E-2</v>
      </c>
      <c r="K108" s="210">
        <v>2</v>
      </c>
    </row>
    <row r="109" spans="1:11" ht="27.75" customHeight="1" x14ac:dyDescent="0.35">
      <c r="A109" s="158" t="s">
        <v>644</v>
      </c>
      <c r="B109" s="25"/>
      <c r="C109" s="165"/>
      <c r="D109" s="130">
        <v>0.63500000000000001</v>
      </c>
      <c r="E109" s="131">
        <v>5.5E-2</v>
      </c>
      <c r="F109" s="132">
        <v>1E-3</v>
      </c>
      <c r="G109" s="160">
        <v>2652</v>
      </c>
      <c r="H109" s="160">
        <v>1.1100000000000001</v>
      </c>
      <c r="I109" s="164">
        <v>1.36</v>
      </c>
      <c r="J109" s="31">
        <v>1.6E-2</v>
      </c>
      <c r="K109" s="210">
        <v>2</v>
      </c>
    </row>
    <row r="110" spans="1:11" ht="27.75" customHeight="1" x14ac:dyDescent="0.35">
      <c r="A110" s="158" t="s">
        <v>645</v>
      </c>
      <c r="B110" s="25"/>
      <c r="C110" s="165"/>
      <c r="D110" s="130">
        <v>0.63500000000000001</v>
      </c>
      <c r="E110" s="131">
        <v>5.5E-2</v>
      </c>
      <c r="F110" s="132">
        <v>1E-3</v>
      </c>
      <c r="G110" s="160">
        <v>6621.44</v>
      </c>
      <c r="H110" s="160">
        <v>1.1100000000000001</v>
      </c>
      <c r="I110" s="164">
        <v>1.36</v>
      </c>
      <c r="J110" s="31">
        <v>1.6E-2</v>
      </c>
      <c r="K110" s="210">
        <v>2</v>
      </c>
    </row>
    <row r="111" spans="1:11" ht="27.75" customHeight="1" x14ac:dyDescent="0.35">
      <c r="A111" s="158" t="s">
        <v>466</v>
      </c>
      <c r="B111" s="25"/>
      <c r="C111" s="165"/>
      <c r="D111" s="133">
        <v>2.5249999999999999</v>
      </c>
      <c r="E111" s="134">
        <v>0.30599999999999999</v>
      </c>
      <c r="F111" s="132">
        <v>0.20599999999999999</v>
      </c>
      <c r="G111" s="161" t="s">
        <v>1367</v>
      </c>
      <c r="H111" s="161" t="s">
        <v>1367</v>
      </c>
      <c r="I111" s="163" t="s">
        <v>1367</v>
      </c>
      <c r="J111" s="32" t="s">
        <v>1367</v>
      </c>
      <c r="K111" s="210">
        <v>2</v>
      </c>
    </row>
    <row r="112" spans="1:11" ht="27.75" customHeight="1" x14ac:dyDescent="0.35">
      <c r="A112" s="158" t="s">
        <v>467</v>
      </c>
      <c r="B112" s="25"/>
      <c r="C112" s="165"/>
      <c r="D112" s="130">
        <v>-1.163</v>
      </c>
      <c r="E112" s="131">
        <v>-0.13200000000000001</v>
      </c>
      <c r="F112" s="132">
        <v>-3.0000000000000001E-3</v>
      </c>
      <c r="G112" s="160" t="s">
        <v>672</v>
      </c>
      <c r="H112" s="161" t="s">
        <v>1367</v>
      </c>
      <c r="I112" s="163" t="s">
        <v>1367</v>
      </c>
      <c r="J112" s="32" t="s">
        <v>1367</v>
      </c>
      <c r="K112" s="210">
        <v>2</v>
      </c>
    </row>
    <row r="113" spans="1:11" ht="27.75" customHeight="1" x14ac:dyDescent="0.35">
      <c r="A113" s="158" t="s">
        <v>468</v>
      </c>
      <c r="B113" s="25"/>
      <c r="C113" s="165"/>
      <c r="D113" s="130">
        <v>-1.1639999999999999</v>
      </c>
      <c r="E113" s="131">
        <v>-0.129</v>
      </c>
      <c r="F113" s="132">
        <v>-3.0000000000000001E-3</v>
      </c>
      <c r="G113" s="160" t="s">
        <v>672</v>
      </c>
      <c r="H113" s="161" t="s">
        <v>1367</v>
      </c>
      <c r="I113" s="163" t="s">
        <v>1367</v>
      </c>
      <c r="J113" s="32" t="s">
        <v>1367</v>
      </c>
      <c r="K113" s="210">
        <v>2</v>
      </c>
    </row>
    <row r="114" spans="1:11" ht="27.75" customHeight="1" x14ac:dyDescent="0.35">
      <c r="A114" s="158" t="s">
        <v>469</v>
      </c>
      <c r="B114" s="25"/>
      <c r="C114" s="165"/>
      <c r="D114" s="130">
        <v>-1.163</v>
      </c>
      <c r="E114" s="131">
        <v>-0.13200000000000001</v>
      </c>
      <c r="F114" s="132">
        <v>-3.0000000000000001E-3</v>
      </c>
      <c r="G114" s="160" t="s">
        <v>672</v>
      </c>
      <c r="H114" s="161" t="s">
        <v>1367</v>
      </c>
      <c r="I114" s="163" t="s">
        <v>1367</v>
      </c>
      <c r="J114" s="31">
        <v>3.5000000000000003E-2</v>
      </c>
      <c r="K114" s="210">
        <v>2</v>
      </c>
    </row>
    <row r="115" spans="1:11" ht="27.75" customHeight="1" x14ac:dyDescent="0.35">
      <c r="A115" s="158" t="s">
        <v>470</v>
      </c>
      <c r="B115" s="25"/>
      <c r="C115" s="165"/>
      <c r="D115" s="130">
        <v>-1.1639999999999999</v>
      </c>
      <c r="E115" s="131">
        <v>-0.129</v>
      </c>
      <c r="F115" s="132">
        <v>-3.0000000000000001E-3</v>
      </c>
      <c r="G115" s="160" t="s">
        <v>672</v>
      </c>
      <c r="H115" s="161" t="s">
        <v>1367</v>
      </c>
      <c r="I115" s="163" t="s">
        <v>1367</v>
      </c>
      <c r="J115" s="31">
        <v>3.5000000000000003E-2</v>
      </c>
      <c r="K115" s="210">
        <v>2</v>
      </c>
    </row>
    <row r="116" spans="1:11" ht="27.75" customHeight="1" x14ac:dyDescent="0.35">
      <c r="A116" s="158" t="s">
        <v>471</v>
      </c>
      <c r="B116" s="25"/>
      <c r="C116" s="165"/>
      <c r="D116" s="130">
        <v>-1.754</v>
      </c>
      <c r="E116" s="131">
        <v>-0.16400000000000001</v>
      </c>
      <c r="F116" s="132">
        <v>-2E-3</v>
      </c>
      <c r="G116" s="160">
        <v>47.49</v>
      </c>
      <c r="H116" s="161" t="s">
        <v>1367</v>
      </c>
      <c r="I116" s="163" t="s">
        <v>1367</v>
      </c>
      <c r="J116" s="31">
        <v>6.8000000000000005E-2</v>
      </c>
      <c r="K116" s="210">
        <v>2</v>
      </c>
    </row>
    <row r="117" spans="1:11" ht="27.75" customHeight="1" x14ac:dyDescent="0.35">
      <c r="A117" s="158" t="s">
        <v>602</v>
      </c>
      <c r="B117" s="25"/>
      <c r="C117" s="165"/>
      <c r="D117" s="130">
        <v>0.18</v>
      </c>
      <c r="E117" s="131">
        <v>0.02</v>
      </c>
      <c r="F117" s="132" t="s">
        <v>1367</v>
      </c>
      <c r="G117" s="160">
        <v>9.75</v>
      </c>
      <c r="H117" s="161" t="s">
        <v>1367</v>
      </c>
      <c r="I117" s="163" t="s">
        <v>1367</v>
      </c>
      <c r="J117" s="32" t="s">
        <v>1367</v>
      </c>
      <c r="K117" s="210">
        <v>2</v>
      </c>
    </row>
    <row r="118" spans="1:11" ht="27.75" customHeight="1" x14ac:dyDescent="0.35">
      <c r="A118" s="158" t="s">
        <v>603</v>
      </c>
      <c r="B118" s="25"/>
      <c r="C118" s="165"/>
      <c r="D118" s="130">
        <v>0.18</v>
      </c>
      <c r="E118" s="131">
        <v>0.02</v>
      </c>
      <c r="F118" s="132" t="s">
        <v>1367</v>
      </c>
      <c r="G118" s="161" t="s">
        <v>1367</v>
      </c>
      <c r="H118" s="161" t="s">
        <v>1367</v>
      </c>
      <c r="I118" s="163" t="s">
        <v>1367</v>
      </c>
      <c r="J118" s="32" t="s">
        <v>1367</v>
      </c>
      <c r="K118" s="210">
        <v>2</v>
      </c>
    </row>
    <row r="119" spans="1:11" ht="27.75" customHeight="1" x14ac:dyDescent="0.35">
      <c r="A119" s="158" t="s">
        <v>604</v>
      </c>
      <c r="B119" s="25"/>
      <c r="C119" s="165"/>
      <c r="D119" s="130">
        <v>0.22600000000000001</v>
      </c>
      <c r="E119" s="131">
        <v>2.5999999999999999E-2</v>
      </c>
      <c r="F119" s="132">
        <v>1E-3</v>
      </c>
      <c r="G119" s="160">
        <v>0.17</v>
      </c>
      <c r="H119" s="161" t="s">
        <v>1367</v>
      </c>
      <c r="I119" s="163" t="s">
        <v>1367</v>
      </c>
      <c r="J119" s="32" t="s">
        <v>1367</v>
      </c>
      <c r="K119" s="210">
        <v>3</v>
      </c>
    </row>
    <row r="120" spans="1:11" ht="27.75" customHeight="1" x14ac:dyDescent="0.35">
      <c r="A120" s="158" t="s">
        <v>605</v>
      </c>
      <c r="B120" s="25"/>
      <c r="C120" s="165"/>
      <c r="D120" s="130">
        <v>0.22600000000000001</v>
      </c>
      <c r="E120" s="131">
        <v>2.5999999999999999E-2</v>
      </c>
      <c r="F120" s="132">
        <v>1E-3</v>
      </c>
      <c r="G120" s="160">
        <v>0.27</v>
      </c>
      <c r="H120" s="161" t="s">
        <v>1367</v>
      </c>
      <c r="I120" s="163" t="s">
        <v>1367</v>
      </c>
      <c r="J120" s="32" t="s">
        <v>1367</v>
      </c>
      <c r="K120" s="210">
        <v>3</v>
      </c>
    </row>
    <row r="121" spans="1:11" ht="27.75" customHeight="1" x14ac:dyDescent="0.35">
      <c r="A121" s="158" t="s">
        <v>606</v>
      </c>
      <c r="B121" s="25"/>
      <c r="C121" s="165"/>
      <c r="D121" s="130">
        <v>0.22600000000000001</v>
      </c>
      <c r="E121" s="131">
        <v>2.5999999999999999E-2</v>
      </c>
      <c r="F121" s="132">
        <v>1E-3</v>
      </c>
      <c r="G121" s="160">
        <v>0.72</v>
      </c>
      <c r="H121" s="161" t="s">
        <v>1367</v>
      </c>
      <c r="I121" s="163" t="s">
        <v>1367</v>
      </c>
      <c r="J121" s="32" t="s">
        <v>1367</v>
      </c>
      <c r="K121" s="210">
        <v>3</v>
      </c>
    </row>
    <row r="122" spans="1:11" ht="27.75" customHeight="1" x14ac:dyDescent="0.35">
      <c r="A122" s="158" t="s">
        <v>607</v>
      </c>
      <c r="B122" s="25"/>
      <c r="C122" s="165"/>
      <c r="D122" s="130">
        <v>0.22600000000000001</v>
      </c>
      <c r="E122" s="131">
        <v>2.5999999999999999E-2</v>
      </c>
      <c r="F122" s="132">
        <v>1E-3</v>
      </c>
      <c r="G122" s="160">
        <v>1.54</v>
      </c>
      <c r="H122" s="161" t="s">
        <v>1367</v>
      </c>
      <c r="I122" s="163" t="s">
        <v>1367</v>
      </c>
      <c r="J122" s="32" t="s">
        <v>1367</v>
      </c>
      <c r="K122" s="210">
        <v>3</v>
      </c>
    </row>
    <row r="123" spans="1:11" ht="27.75" customHeight="1" x14ac:dyDescent="0.35">
      <c r="A123" s="158" t="s">
        <v>608</v>
      </c>
      <c r="B123" s="25"/>
      <c r="C123" s="165"/>
      <c r="D123" s="130">
        <v>0.22600000000000001</v>
      </c>
      <c r="E123" s="131">
        <v>2.5999999999999999E-2</v>
      </c>
      <c r="F123" s="132">
        <v>1E-3</v>
      </c>
      <c r="G123" s="160">
        <v>4.46</v>
      </c>
      <c r="H123" s="161" t="s">
        <v>1367</v>
      </c>
      <c r="I123" s="163" t="s">
        <v>1367</v>
      </c>
      <c r="J123" s="32" t="s">
        <v>1367</v>
      </c>
      <c r="K123" s="210">
        <v>3</v>
      </c>
    </row>
    <row r="124" spans="1:11" ht="27.75" customHeight="1" x14ac:dyDescent="0.35">
      <c r="A124" s="158" t="s">
        <v>472</v>
      </c>
      <c r="B124" s="25"/>
      <c r="C124" s="165"/>
      <c r="D124" s="130">
        <v>0.22600000000000001</v>
      </c>
      <c r="E124" s="131">
        <v>2.5999999999999999E-2</v>
      </c>
      <c r="F124" s="132">
        <v>1E-3</v>
      </c>
      <c r="G124" s="161" t="s">
        <v>1367</v>
      </c>
      <c r="H124" s="161" t="s">
        <v>1367</v>
      </c>
      <c r="I124" s="163" t="s">
        <v>1367</v>
      </c>
      <c r="J124" s="32" t="s">
        <v>1367</v>
      </c>
      <c r="K124" s="210">
        <v>3</v>
      </c>
    </row>
    <row r="125" spans="1:11" ht="27.75" customHeight="1" x14ac:dyDescent="0.35">
      <c r="A125" s="158" t="s">
        <v>609</v>
      </c>
      <c r="B125" s="25"/>
      <c r="C125" s="165"/>
      <c r="D125" s="130">
        <v>0.14599999999999999</v>
      </c>
      <c r="E125" s="131">
        <v>1.6E-2</v>
      </c>
      <c r="F125" s="132" t="s">
        <v>1367</v>
      </c>
      <c r="G125" s="160">
        <v>0.56000000000000005</v>
      </c>
      <c r="H125" s="160">
        <v>0.06</v>
      </c>
      <c r="I125" s="164">
        <v>0.08</v>
      </c>
      <c r="J125" s="31">
        <v>4.0000000000000001E-3</v>
      </c>
      <c r="K125" s="210">
        <v>3</v>
      </c>
    </row>
    <row r="126" spans="1:11" ht="27.75" customHeight="1" x14ac:dyDescent="0.35">
      <c r="A126" s="158" t="s">
        <v>610</v>
      </c>
      <c r="B126" s="25"/>
      <c r="C126" s="165"/>
      <c r="D126" s="130">
        <v>0.14599999999999999</v>
      </c>
      <c r="E126" s="131">
        <v>1.6E-2</v>
      </c>
      <c r="F126" s="132" t="s">
        <v>1367</v>
      </c>
      <c r="G126" s="160">
        <v>7.29</v>
      </c>
      <c r="H126" s="160">
        <v>0.06</v>
      </c>
      <c r="I126" s="164">
        <v>0.08</v>
      </c>
      <c r="J126" s="31">
        <v>4.0000000000000001E-3</v>
      </c>
      <c r="K126" s="210">
        <v>3</v>
      </c>
    </row>
    <row r="127" spans="1:11" ht="27.75" customHeight="1" x14ac:dyDescent="0.35">
      <c r="A127" s="158" t="s">
        <v>611</v>
      </c>
      <c r="B127" s="25"/>
      <c r="C127" s="165"/>
      <c r="D127" s="130">
        <v>0.14599999999999999</v>
      </c>
      <c r="E127" s="131">
        <v>1.6E-2</v>
      </c>
      <c r="F127" s="132" t="s">
        <v>1367</v>
      </c>
      <c r="G127" s="160">
        <v>14.51</v>
      </c>
      <c r="H127" s="160">
        <v>0.06</v>
      </c>
      <c r="I127" s="164">
        <v>0.08</v>
      </c>
      <c r="J127" s="31">
        <v>4.0000000000000001E-3</v>
      </c>
      <c r="K127" s="210">
        <v>3</v>
      </c>
    </row>
    <row r="128" spans="1:11" ht="27.75" customHeight="1" x14ac:dyDescent="0.35">
      <c r="A128" s="158" t="s">
        <v>612</v>
      </c>
      <c r="B128" s="25"/>
      <c r="C128" s="165"/>
      <c r="D128" s="130">
        <v>0.14599999999999999</v>
      </c>
      <c r="E128" s="131">
        <v>1.6E-2</v>
      </c>
      <c r="F128" s="132" t="s">
        <v>1367</v>
      </c>
      <c r="G128" s="160">
        <v>23.85</v>
      </c>
      <c r="H128" s="160">
        <v>0.06</v>
      </c>
      <c r="I128" s="164">
        <v>0.08</v>
      </c>
      <c r="J128" s="31">
        <v>4.0000000000000001E-3</v>
      </c>
      <c r="K128" s="210">
        <v>3</v>
      </c>
    </row>
    <row r="129" spans="1:11" ht="27.75" customHeight="1" x14ac:dyDescent="0.35">
      <c r="A129" s="158" t="s">
        <v>613</v>
      </c>
      <c r="B129" s="25"/>
      <c r="C129" s="165"/>
      <c r="D129" s="130">
        <v>0.14599999999999999</v>
      </c>
      <c r="E129" s="131">
        <v>1.6E-2</v>
      </c>
      <c r="F129" s="132" t="s">
        <v>1367</v>
      </c>
      <c r="G129" s="160">
        <v>52.15</v>
      </c>
      <c r="H129" s="160">
        <v>0.06</v>
      </c>
      <c r="I129" s="164">
        <v>0.08</v>
      </c>
      <c r="J129" s="31">
        <v>4.0000000000000001E-3</v>
      </c>
      <c r="K129" s="210">
        <v>3</v>
      </c>
    </row>
    <row r="130" spans="1:11" ht="27.75" customHeight="1" x14ac:dyDescent="0.35">
      <c r="A130" s="158" t="s">
        <v>614</v>
      </c>
      <c r="B130" s="25"/>
      <c r="C130" s="165"/>
      <c r="D130" s="130">
        <v>0.13800000000000001</v>
      </c>
      <c r="E130" s="131">
        <v>1.2999999999999999E-2</v>
      </c>
      <c r="F130" s="132" t="s">
        <v>1367</v>
      </c>
      <c r="G130" s="160">
        <v>0.33</v>
      </c>
      <c r="H130" s="160">
        <v>0.16</v>
      </c>
      <c r="I130" s="164">
        <v>0.18</v>
      </c>
      <c r="J130" s="31">
        <v>4.0000000000000001E-3</v>
      </c>
      <c r="K130" s="210">
        <v>3</v>
      </c>
    </row>
    <row r="131" spans="1:11" ht="27.75" customHeight="1" x14ac:dyDescent="0.35">
      <c r="A131" s="158" t="s">
        <v>615</v>
      </c>
      <c r="B131" s="25"/>
      <c r="C131" s="165"/>
      <c r="D131" s="130">
        <v>0.13800000000000001</v>
      </c>
      <c r="E131" s="131">
        <v>1.2999999999999999E-2</v>
      </c>
      <c r="F131" s="132" t="s">
        <v>1367</v>
      </c>
      <c r="G131" s="160">
        <v>11.09</v>
      </c>
      <c r="H131" s="160">
        <v>0.16</v>
      </c>
      <c r="I131" s="164">
        <v>0.18</v>
      </c>
      <c r="J131" s="31">
        <v>4.0000000000000001E-3</v>
      </c>
      <c r="K131" s="210">
        <v>3</v>
      </c>
    </row>
    <row r="132" spans="1:11" ht="27.75" customHeight="1" x14ac:dyDescent="0.35">
      <c r="A132" s="158" t="s">
        <v>616</v>
      </c>
      <c r="B132" s="25"/>
      <c r="C132" s="165"/>
      <c r="D132" s="130">
        <v>0.13800000000000001</v>
      </c>
      <c r="E132" s="131">
        <v>1.2999999999999999E-2</v>
      </c>
      <c r="F132" s="132" t="s">
        <v>1367</v>
      </c>
      <c r="G132" s="160">
        <v>22.63</v>
      </c>
      <c r="H132" s="160">
        <v>0.16</v>
      </c>
      <c r="I132" s="164">
        <v>0.18</v>
      </c>
      <c r="J132" s="31">
        <v>4.0000000000000001E-3</v>
      </c>
      <c r="K132" s="210">
        <v>3</v>
      </c>
    </row>
    <row r="133" spans="1:11" ht="27.75" customHeight="1" x14ac:dyDescent="0.35">
      <c r="A133" s="158" t="s">
        <v>617</v>
      </c>
      <c r="B133" s="25"/>
      <c r="C133" s="165"/>
      <c r="D133" s="130">
        <v>0.13800000000000001</v>
      </c>
      <c r="E133" s="131">
        <v>1.2999999999999999E-2</v>
      </c>
      <c r="F133" s="132" t="s">
        <v>1367</v>
      </c>
      <c r="G133" s="160">
        <v>37.57</v>
      </c>
      <c r="H133" s="160">
        <v>0.16</v>
      </c>
      <c r="I133" s="164">
        <v>0.18</v>
      </c>
      <c r="J133" s="31">
        <v>4.0000000000000001E-3</v>
      </c>
      <c r="K133" s="210">
        <v>3</v>
      </c>
    </row>
    <row r="134" spans="1:11" ht="27.75" customHeight="1" x14ac:dyDescent="0.35">
      <c r="A134" s="158" t="s">
        <v>618</v>
      </c>
      <c r="B134" s="25"/>
      <c r="C134" s="165"/>
      <c r="D134" s="130">
        <v>0.13800000000000001</v>
      </c>
      <c r="E134" s="131">
        <v>1.2999999999999999E-2</v>
      </c>
      <c r="F134" s="132" t="s">
        <v>1367</v>
      </c>
      <c r="G134" s="160">
        <v>82.83</v>
      </c>
      <c r="H134" s="160">
        <v>0.16</v>
      </c>
      <c r="I134" s="164">
        <v>0.18</v>
      </c>
      <c r="J134" s="31">
        <v>4.0000000000000001E-3</v>
      </c>
      <c r="K134" s="210">
        <v>3</v>
      </c>
    </row>
    <row r="135" spans="1:11" ht="27.75" customHeight="1" x14ac:dyDescent="0.35">
      <c r="A135" s="158" t="s">
        <v>619</v>
      </c>
      <c r="B135" s="25"/>
      <c r="C135" s="165"/>
      <c r="D135" s="130">
        <v>0.11600000000000001</v>
      </c>
      <c r="E135" s="131">
        <v>0.01</v>
      </c>
      <c r="F135" s="132" t="s">
        <v>1367</v>
      </c>
      <c r="G135" s="160">
        <v>5.16</v>
      </c>
      <c r="H135" s="160">
        <v>0.2</v>
      </c>
      <c r="I135" s="164">
        <v>0.25</v>
      </c>
      <c r="J135" s="31">
        <v>3.0000000000000001E-3</v>
      </c>
      <c r="K135" s="210">
        <v>3</v>
      </c>
    </row>
    <row r="136" spans="1:11" ht="27.75" customHeight="1" x14ac:dyDescent="0.35">
      <c r="A136" s="158" t="s">
        <v>620</v>
      </c>
      <c r="B136" s="25"/>
      <c r="C136" s="165"/>
      <c r="D136" s="130">
        <v>0.11600000000000001</v>
      </c>
      <c r="E136" s="131">
        <v>0.01</v>
      </c>
      <c r="F136" s="132" t="s">
        <v>1367</v>
      </c>
      <c r="G136" s="160">
        <v>61.62</v>
      </c>
      <c r="H136" s="160">
        <v>0.2</v>
      </c>
      <c r="I136" s="164">
        <v>0.25</v>
      </c>
      <c r="J136" s="31">
        <v>3.0000000000000001E-3</v>
      </c>
      <c r="K136" s="210">
        <v>3</v>
      </c>
    </row>
    <row r="137" spans="1:11" ht="27.75" customHeight="1" x14ac:dyDescent="0.35">
      <c r="A137" s="158" t="s">
        <v>621</v>
      </c>
      <c r="B137" s="25"/>
      <c r="C137" s="165"/>
      <c r="D137" s="130">
        <v>0.11600000000000001</v>
      </c>
      <c r="E137" s="131">
        <v>0.01</v>
      </c>
      <c r="F137" s="132" t="s">
        <v>1367</v>
      </c>
      <c r="G137" s="160">
        <v>242.66</v>
      </c>
      <c r="H137" s="160">
        <v>0.2</v>
      </c>
      <c r="I137" s="164">
        <v>0.25</v>
      </c>
      <c r="J137" s="31">
        <v>3.0000000000000001E-3</v>
      </c>
      <c r="K137" s="210">
        <v>3</v>
      </c>
    </row>
    <row r="138" spans="1:11" ht="27.75" customHeight="1" x14ac:dyDescent="0.35">
      <c r="A138" s="158" t="s">
        <v>622</v>
      </c>
      <c r="B138" s="25"/>
      <c r="C138" s="165"/>
      <c r="D138" s="130">
        <v>0.11600000000000001</v>
      </c>
      <c r="E138" s="131">
        <v>0.01</v>
      </c>
      <c r="F138" s="132" t="s">
        <v>1367</v>
      </c>
      <c r="G138" s="160">
        <v>485.54</v>
      </c>
      <c r="H138" s="160">
        <v>0.2</v>
      </c>
      <c r="I138" s="164">
        <v>0.25</v>
      </c>
      <c r="J138" s="31">
        <v>3.0000000000000001E-3</v>
      </c>
      <c r="K138" s="210">
        <v>3</v>
      </c>
    </row>
    <row r="139" spans="1:11" ht="27.75" customHeight="1" x14ac:dyDescent="0.35">
      <c r="A139" s="158" t="s">
        <v>623</v>
      </c>
      <c r="B139" s="25"/>
      <c r="C139" s="165"/>
      <c r="D139" s="130">
        <v>0.11600000000000001</v>
      </c>
      <c r="E139" s="131">
        <v>0.01</v>
      </c>
      <c r="F139" s="132" t="s">
        <v>1367</v>
      </c>
      <c r="G139" s="160">
        <v>1212.25</v>
      </c>
      <c r="H139" s="160">
        <v>0.2</v>
      </c>
      <c r="I139" s="164">
        <v>0.25</v>
      </c>
      <c r="J139" s="31">
        <v>3.0000000000000001E-3</v>
      </c>
      <c r="K139" s="210">
        <v>3</v>
      </c>
    </row>
    <row r="140" spans="1:11" ht="27.75" customHeight="1" x14ac:dyDescent="0.35">
      <c r="A140" s="158" t="s">
        <v>473</v>
      </c>
      <c r="B140" s="25"/>
      <c r="C140" s="165"/>
      <c r="D140" s="133">
        <v>0.46200000000000002</v>
      </c>
      <c r="E140" s="134">
        <v>5.6000000000000001E-2</v>
      </c>
      <c r="F140" s="132">
        <v>3.7999999999999999E-2</v>
      </c>
      <c r="G140" s="161" t="s">
        <v>1367</v>
      </c>
      <c r="H140" s="161" t="s">
        <v>1367</v>
      </c>
      <c r="I140" s="163" t="s">
        <v>1367</v>
      </c>
      <c r="J140" s="32" t="s">
        <v>1367</v>
      </c>
      <c r="K140" s="210">
        <v>3</v>
      </c>
    </row>
    <row r="141" spans="1:11" ht="27.75" customHeight="1" x14ac:dyDescent="0.35">
      <c r="A141" s="158" t="s">
        <v>474</v>
      </c>
      <c r="B141" s="25"/>
      <c r="C141" s="165"/>
      <c r="D141" s="130">
        <v>-0.21299999999999999</v>
      </c>
      <c r="E141" s="131">
        <v>-2.4E-2</v>
      </c>
      <c r="F141" s="132" t="s">
        <v>1367</v>
      </c>
      <c r="G141" s="160" t="s">
        <v>672</v>
      </c>
      <c r="H141" s="161" t="s">
        <v>1367</v>
      </c>
      <c r="I141" s="163" t="s">
        <v>1367</v>
      </c>
      <c r="J141" s="32" t="s">
        <v>1367</v>
      </c>
      <c r="K141" s="210">
        <v>3</v>
      </c>
    </row>
    <row r="142" spans="1:11" ht="27.75" customHeight="1" x14ac:dyDescent="0.35">
      <c r="A142" s="158" t="s">
        <v>475</v>
      </c>
      <c r="B142" s="25"/>
      <c r="C142" s="165"/>
      <c r="D142" s="130">
        <v>-0.21299999999999999</v>
      </c>
      <c r="E142" s="131">
        <v>-2.4E-2</v>
      </c>
      <c r="F142" s="132" t="s">
        <v>1367</v>
      </c>
      <c r="G142" s="160" t="s">
        <v>672</v>
      </c>
      <c r="H142" s="161" t="s">
        <v>1367</v>
      </c>
      <c r="I142" s="163" t="s">
        <v>1367</v>
      </c>
      <c r="J142" s="32" t="s">
        <v>1367</v>
      </c>
      <c r="K142" s="210">
        <v>3</v>
      </c>
    </row>
    <row r="143" spans="1:11" ht="27.75" customHeight="1" x14ac:dyDescent="0.35">
      <c r="A143" s="158" t="s">
        <v>476</v>
      </c>
      <c r="B143" s="25"/>
      <c r="C143" s="165"/>
      <c r="D143" s="130">
        <v>-0.21299999999999999</v>
      </c>
      <c r="E143" s="131">
        <v>-2.4E-2</v>
      </c>
      <c r="F143" s="132" t="s">
        <v>1367</v>
      </c>
      <c r="G143" s="160" t="s">
        <v>672</v>
      </c>
      <c r="H143" s="161" t="s">
        <v>1367</v>
      </c>
      <c r="I143" s="163" t="s">
        <v>1367</v>
      </c>
      <c r="J143" s="31">
        <v>6.0000000000000001E-3</v>
      </c>
      <c r="K143" s="210">
        <v>3</v>
      </c>
    </row>
    <row r="144" spans="1:11" ht="27.75" customHeight="1" x14ac:dyDescent="0.35">
      <c r="A144" s="158" t="s">
        <v>477</v>
      </c>
      <c r="B144" s="25"/>
      <c r="C144" s="165"/>
      <c r="D144" s="130">
        <v>-0.21299999999999999</v>
      </c>
      <c r="E144" s="131">
        <v>-2.4E-2</v>
      </c>
      <c r="F144" s="132" t="s">
        <v>1367</v>
      </c>
      <c r="G144" s="160" t="s">
        <v>672</v>
      </c>
      <c r="H144" s="161" t="s">
        <v>1367</v>
      </c>
      <c r="I144" s="163" t="s">
        <v>1367</v>
      </c>
      <c r="J144" s="31">
        <v>6.0000000000000001E-3</v>
      </c>
      <c r="K144" s="210">
        <v>3</v>
      </c>
    </row>
    <row r="145" spans="1:11" ht="27.75" customHeight="1" x14ac:dyDescent="0.35">
      <c r="A145" s="158" t="s">
        <v>478</v>
      </c>
      <c r="B145" s="25"/>
      <c r="C145" s="165"/>
      <c r="D145" s="130">
        <v>-0.32100000000000001</v>
      </c>
      <c r="E145" s="131">
        <v>-0.03</v>
      </c>
      <c r="F145" s="132" t="s">
        <v>1367</v>
      </c>
      <c r="G145" s="160">
        <v>8.69</v>
      </c>
      <c r="H145" s="161" t="s">
        <v>1367</v>
      </c>
      <c r="I145" s="163" t="s">
        <v>1367</v>
      </c>
      <c r="J145" s="31">
        <v>1.2E-2</v>
      </c>
      <c r="K145" s="210">
        <v>3</v>
      </c>
    </row>
    <row r="146" spans="1:11" ht="27.75" customHeight="1" x14ac:dyDescent="0.35">
      <c r="A146" s="158" t="s">
        <v>580</v>
      </c>
      <c r="B146" s="25"/>
      <c r="C146" s="165"/>
      <c r="D146" s="130" t="s">
        <v>1367</v>
      </c>
      <c r="E146" s="131" t="s">
        <v>1367</v>
      </c>
      <c r="F146" s="132" t="s">
        <v>1367</v>
      </c>
      <c r="G146" s="160">
        <v>9.3800000000000008</v>
      </c>
      <c r="H146" s="161" t="s">
        <v>1367</v>
      </c>
      <c r="I146" s="163" t="s">
        <v>1367</v>
      </c>
      <c r="J146" s="32" t="s">
        <v>1367</v>
      </c>
      <c r="K146" s="210">
        <v>3</v>
      </c>
    </row>
    <row r="147" spans="1:11" ht="27.75" customHeight="1" x14ac:dyDescent="0.35">
      <c r="A147" s="158" t="s">
        <v>581</v>
      </c>
      <c r="B147" s="25"/>
      <c r="C147" s="165"/>
      <c r="D147" s="130" t="s">
        <v>1367</v>
      </c>
      <c r="E147" s="131" t="s">
        <v>1367</v>
      </c>
      <c r="F147" s="132" t="s">
        <v>1367</v>
      </c>
      <c r="G147" s="161" t="s">
        <v>1367</v>
      </c>
      <c r="H147" s="161" t="s">
        <v>1367</v>
      </c>
      <c r="I147" s="163" t="s">
        <v>1367</v>
      </c>
      <c r="J147" s="32" t="s">
        <v>1367</v>
      </c>
      <c r="K147" s="210">
        <v>3</v>
      </c>
    </row>
    <row r="148" spans="1:11" ht="27.75" customHeight="1" x14ac:dyDescent="0.35">
      <c r="A148" s="158" t="s">
        <v>582</v>
      </c>
      <c r="B148" s="25"/>
      <c r="C148" s="165"/>
      <c r="D148" s="130" t="s">
        <v>1367</v>
      </c>
      <c r="E148" s="131" t="s">
        <v>1367</v>
      </c>
      <c r="F148" s="132" t="s">
        <v>1367</v>
      </c>
      <c r="G148" s="160">
        <v>0.03</v>
      </c>
      <c r="H148" s="161" t="s">
        <v>1367</v>
      </c>
      <c r="I148" s="163" t="s">
        <v>1367</v>
      </c>
      <c r="J148" s="32" t="s">
        <v>1367</v>
      </c>
      <c r="K148" s="210">
        <v>3</v>
      </c>
    </row>
    <row r="149" spans="1:11" ht="27.75" customHeight="1" x14ac:dyDescent="0.35">
      <c r="A149" s="158" t="s">
        <v>583</v>
      </c>
      <c r="B149" s="25"/>
      <c r="C149" s="165"/>
      <c r="D149" s="130" t="s">
        <v>1367</v>
      </c>
      <c r="E149" s="131" t="s">
        <v>1367</v>
      </c>
      <c r="F149" s="132" t="s">
        <v>1367</v>
      </c>
      <c r="G149" s="160">
        <v>0.03</v>
      </c>
      <c r="H149" s="161" t="s">
        <v>1367</v>
      </c>
      <c r="I149" s="163" t="s">
        <v>1367</v>
      </c>
      <c r="J149" s="32" t="s">
        <v>1367</v>
      </c>
      <c r="K149" s="210">
        <v>3</v>
      </c>
    </row>
    <row r="150" spans="1:11" ht="27.75" customHeight="1" x14ac:dyDescent="0.35">
      <c r="A150" s="158" t="s">
        <v>584</v>
      </c>
      <c r="B150" s="25"/>
      <c r="C150" s="165"/>
      <c r="D150" s="130" t="s">
        <v>1367</v>
      </c>
      <c r="E150" s="131" t="s">
        <v>1367</v>
      </c>
      <c r="F150" s="132" t="s">
        <v>1367</v>
      </c>
      <c r="G150" s="160">
        <v>0.03</v>
      </c>
      <c r="H150" s="161" t="s">
        <v>1367</v>
      </c>
      <c r="I150" s="163" t="s">
        <v>1367</v>
      </c>
      <c r="J150" s="32" t="s">
        <v>1367</v>
      </c>
      <c r="K150" s="210">
        <v>3</v>
      </c>
    </row>
    <row r="151" spans="1:11" ht="27.75" customHeight="1" x14ac:dyDescent="0.35">
      <c r="A151" s="158" t="s">
        <v>585</v>
      </c>
      <c r="B151" s="25"/>
      <c r="C151" s="165"/>
      <c r="D151" s="130" t="s">
        <v>1367</v>
      </c>
      <c r="E151" s="131" t="s">
        <v>1367</v>
      </c>
      <c r="F151" s="132" t="s">
        <v>1367</v>
      </c>
      <c r="G151" s="160">
        <v>0.03</v>
      </c>
      <c r="H151" s="161" t="s">
        <v>1367</v>
      </c>
      <c r="I151" s="163" t="s">
        <v>1367</v>
      </c>
      <c r="J151" s="32" t="s">
        <v>1367</v>
      </c>
      <c r="K151" s="210">
        <v>3</v>
      </c>
    </row>
    <row r="152" spans="1:11" ht="27.75" customHeight="1" x14ac:dyDescent="0.35">
      <c r="A152" s="158" t="s">
        <v>586</v>
      </c>
      <c r="B152" s="25"/>
      <c r="C152" s="165"/>
      <c r="D152" s="130" t="s">
        <v>1367</v>
      </c>
      <c r="E152" s="131" t="s">
        <v>1367</v>
      </c>
      <c r="F152" s="132" t="s">
        <v>1367</v>
      </c>
      <c r="G152" s="160">
        <v>0.03</v>
      </c>
      <c r="H152" s="161" t="s">
        <v>1367</v>
      </c>
      <c r="I152" s="163" t="s">
        <v>1367</v>
      </c>
      <c r="J152" s="32" t="s">
        <v>1367</v>
      </c>
      <c r="K152" s="210">
        <v>3</v>
      </c>
    </row>
    <row r="153" spans="1:11" ht="27.75" customHeight="1" x14ac:dyDescent="0.35">
      <c r="A153" s="158" t="s">
        <v>479</v>
      </c>
      <c r="B153" s="25"/>
      <c r="C153" s="165"/>
      <c r="D153" s="130" t="s">
        <v>1367</v>
      </c>
      <c r="E153" s="131" t="s">
        <v>1367</v>
      </c>
      <c r="F153" s="132" t="s">
        <v>1367</v>
      </c>
      <c r="G153" s="161" t="s">
        <v>1367</v>
      </c>
      <c r="H153" s="161" t="s">
        <v>1367</v>
      </c>
      <c r="I153" s="163" t="s">
        <v>1367</v>
      </c>
      <c r="J153" s="32" t="s">
        <v>1367</v>
      </c>
      <c r="K153" s="210">
        <v>3</v>
      </c>
    </row>
    <row r="154" spans="1:11" ht="27.75" customHeight="1" x14ac:dyDescent="0.35">
      <c r="A154" s="158" t="s">
        <v>587</v>
      </c>
      <c r="B154" s="25"/>
      <c r="C154" s="165"/>
      <c r="D154" s="130" t="s">
        <v>1367</v>
      </c>
      <c r="E154" s="131" t="s">
        <v>1367</v>
      </c>
      <c r="F154" s="132" t="s">
        <v>1367</v>
      </c>
      <c r="G154" s="160">
        <v>0.03</v>
      </c>
      <c r="H154" s="160" t="s">
        <v>1367</v>
      </c>
      <c r="I154" s="164" t="s">
        <v>1367</v>
      </c>
      <c r="J154" s="31" t="s">
        <v>1367</v>
      </c>
      <c r="K154" s="210">
        <v>3</v>
      </c>
    </row>
    <row r="155" spans="1:11" ht="27.75" customHeight="1" x14ac:dyDescent="0.35">
      <c r="A155" s="158" t="s">
        <v>588</v>
      </c>
      <c r="B155" s="25"/>
      <c r="C155" s="165"/>
      <c r="D155" s="130" t="s">
        <v>1367</v>
      </c>
      <c r="E155" s="131" t="s">
        <v>1367</v>
      </c>
      <c r="F155" s="132" t="s">
        <v>1367</v>
      </c>
      <c r="G155" s="160">
        <v>0.03</v>
      </c>
      <c r="H155" s="160" t="s">
        <v>1367</v>
      </c>
      <c r="I155" s="164" t="s">
        <v>1367</v>
      </c>
      <c r="J155" s="31" t="s">
        <v>1367</v>
      </c>
      <c r="K155" s="210">
        <v>3</v>
      </c>
    </row>
    <row r="156" spans="1:11" ht="27.75" customHeight="1" x14ac:dyDescent="0.35">
      <c r="A156" s="158" t="s">
        <v>589</v>
      </c>
      <c r="B156" s="25"/>
      <c r="C156" s="165"/>
      <c r="D156" s="130" t="s">
        <v>1367</v>
      </c>
      <c r="E156" s="131" t="s">
        <v>1367</v>
      </c>
      <c r="F156" s="132" t="s">
        <v>1367</v>
      </c>
      <c r="G156" s="160">
        <v>0.03</v>
      </c>
      <c r="H156" s="160" t="s">
        <v>1367</v>
      </c>
      <c r="I156" s="164" t="s">
        <v>1367</v>
      </c>
      <c r="J156" s="31" t="s">
        <v>1367</v>
      </c>
      <c r="K156" s="210">
        <v>3</v>
      </c>
    </row>
    <row r="157" spans="1:11" ht="27.75" customHeight="1" x14ac:dyDescent="0.35">
      <c r="A157" s="158" t="s">
        <v>590</v>
      </c>
      <c r="B157" s="25"/>
      <c r="C157" s="165"/>
      <c r="D157" s="130" t="s">
        <v>1367</v>
      </c>
      <c r="E157" s="131" t="s">
        <v>1367</v>
      </c>
      <c r="F157" s="132" t="s">
        <v>1367</v>
      </c>
      <c r="G157" s="160">
        <v>0.03</v>
      </c>
      <c r="H157" s="160" t="s">
        <v>1367</v>
      </c>
      <c r="I157" s="164" t="s">
        <v>1367</v>
      </c>
      <c r="J157" s="31" t="s">
        <v>1367</v>
      </c>
      <c r="K157" s="210">
        <v>3</v>
      </c>
    </row>
    <row r="158" spans="1:11" ht="27.75" customHeight="1" x14ac:dyDescent="0.35">
      <c r="A158" s="158" t="s">
        <v>591</v>
      </c>
      <c r="B158" s="25"/>
      <c r="C158" s="165"/>
      <c r="D158" s="130" t="s">
        <v>1367</v>
      </c>
      <c r="E158" s="131" t="s">
        <v>1367</v>
      </c>
      <c r="F158" s="132" t="s">
        <v>1367</v>
      </c>
      <c r="G158" s="160">
        <v>0.03</v>
      </c>
      <c r="H158" s="160" t="s">
        <v>1367</v>
      </c>
      <c r="I158" s="164" t="s">
        <v>1367</v>
      </c>
      <c r="J158" s="31" t="s">
        <v>1367</v>
      </c>
      <c r="K158" s="210">
        <v>3</v>
      </c>
    </row>
    <row r="159" spans="1:11" ht="27.75" customHeight="1" x14ac:dyDescent="0.35">
      <c r="A159" s="158" t="s">
        <v>592</v>
      </c>
      <c r="B159" s="25"/>
      <c r="C159" s="165"/>
      <c r="D159" s="130" t="s">
        <v>1367</v>
      </c>
      <c r="E159" s="131" t="s">
        <v>1367</v>
      </c>
      <c r="F159" s="132" t="s">
        <v>1367</v>
      </c>
      <c r="G159" s="160">
        <v>0.03</v>
      </c>
      <c r="H159" s="160" t="s">
        <v>1367</v>
      </c>
      <c r="I159" s="164" t="s">
        <v>1367</v>
      </c>
      <c r="J159" s="31" t="s">
        <v>1367</v>
      </c>
      <c r="K159" s="210">
        <v>3</v>
      </c>
    </row>
    <row r="160" spans="1:11" ht="27.75" customHeight="1" x14ac:dyDescent="0.35">
      <c r="A160" s="158" t="s">
        <v>593</v>
      </c>
      <c r="B160" s="25"/>
      <c r="C160" s="165"/>
      <c r="D160" s="130" t="s">
        <v>1367</v>
      </c>
      <c r="E160" s="131" t="s">
        <v>1367</v>
      </c>
      <c r="F160" s="132" t="s">
        <v>1367</v>
      </c>
      <c r="G160" s="160">
        <v>0.03</v>
      </c>
      <c r="H160" s="160" t="s">
        <v>1367</v>
      </c>
      <c r="I160" s="164" t="s">
        <v>1367</v>
      </c>
      <c r="J160" s="31" t="s">
        <v>1367</v>
      </c>
      <c r="K160" s="210">
        <v>3</v>
      </c>
    </row>
    <row r="161" spans="1:11" ht="27.75" customHeight="1" x14ac:dyDescent="0.35">
      <c r="A161" s="158" t="s">
        <v>594</v>
      </c>
      <c r="B161" s="25"/>
      <c r="C161" s="165"/>
      <c r="D161" s="130" t="s">
        <v>1367</v>
      </c>
      <c r="E161" s="131" t="s">
        <v>1367</v>
      </c>
      <c r="F161" s="132" t="s">
        <v>1367</v>
      </c>
      <c r="G161" s="160">
        <v>0.03</v>
      </c>
      <c r="H161" s="160" t="s">
        <v>1367</v>
      </c>
      <c r="I161" s="164" t="s">
        <v>1367</v>
      </c>
      <c r="J161" s="31" t="s">
        <v>1367</v>
      </c>
      <c r="K161" s="210">
        <v>3</v>
      </c>
    </row>
    <row r="162" spans="1:11" ht="27.75" customHeight="1" x14ac:dyDescent="0.35">
      <c r="A162" s="158" t="s">
        <v>595</v>
      </c>
      <c r="B162" s="25"/>
      <c r="C162" s="165"/>
      <c r="D162" s="130" t="s">
        <v>1367</v>
      </c>
      <c r="E162" s="131" t="s">
        <v>1367</v>
      </c>
      <c r="F162" s="132" t="s">
        <v>1367</v>
      </c>
      <c r="G162" s="160">
        <v>0.03</v>
      </c>
      <c r="H162" s="160" t="s">
        <v>1367</v>
      </c>
      <c r="I162" s="164" t="s">
        <v>1367</v>
      </c>
      <c r="J162" s="31" t="s">
        <v>1367</v>
      </c>
      <c r="K162" s="210">
        <v>3</v>
      </c>
    </row>
    <row r="163" spans="1:11" ht="27.75" customHeight="1" x14ac:dyDescent="0.35">
      <c r="A163" s="158" t="s">
        <v>596</v>
      </c>
      <c r="B163" s="25"/>
      <c r="C163" s="165"/>
      <c r="D163" s="130" t="s">
        <v>1367</v>
      </c>
      <c r="E163" s="131" t="s">
        <v>1367</v>
      </c>
      <c r="F163" s="132" t="s">
        <v>1367</v>
      </c>
      <c r="G163" s="160">
        <v>0.03</v>
      </c>
      <c r="H163" s="160" t="s">
        <v>1367</v>
      </c>
      <c r="I163" s="164" t="s">
        <v>1367</v>
      </c>
      <c r="J163" s="31" t="s">
        <v>1367</v>
      </c>
      <c r="K163" s="210">
        <v>3</v>
      </c>
    </row>
    <row r="164" spans="1:11" ht="27.75" customHeight="1" x14ac:dyDescent="0.35">
      <c r="A164" s="158" t="s">
        <v>597</v>
      </c>
      <c r="B164" s="25"/>
      <c r="C164" s="165"/>
      <c r="D164" s="130" t="s">
        <v>1367</v>
      </c>
      <c r="E164" s="131" t="s">
        <v>1367</v>
      </c>
      <c r="F164" s="132" t="s">
        <v>1367</v>
      </c>
      <c r="G164" s="160">
        <v>0.03</v>
      </c>
      <c r="H164" s="160" t="s">
        <v>1367</v>
      </c>
      <c r="I164" s="164" t="s">
        <v>1367</v>
      </c>
      <c r="J164" s="31" t="s">
        <v>1367</v>
      </c>
      <c r="K164" s="210">
        <v>3</v>
      </c>
    </row>
    <row r="165" spans="1:11" ht="27.75" customHeight="1" x14ac:dyDescent="0.35">
      <c r="A165" s="158" t="s">
        <v>598</v>
      </c>
      <c r="B165" s="25"/>
      <c r="C165" s="165"/>
      <c r="D165" s="130" t="s">
        <v>1367</v>
      </c>
      <c r="E165" s="131" t="s">
        <v>1367</v>
      </c>
      <c r="F165" s="132" t="s">
        <v>1367</v>
      </c>
      <c r="G165" s="160">
        <v>0.03</v>
      </c>
      <c r="H165" s="160" t="s">
        <v>1367</v>
      </c>
      <c r="I165" s="164" t="s">
        <v>1367</v>
      </c>
      <c r="J165" s="31" t="s">
        <v>1367</v>
      </c>
      <c r="K165" s="210">
        <v>3</v>
      </c>
    </row>
    <row r="166" spans="1:11" ht="27.75" customHeight="1" x14ac:dyDescent="0.35">
      <c r="A166" s="158" t="s">
        <v>599</v>
      </c>
      <c r="B166" s="25"/>
      <c r="C166" s="165"/>
      <c r="D166" s="130" t="s">
        <v>1367</v>
      </c>
      <c r="E166" s="131" t="s">
        <v>1367</v>
      </c>
      <c r="F166" s="132" t="s">
        <v>1367</v>
      </c>
      <c r="G166" s="160">
        <v>0.03</v>
      </c>
      <c r="H166" s="160" t="s">
        <v>1367</v>
      </c>
      <c r="I166" s="164" t="s">
        <v>1367</v>
      </c>
      <c r="J166" s="31" t="s">
        <v>1367</v>
      </c>
      <c r="K166" s="210">
        <v>3</v>
      </c>
    </row>
    <row r="167" spans="1:11" ht="27.75" customHeight="1" x14ac:dyDescent="0.35">
      <c r="A167" s="158" t="s">
        <v>600</v>
      </c>
      <c r="B167" s="25"/>
      <c r="C167" s="165"/>
      <c r="D167" s="130" t="s">
        <v>1367</v>
      </c>
      <c r="E167" s="131" t="s">
        <v>1367</v>
      </c>
      <c r="F167" s="132" t="s">
        <v>1367</v>
      </c>
      <c r="G167" s="160">
        <v>0.03</v>
      </c>
      <c r="H167" s="160" t="s">
        <v>1367</v>
      </c>
      <c r="I167" s="164" t="s">
        <v>1367</v>
      </c>
      <c r="J167" s="31" t="s">
        <v>1367</v>
      </c>
      <c r="K167" s="210">
        <v>3</v>
      </c>
    </row>
    <row r="168" spans="1:11" ht="27.75" customHeight="1" x14ac:dyDescent="0.35">
      <c r="A168" s="158" t="s">
        <v>601</v>
      </c>
      <c r="B168" s="25"/>
      <c r="C168" s="165"/>
      <c r="D168" s="130" t="s">
        <v>1367</v>
      </c>
      <c r="E168" s="131" t="s">
        <v>1367</v>
      </c>
      <c r="F168" s="132" t="s">
        <v>1367</v>
      </c>
      <c r="G168" s="160">
        <v>0.03</v>
      </c>
      <c r="H168" s="160" t="s">
        <v>1367</v>
      </c>
      <c r="I168" s="164" t="s">
        <v>1367</v>
      </c>
      <c r="J168" s="31" t="s">
        <v>1367</v>
      </c>
      <c r="K168" s="210">
        <v>3</v>
      </c>
    </row>
    <row r="169" spans="1:11" ht="27.75" customHeight="1" x14ac:dyDescent="0.35">
      <c r="A169" s="158" t="s">
        <v>480</v>
      </c>
      <c r="B169" s="25"/>
      <c r="C169" s="165"/>
      <c r="D169" s="133" t="s">
        <v>1367</v>
      </c>
      <c r="E169" s="134" t="s">
        <v>1367</v>
      </c>
      <c r="F169" s="132" t="s">
        <v>1367</v>
      </c>
      <c r="G169" s="161" t="s">
        <v>1367</v>
      </c>
      <c r="H169" s="161" t="s">
        <v>1367</v>
      </c>
      <c r="I169" s="163" t="s">
        <v>1367</v>
      </c>
      <c r="J169" s="32" t="s">
        <v>1367</v>
      </c>
      <c r="K169" s="210">
        <v>3</v>
      </c>
    </row>
    <row r="170" spans="1:11" ht="27.75" customHeight="1" x14ac:dyDescent="0.35">
      <c r="A170" s="158" t="s">
        <v>481</v>
      </c>
      <c r="B170" s="25"/>
      <c r="C170" s="165"/>
      <c r="D170" s="130" t="s">
        <v>1367</v>
      </c>
      <c r="E170" s="131" t="s">
        <v>1367</v>
      </c>
      <c r="F170" s="132" t="s">
        <v>1367</v>
      </c>
      <c r="G170" s="160" t="s">
        <v>672</v>
      </c>
      <c r="H170" s="161" t="s">
        <v>1367</v>
      </c>
      <c r="I170" s="163" t="s">
        <v>1367</v>
      </c>
      <c r="J170" s="32" t="s">
        <v>1367</v>
      </c>
      <c r="K170" s="210">
        <v>3</v>
      </c>
    </row>
    <row r="171" spans="1:11" ht="27.75" customHeight="1" x14ac:dyDescent="0.35">
      <c r="A171" s="158" t="s">
        <v>482</v>
      </c>
      <c r="B171" s="25"/>
      <c r="C171" s="165"/>
      <c r="D171" s="130" t="s">
        <v>1367</v>
      </c>
      <c r="E171" s="131" t="s">
        <v>1367</v>
      </c>
      <c r="F171" s="132" t="s">
        <v>1367</v>
      </c>
      <c r="G171" s="160" t="s">
        <v>672</v>
      </c>
      <c r="H171" s="161" t="s">
        <v>1367</v>
      </c>
      <c r="I171" s="163" t="s">
        <v>1367</v>
      </c>
      <c r="J171" s="32" t="s">
        <v>1367</v>
      </c>
      <c r="K171" s="210">
        <v>3</v>
      </c>
    </row>
    <row r="172" spans="1:11" ht="27.75" customHeight="1" x14ac:dyDescent="0.35">
      <c r="A172" s="158" t="s">
        <v>483</v>
      </c>
      <c r="B172" s="25"/>
      <c r="C172" s="165"/>
      <c r="D172" s="130" t="s">
        <v>1367</v>
      </c>
      <c r="E172" s="131" t="s">
        <v>1367</v>
      </c>
      <c r="F172" s="132" t="s">
        <v>1367</v>
      </c>
      <c r="G172" s="160" t="s">
        <v>672</v>
      </c>
      <c r="H172" s="161" t="s">
        <v>1367</v>
      </c>
      <c r="I172" s="163" t="s">
        <v>1367</v>
      </c>
      <c r="J172" s="31" t="s">
        <v>1367</v>
      </c>
      <c r="K172" s="210">
        <v>3</v>
      </c>
    </row>
    <row r="173" spans="1:11" ht="27.75" customHeight="1" x14ac:dyDescent="0.35">
      <c r="A173" s="158" t="s">
        <v>484</v>
      </c>
      <c r="B173" s="25"/>
      <c r="C173" s="165"/>
      <c r="D173" s="130" t="s">
        <v>1367</v>
      </c>
      <c r="E173" s="131" t="s">
        <v>1367</v>
      </c>
      <c r="F173" s="132" t="s">
        <v>1367</v>
      </c>
      <c r="G173" s="160" t="s">
        <v>672</v>
      </c>
      <c r="H173" s="161" t="s">
        <v>1367</v>
      </c>
      <c r="I173" s="163" t="s">
        <v>1367</v>
      </c>
      <c r="J173" s="31" t="s">
        <v>1367</v>
      </c>
      <c r="K173" s="210">
        <v>3</v>
      </c>
    </row>
    <row r="174" spans="1:11" ht="27.75" customHeight="1" x14ac:dyDescent="0.35">
      <c r="A174" s="158" t="s">
        <v>485</v>
      </c>
      <c r="B174" s="25"/>
      <c r="C174" s="165"/>
      <c r="D174" s="130" t="s">
        <v>1367</v>
      </c>
      <c r="E174" s="131" t="s">
        <v>1367</v>
      </c>
      <c r="F174" s="132" t="s">
        <v>1367</v>
      </c>
      <c r="G174" s="160" t="s">
        <v>672</v>
      </c>
      <c r="H174" s="161" t="s">
        <v>1367</v>
      </c>
      <c r="I174" s="163" t="s">
        <v>1367</v>
      </c>
      <c r="J174" s="31" t="s">
        <v>1367</v>
      </c>
      <c r="K174" s="210">
        <v>3</v>
      </c>
    </row>
    <row r="175" spans="1:11" ht="27.75" customHeight="1" x14ac:dyDescent="0.35">
      <c r="A175" s="158" t="s">
        <v>558</v>
      </c>
      <c r="B175" s="25"/>
      <c r="C175" s="165"/>
      <c r="D175" s="130" t="s">
        <v>672</v>
      </c>
      <c r="E175" s="131" t="s">
        <v>672</v>
      </c>
      <c r="F175" s="132" t="s">
        <v>672</v>
      </c>
      <c r="G175" s="160">
        <v>9.3800000000000008</v>
      </c>
      <c r="H175" s="161" t="s">
        <v>1367</v>
      </c>
      <c r="I175" s="163" t="s">
        <v>1367</v>
      </c>
      <c r="J175" s="32" t="s">
        <v>1367</v>
      </c>
      <c r="K175" s="210">
        <v>3</v>
      </c>
    </row>
    <row r="176" spans="1:11" ht="27.75" customHeight="1" x14ac:dyDescent="0.35">
      <c r="A176" s="158" t="s">
        <v>559</v>
      </c>
      <c r="B176" s="25"/>
      <c r="C176" s="165"/>
      <c r="D176" s="130" t="s">
        <v>672</v>
      </c>
      <c r="E176" s="131" t="s">
        <v>672</v>
      </c>
      <c r="F176" s="132" t="s">
        <v>672</v>
      </c>
      <c r="G176" s="161" t="s">
        <v>1367</v>
      </c>
      <c r="H176" s="161" t="s">
        <v>1367</v>
      </c>
      <c r="I176" s="163" t="s">
        <v>1367</v>
      </c>
      <c r="J176" s="32" t="s">
        <v>1367</v>
      </c>
      <c r="K176" s="210">
        <v>3</v>
      </c>
    </row>
    <row r="177" spans="1:11" ht="27.75" customHeight="1" x14ac:dyDescent="0.35">
      <c r="A177" s="158" t="s">
        <v>560</v>
      </c>
      <c r="B177" s="25"/>
      <c r="C177" s="165"/>
      <c r="D177" s="130" t="s">
        <v>672</v>
      </c>
      <c r="E177" s="131" t="s">
        <v>672</v>
      </c>
      <c r="F177" s="132" t="s">
        <v>672</v>
      </c>
      <c r="G177" s="160">
        <v>0.03</v>
      </c>
      <c r="H177" s="161" t="s">
        <v>1367</v>
      </c>
      <c r="I177" s="163" t="s">
        <v>1367</v>
      </c>
      <c r="J177" s="32" t="s">
        <v>1367</v>
      </c>
      <c r="K177" s="210">
        <v>3</v>
      </c>
    </row>
    <row r="178" spans="1:11" ht="27.75" customHeight="1" x14ac:dyDescent="0.35">
      <c r="A178" s="158" t="s">
        <v>561</v>
      </c>
      <c r="B178" s="25"/>
      <c r="C178" s="165"/>
      <c r="D178" s="130" t="s">
        <v>672</v>
      </c>
      <c r="E178" s="131" t="s">
        <v>672</v>
      </c>
      <c r="F178" s="132" t="s">
        <v>672</v>
      </c>
      <c r="G178" s="160">
        <v>0.03</v>
      </c>
      <c r="H178" s="161" t="s">
        <v>1367</v>
      </c>
      <c r="I178" s="163" t="s">
        <v>1367</v>
      </c>
      <c r="J178" s="32" t="s">
        <v>1367</v>
      </c>
      <c r="K178" s="210">
        <v>3</v>
      </c>
    </row>
    <row r="179" spans="1:11" ht="27.75" customHeight="1" x14ac:dyDescent="0.35">
      <c r="A179" s="158" t="s">
        <v>562</v>
      </c>
      <c r="B179" s="25"/>
      <c r="C179" s="165"/>
      <c r="D179" s="130" t="s">
        <v>672</v>
      </c>
      <c r="E179" s="131" t="s">
        <v>672</v>
      </c>
      <c r="F179" s="132" t="s">
        <v>672</v>
      </c>
      <c r="G179" s="160">
        <v>0.03</v>
      </c>
      <c r="H179" s="161" t="s">
        <v>1367</v>
      </c>
      <c r="I179" s="163" t="s">
        <v>1367</v>
      </c>
      <c r="J179" s="32" t="s">
        <v>1367</v>
      </c>
      <c r="K179" s="210">
        <v>4</v>
      </c>
    </row>
    <row r="180" spans="1:11" ht="27.75" customHeight="1" x14ac:dyDescent="0.35">
      <c r="A180" s="158" t="s">
        <v>563</v>
      </c>
      <c r="B180" s="25"/>
      <c r="C180" s="165"/>
      <c r="D180" s="130" t="s">
        <v>672</v>
      </c>
      <c r="E180" s="131" t="s">
        <v>672</v>
      </c>
      <c r="F180" s="132" t="s">
        <v>672</v>
      </c>
      <c r="G180" s="160">
        <v>0.03</v>
      </c>
      <c r="H180" s="161" t="s">
        <v>1367</v>
      </c>
      <c r="I180" s="163" t="s">
        <v>1367</v>
      </c>
      <c r="J180" s="32" t="s">
        <v>1367</v>
      </c>
      <c r="K180" s="210">
        <v>4</v>
      </c>
    </row>
    <row r="181" spans="1:11" ht="27.75" customHeight="1" x14ac:dyDescent="0.35">
      <c r="A181" s="158" t="s">
        <v>564</v>
      </c>
      <c r="B181" s="25"/>
      <c r="C181" s="165"/>
      <c r="D181" s="130" t="s">
        <v>672</v>
      </c>
      <c r="E181" s="131" t="s">
        <v>672</v>
      </c>
      <c r="F181" s="132" t="s">
        <v>672</v>
      </c>
      <c r="G181" s="160">
        <v>0.03</v>
      </c>
      <c r="H181" s="161" t="s">
        <v>1367</v>
      </c>
      <c r="I181" s="163" t="s">
        <v>1367</v>
      </c>
      <c r="J181" s="32" t="s">
        <v>1367</v>
      </c>
      <c r="K181" s="210">
        <v>4</v>
      </c>
    </row>
    <row r="182" spans="1:11" ht="27.75" customHeight="1" x14ac:dyDescent="0.35">
      <c r="A182" s="158" t="s">
        <v>486</v>
      </c>
      <c r="B182" s="25"/>
      <c r="C182" s="165"/>
      <c r="D182" s="130" t="s">
        <v>672</v>
      </c>
      <c r="E182" s="131" t="s">
        <v>672</v>
      </c>
      <c r="F182" s="132" t="s">
        <v>672</v>
      </c>
      <c r="G182" s="161" t="s">
        <v>1367</v>
      </c>
      <c r="H182" s="161" t="s">
        <v>1367</v>
      </c>
      <c r="I182" s="163" t="s">
        <v>1367</v>
      </c>
      <c r="J182" s="32" t="s">
        <v>1367</v>
      </c>
      <c r="K182" s="210">
        <v>4</v>
      </c>
    </row>
    <row r="183" spans="1:11" ht="27.75" customHeight="1" x14ac:dyDescent="0.35">
      <c r="A183" s="158" t="s">
        <v>565</v>
      </c>
      <c r="B183" s="25"/>
      <c r="C183" s="165"/>
      <c r="D183" s="130" t="s">
        <v>672</v>
      </c>
      <c r="E183" s="131" t="s">
        <v>672</v>
      </c>
      <c r="F183" s="132" t="s">
        <v>672</v>
      </c>
      <c r="G183" s="160">
        <v>0.03</v>
      </c>
      <c r="H183" s="160" t="s">
        <v>672</v>
      </c>
      <c r="I183" s="164" t="s">
        <v>672</v>
      </c>
      <c r="J183" s="31" t="s">
        <v>672</v>
      </c>
      <c r="K183" s="210">
        <v>4</v>
      </c>
    </row>
    <row r="184" spans="1:11" ht="27.75" customHeight="1" x14ac:dyDescent="0.35">
      <c r="A184" s="158" t="s">
        <v>566</v>
      </c>
      <c r="B184" s="25"/>
      <c r="C184" s="165"/>
      <c r="D184" s="130" t="s">
        <v>672</v>
      </c>
      <c r="E184" s="131" t="s">
        <v>672</v>
      </c>
      <c r="F184" s="132" t="s">
        <v>672</v>
      </c>
      <c r="G184" s="160">
        <v>0.03</v>
      </c>
      <c r="H184" s="160" t="s">
        <v>672</v>
      </c>
      <c r="I184" s="164" t="s">
        <v>672</v>
      </c>
      <c r="J184" s="31" t="s">
        <v>672</v>
      </c>
      <c r="K184" s="210">
        <v>4</v>
      </c>
    </row>
    <row r="185" spans="1:11" ht="27.75" customHeight="1" x14ac:dyDescent="0.35">
      <c r="A185" s="158" t="s">
        <v>567</v>
      </c>
      <c r="B185" s="25"/>
      <c r="C185" s="165"/>
      <c r="D185" s="130" t="s">
        <v>672</v>
      </c>
      <c r="E185" s="131" t="s">
        <v>672</v>
      </c>
      <c r="F185" s="132" t="s">
        <v>672</v>
      </c>
      <c r="G185" s="160">
        <v>0.03</v>
      </c>
      <c r="H185" s="160" t="s">
        <v>672</v>
      </c>
      <c r="I185" s="164" t="s">
        <v>672</v>
      </c>
      <c r="J185" s="31" t="s">
        <v>672</v>
      </c>
      <c r="K185" s="210">
        <v>4</v>
      </c>
    </row>
    <row r="186" spans="1:11" ht="27.75" customHeight="1" x14ac:dyDescent="0.35">
      <c r="A186" s="158" t="s">
        <v>568</v>
      </c>
      <c r="B186" s="25"/>
      <c r="C186" s="165"/>
      <c r="D186" s="130" t="s">
        <v>672</v>
      </c>
      <c r="E186" s="131" t="s">
        <v>672</v>
      </c>
      <c r="F186" s="132" t="s">
        <v>672</v>
      </c>
      <c r="G186" s="160">
        <v>0.03</v>
      </c>
      <c r="H186" s="160" t="s">
        <v>672</v>
      </c>
      <c r="I186" s="164" t="s">
        <v>672</v>
      </c>
      <c r="J186" s="31" t="s">
        <v>672</v>
      </c>
      <c r="K186" s="210">
        <v>4</v>
      </c>
    </row>
    <row r="187" spans="1:11" ht="27.75" customHeight="1" x14ac:dyDescent="0.35">
      <c r="A187" s="158" t="s">
        <v>569</v>
      </c>
      <c r="B187" s="25"/>
      <c r="C187" s="165"/>
      <c r="D187" s="130" t="s">
        <v>672</v>
      </c>
      <c r="E187" s="131" t="s">
        <v>672</v>
      </c>
      <c r="F187" s="132" t="s">
        <v>672</v>
      </c>
      <c r="G187" s="160">
        <v>0.03</v>
      </c>
      <c r="H187" s="160" t="s">
        <v>672</v>
      </c>
      <c r="I187" s="164" t="s">
        <v>672</v>
      </c>
      <c r="J187" s="31" t="s">
        <v>672</v>
      </c>
      <c r="K187" s="210">
        <v>4</v>
      </c>
    </row>
    <row r="188" spans="1:11" ht="27.75" customHeight="1" x14ac:dyDescent="0.35">
      <c r="A188" s="158" t="s">
        <v>570</v>
      </c>
      <c r="B188" s="25"/>
      <c r="C188" s="165"/>
      <c r="D188" s="130" t="s">
        <v>672</v>
      </c>
      <c r="E188" s="131" t="s">
        <v>672</v>
      </c>
      <c r="F188" s="132" t="s">
        <v>672</v>
      </c>
      <c r="G188" s="160">
        <v>0.03</v>
      </c>
      <c r="H188" s="160" t="s">
        <v>672</v>
      </c>
      <c r="I188" s="164" t="s">
        <v>672</v>
      </c>
      <c r="J188" s="31" t="s">
        <v>672</v>
      </c>
      <c r="K188" s="210">
        <v>4</v>
      </c>
    </row>
    <row r="189" spans="1:11" ht="27.75" customHeight="1" x14ac:dyDescent="0.35">
      <c r="A189" s="158" t="s">
        <v>571</v>
      </c>
      <c r="B189" s="25"/>
      <c r="C189" s="165"/>
      <c r="D189" s="130" t="s">
        <v>672</v>
      </c>
      <c r="E189" s="131" t="s">
        <v>672</v>
      </c>
      <c r="F189" s="132" t="s">
        <v>672</v>
      </c>
      <c r="G189" s="160">
        <v>0.03</v>
      </c>
      <c r="H189" s="160" t="s">
        <v>672</v>
      </c>
      <c r="I189" s="164" t="s">
        <v>672</v>
      </c>
      <c r="J189" s="31" t="s">
        <v>672</v>
      </c>
      <c r="K189" s="210">
        <v>4</v>
      </c>
    </row>
    <row r="190" spans="1:11" ht="27.75" customHeight="1" x14ac:dyDescent="0.35">
      <c r="A190" s="158" t="s">
        <v>572</v>
      </c>
      <c r="B190" s="25"/>
      <c r="C190" s="165"/>
      <c r="D190" s="130" t="s">
        <v>672</v>
      </c>
      <c r="E190" s="131" t="s">
        <v>672</v>
      </c>
      <c r="F190" s="132" t="s">
        <v>672</v>
      </c>
      <c r="G190" s="160">
        <v>0.03</v>
      </c>
      <c r="H190" s="160" t="s">
        <v>672</v>
      </c>
      <c r="I190" s="164" t="s">
        <v>672</v>
      </c>
      <c r="J190" s="31" t="s">
        <v>672</v>
      </c>
      <c r="K190" s="210">
        <v>4</v>
      </c>
    </row>
    <row r="191" spans="1:11" ht="27.75" customHeight="1" x14ac:dyDescent="0.35">
      <c r="A191" s="158" t="s">
        <v>573</v>
      </c>
      <c r="B191" s="25"/>
      <c r="C191" s="165"/>
      <c r="D191" s="130" t="s">
        <v>672</v>
      </c>
      <c r="E191" s="131" t="s">
        <v>672</v>
      </c>
      <c r="F191" s="132" t="s">
        <v>672</v>
      </c>
      <c r="G191" s="160">
        <v>0.03</v>
      </c>
      <c r="H191" s="160" t="s">
        <v>672</v>
      </c>
      <c r="I191" s="164" t="s">
        <v>672</v>
      </c>
      <c r="J191" s="31" t="s">
        <v>672</v>
      </c>
      <c r="K191" s="210">
        <v>4</v>
      </c>
    </row>
    <row r="192" spans="1:11" ht="27.75" customHeight="1" x14ac:dyDescent="0.35">
      <c r="A192" s="158" t="s">
        <v>574</v>
      </c>
      <c r="B192" s="25"/>
      <c r="C192" s="165"/>
      <c r="D192" s="130" t="s">
        <v>672</v>
      </c>
      <c r="E192" s="131" t="s">
        <v>672</v>
      </c>
      <c r="F192" s="132" t="s">
        <v>672</v>
      </c>
      <c r="G192" s="160">
        <v>0.03</v>
      </c>
      <c r="H192" s="160" t="s">
        <v>672</v>
      </c>
      <c r="I192" s="164" t="s">
        <v>672</v>
      </c>
      <c r="J192" s="31" t="s">
        <v>672</v>
      </c>
      <c r="K192" s="210">
        <v>4</v>
      </c>
    </row>
    <row r="193" spans="1:11" ht="27.75" customHeight="1" x14ac:dyDescent="0.35">
      <c r="A193" s="158" t="s">
        <v>575</v>
      </c>
      <c r="B193" s="25"/>
      <c r="C193" s="165"/>
      <c r="D193" s="130" t="s">
        <v>672</v>
      </c>
      <c r="E193" s="131" t="s">
        <v>672</v>
      </c>
      <c r="F193" s="132" t="s">
        <v>672</v>
      </c>
      <c r="G193" s="160">
        <v>0.03</v>
      </c>
      <c r="H193" s="160" t="s">
        <v>672</v>
      </c>
      <c r="I193" s="164" t="s">
        <v>672</v>
      </c>
      <c r="J193" s="31" t="s">
        <v>672</v>
      </c>
      <c r="K193" s="210">
        <v>4</v>
      </c>
    </row>
    <row r="194" spans="1:11" ht="27.75" customHeight="1" x14ac:dyDescent="0.35">
      <c r="A194" s="158" t="s">
        <v>576</v>
      </c>
      <c r="B194" s="25"/>
      <c r="C194" s="165"/>
      <c r="D194" s="130" t="s">
        <v>672</v>
      </c>
      <c r="E194" s="131" t="s">
        <v>672</v>
      </c>
      <c r="F194" s="132" t="s">
        <v>672</v>
      </c>
      <c r="G194" s="160">
        <v>0.03</v>
      </c>
      <c r="H194" s="160" t="s">
        <v>672</v>
      </c>
      <c r="I194" s="164" t="s">
        <v>672</v>
      </c>
      <c r="J194" s="31" t="s">
        <v>672</v>
      </c>
      <c r="K194" s="210">
        <v>4</v>
      </c>
    </row>
    <row r="195" spans="1:11" ht="27.75" customHeight="1" x14ac:dyDescent="0.35">
      <c r="A195" s="158" t="s">
        <v>577</v>
      </c>
      <c r="B195" s="25"/>
      <c r="C195" s="165"/>
      <c r="D195" s="130" t="s">
        <v>672</v>
      </c>
      <c r="E195" s="131" t="s">
        <v>672</v>
      </c>
      <c r="F195" s="132" t="s">
        <v>672</v>
      </c>
      <c r="G195" s="160">
        <v>0.03</v>
      </c>
      <c r="H195" s="160" t="s">
        <v>672</v>
      </c>
      <c r="I195" s="164" t="s">
        <v>672</v>
      </c>
      <c r="J195" s="31" t="s">
        <v>672</v>
      </c>
      <c r="K195" s="210">
        <v>4</v>
      </c>
    </row>
    <row r="196" spans="1:11" ht="27.75" customHeight="1" x14ac:dyDescent="0.35">
      <c r="A196" s="158" t="s">
        <v>578</v>
      </c>
      <c r="B196" s="25"/>
      <c r="C196" s="165"/>
      <c r="D196" s="130" t="s">
        <v>672</v>
      </c>
      <c r="E196" s="131" t="s">
        <v>672</v>
      </c>
      <c r="F196" s="132" t="s">
        <v>672</v>
      </c>
      <c r="G196" s="160">
        <v>0.03</v>
      </c>
      <c r="H196" s="160" t="s">
        <v>672</v>
      </c>
      <c r="I196" s="164" t="s">
        <v>672</v>
      </c>
      <c r="J196" s="31" t="s">
        <v>672</v>
      </c>
      <c r="K196" s="210">
        <v>4</v>
      </c>
    </row>
    <row r="197" spans="1:11" ht="27.75" customHeight="1" x14ac:dyDescent="0.35">
      <c r="A197" s="158" t="s">
        <v>579</v>
      </c>
      <c r="B197" s="25"/>
      <c r="C197" s="165"/>
      <c r="D197" s="130" t="s">
        <v>672</v>
      </c>
      <c r="E197" s="131" t="s">
        <v>672</v>
      </c>
      <c r="F197" s="132" t="s">
        <v>672</v>
      </c>
      <c r="G197" s="160">
        <v>0.03</v>
      </c>
      <c r="H197" s="160" t="s">
        <v>672</v>
      </c>
      <c r="I197" s="164" t="s">
        <v>672</v>
      </c>
      <c r="J197" s="31" t="s">
        <v>672</v>
      </c>
      <c r="K197" s="210">
        <v>4</v>
      </c>
    </row>
    <row r="198" spans="1:11" ht="27.75" customHeight="1" x14ac:dyDescent="0.35">
      <c r="A198" s="158" t="s">
        <v>487</v>
      </c>
      <c r="B198" s="25"/>
      <c r="C198" s="165"/>
      <c r="D198" s="133" t="s">
        <v>672</v>
      </c>
      <c r="E198" s="134" t="s">
        <v>672</v>
      </c>
      <c r="F198" s="132" t="s">
        <v>672</v>
      </c>
      <c r="G198" s="161" t="s">
        <v>1367</v>
      </c>
      <c r="H198" s="161" t="s">
        <v>1367</v>
      </c>
      <c r="I198" s="163" t="s">
        <v>1367</v>
      </c>
      <c r="J198" s="32" t="s">
        <v>1367</v>
      </c>
      <c r="K198" s="210">
        <v>4</v>
      </c>
    </row>
    <row r="199" spans="1:11" ht="27.75" customHeight="1" x14ac:dyDescent="0.35">
      <c r="A199" s="158" t="s">
        <v>488</v>
      </c>
      <c r="B199" s="25"/>
      <c r="C199" s="165"/>
      <c r="D199" s="130" t="s">
        <v>672</v>
      </c>
      <c r="E199" s="131" t="s">
        <v>672</v>
      </c>
      <c r="F199" s="132" t="s">
        <v>672</v>
      </c>
      <c r="G199" s="160" t="s">
        <v>672</v>
      </c>
      <c r="H199" s="161" t="s">
        <v>1367</v>
      </c>
      <c r="I199" s="163" t="s">
        <v>1367</v>
      </c>
      <c r="J199" s="32" t="s">
        <v>1367</v>
      </c>
      <c r="K199" s="210">
        <v>4</v>
      </c>
    </row>
    <row r="200" spans="1:11" ht="27.75" customHeight="1" x14ac:dyDescent="0.35">
      <c r="A200" s="158" t="s">
        <v>489</v>
      </c>
      <c r="B200" s="25"/>
      <c r="C200" s="165"/>
      <c r="D200" s="130" t="s">
        <v>672</v>
      </c>
      <c r="E200" s="131" t="s">
        <v>672</v>
      </c>
      <c r="F200" s="132" t="s">
        <v>672</v>
      </c>
      <c r="G200" s="160" t="s">
        <v>672</v>
      </c>
      <c r="H200" s="161" t="s">
        <v>1367</v>
      </c>
      <c r="I200" s="163" t="s">
        <v>1367</v>
      </c>
      <c r="J200" s="32" t="s">
        <v>1367</v>
      </c>
      <c r="K200" s="210">
        <v>4</v>
      </c>
    </row>
    <row r="201" spans="1:11" ht="27.75" customHeight="1" x14ac:dyDescent="0.35">
      <c r="A201" s="158" t="s">
        <v>490</v>
      </c>
      <c r="B201" s="25"/>
      <c r="C201" s="165"/>
      <c r="D201" s="130" t="s">
        <v>672</v>
      </c>
      <c r="E201" s="131" t="s">
        <v>672</v>
      </c>
      <c r="F201" s="132" t="s">
        <v>672</v>
      </c>
      <c r="G201" s="160" t="s">
        <v>672</v>
      </c>
      <c r="H201" s="161" t="s">
        <v>1367</v>
      </c>
      <c r="I201" s="163" t="s">
        <v>1367</v>
      </c>
      <c r="J201" s="31" t="s">
        <v>672</v>
      </c>
      <c r="K201" s="210">
        <v>4</v>
      </c>
    </row>
    <row r="202" spans="1:11" ht="27.75" customHeight="1" x14ac:dyDescent="0.35">
      <c r="A202" s="158" t="s">
        <v>491</v>
      </c>
      <c r="B202" s="25"/>
      <c r="C202" s="165"/>
      <c r="D202" s="130" t="s">
        <v>672</v>
      </c>
      <c r="E202" s="131" t="s">
        <v>672</v>
      </c>
      <c r="F202" s="132" t="s">
        <v>672</v>
      </c>
      <c r="G202" s="160" t="s">
        <v>672</v>
      </c>
      <c r="H202" s="161" t="s">
        <v>1367</v>
      </c>
      <c r="I202" s="163" t="s">
        <v>1367</v>
      </c>
      <c r="J202" s="31" t="s">
        <v>672</v>
      </c>
      <c r="K202" s="210">
        <v>4</v>
      </c>
    </row>
    <row r="203" spans="1:11" ht="27.75" customHeight="1" x14ac:dyDescent="0.35">
      <c r="A203" s="158" t="s">
        <v>492</v>
      </c>
      <c r="B203" s="25"/>
      <c r="C203" s="165"/>
      <c r="D203" s="130" t="s">
        <v>672</v>
      </c>
      <c r="E203" s="131" t="s">
        <v>672</v>
      </c>
      <c r="F203" s="132" t="s">
        <v>672</v>
      </c>
      <c r="G203" s="160" t="s">
        <v>672</v>
      </c>
      <c r="H203" s="161" t="s">
        <v>1367</v>
      </c>
      <c r="I203" s="163" t="s">
        <v>1367</v>
      </c>
      <c r="J203" s="31" t="s">
        <v>672</v>
      </c>
      <c r="K203" s="210">
        <v>4</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3">
    <mergeCell ref="F10:G10"/>
    <mergeCell ref="H10:J10"/>
    <mergeCell ref="F9:G9"/>
    <mergeCell ref="B8:D8"/>
    <mergeCell ref="A4:D4"/>
    <mergeCell ref="F6:G6"/>
    <mergeCell ref="F7:G7"/>
    <mergeCell ref="F8:G8"/>
    <mergeCell ref="B1:D1"/>
    <mergeCell ref="F1:H1"/>
    <mergeCell ref="A2:J2"/>
    <mergeCell ref="F4:J4"/>
    <mergeCell ref="F5:G5"/>
  </mergeCells>
  <phoneticPr fontId="6"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4" fitToHeight="0" orientation="portrait" r:id="rId2"/>
  <headerFooter differentFirst="1" scaleWithDoc="0">
    <oddFooter>&amp;LNote: Where a tariff only has a p/kWh unit rate in Unit Charge 1 then this unit rate applies at all times.&amp;R&amp;P of &amp;N&amp;C&amp;1#&amp;"Calibri"&amp;12&amp;K008000Internal Use</oddFooter>
    <firstHeader>&amp;L
Annex 4 - Charges applied to LDNOs with HV/LV end users</firstHeader>
    <firstFooter>&amp;LNote: Where a tariff only has a p/kWh unit rate in Unit Charge 1 then this unit rate applies at all times.&amp;R&amp;P of &amp;N&amp;C&amp;1#&amp;"Calibri"&amp;12&amp;K008000Internal Use</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XES244"/>
  <sheetViews>
    <sheetView topLeftCell="A13" workbookViewId="0">
      <selection activeCell="B18" sqref="B18:D18"/>
    </sheetView>
  </sheetViews>
  <sheetFormatPr defaultRowHeight="12.75" x14ac:dyDescent="0.35"/>
  <cols>
    <col min="1" max="1" width="45.265625" customWidth="1"/>
    <col min="2" max="5" width="24" customWidth="1"/>
    <col min="6" max="6" width="45.73046875" customWidth="1"/>
    <col min="7" max="7" width="11.73046875" customWidth="1"/>
    <col min="8" max="8" width="10.59765625" bestFit="1" customWidth="1"/>
  </cols>
  <sheetData>
    <row r="1" spans="1:16373" s="2" customFormat="1" ht="27.75" customHeight="1" x14ac:dyDescent="0.35">
      <c r="A1" s="127" t="s">
        <v>24</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row>
    <row r="2" spans="1:16373" s="2" customFormat="1" ht="44.25" customHeight="1" x14ac:dyDescent="0.35">
      <c r="A2" s="304" t="s">
        <v>160</v>
      </c>
      <c r="B2" s="305"/>
      <c r="C2" s="305"/>
      <c r="D2" s="305"/>
      <c r="E2" s="305"/>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row>
    <row r="3" spans="1:16373" ht="47.25" customHeight="1" x14ac:dyDescent="0.35">
      <c r="A3" s="261" t="str">
        <f>Overview!B4&amp; " - Illustrative LLFs for year beginning "&amp;Overview!D4</f>
        <v>SP Distribution - Illustrative LLFs for year beginning 1 April 2022</v>
      </c>
      <c r="B3" s="261"/>
      <c r="C3" s="261"/>
      <c r="D3" s="261"/>
      <c r="E3" s="261"/>
    </row>
    <row r="4" spans="1:16373" ht="19.5" customHeight="1" x14ac:dyDescent="0.35">
      <c r="A4" s="306" t="s">
        <v>13</v>
      </c>
      <c r="B4" s="20" t="s">
        <v>5</v>
      </c>
      <c r="C4" s="20" t="s">
        <v>6</v>
      </c>
      <c r="D4" s="20" t="s">
        <v>7</v>
      </c>
      <c r="E4" s="20" t="s">
        <v>8</v>
      </c>
    </row>
    <row r="5" spans="1:16373" ht="19.5" customHeight="1" x14ac:dyDescent="0.35">
      <c r="A5" s="307"/>
      <c r="B5" s="20" t="s">
        <v>14</v>
      </c>
      <c r="C5" s="20" t="s">
        <v>15</v>
      </c>
      <c r="D5" s="20" t="s">
        <v>16</v>
      </c>
      <c r="E5" s="20" t="s">
        <v>17</v>
      </c>
    </row>
    <row r="6" spans="1:16373" ht="45" customHeight="1" x14ac:dyDescent="0.35">
      <c r="A6" s="221" t="s">
        <v>749</v>
      </c>
      <c r="B6" s="222" t="s">
        <v>1401</v>
      </c>
      <c r="C6" s="222" t="s">
        <v>1402</v>
      </c>
      <c r="D6" s="223"/>
      <c r="E6" s="223"/>
    </row>
    <row r="7" spans="1:16373" ht="45" customHeight="1" x14ac:dyDescent="0.35">
      <c r="A7" s="221" t="s">
        <v>750</v>
      </c>
      <c r="B7" s="222" t="s">
        <v>1401</v>
      </c>
      <c r="C7" s="222" t="s">
        <v>1403</v>
      </c>
      <c r="D7" s="224" t="s">
        <v>1404</v>
      </c>
      <c r="E7" s="222" t="s">
        <v>1405</v>
      </c>
    </row>
    <row r="8" spans="1:16373" ht="45" customHeight="1" x14ac:dyDescent="0.35">
      <c r="A8" s="221" t="s">
        <v>20</v>
      </c>
      <c r="B8" s="222" t="s">
        <v>1401</v>
      </c>
      <c r="C8" s="222" t="s">
        <v>1402</v>
      </c>
      <c r="D8" s="223"/>
      <c r="E8" s="223"/>
    </row>
    <row r="9" spans="1:16373" ht="25.5" customHeight="1" x14ac:dyDescent="0.35">
      <c r="A9" s="217" t="s">
        <v>18</v>
      </c>
      <c r="B9" s="301" t="s">
        <v>19</v>
      </c>
      <c r="C9" s="302"/>
      <c r="D9" s="302"/>
      <c r="E9" s="303"/>
    </row>
    <row r="10" spans="1:16373" ht="13.15" x14ac:dyDescent="0.35">
      <c r="A10" s="14"/>
      <c r="B10" s="13"/>
      <c r="C10" s="13"/>
      <c r="D10" s="13"/>
      <c r="E10" s="13"/>
    </row>
    <row r="11" spans="1:16373" x14ac:dyDescent="0.35">
      <c r="B11" s="13"/>
      <c r="C11" s="13"/>
      <c r="D11" s="13"/>
      <c r="E11" s="13"/>
    </row>
    <row r="12" spans="1:16373" ht="22.5" customHeight="1" x14ac:dyDescent="0.35">
      <c r="A12" s="265" t="s">
        <v>48</v>
      </c>
      <c r="B12" s="308"/>
      <c r="C12" s="308"/>
      <c r="D12" s="308"/>
      <c r="E12" s="308"/>
      <c r="F12" s="266"/>
    </row>
    <row r="13" spans="1:16373" ht="22.5" customHeight="1" x14ac:dyDescent="0.35">
      <c r="A13" s="265" t="s">
        <v>4</v>
      </c>
      <c r="B13" s="308"/>
      <c r="C13" s="308"/>
      <c r="D13" s="308"/>
      <c r="E13" s="308"/>
      <c r="F13" s="266"/>
    </row>
    <row r="14" spans="1:16373" ht="33" customHeight="1" x14ac:dyDescent="0.35">
      <c r="A14" s="20" t="s">
        <v>49</v>
      </c>
      <c r="B14" s="20" t="s">
        <v>5</v>
      </c>
      <c r="C14" s="20" t="s">
        <v>6</v>
      </c>
      <c r="D14" s="20" t="s">
        <v>7</v>
      </c>
      <c r="E14" s="20" t="s">
        <v>8</v>
      </c>
      <c r="F14" s="20" t="s">
        <v>9</v>
      </c>
    </row>
    <row r="15" spans="1:16373" ht="157.5" customHeight="1" x14ac:dyDescent="0.35">
      <c r="A15" s="1" t="s">
        <v>50</v>
      </c>
      <c r="B15" s="199">
        <v>1.089</v>
      </c>
      <c r="C15" s="199">
        <v>1.105</v>
      </c>
      <c r="D15" s="199">
        <v>1.1220000000000001</v>
      </c>
      <c r="E15" s="199">
        <v>1.135</v>
      </c>
      <c r="F15" s="1" t="s">
        <v>1406</v>
      </c>
    </row>
    <row r="16" spans="1:16373" ht="65.25" customHeight="1" x14ac:dyDescent="0.35">
      <c r="A16" s="1" t="s">
        <v>51</v>
      </c>
      <c r="B16" s="199">
        <v>1.0449999999999999</v>
      </c>
      <c r="C16" s="199">
        <v>1.044</v>
      </c>
      <c r="D16" s="199">
        <v>1.046</v>
      </c>
      <c r="E16" s="199">
        <v>1.048</v>
      </c>
      <c r="F16" s="1" t="s">
        <v>1407</v>
      </c>
    </row>
    <row r="17" spans="1:6" ht="59.25" customHeight="1" x14ac:dyDescent="0.35">
      <c r="A17" s="1" t="s">
        <v>52</v>
      </c>
      <c r="B17" s="225">
        <v>1.0229999999999999</v>
      </c>
      <c r="C17" s="225">
        <v>1.0249999999999999</v>
      </c>
      <c r="D17" s="225">
        <v>1.028</v>
      </c>
      <c r="E17" s="225">
        <v>1.03</v>
      </c>
      <c r="F17" s="1" t="s">
        <v>1408</v>
      </c>
    </row>
    <row r="18" spans="1:6" ht="54" customHeight="1" x14ac:dyDescent="0.35">
      <c r="A18" s="1" t="s">
        <v>53</v>
      </c>
      <c r="B18" s="199">
        <v>1.0129999999999999</v>
      </c>
      <c r="C18" s="199">
        <v>1.0129999999999999</v>
      </c>
      <c r="D18" s="199">
        <v>1.0129999999999999</v>
      </c>
      <c r="E18" s="199">
        <v>1.0129999999999999</v>
      </c>
      <c r="F18" s="1" t="s">
        <v>751</v>
      </c>
    </row>
    <row r="19" spans="1:6" ht="22.5" customHeight="1" x14ac:dyDescent="0.35">
      <c r="A19" s="1" t="s">
        <v>725</v>
      </c>
      <c r="B19" s="199">
        <v>1.0029999999999999</v>
      </c>
      <c r="C19" s="199">
        <v>1.004</v>
      </c>
      <c r="D19" s="199">
        <v>1.004</v>
      </c>
      <c r="E19" s="199">
        <v>1.0049999999999999</v>
      </c>
      <c r="F19" s="12"/>
    </row>
    <row r="20" spans="1:6" ht="22.5" customHeight="1" x14ac:dyDescent="0.35">
      <c r="A20" s="1" t="s">
        <v>726</v>
      </c>
      <c r="B20" s="225">
        <v>1</v>
      </c>
      <c r="C20" s="225">
        <v>1</v>
      </c>
      <c r="D20" s="225">
        <v>1</v>
      </c>
      <c r="E20" s="225">
        <v>1</v>
      </c>
      <c r="F20" s="12"/>
    </row>
    <row r="21" spans="1:6" ht="22.5" customHeight="1" x14ac:dyDescent="0.35">
      <c r="A21" s="1" t="s">
        <v>727</v>
      </c>
      <c r="B21" s="226"/>
      <c r="C21" s="226"/>
      <c r="D21" s="226"/>
      <c r="E21" s="226"/>
      <c r="F21" s="12"/>
    </row>
    <row r="22" spans="1:6" ht="22.5" customHeight="1" x14ac:dyDescent="0.35">
      <c r="A22" s="1" t="s">
        <v>728</v>
      </c>
      <c r="B22" s="226"/>
      <c r="C22" s="226"/>
      <c r="D22" s="226"/>
      <c r="E22" s="226"/>
      <c r="F22" s="12"/>
    </row>
    <row r="24" spans="1:6" ht="22.5" customHeight="1" x14ac:dyDescent="0.35">
      <c r="A24" s="265" t="s">
        <v>54</v>
      </c>
      <c r="B24" s="308"/>
      <c r="C24" s="308"/>
      <c r="D24" s="308"/>
      <c r="E24" s="308"/>
      <c r="F24" s="266"/>
    </row>
    <row r="25" spans="1:6" ht="22.5" customHeight="1" x14ac:dyDescent="0.35">
      <c r="A25" s="265" t="s">
        <v>11</v>
      </c>
      <c r="B25" s="308"/>
      <c r="C25" s="308"/>
      <c r="D25" s="308"/>
      <c r="E25" s="308"/>
      <c r="F25" s="266"/>
    </row>
    <row r="26" spans="1:6" ht="33" customHeight="1" x14ac:dyDescent="0.35">
      <c r="A26" s="20" t="s">
        <v>10</v>
      </c>
      <c r="B26" s="20" t="s">
        <v>5</v>
      </c>
      <c r="C26" s="20" t="s">
        <v>6</v>
      </c>
      <c r="D26" s="20" t="s">
        <v>7</v>
      </c>
      <c r="E26" s="20" t="s">
        <v>8</v>
      </c>
      <c r="F26" s="20" t="s">
        <v>9</v>
      </c>
    </row>
    <row r="27" spans="1:6" ht="22.5" customHeight="1" x14ac:dyDescent="0.35">
      <c r="A27" s="1" t="s">
        <v>776</v>
      </c>
      <c r="B27" s="199">
        <v>1.0029999999999999</v>
      </c>
      <c r="C27" s="199">
        <v>1.004</v>
      </c>
      <c r="D27" s="199">
        <v>1.004</v>
      </c>
      <c r="E27" s="199">
        <v>1.0049999999999999</v>
      </c>
      <c r="F27" s="199">
        <v>800</v>
      </c>
    </row>
    <row r="28" spans="1:6" ht="22.5" customHeight="1" x14ac:dyDescent="0.35">
      <c r="A28" s="1" t="s">
        <v>777</v>
      </c>
      <c r="B28" s="199">
        <v>1.0029999999999999</v>
      </c>
      <c r="C28" s="199">
        <v>1.004</v>
      </c>
      <c r="D28" s="199">
        <v>1.0049999999999999</v>
      </c>
      <c r="E28" s="199">
        <v>1.0049999999999999</v>
      </c>
      <c r="F28" s="199">
        <v>801</v>
      </c>
    </row>
    <row r="29" spans="1:6" ht="22.5" customHeight="1" x14ac:dyDescent="0.35">
      <c r="A29" s="1" t="s">
        <v>778</v>
      </c>
      <c r="B29" s="199">
        <v>1.0029999999999999</v>
      </c>
      <c r="C29" s="199">
        <v>1.004</v>
      </c>
      <c r="D29" s="199">
        <v>1.0049999999999999</v>
      </c>
      <c r="E29" s="199">
        <v>1.0049999999999999</v>
      </c>
      <c r="F29" s="199">
        <v>802</v>
      </c>
    </row>
    <row r="30" spans="1:6" ht="22.5" customHeight="1" x14ac:dyDescent="0.35">
      <c r="A30" s="1" t="s">
        <v>779</v>
      </c>
      <c r="B30" s="199">
        <v>1.0029999999999999</v>
      </c>
      <c r="C30" s="199">
        <v>1.004</v>
      </c>
      <c r="D30" s="199">
        <v>1.0049999999999999</v>
      </c>
      <c r="E30" s="199">
        <v>1.0049999999999999</v>
      </c>
      <c r="F30" s="199">
        <v>803</v>
      </c>
    </row>
    <row r="31" spans="1:6" ht="22.5" customHeight="1" x14ac:dyDescent="0.35">
      <c r="A31" s="1" t="s">
        <v>780</v>
      </c>
      <c r="B31" s="199">
        <v>1.0029999999999999</v>
      </c>
      <c r="C31" s="199">
        <v>1.004</v>
      </c>
      <c r="D31" s="199">
        <v>1.0049999999999999</v>
      </c>
      <c r="E31" s="199">
        <v>1.0049999999999999</v>
      </c>
      <c r="F31" s="199">
        <v>804</v>
      </c>
    </row>
    <row r="32" spans="1:6" ht="22.5" customHeight="1" x14ac:dyDescent="0.35">
      <c r="A32" s="1" t="s">
        <v>781</v>
      </c>
      <c r="B32" s="199">
        <v>1.0029999999999999</v>
      </c>
      <c r="C32" s="199">
        <v>1.004</v>
      </c>
      <c r="D32" s="199">
        <v>1.004</v>
      </c>
      <c r="E32" s="199">
        <v>1.0049999999999999</v>
      </c>
      <c r="F32" s="199">
        <v>805</v>
      </c>
    </row>
    <row r="33" spans="1:6" ht="22.5" customHeight="1" x14ac:dyDescent="0.35">
      <c r="A33" s="1" t="s">
        <v>782</v>
      </c>
      <c r="B33" s="199">
        <v>1.0029999999999999</v>
      </c>
      <c r="C33" s="199">
        <v>1.004</v>
      </c>
      <c r="D33" s="199">
        <v>1.0049999999999999</v>
      </c>
      <c r="E33" s="199">
        <v>1.0049999999999999</v>
      </c>
      <c r="F33" s="199">
        <v>806</v>
      </c>
    </row>
    <row r="34" spans="1:6" ht="22.5" customHeight="1" x14ac:dyDescent="0.35">
      <c r="A34" s="1" t="s">
        <v>783</v>
      </c>
      <c r="B34" s="199">
        <v>1.0029999999999999</v>
      </c>
      <c r="C34" s="199">
        <v>1.004</v>
      </c>
      <c r="D34" s="199">
        <v>1.0049999999999999</v>
      </c>
      <c r="E34" s="199">
        <v>1.0049999999999999</v>
      </c>
      <c r="F34" s="199">
        <v>807</v>
      </c>
    </row>
    <row r="35" spans="1:6" ht="22.5" customHeight="1" x14ac:dyDescent="0.35">
      <c r="A35" s="1" t="s">
        <v>784</v>
      </c>
      <c r="B35" s="199">
        <v>1.0029999999999999</v>
      </c>
      <c r="C35" s="199">
        <v>1.004</v>
      </c>
      <c r="D35" s="199">
        <v>1.0049999999999999</v>
      </c>
      <c r="E35" s="199">
        <v>1.0049999999999999</v>
      </c>
      <c r="F35" s="199">
        <v>808</v>
      </c>
    </row>
    <row r="36" spans="1:6" ht="22.5" customHeight="1" x14ac:dyDescent="0.35">
      <c r="A36" s="1" t="s">
        <v>785</v>
      </c>
      <c r="B36" s="199">
        <v>1.0029999999999999</v>
      </c>
      <c r="C36" s="199">
        <v>1.004</v>
      </c>
      <c r="D36" s="199">
        <v>1.004</v>
      </c>
      <c r="E36" s="199">
        <v>1.0049999999999999</v>
      </c>
      <c r="F36" s="199">
        <v>809</v>
      </c>
    </row>
    <row r="37" spans="1:6" ht="22.5" customHeight="1" x14ac:dyDescent="0.35">
      <c r="A37" s="1" t="s">
        <v>886</v>
      </c>
      <c r="B37" s="199">
        <v>1.0029999999999999</v>
      </c>
      <c r="C37" s="199">
        <v>1.004</v>
      </c>
      <c r="D37" s="199">
        <v>1.004</v>
      </c>
      <c r="E37" s="199">
        <v>1.0049999999999999</v>
      </c>
      <c r="F37" s="199">
        <v>810</v>
      </c>
    </row>
    <row r="38" spans="1:6" ht="22.5" customHeight="1" x14ac:dyDescent="0.35">
      <c r="A38" s="1" t="s">
        <v>786</v>
      </c>
      <c r="B38" s="199">
        <v>1.0029999999999999</v>
      </c>
      <c r="C38" s="199">
        <v>1.004</v>
      </c>
      <c r="D38" s="199">
        <v>1.0049999999999999</v>
      </c>
      <c r="E38" s="199">
        <v>1.0049999999999999</v>
      </c>
      <c r="F38" s="199">
        <v>811</v>
      </c>
    </row>
    <row r="39" spans="1:6" ht="22.5" customHeight="1" x14ac:dyDescent="0.35">
      <c r="A39" s="1" t="s">
        <v>787</v>
      </c>
      <c r="B39" s="199">
        <v>1.0029999999999999</v>
      </c>
      <c r="C39" s="199">
        <v>1.004</v>
      </c>
      <c r="D39" s="199">
        <v>1.0049999999999999</v>
      </c>
      <c r="E39" s="199">
        <v>1.0049999999999999</v>
      </c>
      <c r="F39" s="199">
        <v>812</v>
      </c>
    </row>
    <row r="40" spans="1:6" ht="22.5" customHeight="1" x14ac:dyDescent="0.35">
      <c r="A40" s="1" t="s">
        <v>788</v>
      </c>
      <c r="B40" s="199">
        <v>1.0029999999999999</v>
      </c>
      <c r="C40" s="199">
        <v>1.004</v>
      </c>
      <c r="D40" s="199">
        <v>1.0049999999999999</v>
      </c>
      <c r="E40" s="199">
        <v>1.0049999999999999</v>
      </c>
      <c r="F40" s="199">
        <v>813</v>
      </c>
    </row>
    <row r="41" spans="1:6" ht="22.5" customHeight="1" x14ac:dyDescent="0.35">
      <c r="A41" s="1" t="s">
        <v>789</v>
      </c>
      <c r="B41" s="199">
        <v>1.0029999999999999</v>
      </c>
      <c r="C41" s="199">
        <v>1.004</v>
      </c>
      <c r="D41" s="199">
        <v>1.004</v>
      </c>
      <c r="E41" s="199">
        <v>1.0049999999999999</v>
      </c>
      <c r="F41" s="199">
        <v>814</v>
      </c>
    </row>
    <row r="42" spans="1:6" ht="22.5" customHeight="1" x14ac:dyDescent="0.35">
      <c r="A42" s="1" t="s">
        <v>790</v>
      </c>
      <c r="B42" s="199">
        <v>1.0029999999999999</v>
      </c>
      <c r="C42" s="199">
        <v>1.004</v>
      </c>
      <c r="D42" s="199">
        <v>1.004</v>
      </c>
      <c r="E42" s="199">
        <v>1.0049999999999999</v>
      </c>
      <c r="F42" s="199">
        <v>815</v>
      </c>
    </row>
    <row r="43" spans="1:6" ht="22.5" customHeight="1" x14ac:dyDescent="0.35">
      <c r="A43" s="1" t="s">
        <v>791</v>
      </c>
      <c r="B43" s="199">
        <v>1.0029999999999999</v>
      </c>
      <c r="C43" s="199">
        <v>1.004</v>
      </c>
      <c r="D43" s="199">
        <v>1.004</v>
      </c>
      <c r="E43" s="199">
        <v>1.0049999999999999</v>
      </c>
      <c r="F43" s="199">
        <v>816</v>
      </c>
    </row>
    <row r="44" spans="1:6" ht="22.5" customHeight="1" x14ac:dyDescent="0.35">
      <c r="A44" s="1" t="s">
        <v>792</v>
      </c>
      <c r="B44" s="199">
        <v>1.0009999999999999</v>
      </c>
      <c r="C44" s="199">
        <v>1.0009999999999999</v>
      </c>
      <c r="D44" s="199">
        <v>1.002</v>
      </c>
      <c r="E44" s="199">
        <v>1.0029999999999999</v>
      </c>
      <c r="F44" s="199">
        <v>817</v>
      </c>
    </row>
    <row r="45" spans="1:6" ht="22.5" customHeight="1" x14ac:dyDescent="0.35">
      <c r="A45" s="1" t="s">
        <v>793</v>
      </c>
      <c r="B45" s="199">
        <v>1.0029999999999999</v>
      </c>
      <c r="C45" s="199">
        <v>1.004</v>
      </c>
      <c r="D45" s="199">
        <v>1.004</v>
      </c>
      <c r="E45" s="199">
        <v>1.0049999999999999</v>
      </c>
      <c r="F45" s="199">
        <v>818</v>
      </c>
    </row>
    <row r="46" spans="1:6" ht="22.5" customHeight="1" x14ac:dyDescent="0.35">
      <c r="A46" s="1" t="s">
        <v>794</v>
      </c>
      <c r="B46" s="199">
        <v>1.004</v>
      </c>
      <c r="C46" s="199">
        <v>1.006</v>
      </c>
      <c r="D46" s="199">
        <v>1.0069999999999999</v>
      </c>
      <c r="E46" s="199">
        <v>1.0089999999999999</v>
      </c>
      <c r="F46" s="199">
        <v>819</v>
      </c>
    </row>
    <row r="47" spans="1:6" ht="22.5" customHeight="1" x14ac:dyDescent="0.35">
      <c r="A47" s="1" t="s">
        <v>795</v>
      </c>
      <c r="B47" s="199">
        <v>1.0029999999999999</v>
      </c>
      <c r="C47" s="199">
        <v>1.004</v>
      </c>
      <c r="D47" s="199">
        <v>1.004</v>
      </c>
      <c r="E47" s="199">
        <v>1.0049999999999999</v>
      </c>
      <c r="F47" s="199">
        <v>820</v>
      </c>
    </row>
    <row r="48" spans="1:6" ht="22.5" customHeight="1" x14ac:dyDescent="0.35">
      <c r="A48" s="1" t="s">
        <v>796</v>
      </c>
      <c r="B48" s="199">
        <v>1.0029999999999999</v>
      </c>
      <c r="C48" s="199">
        <v>1.004</v>
      </c>
      <c r="D48" s="199">
        <v>1.004</v>
      </c>
      <c r="E48" s="199">
        <v>1.0049999999999999</v>
      </c>
      <c r="F48" s="199">
        <v>821</v>
      </c>
    </row>
    <row r="49" spans="1:6" ht="22.5" customHeight="1" x14ac:dyDescent="0.35">
      <c r="A49" s="1" t="s">
        <v>797</v>
      </c>
      <c r="B49" s="199">
        <v>1.0029999999999999</v>
      </c>
      <c r="C49" s="199">
        <v>1.004</v>
      </c>
      <c r="D49" s="199">
        <v>1.0049999999999999</v>
      </c>
      <c r="E49" s="199">
        <v>1.0049999999999999</v>
      </c>
      <c r="F49" s="199">
        <v>822</v>
      </c>
    </row>
    <row r="50" spans="1:6" ht="22.5" customHeight="1" x14ac:dyDescent="0.35">
      <c r="A50" s="1" t="s">
        <v>798</v>
      </c>
      <c r="B50" s="199">
        <v>1.0029999999999999</v>
      </c>
      <c r="C50" s="199">
        <v>1.004</v>
      </c>
      <c r="D50" s="199">
        <v>1.004</v>
      </c>
      <c r="E50" s="199">
        <v>1.0049999999999999</v>
      </c>
      <c r="F50" s="199">
        <v>823</v>
      </c>
    </row>
    <row r="51" spans="1:6" ht="22.5" customHeight="1" x14ac:dyDescent="0.35">
      <c r="A51" s="1" t="s">
        <v>799</v>
      </c>
      <c r="B51" s="199">
        <v>1.0029999999999999</v>
      </c>
      <c r="C51" s="199">
        <v>1.004</v>
      </c>
      <c r="D51" s="199">
        <v>1.004</v>
      </c>
      <c r="E51" s="199">
        <v>1.0049999999999999</v>
      </c>
      <c r="F51" s="199">
        <v>824</v>
      </c>
    </row>
    <row r="52" spans="1:6" ht="22.5" customHeight="1" x14ac:dyDescent="0.35">
      <c r="A52" s="1" t="s">
        <v>800</v>
      </c>
      <c r="B52" s="199">
        <v>1.0029999999999999</v>
      </c>
      <c r="C52" s="199">
        <v>1.004</v>
      </c>
      <c r="D52" s="199">
        <v>1.0049999999999999</v>
      </c>
      <c r="E52" s="199">
        <v>1.0049999999999999</v>
      </c>
      <c r="F52" s="199">
        <v>825</v>
      </c>
    </row>
    <row r="53" spans="1:6" ht="22.5" customHeight="1" x14ac:dyDescent="0.35">
      <c r="A53" s="1" t="s">
        <v>801</v>
      </c>
      <c r="B53" s="199">
        <v>1.0029999999999999</v>
      </c>
      <c r="C53" s="199">
        <v>1.004</v>
      </c>
      <c r="D53" s="199">
        <v>1.0049999999999999</v>
      </c>
      <c r="E53" s="199">
        <v>1.0049999999999999</v>
      </c>
      <c r="F53" s="199">
        <v>826</v>
      </c>
    </row>
    <row r="54" spans="1:6" ht="22.5" customHeight="1" x14ac:dyDescent="0.35">
      <c r="A54" s="1" t="s">
        <v>802</v>
      </c>
      <c r="B54" s="199">
        <v>1.0029999999999999</v>
      </c>
      <c r="C54" s="199">
        <v>1.004</v>
      </c>
      <c r="D54" s="199">
        <v>1.0049999999999999</v>
      </c>
      <c r="E54" s="199">
        <v>1.0049999999999999</v>
      </c>
      <c r="F54" s="199">
        <v>827</v>
      </c>
    </row>
    <row r="55" spans="1:6" ht="22.5" customHeight="1" x14ac:dyDescent="0.35">
      <c r="A55" s="1" t="s">
        <v>803</v>
      </c>
      <c r="B55" s="199">
        <v>1.0029999999999999</v>
      </c>
      <c r="C55" s="199">
        <v>1.004</v>
      </c>
      <c r="D55" s="199">
        <v>1.0049999999999999</v>
      </c>
      <c r="E55" s="199">
        <v>1.0049999999999999</v>
      </c>
      <c r="F55" s="199">
        <v>828</v>
      </c>
    </row>
    <row r="56" spans="1:6" ht="22.5" customHeight="1" x14ac:dyDescent="0.35">
      <c r="A56" s="1" t="s">
        <v>804</v>
      </c>
      <c r="B56" s="199">
        <v>1.0029999999999999</v>
      </c>
      <c r="C56" s="199">
        <v>1.004</v>
      </c>
      <c r="D56" s="199">
        <v>1.0049999999999999</v>
      </c>
      <c r="E56" s="199">
        <v>1.0049999999999999</v>
      </c>
      <c r="F56" s="199">
        <v>829</v>
      </c>
    </row>
    <row r="57" spans="1:6" ht="22.5" customHeight="1" x14ac:dyDescent="0.35">
      <c r="A57" s="1" t="s">
        <v>805</v>
      </c>
      <c r="B57" s="199">
        <v>1.0029999999999999</v>
      </c>
      <c r="C57" s="199">
        <v>1.004</v>
      </c>
      <c r="D57" s="199">
        <v>1.0049999999999999</v>
      </c>
      <c r="E57" s="199">
        <v>1.0049999999999999</v>
      </c>
      <c r="F57" s="199">
        <v>830</v>
      </c>
    </row>
    <row r="58" spans="1:6" ht="22.5" customHeight="1" x14ac:dyDescent="0.35">
      <c r="A58" s="1" t="s">
        <v>806</v>
      </c>
      <c r="B58" s="225">
        <v>1</v>
      </c>
      <c r="C58" s="225">
        <v>1</v>
      </c>
      <c r="D58" s="225">
        <v>1</v>
      </c>
      <c r="E58" s="225">
        <v>1</v>
      </c>
      <c r="F58" s="199">
        <v>831</v>
      </c>
    </row>
    <row r="59" spans="1:6" ht="22.5" customHeight="1" x14ac:dyDescent="0.35">
      <c r="A59" s="1" t="s">
        <v>807</v>
      </c>
      <c r="B59" s="199">
        <v>1.0029999999999999</v>
      </c>
      <c r="C59" s="199">
        <v>1.004</v>
      </c>
      <c r="D59" s="199">
        <v>1.0049999999999999</v>
      </c>
      <c r="E59" s="199">
        <v>1.0049999999999999</v>
      </c>
      <c r="F59" s="199">
        <v>832</v>
      </c>
    </row>
    <row r="60" spans="1:6" ht="22.5" customHeight="1" x14ac:dyDescent="0.35">
      <c r="A60" s="1" t="s">
        <v>808</v>
      </c>
      <c r="B60" s="199">
        <v>1.0029999999999999</v>
      </c>
      <c r="C60" s="199">
        <v>1.004</v>
      </c>
      <c r="D60" s="199">
        <v>1.0049999999999999</v>
      </c>
      <c r="E60" s="199">
        <v>1.0049999999999999</v>
      </c>
      <c r="F60" s="199">
        <v>833</v>
      </c>
    </row>
    <row r="61" spans="1:6" ht="22.5" customHeight="1" x14ac:dyDescent="0.35">
      <c r="A61" s="1" t="s">
        <v>809</v>
      </c>
      <c r="B61" s="199">
        <v>1.0029999999999999</v>
      </c>
      <c r="C61" s="199">
        <v>1.004</v>
      </c>
      <c r="D61" s="199">
        <v>1.0049999999999999</v>
      </c>
      <c r="E61" s="199">
        <v>1.0049999999999999</v>
      </c>
      <c r="F61" s="199">
        <v>834</v>
      </c>
    </row>
    <row r="62" spans="1:6" ht="22.5" customHeight="1" x14ac:dyDescent="0.35">
      <c r="A62" s="1" t="s">
        <v>810</v>
      </c>
      <c r="B62" s="199">
        <v>1.0029999999999999</v>
      </c>
      <c r="C62" s="199">
        <v>1.004</v>
      </c>
      <c r="D62" s="199">
        <v>1.0049999999999999</v>
      </c>
      <c r="E62" s="199">
        <v>1.0049999999999999</v>
      </c>
      <c r="F62" s="199">
        <v>835</v>
      </c>
    </row>
    <row r="63" spans="1:6" ht="22.5" customHeight="1" x14ac:dyDescent="0.35">
      <c r="A63" s="1" t="s">
        <v>811</v>
      </c>
      <c r="B63" s="199">
        <v>1.0029999999999999</v>
      </c>
      <c r="C63" s="199">
        <v>1.004</v>
      </c>
      <c r="D63" s="199">
        <v>1.0049999999999999</v>
      </c>
      <c r="E63" s="199">
        <v>1.0049999999999999</v>
      </c>
      <c r="F63" s="199">
        <v>836</v>
      </c>
    </row>
    <row r="64" spans="1:6" ht="22.5" customHeight="1" x14ac:dyDescent="0.35">
      <c r="A64" s="1" t="s">
        <v>812</v>
      </c>
      <c r="B64" s="199">
        <v>1.0029999999999999</v>
      </c>
      <c r="C64" s="199">
        <v>1.004</v>
      </c>
      <c r="D64" s="199">
        <v>1.0049999999999999</v>
      </c>
      <c r="E64" s="199">
        <v>1.0049999999999999</v>
      </c>
      <c r="F64" s="199">
        <v>837</v>
      </c>
    </row>
    <row r="65" spans="1:6" ht="22.5" customHeight="1" x14ac:dyDescent="0.35">
      <c r="A65" s="1" t="s">
        <v>813</v>
      </c>
      <c r="B65" s="199">
        <v>1.0029999999999999</v>
      </c>
      <c r="C65" s="199">
        <v>1.004</v>
      </c>
      <c r="D65" s="199">
        <v>1.0049999999999999</v>
      </c>
      <c r="E65" s="199">
        <v>1.0049999999999999</v>
      </c>
      <c r="F65" s="199">
        <v>838</v>
      </c>
    </row>
    <row r="66" spans="1:6" ht="22.5" customHeight="1" x14ac:dyDescent="0.35">
      <c r="A66" s="1" t="s">
        <v>814</v>
      </c>
      <c r="B66" s="199">
        <v>1.0029999999999999</v>
      </c>
      <c r="C66" s="199">
        <v>1.004</v>
      </c>
      <c r="D66" s="199">
        <v>1.0049999999999999</v>
      </c>
      <c r="E66" s="199">
        <v>1.0049999999999999</v>
      </c>
      <c r="F66" s="199">
        <v>839</v>
      </c>
    </row>
    <row r="67" spans="1:6" ht="22.5" customHeight="1" x14ac:dyDescent="0.35">
      <c r="A67" s="1" t="s">
        <v>815</v>
      </c>
      <c r="B67" s="199">
        <v>1.0029999999999999</v>
      </c>
      <c r="C67" s="199">
        <v>1.004</v>
      </c>
      <c r="D67" s="199">
        <v>1.0049999999999999</v>
      </c>
      <c r="E67" s="199">
        <v>1.0049999999999999</v>
      </c>
      <c r="F67" s="199">
        <v>840</v>
      </c>
    </row>
    <row r="68" spans="1:6" ht="22.5" customHeight="1" x14ac:dyDescent="0.35">
      <c r="A68" s="1" t="s">
        <v>816</v>
      </c>
      <c r="B68" s="199">
        <v>1.0029999999999999</v>
      </c>
      <c r="C68" s="199">
        <v>1.004</v>
      </c>
      <c r="D68" s="199">
        <v>1.0049999999999999</v>
      </c>
      <c r="E68" s="199">
        <v>1.0049999999999999</v>
      </c>
      <c r="F68" s="199">
        <v>841</v>
      </c>
    </row>
    <row r="69" spans="1:6" ht="22.5" customHeight="1" x14ac:dyDescent="0.35">
      <c r="A69" s="1" t="s">
        <v>817</v>
      </c>
      <c r="B69" s="199">
        <v>1.0029999999999999</v>
      </c>
      <c r="C69" s="199">
        <v>1.004</v>
      </c>
      <c r="D69" s="199">
        <v>1.0049999999999999</v>
      </c>
      <c r="E69" s="199">
        <v>1.0049999999999999</v>
      </c>
      <c r="F69" s="199">
        <v>842</v>
      </c>
    </row>
    <row r="70" spans="1:6" ht="22.5" customHeight="1" x14ac:dyDescent="0.35">
      <c r="A70" s="1" t="s">
        <v>818</v>
      </c>
      <c r="B70" s="199">
        <v>1.0029999999999999</v>
      </c>
      <c r="C70" s="199">
        <v>1.004</v>
      </c>
      <c r="D70" s="199">
        <v>1.0049999999999999</v>
      </c>
      <c r="E70" s="199">
        <v>1.0049999999999999</v>
      </c>
      <c r="F70" s="199">
        <v>843</v>
      </c>
    </row>
    <row r="71" spans="1:6" ht="22.5" customHeight="1" x14ac:dyDescent="0.35">
      <c r="A71" s="1" t="s">
        <v>819</v>
      </c>
      <c r="B71" s="199">
        <v>1.0029999999999999</v>
      </c>
      <c r="C71" s="199">
        <v>1.004</v>
      </c>
      <c r="D71" s="199">
        <v>1.0049999999999999</v>
      </c>
      <c r="E71" s="199">
        <v>1.0049999999999999</v>
      </c>
      <c r="F71" s="199">
        <v>844</v>
      </c>
    </row>
    <row r="72" spans="1:6" ht="22.5" customHeight="1" x14ac:dyDescent="0.35">
      <c r="A72" s="1" t="s">
        <v>820</v>
      </c>
      <c r="B72" s="225">
        <v>1</v>
      </c>
      <c r="C72" s="199">
        <v>1.0009999999999999</v>
      </c>
      <c r="D72" s="199">
        <v>1.0009999999999999</v>
      </c>
      <c r="E72" s="199">
        <v>1.0049999999999999</v>
      </c>
      <c r="F72" s="199">
        <v>845</v>
      </c>
    </row>
    <row r="73" spans="1:6" ht="22.5" customHeight="1" x14ac:dyDescent="0.35">
      <c r="A73" s="1" t="s">
        <v>873</v>
      </c>
      <c r="B73" s="199">
        <v>1.0029999999999999</v>
      </c>
      <c r="C73" s="199">
        <v>1.004</v>
      </c>
      <c r="D73" s="199">
        <v>1.004</v>
      </c>
      <c r="E73" s="199">
        <v>1.0049999999999999</v>
      </c>
      <c r="F73" s="199">
        <v>846</v>
      </c>
    </row>
    <row r="74" spans="1:6" ht="22.5" customHeight="1" x14ac:dyDescent="0.35">
      <c r="A74" s="1" t="s">
        <v>856</v>
      </c>
      <c r="B74" s="199">
        <v>1.0029999999999999</v>
      </c>
      <c r="C74" s="199">
        <v>1.004</v>
      </c>
      <c r="D74" s="199">
        <v>1.0049999999999999</v>
      </c>
      <c r="E74" s="199">
        <v>1.0049999999999999</v>
      </c>
      <c r="F74" s="199">
        <v>847</v>
      </c>
    </row>
    <row r="75" spans="1:6" ht="22.5" customHeight="1" x14ac:dyDescent="0.35">
      <c r="A75" s="1" t="s">
        <v>861</v>
      </c>
      <c r="B75" s="199">
        <v>1.0029999999999999</v>
      </c>
      <c r="C75" s="199">
        <v>1.004</v>
      </c>
      <c r="D75" s="199">
        <v>1.0049999999999999</v>
      </c>
      <c r="E75" s="199">
        <v>1.0049999999999999</v>
      </c>
      <c r="F75" s="199">
        <v>848</v>
      </c>
    </row>
    <row r="76" spans="1:6" ht="22.5" customHeight="1" x14ac:dyDescent="0.35">
      <c r="A76" s="1" t="s">
        <v>821</v>
      </c>
      <c r="B76" s="199">
        <v>1.0029999999999999</v>
      </c>
      <c r="C76" s="199">
        <v>1.004</v>
      </c>
      <c r="D76" s="199">
        <v>1.004</v>
      </c>
      <c r="E76" s="199">
        <v>1.0049999999999999</v>
      </c>
      <c r="F76" s="199">
        <v>850</v>
      </c>
    </row>
    <row r="77" spans="1:6" ht="22.5" customHeight="1" x14ac:dyDescent="0.35">
      <c r="A77" s="1" t="s">
        <v>822</v>
      </c>
      <c r="B77" s="199">
        <v>1.002</v>
      </c>
      <c r="C77" s="199">
        <v>1.002</v>
      </c>
      <c r="D77" s="199">
        <v>1.002</v>
      </c>
      <c r="E77" s="199">
        <v>1.002</v>
      </c>
      <c r="F77" s="199">
        <v>851</v>
      </c>
    </row>
    <row r="78" spans="1:6" ht="22.5" customHeight="1" x14ac:dyDescent="0.35">
      <c r="A78" s="1" t="s">
        <v>823</v>
      </c>
      <c r="B78" s="199">
        <v>1.0029999999999999</v>
      </c>
      <c r="C78" s="199">
        <v>1.004</v>
      </c>
      <c r="D78" s="199">
        <v>1.004</v>
      </c>
      <c r="E78" s="199">
        <v>1.0049999999999999</v>
      </c>
      <c r="F78" s="199">
        <v>852</v>
      </c>
    </row>
    <row r="79" spans="1:6" ht="22.5" customHeight="1" x14ac:dyDescent="0.35">
      <c r="A79" s="1" t="s">
        <v>824</v>
      </c>
      <c r="B79" s="199">
        <v>1.004</v>
      </c>
      <c r="C79" s="199">
        <v>1.004</v>
      </c>
      <c r="D79" s="199">
        <v>1.0049999999999999</v>
      </c>
      <c r="E79" s="199">
        <v>1.0049999999999999</v>
      </c>
      <c r="F79" s="199">
        <v>853</v>
      </c>
    </row>
    <row r="80" spans="1:6" ht="22.5" customHeight="1" x14ac:dyDescent="0.35">
      <c r="A80" s="1" t="s">
        <v>825</v>
      </c>
      <c r="B80" s="199">
        <v>1.0029999999999999</v>
      </c>
      <c r="C80" s="199">
        <v>1.0029999999999999</v>
      </c>
      <c r="D80" s="199">
        <v>1.0029999999999999</v>
      </c>
      <c r="E80" s="199">
        <v>1.004</v>
      </c>
      <c r="F80" s="199">
        <v>854</v>
      </c>
    </row>
    <row r="81" spans="1:6" ht="22.5" customHeight="1" x14ac:dyDescent="0.35">
      <c r="A81" s="1" t="s">
        <v>826</v>
      </c>
      <c r="B81" s="199">
        <v>1.0029999999999999</v>
      </c>
      <c r="C81" s="199">
        <v>1.004</v>
      </c>
      <c r="D81" s="199">
        <v>1.0049999999999999</v>
      </c>
      <c r="E81" s="199">
        <v>1.0049999999999999</v>
      </c>
      <c r="F81" s="199">
        <v>855</v>
      </c>
    </row>
    <row r="82" spans="1:6" ht="22.5" customHeight="1" x14ac:dyDescent="0.35">
      <c r="A82" s="1" t="s">
        <v>827</v>
      </c>
      <c r="B82" s="199">
        <v>1.0029999999999999</v>
      </c>
      <c r="C82" s="199">
        <v>1.004</v>
      </c>
      <c r="D82" s="199">
        <v>1.0049999999999999</v>
      </c>
      <c r="E82" s="199">
        <v>1.0049999999999999</v>
      </c>
      <c r="F82" s="199">
        <v>856</v>
      </c>
    </row>
    <row r="83" spans="1:6" ht="22.5" customHeight="1" x14ac:dyDescent="0.35">
      <c r="A83" s="1" t="s">
        <v>828</v>
      </c>
      <c r="B83" s="225">
        <v>1</v>
      </c>
      <c r="C83" s="225">
        <v>1</v>
      </c>
      <c r="D83" s="225">
        <v>1</v>
      </c>
      <c r="E83" s="225">
        <v>1</v>
      </c>
      <c r="F83" s="199">
        <v>858</v>
      </c>
    </row>
    <row r="84" spans="1:6" ht="22.5" customHeight="1" x14ac:dyDescent="0.35">
      <c r="A84" s="1" t="s">
        <v>876</v>
      </c>
      <c r="B84" s="199">
        <v>1.0049999999999999</v>
      </c>
      <c r="C84" s="199">
        <v>1.0049999999999999</v>
      </c>
      <c r="D84" s="199">
        <v>1.006</v>
      </c>
      <c r="E84" s="199">
        <v>1.0049999999999999</v>
      </c>
      <c r="F84" s="199">
        <v>859</v>
      </c>
    </row>
    <row r="85" spans="1:6" ht="22.5" customHeight="1" x14ac:dyDescent="0.35">
      <c r="A85" s="1" t="s">
        <v>829</v>
      </c>
      <c r="B85" s="199">
        <v>1.0029999999999999</v>
      </c>
      <c r="C85" s="199">
        <v>1.004</v>
      </c>
      <c r="D85" s="199">
        <v>1.0049999999999999</v>
      </c>
      <c r="E85" s="199">
        <v>1.0049999999999999</v>
      </c>
      <c r="F85" s="199">
        <v>860</v>
      </c>
    </row>
    <row r="86" spans="1:6" ht="22.5" customHeight="1" x14ac:dyDescent="0.35">
      <c r="A86" s="1" t="s">
        <v>830</v>
      </c>
      <c r="B86" s="199">
        <v>1.0029999999999999</v>
      </c>
      <c r="C86" s="199">
        <v>1.004</v>
      </c>
      <c r="D86" s="199">
        <v>1.004</v>
      </c>
      <c r="E86" s="199">
        <v>1.0049999999999999</v>
      </c>
      <c r="F86" s="199">
        <v>861</v>
      </c>
    </row>
    <row r="87" spans="1:6" ht="22.5" customHeight="1" x14ac:dyDescent="0.35">
      <c r="A87" s="1" t="s">
        <v>831</v>
      </c>
      <c r="B87" s="199">
        <v>1.0029999999999999</v>
      </c>
      <c r="C87" s="199">
        <v>1.004</v>
      </c>
      <c r="D87" s="199">
        <v>1.0049999999999999</v>
      </c>
      <c r="E87" s="199">
        <v>1.0049999999999999</v>
      </c>
      <c r="F87" s="199">
        <v>863</v>
      </c>
    </row>
    <row r="88" spans="1:6" ht="22.5" customHeight="1" x14ac:dyDescent="0.35">
      <c r="A88" s="1" t="s">
        <v>832</v>
      </c>
      <c r="B88" s="199">
        <v>1.0029999999999999</v>
      </c>
      <c r="C88" s="199">
        <v>1.004</v>
      </c>
      <c r="D88" s="199">
        <v>1.004</v>
      </c>
      <c r="E88" s="199">
        <v>1.0049999999999999</v>
      </c>
      <c r="F88" s="199">
        <v>864</v>
      </c>
    </row>
    <row r="89" spans="1:6" ht="22.5" customHeight="1" x14ac:dyDescent="0.35">
      <c r="A89" s="1" t="s">
        <v>833</v>
      </c>
      <c r="B89" s="199">
        <v>1.0029999999999999</v>
      </c>
      <c r="C89" s="199">
        <v>1.004</v>
      </c>
      <c r="D89" s="199">
        <v>1.0049999999999999</v>
      </c>
      <c r="E89" s="199">
        <v>1.0049999999999999</v>
      </c>
      <c r="F89" s="199">
        <v>865</v>
      </c>
    </row>
    <row r="90" spans="1:6" ht="22.5" customHeight="1" x14ac:dyDescent="0.35">
      <c r="A90" s="1" t="s">
        <v>834</v>
      </c>
      <c r="B90" s="199">
        <v>1.0029999999999999</v>
      </c>
      <c r="C90" s="199">
        <v>1.004</v>
      </c>
      <c r="D90" s="199">
        <v>1.004</v>
      </c>
      <c r="E90" s="199">
        <v>1.0049999999999999</v>
      </c>
      <c r="F90" s="199">
        <v>868</v>
      </c>
    </row>
    <row r="91" spans="1:6" ht="22.5" customHeight="1" x14ac:dyDescent="0.35">
      <c r="A91" s="1" t="s">
        <v>863</v>
      </c>
      <c r="B91" s="199">
        <v>1.0029999999999999</v>
      </c>
      <c r="C91" s="199">
        <v>1.004</v>
      </c>
      <c r="D91" s="199">
        <v>1.004</v>
      </c>
      <c r="E91" s="199">
        <v>1.0049999999999999</v>
      </c>
      <c r="F91" s="199">
        <v>870</v>
      </c>
    </row>
    <row r="92" spans="1:6" ht="22.5" customHeight="1" x14ac:dyDescent="0.35">
      <c r="A92" s="1" t="s">
        <v>836</v>
      </c>
      <c r="B92" s="199">
        <v>1.0029999999999999</v>
      </c>
      <c r="C92" s="199">
        <v>1.004</v>
      </c>
      <c r="D92" s="199">
        <v>1.0049999999999999</v>
      </c>
      <c r="E92" s="199">
        <v>1.0049999999999999</v>
      </c>
      <c r="F92" s="199">
        <v>873</v>
      </c>
    </row>
    <row r="93" spans="1:6" ht="22.5" customHeight="1" x14ac:dyDescent="0.35">
      <c r="A93" s="1" t="s">
        <v>837</v>
      </c>
      <c r="B93" s="199">
        <v>1.0029999999999999</v>
      </c>
      <c r="C93" s="199">
        <v>1.004</v>
      </c>
      <c r="D93" s="199">
        <v>1.0049999999999999</v>
      </c>
      <c r="E93" s="199">
        <v>1.0049999999999999</v>
      </c>
      <c r="F93" s="199">
        <v>874</v>
      </c>
    </row>
    <row r="94" spans="1:6" ht="22.5" customHeight="1" x14ac:dyDescent="0.35">
      <c r="A94" s="1" t="s">
        <v>838</v>
      </c>
      <c r="B94" s="199">
        <v>1.0029999999999999</v>
      </c>
      <c r="C94" s="199">
        <v>1.004</v>
      </c>
      <c r="D94" s="199">
        <v>1.0049999999999999</v>
      </c>
      <c r="E94" s="199">
        <v>1.0049999999999999</v>
      </c>
      <c r="F94" s="199">
        <v>875</v>
      </c>
    </row>
    <row r="95" spans="1:6" ht="22.5" customHeight="1" x14ac:dyDescent="0.35">
      <c r="A95" s="1" t="s">
        <v>839</v>
      </c>
      <c r="B95" s="199">
        <v>1.0029999999999999</v>
      </c>
      <c r="C95" s="199">
        <v>1.004</v>
      </c>
      <c r="D95" s="199">
        <v>1.0049999999999999</v>
      </c>
      <c r="E95" s="199">
        <v>1.0049999999999999</v>
      </c>
      <c r="F95" s="199">
        <v>876</v>
      </c>
    </row>
    <row r="96" spans="1:6" ht="22.5" customHeight="1" x14ac:dyDescent="0.35">
      <c r="A96" s="1" t="s">
        <v>840</v>
      </c>
      <c r="B96" s="199">
        <v>1.0029999999999999</v>
      </c>
      <c r="C96" s="199">
        <v>1.004</v>
      </c>
      <c r="D96" s="199">
        <v>1.0049999999999999</v>
      </c>
      <c r="E96" s="199">
        <v>1.0049999999999999</v>
      </c>
      <c r="F96" s="199">
        <v>877</v>
      </c>
    </row>
    <row r="97" spans="1:6" ht="22.5" customHeight="1" x14ac:dyDescent="0.35">
      <c r="A97" s="1" t="s">
        <v>841</v>
      </c>
      <c r="B97" s="199">
        <v>1.0029999999999999</v>
      </c>
      <c r="C97" s="199">
        <v>1.004</v>
      </c>
      <c r="D97" s="199">
        <v>1.0049999999999999</v>
      </c>
      <c r="E97" s="199">
        <v>1.0049999999999999</v>
      </c>
      <c r="F97" s="199">
        <v>878</v>
      </c>
    </row>
    <row r="98" spans="1:6" ht="22.5" customHeight="1" x14ac:dyDescent="0.35">
      <c r="A98" s="1" t="s">
        <v>842</v>
      </c>
      <c r="B98" s="199">
        <v>1.0029999999999999</v>
      </c>
      <c r="C98" s="199">
        <v>1.004</v>
      </c>
      <c r="D98" s="199">
        <v>1.0049999999999999</v>
      </c>
      <c r="E98" s="199">
        <v>1.0049999999999999</v>
      </c>
      <c r="F98" s="199">
        <v>879</v>
      </c>
    </row>
    <row r="99" spans="1:6" ht="22.5" customHeight="1" x14ac:dyDescent="0.35">
      <c r="A99" s="1" t="s">
        <v>843</v>
      </c>
      <c r="B99" s="199">
        <v>1.0029999999999999</v>
      </c>
      <c r="C99" s="199">
        <v>1.004</v>
      </c>
      <c r="D99" s="199">
        <v>1.004</v>
      </c>
      <c r="E99" s="199">
        <v>1.0049999999999999</v>
      </c>
      <c r="F99" s="199">
        <v>880</v>
      </c>
    </row>
    <row r="100" spans="1:6" ht="22.5" customHeight="1" x14ac:dyDescent="0.35">
      <c r="A100" s="1" t="s">
        <v>844</v>
      </c>
      <c r="B100" s="199">
        <v>1.0029999999999999</v>
      </c>
      <c r="C100" s="199">
        <v>1.004</v>
      </c>
      <c r="D100" s="199">
        <v>1.004</v>
      </c>
      <c r="E100" s="199">
        <v>1.0049999999999999</v>
      </c>
      <c r="F100" s="199">
        <v>881</v>
      </c>
    </row>
    <row r="101" spans="1:6" ht="22.5" customHeight="1" x14ac:dyDescent="0.35">
      <c r="A101" s="1" t="s">
        <v>845</v>
      </c>
      <c r="B101" s="199">
        <v>1.0029999999999999</v>
      </c>
      <c r="C101" s="199">
        <v>1.004</v>
      </c>
      <c r="D101" s="199">
        <v>1.004</v>
      </c>
      <c r="E101" s="199">
        <v>1.0049999999999999</v>
      </c>
      <c r="F101" s="199">
        <v>882</v>
      </c>
    </row>
    <row r="102" spans="1:6" ht="22.5" customHeight="1" x14ac:dyDescent="0.35">
      <c r="A102" s="1" t="s">
        <v>846</v>
      </c>
      <c r="B102" s="199">
        <v>1.0029999999999999</v>
      </c>
      <c r="C102" s="199">
        <v>1.004</v>
      </c>
      <c r="D102" s="199">
        <v>1.0049999999999999</v>
      </c>
      <c r="E102" s="199">
        <v>1.0049999999999999</v>
      </c>
      <c r="F102" s="199">
        <v>883</v>
      </c>
    </row>
    <row r="103" spans="1:6" ht="22.5" customHeight="1" x14ac:dyDescent="0.35">
      <c r="A103" s="1" t="s">
        <v>847</v>
      </c>
      <c r="B103" s="199">
        <v>1.0029999999999999</v>
      </c>
      <c r="C103" s="199">
        <v>1.004</v>
      </c>
      <c r="D103" s="199">
        <v>1.004</v>
      </c>
      <c r="E103" s="199">
        <v>1.0049999999999999</v>
      </c>
      <c r="F103" s="199">
        <v>884</v>
      </c>
    </row>
    <row r="104" spans="1:6" ht="22.5" customHeight="1" x14ac:dyDescent="0.35">
      <c r="A104" s="1" t="s">
        <v>865</v>
      </c>
      <c r="B104" s="199">
        <v>1.0029999999999999</v>
      </c>
      <c r="C104" s="199">
        <v>1.004</v>
      </c>
      <c r="D104" s="199">
        <v>1.004</v>
      </c>
      <c r="E104" s="199">
        <v>1.0049999999999999</v>
      </c>
      <c r="F104" s="199">
        <v>886</v>
      </c>
    </row>
    <row r="105" spans="1:6" ht="22.5" customHeight="1" x14ac:dyDescent="0.35">
      <c r="A105" s="1" t="s">
        <v>835</v>
      </c>
      <c r="B105" s="225">
        <v>1</v>
      </c>
      <c r="C105" s="225">
        <v>1</v>
      </c>
      <c r="D105" s="225">
        <v>1</v>
      </c>
      <c r="E105" s="225">
        <v>1</v>
      </c>
      <c r="F105" s="199">
        <v>887</v>
      </c>
    </row>
    <row r="106" spans="1:6" ht="22.5" customHeight="1" x14ac:dyDescent="0.35">
      <c r="A106" s="1" t="s">
        <v>848</v>
      </c>
      <c r="B106" s="199">
        <v>1.0029999999999999</v>
      </c>
      <c r="C106" s="199">
        <v>1.004</v>
      </c>
      <c r="D106" s="199">
        <v>1.0049999999999999</v>
      </c>
      <c r="E106" s="199">
        <v>1.0049999999999999</v>
      </c>
      <c r="F106" s="199">
        <v>888</v>
      </c>
    </row>
    <row r="107" spans="1:6" ht="22.5" customHeight="1" x14ac:dyDescent="0.35">
      <c r="A107" s="1" t="s">
        <v>849</v>
      </c>
      <c r="B107" s="199">
        <v>1.0029999999999999</v>
      </c>
      <c r="C107" s="199">
        <v>1.004</v>
      </c>
      <c r="D107" s="199">
        <v>1.0049999999999999</v>
      </c>
      <c r="E107" s="199">
        <v>1.0049999999999999</v>
      </c>
      <c r="F107" s="199">
        <v>889</v>
      </c>
    </row>
    <row r="108" spans="1:6" ht="22.5" customHeight="1" x14ac:dyDescent="0.35">
      <c r="A108" s="1" t="s">
        <v>862</v>
      </c>
      <c r="B108" s="199">
        <v>1.0029999999999999</v>
      </c>
      <c r="C108" s="199">
        <v>1.004</v>
      </c>
      <c r="D108" s="199">
        <v>1.004</v>
      </c>
      <c r="E108" s="199">
        <v>1.0049999999999999</v>
      </c>
      <c r="F108" s="199">
        <v>890</v>
      </c>
    </row>
    <row r="109" spans="1:6" ht="22.5" customHeight="1" x14ac:dyDescent="0.35">
      <c r="A109" s="1" t="s">
        <v>850</v>
      </c>
      <c r="B109" s="199">
        <v>1.0029999999999999</v>
      </c>
      <c r="C109" s="199">
        <v>1.004</v>
      </c>
      <c r="D109" s="199">
        <v>1.0049999999999999</v>
      </c>
      <c r="E109" s="199">
        <v>1.0049999999999999</v>
      </c>
      <c r="F109" s="199">
        <v>891</v>
      </c>
    </row>
    <row r="110" spans="1:6" ht="22.5" customHeight="1" x14ac:dyDescent="0.35">
      <c r="A110" s="1" t="s">
        <v>851</v>
      </c>
      <c r="B110" s="199">
        <v>1.0029999999999999</v>
      </c>
      <c r="C110" s="199">
        <v>1.004</v>
      </c>
      <c r="D110" s="199">
        <v>1.0049999999999999</v>
      </c>
      <c r="E110" s="199">
        <v>1.0049999999999999</v>
      </c>
      <c r="F110" s="199">
        <v>892</v>
      </c>
    </row>
    <row r="111" spans="1:6" ht="22.5" customHeight="1" x14ac:dyDescent="0.35">
      <c r="A111" s="1" t="s">
        <v>871</v>
      </c>
      <c r="B111" s="199">
        <v>1.0029999999999999</v>
      </c>
      <c r="C111" s="199">
        <v>1.004</v>
      </c>
      <c r="D111" s="199">
        <v>1.004</v>
      </c>
      <c r="E111" s="199">
        <v>1.0049999999999999</v>
      </c>
      <c r="F111" s="199">
        <v>893</v>
      </c>
    </row>
    <row r="112" spans="1:6" ht="22.5" customHeight="1" x14ac:dyDescent="0.35">
      <c r="A112" s="1" t="s">
        <v>872</v>
      </c>
      <c r="B112" s="199">
        <v>1.0029999999999999</v>
      </c>
      <c r="C112" s="199">
        <v>1.004</v>
      </c>
      <c r="D112" s="199">
        <v>1.004</v>
      </c>
      <c r="E112" s="199">
        <v>1.0049999999999999</v>
      </c>
      <c r="F112" s="199">
        <v>894</v>
      </c>
    </row>
    <row r="113" spans="1:6" ht="22.5" customHeight="1" x14ac:dyDescent="0.35">
      <c r="A113" s="1" t="s">
        <v>868</v>
      </c>
      <c r="B113" s="199">
        <v>1.0029999999999999</v>
      </c>
      <c r="C113" s="199">
        <v>1.004</v>
      </c>
      <c r="D113" s="199">
        <v>1.004</v>
      </c>
      <c r="E113" s="199">
        <v>1.0049999999999999</v>
      </c>
      <c r="F113" s="199">
        <v>895</v>
      </c>
    </row>
    <row r="114" spans="1:6" ht="22.5" customHeight="1" x14ac:dyDescent="0.35">
      <c r="A114" s="1" t="s">
        <v>874</v>
      </c>
      <c r="B114" s="199">
        <v>1.0029999999999999</v>
      </c>
      <c r="C114" s="199">
        <v>1.004</v>
      </c>
      <c r="D114" s="199">
        <v>1.004</v>
      </c>
      <c r="E114" s="199">
        <v>1.0049999999999999</v>
      </c>
      <c r="F114" s="199">
        <v>896</v>
      </c>
    </row>
    <row r="115" spans="1:6" ht="22.5" customHeight="1" x14ac:dyDescent="0.35">
      <c r="A115" s="1" t="s">
        <v>867</v>
      </c>
      <c r="B115" s="199">
        <v>1.0029999999999999</v>
      </c>
      <c r="C115" s="199">
        <v>1.004</v>
      </c>
      <c r="D115" s="199">
        <v>1.004</v>
      </c>
      <c r="E115" s="199">
        <v>1.0049999999999999</v>
      </c>
      <c r="F115" s="199">
        <v>897</v>
      </c>
    </row>
    <row r="116" spans="1:6" ht="22.5" customHeight="1" x14ac:dyDescent="0.35">
      <c r="A116" s="1" t="s">
        <v>870</v>
      </c>
      <c r="B116" s="199">
        <v>1.0029999999999999</v>
      </c>
      <c r="C116" s="199">
        <v>1.004</v>
      </c>
      <c r="D116" s="199">
        <v>1.004</v>
      </c>
      <c r="E116" s="199">
        <v>1.0049999999999999</v>
      </c>
      <c r="F116" s="199">
        <v>898</v>
      </c>
    </row>
    <row r="117" spans="1:6" ht="22.5" customHeight="1" x14ac:dyDescent="0.35">
      <c r="A117" s="1" t="s">
        <v>869</v>
      </c>
      <c r="B117" s="199">
        <v>1.0029999999999999</v>
      </c>
      <c r="C117" s="199">
        <v>1.004</v>
      </c>
      <c r="D117" s="199">
        <v>1.004</v>
      </c>
      <c r="E117" s="199">
        <v>1.0049999999999999</v>
      </c>
      <c r="F117" s="199">
        <v>911</v>
      </c>
    </row>
    <row r="118" spans="1:6" ht="22.5" customHeight="1" x14ac:dyDescent="0.35">
      <c r="A118" s="1" t="s">
        <v>852</v>
      </c>
      <c r="B118" s="225">
        <v>1</v>
      </c>
      <c r="C118" s="225">
        <v>1</v>
      </c>
      <c r="D118" s="225">
        <v>1</v>
      </c>
      <c r="E118" s="225">
        <v>1</v>
      </c>
      <c r="F118" s="199" t="s">
        <v>752</v>
      </c>
    </row>
    <row r="119" spans="1:6" ht="22.5" customHeight="1" x14ac:dyDescent="0.35">
      <c r="A119" s="1" t="s">
        <v>853</v>
      </c>
      <c r="B119" s="225">
        <v>1</v>
      </c>
      <c r="C119" s="225">
        <v>1</v>
      </c>
      <c r="D119" s="225">
        <v>1</v>
      </c>
      <c r="E119" s="225">
        <v>1</v>
      </c>
      <c r="F119" s="199" t="s">
        <v>753</v>
      </c>
    </row>
    <row r="120" spans="1:6" ht="22.5" customHeight="1" x14ac:dyDescent="0.35">
      <c r="A120" s="1" t="s">
        <v>854</v>
      </c>
      <c r="B120" s="199">
        <v>0.995</v>
      </c>
      <c r="C120" s="199">
        <v>0.995</v>
      </c>
      <c r="D120" s="199">
        <v>0.995</v>
      </c>
      <c r="E120" s="199">
        <v>0.995</v>
      </c>
      <c r="F120" s="199" t="s">
        <v>754</v>
      </c>
    </row>
    <row r="121" spans="1:6" ht="22.5" customHeight="1" x14ac:dyDescent="0.35">
      <c r="A121" s="1" t="s">
        <v>855</v>
      </c>
      <c r="B121" s="225">
        <v>0.995</v>
      </c>
      <c r="C121" s="225">
        <v>0.999</v>
      </c>
      <c r="D121" s="225">
        <v>0.998</v>
      </c>
      <c r="E121" s="225">
        <v>1</v>
      </c>
      <c r="F121" s="199" t="s">
        <v>755</v>
      </c>
    </row>
    <row r="122" spans="1:6" ht="22.5" customHeight="1" x14ac:dyDescent="0.35">
      <c r="A122" s="1" t="s">
        <v>857</v>
      </c>
      <c r="B122" s="199">
        <v>0.98899999999999999</v>
      </c>
      <c r="C122" s="199">
        <v>0.98899999999999999</v>
      </c>
      <c r="D122" s="199">
        <v>0.98799999999999999</v>
      </c>
      <c r="E122" s="199">
        <v>0.98899999999999999</v>
      </c>
      <c r="F122" s="199" t="s">
        <v>756</v>
      </c>
    </row>
    <row r="123" spans="1:6" ht="22.5" customHeight="1" x14ac:dyDescent="0.35">
      <c r="A123" s="1" t="s">
        <v>858</v>
      </c>
      <c r="B123" s="199">
        <v>0.99099999999999999</v>
      </c>
      <c r="C123" s="199">
        <v>0.99099999999999999</v>
      </c>
      <c r="D123" s="199">
        <v>0.98899999999999999</v>
      </c>
      <c r="E123" s="199">
        <v>0.98899999999999999</v>
      </c>
      <c r="F123" s="199" t="s">
        <v>757</v>
      </c>
    </row>
    <row r="124" spans="1:6" ht="22.5" customHeight="1" x14ac:dyDescent="0.35">
      <c r="A124" s="1" t="s">
        <v>859</v>
      </c>
      <c r="B124" s="199">
        <v>0.98899999999999999</v>
      </c>
      <c r="C124" s="199">
        <v>0.98899999999999999</v>
      </c>
      <c r="D124" s="199">
        <v>0.98699999999999999</v>
      </c>
      <c r="E124" s="199">
        <v>0.98699999999999999</v>
      </c>
      <c r="F124" s="199" t="s">
        <v>758</v>
      </c>
    </row>
    <row r="125" spans="1:6" ht="22.5" customHeight="1" x14ac:dyDescent="0.35">
      <c r="A125" s="1" t="s">
        <v>860</v>
      </c>
      <c r="B125" s="199">
        <v>0.997</v>
      </c>
      <c r="C125" s="199">
        <v>0.997</v>
      </c>
      <c r="D125" s="199">
        <v>0.997</v>
      </c>
      <c r="E125" s="199">
        <v>0.997</v>
      </c>
      <c r="F125" s="199" t="s">
        <v>759</v>
      </c>
    </row>
    <row r="126" spans="1:6" ht="22.5" customHeight="1" x14ac:dyDescent="0.35">
      <c r="A126" s="1" t="s">
        <v>864</v>
      </c>
      <c r="B126" s="199">
        <v>1.0029999999999999</v>
      </c>
      <c r="C126" s="199">
        <v>1.004</v>
      </c>
      <c r="D126" s="199">
        <v>1.004</v>
      </c>
      <c r="E126" s="199">
        <v>1.0049999999999999</v>
      </c>
      <c r="F126" s="199" t="s">
        <v>760</v>
      </c>
    </row>
    <row r="127" spans="1:6" ht="22.5" customHeight="1" x14ac:dyDescent="0.35">
      <c r="A127" s="1" t="s">
        <v>875</v>
      </c>
      <c r="B127" s="199">
        <v>1.0029999999999999</v>
      </c>
      <c r="C127" s="199">
        <v>1.004</v>
      </c>
      <c r="D127" s="199">
        <v>1.004</v>
      </c>
      <c r="E127" s="199">
        <v>1.0049999999999999</v>
      </c>
      <c r="F127" s="199" t="s">
        <v>766</v>
      </c>
    </row>
    <row r="128" spans="1:6" ht="22.5" customHeight="1" x14ac:dyDescent="0.35">
      <c r="A128" s="1" t="s">
        <v>880</v>
      </c>
      <c r="B128" s="199">
        <v>1.0029999999999999</v>
      </c>
      <c r="C128" s="199">
        <v>1.004</v>
      </c>
      <c r="D128" s="199">
        <v>1.004</v>
      </c>
      <c r="E128" s="199">
        <v>1.0049999999999999</v>
      </c>
      <c r="F128" s="199" t="s">
        <v>769</v>
      </c>
    </row>
    <row r="129" spans="1:6" ht="22.5" customHeight="1" x14ac:dyDescent="0.35">
      <c r="A129" s="1" t="s">
        <v>881</v>
      </c>
      <c r="B129" s="199">
        <v>1.0029999999999999</v>
      </c>
      <c r="C129" s="199">
        <v>1.004</v>
      </c>
      <c r="D129" s="199">
        <v>1.004</v>
      </c>
      <c r="E129" s="199">
        <v>1.0049999999999999</v>
      </c>
      <c r="F129" s="199" t="s">
        <v>770</v>
      </c>
    </row>
    <row r="130" spans="1:6" ht="22.5" customHeight="1" x14ac:dyDescent="0.35">
      <c r="A130" s="1" t="s">
        <v>882</v>
      </c>
      <c r="B130" s="199">
        <v>1.0029999999999999</v>
      </c>
      <c r="C130" s="199">
        <v>1.004</v>
      </c>
      <c r="D130" s="199">
        <v>1.004</v>
      </c>
      <c r="E130" s="199">
        <v>1.0049999999999999</v>
      </c>
      <c r="F130" s="199" t="s">
        <v>771</v>
      </c>
    </row>
    <row r="131" spans="1:6" ht="22.5" customHeight="1" x14ac:dyDescent="0.35">
      <c r="A131" s="1" t="s">
        <v>883</v>
      </c>
      <c r="B131" s="199">
        <v>1.0129999999999999</v>
      </c>
      <c r="C131" s="199">
        <v>1.0129999999999999</v>
      </c>
      <c r="D131" s="199">
        <v>1.0129999999999999</v>
      </c>
      <c r="E131" s="199">
        <v>1.0129999999999999</v>
      </c>
      <c r="F131" s="199" t="s">
        <v>772</v>
      </c>
    </row>
    <row r="132" spans="1:6" ht="22.5" customHeight="1" x14ac:dyDescent="0.35">
      <c r="A132" s="1" t="s">
        <v>884</v>
      </c>
      <c r="B132" s="199">
        <v>1.0129999999999999</v>
      </c>
      <c r="C132" s="199">
        <v>1.0129999999999999</v>
      </c>
      <c r="D132" s="199">
        <v>1.0129999999999999</v>
      </c>
      <c r="E132" s="199">
        <v>1.0129999999999999</v>
      </c>
      <c r="F132" s="199" t="s">
        <v>773</v>
      </c>
    </row>
    <row r="133" spans="1:6" ht="22.5" customHeight="1" x14ac:dyDescent="0.35">
      <c r="A133" s="1" t="s">
        <v>885</v>
      </c>
      <c r="B133" s="199">
        <v>1.0129999999999999</v>
      </c>
      <c r="C133" s="199">
        <v>1.0129999999999999</v>
      </c>
      <c r="D133" s="199">
        <v>1.0129999999999999</v>
      </c>
      <c r="E133" s="199">
        <v>1.0129999999999999</v>
      </c>
      <c r="F133" s="199" t="s">
        <v>774</v>
      </c>
    </row>
    <row r="134" spans="1:6" ht="19.5" customHeight="1" x14ac:dyDescent="0.35"/>
    <row r="135" spans="1:6" ht="22.5" customHeight="1" x14ac:dyDescent="0.35"/>
    <row r="136" spans="1:6" ht="22.5" customHeight="1" x14ac:dyDescent="0.35">
      <c r="A136" s="265" t="s">
        <v>54</v>
      </c>
      <c r="B136" s="308"/>
      <c r="C136" s="308"/>
      <c r="D136" s="308"/>
      <c r="E136" s="308"/>
      <c r="F136" s="266"/>
    </row>
    <row r="137" spans="1:6" ht="22.5" customHeight="1" x14ac:dyDescent="0.35">
      <c r="A137" s="265" t="s">
        <v>12</v>
      </c>
      <c r="B137" s="308"/>
      <c r="C137" s="308"/>
      <c r="D137" s="308"/>
      <c r="E137" s="308"/>
      <c r="F137" s="266"/>
    </row>
    <row r="138" spans="1:6" ht="22.5" customHeight="1" x14ac:dyDescent="0.35">
      <c r="A138" s="20" t="s">
        <v>10</v>
      </c>
      <c r="B138" s="227" t="s">
        <v>5</v>
      </c>
      <c r="C138" s="227" t="s">
        <v>6</v>
      </c>
      <c r="D138" s="227" t="s">
        <v>7</v>
      </c>
      <c r="E138" s="227" t="s">
        <v>8</v>
      </c>
      <c r="F138" s="20" t="s">
        <v>9</v>
      </c>
    </row>
    <row r="139" spans="1:6" ht="22.5" customHeight="1" x14ac:dyDescent="0.35">
      <c r="A139" s="1" t="s">
        <v>795</v>
      </c>
      <c r="B139" s="225">
        <v>0.98299999999999998</v>
      </c>
      <c r="C139" s="225">
        <v>0.98299999999999998</v>
      </c>
      <c r="D139" s="225">
        <v>0.97899999999999998</v>
      </c>
      <c r="E139" s="225">
        <v>0.97899999999999998</v>
      </c>
      <c r="F139" s="199">
        <v>620</v>
      </c>
    </row>
    <row r="140" spans="1:6" ht="22.5" customHeight="1" x14ac:dyDescent="0.35">
      <c r="A140" s="1" t="s">
        <v>796</v>
      </c>
      <c r="B140" s="225">
        <v>0.99199999999999999</v>
      </c>
      <c r="C140" s="225">
        <v>0.99199999999999999</v>
      </c>
      <c r="D140" s="225">
        <v>0.98899999999999999</v>
      </c>
      <c r="E140" s="225">
        <v>0.98899999999999999</v>
      </c>
      <c r="F140" s="199">
        <v>621</v>
      </c>
    </row>
    <row r="141" spans="1:6" ht="22.5" customHeight="1" x14ac:dyDescent="0.35">
      <c r="A141" s="1" t="s">
        <v>1409</v>
      </c>
      <c r="B141" s="225">
        <v>1</v>
      </c>
      <c r="C141" s="225">
        <v>1</v>
      </c>
      <c r="D141" s="225">
        <v>1</v>
      </c>
      <c r="E141" s="225">
        <v>1</v>
      </c>
      <c r="F141" s="199">
        <v>623</v>
      </c>
    </row>
    <row r="142" spans="1:6" ht="22.5" customHeight="1" x14ac:dyDescent="0.35">
      <c r="A142" s="1" t="s">
        <v>804</v>
      </c>
      <c r="B142" s="225">
        <v>0.999</v>
      </c>
      <c r="C142" s="225">
        <v>0.999</v>
      </c>
      <c r="D142" s="225">
        <v>0.999</v>
      </c>
      <c r="E142" s="225">
        <v>0.999</v>
      </c>
      <c r="F142" s="199">
        <v>624</v>
      </c>
    </row>
    <row r="143" spans="1:6" ht="22.5" customHeight="1" x14ac:dyDescent="0.35">
      <c r="A143" s="1" t="s">
        <v>800</v>
      </c>
      <c r="B143" s="225">
        <v>0.98799999999999999</v>
      </c>
      <c r="C143" s="225">
        <v>0.98899999999999999</v>
      </c>
      <c r="D143" s="225">
        <v>0.98499999999999999</v>
      </c>
      <c r="E143" s="225">
        <v>0.98499999999999999</v>
      </c>
      <c r="F143" s="199">
        <v>625</v>
      </c>
    </row>
    <row r="144" spans="1:6" ht="22.5" customHeight="1" x14ac:dyDescent="0.35">
      <c r="A144" s="1" t="s">
        <v>801</v>
      </c>
      <c r="B144" s="225">
        <v>0.999</v>
      </c>
      <c r="C144" s="225">
        <v>1.0009999999999999</v>
      </c>
      <c r="D144" s="225">
        <v>1.002</v>
      </c>
      <c r="E144" s="225">
        <v>1.0029999999999999</v>
      </c>
      <c r="F144" s="199">
        <v>626</v>
      </c>
    </row>
    <row r="145" spans="1:6" ht="22.5" customHeight="1" x14ac:dyDescent="0.35">
      <c r="A145" s="1" t="s">
        <v>802</v>
      </c>
      <c r="B145" s="225">
        <v>1.008</v>
      </c>
      <c r="C145" s="225">
        <v>1.0129999999999999</v>
      </c>
      <c r="D145" s="225">
        <v>1.016</v>
      </c>
      <c r="E145" s="225">
        <v>1.02</v>
      </c>
      <c r="F145" s="199">
        <v>627</v>
      </c>
    </row>
    <row r="146" spans="1:6" ht="22.5" customHeight="1" x14ac:dyDescent="0.35">
      <c r="A146" s="1" t="s">
        <v>803</v>
      </c>
      <c r="B146" s="225">
        <v>1.0049999999999999</v>
      </c>
      <c r="C146" s="225">
        <v>1.0109999999999999</v>
      </c>
      <c r="D146" s="225">
        <v>1.0129999999999999</v>
      </c>
      <c r="E146" s="225">
        <v>1.0169999999999999</v>
      </c>
      <c r="F146" s="199">
        <v>628</v>
      </c>
    </row>
    <row r="147" spans="1:6" ht="22.5" customHeight="1" x14ac:dyDescent="0.35">
      <c r="A147" s="1" t="s">
        <v>785</v>
      </c>
      <c r="B147" s="225">
        <v>0.99199999999999999</v>
      </c>
      <c r="C147" s="225">
        <v>0.99199999999999999</v>
      </c>
      <c r="D147" s="225">
        <v>0.99</v>
      </c>
      <c r="E147" s="225">
        <v>0.99</v>
      </c>
      <c r="F147" s="199">
        <v>629</v>
      </c>
    </row>
    <row r="148" spans="1:6" ht="22.5" customHeight="1" x14ac:dyDescent="0.35">
      <c r="A148" s="1" t="s">
        <v>805</v>
      </c>
      <c r="B148" s="225">
        <v>0.98099999999999998</v>
      </c>
      <c r="C148" s="225">
        <v>0.98199999999999998</v>
      </c>
      <c r="D148" s="225">
        <v>0.97799999999999998</v>
      </c>
      <c r="E148" s="225">
        <v>0.98199999999999998</v>
      </c>
      <c r="F148" s="199">
        <v>630</v>
      </c>
    </row>
    <row r="149" spans="1:6" ht="22.5" customHeight="1" x14ac:dyDescent="0.35">
      <c r="A149" s="1" t="s">
        <v>806</v>
      </c>
      <c r="B149" s="225">
        <v>0.999</v>
      </c>
      <c r="C149" s="225">
        <v>0.999</v>
      </c>
      <c r="D149" s="225">
        <v>0.999</v>
      </c>
      <c r="E149" s="225">
        <v>0.999</v>
      </c>
      <c r="F149" s="199">
        <v>631</v>
      </c>
    </row>
    <row r="150" spans="1:6" ht="22.5" customHeight="1" x14ac:dyDescent="0.35">
      <c r="A150" s="1" t="s">
        <v>807</v>
      </c>
      <c r="B150" s="225">
        <v>1.006</v>
      </c>
      <c r="C150" s="225">
        <v>1.014</v>
      </c>
      <c r="D150" s="225">
        <v>1.018</v>
      </c>
      <c r="E150" s="225">
        <v>1.024</v>
      </c>
      <c r="F150" s="199">
        <v>632</v>
      </c>
    </row>
    <row r="151" spans="1:6" ht="22.5" customHeight="1" x14ac:dyDescent="0.35">
      <c r="A151" s="1" t="s">
        <v>808</v>
      </c>
      <c r="B151" s="225">
        <v>1.0069999999999999</v>
      </c>
      <c r="C151" s="225">
        <v>1.0149999999999999</v>
      </c>
      <c r="D151" s="225">
        <v>1.018</v>
      </c>
      <c r="E151" s="225">
        <v>1.0249999999999999</v>
      </c>
      <c r="F151" s="199">
        <v>633</v>
      </c>
    </row>
    <row r="152" spans="1:6" ht="22.5" customHeight="1" x14ac:dyDescent="0.35">
      <c r="A152" s="1" t="s">
        <v>809</v>
      </c>
      <c r="B152" s="225">
        <v>1</v>
      </c>
      <c r="C152" s="225">
        <v>1.0049999999999999</v>
      </c>
      <c r="D152" s="225">
        <v>1.006</v>
      </c>
      <c r="E152" s="225">
        <v>1.01</v>
      </c>
      <c r="F152" s="199">
        <v>634</v>
      </c>
    </row>
    <row r="153" spans="1:6" ht="22.5" customHeight="1" x14ac:dyDescent="0.35">
      <c r="A153" s="1" t="s">
        <v>810</v>
      </c>
      <c r="B153" s="225">
        <v>0.999</v>
      </c>
      <c r="C153" s="225">
        <v>0.999</v>
      </c>
      <c r="D153" s="225">
        <v>0.999</v>
      </c>
      <c r="E153" s="225">
        <v>0.999</v>
      </c>
      <c r="F153" s="199">
        <v>635</v>
      </c>
    </row>
    <row r="154" spans="1:6" ht="22.5" customHeight="1" x14ac:dyDescent="0.35">
      <c r="A154" s="1" t="s">
        <v>811</v>
      </c>
      <c r="B154" s="225">
        <v>1</v>
      </c>
      <c r="C154" s="225">
        <v>1</v>
      </c>
      <c r="D154" s="225">
        <v>1</v>
      </c>
      <c r="E154" s="225">
        <v>1</v>
      </c>
      <c r="F154" s="199">
        <v>636</v>
      </c>
    </row>
    <row r="155" spans="1:6" ht="22.5" customHeight="1" x14ac:dyDescent="0.35">
      <c r="A155" s="1" t="s">
        <v>812</v>
      </c>
      <c r="B155" s="225">
        <v>1</v>
      </c>
      <c r="C155" s="225">
        <v>1</v>
      </c>
      <c r="D155" s="225">
        <v>1</v>
      </c>
      <c r="E155" s="225">
        <v>1</v>
      </c>
      <c r="F155" s="199">
        <v>637</v>
      </c>
    </row>
    <row r="156" spans="1:6" ht="22.5" customHeight="1" x14ac:dyDescent="0.35">
      <c r="A156" s="1" t="s">
        <v>813</v>
      </c>
      <c r="B156" s="225">
        <v>0.998</v>
      </c>
      <c r="C156" s="225">
        <v>0.999</v>
      </c>
      <c r="D156" s="225">
        <v>0.999</v>
      </c>
      <c r="E156" s="225">
        <v>1</v>
      </c>
      <c r="F156" s="199">
        <v>638</v>
      </c>
    </row>
    <row r="157" spans="1:6" ht="22.5" customHeight="1" x14ac:dyDescent="0.35">
      <c r="A157" s="1" t="s">
        <v>814</v>
      </c>
      <c r="B157" s="225">
        <v>0.99199999999999999</v>
      </c>
      <c r="C157" s="225">
        <v>0.996</v>
      </c>
      <c r="D157" s="225">
        <v>0.996</v>
      </c>
      <c r="E157" s="225">
        <v>0.998</v>
      </c>
      <c r="F157" s="199">
        <v>639</v>
      </c>
    </row>
    <row r="158" spans="1:6" ht="22.5" customHeight="1" x14ac:dyDescent="0.35">
      <c r="A158" s="1" t="s">
        <v>815</v>
      </c>
      <c r="B158" s="225">
        <v>1</v>
      </c>
      <c r="C158" s="225">
        <v>1</v>
      </c>
      <c r="D158" s="225">
        <v>1</v>
      </c>
      <c r="E158" s="225">
        <v>1</v>
      </c>
      <c r="F158" s="199">
        <v>640</v>
      </c>
    </row>
    <row r="159" spans="1:6" ht="22.5" customHeight="1" x14ac:dyDescent="0.35">
      <c r="A159" s="1" t="s">
        <v>816</v>
      </c>
      <c r="B159" s="225">
        <v>0.99399999999999999</v>
      </c>
      <c r="C159" s="225">
        <v>0.998</v>
      </c>
      <c r="D159" s="225">
        <v>1.0009999999999999</v>
      </c>
      <c r="E159" s="225">
        <v>1.004</v>
      </c>
      <c r="F159" s="199">
        <v>641</v>
      </c>
    </row>
    <row r="160" spans="1:6" ht="22.5" customHeight="1" x14ac:dyDescent="0.35">
      <c r="A160" s="1" t="s">
        <v>817</v>
      </c>
      <c r="B160" s="225">
        <v>0.98499999999999999</v>
      </c>
      <c r="C160" s="225">
        <v>0.98399999999999999</v>
      </c>
      <c r="D160" s="225">
        <v>0.98299999999999998</v>
      </c>
      <c r="E160" s="225">
        <v>0.98199999999999998</v>
      </c>
      <c r="F160" s="199">
        <v>642</v>
      </c>
    </row>
    <row r="161" spans="1:6" ht="22.5" customHeight="1" x14ac:dyDescent="0.35">
      <c r="A161" s="1" t="s">
        <v>818</v>
      </c>
      <c r="B161" s="225">
        <v>1.0049999999999999</v>
      </c>
      <c r="C161" s="225">
        <v>1.01</v>
      </c>
      <c r="D161" s="225">
        <v>1.014</v>
      </c>
      <c r="E161" s="225">
        <v>1.0169999999999999</v>
      </c>
      <c r="F161" s="199">
        <v>643</v>
      </c>
    </row>
    <row r="162" spans="1:6" ht="22.5" customHeight="1" x14ac:dyDescent="0.35">
      <c r="A162" s="1" t="s">
        <v>776</v>
      </c>
      <c r="B162" s="225">
        <v>0.999</v>
      </c>
      <c r="C162" s="225">
        <v>0.999</v>
      </c>
      <c r="D162" s="225">
        <v>0.999</v>
      </c>
      <c r="E162" s="225">
        <v>0.999</v>
      </c>
      <c r="F162" s="199">
        <v>644</v>
      </c>
    </row>
    <row r="163" spans="1:6" ht="22.5" customHeight="1" x14ac:dyDescent="0.35">
      <c r="A163" s="1" t="s">
        <v>820</v>
      </c>
      <c r="B163" s="225">
        <v>0.97899999999999998</v>
      </c>
      <c r="C163" s="225">
        <v>0.97899999999999998</v>
      </c>
      <c r="D163" s="225">
        <v>0.97699999999999998</v>
      </c>
      <c r="E163" s="225">
        <v>0.97699999999999998</v>
      </c>
      <c r="F163" s="199">
        <v>645</v>
      </c>
    </row>
    <row r="164" spans="1:6" ht="22.5" customHeight="1" x14ac:dyDescent="0.35">
      <c r="A164" s="1" t="s">
        <v>1410</v>
      </c>
      <c r="B164" s="225">
        <v>1</v>
      </c>
      <c r="C164" s="225">
        <v>1</v>
      </c>
      <c r="D164" s="225">
        <v>1</v>
      </c>
      <c r="E164" s="225">
        <v>1</v>
      </c>
      <c r="F164" s="199">
        <v>646</v>
      </c>
    </row>
    <row r="165" spans="1:6" ht="22.5" customHeight="1" x14ac:dyDescent="0.35">
      <c r="A165" s="1" t="s">
        <v>861</v>
      </c>
      <c r="B165" s="225">
        <v>1</v>
      </c>
      <c r="C165" s="225">
        <v>1</v>
      </c>
      <c r="D165" s="225">
        <v>1</v>
      </c>
      <c r="E165" s="225">
        <v>1</v>
      </c>
      <c r="F165" s="199">
        <v>648</v>
      </c>
    </row>
    <row r="166" spans="1:6" ht="22.5" customHeight="1" x14ac:dyDescent="0.35">
      <c r="A166" s="1" t="s">
        <v>1411</v>
      </c>
      <c r="B166" s="225">
        <v>1</v>
      </c>
      <c r="C166" s="225">
        <v>1</v>
      </c>
      <c r="D166" s="225">
        <v>1</v>
      </c>
      <c r="E166" s="225">
        <v>1</v>
      </c>
      <c r="F166" s="199">
        <v>649</v>
      </c>
    </row>
    <row r="167" spans="1:6" ht="22.5" customHeight="1" x14ac:dyDescent="0.35">
      <c r="A167" s="1" t="s">
        <v>821</v>
      </c>
      <c r="B167" s="225">
        <v>0.996</v>
      </c>
      <c r="C167" s="225">
        <v>0.997</v>
      </c>
      <c r="D167" s="225">
        <v>0.997</v>
      </c>
      <c r="E167" s="225">
        <v>0.998</v>
      </c>
      <c r="F167" s="199">
        <v>650</v>
      </c>
    </row>
    <row r="168" spans="1:6" ht="22.5" customHeight="1" x14ac:dyDescent="0.35">
      <c r="A168" s="1" t="s">
        <v>825</v>
      </c>
      <c r="B168" s="225">
        <v>1.0009999999999999</v>
      </c>
      <c r="C168" s="225">
        <v>1.0009999999999999</v>
      </c>
      <c r="D168" s="225">
        <v>1.002</v>
      </c>
      <c r="E168" s="225">
        <v>1.002</v>
      </c>
      <c r="F168" s="199">
        <v>654</v>
      </c>
    </row>
    <row r="169" spans="1:6" ht="22.5" customHeight="1" x14ac:dyDescent="0.35">
      <c r="A169" s="1" t="s">
        <v>826</v>
      </c>
      <c r="B169" s="225">
        <v>0.998</v>
      </c>
      <c r="C169" s="225">
        <v>0.998</v>
      </c>
      <c r="D169" s="225">
        <v>0.997</v>
      </c>
      <c r="E169" s="225">
        <v>0.997</v>
      </c>
      <c r="F169" s="199">
        <v>655</v>
      </c>
    </row>
    <row r="170" spans="1:6" ht="22.5" customHeight="1" x14ac:dyDescent="0.35">
      <c r="A170" s="1" t="s">
        <v>831</v>
      </c>
      <c r="B170" s="225">
        <v>0.98499999999999999</v>
      </c>
      <c r="C170" s="225">
        <v>0.98899999999999999</v>
      </c>
      <c r="D170" s="225">
        <v>0.99</v>
      </c>
      <c r="E170" s="225">
        <v>0.99399999999999999</v>
      </c>
      <c r="F170" s="199">
        <v>663</v>
      </c>
    </row>
    <row r="171" spans="1:6" ht="22.5" customHeight="1" x14ac:dyDescent="0.35">
      <c r="A171" s="1" t="s">
        <v>834</v>
      </c>
      <c r="B171" s="225">
        <v>0.998</v>
      </c>
      <c r="C171" s="225">
        <v>0.998</v>
      </c>
      <c r="D171" s="225">
        <v>0.997</v>
      </c>
      <c r="E171" s="225">
        <v>0.997</v>
      </c>
      <c r="F171" s="199">
        <v>664</v>
      </c>
    </row>
    <row r="172" spans="1:6" ht="22.5" customHeight="1" x14ac:dyDescent="0.35">
      <c r="A172" s="1" t="s">
        <v>873</v>
      </c>
      <c r="B172" s="225">
        <v>1</v>
      </c>
      <c r="C172" s="225">
        <v>1</v>
      </c>
      <c r="D172" s="225">
        <v>1</v>
      </c>
      <c r="E172" s="225">
        <v>1</v>
      </c>
      <c r="F172" s="199">
        <v>665</v>
      </c>
    </row>
    <row r="173" spans="1:6" ht="22.5" customHeight="1" x14ac:dyDescent="0.35">
      <c r="A173" s="1" t="s">
        <v>829</v>
      </c>
      <c r="B173" s="225">
        <v>1</v>
      </c>
      <c r="C173" s="225">
        <v>1</v>
      </c>
      <c r="D173" s="225">
        <v>1</v>
      </c>
      <c r="E173" s="225">
        <v>1</v>
      </c>
      <c r="F173" s="199">
        <v>666</v>
      </c>
    </row>
    <row r="174" spans="1:6" ht="22.5" customHeight="1" x14ac:dyDescent="0.35">
      <c r="A174" s="1" t="s">
        <v>850</v>
      </c>
      <c r="B174" s="225">
        <v>0.998</v>
      </c>
      <c r="C174" s="225">
        <v>1</v>
      </c>
      <c r="D174" s="225">
        <v>1</v>
      </c>
      <c r="E174" s="225">
        <v>1.002</v>
      </c>
      <c r="F174" s="199">
        <v>668</v>
      </c>
    </row>
    <row r="175" spans="1:6" ht="22.5" customHeight="1" x14ac:dyDescent="0.35">
      <c r="A175" s="1" t="s">
        <v>851</v>
      </c>
      <c r="B175" s="225">
        <v>0.98399999999999999</v>
      </c>
      <c r="C175" s="225">
        <v>0.98399999999999999</v>
      </c>
      <c r="D175" s="225">
        <v>0.98199999999999998</v>
      </c>
      <c r="E175" s="225">
        <v>0.98299999999999998</v>
      </c>
      <c r="F175" s="199">
        <v>669</v>
      </c>
    </row>
    <row r="176" spans="1:6" ht="22.5" customHeight="1" x14ac:dyDescent="0.35">
      <c r="A176" s="1" t="s">
        <v>833</v>
      </c>
      <c r="B176" s="225">
        <v>0.996</v>
      </c>
      <c r="C176" s="225">
        <v>0.996</v>
      </c>
      <c r="D176" s="225">
        <v>0.996</v>
      </c>
      <c r="E176" s="225">
        <v>0.995</v>
      </c>
      <c r="F176" s="199">
        <v>670</v>
      </c>
    </row>
    <row r="177" spans="1:6" ht="22.5" customHeight="1" x14ac:dyDescent="0.35">
      <c r="A177" s="1" t="s">
        <v>786</v>
      </c>
      <c r="B177" s="225">
        <v>0.997</v>
      </c>
      <c r="C177" s="225">
        <v>0.996</v>
      </c>
      <c r="D177" s="225">
        <v>0.996</v>
      </c>
      <c r="E177" s="225">
        <v>0.997</v>
      </c>
      <c r="F177" s="199">
        <v>671</v>
      </c>
    </row>
    <row r="178" spans="1:6" ht="22.5" customHeight="1" x14ac:dyDescent="0.35">
      <c r="A178" s="1" t="s">
        <v>787</v>
      </c>
      <c r="B178" s="225">
        <v>0.996</v>
      </c>
      <c r="C178" s="225">
        <v>0.996</v>
      </c>
      <c r="D178" s="225">
        <v>0.996</v>
      </c>
      <c r="E178" s="225">
        <v>0.995</v>
      </c>
      <c r="F178" s="199">
        <v>672</v>
      </c>
    </row>
    <row r="179" spans="1:6" ht="22.5" customHeight="1" x14ac:dyDescent="0.35">
      <c r="A179" s="1" t="s">
        <v>836</v>
      </c>
      <c r="B179" s="225">
        <v>0.99099999999999999</v>
      </c>
      <c r="C179" s="225">
        <v>0.99099999999999999</v>
      </c>
      <c r="D179" s="225">
        <v>0.99099999999999999</v>
      </c>
      <c r="E179" s="225">
        <v>0.99199999999999999</v>
      </c>
      <c r="F179" s="199">
        <v>673</v>
      </c>
    </row>
    <row r="180" spans="1:6" ht="22.5" customHeight="1" x14ac:dyDescent="0.35">
      <c r="A180" s="1" t="s">
        <v>837</v>
      </c>
      <c r="B180" s="225">
        <v>0.97599999999999998</v>
      </c>
      <c r="C180" s="225">
        <v>0.98099999999999998</v>
      </c>
      <c r="D180" s="225">
        <v>0.97799999999999998</v>
      </c>
      <c r="E180" s="225">
        <v>0.98299999999999998</v>
      </c>
      <c r="F180" s="199">
        <v>674</v>
      </c>
    </row>
    <row r="181" spans="1:6" ht="22.5" customHeight="1" x14ac:dyDescent="0.35">
      <c r="A181" s="1" t="s">
        <v>838</v>
      </c>
      <c r="B181" s="225">
        <v>0.98499999999999999</v>
      </c>
      <c r="C181" s="225">
        <v>0.98599999999999999</v>
      </c>
      <c r="D181" s="225">
        <v>0.98599999999999999</v>
      </c>
      <c r="E181" s="225">
        <v>0.98699999999999999</v>
      </c>
      <c r="F181" s="199">
        <v>675</v>
      </c>
    </row>
    <row r="182" spans="1:6" ht="22.5" customHeight="1" x14ac:dyDescent="0.35">
      <c r="A182" s="1" t="s">
        <v>839</v>
      </c>
      <c r="B182" s="225">
        <v>1.0049999999999999</v>
      </c>
      <c r="C182" s="225">
        <v>1.0129999999999999</v>
      </c>
      <c r="D182" s="225">
        <v>1.02</v>
      </c>
      <c r="E182" s="225">
        <v>1.0269999999999999</v>
      </c>
      <c r="F182" s="199">
        <v>676</v>
      </c>
    </row>
    <row r="183" spans="1:6" ht="22.5" customHeight="1" x14ac:dyDescent="0.35">
      <c r="A183" s="1" t="s">
        <v>840</v>
      </c>
      <c r="B183" s="225">
        <v>0.999</v>
      </c>
      <c r="C183" s="225">
        <v>0.999</v>
      </c>
      <c r="D183" s="225">
        <v>0.998</v>
      </c>
      <c r="E183" s="225">
        <v>0.998</v>
      </c>
      <c r="F183" s="199">
        <v>677</v>
      </c>
    </row>
    <row r="184" spans="1:6" ht="22.5" customHeight="1" x14ac:dyDescent="0.35">
      <c r="A184" s="1" t="s">
        <v>841</v>
      </c>
      <c r="B184" s="225">
        <v>0.99199999999999999</v>
      </c>
      <c r="C184" s="225">
        <v>0.99099999999999999</v>
      </c>
      <c r="D184" s="225">
        <v>0.98899999999999999</v>
      </c>
      <c r="E184" s="225">
        <v>0.99099999999999999</v>
      </c>
      <c r="F184" s="199">
        <v>678</v>
      </c>
    </row>
    <row r="185" spans="1:6" ht="22.5" customHeight="1" x14ac:dyDescent="0.35">
      <c r="A185" s="1" t="s">
        <v>847</v>
      </c>
      <c r="B185" s="225">
        <v>0.995</v>
      </c>
      <c r="C185" s="225">
        <v>0.995</v>
      </c>
      <c r="D185" s="225">
        <v>0.99399999999999999</v>
      </c>
      <c r="E185" s="225">
        <v>0.995</v>
      </c>
      <c r="F185" s="199">
        <v>679</v>
      </c>
    </row>
    <row r="186" spans="1:6" ht="22.5" customHeight="1" x14ac:dyDescent="0.35">
      <c r="A186" s="1" t="s">
        <v>842</v>
      </c>
      <c r="B186" s="225">
        <v>0.996</v>
      </c>
      <c r="C186" s="225">
        <v>0.996</v>
      </c>
      <c r="D186" s="225">
        <v>0.996</v>
      </c>
      <c r="E186" s="225">
        <v>0.996</v>
      </c>
      <c r="F186" s="199">
        <v>680</v>
      </c>
    </row>
    <row r="187" spans="1:6" ht="22.5" customHeight="1" x14ac:dyDescent="0.35">
      <c r="A187" s="1" t="s">
        <v>784</v>
      </c>
      <c r="B187" s="225">
        <v>0.996</v>
      </c>
      <c r="C187" s="225">
        <v>0.997</v>
      </c>
      <c r="D187" s="225">
        <v>0.996</v>
      </c>
      <c r="E187" s="225">
        <v>0.996</v>
      </c>
      <c r="F187" s="199">
        <v>681</v>
      </c>
    </row>
    <row r="188" spans="1:6" ht="22.5" customHeight="1" x14ac:dyDescent="0.35">
      <c r="A188" s="1" t="s">
        <v>828</v>
      </c>
      <c r="B188" s="225">
        <v>1</v>
      </c>
      <c r="C188" s="225">
        <v>1</v>
      </c>
      <c r="D188" s="225">
        <v>1</v>
      </c>
      <c r="E188" s="225">
        <v>1</v>
      </c>
      <c r="F188" s="199">
        <v>682</v>
      </c>
    </row>
    <row r="189" spans="1:6" ht="22.5" customHeight="1" x14ac:dyDescent="0.35">
      <c r="A189" s="1" t="s">
        <v>778</v>
      </c>
      <c r="B189" s="225">
        <v>0.996</v>
      </c>
      <c r="C189" s="225">
        <v>0.999</v>
      </c>
      <c r="D189" s="225">
        <v>0.997</v>
      </c>
      <c r="E189" s="225">
        <v>1</v>
      </c>
      <c r="F189" s="199">
        <v>683</v>
      </c>
    </row>
    <row r="190" spans="1:6" ht="22.5" customHeight="1" x14ac:dyDescent="0.35">
      <c r="A190" s="1" t="s">
        <v>779</v>
      </c>
      <c r="B190" s="225">
        <v>0.997</v>
      </c>
      <c r="C190" s="225">
        <v>0.998</v>
      </c>
      <c r="D190" s="225">
        <v>0.997</v>
      </c>
      <c r="E190" s="225">
        <v>0.997</v>
      </c>
      <c r="F190" s="199">
        <v>684</v>
      </c>
    </row>
    <row r="191" spans="1:6" ht="22.5" customHeight="1" x14ac:dyDescent="0.35">
      <c r="A191" s="1" t="s">
        <v>780</v>
      </c>
      <c r="B191" s="225">
        <v>0.997</v>
      </c>
      <c r="C191" s="225">
        <v>0.997</v>
      </c>
      <c r="D191" s="225">
        <v>0.997</v>
      </c>
      <c r="E191" s="225">
        <v>0.996</v>
      </c>
      <c r="F191" s="199">
        <v>685</v>
      </c>
    </row>
    <row r="192" spans="1:6" ht="22.5" customHeight="1" x14ac:dyDescent="0.35">
      <c r="A192" s="1" t="s">
        <v>865</v>
      </c>
      <c r="B192" s="225">
        <v>1</v>
      </c>
      <c r="C192" s="225">
        <v>1</v>
      </c>
      <c r="D192" s="225">
        <v>1</v>
      </c>
      <c r="E192" s="225">
        <v>1</v>
      </c>
      <c r="F192" s="199">
        <v>686</v>
      </c>
    </row>
    <row r="193" spans="1:6" ht="22.5" customHeight="1" x14ac:dyDescent="0.35">
      <c r="A193" s="1" t="s">
        <v>845</v>
      </c>
      <c r="B193" s="225">
        <v>0.998</v>
      </c>
      <c r="C193" s="225">
        <v>0.998</v>
      </c>
      <c r="D193" s="225">
        <v>0.997</v>
      </c>
      <c r="E193" s="225">
        <v>0.997</v>
      </c>
      <c r="F193" s="199">
        <v>687</v>
      </c>
    </row>
    <row r="194" spans="1:6" ht="22.5" customHeight="1" x14ac:dyDescent="0.35">
      <c r="A194" s="1" t="s">
        <v>782</v>
      </c>
      <c r="B194" s="225">
        <v>0.996</v>
      </c>
      <c r="C194" s="225">
        <v>0.997</v>
      </c>
      <c r="D194" s="225">
        <v>0.996</v>
      </c>
      <c r="E194" s="225">
        <v>0.997</v>
      </c>
      <c r="F194" s="199">
        <v>688</v>
      </c>
    </row>
    <row r="195" spans="1:6" ht="22.5" customHeight="1" x14ac:dyDescent="0.35">
      <c r="A195" s="1" t="s">
        <v>783</v>
      </c>
      <c r="B195" s="225">
        <v>0.996</v>
      </c>
      <c r="C195" s="225">
        <v>0.996</v>
      </c>
      <c r="D195" s="225">
        <v>0.996</v>
      </c>
      <c r="E195" s="225">
        <v>0.996</v>
      </c>
      <c r="F195" s="199">
        <v>689</v>
      </c>
    </row>
    <row r="196" spans="1:6" ht="22.5" customHeight="1" x14ac:dyDescent="0.35">
      <c r="A196" s="1" t="s">
        <v>788</v>
      </c>
      <c r="B196" s="225">
        <v>0.998</v>
      </c>
      <c r="C196" s="225">
        <v>0.998</v>
      </c>
      <c r="D196" s="225">
        <v>0.998</v>
      </c>
      <c r="E196" s="225">
        <v>0.998</v>
      </c>
      <c r="F196" s="199">
        <v>690</v>
      </c>
    </row>
    <row r="197" spans="1:6" ht="22.5" customHeight="1" x14ac:dyDescent="0.35">
      <c r="A197" s="1" t="s">
        <v>789</v>
      </c>
      <c r="B197" s="225">
        <v>0.99199999999999999</v>
      </c>
      <c r="C197" s="225">
        <v>0.99199999999999999</v>
      </c>
      <c r="D197" s="225">
        <v>0.99199999999999999</v>
      </c>
      <c r="E197" s="225">
        <v>0.99299999999999999</v>
      </c>
      <c r="F197" s="199">
        <v>691</v>
      </c>
    </row>
    <row r="198" spans="1:6" ht="22.5" customHeight="1" x14ac:dyDescent="0.35">
      <c r="A198" s="1" t="s">
        <v>790</v>
      </c>
      <c r="B198" s="225">
        <v>0.99299999999999999</v>
      </c>
      <c r="C198" s="225">
        <v>0.995</v>
      </c>
      <c r="D198" s="225">
        <v>0.99299999999999999</v>
      </c>
      <c r="E198" s="225">
        <v>0.99399999999999999</v>
      </c>
      <c r="F198" s="199">
        <v>692</v>
      </c>
    </row>
    <row r="199" spans="1:6" ht="22.5" customHeight="1" x14ac:dyDescent="0.35">
      <c r="A199" s="1" t="s">
        <v>781</v>
      </c>
      <c r="B199" s="225">
        <v>1</v>
      </c>
      <c r="C199" s="225">
        <v>1</v>
      </c>
      <c r="D199" s="225">
        <v>1</v>
      </c>
      <c r="E199" s="225">
        <v>1</v>
      </c>
      <c r="F199" s="199">
        <v>693</v>
      </c>
    </row>
    <row r="200" spans="1:6" ht="22.5" customHeight="1" x14ac:dyDescent="0.35">
      <c r="A200" s="1" t="s">
        <v>1412</v>
      </c>
      <c r="B200" s="225">
        <v>1</v>
      </c>
      <c r="C200" s="225">
        <v>1</v>
      </c>
      <c r="D200" s="225">
        <v>1</v>
      </c>
      <c r="E200" s="225">
        <v>1</v>
      </c>
      <c r="F200" s="199">
        <v>694</v>
      </c>
    </row>
    <row r="201" spans="1:6" ht="22.5" customHeight="1" x14ac:dyDescent="0.35">
      <c r="A201" s="1" t="s">
        <v>791</v>
      </c>
      <c r="B201" s="225">
        <v>0.997</v>
      </c>
      <c r="C201" s="225">
        <v>0.996</v>
      </c>
      <c r="D201" s="225">
        <v>0.995</v>
      </c>
      <c r="E201" s="225">
        <v>0.995</v>
      </c>
      <c r="F201" s="199">
        <v>695</v>
      </c>
    </row>
    <row r="202" spans="1:6" ht="22.5" customHeight="1" x14ac:dyDescent="0.35">
      <c r="A202" s="1" t="s">
        <v>823</v>
      </c>
      <c r="B202" s="225">
        <v>0.99399999999999999</v>
      </c>
      <c r="C202" s="225">
        <v>0.99399999999999999</v>
      </c>
      <c r="D202" s="225">
        <v>0.99199999999999999</v>
      </c>
      <c r="E202" s="225">
        <v>0.99199999999999999</v>
      </c>
      <c r="F202" s="199">
        <v>696</v>
      </c>
    </row>
    <row r="203" spans="1:6" ht="22.5" customHeight="1" x14ac:dyDescent="0.35">
      <c r="A203" s="1" t="s">
        <v>876</v>
      </c>
      <c r="B203" s="225">
        <v>1.0129999999999999</v>
      </c>
      <c r="C203" s="225">
        <v>1.0189999999999999</v>
      </c>
      <c r="D203" s="225">
        <v>1.0229999999999999</v>
      </c>
      <c r="E203" s="225">
        <v>1.0269999999999999</v>
      </c>
      <c r="F203" s="199">
        <v>697</v>
      </c>
    </row>
    <row r="204" spans="1:6" ht="22.5" customHeight="1" x14ac:dyDescent="0.35">
      <c r="A204" s="1" t="s">
        <v>832</v>
      </c>
      <c r="B204" s="225">
        <v>0.997</v>
      </c>
      <c r="C204" s="225">
        <v>0.997</v>
      </c>
      <c r="D204" s="225">
        <v>0.996</v>
      </c>
      <c r="E204" s="225">
        <v>0.996</v>
      </c>
      <c r="F204" s="199">
        <v>698</v>
      </c>
    </row>
    <row r="205" spans="1:6" ht="22.5" customHeight="1" x14ac:dyDescent="0.35">
      <c r="A205" s="1" t="s">
        <v>794</v>
      </c>
      <c r="B205" s="225">
        <v>0.99299999999999999</v>
      </c>
      <c r="C205" s="225">
        <v>0.99399999999999999</v>
      </c>
      <c r="D205" s="225">
        <v>0.995</v>
      </c>
      <c r="E205" s="225">
        <v>0.995</v>
      </c>
      <c r="F205" s="199">
        <v>699</v>
      </c>
    </row>
    <row r="206" spans="1:6" ht="22.5" customHeight="1" x14ac:dyDescent="0.35">
      <c r="A206" s="1" t="s">
        <v>793</v>
      </c>
      <c r="B206" s="225">
        <v>0.995</v>
      </c>
      <c r="C206" s="225">
        <v>0.995</v>
      </c>
      <c r="D206" s="225">
        <v>0.99399999999999999</v>
      </c>
      <c r="E206" s="225">
        <v>0.99399999999999999</v>
      </c>
      <c r="F206" s="199">
        <v>700</v>
      </c>
    </row>
    <row r="207" spans="1:6" ht="22.5" customHeight="1" x14ac:dyDescent="0.35">
      <c r="A207" s="1" t="s">
        <v>843</v>
      </c>
      <c r="B207" s="225">
        <v>0.998</v>
      </c>
      <c r="C207" s="225">
        <v>0.998</v>
      </c>
      <c r="D207" s="225">
        <v>0.997</v>
      </c>
      <c r="E207" s="225">
        <v>0.998</v>
      </c>
      <c r="F207" s="199">
        <v>701</v>
      </c>
    </row>
    <row r="208" spans="1:6" ht="22.5" customHeight="1" x14ac:dyDescent="0.35">
      <c r="A208" s="1" t="s">
        <v>844</v>
      </c>
      <c r="B208" s="225">
        <v>0.99099999999999999</v>
      </c>
      <c r="C208" s="225">
        <v>0.99199999999999999</v>
      </c>
      <c r="D208" s="225">
        <v>0.99</v>
      </c>
      <c r="E208" s="225">
        <v>0.98899999999999999</v>
      </c>
      <c r="F208" s="199">
        <v>702</v>
      </c>
    </row>
    <row r="209" spans="1:6" ht="22.5" customHeight="1" x14ac:dyDescent="0.35">
      <c r="A209" s="1" t="s">
        <v>797</v>
      </c>
      <c r="B209" s="225">
        <v>0.997</v>
      </c>
      <c r="C209" s="225">
        <v>1.0009999999999999</v>
      </c>
      <c r="D209" s="225">
        <v>1.002</v>
      </c>
      <c r="E209" s="225">
        <v>1.004</v>
      </c>
      <c r="F209" s="199">
        <v>703</v>
      </c>
    </row>
    <row r="210" spans="1:6" ht="22.5" customHeight="1" x14ac:dyDescent="0.35">
      <c r="A210" s="1" t="s">
        <v>798</v>
      </c>
      <c r="B210" s="225">
        <v>1</v>
      </c>
      <c r="C210" s="225">
        <v>1</v>
      </c>
      <c r="D210" s="225">
        <v>1</v>
      </c>
      <c r="E210" s="225">
        <v>1</v>
      </c>
      <c r="F210" s="199">
        <v>704</v>
      </c>
    </row>
    <row r="211" spans="1:6" ht="22.5" customHeight="1" x14ac:dyDescent="0.35">
      <c r="A211" s="1" t="s">
        <v>799</v>
      </c>
      <c r="B211" s="225">
        <v>0.998</v>
      </c>
      <c r="C211" s="225">
        <v>0.998</v>
      </c>
      <c r="D211" s="225">
        <v>0.998</v>
      </c>
      <c r="E211" s="225">
        <v>0.998</v>
      </c>
      <c r="F211" s="199">
        <v>705</v>
      </c>
    </row>
    <row r="212" spans="1:6" ht="22.5" customHeight="1" x14ac:dyDescent="0.35">
      <c r="A212" s="1" t="s">
        <v>835</v>
      </c>
      <c r="B212" s="225">
        <v>1</v>
      </c>
      <c r="C212" s="225">
        <v>1</v>
      </c>
      <c r="D212" s="225">
        <v>1</v>
      </c>
      <c r="E212" s="225">
        <v>1</v>
      </c>
      <c r="F212" s="199">
        <v>706</v>
      </c>
    </row>
    <row r="213" spans="1:6" ht="22.5" customHeight="1" x14ac:dyDescent="0.35">
      <c r="A213" s="1" t="s">
        <v>849</v>
      </c>
      <c r="B213" s="225">
        <v>0.99099999999999999</v>
      </c>
      <c r="C213" s="225">
        <v>0.99199999999999999</v>
      </c>
      <c r="D213" s="225">
        <v>0.99099999999999999</v>
      </c>
      <c r="E213" s="225">
        <v>0.99199999999999999</v>
      </c>
      <c r="F213" s="199">
        <v>708</v>
      </c>
    </row>
    <row r="214" spans="1:6" ht="22.5" customHeight="1" x14ac:dyDescent="0.35">
      <c r="A214" s="1" t="s">
        <v>863</v>
      </c>
      <c r="B214" s="225">
        <v>0.996</v>
      </c>
      <c r="C214" s="225">
        <v>0.997</v>
      </c>
      <c r="D214" s="225">
        <v>0.997</v>
      </c>
      <c r="E214" s="225">
        <v>0.997</v>
      </c>
      <c r="F214" s="199">
        <v>710</v>
      </c>
    </row>
    <row r="215" spans="1:6" ht="22.5" customHeight="1" x14ac:dyDescent="0.35">
      <c r="A215" s="1" t="s">
        <v>871</v>
      </c>
      <c r="B215" s="225">
        <v>1</v>
      </c>
      <c r="C215" s="225">
        <v>1</v>
      </c>
      <c r="D215" s="225">
        <v>1</v>
      </c>
      <c r="E215" s="225">
        <v>1</v>
      </c>
      <c r="F215" s="199">
        <v>711</v>
      </c>
    </row>
    <row r="216" spans="1:6" ht="22.5" customHeight="1" x14ac:dyDescent="0.35">
      <c r="A216" s="1" t="s">
        <v>872</v>
      </c>
      <c r="B216" s="225">
        <v>1</v>
      </c>
      <c r="C216" s="225">
        <v>1</v>
      </c>
      <c r="D216" s="225">
        <v>1</v>
      </c>
      <c r="E216" s="225">
        <v>1</v>
      </c>
      <c r="F216" s="199">
        <v>712</v>
      </c>
    </row>
    <row r="217" spans="1:6" ht="22.5" customHeight="1" x14ac:dyDescent="0.35">
      <c r="A217" s="1" t="s">
        <v>868</v>
      </c>
      <c r="B217" s="225">
        <v>1</v>
      </c>
      <c r="C217" s="225">
        <v>1</v>
      </c>
      <c r="D217" s="225">
        <v>1</v>
      </c>
      <c r="E217" s="225">
        <v>1</v>
      </c>
      <c r="F217" s="199">
        <v>713</v>
      </c>
    </row>
    <row r="218" spans="1:6" ht="22.5" customHeight="1" x14ac:dyDescent="0.35">
      <c r="A218" s="1" t="s">
        <v>874</v>
      </c>
      <c r="B218" s="225">
        <v>1</v>
      </c>
      <c r="C218" s="225">
        <v>1</v>
      </c>
      <c r="D218" s="225">
        <v>1</v>
      </c>
      <c r="E218" s="225">
        <v>1</v>
      </c>
      <c r="F218" s="199">
        <v>714</v>
      </c>
    </row>
    <row r="219" spans="1:6" ht="22.5" customHeight="1" x14ac:dyDescent="0.35">
      <c r="A219" s="1" t="s">
        <v>867</v>
      </c>
      <c r="B219" s="225">
        <f>VLOOKUP($F219,'[2]CSAD 2.1a SVA Data'!$C$154:$N$270,9,FALSE)</f>
        <v>1</v>
      </c>
      <c r="C219" s="225">
        <f>VLOOKUP($F219,'[2]CSAD 2.1a SVA Data'!$C$154:$N$270,10,FALSE)</f>
        <v>1</v>
      </c>
      <c r="D219" s="225">
        <f>VLOOKUP($F219,'[2]CSAD 2.1a SVA Data'!$C$154:$N$270,11,FALSE)</f>
        <v>1</v>
      </c>
      <c r="E219" s="225">
        <f>VLOOKUP($F219,'[2]CSAD 2.1a SVA Data'!$C$154:$N$270,12,FALSE)</f>
        <v>1</v>
      </c>
      <c r="F219" s="199">
        <v>715</v>
      </c>
    </row>
    <row r="220" spans="1:6" ht="22.5" customHeight="1" x14ac:dyDescent="0.35">
      <c r="A220" s="1" t="s">
        <v>870</v>
      </c>
      <c r="B220" s="225">
        <v>1</v>
      </c>
      <c r="C220" s="225">
        <v>1</v>
      </c>
      <c r="D220" s="225">
        <v>1</v>
      </c>
      <c r="E220" s="225">
        <v>1</v>
      </c>
      <c r="F220" s="199">
        <v>716</v>
      </c>
    </row>
    <row r="221" spans="1:6" ht="22.5" customHeight="1" x14ac:dyDescent="0.35">
      <c r="A221" s="1" t="s">
        <v>886</v>
      </c>
      <c r="B221" s="225">
        <v>1</v>
      </c>
      <c r="C221" s="225">
        <v>1</v>
      </c>
      <c r="D221" s="225">
        <v>1</v>
      </c>
      <c r="E221" s="225">
        <v>1</v>
      </c>
      <c r="F221" s="199">
        <v>717</v>
      </c>
    </row>
    <row r="222" spans="1:6" ht="22.5" customHeight="1" x14ac:dyDescent="0.35">
      <c r="A222" s="1" t="s">
        <v>869</v>
      </c>
      <c r="B222" s="225">
        <v>1</v>
      </c>
      <c r="C222" s="225">
        <v>1</v>
      </c>
      <c r="D222" s="225">
        <v>1</v>
      </c>
      <c r="E222" s="225">
        <v>1</v>
      </c>
      <c r="F222" s="199">
        <v>950</v>
      </c>
    </row>
    <row r="223" spans="1:6" ht="22.5" customHeight="1" x14ac:dyDescent="0.35">
      <c r="A223" s="1" t="s">
        <v>777</v>
      </c>
      <c r="B223" s="225">
        <v>0.99199999999999999</v>
      </c>
      <c r="C223" s="225">
        <v>0.99099999999999999</v>
      </c>
      <c r="D223" s="225">
        <v>0.99099999999999999</v>
      </c>
      <c r="E223" s="225">
        <v>0.99199999999999999</v>
      </c>
      <c r="F223" s="199" t="s">
        <v>887</v>
      </c>
    </row>
    <row r="224" spans="1:6" ht="22.5" customHeight="1" x14ac:dyDescent="0.35">
      <c r="A224" s="1" t="s">
        <v>819</v>
      </c>
      <c r="B224" s="225">
        <v>0.995</v>
      </c>
      <c r="C224" s="225">
        <v>0.995</v>
      </c>
      <c r="D224" s="225">
        <v>0.995</v>
      </c>
      <c r="E224" s="225">
        <v>0.996</v>
      </c>
      <c r="F224" s="199" t="s">
        <v>888</v>
      </c>
    </row>
    <row r="225" spans="1:6" ht="22.5" customHeight="1" x14ac:dyDescent="0.35">
      <c r="A225" s="1" t="s">
        <v>854</v>
      </c>
      <c r="B225" s="225">
        <v>0.995</v>
      </c>
      <c r="C225" s="225">
        <v>0.995</v>
      </c>
      <c r="D225" s="225">
        <v>0.995</v>
      </c>
      <c r="E225" s="225">
        <v>0.995</v>
      </c>
      <c r="F225" s="199" t="s">
        <v>754</v>
      </c>
    </row>
    <row r="226" spans="1:6" ht="22.5" customHeight="1" x14ac:dyDescent="0.35">
      <c r="A226" s="1" t="s">
        <v>855</v>
      </c>
      <c r="B226" s="225">
        <v>0.995</v>
      </c>
      <c r="C226" s="225">
        <v>0.999</v>
      </c>
      <c r="D226" s="225">
        <v>0.998</v>
      </c>
      <c r="E226" s="225">
        <v>1</v>
      </c>
      <c r="F226" s="199" t="s">
        <v>755</v>
      </c>
    </row>
    <row r="227" spans="1:6" ht="22.5" customHeight="1" x14ac:dyDescent="0.35">
      <c r="A227" s="1" t="s">
        <v>856</v>
      </c>
      <c r="B227" s="225">
        <v>0.98099999999999998</v>
      </c>
      <c r="C227" s="225">
        <v>0.98199999999999998</v>
      </c>
      <c r="D227" s="225">
        <v>0.97599999999999998</v>
      </c>
      <c r="E227" s="225">
        <v>0.97799999999999998</v>
      </c>
      <c r="F227" s="199" t="s">
        <v>890</v>
      </c>
    </row>
    <row r="228" spans="1:6" ht="24.95" customHeight="1" x14ac:dyDescent="0.35">
      <c r="A228" s="1" t="s">
        <v>857</v>
      </c>
      <c r="B228" s="225">
        <v>0.98899999999999999</v>
      </c>
      <c r="C228" s="225">
        <v>0.98899999999999999</v>
      </c>
      <c r="D228" s="225">
        <v>0.98799999999999999</v>
      </c>
      <c r="E228" s="225">
        <v>0.98899999999999999</v>
      </c>
      <c r="F228" s="199" t="s">
        <v>756</v>
      </c>
    </row>
    <row r="229" spans="1:6" ht="24.95" customHeight="1" x14ac:dyDescent="0.35">
      <c r="A229" s="1" t="s">
        <v>858</v>
      </c>
      <c r="B229" s="225">
        <v>0.99099999999999999</v>
      </c>
      <c r="C229" s="225">
        <v>0.99099999999999999</v>
      </c>
      <c r="D229" s="225">
        <v>0.98899999999999999</v>
      </c>
      <c r="E229" s="225">
        <v>0.98899999999999999</v>
      </c>
      <c r="F229" s="199" t="s">
        <v>757</v>
      </c>
    </row>
    <row r="230" spans="1:6" ht="24.95" customHeight="1" x14ac:dyDescent="0.35">
      <c r="A230" s="1" t="s">
        <v>859</v>
      </c>
      <c r="B230" s="225">
        <v>0.98899999999999999</v>
      </c>
      <c r="C230" s="225">
        <v>0.98899999999999999</v>
      </c>
      <c r="D230" s="225">
        <v>0.98699999999999999</v>
      </c>
      <c r="E230" s="225">
        <v>0.98699999999999999</v>
      </c>
      <c r="F230" s="199" t="s">
        <v>758</v>
      </c>
    </row>
    <row r="231" spans="1:6" ht="24.95" customHeight="1" x14ac:dyDescent="0.35">
      <c r="A231" s="1" t="s">
        <v>860</v>
      </c>
      <c r="B231" s="225">
        <v>0.997</v>
      </c>
      <c r="C231" s="225">
        <v>0.997</v>
      </c>
      <c r="D231" s="225">
        <v>0.997</v>
      </c>
      <c r="E231" s="225">
        <v>0.997</v>
      </c>
      <c r="F231" s="199" t="s">
        <v>759</v>
      </c>
    </row>
    <row r="232" spans="1:6" ht="24.95" customHeight="1" x14ac:dyDescent="0.35">
      <c r="A232" s="1" t="s">
        <v>864</v>
      </c>
      <c r="B232" s="225">
        <v>1.0029999999999999</v>
      </c>
      <c r="C232" s="225">
        <v>1.004</v>
      </c>
      <c r="D232" s="225">
        <v>1.004</v>
      </c>
      <c r="E232" s="225">
        <v>1.0049999999999999</v>
      </c>
      <c r="F232" s="199" t="s">
        <v>892</v>
      </c>
    </row>
    <row r="233" spans="1:6" ht="24.95" customHeight="1" x14ac:dyDescent="0.35">
      <c r="A233" s="1" t="s">
        <v>862</v>
      </c>
      <c r="B233" s="225">
        <v>1</v>
      </c>
      <c r="C233" s="225">
        <v>1</v>
      </c>
      <c r="D233" s="225">
        <v>1</v>
      </c>
      <c r="E233" s="225">
        <v>1</v>
      </c>
      <c r="F233" s="199" t="s">
        <v>891</v>
      </c>
    </row>
    <row r="234" spans="1:6" ht="24.95" customHeight="1" x14ac:dyDescent="0.35">
      <c r="A234" s="1" t="s">
        <v>848</v>
      </c>
      <c r="B234" s="225">
        <v>0.995</v>
      </c>
      <c r="C234" s="225">
        <v>0.996</v>
      </c>
      <c r="D234" s="225">
        <v>0.995</v>
      </c>
      <c r="E234" s="225">
        <v>0.995</v>
      </c>
      <c r="F234" s="199" t="s">
        <v>889</v>
      </c>
    </row>
    <row r="235" spans="1:6" ht="22.5" customHeight="1" x14ac:dyDescent="0.35">
      <c r="A235" s="1" t="s">
        <v>883</v>
      </c>
      <c r="B235" s="225">
        <v>1.0129999999999999</v>
      </c>
      <c r="C235" s="225">
        <v>1.0129999999999999</v>
      </c>
      <c r="D235" s="225">
        <v>1.0129999999999999</v>
      </c>
      <c r="E235" s="225">
        <v>1.0129999999999999</v>
      </c>
      <c r="F235" s="199" t="s">
        <v>905</v>
      </c>
    </row>
    <row r="236" spans="1:6" ht="22.5" customHeight="1" x14ac:dyDescent="0.35">
      <c r="A236" s="1" t="s">
        <v>884</v>
      </c>
      <c r="B236" s="225">
        <v>1.0129999999999999</v>
      </c>
      <c r="C236" s="225">
        <v>1.0129999999999999</v>
      </c>
      <c r="D236" s="225">
        <v>1.0129999999999999</v>
      </c>
      <c r="E236" s="225">
        <v>1.0129999999999999</v>
      </c>
      <c r="F236" s="199" t="s">
        <v>906</v>
      </c>
    </row>
    <row r="237" spans="1:6" ht="22.5" customHeight="1" x14ac:dyDescent="0.35">
      <c r="A237" s="1" t="s">
        <v>885</v>
      </c>
      <c r="B237" s="225">
        <v>1.0129999999999999</v>
      </c>
      <c r="C237" s="225">
        <v>1.0129999999999999</v>
      </c>
      <c r="D237" s="225">
        <v>1.0129999999999999</v>
      </c>
      <c r="E237" s="225">
        <v>1.0129999999999999</v>
      </c>
      <c r="F237" s="199" t="s">
        <v>907</v>
      </c>
    </row>
    <row r="238" spans="1:6" ht="22.5" customHeight="1" x14ac:dyDescent="0.35">
      <c r="A238" s="1" t="s">
        <v>880</v>
      </c>
      <c r="B238" s="225">
        <v>1</v>
      </c>
      <c r="C238" s="225">
        <v>1</v>
      </c>
      <c r="D238" s="225">
        <v>1</v>
      </c>
      <c r="E238" s="225">
        <v>1</v>
      </c>
      <c r="F238" s="199" t="s">
        <v>902</v>
      </c>
    </row>
    <row r="239" spans="1:6" ht="22.5" customHeight="1" x14ac:dyDescent="0.35">
      <c r="A239" s="1" t="s">
        <v>881</v>
      </c>
      <c r="B239" s="225">
        <v>1</v>
      </c>
      <c r="C239" s="225">
        <v>1</v>
      </c>
      <c r="D239" s="225">
        <v>1</v>
      </c>
      <c r="E239" s="225">
        <v>1</v>
      </c>
      <c r="F239" s="199" t="s">
        <v>903</v>
      </c>
    </row>
    <row r="240" spans="1:6" ht="22.5" customHeight="1" x14ac:dyDescent="0.35">
      <c r="A240" s="1" t="s">
        <v>873</v>
      </c>
      <c r="B240" s="225">
        <v>1</v>
      </c>
      <c r="C240" s="225">
        <v>1</v>
      </c>
      <c r="D240" s="225">
        <v>1</v>
      </c>
      <c r="E240" s="225">
        <v>1</v>
      </c>
      <c r="F240" s="199" t="s">
        <v>897</v>
      </c>
    </row>
    <row r="241" spans="1:6" ht="22.5" customHeight="1" x14ac:dyDescent="0.35">
      <c r="A241" s="1" t="s">
        <v>882</v>
      </c>
      <c r="B241" s="225">
        <v>1</v>
      </c>
      <c r="C241" s="225">
        <v>1</v>
      </c>
      <c r="D241" s="225">
        <v>1</v>
      </c>
      <c r="E241" s="225">
        <v>1</v>
      </c>
      <c r="F241" s="199" t="s">
        <v>904</v>
      </c>
    </row>
    <row r="242" spans="1:6" ht="22.5" customHeight="1" x14ac:dyDescent="0.35">
      <c r="A242" s="1" t="s">
        <v>875</v>
      </c>
      <c r="B242" s="225">
        <v>1</v>
      </c>
      <c r="C242" s="225">
        <v>1</v>
      </c>
      <c r="D242" s="225">
        <v>1</v>
      </c>
      <c r="E242" s="225">
        <v>1</v>
      </c>
      <c r="F242" s="199" t="s">
        <v>898</v>
      </c>
    </row>
    <row r="244" spans="1:6" ht="18" customHeight="1" x14ac:dyDescent="0.35"/>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0">
    <mergeCell ref="A2:E2"/>
    <mergeCell ref="B9:E9"/>
    <mergeCell ref="A3:E3"/>
    <mergeCell ref="A4:A5"/>
    <mergeCell ref="A137:F137"/>
    <mergeCell ref="A12:F12"/>
    <mergeCell ref="A13:F13"/>
    <mergeCell ref="A136:F136"/>
    <mergeCell ref="A24:F24"/>
    <mergeCell ref="A25:F25"/>
  </mergeCells>
  <phoneticPr fontId="11"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48" fitToHeight="0" orientation="portrait" r:id="rId2"/>
  <headerFooter differentFirst="1" scaleWithDoc="0">
    <oddFooter>&amp;C&amp;"Calibri"&amp;11&amp;K000000&amp;P of &amp;N_x000D_&amp;1#&amp;"Calibri"&amp;12&amp;K008000Internal Use</oddFooter>
    <firstHeader>&amp;L
Annex 5 – Schedule of Line Loss Factors</firstHeader>
    <firstFooter>&amp;C&amp;"Calibri"&amp;11&amp;K000000&amp;P of &amp;N_x000D_&amp;1#&amp;"Calibri"&amp;12&amp;K008000Internal Use</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X42"/>
  <sheetViews>
    <sheetView topLeftCell="A7" zoomScale="85" zoomScaleNormal="85" workbookViewId="0">
      <selection activeCell="F21" sqref="F21"/>
    </sheetView>
  </sheetViews>
  <sheetFormatPr defaultColWidth="9.1328125" defaultRowHeight="27.75" customHeight="1" x14ac:dyDescent="0.35"/>
  <cols>
    <col min="1" max="2" width="16" style="22" customWidth="1"/>
    <col min="3" max="3" width="10.265625" style="22" customWidth="1"/>
    <col min="4" max="4" width="20.73046875" style="22" customWidth="1"/>
    <col min="5" max="5" width="16.3984375" style="184" customWidth="1"/>
    <col min="6" max="6" width="14.3984375" style="184" bestFit="1" customWidth="1"/>
    <col min="7" max="7" width="20.73046875" style="22" customWidth="1"/>
    <col min="8" max="8" width="50.59765625" style="184" customWidth="1"/>
    <col min="9" max="9" width="19" style="184" bestFit="1" customWidth="1"/>
    <col min="10" max="10" width="16.73046875" style="184" bestFit="1" customWidth="1"/>
    <col min="11" max="11" width="16.73046875" style="185" bestFit="1" customWidth="1"/>
    <col min="12" max="12" width="16.73046875" style="186" bestFit="1" customWidth="1"/>
    <col min="13" max="13" width="17.86328125" style="186" bestFit="1" customWidth="1"/>
    <col min="14" max="16" width="16.73046875" style="22" bestFit="1" customWidth="1"/>
    <col min="17" max="17" width="15.59765625" style="22" customWidth="1"/>
    <col min="18" max="16384" width="9.1328125" style="22"/>
  </cols>
  <sheetData>
    <row r="1" spans="1:24" ht="100.5" customHeight="1" x14ac:dyDescent="0.35">
      <c r="A1" s="40" t="s">
        <v>24</v>
      </c>
      <c r="B1" s="40"/>
      <c r="C1" s="40"/>
      <c r="D1" s="40"/>
      <c r="H1" s="249" t="s">
        <v>162</v>
      </c>
      <c r="I1" s="249"/>
    </row>
    <row r="2" spans="1:24" ht="27.75" customHeight="1" x14ac:dyDescent="0.35">
      <c r="A2" s="246" t="s">
        <v>161</v>
      </c>
      <c r="B2" s="247"/>
      <c r="C2" s="247"/>
      <c r="D2" s="247"/>
      <c r="E2" s="247"/>
      <c r="F2" s="247"/>
      <c r="G2" s="247"/>
      <c r="H2" s="247"/>
      <c r="I2" s="247"/>
      <c r="J2" s="247"/>
      <c r="K2" s="247"/>
      <c r="L2" s="247"/>
      <c r="M2" s="247"/>
      <c r="N2" s="247"/>
      <c r="O2" s="247"/>
      <c r="P2" s="248"/>
    </row>
    <row r="3" spans="1:24" ht="17.25" customHeight="1" x14ac:dyDescent="0.35">
      <c r="A3" s="40"/>
      <c r="B3" s="40"/>
      <c r="C3" s="40"/>
      <c r="D3" s="40"/>
    </row>
    <row r="4" spans="1:24" s="11" customFormat="1" ht="25.5" customHeight="1" x14ac:dyDescent="0.35">
      <c r="A4" s="246" t="str">
        <f>Overview!B4&amp; " - Effective from "&amp;Overview!D4&amp;" - "&amp;Overview!E4&amp;" new designated EHV charges"</f>
        <v>SP Distribution - Effective from 1 April 2022 - Final new designated EHV charges</v>
      </c>
      <c r="B4" s="247"/>
      <c r="C4" s="247"/>
      <c r="D4" s="247"/>
      <c r="E4" s="247"/>
      <c r="F4" s="247"/>
      <c r="G4" s="247"/>
      <c r="H4" s="247"/>
      <c r="I4" s="247"/>
      <c r="J4" s="247"/>
      <c r="K4" s="247"/>
      <c r="L4" s="247"/>
      <c r="M4" s="247"/>
      <c r="N4" s="247"/>
      <c r="O4" s="247"/>
      <c r="P4" s="248"/>
    </row>
    <row r="5" spans="1:24" ht="69.75" customHeight="1" x14ac:dyDescent="0.35">
      <c r="A5" s="26" t="s">
        <v>165</v>
      </c>
      <c r="B5" s="26" t="s">
        <v>72</v>
      </c>
      <c r="C5" s="26" t="s">
        <v>41</v>
      </c>
      <c r="D5" s="26" t="s">
        <v>42</v>
      </c>
      <c r="E5" s="26" t="s">
        <v>73</v>
      </c>
      <c r="F5" s="26" t="s">
        <v>41</v>
      </c>
      <c r="G5" s="26" t="s">
        <v>43</v>
      </c>
      <c r="H5" s="64" t="s">
        <v>35</v>
      </c>
      <c r="I5" s="64" t="str">
        <f>'Annex 2 EHV charges'!H10</f>
        <v>Import
Super Red
unit charge
(p/kWh)</v>
      </c>
      <c r="J5" s="64" t="str">
        <f>'Annex 2 EHV charges'!I10</f>
        <v>Import
fixed charge
(p/day)</v>
      </c>
      <c r="K5" s="64" t="str">
        <f>'Annex 2 EHV charges'!J10</f>
        <v>Import
capacity charge
(p/kVA/day)</v>
      </c>
      <c r="L5" s="64" t="str">
        <f>'Annex 2 EHV charges'!K10</f>
        <v>Import
exceeded capacity charge
(p/kVA/day)</v>
      </c>
      <c r="M5" s="64" t="str">
        <f>'Annex 2 EHV charges'!L10</f>
        <v>Export
Super Red
unit charge
(p/kWh)</v>
      </c>
      <c r="N5" s="64" t="str">
        <f>'Annex 2 EHV charges'!M10</f>
        <v>Export
fixed charge
(p/day)</v>
      </c>
      <c r="O5" s="64" t="str">
        <f>'Annex 2 EHV charges'!N10</f>
        <v>Export
capacity charge
(p/kVA/day)</v>
      </c>
      <c r="P5" s="64" t="str">
        <f>'Annex 2 EHV charges'!O10</f>
        <v>Export
exceeded capacity charge
(p/kVA/day)</v>
      </c>
    </row>
    <row r="6" spans="1:24" ht="22.5" customHeight="1" x14ac:dyDescent="0.35">
      <c r="A6" s="191">
        <v>44652</v>
      </c>
      <c r="B6" s="37" t="s">
        <v>55</v>
      </c>
      <c r="C6" s="37" t="s">
        <v>1396</v>
      </c>
      <c r="D6" s="192">
        <v>1800061146877</v>
      </c>
      <c r="E6" s="38" t="s">
        <v>56</v>
      </c>
      <c r="F6" s="38" t="s">
        <v>1397</v>
      </c>
      <c r="G6" s="180">
        <v>1800061146886</v>
      </c>
      <c r="H6" s="179" t="s">
        <v>1398</v>
      </c>
      <c r="I6" s="187">
        <v>0</v>
      </c>
      <c r="J6" s="188">
        <v>819.09</v>
      </c>
      <c r="K6" s="188">
        <v>1.57</v>
      </c>
      <c r="L6" s="188">
        <v>1.57</v>
      </c>
      <c r="M6" s="189">
        <v>-1.274</v>
      </c>
      <c r="N6" s="190">
        <v>775.96</v>
      </c>
      <c r="O6" s="190">
        <v>0.05</v>
      </c>
      <c r="P6" s="190">
        <v>0.05</v>
      </c>
      <c r="Q6" s="11"/>
      <c r="R6" s="11"/>
      <c r="S6" s="11"/>
      <c r="T6" s="11"/>
      <c r="U6" s="11"/>
      <c r="V6" s="11"/>
      <c r="W6" s="11"/>
      <c r="X6" s="11"/>
    </row>
    <row r="7" spans="1:24" ht="22.5" customHeight="1" x14ac:dyDescent="0.35">
      <c r="A7" s="191">
        <v>44652</v>
      </c>
      <c r="B7" s="37" t="s">
        <v>57</v>
      </c>
      <c r="C7" s="37">
        <v>328</v>
      </c>
      <c r="D7" s="180">
        <v>1800060586917</v>
      </c>
      <c r="E7" s="38" t="s">
        <v>64</v>
      </c>
      <c r="F7" s="180">
        <v>750</v>
      </c>
      <c r="G7" s="180">
        <v>1800060586926</v>
      </c>
      <c r="H7" s="180" t="s">
        <v>1384</v>
      </c>
      <c r="I7" s="187" t="s">
        <v>672</v>
      </c>
      <c r="J7" s="188">
        <v>3228.5720852139584</v>
      </c>
      <c r="K7" s="188">
        <v>0.82</v>
      </c>
      <c r="L7" s="188">
        <v>0.82</v>
      </c>
      <c r="M7" s="189" t="s">
        <v>672</v>
      </c>
      <c r="N7" s="190">
        <v>5573.54</v>
      </c>
      <c r="O7" s="190">
        <v>0.05</v>
      </c>
      <c r="P7" s="190">
        <v>0.05</v>
      </c>
    </row>
    <row r="8" spans="1:24" ht="22.5" customHeight="1" x14ac:dyDescent="0.35">
      <c r="A8" s="191">
        <v>44652</v>
      </c>
      <c r="B8" s="37" t="s">
        <v>58</v>
      </c>
      <c r="C8" s="37">
        <v>823</v>
      </c>
      <c r="D8" s="180">
        <v>1800060697223</v>
      </c>
      <c r="E8" s="38" t="s">
        <v>65</v>
      </c>
      <c r="F8" s="180">
        <v>704</v>
      </c>
      <c r="G8" s="180">
        <v>1800060697232</v>
      </c>
      <c r="H8" s="179" t="s">
        <v>798</v>
      </c>
      <c r="I8" s="187" t="s">
        <v>672</v>
      </c>
      <c r="J8" s="188">
        <v>2918.2820852139585</v>
      </c>
      <c r="K8" s="188">
        <v>1.37</v>
      </c>
      <c r="L8" s="188">
        <v>1.37</v>
      </c>
      <c r="M8" s="189" t="s">
        <v>672</v>
      </c>
      <c r="N8" s="190">
        <v>1400.11</v>
      </c>
      <c r="O8" s="190">
        <v>0.05</v>
      </c>
      <c r="P8" s="190">
        <v>0.05</v>
      </c>
      <c r="Q8" s="11"/>
      <c r="R8" s="11"/>
      <c r="S8" s="11"/>
      <c r="T8" s="11"/>
      <c r="U8" s="11"/>
      <c r="V8" s="11"/>
      <c r="W8" s="11"/>
      <c r="X8" s="11"/>
    </row>
    <row r="9" spans="1:24" ht="22.5" customHeight="1" x14ac:dyDescent="0.35">
      <c r="A9" s="191">
        <v>44652</v>
      </c>
      <c r="B9" s="37" t="s">
        <v>59</v>
      </c>
      <c r="C9" s="37">
        <v>840</v>
      </c>
      <c r="D9" s="180">
        <v>1800053434271</v>
      </c>
      <c r="E9" s="38" t="s">
        <v>66</v>
      </c>
      <c r="F9" s="180">
        <v>640</v>
      </c>
      <c r="G9" s="180">
        <v>1800053883993</v>
      </c>
      <c r="H9" s="179" t="s">
        <v>815</v>
      </c>
      <c r="I9" s="187" t="s">
        <v>672</v>
      </c>
      <c r="J9" s="188">
        <v>3636.6420852139581</v>
      </c>
      <c r="K9" s="188" t="s">
        <v>672</v>
      </c>
      <c r="L9" s="188" t="s">
        <v>672</v>
      </c>
      <c r="M9" s="189" t="s">
        <v>672</v>
      </c>
      <c r="N9" s="190" t="s">
        <v>672</v>
      </c>
      <c r="O9" s="190" t="s">
        <v>672</v>
      </c>
      <c r="P9" s="190" t="s">
        <v>672</v>
      </c>
    </row>
    <row r="10" spans="1:24" ht="22.5" customHeight="1" x14ac:dyDescent="0.35">
      <c r="A10" s="191">
        <v>44652</v>
      </c>
      <c r="B10" s="37" t="s">
        <v>60</v>
      </c>
      <c r="C10" s="37">
        <v>855</v>
      </c>
      <c r="D10" s="180">
        <v>1800060241304</v>
      </c>
      <c r="E10" s="38" t="s">
        <v>67</v>
      </c>
      <c r="F10" s="180">
        <v>655</v>
      </c>
      <c r="G10" s="180">
        <v>1800060241313</v>
      </c>
      <c r="H10" s="179" t="s">
        <v>826</v>
      </c>
      <c r="I10" s="187" t="s">
        <v>672</v>
      </c>
      <c r="J10" s="188">
        <v>2898.3120852139582</v>
      </c>
      <c r="K10" s="188">
        <v>0.93</v>
      </c>
      <c r="L10" s="188">
        <v>0.93</v>
      </c>
      <c r="M10" s="189" t="s">
        <v>672</v>
      </c>
      <c r="N10" s="190">
        <v>1272.56</v>
      </c>
      <c r="O10" s="190">
        <v>0.05</v>
      </c>
      <c r="P10" s="190">
        <v>0.05</v>
      </c>
      <c r="Q10" s="11"/>
      <c r="R10" s="11"/>
      <c r="S10" s="11"/>
      <c r="T10" s="11"/>
      <c r="U10" s="11"/>
      <c r="V10" s="11"/>
      <c r="W10" s="11"/>
      <c r="X10" s="11"/>
    </row>
    <row r="11" spans="1:24" ht="22.5" customHeight="1" x14ac:dyDescent="0.35">
      <c r="A11" s="191">
        <v>44652</v>
      </c>
      <c r="B11" s="37" t="s">
        <v>61</v>
      </c>
      <c r="C11" s="37">
        <v>875</v>
      </c>
      <c r="D11" s="180">
        <v>1800060450524</v>
      </c>
      <c r="E11" s="38" t="s">
        <v>68</v>
      </c>
      <c r="F11" s="180">
        <v>675</v>
      </c>
      <c r="G11" s="180">
        <v>1800060450533</v>
      </c>
      <c r="H11" s="179" t="s">
        <v>838</v>
      </c>
      <c r="I11" s="187" t="s">
        <v>672</v>
      </c>
      <c r="J11" s="188">
        <v>3052.3220852139584</v>
      </c>
      <c r="K11" s="188">
        <v>0.92</v>
      </c>
      <c r="L11" s="188">
        <v>0.92</v>
      </c>
      <c r="M11" s="189" t="s">
        <v>672</v>
      </c>
      <c r="N11" s="190">
        <v>8828.4699999999993</v>
      </c>
      <c r="O11" s="190">
        <v>0.05</v>
      </c>
      <c r="P11" s="190">
        <v>0.05</v>
      </c>
      <c r="Q11" s="11"/>
      <c r="R11" s="11"/>
      <c r="S11" s="11"/>
      <c r="T11" s="11"/>
      <c r="U11" s="11"/>
      <c r="V11" s="11"/>
      <c r="W11" s="11"/>
      <c r="X11" s="11"/>
    </row>
    <row r="12" spans="1:24" ht="22.5" customHeight="1" x14ac:dyDescent="0.35">
      <c r="A12" s="191">
        <v>44652</v>
      </c>
      <c r="B12" s="37" t="s">
        <v>62</v>
      </c>
      <c r="C12" s="37">
        <v>876</v>
      </c>
      <c r="D12" s="180">
        <v>1800060450542</v>
      </c>
      <c r="E12" s="38" t="s">
        <v>69</v>
      </c>
      <c r="F12" s="180">
        <v>676</v>
      </c>
      <c r="G12" s="180">
        <v>1800060450551</v>
      </c>
      <c r="H12" s="179" t="s">
        <v>839</v>
      </c>
      <c r="I12" s="187" t="s">
        <v>672</v>
      </c>
      <c r="J12" s="188">
        <v>3052.3220852139584</v>
      </c>
      <c r="K12" s="188">
        <v>0.92</v>
      </c>
      <c r="L12" s="188">
        <v>0.92</v>
      </c>
      <c r="M12" s="189" t="s">
        <v>672</v>
      </c>
      <c r="N12" s="190">
        <v>8828.4699999999993</v>
      </c>
      <c r="O12" s="190">
        <v>0.05</v>
      </c>
      <c r="P12" s="190">
        <v>0.05</v>
      </c>
    </row>
    <row r="13" spans="1:24" ht="22.5" customHeight="1" x14ac:dyDescent="0.35">
      <c r="A13" s="191">
        <v>44652</v>
      </c>
      <c r="B13" s="37" t="s">
        <v>63</v>
      </c>
      <c r="C13" s="37">
        <v>877</v>
      </c>
      <c r="D13" s="180">
        <v>1800060450506</v>
      </c>
      <c r="E13" s="38" t="s">
        <v>70</v>
      </c>
      <c r="F13" s="180">
        <v>677</v>
      </c>
      <c r="G13" s="180">
        <v>1800060450515</v>
      </c>
      <c r="H13" s="179" t="s">
        <v>840</v>
      </c>
      <c r="I13" s="187" t="s">
        <v>672</v>
      </c>
      <c r="J13" s="188">
        <v>3069.5720852139584</v>
      </c>
      <c r="K13" s="188">
        <v>0.73</v>
      </c>
      <c r="L13" s="188">
        <v>0.73</v>
      </c>
      <c r="M13" s="189" t="s">
        <v>672</v>
      </c>
      <c r="N13" s="190">
        <v>5334.32</v>
      </c>
      <c r="O13" s="190">
        <v>0.05</v>
      </c>
      <c r="P13" s="190">
        <v>0.05</v>
      </c>
      <c r="Q13" s="11"/>
      <c r="R13" s="11"/>
      <c r="S13" s="11"/>
      <c r="T13" s="11"/>
      <c r="U13" s="11"/>
      <c r="V13" s="11"/>
      <c r="W13" s="11"/>
      <c r="X13" s="11"/>
    </row>
    <row r="14" spans="1:24" ht="22.5" customHeight="1" x14ac:dyDescent="0.35">
      <c r="A14" s="191">
        <v>44652</v>
      </c>
      <c r="B14" s="37" t="s">
        <v>1430</v>
      </c>
      <c r="C14" s="37">
        <v>890</v>
      </c>
      <c r="D14" s="180">
        <v>1800061032840</v>
      </c>
      <c r="E14" s="38" t="s">
        <v>1431</v>
      </c>
      <c r="F14" s="180" t="s">
        <v>891</v>
      </c>
      <c r="G14" s="180" t="s">
        <v>891</v>
      </c>
      <c r="H14" s="179" t="s">
        <v>862</v>
      </c>
      <c r="I14" s="187" t="s">
        <v>672</v>
      </c>
      <c r="J14" s="188">
        <v>2935.6720852139583</v>
      </c>
      <c r="K14" s="188">
        <v>1.05</v>
      </c>
      <c r="L14" s="188">
        <v>1.05</v>
      </c>
      <c r="M14" s="189" t="s">
        <v>672</v>
      </c>
      <c r="N14" s="190">
        <v>21079.68</v>
      </c>
      <c r="O14" s="190">
        <v>0.05</v>
      </c>
      <c r="P14" s="190">
        <v>0.05</v>
      </c>
      <c r="Q14" s="11"/>
      <c r="R14" s="11"/>
      <c r="S14" s="11"/>
      <c r="T14" s="11"/>
      <c r="U14" s="11"/>
      <c r="V14" s="11"/>
      <c r="W14" s="11"/>
      <c r="X14" s="11"/>
    </row>
    <row r="15" spans="1:24" ht="22.5" customHeight="1" x14ac:dyDescent="0.35">
      <c r="A15" s="191">
        <v>44652</v>
      </c>
      <c r="B15" s="37" t="s">
        <v>1414</v>
      </c>
      <c r="C15" s="233">
        <v>324</v>
      </c>
      <c r="D15" s="180">
        <v>1800035334227</v>
      </c>
      <c r="E15" s="38" t="s">
        <v>1413</v>
      </c>
      <c r="F15" s="179"/>
      <c r="G15" s="179"/>
      <c r="H15" s="179" t="s">
        <v>1382</v>
      </c>
      <c r="I15" s="234" t="s">
        <v>672</v>
      </c>
      <c r="J15" s="236">
        <v>31693.821663086885</v>
      </c>
      <c r="K15" s="188">
        <v>1.49</v>
      </c>
      <c r="L15" s="188">
        <v>1.49</v>
      </c>
      <c r="M15" s="235"/>
      <c r="N15" s="235"/>
      <c r="O15" s="235"/>
      <c r="P15" s="235"/>
      <c r="Q15" s="11"/>
      <c r="R15" s="11"/>
      <c r="S15" s="11"/>
      <c r="T15" s="11"/>
      <c r="U15" s="11"/>
      <c r="V15" s="11"/>
      <c r="W15" s="11"/>
      <c r="X15" s="11"/>
    </row>
    <row r="16" spans="1:24" ht="22.5" customHeight="1" x14ac:dyDescent="0.35">
      <c r="A16" s="191">
        <v>44652</v>
      </c>
      <c r="B16" s="37" t="s">
        <v>1415</v>
      </c>
      <c r="C16" s="37" t="s">
        <v>1416</v>
      </c>
      <c r="D16" s="180">
        <v>1800061211922</v>
      </c>
      <c r="E16" s="38" t="s">
        <v>1432</v>
      </c>
      <c r="F16" s="180" t="s">
        <v>1417</v>
      </c>
      <c r="G16" s="180">
        <v>1800061211931</v>
      </c>
      <c r="H16" s="179" t="s">
        <v>1418</v>
      </c>
      <c r="I16" s="187">
        <v>0</v>
      </c>
      <c r="J16" s="188">
        <v>102.83</v>
      </c>
      <c r="K16" s="188">
        <v>1.23</v>
      </c>
      <c r="L16" s="188">
        <v>1.23</v>
      </c>
      <c r="M16" s="189">
        <v>0</v>
      </c>
      <c r="N16" s="190">
        <v>8720.34</v>
      </c>
      <c r="O16" s="190">
        <v>0.05</v>
      </c>
      <c r="P16" s="190">
        <v>0.05</v>
      </c>
    </row>
    <row r="17" spans="1:24" ht="22.5" customHeight="1" x14ac:dyDescent="0.35">
      <c r="A17" s="191">
        <v>44652</v>
      </c>
      <c r="B17" s="37" t="s">
        <v>1422</v>
      </c>
      <c r="C17" s="37" t="s">
        <v>1419</v>
      </c>
      <c r="D17" s="180">
        <v>1800061228633</v>
      </c>
      <c r="E17" s="38" t="s">
        <v>1433</v>
      </c>
      <c r="F17" s="180" t="s">
        <v>1420</v>
      </c>
      <c r="G17" s="180">
        <v>1800061228642</v>
      </c>
      <c r="H17" s="179" t="s">
        <v>1421</v>
      </c>
      <c r="I17" s="187">
        <v>0</v>
      </c>
      <c r="J17" s="188">
        <v>257.08999999999997</v>
      </c>
      <c r="K17" s="188">
        <v>1.05</v>
      </c>
      <c r="L17" s="188">
        <v>1.05</v>
      </c>
      <c r="M17" s="189">
        <v>0</v>
      </c>
      <c r="N17" s="190">
        <v>42282.93</v>
      </c>
      <c r="O17" s="190">
        <v>0.05</v>
      </c>
      <c r="P17" s="190">
        <v>0.05</v>
      </c>
    </row>
    <row r="18" spans="1:24" ht="22.5" customHeight="1" x14ac:dyDescent="0.35">
      <c r="A18" s="191">
        <v>44652</v>
      </c>
      <c r="B18" s="37" t="s">
        <v>1423</v>
      </c>
      <c r="C18" s="37">
        <v>919</v>
      </c>
      <c r="D18" s="180">
        <v>1800061252352</v>
      </c>
      <c r="E18" s="38" t="s">
        <v>1434</v>
      </c>
      <c r="F18" s="180">
        <v>619</v>
      </c>
      <c r="G18" s="180">
        <v>1800061252361</v>
      </c>
      <c r="H18" s="179" t="s">
        <v>1426</v>
      </c>
      <c r="I18" s="187">
        <v>0</v>
      </c>
      <c r="J18" s="188">
        <v>227.77</v>
      </c>
      <c r="K18" s="188">
        <v>1.05</v>
      </c>
      <c r="L18" s="188">
        <v>1.05</v>
      </c>
      <c r="M18" s="189">
        <v>0</v>
      </c>
      <c r="N18" s="190">
        <v>6828.46</v>
      </c>
      <c r="O18" s="190">
        <v>0.05</v>
      </c>
      <c r="P18" s="190">
        <v>0.05</v>
      </c>
    </row>
    <row r="19" spans="1:24" ht="22.5" customHeight="1" x14ac:dyDescent="0.35">
      <c r="A19" s="191">
        <v>44652</v>
      </c>
      <c r="B19" s="37" t="s">
        <v>1424</v>
      </c>
      <c r="C19" s="37" t="s">
        <v>1427</v>
      </c>
      <c r="D19" s="180">
        <v>1800061230181</v>
      </c>
      <c r="E19" s="38" t="s">
        <v>1435</v>
      </c>
      <c r="F19" s="180" t="s">
        <v>1428</v>
      </c>
      <c r="G19" s="180">
        <v>1800061230190</v>
      </c>
      <c r="H19" s="179" t="s">
        <v>1429</v>
      </c>
      <c r="I19" s="187">
        <v>0</v>
      </c>
      <c r="J19" s="188">
        <v>152.31</v>
      </c>
      <c r="K19" s="188">
        <v>1.23</v>
      </c>
      <c r="L19" s="188">
        <v>1.23</v>
      </c>
      <c r="M19" s="189">
        <v>0</v>
      </c>
      <c r="N19" s="190">
        <v>13291.45</v>
      </c>
      <c r="O19" s="190">
        <v>0.05</v>
      </c>
      <c r="P19" s="190">
        <v>0.05</v>
      </c>
    </row>
    <row r="20" spans="1:24" ht="22.5" customHeight="1" x14ac:dyDescent="0.35">
      <c r="A20" s="191">
        <v>44652</v>
      </c>
      <c r="B20" s="37" t="s">
        <v>1425</v>
      </c>
      <c r="C20" s="37">
        <v>849</v>
      </c>
      <c r="D20" s="180">
        <v>1800061236634</v>
      </c>
      <c r="E20" s="38" t="s">
        <v>1436</v>
      </c>
      <c r="F20" s="180">
        <v>649</v>
      </c>
      <c r="G20" s="180">
        <v>1800061236643</v>
      </c>
      <c r="H20" s="179" t="s">
        <v>1411</v>
      </c>
      <c r="I20" s="187">
        <v>0</v>
      </c>
      <c r="J20" s="188">
        <v>609.62</v>
      </c>
      <c r="K20" s="188">
        <v>1.05</v>
      </c>
      <c r="L20" s="188">
        <v>1.05</v>
      </c>
      <c r="M20" s="189">
        <v>0</v>
      </c>
      <c r="N20" s="190">
        <v>6081.1</v>
      </c>
      <c r="O20" s="190">
        <v>0.05</v>
      </c>
      <c r="P20" s="190">
        <v>0.05</v>
      </c>
    </row>
    <row r="21" spans="1:24" ht="22.5" customHeight="1" x14ac:dyDescent="0.35">
      <c r="A21" s="191">
        <v>44652</v>
      </c>
      <c r="B21" s="37" t="s">
        <v>1437</v>
      </c>
      <c r="C21" s="37">
        <v>334</v>
      </c>
      <c r="D21" s="180">
        <v>1800061268316</v>
      </c>
      <c r="E21" s="38" t="s">
        <v>1439</v>
      </c>
      <c r="F21" s="180">
        <v>753</v>
      </c>
      <c r="G21" s="180">
        <v>1800061268325</v>
      </c>
      <c r="H21" s="179" t="s">
        <v>1389</v>
      </c>
      <c r="I21" s="187">
        <v>0.20100000000000001</v>
      </c>
      <c r="J21" s="188">
        <v>9972.52</v>
      </c>
      <c r="K21" s="188">
        <v>3.87</v>
      </c>
      <c r="L21" s="188">
        <v>3.87</v>
      </c>
      <c r="M21" s="189" t="s">
        <v>672</v>
      </c>
      <c r="N21" s="190">
        <v>17.16</v>
      </c>
      <c r="O21" s="190">
        <v>0.05</v>
      </c>
      <c r="P21" s="190">
        <v>0.05</v>
      </c>
    </row>
    <row r="22" spans="1:24" ht="27.75" customHeight="1" x14ac:dyDescent="0.35">
      <c r="A22" s="237">
        <v>44652</v>
      </c>
      <c r="B22" s="238" t="s">
        <v>55</v>
      </c>
      <c r="C22" s="239">
        <v>859</v>
      </c>
      <c r="D22" s="240">
        <v>1800035320127</v>
      </c>
      <c r="E22" s="38" t="s">
        <v>1440</v>
      </c>
      <c r="F22" s="241">
        <v>697</v>
      </c>
      <c r="G22" s="241">
        <v>1800060630637</v>
      </c>
      <c r="H22" s="242" t="s">
        <v>1438</v>
      </c>
      <c r="I22" s="234" t="s">
        <v>672</v>
      </c>
      <c r="J22" s="244">
        <v>24804.640658880591</v>
      </c>
      <c r="K22" s="244">
        <v>1.63</v>
      </c>
      <c r="L22" s="244">
        <v>1.63</v>
      </c>
      <c r="M22" s="245">
        <v>0</v>
      </c>
      <c r="N22" s="245">
        <v>2475.9699999999998</v>
      </c>
      <c r="O22" s="245">
        <v>0.05</v>
      </c>
      <c r="P22" s="245">
        <v>0.05</v>
      </c>
      <c r="Q22" s="11"/>
      <c r="R22" s="11"/>
    </row>
    <row r="23" spans="1:24" ht="27.75" customHeight="1" x14ac:dyDescent="0.35">
      <c r="A23" s="237"/>
      <c r="B23" s="238"/>
      <c r="C23" s="239"/>
      <c r="D23" s="240"/>
      <c r="E23" s="241"/>
      <c r="F23" s="241"/>
      <c r="G23" s="241"/>
      <c r="H23" s="242"/>
      <c r="I23" s="243"/>
      <c r="J23" s="244"/>
      <c r="K23" s="244"/>
      <c r="L23" s="244"/>
      <c r="M23" s="245"/>
      <c r="N23" s="245"/>
      <c r="O23" s="245"/>
      <c r="P23" s="245"/>
    </row>
    <row r="25" spans="1:24" ht="27.75" customHeight="1" x14ac:dyDescent="0.35">
      <c r="A25" s="246" t="str">
        <f>Overview!B4&amp; " - Effective from "&amp;Overview!D4&amp;" - "&amp;Overview!E4&amp;" new designated EHV line loss factors"</f>
        <v>SP Distribution - Effective from 1 April 2022 - Final new designated EHV line loss factors</v>
      </c>
      <c r="B25" s="247"/>
      <c r="C25" s="247"/>
      <c r="D25" s="247"/>
      <c r="E25" s="247"/>
      <c r="F25" s="247"/>
      <c r="G25" s="247"/>
      <c r="H25" s="247"/>
      <c r="I25" s="247"/>
      <c r="J25" s="247"/>
      <c r="K25" s="247"/>
      <c r="L25" s="247"/>
      <c r="M25" s="247"/>
      <c r="N25" s="247"/>
      <c r="O25" s="247"/>
      <c r="P25" s="248"/>
      <c r="Q25" s="11"/>
      <c r="R25" s="11"/>
      <c r="S25" s="11"/>
      <c r="T25" s="11"/>
      <c r="U25" s="11"/>
      <c r="V25" s="11"/>
      <c r="W25" s="11"/>
      <c r="X25" s="11"/>
    </row>
    <row r="26" spans="1:24" ht="62.25" customHeight="1" x14ac:dyDescent="0.35">
      <c r="A26" s="26" t="s">
        <v>165</v>
      </c>
      <c r="B26" s="26" t="s">
        <v>72</v>
      </c>
      <c r="C26" s="26" t="s">
        <v>41</v>
      </c>
      <c r="D26" s="26" t="s">
        <v>42</v>
      </c>
      <c r="E26" s="26" t="s">
        <v>73</v>
      </c>
      <c r="F26" s="26" t="s">
        <v>41</v>
      </c>
      <c r="G26" s="26" t="s">
        <v>43</v>
      </c>
      <c r="H26" s="64" t="s">
        <v>35</v>
      </c>
      <c r="I26" s="28" t="s">
        <v>132</v>
      </c>
      <c r="J26" s="28" t="s">
        <v>131</v>
      </c>
      <c r="K26" s="28" t="s">
        <v>133</v>
      </c>
      <c r="L26" s="28" t="s">
        <v>134</v>
      </c>
      <c r="M26" s="29" t="s">
        <v>135</v>
      </c>
      <c r="N26" s="29" t="s">
        <v>136</v>
      </c>
      <c r="O26" s="29" t="s">
        <v>137</v>
      </c>
      <c r="P26" s="29" t="s">
        <v>138</v>
      </c>
    </row>
    <row r="27" spans="1:24" ht="22.5" customHeight="1" x14ac:dyDescent="0.35">
      <c r="A27" s="191">
        <f t="shared" ref="A27:B27" si="0">IF(A6="","",A6)</f>
        <v>44652</v>
      </c>
      <c r="B27" s="191" t="str">
        <f t="shared" si="0"/>
        <v>EDCM import 1</v>
      </c>
      <c r="C27" s="37" t="str">
        <f t="shared" ref="C27:H27" si="1">IF(C6="","",C6)</f>
        <v>897</v>
      </c>
      <c r="D27" s="192">
        <f t="shared" si="1"/>
        <v>1800061146877</v>
      </c>
      <c r="E27" s="38" t="str">
        <f t="shared" si="1"/>
        <v>EDCM export 1</v>
      </c>
      <c r="F27" s="38" t="str">
        <f t="shared" si="1"/>
        <v>715</v>
      </c>
      <c r="G27" s="180">
        <f t="shared" si="1"/>
        <v>1800061146886</v>
      </c>
      <c r="H27" s="38" t="str">
        <f t="shared" si="1"/>
        <v>South Redhouse ESS</v>
      </c>
      <c r="I27" s="193">
        <v>1.0029999999999999</v>
      </c>
      <c r="J27" s="193">
        <v>1.004</v>
      </c>
      <c r="K27" s="193">
        <v>1.004</v>
      </c>
      <c r="L27" s="193">
        <v>1.0049999999999999</v>
      </c>
      <c r="M27" s="232">
        <v>1</v>
      </c>
      <c r="N27" s="232">
        <v>1</v>
      </c>
      <c r="O27" s="232">
        <v>1</v>
      </c>
      <c r="P27" s="232">
        <v>1</v>
      </c>
    </row>
    <row r="28" spans="1:24" ht="22.5" customHeight="1" x14ac:dyDescent="0.35">
      <c r="A28" s="191">
        <f t="shared" ref="A28:H28" si="2">IF(A7="","",A7)</f>
        <v>44652</v>
      </c>
      <c r="B28" s="191" t="str">
        <f t="shared" si="2"/>
        <v>EDCM import 2</v>
      </c>
      <c r="C28" s="37">
        <f t="shared" si="2"/>
        <v>328</v>
      </c>
      <c r="D28" s="192">
        <f t="shared" si="2"/>
        <v>1800060586917</v>
      </c>
      <c r="E28" s="38" t="str">
        <f t="shared" si="2"/>
        <v>EDCM export 2</v>
      </c>
      <c r="F28" s="38">
        <f t="shared" si="2"/>
        <v>750</v>
      </c>
      <c r="G28" s="180">
        <f t="shared" si="2"/>
        <v>1800060586926</v>
      </c>
      <c r="H28" s="38" t="str">
        <f t="shared" si="2"/>
        <v>Cathkin Braes Wind Farm</v>
      </c>
      <c r="I28" s="193">
        <v>1.0029999999999999</v>
      </c>
      <c r="J28" s="193">
        <v>1.004</v>
      </c>
      <c r="K28" s="193">
        <v>1.004</v>
      </c>
      <c r="L28" s="193">
        <v>1.0049999999999999</v>
      </c>
      <c r="M28" s="232">
        <v>1</v>
      </c>
      <c r="N28" s="232">
        <v>1</v>
      </c>
      <c r="O28" s="232">
        <v>1</v>
      </c>
      <c r="P28" s="232">
        <v>1</v>
      </c>
    </row>
    <row r="29" spans="1:24" ht="22.5" customHeight="1" x14ac:dyDescent="0.35">
      <c r="A29" s="191">
        <f t="shared" ref="A29:H29" si="3">IF(A8="","",A8)</f>
        <v>44652</v>
      </c>
      <c r="B29" s="191" t="str">
        <f t="shared" si="3"/>
        <v>EDCM import 3</v>
      </c>
      <c r="C29" s="37">
        <f t="shared" si="3"/>
        <v>823</v>
      </c>
      <c r="D29" s="192">
        <f t="shared" si="3"/>
        <v>1800060697223</v>
      </c>
      <c r="E29" s="38" t="str">
        <f t="shared" si="3"/>
        <v>EDCM export 3</v>
      </c>
      <c r="F29" s="38">
        <f t="shared" si="3"/>
        <v>704</v>
      </c>
      <c r="G29" s="180">
        <f t="shared" si="3"/>
        <v>1800060697232</v>
      </c>
      <c r="H29" s="38" t="str">
        <f t="shared" si="3"/>
        <v>Langhope Rig (D) WF</v>
      </c>
      <c r="I29" s="193">
        <f>VLOOKUP($H29,'Annex 5 LLFs'!$A$27:$F$133,2,FALSE)</f>
        <v>1.0029999999999999</v>
      </c>
      <c r="J29" s="193">
        <f>VLOOKUP($H29,'Annex 5 LLFs'!$A$27:$F$133,3,FALSE)</f>
        <v>1.004</v>
      </c>
      <c r="K29" s="193">
        <f>VLOOKUP($H29,'Annex 5 LLFs'!$A$27:$F$133,4,FALSE)</f>
        <v>1.004</v>
      </c>
      <c r="L29" s="193">
        <f>VLOOKUP($H29,'Annex 5 LLFs'!$A$27:$F$133,5,FALSE)</f>
        <v>1.0049999999999999</v>
      </c>
      <c r="M29" s="232">
        <f>VLOOKUP($H29,'Annex 5 LLFs'!$A$139:$F$242,2,FALSE)</f>
        <v>1</v>
      </c>
      <c r="N29" s="232">
        <f>VLOOKUP($H29,'Annex 5 LLFs'!$A$139:$F$242,3,FALSE)</f>
        <v>1</v>
      </c>
      <c r="O29" s="232">
        <f>VLOOKUP($H29,'Annex 5 LLFs'!$A$139:$F$242,4,FALSE)</f>
        <v>1</v>
      </c>
      <c r="P29" s="232">
        <f>VLOOKUP($H29,'Annex 5 LLFs'!$A$139:$F$242,5,FALSE)</f>
        <v>1</v>
      </c>
    </row>
    <row r="30" spans="1:24" ht="22.5" customHeight="1" x14ac:dyDescent="0.35">
      <c r="A30" s="191">
        <f t="shared" ref="A30:H30" si="4">IF(A9="","",A9)</f>
        <v>44652</v>
      </c>
      <c r="B30" s="191" t="str">
        <f t="shared" si="4"/>
        <v>EDCM import 4</v>
      </c>
      <c r="C30" s="37">
        <f t="shared" si="4"/>
        <v>840</v>
      </c>
      <c r="D30" s="192">
        <f t="shared" si="4"/>
        <v>1800053434271</v>
      </c>
      <c r="E30" s="38" t="str">
        <f t="shared" si="4"/>
        <v>EDCM export 4</v>
      </c>
      <c r="F30" s="38">
        <f t="shared" si="4"/>
        <v>640</v>
      </c>
      <c r="G30" s="180">
        <f t="shared" si="4"/>
        <v>1800053883993</v>
      </c>
      <c r="H30" s="38" t="str">
        <f t="shared" si="4"/>
        <v>Artfield WF</v>
      </c>
      <c r="I30" s="193">
        <f>VLOOKUP($H30,'Annex 5 LLFs'!$A$27:$F$133,2,FALSE)</f>
        <v>1.0029999999999999</v>
      </c>
      <c r="J30" s="193">
        <f>VLOOKUP($H30,'Annex 5 LLFs'!$A$27:$F$133,3,FALSE)</f>
        <v>1.004</v>
      </c>
      <c r="K30" s="193">
        <f>VLOOKUP($H30,'Annex 5 LLFs'!$A$27:$F$133,4,FALSE)</f>
        <v>1.0049999999999999</v>
      </c>
      <c r="L30" s="193">
        <f>VLOOKUP($H30,'Annex 5 LLFs'!$A$27:$F$133,5,FALSE)</f>
        <v>1.0049999999999999</v>
      </c>
      <c r="M30" s="232">
        <f>VLOOKUP($H30,'Annex 5 LLFs'!$A$139:$F$242,2,FALSE)</f>
        <v>1</v>
      </c>
      <c r="N30" s="232">
        <f>VLOOKUP($H30,'Annex 5 LLFs'!$A$139:$F$242,3,FALSE)</f>
        <v>1</v>
      </c>
      <c r="O30" s="232">
        <f>VLOOKUP($H30,'Annex 5 LLFs'!$A$139:$F$242,4,FALSE)</f>
        <v>1</v>
      </c>
      <c r="P30" s="232">
        <f>VLOOKUP($H30,'Annex 5 LLFs'!$A$139:$F$242,5,FALSE)</f>
        <v>1</v>
      </c>
    </row>
    <row r="31" spans="1:24" ht="22.5" customHeight="1" x14ac:dyDescent="0.35">
      <c r="A31" s="191">
        <f t="shared" ref="A31:H31" si="5">IF(A10="","",A10)</f>
        <v>44652</v>
      </c>
      <c r="B31" s="191" t="str">
        <f t="shared" si="5"/>
        <v>EDCM import 5</v>
      </c>
      <c r="C31" s="37">
        <f t="shared" si="5"/>
        <v>855</v>
      </c>
      <c r="D31" s="192">
        <f t="shared" si="5"/>
        <v>1800060241304</v>
      </c>
      <c r="E31" s="38" t="str">
        <f t="shared" si="5"/>
        <v>EDCM export 5</v>
      </c>
      <c r="F31" s="38">
        <f t="shared" si="5"/>
        <v>655</v>
      </c>
      <c r="G31" s="180">
        <f t="shared" si="5"/>
        <v>1800060241313</v>
      </c>
      <c r="H31" s="38" t="str">
        <f t="shared" si="5"/>
        <v>Pateshill</v>
      </c>
      <c r="I31" s="193">
        <f>VLOOKUP($H31,'Annex 5 LLFs'!$A$27:$F$133,2,FALSE)</f>
        <v>1.0029999999999999</v>
      </c>
      <c r="J31" s="193">
        <f>VLOOKUP($H31,'Annex 5 LLFs'!$A$27:$F$133,3,FALSE)</f>
        <v>1.004</v>
      </c>
      <c r="K31" s="193">
        <f>VLOOKUP($H31,'Annex 5 LLFs'!$A$27:$F$133,4,FALSE)</f>
        <v>1.0049999999999999</v>
      </c>
      <c r="L31" s="193">
        <f>VLOOKUP($H31,'Annex 5 LLFs'!$A$27:$F$133,5,FALSE)</f>
        <v>1.0049999999999999</v>
      </c>
      <c r="M31" s="232">
        <f>VLOOKUP($H31,'Annex 5 LLFs'!$A$139:$F$242,2,FALSE)</f>
        <v>0.998</v>
      </c>
      <c r="N31" s="232">
        <f>VLOOKUP($H31,'Annex 5 LLFs'!$A$139:$F$242,3,FALSE)</f>
        <v>0.998</v>
      </c>
      <c r="O31" s="232">
        <f>VLOOKUP($H31,'Annex 5 LLFs'!$A$139:$F$242,4,FALSE)</f>
        <v>0.997</v>
      </c>
      <c r="P31" s="232">
        <f>VLOOKUP($H31,'Annex 5 LLFs'!$A$139:$F$242,5,FALSE)</f>
        <v>0.997</v>
      </c>
    </row>
    <row r="32" spans="1:24" ht="22.5" customHeight="1" x14ac:dyDescent="0.35">
      <c r="A32" s="191">
        <f t="shared" ref="A32:H32" si="6">IF(A11="","",A11)</f>
        <v>44652</v>
      </c>
      <c r="B32" s="191" t="str">
        <f t="shared" si="6"/>
        <v>EDCM import 7</v>
      </c>
      <c r="C32" s="37">
        <f t="shared" si="6"/>
        <v>875</v>
      </c>
      <c r="D32" s="192">
        <f t="shared" si="6"/>
        <v>1800060450524</v>
      </c>
      <c r="E32" s="38" t="str">
        <f t="shared" si="6"/>
        <v>EDCM export 7</v>
      </c>
      <c r="F32" s="38">
        <f t="shared" si="6"/>
        <v>675</v>
      </c>
      <c r="G32" s="180">
        <f t="shared" si="6"/>
        <v>1800060450533</v>
      </c>
      <c r="H32" s="38" t="str">
        <f t="shared" si="6"/>
        <v>Kelburn (A)</v>
      </c>
      <c r="I32" s="193">
        <f>VLOOKUP($H32,'Annex 5 LLFs'!$A$27:$F$133,2,FALSE)</f>
        <v>1.0029999999999999</v>
      </c>
      <c r="J32" s="193">
        <f>VLOOKUP($H32,'Annex 5 LLFs'!$A$27:$F$133,3,FALSE)</f>
        <v>1.004</v>
      </c>
      <c r="K32" s="193">
        <f>VLOOKUP($H32,'Annex 5 LLFs'!$A$27:$F$133,4,FALSE)</f>
        <v>1.0049999999999999</v>
      </c>
      <c r="L32" s="193">
        <f>VLOOKUP($H32,'Annex 5 LLFs'!$A$27:$F$133,5,FALSE)</f>
        <v>1.0049999999999999</v>
      </c>
      <c r="M32" s="232">
        <f>VLOOKUP($H32,'Annex 5 LLFs'!$A$139:$F$242,2,FALSE)</f>
        <v>0.98499999999999999</v>
      </c>
      <c r="N32" s="232">
        <f>VLOOKUP($H32,'Annex 5 LLFs'!$A$139:$F$242,3,FALSE)</f>
        <v>0.98599999999999999</v>
      </c>
      <c r="O32" s="232">
        <f>VLOOKUP($H32,'Annex 5 LLFs'!$A$139:$F$242,4,FALSE)</f>
        <v>0.98599999999999999</v>
      </c>
      <c r="P32" s="232">
        <f>VLOOKUP($H32,'Annex 5 LLFs'!$A$139:$F$242,5,FALSE)</f>
        <v>0.98699999999999999</v>
      </c>
    </row>
    <row r="33" spans="1:16" ht="22.5" customHeight="1" x14ac:dyDescent="0.35">
      <c r="A33" s="191">
        <f t="shared" ref="A33:H33" si="7">IF(A12="","",A12)</f>
        <v>44652</v>
      </c>
      <c r="B33" s="191" t="str">
        <f t="shared" si="7"/>
        <v>EDCM import 8</v>
      </c>
      <c r="C33" s="37">
        <f t="shared" si="7"/>
        <v>876</v>
      </c>
      <c r="D33" s="192">
        <f t="shared" si="7"/>
        <v>1800060450542</v>
      </c>
      <c r="E33" s="38" t="str">
        <f t="shared" si="7"/>
        <v>EDCM export 8</v>
      </c>
      <c r="F33" s="38">
        <f t="shared" si="7"/>
        <v>676</v>
      </c>
      <c r="G33" s="180">
        <f t="shared" si="7"/>
        <v>1800060450551</v>
      </c>
      <c r="H33" s="38" t="str">
        <f t="shared" si="7"/>
        <v>Kelburn (B)</v>
      </c>
      <c r="I33" s="193">
        <f>VLOOKUP($H33,'Annex 5 LLFs'!$A$27:$F$133,2,FALSE)</f>
        <v>1.0029999999999999</v>
      </c>
      <c r="J33" s="193">
        <f>VLOOKUP($H33,'Annex 5 LLFs'!$A$27:$F$133,3,FALSE)</f>
        <v>1.004</v>
      </c>
      <c r="K33" s="193">
        <f>VLOOKUP($H33,'Annex 5 LLFs'!$A$27:$F$133,4,FALSE)</f>
        <v>1.0049999999999999</v>
      </c>
      <c r="L33" s="193">
        <f>VLOOKUP($H33,'Annex 5 LLFs'!$A$27:$F$133,5,FALSE)</f>
        <v>1.0049999999999999</v>
      </c>
      <c r="M33" s="232">
        <f>VLOOKUP($H33,'Annex 5 LLFs'!$A$139:$F$242,2,FALSE)</f>
        <v>1.0049999999999999</v>
      </c>
      <c r="N33" s="232">
        <f>VLOOKUP($H33,'Annex 5 LLFs'!$A$139:$F$242,3,FALSE)</f>
        <v>1.0129999999999999</v>
      </c>
      <c r="O33" s="232">
        <f>VLOOKUP($H33,'Annex 5 LLFs'!$A$139:$F$242,4,FALSE)</f>
        <v>1.02</v>
      </c>
      <c r="P33" s="232">
        <f>VLOOKUP($H33,'Annex 5 LLFs'!$A$139:$F$242,5,FALSE)</f>
        <v>1.0269999999999999</v>
      </c>
    </row>
    <row r="34" spans="1:16" ht="22.5" customHeight="1" x14ac:dyDescent="0.35">
      <c r="A34" s="191">
        <f t="shared" ref="A34:H34" si="8">IF(A13="","",A13)</f>
        <v>44652</v>
      </c>
      <c r="B34" s="191" t="str">
        <f t="shared" si="8"/>
        <v>EDCM import 9</v>
      </c>
      <c r="C34" s="37">
        <f t="shared" si="8"/>
        <v>877</v>
      </c>
      <c r="D34" s="192">
        <f t="shared" si="8"/>
        <v>1800060450506</v>
      </c>
      <c r="E34" s="38" t="str">
        <f t="shared" si="8"/>
        <v>EDCM export 9</v>
      </c>
      <c r="F34" s="38">
        <f t="shared" si="8"/>
        <v>677</v>
      </c>
      <c r="G34" s="180">
        <f t="shared" si="8"/>
        <v>1800060450515</v>
      </c>
      <c r="H34" s="38" t="str">
        <f t="shared" si="8"/>
        <v>Little Raith</v>
      </c>
      <c r="I34" s="193">
        <f>VLOOKUP($H34,'Annex 5 LLFs'!$A$27:$F$133,2,FALSE)</f>
        <v>1.0029999999999999</v>
      </c>
      <c r="J34" s="193">
        <f>VLOOKUP($H34,'Annex 5 LLFs'!$A$27:$F$133,3,FALSE)</f>
        <v>1.004</v>
      </c>
      <c r="K34" s="193">
        <f>VLOOKUP($H34,'Annex 5 LLFs'!$A$27:$F$133,4,FALSE)</f>
        <v>1.0049999999999999</v>
      </c>
      <c r="L34" s="193">
        <f>VLOOKUP($H34,'Annex 5 LLFs'!$A$27:$F$133,5,FALSE)</f>
        <v>1.0049999999999999</v>
      </c>
      <c r="M34" s="232">
        <f>VLOOKUP($H34,'Annex 5 LLFs'!$A$139:$F$242,2,FALSE)</f>
        <v>0.999</v>
      </c>
      <c r="N34" s="232">
        <f>VLOOKUP($H34,'Annex 5 LLFs'!$A$139:$F$242,3,FALSE)</f>
        <v>0.999</v>
      </c>
      <c r="O34" s="232">
        <f>VLOOKUP($H34,'Annex 5 LLFs'!$A$139:$F$242,4,FALSE)</f>
        <v>0.998</v>
      </c>
      <c r="P34" s="232">
        <f>VLOOKUP($H34,'Annex 5 LLFs'!$A$139:$F$242,5,FALSE)</f>
        <v>0.998</v>
      </c>
    </row>
    <row r="35" spans="1:16" ht="27.75" customHeight="1" x14ac:dyDescent="0.35">
      <c r="A35" s="191">
        <f t="shared" ref="A35:H35" si="9">IF(A14="","",A14)</f>
        <v>44652</v>
      </c>
      <c r="B35" s="191" t="str">
        <f t="shared" si="9"/>
        <v>EDCM import 10</v>
      </c>
      <c r="C35" s="37">
        <f t="shared" si="9"/>
        <v>890</v>
      </c>
      <c r="D35" s="192">
        <f t="shared" si="9"/>
        <v>1800061032840</v>
      </c>
      <c r="E35" s="38" t="str">
        <f t="shared" si="9"/>
        <v>EDCM export 10</v>
      </c>
      <c r="F35" s="38" t="str">
        <f t="shared" si="9"/>
        <v>MSID 8366</v>
      </c>
      <c r="G35" s="180" t="str">
        <f t="shared" si="9"/>
        <v>MSID 8366</v>
      </c>
      <c r="H35" s="38" t="str">
        <f t="shared" si="9"/>
        <v>Solwaybank</v>
      </c>
      <c r="I35" s="193">
        <f>VLOOKUP($H35,'Annex 5 LLFs'!$A$27:$F$133,2,FALSE)</f>
        <v>1.0029999999999999</v>
      </c>
      <c r="J35" s="193">
        <f>VLOOKUP($H35,'Annex 5 LLFs'!$A$27:$F$133,3,FALSE)</f>
        <v>1.004</v>
      </c>
      <c r="K35" s="193">
        <f>VLOOKUP($H35,'Annex 5 LLFs'!$A$27:$F$133,4,FALSE)</f>
        <v>1.004</v>
      </c>
      <c r="L35" s="193">
        <f>VLOOKUP($H35,'Annex 5 LLFs'!$A$27:$F$133,5,FALSE)</f>
        <v>1.0049999999999999</v>
      </c>
      <c r="M35" s="232">
        <f>VLOOKUP($H35,'Annex 5 LLFs'!$A$139:$F$242,2,FALSE)</f>
        <v>1</v>
      </c>
      <c r="N35" s="232">
        <f>VLOOKUP($H35,'Annex 5 LLFs'!$A$139:$F$242,3,FALSE)</f>
        <v>1</v>
      </c>
      <c r="O35" s="232">
        <f>VLOOKUP($H35,'Annex 5 LLFs'!$A$139:$F$242,4,FALSE)</f>
        <v>1</v>
      </c>
      <c r="P35" s="232">
        <f>VLOOKUP($H35,'Annex 5 LLFs'!$A$139:$F$242,5,FALSE)</f>
        <v>1</v>
      </c>
    </row>
    <row r="36" spans="1:16" ht="27.75" customHeight="1" x14ac:dyDescent="0.35">
      <c r="A36" s="191">
        <f t="shared" ref="A36:H36" si="10">IF(A15="","",A15)</f>
        <v>44652</v>
      </c>
      <c r="B36" s="191" t="str">
        <f t="shared" si="10"/>
        <v>EDCM import 11</v>
      </c>
      <c r="C36" s="37">
        <f t="shared" si="10"/>
        <v>324</v>
      </c>
      <c r="D36" s="192">
        <f t="shared" si="10"/>
        <v>1800035334227</v>
      </c>
      <c r="E36" s="38" t="str">
        <f t="shared" si="10"/>
        <v>EDCM export 11</v>
      </c>
      <c r="F36" s="38" t="str">
        <f t="shared" si="10"/>
        <v/>
      </c>
      <c r="G36" s="180" t="str">
        <f t="shared" si="10"/>
        <v/>
      </c>
      <c r="H36" s="38" t="str">
        <f t="shared" si="10"/>
        <v>Edinburgh Dock North</v>
      </c>
      <c r="I36" s="193">
        <v>1.0129999999999999</v>
      </c>
      <c r="J36" s="193">
        <v>1.0129999999999999</v>
      </c>
      <c r="K36" s="193">
        <v>1.0129999999999999</v>
      </c>
      <c r="L36" s="193">
        <v>1.0129999999999999</v>
      </c>
      <c r="M36" s="232"/>
      <c r="N36" s="232"/>
      <c r="O36" s="232"/>
      <c r="P36" s="232"/>
    </row>
    <row r="37" spans="1:16" ht="27.75" customHeight="1" x14ac:dyDescent="0.35">
      <c r="A37" s="191">
        <f t="shared" ref="A37:H37" si="11">IF(A16="","",A16)</f>
        <v>44652</v>
      </c>
      <c r="B37" s="191" t="str">
        <f t="shared" si="11"/>
        <v>EDCM import 12</v>
      </c>
      <c r="C37" s="37" t="str">
        <f t="shared" si="11"/>
        <v>871</v>
      </c>
      <c r="D37" s="192">
        <f t="shared" si="11"/>
        <v>1800061211922</v>
      </c>
      <c r="E37" s="38" t="str">
        <f t="shared" si="11"/>
        <v>EDCM export 12</v>
      </c>
      <c r="F37" s="38" t="str">
        <f t="shared" si="11"/>
        <v>623</v>
      </c>
      <c r="G37" s="180">
        <f t="shared" si="11"/>
        <v>1800061211931</v>
      </c>
      <c r="H37" s="38" t="str">
        <f t="shared" si="11"/>
        <v>Watsonhead</v>
      </c>
      <c r="I37" s="193">
        <v>1.0029999999999999</v>
      </c>
      <c r="J37" s="193">
        <v>1.004</v>
      </c>
      <c r="K37" s="193">
        <v>1.004</v>
      </c>
      <c r="L37" s="193">
        <v>1.0049999999999999</v>
      </c>
      <c r="M37" s="232">
        <v>1</v>
      </c>
      <c r="N37" s="232">
        <v>1</v>
      </c>
      <c r="O37" s="232">
        <v>1</v>
      </c>
      <c r="P37" s="232">
        <v>1</v>
      </c>
    </row>
    <row r="38" spans="1:16" ht="27.75" customHeight="1" x14ac:dyDescent="0.35">
      <c r="A38" s="191">
        <f t="shared" ref="A38:H38" si="12">IF(A17="","",A17)</f>
        <v>44652</v>
      </c>
      <c r="B38" s="191" t="str">
        <f t="shared" si="12"/>
        <v>EDCM import 13</v>
      </c>
      <c r="C38" s="37" t="str">
        <f t="shared" si="12"/>
        <v>912</v>
      </c>
      <c r="D38" s="192">
        <f t="shared" si="12"/>
        <v>1800061228633</v>
      </c>
      <c r="E38" s="38" t="str">
        <f t="shared" si="12"/>
        <v>EDCM export 13</v>
      </c>
      <c r="F38" s="38" t="str">
        <f t="shared" si="12"/>
        <v>682</v>
      </c>
      <c r="G38" s="180">
        <f t="shared" si="12"/>
        <v>1800061228642</v>
      </c>
      <c r="H38" s="38" t="str">
        <f t="shared" si="12"/>
        <v>Longhill Burn WF</v>
      </c>
      <c r="I38" s="193">
        <v>1.0029999999999999</v>
      </c>
      <c r="J38" s="193">
        <v>1.004</v>
      </c>
      <c r="K38" s="193">
        <v>1.004</v>
      </c>
      <c r="L38" s="193">
        <v>1.0049999999999999</v>
      </c>
      <c r="M38" s="232">
        <v>1</v>
      </c>
      <c r="N38" s="232">
        <v>1</v>
      </c>
      <c r="O38" s="232">
        <v>1</v>
      </c>
      <c r="P38" s="232">
        <v>1</v>
      </c>
    </row>
    <row r="39" spans="1:16" ht="27.75" customHeight="1" x14ac:dyDescent="0.35">
      <c r="A39" s="191">
        <f t="shared" ref="A39:H39" si="13">IF(A18="","",A18)</f>
        <v>44652</v>
      </c>
      <c r="B39" s="191" t="str">
        <f t="shared" si="13"/>
        <v>EDCM import 14</v>
      </c>
      <c r="C39" s="37">
        <f t="shared" si="13"/>
        <v>919</v>
      </c>
      <c r="D39" s="192">
        <f t="shared" si="13"/>
        <v>1800061252352</v>
      </c>
      <c r="E39" s="38" t="str">
        <f t="shared" si="13"/>
        <v>EDCM export 14</v>
      </c>
      <c r="F39" s="38">
        <f t="shared" si="13"/>
        <v>619</v>
      </c>
      <c r="G39" s="180">
        <f t="shared" si="13"/>
        <v>1800061252361</v>
      </c>
      <c r="H39" s="38" t="str">
        <f t="shared" si="13"/>
        <v>Caledon Gas</v>
      </c>
      <c r="I39" s="193">
        <v>1.0029999999999999</v>
      </c>
      <c r="J39" s="193">
        <v>1.004</v>
      </c>
      <c r="K39" s="193">
        <v>1.004</v>
      </c>
      <c r="L39" s="193">
        <v>1.0049999999999999</v>
      </c>
      <c r="M39" s="232">
        <v>1</v>
      </c>
      <c r="N39" s="232">
        <v>1</v>
      </c>
      <c r="O39" s="232">
        <v>1</v>
      </c>
      <c r="P39" s="232">
        <v>1</v>
      </c>
    </row>
    <row r="40" spans="1:16" ht="27.75" customHeight="1" x14ac:dyDescent="0.35">
      <c r="A40" s="191">
        <f t="shared" ref="A40:H42" si="14">IF(A19="","",A19)</f>
        <v>44652</v>
      </c>
      <c r="B40" s="191" t="str">
        <f t="shared" si="14"/>
        <v>EDCM import 15</v>
      </c>
      <c r="C40" s="37" t="str">
        <f t="shared" si="14"/>
        <v>857</v>
      </c>
      <c r="D40" s="192">
        <f t="shared" si="14"/>
        <v>1800061230181</v>
      </c>
      <c r="E40" s="38" t="str">
        <f t="shared" si="14"/>
        <v>EDCM export 15</v>
      </c>
      <c r="F40" s="38" t="str">
        <f t="shared" si="14"/>
        <v>647</v>
      </c>
      <c r="G40" s="180">
        <f t="shared" si="14"/>
        <v>1800061230190</v>
      </c>
      <c r="H40" s="38" t="str">
        <f t="shared" si="14"/>
        <v>Howpark Windfarm</v>
      </c>
      <c r="I40" s="193">
        <v>1.0029999999999999</v>
      </c>
      <c r="J40" s="193">
        <v>1.004</v>
      </c>
      <c r="K40" s="193">
        <v>1.004</v>
      </c>
      <c r="L40" s="193">
        <v>1.0049999999999999</v>
      </c>
      <c r="M40" s="232">
        <v>1</v>
      </c>
      <c r="N40" s="232">
        <v>1</v>
      </c>
      <c r="O40" s="232">
        <v>1</v>
      </c>
      <c r="P40" s="232">
        <v>1</v>
      </c>
    </row>
    <row r="41" spans="1:16" ht="27.75" customHeight="1" x14ac:dyDescent="0.35">
      <c r="A41" s="191">
        <f t="shared" si="14"/>
        <v>44652</v>
      </c>
      <c r="B41" s="191" t="str">
        <f t="shared" si="14"/>
        <v>EDCM import 16</v>
      </c>
      <c r="C41" s="37">
        <f t="shared" si="14"/>
        <v>849</v>
      </c>
      <c r="D41" s="192">
        <f t="shared" si="14"/>
        <v>1800061236634</v>
      </c>
      <c r="E41" s="38" t="str">
        <f t="shared" si="14"/>
        <v>EDCM export 16</v>
      </c>
      <c r="F41" s="38">
        <f t="shared" si="14"/>
        <v>649</v>
      </c>
      <c r="G41" s="180">
        <f t="shared" si="14"/>
        <v>1800061236643</v>
      </c>
      <c r="H41" s="38" t="str">
        <f t="shared" si="14"/>
        <v>Sorbie Windfarm</v>
      </c>
      <c r="I41" s="193">
        <v>1.0029999999999999</v>
      </c>
      <c r="J41" s="193">
        <v>1.004</v>
      </c>
      <c r="K41" s="193">
        <v>1.004</v>
      </c>
      <c r="L41" s="193">
        <v>1.0049999999999999</v>
      </c>
      <c r="M41" s="232">
        <v>1</v>
      </c>
      <c r="N41" s="232">
        <v>1</v>
      </c>
      <c r="O41" s="232">
        <v>1</v>
      </c>
      <c r="P41" s="232">
        <v>1</v>
      </c>
    </row>
    <row r="42" spans="1:16" ht="27.75" customHeight="1" x14ac:dyDescent="0.35">
      <c r="A42" s="191">
        <f t="shared" si="14"/>
        <v>44652</v>
      </c>
      <c r="B42" s="191" t="str">
        <f t="shared" si="14"/>
        <v>EDCM import 17</v>
      </c>
      <c r="C42" s="37">
        <f t="shared" si="14"/>
        <v>334</v>
      </c>
      <c r="D42" s="192">
        <f t="shared" si="14"/>
        <v>1800061268316</v>
      </c>
      <c r="E42" s="38" t="str">
        <f t="shared" si="14"/>
        <v>EDCM export 17</v>
      </c>
      <c r="F42" s="38">
        <f t="shared" si="14"/>
        <v>753</v>
      </c>
      <c r="G42" s="180">
        <f t="shared" si="14"/>
        <v>1800061268325</v>
      </c>
      <c r="H42" s="38" t="str">
        <f t="shared" si="14"/>
        <v>Edinburgh Airport</v>
      </c>
      <c r="I42" s="193"/>
      <c r="J42" s="193"/>
      <c r="K42" s="193"/>
      <c r="L42" s="193"/>
      <c r="M42" s="232"/>
      <c r="N42" s="232"/>
      <c r="O42" s="232"/>
      <c r="P42" s="232"/>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P4"/>
    <mergeCell ref="A2:P2"/>
    <mergeCell ref="A25:P25"/>
    <mergeCell ref="H1:I1"/>
  </mergeCells>
  <phoneticPr fontId="50" type="noConversion"/>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35" fitToHeight="0" orientation="portrait" r:id="rId2"/>
  <headerFooter differentFirst="1" scaleWithDoc="0">
    <oddFooter>&amp;L&amp;8Note: The list of MPANs / MSIDs provided may be incomplete; the DNO reserves the right to apply the listed charges to any other MPANs / MSIDs associated with the site.&amp;R&amp;P of &amp;N&amp;C&amp;1#&amp;"Calibri"&amp;12&amp;K008000Internal Use</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&amp;N&amp;C&amp;1#&amp;"Calibri"&amp;12&amp;K008000Internal Use</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J165"/>
  <sheetViews>
    <sheetView workbookViewId="0"/>
  </sheetViews>
  <sheetFormatPr defaultColWidth="9.1328125" defaultRowHeight="27.75" customHeight="1" x14ac:dyDescent="0.35"/>
  <cols>
    <col min="1" max="1" width="49" style="2" bestFit="1" customWidth="1"/>
    <col min="2" max="2" width="17.59765625" style="3" customWidth="1"/>
    <col min="3" max="3" width="6.86328125" style="2" customWidth="1"/>
    <col min="4" max="6" width="17.59765625" style="3" customWidth="1"/>
    <col min="7" max="7" width="9.1328125" style="209"/>
    <col min="8" max="16384" width="9.1328125" style="2"/>
  </cols>
  <sheetData>
    <row r="1" spans="1:10" ht="27.75" customHeight="1" x14ac:dyDescent="0.35">
      <c r="A1" s="15" t="s">
        <v>24</v>
      </c>
      <c r="B1" s="309"/>
      <c r="C1" s="309"/>
      <c r="D1" s="166"/>
      <c r="E1" s="166"/>
      <c r="F1" s="166"/>
    </row>
    <row r="2" spans="1:10" ht="35.1" customHeight="1" x14ac:dyDescent="0.35">
      <c r="A2" s="246" t="str">
        <f>Overview!B4&amp; " - Effective from "&amp;Overview!D4&amp;" - "&amp;Overview!E4&amp;" Supplier of Last Resort and Eligible Bad Debt Pass-Through Costs"</f>
        <v>SP Distribution - Effective from 1 April 2022 - Final Supplier of Last Resort and Eligible Bad Debt Pass-Through Costs</v>
      </c>
      <c r="B2" s="247"/>
      <c r="C2" s="247"/>
      <c r="D2" s="247"/>
      <c r="E2" s="247"/>
      <c r="F2" s="248"/>
    </row>
    <row r="3" spans="1:10" s="67" customFormat="1" ht="21" customHeight="1" x14ac:dyDescent="0.35">
      <c r="A3" s="75"/>
      <c r="B3" s="75"/>
      <c r="C3" s="75"/>
      <c r="D3" s="75"/>
      <c r="E3" s="75"/>
      <c r="F3" s="75"/>
      <c r="G3" s="211"/>
    </row>
    <row r="4" spans="1:10" ht="78.75" customHeight="1" x14ac:dyDescent="0.35">
      <c r="A4" s="26" t="s">
        <v>150</v>
      </c>
      <c r="B4" s="16" t="s">
        <v>446</v>
      </c>
      <c r="C4" s="16" t="s">
        <v>29</v>
      </c>
      <c r="D4" s="16" t="s">
        <v>497</v>
      </c>
      <c r="E4" s="16" t="s">
        <v>498</v>
      </c>
      <c r="F4" s="16" t="s">
        <v>499</v>
      </c>
      <c r="G4" s="209">
        <v>1</v>
      </c>
    </row>
    <row r="5" spans="1:10" ht="32.25" customHeight="1" x14ac:dyDescent="0.35">
      <c r="A5" s="18" t="s">
        <v>166</v>
      </c>
      <c r="B5" s="33"/>
      <c r="C5" s="171" t="s">
        <v>682</v>
      </c>
      <c r="D5" s="172">
        <v>7.9771087944759358E-2</v>
      </c>
      <c r="E5" s="172">
        <v>9.2633450103604726</v>
      </c>
      <c r="F5" s="172">
        <v>3.4491697107090047E-2</v>
      </c>
      <c r="G5" s="209">
        <v>1</v>
      </c>
      <c r="I5" s="230"/>
      <c r="J5" s="230"/>
    </row>
    <row r="6" spans="1:10" ht="27" customHeight="1" x14ac:dyDescent="0.35">
      <c r="A6" s="18" t="s">
        <v>504</v>
      </c>
      <c r="B6" s="33"/>
      <c r="C6" s="157" t="s">
        <v>681</v>
      </c>
      <c r="D6" s="173"/>
      <c r="E6" s="173"/>
      <c r="F6" s="172">
        <v>3.4491697107090047E-2</v>
      </c>
      <c r="G6" s="209">
        <v>1</v>
      </c>
    </row>
    <row r="7" spans="1:10" ht="27" customHeight="1" x14ac:dyDescent="0.35">
      <c r="A7" s="18" t="s">
        <v>505</v>
      </c>
      <c r="B7" s="33"/>
      <c r="C7" s="157" t="s">
        <v>681</v>
      </c>
      <c r="D7" s="173"/>
      <c r="E7" s="173"/>
      <c r="F7" s="172">
        <v>3.4491697107090047E-2</v>
      </c>
      <c r="G7" s="209">
        <v>1</v>
      </c>
    </row>
    <row r="8" spans="1:10" ht="27" customHeight="1" x14ac:dyDescent="0.35">
      <c r="A8" s="18" t="s">
        <v>506</v>
      </c>
      <c r="B8" s="33"/>
      <c r="C8" s="157" t="s">
        <v>681</v>
      </c>
      <c r="D8" s="173"/>
      <c r="E8" s="173"/>
      <c r="F8" s="172">
        <v>3.4491697107090047E-2</v>
      </c>
      <c r="G8" s="209">
        <v>1</v>
      </c>
    </row>
    <row r="9" spans="1:10" ht="27" customHeight="1" x14ac:dyDescent="0.35">
      <c r="A9" s="18" t="s">
        <v>507</v>
      </c>
      <c r="B9" s="33"/>
      <c r="C9" s="157" t="s">
        <v>681</v>
      </c>
      <c r="D9" s="173"/>
      <c r="E9" s="173"/>
      <c r="F9" s="172">
        <v>3.4491697107090047E-2</v>
      </c>
      <c r="G9" s="209">
        <v>1</v>
      </c>
    </row>
    <row r="10" spans="1:10" ht="27" customHeight="1" x14ac:dyDescent="0.35">
      <c r="A10" s="18" t="s">
        <v>508</v>
      </c>
      <c r="B10" s="33"/>
      <c r="C10" s="157" t="s">
        <v>681</v>
      </c>
      <c r="D10" s="173"/>
      <c r="E10" s="173"/>
      <c r="F10" s="172">
        <v>3.4491697107090047E-2</v>
      </c>
      <c r="G10" s="209">
        <v>1</v>
      </c>
    </row>
    <row r="11" spans="1:10" ht="27" customHeight="1" x14ac:dyDescent="0.35">
      <c r="A11" s="158" t="s">
        <v>509</v>
      </c>
      <c r="B11" s="33"/>
      <c r="C11" s="157">
        <v>0</v>
      </c>
      <c r="D11" s="173"/>
      <c r="E11" s="173"/>
      <c r="F11" s="172">
        <v>3.4491697107090047E-2</v>
      </c>
      <c r="G11" s="209">
        <v>1</v>
      </c>
    </row>
    <row r="12" spans="1:10" ht="27" customHeight="1" x14ac:dyDescent="0.35">
      <c r="A12" s="158" t="s">
        <v>510</v>
      </c>
      <c r="B12" s="33"/>
      <c r="C12" s="157">
        <v>0</v>
      </c>
      <c r="D12" s="173"/>
      <c r="E12" s="173"/>
      <c r="F12" s="172">
        <v>3.4491697107090047E-2</v>
      </c>
      <c r="G12" s="209">
        <v>1</v>
      </c>
    </row>
    <row r="13" spans="1:10" ht="27" customHeight="1" x14ac:dyDescent="0.35">
      <c r="A13" s="158" t="s">
        <v>511</v>
      </c>
      <c r="B13" s="33"/>
      <c r="C13" s="157">
        <v>0</v>
      </c>
      <c r="D13" s="173"/>
      <c r="E13" s="173"/>
      <c r="F13" s="172">
        <v>3.4491697107090047E-2</v>
      </c>
      <c r="G13" s="209">
        <v>1</v>
      </c>
    </row>
    <row r="14" spans="1:10" ht="27.75" customHeight="1" x14ac:dyDescent="0.35">
      <c r="A14" s="158" t="s">
        <v>512</v>
      </c>
      <c r="B14" s="33"/>
      <c r="C14" s="157">
        <v>0</v>
      </c>
      <c r="D14" s="173"/>
      <c r="E14" s="173"/>
      <c r="F14" s="172">
        <v>3.4491697107090047E-2</v>
      </c>
      <c r="G14" s="209">
        <v>1</v>
      </c>
    </row>
    <row r="15" spans="1:10" ht="27.75" customHeight="1" x14ac:dyDescent="0.35">
      <c r="A15" s="162" t="s">
        <v>513</v>
      </c>
      <c r="B15" s="33"/>
      <c r="C15" s="157">
        <v>0</v>
      </c>
      <c r="D15" s="173"/>
      <c r="E15" s="173"/>
      <c r="F15" s="172">
        <v>3.4491697107090047E-2</v>
      </c>
      <c r="G15" s="209">
        <v>1</v>
      </c>
    </row>
    <row r="16" spans="1:10" ht="27.75" customHeight="1" x14ac:dyDescent="0.35">
      <c r="A16" s="162" t="s">
        <v>514</v>
      </c>
      <c r="B16" s="33"/>
      <c r="C16" s="157">
        <v>0</v>
      </c>
      <c r="D16" s="173"/>
      <c r="E16" s="173"/>
      <c r="F16" s="172">
        <v>3.4491697107090047E-2</v>
      </c>
      <c r="G16" s="209">
        <v>1</v>
      </c>
    </row>
    <row r="17" spans="1:10" ht="27.75" customHeight="1" x14ac:dyDescent="0.35">
      <c r="A17" s="162" t="s">
        <v>515</v>
      </c>
      <c r="B17" s="33"/>
      <c r="C17" s="157">
        <v>0</v>
      </c>
      <c r="D17" s="173"/>
      <c r="E17" s="173"/>
      <c r="F17" s="172">
        <v>3.4491697107090047E-2</v>
      </c>
      <c r="G17" s="209">
        <v>1</v>
      </c>
    </row>
    <row r="18" spans="1:10" ht="27.75" customHeight="1" x14ac:dyDescent="0.35">
      <c r="A18" s="162" t="s">
        <v>516</v>
      </c>
      <c r="B18" s="33"/>
      <c r="C18" s="157">
        <v>0</v>
      </c>
      <c r="D18" s="173"/>
      <c r="E18" s="173"/>
      <c r="F18" s="172">
        <v>3.4491697107090047E-2</v>
      </c>
      <c r="G18" s="209">
        <v>1</v>
      </c>
    </row>
    <row r="19" spans="1:10" ht="27.75" customHeight="1" x14ac:dyDescent="0.35">
      <c r="A19" s="162" t="s">
        <v>517</v>
      </c>
      <c r="B19" s="33"/>
      <c r="C19" s="157">
        <v>0</v>
      </c>
      <c r="D19" s="173"/>
      <c r="E19" s="173"/>
      <c r="F19" s="172">
        <v>3.4491697107090047E-2</v>
      </c>
      <c r="G19" s="209">
        <v>1</v>
      </c>
    </row>
    <row r="20" spans="1:10" ht="27.75" customHeight="1" x14ac:dyDescent="0.35">
      <c r="A20" s="162" t="s">
        <v>518</v>
      </c>
      <c r="B20" s="33"/>
      <c r="C20" s="157">
        <v>0</v>
      </c>
      <c r="D20" s="173"/>
      <c r="E20" s="173"/>
      <c r="F20" s="172">
        <v>3.4491697107090047E-2</v>
      </c>
      <c r="G20" s="209">
        <v>1</v>
      </c>
    </row>
    <row r="21" spans="1:10" ht="27.75" customHeight="1" x14ac:dyDescent="0.35">
      <c r="A21" s="162" t="s">
        <v>519</v>
      </c>
      <c r="B21" s="33"/>
      <c r="C21" s="157">
        <v>0</v>
      </c>
      <c r="D21" s="173"/>
      <c r="E21" s="173"/>
      <c r="F21" s="172">
        <v>3.4491697107090047E-2</v>
      </c>
      <c r="G21" s="209">
        <v>1</v>
      </c>
    </row>
    <row r="22" spans="1:10" ht="27.75" customHeight="1" x14ac:dyDescent="0.35">
      <c r="A22" s="162" t="s">
        <v>520</v>
      </c>
      <c r="B22" s="33"/>
      <c r="C22" s="157">
        <v>0</v>
      </c>
      <c r="D22" s="173"/>
      <c r="E22" s="173"/>
      <c r="F22" s="172">
        <v>3.4491697107090047E-2</v>
      </c>
      <c r="G22" s="209">
        <v>1</v>
      </c>
    </row>
    <row r="23" spans="1:10" ht="27.75" customHeight="1" x14ac:dyDescent="0.35">
      <c r="A23" s="158" t="s">
        <v>521</v>
      </c>
      <c r="B23" s="33"/>
      <c r="C23" s="157">
        <v>0</v>
      </c>
      <c r="D23" s="173"/>
      <c r="E23" s="173"/>
      <c r="F23" s="172">
        <v>3.4491697107090047E-2</v>
      </c>
      <c r="G23" s="209">
        <v>1</v>
      </c>
    </row>
    <row r="24" spans="1:10" ht="27.75" customHeight="1" x14ac:dyDescent="0.35">
      <c r="A24" s="158" t="s">
        <v>522</v>
      </c>
      <c r="B24" s="33"/>
      <c r="C24" s="157">
        <v>0</v>
      </c>
      <c r="D24" s="173"/>
      <c r="E24" s="173"/>
      <c r="F24" s="172">
        <v>3.4491697107090047E-2</v>
      </c>
      <c r="G24" s="209">
        <v>1</v>
      </c>
    </row>
    <row r="25" spans="1:10" ht="27.75" customHeight="1" x14ac:dyDescent="0.35">
      <c r="A25" s="158" t="s">
        <v>523</v>
      </c>
      <c r="B25" s="33"/>
      <c r="C25" s="157">
        <v>0</v>
      </c>
      <c r="D25" s="173"/>
      <c r="E25" s="173"/>
      <c r="F25" s="172">
        <v>3.4491697107090047E-2</v>
      </c>
      <c r="G25" s="209">
        <v>1</v>
      </c>
    </row>
    <row r="26" spans="1:10" ht="27.75" customHeight="1" x14ac:dyDescent="0.35">
      <c r="A26" s="158" t="s">
        <v>674</v>
      </c>
      <c r="B26" s="33"/>
      <c r="C26" s="171" t="s">
        <v>682</v>
      </c>
      <c r="D26" s="172">
        <v>7.9771087944759358E-2</v>
      </c>
      <c r="E26" s="172">
        <v>9.2633450103604726</v>
      </c>
      <c r="F26" s="172">
        <v>3.4491697107090047E-2</v>
      </c>
      <c r="G26" s="209">
        <v>1</v>
      </c>
      <c r="J26" s="230"/>
    </row>
    <row r="27" spans="1:10" ht="27.75" customHeight="1" x14ac:dyDescent="0.35">
      <c r="A27" s="158" t="s">
        <v>526</v>
      </c>
      <c r="B27" s="33"/>
      <c r="C27" s="157" t="s">
        <v>681</v>
      </c>
      <c r="D27" s="173"/>
      <c r="E27" s="173"/>
      <c r="F27" s="172">
        <v>3.4491697107090047E-2</v>
      </c>
      <c r="G27" s="209">
        <v>1</v>
      </c>
    </row>
    <row r="28" spans="1:10" ht="27.75" customHeight="1" x14ac:dyDescent="0.35">
      <c r="A28" s="158" t="s">
        <v>527</v>
      </c>
      <c r="B28" s="33"/>
      <c r="C28" s="157" t="s">
        <v>681</v>
      </c>
      <c r="D28" s="173"/>
      <c r="E28" s="173"/>
      <c r="F28" s="172">
        <v>3.4491697107090047E-2</v>
      </c>
      <c r="G28" s="209">
        <v>1</v>
      </c>
    </row>
    <row r="29" spans="1:10" ht="27.75" customHeight="1" x14ac:dyDescent="0.35">
      <c r="A29" s="158" t="s">
        <v>528</v>
      </c>
      <c r="B29" s="33"/>
      <c r="C29" s="157" t="s">
        <v>681</v>
      </c>
      <c r="D29" s="173"/>
      <c r="E29" s="173"/>
      <c r="F29" s="172">
        <v>3.4491697107090047E-2</v>
      </c>
      <c r="G29" s="209">
        <v>1</v>
      </c>
    </row>
    <row r="30" spans="1:10" ht="27.75" customHeight="1" x14ac:dyDescent="0.35">
      <c r="A30" s="158" t="s">
        <v>529</v>
      </c>
      <c r="B30" s="33"/>
      <c r="C30" s="157" t="s">
        <v>681</v>
      </c>
      <c r="D30" s="173"/>
      <c r="E30" s="173"/>
      <c r="F30" s="172">
        <v>3.4491697107090047E-2</v>
      </c>
      <c r="G30" s="209">
        <v>1</v>
      </c>
    </row>
    <row r="31" spans="1:10" ht="27.75" customHeight="1" x14ac:dyDescent="0.35">
      <c r="A31" s="158" t="s">
        <v>530</v>
      </c>
      <c r="B31" s="33"/>
      <c r="C31" s="157" t="s">
        <v>681</v>
      </c>
      <c r="D31" s="173"/>
      <c r="E31" s="173"/>
      <c r="F31" s="172">
        <v>3.4491697107090047E-2</v>
      </c>
      <c r="G31" s="209">
        <v>1</v>
      </c>
    </row>
    <row r="32" spans="1:10" ht="27.75" customHeight="1" x14ac:dyDescent="0.35">
      <c r="A32" s="158" t="s">
        <v>531</v>
      </c>
      <c r="B32" s="33"/>
      <c r="C32" s="157">
        <v>0</v>
      </c>
      <c r="D32" s="173"/>
      <c r="E32" s="173"/>
      <c r="F32" s="172">
        <v>3.4491697107090047E-2</v>
      </c>
      <c r="G32" s="209">
        <v>1</v>
      </c>
    </row>
    <row r="33" spans="1:10" ht="27.75" customHeight="1" x14ac:dyDescent="0.35">
      <c r="A33" s="158" t="s">
        <v>532</v>
      </c>
      <c r="B33" s="33"/>
      <c r="C33" s="157">
        <v>0</v>
      </c>
      <c r="D33" s="173"/>
      <c r="E33" s="173"/>
      <c r="F33" s="172">
        <v>3.4491697107090047E-2</v>
      </c>
      <c r="G33" s="209">
        <v>1</v>
      </c>
    </row>
    <row r="34" spans="1:10" ht="27.75" customHeight="1" x14ac:dyDescent="0.35">
      <c r="A34" s="158" t="s">
        <v>533</v>
      </c>
      <c r="B34" s="33"/>
      <c r="C34" s="157">
        <v>0</v>
      </c>
      <c r="D34" s="173"/>
      <c r="E34" s="173"/>
      <c r="F34" s="172">
        <v>3.4491697107090047E-2</v>
      </c>
      <c r="G34" s="209">
        <v>1</v>
      </c>
    </row>
    <row r="35" spans="1:10" ht="27.75" customHeight="1" x14ac:dyDescent="0.35">
      <c r="A35" s="158" t="s">
        <v>534</v>
      </c>
      <c r="B35" s="33"/>
      <c r="C35" s="157">
        <v>0</v>
      </c>
      <c r="D35" s="173"/>
      <c r="E35" s="173"/>
      <c r="F35" s="172">
        <v>3.4491697107090047E-2</v>
      </c>
      <c r="G35" s="209">
        <v>1</v>
      </c>
    </row>
    <row r="36" spans="1:10" ht="27.75" customHeight="1" x14ac:dyDescent="0.35">
      <c r="A36" s="158" t="s">
        <v>535</v>
      </c>
      <c r="B36" s="33"/>
      <c r="C36" s="157">
        <v>0</v>
      </c>
      <c r="D36" s="173"/>
      <c r="E36" s="173"/>
      <c r="F36" s="172">
        <v>3.4491697107090047E-2</v>
      </c>
      <c r="G36" s="209">
        <v>1</v>
      </c>
    </row>
    <row r="37" spans="1:10" ht="27.75" customHeight="1" x14ac:dyDescent="0.35">
      <c r="A37" s="162" t="s">
        <v>675</v>
      </c>
      <c r="B37" s="33"/>
      <c r="C37" s="171" t="s">
        <v>682</v>
      </c>
      <c r="D37" s="172">
        <v>7.9771087944759358E-2</v>
      </c>
      <c r="E37" s="172">
        <v>9.2633450103604726</v>
      </c>
      <c r="F37" s="172">
        <v>3.4491697107090047E-2</v>
      </c>
      <c r="G37" s="209">
        <v>1</v>
      </c>
      <c r="J37" s="230"/>
    </row>
    <row r="38" spans="1:10" ht="27.75" customHeight="1" x14ac:dyDescent="0.35">
      <c r="A38" s="158" t="s">
        <v>538</v>
      </c>
      <c r="B38" s="33"/>
      <c r="C38" s="157" t="s">
        <v>681</v>
      </c>
      <c r="D38" s="173"/>
      <c r="E38" s="173"/>
      <c r="F38" s="172">
        <v>3.4491697107090047E-2</v>
      </c>
      <c r="G38" s="209">
        <v>2</v>
      </c>
    </row>
    <row r="39" spans="1:10" ht="27.75" customHeight="1" x14ac:dyDescent="0.35">
      <c r="A39" s="158" t="s">
        <v>539</v>
      </c>
      <c r="B39" s="33"/>
      <c r="C39" s="157" t="s">
        <v>681</v>
      </c>
      <c r="D39" s="173"/>
      <c r="E39" s="173"/>
      <c r="F39" s="172">
        <v>3.4491697107090047E-2</v>
      </c>
      <c r="G39" s="209">
        <v>2</v>
      </c>
    </row>
    <row r="40" spans="1:10" ht="27.75" customHeight="1" x14ac:dyDescent="0.35">
      <c r="A40" s="158" t="s">
        <v>540</v>
      </c>
      <c r="B40" s="33"/>
      <c r="C40" s="157" t="s">
        <v>681</v>
      </c>
      <c r="D40" s="173"/>
      <c r="E40" s="173"/>
      <c r="F40" s="172">
        <v>3.4491697107090047E-2</v>
      </c>
      <c r="G40" s="209">
        <v>2</v>
      </c>
    </row>
    <row r="41" spans="1:10" ht="27.75" customHeight="1" x14ac:dyDescent="0.35">
      <c r="A41" s="158" t="s">
        <v>541</v>
      </c>
      <c r="B41" s="33"/>
      <c r="C41" s="157" t="s">
        <v>681</v>
      </c>
      <c r="D41" s="173"/>
      <c r="E41" s="173"/>
      <c r="F41" s="172">
        <v>3.4491697107090047E-2</v>
      </c>
      <c r="G41" s="209">
        <v>2</v>
      </c>
    </row>
    <row r="42" spans="1:10" ht="27.75" customHeight="1" x14ac:dyDescent="0.35">
      <c r="A42" s="158" t="s">
        <v>542</v>
      </c>
      <c r="B42" s="33"/>
      <c r="C42" s="157" t="s">
        <v>681</v>
      </c>
      <c r="D42" s="173"/>
      <c r="E42" s="173"/>
      <c r="F42" s="172">
        <v>3.4491697107090047E-2</v>
      </c>
      <c r="G42" s="209">
        <v>2</v>
      </c>
    </row>
    <row r="43" spans="1:10" ht="27.75" customHeight="1" x14ac:dyDescent="0.35">
      <c r="A43" s="158" t="s">
        <v>543</v>
      </c>
      <c r="B43" s="33"/>
      <c r="C43" s="157">
        <v>0</v>
      </c>
      <c r="D43" s="173"/>
      <c r="E43" s="173"/>
      <c r="F43" s="172">
        <v>3.4491697107090047E-2</v>
      </c>
      <c r="G43" s="209">
        <v>2</v>
      </c>
    </row>
    <row r="44" spans="1:10" ht="27.75" customHeight="1" x14ac:dyDescent="0.35">
      <c r="A44" s="158" t="s">
        <v>544</v>
      </c>
      <c r="B44" s="33"/>
      <c r="C44" s="157">
        <v>0</v>
      </c>
      <c r="D44" s="173"/>
      <c r="E44" s="173"/>
      <c r="F44" s="172">
        <v>3.4491697107090047E-2</v>
      </c>
      <c r="G44" s="209">
        <v>2</v>
      </c>
    </row>
    <row r="45" spans="1:10" ht="27.75" customHeight="1" x14ac:dyDescent="0.35">
      <c r="A45" s="158" t="s">
        <v>545</v>
      </c>
      <c r="B45" s="33"/>
      <c r="C45" s="157">
        <v>0</v>
      </c>
      <c r="D45" s="173"/>
      <c r="E45" s="173"/>
      <c r="F45" s="172">
        <v>3.4491697107090047E-2</v>
      </c>
      <c r="G45" s="209">
        <v>2</v>
      </c>
    </row>
    <row r="46" spans="1:10" ht="27.75" customHeight="1" x14ac:dyDescent="0.35">
      <c r="A46" s="158" t="s">
        <v>546</v>
      </c>
      <c r="B46" s="33"/>
      <c r="C46" s="157">
        <v>0</v>
      </c>
      <c r="D46" s="173"/>
      <c r="E46" s="173"/>
      <c r="F46" s="172">
        <v>3.4491697107090047E-2</v>
      </c>
      <c r="G46" s="209">
        <v>2</v>
      </c>
    </row>
    <row r="47" spans="1:10" ht="27.75" customHeight="1" x14ac:dyDescent="0.35">
      <c r="A47" s="158" t="s">
        <v>547</v>
      </c>
      <c r="B47" s="33"/>
      <c r="C47" s="157">
        <v>0</v>
      </c>
      <c r="D47" s="173"/>
      <c r="E47" s="173"/>
      <c r="F47" s="172">
        <v>3.4491697107090047E-2</v>
      </c>
      <c r="G47" s="209">
        <v>2</v>
      </c>
    </row>
    <row r="48" spans="1:10" ht="27.75" customHeight="1" x14ac:dyDescent="0.35">
      <c r="A48" s="158" t="s">
        <v>548</v>
      </c>
      <c r="B48" s="33"/>
      <c r="C48" s="157">
        <v>0</v>
      </c>
      <c r="D48" s="173"/>
      <c r="E48" s="173"/>
      <c r="F48" s="172">
        <v>3.4491697107090047E-2</v>
      </c>
      <c r="G48" s="209">
        <v>2</v>
      </c>
    </row>
    <row r="49" spans="1:7" ht="27.75" customHeight="1" x14ac:dyDescent="0.35">
      <c r="A49" s="158" t="s">
        <v>549</v>
      </c>
      <c r="B49" s="33"/>
      <c r="C49" s="157">
        <v>0</v>
      </c>
      <c r="D49" s="173"/>
      <c r="E49" s="173"/>
      <c r="F49" s="172">
        <v>3.4491697107090047E-2</v>
      </c>
      <c r="G49" s="209">
        <v>2</v>
      </c>
    </row>
    <row r="50" spans="1:7" ht="27.75" customHeight="1" x14ac:dyDescent="0.35">
      <c r="A50" s="158" t="s">
        <v>550</v>
      </c>
      <c r="B50" s="33"/>
      <c r="C50" s="157">
        <v>0</v>
      </c>
      <c r="D50" s="173"/>
      <c r="E50" s="173"/>
      <c r="F50" s="172">
        <v>3.4491697107090047E-2</v>
      </c>
      <c r="G50" s="209">
        <v>2</v>
      </c>
    </row>
    <row r="51" spans="1:7" ht="27.75" customHeight="1" x14ac:dyDescent="0.35">
      <c r="A51" s="158" t="s">
        <v>551</v>
      </c>
      <c r="B51" s="33"/>
      <c r="C51" s="157">
        <v>0</v>
      </c>
      <c r="D51" s="173"/>
      <c r="E51" s="173"/>
      <c r="F51" s="172">
        <v>3.4491697107090047E-2</v>
      </c>
      <c r="G51" s="209">
        <v>2</v>
      </c>
    </row>
    <row r="52" spans="1:7" ht="27.75" customHeight="1" x14ac:dyDescent="0.35">
      <c r="A52" s="158" t="s">
        <v>552</v>
      </c>
      <c r="B52" s="33"/>
      <c r="C52" s="157">
        <v>0</v>
      </c>
      <c r="D52" s="173"/>
      <c r="E52" s="173"/>
      <c r="F52" s="172">
        <v>3.4491697107090047E-2</v>
      </c>
      <c r="G52" s="209">
        <v>2</v>
      </c>
    </row>
    <row r="53" spans="1:7" ht="27.75" customHeight="1" x14ac:dyDescent="0.35">
      <c r="A53" s="158" t="s">
        <v>553</v>
      </c>
      <c r="B53" s="33"/>
      <c r="C53" s="157">
        <v>0</v>
      </c>
      <c r="D53" s="173"/>
      <c r="E53" s="173"/>
      <c r="F53" s="172">
        <v>3.4491697107090047E-2</v>
      </c>
      <c r="G53" s="209">
        <v>2</v>
      </c>
    </row>
    <row r="54" spans="1:7" ht="27.75" customHeight="1" x14ac:dyDescent="0.35">
      <c r="A54" s="158" t="s">
        <v>554</v>
      </c>
      <c r="B54" s="33"/>
      <c r="C54" s="157">
        <v>0</v>
      </c>
      <c r="D54" s="173"/>
      <c r="E54" s="173"/>
      <c r="F54" s="172">
        <v>3.4491697107090047E-2</v>
      </c>
      <c r="G54" s="209">
        <v>2</v>
      </c>
    </row>
    <row r="55" spans="1:7" ht="27.75" customHeight="1" x14ac:dyDescent="0.35">
      <c r="A55" s="158" t="s">
        <v>555</v>
      </c>
      <c r="B55" s="33"/>
      <c r="C55" s="157">
        <v>0</v>
      </c>
      <c r="D55" s="173"/>
      <c r="E55" s="173"/>
      <c r="F55" s="172">
        <v>3.4491697107090047E-2</v>
      </c>
      <c r="G55" s="209">
        <v>2</v>
      </c>
    </row>
    <row r="56" spans="1:7" ht="27.75" customHeight="1" x14ac:dyDescent="0.35">
      <c r="A56" s="158" t="s">
        <v>556</v>
      </c>
      <c r="B56" s="33"/>
      <c r="C56" s="157">
        <v>0</v>
      </c>
      <c r="D56" s="173"/>
      <c r="E56" s="173"/>
      <c r="F56" s="172">
        <v>3.4491697107090047E-2</v>
      </c>
      <c r="G56" s="209">
        <v>2</v>
      </c>
    </row>
    <row r="57" spans="1:7" ht="27.75" customHeight="1" x14ac:dyDescent="0.35">
      <c r="A57" s="158" t="s">
        <v>557</v>
      </c>
      <c r="B57" s="33"/>
      <c r="C57" s="157">
        <v>0</v>
      </c>
      <c r="D57" s="173"/>
      <c r="E57" s="173"/>
      <c r="F57" s="172">
        <v>3.4491697107090047E-2</v>
      </c>
      <c r="G57" s="209">
        <v>2</v>
      </c>
    </row>
    <row r="58" spans="1:7" ht="27.75" customHeight="1" x14ac:dyDescent="0.35">
      <c r="A58" s="158" t="s">
        <v>676</v>
      </c>
      <c r="B58" s="33"/>
      <c r="C58" s="171" t="s">
        <v>682</v>
      </c>
      <c r="D58" s="172">
        <v>7.9771087944759358E-2</v>
      </c>
      <c r="E58" s="172">
        <v>9.2633450103604726</v>
      </c>
      <c r="F58" s="172">
        <v>3.4491697107090047E-2</v>
      </c>
      <c r="G58" s="209">
        <v>2</v>
      </c>
    </row>
    <row r="59" spans="1:7" ht="27.75" customHeight="1" x14ac:dyDescent="0.35">
      <c r="A59" s="158" t="s">
        <v>648</v>
      </c>
      <c r="B59" s="33"/>
      <c r="C59" s="157" t="s">
        <v>681</v>
      </c>
      <c r="D59" s="173"/>
      <c r="E59" s="173"/>
      <c r="F59" s="172">
        <v>3.4491697107090047E-2</v>
      </c>
      <c r="G59" s="209">
        <v>2</v>
      </c>
    </row>
    <row r="60" spans="1:7" ht="27.75" customHeight="1" x14ac:dyDescent="0.35">
      <c r="A60" s="158" t="s">
        <v>649</v>
      </c>
      <c r="B60" s="33"/>
      <c r="C60" s="157" t="s">
        <v>681</v>
      </c>
      <c r="D60" s="173"/>
      <c r="E60" s="173"/>
      <c r="F60" s="172">
        <v>3.4491697107090047E-2</v>
      </c>
      <c r="G60" s="209">
        <v>2</v>
      </c>
    </row>
    <row r="61" spans="1:7" ht="27.75" customHeight="1" x14ac:dyDescent="0.35">
      <c r="A61" s="158" t="s">
        <v>650</v>
      </c>
      <c r="B61" s="33"/>
      <c r="C61" s="157" t="s">
        <v>681</v>
      </c>
      <c r="D61" s="173"/>
      <c r="E61" s="173"/>
      <c r="F61" s="172">
        <v>3.4491697107090047E-2</v>
      </c>
      <c r="G61" s="209">
        <v>2</v>
      </c>
    </row>
    <row r="62" spans="1:7" ht="27.75" customHeight="1" x14ac:dyDescent="0.35">
      <c r="A62" s="158" t="s">
        <v>651</v>
      </c>
      <c r="B62" s="33"/>
      <c r="C62" s="157" t="s">
        <v>681</v>
      </c>
      <c r="D62" s="173"/>
      <c r="E62" s="173"/>
      <c r="F62" s="172">
        <v>3.4491697107090047E-2</v>
      </c>
      <c r="G62" s="209">
        <v>2</v>
      </c>
    </row>
    <row r="63" spans="1:7" ht="27.75" customHeight="1" x14ac:dyDescent="0.35">
      <c r="A63" s="158" t="s">
        <v>652</v>
      </c>
      <c r="B63" s="33"/>
      <c r="C63" s="157" t="s">
        <v>681</v>
      </c>
      <c r="D63" s="173"/>
      <c r="E63" s="173"/>
      <c r="F63" s="172">
        <v>3.4491697107090047E-2</v>
      </c>
      <c r="G63" s="209">
        <v>2</v>
      </c>
    </row>
    <row r="64" spans="1:7" ht="27.75" customHeight="1" x14ac:dyDescent="0.35">
      <c r="A64" s="158" t="s">
        <v>653</v>
      </c>
      <c r="B64" s="33"/>
      <c r="C64" s="157">
        <v>0</v>
      </c>
      <c r="D64" s="173"/>
      <c r="E64" s="173"/>
      <c r="F64" s="172">
        <v>3.4491697107090047E-2</v>
      </c>
      <c r="G64" s="209">
        <v>2</v>
      </c>
    </row>
    <row r="65" spans="1:7" ht="27.75" customHeight="1" x14ac:dyDescent="0.35">
      <c r="A65" s="158" t="s">
        <v>654</v>
      </c>
      <c r="B65" s="33"/>
      <c r="C65" s="157">
        <v>0</v>
      </c>
      <c r="D65" s="173"/>
      <c r="E65" s="173"/>
      <c r="F65" s="172">
        <v>3.4491697107090047E-2</v>
      </c>
      <c r="G65" s="209">
        <v>2</v>
      </c>
    </row>
    <row r="66" spans="1:7" ht="27.75" customHeight="1" x14ac:dyDescent="0.35">
      <c r="A66" s="158" t="s">
        <v>655</v>
      </c>
      <c r="B66" s="33"/>
      <c r="C66" s="157">
        <v>0</v>
      </c>
      <c r="D66" s="173"/>
      <c r="E66" s="173"/>
      <c r="F66" s="172">
        <v>3.4491697107090047E-2</v>
      </c>
      <c r="G66" s="209">
        <v>2</v>
      </c>
    </row>
    <row r="67" spans="1:7" ht="27.75" customHeight="1" x14ac:dyDescent="0.35">
      <c r="A67" s="158" t="s">
        <v>656</v>
      </c>
      <c r="B67" s="33"/>
      <c r="C67" s="157">
        <v>0</v>
      </c>
      <c r="D67" s="173"/>
      <c r="E67" s="173"/>
      <c r="F67" s="172">
        <v>3.4491697107090047E-2</v>
      </c>
      <c r="G67" s="209">
        <v>2</v>
      </c>
    </row>
    <row r="68" spans="1:7" ht="27.75" customHeight="1" x14ac:dyDescent="0.35">
      <c r="A68" s="158" t="s">
        <v>657</v>
      </c>
      <c r="B68" s="33"/>
      <c r="C68" s="157">
        <v>0</v>
      </c>
      <c r="D68" s="173"/>
      <c r="E68" s="173"/>
      <c r="F68" s="172">
        <v>3.4491697107090047E-2</v>
      </c>
      <c r="G68" s="209">
        <v>2</v>
      </c>
    </row>
    <row r="69" spans="1:7" ht="27.75" customHeight="1" x14ac:dyDescent="0.35">
      <c r="A69" s="158" t="s">
        <v>658</v>
      </c>
      <c r="B69" s="33"/>
      <c r="C69" s="157">
        <v>0</v>
      </c>
      <c r="D69" s="173"/>
      <c r="E69" s="173"/>
      <c r="F69" s="172">
        <v>3.4491697107090047E-2</v>
      </c>
      <c r="G69" s="209">
        <v>2</v>
      </c>
    </row>
    <row r="70" spans="1:7" ht="27.75" customHeight="1" x14ac:dyDescent="0.35">
      <c r="A70" s="158" t="s">
        <v>659</v>
      </c>
      <c r="B70" s="33"/>
      <c r="C70" s="157">
        <v>0</v>
      </c>
      <c r="D70" s="173"/>
      <c r="E70" s="173"/>
      <c r="F70" s="172">
        <v>3.4491697107090047E-2</v>
      </c>
      <c r="G70" s="209">
        <v>2</v>
      </c>
    </row>
    <row r="71" spans="1:7" ht="27.75" customHeight="1" x14ac:dyDescent="0.35">
      <c r="A71" s="158" t="s">
        <v>660</v>
      </c>
      <c r="B71" s="33"/>
      <c r="C71" s="157">
        <v>0</v>
      </c>
      <c r="D71" s="173"/>
      <c r="E71" s="173"/>
      <c r="F71" s="172">
        <v>3.4491697107090047E-2</v>
      </c>
      <c r="G71" s="209">
        <v>2</v>
      </c>
    </row>
    <row r="72" spans="1:7" ht="27.75" customHeight="1" x14ac:dyDescent="0.35">
      <c r="A72" s="158" t="s">
        <v>661</v>
      </c>
      <c r="B72" s="33"/>
      <c r="C72" s="157">
        <v>0</v>
      </c>
      <c r="D72" s="173"/>
      <c r="E72" s="173"/>
      <c r="F72" s="172">
        <v>3.4491697107090047E-2</v>
      </c>
      <c r="G72" s="209">
        <v>2</v>
      </c>
    </row>
    <row r="73" spans="1:7" ht="27.75" customHeight="1" x14ac:dyDescent="0.35">
      <c r="A73" s="158" t="s">
        <v>662</v>
      </c>
      <c r="B73" s="33"/>
      <c r="C73" s="157">
        <v>0</v>
      </c>
      <c r="D73" s="173"/>
      <c r="E73" s="173"/>
      <c r="F73" s="172">
        <v>3.4491697107090047E-2</v>
      </c>
      <c r="G73" s="209">
        <v>3</v>
      </c>
    </row>
    <row r="74" spans="1:7" ht="27.75" customHeight="1" x14ac:dyDescent="0.35">
      <c r="A74" s="158" t="s">
        <v>663</v>
      </c>
      <c r="B74" s="33"/>
      <c r="C74" s="157">
        <v>0</v>
      </c>
      <c r="D74" s="173"/>
      <c r="E74" s="173"/>
      <c r="F74" s="172">
        <v>3.4491697107090047E-2</v>
      </c>
      <c r="G74" s="209">
        <v>3</v>
      </c>
    </row>
    <row r="75" spans="1:7" ht="27.75" customHeight="1" x14ac:dyDescent="0.35">
      <c r="A75" s="158" t="s">
        <v>664</v>
      </c>
      <c r="B75" s="33"/>
      <c r="C75" s="157">
        <v>0</v>
      </c>
      <c r="D75" s="173"/>
      <c r="E75" s="173"/>
      <c r="F75" s="172">
        <v>3.4491697107090047E-2</v>
      </c>
      <c r="G75" s="209">
        <v>3</v>
      </c>
    </row>
    <row r="76" spans="1:7" ht="27.75" customHeight="1" x14ac:dyDescent="0.35">
      <c r="A76" s="158" t="s">
        <v>665</v>
      </c>
      <c r="B76" s="33"/>
      <c r="C76" s="157">
        <v>0</v>
      </c>
      <c r="D76" s="173"/>
      <c r="E76" s="173"/>
      <c r="F76" s="172">
        <v>3.4491697107090047E-2</v>
      </c>
      <c r="G76" s="209">
        <v>3</v>
      </c>
    </row>
    <row r="77" spans="1:7" ht="27.75" customHeight="1" x14ac:dyDescent="0.35">
      <c r="A77" s="158" t="s">
        <v>666</v>
      </c>
      <c r="B77" s="33"/>
      <c r="C77" s="157">
        <v>0</v>
      </c>
      <c r="D77" s="173"/>
      <c r="E77" s="173"/>
      <c r="F77" s="172">
        <v>3.4491697107090047E-2</v>
      </c>
      <c r="G77" s="209">
        <v>3</v>
      </c>
    </row>
    <row r="78" spans="1:7" ht="27.75" customHeight="1" x14ac:dyDescent="0.35">
      <c r="A78" s="158" t="s">
        <v>667</v>
      </c>
      <c r="B78" s="33"/>
      <c r="C78" s="157">
        <v>0</v>
      </c>
      <c r="D78" s="173"/>
      <c r="E78" s="173"/>
      <c r="F78" s="172">
        <v>3.4491697107090047E-2</v>
      </c>
      <c r="G78" s="209">
        <v>3</v>
      </c>
    </row>
    <row r="79" spans="1:7" ht="27.75" customHeight="1" x14ac:dyDescent="0.35">
      <c r="A79" s="158" t="s">
        <v>677</v>
      </c>
      <c r="B79" s="33"/>
      <c r="C79" s="171" t="s">
        <v>682</v>
      </c>
      <c r="D79" s="172">
        <v>7.9771087944759358E-2</v>
      </c>
      <c r="E79" s="172">
        <v>9.2633450103604726</v>
      </c>
      <c r="F79" s="172">
        <v>3.4491697107090047E-2</v>
      </c>
      <c r="G79" s="209">
        <v>3</v>
      </c>
    </row>
    <row r="80" spans="1:7" ht="27.75" customHeight="1" x14ac:dyDescent="0.35">
      <c r="A80" s="158" t="s">
        <v>626</v>
      </c>
      <c r="B80" s="33"/>
      <c r="C80" s="157" t="s">
        <v>681</v>
      </c>
      <c r="D80" s="173"/>
      <c r="E80" s="173"/>
      <c r="F80" s="172">
        <v>3.4491697107090047E-2</v>
      </c>
      <c r="G80" s="209">
        <v>3</v>
      </c>
    </row>
    <row r="81" spans="1:7" ht="27.75" customHeight="1" x14ac:dyDescent="0.35">
      <c r="A81" s="158" t="s">
        <v>627</v>
      </c>
      <c r="B81" s="33"/>
      <c r="C81" s="157" t="s">
        <v>681</v>
      </c>
      <c r="D81" s="173"/>
      <c r="E81" s="173"/>
      <c r="F81" s="172">
        <v>3.4491697107090047E-2</v>
      </c>
      <c r="G81" s="209">
        <v>3</v>
      </c>
    </row>
    <row r="82" spans="1:7" ht="27.75" customHeight="1" x14ac:dyDescent="0.35">
      <c r="A82" s="158" t="s">
        <v>628</v>
      </c>
      <c r="B82" s="33"/>
      <c r="C82" s="157" t="s">
        <v>681</v>
      </c>
      <c r="D82" s="173"/>
      <c r="E82" s="173"/>
      <c r="F82" s="172">
        <v>3.4491697107090047E-2</v>
      </c>
      <c r="G82" s="209">
        <v>3</v>
      </c>
    </row>
    <row r="83" spans="1:7" ht="27.75" customHeight="1" x14ac:dyDescent="0.35">
      <c r="A83" s="158" t="s">
        <v>629</v>
      </c>
      <c r="B83" s="33"/>
      <c r="C83" s="157" t="s">
        <v>681</v>
      </c>
      <c r="D83" s="173"/>
      <c r="E83" s="173"/>
      <c r="F83" s="172">
        <v>3.4491697107090047E-2</v>
      </c>
      <c r="G83" s="209">
        <v>3</v>
      </c>
    </row>
    <row r="84" spans="1:7" ht="27.75" customHeight="1" x14ac:dyDescent="0.35">
      <c r="A84" s="158" t="s">
        <v>630</v>
      </c>
      <c r="B84" s="33"/>
      <c r="C84" s="157" t="s">
        <v>681</v>
      </c>
      <c r="D84" s="173"/>
      <c r="E84" s="173"/>
      <c r="F84" s="172">
        <v>3.4491697107090047E-2</v>
      </c>
      <c r="G84" s="209">
        <v>3</v>
      </c>
    </row>
    <row r="85" spans="1:7" ht="27.75" customHeight="1" x14ac:dyDescent="0.35">
      <c r="A85" s="158" t="s">
        <v>631</v>
      </c>
      <c r="B85" s="33"/>
      <c r="C85" s="157">
        <v>0</v>
      </c>
      <c r="D85" s="173"/>
      <c r="E85" s="173"/>
      <c r="F85" s="172">
        <v>3.4491697107090047E-2</v>
      </c>
      <c r="G85" s="209">
        <v>3</v>
      </c>
    </row>
    <row r="86" spans="1:7" ht="27.75" customHeight="1" x14ac:dyDescent="0.35">
      <c r="A86" s="158" t="s">
        <v>632</v>
      </c>
      <c r="B86" s="33"/>
      <c r="C86" s="157">
        <v>0</v>
      </c>
      <c r="D86" s="173"/>
      <c r="E86" s="173"/>
      <c r="F86" s="172">
        <v>3.4491697107090047E-2</v>
      </c>
      <c r="G86" s="209">
        <v>3</v>
      </c>
    </row>
    <row r="87" spans="1:7" ht="27.75" customHeight="1" x14ac:dyDescent="0.35">
      <c r="A87" s="158" t="s">
        <v>633</v>
      </c>
      <c r="B87" s="33"/>
      <c r="C87" s="157">
        <v>0</v>
      </c>
      <c r="D87" s="173"/>
      <c r="E87" s="173"/>
      <c r="F87" s="172">
        <v>3.4491697107090047E-2</v>
      </c>
      <c r="G87" s="209">
        <v>3</v>
      </c>
    </row>
    <row r="88" spans="1:7" ht="27.75" customHeight="1" x14ac:dyDescent="0.35">
      <c r="A88" s="158" t="s">
        <v>634</v>
      </c>
      <c r="B88" s="33"/>
      <c r="C88" s="157">
        <v>0</v>
      </c>
      <c r="D88" s="173"/>
      <c r="E88" s="173"/>
      <c r="F88" s="172">
        <v>3.4491697107090047E-2</v>
      </c>
      <c r="G88" s="209">
        <v>3</v>
      </c>
    </row>
    <row r="89" spans="1:7" ht="27.75" customHeight="1" x14ac:dyDescent="0.35">
      <c r="A89" s="158" t="s">
        <v>635</v>
      </c>
      <c r="B89" s="33"/>
      <c r="C89" s="157">
        <v>0</v>
      </c>
      <c r="D89" s="173"/>
      <c r="E89" s="173"/>
      <c r="F89" s="172">
        <v>3.4491697107090047E-2</v>
      </c>
      <c r="G89" s="209">
        <v>3</v>
      </c>
    </row>
    <row r="90" spans="1:7" ht="27.75" customHeight="1" x14ac:dyDescent="0.35">
      <c r="A90" s="158" t="s">
        <v>636</v>
      </c>
      <c r="B90" s="33"/>
      <c r="C90" s="157">
        <v>0</v>
      </c>
      <c r="D90" s="173"/>
      <c r="E90" s="173"/>
      <c r="F90" s="172">
        <v>3.4491697107090047E-2</v>
      </c>
      <c r="G90" s="209">
        <v>3</v>
      </c>
    </row>
    <row r="91" spans="1:7" ht="27.75" customHeight="1" x14ac:dyDescent="0.35">
      <c r="A91" s="158" t="s">
        <v>637</v>
      </c>
      <c r="B91" s="33"/>
      <c r="C91" s="157">
        <v>0</v>
      </c>
      <c r="D91" s="173"/>
      <c r="E91" s="173"/>
      <c r="F91" s="172">
        <v>3.4491697107090047E-2</v>
      </c>
      <c r="G91" s="209">
        <v>3</v>
      </c>
    </row>
    <row r="92" spans="1:7" ht="27.75" customHeight="1" x14ac:dyDescent="0.35">
      <c r="A92" s="158" t="s">
        <v>638</v>
      </c>
      <c r="B92" s="33"/>
      <c r="C92" s="157">
        <v>0</v>
      </c>
      <c r="D92" s="173"/>
      <c r="E92" s="173"/>
      <c r="F92" s="172">
        <v>3.4491697107090047E-2</v>
      </c>
      <c r="G92" s="209">
        <v>3</v>
      </c>
    </row>
    <row r="93" spans="1:7" ht="27.75" customHeight="1" x14ac:dyDescent="0.35">
      <c r="A93" s="158" t="s">
        <v>639</v>
      </c>
      <c r="B93" s="33"/>
      <c r="C93" s="157">
        <v>0</v>
      </c>
      <c r="D93" s="173"/>
      <c r="E93" s="173"/>
      <c r="F93" s="172">
        <v>3.4491697107090047E-2</v>
      </c>
      <c r="G93" s="209">
        <v>3</v>
      </c>
    </row>
    <row r="94" spans="1:7" ht="27.75" customHeight="1" x14ac:dyDescent="0.35">
      <c r="A94" s="158" t="s">
        <v>640</v>
      </c>
      <c r="B94" s="33"/>
      <c r="C94" s="157">
        <v>0</v>
      </c>
      <c r="D94" s="173"/>
      <c r="E94" s="173"/>
      <c r="F94" s="172">
        <v>3.4491697107090047E-2</v>
      </c>
      <c r="G94" s="209">
        <v>3</v>
      </c>
    </row>
    <row r="95" spans="1:7" ht="27.75" customHeight="1" x14ac:dyDescent="0.35">
      <c r="A95" s="158" t="s">
        <v>641</v>
      </c>
      <c r="B95" s="33"/>
      <c r="C95" s="157">
        <v>0</v>
      </c>
      <c r="D95" s="173"/>
      <c r="E95" s="173"/>
      <c r="F95" s="172">
        <v>3.4491697107090047E-2</v>
      </c>
      <c r="G95" s="209">
        <v>3</v>
      </c>
    </row>
    <row r="96" spans="1:7" ht="27.75" customHeight="1" x14ac:dyDescent="0.35">
      <c r="A96" s="158" t="s">
        <v>642</v>
      </c>
      <c r="B96" s="33"/>
      <c r="C96" s="157">
        <v>0</v>
      </c>
      <c r="D96" s="173"/>
      <c r="E96" s="173"/>
      <c r="F96" s="172">
        <v>3.4491697107090047E-2</v>
      </c>
      <c r="G96" s="209">
        <v>3</v>
      </c>
    </row>
    <row r="97" spans="1:7" ht="27.75" customHeight="1" x14ac:dyDescent="0.35">
      <c r="A97" s="158" t="s">
        <v>643</v>
      </c>
      <c r="B97" s="33"/>
      <c r="C97" s="157">
        <v>0</v>
      </c>
      <c r="D97" s="173"/>
      <c r="E97" s="173"/>
      <c r="F97" s="172">
        <v>3.4491697107090047E-2</v>
      </c>
      <c r="G97" s="209">
        <v>3</v>
      </c>
    </row>
    <row r="98" spans="1:7" ht="27.75" customHeight="1" x14ac:dyDescent="0.35">
      <c r="A98" s="158" t="s">
        <v>644</v>
      </c>
      <c r="B98" s="33"/>
      <c r="C98" s="157">
        <v>0</v>
      </c>
      <c r="D98" s="173"/>
      <c r="E98" s="173"/>
      <c r="F98" s="172">
        <v>3.4491697107090047E-2</v>
      </c>
      <c r="G98" s="209">
        <v>3</v>
      </c>
    </row>
    <row r="99" spans="1:7" ht="27.75" customHeight="1" x14ac:dyDescent="0.35">
      <c r="A99" s="158" t="s">
        <v>645</v>
      </c>
      <c r="B99" s="33"/>
      <c r="C99" s="157">
        <v>0</v>
      </c>
      <c r="D99" s="173"/>
      <c r="E99" s="173"/>
      <c r="F99" s="172">
        <v>3.4491697107090047E-2</v>
      </c>
      <c r="G99" s="209">
        <v>3</v>
      </c>
    </row>
    <row r="100" spans="1:7" ht="27.75" customHeight="1" x14ac:dyDescent="0.35">
      <c r="A100" s="158" t="s">
        <v>678</v>
      </c>
      <c r="B100" s="33"/>
      <c r="C100" s="171" t="s">
        <v>682</v>
      </c>
      <c r="D100" s="172">
        <v>7.9771087944759358E-2</v>
      </c>
      <c r="E100" s="172">
        <v>9.2633450103604726</v>
      </c>
      <c r="F100" s="172">
        <v>3.4491697107090047E-2</v>
      </c>
      <c r="G100" s="209">
        <v>3</v>
      </c>
    </row>
    <row r="101" spans="1:7" ht="27.75" customHeight="1" x14ac:dyDescent="0.35">
      <c r="A101" s="158" t="s">
        <v>604</v>
      </c>
      <c r="B101" s="33"/>
      <c r="C101" s="157" t="s">
        <v>681</v>
      </c>
      <c r="D101" s="173"/>
      <c r="E101" s="173"/>
      <c r="F101" s="172">
        <v>3.4491697107090047E-2</v>
      </c>
      <c r="G101" s="209">
        <v>3</v>
      </c>
    </row>
    <row r="102" spans="1:7" ht="27.75" customHeight="1" x14ac:dyDescent="0.35">
      <c r="A102" s="158" t="s">
        <v>605</v>
      </c>
      <c r="B102" s="33"/>
      <c r="C102" s="157" t="s">
        <v>681</v>
      </c>
      <c r="D102" s="173"/>
      <c r="E102" s="173"/>
      <c r="F102" s="172">
        <v>3.4491697107090047E-2</v>
      </c>
      <c r="G102" s="209">
        <v>3</v>
      </c>
    </row>
    <row r="103" spans="1:7" ht="27.75" customHeight="1" x14ac:dyDescent="0.35">
      <c r="A103" s="158" t="s">
        <v>606</v>
      </c>
      <c r="B103" s="33"/>
      <c r="C103" s="157" t="s">
        <v>681</v>
      </c>
      <c r="D103" s="173"/>
      <c r="E103" s="173"/>
      <c r="F103" s="172">
        <v>3.4491697107090047E-2</v>
      </c>
      <c r="G103" s="209">
        <v>3</v>
      </c>
    </row>
    <row r="104" spans="1:7" ht="27.75" customHeight="1" x14ac:dyDescent="0.35">
      <c r="A104" s="158" t="s">
        <v>607</v>
      </c>
      <c r="B104" s="33"/>
      <c r="C104" s="157" t="s">
        <v>681</v>
      </c>
      <c r="D104" s="173"/>
      <c r="E104" s="173"/>
      <c r="F104" s="172">
        <v>3.4491697107090047E-2</v>
      </c>
      <c r="G104" s="209">
        <v>3</v>
      </c>
    </row>
    <row r="105" spans="1:7" ht="27.75" customHeight="1" x14ac:dyDescent="0.35">
      <c r="A105" s="158" t="s">
        <v>608</v>
      </c>
      <c r="B105" s="33"/>
      <c r="C105" s="157" t="s">
        <v>681</v>
      </c>
      <c r="D105" s="173"/>
      <c r="E105" s="173"/>
      <c r="F105" s="172">
        <v>3.4491697107090047E-2</v>
      </c>
      <c r="G105" s="209">
        <v>3</v>
      </c>
    </row>
    <row r="106" spans="1:7" ht="27.75" customHeight="1" x14ac:dyDescent="0.35">
      <c r="A106" s="158" t="s">
        <v>609</v>
      </c>
      <c r="B106" s="33"/>
      <c r="C106" s="157">
        <v>0</v>
      </c>
      <c r="D106" s="173"/>
      <c r="E106" s="173"/>
      <c r="F106" s="172">
        <v>3.4491697107090047E-2</v>
      </c>
      <c r="G106" s="209">
        <v>3</v>
      </c>
    </row>
    <row r="107" spans="1:7" ht="27.75" customHeight="1" x14ac:dyDescent="0.35">
      <c r="A107" s="158" t="s">
        <v>610</v>
      </c>
      <c r="B107" s="33"/>
      <c r="C107" s="157">
        <v>0</v>
      </c>
      <c r="D107" s="173"/>
      <c r="E107" s="173"/>
      <c r="F107" s="172">
        <v>3.4491697107090047E-2</v>
      </c>
      <c r="G107" s="209">
        <v>3</v>
      </c>
    </row>
    <row r="108" spans="1:7" ht="27.75" customHeight="1" x14ac:dyDescent="0.35">
      <c r="A108" s="158" t="s">
        <v>611</v>
      </c>
      <c r="B108" s="33"/>
      <c r="C108" s="157">
        <v>0</v>
      </c>
      <c r="D108" s="173"/>
      <c r="E108" s="173"/>
      <c r="F108" s="172">
        <v>3.4491697107090047E-2</v>
      </c>
      <c r="G108" s="209">
        <v>4</v>
      </c>
    </row>
    <row r="109" spans="1:7" ht="27.75" customHeight="1" x14ac:dyDescent="0.35">
      <c r="A109" s="158" t="s">
        <v>612</v>
      </c>
      <c r="B109" s="33"/>
      <c r="C109" s="157">
        <v>0</v>
      </c>
      <c r="D109" s="173"/>
      <c r="E109" s="173"/>
      <c r="F109" s="172">
        <v>3.4491697107090047E-2</v>
      </c>
      <c r="G109" s="209">
        <v>4</v>
      </c>
    </row>
    <row r="110" spans="1:7" ht="27.75" customHeight="1" x14ac:dyDescent="0.35">
      <c r="A110" s="158" t="s">
        <v>613</v>
      </c>
      <c r="B110" s="33"/>
      <c r="C110" s="157">
        <v>0</v>
      </c>
      <c r="D110" s="173"/>
      <c r="E110" s="173"/>
      <c r="F110" s="172">
        <v>3.4491697107090047E-2</v>
      </c>
      <c r="G110" s="209">
        <v>4</v>
      </c>
    </row>
    <row r="111" spans="1:7" ht="27.75" customHeight="1" x14ac:dyDescent="0.35">
      <c r="A111" s="158" t="s">
        <v>614</v>
      </c>
      <c r="B111" s="33"/>
      <c r="C111" s="157">
        <v>0</v>
      </c>
      <c r="D111" s="173"/>
      <c r="E111" s="173"/>
      <c r="F111" s="172">
        <v>3.4491697107090047E-2</v>
      </c>
      <c r="G111" s="209">
        <v>4</v>
      </c>
    </row>
    <row r="112" spans="1:7" ht="27.75" customHeight="1" x14ac:dyDescent="0.35">
      <c r="A112" s="158" t="s">
        <v>615</v>
      </c>
      <c r="B112" s="33"/>
      <c r="C112" s="157">
        <v>0</v>
      </c>
      <c r="D112" s="173"/>
      <c r="E112" s="173"/>
      <c r="F112" s="172">
        <v>3.4491697107090047E-2</v>
      </c>
      <c r="G112" s="209">
        <v>4</v>
      </c>
    </row>
    <row r="113" spans="1:7" ht="27.75" customHeight="1" x14ac:dyDescent="0.35">
      <c r="A113" s="158" t="s">
        <v>616</v>
      </c>
      <c r="B113" s="33"/>
      <c r="C113" s="157">
        <v>0</v>
      </c>
      <c r="D113" s="173"/>
      <c r="E113" s="173"/>
      <c r="F113" s="172">
        <v>3.4491697107090047E-2</v>
      </c>
      <c r="G113" s="209">
        <v>4</v>
      </c>
    </row>
    <row r="114" spans="1:7" ht="27.75" customHeight="1" x14ac:dyDescent="0.35">
      <c r="A114" s="158" t="s">
        <v>617</v>
      </c>
      <c r="B114" s="33"/>
      <c r="C114" s="157">
        <v>0</v>
      </c>
      <c r="D114" s="173"/>
      <c r="E114" s="173"/>
      <c r="F114" s="172">
        <v>3.4491697107090047E-2</v>
      </c>
      <c r="G114" s="209">
        <v>4</v>
      </c>
    </row>
    <row r="115" spans="1:7" ht="27.75" customHeight="1" x14ac:dyDescent="0.35">
      <c r="A115" s="158" t="s">
        <v>618</v>
      </c>
      <c r="B115" s="33"/>
      <c r="C115" s="157">
        <v>0</v>
      </c>
      <c r="D115" s="173"/>
      <c r="E115" s="173"/>
      <c r="F115" s="172">
        <v>3.4491697107090047E-2</v>
      </c>
      <c r="G115" s="209">
        <v>4</v>
      </c>
    </row>
    <row r="116" spans="1:7" ht="27.75" customHeight="1" x14ac:dyDescent="0.35">
      <c r="A116" s="158" t="s">
        <v>619</v>
      </c>
      <c r="B116" s="33"/>
      <c r="C116" s="157">
        <v>0</v>
      </c>
      <c r="D116" s="173"/>
      <c r="E116" s="173"/>
      <c r="F116" s="172">
        <v>3.4491697107090047E-2</v>
      </c>
      <c r="G116" s="209">
        <v>4</v>
      </c>
    </row>
    <row r="117" spans="1:7" ht="27.75" customHeight="1" x14ac:dyDescent="0.35">
      <c r="A117" s="158" t="s">
        <v>620</v>
      </c>
      <c r="B117" s="33"/>
      <c r="C117" s="157">
        <v>0</v>
      </c>
      <c r="D117" s="173"/>
      <c r="E117" s="173"/>
      <c r="F117" s="172">
        <v>3.4491697107090047E-2</v>
      </c>
      <c r="G117" s="209">
        <v>4</v>
      </c>
    </row>
    <row r="118" spans="1:7" ht="27.75" customHeight="1" x14ac:dyDescent="0.35">
      <c r="A118" s="158" t="s">
        <v>621</v>
      </c>
      <c r="B118" s="33"/>
      <c r="C118" s="157">
        <v>0</v>
      </c>
      <c r="D118" s="173"/>
      <c r="E118" s="173"/>
      <c r="F118" s="172">
        <v>3.4491697107090047E-2</v>
      </c>
      <c r="G118" s="209">
        <v>4</v>
      </c>
    </row>
    <row r="119" spans="1:7" ht="27.75" customHeight="1" x14ac:dyDescent="0.35">
      <c r="A119" s="158" t="s">
        <v>622</v>
      </c>
      <c r="B119" s="33"/>
      <c r="C119" s="157">
        <v>0</v>
      </c>
      <c r="D119" s="173"/>
      <c r="E119" s="173"/>
      <c r="F119" s="172">
        <v>3.4491697107090047E-2</v>
      </c>
      <c r="G119" s="209">
        <v>4</v>
      </c>
    </row>
    <row r="120" spans="1:7" ht="27.75" customHeight="1" x14ac:dyDescent="0.35">
      <c r="A120" s="158" t="s">
        <v>623</v>
      </c>
      <c r="B120" s="33"/>
      <c r="C120" s="157">
        <v>0</v>
      </c>
      <c r="D120" s="173"/>
      <c r="E120" s="173"/>
      <c r="F120" s="172">
        <v>3.4491697107090047E-2</v>
      </c>
      <c r="G120" s="209">
        <v>4</v>
      </c>
    </row>
    <row r="121" spans="1:7" ht="27.75" customHeight="1" x14ac:dyDescent="0.35">
      <c r="A121" s="158" t="s">
        <v>679</v>
      </c>
      <c r="B121" s="33"/>
      <c r="C121" s="171" t="s">
        <v>682</v>
      </c>
      <c r="D121" s="172">
        <v>7.9771087944759358E-2</v>
      </c>
      <c r="E121" s="172">
        <v>9.2633450103604726</v>
      </c>
      <c r="F121" s="172">
        <v>3.4491697107090047E-2</v>
      </c>
      <c r="G121" s="209">
        <v>4</v>
      </c>
    </row>
    <row r="122" spans="1:7" ht="27.75" customHeight="1" x14ac:dyDescent="0.35">
      <c r="A122" s="158" t="s">
        <v>582</v>
      </c>
      <c r="B122" s="33"/>
      <c r="C122" s="157" t="s">
        <v>681</v>
      </c>
      <c r="D122" s="173"/>
      <c r="E122" s="173"/>
      <c r="F122" s="172">
        <v>3.4491697107090047E-2</v>
      </c>
      <c r="G122" s="209">
        <v>4</v>
      </c>
    </row>
    <row r="123" spans="1:7" ht="27.75" customHeight="1" x14ac:dyDescent="0.35">
      <c r="A123" s="158" t="s">
        <v>583</v>
      </c>
      <c r="B123" s="33"/>
      <c r="C123" s="157" t="s">
        <v>681</v>
      </c>
      <c r="D123" s="173"/>
      <c r="E123" s="173"/>
      <c r="F123" s="172">
        <v>3.4491697107090047E-2</v>
      </c>
      <c r="G123" s="209">
        <v>4</v>
      </c>
    </row>
    <row r="124" spans="1:7" ht="27.75" customHeight="1" x14ac:dyDescent="0.35">
      <c r="A124" s="158" t="s">
        <v>584</v>
      </c>
      <c r="B124" s="33"/>
      <c r="C124" s="157" t="s">
        <v>681</v>
      </c>
      <c r="D124" s="173"/>
      <c r="E124" s="173"/>
      <c r="F124" s="172">
        <v>3.4491697107090047E-2</v>
      </c>
      <c r="G124" s="209">
        <v>4</v>
      </c>
    </row>
    <row r="125" spans="1:7" ht="27.75" customHeight="1" x14ac:dyDescent="0.35">
      <c r="A125" s="158" t="s">
        <v>585</v>
      </c>
      <c r="B125" s="33"/>
      <c r="C125" s="157" t="s">
        <v>681</v>
      </c>
      <c r="D125" s="173"/>
      <c r="E125" s="173"/>
      <c r="F125" s="172">
        <v>3.4491697107090047E-2</v>
      </c>
      <c r="G125" s="209">
        <v>4</v>
      </c>
    </row>
    <row r="126" spans="1:7" ht="27.75" customHeight="1" x14ac:dyDescent="0.35">
      <c r="A126" s="158" t="s">
        <v>586</v>
      </c>
      <c r="B126" s="33"/>
      <c r="C126" s="157" t="s">
        <v>681</v>
      </c>
      <c r="D126" s="173"/>
      <c r="E126" s="173"/>
      <c r="F126" s="172">
        <v>3.4491697107090047E-2</v>
      </c>
      <c r="G126" s="209">
        <v>4</v>
      </c>
    </row>
    <row r="127" spans="1:7" ht="27.75" customHeight="1" x14ac:dyDescent="0.35">
      <c r="A127" s="158" t="s">
        <v>587</v>
      </c>
      <c r="B127" s="33"/>
      <c r="C127" s="157">
        <v>0</v>
      </c>
      <c r="D127" s="173"/>
      <c r="E127" s="173"/>
      <c r="F127" s="172">
        <v>3.4491697107090047E-2</v>
      </c>
      <c r="G127" s="209">
        <v>4</v>
      </c>
    </row>
    <row r="128" spans="1:7" ht="27.75" customHeight="1" x14ac:dyDescent="0.35">
      <c r="A128" s="158" t="s">
        <v>588</v>
      </c>
      <c r="B128" s="33"/>
      <c r="C128" s="157">
        <v>0</v>
      </c>
      <c r="D128" s="173"/>
      <c r="E128" s="173"/>
      <c r="F128" s="172">
        <v>3.4491697107090047E-2</v>
      </c>
      <c r="G128" s="209">
        <v>4</v>
      </c>
    </row>
    <row r="129" spans="1:7" ht="27.75" customHeight="1" x14ac:dyDescent="0.35">
      <c r="A129" s="158" t="s">
        <v>589</v>
      </c>
      <c r="B129" s="33"/>
      <c r="C129" s="157">
        <v>0</v>
      </c>
      <c r="D129" s="173"/>
      <c r="E129" s="173"/>
      <c r="F129" s="172">
        <v>3.4491697107090047E-2</v>
      </c>
      <c r="G129" s="209">
        <v>4</v>
      </c>
    </row>
    <row r="130" spans="1:7" ht="27.75" customHeight="1" x14ac:dyDescent="0.35">
      <c r="A130" s="158" t="s">
        <v>590</v>
      </c>
      <c r="B130" s="33"/>
      <c r="C130" s="157">
        <v>0</v>
      </c>
      <c r="D130" s="173"/>
      <c r="E130" s="173"/>
      <c r="F130" s="172">
        <v>3.4491697107090047E-2</v>
      </c>
      <c r="G130" s="209">
        <v>4</v>
      </c>
    </row>
    <row r="131" spans="1:7" ht="27.75" customHeight="1" x14ac:dyDescent="0.35">
      <c r="A131" s="158" t="s">
        <v>591</v>
      </c>
      <c r="B131" s="33"/>
      <c r="C131" s="157">
        <v>0</v>
      </c>
      <c r="D131" s="173"/>
      <c r="E131" s="173"/>
      <c r="F131" s="172">
        <v>3.4491697107090047E-2</v>
      </c>
      <c r="G131" s="209">
        <v>4</v>
      </c>
    </row>
    <row r="132" spans="1:7" ht="27.75" customHeight="1" x14ac:dyDescent="0.35">
      <c r="A132" s="158" t="s">
        <v>592</v>
      </c>
      <c r="B132" s="33"/>
      <c r="C132" s="157">
        <v>0</v>
      </c>
      <c r="D132" s="173"/>
      <c r="E132" s="173"/>
      <c r="F132" s="172">
        <v>3.4491697107090047E-2</v>
      </c>
      <c r="G132" s="209">
        <v>4</v>
      </c>
    </row>
    <row r="133" spans="1:7" ht="27.75" customHeight="1" x14ac:dyDescent="0.35">
      <c r="A133" s="158" t="s">
        <v>593</v>
      </c>
      <c r="B133" s="33"/>
      <c r="C133" s="157">
        <v>0</v>
      </c>
      <c r="D133" s="173"/>
      <c r="E133" s="173"/>
      <c r="F133" s="172">
        <v>3.4491697107090047E-2</v>
      </c>
      <c r="G133" s="209">
        <v>4</v>
      </c>
    </row>
    <row r="134" spans="1:7" ht="27.75" customHeight="1" x14ac:dyDescent="0.35">
      <c r="A134" s="158" t="s">
        <v>594</v>
      </c>
      <c r="B134" s="33"/>
      <c r="C134" s="157">
        <v>0</v>
      </c>
      <c r="D134" s="173"/>
      <c r="E134" s="173"/>
      <c r="F134" s="172">
        <v>3.4491697107090047E-2</v>
      </c>
      <c r="G134" s="209">
        <v>4</v>
      </c>
    </row>
    <row r="135" spans="1:7" ht="27.75" customHeight="1" x14ac:dyDescent="0.35">
      <c r="A135" s="158" t="s">
        <v>595</v>
      </c>
      <c r="B135" s="33"/>
      <c r="C135" s="157">
        <v>0</v>
      </c>
      <c r="D135" s="173"/>
      <c r="E135" s="173"/>
      <c r="F135" s="172">
        <v>3.4491697107090047E-2</v>
      </c>
      <c r="G135" s="209">
        <v>4</v>
      </c>
    </row>
    <row r="136" spans="1:7" ht="27.75" customHeight="1" x14ac:dyDescent="0.35">
      <c r="A136" s="158" t="s">
        <v>596</v>
      </c>
      <c r="B136" s="33"/>
      <c r="C136" s="157">
        <v>0</v>
      </c>
      <c r="D136" s="173"/>
      <c r="E136" s="173"/>
      <c r="F136" s="172">
        <v>3.4491697107090047E-2</v>
      </c>
      <c r="G136" s="209">
        <v>4</v>
      </c>
    </row>
    <row r="137" spans="1:7" ht="27.75" customHeight="1" x14ac:dyDescent="0.35">
      <c r="A137" s="158" t="s">
        <v>597</v>
      </c>
      <c r="B137" s="33"/>
      <c r="C137" s="157">
        <v>0</v>
      </c>
      <c r="D137" s="173"/>
      <c r="E137" s="173"/>
      <c r="F137" s="172">
        <v>3.4491697107090047E-2</v>
      </c>
      <c r="G137" s="209">
        <v>4</v>
      </c>
    </row>
    <row r="138" spans="1:7" ht="27.75" customHeight="1" x14ac:dyDescent="0.35">
      <c r="A138" s="158" t="s">
        <v>598</v>
      </c>
      <c r="B138" s="33"/>
      <c r="C138" s="157">
        <v>0</v>
      </c>
      <c r="D138" s="173"/>
      <c r="E138" s="173"/>
      <c r="F138" s="172">
        <v>3.4491697107090047E-2</v>
      </c>
      <c r="G138" s="209">
        <v>4</v>
      </c>
    </row>
    <row r="139" spans="1:7" ht="27.75" customHeight="1" x14ac:dyDescent="0.35">
      <c r="A139" s="158" t="s">
        <v>599</v>
      </c>
      <c r="B139" s="33"/>
      <c r="C139" s="157">
        <v>0</v>
      </c>
      <c r="D139" s="173"/>
      <c r="E139" s="173"/>
      <c r="F139" s="172">
        <v>3.4491697107090047E-2</v>
      </c>
      <c r="G139" s="209">
        <v>4</v>
      </c>
    </row>
    <row r="140" spans="1:7" ht="27.75" customHeight="1" x14ac:dyDescent="0.35">
      <c r="A140" s="158" t="s">
        <v>600</v>
      </c>
      <c r="B140" s="33"/>
      <c r="C140" s="157">
        <v>0</v>
      </c>
      <c r="D140" s="173"/>
      <c r="E140" s="173"/>
      <c r="F140" s="172">
        <v>3.4491697107090047E-2</v>
      </c>
      <c r="G140" s="209">
        <v>4</v>
      </c>
    </row>
    <row r="141" spans="1:7" ht="27.75" customHeight="1" x14ac:dyDescent="0.35">
      <c r="A141" s="158" t="s">
        <v>601</v>
      </c>
      <c r="B141" s="33"/>
      <c r="C141" s="157">
        <v>0</v>
      </c>
      <c r="D141" s="173"/>
      <c r="E141" s="173"/>
      <c r="F141" s="172">
        <v>3.4491697107090047E-2</v>
      </c>
      <c r="G141" s="209">
        <v>4</v>
      </c>
    </row>
    <row r="142" spans="1:7" ht="27.75" customHeight="1" x14ac:dyDescent="0.35">
      <c r="A142" s="158" t="s">
        <v>680</v>
      </c>
      <c r="B142" s="33"/>
      <c r="C142" s="171" t="s">
        <v>682</v>
      </c>
      <c r="D142" s="172">
        <v>7.9771087944759358E-2</v>
      </c>
      <c r="E142" s="172">
        <v>9.2633450103604726</v>
      </c>
      <c r="F142" s="172">
        <v>3.4491697107090047E-2</v>
      </c>
      <c r="G142" s="209">
        <v>4</v>
      </c>
    </row>
    <row r="143" spans="1:7" ht="27.75" customHeight="1" x14ac:dyDescent="0.35">
      <c r="A143" s="158" t="s">
        <v>560</v>
      </c>
      <c r="B143" s="33"/>
      <c r="C143" s="157" t="s">
        <v>681</v>
      </c>
      <c r="D143" s="173"/>
      <c r="E143" s="173"/>
      <c r="F143" s="172">
        <v>3.4491697107090047E-2</v>
      </c>
      <c r="G143" s="209">
        <v>5</v>
      </c>
    </row>
    <row r="144" spans="1:7" ht="27.75" customHeight="1" x14ac:dyDescent="0.35">
      <c r="A144" s="158" t="s">
        <v>561</v>
      </c>
      <c r="B144" s="33"/>
      <c r="C144" s="157" t="s">
        <v>681</v>
      </c>
      <c r="D144" s="173"/>
      <c r="E144" s="173"/>
      <c r="F144" s="172">
        <v>3.4491697107090047E-2</v>
      </c>
      <c r="G144" s="209">
        <v>5</v>
      </c>
    </row>
    <row r="145" spans="1:7" ht="27.75" customHeight="1" x14ac:dyDescent="0.35">
      <c r="A145" s="158" t="s">
        <v>562</v>
      </c>
      <c r="B145" s="33"/>
      <c r="C145" s="157" t="s">
        <v>681</v>
      </c>
      <c r="D145" s="173"/>
      <c r="E145" s="173"/>
      <c r="F145" s="172">
        <v>3.4491697107090047E-2</v>
      </c>
      <c r="G145" s="209">
        <v>5</v>
      </c>
    </row>
    <row r="146" spans="1:7" ht="27.75" customHeight="1" x14ac:dyDescent="0.35">
      <c r="A146" s="158" t="s">
        <v>563</v>
      </c>
      <c r="B146" s="33"/>
      <c r="C146" s="157" t="s">
        <v>681</v>
      </c>
      <c r="D146" s="173"/>
      <c r="E146" s="173"/>
      <c r="F146" s="172">
        <v>3.4491697107090047E-2</v>
      </c>
      <c r="G146" s="209">
        <v>5</v>
      </c>
    </row>
    <row r="147" spans="1:7" ht="27.75" customHeight="1" x14ac:dyDescent="0.35">
      <c r="A147" s="158" t="s">
        <v>564</v>
      </c>
      <c r="B147" s="33"/>
      <c r="C147" s="157" t="s">
        <v>681</v>
      </c>
      <c r="D147" s="173"/>
      <c r="E147" s="173"/>
      <c r="F147" s="172">
        <v>3.4491697107090047E-2</v>
      </c>
      <c r="G147" s="209">
        <v>5</v>
      </c>
    </row>
    <row r="148" spans="1:7" ht="27.75" customHeight="1" x14ac:dyDescent="0.35">
      <c r="A148" s="158" t="s">
        <v>565</v>
      </c>
      <c r="B148" s="33"/>
      <c r="C148" s="157">
        <v>0</v>
      </c>
      <c r="D148" s="173"/>
      <c r="E148" s="173"/>
      <c r="F148" s="172">
        <v>3.4491697107090047E-2</v>
      </c>
      <c r="G148" s="209">
        <v>5</v>
      </c>
    </row>
    <row r="149" spans="1:7" ht="27.75" customHeight="1" x14ac:dyDescent="0.35">
      <c r="A149" s="158" t="s">
        <v>566</v>
      </c>
      <c r="B149" s="33"/>
      <c r="C149" s="157">
        <v>0</v>
      </c>
      <c r="D149" s="173"/>
      <c r="E149" s="173"/>
      <c r="F149" s="172">
        <v>3.4491697107090047E-2</v>
      </c>
      <c r="G149" s="209">
        <v>5</v>
      </c>
    </row>
    <row r="150" spans="1:7" ht="27.75" customHeight="1" x14ac:dyDescent="0.35">
      <c r="A150" s="158" t="s">
        <v>567</v>
      </c>
      <c r="B150" s="33"/>
      <c r="C150" s="157">
        <v>0</v>
      </c>
      <c r="D150" s="173"/>
      <c r="E150" s="173"/>
      <c r="F150" s="172">
        <v>3.4491697107090047E-2</v>
      </c>
      <c r="G150" s="209">
        <v>5</v>
      </c>
    </row>
    <row r="151" spans="1:7" ht="27.75" customHeight="1" x14ac:dyDescent="0.35">
      <c r="A151" s="158" t="s">
        <v>568</v>
      </c>
      <c r="B151" s="33"/>
      <c r="C151" s="157">
        <v>0</v>
      </c>
      <c r="D151" s="173"/>
      <c r="E151" s="173"/>
      <c r="F151" s="172">
        <v>3.4491697107090047E-2</v>
      </c>
      <c r="G151" s="209">
        <v>5</v>
      </c>
    </row>
    <row r="152" spans="1:7" ht="27.75" customHeight="1" x14ac:dyDescent="0.35">
      <c r="A152" s="158" t="s">
        <v>569</v>
      </c>
      <c r="B152" s="33"/>
      <c r="C152" s="157">
        <v>0</v>
      </c>
      <c r="D152" s="173"/>
      <c r="E152" s="173"/>
      <c r="F152" s="172">
        <v>3.4491697107090047E-2</v>
      </c>
      <c r="G152" s="209">
        <v>5</v>
      </c>
    </row>
    <row r="153" spans="1:7" ht="27.75" customHeight="1" x14ac:dyDescent="0.35">
      <c r="A153" s="158" t="s">
        <v>570</v>
      </c>
      <c r="B153" s="33"/>
      <c r="C153" s="157">
        <v>0</v>
      </c>
      <c r="D153" s="173"/>
      <c r="E153" s="173"/>
      <c r="F153" s="172">
        <v>3.4491697107090047E-2</v>
      </c>
      <c r="G153" s="209">
        <v>5</v>
      </c>
    </row>
    <row r="154" spans="1:7" ht="27.75" customHeight="1" x14ac:dyDescent="0.35">
      <c r="A154" s="158" t="s">
        <v>571</v>
      </c>
      <c r="B154" s="33"/>
      <c r="C154" s="157">
        <v>0</v>
      </c>
      <c r="D154" s="173"/>
      <c r="E154" s="173"/>
      <c r="F154" s="172">
        <v>3.4491697107090047E-2</v>
      </c>
      <c r="G154" s="209">
        <v>5</v>
      </c>
    </row>
    <row r="155" spans="1:7" ht="27.75" customHeight="1" x14ac:dyDescent="0.35">
      <c r="A155" s="158" t="s">
        <v>572</v>
      </c>
      <c r="B155" s="33"/>
      <c r="C155" s="157">
        <v>0</v>
      </c>
      <c r="D155" s="173"/>
      <c r="E155" s="173"/>
      <c r="F155" s="172">
        <v>3.4491697107090047E-2</v>
      </c>
      <c r="G155" s="209">
        <v>5</v>
      </c>
    </row>
    <row r="156" spans="1:7" ht="27.75" customHeight="1" x14ac:dyDescent="0.35">
      <c r="A156" s="158" t="s">
        <v>573</v>
      </c>
      <c r="B156" s="33"/>
      <c r="C156" s="157">
        <v>0</v>
      </c>
      <c r="D156" s="173"/>
      <c r="E156" s="173"/>
      <c r="F156" s="172">
        <v>3.4491697107090047E-2</v>
      </c>
      <c r="G156" s="209">
        <v>5</v>
      </c>
    </row>
    <row r="157" spans="1:7" ht="27.75" customHeight="1" x14ac:dyDescent="0.35">
      <c r="A157" s="158" t="s">
        <v>574</v>
      </c>
      <c r="B157" s="33"/>
      <c r="C157" s="157">
        <v>0</v>
      </c>
      <c r="D157" s="173"/>
      <c r="E157" s="173"/>
      <c r="F157" s="172">
        <v>3.4491697107090047E-2</v>
      </c>
      <c r="G157" s="209">
        <v>5</v>
      </c>
    </row>
    <row r="158" spans="1:7" ht="27.75" customHeight="1" x14ac:dyDescent="0.35">
      <c r="A158" s="158" t="s">
        <v>575</v>
      </c>
      <c r="B158" s="33"/>
      <c r="C158" s="157">
        <v>0</v>
      </c>
      <c r="D158" s="173"/>
      <c r="E158" s="173"/>
      <c r="F158" s="172">
        <v>3.4491697107090047E-2</v>
      </c>
      <c r="G158" s="209">
        <v>5</v>
      </c>
    </row>
    <row r="159" spans="1:7" ht="27.75" customHeight="1" x14ac:dyDescent="0.35">
      <c r="A159" s="158" t="s">
        <v>576</v>
      </c>
      <c r="B159" s="33"/>
      <c r="C159" s="157">
        <v>0</v>
      </c>
      <c r="D159" s="173"/>
      <c r="E159" s="173"/>
      <c r="F159" s="172">
        <v>3.4491697107090047E-2</v>
      </c>
      <c r="G159" s="209">
        <v>5</v>
      </c>
    </row>
    <row r="160" spans="1:7" ht="27.75" customHeight="1" x14ac:dyDescent="0.35">
      <c r="A160" s="158" t="s">
        <v>577</v>
      </c>
      <c r="B160" s="33"/>
      <c r="C160" s="157">
        <v>0</v>
      </c>
      <c r="D160" s="173"/>
      <c r="E160" s="173"/>
      <c r="F160" s="172">
        <v>3.4491697107090047E-2</v>
      </c>
      <c r="G160" s="209">
        <v>5</v>
      </c>
    </row>
    <row r="161" spans="1:7" ht="27.75" customHeight="1" x14ac:dyDescent="0.35">
      <c r="A161" s="158" t="s">
        <v>578</v>
      </c>
      <c r="B161" s="33"/>
      <c r="C161" s="157">
        <v>0</v>
      </c>
      <c r="D161" s="173"/>
      <c r="E161" s="173"/>
      <c r="F161" s="172">
        <v>3.4491697107090047E-2</v>
      </c>
      <c r="G161" s="209">
        <v>5</v>
      </c>
    </row>
    <row r="162" spans="1:7" ht="27.75" customHeight="1" x14ac:dyDescent="0.35">
      <c r="A162" s="158" t="s">
        <v>579</v>
      </c>
      <c r="B162" s="33"/>
      <c r="C162" s="157">
        <v>0</v>
      </c>
      <c r="D162" s="173"/>
      <c r="E162" s="173"/>
      <c r="F162" s="172">
        <v>3.4491697107090047E-2</v>
      </c>
      <c r="G162" s="209">
        <v>5</v>
      </c>
    </row>
    <row r="163" spans="1:7" ht="27.75" customHeight="1" x14ac:dyDescent="0.35">
      <c r="A163" s="2" t="s">
        <v>494</v>
      </c>
      <c r="B163" s="2"/>
      <c r="C163" s="3"/>
      <c r="G163" s="209">
        <v>5</v>
      </c>
    </row>
    <row r="164" spans="1:7" ht="27.75" customHeight="1" x14ac:dyDescent="0.35">
      <c r="A164" s="2" t="s">
        <v>495</v>
      </c>
      <c r="B164" s="2"/>
      <c r="C164" s="3"/>
      <c r="G164" s="209">
        <v>5</v>
      </c>
    </row>
    <row r="165" spans="1:7" ht="27.75" customHeight="1" x14ac:dyDescent="0.35">
      <c r="A165" s="2" t="s">
        <v>496</v>
      </c>
      <c r="B165" s="2"/>
      <c r="C165" s="3"/>
      <c r="G165" s="209">
        <v>5</v>
      </c>
    </row>
  </sheetData>
  <autoFilter ref="G4:H165" xr:uid="{D0BD75CF-A0A4-4E81-AF21-B54ACE4ADF14}"/>
  <mergeCells count="2">
    <mergeCell ref="A2:F2"/>
    <mergeCell ref="B1:C1"/>
  </mergeCells>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77" fitToHeight="10" orientation="portrait" r:id="rId1"/>
  <headerFooter scaleWithDoc="0">
    <oddHeader>&amp;L&amp;"Arial,Bold"
&amp;"Arial,Regular"Annex 7&amp;"Arial,Bold" &amp;"Arial,Regular"- Schedule of Charges to recover Excess Supplier of Last Resort pass-through costs</oddHeader>
    <oddFooter>&amp;R&amp;P of &amp;N&amp;C&amp;1#&amp;"Calibri"&amp;12&amp;K008000Internal Use</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458"/>
  <sheetViews>
    <sheetView zoomScale="85" zoomScaleNormal="85" workbookViewId="0"/>
  </sheetViews>
  <sheetFormatPr defaultColWidth="9.1328125" defaultRowHeight="27.75" customHeight="1" x14ac:dyDescent="0.35"/>
  <cols>
    <col min="1" max="1" width="29.86328125" style="2" customWidth="1"/>
    <col min="2" max="2" width="48.59765625" style="2" customWidth="1"/>
    <col min="3" max="4" width="23.73046875" style="3" customWidth="1"/>
    <col min="5" max="5" width="15.59765625" style="2" customWidth="1"/>
    <col min="6" max="16384" width="9.1328125" style="2"/>
  </cols>
  <sheetData>
    <row r="1" spans="1:7" ht="27.75" customHeight="1" x14ac:dyDescent="0.35">
      <c r="A1" s="15" t="s">
        <v>24</v>
      </c>
      <c r="B1" s="3"/>
      <c r="C1" s="2"/>
      <c r="E1" s="10"/>
      <c r="F1" s="4"/>
      <c r="G1" s="4"/>
    </row>
    <row r="2" spans="1:7" s="11" customFormat="1" ht="22.5" customHeight="1" x14ac:dyDescent="0.35">
      <c r="A2" s="246" t="str">
        <f>Overview!B4&amp; " - Effective from "&amp;Overview!D4&amp;" - "&amp;Overview!E4&amp;" Nodal/Zonal charges"</f>
        <v>SP Distribution - Effective from 1 April 2022 - Final Nodal/Zonal charges</v>
      </c>
      <c r="B2" s="247"/>
      <c r="C2" s="247"/>
      <c r="D2" s="248"/>
    </row>
    <row r="3" spans="1:7" ht="60.75" customHeight="1" x14ac:dyDescent="0.35">
      <c r="A3" s="20" t="s">
        <v>71</v>
      </c>
      <c r="B3" s="20" t="s">
        <v>1</v>
      </c>
      <c r="C3" s="20" t="s">
        <v>39</v>
      </c>
      <c r="D3" s="20" t="s">
        <v>40</v>
      </c>
    </row>
    <row r="4" spans="1:7" ht="21.75" customHeight="1" x14ac:dyDescent="0.35">
      <c r="A4" s="7" t="s">
        <v>912</v>
      </c>
      <c r="B4" s="8">
        <v>2</v>
      </c>
      <c r="C4" s="8"/>
      <c r="D4" s="208">
        <v>0</v>
      </c>
    </row>
    <row r="5" spans="1:7" ht="21.75" customHeight="1" x14ac:dyDescent="0.35">
      <c r="A5" s="7" t="s">
        <v>913</v>
      </c>
      <c r="B5" s="8">
        <v>2</v>
      </c>
      <c r="C5" s="8"/>
      <c r="D5" s="208">
        <v>0</v>
      </c>
    </row>
    <row r="6" spans="1:7" ht="21.75" customHeight="1" x14ac:dyDescent="0.35">
      <c r="A6" s="7" t="s">
        <v>914</v>
      </c>
      <c r="B6" s="8">
        <v>2</v>
      </c>
      <c r="C6" s="8"/>
      <c r="D6" s="208">
        <v>0</v>
      </c>
    </row>
    <row r="7" spans="1:7" ht="21.75" customHeight="1" x14ac:dyDescent="0.35">
      <c r="A7" s="7" t="s">
        <v>915</v>
      </c>
      <c r="B7" s="8">
        <v>2</v>
      </c>
      <c r="C7" s="8"/>
      <c r="D7" s="208">
        <v>0</v>
      </c>
    </row>
    <row r="8" spans="1:7" ht="21.75" customHeight="1" x14ac:dyDescent="0.35">
      <c r="A8" s="7" t="s">
        <v>916</v>
      </c>
      <c r="B8" s="8">
        <v>2</v>
      </c>
      <c r="C8" s="8"/>
      <c r="D8" s="208">
        <v>5.6164102044149299E-3</v>
      </c>
    </row>
    <row r="9" spans="1:7" ht="21.75" customHeight="1" x14ac:dyDescent="0.35">
      <c r="A9" s="7" t="s">
        <v>917</v>
      </c>
      <c r="B9" s="8">
        <v>2</v>
      </c>
      <c r="C9" s="8"/>
      <c r="D9" s="208">
        <v>0</v>
      </c>
    </row>
    <row r="10" spans="1:7" ht="21.75" customHeight="1" x14ac:dyDescent="0.35">
      <c r="A10" s="7" t="s">
        <v>918</v>
      </c>
      <c r="B10" s="8">
        <v>2</v>
      </c>
      <c r="C10" s="8"/>
      <c r="D10" s="208">
        <v>0</v>
      </c>
    </row>
    <row r="11" spans="1:7" ht="21.75" customHeight="1" x14ac:dyDescent="0.35">
      <c r="A11" s="7" t="s">
        <v>919</v>
      </c>
      <c r="B11" s="8">
        <v>2</v>
      </c>
      <c r="C11" s="8"/>
      <c r="D11" s="208">
        <v>0</v>
      </c>
    </row>
    <row r="12" spans="1:7" ht="21.75" customHeight="1" x14ac:dyDescent="0.35">
      <c r="A12" s="7" t="s">
        <v>920</v>
      </c>
      <c r="B12" s="8">
        <v>2</v>
      </c>
      <c r="C12" s="8"/>
      <c r="D12" s="208">
        <v>0</v>
      </c>
    </row>
    <row r="13" spans="1:7" ht="21.75" customHeight="1" x14ac:dyDescent="0.35">
      <c r="A13" s="7" t="s">
        <v>921</v>
      </c>
      <c r="B13" s="8">
        <v>2</v>
      </c>
      <c r="C13" s="8"/>
      <c r="D13" s="208">
        <v>0</v>
      </c>
    </row>
    <row r="14" spans="1:7" ht="21.75" customHeight="1" x14ac:dyDescent="0.35">
      <c r="A14" s="7" t="s">
        <v>922</v>
      </c>
      <c r="B14" s="8">
        <v>2</v>
      </c>
      <c r="C14" s="8"/>
      <c r="D14" s="208">
        <v>0</v>
      </c>
    </row>
    <row r="15" spans="1:7" ht="21.75" customHeight="1" x14ac:dyDescent="0.35">
      <c r="A15" s="7" t="s">
        <v>923</v>
      </c>
      <c r="B15" s="8">
        <v>2</v>
      </c>
      <c r="C15" s="8"/>
      <c r="D15" s="208">
        <v>0</v>
      </c>
    </row>
    <row r="16" spans="1:7" ht="21.75" customHeight="1" x14ac:dyDescent="0.35">
      <c r="A16" s="7" t="s">
        <v>924</v>
      </c>
      <c r="B16" s="8">
        <v>2</v>
      </c>
      <c r="C16" s="8"/>
      <c r="D16" s="208">
        <v>0</v>
      </c>
    </row>
    <row r="17" spans="1:4" ht="21.75" customHeight="1" x14ac:dyDescent="0.35">
      <c r="A17" s="7" t="s">
        <v>925</v>
      </c>
      <c r="B17" s="8">
        <v>2</v>
      </c>
      <c r="C17" s="8"/>
      <c r="D17" s="208">
        <v>0</v>
      </c>
    </row>
    <row r="18" spans="1:4" ht="21.75" customHeight="1" x14ac:dyDescent="0.35">
      <c r="A18" s="7" t="s">
        <v>926</v>
      </c>
      <c r="B18" s="8">
        <v>2</v>
      </c>
      <c r="C18" s="8"/>
      <c r="D18" s="208">
        <v>0</v>
      </c>
    </row>
    <row r="19" spans="1:4" ht="21.75" customHeight="1" x14ac:dyDescent="0.35">
      <c r="A19" s="7" t="s">
        <v>927</v>
      </c>
      <c r="B19" s="8">
        <v>2</v>
      </c>
      <c r="C19" s="8"/>
      <c r="D19" s="208">
        <v>8.4407716405276005</v>
      </c>
    </row>
    <row r="20" spans="1:4" ht="21.75" customHeight="1" x14ac:dyDescent="0.35">
      <c r="A20" s="7" t="s">
        <v>928</v>
      </c>
      <c r="B20" s="8">
        <v>2</v>
      </c>
      <c r="C20" s="8"/>
      <c r="D20" s="208">
        <v>0</v>
      </c>
    </row>
    <row r="21" spans="1:4" ht="21.75" customHeight="1" x14ac:dyDescent="0.35">
      <c r="A21" s="7" t="s">
        <v>929</v>
      </c>
      <c r="B21" s="8">
        <v>2</v>
      </c>
      <c r="C21" s="8"/>
      <c r="D21" s="208">
        <v>0</v>
      </c>
    </row>
    <row r="22" spans="1:4" ht="21.75" customHeight="1" x14ac:dyDescent="0.35">
      <c r="A22" s="7" t="s">
        <v>930</v>
      </c>
      <c r="B22" s="8">
        <v>2</v>
      </c>
      <c r="C22" s="8"/>
      <c r="D22" s="208">
        <v>0</v>
      </c>
    </row>
    <row r="23" spans="1:4" ht="21.75" customHeight="1" x14ac:dyDescent="0.35">
      <c r="A23" s="7" t="s">
        <v>931</v>
      </c>
      <c r="B23" s="8">
        <v>2</v>
      </c>
      <c r="C23" s="8"/>
      <c r="D23" s="208">
        <v>2.8118085678250102</v>
      </c>
    </row>
    <row r="24" spans="1:4" ht="21.75" customHeight="1" x14ac:dyDescent="0.35">
      <c r="A24" s="7" t="s">
        <v>932</v>
      </c>
      <c r="B24" s="8">
        <v>2</v>
      </c>
      <c r="C24" s="8"/>
      <c r="D24" s="208">
        <v>0</v>
      </c>
    </row>
    <row r="25" spans="1:4" ht="21.75" customHeight="1" x14ac:dyDescent="0.35">
      <c r="A25" s="7" t="s">
        <v>933</v>
      </c>
      <c r="B25" s="8">
        <v>2</v>
      </c>
      <c r="C25" s="8"/>
      <c r="D25" s="208">
        <v>0.51832095753266305</v>
      </c>
    </row>
    <row r="26" spans="1:4" ht="21.75" customHeight="1" x14ac:dyDescent="0.35">
      <c r="A26" s="7" t="s">
        <v>934</v>
      </c>
      <c r="B26" s="8">
        <v>2</v>
      </c>
      <c r="C26" s="8"/>
      <c r="D26" s="208">
        <v>0</v>
      </c>
    </row>
    <row r="27" spans="1:4" ht="27.75" customHeight="1" x14ac:dyDescent="0.35">
      <c r="A27" s="7" t="s">
        <v>935</v>
      </c>
      <c r="B27" s="8">
        <v>2</v>
      </c>
      <c r="C27" s="8"/>
      <c r="D27" s="208">
        <v>0</v>
      </c>
    </row>
    <row r="28" spans="1:4" ht="27.75" customHeight="1" x14ac:dyDescent="0.35">
      <c r="A28" s="7" t="s">
        <v>936</v>
      </c>
      <c r="B28" s="8">
        <v>2</v>
      </c>
      <c r="C28" s="8"/>
      <c r="D28" s="208">
        <v>0</v>
      </c>
    </row>
    <row r="29" spans="1:4" ht="27.75" customHeight="1" x14ac:dyDescent="0.35">
      <c r="A29" s="7" t="s">
        <v>937</v>
      </c>
      <c r="B29" s="8">
        <v>2</v>
      </c>
      <c r="C29" s="8"/>
      <c r="D29" s="208">
        <v>0</v>
      </c>
    </row>
    <row r="30" spans="1:4" ht="27.75" customHeight="1" x14ac:dyDescent="0.35">
      <c r="A30" s="7" t="s">
        <v>938</v>
      </c>
      <c r="B30" s="8">
        <v>2</v>
      </c>
      <c r="C30" s="8"/>
      <c r="D30" s="208">
        <v>0</v>
      </c>
    </row>
    <row r="31" spans="1:4" ht="27.75" customHeight="1" x14ac:dyDescent="0.35">
      <c r="A31" s="7" t="s">
        <v>939</v>
      </c>
      <c r="B31" s="8">
        <v>2</v>
      </c>
      <c r="C31" s="8"/>
      <c r="D31" s="208">
        <v>0</v>
      </c>
    </row>
    <row r="32" spans="1:4" ht="27.75" customHeight="1" x14ac:dyDescent="0.35">
      <c r="A32" s="7" t="s">
        <v>940</v>
      </c>
      <c r="B32" s="8">
        <v>2</v>
      </c>
      <c r="C32" s="8"/>
      <c r="D32" s="208">
        <v>0</v>
      </c>
    </row>
    <row r="33" spans="1:4" ht="27.75" customHeight="1" x14ac:dyDescent="0.35">
      <c r="A33" s="7" t="s">
        <v>941</v>
      </c>
      <c r="B33" s="8">
        <v>2</v>
      </c>
      <c r="C33" s="8"/>
      <c r="D33" s="208">
        <v>0</v>
      </c>
    </row>
    <row r="34" spans="1:4" ht="27.75" customHeight="1" x14ac:dyDescent="0.35">
      <c r="A34" s="7" t="s">
        <v>942</v>
      </c>
      <c r="B34" s="8">
        <v>2</v>
      </c>
      <c r="C34" s="8"/>
      <c r="D34" s="208">
        <v>0</v>
      </c>
    </row>
    <row r="35" spans="1:4" ht="27.75" customHeight="1" x14ac:dyDescent="0.35">
      <c r="A35" s="7" t="s">
        <v>943</v>
      </c>
      <c r="B35" s="8">
        <v>2</v>
      </c>
      <c r="C35" s="8"/>
      <c r="D35" s="208">
        <v>0</v>
      </c>
    </row>
    <row r="36" spans="1:4" ht="27.75" customHeight="1" x14ac:dyDescent="0.35">
      <c r="A36" s="7" t="s">
        <v>944</v>
      </c>
      <c r="B36" s="8">
        <v>2</v>
      </c>
      <c r="C36" s="8"/>
      <c r="D36" s="208">
        <v>0</v>
      </c>
    </row>
    <row r="37" spans="1:4" ht="27.75" customHeight="1" x14ac:dyDescent="0.35">
      <c r="A37" s="7" t="s">
        <v>945</v>
      </c>
      <c r="B37" s="8">
        <v>2</v>
      </c>
      <c r="C37" s="8"/>
      <c r="D37" s="208">
        <v>3.2873916337973101</v>
      </c>
    </row>
    <row r="38" spans="1:4" ht="27.75" customHeight="1" x14ac:dyDescent="0.35">
      <c r="A38" s="7" t="s">
        <v>946</v>
      </c>
      <c r="B38" s="8">
        <v>2</v>
      </c>
      <c r="C38" s="8"/>
      <c r="D38" s="208">
        <v>0</v>
      </c>
    </row>
    <row r="39" spans="1:4" ht="27.75" customHeight="1" x14ac:dyDescent="0.35">
      <c r="A39" s="7" t="s">
        <v>947</v>
      </c>
      <c r="B39" s="8">
        <v>2</v>
      </c>
      <c r="C39" s="8"/>
      <c r="D39" s="208">
        <v>2.2042711157603501</v>
      </c>
    </row>
    <row r="40" spans="1:4" ht="27.75" customHeight="1" x14ac:dyDescent="0.35">
      <c r="A40" s="7" t="s">
        <v>948</v>
      </c>
      <c r="B40" s="8">
        <v>2</v>
      </c>
      <c r="C40" s="8"/>
      <c r="D40" s="208">
        <v>0</v>
      </c>
    </row>
    <row r="41" spans="1:4" ht="27.75" customHeight="1" x14ac:dyDescent="0.35">
      <c r="A41" s="7" t="s">
        <v>949</v>
      </c>
      <c r="B41" s="8">
        <v>2</v>
      </c>
      <c r="C41" s="8"/>
      <c r="D41" s="208">
        <v>0</v>
      </c>
    </row>
    <row r="42" spans="1:4" ht="27.75" customHeight="1" x14ac:dyDescent="0.35">
      <c r="A42" s="7" t="s">
        <v>950</v>
      </c>
      <c r="B42" s="8">
        <v>2</v>
      </c>
      <c r="C42" s="8"/>
      <c r="D42" s="208">
        <v>0</v>
      </c>
    </row>
    <row r="43" spans="1:4" ht="27.75" customHeight="1" x14ac:dyDescent="0.35">
      <c r="A43" s="7" t="s">
        <v>951</v>
      </c>
      <c r="B43" s="8">
        <v>2</v>
      </c>
      <c r="C43" s="8"/>
      <c r="D43" s="208">
        <v>3.0341063479788901</v>
      </c>
    </row>
    <row r="44" spans="1:4" ht="27.75" customHeight="1" x14ac:dyDescent="0.35">
      <c r="A44" s="7" t="s">
        <v>952</v>
      </c>
      <c r="B44" s="8">
        <v>2</v>
      </c>
      <c r="C44" s="8"/>
      <c r="D44" s="208">
        <v>0</v>
      </c>
    </row>
    <row r="45" spans="1:4" ht="27.75" customHeight="1" x14ac:dyDescent="0.35">
      <c r="A45" s="7" t="s">
        <v>953</v>
      </c>
      <c r="B45" s="8">
        <v>2</v>
      </c>
      <c r="C45" s="8"/>
      <c r="D45" s="208">
        <v>0</v>
      </c>
    </row>
    <row r="46" spans="1:4" ht="27.75" customHeight="1" x14ac:dyDescent="0.35">
      <c r="A46" s="7" t="s">
        <v>954</v>
      </c>
      <c r="B46" s="8">
        <v>2</v>
      </c>
      <c r="C46" s="8"/>
      <c r="D46" s="208">
        <v>0</v>
      </c>
    </row>
    <row r="47" spans="1:4" ht="27.75" customHeight="1" x14ac:dyDescent="0.35">
      <c r="A47" s="7" t="s">
        <v>955</v>
      </c>
      <c r="B47" s="8">
        <v>2</v>
      </c>
      <c r="C47" s="8"/>
      <c r="D47" s="208">
        <v>0</v>
      </c>
    </row>
    <row r="48" spans="1:4" ht="27.75" customHeight="1" x14ac:dyDescent="0.35">
      <c r="A48" s="7" t="s">
        <v>956</v>
      </c>
      <c r="B48" s="8">
        <v>2</v>
      </c>
      <c r="C48" s="8"/>
      <c r="D48" s="208">
        <v>0</v>
      </c>
    </row>
    <row r="49" spans="1:4" ht="27.75" customHeight="1" x14ac:dyDescent="0.35">
      <c r="A49" s="7" t="s">
        <v>957</v>
      </c>
      <c r="B49" s="8">
        <v>2</v>
      </c>
      <c r="C49" s="8"/>
      <c r="D49" s="208">
        <v>0</v>
      </c>
    </row>
    <row r="50" spans="1:4" ht="27.75" customHeight="1" x14ac:dyDescent="0.35">
      <c r="A50" s="7" t="s">
        <v>958</v>
      </c>
      <c r="B50" s="8">
        <v>2</v>
      </c>
      <c r="C50" s="8"/>
      <c r="D50" s="208">
        <v>0</v>
      </c>
    </row>
    <row r="51" spans="1:4" ht="27.75" customHeight="1" x14ac:dyDescent="0.35">
      <c r="A51" s="7" t="s">
        <v>959</v>
      </c>
      <c r="B51" s="8">
        <v>2</v>
      </c>
      <c r="C51" s="8"/>
      <c r="D51" s="208">
        <v>0</v>
      </c>
    </row>
    <row r="52" spans="1:4" ht="27.75" customHeight="1" x14ac:dyDescent="0.35">
      <c r="A52" s="7" t="s">
        <v>960</v>
      </c>
      <c r="B52" s="8">
        <v>2</v>
      </c>
      <c r="C52" s="8"/>
      <c r="D52" s="208">
        <v>0</v>
      </c>
    </row>
    <row r="53" spans="1:4" ht="27.75" customHeight="1" x14ac:dyDescent="0.35">
      <c r="A53" s="7" t="s">
        <v>961</v>
      </c>
      <c r="B53" s="8">
        <v>2</v>
      </c>
      <c r="C53" s="8"/>
      <c r="D53" s="208">
        <v>0</v>
      </c>
    </row>
    <row r="54" spans="1:4" ht="27.75" customHeight="1" x14ac:dyDescent="0.35">
      <c r="A54" s="7" t="s">
        <v>962</v>
      </c>
      <c r="B54" s="8">
        <v>2</v>
      </c>
      <c r="C54" s="8"/>
      <c r="D54" s="208">
        <v>0</v>
      </c>
    </row>
    <row r="55" spans="1:4" ht="27.75" customHeight="1" x14ac:dyDescent="0.35">
      <c r="A55" s="7" t="s">
        <v>963</v>
      </c>
      <c r="B55" s="8">
        <v>2</v>
      </c>
      <c r="C55" s="8"/>
      <c r="D55" s="208">
        <v>0</v>
      </c>
    </row>
    <row r="56" spans="1:4" ht="27.75" customHeight="1" x14ac:dyDescent="0.35">
      <c r="A56" s="7" t="s">
        <v>964</v>
      </c>
      <c r="B56" s="8">
        <v>2</v>
      </c>
      <c r="C56" s="8"/>
      <c r="D56" s="208">
        <v>0</v>
      </c>
    </row>
    <row r="57" spans="1:4" ht="27.75" customHeight="1" x14ac:dyDescent="0.35">
      <c r="A57" s="7" t="s">
        <v>965</v>
      </c>
      <c r="B57" s="8">
        <v>2</v>
      </c>
      <c r="C57" s="8"/>
      <c r="D57" s="208">
        <v>4.5209980474472902</v>
      </c>
    </row>
    <row r="58" spans="1:4" ht="27.75" customHeight="1" x14ac:dyDescent="0.35">
      <c r="A58" s="7" t="s">
        <v>966</v>
      </c>
      <c r="B58" s="8">
        <v>2</v>
      </c>
      <c r="C58" s="8"/>
      <c r="D58" s="208">
        <v>2.49200887347364E-2</v>
      </c>
    </row>
    <row r="59" spans="1:4" ht="27.75" customHeight="1" x14ac:dyDescent="0.35">
      <c r="A59" s="7" t="s">
        <v>967</v>
      </c>
      <c r="B59" s="8">
        <v>2</v>
      </c>
      <c r="C59" s="8"/>
      <c r="D59" s="208">
        <v>0</v>
      </c>
    </row>
    <row r="60" spans="1:4" ht="27.75" customHeight="1" x14ac:dyDescent="0.35">
      <c r="A60" s="7" t="s">
        <v>968</v>
      </c>
      <c r="B60" s="8">
        <v>2</v>
      </c>
      <c r="C60" s="8"/>
      <c r="D60" s="208">
        <v>0</v>
      </c>
    </row>
    <row r="61" spans="1:4" ht="27.75" customHeight="1" x14ac:dyDescent="0.35">
      <c r="A61" s="7" t="s">
        <v>969</v>
      </c>
      <c r="B61" s="8">
        <v>2</v>
      </c>
      <c r="C61" s="8"/>
      <c r="D61" s="208">
        <v>0</v>
      </c>
    </row>
    <row r="62" spans="1:4" ht="27.75" customHeight="1" x14ac:dyDescent="0.35">
      <c r="A62" s="7" t="s">
        <v>970</v>
      </c>
      <c r="B62" s="8">
        <v>2</v>
      </c>
      <c r="C62" s="8"/>
      <c r="D62" s="208">
        <v>2.5755157783184202</v>
      </c>
    </row>
    <row r="63" spans="1:4" ht="27.75" customHeight="1" x14ac:dyDescent="0.35">
      <c r="A63" s="7" t="s">
        <v>971</v>
      </c>
      <c r="B63" s="8">
        <v>2</v>
      </c>
      <c r="C63" s="8"/>
      <c r="D63" s="208">
        <v>0</v>
      </c>
    </row>
    <row r="64" spans="1:4" ht="27.75" customHeight="1" x14ac:dyDescent="0.35">
      <c r="A64" s="7" t="s">
        <v>972</v>
      </c>
      <c r="B64" s="8">
        <v>2</v>
      </c>
      <c r="C64" s="8"/>
      <c r="D64" s="208">
        <v>2.0768930989725201</v>
      </c>
    </row>
    <row r="65" spans="1:4" ht="27.75" customHeight="1" x14ac:dyDescent="0.35">
      <c r="A65" s="7" t="s">
        <v>973</v>
      </c>
      <c r="B65" s="8">
        <v>2</v>
      </c>
      <c r="C65" s="8"/>
      <c r="D65" s="208">
        <v>0</v>
      </c>
    </row>
    <row r="66" spans="1:4" ht="27.75" customHeight="1" x14ac:dyDescent="0.35">
      <c r="A66" s="7" t="s">
        <v>974</v>
      </c>
      <c r="B66" s="8">
        <v>2</v>
      </c>
      <c r="C66" s="8"/>
      <c r="D66" s="208">
        <v>10.2955960711739</v>
      </c>
    </row>
    <row r="67" spans="1:4" ht="27.75" customHeight="1" x14ac:dyDescent="0.35">
      <c r="A67" s="7" t="s">
        <v>975</v>
      </c>
      <c r="B67" s="8">
        <v>2</v>
      </c>
      <c r="C67" s="8"/>
      <c r="D67" s="208">
        <v>0</v>
      </c>
    </row>
    <row r="68" spans="1:4" ht="27.75" customHeight="1" x14ac:dyDescent="0.35">
      <c r="A68" s="7" t="s">
        <v>976</v>
      </c>
      <c r="B68" s="8">
        <v>2</v>
      </c>
      <c r="C68" s="8"/>
      <c r="D68" s="208">
        <v>0.69061371520144199</v>
      </c>
    </row>
    <row r="69" spans="1:4" ht="27.75" customHeight="1" x14ac:dyDescent="0.35">
      <c r="A69" s="7" t="s">
        <v>977</v>
      </c>
      <c r="B69" s="8">
        <v>2</v>
      </c>
      <c r="C69" s="8"/>
      <c r="D69" s="208">
        <v>0</v>
      </c>
    </row>
    <row r="70" spans="1:4" ht="27.75" customHeight="1" x14ac:dyDescent="0.35">
      <c r="A70" s="7" t="s">
        <v>978</v>
      </c>
      <c r="B70" s="8">
        <v>2</v>
      </c>
      <c r="C70" s="8"/>
      <c r="D70" s="208">
        <v>4.6578807055776696</v>
      </c>
    </row>
    <row r="71" spans="1:4" ht="27.75" customHeight="1" x14ac:dyDescent="0.35">
      <c r="A71" s="7" t="s">
        <v>979</v>
      </c>
      <c r="B71" s="8">
        <v>2</v>
      </c>
      <c r="C71" s="8"/>
      <c r="D71" s="208">
        <v>0</v>
      </c>
    </row>
    <row r="72" spans="1:4" ht="27.75" customHeight="1" x14ac:dyDescent="0.35">
      <c r="A72" s="7" t="s">
        <v>980</v>
      </c>
      <c r="B72" s="8">
        <v>2</v>
      </c>
      <c r="C72" s="8"/>
      <c r="D72" s="208">
        <v>0</v>
      </c>
    </row>
    <row r="73" spans="1:4" ht="27.75" customHeight="1" x14ac:dyDescent="0.35">
      <c r="A73" s="7" t="s">
        <v>981</v>
      </c>
      <c r="B73" s="8">
        <v>2</v>
      </c>
      <c r="C73" s="8"/>
      <c r="D73" s="208">
        <v>0</v>
      </c>
    </row>
    <row r="74" spans="1:4" ht="27.75" customHeight="1" x14ac:dyDescent="0.35">
      <c r="A74" s="7" t="s">
        <v>982</v>
      </c>
      <c r="B74" s="8">
        <v>2</v>
      </c>
      <c r="C74" s="8"/>
      <c r="D74" s="208">
        <v>0</v>
      </c>
    </row>
    <row r="75" spans="1:4" ht="27.75" customHeight="1" x14ac:dyDescent="0.35">
      <c r="A75" s="7" t="s">
        <v>983</v>
      </c>
      <c r="B75" s="8">
        <v>2</v>
      </c>
      <c r="C75" s="8"/>
      <c r="D75" s="208">
        <v>0</v>
      </c>
    </row>
    <row r="76" spans="1:4" ht="27.75" customHeight="1" x14ac:dyDescent="0.35">
      <c r="A76" s="7" t="s">
        <v>984</v>
      </c>
      <c r="B76" s="8">
        <v>2</v>
      </c>
      <c r="C76" s="8"/>
      <c r="D76" s="208">
        <v>6.6749016767159297</v>
      </c>
    </row>
    <row r="77" spans="1:4" ht="27.75" customHeight="1" x14ac:dyDescent="0.35">
      <c r="A77" s="7" t="s">
        <v>985</v>
      </c>
      <c r="B77" s="8">
        <v>2</v>
      </c>
      <c r="C77" s="8"/>
      <c r="D77" s="208">
        <v>0</v>
      </c>
    </row>
    <row r="78" spans="1:4" ht="27.75" customHeight="1" x14ac:dyDescent="0.35">
      <c r="A78" s="7" t="s">
        <v>986</v>
      </c>
      <c r="B78" s="8">
        <v>2</v>
      </c>
      <c r="C78" s="8"/>
      <c r="D78" s="208">
        <v>0</v>
      </c>
    </row>
    <row r="79" spans="1:4" ht="27.75" customHeight="1" x14ac:dyDescent="0.35">
      <c r="A79" s="7" t="s">
        <v>987</v>
      </c>
      <c r="B79" s="8">
        <v>2</v>
      </c>
      <c r="C79" s="8"/>
      <c r="D79" s="208">
        <v>0</v>
      </c>
    </row>
    <row r="80" spans="1:4" ht="27.75" customHeight="1" x14ac:dyDescent="0.35">
      <c r="A80" s="7" t="s">
        <v>988</v>
      </c>
      <c r="B80" s="8">
        <v>3</v>
      </c>
      <c r="C80" s="8" t="s">
        <v>912</v>
      </c>
      <c r="D80" s="208">
        <v>0</v>
      </c>
    </row>
    <row r="81" spans="1:4" ht="27.75" customHeight="1" x14ac:dyDescent="0.35">
      <c r="A81" s="7" t="s">
        <v>989</v>
      </c>
      <c r="B81" s="8">
        <v>3</v>
      </c>
      <c r="C81" s="8" t="s">
        <v>913</v>
      </c>
      <c r="D81" s="208">
        <v>0</v>
      </c>
    </row>
    <row r="82" spans="1:4" ht="27.75" customHeight="1" x14ac:dyDescent="0.35">
      <c r="A82" s="7" t="s">
        <v>990</v>
      </c>
      <c r="B82" s="8">
        <v>3</v>
      </c>
      <c r="C82" s="8" t="s">
        <v>914</v>
      </c>
      <c r="D82" s="208">
        <v>0</v>
      </c>
    </row>
    <row r="83" spans="1:4" ht="27.75" customHeight="1" x14ac:dyDescent="0.35">
      <c r="A83" s="7" t="s">
        <v>991</v>
      </c>
      <c r="B83" s="8">
        <v>3</v>
      </c>
      <c r="C83" s="8" t="s">
        <v>915</v>
      </c>
      <c r="D83" s="208">
        <v>0</v>
      </c>
    </row>
    <row r="84" spans="1:4" ht="27.75" customHeight="1" x14ac:dyDescent="0.35">
      <c r="A84" s="7" t="s">
        <v>992</v>
      </c>
      <c r="B84" s="8">
        <v>3</v>
      </c>
      <c r="C84" s="8" t="s">
        <v>917</v>
      </c>
      <c r="D84" s="208">
        <v>1.9689063034892</v>
      </c>
    </row>
    <row r="85" spans="1:4" ht="27.75" customHeight="1" x14ac:dyDescent="0.35">
      <c r="A85" s="7" t="s">
        <v>993</v>
      </c>
      <c r="B85" s="8">
        <v>3</v>
      </c>
      <c r="C85" s="8" t="s">
        <v>918</v>
      </c>
      <c r="D85" s="208">
        <v>2.6481428468062198</v>
      </c>
    </row>
    <row r="86" spans="1:4" ht="27.75" customHeight="1" x14ac:dyDescent="0.35">
      <c r="A86" s="7" t="s">
        <v>994</v>
      </c>
      <c r="B86" s="8">
        <v>3</v>
      </c>
      <c r="C86" s="8" t="s">
        <v>920</v>
      </c>
      <c r="D86" s="208">
        <v>0</v>
      </c>
    </row>
    <row r="87" spans="1:4" ht="27.75" customHeight="1" x14ac:dyDescent="0.35">
      <c r="A87" s="7" t="s">
        <v>995</v>
      </c>
      <c r="B87" s="8">
        <v>3</v>
      </c>
      <c r="C87" s="8" t="s">
        <v>921</v>
      </c>
      <c r="D87" s="208">
        <v>0</v>
      </c>
    </row>
    <row r="88" spans="1:4" ht="27.75" customHeight="1" x14ac:dyDescent="0.35">
      <c r="A88" s="7" t="s">
        <v>996</v>
      </c>
      <c r="B88" s="8">
        <v>3</v>
      </c>
      <c r="C88" s="8" t="s">
        <v>922</v>
      </c>
      <c r="D88" s="208">
        <v>0</v>
      </c>
    </row>
    <row r="89" spans="1:4" ht="27.75" customHeight="1" x14ac:dyDescent="0.35">
      <c r="A89" s="7" t="s">
        <v>997</v>
      </c>
      <c r="B89" s="8">
        <v>3</v>
      </c>
      <c r="C89" s="8" t="s">
        <v>923</v>
      </c>
      <c r="D89" s="208">
        <v>0</v>
      </c>
    </row>
    <row r="90" spans="1:4" ht="27.75" customHeight="1" x14ac:dyDescent="0.35">
      <c r="A90" s="7" t="s">
        <v>998</v>
      </c>
      <c r="B90" s="8">
        <v>3</v>
      </c>
      <c r="C90" s="8" t="s">
        <v>925</v>
      </c>
      <c r="D90" s="208">
        <v>0</v>
      </c>
    </row>
    <row r="91" spans="1:4" ht="27.75" customHeight="1" x14ac:dyDescent="0.35">
      <c r="A91" s="7" t="s">
        <v>999</v>
      </c>
      <c r="B91" s="8">
        <v>3</v>
      </c>
      <c r="C91" s="8" t="s">
        <v>962</v>
      </c>
      <c r="D91" s="208">
        <v>0</v>
      </c>
    </row>
    <row r="92" spans="1:4" ht="27.75" customHeight="1" x14ac:dyDescent="0.35">
      <c r="A92" s="7" t="s">
        <v>1000</v>
      </c>
      <c r="B92" s="8">
        <v>3</v>
      </c>
      <c r="C92" s="8" t="s">
        <v>927</v>
      </c>
      <c r="D92" s="208">
        <v>0</v>
      </c>
    </row>
    <row r="93" spans="1:4" ht="27.75" customHeight="1" x14ac:dyDescent="0.35">
      <c r="A93" s="7" t="s">
        <v>1001</v>
      </c>
      <c r="B93" s="8">
        <v>3</v>
      </c>
      <c r="C93" s="8" t="s">
        <v>916</v>
      </c>
      <c r="D93" s="208">
        <v>0</v>
      </c>
    </row>
    <row r="94" spans="1:4" ht="27.75" customHeight="1" x14ac:dyDescent="0.35">
      <c r="A94" s="7" t="s">
        <v>1002</v>
      </c>
      <c r="B94" s="8">
        <v>3</v>
      </c>
      <c r="C94" s="8" t="s">
        <v>928</v>
      </c>
      <c r="D94" s="208">
        <v>0</v>
      </c>
    </row>
    <row r="95" spans="1:4" ht="27.75" customHeight="1" x14ac:dyDescent="0.35">
      <c r="A95" s="7" t="s">
        <v>1003</v>
      </c>
      <c r="B95" s="8">
        <v>3</v>
      </c>
      <c r="C95" s="8" t="s">
        <v>929</v>
      </c>
      <c r="D95" s="208">
        <v>0</v>
      </c>
    </row>
    <row r="96" spans="1:4" ht="27.75" customHeight="1" x14ac:dyDescent="0.35">
      <c r="A96" s="7" t="s">
        <v>1004</v>
      </c>
      <c r="B96" s="8">
        <v>3</v>
      </c>
      <c r="C96" s="8" t="s">
        <v>930</v>
      </c>
      <c r="D96" s="208">
        <v>0</v>
      </c>
    </row>
    <row r="97" spans="1:4" ht="27.75" customHeight="1" x14ac:dyDescent="0.35">
      <c r="A97" s="7" t="s">
        <v>1005</v>
      </c>
      <c r="B97" s="8">
        <v>3</v>
      </c>
      <c r="C97" s="8" t="s">
        <v>932</v>
      </c>
      <c r="D97" s="208">
        <v>7.3728790670935096</v>
      </c>
    </row>
    <row r="98" spans="1:4" ht="27.75" customHeight="1" x14ac:dyDescent="0.35">
      <c r="A98" s="7" t="s">
        <v>1006</v>
      </c>
      <c r="B98" s="8">
        <v>3</v>
      </c>
      <c r="C98" s="8" t="s">
        <v>933</v>
      </c>
      <c r="D98" s="208">
        <v>0</v>
      </c>
    </row>
    <row r="99" spans="1:4" ht="27.75" customHeight="1" x14ac:dyDescent="0.35">
      <c r="A99" s="7" t="s">
        <v>1007</v>
      </c>
      <c r="B99" s="8">
        <v>3</v>
      </c>
      <c r="C99" s="8" t="s">
        <v>936</v>
      </c>
      <c r="D99" s="208">
        <v>0</v>
      </c>
    </row>
    <row r="100" spans="1:4" ht="27.75" customHeight="1" x14ac:dyDescent="0.35">
      <c r="A100" s="7" t="s">
        <v>1008</v>
      </c>
      <c r="B100" s="8">
        <v>3</v>
      </c>
      <c r="C100" s="8" t="s">
        <v>933</v>
      </c>
      <c r="D100" s="208">
        <v>0</v>
      </c>
    </row>
    <row r="101" spans="1:4" ht="27.75" customHeight="1" x14ac:dyDescent="0.35">
      <c r="A101" s="7" t="s">
        <v>1009</v>
      </c>
      <c r="B101" s="8">
        <v>3</v>
      </c>
      <c r="C101" s="8" t="s">
        <v>917</v>
      </c>
      <c r="D101" s="208">
        <v>0</v>
      </c>
    </row>
    <row r="102" spans="1:4" ht="27.75" customHeight="1" x14ac:dyDescent="0.35">
      <c r="A102" s="7" t="s">
        <v>1010</v>
      </c>
      <c r="B102" s="8">
        <v>3</v>
      </c>
      <c r="C102" s="8" t="s">
        <v>937</v>
      </c>
      <c r="D102" s="208">
        <v>0</v>
      </c>
    </row>
    <row r="103" spans="1:4" ht="27.75" customHeight="1" x14ac:dyDescent="0.35">
      <c r="A103" s="7" t="s">
        <v>1011</v>
      </c>
      <c r="B103" s="8">
        <v>3</v>
      </c>
      <c r="C103" s="8" t="s">
        <v>938</v>
      </c>
      <c r="D103" s="208">
        <v>0</v>
      </c>
    </row>
    <row r="104" spans="1:4" ht="27.75" customHeight="1" x14ac:dyDescent="0.35">
      <c r="A104" s="7" t="s">
        <v>1012</v>
      </c>
      <c r="B104" s="8">
        <v>3</v>
      </c>
      <c r="C104" s="8" t="s">
        <v>933</v>
      </c>
      <c r="D104" s="208">
        <v>0</v>
      </c>
    </row>
    <row r="105" spans="1:4" ht="27.75" customHeight="1" x14ac:dyDescent="0.35">
      <c r="A105" s="7" t="s">
        <v>1013</v>
      </c>
      <c r="B105" s="8">
        <v>3</v>
      </c>
      <c r="C105" s="8" t="s">
        <v>916</v>
      </c>
      <c r="D105" s="208">
        <v>0</v>
      </c>
    </row>
    <row r="106" spans="1:4" ht="27.75" customHeight="1" x14ac:dyDescent="0.35">
      <c r="A106" s="7" t="s">
        <v>1014</v>
      </c>
      <c r="B106" s="8">
        <v>3</v>
      </c>
      <c r="C106" s="8" t="s">
        <v>928</v>
      </c>
      <c r="D106" s="208">
        <v>0</v>
      </c>
    </row>
    <row r="107" spans="1:4" ht="27.75" customHeight="1" x14ac:dyDescent="0.35">
      <c r="A107" s="7" t="s">
        <v>1015</v>
      </c>
      <c r="B107" s="8">
        <v>3</v>
      </c>
      <c r="C107" s="8" t="s">
        <v>939</v>
      </c>
      <c r="D107" s="208">
        <v>0</v>
      </c>
    </row>
    <row r="108" spans="1:4" ht="27.75" customHeight="1" x14ac:dyDescent="0.35">
      <c r="A108" s="7" t="s">
        <v>1016</v>
      </c>
      <c r="B108" s="8">
        <v>3</v>
      </c>
      <c r="C108" s="8" t="s">
        <v>941</v>
      </c>
      <c r="D108" s="208">
        <v>0</v>
      </c>
    </row>
    <row r="109" spans="1:4" ht="27.75" customHeight="1" x14ac:dyDescent="0.35">
      <c r="A109" s="7" t="s">
        <v>1017</v>
      </c>
      <c r="B109" s="8">
        <v>3</v>
      </c>
      <c r="C109" s="8" t="s">
        <v>942</v>
      </c>
      <c r="D109" s="208">
        <v>0</v>
      </c>
    </row>
    <row r="110" spans="1:4" ht="27.75" customHeight="1" x14ac:dyDescent="0.35">
      <c r="A110" s="7" t="s">
        <v>1018</v>
      </c>
      <c r="B110" s="8">
        <v>3</v>
      </c>
      <c r="C110" s="8" t="s">
        <v>943</v>
      </c>
      <c r="D110" s="208">
        <v>0</v>
      </c>
    </row>
    <row r="111" spans="1:4" ht="27.75" customHeight="1" x14ac:dyDescent="0.35">
      <c r="A111" s="7" t="s">
        <v>1019</v>
      </c>
      <c r="B111" s="8">
        <v>3</v>
      </c>
      <c r="C111" s="8" t="s">
        <v>944</v>
      </c>
      <c r="D111" s="208">
        <v>0</v>
      </c>
    </row>
    <row r="112" spans="1:4" ht="27.75" customHeight="1" x14ac:dyDescent="0.35">
      <c r="A112" s="7" t="s">
        <v>1020</v>
      </c>
      <c r="B112" s="8">
        <v>3</v>
      </c>
      <c r="C112" s="8" t="s">
        <v>919</v>
      </c>
      <c r="D112" s="208">
        <v>0</v>
      </c>
    </row>
    <row r="113" spans="1:4" ht="27.75" customHeight="1" x14ac:dyDescent="0.35">
      <c r="A113" s="7" t="s">
        <v>1021</v>
      </c>
      <c r="B113" s="8">
        <v>3</v>
      </c>
      <c r="C113" s="8" t="s">
        <v>938</v>
      </c>
      <c r="D113" s="208">
        <v>0</v>
      </c>
    </row>
    <row r="114" spans="1:4" ht="27.75" customHeight="1" x14ac:dyDescent="0.35">
      <c r="A114" s="7" t="s">
        <v>1022</v>
      </c>
      <c r="B114" s="8">
        <v>3</v>
      </c>
      <c r="C114" s="8" t="s">
        <v>930</v>
      </c>
      <c r="D114" s="208">
        <v>0</v>
      </c>
    </row>
    <row r="115" spans="1:4" ht="27.75" customHeight="1" x14ac:dyDescent="0.35">
      <c r="A115" s="7" t="s">
        <v>1023</v>
      </c>
      <c r="B115" s="8">
        <v>3</v>
      </c>
      <c r="C115" s="8" t="s">
        <v>945</v>
      </c>
      <c r="D115" s="208">
        <v>0</v>
      </c>
    </row>
    <row r="116" spans="1:4" ht="27.75" customHeight="1" x14ac:dyDescent="0.35">
      <c r="A116" s="7" t="s">
        <v>1024</v>
      </c>
      <c r="B116" s="8">
        <v>3</v>
      </c>
      <c r="C116" s="8" t="s">
        <v>937</v>
      </c>
      <c r="D116" s="208">
        <v>0</v>
      </c>
    </row>
    <row r="117" spans="1:4" ht="27.75" customHeight="1" x14ac:dyDescent="0.35">
      <c r="A117" s="7" t="s">
        <v>1025</v>
      </c>
      <c r="B117" s="8">
        <v>3</v>
      </c>
      <c r="C117" s="8" t="s">
        <v>939</v>
      </c>
      <c r="D117" s="208">
        <v>0</v>
      </c>
    </row>
    <row r="118" spans="1:4" ht="27.75" customHeight="1" x14ac:dyDescent="0.35">
      <c r="A118" s="7" t="s">
        <v>1026</v>
      </c>
      <c r="B118" s="8">
        <v>3</v>
      </c>
      <c r="C118" s="8" t="s">
        <v>925</v>
      </c>
      <c r="D118" s="208">
        <v>0</v>
      </c>
    </row>
    <row r="119" spans="1:4" ht="27.75" customHeight="1" x14ac:dyDescent="0.35">
      <c r="A119" s="7" t="s">
        <v>1027</v>
      </c>
      <c r="B119" s="8">
        <v>3</v>
      </c>
      <c r="C119" s="8" t="s">
        <v>919</v>
      </c>
      <c r="D119" s="208">
        <v>0</v>
      </c>
    </row>
    <row r="120" spans="1:4" ht="27.75" customHeight="1" x14ac:dyDescent="0.35">
      <c r="A120" s="7" t="s">
        <v>1028</v>
      </c>
      <c r="B120" s="8">
        <v>3</v>
      </c>
      <c r="C120" s="8" t="s">
        <v>929</v>
      </c>
      <c r="D120" s="208">
        <v>0</v>
      </c>
    </row>
    <row r="121" spans="1:4" ht="27.75" customHeight="1" x14ac:dyDescent="0.35">
      <c r="A121" s="7" t="s">
        <v>1029</v>
      </c>
      <c r="B121" s="8">
        <v>3</v>
      </c>
      <c r="C121" s="8" t="s">
        <v>920</v>
      </c>
      <c r="D121" s="208">
        <v>0</v>
      </c>
    </row>
    <row r="122" spans="1:4" ht="27.75" customHeight="1" x14ac:dyDescent="0.35">
      <c r="A122" s="7" t="s">
        <v>1030</v>
      </c>
      <c r="B122" s="8">
        <v>3</v>
      </c>
      <c r="C122" s="8" t="s">
        <v>936</v>
      </c>
      <c r="D122" s="208">
        <v>0</v>
      </c>
    </row>
    <row r="123" spans="1:4" ht="27.75" customHeight="1" x14ac:dyDescent="0.35">
      <c r="A123" s="7" t="s">
        <v>1031</v>
      </c>
      <c r="B123" s="8">
        <v>3</v>
      </c>
      <c r="C123" s="8" t="s">
        <v>949</v>
      </c>
      <c r="D123" s="208">
        <v>0</v>
      </c>
    </row>
    <row r="124" spans="1:4" ht="27.75" customHeight="1" x14ac:dyDescent="0.35">
      <c r="A124" s="7" t="s">
        <v>1032</v>
      </c>
      <c r="B124" s="8">
        <v>3</v>
      </c>
      <c r="C124" s="8" t="s">
        <v>933</v>
      </c>
      <c r="D124" s="208">
        <v>0</v>
      </c>
    </row>
    <row r="125" spans="1:4" ht="27.75" customHeight="1" x14ac:dyDescent="0.35">
      <c r="A125" s="7" t="s">
        <v>1033</v>
      </c>
      <c r="B125" s="8">
        <v>3</v>
      </c>
      <c r="C125" s="8" t="s">
        <v>950</v>
      </c>
      <c r="D125" s="208">
        <v>0</v>
      </c>
    </row>
    <row r="126" spans="1:4" ht="27.75" customHeight="1" x14ac:dyDescent="0.35">
      <c r="A126" s="7" t="s">
        <v>1034</v>
      </c>
      <c r="B126" s="8">
        <v>3</v>
      </c>
      <c r="C126" s="8" t="s">
        <v>919</v>
      </c>
      <c r="D126" s="208">
        <v>0</v>
      </c>
    </row>
    <row r="127" spans="1:4" ht="27.75" customHeight="1" x14ac:dyDescent="0.35">
      <c r="A127" s="7" t="s">
        <v>1035</v>
      </c>
      <c r="B127" s="8">
        <v>3</v>
      </c>
      <c r="C127" s="8" t="s">
        <v>940</v>
      </c>
      <c r="D127" s="208">
        <v>0</v>
      </c>
    </row>
    <row r="128" spans="1:4" ht="27.75" customHeight="1" x14ac:dyDescent="0.35">
      <c r="A128" s="7" t="s">
        <v>1036</v>
      </c>
      <c r="B128" s="8">
        <v>3</v>
      </c>
      <c r="C128" s="8" t="s">
        <v>953</v>
      </c>
      <c r="D128" s="208">
        <v>0</v>
      </c>
    </row>
    <row r="129" spans="1:4" ht="27.75" customHeight="1" x14ac:dyDescent="0.35">
      <c r="A129" s="7" t="s">
        <v>1037</v>
      </c>
      <c r="B129" s="8">
        <v>3</v>
      </c>
      <c r="C129" s="8" t="s">
        <v>954</v>
      </c>
      <c r="D129" s="208">
        <v>0</v>
      </c>
    </row>
    <row r="130" spans="1:4" ht="27.75" customHeight="1" x14ac:dyDescent="0.35">
      <c r="A130" s="7" t="s">
        <v>1038</v>
      </c>
      <c r="B130" s="8">
        <v>3</v>
      </c>
      <c r="C130" s="8" t="s">
        <v>948</v>
      </c>
      <c r="D130" s="208">
        <v>0</v>
      </c>
    </row>
    <row r="131" spans="1:4" ht="27.75" customHeight="1" x14ac:dyDescent="0.35">
      <c r="A131" s="7" t="s">
        <v>1039</v>
      </c>
      <c r="B131" s="8">
        <v>3</v>
      </c>
      <c r="C131" s="8" t="s">
        <v>944</v>
      </c>
      <c r="D131" s="208">
        <v>0</v>
      </c>
    </row>
    <row r="132" spans="1:4" ht="27.75" customHeight="1" x14ac:dyDescent="0.35">
      <c r="A132" s="7" t="s">
        <v>1040</v>
      </c>
      <c r="B132" s="8">
        <v>3</v>
      </c>
      <c r="C132" s="8" t="s">
        <v>955</v>
      </c>
      <c r="D132" s="208">
        <v>0</v>
      </c>
    </row>
    <row r="133" spans="1:4" ht="27.75" customHeight="1" x14ac:dyDescent="0.35">
      <c r="A133" s="7" t="s">
        <v>1041</v>
      </c>
      <c r="B133" s="8">
        <v>3</v>
      </c>
      <c r="C133" s="8" t="s">
        <v>956</v>
      </c>
      <c r="D133" s="208">
        <v>0</v>
      </c>
    </row>
    <row r="134" spans="1:4" ht="27.75" customHeight="1" x14ac:dyDescent="0.35">
      <c r="A134" s="7" t="s">
        <v>1042</v>
      </c>
      <c r="B134" s="8">
        <v>3</v>
      </c>
      <c r="C134" s="8" t="s">
        <v>935</v>
      </c>
      <c r="D134" s="208">
        <v>0</v>
      </c>
    </row>
    <row r="135" spans="1:4" ht="27.75" customHeight="1" x14ac:dyDescent="0.35">
      <c r="A135" s="7" t="s">
        <v>1043</v>
      </c>
      <c r="B135" s="8">
        <v>3</v>
      </c>
      <c r="C135" s="8" t="s">
        <v>957</v>
      </c>
      <c r="D135" s="208">
        <v>0</v>
      </c>
    </row>
    <row r="136" spans="1:4" ht="27.75" customHeight="1" x14ac:dyDescent="0.35">
      <c r="A136" s="7" t="s">
        <v>1044</v>
      </c>
      <c r="B136" s="8">
        <v>3</v>
      </c>
      <c r="C136" s="8" t="s">
        <v>955</v>
      </c>
      <c r="D136" s="208">
        <v>0</v>
      </c>
    </row>
    <row r="137" spans="1:4" ht="27.75" customHeight="1" x14ac:dyDescent="0.35">
      <c r="A137" s="7" t="s">
        <v>1045</v>
      </c>
      <c r="B137" s="8">
        <v>3</v>
      </c>
      <c r="C137" s="8" t="s">
        <v>958</v>
      </c>
      <c r="D137" s="208">
        <v>0</v>
      </c>
    </row>
    <row r="138" spans="1:4" ht="27.75" customHeight="1" x14ac:dyDescent="0.35">
      <c r="A138" s="7" t="s">
        <v>1046</v>
      </c>
      <c r="B138" s="8">
        <v>3</v>
      </c>
      <c r="C138" s="8" t="s">
        <v>944</v>
      </c>
      <c r="D138" s="208">
        <v>0</v>
      </c>
    </row>
    <row r="139" spans="1:4" ht="27.75" customHeight="1" x14ac:dyDescent="0.35">
      <c r="A139" s="7" t="s">
        <v>1047</v>
      </c>
      <c r="B139" s="8">
        <v>3</v>
      </c>
      <c r="C139" s="8" t="s">
        <v>947</v>
      </c>
      <c r="D139" s="208">
        <v>0</v>
      </c>
    </row>
    <row r="140" spans="1:4" ht="27.75" customHeight="1" x14ac:dyDescent="0.35">
      <c r="A140" s="7" t="s">
        <v>1048</v>
      </c>
      <c r="B140" s="8">
        <v>3</v>
      </c>
      <c r="C140" s="8" t="s">
        <v>920</v>
      </c>
      <c r="D140" s="208">
        <v>0</v>
      </c>
    </row>
    <row r="141" spans="1:4" ht="27.75" customHeight="1" x14ac:dyDescent="0.35">
      <c r="A141" s="7" t="s">
        <v>1049</v>
      </c>
      <c r="B141" s="8">
        <v>3</v>
      </c>
      <c r="C141" s="8" t="s">
        <v>940</v>
      </c>
      <c r="D141" s="208">
        <v>0</v>
      </c>
    </row>
    <row r="142" spans="1:4" ht="27.75" customHeight="1" x14ac:dyDescent="0.35">
      <c r="A142" s="7" t="s">
        <v>1050</v>
      </c>
      <c r="B142" s="8">
        <v>3</v>
      </c>
      <c r="C142" s="8" t="s">
        <v>955</v>
      </c>
      <c r="D142" s="208">
        <v>0</v>
      </c>
    </row>
    <row r="143" spans="1:4" ht="27.75" customHeight="1" x14ac:dyDescent="0.35">
      <c r="A143" s="7" t="s">
        <v>1051</v>
      </c>
      <c r="B143" s="8">
        <v>3</v>
      </c>
      <c r="C143" s="8" t="s">
        <v>955</v>
      </c>
      <c r="D143" s="208">
        <v>0</v>
      </c>
    </row>
    <row r="144" spans="1:4" ht="27.75" customHeight="1" x14ac:dyDescent="0.35">
      <c r="A144" s="7" t="s">
        <v>1052</v>
      </c>
      <c r="B144" s="8">
        <v>3</v>
      </c>
      <c r="C144" s="8" t="s">
        <v>959</v>
      </c>
      <c r="D144" s="208">
        <v>0</v>
      </c>
    </row>
    <row r="145" spans="1:4" ht="27.75" customHeight="1" x14ac:dyDescent="0.35">
      <c r="A145" s="7" t="s">
        <v>1053</v>
      </c>
      <c r="B145" s="8">
        <v>3</v>
      </c>
      <c r="C145" s="8" t="s">
        <v>960</v>
      </c>
      <c r="D145" s="208">
        <v>0</v>
      </c>
    </row>
    <row r="146" spans="1:4" ht="27.75" customHeight="1" x14ac:dyDescent="0.35">
      <c r="A146" s="7" t="s">
        <v>1054</v>
      </c>
      <c r="B146" s="8">
        <v>3</v>
      </c>
      <c r="C146" s="8" t="s">
        <v>961</v>
      </c>
      <c r="D146" s="208">
        <v>0</v>
      </c>
    </row>
    <row r="147" spans="1:4" ht="27.75" customHeight="1" x14ac:dyDescent="0.35">
      <c r="A147" s="7" t="s">
        <v>1055</v>
      </c>
      <c r="B147" s="8">
        <v>3</v>
      </c>
      <c r="C147" s="8" t="s">
        <v>935</v>
      </c>
      <c r="D147" s="208">
        <v>0</v>
      </c>
    </row>
    <row r="148" spans="1:4" ht="27.75" customHeight="1" x14ac:dyDescent="0.35">
      <c r="A148" s="7" t="s">
        <v>1056</v>
      </c>
      <c r="B148" s="8">
        <v>3</v>
      </c>
      <c r="C148" s="8" t="s">
        <v>960</v>
      </c>
      <c r="D148" s="208">
        <v>0</v>
      </c>
    </row>
    <row r="149" spans="1:4" ht="27.75" customHeight="1" x14ac:dyDescent="0.35">
      <c r="A149" s="7" t="s">
        <v>1057</v>
      </c>
      <c r="B149" s="8">
        <v>3</v>
      </c>
      <c r="C149" s="8" t="s">
        <v>944</v>
      </c>
      <c r="D149" s="208">
        <v>0</v>
      </c>
    </row>
    <row r="150" spans="1:4" ht="27.75" customHeight="1" x14ac:dyDescent="0.35">
      <c r="A150" s="7" t="s">
        <v>1058</v>
      </c>
      <c r="B150" s="8">
        <v>3</v>
      </c>
      <c r="C150" s="8" t="s">
        <v>934</v>
      </c>
      <c r="D150" s="208">
        <v>0</v>
      </c>
    </row>
    <row r="151" spans="1:4" ht="27.75" customHeight="1" x14ac:dyDescent="0.35">
      <c r="A151" s="7" t="s">
        <v>1059</v>
      </c>
      <c r="B151" s="8">
        <v>3</v>
      </c>
      <c r="C151" s="8" t="s">
        <v>924</v>
      </c>
      <c r="D151" s="208">
        <v>0</v>
      </c>
    </row>
    <row r="152" spans="1:4" ht="27.75" customHeight="1" x14ac:dyDescent="0.35">
      <c r="A152" s="7" t="s">
        <v>1060</v>
      </c>
      <c r="B152" s="8">
        <v>3</v>
      </c>
      <c r="C152" s="8" t="s">
        <v>945</v>
      </c>
      <c r="D152" s="208">
        <v>0</v>
      </c>
    </row>
    <row r="153" spans="1:4" ht="27.75" customHeight="1" x14ac:dyDescent="0.35">
      <c r="A153" s="7" t="s">
        <v>1061</v>
      </c>
      <c r="B153" s="8">
        <v>3</v>
      </c>
      <c r="C153" s="8" t="s">
        <v>932</v>
      </c>
      <c r="D153" s="208">
        <v>0</v>
      </c>
    </row>
    <row r="154" spans="1:4" ht="27.75" customHeight="1" x14ac:dyDescent="0.35">
      <c r="A154" s="7" t="s">
        <v>1062</v>
      </c>
      <c r="B154" s="8">
        <v>3</v>
      </c>
      <c r="C154" s="8" t="s">
        <v>963</v>
      </c>
      <c r="D154" s="208">
        <v>0</v>
      </c>
    </row>
    <row r="155" spans="1:4" ht="27.75" customHeight="1" x14ac:dyDescent="0.35">
      <c r="A155" s="7" t="s">
        <v>1063</v>
      </c>
      <c r="B155" s="8">
        <v>3</v>
      </c>
      <c r="C155" s="8" t="s">
        <v>944</v>
      </c>
      <c r="D155" s="208">
        <v>0</v>
      </c>
    </row>
    <row r="156" spans="1:4" ht="27.75" customHeight="1" x14ac:dyDescent="0.35">
      <c r="A156" s="7" t="s">
        <v>1064</v>
      </c>
      <c r="B156" s="8">
        <v>3</v>
      </c>
      <c r="C156" s="8" t="s">
        <v>953</v>
      </c>
      <c r="D156" s="208">
        <v>0</v>
      </c>
    </row>
    <row r="157" spans="1:4" ht="27.75" customHeight="1" x14ac:dyDescent="0.35">
      <c r="A157" s="7" t="s">
        <v>1065</v>
      </c>
      <c r="B157" s="8">
        <v>3</v>
      </c>
      <c r="C157" s="8" t="s">
        <v>915</v>
      </c>
      <c r="D157" s="208">
        <v>0</v>
      </c>
    </row>
    <row r="158" spans="1:4" ht="27.75" customHeight="1" x14ac:dyDescent="0.35">
      <c r="A158" s="7" t="s">
        <v>1066</v>
      </c>
      <c r="B158" s="8">
        <v>3</v>
      </c>
      <c r="C158" s="8" t="s">
        <v>912</v>
      </c>
      <c r="D158" s="208">
        <v>0</v>
      </c>
    </row>
    <row r="159" spans="1:4" ht="27.75" customHeight="1" x14ac:dyDescent="0.35">
      <c r="A159" s="7" t="s">
        <v>1067</v>
      </c>
      <c r="B159" s="8">
        <v>3</v>
      </c>
      <c r="C159" s="8" t="s">
        <v>964</v>
      </c>
      <c r="D159" s="208">
        <v>0</v>
      </c>
    </row>
    <row r="160" spans="1:4" ht="27.75" customHeight="1" x14ac:dyDescent="0.35">
      <c r="A160" s="7" t="s">
        <v>1068</v>
      </c>
      <c r="B160" s="8">
        <v>3</v>
      </c>
      <c r="C160" s="8" t="s">
        <v>943</v>
      </c>
      <c r="D160" s="208">
        <v>0</v>
      </c>
    </row>
    <row r="161" spans="1:4" ht="27.75" customHeight="1" x14ac:dyDescent="0.35">
      <c r="A161" s="7" t="s">
        <v>1069</v>
      </c>
      <c r="B161" s="8">
        <v>3</v>
      </c>
      <c r="C161" s="8" t="s">
        <v>932</v>
      </c>
      <c r="D161" s="208">
        <v>0</v>
      </c>
    </row>
    <row r="162" spans="1:4" ht="27.75" customHeight="1" x14ac:dyDescent="0.35">
      <c r="A162" s="7" t="s">
        <v>1070</v>
      </c>
      <c r="B162" s="8">
        <v>3</v>
      </c>
      <c r="C162" s="8" t="s">
        <v>921</v>
      </c>
      <c r="D162" s="208">
        <v>0</v>
      </c>
    </row>
    <row r="163" spans="1:4" ht="27.75" customHeight="1" x14ac:dyDescent="0.35">
      <c r="A163" s="7" t="s">
        <v>1071</v>
      </c>
      <c r="B163" s="8">
        <v>3</v>
      </c>
      <c r="C163" s="8" t="s">
        <v>967</v>
      </c>
      <c r="D163" s="208">
        <v>0</v>
      </c>
    </row>
    <row r="164" spans="1:4" ht="27.75" customHeight="1" x14ac:dyDescent="0.35">
      <c r="A164" s="7" t="s">
        <v>1072</v>
      </c>
      <c r="B164" s="8">
        <v>3</v>
      </c>
      <c r="C164" s="8" t="s">
        <v>968</v>
      </c>
      <c r="D164" s="208">
        <v>0</v>
      </c>
    </row>
    <row r="165" spans="1:4" ht="27.75" customHeight="1" x14ac:dyDescent="0.35">
      <c r="A165" s="7" t="s">
        <v>1073</v>
      </c>
      <c r="B165" s="8">
        <v>3</v>
      </c>
      <c r="C165" s="8" t="s">
        <v>933</v>
      </c>
      <c r="D165" s="208">
        <v>0</v>
      </c>
    </row>
    <row r="166" spans="1:4" ht="27.75" customHeight="1" x14ac:dyDescent="0.35">
      <c r="A166" s="7" t="s">
        <v>1074</v>
      </c>
      <c r="B166" s="8">
        <v>3</v>
      </c>
      <c r="C166" s="8" t="s">
        <v>930</v>
      </c>
      <c r="D166" s="208">
        <v>0</v>
      </c>
    </row>
    <row r="167" spans="1:4" ht="27.75" customHeight="1" x14ac:dyDescent="0.35">
      <c r="A167" s="7" t="s">
        <v>1075</v>
      </c>
      <c r="B167" s="8">
        <v>3</v>
      </c>
      <c r="C167" s="8" t="s">
        <v>913</v>
      </c>
      <c r="D167" s="208">
        <v>0</v>
      </c>
    </row>
    <row r="168" spans="1:4" ht="27.75" customHeight="1" x14ac:dyDescent="0.35">
      <c r="A168" s="7" t="s">
        <v>1076</v>
      </c>
      <c r="B168" s="8">
        <v>3</v>
      </c>
      <c r="C168" s="8" t="s">
        <v>969</v>
      </c>
      <c r="D168" s="208">
        <v>0</v>
      </c>
    </row>
    <row r="169" spans="1:4" ht="27.75" customHeight="1" x14ac:dyDescent="0.35">
      <c r="A169" s="7" t="s">
        <v>1077</v>
      </c>
      <c r="B169" s="8">
        <v>3</v>
      </c>
      <c r="C169" s="8" t="s">
        <v>970</v>
      </c>
      <c r="D169" s="208">
        <v>0</v>
      </c>
    </row>
    <row r="170" spans="1:4" ht="27.75" customHeight="1" x14ac:dyDescent="0.35">
      <c r="A170" s="7" t="s">
        <v>1078</v>
      </c>
      <c r="B170" s="8">
        <v>3</v>
      </c>
      <c r="C170" s="8" t="s">
        <v>915</v>
      </c>
      <c r="D170" s="208">
        <v>0</v>
      </c>
    </row>
    <row r="171" spans="1:4" ht="27.75" customHeight="1" x14ac:dyDescent="0.35">
      <c r="A171" s="7" t="s">
        <v>1079</v>
      </c>
      <c r="B171" s="8">
        <v>3</v>
      </c>
      <c r="C171" s="8" t="s">
        <v>971</v>
      </c>
      <c r="D171" s="208">
        <v>0</v>
      </c>
    </row>
    <row r="172" spans="1:4" ht="27.75" customHeight="1" x14ac:dyDescent="0.35">
      <c r="A172" s="7" t="s">
        <v>1080</v>
      </c>
      <c r="B172" s="8">
        <v>3</v>
      </c>
      <c r="C172" s="8" t="s">
        <v>949</v>
      </c>
      <c r="D172" s="208">
        <v>0</v>
      </c>
    </row>
    <row r="173" spans="1:4" ht="27.75" customHeight="1" x14ac:dyDescent="0.35">
      <c r="A173" s="7" t="s">
        <v>1081</v>
      </c>
      <c r="B173" s="8">
        <v>3</v>
      </c>
      <c r="C173" s="8" t="s">
        <v>972</v>
      </c>
      <c r="D173" s="208">
        <v>0</v>
      </c>
    </row>
    <row r="174" spans="1:4" ht="27.75" customHeight="1" x14ac:dyDescent="0.35">
      <c r="A174" s="7" t="s">
        <v>1082</v>
      </c>
      <c r="B174" s="8">
        <v>3</v>
      </c>
      <c r="C174" s="8" t="s">
        <v>969</v>
      </c>
      <c r="D174" s="208">
        <v>0</v>
      </c>
    </row>
    <row r="175" spans="1:4" ht="27.75" customHeight="1" x14ac:dyDescent="0.35">
      <c r="A175" s="7" t="s">
        <v>1083</v>
      </c>
      <c r="B175" s="8">
        <v>3</v>
      </c>
      <c r="C175" s="8" t="s">
        <v>922</v>
      </c>
      <c r="D175" s="208">
        <v>0</v>
      </c>
    </row>
    <row r="176" spans="1:4" ht="27.75" customHeight="1" x14ac:dyDescent="0.35">
      <c r="A176" s="7" t="s">
        <v>1084</v>
      </c>
      <c r="B176" s="8">
        <v>3</v>
      </c>
      <c r="C176" s="8" t="s">
        <v>950</v>
      </c>
      <c r="D176" s="208">
        <v>0</v>
      </c>
    </row>
    <row r="177" spans="1:4" ht="27.75" customHeight="1" x14ac:dyDescent="0.35">
      <c r="A177" s="7" t="s">
        <v>1085</v>
      </c>
      <c r="B177" s="8">
        <v>3</v>
      </c>
      <c r="C177" s="8" t="s">
        <v>964</v>
      </c>
      <c r="D177" s="208">
        <v>0</v>
      </c>
    </row>
    <row r="178" spans="1:4" ht="27.75" customHeight="1" x14ac:dyDescent="0.35">
      <c r="A178" s="7" t="s">
        <v>1086</v>
      </c>
      <c r="B178" s="8">
        <v>3</v>
      </c>
      <c r="C178" s="8" t="s">
        <v>973</v>
      </c>
      <c r="D178" s="208">
        <v>0</v>
      </c>
    </row>
    <row r="179" spans="1:4" ht="27.75" customHeight="1" x14ac:dyDescent="0.35">
      <c r="A179" s="7" t="s">
        <v>1087</v>
      </c>
      <c r="B179" s="8">
        <v>3</v>
      </c>
      <c r="C179" s="8" t="s">
        <v>916</v>
      </c>
      <c r="D179" s="208">
        <v>0</v>
      </c>
    </row>
    <row r="180" spans="1:4" ht="27.75" customHeight="1" x14ac:dyDescent="0.35">
      <c r="A180" s="7" t="s">
        <v>1088</v>
      </c>
      <c r="B180" s="8">
        <v>3</v>
      </c>
      <c r="C180" s="8" t="s">
        <v>946</v>
      </c>
      <c r="D180" s="208">
        <v>0</v>
      </c>
    </row>
    <row r="181" spans="1:4" ht="27.75" customHeight="1" x14ac:dyDescent="0.35">
      <c r="A181" s="7" t="s">
        <v>1089</v>
      </c>
      <c r="B181" s="8">
        <v>3</v>
      </c>
      <c r="C181" s="8" t="s">
        <v>927</v>
      </c>
      <c r="D181" s="208">
        <v>0</v>
      </c>
    </row>
    <row r="182" spans="1:4" ht="27.75" customHeight="1" x14ac:dyDescent="0.35">
      <c r="A182" s="7" t="s">
        <v>1090</v>
      </c>
      <c r="B182" s="8">
        <v>3</v>
      </c>
      <c r="C182" s="8" t="s">
        <v>974</v>
      </c>
      <c r="D182" s="208">
        <v>0</v>
      </c>
    </row>
    <row r="183" spans="1:4" ht="27.75" customHeight="1" x14ac:dyDescent="0.35">
      <c r="A183" s="7" t="s">
        <v>1091</v>
      </c>
      <c r="B183" s="8">
        <v>3</v>
      </c>
      <c r="C183" s="8" t="s">
        <v>955</v>
      </c>
      <c r="D183" s="208">
        <v>0</v>
      </c>
    </row>
    <row r="184" spans="1:4" ht="27.75" customHeight="1" x14ac:dyDescent="0.35">
      <c r="A184" s="7" t="s">
        <v>1092</v>
      </c>
      <c r="B184" s="8">
        <v>3</v>
      </c>
      <c r="C184" s="8" t="s">
        <v>964</v>
      </c>
      <c r="D184" s="208">
        <v>0</v>
      </c>
    </row>
    <row r="185" spans="1:4" ht="27.75" customHeight="1" x14ac:dyDescent="0.35">
      <c r="A185" s="7" t="s">
        <v>1093</v>
      </c>
      <c r="B185" s="8">
        <v>3</v>
      </c>
      <c r="C185" s="8" t="s">
        <v>925</v>
      </c>
      <c r="D185" s="208">
        <v>0</v>
      </c>
    </row>
    <row r="186" spans="1:4" ht="27.75" customHeight="1" x14ac:dyDescent="0.35">
      <c r="A186" s="7" t="s">
        <v>1094</v>
      </c>
      <c r="B186" s="8">
        <v>3</v>
      </c>
      <c r="C186" s="8" t="s">
        <v>975</v>
      </c>
      <c r="D186" s="208">
        <v>0</v>
      </c>
    </row>
    <row r="187" spans="1:4" ht="27.75" customHeight="1" x14ac:dyDescent="0.35">
      <c r="A187" s="7" t="s">
        <v>1095</v>
      </c>
      <c r="B187" s="8">
        <v>3</v>
      </c>
      <c r="C187" s="8" t="s">
        <v>970</v>
      </c>
      <c r="D187" s="208">
        <v>0</v>
      </c>
    </row>
    <row r="188" spans="1:4" ht="27.75" customHeight="1" x14ac:dyDescent="0.35">
      <c r="A188" s="7" t="s">
        <v>1096</v>
      </c>
      <c r="B188" s="8">
        <v>3</v>
      </c>
      <c r="C188" s="8" t="s">
        <v>970</v>
      </c>
      <c r="D188" s="208">
        <v>0</v>
      </c>
    </row>
    <row r="189" spans="1:4" ht="27.75" customHeight="1" x14ac:dyDescent="0.35">
      <c r="A189" s="7" t="s">
        <v>1097</v>
      </c>
      <c r="B189" s="8">
        <v>3</v>
      </c>
      <c r="C189" s="8" t="s">
        <v>963</v>
      </c>
      <c r="D189" s="208">
        <v>0</v>
      </c>
    </row>
    <row r="190" spans="1:4" ht="27.75" customHeight="1" x14ac:dyDescent="0.35">
      <c r="A190" s="7" t="s">
        <v>1098</v>
      </c>
      <c r="B190" s="8">
        <v>3</v>
      </c>
      <c r="C190" s="8" t="s">
        <v>946</v>
      </c>
      <c r="D190" s="208">
        <v>0</v>
      </c>
    </row>
    <row r="191" spans="1:4" ht="27.75" customHeight="1" x14ac:dyDescent="0.35">
      <c r="A191" s="7" t="s">
        <v>1099</v>
      </c>
      <c r="B191" s="8">
        <v>3</v>
      </c>
      <c r="C191" s="8" t="s">
        <v>972</v>
      </c>
      <c r="D191" s="208">
        <v>0</v>
      </c>
    </row>
    <row r="192" spans="1:4" ht="27.75" customHeight="1" x14ac:dyDescent="0.35">
      <c r="A192" s="7" t="s">
        <v>1100</v>
      </c>
      <c r="B192" s="8">
        <v>3</v>
      </c>
      <c r="C192" s="8" t="s">
        <v>940</v>
      </c>
      <c r="D192" s="208">
        <v>0</v>
      </c>
    </row>
    <row r="193" spans="1:4" ht="27.75" customHeight="1" x14ac:dyDescent="0.35">
      <c r="A193" s="7" t="s">
        <v>1101</v>
      </c>
      <c r="B193" s="8">
        <v>3</v>
      </c>
      <c r="C193" s="8" t="s">
        <v>976</v>
      </c>
      <c r="D193" s="208">
        <v>0</v>
      </c>
    </row>
    <row r="194" spans="1:4" ht="27.75" customHeight="1" x14ac:dyDescent="0.35">
      <c r="A194" s="7" t="s">
        <v>1102</v>
      </c>
      <c r="B194" s="8">
        <v>3</v>
      </c>
      <c r="C194" s="8" t="s">
        <v>919</v>
      </c>
      <c r="D194" s="208">
        <v>0</v>
      </c>
    </row>
    <row r="195" spans="1:4" ht="27.75" customHeight="1" x14ac:dyDescent="0.35">
      <c r="A195" s="7" t="s">
        <v>1103</v>
      </c>
      <c r="B195" s="8">
        <v>3</v>
      </c>
      <c r="C195" s="8" t="s">
        <v>933</v>
      </c>
      <c r="D195" s="208">
        <v>0</v>
      </c>
    </row>
    <row r="196" spans="1:4" ht="27.75" customHeight="1" x14ac:dyDescent="0.35">
      <c r="A196" s="7" t="s">
        <v>1104</v>
      </c>
      <c r="B196" s="8">
        <v>3</v>
      </c>
      <c r="C196" s="8" t="s">
        <v>922</v>
      </c>
      <c r="D196" s="208">
        <v>0</v>
      </c>
    </row>
    <row r="197" spans="1:4" ht="27.75" customHeight="1" x14ac:dyDescent="0.35">
      <c r="A197" s="7" t="s">
        <v>1105</v>
      </c>
      <c r="B197" s="8">
        <v>3</v>
      </c>
      <c r="C197" s="8" t="s">
        <v>964</v>
      </c>
      <c r="D197" s="208">
        <v>0</v>
      </c>
    </row>
    <row r="198" spans="1:4" ht="27.75" customHeight="1" x14ac:dyDescent="0.35">
      <c r="A198" s="7" t="s">
        <v>1106</v>
      </c>
      <c r="B198" s="8">
        <v>3</v>
      </c>
      <c r="C198" s="8" t="s">
        <v>960</v>
      </c>
      <c r="D198" s="208">
        <v>0</v>
      </c>
    </row>
    <row r="199" spans="1:4" ht="27.75" customHeight="1" x14ac:dyDescent="0.35">
      <c r="A199" s="7" t="s">
        <v>1107</v>
      </c>
      <c r="B199" s="8">
        <v>3</v>
      </c>
      <c r="C199" s="8" t="s">
        <v>915</v>
      </c>
      <c r="D199" s="208">
        <v>0</v>
      </c>
    </row>
    <row r="200" spans="1:4" ht="27.75" customHeight="1" x14ac:dyDescent="0.35">
      <c r="A200" s="7" t="s">
        <v>1108</v>
      </c>
      <c r="B200" s="8">
        <v>3</v>
      </c>
      <c r="C200" s="8" t="s">
        <v>921</v>
      </c>
      <c r="D200" s="208">
        <v>0</v>
      </c>
    </row>
    <row r="201" spans="1:4" ht="27.75" customHeight="1" x14ac:dyDescent="0.35">
      <c r="A201" s="7" t="s">
        <v>1109</v>
      </c>
      <c r="B201" s="8">
        <v>3</v>
      </c>
      <c r="C201" s="8" t="s">
        <v>937</v>
      </c>
      <c r="D201" s="208">
        <v>0</v>
      </c>
    </row>
    <row r="202" spans="1:4" ht="27.75" customHeight="1" x14ac:dyDescent="0.35">
      <c r="A202" s="7" t="s">
        <v>1110</v>
      </c>
      <c r="B202" s="8">
        <v>3</v>
      </c>
      <c r="C202" s="8" t="s">
        <v>932</v>
      </c>
      <c r="D202" s="208">
        <v>0</v>
      </c>
    </row>
    <row r="203" spans="1:4" ht="27.75" customHeight="1" x14ac:dyDescent="0.35">
      <c r="A203" s="7" t="s">
        <v>1111</v>
      </c>
      <c r="B203" s="8">
        <v>3</v>
      </c>
      <c r="C203" s="8" t="s">
        <v>932</v>
      </c>
      <c r="D203" s="208">
        <v>0</v>
      </c>
    </row>
    <row r="204" spans="1:4" ht="27.75" customHeight="1" x14ac:dyDescent="0.35">
      <c r="A204" s="7" t="s">
        <v>1112</v>
      </c>
      <c r="B204" s="8">
        <v>3</v>
      </c>
      <c r="C204" s="8" t="s">
        <v>942</v>
      </c>
      <c r="D204" s="208">
        <v>0</v>
      </c>
    </row>
    <row r="205" spans="1:4" ht="27.75" customHeight="1" x14ac:dyDescent="0.35">
      <c r="A205" s="7" t="s">
        <v>1113</v>
      </c>
      <c r="B205" s="8">
        <v>3</v>
      </c>
      <c r="C205" s="8" t="s">
        <v>940</v>
      </c>
      <c r="D205" s="208">
        <v>0</v>
      </c>
    </row>
    <row r="206" spans="1:4" ht="27.75" customHeight="1" x14ac:dyDescent="0.35">
      <c r="A206" s="7" t="s">
        <v>1114</v>
      </c>
      <c r="B206" s="8">
        <v>3</v>
      </c>
      <c r="C206" s="8" t="s">
        <v>920</v>
      </c>
      <c r="D206" s="208">
        <v>0</v>
      </c>
    </row>
    <row r="207" spans="1:4" ht="27.75" customHeight="1" x14ac:dyDescent="0.35">
      <c r="A207" s="7" t="s">
        <v>1115</v>
      </c>
      <c r="B207" s="8">
        <v>3</v>
      </c>
      <c r="C207" s="8" t="s">
        <v>932</v>
      </c>
      <c r="D207" s="208">
        <v>0</v>
      </c>
    </row>
    <row r="208" spans="1:4" ht="27.75" customHeight="1" x14ac:dyDescent="0.35">
      <c r="A208" s="7" t="s">
        <v>1116</v>
      </c>
      <c r="B208" s="8">
        <v>3</v>
      </c>
      <c r="C208" s="8" t="s">
        <v>920</v>
      </c>
      <c r="D208" s="208">
        <v>0</v>
      </c>
    </row>
    <row r="209" spans="1:4" ht="27.75" customHeight="1" x14ac:dyDescent="0.35">
      <c r="A209" s="7" t="s">
        <v>1117</v>
      </c>
      <c r="B209" s="8">
        <v>3</v>
      </c>
      <c r="C209" s="8" t="s">
        <v>962</v>
      </c>
      <c r="D209" s="208">
        <v>0</v>
      </c>
    </row>
    <row r="210" spans="1:4" ht="27.75" customHeight="1" x14ac:dyDescent="0.35">
      <c r="A210" s="7" t="s">
        <v>1118</v>
      </c>
      <c r="B210" s="8">
        <v>3</v>
      </c>
      <c r="C210" s="8" t="s">
        <v>933</v>
      </c>
      <c r="D210" s="208">
        <v>0</v>
      </c>
    </row>
    <row r="211" spans="1:4" ht="27.75" customHeight="1" x14ac:dyDescent="0.35">
      <c r="A211" s="7" t="s">
        <v>1119</v>
      </c>
      <c r="B211" s="8">
        <v>3</v>
      </c>
      <c r="C211" s="8" t="s">
        <v>920</v>
      </c>
      <c r="D211" s="208">
        <v>0</v>
      </c>
    </row>
    <row r="212" spans="1:4" ht="27.75" customHeight="1" x14ac:dyDescent="0.35">
      <c r="A212" s="7" t="s">
        <v>1120</v>
      </c>
      <c r="B212" s="8">
        <v>3</v>
      </c>
      <c r="C212" s="8" t="s">
        <v>976</v>
      </c>
      <c r="D212" s="208">
        <v>0</v>
      </c>
    </row>
    <row r="213" spans="1:4" ht="27.75" customHeight="1" x14ac:dyDescent="0.35">
      <c r="A213" s="7" t="s">
        <v>1121</v>
      </c>
      <c r="B213" s="8">
        <v>3</v>
      </c>
      <c r="C213" s="8" t="s">
        <v>935</v>
      </c>
      <c r="D213" s="208">
        <v>0</v>
      </c>
    </row>
    <row r="214" spans="1:4" ht="27.75" customHeight="1" x14ac:dyDescent="0.35">
      <c r="A214" s="7" t="s">
        <v>1122</v>
      </c>
      <c r="B214" s="8">
        <v>3</v>
      </c>
      <c r="C214" s="8" t="s">
        <v>979</v>
      </c>
      <c r="D214" s="208">
        <v>0</v>
      </c>
    </row>
    <row r="215" spans="1:4" ht="27.75" customHeight="1" x14ac:dyDescent="0.35">
      <c r="A215" s="7" t="s">
        <v>1123</v>
      </c>
      <c r="B215" s="8">
        <v>3</v>
      </c>
      <c r="C215" s="8" t="s">
        <v>932</v>
      </c>
      <c r="D215" s="208">
        <v>0</v>
      </c>
    </row>
    <row r="216" spans="1:4" ht="27.75" customHeight="1" x14ac:dyDescent="0.35">
      <c r="A216" s="7" t="s">
        <v>1124</v>
      </c>
      <c r="B216" s="8">
        <v>3</v>
      </c>
      <c r="C216" s="8" t="s">
        <v>956</v>
      </c>
      <c r="D216" s="208">
        <v>0</v>
      </c>
    </row>
    <row r="217" spans="1:4" ht="27.75" customHeight="1" x14ac:dyDescent="0.35">
      <c r="A217" s="7" t="s">
        <v>1125</v>
      </c>
      <c r="B217" s="8">
        <v>3</v>
      </c>
      <c r="C217" s="8" t="s">
        <v>971</v>
      </c>
      <c r="D217" s="208">
        <v>0</v>
      </c>
    </row>
    <row r="218" spans="1:4" ht="27.75" customHeight="1" x14ac:dyDescent="0.35">
      <c r="A218" s="7" t="s">
        <v>1126</v>
      </c>
      <c r="B218" s="8">
        <v>3</v>
      </c>
      <c r="C218" s="8" t="s">
        <v>957</v>
      </c>
      <c r="D218" s="208">
        <v>0</v>
      </c>
    </row>
    <row r="219" spans="1:4" ht="27.75" customHeight="1" x14ac:dyDescent="0.35">
      <c r="A219" s="7" t="s">
        <v>1127</v>
      </c>
      <c r="B219" s="8">
        <v>3</v>
      </c>
      <c r="C219" s="8" t="s">
        <v>938</v>
      </c>
      <c r="D219" s="208">
        <v>0</v>
      </c>
    </row>
    <row r="220" spans="1:4" ht="27.75" customHeight="1" x14ac:dyDescent="0.35">
      <c r="A220" s="7" t="s">
        <v>1128</v>
      </c>
      <c r="B220" s="8">
        <v>3</v>
      </c>
      <c r="C220" s="8" t="s">
        <v>963</v>
      </c>
      <c r="D220" s="208">
        <v>0</v>
      </c>
    </row>
    <row r="221" spans="1:4" ht="27.75" customHeight="1" x14ac:dyDescent="0.35">
      <c r="A221" s="7" t="s">
        <v>1129</v>
      </c>
      <c r="B221" s="8">
        <v>3</v>
      </c>
      <c r="C221" s="8" t="s">
        <v>927</v>
      </c>
      <c r="D221" s="208">
        <v>0</v>
      </c>
    </row>
    <row r="222" spans="1:4" ht="27.75" customHeight="1" x14ac:dyDescent="0.35">
      <c r="A222" s="7" t="s">
        <v>1130</v>
      </c>
      <c r="B222" s="8">
        <v>3</v>
      </c>
      <c r="C222" s="8" t="s">
        <v>969</v>
      </c>
      <c r="D222" s="208">
        <v>0</v>
      </c>
    </row>
    <row r="223" spans="1:4" ht="27.75" customHeight="1" x14ac:dyDescent="0.35">
      <c r="A223" s="7" t="s">
        <v>1131</v>
      </c>
      <c r="B223" s="8">
        <v>3</v>
      </c>
      <c r="C223" s="8" t="s">
        <v>978</v>
      </c>
      <c r="D223" s="208">
        <v>0</v>
      </c>
    </row>
    <row r="224" spans="1:4" ht="27.75" customHeight="1" x14ac:dyDescent="0.35">
      <c r="A224" s="7" t="s">
        <v>1132</v>
      </c>
      <c r="B224" s="8">
        <v>3</v>
      </c>
      <c r="C224" s="8" t="s">
        <v>934</v>
      </c>
      <c r="D224" s="208">
        <v>0</v>
      </c>
    </row>
    <row r="225" spans="1:4" ht="27.75" customHeight="1" x14ac:dyDescent="0.35">
      <c r="A225" s="7" t="s">
        <v>1133</v>
      </c>
      <c r="B225" s="8">
        <v>3</v>
      </c>
      <c r="C225" s="8" t="s">
        <v>950</v>
      </c>
      <c r="D225" s="208">
        <v>0</v>
      </c>
    </row>
    <row r="226" spans="1:4" ht="27.75" customHeight="1" x14ac:dyDescent="0.35">
      <c r="A226" s="7" t="s">
        <v>1134</v>
      </c>
      <c r="B226" s="8">
        <v>3</v>
      </c>
      <c r="C226" s="8" t="s">
        <v>929</v>
      </c>
      <c r="D226" s="208">
        <v>0</v>
      </c>
    </row>
    <row r="227" spans="1:4" ht="27.75" customHeight="1" x14ac:dyDescent="0.35">
      <c r="A227" s="7" t="s">
        <v>1135</v>
      </c>
      <c r="B227" s="8">
        <v>3</v>
      </c>
      <c r="C227" s="8" t="s">
        <v>930</v>
      </c>
      <c r="D227" s="208">
        <v>0</v>
      </c>
    </row>
    <row r="228" spans="1:4" ht="27.75" customHeight="1" x14ac:dyDescent="0.35">
      <c r="A228" s="7" t="s">
        <v>1136</v>
      </c>
      <c r="B228" s="8">
        <v>3</v>
      </c>
      <c r="C228" s="8" t="s">
        <v>917</v>
      </c>
      <c r="D228" s="208">
        <v>0</v>
      </c>
    </row>
    <row r="229" spans="1:4" ht="27.75" customHeight="1" x14ac:dyDescent="0.35">
      <c r="A229" s="7" t="s">
        <v>1137</v>
      </c>
      <c r="B229" s="8">
        <v>3</v>
      </c>
      <c r="C229" s="8" t="s">
        <v>981</v>
      </c>
      <c r="D229" s="208">
        <v>0</v>
      </c>
    </row>
    <row r="230" spans="1:4" ht="27.75" customHeight="1" x14ac:dyDescent="0.35">
      <c r="A230" s="7" t="s">
        <v>1138</v>
      </c>
      <c r="B230" s="8">
        <v>3</v>
      </c>
      <c r="C230" s="8" t="s">
        <v>923</v>
      </c>
      <c r="D230" s="208">
        <v>0</v>
      </c>
    </row>
    <row r="231" spans="1:4" ht="27.75" customHeight="1" x14ac:dyDescent="0.35">
      <c r="A231" s="7" t="s">
        <v>1139</v>
      </c>
      <c r="B231" s="8">
        <v>3</v>
      </c>
      <c r="C231" s="8" t="s">
        <v>926</v>
      </c>
      <c r="D231" s="208">
        <v>0</v>
      </c>
    </row>
    <row r="232" spans="1:4" ht="27.75" customHeight="1" x14ac:dyDescent="0.35">
      <c r="A232" s="7" t="s">
        <v>1140</v>
      </c>
      <c r="B232" s="8">
        <v>3</v>
      </c>
      <c r="C232" s="8" t="s">
        <v>939</v>
      </c>
      <c r="D232" s="208">
        <v>0</v>
      </c>
    </row>
    <row r="233" spans="1:4" ht="27.75" customHeight="1" x14ac:dyDescent="0.35">
      <c r="A233" s="7" t="s">
        <v>1141</v>
      </c>
      <c r="B233" s="8">
        <v>3</v>
      </c>
      <c r="C233" s="8" t="s">
        <v>941</v>
      </c>
      <c r="D233" s="208">
        <v>0</v>
      </c>
    </row>
    <row r="234" spans="1:4" ht="27.75" customHeight="1" x14ac:dyDescent="0.35">
      <c r="A234" s="7" t="s">
        <v>1142</v>
      </c>
      <c r="B234" s="8">
        <v>3</v>
      </c>
      <c r="C234" s="8" t="s">
        <v>931</v>
      </c>
      <c r="D234" s="208">
        <v>0</v>
      </c>
    </row>
    <row r="235" spans="1:4" ht="27.75" customHeight="1" x14ac:dyDescent="0.35">
      <c r="A235" s="7" t="s">
        <v>1143</v>
      </c>
      <c r="B235" s="8">
        <v>3</v>
      </c>
      <c r="C235" s="8" t="s">
        <v>916</v>
      </c>
      <c r="D235" s="208">
        <v>0</v>
      </c>
    </row>
    <row r="236" spans="1:4" ht="27.75" customHeight="1" x14ac:dyDescent="0.35">
      <c r="A236" s="7" t="s">
        <v>1144</v>
      </c>
      <c r="B236" s="8">
        <v>3</v>
      </c>
      <c r="C236" s="8" t="s">
        <v>930</v>
      </c>
      <c r="D236" s="208">
        <v>5.0436527343479796</v>
      </c>
    </row>
    <row r="237" spans="1:4" ht="27.75" customHeight="1" x14ac:dyDescent="0.35">
      <c r="A237" s="7" t="s">
        <v>1145</v>
      </c>
      <c r="B237" s="8">
        <v>3</v>
      </c>
      <c r="C237" s="8" t="s">
        <v>978</v>
      </c>
      <c r="D237" s="208">
        <v>0</v>
      </c>
    </row>
    <row r="238" spans="1:4" ht="27.75" customHeight="1" x14ac:dyDescent="0.35">
      <c r="A238" s="7" t="s">
        <v>1146</v>
      </c>
      <c r="B238" s="8">
        <v>3</v>
      </c>
      <c r="C238" s="8" t="s">
        <v>932</v>
      </c>
      <c r="D238" s="208">
        <v>0</v>
      </c>
    </row>
    <row r="239" spans="1:4" ht="27.75" customHeight="1" x14ac:dyDescent="0.35">
      <c r="A239" s="7" t="s">
        <v>1147</v>
      </c>
      <c r="B239" s="8">
        <v>3</v>
      </c>
      <c r="C239" s="8" t="s">
        <v>967</v>
      </c>
      <c r="D239" s="208">
        <v>0</v>
      </c>
    </row>
    <row r="240" spans="1:4" ht="27.75" customHeight="1" x14ac:dyDescent="0.35">
      <c r="A240" s="7" t="s">
        <v>1148</v>
      </c>
      <c r="B240" s="8">
        <v>3</v>
      </c>
      <c r="C240" s="8" t="s">
        <v>932</v>
      </c>
      <c r="D240" s="208">
        <v>0</v>
      </c>
    </row>
    <row r="241" spans="1:4" ht="27.75" customHeight="1" x14ac:dyDescent="0.35">
      <c r="A241" s="7" t="s">
        <v>1149</v>
      </c>
      <c r="B241" s="8">
        <v>3</v>
      </c>
      <c r="C241" s="8" t="s">
        <v>982</v>
      </c>
      <c r="D241" s="208">
        <v>0</v>
      </c>
    </row>
    <row r="242" spans="1:4" ht="27.75" customHeight="1" x14ac:dyDescent="0.35">
      <c r="A242" s="7" t="s">
        <v>1150</v>
      </c>
      <c r="B242" s="8">
        <v>3</v>
      </c>
      <c r="C242" s="8" t="s">
        <v>976</v>
      </c>
      <c r="D242" s="208">
        <v>0</v>
      </c>
    </row>
    <row r="243" spans="1:4" ht="27.75" customHeight="1" x14ac:dyDescent="0.35">
      <c r="A243" s="7" t="s">
        <v>1151</v>
      </c>
      <c r="B243" s="8">
        <v>3</v>
      </c>
      <c r="C243" s="8" t="s">
        <v>932</v>
      </c>
      <c r="D243" s="208">
        <v>0</v>
      </c>
    </row>
    <row r="244" spans="1:4" ht="27.75" customHeight="1" x14ac:dyDescent="0.35">
      <c r="A244" s="7" t="s">
        <v>1152</v>
      </c>
      <c r="B244" s="8">
        <v>3</v>
      </c>
      <c r="C244" s="8" t="s">
        <v>918</v>
      </c>
      <c r="D244" s="208">
        <v>0</v>
      </c>
    </row>
    <row r="245" spans="1:4" ht="27.75" customHeight="1" x14ac:dyDescent="0.35">
      <c r="A245" s="7" t="s">
        <v>1153</v>
      </c>
      <c r="B245" s="8">
        <v>3</v>
      </c>
      <c r="C245" s="8" t="s">
        <v>972</v>
      </c>
      <c r="D245" s="208">
        <v>0</v>
      </c>
    </row>
    <row r="246" spans="1:4" ht="27.75" customHeight="1" x14ac:dyDescent="0.35">
      <c r="A246" s="7" t="s">
        <v>1154</v>
      </c>
      <c r="B246" s="8">
        <v>3</v>
      </c>
      <c r="C246" s="8" t="s">
        <v>941</v>
      </c>
      <c r="D246" s="208">
        <v>0</v>
      </c>
    </row>
    <row r="247" spans="1:4" ht="27.75" customHeight="1" x14ac:dyDescent="0.35">
      <c r="A247" s="7" t="s">
        <v>1155</v>
      </c>
      <c r="B247" s="8">
        <v>3</v>
      </c>
      <c r="C247" s="8" t="s">
        <v>933</v>
      </c>
      <c r="D247" s="208">
        <v>0</v>
      </c>
    </row>
    <row r="248" spans="1:4" ht="27.75" customHeight="1" x14ac:dyDescent="0.35">
      <c r="A248" s="7" t="s">
        <v>1156</v>
      </c>
      <c r="B248" s="8">
        <v>3</v>
      </c>
      <c r="C248" s="8" t="s">
        <v>983</v>
      </c>
      <c r="D248" s="208">
        <v>0</v>
      </c>
    </row>
    <row r="249" spans="1:4" ht="27.75" customHeight="1" x14ac:dyDescent="0.35">
      <c r="A249" s="7" t="s">
        <v>1157</v>
      </c>
      <c r="B249" s="8">
        <v>3</v>
      </c>
      <c r="C249" s="8" t="s">
        <v>956</v>
      </c>
      <c r="D249" s="208">
        <v>0</v>
      </c>
    </row>
    <row r="250" spans="1:4" ht="27.75" customHeight="1" x14ac:dyDescent="0.35">
      <c r="A250" s="7" t="s">
        <v>1158</v>
      </c>
      <c r="B250" s="8">
        <v>3</v>
      </c>
      <c r="C250" s="8" t="s">
        <v>954</v>
      </c>
      <c r="D250" s="208">
        <v>0</v>
      </c>
    </row>
    <row r="251" spans="1:4" ht="27.75" customHeight="1" x14ac:dyDescent="0.35">
      <c r="A251" s="7" t="s">
        <v>1159</v>
      </c>
      <c r="B251" s="8">
        <v>3</v>
      </c>
      <c r="C251" s="8" t="s">
        <v>922</v>
      </c>
      <c r="D251" s="208">
        <v>0</v>
      </c>
    </row>
    <row r="252" spans="1:4" ht="27.75" customHeight="1" x14ac:dyDescent="0.35">
      <c r="A252" s="7" t="s">
        <v>1160</v>
      </c>
      <c r="B252" s="8">
        <v>3</v>
      </c>
      <c r="C252" s="8" t="s">
        <v>931</v>
      </c>
      <c r="D252" s="208">
        <v>0</v>
      </c>
    </row>
    <row r="253" spans="1:4" ht="27.75" customHeight="1" x14ac:dyDescent="0.35">
      <c r="A253" s="7" t="s">
        <v>1161</v>
      </c>
      <c r="B253" s="8">
        <v>3</v>
      </c>
      <c r="C253" s="8" t="s">
        <v>960</v>
      </c>
      <c r="D253" s="208">
        <v>0</v>
      </c>
    </row>
    <row r="254" spans="1:4" ht="27.75" customHeight="1" x14ac:dyDescent="0.35">
      <c r="A254" s="7" t="s">
        <v>1162</v>
      </c>
      <c r="B254" s="8">
        <v>3</v>
      </c>
      <c r="C254" s="8" t="s">
        <v>959</v>
      </c>
      <c r="D254" s="208">
        <v>0</v>
      </c>
    </row>
    <row r="255" spans="1:4" ht="27.75" customHeight="1" x14ac:dyDescent="0.35">
      <c r="A255" s="7" t="s">
        <v>1163</v>
      </c>
      <c r="B255" s="8">
        <v>3</v>
      </c>
      <c r="C255" s="8" t="s">
        <v>920</v>
      </c>
      <c r="D255" s="208">
        <v>0</v>
      </c>
    </row>
    <row r="256" spans="1:4" ht="27.75" customHeight="1" x14ac:dyDescent="0.35">
      <c r="A256" s="7" t="s">
        <v>1164</v>
      </c>
      <c r="B256" s="8">
        <v>3</v>
      </c>
      <c r="C256" s="8" t="s">
        <v>968</v>
      </c>
      <c r="D256" s="208">
        <v>0</v>
      </c>
    </row>
    <row r="257" spans="1:4" ht="27.75" customHeight="1" x14ac:dyDescent="0.35">
      <c r="A257" s="7" t="s">
        <v>1165</v>
      </c>
      <c r="B257" s="8">
        <v>3</v>
      </c>
      <c r="C257" s="8" t="s">
        <v>937</v>
      </c>
      <c r="D257" s="208">
        <v>0</v>
      </c>
    </row>
    <row r="258" spans="1:4" ht="27.75" customHeight="1" x14ac:dyDescent="0.35">
      <c r="A258" s="7" t="s">
        <v>1166</v>
      </c>
      <c r="B258" s="8">
        <v>3</v>
      </c>
      <c r="C258" s="8" t="s">
        <v>932</v>
      </c>
      <c r="D258" s="208">
        <v>0</v>
      </c>
    </row>
    <row r="259" spans="1:4" ht="27.75" customHeight="1" x14ac:dyDescent="0.35">
      <c r="A259" s="7" t="s">
        <v>1167</v>
      </c>
      <c r="B259" s="8">
        <v>3</v>
      </c>
      <c r="C259" s="8" t="s">
        <v>961</v>
      </c>
      <c r="D259" s="208">
        <v>0</v>
      </c>
    </row>
    <row r="260" spans="1:4" ht="27.75" customHeight="1" x14ac:dyDescent="0.35">
      <c r="A260" s="7" t="s">
        <v>1168</v>
      </c>
      <c r="B260" s="8">
        <v>3</v>
      </c>
      <c r="C260" s="8" t="s">
        <v>968</v>
      </c>
      <c r="D260" s="208">
        <v>0</v>
      </c>
    </row>
    <row r="261" spans="1:4" ht="27.75" customHeight="1" x14ac:dyDescent="0.35">
      <c r="A261" s="7" t="s">
        <v>1169</v>
      </c>
      <c r="B261" s="8">
        <v>3</v>
      </c>
      <c r="C261" s="8" t="s">
        <v>952</v>
      </c>
      <c r="D261" s="208">
        <v>0</v>
      </c>
    </row>
    <row r="262" spans="1:4" ht="27.75" customHeight="1" x14ac:dyDescent="0.35">
      <c r="A262" s="7" t="s">
        <v>1170</v>
      </c>
      <c r="B262" s="8">
        <v>3</v>
      </c>
      <c r="C262" s="8" t="s">
        <v>977</v>
      </c>
      <c r="D262" s="208">
        <v>0</v>
      </c>
    </row>
    <row r="263" spans="1:4" ht="27.75" customHeight="1" x14ac:dyDescent="0.35">
      <c r="A263" s="7" t="s">
        <v>1171</v>
      </c>
      <c r="B263" s="8">
        <v>3</v>
      </c>
      <c r="C263" s="8" t="s">
        <v>957</v>
      </c>
      <c r="D263" s="208">
        <v>0</v>
      </c>
    </row>
    <row r="264" spans="1:4" ht="27.75" customHeight="1" x14ac:dyDescent="0.35">
      <c r="A264" s="7" t="s">
        <v>1172</v>
      </c>
      <c r="B264" s="8">
        <v>3</v>
      </c>
      <c r="C264" s="8" t="s">
        <v>974</v>
      </c>
      <c r="D264" s="208">
        <v>2.5772280769729798</v>
      </c>
    </row>
    <row r="265" spans="1:4" ht="27.75" customHeight="1" x14ac:dyDescent="0.35">
      <c r="A265" s="7" t="s">
        <v>1173</v>
      </c>
      <c r="B265" s="8">
        <v>3</v>
      </c>
      <c r="C265" s="8" t="s">
        <v>924</v>
      </c>
      <c r="D265" s="208">
        <v>0</v>
      </c>
    </row>
    <row r="266" spans="1:4" ht="27.75" customHeight="1" x14ac:dyDescent="0.35">
      <c r="A266" s="7" t="s">
        <v>1174</v>
      </c>
      <c r="B266" s="8">
        <v>3</v>
      </c>
      <c r="C266" s="8" t="s">
        <v>923</v>
      </c>
      <c r="D266" s="208">
        <v>0</v>
      </c>
    </row>
    <row r="267" spans="1:4" ht="27.75" customHeight="1" x14ac:dyDescent="0.35">
      <c r="A267" s="7" t="s">
        <v>1175</v>
      </c>
      <c r="B267" s="8">
        <v>3</v>
      </c>
      <c r="C267" s="8" t="s">
        <v>917</v>
      </c>
      <c r="D267" s="208">
        <v>0</v>
      </c>
    </row>
    <row r="268" spans="1:4" ht="27.75" customHeight="1" x14ac:dyDescent="0.35">
      <c r="A268" s="7" t="s">
        <v>1176</v>
      </c>
      <c r="B268" s="8">
        <v>3</v>
      </c>
      <c r="C268" s="8" t="s">
        <v>949</v>
      </c>
      <c r="D268" s="208">
        <v>0</v>
      </c>
    </row>
    <row r="269" spans="1:4" ht="27.75" customHeight="1" x14ac:dyDescent="0.35">
      <c r="A269" s="7" t="s">
        <v>1177</v>
      </c>
      <c r="B269" s="8">
        <v>3</v>
      </c>
      <c r="C269" s="8" t="s">
        <v>924</v>
      </c>
      <c r="D269" s="208">
        <v>0</v>
      </c>
    </row>
    <row r="270" spans="1:4" ht="27.75" customHeight="1" x14ac:dyDescent="0.35">
      <c r="A270" s="7" t="s">
        <v>1178</v>
      </c>
      <c r="B270" s="8">
        <v>3</v>
      </c>
      <c r="C270" s="8" t="s">
        <v>973</v>
      </c>
      <c r="D270" s="208">
        <v>0</v>
      </c>
    </row>
    <row r="271" spans="1:4" ht="27.75" customHeight="1" x14ac:dyDescent="0.35">
      <c r="A271" s="7" t="s">
        <v>1179</v>
      </c>
      <c r="B271" s="8">
        <v>3</v>
      </c>
      <c r="C271" s="8" t="s">
        <v>980</v>
      </c>
      <c r="D271" s="208">
        <v>0</v>
      </c>
    </row>
    <row r="272" spans="1:4" ht="27.75" customHeight="1" x14ac:dyDescent="0.35">
      <c r="A272" s="7" t="s">
        <v>1180</v>
      </c>
      <c r="B272" s="8">
        <v>3</v>
      </c>
      <c r="C272" s="8" t="s">
        <v>938</v>
      </c>
      <c r="D272" s="208">
        <v>0</v>
      </c>
    </row>
    <row r="273" spans="1:4" ht="27.75" customHeight="1" x14ac:dyDescent="0.35">
      <c r="A273" s="7" t="s">
        <v>1181</v>
      </c>
      <c r="B273" s="8">
        <v>3</v>
      </c>
      <c r="C273" s="8" t="s">
        <v>918</v>
      </c>
      <c r="D273" s="208">
        <v>0</v>
      </c>
    </row>
    <row r="274" spans="1:4" ht="27.75" customHeight="1" x14ac:dyDescent="0.35">
      <c r="A274" s="7" t="s">
        <v>1182</v>
      </c>
      <c r="B274" s="8">
        <v>3</v>
      </c>
      <c r="C274" s="8" t="s">
        <v>956</v>
      </c>
      <c r="D274" s="208">
        <v>0</v>
      </c>
    </row>
    <row r="275" spans="1:4" ht="27.75" customHeight="1" x14ac:dyDescent="0.35">
      <c r="A275" s="7" t="s">
        <v>1183</v>
      </c>
      <c r="B275" s="8">
        <v>3</v>
      </c>
      <c r="C275" s="8" t="s">
        <v>948</v>
      </c>
      <c r="D275" s="208">
        <v>0</v>
      </c>
    </row>
    <row r="276" spans="1:4" ht="27.75" customHeight="1" x14ac:dyDescent="0.35">
      <c r="A276" s="7" t="s">
        <v>1184</v>
      </c>
      <c r="B276" s="8">
        <v>3</v>
      </c>
      <c r="C276" s="8" t="s">
        <v>923</v>
      </c>
      <c r="D276" s="208">
        <v>0</v>
      </c>
    </row>
    <row r="277" spans="1:4" ht="27.75" customHeight="1" x14ac:dyDescent="0.35">
      <c r="A277" s="7" t="s">
        <v>1185</v>
      </c>
      <c r="B277" s="8">
        <v>3</v>
      </c>
      <c r="C277" s="8" t="s">
        <v>964</v>
      </c>
      <c r="D277" s="208">
        <v>0</v>
      </c>
    </row>
    <row r="278" spans="1:4" ht="27.75" customHeight="1" x14ac:dyDescent="0.35">
      <c r="A278" s="7" t="s">
        <v>1186</v>
      </c>
      <c r="B278" s="8">
        <v>3</v>
      </c>
      <c r="C278" s="8" t="s">
        <v>913</v>
      </c>
      <c r="D278" s="208">
        <v>0</v>
      </c>
    </row>
    <row r="279" spans="1:4" ht="27.75" customHeight="1" x14ac:dyDescent="0.35">
      <c r="A279" s="7" t="s">
        <v>1187</v>
      </c>
      <c r="B279" s="8">
        <v>3</v>
      </c>
      <c r="C279" s="8" t="s">
        <v>951</v>
      </c>
      <c r="D279" s="208">
        <v>0</v>
      </c>
    </row>
    <row r="280" spans="1:4" ht="27.75" customHeight="1" x14ac:dyDescent="0.35">
      <c r="A280" s="7" t="s">
        <v>1188</v>
      </c>
      <c r="B280" s="8">
        <v>3</v>
      </c>
      <c r="C280" s="8" t="s">
        <v>984</v>
      </c>
      <c r="D280" s="208">
        <v>0</v>
      </c>
    </row>
    <row r="281" spans="1:4" ht="27.75" customHeight="1" x14ac:dyDescent="0.35">
      <c r="A281" s="7" t="s">
        <v>1189</v>
      </c>
      <c r="B281" s="8">
        <v>3</v>
      </c>
      <c r="C281" s="8" t="s">
        <v>946</v>
      </c>
      <c r="D281" s="208">
        <v>0</v>
      </c>
    </row>
    <row r="282" spans="1:4" ht="27.75" customHeight="1" x14ac:dyDescent="0.35">
      <c r="A282" s="7" t="s">
        <v>1190</v>
      </c>
      <c r="B282" s="8">
        <v>3</v>
      </c>
      <c r="C282" s="8" t="s">
        <v>933</v>
      </c>
      <c r="D282" s="208">
        <v>0</v>
      </c>
    </row>
    <row r="283" spans="1:4" ht="27.75" customHeight="1" x14ac:dyDescent="0.35">
      <c r="A283" s="7" t="s">
        <v>1191</v>
      </c>
      <c r="B283" s="8">
        <v>3</v>
      </c>
      <c r="C283" s="8" t="s">
        <v>930</v>
      </c>
      <c r="D283" s="208">
        <v>0</v>
      </c>
    </row>
    <row r="284" spans="1:4" ht="27.75" customHeight="1" x14ac:dyDescent="0.35">
      <c r="A284" s="7" t="s">
        <v>1192</v>
      </c>
      <c r="B284" s="8">
        <v>3</v>
      </c>
      <c r="C284" s="8" t="s">
        <v>948</v>
      </c>
      <c r="D284" s="208">
        <v>0</v>
      </c>
    </row>
    <row r="285" spans="1:4" ht="27.75" customHeight="1" x14ac:dyDescent="0.35">
      <c r="A285" s="7" t="s">
        <v>1193</v>
      </c>
      <c r="B285" s="8">
        <v>3</v>
      </c>
      <c r="C285" s="8" t="s">
        <v>947</v>
      </c>
      <c r="D285" s="208">
        <v>0</v>
      </c>
    </row>
    <row r="286" spans="1:4" ht="27.75" customHeight="1" x14ac:dyDescent="0.35">
      <c r="A286" s="7" t="s">
        <v>1194</v>
      </c>
      <c r="B286" s="8">
        <v>3</v>
      </c>
      <c r="C286" s="8" t="s">
        <v>946</v>
      </c>
      <c r="D286" s="208">
        <v>0</v>
      </c>
    </row>
    <row r="287" spans="1:4" ht="27.75" customHeight="1" x14ac:dyDescent="0.35">
      <c r="A287" s="7" t="s">
        <v>1195</v>
      </c>
      <c r="B287" s="8">
        <v>3</v>
      </c>
      <c r="C287" s="8" t="s">
        <v>938</v>
      </c>
      <c r="D287" s="208">
        <v>0</v>
      </c>
    </row>
    <row r="288" spans="1:4" ht="27.75" customHeight="1" x14ac:dyDescent="0.35">
      <c r="A288" s="7" t="s">
        <v>1196</v>
      </c>
      <c r="B288" s="8">
        <v>3</v>
      </c>
      <c r="C288" s="8" t="s">
        <v>947</v>
      </c>
      <c r="D288" s="208">
        <v>0</v>
      </c>
    </row>
    <row r="289" spans="1:4" ht="27.75" customHeight="1" x14ac:dyDescent="0.35">
      <c r="A289" s="7" t="s">
        <v>1197</v>
      </c>
      <c r="B289" s="8">
        <v>3</v>
      </c>
      <c r="C289" s="8" t="s">
        <v>943</v>
      </c>
      <c r="D289" s="208">
        <v>0</v>
      </c>
    </row>
    <row r="290" spans="1:4" ht="27.75" customHeight="1" x14ac:dyDescent="0.35">
      <c r="A290" s="7" t="s">
        <v>1198</v>
      </c>
      <c r="B290" s="8">
        <v>3</v>
      </c>
      <c r="C290" s="8" t="s">
        <v>983</v>
      </c>
      <c r="D290" s="208">
        <v>0</v>
      </c>
    </row>
    <row r="291" spans="1:4" ht="27.75" customHeight="1" x14ac:dyDescent="0.35">
      <c r="A291" s="7" t="s">
        <v>1199</v>
      </c>
      <c r="B291" s="8">
        <v>3</v>
      </c>
      <c r="C291" s="8" t="s">
        <v>919</v>
      </c>
      <c r="D291" s="208">
        <v>0</v>
      </c>
    </row>
    <row r="292" spans="1:4" ht="27.75" customHeight="1" x14ac:dyDescent="0.35">
      <c r="A292" s="7" t="s">
        <v>1200</v>
      </c>
      <c r="B292" s="8">
        <v>3</v>
      </c>
      <c r="C292" s="8" t="s">
        <v>941</v>
      </c>
      <c r="D292" s="208">
        <v>0</v>
      </c>
    </row>
    <row r="293" spans="1:4" ht="27.75" customHeight="1" x14ac:dyDescent="0.35">
      <c r="A293" s="7" t="s">
        <v>1201</v>
      </c>
      <c r="B293" s="8">
        <v>3</v>
      </c>
      <c r="C293" s="8" t="s">
        <v>957</v>
      </c>
      <c r="D293" s="208">
        <v>0</v>
      </c>
    </row>
    <row r="294" spans="1:4" ht="27.75" customHeight="1" x14ac:dyDescent="0.35">
      <c r="A294" s="7" t="s">
        <v>1202</v>
      </c>
      <c r="B294" s="8">
        <v>3</v>
      </c>
      <c r="C294" s="8" t="s">
        <v>943</v>
      </c>
      <c r="D294" s="208">
        <v>0</v>
      </c>
    </row>
    <row r="295" spans="1:4" ht="27.75" customHeight="1" x14ac:dyDescent="0.35">
      <c r="A295" s="7" t="s">
        <v>1203</v>
      </c>
      <c r="B295" s="8">
        <v>3</v>
      </c>
      <c r="C295" s="8" t="s">
        <v>932</v>
      </c>
      <c r="D295" s="208">
        <v>0</v>
      </c>
    </row>
    <row r="296" spans="1:4" ht="27.75" customHeight="1" x14ac:dyDescent="0.35">
      <c r="A296" s="7" t="s">
        <v>1204</v>
      </c>
      <c r="B296" s="8">
        <v>3</v>
      </c>
      <c r="C296" s="8" t="s">
        <v>966</v>
      </c>
      <c r="D296" s="208">
        <v>0</v>
      </c>
    </row>
    <row r="297" spans="1:4" ht="27.75" customHeight="1" x14ac:dyDescent="0.35">
      <c r="A297" s="7" t="s">
        <v>1205</v>
      </c>
      <c r="B297" s="8">
        <v>3</v>
      </c>
      <c r="C297" s="8" t="s">
        <v>921</v>
      </c>
      <c r="D297" s="208">
        <v>5.4469374387545697</v>
      </c>
    </row>
    <row r="298" spans="1:4" ht="27.75" customHeight="1" x14ac:dyDescent="0.35">
      <c r="A298" s="7" t="s">
        <v>1206</v>
      </c>
      <c r="B298" s="8">
        <v>3</v>
      </c>
      <c r="C298" s="8" t="s">
        <v>954</v>
      </c>
      <c r="D298" s="208">
        <v>0</v>
      </c>
    </row>
    <row r="299" spans="1:4" ht="27.75" customHeight="1" x14ac:dyDescent="0.35">
      <c r="A299" s="7" t="s">
        <v>1207</v>
      </c>
      <c r="B299" s="8">
        <v>3</v>
      </c>
      <c r="C299" s="8" t="s">
        <v>919</v>
      </c>
      <c r="D299" s="208">
        <v>2.6534837126508499</v>
      </c>
    </row>
    <row r="300" spans="1:4" ht="27.75" customHeight="1" x14ac:dyDescent="0.35">
      <c r="A300" s="7" t="s">
        <v>1208</v>
      </c>
      <c r="B300" s="8">
        <v>3</v>
      </c>
      <c r="C300" s="8" t="s">
        <v>964</v>
      </c>
      <c r="D300" s="208">
        <v>0</v>
      </c>
    </row>
    <row r="301" spans="1:4" ht="27.75" customHeight="1" x14ac:dyDescent="0.35">
      <c r="A301" s="7" t="s">
        <v>1209</v>
      </c>
      <c r="B301" s="8">
        <v>3</v>
      </c>
      <c r="C301" s="8" t="s">
        <v>914</v>
      </c>
      <c r="D301" s="208">
        <v>0</v>
      </c>
    </row>
    <row r="302" spans="1:4" ht="27.75" customHeight="1" x14ac:dyDescent="0.35">
      <c r="A302" s="7" t="s">
        <v>1210</v>
      </c>
      <c r="B302" s="8">
        <v>3</v>
      </c>
      <c r="C302" s="8" t="s">
        <v>927</v>
      </c>
      <c r="D302" s="208">
        <v>0</v>
      </c>
    </row>
    <row r="303" spans="1:4" ht="27.75" customHeight="1" x14ac:dyDescent="0.35">
      <c r="A303" s="7" t="s">
        <v>1211</v>
      </c>
      <c r="B303" s="8">
        <v>3</v>
      </c>
      <c r="C303" s="8" t="s">
        <v>943</v>
      </c>
      <c r="D303" s="208">
        <v>0</v>
      </c>
    </row>
    <row r="304" spans="1:4" ht="27.75" customHeight="1" x14ac:dyDescent="0.35">
      <c r="A304" s="7" t="s">
        <v>1212</v>
      </c>
      <c r="B304" s="8">
        <v>3</v>
      </c>
      <c r="C304" s="8" t="s">
        <v>948</v>
      </c>
      <c r="D304" s="208">
        <v>0</v>
      </c>
    </row>
    <row r="305" spans="1:4" ht="27.75" customHeight="1" x14ac:dyDescent="0.35">
      <c r="A305" s="7" t="s">
        <v>1213</v>
      </c>
      <c r="B305" s="8">
        <v>3</v>
      </c>
      <c r="C305" s="8" t="s">
        <v>953</v>
      </c>
      <c r="D305" s="208">
        <v>0</v>
      </c>
    </row>
    <row r="306" spans="1:4" ht="27.75" customHeight="1" x14ac:dyDescent="0.35">
      <c r="A306" s="7" t="s">
        <v>1214</v>
      </c>
      <c r="B306" s="8">
        <v>3</v>
      </c>
      <c r="C306" s="8" t="s">
        <v>929</v>
      </c>
      <c r="D306" s="208">
        <v>0</v>
      </c>
    </row>
    <row r="307" spans="1:4" ht="27.75" customHeight="1" x14ac:dyDescent="0.35">
      <c r="A307" s="7" t="s">
        <v>1215</v>
      </c>
      <c r="B307" s="8">
        <v>3</v>
      </c>
      <c r="C307" s="8" t="s">
        <v>928</v>
      </c>
      <c r="D307" s="208">
        <v>0</v>
      </c>
    </row>
    <row r="308" spans="1:4" ht="27.75" customHeight="1" x14ac:dyDescent="0.35">
      <c r="A308" s="7" t="s">
        <v>1216</v>
      </c>
      <c r="B308" s="8">
        <v>3</v>
      </c>
      <c r="C308" s="8" t="s">
        <v>959</v>
      </c>
      <c r="D308" s="208">
        <v>0</v>
      </c>
    </row>
    <row r="309" spans="1:4" ht="27.75" customHeight="1" x14ac:dyDescent="0.35">
      <c r="A309" s="7" t="s">
        <v>1217</v>
      </c>
      <c r="B309" s="8">
        <v>3</v>
      </c>
      <c r="C309" s="8" t="s">
        <v>966</v>
      </c>
      <c r="D309" s="208">
        <v>0</v>
      </c>
    </row>
    <row r="310" spans="1:4" ht="27.75" customHeight="1" x14ac:dyDescent="0.35">
      <c r="A310" s="7" t="s">
        <v>1218</v>
      </c>
      <c r="B310" s="8">
        <v>3</v>
      </c>
      <c r="C310" s="8" t="s">
        <v>958</v>
      </c>
      <c r="D310" s="208">
        <v>0</v>
      </c>
    </row>
    <row r="311" spans="1:4" ht="27.75" customHeight="1" x14ac:dyDescent="0.35">
      <c r="A311" s="7" t="s">
        <v>1219</v>
      </c>
      <c r="B311" s="8">
        <v>3</v>
      </c>
      <c r="C311" s="8" t="s">
        <v>918</v>
      </c>
      <c r="D311" s="208">
        <v>0</v>
      </c>
    </row>
    <row r="312" spans="1:4" ht="27.75" customHeight="1" x14ac:dyDescent="0.35">
      <c r="A312" s="7" t="s">
        <v>1220</v>
      </c>
      <c r="B312" s="8">
        <v>3</v>
      </c>
      <c r="C312" s="8" t="s">
        <v>923</v>
      </c>
      <c r="D312" s="208">
        <v>0</v>
      </c>
    </row>
    <row r="313" spans="1:4" ht="27.75" customHeight="1" x14ac:dyDescent="0.35">
      <c r="A313" s="7" t="s">
        <v>1221</v>
      </c>
      <c r="B313" s="8">
        <v>3</v>
      </c>
      <c r="C313" s="8" t="s">
        <v>932</v>
      </c>
      <c r="D313" s="208">
        <v>0</v>
      </c>
    </row>
    <row r="314" spans="1:4" ht="27.75" customHeight="1" x14ac:dyDescent="0.35">
      <c r="A314" s="7" t="s">
        <v>1222</v>
      </c>
      <c r="B314" s="8">
        <v>3</v>
      </c>
      <c r="C314" s="8" t="s">
        <v>966</v>
      </c>
      <c r="D314" s="208">
        <v>0</v>
      </c>
    </row>
    <row r="315" spans="1:4" ht="27.75" customHeight="1" x14ac:dyDescent="0.35">
      <c r="A315" s="7" t="s">
        <v>1223</v>
      </c>
      <c r="B315" s="8">
        <v>3</v>
      </c>
      <c r="C315" s="8" t="s">
        <v>960</v>
      </c>
      <c r="D315" s="208">
        <v>0</v>
      </c>
    </row>
    <row r="316" spans="1:4" ht="27.75" customHeight="1" x14ac:dyDescent="0.35">
      <c r="A316" s="7" t="s">
        <v>1224</v>
      </c>
      <c r="B316" s="8">
        <v>3</v>
      </c>
      <c r="C316" s="8" t="s">
        <v>948</v>
      </c>
      <c r="D316" s="208">
        <v>0</v>
      </c>
    </row>
    <row r="317" spans="1:4" ht="27.75" customHeight="1" x14ac:dyDescent="0.35">
      <c r="A317" s="7" t="s">
        <v>1225</v>
      </c>
      <c r="B317" s="8">
        <v>3</v>
      </c>
      <c r="C317" s="8" t="s">
        <v>948</v>
      </c>
      <c r="D317" s="208">
        <v>0</v>
      </c>
    </row>
    <row r="318" spans="1:4" ht="27.75" customHeight="1" x14ac:dyDescent="0.35">
      <c r="A318" s="7" t="s">
        <v>1226</v>
      </c>
      <c r="B318" s="8">
        <v>3</v>
      </c>
      <c r="C318" s="8" t="s">
        <v>926</v>
      </c>
      <c r="D318" s="208">
        <v>0</v>
      </c>
    </row>
    <row r="319" spans="1:4" ht="27.75" customHeight="1" x14ac:dyDescent="0.35">
      <c r="A319" s="7" t="s">
        <v>1227</v>
      </c>
      <c r="B319" s="8">
        <v>3</v>
      </c>
      <c r="C319" s="8" t="s">
        <v>968</v>
      </c>
      <c r="D319" s="208">
        <v>0</v>
      </c>
    </row>
    <row r="320" spans="1:4" ht="27.75" customHeight="1" x14ac:dyDescent="0.35">
      <c r="A320" s="7" t="s">
        <v>1228</v>
      </c>
      <c r="B320" s="8">
        <v>3</v>
      </c>
      <c r="C320" s="8" t="s">
        <v>964</v>
      </c>
      <c r="D320" s="208">
        <v>0</v>
      </c>
    </row>
    <row r="321" spans="1:4" ht="27.75" customHeight="1" x14ac:dyDescent="0.35">
      <c r="A321" s="7" t="s">
        <v>1229</v>
      </c>
      <c r="B321" s="8">
        <v>3</v>
      </c>
      <c r="C321" s="8" t="s">
        <v>929</v>
      </c>
      <c r="D321" s="208">
        <v>0</v>
      </c>
    </row>
    <row r="322" spans="1:4" ht="27.75" customHeight="1" x14ac:dyDescent="0.35">
      <c r="A322" s="7" t="s">
        <v>1230</v>
      </c>
      <c r="B322" s="8">
        <v>3</v>
      </c>
      <c r="C322" s="8" t="s">
        <v>981</v>
      </c>
      <c r="D322" s="208">
        <v>0</v>
      </c>
    </row>
    <row r="323" spans="1:4" ht="27.75" customHeight="1" x14ac:dyDescent="0.35">
      <c r="A323" s="7" t="s">
        <v>1231</v>
      </c>
      <c r="B323" s="8">
        <v>3</v>
      </c>
      <c r="C323" s="8" t="s">
        <v>962</v>
      </c>
      <c r="D323" s="208">
        <v>0</v>
      </c>
    </row>
    <row r="324" spans="1:4" ht="27.75" customHeight="1" x14ac:dyDescent="0.35">
      <c r="A324" s="7" t="s">
        <v>1232</v>
      </c>
      <c r="B324" s="8">
        <v>3</v>
      </c>
      <c r="C324" s="8" t="s">
        <v>981</v>
      </c>
      <c r="D324" s="208">
        <v>0</v>
      </c>
    </row>
    <row r="325" spans="1:4" ht="27.75" customHeight="1" x14ac:dyDescent="0.35">
      <c r="A325" s="7" t="s">
        <v>1233</v>
      </c>
      <c r="B325" s="8">
        <v>3</v>
      </c>
      <c r="C325" s="8" t="s">
        <v>960</v>
      </c>
      <c r="D325" s="208">
        <v>0</v>
      </c>
    </row>
    <row r="326" spans="1:4" ht="27.75" customHeight="1" x14ac:dyDescent="0.35">
      <c r="A326" s="7" t="s">
        <v>1234</v>
      </c>
      <c r="B326" s="8">
        <v>3</v>
      </c>
      <c r="C326" s="8" t="s">
        <v>945</v>
      </c>
      <c r="D326" s="208">
        <v>0</v>
      </c>
    </row>
    <row r="327" spans="1:4" ht="27.75" customHeight="1" x14ac:dyDescent="0.35">
      <c r="A327" s="7" t="s">
        <v>1235</v>
      </c>
      <c r="B327" s="8">
        <v>3</v>
      </c>
      <c r="C327" s="8" t="s">
        <v>980</v>
      </c>
      <c r="D327" s="208">
        <v>0</v>
      </c>
    </row>
    <row r="328" spans="1:4" ht="27.75" customHeight="1" x14ac:dyDescent="0.35">
      <c r="A328" s="7" t="s">
        <v>1236</v>
      </c>
      <c r="B328" s="8">
        <v>3</v>
      </c>
      <c r="C328" s="8" t="s">
        <v>921</v>
      </c>
      <c r="D328" s="208">
        <v>0</v>
      </c>
    </row>
    <row r="329" spans="1:4" ht="27.75" customHeight="1" x14ac:dyDescent="0.35">
      <c r="A329" s="7" t="s">
        <v>1237</v>
      </c>
      <c r="B329" s="8">
        <v>3</v>
      </c>
      <c r="C329" s="8" t="s">
        <v>917</v>
      </c>
      <c r="D329" s="208">
        <v>0</v>
      </c>
    </row>
    <row r="330" spans="1:4" ht="27.75" customHeight="1" x14ac:dyDescent="0.35">
      <c r="A330" s="7" t="s">
        <v>1238</v>
      </c>
      <c r="B330" s="8">
        <v>3</v>
      </c>
      <c r="C330" s="8" t="s">
        <v>966</v>
      </c>
      <c r="D330" s="208">
        <v>0</v>
      </c>
    </row>
    <row r="331" spans="1:4" ht="27.75" customHeight="1" x14ac:dyDescent="0.35">
      <c r="A331" s="7" t="s">
        <v>1239</v>
      </c>
      <c r="B331" s="8">
        <v>3</v>
      </c>
      <c r="C331" s="8" t="s">
        <v>918</v>
      </c>
      <c r="D331" s="208">
        <v>0</v>
      </c>
    </row>
    <row r="332" spans="1:4" ht="27.75" customHeight="1" x14ac:dyDescent="0.35">
      <c r="A332" s="7" t="s">
        <v>1240</v>
      </c>
      <c r="B332" s="8">
        <v>3</v>
      </c>
      <c r="C332" s="8" t="s">
        <v>923</v>
      </c>
      <c r="D332" s="208">
        <v>0</v>
      </c>
    </row>
    <row r="333" spans="1:4" ht="27.75" customHeight="1" x14ac:dyDescent="0.35">
      <c r="A333" s="7" t="s">
        <v>1241</v>
      </c>
      <c r="B333" s="8">
        <v>3</v>
      </c>
      <c r="C333" s="8" t="s">
        <v>931</v>
      </c>
      <c r="D333" s="208">
        <v>0</v>
      </c>
    </row>
    <row r="334" spans="1:4" ht="27.75" customHeight="1" x14ac:dyDescent="0.35">
      <c r="A334" s="7" t="s">
        <v>1242</v>
      </c>
      <c r="B334" s="8">
        <v>3</v>
      </c>
      <c r="C334" s="8" t="s">
        <v>976</v>
      </c>
      <c r="D334" s="208">
        <v>0</v>
      </c>
    </row>
    <row r="335" spans="1:4" ht="27.75" customHeight="1" x14ac:dyDescent="0.35">
      <c r="A335" s="7" t="s">
        <v>1243</v>
      </c>
      <c r="B335" s="8">
        <v>3</v>
      </c>
      <c r="C335" s="8" t="s">
        <v>918</v>
      </c>
      <c r="D335" s="208">
        <v>0</v>
      </c>
    </row>
    <row r="336" spans="1:4" ht="27.75" customHeight="1" x14ac:dyDescent="0.35">
      <c r="A336" s="7" t="s">
        <v>1244</v>
      </c>
      <c r="B336" s="8">
        <v>3</v>
      </c>
      <c r="C336" s="8" t="s">
        <v>966</v>
      </c>
      <c r="D336" s="208">
        <v>0</v>
      </c>
    </row>
    <row r="337" spans="1:4" ht="27.75" customHeight="1" x14ac:dyDescent="0.35">
      <c r="A337" s="7" t="s">
        <v>1245</v>
      </c>
      <c r="B337" s="8">
        <v>3</v>
      </c>
      <c r="C337" s="8" t="s">
        <v>984</v>
      </c>
      <c r="D337" s="208">
        <v>0</v>
      </c>
    </row>
    <row r="338" spans="1:4" ht="27.75" customHeight="1" x14ac:dyDescent="0.35">
      <c r="A338" s="7" t="s">
        <v>1246</v>
      </c>
      <c r="B338" s="8">
        <v>3</v>
      </c>
      <c r="C338" s="8" t="s">
        <v>970</v>
      </c>
      <c r="D338" s="208">
        <v>0</v>
      </c>
    </row>
    <row r="339" spans="1:4" ht="27.75" customHeight="1" x14ac:dyDescent="0.35">
      <c r="A339" s="7" t="s">
        <v>1247</v>
      </c>
      <c r="B339" s="8">
        <v>3</v>
      </c>
      <c r="C339" s="8" t="s">
        <v>981</v>
      </c>
      <c r="D339" s="208">
        <v>0</v>
      </c>
    </row>
    <row r="340" spans="1:4" ht="27.75" customHeight="1" x14ac:dyDescent="0.35">
      <c r="A340" s="7" t="s">
        <v>1248</v>
      </c>
      <c r="B340" s="8">
        <v>3</v>
      </c>
      <c r="C340" s="8" t="s">
        <v>985</v>
      </c>
      <c r="D340" s="208">
        <v>0</v>
      </c>
    </row>
    <row r="341" spans="1:4" ht="27.75" customHeight="1" x14ac:dyDescent="0.35">
      <c r="A341" s="7" t="s">
        <v>1249</v>
      </c>
      <c r="B341" s="8">
        <v>3</v>
      </c>
      <c r="C341" s="8" t="s">
        <v>943</v>
      </c>
      <c r="D341" s="208">
        <v>0</v>
      </c>
    </row>
    <row r="342" spans="1:4" ht="27.75" customHeight="1" x14ac:dyDescent="0.35">
      <c r="A342" s="7" t="s">
        <v>1250</v>
      </c>
      <c r="B342" s="8">
        <v>3</v>
      </c>
      <c r="C342" s="8" t="s">
        <v>947</v>
      </c>
      <c r="D342" s="208">
        <v>0</v>
      </c>
    </row>
    <row r="343" spans="1:4" ht="27.75" customHeight="1" x14ac:dyDescent="0.35">
      <c r="A343" s="7" t="s">
        <v>1251</v>
      </c>
      <c r="B343" s="8">
        <v>3</v>
      </c>
      <c r="C343" s="8" t="s">
        <v>915</v>
      </c>
      <c r="D343" s="208">
        <v>0</v>
      </c>
    </row>
    <row r="344" spans="1:4" ht="27.75" customHeight="1" x14ac:dyDescent="0.35">
      <c r="A344" s="7" t="s">
        <v>1252</v>
      </c>
      <c r="B344" s="8">
        <v>3</v>
      </c>
      <c r="C344" s="8" t="s">
        <v>982</v>
      </c>
      <c r="D344" s="208">
        <v>0</v>
      </c>
    </row>
    <row r="345" spans="1:4" ht="27.75" customHeight="1" x14ac:dyDescent="0.35">
      <c r="A345" s="7" t="s">
        <v>1253</v>
      </c>
      <c r="B345" s="8">
        <v>3</v>
      </c>
      <c r="C345" s="8" t="s">
        <v>927</v>
      </c>
      <c r="D345" s="208">
        <v>0</v>
      </c>
    </row>
    <row r="346" spans="1:4" ht="27.75" customHeight="1" x14ac:dyDescent="0.35">
      <c r="A346" s="7" t="s">
        <v>1254</v>
      </c>
      <c r="B346" s="8">
        <v>3</v>
      </c>
      <c r="C346" s="8" t="s">
        <v>964</v>
      </c>
      <c r="D346" s="208">
        <v>0</v>
      </c>
    </row>
    <row r="347" spans="1:4" ht="27.75" customHeight="1" x14ac:dyDescent="0.35">
      <c r="A347" s="7" t="s">
        <v>1255</v>
      </c>
      <c r="B347" s="8">
        <v>3</v>
      </c>
      <c r="C347" s="8" t="s">
        <v>954</v>
      </c>
      <c r="D347" s="208">
        <v>0</v>
      </c>
    </row>
    <row r="348" spans="1:4" ht="27.75" customHeight="1" x14ac:dyDescent="0.35">
      <c r="A348" s="7" t="s">
        <v>1256</v>
      </c>
      <c r="B348" s="8">
        <v>3</v>
      </c>
      <c r="C348" s="8" t="s">
        <v>984</v>
      </c>
      <c r="D348" s="208">
        <v>0</v>
      </c>
    </row>
    <row r="349" spans="1:4" ht="27.75" customHeight="1" x14ac:dyDescent="0.35">
      <c r="A349" s="7" t="s">
        <v>1257</v>
      </c>
      <c r="B349" s="8">
        <v>3</v>
      </c>
      <c r="C349" s="8" t="s">
        <v>958</v>
      </c>
      <c r="D349" s="208">
        <v>0</v>
      </c>
    </row>
    <row r="350" spans="1:4" ht="27.75" customHeight="1" x14ac:dyDescent="0.35">
      <c r="A350" s="7" t="s">
        <v>1258</v>
      </c>
      <c r="B350" s="8">
        <v>3</v>
      </c>
      <c r="C350" s="8" t="s">
        <v>916</v>
      </c>
      <c r="D350" s="208">
        <v>0</v>
      </c>
    </row>
    <row r="351" spans="1:4" ht="27.75" customHeight="1" x14ac:dyDescent="0.35">
      <c r="A351" s="7" t="s">
        <v>1259</v>
      </c>
      <c r="B351" s="8">
        <v>3</v>
      </c>
      <c r="C351" s="8" t="s">
        <v>940</v>
      </c>
      <c r="D351" s="208">
        <v>0</v>
      </c>
    </row>
    <row r="352" spans="1:4" ht="27.75" customHeight="1" x14ac:dyDescent="0.35">
      <c r="A352" s="7" t="s">
        <v>1260</v>
      </c>
      <c r="B352" s="8">
        <v>3</v>
      </c>
      <c r="C352" s="8" t="s">
        <v>918</v>
      </c>
      <c r="D352" s="208">
        <v>0</v>
      </c>
    </row>
    <row r="353" spans="1:4" ht="27.75" customHeight="1" x14ac:dyDescent="0.35">
      <c r="A353" s="7" t="s">
        <v>1261</v>
      </c>
      <c r="B353" s="8">
        <v>3</v>
      </c>
      <c r="C353" s="8" t="s">
        <v>944</v>
      </c>
      <c r="D353" s="208">
        <v>0</v>
      </c>
    </row>
    <row r="354" spans="1:4" ht="27.75" customHeight="1" x14ac:dyDescent="0.35">
      <c r="A354" s="7" t="s">
        <v>1262</v>
      </c>
      <c r="B354" s="8">
        <v>3</v>
      </c>
      <c r="C354" s="8" t="s">
        <v>942</v>
      </c>
      <c r="D354" s="208">
        <v>0</v>
      </c>
    </row>
    <row r="355" spans="1:4" ht="27.75" customHeight="1" x14ac:dyDescent="0.35">
      <c r="A355" s="7" t="s">
        <v>1263</v>
      </c>
      <c r="B355" s="8">
        <v>3</v>
      </c>
      <c r="C355" s="8" t="s">
        <v>932</v>
      </c>
      <c r="D355" s="208">
        <v>0</v>
      </c>
    </row>
    <row r="356" spans="1:4" ht="27.75" customHeight="1" x14ac:dyDescent="0.35">
      <c r="A356" s="7" t="s">
        <v>1264</v>
      </c>
      <c r="B356" s="8">
        <v>3</v>
      </c>
      <c r="C356" s="8" t="s">
        <v>932</v>
      </c>
      <c r="D356" s="208">
        <v>0</v>
      </c>
    </row>
    <row r="357" spans="1:4" ht="27.75" customHeight="1" x14ac:dyDescent="0.35">
      <c r="A357" s="7" t="s">
        <v>1265</v>
      </c>
      <c r="B357" s="8">
        <v>3</v>
      </c>
      <c r="C357" s="8" t="s">
        <v>932</v>
      </c>
      <c r="D357" s="208">
        <v>0</v>
      </c>
    </row>
    <row r="358" spans="1:4" ht="27.75" customHeight="1" x14ac:dyDescent="0.35">
      <c r="A358" s="7" t="s">
        <v>1266</v>
      </c>
      <c r="B358" s="8">
        <v>3</v>
      </c>
      <c r="C358" s="8" t="s">
        <v>931</v>
      </c>
      <c r="D358" s="208">
        <v>0</v>
      </c>
    </row>
    <row r="359" spans="1:4" ht="27.75" customHeight="1" x14ac:dyDescent="0.35">
      <c r="A359" s="7" t="s">
        <v>1267</v>
      </c>
      <c r="B359" s="8">
        <v>3</v>
      </c>
      <c r="C359" s="8" t="s">
        <v>920</v>
      </c>
      <c r="D359" s="208">
        <v>0</v>
      </c>
    </row>
    <row r="360" spans="1:4" ht="27.75" customHeight="1" x14ac:dyDescent="0.35">
      <c r="A360" s="7" t="s">
        <v>1268</v>
      </c>
      <c r="B360" s="8">
        <v>3</v>
      </c>
      <c r="C360" s="8" t="s">
        <v>980</v>
      </c>
      <c r="D360" s="208">
        <v>0</v>
      </c>
    </row>
    <row r="361" spans="1:4" ht="27.75" customHeight="1" x14ac:dyDescent="0.35">
      <c r="A361" s="7" t="s">
        <v>1269</v>
      </c>
      <c r="B361" s="8">
        <v>3</v>
      </c>
      <c r="C361" s="8" t="s">
        <v>913</v>
      </c>
      <c r="D361" s="208">
        <v>0</v>
      </c>
    </row>
    <row r="362" spans="1:4" ht="27.75" customHeight="1" x14ac:dyDescent="0.35">
      <c r="A362" s="7" t="s">
        <v>1270</v>
      </c>
      <c r="B362" s="8">
        <v>3</v>
      </c>
      <c r="C362" s="8" t="s">
        <v>943</v>
      </c>
      <c r="D362" s="208">
        <v>0</v>
      </c>
    </row>
    <row r="363" spans="1:4" ht="27.75" customHeight="1" x14ac:dyDescent="0.35">
      <c r="A363" s="7" t="s">
        <v>1271</v>
      </c>
      <c r="B363" s="8">
        <v>3</v>
      </c>
      <c r="C363" s="8" t="s">
        <v>942</v>
      </c>
      <c r="D363" s="208">
        <v>1.7627714308424001</v>
      </c>
    </row>
    <row r="364" spans="1:4" ht="27.75" customHeight="1" x14ac:dyDescent="0.35">
      <c r="A364" s="7" t="s">
        <v>1272</v>
      </c>
      <c r="B364" s="8">
        <v>3</v>
      </c>
      <c r="C364" s="8" t="s">
        <v>981</v>
      </c>
      <c r="D364" s="208">
        <v>0</v>
      </c>
    </row>
    <row r="365" spans="1:4" ht="27.75" customHeight="1" x14ac:dyDescent="0.35">
      <c r="A365" s="7" t="s">
        <v>1273</v>
      </c>
      <c r="B365" s="8">
        <v>3</v>
      </c>
      <c r="C365" s="8" t="s">
        <v>981</v>
      </c>
      <c r="D365" s="208">
        <v>0</v>
      </c>
    </row>
    <row r="366" spans="1:4" ht="27.75" customHeight="1" x14ac:dyDescent="0.35">
      <c r="A366" s="7" t="s">
        <v>1274</v>
      </c>
      <c r="B366" s="8">
        <v>3</v>
      </c>
      <c r="C366" s="8" t="s">
        <v>925</v>
      </c>
      <c r="D366" s="208">
        <v>0</v>
      </c>
    </row>
    <row r="367" spans="1:4" ht="27.75" customHeight="1" x14ac:dyDescent="0.35">
      <c r="A367" s="7" t="s">
        <v>1275</v>
      </c>
      <c r="B367" s="8">
        <v>3</v>
      </c>
      <c r="C367" s="8" t="s">
        <v>948</v>
      </c>
      <c r="D367" s="208">
        <v>0</v>
      </c>
    </row>
    <row r="368" spans="1:4" ht="27.75" customHeight="1" x14ac:dyDescent="0.35">
      <c r="A368" s="7" t="s">
        <v>1276</v>
      </c>
      <c r="B368" s="8">
        <v>3</v>
      </c>
      <c r="C368" s="8" t="s">
        <v>965</v>
      </c>
      <c r="D368" s="208">
        <v>0</v>
      </c>
    </row>
    <row r="369" spans="1:4" ht="27.75" customHeight="1" x14ac:dyDescent="0.35">
      <c r="A369" s="7" t="s">
        <v>1277</v>
      </c>
      <c r="B369" s="8">
        <v>3</v>
      </c>
      <c r="C369" s="8" t="s">
        <v>960</v>
      </c>
      <c r="D369" s="208">
        <v>0</v>
      </c>
    </row>
    <row r="370" spans="1:4" ht="27.75" customHeight="1" x14ac:dyDescent="0.35">
      <c r="A370" s="7" t="s">
        <v>1278</v>
      </c>
      <c r="B370" s="8">
        <v>3</v>
      </c>
      <c r="C370" s="8" t="s">
        <v>965</v>
      </c>
      <c r="D370" s="208">
        <v>3.0865449017070401</v>
      </c>
    </row>
    <row r="371" spans="1:4" ht="27.75" customHeight="1" x14ac:dyDescent="0.35">
      <c r="A371" s="7" t="s">
        <v>1279</v>
      </c>
      <c r="B371" s="8">
        <v>3</v>
      </c>
      <c r="C371" s="8" t="s">
        <v>963</v>
      </c>
      <c r="D371" s="208">
        <v>0</v>
      </c>
    </row>
    <row r="372" spans="1:4" ht="27.75" customHeight="1" x14ac:dyDescent="0.35">
      <c r="A372" s="7" t="s">
        <v>1280</v>
      </c>
      <c r="B372" s="8">
        <v>3</v>
      </c>
      <c r="C372" s="8" t="s">
        <v>955</v>
      </c>
      <c r="D372" s="208">
        <v>0</v>
      </c>
    </row>
    <row r="373" spans="1:4" ht="27.75" customHeight="1" x14ac:dyDescent="0.35">
      <c r="A373" s="7" t="s">
        <v>1281</v>
      </c>
      <c r="B373" s="8">
        <v>3</v>
      </c>
      <c r="C373" s="8" t="s">
        <v>945</v>
      </c>
      <c r="D373" s="208">
        <v>0</v>
      </c>
    </row>
    <row r="374" spans="1:4" ht="27.75" customHeight="1" x14ac:dyDescent="0.35">
      <c r="A374" s="7" t="s">
        <v>1282</v>
      </c>
      <c r="B374" s="8">
        <v>3</v>
      </c>
      <c r="C374" s="8" t="s">
        <v>972</v>
      </c>
      <c r="D374" s="208">
        <v>0</v>
      </c>
    </row>
    <row r="375" spans="1:4" ht="27.75" customHeight="1" x14ac:dyDescent="0.35">
      <c r="A375" s="7" t="s">
        <v>1283</v>
      </c>
      <c r="B375" s="8">
        <v>3</v>
      </c>
      <c r="C375" s="8" t="s">
        <v>926</v>
      </c>
      <c r="D375" s="208">
        <v>0</v>
      </c>
    </row>
    <row r="376" spans="1:4" ht="27.75" customHeight="1" x14ac:dyDescent="0.35">
      <c r="A376" s="7" t="s">
        <v>1284</v>
      </c>
      <c r="B376" s="8">
        <v>3</v>
      </c>
      <c r="C376" s="8" t="s">
        <v>925</v>
      </c>
      <c r="D376" s="208">
        <v>0</v>
      </c>
    </row>
    <row r="377" spans="1:4" ht="27.75" customHeight="1" x14ac:dyDescent="0.35">
      <c r="A377" s="7" t="s">
        <v>1285</v>
      </c>
      <c r="B377" s="8">
        <v>3</v>
      </c>
      <c r="C377" s="8" t="s">
        <v>929</v>
      </c>
      <c r="D377" s="208">
        <v>0</v>
      </c>
    </row>
    <row r="378" spans="1:4" ht="27.75" customHeight="1" x14ac:dyDescent="0.35">
      <c r="A378" s="7" t="s">
        <v>1286</v>
      </c>
      <c r="B378" s="8">
        <v>3</v>
      </c>
      <c r="C378" s="8" t="s">
        <v>966</v>
      </c>
      <c r="D378" s="208">
        <v>0</v>
      </c>
    </row>
    <row r="379" spans="1:4" ht="27.75" customHeight="1" x14ac:dyDescent="0.35">
      <c r="A379" s="7" t="s">
        <v>1287</v>
      </c>
      <c r="B379" s="8">
        <v>3</v>
      </c>
      <c r="C379" s="8" t="s">
        <v>965</v>
      </c>
      <c r="D379" s="208">
        <v>0</v>
      </c>
    </row>
    <row r="380" spans="1:4" ht="27.75" customHeight="1" x14ac:dyDescent="0.35">
      <c r="A380" s="7" t="s">
        <v>1288</v>
      </c>
      <c r="B380" s="8">
        <v>3</v>
      </c>
      <c r="C380" s="8" t="s">
        <v>925</v>
      </c>
      <c r="D380" s="208">
        <v>0</v>
      </c>
    </row>
    <row r="381" spans="1:4" ht="27.75" customHeight="1" x14ac:dyDescent="0.35">
      <c r="A381" s="7" t="s">
        <v>1289</v>
      </c>
      <c r="B381" s="8">
        <v>3</v>
      </c>
      <c r="C381" s="8" t="s">
        <v>941</v>
      </c>
      <c r="D381" s="208">
        <v>0</v>
      </c>
    </row>
    <row r="382" spans="1:4" ht="27.75" customHeight="1" x14ac:dyDescent="0.35">
      <c r="A382" s="7" t="s">
        <v>1290</v>
      </c>
      <c r="B382" s="8">
        <v>3</v>
      </c>
      <c r="C382" s="8" t="s">
        <v>967</v>
      </c>
      <c r="D382" s="208">
        <v>0</v>
      </c>
    </row>
    <row r="383" spans="1:4" ht="27.75" customHeight="1" x14ac:dyDescent="0.35">
      <c r="A383" s="7" t="s">
        <v>1291</v>
      </c>
      <c r="B383" s="8">
        <v>3</v>
      </c>
      <c r="C383" s="8" t="s">
        <v>953</v>
      </c>
      <c r="D383" s="208">
        <v>0</v>
      </c>
    </row>
    <row r="384" spans="1:4" ht="27.75" customHeight="1" x14ac:dyDescent="0.35">
      <c r="A384" s="7" t="s">
        <v>1292</v>
      </c>
      <c r="B384" s="8">
        <v>3</v>
      </c>
      <c r="C384" s="8" t="s">
        <v>972</v>
      </c>
      <c r="D384" s="208">
        <v>0</v>
      </c>
    </row>
    <row r="385" spans="1:4" ht="27.75" customHeight="1" x14ac:dyDescent="0.35">
      <c r="A385" s="7" t="s">
        <v>1293</v>
      </c>
      <c r="B385" s="8">
        <v>3</v>
      </c>
      <c r="C385" s="8" t="s">
        <v>973</v>
      </c>
      <c r="D385" s="208">
        <v>0</v>
      </c>
    </row>
    <row r="386" spans="1:4" ht="27.75" customHeight="1" x14ac:dyDescent="0.35">
      <c r="A386" s="7" t="s">
        <v>1294</v>
      </c>
      <c r="B386" s="8">
        <v>3</v>
      </c>
      <c r="C386" s="8" t="s">
        <v>980</v>
      </c>
      <c r="D386" s="208">
        <v>0</v>
      </c>
    </row>
    <row r="387" spans="1:4" ht="27.75" customHeight="1" x14ac:dyDescent="0.35">
      <c r="A387" s="7" t="s">
        <v>1295</v>
      </c>
      <c r="B387" s="8">
        <v>3</v>
      </c>
      <c r="C387" s="8" t="s">
        <v>956</v>
      </c>
      <c r="D387" s="208">
        <v>0</v>
      </c>
    </row>
    <row r="388" spans="1:4" ht="27.75" customHeight="1" x14ac:dyDescent="0.35">
      <c r="A388" s="7" t="s">
        <v>1296</v>
      </c>
      <c r="B388" s="8">
        <v>3</v>
      </c>
      <c r="C388" s="8" t="s">
        <v>933</v>
      </c>
      <c r="D388" s="208">
        <v>0</v>
      </c>
    </row>
    <row r="389" spans="1:4" ht="27.75" customHeight="1" x14ac:dyDescent="0.35">
      <c r="A389" s="7" t="s">
        <v>1297</v>
      </c>
      <c r="B389" s="8">
        <v>3</v>
      </c>
      <c r="C389" s="8" t="s">
        <v>951</v>
      </c>
      <c r="D389" s="208">
        <v>0</v>
      </c>
    </row>
    <row r="390" spans="1:4" ht="27.75" customHeight="1" x14ac:dyDescent="0.35">
      <c r="A390" s="7" t="s">
        <v>1298</v>
      </c>
      <c r="B390" s="8">
        <v>3</v>
      </c>
      <c r="C390" s="8" t="s">
        <v>967</v>
      </c>
      <c r="D390" s="208">
        <v>0</v>
      </c>
    </row>
    <row r="391" spans="1:4" ht="27.75" customHeight="1" x14ac:dyDescent="0.35">
      <c r="A391" s="7" t="s">
        <v>1299</v>
      </c>
      <c r="B391" s="8">
        <v>3</v>
      </c>
      <c r="C391" s="8" t="s">
        <v>974</v>
      </c>
      <c r="D391" s="208">
        <v>0</v>
      </c>
    </row>
    <row r="392" spans="1:4" ht="27.75" customHeight="1" x14ac:dyDescent="0.35">
      <c r="A392" s="7" t="s">
        <v>1300</v>
      </c>
      <c r="B392" s="8">
        <v>3</v>
      </c>
      <c r="C392" s="8" t="s">
        <v>933</v>
      </c>
      <c r="D392" s="208">
        <v>0</v>
      </c>
    </row>
    <row r="393" spans="1:4" ht="27.75" customHeight="1" x14ac:dyDescent="0.35">
      <c r="A393" s="7" t="s">
        <v>1301</v>
      </c>
      <c r="B393" s="8">
        <v>3</v>
      </c>
      <c r="C393" s="8" t="s">
        <v>961</v>
      </c>
      <c r="D393" s="208">
        <v>0</v>
      </c>
    </row>
    <row r="394" spans="1:4" ht="27.75" customHeight="1" x14ac:dyDescent="0.35">
      <c r="A394" s="7" t="s">
        <v>1302</v>
      </c>
      <c r="B394" s="8">
        <v>3</v>
      </c>
      <c r="C394" s="8" t="s">
        <v>961</v>
      </c>
      <c r="D394" s="208">
        <v>0</v>
      </c>
    </row>
    <row r="395" spans="1:4" ht="27.75" customHeight="1" x14ac:dyDescent="0.35">
      <c r="A395" s="7" t="s">
        <v>1303</v>
      </c>
      <c r="B395" s="8">
        <v>3</v>
      </c>
      <c r="C395" s="8" t="s">
        <v>936</v>
      </c>
      <c r="D395" s="208">
        <v>0</v>
      </c>
    </row>
    <row r="396" spans="1:4" ht="27.75" customHeight="1" x14ac:dyDescent="0.35">
      <c r="A396" s="7" t="s">
        <v>1304</v>
      </c>
      <c r="B396" s="8">
        <v>3</v>
      </c>
      <c r="C396" s="8" t="s">
        <v>956</v>
      </c>
      <c r="D396" s="208">
        <v>0</v>
      </c>
    </row>
    <row r="397" spans="1:4" ht="27.75" customHeight="1" x14ac:dyDescent="0.35">
      <c r="A397" s="7" t="s">
        <v>1305</v>
      </c>
      <c r="B397" s="8">
        <v>3</v>
      </c>
      <c r="C397" s="8" t="s">
        <v>914</v>
      </c>
      <c r="D397" s="208">
        <v>0</v>
      </c>
    </row>
    <row r="398" spans="1:4" ht="27.75" customHeight="1" x14ac:dyDescent="0.35">
      <c r="A398" s="7" t="s">
        <v>1306</v>
      </c>
      <c r="B398" s="8">
        <v>3</v>
      </c>
      <c r="C398" s="8" t="s">
        <v>933</v>
      </c>
      <c r="D398" s="208">
        <v>0</v>
      </c>
    </row>
    <row r="399" spans="1:4" ht="27.75" customHeight="1" x14ac:dyDescent="0.35">
      <c r="A399" s="7" t="s">
        <v>1307</v>
      </c>
      <c r="B399" s="8">
        <v>3</v>
      </c>
      <c r="C399" s="8" t="s">
        <v>917</v>
      </c>
      <c r="D399" s="208">
        <v>0</v>
      </c>
    </row>
    <row r="400" spans="1:4" ht="27.75" customHeight="1" x14ac:dyDescent="0.35">
      <c r="A400" s="7" t="s">
        <v>1308</v>
      </c>
      <c r="B400" s="8">
        <v>3</v>
      </c>
      <c r="C400" s="8" t="s">
        <v>982</v>
      </c>
      <c r="D400" s="208">
        <v>0</v>
      </c>
    </row>
    <row r="401" spans="1:4" ht="27.75" customHeight="1" x14ac:dyDescent="0.35">
      <c r="A401" s="7" t="s">
        <v>1309</v>
      </c>
      <c r="B401" s="8">
        <v>3</v>
      </c>
      <c r="C401" s="8" t="s">
        <v>932</v>
      </c>
      <c r="D401" s="208">
        <v>0</v>
      </c>
    </row>
    <row r="402" spans="1:4" ht="27.75" customHeight="1" x14ac:dyDescent="0.35">
      <c r="A402" s="7" t="s">
        <v>1310</v>
      </c>
      <c r="B402" s="8">
        <v>3</v>
      </c>
      <c r="C402" s="8" t="s">
        <v>933</v>
      </c>
      <c r="D402" s="208">
        <v>0</v>
      </c>
    </row>
    <row r="403" spans="1:4" ht="27.75" customHeight="1" x14ac:dyDescent="0.35">
      <c r="A403" s="7" t="s">
        <v>1311</v>
      </c>
      <c r="B403" s="8">
        <v>3</v>
      </c>
      <c r="C403" s="8" t="s">
        <v>939</v>
      </c>
      <c r="D403" s="208">
        <v>0</v>
      </c>
    </row>
    <row r="404" spans="1:4" ht="27.75" customHeight="1" x14ac:dyDescent="0.35">
      <c r="A404" s="7" t="s">
        <v>1312</v>
      </c>
      <c r="B404" s="8">
        <v>3</v>
      </c>
      <c r="C404" s="8" t="s">
        <v>975</v>
      </c>
      <c r="D404" s="208">
        <v>0</v>
      </c>
    </row>
    <row r="405" spans="1:4" ht="27.75" customHeight="1" x14ac:dyDescent="0.35">
      <c r="A405" s="7" t="s">
        <v>1313</v>
      </c>
      <c r="B405" s="8">
        <v>3</v>
      </c>
      <c r="C405" s="8" t="s">
        <v>933</v>
      </c>
      <c r="D405" s="208">
        <v>0</v>
      </c>
    </row>
    <row r="406" spans="1:4" ht="27.75" customHeight="1" x14ac:dyDescent="0.35">
      <c r="A406" s="7" t="s">
        <v>1314</v>
      </c>
      <c r="B406" s="8">
        <v>3</v>
      </c>
      <c r="C406" s="8" t="s">
        <v>949</v>
      </c>
      <c r="D406" s="208">
        <v>0</v>
      </c>
    </row>
    <row r="407" spans="1:4" ht="27.75" customHeight="1" x14ac:dyDescent="0.35">
      <c r="A407" s="7" t="s">
        <v>1315</v>
      </c>
      <c r="B407" s="8">
        <v>3</v>
      </c>
      <c r="C407" s="8" t="s">
        <v>959</v>
      </c>
      <c r="D407" s="208">
        <v>0</v>
      </c>
    </row>
    <row r="408" spans="1:4" ht="27.75" customHeight="1" x14ac:dyDescent="0.35">
      <c r="A408" s="7" t="s">
        <v>1316</v>
      </c>
      <c r="B408" s="8">
        <v>3</v>
      </c>
      <c r="C408" s="8" t="s">
        <v>940</v>
      </c>
      <c r="D408" s="208">
        <v>0</v>
      </c>
    </row>
    <row r="409" spans="1:4" ht="27.75" customHeight="1" x14ac:dyDescent="0.35">
      <c r="A409" s="7" t="s">
        <v>1317</v>
      </c>
      <c r="B409" s="8">
        <v>3</v>
      </c>
      <c r="C409" s="8" t="s">
        <v>916</v>
      </c>
      <c r="D409" s="208">
        <v>0</v>
      </c>
    </row>
    <row r="410" spans="1:4" ht="27.75" customHeight="1" x14ac:dyDescent="0.35">
      <c r="A410" s="7" t="s">
        <v>1318</v>
      </c>
      <c r="B410" s="8">
        <v>3</v>
      </c>
      <c r="C410" s="8" t="s">
        <v>942</v>
      </c>
      <c r="D410" s="208">
        <v>0</v>
      </c>
    </row>
    <row r="411" spans="1:4" ht="27.75" customHeight="1" x14ac:dyDescent="0.35">
      <c r="A411" s="7" t="s">
        <v>1319</v>
      </c>
      <c r="B411" s="8">
        <v>3</v>
      </c>
      <c r="C411" s="8" t="s">
        <v>932</v>
      </c>
      <c r="D411" s="208">
        <v>0</v>
      </c>
    </row>
    <row r="412" spans="1:4" ht="27.75" customHeight="1" x14ac:dyDescent="0.35">
      <c r="A412" s="7" t="s">
        <v>1320</v>
      </c>
      <c r="B412" s="8">
        <v>3</v>
      </c>
      <c r="C412" s="8" t="s">
        <v>918</v>
      </c>
      <c r="D412" s="208">
        <v>0</v>
      </c>
    </row>
    <row r="413" spans="1:4" ht="27.75" customHeight="1" x14ac:dyDescent="0.35">
      <c r="A413" s="7" t="s">
        <v>1321</v>
      </c>
      <c r="B413" s="8">
        <v>3</v>
      </c>
      <c r="C413" s="8" t="s">
        <v>960</v>
      </c>
      <c r="D413" s="208">
        <v>0</v>
      </c>
    </row>
    <row r="414" spans="1:4" ht="27.75" customHeight="1" x14ac:dyDescent="0.35">
      <c r="A414" s="7" t="s">
        <v>1322</v>
      </c>
      <c r="B414" s="8">
        <v>3</v>
      </c>
      <c r="C414" s="8" t="s">
        <v>930</v>
      </c>
      <c r="D414" s="208">
        <v>0</v>
      </c>
    </row>
    <row r="415" spans="1:4" ht="27.75" customHeight="1" x14ac:dyDescent="0.35">
      <c r="A415" s="7" t="s">
        <v>1323</v>
      </c>
      <c r="B415" s="8">
        <v>3</v>
      </c>
      <c r="C415" s="8" t="s">
        <v>956</v>
      </c>
      <c r="D415" s="208">
        <v>0</v>
      </c>
    </row>
    <row r="416" spans="1:4" ht="27.75" customHeight="1" x14ac:dyDescent="0.35">
      <c r="A416" s="7" t="s">
        <v>1324</v>
      </c>
      <c r="B416" s="8">
        <v>3</v>
      </c>
      <c r="C416" s="8" t="s">
        <v>954</v>
      </c>
      <c r="D416" s="208">
        <v>0</v>
      </c>
    </row>
    <row r="417" spans="1:4" ht="27.75" customHeight="1" x14ac:dyDescent="0.35">
      <c r="A417" s="7" t="s">
        <v>1325</v>
      </c>
      <c r="B417" s="8">
        <v>3</v>
      </c>
      <c r="C417" s="8" t="s">
        <v>969</v>
      </c>
      <c r="D417" s="208">
        <v>0</v>
      </c>
    </row>
    <row r="418" spans="1:4" ht="27.75" customHeight="1" x14ac:dyDescent="0.35">
      <c r="A418" s="7" t="s">
        <v>1326</v>
      </c>
      <c r="B418" s="8">
        <v>3</v>
      </c>
      <c r="C418" s="8" t="s">
        <v>920</v>
      </c>
      <c r="D418" s="208">
        <v>0</v>
      </c>
    </row>
    <row r="419" spans="1:4" ht="27.75" customHeight="1" x14ac:dyDescent="0.35">
      <c r="A419" s="7" t="s">
        <v>1327</v>
      </c>
      <c r="B419" s="8">
        <v>3</v>
      </c>
      <c r="C419" s="8" t="s">
        <v>969</v>
      </c>
      <c r="D419" s="208">
        <v>0</v>
      </c>
    </row>
    <row r="420" spans="1:4" ht="27.75" customHeight="1" x14ac:dyDescent="0.35">
      <c r="A420" s="7" t="s">
        <v>1328</v>
      </c>
      <c r="B420" s="8">
        <v>3</v>
      </c>
      <c r="C420" s="8" t="s">
        <v>916</v>
      </c>
      <c r="D420" s="208">
        <v>0</v>
      </c>
    </row>
    <row r="421" spans="1:4" ht="27.75" customHeight="1" x14ac:dyDescent="0.35">
      <c r="A421" s="7" t="s">
        <v>1329</v>
      </c>
      <c r="B421" s="8">
        <v>3</v>
      </c>
      <c r="C421" s="8" t="s">
        <v>969</v>
      </c>
      <c r="D421" s="208">
        <v>0</v>
      </c>
    </row>
    <row r="422" spans="1:4" ht="27.75" customHeight="1" x14ac:dyDescent="0.35">
      <c r="A422" s="7" t="s">
        <v>1330</v>
      </c>
      <c r="B422" s="8">
        <v>3</v>
      </c>
      <c r="C422" s="8" t="s">
        <v>919</v>
      </c>
      <c r="D422" s="208">
        <v>0</v>
      </c>
    </row>
    <row r="423" spans="1:4" ht="27.75" customHeight="1" x14ac:dyDescent="0.35">
      <c r="A423" s="7" t="s">
        <v>1331</v>
      </c>
      <c r="B423" s="8">
        <v>3</v>
      </c>
      <c r="C423" s="8" t="s">
        <v>985</v>
      </c>
      <c r="D423" s="208">
        <v>0</v>
      </c>
    </row>
    <row r="424" spans="1:4" ht="27.75" customHeight="1" x14ac:dyDescent="0.35">
      <c r="A424" s="7" t="s">
        <v>1332</v>
      </c>
      <c r="B424" s="8">
        <v>3</v>
      </c>
      <c r="C424" s="8" t="s">
        <v>975</v>
      </c>
      <c r="D424" s="208">
        <v>0</v>
      </c>
    </row>
    <row r="425" spans="1:4" ht="27.75" customHeight="1" x14ac:dyDescent="0.35">
      <c r="A425" s="7" t="s">
        <v>1333</v>
      </c>
      <c r="B425" s="8">
        <v>3</v>
      </c>
      <c r="C425" s="8" t="s">
        <v>972</v>
      </c>
      <c r="D425" s="208">
        <v>0</v>
      </c>
    </row>
    <row r="426" spans="1:4" ht="27.75" customHeight="1" x14ac:dyDescent="0.35">
      <c r="A426" s="7" t="s">
        <v>1334</v>
      </c>
      <c r="B426" s="8">
        <v>3</v>
      </c>
      <c r="C426" s="8" t="s">
        <v>958</v>
      </c>
      <c r="D426" s="208">
        <v>0</v>
      </c>
    </row>
    <row r="427" spans="1:4" ht="27.75" customHeight="1" x14ac:dyDescent="0.35">
      <c r="A427" s="7" t="s">
        <v>1335</v>
      </c>
      <c r="B427" s="8">
        <v>3</v>
      </c>
      <c r="C427" s="8" t="s">
        <v>965</v>
      </c>
      <c r="D427" s="208">
        <v>0</v>
      </c>
    </row>
    <row r="428" spans="1:4" ht="27.75" customHeight="1" x14ac:dyDescent="0.35">
      <c r="A428" s="7" t="s">
        <v>1336</v>
      </c>
      <c r="B428" s="8">
        <v>3</v>
      </c>
      <c r="C428" s="8" t="s">
        <v>934</v>
      </c>
      <c r="D428" s="208">
        <v>0</v>
      </c>
    </row>
    <row r="429" spans="1:4" ht="27.75" customHeight="1" x14ac:dyDescent="0.35">
      <c r="A429" s="7" t="s">
        <v>1337</v>
      </c>
      <c r="B429" s="8">
        <v>3</v>
      </c>
      <c r="C429" s="8" t="s">
        <v>978</v>
      </c>
      <c r="D429" s="208">
        <v>1.6506790646069101</v>
      </c>
    </row>
    <row r="430" spans="1:4" ht="27.75" customHeight="1" x14ac:dyDescent="0.35">
      <c r="A430" s="7" t="s">
        <v>1338</v>
      </c>
      <c r="B430" s="8">
        <v>3</v>
      </c>
      <c r="C430" s="8" t="s">
        <v>942</v>
      </c>
      <c r="D430" s="208">
        <v>0</v>
      </c>
    </row>
    <row r="431" spans="1:4" ht="27.75" customHeight="1" x14ac:dyDescent="0.35">
      <c r="A431" s="7" t="s">
        <v>1339</v>
      </c>
      <c r="B431" s="8">
        <v>3</v>
      </c>
      <c r="C431" s="8" t="s">
        <v>961</v>
      </c>
      <c r="D431" s="208">
        <v>0</v>
      </c>
    </row>
    <row r="432" spans="1:4" ht="27.75" customHeight="1" x14ac:dyDescent="0.35">
      <c r="A432" s="7" t="s">
        <v>1340</v>
      </c>
      <c r="B432" s="8">
        <v>3</v>
      </c>
      <c r="C432" s="8" t="s">
        <v>914</v>
      </c>
      <c r="D432" s="208">
        <v>0</v>
      </c>
    </row>
    <row r="433" spans="1:4" ht="27.75" customHeight="1" x14ac:dyDescent="0.35">
      <c r="A433" s="7" t="s">
        <v>1341</v>
      </c>
      <c r="B433" s="8">
        <v>3</v>
      </c>
      <c r="C433" s="8" t="s">
        <v>967</v>
      </c>
      <c r="D433" s="208">
        <v>0</v>
      </c>
    </row>
    <row r="434" spans="1:4" ht="27.75" customHeight="1" x14ac:dyDescent="0.35">
      <c r="A434" s="7" t="s">
        <v>1342</v>
      </c>
      <c r="B434" s="8">
        <v>3</v>
      </c>
      <c r="C434" s="8" t="s">
        <v>943</v>
      </c>
      <c r="D434" s="208">
        <v>0</v>
      </c>
    </row>
    <row r="435" spans="1:4" ht="27.75" customHeight="1" x14ac:dyDescent="0.35">
      <c r="A435" s="7" t="s">
        <v>1343</v>
      </c>
      <c r="B435" s="8">
        <v>3</v>
      </c>
      <c r="C435" s="8" t="s">
        <v>983</v>
      </c>
      <c r="D435" s="208">
        <v>0</v>
      </c>
    </row>
    <row r="436" spans="1:4" ht="27.75" customHeight="1" x14ac:dyDescent="0.35">
      <c r="A436" s="7" t="s">
        <v>1344</v>
      </c>
      <c r="B436" s="8">
        <v>3</v>
      </c>
      <c r="C436" s="8" t="s">
        <v>946</v>
      </c>
      <c r="D436" s="208">
        <v>0</v>
      </c>
    </row>
    <row r="437" spans="1:4" ht="27.75" customHeight="1" x14ac:dyDescent="0.35">
      <c r="A437" s="7" t="s">
        <v>1345</v>
      </c>
      <c r="B437" s="8">
        <v>3</v>
      </c>
      <c r="C437" s="8" t="s">
        <v>948</v>
      </c>
      <c r="D437" s="208">
        <v>0</v>
      </c>
    </row>
    <row r="438" spans="1:4" ht="27.75" customHeight="1" x14ac:dyDescent="0.35">
      <c r="A438" s="7" t="s">
        <v>1346</v>
      </c>
      <c r="B438" s="8">
        <v>3</v>
      </c>
      <c r="C438" s="8" t="s">
        <v>934</v>
      </c>
      <c r="D438" s="208">
        <v>0</v>
      </c>
    </row>
    <row r="439" spans="1:4" ht="27.75" customHeight="1" x14ac:dyDescent="0.35">
      <c r="A439" s="7" t="s">
        <v>1347</v>
      </c>
      <c r="B439" s="8">
        <v>3</v>
      </c>
      <c r="C439" s="8" t="s">
        <v>922</v>
      </c>
      <c r="D439" s="208">
        <v>0</v>
      </c>
    </row>
    <row r="440" spans="1:4" ht="27.75" customHeight="1" x14ac:dyDescent="0.35">
      <c r="A440" s="7" t="s">
        <v>1348</v>
      </c>
      <c r="B440" s="8">
        <v>3</v>
      </c>
      <c r="C440" s="8" t="s">
        <v>968</v>
      </c>
      <c r="D440" s="208">
        <v>0</v>
      </c>
    </row>
    <row r="441" spans="1:4" ht="27.75" customHeight="1" x14ac:dyDescent="0.35">
      <c r="A441" s="7" t="s">
        <v>1349</v>
      </c>
      <c r="B441" s="8">
        <v>3</v>
      </c>
      <c r="C441" s="8" t="s">
        <v>976</v>
      </c>
      <c r="D441" s="208">
        <v>0</v>
      </c>
    </row>
    <row r="442" spans="1:4" ht="27.75" customHeight="1" x14ac:dyDescent="0.35">
      <c r="A442" s="7" t="s">
        <v>1350</v>
      </c>
      <c r="B442" s="8">
        <v>3</v>
      </c>
      <c r="C442" s="8" t="s">
        <v>932</v>
      </c>
      <c r="D442" s="208">
        <v>0</v>
      </c>
    </row>
    <row r="443" spans="1:4" ht="27.75" customHeight="1" x14ac:dyDescent="0.35">
      <c r="A443" s="7" t="s">
        <v>1351</v>
      </c>
      <c r="B443" s="8">
        <v>3</v>
      </c>
      <c r="C443" s="8" t="s">
        <v>929</v>
      </c>
      <c r="D443" s="208">
        <v>0</v>
      </c>
    </row>
    <row r="444" spans="1:4" ht="27.75" customHeight="1" x14ac:dyDescent="0.35">
      <c r="A444" s="7" t="s">
        <v>1352</v>
      </c>
      <c r="B444" s="8">
        <v>3</v>
      </c>
      <c r="C444" s="8" t="s">
        <v>972</v>
      </c>
      <c r="D444" s="208">
        <v>0</v>
      </c>
    </row>
    <row r="445" spans="1:4" ht="27.75" customHeight="1" x14ac:dyDescent="0.35">
      <c r="A445" s="7" t="s">
        <v>1353</v>
      </c>
      <c r="B445" s="8">
        <v>3</v>
      </c>
      <c r="C445" s="8" t="s">
        <v>915</v>
      </c>
      <c r="D445" s="208">
        <v>0</v>
      </c>
    </row>
    <row r="446" spans="1:4" ht="27.75" customHeight="1" x14ac:dyDescent="0.35">
      <c r="A446" s="7" t="s">
        <v>1354</v>
      </c>
      <c r="B446" s="8">
        <v>3</v>
      </c>
      <c r="C446" s="8" t="s">
        <v>950</v>
      </c>
      <c r="D446" s="208">
        <v>0</v>
      </c>
    </row>
    <row r="447" spans="1:4" ht="27.75" customHeight="1" x14ac:dyDescent="0.35">
      <c r="A447" s="7" t="s">
        <v>1355</v>
      </c>
      <c r="B447" s="8">
        <v>3</v>
      </c>
      <c r="C447" s="8" t="s">
        <v>930</v>
      </c>
      <c r="D447" s="208">
        <v>0</v>
      </c>
    </row>
    <row r="448" spans="1:4" ht="27.75" customHeight="1" x14ac:dyDescent="0.35">
      <c r="A448" s="7" t="s">
        <v>1356</v>
      </c>
      <c r="B448" s="8">
        <v>3</v>
      </c>
      <c r="C448" s="8" t="s">
        <v>932</v>
      </c>
      <c r="D448" s="208">
        <v>0</v>
      </c>
    </row>
    <row r="449" spans="1:4" ht="27.75" customHeight="1" x14ac:dyDescent="0.35">
      <c r="A449" s="7" t="s">
        <v>1357</v>
      </c>
      <c r="B449" s="8">
        <v>3</v>
      </c>
      <c r="C449" s="8" t="s">
        <v>922</v>
      </c>
      <c r="D449" s="208">
        <v>0</v>
      </c>
    </row>
    <row r="450" spans="1:4" ht="27.75" customHeight="1" x14ac:dyDescent="0.35">
      <c r="A450" s="7" t="s">
        <v>1358</v>
      </c>
      <c r="B450" s="8">
        <v>3</v>
      </c>
      <c r="C450" s="8" t="s">
        <v>929</v>
      </c>
      <c r="D450" s="208">
        <v>0</v>
      </c>
    </row>
    <row r="451" spans="1:4" ht="27.75" customHeight="1" x14ac:dyDescent="0.35">
      <c r="A451" s="7" t="s">
        <v>1359</v>
      </c>
      <c r="B451" s="8">
        <v>3</v>
      </c>
      <c r="C451" s="8" t="s">
        <v>946</v>
      </c>
      <c r="D451" s="208">
        <v>0</v>
      </c>
    </row>
    <row r="452" spans="1:4" ht="27.75" customHeight="1" x14ac:dyDescent="0.35">
      <c r="A452" s="7" t="s">
        <v>1360</v>
      </c>
      <c r="B452" s="8">
        <v>3</v>
      </c>
      <c r="C452" s="8" t="s">
        <v>948</v>
      </c>
      <c r="D452" s="208">
        <v>0</v>
      </c>
    </row>
    <row r="453" spans="1:4" ht="27.75" customHeight="1" x14ac:dyDescent="0.35">
      <c r="A453" s="7" t="s">
        <v>1361</v>
      </c>
      <c r="B453" s="8">
        <v>3</v>
      </c>
      <c r="C453" s="8" t="s">
        <v>937</v>
      </c>
      <c r="D453" s="208">
        <v>0</v>
      </c>
    </row>
    <row r="454" spans="1:4" ht="27.75" customHeight="1" x14ac:dyDescent="0.35">
      <c r="A454" s="7" t="s">
        <v>1362</v>
      </c>
      <c r="B454" s="8">
        <v>3</v>
      </c>
      <c r="C454" s="8" t="s">
        <v>937</v>
      </c>
      <c r="D454" s="208">
        <v>0</v>
      </c>
    </row>
    <row r="455" spans="1:4" ht="27.75" customHeight="1" x14ac:dyDescent="0.35">
      <c r="A455" s="7" t="s">
        <v>1363</v>
      </c>
      <c r="B455" s="8">
        <v>3</v>
      </c>
      <c r="C455" s="8" t="s">
        <v>937</v>
      </c>
      <c r="D455" s="208">
        <v>0</v>
      </c>
    </row>
    <row r="456" spans="1:4" ht="27.75" customHeight="1" x14ac:dyDescent="0.35">
      <c r="A456" s="7" t="s">
        <v>1364</v>
      </c>
      <c r="B456" s="8">
        <v>3</v>
      </c>
      <c r="C456" s="8" t="s">
        <v>937</v>
      </c>
      <c r="D456" s="208">
        <v>0</v>
      </c>
    </row>
    <row r="457" spans="1:4" ht="27.75" customHeight="1" x14ac:dyDescent="0.35">
      <c r="A457" s="7" t="s">
        <v>1365</v>
      </c>
      <c r="B457" s="8">
        <v>3</v>
      </c>
      <c r="C457" s="8" t="s">
        <v>937</v>
      </c>
      <c r="D457" s="208">
        <v>0</v>
      </c>
    </row>
    <row r="458" spans="1:4" ht="27.75" customHeight="1" x14ac:dyDescent="0.35">
      <c r="A458" s="7" t="s">
        <v>1366</v>
      </c>
      <c r="B458" s="8">
        <v>3</v>
      </c>
      <c r="C458" s="8" t="s">
        <v>937</v>
      </c>
      <c r="D458" s="208">
        <v>0</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6"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&amp;C&amp;"Calibri"&amp;11&amp;K000000&amp;P of &amp;N_x000D_&amp;1#&amp;"Calibri"&amp;12&amp;K008000Internal Use</oddFooter>
    <firstHeader>&amp;LUn-scaled [nodal /network group] costs</firstHeader>
    <firstFooter>&amp;C&amp;"Calibri"&amp;11&amp;K000000&amp;P of &amp;N_x000D_&amp;1#&amp;"Calibri"&amp;12&amp;K008000Internal Use</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topLeftCell="A13" workbookViewId="0"/>
  </sheetViews>
  <sheetFormatPr defaultColWidth="11.59765625" defaultRowHeight="12.75" x14ac:dyDescent="0.35"/>
  <cols>
    <col min="1" max="1" width="13.86328125" style="146" customWidth="1"/>
    <col min="2" max="2" width="37.3984375" style="146" bestFit="1" customWidth="1"/>
    <col min="3" max="3" width="19" style="147" customWidth="1"/>
    <col min="4" max="4" width="5.265625" style="146" bestFit="1" customWidth="1"/>
    <col min="5" max="5" width="4.73046875" style="146" customWidth="1"/>
    <col min="6" max="6" width="29.1328125" style="146" bestFit="1" customWidth="1"/>
    <col min="7" max="7" width="11.59765625" style="146"/>
    <col min="8" max="8" width="64.59765625" style="146" bestFit="1" customWidth="1"/>
    <col min="9" max="16384" width="11.59765625" style="146"/>
  </cols>
  <sheetData>
    <row r="1" spans="1:8" ht="26.25" customHeight="1" x14ac:dyDescent="0.6">
      <c r="A1" s="149" t="s">
        <v>24</v>
      </c>
      <c r="H1" s="148"/>
    </row>
    <row r="2" spans="1:8" ht="12.75" customHeight="1" x14ac:dyDescent="0.35">
      <c r="A2" s="149"/>
    </row>
    <row r="3" spans="1:8" ht="12.75" customHeight="1" x14ac:dyDescent="0.35">
      <c r="A3" s="149"/>
    </row>
    <row r="4" spans="1:8" ht="12.75" customHeight="1" x14ac:dyDescent="0.35">
      <c r="A4" s="149"/>
    </row>
    <row r="5" spans="1:8" ht="12.75" customHeight="1" x14ac:dyDescent="0.35">
      <c r="A5" s="149"/>
    </row>
    <row r="6" spans="1:8" ht="12.75" customHeight="1" x14ac:dyDescent="0.35">
      <c r="A6" s="149"/>
    </row>
    <row r="7" spans="1:8" ht="12.75" customHeight="1" x14ac:dyDescent="0.35">
      <c r="A7" s="149"/>
    </row>
    <row r="8" spans="1:8" ht="12.75" customHeight="1" x14ac:dyDescent="0.35">
      <c r="A8" s="149"/>
    </row>
    <row r="9" spans="1:8" ht="12.75" customHeight="1" x14ac:dyDescent="0.35">
      <c r="A9" s="149"/>
    </row>
    <row r="10" spans="1:8" ht="12.75" customHeight="1" x14ac:dyDescent="0.35">
      <c r="A10" s="149"/>
    </row>
    <row r="11" spans="1:8" ht="12.75" customHeight="1" x14ac:dyDescent="0.35">
      <c r="A11" s="149"/>
    </row>
    <row r="12" spans="1:8" ht="12.75" customHeight="1" x14ac:dyDescent="0.35">
      <c r="A12" s="149"/>
    </row>
    <row r="13" spans="1:8" ht="12.75" customHeight="1" x14ac:dyDescent="0.35">
      <c r="A13" s="149"/>
    </row>
    <row r="14" spans="1:8" ht="12.75" customHeight="1" x14ac:dyDescent="0.35">
      <c r="A14" s="149"/>
    </row>
    <row r="15" spans="1:8" ht="12.75" customHeight="1" x14ac:dyDescent="0.35">
      <c r="A15" s="149"/>
    </row>
    <row r="16" spans="1:8" ht="12.75" customHeight="1" x14ac:dyDescent="0.35">
      <c r="A16" s="149"/>
    </row>
    <row r="17" spans="1:8" ht="12.75" customHeight="1" x14ac:dyDescent="0.35">
      <c r="A17" s="149"/>
    </row>
    <row r="18" spans="1:8" ht="12.75" customHeight="1" x14ac:dyDescent="0.35">
      <c r="A18" s="149"/>
    </row>
    <row r="19" spans="1:8" ht="12.75" customHeight="1" x14ac:dyDescent="0.35">
      <c r="A19" s="149"/>
    </row>
    <row r="20" spans="1:8" ht="12.75" customHeight="1" x14ac:dyDescent="0.35">
      <c r="A20" s="149"/>
    </row>
    <row r="21" spans="1:8" ht="12.75" customHeight="1" x14ac:dyDescent="0.35">
      <c r="A21" s="149"/>
    </row>
    <row r="22" spans="1:8" ht="12.75" customHeight="1" x14ac:dyDescent="0.35">
      <c r="A22" s="149"/>
    </row>
    <row r="23" spans="1:8" ht="12.75" customHeight="1" x14ac:dyDescent="0.35">
      <c r="A23" s="149"/>
    </row>
    <row r="24" spans="1:8" ht="12.75" customHeight="1" x14ac:dyDescent="0.35">
      <c r="A24" s="149"/>
    </row>
    <row r="25" spans="1:8" ht="12.75" customHeight="1" x14ac:dyDescent="0.35">
      <c r="A25" s="149"/>
    </row>
    <row r="26" spans="1:8" ht="12.75" customHeight="1" x14ac:dyDescent="0.35">
      <c r="A26" s="149"/>
    </row>
    <row r="27" spans="1:8" ht="12.75" customHeight="1" x14ac:dyDescent="0.35">
      <c r="A27" s="149"/>
    </row>
    <row r="28" spans="1:8" s="151" customFormat="1" ht="52.5" x14ac:dyDescent="0.35">
      <c r="A28" s="45" t="s">
        <v>201</v>
      </c>
      <c r="B28" s="45" t="s">
        <v>202</v>
      </c>
      <c r="C28" s="45" t="s">
        <v>429</v>
      </c>
      <c r="D28" s="150"/>
      <c r="E28" s="150"/>
      <c r="F28" s="45" t="s">
        <v>430</v>
      </c>
      <c r="G28" s="45" t="s">
        <v>431</v>
      </c>
      <c r="H28" s="45" t="s">
        <v>432</v>
      </c>
    </row>
    <row r="29" spans="1:8" x14ac:dyDescent="0.35">
      <c r="A29" s="156">
        <v>3</v>
      </c>
      <c r="B29" s="152" t="s">
        <v>203</v>
      </c>
      <c r="C29" s="155" t="s">
        <v>438</v>
      </c>
      <c r="F29" s="146" t="s">
        <v>435</v>
      </c>
      <c r="G29" s="153">
        <v>43626</v>
      </c>
      <c r="H29" s="146" t="s">
        <v>436</v>
      </c>
    </row>
    <row r="30" spans="1:8" x14ac:dyDescent="0.35">
      <c r="A30" s="156">
        <v>4</v>
      </c>
      <c r="B30" s="152" t="s">
        <v>203</v>
      </c>
      <c r="C30" s="155" t="s">
        <v>438</v>
      </c>
      <c r="F30" s="146" t="s">
        <v>440</v>
      </c>
      <c r="G30" s="153">
        <v>43626</v>
      </c>
      <c r="H30" s="146" t="s">
        <v>436</v>
      </c>
    </row>
    <row r="31" spans="1:8" x14ac:dyDescent="0.35">
      <c r="A31" s="156">
        <v>5</v>
      </c>
      <c r="B31" s="152" t="s">
        <v>204</v>
      </c>
      <c r="C31" s="155" t="s">
        <v>438</v>
      </c>
      <c r="F31" s="146" t="s">
        <v>439</v>
      </c>
      <c r="G31" s="153">
        <v>43626</v>
      </c>
      <c r="H31" s="146" t="s">
        <v>436</v>
      </c>
    </row>
    <row r="32" spans="1:8" x14ac:dyDescent="0.35">
      <c r="A32" s="156">
        <v>6</v>
      </c>
      <c r="B32" s="152" t="s">
        <v>205</v>
      </c>
      <c r="C32" s="155" t="s">
        <v>438</v>
      </c>
      <c r="F32" s="146" t="s">
        <v>441</v>
      </c>
      <c r="G32" s="153">
        <v>43626</v>
      </c>
      <c r="H32" s="146" t="s">
        <v>442</v>
      </c>
    </row>
    <row r="33" spans="1:8" x14ac:dyDescent="0.35">
      <c r="A33" s="156">
        <v>7</v>
      </c>
      <c r="B33" s="152" t="s">
        <v>205</v>
      </c>
      <c r="C33" s="155" t="s">
        <v>438</v>
      </c>
      <c r="G33" s="153"/>
      <c r="H33" s="154"/>
    </row>
    <row r="34" spans="1:8" x14ac:dyDescent="0.35">
      <c r="A34" s="156">
        <v>8</v>
      </c>
      <c r="B34" s="152" t="s">
        <v>205</v>
      </c>
      <c r="C34" s="155" t="s">
        <v>438</v>
      </c>
      <c r="F34" s="154"/>
      <c r="G34" s="153"/>
    </row>
    <row r="35" spans="1:8" x14ac:dyDescent="0.35">
      <c r="A35" s="156">
        <v>9</v>
      </c>
      <c r="B35" s="152" t="s">
        <v>205</v>
      </c>
      <c r="C35" s="155" t="s">
        <v>438</v>
      </c>
      <c r="G35" s="153"/>
      <c r="H35" s="154"/>
    </row>
    <row r="36" spans="1:8" x14ac:dyDescent="0.35">
      <c r="A36" s="156">
        <v>10</v>
      </c>
      <c r="B36" s="152" t="s">
        <v>205</v>
      </c>
      <c r="C36" s="155" t="s">
        <v>438</v>
      </c>
      <c r="G36" s="153"/>
      <c r="H36" s="154"/>
    </row>
    <row r="37" spans="1:8" x14ac:dyDescent="0.35">
      <c r="A37" s="156">
        <v>11</v>
      </c>
      <c r="B37" s="152" t="s">
        <v>205</v>
      </c>
      <c r="C37" s="155" t="s">
        <v>438</v>
      </c>
      <c r="G37" s="153"/>
    </row>
    <row r="38" spans="1:8" x14ac:dyDescent="0.35">
      <c r="A38" s="156">
        <v>12</v>
      </c>
      <c r="B38" s="152" t="s">
        <v>205</v>
      </c>
      <c r="C38" s="155" t="s">
        <v>438</v>
      </c>
      <c r="G38" s="153"/>
    </row>
    <row r="39" spans="1:8" x14ac:dyDescent="0.35">
      <c r="A39" s="156">
        <v>13</v>
      </c>
      <c r="B39" s="152" t="s">
        <v>206</v>
      </c>
      <c r="C39" s="155" t="s">
        <v>438</v>
      </c>
      <c r="G39" s="153"/>
    </row>
    <row r="40" spans="1:8" x14ac:dyDescent="0.35">
      <c r="A40" s="156">
        <v>15</v>
      </c>
      <c r="B40" s="152" t="s">
        <v>206</v>
      </c>
      <c r="C40" s="155" t="s">
        <v>438</v>
      </c>
      <c r="F40" s="154"/>
      <c r="G40" s="153"/>
      <c r="H40" s="154"/>
    </row>
    <row r="41" spans="1:8" x14ac:dyDescent="0.35">
      <c r="A41" s="156">
        <v>16</v>
      </c>
      <c r="B41" s="152" t="s">
        <v>207</v>
      </c>
      <c r="C41" s="155" t="s">
        <v>438</v>
      </c>
      <c r="G41" s="153"/>
      <c r="H41" s="154"/>
    </row>
    <row r="42" spans="1:8" x14ac:dyDescent="0.35">
      <c r="A42" s="156">
        <v>17</v>
      </c>
      <c r="B42" s="152" t="s">
        <v>207</v>
      </c>
      <c r="C42" s="155" t="s">
        <v>438</v>
      </c>
      <c r="G42" s="153"/>
    </row>
    <row r="43" spans="1:8" x14ac:dyDescent="0.35">
      <c r="A43" s="156">
        <v>18</v>
      </c>
      <c r="B43" s="152" t="s">
        <v>207</v>
      </c>
      <c r="C43" s="155" t="s">
        <v>438</v>
      </c>
      <c r="G43" s="153"/>
    </row>
    <row r="44" spans="1:8" x14ac:dyDescent="0.35">
      <c r="A44" s="156">
        <v>19</v>
      </c>
      <c r="B44" s="152" t="s">
        <v>207</v>
      </c>
      <c r="C44" s="155" t="s">
        <v>438</v>
      </c>
      <c r="G44" s="153"/>
    </row>
    <row r="45" spans="1:8" x14ac:dyDescent="0.35">
      <c r="A45" s="156">
        <v>20</v>
      </c>
      <c r="B45" s="152" t="s">
        <v>207</v>
      </c>
      <c r="C45" s="155" t="s">
        <v>438</v>
      </c>
      <c r="G45" s="153"/>
    </row>
    <row r="46" spans="1:8" x14ac:dyDescent="0.35">
      <c r="A46" s="156">
        <v>21</v>
      </c>
      <c r="B46" s="152" t="s">
        <v>207</v>
      </c>
      <c r="C46" s="155" t="s">
        <v>438</v>
      </c>
      <c r="G46" s="153"/>
    </row>
    <row r="47" spans="1:8" x14ac:dyDescent="0.35">
      <c r="A47" s="156">
        <v>22</v>
      </c>
      <c r="B47" s="152" t="s">
        <v>207</v>
      </c>
      <c r="C47" s="155" t="s">
        <v>438</v>
      </c>
      <c r="G47" s="153"/>
    </row>
    <row r="48" spans="1:8" x14ac:dyDescent="0.35">
      <c r="A48" s="156">
        <v>23</v>
      </c>
      <c r="B48" s="152" t="s">
        <v>208</v>
      </c>
      <c r="C48" s="155" t="s">
        <v>438</v>
      </c>
      <c r="G48" s="153"/>
    </row>
    <row r="49" spans="1:8" x14ac:dyDescent="0.35">
      <c r="A49" s="156">
        <v>24</v>
      </c>
      <c r="B49" s="152" t="s">
        <v>208</v>
      </c>
      <c r="C49" s="155" t="s">
        <v>438</v>
      </c>
      <c r="G49" s="153"/>
    </row>
    <row r="50" spans="1:8" x14ac:dyDescent="0.35">
      <c r="A50" s="156">
        <v>25</v>
      </c>
      <c r="B50" s="152" t="s">
        <v>208</v>
      </c>
      <c r="C50" s="155" t="s">
        <v>438</v>
      </c>
      <c r="G50" s="153"/>
    </row>
    <row r="51" spans="1:8" x14ac:dyDescent="0.35">
      <c r="A51" s="156">
        <v>26</v>
      </c>
      <c r="B51" s="152" t="s">
        <v>208</v>
      </c>
      <c r="C51" s="155" t="s">
        <v>438</v>
      </c>
      <c r="G51" s="153"/>
    </row>
    <row r="52" spans="1:8" x14ac:dyDescent="0.35">
      <c r="A52" s="156">
        <v>28</v>
      </c>
      <c r="B52" s="152" t="s">
        <v>208</v>
      </c>
      <c r="C52" s="155" t="s">
        <v>438</v>
      </c>
      <c r="G52" s="153"/>
    </row>
    <row r="53" spans="1:8" x14ac:dyDescent="0.35">
      <c r="A53" s="156">
        <v>29</v>
      </c>
      <c r="B53" s="152" t="s">
        <v>208</v>
      </c>
      <c r="C53" s="155" t="s">
        <v>438</v>
      </c>
      <c r="G53" s="153"/>
    </row>
    <row r="54" spans="1:8" x14ac:dyDescent="0.35">
      <c r="A54" s="156">
        <v>30</v>
      </c>
      <c r="B54" s="152" t="s">
        <v>208</v>
      </c>
      <c r="C54" s="155" t="s">
        <v>438</v>
      </c>
      <c r="G54" s="153"/>
    </row>
    <row r="55" spans="1:8" x14ac:dyDescent="0.35">
      <c r="A55" s="156">
        <v>31</v>
      </c>
      <c r="B55" s="152" t="s">
        <v>208</v>
      </c>
      <c r="C55" s="155" t="s">
        <v>438</v>
      </c>
      <c r="G55" s="153"/>
    </row>
    <row r="56" spans="1:8" x14ac:dyDescent="0.35">
      <c r="A56" s="156">
        <v>32</v>
      </c>
      <c r="B56" s="152" t="s">
        <v>208</v>
      </c>
      <c r="C56" s="155" t="s">
        <v>438</v>
      </c>
      <c r="F56" s="154"/>
      <c r="G56" s="153"/>
      <c r="H56" s="154"/>
    </row>
    <row r="57" spans="1:8" x14ac:dyDescent="0.35">
      <c r="A57" s="156">
        <v>33</v>
      </c>
      <c r="B57" s="152" t="s">
        <v>208</v>
      </c>
      <c r="C57" s="155" t="s">
        <v>438</v>
      </c>
      <c r="F57" s="154"/>
      <c r="G57" s="153"/>
      <c r="H57" s="154"/>
    </row>
    <row r="58" spans="1:8" x14ac:dyDescent="0.35">
      <c r="A58" s="156">
        <v>34</v>
      </c>
      <c r="B58" s="152" t="s">
        <v>208</v>
      </c>
      <c r="C58" s="155" t="s">
        <v>438</v>
      </c>
      <c r="F58" s="154"/>
      <c r="G58" s="153"/>
      <c r="H58" s="154"/>
    </row>
    <row r="59" spans="1:8" x14ac:dyDescent="0.35">
      <c r="A59" s="156">
        <v>35</v>
      </c>
      <c r="B59" s="152" t="s">
        <v>208</v>
      </c>
      <c r="C59" s="155" t="s">
        <v>438</v>
      </c>
      <c r="F59" s="154"/>
      <c r="G59" s="153"/>
      <c r="H59" s="154"/>
    </row>
    <row r="60" spans="1:8" x14ac:dyDescent="0.35">
      <c r="A60" s="156">
        <v>36</v>
      </c>
      <c r="B60" s="152" t="s">
        <v>208</v>
      </c>
      <c r="C60" s="155" t="s">
        <v>438</v>
      </c>
      <c r="F60" s="154"/>
      <c r="G60" s="153"/>
      <c r="H60" s="154"/>
    </row>
    <row r="61" spans="1:8" x14ac:dyDescent="0.35">
      <c r="A61" s="156">
        <v>37</v>
      </c>
      <c r="B61" s="152" t="s">
        <v>208</v>
      </c>
      <c r="C61" s="155" t="s">
        <v>438</v>
      </c>
      <c r="F61" s="154"/>
      <c r="G61" s="153"/>
      <c r="H61" s="154"/>
    </row>
    <row r="62" spans="1:8" x14ac:dyDescent="0.35">
      <c r="A62" s="156">
        <v>38</v>
      </c>
      <c r="B62" s="152" t="s">
        <v>208</v>
      </c>
      <c r="C62" s="155" t="s">
        <v>438</v>
      </c>
      <c r="F62" s="154"/>
      <c r="G62" s="153"/>
      <c r="H62" s="154"/>
    </row>
    <row r="63" spans="1:8" x14ac:dyDescent="0.35">
      <c r="A63" s="156">
        <v>39</v>
      </c>
      <c r="B63" s="152" t="s">
        <v>208</v>
      </c>
      <c r="C63" s="155" t="s">
        <v>438</v>
      </c>
      <c r="F63" s="154"/>
      <c r="G63" s="153"/>
      <c r="H63" s="154"/>
    </row>
    <row r="64" spans="1:8" x14ac:dyDescent="0.35">
      <c r="A64" s="156">
        <v>40</v>
      </c>
      <c r="B64" s="152" t="s">
        <v>207</v>
      </c>
      <c r="C64" s="155" t="s">
        <v>438</v>
      </c>
      <c r="F64" s="154"/>
      <c r="G64" s="153"/>
      <c r="H64" s="154"/>
    </row>
    <row r="65" spans="1:8" x14ac:dyDescent="0.35">
      <c r="A65" s="156">
        <v>41</v>
      </c>
      <c r="B65" s="152" t="s">
        <v>209</v>
      </c>
      <c r="C65" s="155" t="s">
        <v>438</v>
      </c>
      <c r="F65" s="154"/>
      <c r="G65" s="153"/>
      <c r="H65" s="154"/>
    </row>
    <row r="66" spans="1:8" x14ac:dyDescent="0.35">
      <c r="A66" s="156">
        <v>42</v>
      </c>
      <c r="B66" s="152" t="s">
        <v>210</v>
      </c>
      <c r="C66" s="155" t="s">
        <v>438</v>
      </c>
      <c r="F66" s="154"/>
      <c r="G66" s="153"/>
      <c r="H66" s="154"/>
    </row>
    <row r="67" spans="1:8" x14ac:dyDescent="0.35">
      <c r="A67" s="156">
        <v>43</v>
      </c>
      <c r="B67" s="152" t="s">
        <v>210</v>
      </c>
      <c r="C67" s="155" t="s">
        <v>438</v>
      </c>
      <c r="F67" s="154"/>
      <c r="G67" s="153"/>
      <c r="H67" s="154"/>
    </row>
    <row r="68" spans="1:8" x14ac:dyDescent="0.35">
      <c r="A68" s="156">
        <v>44</v>
      </c>
      <c r="B68" s="152" t="s">
        <v>209</v>
      </c>
      <c r="C68" s="155" t="s">
        <v>438</v>
      </c>
      <c r="F68" s="154"/>
      <c r="G68" s="153"/>
      <c r="H68" s="154"/>
    </row>
    <row r="69" spans="1:8" x14ac:dyDescent="0.35">
      <c r="A69" s="156">
        <v>45</v>
      </c>
      <c r="B69" s="152" t="s">
        <v>211</v>
      </c>
      <c r="C69" s="155" t="s">
        <v>438</v>
      </c>
      <c r="F69" s="154"/>
      <c r="G69" s="153"/>
      <c r="H69" s="154"/>
    </row>
    <row r="70" spans="1:8" x14ac:dyDescent="0.35">
      <c r="A70" s="156">
        <v>46</v>
      </c>
      <c r="B70" s="152" t="s">
        <v>212</v>
      </c>
      <c r="C70" s="155" t="s">
        <v>438</v>
      </c>
      <c r="F70" s="154"/>
      <c r="G70" s="153"/>
      <c r="H70" s="154"/>
    </row>
    <row r="71" spans="1:8" x14ac:dyDescent="0.35">
      <c r="A71" s="156">
        <v>47</v>
      </c>
      <c r="B71" s="152" t="s">
        <v>213</v>
      </c>
      <c r="C71" s="155" t="s">
        <v>438</v>
      </c>
      <c r="F71" s="154"/>
      <c r="G71" s="153"/>
      <c r="H71" s="154"/>
    </row>
    <row r="72" spans="1:8" x14ac:dyDescent="0.35">
      <c r="A72" s="156">
        <v>48</v>
      </c>
      <c r="B72" s="152" t="s">
        <v>214</v>
      </c>
      <c r="C72" s="155" t="s">
        <v>438</v>
      </c>
      <c r="F72" s="154"/>
      <c r="G72" s="153"/>
      <c r="H72" s="154"/>
    </row>
    <row r="73" spans="1:8" x14ac:dyDescent="0.35">
      <c r="A73" s="156">
        <v>49</v>
      </c>
      <c r="B73" s="152" t="s">
        <v>207</v>
      </c>
      <c r="C73" s="155" t="s">
        <v>438</v>
      </c>
      <c r="F73" s="154"/>
      <c r="G73" s="153"/>
      <c r="H73" s="154"/>
    </row>
    <row r="74" spans="1:8" x14ac:dyDescent="0.35">
      <c r="A74" s="156">
        <v>50</v>
      </c>
      <c r="B74" s="152" t="s">
        <v>215</v>
      </c>
      <c r="C74" s="155" t="s">
        <v>438</v>
      </c>
      <c r="F74" s="154"/>
      <c r="G74" s="153"/>
      <c r="H74" s="154"/>
    </row>
    <row r="75" spans="1:8" x14ac:dyDescent="0.35">
      <c r="A75" s="156">
        <v>51</v>
      </c>
      <c r="B75" s="152" t="s">
        <v>216</v>
      </c>
      <c r="C75" s="155" t="s">
        <v>437</v>
      </c>
      <c r="F75" s="154"/>
      <c r="G75" s="153"/>
      <c r="H75" s="154"/>
    </row>
    <row r="76" spans="1:8" x14ac:dyDescent="0.35">
      <c r="A76" s="156">
        <v>52</v>
      </c>
      <c r="B76" s="152" t="s">
        <v>217</v>
      </c>
      <c r="C76" s="155" t="s">
        <v>438</v>
      </c>
      <c r="F76" s="154"/>
      <c r="G76" s="153"/>
      <c r="H76" s="154"/>
    </row>
    <row r="77" spans="1:8" x14ac:dyDescent="0.35">
      <c r="A77" s="156">
        <v>53</v>
      </c>
      <c r="B77" s="152" t="s">
        <v>217</v>
      </c>
      <c r="C77" s="155" t="s">
        <v>438</v>
      </c>
      <c r="F77" s="154"/>
      <c r="G77" s="153"/>
      <c r="H77" s="154"/>
    </row>
    <row r="78" spans="1:8" x14ac:dyDescent="0.35">
      <c r="A78" s="156">
        <v>55</v>
      </c>
      <c r="B78" s="152" t="s">
        <v>217</v>
      </c>
      <c r="C78" s="155" t="s">
        <v>438</v>
      </c>
      <c r="F78" s="154"/>
      <c r="G78" s="153"/>
      <c r="H78" s="154"/>
    </row>
    <row r="79" spans="1:8" x14ac:dyDescent="0.35">
      <c r="A79" s="156">
        <v>56</v>
      </c>
      <c r="B79" s="152" t="s">
        <v>217</v>
      </c>
      <c r="C79" s="155" t="s">
        <v>438</v>
      </c>
      <c r="F79" s="154"/>
      <c r="G79" s="153"/>
      <c r="H79" s="154"/>
    </row>
    <row r="80" spans="1:8" x14ac:dyDescent="0.35">
      <c r="A80" s="156">
        <v>57</v>
      </c>
      <c r="B80" s="152" t="s">
        <v>217</v>
      </c>
      <c r="C80" s="155" t="s">
        <v>438</v>
      </c>
      <c r="F80" s="154"/>
      <c r="G80" s="153"/>
      <c r="H80" s="154"/>
    </row>
    <row r="81" spans="1:8" x14ac:dyDescent="0.35">
      <c r="A81" s="156">
        <v>58</v>
      </c>
      <c r="B81" s="152" t="s">
        <v>218</v>
      </c>
      <c r="C81" s="155" t="s">
        <v>437</v>
      </c>
      <c r="F81" s="154"/>
      <c r="G81" s="153"/>
      <c r="H81" s="154"/>
    </row>
    <row r="82" spans="1:8" x14ac:dyDescent="0.35">
      <c r="A82" s="156">
        <v>59</v>
      </c>
      <c r="B82" s="152" t="s">
        <v>217</v>
      </c>
      <c r="C82" s="155" t="s">
        <v>438</v>
      </c>
      <c r="F82" s="154"/>
      <c r="G82" s="153"/>
      <c r="H82" s="154"/>
    </row>
    <row r="83" spans="1:8" x14ac:dyDescent="0.35">
      <c r="A83" s="156">
        <v>60</v>
      </c>
      <c r="B83" s="152" t="s">
        <v>217</v>
      </c>
      <c r="C83" s="155" t="s">
        <v>438</v>
      </c>
      <c r="F83" s="154"/>
      <c r="G83" s="153"/>
      <c r="H83" s="154"/>
    </row>
    <row r="84" spans="1:8" x14ac:dyDescent="0.35">
      <c r="A84" s="156">
        <v>62</v>
      </c>
      <c r="B84" s="152" t="s">
        <v>219</v>
      </c>
      <c r="C84" s="155" t="s">
        <v>437</v>
      </c>
    </row>
    <row r="85" spans="1:8" x14ac:dyDescent="0.35">
      <c r="A85" s="156">
        <v>63</v>
      </c>
      <c r="B85" s="152" t="s">
        <v>210</v>
      </c>
      <c r="C85" s="155" t="s">
        <v>438</v>
      </c>
    </row>
    <row r="86" spans="1:8" x14ac:dyDescent="0.35">
      <c r="A86" s="156">
        <v>64</v>
      </c>
      <c r="B86" s="152" t="s">
        <v>217</v>
      </c>
      <c r="C86" s="155" t="s">
        <v>438</v>
      </c>
    </row>
    <row r="87" spans="1:8" x14ac:dyDescent="0.35">
      <c r="A87" s="156">
        <v>65</v>
      </c>
      <c r="B87" s="152" t="s">
        <v>220</v>
      </c>
      <c r="C87" s="155" t="s">
        <v>438</v>
      </c>
    </row>
    <row r="88" spans="1:8" x14ac:dyDescent="0.35">
      <c r="A88" s="156">
        <v>66</v>
      </c>
      <c r="B88" s="152" t="s">
        <v>220</v>
      </c>
      <c r="C88" s="155" t="s">
        <v>438</v>
      </c>
    </row>
    <row r="89" spans="1:8" x14ac:dyDescent="0.35">
      <c r="A89" s="156">
        <v>67</v>
      </c>
      <c r="B89" s="152" t="s">
        <v>221</v>
      </c>
      <c r="C89" s="155" t="s">
        <v>438</v>
      </c>
    </row>
    <row r="90" spans="1:8" x14ac:dyDescent="0.35">
      <c r="A90" s="156">
        <v>71</v>
      </c>
      <c r="B90" s="152" t="s">
        <v>221</v>
      </c>
      <c r="C90" s="155" t="s">
        <v>438</v>
      </c>
    </row>
    <row r="91" spans="1:8" x14ac:dyDescent="0.35">
      <c r="A91" s="156">
        <v>72</v>
      </c>
      <c r="B91" s="152" t="s">
        <v>221</v>
      </c>
      <c r="C91" s="155" t="s">
        <v>438</v>
      </c>
    </row>
    <row r="92" spans="1:8" x14ac:dyDescent="0.35">
      <c r="A92" s="156">
        <v>73</v>
      </c>
      <c r="B92" s="152" t="s">
        <v>221</v>
      </c>
      <c r="C92" s="155" t="s">
        <v>438</v>
      </c>
    </row>
    <row r="93" spans="1:8" x14ac:dyDescent="0.35">
      <c r="A93" s="156">
        <v>74</v>
      </c>
      <c r="B93" s="152" t="s">
        <v>222</v>
      </c>
      <c r="C93" s="155" t="s">
        <v>438</v>
      </c>
    </row>
    <row r="94" spans="1:8" x14ac:dyDescent="0.35">
      <c r="A94" s="156">
        <v>75</v>
      </c>
      <c r="B94" s="152" t="s">
        <v>223</v>
      </c>
      <c r="C94" s="155" t="s">
        <v>438</v>
      </c>
    </row>
    <row r="95" spans="1:8" x14ac:dyDescent="0.35">
      <c r="A95" s="156">
        <v>76</v>
      </c>
      <c r="B95" s="152" t="s">
        <v>223</v>
      </c>
      <c r="C95" s="155" t="s">
        <v>438</v>
      </c>
    </row>
    <row r="96" spans="1:8" x14ac:dyDescent="0.35">
      <c r="A96" s="156">
        <v>77</v>
      </c>
      <c r="B96" s="152" t="s">
        <v>223</v>
      </c>
      <c r="C96" s="155" t="s">
        <v>438</v>
      </c>
    </row>
    <row r="97" spans="1:3" x14ac:dyDescent="0.35">
      <c r="A97" s="156">
        <v>78</v>
      </c>
      <c r="B97" s="152" t="s">
        <v>224</v>
      </c>
      <c r="C97" s="155" t="s">
        <v>438</v>
      </c>
    </row>
    <row r="98" spans="1:3" x14ac:dyDescent="0.35">
      <c r="A98" s="156">
        <v>79</v>
      </c>
      <c r="B98" s="152" t="s">
        <v>225</v>
      </c>
      <c r="C98" s="155" t="s">
        <v>437</v>
      </c>
    </row>
    <row r="99" spans="1:3" x14ac:dyDescent="0.35">
      <c r="A99" s="156">
        <v>80</v>
      </c>
      <c r="B99" s="152" t="s">
        <v>226</v>
      </c>
      <c r="C99" s="155" t="s">
        <v>438</v>
      </c>
    </row>
    <row r="100" spans="1:3" x14ac:dyDescent="0.35">
      <c r="A100" s="156">
        <v>81</v>
      </c>
      <c r="B100" s="152" t="s">
        <v>227</v>
      </c>
      <c r="C100" s="155" t="s">
        <v>438</v>
      </c>
    </row>
    <row r="101" spans="1:3" x14ac:dyDescent="0.35">
      <c r="A101" s="156">
        <v>82</v>
      </c>
      <c r="B101" s="152" t="s">
        <v>228</v>
      </c>
      <c r="C101" s="155" t="s">
        <v>438</v>
      </c>
    </row>
    <row r="102" spans="1:3" x14ac:dyDescent="0.35">
      <c r="A102" s="156">
        <v>83</v>
      </c>
      <c r="B102" s="152" t="s">
        <v>228</v>
      </c>
      <c r="C102" s="155" t="s">
        <v>438</v>
      </c>
    </row>
    <row r="103" spans="1:3" x14ac:dyDescent="0.35">
      <c r="A103" s="156">
        <v>84</v>
      </c>
      <c r="B103" s="152" t="s">
        <v>228</v>
      </c>
      <c r="C103" s="155" t="s">
        <v>438</v>
      </c>
    </row>
    <row r="104" spans="1:3" x14ac:dyDescent="0.35">
      <c r="A104" s="156">
        <v>85</v>
      </c>
      <c r="B104" s="152" t="s">
        <v>228</v>
      </c>
      <c r="C104" s="155" t="s">
        <v>438</v>
      </c>
    </row>
    <row r="105" spans="1:3" x14ac:dyDescent="0.35">
      <c r="A105" s="156">
        <v>86</v>
      </c>
      <c r="B105" s="152" t="s">
        <v>228</v>
      </c>
      <c r="C105" s="155" t="s">
        <v>438</v>
      </c>
    </row>
    <row r="106" spans="1:3" x14ac:dyDescent="0.35">
      <c r="A106" s="156">
        <v>87</v>
      </c>
      <c r="B106" s="152" t="s">
        <v>228</v>
      </c>
      <c r="C106" s="155" t="s">
        <v>438</v>
      </c>
    </row>
    <row r="107" spans="1:3" x14ac:dyDescent="0.35">
      <c r="A107" s="156">
        <v>88</v>
      </c>
      <c r="B107" s="152" t="s">
        <v>228</v>
      </c>
      <c r="C107" s="155" t="s">
        <v>438</v>
      </c>
    </row>
    <row r="108" spans="1:3" x14ac:dyDescent="0.35">
      <c r="A108" s="156">
        <v>91</v>
      </c>
      <c r="B108" s="152" t="s">
        <v>229</v>
      </c>
      <c r="C108" s="155" t="s">
        <v>438</v>
      </c>
    </row>
    <row r="109" spans="1:3" x14ac:dyDescent="0.35">
      <c r="A109" s="156">
        <v>92</v>
      </c>
      <c r="B109" s="152" t="s">
        <v>229</v>
      </c>
      <c r="C109" s="155" t="s">
        <v>438</v>
      </c>
    </row>
    <row r="110" spans="1:3" x14ac:dyDescent="0.35">
      <c r="A110" s="156">
        <v>93</v>
      </c>
      <c r="B110" s="152" t="s">
        <v>230</v>
      </c>
      <c r="C110" s="155" t="s">
        <v>437</v>
      </c>
    </row>
    <row r="111" spans="1:3" x14ac:dyDescent="0.35">
      <c r="A111" s="156">
        <v>94</v>
      </c>
      <c r="B111" s="152" t="s">
        <v>229</v>
      </c>
      <c r="C111" s="155" t="s">
        <v>438</v>
      </c>
    </row>
    <row r="112" spans="1:3" x14ac:dyDescent="0.35">
      <c r="A112" s="156">
        <v>95</v>
      </c>
      <c r="B112" s="152" t="s">
        <v>229</v>
      </c>
      <c r="C112" s="155" t="s">
        <v>438</v>
      </c>
    </row>
    <row r="113" spans="1:3" x14ac:dyDescent="0.35">
      <c r="A113" s="156">
        <v>96</v>
      </c>
      <c r="B113" s="152" t="s">
        <v>229</v>
      </c>
      <c r="C113" s="155" t="s">
        <v>438</v>
      </c>
    </row>
    <row r="114" spans="1:3" x14ac:dyDescent="0.35">
      <c r="A114" s="156">
        <v>97</v>
      </c>
      <c r="B114" s="152" t="s">
        <v>231</v>
      </c>
      <c r="C114" s="155" t="s">
        <v>438</v>
      </c>
    </row>
    <row r="115" spans="1:3" x14ac:dyDescent="0.35">
      <c r="A115" s="156">
        <v>98</v>
      </c>
      <c r="B115" s="152" t="s">
        <v>232</v>
      </c>
      <c r="C115" s="155" t="s">
        <v>438</v>
      </c>
    </row>
    <row r="116" spans="1:3" x14ac:dyDescent="0.35">
      <c r="A116" s="156">
        <v>99</v>
      </c>
      <c r="B116" s="152" t="s">
        <v>233</v>
      </c>
      <c r="C116" s="155" t="s">
        <v>438</v>
      </c>
    </row>
    <row r="117" spans="1:3" x14ac:dyDescent="0.35">
      <c r="A117" s="156">
        <v>100</v>
      </c>
      <c r="B117" s="152" t="s">
        <v>233</v>
      </c>
      <c r="C117" s="155" t="s">
        <v>438</v>
      </c>
    </row>
    <row r="118" spans="1:3" x14ac:dyDescent="0.35">
      <c r="A118" s="156">
        <v>101</v>
      </c>
      <c r="B118" s="152" t="s">
        <v>234</v>
      </c>
      <c r="C118" s="155" t="s">
        <v>438</v>
      </c>
    </row>
    <row r="119" spans="1:3" x14ac:dyDescent="0.35">
      <c r="A119" s="156">
        <v>102</v>
      </c>
      <c r="B119" s="152" t="s">
        <v>234</v>
      </c>
      <c r="C119" s="155" t="s">
        <v>438</v>
      </c>
    </row>
    <row r="120" spans="1:3" x14ac:dyDescent="0.35">
      <c r="A120" s="156">
        <v>103</v>
      </c>
      <c r="B120" s="152" t="s">
        <v>234</v>
      </c>
      <c r="C120" s="155" t="s">
        <v>438</v>
      </c>
    </row>
    <row r="121" spans="1:3" x14ac:dyDescent="0.35">
      <c r="A121" s="156">
        <v>104</v>
      </c>
      <c r="B121" s="152" t="s">
        <v>235</v>
      </c>
      <c r="C121" s="155" t="s">
        <v>438</v>
      </c>
    </row>
    <row r="122" spans="1:3" x14ac:dyDescent="0.35">
      <c r="A122" s="156">
        <v>105</v>
      </c>
      <c r="B122" s="152" t="s">
        <v>235</v>
      </c>
      <c r="C122" s="155" t="s">
        <v>438</v>
      </c>
    </row>
    <row r="123" spans="1:3" x14ac:dyDescent="0.35">
      <c r="A123" s="156">
        <v>106</v>
      </c>
      <c r="B123" s="152" t="s">
        <v>235</v>
      </c>
      <c r="C123" s="155" t="s">
        <v>438</v>
      </c>
    </row>
    <row r="124" spans="1:3" x14ac:dyDescent="0.35">
      <c r="A124" s="156">
        <v>107</v>
      </c>
      <c r="B124" s="152" t="s">
        <v>235</v>
      </c>
      <c r="C124" s="155" t="s">
        <v>438</v>
      </c>
    </row>
    <row r="125" spans="1:3" x14ac:dyDescent="0.35">
      <c r="A125" s="156">
        <v>108</v>
      </c>
      <c r="B125" s="152" t="s">
        <v>235</v>
      </c>
      <c r="C125" s="155" t="s">
        <v>438</v>
      </c>
    </row>
    <row r="126" spans="1:3" x14ac:dyDescent="0.35">
      <c r="A126" s="156">
        <v>109</v>
      </c>
      <c r="B126" s="152" t="s">
        <v>235</v>
      </c>
      <c r="C126" s="155" t="s">
        <v>438</v>
      </c>
    </row>
    <row r="127" spans="1:3" x14ac:dyDescent="0.35">
      <c r="A127" s="156">
        <v>110</v>
      </c>
      <c r="B127" s="152" t="s">
        <v>235</v>
      </c>
      <c r="C127" s="155" t="s">
        <v>438</v>
      </c>
    </row>
    <row r="128" spans="1:3" x14ac:dyDescent="0.35">
      <c r="A128" s="156">
        <v>111</v>
      </c>
      <c r="B128" s="152" t="s">
        <v>236</v>
      </c>
      <c r="C128" s="155" t="s">
        <v>438</v>
      </c>
    </row>
    <row r="129" spans="1:3" x14ac:dyDescent="0.35">
      <c r="A129" s="156">
        <v>112</v>
      </c>
      <c r="B129" s="152" t="s">
        <v>237</v>
      </c>
      <c r="C129" s="155" t="s">
        <v>438</v>
      </c>
    </row>
    <row r="130" spans="1:3" x14ac:dyDescent="0.35">
      <c r="A130" s="156">
        <v>113</v>
      </c>
      <c r="B130" s="152" t="s">
        <v>237</v>
      </c>
      <c r="C130" s="155" t="s">
        <v>438</v>
      </c>
    </row>
    <row r="131" spans="1:3" x14ac:dyDescent="0.35">
      <c r="A131" s="156">
        <v>115</v>
      </c>
      <c r="B131" s="152" t="s">
        <v>237</v>
      </c>
      <c r="C131" s="155" t="s">
        <v>438</v>
      </c>
    </row>
    <row r="132" spans="1:3" x14ac:dyDescent="0.35">
      <c r="A132" s="156">
        <v>116</v>
      </c>
      <c r="B132" s="152" t="s">
        <v>237</v>
      </c>
      <c r="C132" s="155" t="s">
        <v>438</v>
      </c>
    </row>
    <row r="133" spans="1:3" x14ac:dyDescent="0.35">
      <c r="A133" s="156">
        <v>117</v>
      </c>
      <c r="B133" s="152" t="s">
        <v>237</v>
      </c>
      <c r="C133" s="155" t="s">
        <v>438</v>
      </c>
    </row>
    <row r="134" spans="1:3" x14ac:dyDescent="0.35">
      <c r="A134" s="156">
        <v>118</v>
      </c>
      <c r="B134" s="152" t="s">
        <v>238</v>
      </c>
      <c r="C134" s="155" t="s">
        <v>438</v>
      </c>
    </row>
    <row r="135" spans="1:3" x14ac:dyDescent="0.35">
      <c r="A135" s="156">
        <v>119</v>
      </c>
      <c r="B135" s="152" t="s">
        <v>238</v>
      </c>
      <c r="C135" s="155" t="s">
        <v>438</v>
      </c>
    </row>
    <row r="136" spans="1:3" x14ac:dyDescent="0.35">
      <c r="A136" s="156">
        <v>120</v>
      </c>
      <c r="B136" s="152" t="s">
        <v>210</v>
      </c>
      <c r="C136" s="155" t="s">
        <v>438</v>
      </c>
    </row>
    <row r="137" spans="1:3" x14ac:dyDescent="0.35">
      <c r="A137" s="156">
        <v>121</v>
      </c>
      <c r="B137" s="152" t="s">
        <v>239</v>
      </c>
      <c r="C137" s="155" t="s">
        <v>437</v>
      </c>
    </row>
    <row r="138" spans="1:3" x14ac:dyDescent="0.35">
      <c r="A138" s="156">
        <v>122</v>
      </c>
      <c r="B138" s="152" t="s">
        <v>240</v>
      </c>
      <c r="C138" s="155" t="s">
        <v>437</v>
      </c>
    </row>
    <row r="139" spans="1:3" x14ac:dyDescent="0.35">
      <c r="A139" s="156">
        <v>123</v>
      </c>
      <c r="B139" s="152" t="s">
        <v>241</v>
      </c>
      <c r="C139" s="155" t="s">
        <v>437</v>
      </c>
    </row>
    <row r="140" spans="1:3" x14ac:dyDescent="0.35">
      <c r="A140" s="156">
        <v>124</v>
      </c>
      <c r="B140" s="152" t="s">
        <v>241</v>
      </c>
      <c r="C140" s="155" t="s">
        <v>437</v>
      </c>
    </row>
    <row r="141" spans="1:3" x14ac:dyDescent="0.35">
      <c r="A141" s="156">
        <v>125</v>
      </c>
      <c r="B141" s="152" t="s">
        <v>241</v>
      </c>
      <c r="C141" s="155" t="s">
        <v>437</v>
      </c>
    </row>
    <row r="142" spans="1:3" x14ac:dyDescent="0.35">
      <c r="A142" s="156">
        <v>126</v>
      </c>
      <c r="B142" s="152" t="s">
        <v>242</v>
      </c>
      <c r="C142" s="155" t="s">
        <v>437</v>
      </c>
    </row>
    <row r="143" spans="1:3" x14ac:dyDescent="0.35">
      <c r="A143" s="156">
        <v>127</v>
      </c>
      <c r="B143" s="152" t="s">
        <v>243</v>
      </c>
      <c r="C143" s="155" t="s">
        <v>437</v>
      </c>
    </row>
    <row r="144" spans="1:3" x14ac:dyDescent="0.35">
      <c r="A144" s="156">
        <v>128</v>
      </c>
      <c r="B144" s="152" t="s">
        <v>244</v>
      </c>
      <c r="C144" s="155" t="s">
        <v>437</v>
      </c>
    </row>
    <row r="145" spans="1:3" x14ac:dyDescent="0.35">
      <c r="A145" s="156">
        <v>129</v>
      </c>
      <c r="B145" s="152" t="s">
        <v>243</v>
      </c>
      <c r="C145" s="155" t="s">
        <v>437</v>
      </c>
    </row>
    <row r="146" spans="1:3" x14ac:dyDescent="0.35">
      <c r="A146" s="156">
        <v>130</v>
      </c>
      <c r="B146" s="152" t="s">
        <v>245</v>
      </c>
      <c r="C146" s="155" t="s">
        <v>437</v>
      </c>
    </row>
    <row r="147" spans="1:3" x14ac:dyDescent="0.35">
      <c r="A147" s="156">
        <v>131</v>
      </c>
      <c r="B147" s="152" t="s">
        <v>245</v>
      </c>
      <c r="C147" s="155" t="s">
        <v>437</v>
      </c>
    </row>
    <row r="148" spans="1:3" x14ac:dyDescent="0.35">
      <c r="A148" s="156">
        <v>132</v>
      </c>
      <c r="B148" s="152" t="s">
        <v>246</v>
      </c>
      <c r="C148" s="155" t="s">
        <v>437</v>
      </c>
    </row>
    <row r="149" spans="1:3" x14ac:dyDescent="0.35">
      <c r="A149" s="156">
        <v>133</v>
      </c>
      <c r="B149" s="152" t="s">
        <v>246</v>
      </c>
      <c r="C149" s="155" t="s">
        <v>437</v>
      </c>
    </row>
    <row r="150" spans="1:3" x14ac:dyDescent="0.35">
      <c r="A150" s="156">
        <v>134</v>
      </c>
      <c r="B150" s="152" t="s">
        <v>246</v>
      </c>
      <c r="C150" s="155" t="s">
        <v>437</v>
      </c>
    </row>
    <row r="151" spans="1:3" x14ac:dyDescent="0.35">
      <c r="A151" s="156">
        <v>135</v>
      </c>
      <c r="B151" s="152" t="s">
        <v>246</v>
      </c>
      <c r="C151" s="155" t="s">
        <v>437</v>
      </c>
    </row>
    <row r="152" spans="1:3" x14ac:dyDescent="0.35">
      <c r="A152" s="156">
        <v>136</v>
      </c>
      <c r="B152" s="152" t="s">
        <v>246</v>
      </c>
      <c r="C152" s="155" t="s">
        <v>437</v>
      </c>
    </row>
    <row r="153" spans="1:3" x14ac:dyDescent="0.35">
      <c r="A153" s="156">
        <v>137</v>
      </c>
      <c r="B153" s="152" t="s">
        <v>246</v>
      </c>
      <c r="C153" s="155" t="s">
        <v>437</v>
      </c>
    </row>
    <row r="154" spans="1:3" x14ac:dyDescent="0.35">
      <c r="A154" s="156">
        <v>138</v>
      </c>
      <c r="B154" s="152" t="s">
        <v>246</v>
      </c>
      <c r="C154" s="155" t="s">
        <v>437</v>
      </c>
    </row>
    <row r="155" spans="1:3" x14ac:dyDescent="0.35">
      <c r="A155" s="156">
        <v>140</v>
      </c>
      <c r="B155" s="152" t="s">
        <v>230</v>
      </c>
      <c r="C155" s="155" t="s">
        <v>437</v>
      </c>
    </row>
    <row r="156" spans="1:3" x14ac:dyDescent="0.35">
      <c r="A156" s="156">
        <v>141</v>
      </c>
      <c r="B156" s="152" t="s">
        <v>247</v>
      </c>
      <c r="C156" s="155" t="s">
        <v>437</v>
      </c>
    </row>
    <row r="157" spans="1:3" x14ac:dyDescent="0.35">
      <c r="A157" s="156">
        <v>142</v>
      </c>
      <c r="B157" s="152" t="s">
        <v>247</v>
      </c>
      <c r="C157" s="155" t="s">
        <v>437</v>
      </c>
    </row>
    <row r="158" spans="1:3" x14ac:dyDescent="0.35">
      <c r="A158" s="156">
        <v>143</v>
      </c>
      <c r="B158" s="152" t="s">
        <v>233</v>
      </c>
      <c r="C158" s="155" t="s">
        <v>438</v>
      </c>
    </row>
    <row r="159" spans="1:3" x14ac:dyDescent="0.35">
      <c r="A159" s="156">
        <v>144</v>
      </c>
      <c r="B159" s="152" t="s">
        <v>248</v>
      </c>
      <c r="C159" s="155" t="s">
        <v>437</v>
      </c>
    </row>
    <row r="160" spans="1:3" x14ac:dyDescent="0.35">
      <c r="A160" s="156">
        <v>145</v>
      </c>
      <c r="B160" s="152" t="s">
        <v>248</v>
      </c>
      <c r="C160" s="155" t="s">
        <v>437</v>
      </c>
    </row>
    <row r="161" spans="1:3" x14ac:dyDescent="0.35">
      <c r="A161" s="156">
        <v>146</v>
      </c>
      <c r="B161" s="152" t="s">
        <v>248</v>
      </c>
      <c r="C161" s="155" t="s">
        <v>437</v>
      </c>
    </row>
    <row r="162" spans="1:3" x14ac:dyDescent="0.35">
      <c r="A162" s="156">
        <v>147</v>
      </c>
      <c r="B162" s="152" t="s">
        <v>248</v>
      </c>
      <c r="C162" s="155" t="s">
        <v>437</v>
      </c>
    </row>
    <row r="163" spans="1:3" x14ac:dyDescent="0.35">
      <c r="A163" s="156">
        <v>148</v>
      </c>
      <c r="B163" s="152" t="s">
        <v>249</v>
      </c>
      <c r="C163" s="155" t="s">
        <v>437</v>
      </c>
    </row>
    <row r="164" spans="1:3" x14ac:dyDescent="0.35">
      <c r="A164" s="156">
        <v>149</v>
      </c>
      <c r="B164" s="152" t="s">
        <v>250</v>
      </c>
      <c r="C164" s="155" t="s">
        <v>437</v>
      </c>
    </row>
    <row r="165" spans="1:3" x14ac:dyDescent="0.35">
      <c r="A165" s="156">
        <v>150</v>
      </c>
      <c r="B165" s="152" t="s">
        <v>242</v>
      </c>
      <c r="C165" s="155" t="s">
        <v>437</v>
      </c>
    </row>
    <row r="166" spans="1:3" x14ac:dyDescent="0.35">
      <c r="A166" s="156">
        <v>151</v>
      </c>
      <c r="B166" s="152" t="s">
        <v>242</v>
      </c>
      <c r="C166" s="155" t="s">
        <v>437</v>
      </c>
    </row>
    <row r="167" spans="1:3" x14ac:dyDescent="0.35">
      <c r="A167" s="156">
        <v>152</v>
      </c>
      <c r="B167" s="152" t="s">
        <v>242</v>
      </c>
      <c r="C167" s="155" t="s">
        <v>437</v>
      </c>
    </row>
    <row r="168" spans="1:3" x14ac:dyDescent="0.35">
      <c r="A168" s="156">
        <v>153</v>
      </c>
      <c r="B168" s="152" t="s">
        <v>242</v>
      </c>
      <c r="C168" s="155" t="s">
        <v>437</v>
      </c>
    </row>
    <row r="169" spans="1:3" x14ac:dyDescent="0.35">
      <c r="A169" s="156">
        <v>154</v>
      </c>
      <c r="B169" s="152" t="s">
        <v>242</v>
      </c>
      <c r="C169" s="155" t="s">
        <v>437</v>
      </c>
    </row>
    <row r="170" spans="1:3" x14ac:dyDescent="0.35">
      <c r="A170" s="156">
        <v>155</v>
      </c>
      <c r="B170" s="152" t="s">
        <v>230</v>
      </c>
      <c r="C170" s="155" t="s">
        <v>438</v>
      </c>
    </row>
    <row r="171" spans="1:3" x14ac:dyDescent="0.35">
      <c r="A171" s="156">
        <v>156</v>
      </c>
      <c r="B171" s="152" t="s">
        <v>242</v>
      </c>
      <c r="C171" s="155" t="s">
        <v>437</v>
      </c>
    </row>
    <row r="172" spans="1:3" x14ac:dyDescent="0.35">
      <c r="A172" s="156">
        <v>157</v>
      </c>
      <c r="B172" s="152" t="s">
        <v>242</v>
      </c>
      <c r="C172" s="155" t="s">
        <v>437</v>
      </c>
    </row>
    <row r="173" spans="1:3" x14ac:dyDescent="0.35">
      <c r="A173" s="156">
        <v>158</v>
      </c>
      <c r="B173" s="152" t="s">
        <v>242</v>
      </c>
      <c r="C173" s="155" t="s">
        <v>437</v>
      </c>
    </row>
    <row r="174" spans="1:3" x14ac:dyDescent="0.35">
      <c r="A174" s="156">
        <v>159</v>
      </c>
      <c r="B174" s="152" t="s">
        <v>217</v>
      </c>
      <c r="C174" s="155" t="s">
        <v>438</v>
      </c>
    </row>
    <row r="175" spans="1:3" x14ac:dyDescent="0.35">
      <c r="A175" s="156">
        <v>160</v>
      </c>
      <c r="B175" s="152" t="s">
        <v>242</v>
      </c>
      <c r="C175" s="155" t="s">
        <v>437</v>
      </c>
    </row>
    <row r="176" spans="1:3" x14ac:dyDescent="0.35">
      <c r="A176" s="156">
        <v>161</v>
      </c>
      <c r="B176" s="152" t="s">
        <v>242</v>
      </c>
      <c r="C176" s="155" t="s">
        <v>437</v>
      </c>
    </row>
    <row r="177" spans="1:3" x14ac:dyDescent="0.35">
      <c r="A177" s="156">
        <v>162</v>
      </c>
      <c r="B177" s="152" t="s">
        <v>242</v>
      </c>
      <c r="C177" s="155" t="s">
        <v>437</v>
      </c>
    </row>
    <row r="178" spans="1:3" x14ac:dyDescent="0.35">
      <c r="A178" s="156">
        <v>163</v>
      </c>
      <c r="B178" s="152" t="s">
        <v>242</v>
      </c>
      <c r="C178" s="155" t="s">
        <v>437</v>
      </c>
    </row>
    <row r="179" spans="1:3" x14ac:dyDescent="0.35">
      <c r="A179" s="156">
        <v>164</v>
      </c>
      <c r="B179" s="152" t="s">
        <v>242</v>
      </c>
      <c r="C179" s="155" t="s">
        <v>437</v>
      </c>
    </row>
    <row r="180" spans="1:3" x14ac:dyDescent="0.35">
      <c r="A180" s="156">
        <v>165</v>
      </c>
      <c r="B180" s="152" t="s">
        <v>242</v>
      </c>
      <c r="C180" s="155" t="s">
        <v>437</v>
      </c>
    </row>
    <row r="181" spans="1:3" x14ac:dyDescent="0.35">
      <c r="A181" s="156">
        <v>166</v>
      </c>
      <c r="B181" s="152" t="s">
        <v>242</v>
      </c>
      <c r="C181" s="155" t="s">
        <v>437</v>
      </c>
    </row>
    <row r="182" spans="1:3" x14ac:dyDescent="0.35">
      <c r="A182" s="156">
        <v>167</v>
      </c>
      <c r="B182" s="152" t="s">
        <v>242</v>
      </c>
      <c r="C182" s="155" t="s">
        <v>437</v>
      </c>
    </row>
    <row r="183" spans="1:3" x14ac:dyDescent="0.35">
      <c r="A183" s="156">
        <v>168</v>
      </c>
      <c r="B183" s="152" t="s">
        <v>242</v>
      </c>
      <c r="C183" s="155" t="s">
        <v>437</v>
      </c>
    </row>
    <row r="184" spans="1:3" x14ac:dyDescent="0.35">
      <c r="A184" s="156">
        <v>169</v>
      </c>
      <c r="B184" s="152" t="s">
        <v>242</v>
      </c>
      <c r="C184" s="155" t="s">
        <v>437</v>
      </c>
    </row>
    <row r="185" spans="1:3" x14ac:dyDescent="0.35">
      <c r="A185" s="156">
        <v>170</v>
      </c>
      <c r="B185" s="152" t="s">
        <v>242</v>
      </c>
      <c r="C185" s="155" t="s">
        <v>437</v>
      </c>
    </row>
    <row r="186" spans="1:3" x14ac:dyDescent="0.35">
      <c r="A186" s="156">
        <v>171</v>
      </c>
      <c r="B186" s="152" t="s">
        <v>242</v>
      </c>
      <c r="C186" s="155" t="s">
        <v>437</v>
      </c>
    </row>
    <row r="187" spans="1:3" x14ac:dyDescent="0.35">
      <c r="A187" s="156">
        <v>172</v>
      </c>
      <c r="B187" s="152" t="s">
        <v>242</v>
      </c>
      <c r="C187" s="155" t="s">
        <v>437</v>
      </c>
    </row>
    <row r="188" spans="1:3" x14ac:dyDescent="0.35">
      <c r="A188" s="156">
        <v>173</v>
      </c>
      <c r="B188" s="152" t="s">
        <v>242</v>
      </c>
      <c r="C188" s="155" t="s">
        <v>437</v>
      </c>
    </row>
    <row r="189" spans="1:3" x14ac:dyDescent="0.35">
      <c r="A189" s="156">
        <v>174</v>
      </c>
      <c r="B189" s="152" t="s">
        <v>242</v>
      </c>
      <c r="C189" s="155" t="s">
        <v>437</v>
      </c>
    </row>
    <row r="190" spans="1:3" x14ac:dyDescent="0.35">
      <c r="A190" s="156">
        <v>175</v>
      </c>
      <c r="B190" s="152" t="s">
        <v>242</v>
      </c>
      <c r="C190" s="155" t="s">
        <v>437</v>
      </c>
    </row>
    <row r="191" spans="1:3" x14ac:dyDescent="0.35">
      <c r="A191" s="156">
        <v>176</v>
      </c>
      <c r="B191" s="152" t="s">
        <v>242</v>
      </c>
      <c r="C191" s="155" t="s">
        <v>437</v>
      </c>
    </row>
    <row r="192" spans="1:3" x14ac:dyDescent="0.35">
      <c r="A192" s="156">
        <v>177</v>
      </c>
      <c r="B192" s="152" t="s">
        <v>242</v>
      </c>
      <c r="C192" s="155" t="s">
        <v>437</v>
      </c>
    </row>
    <row r="193" spans="1:3" x14ac:dyDescent="0.35">
      <c r="A193" s="156">
        <v>178</v>
      </c>
      <c r="B193" s="152" t="s">
        <v>251</v>
      </c>
      <c r="C193" s="155" t="s">
        <v>437</v>
      </c>
    </row>
    <row r="194" spans="1:3" x14ac:dyDescent="0.35">
      <c r="A194" s="156">
        <v>179</v>
      </c>
      <c r="B194" s="152" t="s">
        <v>242</v>
      </c>
      <c r="C194" s="155" t="s">
        <v>437</v>
      </c>
    </row>
    <row r="195" spans="1:3" x14ac:dyDescent="0.35">
      <c r="A195" s="156">
        <v>180</v>
      </c>
      <c r="B195" s="152" t="s">
        <v>242</v>
      </c>
      <c r="C195" s="155" t="s">
        <v>437</v>
      </c>
    </row>
    <row r="196" spans="1:3" x14ac:dyDescent="0.35">
      <c r="A196" s="156">
        <v>181</v>
      </c>
      <c r="B196" s="152" t="s">
        <v>242</v>
      </c>
      <c r="C196" s="155" t="s">
        <v>437</v>
      </c>
    </row>
    <row r="197" spans="1:3" x14ac:dyDescent="0.35">
      <c r="A197" s="156">
        <v>182</v>
      </c>
      <c r="B197" s="152" t="s">
        <v>242</v>
      </c>
      <c r="C197" s="155" t="s">
        <v>437</v>
      </c>
    </row>
    <row r="198" spans="1:3" x14ac:dyDescent="0.35">
      <c r="A198" s="156">
        <v>183</v>
      </c>
      <c r="B198" s="152" t="s">
        <v>242</v>
      </c>
      <c r="C198" s="155" t="s">
        <v>437</v>
      </c>
    </row>
    <row r="199" spans="1:3" x14ac:dyDescent="0.35">
      <c r="A199" s="156">
        <v>184</v>
      </c>
      <c r="B199" s="152" t="s">
        <v>242</v>
      </c>
      <c r="C199" s="155" t="s">
        <v>437</v>
      </c>
    </row>
    <row r="200" spans="1:3" x14ac:dyDescent="0.35">
      <c r="A200" s="156">
        <v>185</v>
      </c>
      <c r="B200" s="152" t="s">
        <v>242</v>
      </c>
      <c r="C200" s="155" t="s">
        <v>437</v>
      </c>
    </row>
    <row r="201" spans="1:3" x14ac:dyDescent="0.35">
      <c r="A201" s="156">
        <v>186</v>
      </c>
      <c r="B201" s="152" t="s">
        <v>242</v>
      </c>
      <c r="C201" s="155" t="s">
        <v>437</v>
      </c>
    </row>
    <row r="202" spans="1:3" x14ac:dyDescent="0.35">
      <c r="A202" s="156">
        <v>187</v>
      </c>
      <c r="B202" s="152" t="s">
        <v>242</v>
      </c>
      <c r="C202" s="155" t="s">
        <v>437</v>
      </c>
    </row>
    <row r="203" spans="1:3" x14ac:dyDescent="0.35">
      <c r="A203" s="156">
        <v>188</v>
      </c>
      <c r="B203" s="152" t="s">
        <v>242</v>
      </c>
      <c r="C203" s="155" t="s">
        <v>437</v>
      </c>
    </row>
    <row r="204" spans="1:3" x14ac:dyDescent="0.35">
      <c r="A204" s="156">
        <v>189</v>
      </c>
      <c r="B204" s="152" t="s">
        <v>242</v>
      </c>
      <c r="C204" s="155" t="s">
        <v>438</v>
      </c>
    </row>
    <row r="205" spans="1:3" x14ac:dyDescent="0.35">
      <c r="A205" s="156">
        <v>190</v>
      </c>
      <c r="B205" s="152" t="s">
        <v>242</v>
      </c>
      <c r="C205" s="155" t="s">
        <v>438</v>
      </c>
    </row>
    <row r="206" spans="1:3" x14ac:dyDescent="0.35">
      <c r="A206" s="156">
        <v>191</v>
      </c>
      <c r="B206" s="152" t="s">
        <v>242</v>
      </c>
      <c r="C206" s="155" t="s">
        <v>438</v>
      </c>
    </row>
    <row r="207" spans="1:3" x14ac:dyDescent="0.35">
      <c r="A207" s="156">
        <v>192</v>
      </c>
      <c r="B207" s="152" t="s">
        <v>242</v>
      </c>
      <c r="C207" s="155" t="s">
        <v>438</v>
      </c>
    </row>
    <row r="208" spans="1:3" x14ac:dyDescent="0.35">
      <c r="A208" s="156">
        <v>193</v>
      </c>
      <c r="B208" s="152" t="s">
        <v>242</v>
      </c>
      <c r="C208" s="155" t="s">
        <v>438</v>
      </c>
    </row>
    <row r="209" spans="1:3" x14ac:dyDescent="0.35">
      <c r="A209" s="156">
        <v>194</v>
      </c>
      <c r="B209" s="152" t="s">
        <v>242</v>
      </c>
      <c r="C209" s="155" t="s">
        <v>438</v>
      </c>
    </row>
    <row r="210" spans="1:3" x14ac:dyDescent="0.35">
      <c r="A210" s="156">
        <v>195</v>
      </c>
      <c r="B210" s="152" t="s">
        <v>242</v>
      </c>
      <c r="C210" s="155" t="s">
        <v>438</v>
      </c>
    </row>
    <row r="211" spans="1:3" x14ac:dyDescent="0.35">
      <c r="A211" s="156">
        <v>196</v>
      </c>
      <c r="B211" s="152" t="s">
        <v>242</v>
      </c>
      <c r="C211" s="155" t="s">
        <v>438</v>
      </c>
    </row>
    <row r="212" spans="1:3" x14ac:dyDescent="0.35">
      <c r="A212" s="156">
        <v>197</v>
      </c>
      <c r="B212" s="152" t="s">
        <v>242</v>
      </c>
      <c r="C212" s="155" t="s">
        <v>438</v>
      </c>
    </row>
    <row r="213" spans="1:3" x14ac:dyDescent="0.35">
      <c r="A213" s="156">
        <v>198</v>
      </c>
      <c r="B213" s="152" t="s">
        <v>242</v>
      </c>
      <c r="C213" s="155" t="s">
        <v>438</v>
      </c>
    </row>
    <row r="214" spans="1:3" x14ac:dyDescent="0.35">
      <c r="A214" s="156">
        <v>199</v>
      </c>
      <c r="B214" s="152" t="s">
        <v>242</v>
      </c>
      <c r="C214" s="155" t="s">
        <v>438</v>
      </c>
    </row>
    <row r="215" spans="1:3" x14ac:dyDescent="0.35">
      <c r="A215" s="156">
        <v>201</v>
      </c>
      <c r="B215" s="152" t="s">
        <v>242</v>
      </c>
      <c r="C215" s="155" t="s">
        <v>438</v>
      </c>
    </row>
    <row r="216" spans="1:3" x14ac:dyDescent="0.35">
      <c r="A216" s="156">
        <v>202</v>
      </c>
      <c r="B216" s="152" t="s">
        <v>242</v>
      </c>
      <c r="C216" s="155" t="s">
        <v>438</v>
      </c>
    </row>
    <row r="217" spans="1:3" x14ac:dyDescent="0.35">
      <c r="A217" s="156">
        <v>203</v>
      </c>
      <c r="B217" s="152" t="s">
        <v>242</v>
      </c>
      <c r="C217" s="155" t="s">
        <v>438</v>
      </c>
    </row>
    <row r="218" spans="1:3" x14ac:dyDescent="0.35">
      <c r="A218" s="156">
        <v>204</v>
      </c>
      <c r="B218" s="152" t="s">
        <v>242</v>
      </c>
      <c r="C218" s="155" t="s">
        <v>438</v>
      </c>
    </row>
    <row r="219" spans="1:3" x14ac:dyDescent="0.35">
      <c r="A219" s="156">
        <v>205</v>
      </c>
      <c r="B219" s="152" t="s">
        <v>242</v>
      </c>
      <c r="C219" s="155" t="s">
        <v>438</v>
      </c>
    </row>
    <row r="220" spans="1:3" x14ac:dyDescent="0.35">
      <c r="A220" s="156">
        <v>206</v>
      </c>
      <c r="B220" s="152" t="s">
        <v>242</v>
      </c>
      <c r="C220" s="155" t="s">
        <v>438</v>
      </c>
    </row>
    <row r="221" spans="1:3" x14ac:dyDescent="0.35">
      <c r="A221" s="156">
        <v>207</v>
      </c>
      <c r="B221" s="152" t="s">
        <v>242</v>
      </c>
      <c r="C221" s="155" t="s">
        <v>438</v>
      </c>
    </row>
    <row r="222" spans="1:3" x14ac:dyDescent="0.35">
      <c r="A222" s="156">
        <v>208</v>
      </c>
      <c r="B222" s="152" t="s">
        <v>242</v>
      </c>
      <c r="C222" s="155" t="s">
        <v>438</v>
      </c>
    </row>
    <row r="223" spans="1:3" x14ac:dyDescent="0.35">
      <c r="A223" s="156">
        <v>209</v>
      </c>
      <c r="B223" s="152" t="s">
        <v>242</v>
      </c>
      <c r="C223" s="155" t="s">
        <v>437</v>
      </c>
    </row>
    <row r="224" spans="1:3" x14ac:dyDescent="0.35">
      <c r="A224" s="156">
        <v>210</v>
      </c>
      <c r="B224" s="152" t="s">
        <v>242</v>
      </c>
      <c r="C224" s="155" t="s">
        <v>437</v>
      </c>
    </row>
    <row r="225" spans="1:3" x14ac:dyDescent="0.35">
      <c r="A225" s="156">
        <v>211</v>
      </c>
      <c r="B225" s="152" t="s">
        <v>242</v>
      </c>
      <c r="C225" s="155" t="s">
        <v>437</v>
      </c>
    </row>
    <row r="226" spans="1:3" x14ac:dyDescent="0.35">
      <c r="A226" s="156">
        <v>212</v>
      </c>
      <c r="B226" s="152" t="s">
        <v>242</v>
      </c>
      <c r="C226" s="155" t="s">
        <v>437</v>
      </c>
    </row>
    <row r="227" spans="1:3" x14ac:dyDescent="0.35">
      <c r="A227" s="156">
        <v>213</v>
      </c>
      <c r="B227" s="152" t="s">
        <v>242</v>
      </c>
      <c r="C227" s="155" t="s">
        <v>437</v>
      </c>
    </row>
    <row r="228" spans="1:3" x14ac:dyDescent="0.35">
      <c r="A228" s="156">
        <v>214</v>
      </c>
      <c r="B228" s="152" t="s">
        <v>242</v>
      </c>
      <c r="C228" s="155" t="s">
        <v>437</v>
      </c>
    </row>
    <row r="229" spans="1:3" x14ac:dyDescent="0.35">
      <c r="A229" s="156">
        <v>215</v>
      </c>
      <c r="B229" s="152" t="s">
        <v>242</v>
      </c>
      <c r="C229" s="155" t="s">
        <v>437</v>
      </c>
    </row>
    <row r="230" spans="1:3" x14ac:dyDescent="0.35">
      <c r="A230" s="156">
        <v>216</v>
      </c>
      <c r="B230" s="152" t="s">
        <v>242</v>
      </c>
      <c r="C230" s="155" t="s">
        <v>437</v>
      </c>
    </row>
    <row r="231" spans="1:3" x14ac:dyDescent="0.35">
      <c r="A231" s="156">
        <v>217</v>
      </c>
      <c r="B231" s="152" t="s">
        <v>242</v>
      </c>
      <c r="C231" s="155" t="s">
        <v>437</v>
      </c>
    </row>
    <row r="232" spans="1:3" x14ac:dyDescent="0.35">
      <c r="A232" s="156">
        <v>218</v>
      </c>
      <c r="B232" s="152" t="s">
        <v>242</v>
      </c>
      <c r="C232" s="155" t="s">
        <v>437</v>
      </c>
    </row>
    <row r="233" spans="1:3" x14ac:dyDescent="0.35">
      <c r="A233" s="156">
        <v>219</v>
      </c>
      <c r="B233" s="152" t="s">
        <v>242</v>
      </c>
      <c r="C233" s="155" t="s">
        <v>437</v>
      </c>
    </row>
    <row r="234" spans="1:3" x14ac:dyDescent="0.35">
      <c r="A234" s="156">
        <v>220</v>
      </c>
      <c r="B234" s="152" t="s">
        <v>242</v>
      </c>
      <c r="C234" s="155" t="s">
        <v>437</v>
      </c>
    </row>
    <row r="235" spans="1:3" x14ac:dyDescent="0.35">
      <c r="A235" s="156">
        <v>221</v>
      </c>
      <c r="B235" s="152" t="s">
        <v>242</v>
      </c>
      <c r="C235" s="155" t="s">
        <v>437</v>
      </c>
    </row>
    <row r="236" spans="1:3" x14ac:dyDescent="0.35">
      <c r="A236" s="156">
        <v>222</v>
      </c>
      <c r="B236" s="152" t="s">
        <v>242</v>
      </c>
      <c r="C236" s="155" t="s">
        <v>437</v>
      </c>
    </row>
    <row r="237" spans="1:3" x14ac:dyDescent="0.35">
      <c r="A237" s="156">
        <v>223</v>
      </c>
      <c r="B237" s="152" t="s">
        <v>242</v>
      </c>
      <c r="C237" s="155" t="s">
        <v>437</v>
      </c>
    </row>
    <row r="238" spans="1:3" x14ac:dyDescent="0.35">
      <c r="A238" s="156">
        <v>224</v>
      </c>
      <c r="B238" s="152" t="s">
        <v>242</v>
      </c>
      <c r="C238" s="155" t="s">
        <v>437</v>
      </c>
    </row>
    <row r="239" spans="1:3" x14ac:dyDescent="0.35">
      <c r="A239" s="156">
        <v>225</v>
      </c>
      <c r="B239" s="152" t="s">
        <v>242</v>
      </c>
      <c r="C239" s="155" t="s">
        <v>437</v>
      </c>
    </row>
    <row r="240" spans="1:3" x14ac:dyDescent="0.35">
      <c r="A240" s="156">
        <v>226</v>
      </c>
      <c r="B240" s="152" t="s">
        <v>242</v>
      </c>
      <c r="C240" s="155" t="s">
        <v>437</v>
      </c>
    </row>
    <row r="241" spans="1:3" x14ac:dyDescent="0.35">
      <c r="A241" s="156">
        <v>227</v>
      </c>
      <c r="B241" s="152" t="s">
        <v>242</v>
      </c>
      <c r="C241" s="155" t="s">
        <v>437</v>
      </c>
    </row>
    <row r="242" spans="1:3" x14ac:dyDescent="0.35">
      <c r="A242" s="156">
        <v>228</v>
      </c>
      <c r="B242" s="152" t="s">
        <v>252</v>
      </c>
      <c r="C242" s="155" t="s">
        <v>438</v>
      </c>
    </row>
    <row r="243" spans="1:3" x14ac:dyDescent="0.35">
      <c r="A243" s="156">
        <v>229</v>
      </c>
      <c r="B243" s="152" t="s">
        <v>252</v>
      </c>
      <c r="C243" s="155" t="s">
        <v>438</v>
      </c>
    </row>
    <row r="244" spans="1:3" x14ac:dyDescent="0.35">
      <c r="A244" s="156">
        <v>230</v>
      </c>
      <c r="B244" s="152" t="s">
        <v>242</v>
      </c>
      <c r="C244" s="155" t="s">
        <v>438</v>
      </c>
    </row>
    <row r="245" spans="1:3" x14ac:dyDescent="0.35">
      <c r="A245" s="156">
        <v>231</v>
      </c>
      <c r="B245" s="152" t="s">
        <v>230</v>
      </c>
      <c r="C245" s="155" t="s">
        <v>437</v>
      </c>
    </row>
    <row r="246" spans="1:3" x14ac:dyDescent="0.35">
      <c r="A246" s="156">
        <v>233</v>
      </c>
      <c r="B246" s="152" t="s">
        <v>230</v>
      </c>
      <c r="C246" s="155" t="s">
        <v>437</v>
      </c>
    </row>
    <row r="247" spans="1:3" x14ac:dyDescent="0.35">
      <c r="A247" s="156">
        <v>234</v>
      </c>
      <c r="B247" s="152" t="s">
        <v>230</v>
      </c>
      <c r="C247" s="155" t="s">
        <v>437</v>
      </c>
    </row>
    <row r="248" spans="1:3" x14ac:dyDescent="0.35">
      <c r="A248" s="156">
        <v>235</v>
      </c>
      <c r="B248" s="152" t="s">
        <v>230</v>
      </c>
      <c r="C248" s="155" t="s">
        <v>437</v>
      </c>
    </row>
    <row r="249" spans="1:3" x14ac:dyDescent="0.35">
      <c r="A249" s="156">
        <v>236</v>
      </c>
      <c r="B249" s="152" t="s">
        <v>230</v>
      </c>
      <c r="C249" s="155" t="s">
        <v>437</v>
      </c>
    </row>
    <row r="250" spans="1:3" x14ac:dyDescent="0.35">
      <c r="A250" s="156">
        <v>237</v>
      </c>
      <c r="B250" s="152" t="s">
        <v>230</v>
      </c>
      <c r="C250" s="155" t="s">
        <v>437</v>
      </c>
    </row>
    <row r="251" spans="1:3" x14ac:dyDescent="0.35">
      <c r="A251" s="156">
        <v>238</v>
      </c>
      <c r="B251" s="152" t="s">
        <v>242</v>
      </c>
      <c r="C251" s="155" t="s">
        <v>437</v>
      </c>
    </row>
    <row r="252" spans="1:3" x14ac:dyDescent="0.35">
      <c r="A252" s="156">
        <v>241</v>
      </c>
      <c r="B252" s="152" t="s">
        <v>253</v>
      </c>
      <c r="C252" s="155" t="s">
        <v>437</v>
      </c>
    </row>
    <row r="253" spans="1:3" x14ac:dyDescent="0.35">
      <c r="A253" s="156">
        <v>242</v>
      </c>
      <c r="B253" s="152" t="s">
        <v>254</v>
      </c>
      <c r="C253" s="155" t="s">
        <v>437</v>
      </c>
    </row>
    <row r="254" spans="1:3" x14ac:dyDescent="0.35">
      <c r="A254" s="156">
        <v>243</v>
      </c>
      <c r="B254" s="152" t="s">
        <v>218</v>
      </c>
      <c r="C254" s="155" t="s">
        <v>437</v>
      </c>
    </row>
    <row r="255" spans="1:3" x14ac:dyDescent="0.35">
      <c r="A255" s="156">
        <v>244</v>
      </c>
      <c r="B255" s="152" t="s">
        <v>242</v>
      </c>
      <c r="C255" s="155" t="s">
        <v>437</v>
      </c>
    </row>
    <row r="256" spans="1:3" x14ac:dyDescent="0.35">
      <c r="A256" s="156">
        <v>245</v>
      </c>
      <c r="B256" s="152" t="s">
        <v>254</v>
      </c>
      <c r="C256" s="155" t="s">
        <v>437</v>
      </c>
    </row>
    <row r="257" spans="1:3" x14ac:dyDescent="0.35">
      <c r="A257" s="156">
        <v>246</v>
      </c>
      <c r="B257" s="152" t="s">
        <v>255</v>
      </c>
      <c r="C257" s="155" t="s">
        <v>437</v>
      </c>
    </row>
    <row r="258" spans="1:3" x14ac:dyDescent="0.35">
      <c r="A258" s="156">
        <v>247</v>
      </c>
      <c r="B258" s="152" t="s">
        <v>254</v>
      </c>
      <c r="C258" s="155" t="s">
        <v>437</v>
      </c>
    </row>
    <row r="259" spans="1:3" x14ac:dyDescent="0.35">
      <c r="A259" s="156">
        <v>248</v>
      </c>
      <c r="B259" s="152" t="s">
        <v>242</v>
      </c>
      <c r="C259" s="155" t="s">
        <v>437</v>
      </c>
    </row>
    <row r="260" spans="1:3" x14ac:dyDescent="0.35">
      <c r="A260" s="156">
        <v>249</v>
      </c>
      <c r="B260" s="152" t="s">
        <v>254</v>
      </c>
      <c r="C260" s="155" t="s">
        <v>437</v>
      </c>
    </row>
    <row r="261" spans="1:3" x14ac:dyDescent="0.35">
      <c r="A261" s="156">
        <v>250</v>
      </c>
      <c r="B261" s="152" t="s">
        <v>256</v>
      </c>
      <c r="C261" s="155" t="s">
        <v>438</v>
      </c>
    </row>
    <row r="262" spans="1:3" x14ac:dyDescent="0.35">
      <c r="A262" s="156">
        <v>251</v>
      </c>
      <c r="B262" s="152" t="s">
        <v>256</v>
      </c>
      <c r="C262" s="155" t="s">
        <v>438</v>
      </c>
    </row>
    <row r="263" spans="1:3" x14ac:dyDescent="0.35">
      <c r="A263" s="156">
        <v>252</v>
      </c>
      <c r="B263" s="152" t="s">
        <v>256</v>
      </c>
      <c r="C263" s="155" t="s">
        <v>438</v>
      </c>
    </row>
    <row r="264" spans="1:3" x14ac:dyDescent="0.35">
      <c r="A264" s="156">
        <v>253</v>
      </c>
      <c r="B264" s="152" t="s">
        <v>256</v>
      </c>
      <c r="C264" s="155" t="s">
        <v>438</v>
      </c>
    </row>
    <row r="265" spans="1:3" x14ac:dyDescent="0.35">
      <c r="A265" s="156">
        <v>254</v>
      </c>
      <c r="B265" s="152" t="s">
        <v>257</v>
      </c>
      <c r="C265" s="155" t="s">
        <v>437</v>
      </c>
    </row>
    <row r="266" spans="1:3" x14ac:dyDescent="0.35">
      <c r="A266" s="156">
        <v>255</v>
      </c>
      <c r="B266" s="152" t="s">
        <v>258</v>
      </c>
      <c r="C266" s="155" t="s">
        <v>437</v>
      </c>
    </row>
    <row r="267" spans="1:3" x14ac:dyDescent="0.35">
      <c r="A267" s="156">
        <v>257</v>
      </c>
      <c r="B267" s="152" t="s">
        <v>259</v>
      </c>
      <c r="C267" s="155" t="s">
        <v>437</v>
      </c>
    </row>
    <row r="268" spans="1:3" x14ac:dyDescent="0.35">
      <c r="A268" s="156">
        <v>258</v>
      </c>
      <c r="B268" s="152" t="s">
        <v>260</v>
      </c>
      <c r="C268" s="155" t="s">
        <v>437</v>
      </c>
    </row>
    <row r="269" spans="1:3" x14ac:dyDescent="0.35">
      <c r="A269" s="156">
        <v>259</v>
      </c>
      <c r="B269" s="152" t="s">
        <v>261</v>
      </c>
      <c r="C269" s="155" t="s">
        <v>437</v>
      </c>
    </row>
    <row r="270" spans="1:3" x14ac:dyDescent="0.35">
      <c r="A270" s="156">
        <v>260</v>
      </c>
      <c r="B270" s="152" t="s">
        <v>260</v>
      </c>
      <c r="C270" s="155" t="s">
        <v>438</v>
      </c>
    </row>
    <row r="271" spans="1:3" x14ac:dyDescent="0.35">
      <c r="A271" s="156">
        <v>261</v>
      </c>
      <c r="B271" s="152" t="s">
        <v>260</v>
      </c>
      <c r="C271" s="155" t="s">
        <v>437</v>
      </c>
    </row>
    <row r="272" spans="1:3" x14ac:dyDescent="0.35">
      <c r="A272" s="156">
        <v>262</v>
      </c>
      <c r="B272" s="152" t="s">
        <v>260</v>
      </c>
      <c r="C272" s="155" t="s">
        <v>437</v>
      </c>
    </row>
    <row r="273" spans="1:3" x14ac:dyDescent="0.35">
      <c r="A273" s="156">
        <v>263</v>
      </c>
      <c r="B273" s="152" t="s">
        <v>260</v>
      </c>
      <c r="C273" s="155" t="s">
        <v>437</v>
      </c>
    </row>
    <row r="274" spans="1:3" x14ac:dyDescent="0.35">
      <c r="A274" s="156">
        <v>264</v>
      </c>
      <c r="B274" s="152" t="s">
        <v>260</v>
      </c>
      <c r="C274" s="155" t="s">
        <v>437</v>
      </c>
    </row>
    <row r="275" spans="1:3" x14ac:dyDescent="0.35">
      <c r="A275" s="156">
        <v>265</v>
      </c>
      <c r="B275" s="152" t="s">
        <v>262</v>
      </c>
      <c r="C275" s="155" t="s">
        <v>438</v>
      </c>
    </row>
    <row r="276" spans="1:3" x14ac:dyDescent="0.35">
      <c r="A276" s="156">
        <v>266</v>
      </c>
      <c r="B276" s="152" t="s">
        <v>262</v>
      </c>
      <c r="C276" s="155" t="s">
        <v>438</v>
      </c>
    </row>
    <row r="277" spans="1:3" x14ac:dyDescent="0.35">
      <c r="A277" s="156">
        <v>267</v>
      </c>
      <c r="B277" s="152" t="s">
        <v>262</v>
      </c>
      <c r="C277" s="155" t="s">
        <v>438</v>
      </c>
    </row>
    <row r="278" spans="1:3" x14ac:dyDescent="0.35">
      <c r="A278" s="156">
        <v>268</v>
      </c>
      <c r="B278" s="152" t="s">
        <v>262</v>
      </c>
      <c r="C278" s="155" t="s">
        <v>438</v>
      </c>
    </row>
    <row r="279" spans="1:3" x14ac:dyDescent="0.35">
      <c r="A279" s="156">
        <v>269</v>
      </c>
      <c r="B279" s="152" t="s">
        <v>262</v>
      </c>
      <c r="C279" s="155" t="s">
        <v>438</v>
      </c>
    </row>
    <row r="280" spans="1:3" x14ac:dyDescent="0.35">
      <c r="A280" s="156">
        <v>270</v>
      </c>
      <c r="B280" s="152" t="s">
        <v>262</v>
      </c>
      <c r="C280" s="155" t="s">
        <v>438</v>
      </c>
    </row>
    <row r="281" spans="1:3" x14ac:dyDescent="0.35">
      <c r="A281" s="156">
        <v>271</v>
      </c>
      <c r="B281" s="152" t="s">
        <v>262</v>
      </c>
      <c r="C281" s="155" t="s">
        <v>438</v>
      </c>
    </row>
    <row r="282" spans="1:3" x14ac:dyDescent="0.35">
      <c r="A282" s="156">
        <v>272</v>
      </c>
      <c r="B282" s="152" t="s">
        <v>262</v>
      </c>
      <c r="C282" s="155" t="s">
        <v>438</v>
      </c>
    </row>
    <row r="283" spans="1:3" x14ac:dyDescent="0.35">
      <c r="A283" s="156">
        <v>273</v>
      </c>
      <c r="B283" s="152" t="s">
        <v>262</v>
      </c>
      <c r="C283" s="155" t="s">
        <v>438</v>
      </c>
    </row>
    <row r="284" spans="1:3" x14ac:dyDescent="0.35">
      <c r="A284" s="156">
        <v>274</v>
      </c>
      <c r="B284" s="152" t="s">
        <v>262</v>
      </c>
      <c r="C284" s="155" t="s">
        <v>438</v>
      </c>
    </row>
    <row r="285" spans="1:3" x14ac:dyDescent="0.35">
      <c r="A285" s="156">
        <v>276</v>
      </c>
      <c r="B285" s="152" t="s">
        <v>262</v>
      </c>
      <c r="C285" s="155" t="s">
        <v>438</v>
      </c>
    </row>
    <row r="286" spans="1:3" x14ac:dyDescent="0.35">
      <c r="A286" s="156">
        <v>277</v>
      </c>
      <c r="B286" s="152" t="s">
        <v>263</v>
      </c>
      <c r="C286" s="155" t="s">
        <v>438</v>
      </c>
    </row>
    <row r="287" spans="1:3" x14ac:dyDescent="0.35">
      <c r="A287" s="156">
        <v>278</v>
      </c>
      <c r="B287" s="152" t="s">
        <v>264</v>
      </c>
      <c r="C287" s="155" t="s">
        <v>438</v>
      </c>
    </row>
    <row r="288" spans="1:3" x14ac:dyDescent="0.35">
      <c r="A288" s="156">
        <v>279</v>
      </c>
      <c r="B288" s="152" t="s">
        <v>265</v>
      </c>
      <c r="C288" s="155" t="s">
        <v>438</v>
      </c>
    </row>
    <row r="289" spans="1:3" x14ac:dyDescent="0.35">
      <c r="A289" s="156">
        <v>280</v>
      </c>
      <c r="B289" s="152" t="s">
        <v>266</v>
      </c>
      <c r="C289" s="155" t="s">
        <v>438</v>
      </c>
    </row>
    <row r="290" spans="1:3" x14ac:dyDescent="0.35">
      <c r="A290" s="156">
        <v>281</v>
      </c>
      <c r="B290" s="152" t="s">
        <v>267</v>
      </c>
      <c r="C290" s="155" t="s">
        <v>437</v>
      </c>
    </row>
    <row r="291" spans="1:3" x14ac:dyDescent="0.35">
      <c r="A291" s="156">
        <v>283</v>
      </c>
      <c r="B291" s="152" t="s">
        <v>268</v>
      </c>
      <c r="C291" s="155" t="s">
        <v>437</v>
      </c>
    </row>
    <row r="292" spans="1:3" x14ac:dyDescent="0.35">
      <c r="A292" s="156">
        <v>284</v>
      </c>
      <c r="B292" s="152" t="s">
        <v>210</v>
      </c>
      <c r="C292" s="155" t="s">
        <v>438</v>
      </c>
    </row>
    <row r="293" spans="1:3" x14ac:dyDescent="0.35">
      <c r="A293" s="156">
        <v>285</v>
      </c>
      <c r="B293" s="152" t="s">
        <v>210</v>
      </c>
      <c r="C293" s="155" t="s">
        <v>438</v>
      </c>
    </row>
    <row r="294" spans="1:3" x14ac:dyDescent="0.35">
      <c r="A294" s="156">
        <v>286</v>
      </c>
      <c r="B294" s="152" t="s">
        <v>269</v>
      </c>
      <c r="C294" s="155" t="s">
        <v>438</v>
      </c>
    </row>
    <row r="295" spans="1:3" x14ac:dyDescent="0.35">
      <c r="A295" s="156">
        <v>287</v>
      </c>
      <c r="B295" s="152" t="s">
        <v>270</v>
      </c>
      <c r="C295" s="155" t="s">
        <v>438</v>
      </c>
    </row>
    <row r="296" spans="1:3" x14ac:dyDescent="0.35">
      <c r="A296" s="156">
        <v>288</v>
      </c>
      <c r="B296" s="152" t="s">
        <v>271</v>
      </c>
      <c r="C296" s="155" t="s">
        <v>438</v>
      </c>
    </row>
    <row r="297" spans="1:3" x14ac:dyDescent="0.35">
      <c r="A297" s="156">
        <v>289</v>
      </c>
      <c r="B297" s="152" t="s">
        <v>271</v>
      </c>
      <c r="C297" s="155" t="s">
        <v>438</v>
      </c>
    </row>
    <row r="298" spans="1:3" x14ac:dyDescent="0.35">
      <c r="A298" s="156">
        <v>290</v>
      </c>
      <c r="B298" s="152" t="s">
        <v>271</v>
      </c>
      <c r="C298" s="155" t="s">
        <v>438</v>
      </c>
    </row>
    <row r="299" spans="1:3" x14ac:dyDescent="0.35">
      <c r="A299" s="156">
        <v>291</v>
      </c>
      <c r="B299" s="152" t="s">
        <v>271</v>
      </c>
      <c r="C299" s="155" t="s">
        <v>438</v>
      </c>
    </row>
    <row r="300" spans="1:3" x14ac:dyDescent="0.35">
      <c r="A300" s="156">
        <v>292</v>
      </c>
      <c r="B300" s="152" t="s">
        <v>271</v>
      </c>
      <c r="C300" s="155" t="s">
        <v>438</v>
      </c>
    </row>
    <row r="301" spans="1:3" x14ac:dyDescent="0.35">
      <c r="A301" s="156">
        <v>297</v>
      </c>
      <c r="B301" s="152" t="s">
        <v>271</v>
      </c>
      <c r="C301" s="155" t="s">
        <v>438</v>
      </c>
    </row>
    <row r="302" spans="1:3" x14ac:dyDescent="0.35">
      <c r="A302" s="156">
        <v>298</v>
      </c>
      <c r="B302" s="152" t="s">
        <v>271</v>
      </c>
      <c r="C302" s="155" t="s">
        <v>438</v>
      </c>
    </row>
    <row r="303" spans="1:3" x14ac:dyDescent="0.35">
      <c r="A303" s="156">
        <v>299</v>
      </c>
      <c r="B303" s="152" t="s">
        <v>271</v>
      </c>
      <c r="C303" s="155" t="s">
        <v>438</v>
      </c>
    </row>
    <row r="304" spans="1:3" x14ac:dyDescent="0.35">
      <c r="A304" s="156">
        <v>300</v>
      </c>
      <c r="B304" s="152" t="s">
        <v>272</v>
      </c>
      <c r="C304" s="155" t="s">
        <v>437</v>
      </c>
    </row>
    <row r="305" spans="1:3" x14ac:dyDescent="0.35">
      <c r="A305" s="156">
        <v>301</v>
      </c>
      <c r="B305" s="152" t="s">
        <v>273</v>
      </c>
      <c r="C305" s="155" t="s">
        <v>437</v>
      </c>
    </row>
    <row r="306" spans="1:3" x14ac:dyDescent="0.35">
      <c r="A306" s="156">
        <v>302</v>
      </c>
      <c r="B306" s="152" t="s">
        <v>274</v>
      </c>
      <c r="C306" s="155" t="s">
        <v>437</v>
      </c>
    </row>
    <row r="307" spans="1:3" x14ac:dyDescent="0.35">
      <c r="A307" s="156">
        <v>303</v>
      </c>
      <c r="B307" s="152" t="s">
        <v>271</v>
      </c>
      <c r="C307" s="155" t="s">
        <v>438</v>
      </c>
    </row>
    <row r="308" spans="1:3" x14ac:dyDescent="0.35">
      <c r="A308" s="156">
        <v>304</v>
      </c>
      <c r="B308" s="152" t="s">
        <v>271</v>
      </c>
      <c r="C308" s="155" t="s">
        <v>438</v>
      </c>
    </row>
    <row r="309" spans="1:3" x14ac:dyDescent="0.35">
      <c r="A309" s="156">
        <v>305</v>
      </c>
      <c r="B309" s="152" t="s">
        <v>275</v>
      </c>
      <c r="C309" s="155" t="s">
        <v>437</v>
      </c>
    </row>
    <row r="310" spans="1:3" x14ac:dyDescent="0.35">
      <c r="A310" s="156">
        <v>306</v>
      </c>
      <c r="B310" s="152" t="s">
        <v>275</v>
      </c>
      <c r="C310" s="155" t="s">
        <v>437</v>
      </c>
    </row>
    <row r="311" spans="1:3" x14ac:dyDescent="0.35">
      <c r="A311" s="156">
        <v>307</v>
      </c>
      <c r="B311" s="152" t="s">
        <v>275</v>
      </c>
      <c r="C311" s="155" t="s">
        <v>437</v>
      </c>
    </row>
    <row r="312" spans="1:3" x14ac:dyDescent="0.35">
      <c r="A312" s="156">
        <v>308</v>
      </c>
      <c r="B312" s="152" t="s">
        <v>275</v>
      </c>
      <c r="C312" s="155" t="s">
        <v>437</v>
      </c>
    </row>
    <row r="313" spans="1:3" x14ac:dyDescent="0.35">
      <c r="A313" s="156">
        <v>309</v>
      </c>
      <c r="B313" s="152" t="s">
        <v>276</v>
      </c>
      <c r="C313" s="155" t="s">
        <v>437</v>
      </c>
    </row>
    <row r="314" spans="1:3" x14ac:dyDescent="0.35">
      <c r="A314" s="156">
        <v>310</v>
      </c>
      <c r="B314" s="152" t="s">
        <v>277</v>
      </c>
      <c r="C314" s="155" t="s">
        <v>437</v>
      </c>
    </row>
    <row r="315" spans="1:3" x14ac:dyDescent="0.35">
      <c r="A315" s="156">
        <v>312</v>
      </c>
      <c r="B315" s="152" t="s">
        <v>278</v>
      </c>
      <c r="C315" s="155" t="s">
        <v>437</v>
      </c>
    </row>
    <row r="316" spans="1:3" x14ac:dyDescent="0.35">
      <c r="A316" s="156">
        <v>313</v>
      </c>
      <c r="B316" s="152" t="s">
        <v>279</v>
      </c>
      <c r="C316" s="155" t="s">
        <v>438</v>
      </c>
    </row>
    <row r="317" spans="1:3" x14ac:dyDescent="0.35">
      <c r="A317" s="156">
        <v>314</v>
      </c>
      <c r="B317" s="152" t="s">
        <v>280</v>
      </c>
      <c r="C317" s="155" t="s">
        <v>438</v>
      </c>
    </row>
    <row r="318" spans="1:3" x14ac:dyDescent="0.35">
      <c r="A318" s="156">
        <v>315</v>
      </c>
      <c r="B318" s="152" t="s">
        <v>281</v>
      </c>
      <c r="C318" s="155" t="s">
        <v>438</v>
      </c>
    </row>
    <row r="319" spans="1:3" x14ac:dyDescent="0.35">
      <c r="A319" s="156">
        <v>316</v>
      </c>
      <c r="B319" s="152" t="s">
        <v>282</v>
      </c>
      <c r="C319" s="155" t="s">
        <v>437</v>
      </c>
    </row>
    <row r="320" spans="1:3" x14ac:dyDescent="0.35">
      <c r="A320" s="156">
        <v>317</v>
      </c>
      <c r="B320" s="152" t="s">
        <v>282</v>
      </c>
      <c r="C320" s="155" t="s">
        <v>437</v>
      </c>
    </row>
    <row r="321" spans="1:3" x14ac:dyDescent="0.35">
      <c r="A321" s="156">
        <v>318</v>
      </c>
      <c r="B321" s="152" t="s">
        <v>282</v>
      </c>
      <c r="C321" s="155" t="s">
        <v>437</v>
      </c>
    </row>
    <row r="322" spans="1:3" x14ac:dyDescent="0.35">
      <c r="A322" s="156">
        <v>319</v>
      </c>
      <c r="B322" s="152" t="s">
        <v>283</v>
      </c>
      <c r="C322" s="155" t="s">
        <v>437</v>
      </c>
    </row>
    <row r="323" spans="1:3" x14ac:dyDescent="0.35">
      <c r="A323" s="156">
        <v>320</v>
      </c>
      <c r="B323" s="152" t="s">
        <v>282</v>
      </c>
      <c r="C323" s="155" t="s">
        <v>437</v>
      </c>
    </row>
    <row r="324" spans="1:3" x14ac:dyDescent="0.35">
      <c r="A324" s="156">
        <v>321</v>
      </c>
      <c r="B324" s="152" t="s">
        <v>282</v>
      </c>
      <c r="C324" s="155" t="s">
        <v>437</v>
      </c>
    </row>
    <row r="325" spans="1:3" x14ac:dyDescent="0.35">
      <c r="A325" s="156">
        <v>322</v>
      </c>
      <c r="B325" s="152" t="s">
        <v>282</v>
      </c>
      <c r="C325" s="155" t="s">
        <v>437</v>
      </c>
    </row>
    <row r="326" spans="1:3" x14ac:dyDescent="0.35">
      <c r="A326" s="156">
        <v>323</v>
      </c>
      <c r="B326" s="152" t="s">
        <v>282</v>
      </c>
      <c r="C326" s="155" t="s">
        <v>437</v>
      </c>
    </row>
    <row r="327" spans="1:3" x14ac:dyDescent="0.35">
      <c r="A327" s="156">
        <v>324</v>
      </c>
      <c r="B327" s="152" t="s">
        <v>284</v>
      </c>
      <c r="C327" s="155" t="s">
        <v>437</v>
      </c>
    </row>
    <row r="328" spans="1:3" x14ac:dyDescent="0.35">
      <c r="A328" s="156">
        <v>325</v>
      </c>
      <c r="B328" s="152" t="s">
        <v>285</v>
      </c>
      <c r="C328" s="155" t="s">
        <v>437</v>
      </c>
    </row>
    <row r="329" spans="1:3" x14ac:dyDescent="0.35">
      <c r="A329" s="156">
        <v>326</v>
      </c>
      <c r="B329" s="152" t="s">
        <v>285</v>
      </c>
      <c r="C329" s="155" t="s">
        <v>437</v>
      </c>
    </row>
    <row r="330" spans="1:3" x14ac:dyDescent="0.35">
      <c r="A330" s="156">
        <v>327</v>
      </c>
      <c r="B330" s="152" t="s">
        <v>285</v>
      </c>
      <c r="C330" s="155" t="s">
        <v>437</v>
      </c>
    </row>
    <row r="331" spans="1:3" x14ac:dyDescent="0.35">
      <c r="A331" s="156">
        <v>328</v>
      </c>
      <c r="B331" s="152" t="s">
        <v>285</v>
      </c>
      <c r="C331" s="155" t="s">
        <v>437</v>
      </c>
    </row>
    <row r="332" spans="1:3" x14ac:dyDescent="0.35">
      <c r="A332" s="156">
        <v>329</v>
      </c>
      <c r="B332" s="152" t="s">
        <v>285</v>
      </c>
      <c r="C332" s="155" t="s">
        <v>437</v>
      </c>
    </row>
    <row r="333" spans="1:3" x14ac:dyDescent="0.35">
      <c r="A333" s="156">
        <v>330</v>
      </c>
      <c r="B333" s="152" t="s">
        <v>285</v>
      </c>
      <c r="C333" s="155" t="s">
        <v>437</v>
      </c>
    </row>
    <row r="334" spans="1:3" x14ac:dyDescent="0.35">
      <c r="A334" s="156">
        <v>331</v>
      </c>
      <c r="B334" s="152" t="s">
        <v>285</v>
      </c>
      <c r="C334" s="155" t="s">
        <v>437</v>
      </c>
    </row>
    <row r="335" spans="1:3" x14ac:dyDescent="0.35">
      <c r="A335" s="156">
        <v>332</v>
      </c>
      <c r="B335" s="152" t="s">
        <v>285</v>
      </c>
      <c r="C335" s="155" t="s">
        <v>438</v>
      </c>
    </row>
    <row r="336" spans="1:3" x14ac:dyDescent="0.35">
      <c r="A336" s="156">
        <v>334</v>
      </c>
      <c r="B336" s="152" t="s">
        <v>286</v>
      </c>
      <c r="C336" s="155" t="s">
        <v>437</v>
      </c>
    </row>
    <row r="337" spans="1:3" x14ac:dyDescent="0.35">
      <c r="A337" s="156">
        <v>335</v>
      </c>
      <c r="B337" s="152" t="s">
        <v>287</v>
      </c>
      <c r="C337" s="155" t="s">
        <v>437</v>
      </c>
    </row>
    <row r="338" spans="1:3" x14ac:dyDescent="0.35">
      <c r="A338" s="156">
        <v>336</v>
      </c>
      <c r="B338" s="152" t="s">
        <v>288</v>
      </c>
      <c r="C338" s="155" t="s">
        <v>438</v>
      </c>
    </row>
    <row r="339" spans="1:3" x14ac:dyDescent="0.35">
      <c r="A339" s="156">
        <v>337</v>
      </c>
      <c r="B339" s="152" t="s">
        <v>288</v>
      </c>
      <c r="C339" s="155" t="s">
        <v>438</v>
      </c>
    </row>
    <row r="340" spans="1:3" x14ac:dyDescent="0.35">
      <c r="A340" s="156">
        <v>338</v>
      </c>
      <c r="B340" s="152" t="s">
        <v>289</v>
      </c>
      <c r="C340" s="155" t="s">
        <v>437</v>
      </c>
    </row>
    <row r="341" spans="1:3" x14ac:dyDescent="0.35">
      <c r="A341" s="156">
        <v>339</v>
      </c>
      <c r="B341" s="152" t="s">
        <v>290</v>
      </c>
      <c r="C341" s="155" t="s">
        <v>438</v>
      </c>
    </row>
    <row r="342" spans="1:3" x14ac:dyDescent="0.35">
      <c r="A342" s="156">
        <v>340</v>
      </c>
      <c r="B342" s="152" t="s">
        <v>290</v>
      </c>
      <c r="C342" s="155" t="s">
        <v>438</v>
      </c>
    </row>
    <row r="343" spans="1:3" x14ac:dyDescent="0.35">
      <c r="A343" s="156">
        <v>341</v>
      </c>
      <c r="B343" s="152" t="s">
        <v>290</v>
      </c>
      <c r="C343" s="155" t="s">
        <v>438</v>
      </c>
    </row>
    <row r="344" spans="1:3" x14ac:dyDescent="0.35">
      <c r="A344" s="156">
        <v>342</v>
      </c>
      <c r="B344" s="152" t="s">
        <v>291</v>
      </c>
      <c r="C344" s="155" t="s">
        <v>437</v>
      </c>
    </row>
    <row r="345" spans="1:3" x14ac:dyDescent="0.35">
      <c r="A345" s="156">
        <v>343</v>
      </c>
      <c r="B345" s="152" t="s">
        <v>292</v>
      </c>
      <c r="C345" s="155" t="s">
        <v>437</v>
      </c>
    </row>
    <row r="346" spans="1:3" x14ac:dyDescent="0.35">
      <c r="A346" s="156">
        <v>344</v>
      </c>
      <c r="B346" s="152" t="s">
        <v>293</v>
      </c>
      <c r="C346" s="155" t="s">
        <v>437</v>
      </c>
    </row>
    <row r="347" spans="1:3" x14ac:dyDescent="0.35">
      <c r="A347" s="156">
        <v>344</v>
      </c>
      <c r="B347" s="152" t="s">
        <v>293</v>
      </c>
      <c r="C347" s="155" t="s">
        <v>438</v>
      </c>
    </row>
    <row r="348" spans="1:3" x14ac:dyDescent="0.35">
      <c r="A348" s="156">
        <v>345</v>
      </c>
      <c r="B348" s="152" t="s">
        <v>294</v>
      </c>
      <c r="C348" s="155" t="s">
        <v>437</v>
      </c>
    </row>
    <row r="349" spans="1:3" x14ac:dyDescent="0.35">
      <c r="A349" s="156">
        <v>346</v>
      </c>
      <c r="B349" s="152" t="s">
        <v>295</v>
      </c>
      <c r="C349" s="155" t="s">
        <v>438</v>
      </c>
    </row>
    <row r="350" spans="1:3" x14ac:dyDescent="0.35">
      <c r="A350" s="156">
        <v>347</v>
      </c>
      <c r="B350" s="152" t="s">
        <v>296</v>
      </c>
      <c r="C350" s="155" t="s">
        <v>438</v>
      </c>
    </row>
    <row r="351" spans="1:3" x14ac:dyDescent="0.35">
      <c r="A351" s="156">
        <v>348</v>
      </c>
      <c r="B351" s="152" t="s">
        <v>296</v>
      </c>
      <c r="C351" s="155" t="s">
        <v>438</v>
      </c>
    </row>
    <row r="352" spans="1:3" x14ac:dyDescent="0.35">
      <c r="A352" s="156">
        <v>349</v>
      </c>
      <c r="B352" s="152" t="s">
        <v>242</v>
      </c>
      <c r="C352" s="155" t="s">
        <v>437</v>
      </c>
    </row>
    <row r="353" spans="1:3" x14ac:dyDescent="0.35">
      <c r="A353" s="156">
        <v>350</v>
      </c>
      <c r="B353" s="152" t="s">
        <v>297</v>
      </c>
      <c r="C353" s="155" t="s">
        <v>438</v>
      </c>
    </row>
    <row r="354" spans="1:3" x14ac:dyDescent="0.35">
      <c r="A354" s="156">
        <v>351</v>
      </c>
      <c r="B354" s="152" t="s">
        <v>298</v>
      </c>
      <c r="C354" s="155" t="s">
        <v>437</v>
      </c>
    </row>
    <row r="355" spans="1:3" x14ac:dyDescent="0.35">
      <c r="A355" s="156">
        <v>352</v>
      </c>
      <c r="B355" s="152" t="s">
        <v>299</v>
      </c>
      <c r="C355" s="155" t="s">
        <v>437</v>
      </c>
    </row>
    <row r="356" spans="1:3" x14ac:dyDescent="0.35">
      <c r="A356" s="156">
        <v>353</v>
      </c>
      <c r="B356" s="152" t="s">
        <v>300</v>
      </c>
      <c r="C356" s="155" t="s">
        <v>437</v>
      </c>
    </row>
    <row r="357" spans="1:3" x14ac:dyDescent="0.35">
      <c r="A357" s="156">
        <v>354</v>
      </c>
      <c r="B357" s="152" t="s">
        <v>217</v>
      </c>
      <c r="C357" s="155" t="s">
        <v>438</v>
      </c>
    </row>
    <row r="358" spans="1:3" x14ac:dyDescent="0.35">
      <c r="A358" s="156">
        <v>355</v>
      </c>
      <c r="B358" s="152" t="s">
        <v>301</v>
      </c>
      <c r="C358" s="155" t="s">
        <v>437</v>
      </c>
    </row>
    <row r="359" spans="1:3" x14ac:dyDescent="0.35">
      <c r="A359" s="156">
        <v>357</v>
      </c>
      <c r="B359" s="152" t="s">
        <v>302</v>
      </c>
      <c r="C359" s="155" t="s">
        <v>438</v>
      </c>
    </row>
    <row r="360" spans="1:3" x14ac:dyDescent="0.35">
      <c r="A360" s="156">
        <v>358</v>
      </c>
      <c r="B360" s="152" t="s">
        <v>302</v>
      </c>
      <c r="C360" s="155" t="s">
        <v>438</v>
      </c>
    </row>
    <row r="361" spans="1:3" x14ac:dyDescent="0.35">
      <c r="A361" s="156">
        <v>359</v>
      </c>
      <c r="B361" s="152" t="s">
        <v>302</v>
      </c>
      <c r="C361" s="155" t="s">
        <v>438</v>
      </c>
    </row>
    <row r="362" spans="1:3" x14ac:dyDescent="0.35">
      <c r="A362" s="156">
        <v>360</v>
      </c>
      <c r="B362" s="152" t="s">
        <v>302</v>
      </c>
      <c r="C362" s="155" t="s">
        <v>438</v>
      </c>
    </row>
    <row r="363" spans="1:3" x14ac:dyDescent="0.35">
      <c r="A363" s="156">
        <v>361</v>
      </c>
      <c r="B363" s="152" t="s">
        <v>302</v>
      </c>
      <c r="C363" s="155" t="s">
        <v>438</v>
      </c>
    </row>
    <row r="364" spans="1:3" x14ac:dyDescent="0.35">
      <c r="A364" s="156">
        <v>362</v>
      </c>
      <c r="B364" s="152" t="s">
        <v>302</v>
      </c>
      <c r="C364" s="155" t="s">
        <v>438</v>
      </c>
    </row>
    <row r="365" spans="1:3" x14ac:dyDescent="0.35">
      <c r="A365" s="156">
        <v>363</v>
      </c>
      <c r="B365" s="152" t="s">
        <v>302</v>
      </c>
      <c r="C365" s="155" t="s">
        <v>438</v>
      </c>
    </row>
    <row r="366" spans="1:3" x14ac:dyDescent="0.35">
      <c r="A366" s="156">
        <v>364</v>
      </c>
      <c r="B366" s="152" t="s">
        <v>302</v>
      </c>
      <c r="C366" s="155" t="s">
        <v>438</v>
      </c>
    </row>
    <row r="367" spans="1:3" x14ac:dyDescent="0.35">
      <c r="A367" s="156">
        <v>365</v>
      </c>
      <c r="B367" s="152" t="s">
        <v>302</v>
      </c>
      <c r="C367" s="155" t="s">
        <v>438</v>
      </c>
    </row>
    <row r="368" spans="1:3" x14ac:dyDescent="0.35">
      <c r="A368" s="156">
        <v>366</v>
      </c>
      <c r="B368" s="152" t="s">
        <v>302</v>
      </c>
      <c r="C368" s="155" t="s">
        <v>438</v>
      </c>
    </row>
    <row r="369" spans="1:3" x14ac:dyDescent="0.35">
      <c r="A369" s="156">
        <v>367</v>
      </c>
      <c r="B369" s="152" t="s">
        <v>302</v>
      </c>
      <c r="C369" s="155" t="s">
        <v>438</v>
      </c>
    </row>
    <row r="370" spans="1:3" x14ac:dyDescent="0.35">
      <c r="A370" s="156">
        <v>368</v>
      </c>
      <c r="B370" s="152" t="s">
        <v>302</v>
      </c>
      <c r="C370" s="155" t="s">
        <v>438</v>
      </c>
    </row>
    <row r="371" spans="1:3" x14ac:dyDescent="0.35">
      <c r="A371" s="156">
        <v>369</v>
      </c>
      <c r="B371" s="152" t="s">
        <v>302</v>
      </c>
      <c r="C371" s="155" t="s">
        <v>438</v>
      </c>
    </row>
    <row r="372" spans="1:3" x14ac:dyDescent="0.35">
      <c r="A372" s="156">
        <v>370</v>
      </c>
      <c r="B372" s="152" t="s">
        <v>302</v>
      </c>
      <c r="C372" s="155" t="s">
        <v>438</v>
      </c>
    </row>
    <row r="373" spans="1:3" x14ac:dyDescent="0.35">
      <c r="A373" s="156">
        <v>371</v>
      </c>
      <c r="B373" s="152" t="s">
        <v>302</v>
      </c>
      <c r="C373" s="155" t="s">
        <v>438</v>
      </c>
    </row>
    <row r="374" spans="1:3" x14ac:dyDescent="0.35">
      <c r="A374" s="156">
        <v>372</v>
      </c>
      <c r="B374" s="152" t="s">
        <v>282</v>
      </c>
      <c r="C374" s="155" t="s">
        <v>437</v>
      </c>
    </row>
    <row r="375" spans="1:3" x14ac:dyDescent="0.35">
      <c r="A375" s="156">
        <v>373</v>
      </c>
      <c r="B375" s="152" t="s">
        <v>230</v>
      </c>
      <c r="C375" s="155" t="s">
        <v>437</v>
      </c>
    </row>
    <row r="376" spans="1:3" x14ac:dyDescent="0.35">
      <c r="A376" s="156">
        <v>374</v>
      </c>
      <c r="B376" s="152" t="s">
        <v>230</v>
      </c>
      <c r="C376" s="155" t="s">
        <v>437</v>
      </c>
    </row>
    <row r="377" spans="1:3" x14ac:dyDescent="0.35">
      <c r="A377" s="156">
        <v>375</v>
      </c>
      <c r="B377" s="152" t="s">
        <v>230</v>
      </c>
      <c r="C377" s="155" t="s">
        <v>437</v>
      </c>
    </row>
    <row r="378" spans="1:3" x14ac:dyDescent="0.35">
      <c r="A378" s="156">
        <v>376</v>
      </c>
      <c r="B378" s="152" t="s">
        <v>230</v>
      </c>
      <c r="C378" s="155" t="s">
        <v>437</v>
      </c>
    </row>
    <row r="379" spans="1:3" x14ac:dyDescent="0.35">
      <c r="A379" s="156">
        <v>377</v>
      </c>
      <c r="B379" s="152" t="s">
        <v>230</v>
      </c>
      <c r="C379" s="155" t="s">
        <v>437</v>
      </c>
    </row>
    <row r="380" spans="1:3" x14ac:dyDescent="0.35">
      <c r="A380" s="156">
        <v>378</v>
      </c>
      <c r="B380" s="152" t="s">
        <v>230</v>
      </c>
      <c r="C380" s="155" t="s">
        <v>437</v>
      </c>
    </row>
    <row r="381" spans="1:3" x14ac:dyDescent="0.35">
      <c r="A381" s="156">
        <v>380</v>
      </c>
      <c r="B381" s="152" t="s">
        <v>230</v>
      </c>
      <c r="C381" s="155" t="s">
        <v>437</v>
      </c>
    </row>
    <row r="382" spans="1:3" x14ac:dyDescent="0.35">
      <c r="A382" s="156">
        <v>381</v>
      </c>
      <c r="B382" s="152" t="s">
        <v>230</v>
      </c>
      <c r="C382" s="155" t="s">
        <v>437</v>
      </c>
    </row>
    <row r="383" spans="1:3" x14ac:dyDescent="0.35">
      <c r="A383" s="156">
        <v>382</v>
      </c>
      <c r="B383" s="152" t="s">
        <v>230</v>
      </c>
      <c r="C383" s="155" t="s">
        <v>437</v>
      </c>
    </row>
    <row r="384" spans="1:3" x14ac:dyDescent="0.35">
      <c r="A384" s="156">
        <v>384</v>
      </c>
      <c r="B384" s="152" t="s">
        <v>242</v>
      </c>
      <c r="C384" s="155" t="s">
        <v>437</v>
      </c>
    </row>
    <row r="385" spans="1:3" x14ac:dyDescent="0.35">
      <c r="A385" s="156">
        <v>385</v>
      </c>
      <c r="B385" s="152" t="s">
        <v>230</v>
      </c>
      <c r="C385" s="155" t="s">
        <v>438</v>
      </c>
    </row>
    <row r="386" spans="1:3" x14ac:dyDescent="0.35">
      <c r="A386" s="156">
        <v>386</v>
      </c>
      <c r="B386" s="152" t="s">
        <v>210</v>
      </c>
      <c r="C386" s="155" t="s">
        <v>438</v>
      </c>
    </row>
    <row r="387" spans="1:3" x14ac:dyDescent="0.35">
      <c r="A387" s="156">
        <v>387</v>
      </c>
      <c r="B387" s="152" t="s">
        <v>235</v>
      </c>
      <c r="C387" s="155" t="s">
        <v>438</v>
      </c>
    </row>
    <row r="388" spans="1:3" x14ac:dyDescent="0.35">
      <c r="A388" s="156">
        <v>388</v>
      </c>
      <c r="B388" s="152" t="s">
        <v>230</v>
      </c>
      <c r="C388" s="155" t="s">
        <v>438</v>
      </c>
    </row>
    <row r="389" spans="1:3" x14ac:dyDescent="0.35">
      <c r="A389" s="156">
        <v>389</v>
      </c>
      <c r="B389" s="152" t="s">
        <v>221</v>
      </c>
      <c r="C389" s="155" t="s">
        <v>438</v>
      </c>
    </row>
    <row r="390" spans="1:3" x14ac:dyDescent="0.35">
      <c r="A390" s="156">
        <v>390</v>
      </c>
      <c r="B390" s="152" t="s">
        <v>230</v>
      </c>
      <c r="C390" s="155" t="s">
        <v>437</v>
      </c>
    </row>
    <row r="391" spans="1:3" x14ac:dyDescent="0.35">
      <c r="A391" s="156">
        <v>391</v>
      </c>
      <c r="B391" s="152" t="s">
        <v>303</v>
      </c>
      <c r="C391" s="155" t="s">
        <v>438</v>
      </c>
    </row>
    <row r="392" spans="1:3" x14ac:dyDescent="0.35">
      <c r="A392" s="156">
        <v>392</v>
      </c>
      <c r="B392" s="152" t="s">
        <v>304</v>
      </c>
      <c r="C392" s="155" t="s">
        <v>437</v>
      </c>
    </row>
    <row r="393" spans="1:3" x14ac:dyDescent="0.35">
      <c r="A393" s="156">
        <v>393</v>
      </c>
      <c r="B393" s="152" t="s">
        <v>305</v>
      </c>
      <c r="C393" s="155" t="s">
        <v>437</v>
      </c>
    </row>
    <row r="394" spans="1:3" x14ac:dyDescent="0.35">
      <c r="A394" s="156">
        <v>394</v>
      </c>
      <c r="B394" s="152" t="s">
        <v>261</v>
      </c>
      <c r="C394" s="155" t="s">
        <v>437</v>
      </c>
    </row>
    <row r="395" spans="1:3" x14ac:dyDescent="0.35">
      <c r="A395" s="156">
        <v>395</v>
      </c>
      <c r="B395" s="152" t="s">
        <v>306</v>
      </c>
      <c r="C395" s="155" t="s">
        <v>437</v>
      </c>
    </row>
    <row r="396" spans="1:3" x14ac:dyDescent="0.35">
      <c r="A396" s="156">
        <v>396</v>
      </c>
      <c r="B396" s="152" t="s">
        <v>240</v>
      </c>
      <c r="C396" s="155" t="s">
        <v>437</v>
      </c>
    </row>
    <row r="397" spans="1:3" x14ac:dyDescent="0.35">
      <c r="A397" s="156">
        <v>397</v>
      </c>
      <c r="B397" s="152" t="s">
        <v>307</v>
      </c>
      <c r="C397" s="155" t="s">
        <v>437</v>
      </c>
    </row>
    <row r="398" spans="1:3" x14ac:dyDescent="0.35">
      <c r="A398" s="156">
        <v>398</v>
      </c>
      <c r="B398" s="152" t="s">
        <v>308</v>
      </c>
      <c r="C398" s="155" t="s">
        <v>437</v>
      </c>
    </row>
    <row r="399" spans="1:3" x14ac:dyDescent="0.35">
      <c r="A399" s="156">
        <v>399</v>
      </c>
      <c r="B399" s="152" t="s">
        <v>309</v>
      </c>
      <c r="C399" s="155" t="s">
        <v>438</v>
      </c>
    </row>
    <row r="400" spans="1:3" x14ac:dyDescent="0.35">
      <c r="A400" s="156">
        <v>400</v>
      </c>
      <c r="B400" s="152" t="s">
        <v>260</v>
      </c>
      <c r="C400" s="155" t="s">
        <v>437</v>
      </c>
    </row>
    <row r="401" spans="1:3" x14ac:dyDescent="0.35">
      <c r="A401" s="156">
        <v>401</v>
      </c>
      <c r="B401" s="152" t="s">
        <v>310</v>
      </c>
      <c r="C401" s="155" t="s">
        <v>438</v>
      </c>
    </row>
    <row r="402" spans="1:3" x14ac:dyDescent="0.35">
      <c r="A402" s="156">
        <v>403</v>
      </c>
      <c r="B402" s="152" t="s">
        <v>216</v>
      </c>
      <c r="C402" s="155" t="s">
        <v>437</v>
      </c>
    </row>
    <row r="403" spans="1:3" x14ac:dyDescent="0.35">
      <c r="A403" s="156">
        <v>404</v>
      </c>
      <c r="B403" s="152" t="s">
        <v>311</v>
      </c>
      <c r="C403" s="155" t="s">
        <v>437</v>
      </c>
    </row>
    <row r="404" spans="1:3" x14ac:dyDescent="0.35">
      <c r="A404" s="156">
        <v>405</v>
      </c>
      <c r="B404" s="152" t="s">
        <v>312</v>
      </c>
      <c r="C404" s="155" t="s">
        <v>438</v>
      </c>
    </row>
    <row r="405" spans="1:3" x14ac:dyDescent="0.35">
      <c r="A405" s="156">
        <v>406</v>
      </c>
      <c r="B405" s="152" t="s">
        <v>313</v>
      </c>
      <c r="C405" s="155" t="s">
        <v>438</v>
      </c>
    </row>
    <row r="406" spans="1:3" x14ac:dyDescent="0.35">
      <c r="A406" s="156">
        <v>407</v>
      </c>
      <c r="B406" s="152" t="s">
        <v>314</v>
      </c>
      <c r="C406" s="155" t="s">
        <v>438</v>
      </c>
    </row>
    <row r="407" spans="1:3" x14ac:dyDescent="0.35">
      <c r="A407" s="156">
        <v>408</v>
      </c>
      <c r="B407" s="152" t="s">
        <v>315</v>
      </c>
      <c r="C407" s="155" t="s">
        <v>438</v>
      </c>
    </row>
    <row r="408" spans="1:3" x14ac:dyDescent="0.35">
      <c r="A408" s="156">
        <v>409</v>
      </c>
      <c r="B408" s="152" t="s">
        <v>316</v>
      </c>
      <c r="C408" s="155" t="s">
        <v>438</v>
      </c>
    </row>
    <row r="409" spans="1:3" x14ac:dyDescent="0.35">
      <c r="A409" s="156">
        <v>410</v>
      </c>
      <c r="B409" s="152" t="s">
        <v>317</v>
      </c>
      <c r="C409" s="155" t="s">
        <v>438</v>
      </c>
    </row>
    <row r="410" spans="1:3" x14ac:dyDescent="0.35">
      <c r="A410" s="156">
        <v>411</v>
      </c>
      <c r="B410" s="152" t="s">
        <v>318</v>
      </c>
      <c r="C410" s="155" t="s">
        <v>438</v>
      </c>
    </row>
    <row r="411" spans="1:3" x14ac:dyDescent="0.35">
      <c r="A411" s="156">
        <v>412</v>
      </c>
      <c r="B411" s="152" t="s">
        <v>319</v>
      </c>
      <c r="C411" s="155" t="s">
        <v>438</v>
      </c>
    </row>
    <row r="412" spans="1:3" x14ac:dyDescent="0.35">
      <c r="A412" s="156">
        <v>413</v>
      </c>
      <c r="B412" s="152" t="s">
        <v>320</v>
      </c>
      <c r="C412" s="155" t="s">
        <v>438</v>
      </c>
    </row>
    <row r="413" spans="1:3" x14ac:dyDescent="0.35">
      <c r="A413" s="156">
        <v>414</v>
      </c>
      <c r="B413" s="152" t="s">
        <v>321</v>
      </c>
      <c r="C413" s="155" t="s">
        <v>438</v>
      </c>
    </row>
    <row r="414" spans="1:3" x14ac:dyDescent="0.35">
      <c r="A414" s="156">
        <v>415</v>
      </c>
      <c r="B414" s="152" t="s">
        <v>322</v>
      </c>
      <c r="C414" s="155" t="s">
        <v>438</v>
      </c>
    </row>
    <row r="415" spans="1:3" x14ac:dyDescent="0.35">
      <c r="A415" s="156">
        <v>416</v>
      </c>
      <c r="B415" s="152" t="s">
        <v>323</v>
      </c>
      <c r="C415" s="155" t="s">
        <v>438</v>
      </c>
    </row>
    <row r="416" spans="1:3" x14ac:dyDescent="0.35">
      <c r="A416" s="156">
        <v>417</v>
      </c>
      <c r="B416" s="152" t="s">
        <v>324</v>
      </c>
      <c r="C416" s="155" t="s">
        <v>438</v>
      </c>
    </row>
    <row r="417" spans="1:3" x14ac:dyDescent="0.35">
      <c r="A417" s="156">
        <v>418</v>
      </c>
      <c r="B417" s="152" t="s">
        <v>325</v>
      </c>
      <c r="C417" s="155" t="s">
        <v>438</v>
      </c>
    </row>
    <row r="418" spans="1:3" x14ac:dyDescent="0.35">
      <c r="A418" s="156">
        <v>419</v>
      </c>
      <c r="B418" s="152" t="s">
        <v>326</v>
      </c>
      <c r="C418" s="155" t="s">
        <v>438</v>
      </c>
    </row>
    <row r="419" spans="1:3" x14ac:dyDescent="0.35">
      <c r="A419" s="156">
        <v>420</v>
      </c>
      <c r="B419" s="152" t="s">
        <v>327</v>
      </c>
      <c r="C419" s="155" t="s">
        <v>438</v>
      </c>
    </row>
    <row r="420" spans="1:3" x14ac:dyDescent="0.35">
      <c r="A420" s="156">
        <v>421</v>
      </c>
      <c r="B420" s="152" t="s">
        <v>328</v>
      </c>
      <c r="C420" s="155" t="s">
        <v>438</v>
      </c>
    </row>
    <row r="421" spans="1:3" x14ac:dyDescent="0.35">
      <c r="A421" s="156">
        <v>422</v>
      </c>
      <c r="B421" s="152" t="s">
        <v>329</v>
      </c>
      <c r="C421" s="155" t="s">
        <v>438</v>
      </c>
    </row>
    <row r="422" spans="1:3" x14ac:dyDescent="0.35">
      <c r="A422" s="156">
        <v>423</v>
      </c>
      <c r="B422" s="152" t="s">
        <v>330</v>
      </c>
      <c r="C422" s="155" t="s">
        <v>438</v>
      </c>
    </row>
    <row r="423" spans="1:3" x14ac:dyDescent="0.35">
      <c r="A423" s="156">
        <v>424</v>
      </c>
      <c r="B423" s="152" t="s">
        <v>331</v>
      </c>
      <c r="C423" s="155" t="s">
        <v>438</v>
      </c>
    </row>
    <row r="424" spans="1:3" x14ac:dyDescent="0.35">
      <c r="A424" s="156">
        <v>425</v>
      </c>
      <c r="B424" s="152" t="s">
        <v>332</v>
      </c>
      <c r="C424" s="155" t="s">
        <v>437</v>
      </c>
    </row>
    <row r="425" spans="1:3" x14ac:dyDescent="0.35">
      <c r="A425" s="156">
        <v>426</v>
      </c>
      <c r="B425" s="152" t="s">
        <v>242</v>
      </c>
      <c r="C425" s="155" t="s">
        <v>437</v>
      </c>
    </row>
    <row r="426" spans="1:3" x14ac:dyDescent="0.35">
      <c r="A426" s="156">
        <v>427</v>
      </c>
      <c r="B426" s="152" t="s">
        <v>333</v>
      </c>
      <c r="C426" s="155" t="s">
        <v>437</v>
      </c>
    </row>
    <row r="427" spans="1:3" x14ac:dyDescent="0.35">
      <c r="A427" s="156">
        <v>428</v>
      </c>
      <c r="B427" s="152" t="s">
        <v>334</v>
      </c>
      <c r="C427" s="155" t="s">
        <v>433</v>
      </c>
    </row>
    <row r="428" spans="1:3" x14ac:dyDescent="0.35">
      <c r="A428" s="156">
        <v>429</v>
      </c>
      <c r="B428" s="152" t="s">
        <v>335</v>
      </c>
      <c r="C428" s="155" t="s">
        <v>433</v>
      </c>
    </row>
    <row r="429" spans="1:3" x14ac:dyDescent="0.35">
      <c r="A429" s="156">
        <v>430</v>
      </c>
      <c r="B429" s="152" t="s">
        <v>336</v>
      </c>
      <c r="C429" s="155" t="s">
        <v>433</v>
      </c>
    </row>
    <row r="430" spans="1:3" x14ac:dyDescent="0.35">
      <c r="A430" s="156">
        <v>431</v>
      </c>
      <c r="B430" s="152" t="s">
        <v>337</v>
      </c>
      <c r="C430" s="155" t="s">
        <v>433</v>
      </c>
    </row>
    <row r="431" spans="1:3" x14ac:dyDescent="0.35">
      <c r="A431" s="156">
        <v>432</v>
      </c>
      <c r="B431" s="152" t="s">
        <v>242</v>
      </c>
      <c r="C431" s="155" t="s">
        <v>437</v>
      </c>
    </row>
    <row r="432" spans="1:3" x14ac:dyDescent="0.35">
      <c r="A432" s="156">
        <v>434</v>
      </c>
      <c r="B432" s="152" t="s">
        <v>338</v>
      </c>
      <c r="C432" s="155" t="s">
        <v>438</v>
      </c>
    </row>
    <row r="433" spans="1:3" x14ac:dyDescent="0.35">
      <c r="A433" s="156">
        <v>435</v>
      </c>
      <c r="B433" s="152" t="s">
        <v>339</v>
      </c>
      <c r="C433" s="155" t="s">
        <v>437</v>
      </c>
    </row>
    <row r="434" spans="1:3" x14ac:dyDescent="0.35">
      <c r="A434" s="156">
        <v>436</v>
      </c>
      <c r="B434" s="152" t="s">
        <v>340</v>
      </c>
      <c r="C434" s="155" t="s">
        <v>437</v>
      </c>
    </row>
    <row r="435" spans="1:3" x14ac:dyDescent="0.35">
      <c r="A435" s="156">
        <v>437</v>
      </c>
      <c r="B435" s="152" t="s">
        <v>341</v>
      </c>
      <c r="C435" s="155" t="s">
        <v>437</v>
      </c>
    </row>
    <row r="436" spans="1:3" x14ac:dyDescent="0.35">
      <c r="A436" s="156">
        <v>439</v>
      </c>
      <c r="B436" s="152" t="s">
        <v>342</v>
      </c>
      <c r="C436" s="155" t="s">
        <v>437</v>
      </c>
    </row>
    <row r="437" spans="1:3" x14ac:dyDescent="0.35">
      <c r="A437" s="156">
        <v>440</v>
      </c>
      <c r="B437" s="152" t="s">
        <v>343</v>
      </c>
      <c r="C437" s="155" t="s">
        <v>437</v>
      </c>
    </row>
    <row r="438" spans="1:3" x14ac:dyDescent="0.35">
      <c r="A438" s="156">
        <v>441</v>
      </c>
      <c r="B438" s="152" t="s">
        <v>246</v>
      </c>
      <c r="C438" s="155" t="s">
        <v>437</v>
      </c>
    </row>
    <row r="439" spans="1:3" x14ac:dyDescent="0.35">
      <c r="A439" s="156">
        <v>442</v>
      </c>
      <c r="B439" s="152" t="s">
        <v>242</v>
      </c>
      <c r="C439" s="155" t="s">
        <v>438</v>
      </c>
    </row>
    <row r="440" spans="1:3" x14ac:dyDescent="0.35">
      <c r="A440" s="156">
        <v>443</v>
      </c>
      <c r="B440" s="152" t="s">
        <v>282</v>
      </c>
      <c r="C440" s="155" t="s">
        <v>437</v>
      </c>
    </row>
    <row r="441" spans="1:3" x14ac:dyDescent="0.35">
      <c r="A441" s="156">
        <v>444</v>
      </c>
      <c r="B441" s="152" t="s">
        <v>285</v>
      </c>
      <c r="C441" s="155" t="s">
        <v>437</v>
      </c>
    </row>
    <row r="442" spans="1:3" x14ac:dyDescent="0.35">
      <c r="A442" s="156">
        <v>444</v>
      </c>
      <c r="B442" s="152" t="s">
        <v>285</v>
      </c>
      <c r="C442" s="155" t="s">
        <v>438</v>
      </c>
    </row>
    <row r="443" spans="1:3" x14ac:dyDescent="0.35">
      <c r="A443" s="156">
        <v>445</v>
      </c>
      <c r="B443" s="152" t="s">
        <v>344</v>
      </c>
      <c r="C443" s="155" t="s">
        <v>437</v>
      </c>
    </row>
    <row r="444" spans="1:3" x14ac:dyDescent="0.35">
      <c r="A444" s="156">
        <v>446</v>
      </c>
      <c r="B444" s="152" t="s">
        <v>344</v>
      </c>
      <c r="C444" s="155" t="s">
        <v>437</v>
      </c>
    </row>
    <row r="445" spans="1:3" x14ac:dyDescent="0.35">
      <c r="A445" s="156">
        <v>447</v>
      </c>
      <c r="B445" s="152" t="s">
        <v>256</v>
      </c>
      <c r="C445" s="155" t="s">
        <v>437</v>
      </c>
    </row>
    <row r="446" spans="1:3" x14ac:dyDescent="0.35">
      <c r="A446" s="156">
        <v>448</v>
      </c>
      <c r="B446" s="152" t="s">
        <v>256</v>
      </c>
      <c r="C446" s="155" t="s">
        <v>437</v>
      </c>
    </row>
    <row r="447" spans="1:3" x14ac:dyDescent="0.35">
      <c r="A447" s="156">
        <v>449</v>
      </c>
      <c r="B447" s="152" t="s">
        <v>256</v>
      </c>
      <c r="C447" s="155" t="s">
        <v>437</v>
      </c>
    </row>
    <row r="448" spans="1:3" x14ac:dyDescent="0.35">
      <c r="A448" s="156">
        <v>450</v>
      </c>
      <c r="B448" s="152" t="s">
        <v>256</v>
      </c>
      <c r="C448" s="155" t="s">
        <v>437</v>
      </c>
    </row>
    <row r="449" spans="1:3" x14ac:dyDescent="0.35">
      <c r="A449" s="156">
        <v>451</v>
      </c>
      <c r="B449" s="152" t="s">
        <v>256</v>
      </c>
      <c r="C449" s="155" t="s">
        <v>437</v>
      </c>
    </row>
    <row r="450" spans="1:3" x14ac:dyDescent="0.35">
      <c r="A450" s="156">
        <v>452</v>
      </c>
      <c r="B450" s="152" t="s">
        <v>256</v>
      </c>
      <c r="C450" s="155" t="s">
        <v>437</v>
      </c>
    </row>
    <row r="451" spans="1:3" x14ac:dyDescent="0.35">
      <c r="A451" s="156">
        <v>453</v>
      </c>
      <c r="B451" s="152" t="s">
        <v>256</v>
      </c>
      <c r="C451" s="155" t="s">
        <v>437</v>
      </c>
    </row>
    <row r="452" spans="1:3" x14ac:dyDescent="0.35">
      <c r="A452" s="156">
        <v>454</v>
      </c>
      <c r="B452" s="152" t="s">
        <v>256</v>
      </c>
      <c r="C452" s="155" t="s">
        <v>437</v>
      </c>
    </row>
    <row r="453" spans="1:3" x14ac:dyDescent="0.35">
      <c r="A453" s="156">
        <v>455</v>
      </c>
      <c r="B453" s="152" t="s">
        <v>256</v>
      </c>
      <c r="C453" s="155" t="s">
        <v>437</v>
      </c>
    </row>
    <row r="454" spans="1:3" x14ac:dyDescent="0.35">
      <c r="A454" s="156">
        <v>456</v>
      </c>
      <c r="B454" s="152" t="s">
        <v>256</v>
      </c>
      <c r="C454" s="155" t="s">
        <v>437</v>
      </c>
    </row>
    <row r="455" spans="1:3" x14ac:dyDescent="0.35">
      <c r="A455" s="156">
        <v>459</v>
      </c>
      <c r="B455" s="152" t="s">
        <v>256</v>
      </c>
      <c r="C455" s="155" t="s">
        <v>437</v>
      </c>
    </row>
    <row r="456" spans="1:3" x14ac:dyDescent="0.35">
      <c r="A456" s="156">
        <v>460</v>
      </c>
      <c r="B456" s="152" t="s">
        <v>345</v>
      </c>
      <c r="C456" s="155" t="s">
        <v>438</v>
      </c>
    </row>
    <row r="457" spans="1:3" x14ac:dyDescent="0.35">
      <c r="A457" s="156">
        <v>461</v>
      </c>
      <c r="B457" s="152" t="s">
        <v>345</v>
      </c>
      <c r="C457" s="155" t="s">
        <v>438</v>
      </c>
    </row>
    <row r="458" spans="1:3" x14ac:dyDescent="0.35">
      <c r="A458" s="156">
        <v>462</v>
      </c>
      <c r="B458" s="152" t="s">
        <v>346</v>
      </c>
      <c r="C458" s="155" t="s">
        <v>438</v>
      </c>
    </row>
    <row r="459" spans="1:3" x14ac:dyDescent="0.35">
      <c r="A459" s="156">
        <v>463</v>
      </c>
      <c r="B459" s="152" t="s">
        <v>347</v>
      </c>
      <c r="C459" s="155" t="s">
        <v>438</v>
      </c>
    </row>
    <row r="460" spans="1:3" x14ac:dyDescent="0.35">
      <c r="A460" s="156">
        <v>464</v>
      </c>
      <c r="B460" s="152" t="s">
        <v>348</v>
      </c>
      <c r="C460" s="155" t="s">
        <v>437</v>
      </c>
    </row>
    <row r="461" spans="1:3" x14ac:dyDescent="0.35">
      <c r="A461" s="156">
        <v>465</v>
      </c>
      <c r="B461" s="152" t="s">
        <v>349</v>
      </c>
      <c r="C461" s="155" t="s">
        <v>437</v>
      </c>
    </row>
    <row r="462" spans="1:3" x14ac:dyDescent="0.35">
      <c r="A462" s="156">
        <v>466</v>
      </c>
      <c r="B462" s="152" t="s">
        <v>350</v>
      </c>
      <c r="C462" s="155" t="s">
        <v>437</v>
      </c>
    </row>
    <row r="463" spans="1:3" x14ac:dyDescent="0.35">
      <c r="A463" s="156">
        <v>467</v>
      </c>
      <c r="B463" s="152" t="s">
        <v>350</v>
      </c>
      <c r="C463" s="155" t="s">
        <v>437</v>
      </c>
    </row>
    <row r="464" spans="1:3" x14ac:dyDescent="0.35">
      <c r="A464" s="156">
        <v>468</v>
      </c>
      <c r="B464" s="152" t="s">
        <v>350</v>
      </c>
      <c r="C464" s="155" t="s">
        <v>437</v>
      </c>
    </row>
    <row r="465" spans="1:3" x14ac:dyDescent="0.35">
      <c r="A465" s="156">
        <v>469</v>
      </c>
      <c r="B465" s="152" t="s">
        <v>350</v>
      </c>
      <c r="C465" s="155" t="s">
        <v>437</v>
      </c>
    </row>
    <row r="466" spans="1:3" x14ac:dyDescent="0.35">
      <c r="A466" s="156">
        <v>470</v>
      </c>
      <c r="B466" s="152" t="s">
        <v>350</v>
      </c>
      <c r="C466" s="155" t="s">
        <v>437</v>
      </c>
    </row>
    <row r="467" spans="1:3" x14ac:dyDescent="0.35">
      <c r="A467" s="156">
        <v>473</v>
      </c>
      <c r="B467" s="152" t="s">
        <v>351</v>
      </c>
      <c r="C467" s="155" t="s">
        <v>437</v>
      </c>
    </row>
    <row r="468" spans="1:3" x14ac:dyDescent="0.35">
      <c r="A468" s="156">
        <v>474</v>
      </c>
      <c r="B468" s="152" t="s">
        <v>352</v>
      </c>
      <c r="C468" s="155" t="s">
        <v>438</v>
      </c>
    </row>
    <row r="469" spans="1:3" x14ac:dyDescent="0.35">
      <c r="A469" s="156">
        <v>475</v>
      </c>
      <c r="B469" s="152" t="s">
        <v>353</v>
      </c>
      <c r="C469" s="155" t="s">
        <v>437</v>
      </c>
    </row>
    <row r="470" spans="1:3" x14ac:dyDescent="0.35">
      <c r="A470" s="156">
        <v>476</v>
      </c>
      <c r="B470" s="152" t="s">
        <v>354</v>
      </c>
      <c r="C470" s="155" t="s">
        <v>438</v>
      </c>
    </row>
    <row r="471" spans="1:3" x14ac:dyDescent="0.35">
      <c r="A471" s="156">
        <v>477</v>
      </c>
      <c r="B471" s="152" t="s">
        <v>354</v>
      </c>
      <c r="C471" s="155" t="s">
        <v>438</v>
      </c>
    </row>
    <row r="472" spans="1:3" x14ac:dyDescent="0.35">
      <c r="A472" s="156">
        <v>478</v>
      </c>
      <c r="B472" s="152" t="s">
        <v>285</v>
      </c>
      <c r="C472" s="155" t="s">
        <v>437</v>
      </c>
    </row>
    <row r="473" spans="1:3" x14ac:dyDescent="0.35">
      <c r="A473" s="156">
        <v>479</v>
      </c>
      <c r="B473" s="152" t="s">
        <v>342</v>
      </c>
      <c r="C473" s="155" t="s">
        <v>437</v>
      </c>
    </row>
    <row r="474" spans="1:3" x14ac:dyDescent="0.35">
      <c r="A474" s="156">
        <v>480</v>
      </c>
      <c r="B474" s="152" t="s">
        <v>342</v>
      </c>
      <c r="C474" s="155" t="s">
        <v>437</v>
      </c>
    </row>
    <row r="475" spans="1:3" x14ac:dyDescent="0.35">
      <c r="A475" s="156">
        <v>481</v>
      </c>
      <c r="B475" s="152" t="s">
        <v>342</v>
      </c>
      <c r="C475" s="155" t="s">
        <v>437</v>
      </c>
    </row>
    <row r="476" spans="1:3" x14ac:dyDescent="0.35">
      <c r="A476" s="156">
        <v>482</v>
      </c>
      <c r="B476" s="152" t="s">
        <v>355</v>
      </c>
      <c r="C476" s="155" t="s">
        <v>434</v>
      </c>
    </row>
    <row r="477" spans="1:3" x14ac:dyDescent="0.35">
      <c r="A477" s="156">
        <v>483</v>
      </c>
      <c r="B477" s="152" t="s">
        <v>356</v>
      </c>
      <c r="C477" s="155" t="s">
        <v>434</v>
      </c>
    </row>
    <row r="478" spans="1:3" x14ac:dyDescent="0.35">
      <c r="A478" s="156">
        <v>484</v>
      </c>
      <c r="B478" s="152" t="s">
        <v>357</v>
      </c>
      <c r="C478" s="155" t="s">
        <v>434</v>
      </c>
    </row>
    <row r="479" spans="1:3" x14ac:dyDescent="0.35">
      <c r="A479" s="156">
        <v>485</v>
      </c>
      <c r="B479" s="152" t="s">
        <v>358</v>
      </c>
      <c r="C479" s="155" t="s">
        <v>434</v>
      </c>
    </row>
    <row r="480" spans="1:3" x14ac:dyDescent="0.35">
      <c r="A480" s="156">
        <v>486</v>
      </c>
      <c r="B480" s="152" t="s">
        <v>359</v>
      </c>
      <c r="C480" s="155" t="s">
        <v>434</v>
      </c>
    </row>
    <row r="481" spans="1:3" x14ac:dyDescent="0.35">
      <c r="A481" s="156">
        <v>487</v>
      </c>
      <c r="B481" s="152" t="s">
        <v>360</v>
      </c>
      <c r="C481" s="155" t="s">
        <v>434</v>
      </c>
    </row>
    <row r="482" spans="1:3" x14ac:dyDescent="0.35">
      <c r="A482" s="156">
        <v>488</v>
      </c>
      <c r="B482" s="152" t="s">
        <v>361</v>
      </c>
      <c r="C482" s="155" t="s">
        <v>434</v>
      </c>
    </row>
    <row r="483" spans="1:3" x14ac:dyDescent="0.35">
      <c r="A483" s="156">
        <v>489</v>
      </c>
      <c r="B483" s="152" t="s">
        <v>362</v>
      </c>
      <c r="C483" s="155" t="s">
        <v>434</v>
      </c>
    </row>
    <row r="484" spans="1:3" x14ac:dyDescent="0.35">
      <c r="A484" s="156">
        <v>490</v>
      </c>
      <c r="B484" s="152" t="s">
        <v>363</v>
      </c>
      <c r="C484" s="155" t="s">
        <v>434</v>
      </c>
    </row>
    <row r="485" spans="1:3" x14ac:dyDescent="0.35">
      <c r="A485" s="156">
        <v>491</v>
      </c>
      <c r="B485" s="152" t="s">
        <v>364</v>
      </c>
      <c r="C485" s="155" t="s">
        <v>434</v>
      </c>
    </row>
    <row r="486" spans="1:3" x14ac:dyDescent="0.35">
      <c r="A486" s="156">
        <v>492</v>
      </c>
      <c r="B486" s="152" t="s">
        <v>365</v>
      </c>
      <c r="C486" s="155" t="s">
        <v>434</v>
      </c>
    </row>
    <row r="487" spans="1:3" x14ac:dyDescent="0.35">
      <c r="A487" s="156">
        <v>493</v>
      </c>
      <c r="B487" s="152" t="s">
        <v>366</v>
      </c>
      <c r="C487" s="155" t="s">
        <v>434</v>
      </c>
    </row>
    <row r="488" spans="1:3" x14ac:dyDescent="0.35">
      <c r="A488" s="156">
        <v>494</v>
      </c>
      <c r="B488" s="152" t="s">
        <v>367</v>
      </c>
      <c r="C488" s="155" t="s">
        <v>434</v>
      </c>
    </row>
    <row r="489" spans="1:3" x14ac:dyDescent="0.35">
      <c r="A489" s="156">
        <v>495</v>
      </c>
      <c r="B489" s="152" t="s">
        <v>368</v>
      </c>
      <c r="C489" s="155" t="s">
        <v>434</v>
      </c>
    </row>
    <row r="490" spans="1:3" x14ac:dyDescent="0.35">
      <c r="A490" s="156">
        <v>496</v>
      </c>
      <c r="B490" s="152" t="s">
        <v>369</v>
      </c>
      <c r="C490" s="155" t="s">
        <v>434</v>
      </c>
    </row>
    <row r="491" spans="1:3" x14ac:dyDescent="0.35">
      <c r="A491" s="156">
        <v>497</v>
      </c>
      <c r="B491" s="152" t="s">
        <v>370</v>
      </c>
      <c r="C491" s="155" t="s">
        <v>434</v>
      </c>
    </row>
    <row r="492" spans="1:3" x14ac:dyDescent="0.35">
      <c r="A492" s="156">
        <v>498</v>
      </c>
      <c r="B492" s="152" t="s">
        <v>371</v>
      </c>
      <c r="C492" s="155" t="s">
        <v>434</v>
      </c>
    </row>
    <row r="493" spans="1:3" x14ac:dyDescent="0.35">
      <c r="A493" s="156">
        <v>701</v>
      </c>
      <c r="B493" s="152" t="s">
        <v>372</v>
      </c>
      <c r="C493" s="155" t="s">
        <v>438</v>
      </c>
    </row>
    <row r="494" spans="1:3" x14ac:dyDescent="0.35">
      <c r="A494" s="156">
        <v>702</v>
      </c>
      <c r="B494" s="152" t="s">
        <v>372</v>
      </c>
      <c r="C494" s="155" t="s">
        <v>438</v>
      </c>
    </row>
    <row r="495" spans="1:3" x14ac:dyDescent="0.35">
      <c r="A495" s="156">
        <v>703</v>
      </c>
      <c r="B495" s="152" t="s">
        <v>308</v>
      </c>
      <c r="C495" s="155" t="s">
        <v>438</v>
      </c>
    </row>
    <row r="496" spans="1:3" x14ac:dyDescent="0.35">
      <c r="A496" s="156">
        <v>704</v>
      </c>
      <c r="B496" s="152" t="s">
        <v>308</v>
      </c>
      <c r="C496" s="155" t="s">
        <v>438</v>
      </c>
    </row>
    <row r="497" spans="1:3" x14ac:dyDescent="0.35">
      <c r="A497" s="156">
        <v>705</v>
      </c>
      <c r="B497" s="152" t="s">
        <v>308</v>
      </c>
      <c r="C497" s="155" t="s">
        <v>438</v>
      </c>
    </row>
    <row r="498" spans="1:3" x14ac:dyDescent="0.35">
      <c r="A498" s="156">
        <v>706</v>
      </c>
      <c r="B498" s="152" t="s">
        <v>308</v>
      </c>
      <c r="C498" s="155" t="s">
        <v>438</v>
      </c>
    </row>
    <row r="499" spans="1:3" x14ac:dyDescent="0.35">
      <c r="A499" s="156">
        <v>707</v>
      </c>
      <c r="B499" s="152" t="s">
        <v>308</v>
      </c>
      <c r="C499" s="155" t="s">
        <v>438</v>
      </c>
    </row>
    <row r="500" spans="1:3" x14ac:dyDescent="0.35">
      <c r="A500" s="156">
        <v>708</v>
      </c>
      <c r="B500" s="152" t="s">
        <v>308</v>
      </c>
      <c r="C500" s="155" t="s">
        <v>438</v>
      </c>
    </row>
    <row r="501" spans="1:3" x14ac:dyDescent="0.35">
      <c r="A501" s="156">
        <v>709</v>
      </c>
      <c r="B501" s="152" t="s">
        <v>308</v>
      </c>
      <c r="C501" s="155" t="s">
        <v>438</v>
      </c>
    </row>
    <row r="502" spans="1:3" x14ac:dyDescent="0.35">
      <c r="A502" s="156">
        <v>710</v>
      </c>
      <c r="B502" s="152" t="s">
        <v>308</v>
      </c>
      <c r="C502" s="155" t="s">
        <v>438</v>
      </c>
    </row>
    <row r="503" spans="1:3" x14ac:dyDescent="0.35">
      <c r="A503" s="156">
        <v>711</v>
      </c>
      <c r="B503" s="152" t="s">
        <v>308</v>
      </c>
      <c r="C503" s="155" t="s">
        <v>438</v>
      </c>
    </row>
    <row r="504" spans="1:3" x14ac:dyDescent="0.35">
      <c r="A504" s="156">
        <v>712</v>
      </c>
      <c r="B504" s="152" t="s">
        <v>373</v>
      </c>
      <c r="C504" s="155" t="s">
        <v>438</v>
      </c>
    </row>
    <row r="505" spans="1:3" x14ac:dyDescent="0.35">
      <c r="A505" s="156">
        <v>713</v>
      </c>
      <c r="B505" s="152" t="s">
        <v>373</v>
      </c>
      <c r="C505" s="155" t="s">
        <v>438</v>
      </c>
    </row>
    <row r="506" spans="1:3" x14ac:dyDescent="0.35">
      <c r="A506" s="156">
        <v>714</v>
      </c>
      <c r="B506" s="152" t="s">
        <v>373</v>
      </c>
      <c r="C506" s="155" t="s">
        <v>438</v>
      </c>
    </row>
    <row r="507" spans="1:3" x14ac:dyDescent="0.35">
      <c r="A507" s="156">
        <v>715</v>
      </c>
      <c r="B507" s="152" t="s">
        <v>373</v>
      </c>
      <c r="C507" s="155" t="s">
        <v>438</v>
      </c>
    </row>
    <row r="508" spans="1:3" x14ac:dyDescent="0.35">
      <c r="A508" s="156">
        <v>716</v>
      </c>
      <c r="B508" s="152" t="s">
        <v>374</v>
      </c>
      <c r="C508" s="155" t="s">
        <v>438</v>
      </c>
    </row>
    <row r="509" spans="1:3" x14ac:dyDescent="0.35">
      <c r="A509" s="156">
        <v>717</v>
      </c>
      <c r="B509" s="152" t="s">
        <v>374</v>
      </c>
      <c r="C509" s="155" t="s">
        <v>438</v>
      </c>
    </row>
    <row r="510" spans="1:3" x14ac:dyDescent="0.35">
      <c r="A510" s="156">
        <v>718</v>
      </c>
      <c r="B510" s="152" t="s">
        <v>375</v>
      </c>
      <c r="C510" s="155" t="s">
        <v>438</v>
      </c>
    </row>
    <row r="511" spans="1:3" x14ac:dyDescent="0.35">
      <c r="A511" s="156">
        <v>719</v>
      </c>
      <c r="B511" s="152" t="s">
        <v>375</v>
      </c>
      <c r="C511" s="155" t="s">
        <v>438</v>
      </c>
    </row>
    <row r="512" spans="1:3" x14ac:dyDescent="0.35">
      <c r="A512" s="156">
        <v>720</v>
      </c>
      <c r="B512" s="152" t="s">
        <v>243</v>
      </c>
      <c r="C512" s="155" t="s">
        <v>437</v>
      </c>
    </row>
    <row r="513" spans="1:3" x14ac:dyDescent="0.35">
      <c r="A513" s="156">
        <v>721</v>
      </c>
      <c r="B513" s="152" t="s">
        <v>376</v>
      </c>
      <c r="C513" s="155" t="s">
        <v>437</v>
      </c>
    </row>
    <row r="514" spans="1:3" x14ac:dyDescent="0.35">
      <c r="A514" s="156">
        <v>722</v>
      </c>
      <c r="B514" s="152" t="s">
        <v>376</v>
      </c>
      <c r="C514" s="155" t="s">
        <v>437</v>
      </c>
    </row>
    <row r="515" spans="1:3" x14ac:dyDescent="0.35">
      <c r="A515" s="156">
        <v>723</v>
      </c>
      <c r="B515" s="152" t="s">
        <v>376</v>
      </c>
      <c r="C515" s="155" t="s">
        <v>437</v>
      </c>
    </row>
    <row r="516" spans="1:3" x14ac:dyDescent="0.35">
      <c r="A516" s="156">
        <v>724</v>
      </c>
      <c r="B516" s="152" t="s">
        <v>376</v>
      </c>
      <c r="C516" s="155" t="s">
        <v>437</v>
      </c>
    </row>
    <row r="517" spans="1:3" x14ac:dyDescent="0.35">
      <c r="A517" s="156">
        <v>725</v>
      </c>
      <c r="B517" s="152" t="s">
        <v>376</v>
      </c>
      <c r="C517" s="155" t="s">
        <v>437</v>
      </c>
    </row>
    <row r="518" spans="1:3" x14ac:dyDescent="0.35">
      <c r="A518" s="156">
        <v>726</v>
      </c>
      <c r="B518" s="152" t="s">
        <v>376</v>
      </c>
      <c r="C518" s="155" t="s">
        <v>437</v>
      </c>
    </row>
    <row r="519" spans="1:3" x14ac:dyDescent="0.35">
      <c r="A519" s="156">
        <v>727</v>
      </c>
      <c r="B519" s="152" t="s">
        <v>376</v>
      </c>
      <c r="C519" s="155" t="s">
        <v>437</v>
      </c>
    </row>
    <row r="520" spans="1:3" x14ac:dyDescent="0.35">
      <c r="A520" s="156">
        <v>728</v>
      </c>
      <c r="B520" s="152" t="s">
        <v>377</v>
      </c>
      <c r="C520" s="155" t="s">
        <v>437</v>
      </c>
    </row>
    <row r="521" spans="1:3" x14ac:dyDescent="0.35">
      <c r="A521" s="156">
        <v>729</v>
      </c>
      <c r="B521" s="152" t="s">
        <v>376</v>
      </c>
      <c r="C521" s="155" t="s">
        <v>437</v>
      </c>
    </row>
    <row r="522" spans="1:3" x14ac:dyDescent="0.35">
      <c r="A522" s="156">
        <v>730</v>
      </c>
      <c r="B522" s="152" t="s">
        <v>377</v>
      </c>
      <c r="C522" s="155" t="s">
        <v>437</v>
      </c>
    </row>
    <row r="523" spans="1:3" x14ac:dyDescent="0.35">
      <c r="A523" s="156">
        <v>731</v>
      </c>
      <c r="B523" s="152" t="s">
        <v>376</v>
      </c>
      <c r="C523" s="155" t="s">
        <v>437</v>
      </c>
    </row>
    <row r="524" spans="1:3" x14ac:dyDescent="0.35">
      <c r="A524" s="156">
        <v>732</v>
      </c>
      <c r="B524" s="152" t="s">
        <v>377</v>
      </c>
      <c r="C524" s="155" t="s">
        <v>437</v>
      </c>
    </row>
    <row r="525" spans="1:3" x14ac:dyDescent="0.35">
      <c r="A525" s="156">
        <v>733</v>
      </c>
      <c r="B525" s="152" t="s">
        <v>376</v>
      </c>
      <c r="C525" s="155" t="s">
        <v>437</v>
      </c>
    </row>
    <row r="526" spans="1:3" x14ac:dyDescent="0.35">
      <c r="A526" s="156">
        <v>734</v>
      </c>
      <c r="B526" s="152" t="s">
        <v>377</v>
      </c>
      <c r="C526" s="155" t="s">
        <v>437</v>
      </c>
    </row>
    <row r="527" spans="1:3" x14ac:dyDescent="0.35">
      <c r="A527" s="156">
        <v>735</v>
      </c>
      <c r="B527" s="152" t="s">
        <v>376</v>
      </c>
      <c r="C527" s="155" t="s">
        <v>437</v>
      </c>
    </row>
    <row r="528" spans="1:3" x14ac:dyDescent="0.35">
      <c r="A528" s="156">
        <v>736</v>
      </c>
      <c r="B528" s="152" t="s">
        <v>377</v>
      </c>
      <c r="C528" s="155" t="s">
        <v>437</v>
      </c>
    </row>
    <row r="529" spans="1:3" x14ac:dyDescent="0.35">
      <c r="A529" s="156">
        <v>737</v>
      </c>
      <c r="B529" s="152" t="s">
        <v>376</v>
      </c>
      <c r="C529" s="155" t="s">
        <v>437</v>
      </c>
    </row>
    <row r="530" spans="1:3" x14ac:dyDescent="0.35">
      <c r="A530" s="156">
        <v>738</v>
      </c>
      <c r="B530" s="152" t="s">
        <v>377</v>
      </c>
      <c r="C530" s="155" t="s">
        <v>437</v>
      </c>
    </row>
    <row r="531" spans="1:3" x14ac:dyDescent="0.35">
      <c r="A531" s="156">
        <v>739</v>
      </c>
      <c r="B531" s="152" t="s">
        <v>376</v>
      </c>
      <c r="C531" s="155" t="s">
        <v>437</v>
      </c>
    </row>
    <row r="532" spans="1:3" x14ac:dyDescent="0.35">
      <c r="A532" s="156">
        <v>740</v>
      </c>
      <c r="B532" s="152" t="s">
        <v>377</v>
      </c>
      <c r="C532" s="155" t="s">
        <v>437</v>
      </c>
    </row>
    <row r="533" spans="1:3" x14ac:dyDescent="0.35">
      <c r="A533" s="156">
        <v>741</v>
      </c>
      <c r="B533" s="152" t="s">
        <v>376</v>
      </c>
      <c r="C533" s="155" t="s">
        <v>437</v>
      </c>
    </row>
    <row r="534" spans="1:3" x14ac:dyDescent="0.35">
      <c r="A534" s="156">
        <v>742</v>
      </c>
      <c r="B534" s="152" t="s">
        <v>377</v>
      </c>
      <c r="C534" s="155" t="s">
        <v>437</v>
      </c>
    </row>
    <row r="535" spans="1:3" x14ac:dyDescent="0.35">
      <c r="A535" s="156">
        <v>743</v>
      </c>
      <c r="B535" s="152" t="s">
        <v>376</v>
      </c>
      <c r="C535" s="155" t="s">
        <v>437</v>
      </c>
    </row>
    <row r="536" spans="1:3" x14ac:dyDescent="0.35">
      <c r="A536" s="156">
        <v>744</v>
      </c>
      <c r="B536" s="152" t="s">
        <v>377</v>
      </c>
      <c r="C536" s="155" t="s">
        <v>437</v>
      </c>
    </row>
    <row r="537" spans="1:3" x14ac:dyDescent="0.35">
      <c r="A537" s="156">
        <v>745</v>
      </c>
      <c r="B537" s="152" t="s">
        <v>376</v>
      </c>
      <c r="C537" s="155" t="s">
        <v>437</v>
      </c>
    </row>
    <row r="538" spans="1:3" x14ac:dyDescent="0.35">
      <c r="A538" s="156">
        <v>746</v>
      </c>
      <c r="B538" s="152" t="s">
        <v>377</v>
      </c>
      <c r="C538" s="155" t="s">
        <v>437</v>
      </c>
    </row>
    <row r="539" spans="1:3" x14ac:dyDescent="0.35">
      <c r="A539" s="156">
        <v>747</v>
      </c>
      <c r="B539" s="152" t="s">
        <v>376</v>
      </c>
      <c r="C539" s="155" t="s">
        <v>437</v>
      </c>
    </row>
    <row r="540" spans="1:3" x14ac:dyDescent="0.35">
      <c r="A540" s="156">
        <v>748</v>
      </c>
      <c r="B540" s="152" t="s">
        <v>376</v>
      </c>
      <c r="C540" s="155" t="s">
        <v>437</v>
      </c>
    </row>
    <row r="541" spans="1:3" x14ac:dyDescent="0.35">
      <c r="A541" s="156">
        <v>749</v>
      </c>
      <c r="B541" s="152" t="s">
        <v>377</v>
      </c>
      <c r="C541" s="155" t="s">
        <v>437</v>
      </c>
    </row>
    <row r="542" spans="1:3" x14ac:dyDescent="0.35">
      <c r="A542" s="156">
        <v>752</v>
      </c>
      <c r="B542" s="152" t="s">
        <v>376</v>
      </c>
      <c r="C542" s="155" t="s">
        <v>437</v>
      </c>
    </row>
    <row r="543" spans="1:3" x14ac:dyDescent="0.35">
      <c r="A543" s="156">
        <v>753</v>
      </c>
      <c r="B543" s="152" t="s">
        <v>378</v>
      </c>
      <c r="C543" s="155" t="s">
        <v>437</v>
      </c>
    </row>
    <row r="544" spans="1:3" x14ac:dyDescent="0.35">
      <c r="A544" s="156">
        <v>754</v>
      </c>
      <c r="B544" s="152" t="s">
        <v>376</v>
      </c>
      <c r="C544" s="155" t="s">
        <v>437</v>
      </c>
    </row>
    <row r="545" spans="1:3" x14ac:dyDescent="0.35">
      <c r="A545" s="156">
        <v>755</v>
      </c>
      <c r="B545" s="152" t="s">
        <v>378</v>
      </c>
      <c r="C545" s="155" t="s">
        <v>437</v>
      </c>
    </row>
    <row r="546" spans="1:3" x14ac:dyDescent="0.35">
      <c r="A546" s="156">
        <v>756</v>
      </c>
      <c r="B546" s="152" t="s">
        <v>376</v>
      </c>
      <c r="C546" s="155" t="s">
        <v>437</v>
      </c>
    </row>
    <row r="547" spans="1:3" x14ac:dyDescent="0.35">
      <c r="A547" s="156">
        <v>757</v>
      </c>
      <c r="B547" s="152" t="s">
        <v>378</v>
      </c>
      <c r="C547" s="155" t="s">
        <v>437</v>
      </c>
    </row>
    <row r="548" spans="1:3" x14ac:dyDescent="0.35">
      <c r="A548" s="156">
        <v>758</v>
      </c>
      <c r="B548" s="152" t="s">
        <v>376</v>
      </c>
      <c r="C548" s="155" t="s">
        <v>437</v>
      </c>
    </row>
    <row r="549" spans="1:3" x14ac:dyDescent="0.35">
      <c r="A549" s="156">
        <v>759</v>
      </c>
      <c r="B549" s="152" t="s">
        <v>378</v>
      </c>
      <c r="C549" s="155" t="s">
        <v>437</v>
      </c>
    </row>
    <row r="550" spans="1:3" x14ac:dyDescent="0.35">
      <c r="A550" s="156">
        <v>760</v>
      </c>
      <c r="B550" s="152" t="s">
        <v>376</v>
      </c>
      <c r="C550" s="155" t="s">
        <v>437</v>
      </c>
    </row>
    <row r="551" spans="1:3" x14ac:dyDescent="0.35">
      <c r="A551" s="156">
        <v>761</v>
      </c>
      <c r="B551" s="152" t="s">
        <v>378</v>
      </c>
      <c r="C551" s="155" t="s">
        <v>437</v>
      </c>
    </row>
    <row r="552" spans="1:3" x14ac:dyDescent="0.35">
      <c r="A552" s="156">
        <v>762</v>
      </c>
      <c r="B552" s="152" t="s">
        <v>376</v>
      </c>
      <c r="C552" s="155" t="s">
        <v>437</v>
      </c>
    </row>
    <row r="553" spans="1:3" x14ac:dyDescent="0.35">
      <c r="A553" s="156">
        <v>763</v>
      </c>
      <c r="B553" s="152" t="s">
        <v>378</v>
      </c>
      <c r="C553" s="155" t="s">
        <v>437</v>
      </c>
    </row>
    <row r="554" spans="1:3" x14ac:dyDescent="0.35">
      <c r="A554" s="156">
        <v>764</v>
      </c>
      <c r="B554" s="152" t="s">
        <v>376</v>
      </c>
      <c r="C554" s="155" t="s">
        <v>437</v>
      </c>
    </row>
    <row r="555" spans="1:3" x14ac:dyDescent="0.35">
      <c r="A555" s="156">
        <v>765</v>
      </c>
      <c r="B555" s="152" t="s">
        <v>378</v>
      </c>
      <c r="C555" s="155" t="s">
        <v>437</v>
      </c>
    </row>
    <row r="556" spans="1:3" x14ac:dyDescent="0.35">
      <c r="A556" s="156">
        <v>766</v>
      </c>
      <c r="B556" s="152" t="s">
        <v>376</v>
      </c>
      <c r="C556" s="155" t="s">
        <v>437</v>
      </c>
    </row>
    <row r="557" spans="1:3" x14ac:dyDescent="0.35">
      <c r="A557" s="156">
        <v>767</v>
      </c>
      <c r="B557" s="152" t="s">
        <v>378</v>
      </c>
      <c r="C557" s="155" t="s">
        <v>437</v>
      </c>
    </row>
    <row r="558" spans="1:3" x14ac:dyDescent="0.35">
      <c r="A558" s="156">
        <v>768</v>
      </c>
      <c r="B558" s="152" t="s">
        <v>376</v>
      </c>
      <c r="C558" s="155" t="s">
        <v>437</v>
      </c>
    </row>
    <row r="559" spans="1:3" x14ac:dyDescent="0.35">
      <c r="A559" s="156">
        <v>769</v>
      </c>
      <c r="B559" s="152" t="s">
        <v>378</v>
      </c>
      <c r="C559" s="155" t="s">
        <v>437</v>
      </c>
    </row>
    <row r="560" spans="1:3" x14ac:dyDescent="0.35">
      <c r="A560" s="156">
        <v>770</v>
      </c>
      <c r="B560" s="152" t="s">
        <v>379</v>
      </c>
      <c r="C560" s="155" t="s">
        <v>437</v>
      </c>
    </row>
    <row r="561" spans="1:3" x14ac:dyDescent="0.35">
      <c r="A561" s="156">
        <v>775</v>
      </c>
      <c r="B561" s="152" t="s">
        <v>380</v>
      </c>
      <c r="C561" s="155" t="s">
        <v>437</v>
      </c>
    </row>
    <row r="562" spans="1:3" x14ac:dyDescent="0.35">
      <c r="A562" s="156">
        <v>776</v>
      </c>
      <c r="B562" s="152" t="s">
        <v>380</v>
      </c>
      <c r="C562" s="155" t="s">
        <v>437</v>
      </c>
    </row>
    <row r="563" spans="1:3" x14ac:dyDescent="0.35">
      <c r="A563" s="156">
        <v>781</v>
      </c>
      <c r="B563" s="152" t="s">
        <v>376</v>
      </c>
      <c r="C563" s="155" t="s">
        <v>438</v>
      </c>
    </row>
    <row r="564" spans="1:3" x14ac:dyDescent="0.35">
      <c r="A564" s="156">
        <v>782</v>
      </c>
      <c r="B564" s="152" t="s">
        <v>376</v>
      </c>
      <c r="C564" s="155" t="s">
        <v>437</v>
      </c>
    </row>
    <row r="565" spans="1:3" x14ac:dyDescent="0.35">
      <c r="A565" s="156">
        <v>783</v>
      </c>
      <c r="B565" s="152" t="s">
        <v>376</v>
      </c>
      <c r="C565" s="155" t="s">
        <v>437</v>
      </c>
    </row>
    <row r="566" spans="1:3" x14ac:dyDescent="0.35">
      <c r="A566" s="156">
        <v>784</v>
      </c>
      <c r="B566" s="152" t="s">
        <v>376</v>
      </c>
      <c r="C566" s="155" t="s">
        <v>437</v>
      </c>
    </row>
    <row r="567" spans="1:3" x14ac:dyDescent="0.35">
      <c r="A567" s="156">
        <v>785</v>
      </c>
      <c r="B567" s="152" t="s">
        <v>376</v>
      </c>
      <c r="C567" s="155" t="s">
        <v>437</v>
      </c>
    </row>
    <row r="568" spans="1:3" x14ac:dyDescent="0.35">
      <c r="A568" s="156">
        <v>786</v>
      </c>
      <c r="B568" s="152" t="s">
        <v>376</v>
      </c>
      <c r="C568" s="155" t="s">
        <v>437</v>
      </c>
    </row>
    <row r="569" spans="1:3" x14ac:dyDescent="0.35">
      <c r="A569" s="156">
        <v>787</v>
      </c>
      <c r="B569" s="152" t="s">
        <v>381</v>
      </c>
      <c r="C569" s="155" t="s">
        <v>437</v>
      </c>
    </row>
    <row r="570" spans="1:3" x14ac:dyDescent="0.35">
      <c r="A570" s="156">
        <v>788</v>
      </c>
      <c r="B570" s="152" t="s">
        <v>382</v>
      </c>
      <c r="C570" s="155" t="s">
        <v>437</v>
      </c>
    </row>
    <row r="571" spans="1:3" x14ac:dyDescent="0.35">
      <c r="A571" s="156">
        <v>789</v>
      </c>
      <c r="B571" s="152" t="s">
        <v>383</v>
      </c>
      <c r="C571" s="155" t="s">
        <v>437</v>
      </c>
    </row>
    <row r="572" spans="1:3" x14ac:dyDescent="0.35">
      <c r="A572" s="156">
        <v>790</v>
      </c>
      <c r="B572" s="152" t="s">
        <v>384</v>
      </c>
      <c r="C572" s="155" t="s">
        <v>437</v>
      </c>
    </row>
    <row r="573" spans="1:3" x14ac:dyDescent="0.35">
      <c r="A573" s="156">
        <v>791</v>
      </c>
      <c r="B573" s="152" t="s">
        <v>385</v>
      </c>
      <c r="C573" s="155" t="s">
        <v>437</v>
      </c>
    </row>
    <row r="574" spans="1:3" x14ac:dyDescent="0.35">
      <c r="A574" s="156">
        <v>792</v>
      </c>
      <c r="B574" s="152" t="s">
        <v>386</v>
      </c>
      <c r="C574" s="155" t="s">
        <v>437</v>
      </c>
    </row>
    <row r="575" spans="1:3" x14ac:dyDescent="0.35">
      <c r="A575" s="156">
        <v>793</v>
      </c>
      <c r="B575" s="152" t="s">
        <v>376</v>
      </c>
      <c r="C575" s="155" t="s">
        <v>437</v>
      </c>
    </row>
    <row r="576" spans="1:3" x14ac:dyDescent="0.35">
      <c r="A576" s="156">
        <v>794</v>
      </c>
      <c r="B576" s="152" t="s">
        <v>377</v>
      </c>
      <c r="C576" s="155" t="s">
        <v>437</v>
      </c>
    </row>
    <row r="577" spans="1:3" x14ac:dyDescent="0.35">
      <c r="A577" s="156">
        <v>801</v>
      </c>
      <c r="B577" s="152" t="s">
        <v>305</v>
      </c>
      <c r="C577" s="155" t="s">
        <v>437</v>
      </c>
    </row>
    <row r="578" spans="1:3" x14ac:dyDescent="0.35">
      <c r="A578" s="156">
        <v>802</v>
      </c>
      <c r="B578" s="152" t="s">
        <v>387</v>
      </c>
      <c r="C578" s="155" t="s">
        <v>437</v>
      </c>
    </row>
    <row r="579" spans="1:3" x14ac:dyDescent="0.35">
      <c r="A579" s="156">
        <v>803</v>
      </c>
      <c r="B579" s="152" t="s">
        <v>388</v>
      </c>
      <c r="C579" s="155" t="s">
        <v>438</v>
      </c>
    </row>
    <row r="580" spans="1:3" x14ac:dyDescent="0.35">
      <c r="A580" s="156">
        <v>804</v>
      </c>
      <c r="B580" s="152" t="s">
        <v>387</v>
      </c>
      <c r="C580" s="155" t="s">
        <v>437</v>
      </c>
    </row>
    <row r="581" spans="1:3" x14ac:dyDescent="0.35">
      <c r="A581" s="156">
        <v>805</v>
      </c>
      <c r="B581" s="152" t="s">
        <v>388</v>
      </c>
      <c r="C581" s="155" t="s">
        <v>438</v>
      </c>
    </row>
    <row r="582" spans="1:3" x14ac:dyDescent="0.35">
      <c r="A582" s="156">
        <v>806</v>
      </c>
      <c r="B582" s="152" t="s">
        <v>387</v>
      </c>
      <c r="C582" s="155" t="s">
        <v>437</v>
      </c>
    </row>
    <row r="583" spans="1:3" x14ac:dyDescent="0.35">
      <c r="A583" s="156">
        <v>807</v>
      </c>
      <c r="B583" s="152" t="s">
        <v>388</v>
      </c>
      <c r="C583" s="155" t="s">
        <v>438</v>
      </c>
    </row>
    <row r="584" spans="1:3" x14ac:dyDescent="0.35">
      <c r="A584" s="156">
        <v>808</v>
      </c>
      <c r="B584" s="152" t="s">
        <v>387</v>
      </c>
      <c r="C584" s="155" t="s">
        <v>437</v>
      </c>
    </row>
    <row r="585" spans="1:3" x14ac:dyDescent="0.35">
      <c r="A585" s="156">
        <v>809</v>
      </c>
      <c r="B585" s="152" t="s">
        <v>388</v>
      </c>
      <c r="C585" s="155" t="s">
        <v>438</v>
      </c>
    </row>
    <row r="586" spans="1:3" x14ac:dyDescent="0.35">
      <c r="A586" s="156">
        <v>810</v>
      </c>
      <c r="B586" s="152" t="s">
        <v>387</v>
      </c>
      <c r="C586" s="155" t="s">
        <v>437</v>
      </c>
    </row>
    <row r="587" spans="1:3" x14ac:dyDescent="0.35">
      <c r="A587" s="156">
        <v>811</v>
      </c>
      <c r="B587" s="152" t="s">
        <v>388</v>
      </c>
      <c r="C587" s="155" t="s">
        <v>438</v>
      </c>
    </row>
    <row r="588" spans="1:3" x14ac:dyDescent="0.35">
      <c r="A588" s="156">
        <v>812</v>
      </c>
      <c r="B588" s="152" t="s">
        <v>387</v>
      </c>
      <c r="C588" s="155" t="s">
        <v>437</v>
      </c>
    </row>
    <row r="589" spans="1:3" x14ac:dyDescent="0.35">
      <c r="A589" s="156">
        <v>813</v>
      </c>
      <c r="B589" s="152" t="s">
        <v>388</v>
      </c>
      <c r="C589" s="155" t="s">
        <v>438</v>
      </c>
    </row>
    <row r="590" spans="1:3" x14ac:dyDescent="0.35">
      <c r="A590" s="156">
        <v>814</v>
      </c>
      <c r="B590" s="152" t="s">
        <v>387</v>
      </c>
      <c r="C590" s="155" t="s">
        <v>437</v>
      </c>
    </row>
    <row r="591" spans="1:3" x14ac:dyDescent="0.35">
      <c r="A591" s="156">
        <v>815</v>
      </c>
      <c r="B591" s="152" t="s">
        <v>388</v>
      </c>
      <c r="C591" s="155" t="s">
        <v>438</v>
      </c>
    </row>
    <row r="592" spans="1:3" x14ac:dyDescent="0.35">
      <c r="A592" s="156">
        <v>816</v>
      </c>
      <c r="B592" s="152" t="s">
        <v>387</v>
      </c>
      <c r="C592" s="155" t="s">
        <v>437</v>
      </c>
    </row>
    <row r="593" spans="1:3" x14ac:dyDescent="0.35">
      <c r="A593" s="156">
        <v>817</v>
      </c>
      <c r="B593" s="152" t="s">
        <v>388</v>
      </c>
      <c r="C593" s="155" t="s">
        <v>438</v>
      </c>
    </row>
    <row r="594" spans="1:3" x14ac:dyDescent="0.35">
      <c r="A594" s="156">
        <v>818</v>
      </c>
      <c r="B594" s="152" t="s">
        <v>387</v>
      </c>
      <c r="C594" s="155" t="s">
        <v>437</v>
      </c>
    </row>
    <row r="595" spans="1:3" x14ac:dyDescent="0.35">
      <c r="A595" s="156">
        <v>819</v>
      </c>
      <c r="B595" s="152" t="s">
        <v>388</v>
      </c>
      <c r="C595" s="155" t="s">
        <v>438</v>
      </c>
    </row>
    <row r="596" spans="1:3" x14ac:dyDescent="0.35">
      <c r="A596" s="156">
        <v>820</v>
      </c>
      <c r="B596" s="152" t="s">
        <v>387</v>
      </c>
      <c r="C596" s="155" t="s">
        <v>437</v>
      </c>
    </row>
    <row r="597" spans="1:3" x14ac:dyDescent="0.35">
      <c r="A597" s="156">
        <v>821</v>
      </c>
      <c r="B597" s="152" t="s">
        <v>388</v>
      </c>
      <c r="C597" s="155" t="s">
        <v>438</v>
      </c>
    </row>
    <row r="598" spans="1:3" x14ac:dyDescent="0.35">
      <c r="A598" s="156">
        <v>822</v>
      </c>
      <c r="B598" s="152" t="s">
        <v>387</v>
      </c>
      <c r="C598" s="155" t="s">
        <v>437</v>
      </c>
    </row>
    <row r="599" spans="1:3" x14ac:dyDescent="0.35">
      <c r="A599" s="156">
        <v>823</v>
      </c>
      <c r="B599" s="152" t="s">
        <v>388</v>
      </c>
      <c r="C599" s="155" t="s">
        <v>438</v>
      </c>
    </row>
    <row r="600" spans="1:3" x14ac:dyDescent="0.35">
      <c r="A600" s="156">
        <v>824</v>
      </c>
      <c r="B600" s="152" t="s">
        <v>387</v>
      </c>
      <c r="C600" s="155" t="s">
        <v>437</v>
      </c>
    </row>
    <row r="601" spans="1:3" x14ac:dyDescent="0.35">
      <c r="A601" s="156">
        <v>825</v>
      </c>
      <c r="B601" s="152" t="s">
        <v>388</v>
      </c>
      <c r="C601" s="155" t="s">
        <v>438</v>
      </c>
    </row>
    <row r="602" spans="1:3" x14ac:dyDescent="0.35">
      <c r="A602" s="156">
        <v>826</v>
      </c>
      <c r="B602" s="152" t="s">
        <v>387</v>
      </c>
      <c r="C602" s="155" t="s">
        <v>437</v>
      </c>
    </row>
    <row r="603" spans="1:3" x14ac:dyDescent="0.35">
      <c r="A603" s="156">
        <v>827</v>
      </c>
      <c r="B603" s="152" t="s">
        <v>388</v>
      </c>
      <c r="C603" s="155" t="s">
        <v>438</v>
      </c>
    </row>
    <row r="604" spans="1:3" x14ac:dyDescent="0.35">
      <c r="A604" s="156">
        <v>828</v>
      </c>
      <c r="B604" s="152" t="s">
        <v>387</v>
      </c>
      <c r="C604" s="155" t="s">
        <v>437</v>
      </c>
    </row>
    <row r="605" spans="1:3" x14ac:dyDescent="0.35">
      <c r="A605" s="156">
        <v>829</v>
      </c>
      <c r="B605" s="152" t="s">
        <v>388</v>
      </c>
      <c r="C605" s="155" t="s">
        <v>438</v>
      </c>
    </row>
    <row r="606" spans="1:3" x14ac:dyDescent="0.35">
      <c r="A606" s="156">
        <v>830</v>
      </c>
      <c r="B606" s="152" t="s">
        <v>387</v>
      </c>
      <c r="C606" s="155" t="s">
        <v>437</v>
      </c>
    </row>
    <row r="607" spans="1:3" x14ac:dyDescent="0.35">
      <c r="A607" s="156">
        <v>831</v>
      </c>
      <c r="B607" s="152" t="s">
        <v>388</v>
      </c>
      <c r="C607" s="155" t="s">
        <v>438</v>
      </c>
    </row>
    <row r="608" spans="1:3" x14ac:dyDescent="0.35">
      <c r="A608" s="156">
        <v>832</v>
      </c>
      <c r="B608" s="152" t="s">
        <v>387</v>
      </c>
      <c r="C608" s="155" t="s">
        <v>437</v>
      </c>
    </row>
    <row r="609" spans="1:3" x14ac:dyDescent="0.35">
      <c r="A609" s="156">
        <v>833</v>
      </c>
      <c r="B609" s="152" t="s">
        <v>388</v>
      </c>
      <c r="C609" s="155" t="s">
        <v>438</v>
      </c>
    </row>
    <row r="610" spans="1:3" x14ac:dyDescent="0.35">
      <c r="A610" s="156">
        <v>834</v>
      </c>
      <c r="B610" s="152" t="s">
        <v>387</v>
      </c>
      <c r="C610" s="155" t="s">
        <v>437</v>
      </c>
    </row>
    <row r="611" spans="1:3" x14ac:dyDescent="0.35">
      <c r="A611" s="156">
        <v>835</v>
      </c>
      <c r="B611" s="152" t="s">
        <v>388</v>
      </c>
      <c r="C611" s="155" t="s">
        <v>438</v>
      </c>
    </row>
    <row r="612" spans="1:3" x14ac:dyDescent="0.35">
      <c r="A612" s="156">
        <v>836</v>
      </c>
      <c r="B612" s="152" t="s">
        <v>387</v>
      </c>
      <c r="C612" s="155" t="s">
        <v>437</v>
      </c>
    </row>
    <row r="613" spans="1:3" x14ac:dyDescent="0.35">
      <c r="A613" s="156">
        <v>837</v>
      </c>
      <c r="B613" s="152" t="s">
        <v>388</v>
      </c>
      <c r="C613" s="155" t="s">
        <v>438</v>
      </c>
    </row>
    <row r="614" spans="1:3" x14ac:dyDescent="0.35">
      <c r="A614" s="156">
        <v>838</v>
      </c>
      <c r="B614" s="152" t="s">
        <v>387</v>
      </c>
      <c r="C614" s="155" t="s">
        <v>437</v>
      </c>
    </row>
    <row r="615" spans="1:3" x14ac:dyDescent="0.35">
      <c r="A615" s="156">
        <v>839</v>
      </c>
      <c r="B615" s="152" t="s">
        <v>388</v>
      </c>
      <c r="C615" s="155" t="s">
        <v>438</v>
      </c>
    </row>
    <row r="616" spans="1:3" x14ac:dyDescent="0.35">
      <c r="A616" s="156">
        <v>840</v>
      </c>
      <c r="B616" s="152" t="s">
        <v>387</v>
      </c>
      <c r="C616" s="155" t="s">
        <v>437</v>
      </c>
    </row>
    <row r="617" spans="1:3" x14ac:dyDescent="0.35">
      <c r="A617" s="156">
        <v>841</v>
      </c>
      <c r="B617" s="152" t="s">
        <v>388</v>
      </c>
      <c r="C617" s="155" t="s">
        <v>438</v>
      </c>
    </row>
    <row r="618" spans="1:3" x14ac:dyDescent="0.35">
      <c r="A618" s="156">
        <v>842</v>
      </c>
      <c r="B618" s="152" t="s">
        <v>387</v>
      </c>
      <c r="C618" s="155" t="s">
        <v>437</v>
      </c>
    </row>
    <row r="619" spans="1:3" x14ac:dyDescent="0.35">
      <c r="A619" s="156">
        <v>843</v>
      </c>
      <c r="B619" s="152" t="s">
        <v>388</v>
      </c>
      <c r="C619" s="155" t="s">
        <v>438</v>
      </c>
    </row>
    <row r="620" spans="1:3" x14ac:dyDescent="0.35">
      <c r="A620" s="156">
        <v>844</v>
      </c>
      <c r="B620" s="152" t="s">
        <v>387</v>
      </c>
      <c r="C620" s="155" t="s">
        <v>437</v>
      </c>
    </row>
    <row r="621" spans="1:3" x14ac:dyDescent="0.35">
      <c r="A621" s="156">
        <v>845</v>
      </c>
      <c r="B621" s="152" t="s">
        <v>388</v>
      </c>
      <c r="C621" s="155" t="s">
        <v>438</v>
      </c>
    </row>
    <row r="622" spans="1:3" x14ac:dyDescent="0.35">
      <c r="A622" s="156">
        <v>846</v>
      </c>
      <c r="B622" s="152" t="s">
        <v>387</v>
      </c>
      <c r="C622" s="155" t="s">
        <v>437</v>
      </c>
    </row>
    <row r="623" spans="1:3" x14ac:dyDescent="0.35">
      <c r="A623" s="156">
        <v>847</v>
      </c>
      <c r="B623" s="152" t="s">
        <v>388</v>
      </c>
      <c r="C623" s="155" t="s">
        <v>438</v>
      </c>
    </row>
    <row r="624" spans="1:3" x14ac:dyDescent="0.35">
      <c r="A624" s="156">
        <v>848</v>
      </c>
      <c r="B624" s="152" t="s">
        <v>387</v>
      </c>
      <c r="C624" s="155" t="s">
        <v>437</v>
      </c>
    </row>
    <row r="625" spans="1:3" x14ac:dyDescent="0.35">
      <c r="A625" s="156">
        <v>849</v>
      </c>
      <c r="B625" s="152" t="s">
        <v>388</v>
      </c>
      <c r="C625" s="155" t="s">
        <v>438</v>
      </c>
    </row>
    <row r="626" spans="1:3" x14ac:dyDescent="0.35">
      <c r="A626" s="156">
        <v>850</v>
      </c>
      <c r="B626" s="152" t="s">
        <v>388</v>
      </c>
      <c r="C626" s="155" t="s">
        <v>438</v>
      </c>
    </row>
    <row r="627" spans="1:3" x14ac:dyDescent="0.35">
      <c r="A627" s="156">
        <v>851</v>
      </c>
      <c r="B627" s="152" t="s">
        <v>388</v>
      </c>
      <c r="C627" s="155" t="s">
        <v>438</v>
      </c>
    </row>
    <row r="628" spans="1:3" x14ac:dyDescent="0.35">
      <c r="A628" s="156">
        <v>852</v>
      </c>
      <c r="B628" s="152" t="s">
        <v>387</v>
      </c>
      <c r="C628" s="155" t="s">
        <v>437</v>
      </c>
    </row>
    <row r="629" spans="1:3" x14ac:dyDescent="0.35">
      <c r="A629" s="156">
        <v>853</v>
      </c>
      <c r="B629" s="152" t="s">
        <v>387</v>
      </c>
      <c r="C629" s="155" t="s">
        <v>437</v>
      </c>
    </row>
    <row r="630" spans="1:3" x14ac:dyDescent="0.35">
      <c r="A630" s="156">
        <v>854</v>
      </c>
      <c r="B630" s="152" t="s">
        <v>387</v>
      </c>
      <c r="C630" s="155" t="s">
        <v>437</v>
      </c>
    </row>
    <row r="631" spans="1:3" x14ac:dyDescent="0.35">
      <c r="A631" s="156">
        <v>855</v>
      </c>
      <c r="B631" s="152" t="s">
        <v>387</v>
      </c>
      <c r="C631" s="155" t="s">
        <v>437</v>
      </c>
    </row>
    <row r="632" spans="1:3" x14ac:dyDescent="0.35">
      <c r="A632" s="156">
        <v>856</v>
      </c>
      <c r="B632" s="152" t="s">
        <v>387</v>
      </c>
      <c r="C632" s="155" t="s">
        <v>437</v>
      </c>
    </row>
    <row r="633" spans="1:3" x14ac:dyDescent="0.35">
      <c r="A633" s="156">
        <v>857</v>
      </c>
      <c r="B633" s="152" t="s">
        <v>387</v>
      </c>
      <c r="C633" s="155" t="s">
        <v>437</v>
      </c>
    </row>
    <row r="634" spans="1:3" x14ac:dyDescent="0.35">
      <c r="A634" s="156">
        <v>858</v>
      </c>
      <c r="B634" s="152" t="s">
        <v>387</v>
      </c>
      <c r="C634" s="155" t="s">
        <v>437</v>
      </c>
    </row>
    <row r="635" spans="1:3" x14ac:dyDescent="0.35">
      <c r="A635" s="156">
        <v>859</v>
      </c>
      <c r="B635" s="152" t="s">
        <v>387</v>
      </c>
      <c r="C635" s="155" t="s">
        <v>437</v>
      </c>
    </row>
    <row r="636" spans="1:3" x14ac:dyDescent="0.35">
      <c r="A636" s="156">
        <v>860</v>
      </c>
      <c r="B636" s="152" t="s">
        <v>387</v>
      </c>
      <c r="C636" s="155" t="s">
        <v>437</v>
      </c>
    </row>
    <row r="637" spans="1:3" x14ac:dyDescent="0.35">
      <c r="A637" s="156">
        <v>861</v>
      </c>
      <c r="B637" s="152" t="s">
        <v>387</v>
      </c>
      <c r="C637" s="155" t="s">
        <v>437</v>
      </c>
    </row>
    <row r="638" spans="1:3" x14ac:dyDescent="0.35">
      <c r="A638" s="156">
        <v>862</v>
      </c>
      <c r="B638" s="152" t="s">
        <v>387</v>
      </c>
      <c r="C638" s="155" t="s">
        <v>437</v>
      </c>
    </row>
    <row r="639" spans="1:3" x14ac:dyDescent="0.35">
      <c r="A639" s="156">
        <v>863</v>
      </c>
      <c r="B639" s="152" t="s">
        <v>387</v>
      </c>
      <c r="C639" s="155" t="s">
        <v>437</v>
      </c>
    </row>
    <row r="640" spans="1:3" x14ac:dyDescent="0.35">
      <c r="A640" s="156">
        <v>864</v>
      </c>
      <c r="B640" s="152" t="s">
        <v>387</v>
      </c>
      <c r="C640" s="155" t="s">
        <v>437</v>
      </c>
    </row>
    <row r="641" spans="1:3" x14ac:dyDescent="0.35">
      <c r="A641" s="156">
        <v>865</v>
      </c>
      <c r="B641" s="152" t="s">
        <v>387</v>
      </c>
      <c r="C641" s="155" t="s">
        <v>437</v>
      </c>
    </row>
    <row r="642" spans="1:3" x14ac:dyDescent="0.35">
      <c r="A642" s="156">
        <v>866</v>
      </c>
      <c r="B642" s="152" t="s">
        <v>388</v>
      </c>
      <c r="C642" s="155" t="s">
        <v>438</v>
      </c>
    </row>
    <row r="643" spans="1:3" x14ac:dyDescent="0.35">
      <c r="A643" s="156">
        <v>867</v>
      </c>
      <c r="B643" s="152" t="s">
        <v>387</v>
      </c>
      <c r="C643" s="155" t="s">
        <v>437</v>
      </c>
    </row>
    <row r="644" spans="1:3" x14ac:dyDescent="0.35">
      <c r="A644" s="156">
        <v>868</v>
      </c>
      <c r="B644" s="152" t="s">
        <v>388</v>
      </c>
      <c r="C644" s="155" t="s">
        <v>438</v>
      </c>
    </row>
    <row r="645" spans="1:3" x14ac:dyDescent="0.35">
      <c r="A645" s="156">
        <v>869</v>
      </c>
      <c r="B645" s="152" t="s">
        <v>387</v>
      </c>
      <c r="C645" s="155" t="s">
        <v>437</v>
      </c>
    </row>
    <row r="646" spans="1:3" x14ac:dyDescent="0.35">
      <c r="A646" s="156">
        <v>870</v>
      </c>
      <c r="B646" s="152" t="s">
        <v>388</v>
      </c>
      <c r="C646" s="155" t="s">
        <v>438</v>
      </c>
    </row>
    <row r="647" spans="1:3" x14ac:dyDescent="0.35">
      <c r="A647" s="156">
        <v>871</v>
      </c>
      <c r="B647" s="152" t="s">
        <v>387</v>
      </c>
      <c r="C647" s="155" t="s">
        <v>437</v>
      </c>
    </row>
    <row r="648" spans="1:3" x14ac:dyDescent="0.35">
      <c r="A648" s="156">
        <v>872</v>
      </c>
      <c r="B648" s="152" t="s">
        <v>388</v>
      </c>
      <c r="C648" s="155" t="s">
        <v>438</v>
      </c>
    </row>
    <row r="649" spans="1:3" x14ac:dyDescent="0.35">
      <c r="A649" s="156">
        <v>873</v>
      </c>
      <c r="B649" s="152" t="s">
        <v>387</v>
      </c>
      <c r="C649" s="155" t="s">
        <v>437</v>
      </c>
    </row>
    <row r="650" spans="1:3" x14ac:dyDescent="0.35">
      <c r="A650" s="156">
        <v>874</v>
      </c>
      <c r="B650" s="152" t="s">
        <v>388</v>
      </c>
      <c r="C650" s="155" t="s">
        <v>438</v>
      </c>
    </row>
    <row r="651" spans="1:3" x14ac:dyDescent="0.35">
      <c r="A651" s="156">
        <v>875</v>
      </c>
      <c r="B651" s="152" t="s">
        <v>387</v>
      </c>
      <c r="C651" s="155" t="s">
        <v>437</v>
      </c>
    </row>
    <row r="652" spans="1:3" x14ac:dyDescent="0.35">
      <c r="A652" s="156">
        <v>876</v>
      </c>
      <c r="B652" s="152" t="s">
        <v>388</v>
      </c>
      <c r="C652" s="155" t="s">
        <v>438</v>
      </c>
    </row>
    <row r="653" spans="1:3" x14ac:dyDescent="0.35">
      <c r="A653" s="156">
        <v>877</v>
      </c>
      <c r="B653" s="152" t="s">
        <v>387</v>
      </c>
      <c r="C653" s="155" t="s">
        <v>437</v>
      </c>
    </row>
    <row r="654" spans="1:3" x14ac:dyDescent="0.35">
      <c r="A654" s="156">
        <v>878</v>
      </c>
      <c r="B654" s="152" t="s">
        <v>388</v>
      </c>
      <c r="C654" s="155" t="s">
        <v>438</v>
      </c>
    </row>
    <row r="655" spans="1:3" x14ac:dyDescent="0.35">
      <c r="A655" s="156">
        <v>879</v>
      </c>
      <c r="B655" s="152" t="s">
        <v>387</v>
      </c>
      <c r="C655" s="155" t="s">
        <v>437</v>
      </c>
    </row>
    <row r="656" spans="1:3" x14ac:dyDescent="0.35">
      <c r="A656" s="156">
        <v>880</v>
      </c>
      <c r="B656" s="152" t="s">
        <v>388</v>
      </c>
      <c r="C656" s="155" t="s">
        <v>438</v>
      </c>
    </row>
    <row r="657" spans="1:3" x14ac:dyDescent="0.35">
      <c r="A657" s="156">
        <v>881</v>
      </c>
      <c r="B657" s="152" t="s">
        <v>387</v>
      </c>
      <c r="C657" s="155" t="s">
        <v>437</v>
      </c>
    </row>
    <row r="658" spans="1:3" x14ac:dyDescent="0.35">
      <c r="A658" s="156">
        <v>882</v>
      </c>
      <c r="B658" s="152" t="s">
        <v>388</v>
      </c>
      <c r="C658" s="155" t="s">
        <v>438</v>
      </c>
    </row>
    <row r="659" spans="1:3" x14ac:dyDescent="0.35">
      <c r="A659" s="156">
        <v>883</v>
      </c>
      <c r="B659" s="152" t="s">
        <v>387</v>
      </c>
      <c r="C659" s="155" t="s">
        <v>437</v>
      </c>
    </row>
    <row r="660" spans="1:3" x14ac:dyDescent="0.35">
      <c r="A660" s="156">
        <v>884</v>
      </c>
      <c r="B660" s="152" t="s">
        <v>388</v>
      </c>
      <c r="C660" s="155" t="s">
        <v>438</v>
      </c>
    </row>
    <row r="661" spans="1:3" x14ac:dyDescent="0.35">
      <c r="A661" s="156">
        <v>885</v>
      </c>
      <c r="B661" s="152" t="s">
        <v>387</v>
      </c>
      <c r="C661" s="155" t="s">
        <v>437</v>
      </c>
    </row>
    <row r="662" spans="1:3" x14ac:dyDescent="0.35">
      <c r="A662" s="156">
        <v>886</v>
      </c>
      <c r="B662" s="152" t="s">
        <v>388</v>
      </c>
      <c r="C662" s="155" t="s">
        <v>438</v>
      </c>
    </row>
    <row r="663" spans="1:3" x14ac:dyDescent="0.35">
      <c r="A663" s="156">
        <v>887</v>
      </c>
      <c r="B663" s="152" t="s">
        <v>387</v>
      </c>
      <c r="C663" s="155" t="s">
        <v>437</v>
      </c>
    </row>
    <row r="664" spans="1:3" x14ac:dyDescent="0.35">
      <c r="A664" s="156">
        <v>888</v>
      </c>
      <c r="B664" s="152" t="s">
        <v>388</v>
      </c>
      <c r="C664" s="155" t="s">
        <v>438</v>
      </c>
    </row>
    <row r="665" spans="1:3" x14ac:dyDescent="0.35">
      <c r="A665" s="156">
        <v>889</v>
      </c>
      <c r="B665" s="152" t="s">
        <v>387</v>
      </c>
      <c r="C665" s="155" t="s">
        <v>437</v>
      </c>
    </row>
    <row r="666" spans="1:3" x14ac:dyDescent="0.35">
      <c r="A666" s="156">
        <v>890</v>
      </c>
      <c r="B666" s="152" t="s">
        <v>388</v>
      </c>
      <c r="C666" s="155" t="s">
        <v>438</v>
      </c>
    </row>
    <row r="667" spans="1:3" x14ac:dyDescent="0.35">
      <c r="A667" s="156">
        <v>891</v>
      </c>
      <c r="B667" s="152" t="s">
        <v>388</v>
      </c>
      <c r="C667" s="155" t="s">
        <v>438</v>
      </c>
    </row>
    <row r="668" spans="1:3" x14ac:dyDescent="0.35">
      <c r="A668" s="156">
        <v>892</v>
      </c>
      <c r="B668" s="152" t="s">
        <v>388</v>
      </c>
      <c r="C668" s="155" t="s">
        <v>438</v>
      </c>
    </row>
    <row r="669" spans="1:3" x14ac:dyDescent="0.35">
      <c r="A669" s="156">
        <v>893</v>
      </c>
      <c r="B669" s="152" t="s">
        <v>388</v>
      </c>
      <c r="C669" s="155" t="s">
        <v>438</v>
      </c>
    </row>
    <row r="670" spans="1:3" x14ac:dyDescent="0.35">
      <c r="A670" s="156">
        <v>894</v>
      </c>
      <c r="B670" s="152" t="s">
        <v>346</v>
      </c>
      <c r="C670" s="155" t="s">
        <v>438</v>
      </c>
    </row>
    <row r="671" spans="1:3" x14ac:dyDescent="0.35">
      <c r="A671" s="156">
        <v>895</v>
      </c>
      <c r="B671" s="152" t="s">
        <v>346</v>
      </c>
      <c r="C671" s="155" t="s">
        <v>438</v>
      </c>
    </row>
    <row r="672" spans="1:3" x14ac:dyDescent="0.35">
      <c r="A672" s="156">
        <v>896</v>
      </c>
      <c r="B672" s="152" t="s">
        <v>346</v>
      </c>
      <c r="C672" s="155" t="s">
        <v>438</v>
      </c>
    </row>
    <row r="673" spans="1:3" x14ac:dyDescent="0.35">
      <c r="A673" s="156">
        <v>897</v>
      </c>
      <c r="B673" s="152" t="s">
        <v>388</v>
      </c>
      <c r="C673" s="155" t="s">
        <v>438</v>
      </c>
    </row>
    <row r="674" spans="1:3" x14ac:dyDescent="0.35">
      <c r="A674" s="156">
        <v>898</v>
      </c>
      <c r="B674" s="152" t="s">
        <v>388</v>
      </c>
      <c r="C674" s="155" t="s">
        <v>438</v>
      </c>
    </row>
    <row r="675" spans="1:3" x14ac:dyDescent="0.35">
      <c r="A675" s="156">
        <v>899</v>
      </c>
      <c r="B675" s="152" t="s">
        <v>389</v>
      </c>
      <c r="C675" s="155" t="s">
        <v>438</v>
      </c>
    </row>
    <row r="676" spans="1:3" x14ac:dyDescent="0.35">
      <c r="A676" s="156">
        <v>900</v>
      </c>
      <c r="B676" s="152" t="s">
        <v>389</v>
      </c>
      <c r="C676" s="155" t="s">
        <v>438</v>
      </c>
    </row>
    <row r="677" spans="1:3" x14ac:dyDescent="0.35">
      <c r="A677" s="156">
        <v>901</v>
      </c>
      <c r="B677" s="152" t="s">
        <v>389</v>
      </c>
      <c r="C677" s="155" t="s">
        <v>438</v>
      </c>
    </row>
    <row r="678" spans="1:3" x14ac:dyDescent="0.35">
      <c r="A678" s="156">
        <v>902</v>
      </c>
      <c r="B678" s="152" t="s">
        <v>389</v>
      </c>
      <c r="C678" s="155" t="s">
        <v>438</v>
      </c>
    </row>
    <row r="679" spans="1:3" x14ac:dyDescent="0.35">
      <c r="A679" s="156">
        <v>903</v>
      </c>
      <c r="B679" s="152" t="s">
        <v>389</v>
      </c>
      <c r="C679" s="155" t="s">
        <v>438</v>
      </c>
    </row>
    <row r="680" spans="1:3" x14ac:dyDescent="0.35">
      <c r="A680" s="156">
        <v>904</v>
      </c>
      <c r="B680" s="152" t="s">
        <v>390</v>
      </c>
      <c r="C680" s="155" t="s">
        <v>438</v>
      </c>
    </row>
    <row r="681" spans="1:3" x14ac:dyDescent="0.35">
      <c r="A681" s="156">
        <v>905</v>
      </c>
      <c r="B681" s="152" t="s">
        <v>390</v>
      </c>
      <c r="C681" s="155" t="s">
        <v>438</v>
      </c>
    </row>
    <row r="682" spans="1:3" x14ac:dyDescent="0.35">
      <c r="A682" s="156">
        <v>906</v>
      </c>
      <c r="B682" s="152" t="s">
        <v>390</v>
      </c>
      <c r="C682" s="155" t="s">
        <v>438</v>
      </c>
    </row>
    <row r="683" spans="1:3" x14ac:dyDescent="0.35">
      <c r="A683" s="156">
        <v>907</v>
      </c>
      <c r="B683" s="152" t="s">
        <v>391</v>
      </c>
      <c r="C683" s="155" t="s">
        <v>438</v>
      </c>
    </row>
    <row r="684" spans="1:3" x14ac:dyDescent="0.35">
      <c r="A684" s="156">
        <v>908</v>
      </c>
      <c r="B684" s="152" t="s">
        <v>391</v>
      </c>
      <c r="C684" s="155" t="s">
        <v>438</v>
      </c>
    </row>
    <row r="685" spans="1:3" x14ac:dyDescent="0.35">
      <c r="A685" s="156">
        <v>909</v>
      </c>
      <c r="B685" s="152" t="s">
        <v>391</v>
      </c>
      <c r="C685" s="155" t="s">
        <v>438</v>
      </c>
    </row>
    <row r="686" spans="1:3" x14ac:dyDescent="0.35">
      <c r="A686" s="156">
        <v>910</v>
      </c>
      <c r="B686" s="152" t="s">
        <v>391</v>
      </c>
      <c r="C686" s="155" t="s">
        <v>438</v>
      </c>
    </row>
    <row r="687" spans="1:3" x14ac:dyDescent="0.35">
      <c r="A687" s="156">
        <v>911</v>
      </c>
      <c r="B687" s="152" t="s">
        <v>391</v>
      </c>
      <c r="C687" s="155" t="s">
        <v>438</v>
      </c>
    </row>
    <row r="688" spans="1:3" x14ac:dyDescent="0.35">
      <c r="A688" s="156">
        <v>912</v>
      </c>
      <c r="B688" s="152" t="s">
        <v>391</v>
      </c>
      <c r="C688" s="155" t="s">
        <v>438</v>
      </c>
    </row>
    <row r="689" spans="1:3" x14ac:dyDescent="0.35">
      <c r="A689" s="156">
        <v>913</v>
      </c>
      <c r="B689" s="152" t="s">
        <v>391</v>
      </c>
      <c r="C689" s="155" t="s">
        <v>438</v>
      </c>
    </row>
    <row r="690" spans="1:3" x14ac:dyDescent="0.35">
      <c r="A690" s="156">
        <v>914</v>
      </c>
      <c r="B690" s="152" t="s">
        <v>392</v>
      </c>
      <c r="C690" s="155" t="s">
        <v>437</v>
      </c>
    </row>
    <row r="691" spans="1:3" x14ac:dyDescent="0.35">
      <c r="A691" s="156">
        <v>915</v>
      </c>
      <c r="B691" s="152" t="s">
        <v>346</v>
      </c>
      <c r="C691" s="155" t="s">
        <v>437</v>
      </c>
    </row>
    <row r="692" spans="1:3" x14ac:dyDescent="0.35">
      <c r="A692" s="156">
        <v>916</v>
      </c>
      <c r="B692" s="152" t="s">
        <v>346</v>
      </c>
      <c r="C692" s="155" t="s">
        <v>437</v>
      </c>
    </row>
    <row r="693" spans="1:3" x14ac:dyDescent="0.35">
      <c r="A693" s="156">
        <v>917</v>
      </c>
      <c r="B693" s="152" t="s">
        <v>346</v>
      </c>
      <c r="C693" s="155" t="s">
        <v>437</v>
      </c>
    </row>
    <row r="694" spans="1:3" x14ac:dyDescent="0.35">
      <c r="A694" s="156">
        <v>918</v>
      </c>
      <c r="B694" s="152" t="s">
        <v>282</v>
      </c>
      <c r="C694" s="155" t="s">
        <v>437</v>
      </c>
    </row>
    <row r="695" spans="1:3" x14ac:dyDescent="0.35">
      <c r="A695" s="156">
        <v>919</v>
      </c>
      <c r="B695" s="152" t="s">
        <v>393</v>
      </c>
      <c r="C695" s="155" t="s">
        <v>437</v>
      </c>
    </row>
    <row r="696" spans="1:3" x14ac:dyDescent="0.35">
      <c r="A696" s="156">
        <v>920</v>
      </c>
      <c r="B696" s="152" t="s">
        <v>393</v>
      </c>
      <c r="C696" s="155" t="s">
        <v>437</v>
      </c>
    </row>
    <row r="697" spans="1:3" x14ac:dyDescent="0.35">
      <c r="A697" s="156">
        <v>922</v>
      </c>
      <c r="B697" s="152" t="s">
        <v>305</v>
      </c>
      <c r="C697" s="155" t="s">
        <v>437</v>
      </c>
    </row>
    <row r="698" spans="1:3" x14ac:dyDescent="0.35">
      <c r="A698" s="156">
        <v>923</v>
      </c>
      <c r="B698" s="152" t="s">
        <v>305</v>
      </c>
      <c r="C698" s="155" t="s">
        <v>437</v>
      </c>
    </row>
    <row r="699" spans="1:3" x14ac:dyDescent="0.35">
      <c r="A699" s="156">
        <v>924</v>
      </c>
      <c r="B699" s="152" t="s">
        <v>305</v>
      </c>
      <c r="C699" s="155" t="s">
        <v>437</v>
      </c>
    </row>
    <row r="700" spans="1:3" x14ac:dyDescent="0.35">
      <c r="A700" s="156">
        <v>925</v>
      </c>
      <c r="B700" s="152" t="s">
        <v>394</v>
      </c>
      <c r="C700" s="155" t="s">
        <v>433</v>
      </c>
    </row>
    <row r="701" spans="1:3" x14ac:dyDescent="0.35">
      <c r="A701" s="156">
        <v>926</v>
      </c>
      <c r="B701" s="152" t="s">
        <v>335</v>
      </c>
      <c r="C701" s="155" t="s">
        <v>433</v>
      </c>
    </row>
    <row r="702" spans="1:3" x14ac:dyDescent="0.35">
      <c r="A702" s="156">
        <v>927</v>
      </c>
      <c r="B702" s="152" t="s">
        <v>337</v>
      </c>
      <c r="C702" s="155" t="s">
        <v>433</v>
      </c>
    </row>
    <row r="703" spans="1:3" x14ac:dyDescent="0.35">
      <c r="A703" s="156">
        <v>928</v>
      </c>
      <c r="B703" s="152" t="s">
        <v>336</v>
      </c>
      <c r="C703" s="155" t="s">
        <v>433</v>
      </c>
    </row>
    <row r="704" spans="1:3" x14ac:dyDescent="0.35">
      <c r="A704" s="156">
        <v>929</v>
      </c>
      <c r="B704" s="152" t="s">
        <v>389</v>
      </c>
      <c r="C704" s="155" t="s">
        <v>438</v>
      </c>
    </row>
    <row r="705" spans="1:3" x14ac:dyDescent="0.35">
      <c r="A705" s="156">
        <v>930</v>
      </c>
      <c r="B705" s="152" t="s">
        <v>389</v>
      </c>
      <c r="C705" s="155" t="s">
        <v>438</v>
      </c>
    </row>
    <row r="706" spans="1:3" x14ac:dyDescent="0.35">
      <c r="A706" s="156">
        <v>931</v>
      </c>
      <c r="B706" s="152" t="s">
        <v>389</v>
      </c>
      <c r="C706" s="155" t="s">
        <v>438</v>
      </c>
    </row>
    <row r="707" spans="1:3" x14ac:dyDescent="0.35">
      <c r="A707" s="156">
        <v>932</v>
      </c>
      <c r="B707" s="152" t="s">
        <v>395</v>
      </c>
      <c r="C707" s="155" t="s">
        <v>437</v>
      </c>
    </row>
    <row r="708" spans="1:3" x14ac:dyDescent="0.35">
      <c r="A708" s="156">
        <v>933</v>
      </c>
      <c r="B708" s="152" t="s">
        <v>387</v>
      </c>
      <c r="C708" s="155" t="s">
        <v>437</v>
      </c>
    </row>
    <row r="709" spans="1:3" x14ac:dyDescent="0.35">
      <c r="A709" s="156">
        <v>934</v>
      </c>
      <c r="B709" s="152" t="s">
        <v>388</v>
      </c>
      <c r="C709" s="155" t="s">
        <v>438</v>
      </c>
    </row>
    <row r="710" spans="1:3" x14ac:dyDescent="0.35">
      <c r="A710" s="156">
        <v>935</v>
      </c>
      <c r="B710" s="152" t="s">
        <v>396</v>
      </c>
      <c r="C710" s="155" t="s">
        <v>437</v>
      </c>
    </row>
    <row r="711" spans="1:3" x14ac:dyDescent="0.35">
      <c r="A711" s="156">
        <v>936</v>
      </c>
      <c r="B711" s="152" t="s">
        <v>396</v>
      </c>
      <c r="C711" s="155" t="s">
        <v>437</v>
      </c>
    </row>
    <row r="712" spans="1:3" x14ac:dyDescent="0.35">
      <c r="A712" s="156">
        <v>937</v>
      </c>
      <c r="B712" s="152" t="s">
        <v>396</v>
      </c>
      <c r="C712" s="155" t="s">
        <v>437</v>
      </c>
    </row>
    <row r="713" spans="1:3" x14ac:dyDescent="0.35">
      <c r="A713" s="156">
        <v>938</v>
      </c>
      <c r="B713" s="152" t="s">
        <v>396</v>
      </c>
      <c r="C713" s="155" t="s">
        <v>437</v>
      </c>
    </row>
    <row r="714" spans="1:3" x14ac:dyDescent="0.35">
      <c r="A714" s="156">
        <v>939</v>
      </c>
      <c r="B714" s="152" t="s">
        <v>396</v>
      </c>
      <c r="C714" s="155" t="s">
        <v>437</v>
      </c>
    </row>
    <row r="715" spans="1:3" x14ac:dyDescent="0.35">
      <c r="A715" s="156">
        <v>940</v>
      </c>
      <c r="B715" s="152" t="s">
        <v>397</v>
      </c>
      <c r="C715" s="155" t="s">
        <v>434</v>
      </c>
    </row>
    <row r="716" spans="1:3" x14ac:dyDescent="0.35">
      <c r="A716" s="156">
        <v>941</v>
      </c>
      <c r="B716" s="152" t="s">
        <v>398</v>
      </c>
      <c r="C716" s="155" t="s">
        <v>434</v>
      </c>
    </row>
    <row r="717" spans="1:3" x14ac:dyDescent="0.35">
      <c r="A717" s="156">
        <v>942</v>
      </c>
      <c r="B717" s="152" t="s">
        <v>251</v>
      </c>
      <c r="C717" s="155" t="s">
        <v>437</v>
      </c>
    </row>
    <row r="718" spans="1:3" x14ac:dyDescent="0.35">
      <c r="A718" s="156">
        <v>943</v>
      </c>
      <c r="B718" s="152" t="s">
        <v>242</v>
      </c>
      <c r="C718" s="155" t="s">
        <v>437</v>
      </c>
    </row>
    <row r="719" spans="1:3" x14ac:dyDescent="0.35">
      <c r="A719" s="156">
        <v>944</v>
      </c>
      <c r="B719" s="152" t="s">
        <v>242</v>
      </c>
      <c r="C719" s="155" t="s">
        <v>437</v>
      </c>
    </row>
    <row r="720" spans="1:3" x14ac:dyDescent="0.35">
      <c r="A720" s="156">
        <v>945</v>
      </c>
      <c r="B720" s="152" t="s">
        <v>242</v>
      </c>
      <c r="C720" s="155" t="s">
        <v>437</v>
      </c>
    </row>
    <row r="721" spans="1:3" x14ac:dyDescent="0.35">
      <c r="A721" s="156">
        <v>946</v>
      </c>
      <c r="B721" s="152" t="s">
        <v>242</v>
      </c>
      <c r="C721" s="155" t="s">
        <v>437</v>
      </c>
    </row>
    <row r="722" spans="1:3" x14ac:dyDescent="0.35">
      <c r="A722" s="156">
        <v>947</v>
      </c>
      <c r="B722" s="152" t="s">
        <v>399</v>
      </c>
      <c r="C722" s="155" t="s">
        <v>437</v>
      </c>
    </row>
    <row r="723" spans="1:3" x14ac:dyDescent="0.35">
      <c r="A723" s="156">
        <v>948</v>
      </c>
      <c r="B723" s="152" t="s">
        <v>400</v>
      </c>
      <c r="C723" s="155" t="s">
        <v>437</v>
      </c>
    </row>
    <row r="724" spans="1:3" x14ac:dyDescent="0.35">
      <c r="A724" s="156">
        <v>949</v>
      </c>
      <c r="B724" s="152" t="s">
        <v>401</v>
      </c>
      <c r="C724" s="155" t="s">
        <v>437</v>
      </c>
    </row>
    <row r="725" spans="1:3" x14ac:dyDescent="0.35">
      <c r="A725" s="156">
        <v>950</v>
      </c>
      <c r="B725" s="152" t="s">
        <v>402</v>
      </c>
      <c r="C725" s="155" t="s">
        <v>438</v>
      </c>
    </row>
    <row r="726" spans="1:3" x14ac:dyDescent="0.35">
      <c r="A726" s="156">
        <v>951</v>
      </c>
      <c r="B726" s="152" t="s">
        <v>403</v>
      </c>
      <c r="C726" s="155" t="s">
        <v>438</v>
      </c>
    </row>
    <row r="727" spans="1:3" x14ac:dyDescent="0.35">
      <c r="A727" s="156">
        <v>952</v>
      </c>
      <c r="B727" s="152" t="s">
        <v>404</v>
      </c>
      <c r="C727" s="155" t="s">
        <v>437</v>
      </c>
    </row>
    <row r="728" spans="1:3" x14ac:dyDescent="0.35">
      <c r="A728" s="156">
        <v>953</v>
      </c>
      <c r="B728" s="152" t="s">
        <v>405</v>
      </c>
      <c r="C728" s="155" t="s">
        <v>437</v>
      </c>
    </row>
    <row r="729" spans="1:3" x14ac:dyDescent="0.35">
      <c r="A729" s="156">
        <v>954</v>
      </c>
      <c r="B729" s="152" t="s">
        <v>406</v>
      </c>
      <c r="C729" s="155" t="s">
        <v>437</v>
      </c>
    </row>
    <row r="730" spans="1:3" x14ac:dyDescent="0.35">
      <c r="A730" s="156">
        <v>955</v>
      </c>
      <c r="B730" s="152" t="s">
        <v>407</v>
      </c>
      <c r="C730" s="155" t="s">
        <v>437</v>
      </c>
    </row>
    <row r="731" spans="1:3" x14ac:dyDescent="0.35">
      <c r="A731" s="156">
        <v>956</v>
      </c>
      <c r="B731" s="152" t="s">
        <v>408</v>
      </c>
      <c r="C731" s="155" t="s">
        <v>437</v>
      </c>
    </row>
    <row r="732" spans="1:3" x14ac:dyDescent="0.35">
      <c r="A732" s="156">
        <v>957</v>
      </c>
      <c r="B732" s="152" t="s">
        <v>409</v>
      </c>
      <c r="C732" s="155" t="s">
        <v>437</v>
      </c>
    </row>
    <row r="733" spans="1:3" x14ac:dyDescent="0.35">
      <c r="A733" s="156">
        <v>958</v>
      </c>
      <c r="B733" s="152" t="s">
        <v>410</v>
      </c>
      <c r="C733" s="155" t="s">
        <v>437</v>
      </c>
    </row>
    <row r="734" spans="1:3" x14ac:dyDescent="0.35">
      <c r="A734" s="156">
        <v>959</v>
      </c>
      <c r="B734" s="152" t="s">
        <v>411</v>
      </c>
      <c r="C734" s="155" t="s">
        <v>437</v>
      </c>
    </row>
    <row r="735" spans="1:3" x14ac:dyDescent="0.35">
      <c r="A735" s="156">
        <v>960</v>
      </c>
      <c r="B735" s="152" t="s">
        <v>412</v>
      </c>
      <c r="C735" s="155" t="s">
        <v>437</v>
      </c>
    </row>
    <row r="736" spans="1:3" x14ac:dyDescent="0.35">
      <c r="A736" s="156">
        <v>961</v>
      </c>
      <c r="B736" s="152" t="s">
        <v>413</v>
      </c>
      <c r="C736" s="155" t="s">
        <v>437</v>
      </c>
    </row>
    <row r="737" spans="1:3" x14ac:dyDescent="0.35">
      <c r="A737" s="156">
        <v>962</v>
      </c>
      <c r="B737" s="152" t="s">
        <v>414</v>
      </c>
      <c r="C737" s="155" t="s">
        <v>437</v>
      </c>
    </row>
    <row r="738" spans="1:3" x14ac:dyDescent="0.35">
      <c r="A738" s="156">
        <v>963</v>
      </c>
      <c r="B738" s="152" t="s">
        <v>415</v>
      </c>
      <c r="C738" s="155" t="s">
        <v>437</v>
      </c>
    </row>
    <row r="739" spans="1:3" x14ac:dyDescent="0.35">
      <c r="A739" s="156">
        <v>964</v>
      </c>
      <c r="B739" s="152" t="s">
        <v>416</v>
      </c>
      <c r="C739" s="155" t="s">
        <v>437</v>
      </c>
    </row>
    <row r="740" spans="1:3" x14ac:dyDescent="0.35">
      <c r="A740" s="156">
        <v>965</v>
      </c>
      <c r="B740" s="152" t="s">
        <v>417</v>
      </c>
      <c r="C740" s="155" t="s">
        <v>437</v>
      </c>
    </row>
    <row r="741" spans="1:3" x14ac:dyDescent="0.35">
      <c r="A741" s="156">
        <v>966</v>
      </c>
      <c r="B741" s="152" t="s">
        <v>262</v>
      </c>
      <c r="C741" s="155" t="s">
        <v>438</v>
      </c>
    </row>
    <row r="742" spans="1:3" x14ac:dyDescent="0.35">
      <c r="A742" s="156">
        <v>967</v>
      </c>
      <c r="B742" s="152" t="s">
        <v>274</v>
      </c>
      <c r="C742" s="155" t="s">
        <v>437</v>
      </c>
    </row>
    <row r="743" spans="1:3" x14ac:dyDescent="0.35">
      <c r="A743" s="156">
        <v>968</v>
      </c>
      <c r="B743" s="152" t="s">
        <v>274</v>
      </c>
      <c r="C743" s="155" t="s">
        <v>437</v>
      </c>
    </row>
    <row r="744" spans="1:3" x14ac:dyDescent="0.35">
      <c r="A744" s="156">
        <v>969</v>
      </c>
      <c r="B744" s="152" t="s">
        <v>417</v>
      </c>
      <c r="C744" s="155" t="s">
        <v>437</v>
      </c>
    </row>
    <row r="745" spans="1:3" x14ac:dyDescent="0.35">
      <c r="A745" s="156">
        <v>970</v>
      </c>
      <c r="B745" s="152" t="s">
        <v>230</v>
      </c>
      <c r="C745" s="155" t="s">
        <v>437</v>
      </c>
    </row>
    <row r="746" spans="1:3" x14ac:dyDescent="0.35">
      <c r="A746" s="156">
        <v>971</v>
      </c>
      <c r="B746" s="152" t="s">
        <v>418</v>
      </c>
      <c r="C746" s="155" t="s">
        <v>437</v>
      </c>
    </row>
    <row r="747" spans="1:3" x14ac:dyDescent="0.35">
      <c r="A747" s="156">
        <v>972</v>
      </c>
      <c r="B747" s="152" t="s">
        <v>419</v>
      </c>
      <c r="C747" s="155" t="s">
        <v>437</v>
      </c>
    </row>
    <row r="748" spans="1:3" x14ac:dyDescent="0.35">
      <c r="A748" s="156">
        <v>973</v>
      </c>
      <c r="B748" s="152" t="s">
        <v>272</v>
      </c>
      <c r="C748" s="155" t="s">
        <v>437</v>
      </c>
    </row>
    <row r="749" spans="1:3" x14ac:dyDescent="0.35">
      <c r="A749" s="156">
        <v>974</v>
      </c>
      <c r="B749" s="152" t="s">
        <v>298</v>
      </c>
      <c r="C749" s="155" t="s">
        <v>437</v>
      </c>
    </row>
    <row r="750" spans="1:3" x14ac:dyDescent="0.35">
      <c r="A750" s="156">
        <v>975</v>
      </c>
      <c r="B750" s="152" t="s">
        <v>420</v>
      </c>
      <c r="C750" s="155" t="s">
        <v>437</v>
      </c>
    </row>
    <row r="751" spans="1:3" x14ac:dyDescent="0.35">
      <c r="A751" s="156">
        <v>976</v>
      </c>
      <c r="B751" s="152" t="s">
        <v>421</v>
      </c>
      <c r="C751" s="155" t="s">
        <v>437</v>
      </c>
    </row>
    <row r="752" spans="1:3" x14ac:dyDescent="0.35">
      <c r="A752" s="156">
        <v>978</v>
      </c>
      <c r="B752" s="152" t="s">
        <v>256</v>
      </c>
      <c r="C752" s="155" t="s">
        <v>438</v>
      </c>
    </row>
    <row r="753" spans="1:3" x14ac:dyDescent="0.35">
      <c r="A753" s="156">
        <v>979</v>
      </c>
      <c r="B753" s="152" t="s">
        <v>295</v>
      </c>
      <c r="C753" s="155" t="s">
        <v>438</v>
      </c>
    </row>
    <row r="754" spans="1:3" x14ac:dyDescent="0.35">
      <c r="A754" s="156">
        <v>980</v>
      </c>
      <c r="B754" s="152" t="s">
        <v>422</v>
      </c>
      <c r="C754" s="155" t="s">
        <v>437</v>
      </c>
    </row>
    <row r="755" spans="1:3" x14ac:dyDescent="0.35">
      <c r="A755" s="156">
        <v>981</v>
      </c>
      <c r="B755" s="152" t="s">
        <v>423</v>
      </c>
      <c r="C755" s="155" t="s">
        <v>438</v>
      </c>
    </row>
    <row r="756" spans="1:3" x14ac:dyDescent="0.35">
      <c r="A756" s="156">
        <v>982</v>
      </c>
      <c r="B756" s="152" t="s">
        <v>424</v>
      </c>
      <c r="C756" s="155" t="s">
        <v>437</v>
      </c>
    </row>
    <row r="757" spans="1:3" x14ac:dyDescent="0.35">
      <c r="A757" s="156">
        <v>983</v>
      </c>
      <c r="B757" s="152" t="s">
        <v>425</v>
      </c>
      <c r="C757" s="155" t="s">
        <v>437</v>
      </c>
    </row>
    <row r="758" spans="1:3" x14ac:dyDescent="0.35">
      <c r="A758" s="156">
        <v>984</v>
      </c>
      <c r="B758" s="152" t="s">
        <v>426</v>
      </c>
      <c r="C758" s="155" t="s">
        <v>437</v>
      </c>
    </row>
    <row r="759" spans="1:3" x14ac:dyDescent="0.35">
      <c r="A759" s="156">
        <v>985</v>
      </c>
      <c r="B759" s="152" t="s">
        <v>427</v>
      </c>
      <c r="C759" s="155" t="s">
        <v>437</v>
      </c>
    </row>
    <row r="760" spans="1:3" x14ac:dyDescent="0.35">
      <c r="A760" s="156">
        <v>989</v>
      </c>
      <c r="B760" s="152" t="s">
        <v>311</v>
      </c>
      <c r="C760" s="155" t="s">
        <v>437</v>
      </c>
    </row>
    <row r="761" spans="1:3" x14ac:dyDescent="0.35">
      <c r="A761" s="156">
        <v>990</v>
      </c>
      <c r="B761" s="152" t="s">
        <v>312</v>
      </c>
      <c r="C761" s="155" t="s">
        <v>438</v>
      </c>
    </row>
    <row r="762" spans="1:3" x14ac:dyDescent="0.35">
      <c r="A762" s="156">
        <v>991</v>
      </c>
      <c r="B762" s="152" t="s">
        <v>262</v>
      </c>
      <c r="C762" s="155" t="s">
        <v>438</v>
      </c>
    </row>
    <row r="763" spans="1:3" x14ac:dyDescent="0.35">
      <c r="A763" s="156">
        <v>996</v>
      </c>
      <c r="B763" s="152" t="s">
        <v>341</v>
      </c>
      <c r="C763" s="155" t="s">
        <v>437</v>
      </c>
    </row>
    <row r="764" spans="1:3" x14ac:dyDescent="0.35">
      <c r="A764" s="156">
        <v>997</v>
      </c>
      <c r="B764" s="152" t="s">
        <v>428</v>
      </c>
      <c r="C764" s="155" t="s">
        <v>437</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7" fitToHeight="0" orientation="portrait" r:id="rId1"/>
  <headerFooter differentFirst="1" scaleWithDoc="0">
    <oddFooter>&amp;C&amp;"Calibri"&amp;11&amp;K000000&amp;P of &amp;N_x000D_&amp;1#&amp;"Calibri"&amp;12&amp;K008000Internal Use</oddFooter>
    <firstHeader>&amp;LSSC TPP Unit Rate Lookup Table</firstHeader>
    <firstFooter>&amp;C&amp;"Calibri"&amp;11&amp;K000000&amp;P of &amp;N_x000D_&amp;1#&amp;"Calibri"&amp;12&amp;K008000Internal Use</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2"/>
  <sheetViews>
    <sheetView workbookViewId="0">
      <selection activeCell="I18" sqref="I18"/>
    </sheetView>
  </sheetViews>
  <sheetFormatPr defaultRowHeight="12.75" x14ac:dyDescent="0.35"/>
  <cols>
    <col min="1" max="1" width="32.1328125" bestFit="1" customWidth="1"/>
    <col min="2" max="2" width="11.86328125" bestFit="1" customWidth="1"/>
    <col min="3" max="3" width="5.3984375" bestFit="1" customWidth="1"/>
    <col min="4" max="4" width="16.3984375" customWidth="1"/>
    <col min="5" max="6" width="16.1328125" bestFit="1" customWidth="1"/>
    <col min="7" max="7" width="31.1328125" bestFit="1" customWidth="1"/>
    <col min="12" max="12" width="34.1328125" bestFit="1" customWidth="1"/>
    <col min="13" max="13" width="20.3984375" bestFit="1" customWidth="1"/>
    <col min="14" max="14" width="12.86328125" bestFit="1" customWidth="1"/>
    <col min="15" max="15" width="15" bestFit="1" customWidth="1"/>
    <col min="16" max="16" width="12.86328125" bestFit="1" customWidth="1"/>
  </cols>
  <sheetData>
    <row r="1" spans="1:12" x14ac:dyDescent="0.35">
      <c r="A1" s="149" t="s">
        <v>24</v>
      </c>
      <c r="B1" s="149"/>
    </row>
    <row r="2" spans="1:12" ht="36.75" customHeight="1" x14ac:dyDescent="0.35">
      <c r="A2" s="316" t="str">
        <f>Overview!B4&amp; " - Effective from "&amp;Overview!C4&amp;" - "&amp;Overview!E4&amp;" Residual Charging Bands"</f>
        <v>SP Distribution - Effective from 2022/23 - Final Residual Charging Bands</v>
      </c>
      <c r="B2" s="317"/>
      <c r="C2" s="317"/>
      <c r="D2" s="317"/>
      <c r="E2" s="317"/>
      <c r="F2" s="317"/>
    </row>
    <row r="3" spans="1:12" x14ac:dyDescent="0.35">
      <c r="F3" s="194"/>
    </row>
    <row r="4" spans="1:12" s="205" customFormat="1" ht="28.5" x14ac:dyDescent="0.45">
      <c r="A4" s="203" t="s">
        <v>673</v>
      </c>
      <c r="B4" s="203" t="s">
        <v>669</v>
      </c>
      <c r="C4" s="203" t="s">
        <v>683</v>
      </c>
      <c r="D4" s="203" t="s">
        <v>687</v>
      </c>
      <c r="E4" s="203" t="s">
        <v>688</v>
      </c>
      <c r="F4" s="204" t="s">
        <v>690</v>
      </c>
    </row>
    <row r="5" spans="1:12" s="205" customFormat="1" ht="14.25" x14ac:dyDescent="0.45">
      <c r="A5" s="206" t="s">
        <v>166</v>
      </c>
      <c r="B5" s="200" t="s">
        <v>671</v>
      </c>
      <c r="C5" s="200" t="s">
        <v>672</v>
      </c>
      <c r="D5" s="201" t="s">
        <v>672</v>
      </c>
      <c r="E5" s="201" t="s">
        <v>672</v>
      </c>
      <c r="F5" s="215">
        <v>46.720899962975743</v>
      </c>
    </row>
    <row r="6" spans="1:12" s="205" customFormat="1" ht="14.25" customHeight="1" x14ac:dyDescent="0.45">
      <c r="A6" s="310" t="s">
        <v>691</v>
      </c>
      <c r="B6" s="200">
        <v>1</v>
      </c>
      <c r="C6" s="200" t="s">
        <v>684</v>
      </c>
      <c r="D6" s="202">
        <v>0</v>
      </c>
      <c r="E6" s="202">
        <v>3571</v>
      </c>
      <c r="F6" s="215">
        <v>17.32230994584814</v>
      </c>
    </row>
    <row r="7" spans="1:12" s="205" customFormat="1" ht="14.25" x14ac:dyDescent="0.45">
      <c r="A7" s="311"/>
      <c r="B7" s="200">
        <v>2</v>
      </c>
      <c r="C7" s="200" t="s">
        <v>684</v>
      </c>
      <c r="D7" s="202">
        <v>3571</v>
      </c>
      <c r="E7" s="202">
        <v>12553</v>
      </c>
      <c r="F7" s="215">
        <v>94.723011196631347</v>
      </c>
    </row>
    <row r="8" spans="1:12" s="205" customFormat="1" ht="14.25" x14ac:dyDescent="0.45">
      <c r="A8" s="311"/>
      <c r="B8" s="200">
        <v>3</v>
      </c>
      <c r="C8" s="200" t="s">
        <v>684</v>
      </c>
      <c r="D8" s="202">
        <v>12553</v>
      </c>
      <c r="E8" s="202">
        <v>25279</v>
      </c>
      <c r="F8" s="215">
        <v>236.40982062250501</v>
      </c>
    </row>
    <row r="9" spans="1:12" s="205" customFormat="1" ht="14.25" x14ac:dyDescent="0.45">
      <c r="A9" s="312"/>
      <c r="B9" s="200">
        <v>4</v>
      </c>
      <c r="C9" s="200" t="s">
        <v>684</v>
      </c>
      <c r="D9" s="202">
        <v>25279</v>
      </c>
      <c r="E9" s="202" t="s">
        <v>686</v>
      </c>
      <c r="F9" s="215">
        <v>740.7019529769467</v>
      </c>
    </row>
    <row r="10" spans="1:12" s="205" customFormat="1" ht="14.25" x14ac:dyDescent="0.45">
      <c r="A10" s="310" t="s">
        <v>694</v>
      </c>
      <c r="B10" s="200">
        <v>1</v>
      </c>
      <c r="C10" s="200" t="s">
        <v>685</v>
      </c>
      <c r="D10" s="202">
        <v>0</v>
      </c>
      <c r="E10" s="202">
        <v>80</v>
      </c>
      <c r="F10" s="215">
        <v>1161.7153363987616</v>
      </c>
      <c r="L10" s="214"/>
    </row>
    <row r="11" spans="1:12" s="205" customFormat="1" ht="14.25" x14ac:dyDescent="0.45">
      <c r="A11" s="311"/>
      <c r="B11" s="200">
        <v>2</v>
      </c>
      <c r="C11" s="200" t="s">
        <v>685</v>
      </c>
      <c r="D11" s="202">
        <v>80</v>
      </c>
      <c r="E11" s="202">
        <v>150</v>
      </c>
      <c r="F11" s="215">
        <v>2408.3321146301969</v>
      </c>
      <c r="L11" s="214"/>
    </row>
    <row r="12" spans="1:12" s="205" customFormat="1" ht="14.25" x14ac:dyDescent="0.45">
      <c r="A12" s="311"/>
      <c r="B12" s="200">
        <v>3</v>
      </c>
      <c r="C12" s="200" t="s">
        <v>685</v>
      </c>
      <c r="D12" s="202">
        <v>150</v>
      </c>
      <c r="E12" s="202">
        <v>231</v>
      </c>
      <c r="F12" s="215">
        <v>4021.1738513029536</v>
      </c>
      <c r="L12" s="214"/>
    </row>
    <row r="13" spans="1:12" s="205" customFormat="1" ht="14.25" x14ac:dyDescent="0.45">
      <c r="A13" s="312"/>
      <c r="B13" s="200">
        <v>4</v>
      </c>
      <c r="C13" s="200" t="s">
        <v>685</v>
      </c>
      <c r="D13" s="202">
        <v>231</v>
      </c>
      <c r="E13" s="202" t="s">
        <v>686</v>
      </c>
      <c r="F13" s="215">
        <v>8909.5693629716698</v>
      </c>
      <c r="L13" s="214"/>
    </row>
    <row r="14" spans="1:12" s="205" customFormat="1" ht="14.25" x14ac:dyDescent="0.45">
      <c r="A14" s="310" t="s">
        <v>693</v>
      </c>
      <c r="B14" s="200">
        <v>1</v>
      </c>
      <c r="C14" s="200" t="s">
        <v>685</v>
      </c>
      <c r="D14" s="202">
        <v>0</v>
      </c>
      <c r="E14" s="202">
        <v>422</v>
      </c>
      <c r="F14" s="215">
        <v>5365.2723956834361</v>
      </c>
    </row>
    <row r="15" spans="1:12" s="205" customFormat="1" ht="14.25" x14ac:dyDescent="0.45">
      <c r="A15" s="311"/>
      <c r="B15" s="200">
        <v>2</v>
      </c>
      <c r="C15" s="200" t="s">
        <v>685</v>
      </c>
      <c r="D15" s="202">
        <v>422</v>
      </c>
      <c r="E15" s="202">
        <v>1000</v>
      </c>
      <c r="F15" s="215">
        <v>22571.171343781662</v>
      </c>
    </row>
    <row r="16" spans="1:12" s="205" customFormat="1" ht="14.25" x14ac:dyDescent="0.45">
      <c r="A16" s="311"/>
      <c r="B16" s="200">
        <v>3</v>
      </c>
      <c r="C16" s="200" t="s">
        <v>685</v>
      </c>
      <c r="D16" s="202">
        <v>1000</v>
      </c>
      <c r="E16" s="202">
        <v>1800</v>
      </c>
      <c r="F16" s="215">
        <v>45653.256632087592</v>
      </c>
    </row>
    <row r="17" spans="1:7" s="205" customFormat="1" ht="14.25" x14ac:dyDescent="0.45">
      <c r="A17" s="312"/>
      <c r="B17" s="200">
        <v>4</v>
      </c>
      <c r="C17" s="200" t="s">
        <v>685</v>
      </c>
      <c r="D17" s="202">
        <v>1800</v>
      </c>
      <c r="E17" s="202" t="s">
        <v>686</v>
      </c>
      <c r="F17" s="215">
        <v>114716.03582571566</v>
      </c>
    </row>
    <row r="18" spans="1:7" s="205" customFormat="1" ht="14.25" x14ac:dyDescent="0.45">
      <c r="A18" s="313" t="s">
        <v>692</v>
      </c>
      <c r="B18" s="200">
        <v>1</v>
      </c>
      <c r="C18" s="200" t="s">
        <v>685</v>
      </c>
      <c r="D18" s="202">
        <v>0</v>
      </c>
      <c r="E18" s="202">
        <v>5000</v>
      </c>
      <c r="F18" s="215">
        <v>10495.911111030948</v>
      </c>
      <c r="G18" s="207"/>
    </row>
    <row r="19" spans="1:7" s="205" customFormat="1" ht="14.25" x14ac:dyDescent="0.45">
      <c r="A19" s="314"/>
      <c r="B19" s="200">
        <v>2</v>
      </c>
      <c r="C19" s="200" t="s">
        <v>685</v>
      </c>
      <c r="D19" s="202">
        <v>5000</v>
      </c>
      <c r="E19" s="202">
        <v>12000</v>
      </c>
      <c r="F19" s="215">
        <v>34523.512773637682</v>
      </c>
      <c r="G19" s="207"/>
    </row>
    <row r="20" spans="1:7" s="205" customFormat="1" ht="14.25" x14ac:dyDescent="0.45">
      <c r="A20" s="314"/>
      <c r="B20" s="200">
        <v>3</v>
      </c>
      <c r="C20" s="200" t="s">
        <v>685</v>
      </c>
      <c r="D20" s="202">
        <v>12000</v>
      </c>
      <c r="E20" s="202">
        <v>21500</v>
      </c>
      <c r="F20" s="215">
        <v>73479.628203370565</v>
      </c>
      <c r="G20" s="207"/>
    </row>
    <row r="21" spans="1:7" s="205" customFormat="1" ht="14.25" x14ac:dyDescent="0.45">
      <c r="A21" s="315"/>
      <c r="B21" s="200">
        <v>4</v>
      </c>
      <c r="C21" s="200" t="s">
        <v>685</v>
      </c>
      <c r="D21" s="202">
        <v>21500</v>
      </c>
      <c r="E21" s="202" t="s">
        <v>686</v>
      </c>
      <c r="F21" s="215">
        <v>57146.825306702987</v>
      </c>
      <c r="G21" s="207"/>
    </row>
    <row r="22" spans="1:7" s="205" customFormat="1" ht="14.25" x14ac:dyDescent="0.45">
      <c r="A22" s="205" t="s">
        <v>689</v>
      </c>
    </row>
  </sheetData>
  <mergeCells count="5">
    <mergeCell ref="A10:A13"/>
    <mergeCell ref="A14:A17"/>
    <mergeCell ref="A18:A21"/>
    <mergeCell ref="A6:A9"/>
    <mergeCell ref="A2:F2"/>
  </mergeCells>
  <hyperlinks>
    <hyperlink ref="A1" location="Overview!A1" display="Back to Overview" xr:uid="{00000000-0004-0000-0C00-000000000000}"/>
  </hyperlinks>
  <pageMargins left="0.7" right="0.7" top="0.75" bottom="0.75" header="0.3" footer="0.3"/>
  <pageSetup paperSize="9" orientation="portrait" r:id="rId1"/>
  <headerFooter>
    <oddFooter>&amp;C&amp;1#&amp;"Calibri"&amp;12&amp;K008000Internal Use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pageSetUpPr fitToPage="1"/>
  </sheetPr>
  <dimension ref="A1:EX24"/>
  <sheetViews>
    <sheetView workbookViewId="0"/>
  </sheetViews>
  <sheetFormatPr defaultColWidth="9.1328125" defaultRowHeight="12.75" x14ac:dyDescent="0.35"/>
  <cols>
    <col min="1" max="1" width="2.3984375" customWidth="1"/>
    <col min="2" max="2" width="33.73046875" customWidth="1"/>
    <col min="3" max="4" width="14.1328125" customWidth="1"/>
    <col min="5" max="9" width="12.1328125" customWidth="1"/>
    <col min="10" max="10" width="5.59765625" customWidth="1"/>
    <col min="11" max="11" width="5.265625" customWidth="1"/>
    <col min="12" max="12" width="35.265625" customWidth="1"/>
    <col min="13" max="20" width="11.73046875" customWidth="1"/>
    <col min="28" max="28" width="25" bestFit="1" customWidth="1"/>
    <col min="29" max="29" width="14.59765625" bestFit="1" customWidth="1"/>
  </cols>
  <sheetData>
    <row r="1" spans="1:154" x14ac:dyDescent="0.35">
      <c r="B1" s="84" t="s">
        <v>24</v>
      </c>
    </row>
    <row r="2" spans="1:154" s="2" customFormat="1" ht="21.75" customHeight="1" x14ac:dyDescent="0.35">
      <c r="B2" s="318" t="str">
        <f>Overview!B4&amp; " - Effective from "&amp;Overview!D4&amp;" - "&amp;Overview!E4</f>
        <v>SP Distribution - Effective from 1 April 2022 - Final</v>
      </c>
      <c r="C2" s="319"/>
      <c r="D2" s="319"/>
      <c r="E2" s="319"/>
      <c r="F2" s="319"/>
      <c r="G2" s="319"/>
      <c r="H2" s="319"/>
      <c r="I2" s="319"/>
      <c r="J2" s="319"/>
      <c r="K2" s="319"/>
      <c r="L2" s="319"/>
      <c r="M2" s="319"/>
      <c r="N2" s="319"/>
      <c r="O2" s="319"/>
      <c r="P2" s="319"/>
      <c r="Q2" s="319"/>
      <c r="R2" s="319"/>
      <c r="S2" s="319"/>
      <c r="T2" s="320"/>
      <c r="U2"/>
      <c r="V2"/>
      <c r="W2"/>
      <c r="X2"/>
      <c r="Y2"/>
      <c r="Z2"/>
      <c r="AA2"/>
      <c r="AB2" s="26"/>
      <c r="AC2" s="44" t="s">
        <v>186</v>
      </c>
      <c r="AD2" s="44" t="s">
        <v>188</v>
      </c>
      <c r="AE2" s="44" t="s">
        <v>187</v>
      </c>
      <c r="AF2" s="16" t="s">
        <v>30</v>
      </c>
      <c r="AG2" s="16" t="s">
        <v>31</v>
      </c>
      <c r="AH2" s="26" t="s">
        <v>152</v>
      </c>
      <c r="AI2" s="16" t="s">
        <v>38</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row>
    <row r="3" spans="1:154" s="102" customFormat="1" ht="9" customHeight="1" x14ac:dyDescent="0.35">
      <c r="A3" s="101"/>
      <c r="B3" s="101"/>
      <c r="C3" s="101"/>
      <c r="D3" s="101"/>
      <c r="E3" s="101"/>
      <c r="F3" s="101"/>
      <c r="G3" s="101"/>
      <c r="H3" s="101"/>
      <c r="I3" s="101"/>
      <c r="J3" s="101"/>
      <c r="K3" s="101"/>
      <c r="L3"/>
      <c r="M3"/>
      <c r="N3"/>
      <c r="O3"/>
      <c r="P3"/>
      <c r="Q3"/>
      <c r="R3"/>
      <c r="S3"/>
      <c r="T3"/>
      <c r="U3"/>
      <c r="V3"/>
      <c r="W3"/>
      <c r="X3"/>
      <c r="Y3"/>
      <c r="Z3"/>
      <c r="AA3"/>
      <c r="AB3" s="18" t="s">
        <v>166</v>
      </c>
      <c r="AC3" s="135" t="s">
        <v>192</v>
      </c>
      <c r="AD3" s="136" t="s">
        <v>194</v>
      </c>
      <c r="AE3" s="137" t="s">
        <v>187</v>
      </c>
      <c r="AF3" s="143" t="s">
        <v>196</v>
      </c>
      <c r="AG3" s="138" t="s">
        <v>199</v>
      </c>
      <c r="AH3" s="138" t="s">
        <v>199</v>
      </c>
      <c r="AI3" s="139" t="s">
        <v>199</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row>
    <row r="4" spans="1:154" ht="26.25" customHeight="1" x14ac:dyDescent="0.35">
      <c r="B4" s="324" t="s">
        <v>190</v>
      </c>
      <c r="C4" s="325"/>
      <c r="D4" s="325"/>
      <c r="E4" s="325"/>
      <c r="F4" s="325"/>
      <c r="G4" s="325"/>
      <c r="H4" s="325"/>
      <c r="I4" s="326"/>
      <c r="L4" s="324" t="s">
        <v>191</v>
      </c>
      <c r="M4" s="325"/>
      <c r="N4" s="325"/>
      <c r="O4" s="325"/>
      <c r="P4" s="325"/>
      <c r="Q4" s="325"/>
      <c r="R4" s="325"/>
      <c r="S4" s="325"/>
      <c r="T4" s="326"/>
      <c r="AB4" s="18" t="s">
        <v>167</v>
      </c>
      <c r="AC4" s="135" t="s">
        <v>192</v>
      </c>
      <c r="AD4" s="136" t="s">
        <v>194</v>
      </c>
      <c r="AE4" s="137" t="s">
        <v>187</v>
      </c>
      <c r="AF4" s="138" t="s">
        <v>199</v>
      </c>
      <c r="AG4" s="138" t="s">
        <v>199</v>
      </c>
      <c r="AH4" s="138" t="s">
        <v>199</v>
      </c>
      <c r="AI4" s="139" t="s">
        <v>199</v>
      </c>
    </row>
    <row r="5" spans="1:154" ht="18" customHeight="1" x14ac:dyDescent="0.35">
      <c r="B5" s="328" t="s">
        <v>122</v>
      </c>
      <c r="C5" s="328"/>
      <c r="D5" s="328"/>
      <c r="E5" s="328"/>
      <c r="F5" s="328"/>
      <c r="G5" s="328"/>
      <c r="H5" s="328"/>
      <c r="I5" s="328"/>
      <c r="L5" s="328" t="s">
        <v>124</v>
      </c>
      <c r="M5" s="328"/>
      <c r="N5" s="328"/>
      <c r="O5" s="328"/>
      <c r="P5" s="328"/>
      <c r="Q5" s="328"/>
      <c r="R5" s="328"/>
      <c r="S5" s="328"/>
      <c r="T5" s="328"/>
      <c r="AB5" s="18" t="s">
        <v>168</v>
      </c>
      <c r="AC5" s="135" t="s">
        <v>192</v>
      </c>
      <c r="AD5" s="136" t="s">
        <v>194</v>
      </c>
      <c r="AE5" s="137" t="s">
        <v>187</v>
      </c>
      <c r="AF5" s="143" t="s">
        <v>196</v>
      </c>
      <c r="AG5" s="138" t="s">
        <v>199</v>
      </c>
      <c r="AH5" s="138" t="s">
        <v>199</v>
      </c>
      <c r="AI5" s="139" t="s">
        <v>199</v>
      </c>
    </row>
    <row r="6" spans="1:154" s="103" customFormat="1" ht="27.75" customHeight="1" x14ac:dyDescent="0.35">
      <c r="B6" s="327" t="s">
        <v>128</v>
      </c>
      <c r="C6" s="327"/>
      <c r="D6" s="327"/>
      <c r="E6" s="327"/>
      <c r="F6" s="327"/>
      <c r="G6" s="327"/>
      <c r="H6" s="327"/>
      <c r="I6" s="327"/>
      <c r="L6" s="327" t="s">
        <v>129</v>
      </c>
      <c r="M6" s="327"/>
      <c r="N6" s="327"/>
      <c r="O6" s="327"/>
      <c r="P6" s="327"/>
      <c r="Q6" s="327"/>
      <c r="R6" s="327"/>
      <c r="S6" s="327"/>
      <c r="T6" s="327"/>
      <c r="AB6" s="18" t="s">
        <v>169</v>
      </c>
      <c r="AC6" s="135" t="s">
        <v>192</v>
      </c>
      <c r="AD6" s="136" t="s">
        <v>194</v>
      </c>
      <c r="AE6" s="137" t="s">
        <v>187</v>
      </c>
      <c r="AF6" s="138" t="s">
        <v>199</v>
      </c>
      <c r="AG6" s="138" t="s">
        <v>199</v>
      </c>
      <c r="AH6" s="138" t="s">
        <v>199</v>
      </c>
      <c r="AI6" s="139" t="s">
        <v>199</v>
      </c>
    </row>
    <row r="7" spans="1:154" ht="18" customHeight="1" x14ac:dyDescent="0.35">
      <c r="B7" s="328" t="s">
        <v>123</v>
      </c>
      <c r="C7" s="328"/>
      <c r="D7" s="328"/>
      <c r="E7" s="328"/>
      <c r="F7" s="328"/>
      <c r="G7" s="328"/>
      <c r="H7" s="328"/>
      <c r="I7" s="328"/>
      <c r="L7" s="328" t="s">
        <v>125</v>
      </c>
      <c r="M7" s="328"/>
      <c r="N7" s="328"/>
      <c r="O7" s="328"/>
      <c r="P7" s="328"/>
      <c r="Q7" s="328"/>
      <c r="R7" s="328"/>
      <c r="S7" s="328"/>
      <c r="T7" s="328"/>
      <c r="AB7" s="18" t="s">
        <v>170</v>
      </c>
      <c r="AC7" s="135" t="s">
        <v>192</v>
      </c>
      <c r="AD7" s="136" t="s">
        <v>194</v>
      </c>
      <c r="AE7" s="137" t="s">
        <v>187</v>
      </c>
      <c r="AF7" s="143" t="s">
        <v>196</v>
      </c>
      <c r="AG7" s="143" t="s">
        <v>197</v>
      </c>
      <c r="AH7" s="144" t="s">
        <v>198</v>
      </c>
      <c r="AI7" s="145" t="s">
        <v>38</v>
      </c>
    </row>
    <row r="8" spans="1:154" ht="8.25" customHeight="1" x14ac:dyDescent="0.35">
      <c r="AB8" s="18" t="s">
        <v>171</v>
      </c>
      <c r="AC8" s="135" t="s">
        <v>192</v>
      </c>
      <c r="AD8" s="136" t="s">
        <v>194</v>
      </c>
      <c r="AE8" s="137" t="s">
        <v>187</v>
      </c>
      <c r="AF8" s="143" t="s">
        <v>196</v>
      </c>
      <c r="AG8" s="143" t="s">
        <v>197</v>
      </c>
      <c r="AH8" s="144" t="s">
        <v>198</v>
      </c>
      <c r="AI8" s="140" t="s">
        <v>38</v>
      </c>
    </row>
    <row r="9" spans="1:154" ht="72" customHeight="1" x14ac:dyDescent="0.35">
      <c r="B9" s="104" t="s">
        <v>126</v>
      </c>
      <c r="C9" s="105" t="str">
        <f>IFERROR(VLOOKUP($B$10,$AB$2:$AI$18,2,FALSE),AC2)</f>
        <v>Red unit charge
p/kWh</v>
      </c>
      <c r="D9" s="105" t="str">
        <f>IFERROR(VLOOKUP($B$10,$AB$2:$AI$18,3,FALSE),AD2)</f>
        <v>Amber unit charge
p/kWh</v>
      </c>
      <c r="E9" s="105" t="str">
        <f>IFERROR(VLOOKUP($B$10,$AB$2:$AI$18,4,FALSE),AE2)</f>
        <v>Green unit charge
p/kWh</v>
      </c>
      <c r="F9" s="105" t="str">
        <f>IFERROR(VLOOKUP($B$10,$AB$2:$AI$18,5,FALSE),AF2)</f>
        <v>Fixed charge 
p/MPAN/day</v>
      </c>
      <c r="G9" s="105" t="str">
        <f>IFERROR(VLOOKUP($B$10,$AB$2:$AI$18,6,FALSE),AG2)</f>
        <v>Capacity charge 
p/kVA/day</v>
      </c>
      <c r="H9" s="105" t="str">
        <f>IFERROR(VLOOKUP($B$10,$AB$2:$AI$18,7,FALSE),AH2)</f>
        <v>Exceeded Capacity charge 
p/kVA/day</v>
      </c>
      <c r="I9" s="105" t="str">
        <f>IFERROR(VLOOKUP($B$10,$AB$2:$AI$18,8,FALSE),AI2)</f>
        <v>Reactive power charge
p/kVArh</v>
      </c>
      <c r="L9" s="104" t="s">
        <v>127</v>
      </c>
      <c r="M9" s="122" t="str">
        <f>'Annex 2 EHV charges'!H10</f>
        <v>Import
Super Red
unit charge
(p/kWh)</v>
      </c>
      <c r="N9" s="122" t="str">
        <f>'Annex 2 EHV charges'!I10</f>
        <v>Import
fixed charge
(p/day)</v>
      </c>
      <c r="O9" s="122" t="str">
        <f>'Annex 2 EHV charges'!J10</f>
        <v>Import
capacity charge
(p/kVA/day)</v>
      </c>
      <c r="P9" s="122" t="str">
        <f>'Annex 2 EHV charges'!K10</f>
        <v>Import
exceeded capacity charge
(p/kVA/day)</v>
      </c>
      <c r="Q9" s="123" t="str">
        <f>'Annex 2 EHV charges'!L10</f>
        <v>Export
Super Red
unit charge
(p/kWh)</v>
      </c>
      <c r="R9" s="123" t="str">
        <f>'Annex 2 EHV charges'!M10</f>
        <v>Export
fixed charge
(p/day)</v>
      </c>
      <c r="S9" s="123" t="str">
        <f>'Annex 2 EHV charges'!N10</f>
        <v>Export
capacity charge
(p/kVA/day)</v>
      </c>
      <c r="T9" s="123" t="str">
        <f>'Annex 2 EHV charges'!O10</f>
        <v>Export
exceeded capacity charge
(p/kVA/day)</v>
      </c>
      <c r="AB9" s="18" t="s">
        <v>172</v>
      </c>
      <c r="AC9" s="135" t="s">
        <v>192</v>
      </c>
      <c r="AD9" s="136" t="s">
        <v>194</v>
      </c>
      <c r="AE9" s="137" t="s">
        <v>187</v>
      </c>
      <c r="AF9" s="143" t="s">
        <v>196</v>
      </c>
      <c r="AG9" s="143" t="s">
        <v>197</v>
      </c>
      <c r="AH9" s="144" t="s">
        <v>198</v>
      </c>
      <c r="AI9" s="140" t="s">
        <v>38</v>
      </c>
    </row>
    <row r="10" spans="1:154" ht="30" customHeight="1" x14ac:dyDescent="0.35">
      <c r="B10" s="95" t="s">
        <v>170</v>
      </c>
      <c r="C10" s="119" t="str">
        <f>IFERROR(VLOOKUP($B$10,'Annex 1 LV, HV and UMS charges'!$A:$K,4,FALSE),"")</f>
        <v/>
      </c>
      <c r="D10" s="120" t="str">
        <f>IFERROR(VLOOKUP($B$10,'Annex 1 LV, HV and UMS charges'!$A:$K,5,FALSE),"")</f>
        <v/>
      </c>
      <c r="E10" s="120" t="str">
        <f>IFERROR(VLOOKUP($B$10,'Annex 1 LV, HV and UMS charges'!$A:$K,6,FALSE),"")</f>
        <v/>
      </c>
      <c r="F10" s="97" t="str">
        <f>IFERROR(VLOOKUP($B$10,'Annex 1 LV, HV and UMS charges'!$A:$K,7,FALSE),"")</f>
        <v/>
      </c>
      <c r="G10" s="97" t="str">
        <f>IFERROR(VLOOKUP($B$10,'Annex 1 LV, HV and UMS charges'!$A:$K,8,FALSE),"")</f>
        <v/>
      </c>
      <c r="H10" s="97" t="str">
        <f>IFERROR(VLOOKUP($B$10,'Annex 1 LV, HV and UMS charges'!$A:$K,9,FALSE),"")</f>
        <v/>
      </c>
      <c r="I10" s="97" t="str">
        <f>IFERROR(VLOOKUP($B$10,'Annex 1 LV, HV and UMS charges'!$A:$K,10,FALSE),"")</f>
        <v/>
      </c>
      <c r="L10" s="95"/>
      <c r="M10" s="97" t="str">
        <f>IFERROR(VLOOKUP($L$10,'Annex 2 EHV charges'!$G:$O,2,FALSE),"")</f>
        <v/>
      </c>
      <c r="N10" s="97" t="str">
        <f>IFERROR(VLOOKUP($L$10,'Annex 2 EHV charges'!$G:$O,3,FALSE),"")</f>
        <v/>
      </c>
      <c r="O10" s="97" t="str">
        <f>IFERROR(VLOOKUP($L$10,'Annex 2 EHV charges'!$G:$O,4,FALSE),"")</f>
        <v/>
      </c>
      <c r="P10" s="97" t="str">
        <f>IFERROR(VLOOKUP($L$10,'Annex 2 EHV charges'!$G:$O,5,FALSE),"")</f>
        <v/>
      </c>
      <c r="Q10" s="107" t="str">
        <f>IFERROR(VLOOKUP($L$10,'Annex 2 EHV charges'!$G:$O,6,FALSE),"")</f>
        <v/>
      </c>
      <c r="R10" s="107" t="str">
        <f>IFERROR(VLOOKUP($L$10,'Annex 2 EHV charges'!$G:$O,7,FALSE),"")</f>
        <v/>
      </c>
      <c r="S10" s="107" t="str">
        <f>IFERROR(VLOOKUP($L$10,'Annex 2 EHV charges'!$G:$O,8,FALSE),"")</f>
        <v/>
      </c>
      <c r="T10" s="107" t="str">
        <f>IFERROR(VLOOKUP($L$10,'Annex 2 EHV charges'!$G:$O,9,FALSE),"")</f>
        <v/>
      </c>
      <c r="AB10" s="18" t="s">
        <v>173</v>
      </c>
      <c r="AC10" s="141" t="s">
        <v>193</v>
      </c>
      <c r="AD10" s="142" t="s">
        <v>195</v>
      </c>
      <c r="AE10" s="137" t="s">
        <v>187</v>
      </c>
      <c r="AF10" s="138" t="s">
        <v>199</v>
      </c>
      <c r="AG10" s="138" t="s">
        <v>199</v>
      </c>
      <c r="AH10" s="138" t="s">
        <v>199</v>
      </c>
      <c r="AI10" s="138" t="s">
        <v>199</v>
      </c>
    </row>
    <row r="11" spans="1:154" ht="7.5" customHeight="1" x14ac:dyDescent="0.35">
      <c r="AB11" s="18" t="s">
        <v>174</v>
      </c>
      <c r="AC11" s="135" t="s">
        <v>192</v>
      </c>
      <c r="AD11" s="136" t="s">
        <v>194</v>
      </c>
      <c r="AE11" s="137" t="s">
        <v>187</v>
      </c>
      <c r="AF11" s="143" t="s">
        <v>196</v>
      </c>
      <c r="AG11" s="138" t="s">
        <v>199</v>
      </c>
      <c r="AH11" s="138" t="s">
        <v>199</v>
      </c>
      <c r="AI11" s="138" t="s">
        <v>199</v>
      </c>
    </row>
    <row r="12" spans="1:154" ht="88.5" customHeight="1" x14ac:dyDescent="0.35">
      <c r="B12" s="108" t="s">
        <v>92</v>
      </c>
      <c r="C12" s="105" t="str">
        <f>C9</f>
        <v>Red unit charge
p/kWh</v>
      </c>
      <c r="D12" s="105" t="str">
        <f>D9</f>
        <v>Amber unit charge
p/kWh</v>
      </c>
      <c r="E12" s="105" t="str">
        <f>E9</f>
        <v>Green unit charge
p/kWh</v>
      </c>
      <c r="F12" s="105" t="s">
        <v>93</v>
      </c>
      <c r="G12" s="105" t="s">
        <v>90</v>
      </c>
      <c r="H12" s="105" t="s">
        <v>155</v>
      </c>
      <c r="I12" s="105" t="s">
        <v>91</v>
      </c>
      <c r="L12" s="108" t="s">
        <v>92</v>
      </c>
      <c r="M12" s="105" t="s">
        <v>112</v>
      </c>
      <c r="N12" s="105" t="s">
        <v>93</v>
      </c>
      <c r="O12" s="105" t="s">
        <v>108</v>
      </c>
      <c r="P12" s="105" t="s">
        <v>155</v>
      </c>
      <c r="Q12" s="106" t="s">
        <v>110</v>
      </c>
      <c r="R12" s="106" t="s">
        <v>93</v>
      </c>
      <c r="S12" s="106" t="s">
        <v>109</v>
      </c>
      <c r="T12" s="106" t="s">
        <v>155</v>
      </c>
      <c r="AB12" s="18" t="s">
        <v>175</v>
      </c>
      <c r="AC12" s="135" t="s">
        <v>192</v>
      </c>
      <c r="AD12" s="136" t="s">
        <v>194</v>
      </c>
      <c r="AE12" s="137" t="s">
        <v>187</v>
      </c>
      <c r="AF12" s="143" t="s">
        <v>196</v>
      </c>
      <c r="AG12" s="138" t="s">
        <v>199</v>
      </c>
      <c r="AH12" s="138" t="s">
        <v>199</v>
      </c>
      <c r="AI12" s="138" t="s">
        <v>199</v>
      </c>
    </row>
    <row r="13" spans="1:154" ht="30" customHeight="1" x14ac:dyDescent="0.35">
      <c r="B13" s="109" t="s">
        <v>94</v>
      </c>
      <c r="C13" s="114"/>
      <c r="D13" s="114"/>
      <c r="E13" s="114"/>
      <c r="F13" s="114"/>
      <c r="G13" s="114"/>
      <c r="H13" s="114"/>
      <c r="I13" s="114"/>
      <c r="L13" s="109" t="s">
        <v>94</v>
      </c>
      <c r="M13" s="98"/>
      <c r="N13" s="98"/>
      <c r="O13" s="98"/>
      <c r="P13" s="98"/>
      <c r="Q13" s="99"/>
      <c r="R13" s="99">
        <f>N13</f>
        <v>0</v>
      </c>
      <c r="S13" s="99"/>
      <c r="T13" s="99"/>
      <c r="AB13" s="18" t="s">
        <v>176</v>
      </c>
      <c r="AC13" s="135" t="s">
        <v>192</v>
      </c>
      <c r="AD13" s="136" t="s">
        <v>194</v>
      </c>
      <c r="AE13" s="137" t="s">
        <v>187</v>
      </c>
      <c r="AF13" s="143" t="s">
        <v>196</v>
      </c>
      <c r="AG13" s="138" t="s">
        <v>199</v>
      </c>
      <c r="AH13" s="138" t="s">
        <v>199</v>
      </c>
      <c r="AI13" s="140" t="s">
        <v>38</v>
      </c>
    </row>
    <row r="14" spans="1:154" ht="30" customHeight="1" x14ac:dyDescent="0.35">
      <c r="B14" s="110" t="s">
        <v>96</v>
      </c>
      <c r="C14" s="96">
        <f t="shared" ref="C14:I14" si="0">C13</f>
        <v>0</v>
      </c>
      <c r="D14" s="96">
        <f t="shared" si="0"/>
        <v>0</v>
      </c>
      <c r="E14" s="96">
        <f t="shared" si="0"/>
        <v>0</v>
      </c>
      <c r="F14" s="96">
        <f t="shared" si="0"/>
        <v>0</v>
      </c>
      <c r="G14" s="96">
        <f t="shared" si="0"/>
        <v>0</v>
      </c>
      <c r="H14" s="96">
        <f t="shared" si="0"/>
        <v>0</v>
      </c>
      <c r="I14" s="96">
        <f t="shared" si="0"/>
        <v>0</v>
      </c>
      <c r="L14" s="110" t="s">
        <v>96</v>
      </c>
      <c r="M14" s="96">
        <f>M13</f>
        <v>0</v>
      </c>
      <c r="N14" s="96">
        <f t="shared" ref="N14:T14" si="1">N13</f>
        <v>0</v>
      </c>
      <c r="O14" s="96">
        <f t="shared" si="1"/>
        <v>0</v>
      </c>
      <c r="P14" s="96">
        <f t="shared" si="1"/>
        <v>0</v>
      </c>
      <c r="Q14" s="100">
        <f t="shared" si="1"/>
        <v>0</v>
      </c>
      <c r="R14" s="100">
        <f t="shared" si="1"/>
        <v>0</v>
      </c>
      <c r="S14" s="100">
        <f t="shared" si="1"/>
        <v>0</v>
      </c>
      <c r="T14" s="100">
        <f t="shared" si="1"/>
        <v>0</v>
      </c>
      <c r="AB14" s="18" t="s">
        <v>177</v>
      </c>
      <c r="AC14" s="135" t="s">
        <v>192</v>
      </c>
      <c r="AD14" s="136" t="s">
        <v>194</v>
      </c>
      <c r="AE14" s="137" t="s">
        <v>187</v>
      </c>
      <c r="AF14" s="143" t="s">
        <v>196</v>
      </c>
      <c r="AG14" s="138" t="s">
        <v>199</v>
      </c>
      <c r="AH14" s="138" t="s">
        <v>199</v>
      </c>
      <c r="AI14" s="138" t="s">
        <v>199</v>
      </c>
    </row>
    <row r="15" spans="1:154" ht="7.5" customHeight="1" x14ac:dyDescent="0.35">
      <c r="AB15" s="18" t="s">
        <v>178</v>
      </c>
      <c r="AC15" s="135" t="s">
        <v>192</v>
      </c>
      <c r="AD15" s="136" t="s">
        <v>194</v>
      </c>
      <c r="AE15" s="137" t="s">
        <v>187</v>
      </c>
      <c r="AF15" s="143" t="s">
        <v>196</v>
      </c>
      <c r="AG15" s="138" t="s">
        <v>199</v>
      </c>
      <c r="AH15" s="138" t="s">
        <v>199</v>
      </c>
      <c r="AI15" s="140" t="s">
        <v>38</v>
      </c>
    </row>
    <row r="16" spans="1:154" ht="63.75" customHeight="1" x14ac:dyDescent="0.35">
      <c r="B16" s="108" t="s">
        <v>95</v>
      </c>
      <c r="C16" s="105" t="s">
        <v>105</v>
      </c>
      <c r="D16" s="105" t="s">
        <v>106</v>
      </c>
      <c r="E16" s="105" t="s">
        <v>107</v>
      </c>
      <c r="F16" s="105" t="s">
        <v>101</v>
      </c>
      <c r="G16" s="105" t="s">
        <v>100</v>
      </c>
      <c r="H16" s="105" t="s">
        <v>156</v>
      </c>
      <c r="I16" s="105" t="s">
        <v>99</v>
      </c>
      <c r="L16" s="108" t="s">
        <v>95</v>
      </c>
      <c r="M16" s="105" t="s">
        <v>113</v>
      </c>
      <c r="N16" s="105" t="s">
        <v>111</v>
      </c>
      <c r="O16" s="105" t="s">
        <v>116</v>
      </c>
      <c r="P16" s="105" t="s">
        <v>157</v>
      </c>
      <c r="Q16" s="106" t="s">
        <v>114</v>
      </c>
      <c r="R16" s="106" t="s">
        <v>115</v>
      </c>
      <c r="S16" s="106" t="s">
        <v>117</v>
      </c>
      <c r="T16" s="106" t="s">
        <v>158</v>
      </c>
      <c r="AB16" s="18" t="s">
        <v>179</v>
      </c>
      <c r="AC16" s="135" t="s">
        <v>192</v>
      </c>
      <c r="AD16" s="136" t="s">
        <v>194</v>
      </c>
      <c r="AE16" s="137" t="s">
        <v>187</v>
      </c>
      <c r="AF16" s="143" t="s">
        <v>196</v>
      </c>
      <c r="AG16" s="138" t="s">
        <v>199</v>
      </c>
      <c r="AH16" s="138" t="s">
        <v>199</v>
      </c>
      <c r="AI16" s="138" t="s">
        <v>199</v>
      </c>
    </row>
    <row r="17" spans="2:35" ht="30" customHeight="1" x14ac:dyDescent="0.35">
      <c r="B17" s="109" t="s">
        <v>97</v>
      </c>
      <c r="C17" s="115" t="str">
        <f>IFERROR(C10*C13/100,"")</f>
        <v/>
      </c>
      <c r="D17" s="115" t="str">
        <f t="shared" ref="D17:I17" si="2">IFERROR(D10*D13/100,"")</f>
        <v/>
      </c>
      <c r="E17" s="115" t="str">
        <f t="shared" si="2"/>
        <v/>
      </c>
      <c r="F17" s="115" t="str">
        <f t="shared" si="2"/>
        <v/>
      </c>
      <c r="G17" s="115" t="str">
        <f>IFERROR(G10*G13*F13/100,"")</f>
        <v/>
      </c>
      <c r="H17" s="115" t="str">
        <f>IFERROR(H10*H13*F13/100,"")</f>
        <v/>
      </c>
      <c r="I17" s="115" t="str">
        <f t="shared" si="2"/>
        <v/>
      </c>
      <c r="L17" s="111" t="s">
        <v>97</v>
      </c>
      <c r="M17" s="115" t="str">
        <f>IFERROR(M10*M13/100,"")</f>
        <v/>
      </c>
      <c r="N17" s="115" t="str">
        <f>IFERROR(N10*N13/100,"")</f>
        <v/>
      </c>
      <c r="O17" s="115" t="str">
        <f>IFERROR(O10*O13*N13/100,"")</f>
        <v/>
      </c>
      <c r="P17" s="115" t="str">
        <f>IFERROR(P10*P13*N13/100,"")</f>
        <v/>
      </c>
      <c r="Q17" s="116" t="str">
        <f>IFERROR(Q10*Q13/100,"")</f>
        <v/>
      </c>
      <c r="R17" s="116" t="str">
        <f>IFERROR(R10*R13/100,"")</f>
        <v/>
      </c>
      <c r="S17" s="116" t="str">
        <f>IFERROR(S10*S13*R13/100,"")</f>
        <v/>
      </c>
      <c r="T17" s="116" t="str">
        <f>IFERROR(T10*T13*R13/100,"")</f>
        <v/>
      </c>
      <c r="AB17" s="18" t="s">
        <v>180</v>
      </c>
      <c r="AC17" s="135" t="s">
        <v>192</v>
      </c>
      <c r="AD17" s="136" t="s">
        <v>194</v>
      </c>
      <c r="AE17" s="137" t="s">
        <v>187</v>
      </c>
      <c r="AF17" s="143" t="s">
        <v>196</v>
      </c>
      <c r="AG17" s="138" t="s">
        <v>199</v>
      </c>
      <c r="AH17" s="138" t="s">
        <v>199</v>
      </c>
      <c r="AI17" s="140" t="s">
        <v>38</v>
      </c>
    </row>
    <row r="18" spans="2:35" ht="30" customHeight="1" x14ac:dyDescent="0.35">
      <c r="B18" s="110" t="s">
        <v>98</v>
      </c>
      <c r="C18" s="117" t="str">
        <f>IFERROR(C10*C14/100,"")</f>
        <v/>
      </c>
      <c r="D18" s="117" t="str">
        <f t="shared" ref="D18:I18" si="3">IFERROR(D10*D14/100,"")</f>
        <v/>
      </c>
      <c r="E18" s="117" t="str">
        <f t="shared" si="3"/>
        <v/>
      </c>
      <c r="F18" s="117" t="str">
        <f t="shared" si="3"/>
        <v/>
      </c>
      <c r="G18" s="117" t="str">
        <f>IFERROR(G10*G14*F14/100,"")</f>
        <v/>
      </c>
      <c r="H18" s="117" t="str">
        <f>IFERROR(H10*H14*F14/100,"")</f>
        <v/>
      </c>
      <c r="I18" s="117" t="str">
        <f t="shared" si="3"/>
        <v/>
      </c>
      <c r="L18" s="112" t="s">
        <v>98</v>
      </c>
      <c r="M18" s="117" t="str">
        <f>IFERROR(M10*M14/100,"")</f>
        <v/>
      </c>
      <c r="N18" s="117" t="str">
        <f>IFERROR(N10*N14/100,"")</f>
        <v/>
      </c>
      <c r="O18" s="117" t="str">
        <f>IFERROR(O10*O14*N14/100,"")</f>
        <v/>
      </c>
      <c r="P18" s="117" t="str">
        <f>IFERROR(P10*P14*N14/100,"")</f>
        <v/>
      </c>
      <c r="Q18" s="118" t="str">
        <f>IFERROR(Q10*Q14/100,"")</f>
        <v/>
      </c>
      <c r="R18" s="118" t="str">
        <f>IFERROR(R10*R14/100,"")</f>
        <v/>
      </c>
      <c r="S18" s="118" t="str">
        <f>IFERROR(S10*S14*R14/100,"")</f>
        <v/>
      </c>
      <c r="T18" s="118" t="str">
        <f>IFERROR(T10*T14*R14/100,"")</f>
        <v/>
      </c>
      <c r="AB18" s="18" t="s">
        <v>181</v>
      </c>
      <c r="AC18" s="135" t="s">
        <v>192</v>
      </c>
      <c r="AD18" s="136" t="s">
        <v>194</v>
      </c>
      <c r="AE18" s="137" t="s">
        <v>187</v>
      </c>
      <c r="AF18" s="143" t="s">
        <v>196</v>
      </c>
      <c r="AG18" s="138" t="s">
        <v>199</v>
      </c>
      <c r="AH18" s="138" t="s">
        <v>199</v>
      </c>
      <c r="AI18" s="138" t="s">
        <v>199</v>
      </c>
    </row>
    <row r="19" spans="2:35" ht="7.5" customHeight="1" x14ac:dyDescent="0.35"/>
    <row r="20" spans="2:35" ht="39.75" customHeight="1" x14ac:dyDescent="0.35">
      <c r="C20" s="113" t="s">
        <v>102</v>
      </c>
      <c r="M20" s="105" t="s">
        <v>118</v>
      </c>
      <c r="N20" s="106" t="s">
        <v>119</v>
      </c>
    </row>
    <row r="21" spans="2:35" ht="30" customHeight="1" x14ac:dyDescent="0.35">
      <c r="B21" s="109" t="s">
        <v>97</v>
      </c>
      <c r="C21" s="115">
        <f>SUM(C17:I17)</f>
        <v>0</v>
      </c>
      <c r="L21" s="109" t="s">
        <v>97</v>
      </c>
      <c r="M21" s="115">
        <f>SUM(M17:P17)</f>
        <v>0</v>
      </c>
      <c r="N21" s="116">
        <f>SUM(Q17:T17)</f>
        <v>0</v>
      </c>
    </row>
    <row r="22" spans="2:35" ht="30" customHeight="1" x14ac:dyDescent="0.35">
      <c r="B22" s="110" t="s">
        <v>98</v>
      </c>
      <c r="C22" s="117">
        <f>SUM(C18:I18)</f>
        <v>0</v>
      </c>
      <c r="L22" s="110" t="s">
        <v>98</v>
      </c>
      <c r="M22" s="117">
        <f>SUM(M18:P18)</f>
        <v>0</v>
      </c>
      <c r="N22" s="118">
        <f>SUM(Q18:T18)</f>
        <v>0</v>
      </c>
    </row>
    <row r="24" spans="2:35" ht="30.75" customHeight="1" x14ac:dyDescent="0.35">
      <c r="B24" s="321" t="s">
        <v>120</v>
      </c>
      <c r="C24" s="322"/>
      <c r="D24" s="323"/>
      <c r="L24" s="321" t="s">
        <v>121</v>
      </c>
      <c r="M24" s="322"/>
      <c r="N24" s="323"/>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$T$10=0</formula>
    </cfRule>
  </conditionalFormatting>
  <hyperlinks>
    <hyperlink ref="B1" location="Overview!A1" display="Back to Overview" xr:uid="{00000000-0004-0000-0D00-000000000000}"/>
  </hyperlinks>
  <pageMargins left="0.70866141732283472" right="0.70866141732283472" top="0.74803149606299213" bottom="0.74803149606299213" header="0.31496062992125984" footer="0.31496062992125984"/>
  <pageSetup paperSize="9" scale="30" orientation="landscape" r:id="rId1"/>
  <headerFooter>
    <oddFooter>&amp;C&amp;1#&amp;"Calibri"&amp;12&amp;K008000Internal Use</oddFooter>
  </headerFooter>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Choose site" prompt="Select the EHV site that you would like to calculate charges." xr:uid="{00000000-0002-0000-0D00-000000000000}">
          <x14:formula1>
            <xm:f>'Annex 2 EHV charges'!$G$11:$G$260</xm:f>
          </x14:formula1>
          <xm:sqref>L10</xm:sqref>
        </x14:dataValidation>
        <x14:dataValidation type="list" errorStyle="information" allowBlank="1" showInputMessage="1" showErrorMessage="1" promptTitle="Tariff selection" prompt="Choose tariff from drop down list" xr:uid="{00000000-0002-0000-0D00-000001000000}">
          <x14:formula1>
            <xm:f>'Annex 1 LV, HV and UMS charges'!$A$14:$A$45</xm:f>
          </x14:formula1>
          <xm:sqref>B10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18</vt:i4>
      </vt:variant>
    </vt:vector>
  </HeadingPairs>
  <TitlesOfParts>
    <vt:vector size="32"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EHV charges'!Print_Titles</vt:lpstr>
      <vt:lpstr>'Annex 2a Import'!Print_Titles</vt:lpstr>
      <vt:lpstr>'Annex 2b Export'!Print_Titles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Bennett, Luke W</cp:lastModifiedBy>
  <cp:lastPrinted>2019-11-22T15:48:25Z</cp:lastPrinted>
  <dcterms:created xsi:type="dcterms:W3CDTF">2009-11-12T11:38:00Z</dcterms:created>
  <dcterms:modified xsi:type="dcterms:W3CDTF">2026-06-16T21:25:02Z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y fmtid="{D5CDD505-2E9C-101B-9397-08002B2CF9AE}" pid="6" name="MSIP_Label_019c027e-33b7-45fc-a572-8ffa5d09ec36_Enabled">
    <vt:lpwstr>true</vt:lpwstr>
  </property>
  <property fmtid="{D5CDD505-2E9C-101B-9397-08002B2CF9AE}" pid="7" name="MSIP_Label_019c027e-33b7-45fc-a572-8ffa5d09ec36_SetDate">
    <vt:lpwstr>2023-07-12T15:55:56Z</vt:lpwstr>
  </property>
  <property fmtid="{D5CDD505-2E9C-101B-9397-08002B2CF9AE}" pid="8" name="MSIP_Label_019c027e-33b7-45fc-a572-8ffa5d09ec36_Method">
    <vt:lpwstr>Standard</vt:lpwstr>
  </property>
  <property fmtid="{D5CDD505-2E9C-101B-9397-08002B2CF9AE}" pid="9" name="MSIP_Label_019c027e-33b7-45fc-a572-8ffa5d09ec36_Name">
    <vt:lpwstr>Internal Use</vt:lpwstr>
  </property>
  <property fmtid="{D5CDD505-2E9C-101B-9397-08002B2CF9AE}" pid="10" name="MSIP_Label_019c027e-33b7-45fc-a572-8ffa5d09ec36_SiteId">
    <vt:lpwstr>031a09bc-a2bf-44df-888e-4e09355b7a24</vt:lpwstr>
  </property>
  <property fmtid="{D5CDD505-2E9C-101B-9397-08002B2CF9AE}" pid="11" name="MSIP_Label_019c027e-33b7-45fc-a572-8ffa5d09ec36_ActionId">
    <vt:lpwstr>dec76a6f-d239-4798-9577-0f3b7c5f7b34</vt:lpwstr>
  </property>
  <property fmtid="{D5CDD505-2E9C-101B-9397-08002B2CF9AE}" pid="12" name="MSIP_Label_019c027e-33b7-45fc-a572-8ffa5d09ec36_ContentBits">
    <vt:lpwstr>2</vt:lpwstr>
  </property>
</Properties>
</file>