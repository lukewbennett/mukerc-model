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 Framework/. CURRENT - Data Test Environment/Code Run Folder/Input/Network Prices/Distribution/2017/"/>
    </mc:Choice>
  </mc:AlternateContent>
  <xr:revisionPtr revIDLastSave="0" documentId="11_F4FE5FF24507D13D201F3446E44456407B4E752B" xr6:coauthVersionLast="47" xr6:coauthVersionMax="47" xr10:uidLastSave="{00000000-0000-0000-0000-000000000000}"/>
  <bookViews>
    <workbookView xWindow="-98" yWindow="-98" windowWidth="22695" windowHeight="14476" tabRatio="916" activeTab="1"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7" r:id="rId11"/>
    <sheet name="Charge Calculator" sheetId="15" r:id="rId12"/>
  </sheets>
  <definedNames>
    <definedName name="_xlnm._FilterDatabase" localSheetId="2" hidden="1">'Annex 2 EHV charges'!$A$10:$O$218</definedName>
    <definedName name="_xlnm._FilterDatabase" localSheetId="10" hidden="1">'SSC TPR unit rate lookup'!$A$28:$D$1205</definedName>
    <definedName name="OLE_LINK1" localSheetId="5">'Annex 3 Preserved charges'!#REF!</definedName>
    <definedName name="_xlnm.Print_Area" localSheetId="1">'Annex 1 LV and HV charges'!$A$2:$K$40</definedName>
    <definedName name="_xlnm.Print_Area" localSheetId="2">'Annex 2 EHV charges'!$A$2:$O$218</definedName>
    <definedName name="_xlnm.Print_Area" localSheetId="3">'Annex 2a Import'!$A$2:$H$150</definedName>
    <definedName name="_xlnm.Print_Area" localSheetId="4">'Annex 2b Export'!$A$2:$H$123</definedName>
    <definedName name="_xlnm.Print_Area" localSheetId="5">'Annex 3 Preserved charges'!$A$2:$J$16</definedName>
    <definedName name="_xlnm.Print_Area" localSheetId="6">'Annex 4 LDNO charges'!$A$2:$J$191</definedName>
    <definedName name="_xlnm.Print_Area" localSheetId="7">'Annex 5 LLFs'!$A$2:$H$291</definedName>
    <definedName name="_xlnm.Print_Area" localSheetId="8">'Annex 6 New Designated EHV Prop'!$A$2:$Q$96</definedName>
    <definedName name="_xlnm.Print_Area" localSheetId="11">'Charge Calculator'!$B$2:$T$32</definedName>
    <definedName name="_xlnm.Print_Area" localSheetId="9">'Nodal prices'!$A$2:$D$26</definedName>
    <definedName name="_xlnm.Print_Area" localSheetId="10">'SSC TPR unit rate lookup'!$A$28:$D$1205</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LLFs'!$24:$24</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charges'!$A$2:$K$40</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charges'!$A$2:$I$191</definedName>
    <definedName name="Z_5032A364_B81A_48DA_88DA_AB3B86B47EE9_.wvu.PrintArea" localSheetId="7" hidden="1">'Annex 5 LLFs'!$A$3:$F$3</definedName>
    <definedName name="Z_5032A364_B81A_48DA_88DA_AB3B86B47EE9_.wvu.PrintArea" localSheetId="8" hidden="1">'Annex 6 New Designated EHV Prop'!$A$1:$O$19</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8" l="1"/>
  <c r="D26" i="8" l="1"/>
  <c r="D31" i="8" l="1"/>
  <c r="A51" i="8" l="1"/>
  <c r="D48" i="8" l="1"/>
  <c r="D38" i="8"/>
  <c r="D32" i="8"/>
  <c r="D22" i="8" l="1"/>
  <c r="D30" i="8" l="1"/>
  <c r="D21" i="8" l="1"/>
  <c r="D16" i="8" l="1"/>
  <c r="D44" i="8"/>
  <c r="D17" i="8"/>
  <c r="D25" i="8"/>
  <c r="D39" i="8"/>
  <c r="D46" i="8"/>
  <c r="K7" i="8"/>
  <c r="K9" i="8"/>
  <c r="K10" i="8"/>
  <c r="K11" i="8"/>
  <c r="K14" i="8"/>
  <c r="K18" i="8"/>
  <c r="K23" i="8"/>
  <c r="K28" i="8"/>
  <c r="K29" i="8"/>
  <c r="K33" i="8"/>
  <c r="K35" i="8"/>
  <c r="K36" i="8"/>
  <c r="K37" i="8"/>
  <c r="K40" i="8"/>
  <c r="K41" i="8"/>
  <c r="K42" i="8"/>
  <c r="K43" i="8"/>
  <c r="K47" i="8"/>
  <c r="K49" i="8"/>
  <c r="K6" i="8"/>
  <c r="D49" i="8"/>
  <c r="D47" i="8"/>
  <c r="D43" i="8"/>
  <c r="D42" i="8"/>
  <c r="D41" i="8"/>
  <c r="D40" i="8"/>
  <c r="D37" i="8"/>
  <c r="D36" i="8"/>
  <c r="D35" i="8"/>
  <c r="D33" i="8"/>
  <c r="D29" i="8"/>
  <c r="D28" i="8"/>
  <c r="D23" i="8"/>
  <c r="D18" i="8"/>
  <c r="D14" i="8"/>
  <c r="D11" i="8"/>
  <c r="D10" i="8"/>
  <c r="D9" i="8"/>
  <c r="D7" i="8"/>
  <c r="D6" i="8"/>
  <c r="A2" i="7"/>
  <c r="B14" i="4"/>
  <c r="B6" i="4"/>
  <c r="B2" i="15"/>
  <c r="A4" i="8"/>
  <c r="A3" i="6"/>
  <c r="A2" i="5"/>
  <c r="A2" i="4"/>
  <c r="A2" i="14"/>
  <c r="A2" i="13"/>
  <c r="A2" i="12"/>
  <c r="A2" i="2"/>
  <c r="J178" i="5"/>
  <c r="J177" i="5"/>
  <c r="J176" i="5"/>
  <c r="J151" i="5"/>
  <c r="J150" i="5"/>
  <c r="J149" i="5"/>
  <c r="J124" i="5"/>
  <c r="J123" i="5"/>
  <c r="J122" i="5"/>
  <c r="J97" i="5"/>
  <c r="J96" i="5"/>
  <c r="J95" i="5"/>
  <c r="J70" i="5"/>
  <c r="J69" i="5"/>
  <c r="J68" i="5"/>
  <c r="J43" i="5"/>
  <c r="J42" i="5"/>
  <c r="J41" i="5"/>
  <c r="J23" i="5"/>
  <c r="J27" i="2"/>
  <c r="J26" i="2"/>
  <c r="J25" i="2"/>
  <c r="B13" i="1"/>
  <c r="B11" i="1"/>
  <c r="B9" i="1"/>
  <c r="R9" i="15"/>
  <c r="S9" i="15"/>
  <c r="T9" i="15"/>
  <c r="Q9" i="15"/>
  <c r="N9" i="15"/>
  <c r="O9" i="15"/>
  <c r="P9" i="15"/>
  <c r="M9" i="15"/>
  <c r="D9" i="15"/>
  <c r="E9" i="15"/>
  <c r="F9" i="15"/>
  <c r="G9" i="15"/>
  <c r="H9" i="15"/>
  <c r="I9" i="15"/>
  <c r="C9" i="15"/>
  <c r="O5" i="8"/>
  <c r="I5" i="8"/>
  <c r="J5" i="8"/>
  <c r="K5" i="8"/>
  <c r="L5" i="8"/>
  <c r="M5" i="8"/>
  <c r="N5" i="8"/>
  <c r="H5" i="8"/>
  <c r="F4" i="14"/>
  <c r="G4" i="14"/>
  <c r="H4" i="14"/>
  <c r="E4" i="14"/>
  <c r="F4" i="13"/>
  <c r="G4" i="13"/>
  <c r="H4" i="13"/>
  <c r="E4" i="13"/>
  <c r="H13" i="5"/>
  <c r="I13" i="5"/>
  <c r="J13" i="5"/>
  <c r="G13" i="5"/>
  <c r="F13" i="5"/>
  <c r="E13" i="5"/>
  <c r="D13" i="5"/>
  <c r="N10" i="15"/>
  <c r="N17" i="15" s="1"/>
  <c r="C14" i="15"/>
  <c r="A5" i="14" a="1"/>
  <c r="A5" i="14" s="1"/>
  <c r="A5" i="13" a="1"/>
  <c r="A5" i="13" s="1"/>
  <c r="B5" i="13" s="1"/>
  <c r="R13" i="15"/>
  <c r="R14" i="15" s="1"/>
  <c r="N14" i="15"/>
  <c r="O14" i="15"/>
  <c r="P14" i="15"/>
  <c r="Q14" i="15"/>
  <c r="S14" i="15"/>
  <c r="T14" i="15"/>
  <c r="M14" i="15"/>
  <c r="T10" i="15"/>
  <c r="T18" i="15" s="1"/>
  <c r="S10" i="15"/>
  <c r="S17" i="15" s="1"/>
  <c r="R10" i="15"/>
  <c r="R18" i="15" s="1"/>
  <c r="Q10" i="15"/>
  <c r="Q17" i="15" s="1"/>
  <c r="P10" i="15"/>
  <c r="P18" i="15" s="1"/>
  <c r="O10" i="15"/>
  <c r="O17" i="15" s="1"/>
  <c r="M10" i="15"/>
  <c r="M17" i="15" s="1"/>
  <c r="I14" i="15"/>
  <c r="H14" i="15"/>
  <c r="D14" i="15"/>
  <c r="E14" i="15"/>
  <c r="F14" i="15"/>
  <c r="G14" i="15"/>
  <c r="I10" i="15"/>
  <c r="H10" i="15"/>
  <c r="C10" i="15"/>
  <c r="F10" i="15"/>
  <c r="H17" i="15" l="1"/>
  <c r="R17" i="15"/>
  <c r="O18" i="15"/>
  <c r="H5" i="13"/>
  <c r="G5" i="13"/>
  <c r="C5" i="13"/>
  <c r="S18" i="15"/>
  <c r="T17" i="15"/>
  <c r="Q18" i="15"/>
  <c r="C18" i="15"/>
  <c r="C17" i="15"/>
  <c r="D5" i="14"/>
  <c r="B5" i="14"/>
  <c r="F5" i="14"/>
  <c r="C5" i="14"/>
  <c r="G5" i="14"/>
  <c r="E5" i="14"/>
  <c r="H5" i="14"/>
  <c r="A6" i="14" a="1"/>
  <c r="A6" i="14" s="1"/>
  <c r="H18" i="15"/>
  <c r="I18" i="15"/>
  <c r="I17" i="15"/>
  <c r="M18" i="15"/>
  <c r="P17" i="15"/>
  <c r="M21" i="15" s="1"/>
  <c r="D5" i="13"/>
  <c r="E5" i="13"/>
  <c r="A6" i="13" a="1"/>
  <c r="A6" i="13" s="1"/>
  <c r="F5" i="13"/>
  <c r="N18" i="15"/>
  <c r="G10" i="15"/>
  <c r="E10" i="15"/>
  <c r="D10" i="15"/>
  <c r="F18" i="15"/>
  <c r="F17" i="15"/>
  <c r="N21" i="15" l="1"/>
  <c r="N22" i="15"/>
  <c r="M22" i="15"/>
  <c r="D18" i="15"/>
  <c r="D17" i="15"/>
  <c r="E18" i="15"/>
  <c r="E17" i="15"/>
  <c r="D6" i="13"/>
  <c r="H6" i="13"/>
  <c r="C6" i="13"/>
  <c r="E6" i="13"/>
  <c r="G6" i="13"/>
  <c r="B6" i="13"/>
  <c r="F6" i="13"/>
  <c r="A7" i="13" a="1"/>
  <c r="A7" i="13" s="1"/>
  <c r="A8" i="13" s="1" a="1"/>
  <c r="A8" i="13" s="1"/>
  <c r="E6" i="14"/>
  <c r="C6" i="14"/>
  <c r="F6" i="14"/>
  <c r="B6" i="14"/>
  <c r="H6" i="14"/>
  <c r="D6" i="14"/>
  <c r="G6" i="14"/>
  <c r="G18" i="15"/>
  <c r="G17" i="15"/>
  <c r="A7" i="14" a="1"/>
  <c r="A7" i="14" s="1"/>
  <c r="C22" i="15" l="1"/>
  <c r="C21" i="15"/>
  <c r="C8" i="13"/>
  <c r="D8" i="13"/>
  <c r="F8" i="13"/>
  <c r="E8" i="13"/>
  <c r="H8" i="13"/>
  <c r="B8" i="13"/>
  <c r="G8" i="13"/>
  <c r="D7" i="13"/>
  <c r="H7" i="13"/>
  <c r="C7" i="13"/>
  <c r="B7" i="13"/>
  <c r="F7" i="13"/>
  <c r="G7" i="13"/>
  <c r="E7" i="13"/>
  <c r="A9" i="13" a="1"/>
  <c r="A9" i="13" s="1"/>
  <c r="A8" i="14" a="1"/>
  <c r="A8" i="14" s="1"/>
  <c r="A9" i="14" s="1" a="1"/>
  <c r="A9" i="14" s="1"/>
  <c r="D7" i="14"/>
  <c r="B7" i="14"/>
  <c r="G7" i="14"/>
  <c r="F7" i="14"/>
  <c r="H7" i="14"/>
  <c r="E7" i="14"/>
  <c r="C7" i="14"/>
  <c r="C9" i="13" l="1"/>
  <c r="H9" i="13"/>
  <c r="F9" i="13"/>
  <c r="G9" i="13"/>
  <c r="B9" i="13"/>
  <c r="E9" i="13"/>
  <c r="D9" i="13"/>
  <c r="A10" i="14" a="1"/>
  <c r="A10" i="14" s="1"/>
  <c r="A11" i="14" s="1" a="1"/>
  <c r="A11" i="14" s="1"/>
  <c r="D8" i="14"/>
  <c r="G8" i="14"/>
  <c r="F8" i="14"/>
  <c r="E8" i="14"/>
  <c r="B8" i="14"/>
  <c r="C8" i="14"/>
  <c r="H8" i="14"/>
  <c r="E9" i="14"/>
  <c r="H9" i="14"/>
  <c r="G9" i="14"/>
  <c r="D9" i="14"/>
  <c r="B9" i="14"/>
  <c r="F9" i="14"/>
  <c r="C9" i="14"/>
  <c r="A10" i="13" a="1"/>
  <c r="A10" i="13" s="1"/>
  <c r="A12" i="14" l="1" a="1"/>
  <c r="A12" i="14" s="1"/>
  <c r="C10" i="13"/>
  <c r="F10" i="13"/>
  <c r="D10" i="13"/>
  <c r="G10" i="13"/>
  <c r="B10" i="13"/>
  <c r="E10" i="13"/>
  <c r="H10" i="13"/>
  <c r="A11" i="13" a="1"/>
  <c r="A11" i="13" s="1"/>
  <c r="H11" i="14"/>
  <c r="D11" i="14"/>
  <c r="F11" i="14"/>
  <c r="E11" i="14"/>
  <c r="C11" i="14"/>
  <c r="G11" i="14"/>
  <c r="B11" i="14"/>
  <c r="G10" i="14"/>
  <c r="C10" i="14"/>
  <c r="E10" i="14"/>
  <c r="D10" i="14"/>
  <c r="B10" i="14"/>
  <c r="F10" i="14"/>
  <c r="H10" i="14"/>
  <c r="A12" i="13" l="1" a="1"/>
  <c r="A12" i="13" s="1"/>
  <c r="A13" i="13" s="1" a="1"/>
  <c r="A13" i="13" s="1"/>
  <c r="F11" i="13"/>
  <c r="H11" i="13"/>
  <c r="C11" i="13"/>
  <c r="E11" i="13"/>
  <c r="B11" i="13"/>
  <c r="D11" i="13"/>
  <c r="G11" i="13"/>
  <c r="D12" i="14"/>
  <c r="C12" i="14"/>
  <c r="B12" i="14"/>
  <c r="G12" i="14"/>
  <c r="H12" i="14"/>
  <c r="F12" i="14"/>
  <c r="E12" i="14"/>
  <c r="A13" i="14" a="1"/>
  <c r="A13" i="14" s="1"/>
  <c r="A14" i="14" l="1" a="1"/>
  <c r="A14" i="14" s="1"/>
  <c r="E12" i="13"/>
  <c r="G12" i="13"/>
  <c r="C12" i="13"/>
  <c r="D12" i="13"/>
  <c r="B12" i="13"/>
  <c r="F12" i="13"/>
  <c r="H12" i="13"/>
  <c r="E13" i="14"/>
  <c r="D13" i="14"/>
  <c r="C13" i="14"/>
  <c r="H13" i="14"/>
  <c r="B13" i="14"/>
  <c r="G13" i="14"/>
  <c r="F13" i="14"/>
  <c r="C13" i="13"/>
  <c r="G13" i="13"/>
  <c r="D13" i="13"/>
  <c r="F13" i="13"/>
  <c r="H13" i="13"/>
  <c r="E13" i="13"/>
  <c r="B13" i="13"/>
  <c r="A14" i="13" a="1"/>
  <c r="A14" i="13" s="1"/>
  <c r="G14" i="13" l="1"/>
  <c r="H14" i="13"/>
  <c r="F14" i="13"/>
  <c r="B14" i="13"/>
  <c r="C14" i="13"/>
  <c r="E14" i="13"/>
  <c r="D14" i="13"/>
  <c r="A15" i="13" a="1"/>
  <c r="A15" i="13" s="1"/>
  <c r="B14" i="14"/>
  <c r="D14" i="14"/>
  <c r="E14" i="14"/>
  <c r="F14" i="14"/>
  <c r="C14" i="14"/>
  <c r="H14" i="14"/>
  <c r="G14" i="14"/>
  <c r="A15" i="14" a="1"/>
  <c r="A15" i="14" s="1"/>
  <c r="H15" i="13" l="1"/>
  <c r="F15" i="13"/>
  <c r="G15" i="13"/>
  <c r="D15" i="13"/>
  <c r="E15" i="13"/>
  <c r="C15" i="13"/>
  <c r="B15" i="13"/>
  <c r="A16" i="13" a="1"/>
  <c r="A16" i="13" s="1"/>
  <c r="D15" i="14"/>
  <c r="B15" i="14"/>
  <c r="H15" i="14"/>
  <c r="E15" i="14"/>
  <c r="F15" i="14"/>
  <c r="G15" i="14"/>
  <c r="C15" i="14"/>
  <c r="A16" i="14" a="1"/>
  <c r="A16" i="14" s="1"/>
  <c r="E16" i="13" l="1"/>
  <c r="D16" i="13"/>
  <c r="H16" i="13"/>
  <c r="B16" i="13"/>
  <c r="C16" i="13"/>
  <c r="G16" i="13"/>
  <c r="F16" i="13"/>
  <c r="A17" i="13" a="1"/>
  <c r="A17" i="13" s="1"/>
  <c r="D16" i="14"/>
  <c r="G16" i="14"/>
  <c r="H16" i="14"/>
  <c r="C16" i="14"/>
  <c r="E16" i="14"/>
  <c r="B16" i="14"/>
  <c r="F16" i="14"/>
  <c r="A17" i="14" a="1"/>
  <c r="A17" i="14" s="1"/>
  <c r="C17" i="13" l="1"/>
  <c r="H17" i="13"/>
  <c r="F17" i="13"/>
  <c r="E17" i="13"/>
  <c r="D17" i="13"/>
  <c r="G17" i="13"/>
  <c r="B17" i="13"/>
  <c r="A18" i="13" a="1"/>
  <c r="A18" i="13" s="1"/>
  <c r="F17" i="14"/>
  <c r="D17" i="14"/>
  <c r="H17" i="14"/>
  <c r="G17" i="14"/>
  <c r="C17" i="14"/>
  <c r="B17" i="14"/>
  <c r="E17" i="14"/>
  <c r="A18" i="14" a="1"/>
  <c r="A18" i="14" s="1"/>
  <c r="C18" i="13" l="1"/>
  <c r="E18" i="13"/>
  <c r="B18" i="13"/>
  <c r="D18" i="13"/>
  <c r="G18" i="13"/>
  <c r="H18" i="13"/>
  <c r="F18" i="13"/>
  <c r="A19" i="13" a="1"/>
  <c r="A19" i="13" s="1"/>
  <c r="B18" i="14"/>
  <c r="H18" i="14"/>
  <c r="C18" i="14"/>
  <c r="E18" i="14"/>
  <c r="F18" i="14"/>
  <c r="D18" i="14"/>
  <c r="G18" i="14"/>
  <c r="A19" i="14" a="1"/>
  <c r="A19" i="14" s="1"/>
  <c r="G19" i="13" l="1"/>
  <c r="H19" i="13"/>
  <c r="F19" i="13"/>
  <c r="E19" i="13"/>
  <c r="C19" i="13"/>
  <c r="B19" i="13"/>
  <c r="D19" i="13"/>
  <c r="A20" i="13" a="1"/>
  <c r="A20" i="13" s="1"/>
  <c r="D19" i="14"/>
  <c r="F19" i="14"/>
  <c r="C19" i="14"/>
  <c r="E19" i="14"/>
  <c r="H19" i="14"/>
  <c r="B19" i="14"/>
  <c r="G19" i="14"/>
  <c r="A20" i="14" a="1"/>
  <c r="A20" i="14" s="1"/>
  <c r="G20" i="13" l="1"/>
  <c r="F20" i="13"/>
  <c r="D20" i="13"/>
  <c r="B20" i="13"/>
  <c r="E20" i="13"/>
  <c r="C20" i="13"/>
  <c r="H20" i="13"/>
  <c r="A21" i="13" a="1"/>
  <c r="A21" i="13" s="1"/>
  <c r="D20" i="14"/>
  <c r="C20" i="14"/>
  <c r="B20" i="14"/>
  <c r="G20" i="14"/>
  <c r="H20" i="14"/>
  <c r="F20" i="14"/>
  <c r="E20" i="14"/>
  <c r="A21" i="14" a="1"/>
  <c r="A21" i="14" s="1"/>
  <c r="D21" i="13" l="1"/>
  <c r="E21" i="13"/>
  <c r="F21" i="13"/>
  <c r="B21" i="13"/>
  <c r="C21" i="13"/>
  <c r="G21" i="13"/>
  <c r="H21" i="13"/>
  <c r="A22" i="13" a="1"/>
  <c r="A22" i="13" s="1"/>
  <c r="E21" i="14"/>
  <c r="D21" i="14"/>
  <c r="B21" i="14"/>
  <c r="H21" i="14"/>
  <c r="F21" i="14"/>
  <c r="G21" i="14"/>
  <c r="C21" i="14"/>
  <c r="A22" i="14" a="1"/>
  <c r="A22" i="14" s="1"/>
  <c r="C22" i="14" l="1"/>
  <c r="H22" i="14"/>
  <c r="D22" i="14"/>
  <c r="B22" i="14"/>
  <c r="E22" i="14"/>
  <c r="G22" i="14"/>
  <c r="F22" i="14"/>
  <c r="A23" i="14" a="1"/>
  <c r="A23" i="14" s="1"/>
  <c r="F22" i="13"/>
  <c r="H22" i="13"/>
  <c r="D22" i="13"/>
  <c r="G22" i="13"/>
  <c r="B22" i="13"/>
  <c r="C22" i="13"/>
  <c r="E22" i="13"/>
  <c r="A23" i="13" a="1"/>
  <c r="A23" i="13" s="1"/>
  <c r="C23" i="14" l="1"/>
  <c r="E23" i="14"/>
  <c r="D23" i="14"/>
  <c r="H23" i="14"/>
  <c r="G23" i="14"/>
  <c r="B23" i="14"/>
  <c r="F23" i="14"/>
  <c r="A24" i="14" a="1"/>
  <c r="A24" i="14" s="1"/>
  <c r="C23" i="13"/>
  <c r="G23" i="13"/>
  <c r="B23" i="13"/>
  <c r="E23" i="13"/>
  <c r="F23" i="13"/>
  <c r="D23" i="13"/>
  <c r="H23" i="13"/>
  <c r="A24" i="13" a="1"/>
  <c r="A24" i="13" s="1"/>
  <c r="D24" i="14" l="1"/>
  <c r="G24" i="14"/>
  <c r="F24" i="14"/>
  <c r="B24" i="14"/>
  <c r="E24" i="14"/>
  <c r="C24" i="14"/>
  <c r="H24" i="14"/>
  <c r="A25" i="14" a="1"/>
  <c r="A25" i="14" s="1"/>
  <c r="D24" i="13"/>
  <c r="E24" i="13"/>
  <c r="H24" i="13"/>
  <c r="G24" i="13"/>
  <c r="F24" i="13"/>
  <c r="B24" i="13"/>
  <c r="C24" i="13"/>
  <c r="A25" i="13" a="1"/>
  <c r="A25" i="13" s="1"/>
  <c r="G25" i="14" l="1"/>
  <c r="B25" i="14"/>
  <c r="D25" i="14"/>
  <c r="F25" i="14"/>
  <c r="E25" i="14"/>
  <c r="H25" i="14"/>
  <c r="C25" i="14"/>
  <c r="A26" i="14" a="1"/>
  <c r="A26" i="14" s="1"/>
  <c r="E25" i="13"/>
  <c r="B25" i="13"/>
  <c r="H25" i="13"/>
  <c r="C25" i="13"/>
  <c r="G25" i="13"/>
  <c r="F25" i="13"/>
  <c r="D25" i="13"/>
  <c r="A26" i="13" a="1"/>
  <c r="A26" i="13" s="1"/>
  <c r="G26" i="14" l="1"/>
  <c r="F26" i="14"/>
  <c r="E26" i="14"/>
  <c r="C26" i="14"/>
  <c r="D26" i="14"/>
  <c r="B26" i="14"/>
  <c r="H26" i="14"/>
  <c r="A27" i="14" a="1"/>
  <c r="A27" i="14" s="1"/>
  <c r="G26" i="13"/>
  <c r="F26" i="13"/>
  <c r="E26" i="13"/>
  <c r="D26" i="13"/>
  <c r="H26" i="13"/>
  <c r="C26" i="13"/>
  <c r="B26" i="13"/>
  <c r="A27" i="13" a="1"/>
  <c r="A27" i="13" s="1"/>
  <c r="H27" i="14" l="1"/>
  <c r="G27" i="14"/>
  <c r="F27" i="14"/>
  <c r="D27" i="14"/>
  <c r="C27" i="14"/>
  <c r="B27" i="14"/>
  <c r="E27" i="14"/>
  <c r="A28" i="14" a="1"/>
  <c r="A28" i="14" s="1"/>
  <c r="E27" i="13"/>
  <c r="G27" i="13"/>
  <c r="D27" i="13"/>
  <c r="C27" i="13"/>
  <c r="H27" i="13"/>
  <c r="B27" i="13"/>
  <c r="F27" i="13"/>
  <c r="A28" i="13" a="1"/>
  <c r="A28" i="13" s="1"/>
  <c r="B28" i="14" l="1"/>
  <c r="D28" i="14"/>
  <c r="C28" i="14"/>
  <c r="E28" i="14"/>
  <c r="F28" i="14"/>
  <c r="G28" i="14"/>
  <c r="H28" i="14"/>
  <c r="A29" i="14" a="1"/>
  <c r="A29" i="14" s="1"/>
  <c r="G28" i="13"/>
  <c r="F28" i="13"/>
  <c r="H28" i="13"/>
  <c r="D28" i="13"/>
  <c r="C28" i="13"/>
  <c r="E28" i="13"/>
  <c r="B28" i="13"/>
  <c r="A29" i="13" a="1"/>
  <c r="A29" i="13" s="1"/>
  <c r="E29" i="13" l="1"/>
  <c r="C29" i="13"/>
  <c r="B29" i="13"/>
  <c r="D29" i="13"/>
  <c r="H29" i="13"/>
  <c r="G29" i="13"/>
  <c r="F29" i="13"/>
  <c r="A30" i="13" a="1"/>
  <c r="A30" i="13" s="1"/>
  <c r="B29" i="14"/>
  <c r="G29" i="14"/>
  <c r="F29" i="14"/>
  <c r="H29" i="14"/>
  <c r="E29" i="14"/>
  <c r="C29" i="14"/>
  <c r="D29" i="14"/>
  <c r="A30" i="14" a="1"/>
  <c r="A30" i="14" s="1"/>
  <c r="E30" i="13" l="1"/>
  <c r="B30" i="13"/>
  <c r="H30" i="13"/>
  <c r="D30" i="13"/>
  <c r="G30" i="13"/>
  <c r="F30" i="13"/>
  <c r="C30" i="13"/>
  <c r="A31" i="13" a="1"/>
  <c r="A31" i="13" s="1"/>
  <c r="F30" i="14"/>
  <c r="E30" i="14"/>
  <c r="C30" i="14"/>
  <c r="H30" i="14"/>
  <c r="B30" i="14"/>
  <c r="G30" i="14"/>
  <c r="D30" i="14"/>
  <c r="A31" i="14" a="1"/>
  <c r="A31" i="14" s="1"/>
  <c r="H31" i="13" l="1"/>
  <c r="F31" i="13"/>
  <c r="G31" i="13"/>
  <c r="D31" i="13"/>
  <c r="B31" i="13"/>
  <c r="C31" i="13"/>
  <c r="E31" i="13"/>
  <c r="A32" i="13" a="1"/>
  <c r="A32" i="13" s="1"/>
  <c r="G31" i="14"/>
  <c r="F31" i="14"/>
  <c r="D31" i="14"/>
  <c r="B31" i="14"/>
  <c r="E31" i="14"/>
  <c r="C31" i="14"/>
  <c r="H31" i="14"/>
  <c r="A32" i="14" a="1"/>
  <c r="A32" i="14" s="1"/>
  <c r="G32" i="13" l="1"/>
  <c r="B32" i="13"/>
  <c r="D32" i="13"/>
  <c r="F32" i="13"/>
  <c r="C32" i="13"/>
  <c r="E32" i="13"/>
  <c r="H32" i="13"/>
  <c r="A33" i="13" a="1"/>
  <c r="A33" i="13" s="1"/>
  <c r="F32" i="14"/>
  <c r="D32" i="14"/>
  <c r="G32" i="14"/>
  <c r="E32" i="14"/>
  <c r="B32" i="14"/>
  <c r="C32" i="14"/>
  <c r="H32" i="14"/>
  <c r="A33" i="14" a="1"/>
  <c r="A33" i="14" s="1"/>
  <c r="H33" i="13" l="1"/>
  <c r="E33" i="13"/>
  <c r="G33" i="13"/>
  <c r="F33" i="13"/>
  <c r="C33" i="13"/>
  <c r="D33" i="13"/>
  <c r="B33" i="13"/>
  <c r="A34" i="13" a="1"/>
  <c r="A34" i="13" s="1"/>
  <c r="B33" i="14"/>
  <c r="C33" i="14"/>
  <c r="F33" i="14"/>
  <c r="D33" i="14"/>
  <c r="E33" i="14"/>
  <c r="G33" i="14"/>
  <c r="H33" i="14"/>
  <c r="A34" i="14" a="1"/>
  <c r="A34" i="14" s="1"/>
  <c r="E34" i="13" l="1"/>
  <c r="B34" i="13"/>
  <c r="D34" i="13"/>
  <c r="F34" i="13"/>
  <c r="H34" i="13"/>
  <c r="G34" i="13"/>
  <c r="C34" i="13"/>
  <c r="A35" i="13" a="1"/>
  <c r="A35" i="13" s="1"/>
  <c r="G34" i="14"/>
  <c r="B34" i="14"/>
  <c r="H34" i="14"/>
  <c r="E34" i="14"/>
  <c r="F34" i="14"/>
  <c r="C34" i="14"/>
  <c r="D34" i="14"/>
  <c r="A35" i="14" a="1"/>
  <c r="A35" i="14" s="1"/>
  <c r="H35" i="13" l="1"/>
  <c r="E35" i="13"/>
  <c r="G35" i="13"/>
  <c r="D35" i="13"/>
  <c r="B35" i="13"/>
  <c r="C35" i="13"/>
  <c r="F35" i="13"/>
  <c r="A36" i="13" a="1"/>
  <c r="A36" i="13" s="1"/>
  <c r="G35" i="14"/>
  <c r="E35" i="14"/>
  <c r="D35" i="14"/>
  <c r="F35" i="14"/>
  <c r="B35" i="14"/>
  <c r="C35" i="14"/>
  <c r="H35" i="14"/>
  <c r="A36" i="14" a="1"/>
  <c r="A36" i="14" s="1"/>
  <c r="D36" i="13" l="1"/>
  <c r="B36" i="13"/>
  <c r="C36" i="13"/>
  <c r="F36" i="13"/>
  <c r="G36" i="13"/>
  <c r="E36" i="13"/>
  <c r="H36" i="13"/>
  <c r="A37" i="13" a="1"/>
  <c r="A37" i="13" s="1"/>
  <c r="H36" i="14"/>
  <c r="F36" i="14"/>
  <c r="E36" i="14"/>
  <c r="G36" i="14"/>
  <c r="D36" i="14"/>
  <c r="B36" i="14"/>
  <c r="C36" i="14"/>
  <c r="A37" i="14" a="1"/>
  <c r="A37" i="14" s="1"/>
  <c r="C37" i="13" l="1"/>
  <c r="D37" i="13"/>
  <c r="B37" i="13"/>
  <c r="E37" i="13"/>
  <c r="F37" i="13"/>
  <c r="G37" i="13"/>
  <c r="H37" i="13"/>
  <c r="A38" i="13" a="1"/>
  <c r="A38" i="13" s="1"/>
  <c r="C37" i="14"/>
  <c r="E37" i="14"/>
  <c r="D37" i="14"/>
  <c r="F37" i="14"/>
  <c r="G37" i="14"/>
  <c r="H37" i="14"/>
  <c r="B37" i="14"/>
  <c r="A38" i="14" a="1"/>
  <c r="A38" i="14" s="1"/>
  <c r="C38" i="13" l="1"/>
  <c r="G38" i="13"/>
  <c r="B38" i="13"/>
  <c r="F38" i="13"/>
  <c r="D38" i="13"/>
  <c r="H38" i="13"/>
  <c r="E38" i="13"/>
  <c r="A39" i="13" a="1"/>
  <c r="A39" i="13" s="1"/>
  <c r="G38" i="14"/>
  <c r="B38" i="14"/>
  <c r="D38" i="14"/>
  <c r="C38" i="14"/>
  <c r="E38" i="14"/>
  <c r="H38" i="14"/>
  <c r="F38" i="14"/>
  <c r="A39" i="14" a="1"/>
  <c r="A39" i="14" s="1"/>
  <c r="F39" i="13" l="1"/>
  <c r="G39" i="13"/>
  <c r="D39" i="13"/>
  <c r="E39" i="13"/>
  <c r="B39" i="13"/>
  <c r="H39" i="13"/>
  <c r="C39" i="13"/>
  <c r="A40" i="13" a="1"/>
  <c r="A40" i="13" s="1"/>
  <c r="H39" i="14"/>
  <c r="C39" i="14"/>
  <c r="E39" i="14"/>
  <c r="D39" i="14"/>
  <c r="F39" i="14"/>
  <c r="B39" i="14"/>
  <c r="G39" i="14"/>
  <c r="A40" i="14" a="1"/>
  <c r="A40" i="14" s="1"/>
  <c r="H40" i="13" l="1"/>
  <c r="D40" i="13"/>
  <c r="C40" i="13"/>
  <c r="E40" i="13"/>
  <c r="B40" i="13"/>
  <c r="F40" i="13"/>
  <c r="G40" i="13"/>
  <c r="A41" i="13" a="1"/>
  <c r="A41" i="13" s="1"/>
  <c r="H40" i="14"/>
  <c r="B40" i="14"/>
  <c r="E40" i="14"/>
  <c r="C40" i="14"/>
  <c r="D40" i="14"/>
  <c r="F40" i="14"/>
  <c r="G40" i="14"/>
  <c r="A41" i="14" a="1"/>
  <c r="A41" i="14" s="1"/>
  <c r="D41" i="13" l="1"/>
  <c r="G41" i="13"/>
  <c r="B41" i="13"/>
  <c r="F41" i="13"/>
  <c r="E41" i="13"/>
  <c r="H41" i="13"/>
  <c r="C41" i="13"/>
  <c r="A42" i="13" a="1"/>
  <c r="A42" i="13" s="1"/>
  <c r="G41" i="14"/>
  <c r="E41" i="14"/>
  <c r="H41" i="14"/>
  <c r="D41" i="14"/>
  <c r="B41" i="14"/>
  <c r="F41" i="14"/>
  <c r="C41" i="14"/>
  <c r="A42" i="14" a="1"/>
  <c r="A42" i="14" s="1"/>
  <c r="E42" i="13" l="1"/>
  <c r="B42" i="13"/>
  <c r="D42" i="13"/>
  <c r="F42" i="13"/>
  <c r="C42" i="13"/>
  <c r="G42" i="13"/>
  <c r="H42" i="13"/>
  <c r="A43" i="13" a="1"/>
  <c r="A43" i="13" s="1"/>
  <c r="G42" i="14"/>
  <c r="B42" i="14"/>
  <c r="E42" i="14"/>
  <c r="D42" i="14"/>
  <c r="H42" i="14"/>
  <c r="C42" i="14"/>
  <c r="F42" i="14"/>
  <c r="A43" i="14" a="1"/>
  <c r="A43" i="14" s="1"/>
  <c r="H43" i="13" l="1"/>
  <c r="G43" i="13"/>
  <c r="B43" i="13"/>
  <c r="D43" i="13"/>
  <c r="F43" i="13"/>
  <c r="E43" i="13"/>
  <c r="C43" i="13"/>
  <c r="A44" i="13" a="1"/>
  <c r="A44" i="13" s="1"/>
  <c r="H43" i="14"/>
  <c r="F43" i="14"/>
  <c r="C43" i="14"/>
  <c r="G43" i="14"/>
  <c r="D43" i="14"/>
  <c r="E43" i="14"/>
  <c r="B43" i="14"/>
  <c r="A44" i="14" a="1"/>
  <c r="A44" i="14" s="1"/>
  <c r="F44" i="13" l="1"/>
  <c r="B44" i="13"/>
  <c r="E44" i="13"/>
  <c r="C44" i="13"/>
  <c r="H44" i="13"/>
  <c r="D44" i="13"/>
  <c r="G44" i="13"/>
  <c r="A45" i="13" a="1"/>
  <c r="A45" i="13" s="1"/>
  <c r="B44" i="14"/>
  <c r="D44" i="14"/>
  <c r="G44" i="14"/>
  <c r="F44" i="14"/>
  <c r="E44" i="14"/>
  <c r="C44" i="14"/>
  <c r="H44" i="14"/>
  <c r="A45" i="14" a="1"/>
  <c r="A45" i="14" s="1"/>
  <c r="C45" i="13" l="1"/>
  <c r="B45" i="13"/>
  <c r="H45" i="13"/>
  <c r="F45" i="13"/>
  <c r="E45" i="13"/>
  <c r="G45" i="13"/>
  <c r="D45" i="13"/>
  <c r="A46" i="13" a="1"/>
  <c r="A46" i="13" s="1"/>
  <c r="G45" i="14"/>
  <c r="B45" i="14"/>
  <c r="H45" i="14"/>
  <c r="D45" i="14"/>
  <c r="F45" i="14"/>
  <c r="E45" i="14"/>
  <c r="C45" i="14"/>
  <c r="A46" i="14" a="1"/>
  <c r="A46" i="14" s="1"/>
  <c r="D46" i="13" l="1"/>
  <c r="E46" i="13"/>
  <c r="C46" i="13"/>
  <c r="F46" i="13"/>
  <c r="G46" i="13"/>
  <c r="B46" i="13"/>
  <c r="H46" i="13"/>
  <c r="A47" i="13" a="1"/>
  <c r="A47" i="13" s="1"/>
  <c r="E46" i="14"/>
  <c r="C46" i="14"/>
  <c r="B46" i="14"/>
  <c r="D46" i="14"/>
  <c r="F46" i="14"/>
  <c r="H46" i="14"/>
  <c r="G46" i="14"/>
  <c r="A47" i="14" a="1"/>
  <c r="A47" i="14" s="1"/>
  <c r="B47" i="13" l="1"/>
  <c r="E47" i="13"/>
  <c r="G47" i="13"/>
  <c r="H47" i="13"/>
  <c r="C47" i="13"/>
  <c r="D47" i="13"/>
  <c r="F47" i="13"/>
  <c r="A48" i="13" a="1"/>
  <c r="A48" i="13" s="1"/>
  <c r="G47" i="14"/>
  <c r="D47" i="14"/>
  <c r="C47" i="14"/>
  <c r="B47" i="14"/>
  <c r="E47" i="14"/>
  <c r="H47" i="14"/>
  <c r="F47" i="14"/>
  <c r="A48" i="14" a="1"/>
  <c r="A48" i="14" s="1"/>
  <c r="G48" i="13" l="1"/>
  <c r="B48" i="13"/>
  <c r="C48" i="13"/>
  <c r="F48" i="13"/>
  <c r="H48" i="13"/>
  <c r="D48" i="13"/>
  <c r="E48" i="13"/>
  <c r="A49" i="13" a="1"/>
  <c r="A49" i="13" s="1"/>
  <c r="B48" i="14"/>
  <c r="D48" i="14"/>
  <c r="G48" i="14"/>
  <c r="C48" i="14"/>
  <c r="E48" i="14"/>
  <c r="H48" i="14"/>
  <c r="F48" i="14"/>
  <c r="A49" i="14" a="1"/>
  <c r="A49" i="14" s="1"/>
  <c r="G49" i="13" l="1"/>
  <c r="D49" i="13"/>
  <c r="B49" i="13"/>
  <c r="F49" i="13"/>
  <c r="H49" i="13"/>
  <c r="E49" i="13"/>
  <c r="C49" i="13"/>
  <c r="A50" i="13" a="1"/>
  <c r="A50" i="13" s="1"/>
  <c r="E49" i="14"/>
  <c r="B49" i="14"/>
  <c r="C49" i="14"/>
  <c r="H49" i="14"/>
  <c r="F49" i="14"/>
  <c r="G49" i="14"/>
  <c r="D49" i="14"/>
  <c r="A50" i="14" a="1"/>
  <c r="A50" i="14" s="1"/>
  <c r="E50" i="13" l="1"/>
  <c r="C50" i="13"/>
  <c r="G50" i="13"/>
  <c r="H50" i="13"/>
  <c r="F50" i="13"/>
  <c r="B50" i="13"/>
  <c r="D50" i="13"/>
  <c r="A51" i="13" a="1"/>
  <c r="A51" i="13" s="1"/>
  <c r="H50" i="14"/>
  <c r="C50" i="14"/>
  <c r="D50" i="14"/>
  <c r="F50" i="14"/>
  <c r="G50" i="14"/>
  <c r="B50" i="14"/>
  <c r="E50" i="14"/>
  <c r="A51" i="14" a="1"/>
  <c r="A51" i="14" s="1"/>
  <c r="C51" i="13" l="1"/>
  <c r="E51" i="13"/>
  <c r="F51" i="13"/>
  <c r="D51" i="13"/>
  <c r="G51" i="13"/>
  <c r="H51" i="13"/>
  <c r="B51" i="13"/>
  <c r="A52" i="13" a="1"/>
  <c r="A52" i="13" s="1"/>
  <c r="B51" i="14"/>
  <c r="H51" i="14"/>
  <c r="E51" i="14"/>
  <c r="F51" i="14"/>
  <c r="G51" i="14"/>
  <c r="C51" i="14"/>
  <c r="D51" i="14"/>
  <c r="A52" i="14" a="1"/>
  <c r="A52" i="14" s="1"/>
  <c r="C52" i="13" l="1"/>
  <c r="F52" i="13"/>
  <c r="B52" i="13"/>
  <c r="H52" i="13"/>
  <c r="G52" i="13"/>
  <c r="D52" i="13"/>
  <c r="E52" i="13"/>
  <c r="A53" i="13" a="1"/>
  <c r="A53" i="13" s="1"/>
  <c r="D52" i="14"/>
  <c r="G52" i="14"/>
  <c r="C52" i="14"/>
  <c r="E52" i="14"/>
  <c r="H52" i="14"/>
  <c r="B52" i="14"/>
  <c r="F52" i="14"/>
  <c r="A53" i="14" a="1"/>
  <c r="A53" i="14" s="1"/>
  <c r="B53" i="13" l="1"/>
  <c r="H53" i="13"/>
  <c r="E53" i="13"/>
  <c r="F53" i="13"/>
  <c r="D53" i="13"/>
  <c r="G53" i="13"/>
  <c r="C53" i="13"/>
  <c r="A54" i="13" a="1"/>
  <c r="A54" i="13" s="1"/>
  <c r="B53" i="14"/>
  <c r="D53" i="14"/>
  <c r="F53" i="14"/>
  <c r="E53" i="14"/>
  <c r="G53" i="14"/>
  <c r="H53" i="14"/>
  <c r="C53" i="14"/>
  <c r="A54" i="14" a="1"/>
  <c r="A54" i="14" s="1"/>
  <c r="H54" i="13" l="1"/>
  <c r="G54" i="13"/>
  <c r="D54" i="13"/>
  <c r="B54" i="13"/>
  <c r="C54" i="13"/>
  <c r="E54" i="13"/>
  <c r="F54" i="13"/>
  <c r="A55" i="13" a="1"/>
  <c r="A55" i="13" s="1"/>
  <c r="B54" i="14"/>
  <c r="E54" i="14"/>
  <c r="G54" i="14"/>
  <c r="H54" i="14"/>
  <c r="D54" i="14"/>
  <c r="F54" i="14"/>
  <c r="C54" i="14"/>
  <c r="A55" i="14" a="1"/>
  <c r="A55" i="14" s="1"/>
  <c r="C55" i="13" l="1"/>
  <c r="F55" i="13"/>
  <c r="E55" i="13"/>
  <c r="D55" i="13"/>
  <c r="G55" i="13"/>
  <c r="B55" i="13"/>
  <c r="H55" i="13"/>
  <c r="A56" i="13" a="1"/>
  <c r="A56" i="13" s="1"/>
  <c r="C55" i="14"/>
  <c r="B55" i="14"/>
  <c r="G55" i="14"/>
  <c r="E55" i="14"/>
  <c r="D55" i="14"/>
  <c r="H55" i="14"/>
  <c r="F55" i="14"/>
  <c r="A56" i="14" a="1"/>
  <c r="A56" i="14" s="1"/>
  <c r="F56" i="13" l="1"/>
  <c r="B56" i="13"/>
  <c r="E56" i="13"/>
  <c r="H56" i="13"/>
  <c r="D56" i="13"/>
  <c r="G56" i="13"/>
  <c r="C56" i="13"/>
  <c r="A57" i="13" a="1"/>
  <c r="A57" i="13" s="1"/>
  <c r="E56" i="14"/>
  <c r="G56" i="14"/>
  <c r="B56" i="14"/>
  <c r="D56" i="14"/>
  <c r="H56" i="14"/>
  <c r="F56" i="14"/>
  <c r="C56" i="14"/>
  <c r="A57" i="14" a="1"/>
  <c r="A57" i="14" s="1"/>
  <c r="E57" i="14" l="1"/>
  <c r="D57" i="14"/>
  <c r="B57" i="14"/>
  <c r="G57" i="14"/>
  <c r="H57" i="14"/>
  <c r="C57" i="14"/>
  <c r="F57" i="14"/>
  <c r="A58" i="14" a="1"/>
  <c r="A58" i="14" s="1"/>
  <c r="C57" i="13"/>
  <c r="G57" i="13"/>
  <c r="D57" i="13"/>
  <c r="F57" i="13"/>
  <c r="E57" i="13"/>
  <c r="B57" i="13"/>
  <c r="H57" i="13"/>
  <c r="A58" i="13" a="1"/>
  <c r="A58" i="13" s="1"/>
  <c r="C58" i="14" l="1"/>
  <c r="H58" i="14"/>
  <c r="G58" i="14"/>
  <c r="D58" i="14"/>
  <c r="E58" i="14"/>
  <c r="F58" i="14"/>
  <c r="B58" i="14"/>
  <c r="A59" i="14" a="1"/>
  <c r="A59" i="14" s="1"/>
  <c r="H58" i="13"/>
  <c r="B58" i="13"/>
  <c r="F58" i="13"/>
  <c r="C58" i="13"/>
  <c r="D58" i="13"/>
  <c r="E58" i="13"/>
  <c r="G58" i="13"/>
  <c r="A59" i="13" a="1"/>
  <c r="A59" i="13" s="1"/>
  <c r="C59" i="14" l="1"/>
  <c r="E59" i="14"/>
  <c r="G59" i="14"/>
  <c r="F59" i="14"/>
  <c r="D59" i="14"/>
  <c r="H59" i="14"/>
  <c r="B59" i="14"/>
  <c r="A60" i="14" a="1"/>
  <c r="A60" i="14" s="1"/>
  <c r="D59" i="13"/>
  <c r="G59" i="13"/>
  <c r="C59" i="13"/>
  <c r="H59" i="13"/>
  <c r="E59" i="13"/>
  <c r="B59" i="13"/>
  <c r="F59" i="13"/>
  <c r="A60" i="13" a="1"/>
  <c r="A60" i="13" s="1"/>
  <c r="E60" i="14" l="1"/>
  <c r="C60" i="14"/>
  <c r="F60" i="14"/>
  <c r="D60" i="14"/>
  <c r="H60" i="14"/>
  <c r="B60" i="14"/>
  <c r="G60" i="14"/>
  <c r="A61" i="14" a="1"/>
  <c r="A61" i="14" s="1"/>
  <c r="D60" i="13"/>
  <c r="B60" i="13"/>
  <c r="F60" i="13"/>
  <c r="H60" i="13"/>
  <c r="E60" i="13"/>
  <c r="C60" i="13"/>
  <c r="G60" i="13"/>
  <c r="A61" i="13" a="1"/>
  <c r="A61" i="13" s="1"/>
  <c r="G61" i="14" l="1"/>
  <c r="E61" i="14"/>
  <c r="H61" i="14"/>
  <c r="C61" i="14"/>
  <c r="D61" i="14"/>
  <c r="F61" i="14"/>
  <c r="B61" i="14"/>
  <c r="A62" i="14" a="1"/>
  <c r="A62" i="14" s="1"/>
  <c r="C61" i="13"/>
  <c r="D61" i="13"/>
  <c r="E61" i="13"/>
  <c r="F61" i="13"/>
  <c r="G61" i="13"/>
  <c r="B61" i="13"/>
  <c r="H61" i="13"/>
  <c r="A62" i="13" a="1"/>
  <c r="A62" i="13" s="1"/>
  <c r="G62" i="14" l="1"/>
  <c r="B62" i="14"/>
  <c r="H62" i="14"/>
  <c r="D62" i="14"/>
  <c r="E62" i="14"/>
  <c r="C62" i="14"/>
  <c r="F62" i="14"/>
  <c r="A63" i="14" a="1"/>
  <c r="A63" i="14" s="1"/>
  <c r="D62" i="13"/>
  <c r="B62" i="13"/>
  <c r="G62" i="13"/>
  <c r="C62" i="13"/>
  <c r="F62" i="13"/>
  <c r="E62" i="13"/>
  <c r="H62" i="13"/>
  <c r="A63" i="13" a="1"/>
  <c r="A63" i="13" s="1"/>
  <c r="H63" i="14" l="1"/>
  <c r="C63" i="14"/>
  <c r="B63" i="14"/>
  <c r="G63" i="14"/>
  <c r="D63" i="14"/>
  <c r="F63" i="14"/>
  <c r="E63" i="14"/>
  <c r="A64" i="14" a="1"/>
  <c r="A64" i="14" s="1"/>
  <c r="C63" i="13"/>
  <c r="E63" i="13"/>
  <c r="B63" i="13"/>
  <c r="D63" i="13"/>
  <c r="G63" i="13"/>
  <c r="F63" i="13"/>
  <c r="H63" i="13"/>
  <c r="A64" i="13" a="1"/>
  <c r="A64" i="13" s="1"/>
  <c r="E64" i="13" l="1"/>
  <c r="D64" i="13"/>
  <c r="B64" i="13"/>
  <c r="F64" i="13"/>
  <c r="C64" i="13"/>
  <c r="H64" i="13"/>
  <c r="G64" i="13"/>
  <c r="A65" i="13" a="1"/>
  <c r="A65" i="13" s="1"/>
  <c r="B64" i="14"/>
  <c r="D64" i="14"/>
  <c r="C64" i="14"/>
  <c r="H64" i="14"/>
  <c r="E64" i="14"/>
  <c r="G64" i="14"/>
  <c r="F64" i="14"/>
  <c r="A65" i="14" a="1"/>
  <c r="A65" i="14" s="1"/>
  <c r="F65" i="13" l="1"/>
  <c r="E65" i="13"/>
  <c r="B65" i="13"/>
  <c r="H65" i="13"/>
  <c r="G65" i="13"/>
  <c r="C65" i="13"/>
  <c r="D65" i="13"/>
  <c r="A66" i="13" a="1"/>
  <c r="A66" i="13" s="1"/>
  <c r="C65" i="14"/>
  <c r="E65" i="14"/>
  <c r="D65" i="14"/>
  <c r="H65" i="14"/>
  <c r="F65" i="14"/>
  <c r="B65" i="14"/>
  <c r="G65" i="14"/>
  <c r="A66" i="14" a="1"/>
  <c r="A66" i="14" s="1"/>
  <c r="B66" i="13" l="1"/>
  <c r="F66" i="13"/>
  <c r="G66" i="13"/>
  <c r="H66" i="13"/>
  <c r="C66" i="13"/>
  <c r="E66" i="13"/>
  <c r="D66" i="13"/>
  <c r="A67" i="13" a="1"/>
  <c r="A67" i="13" s="1"/>
  <c r="G66" i="14"/>
  <c r="B66" i="14"/>
  <c r="D66" i="14"/>
  <c r="H66" i="14"/>
  <c r="C66" i="14"/>
  <c r="F66" i="14"/>
  <c r="E66" i="14"/>
  <c r="A67" i="14" a="1"/>
  <c r="A67" i="14" s="1"/>
  <c r="C67" i="13" l="1"/>
  <c r="F67" i="13"/>
  <c r="B67" i="13"/>
  <c r="D67" i="13"/>
  <c r="H67" i="13"/>
  <c r="G67" i="13"/>
  <c r="E67" i="13"/>
  <c r="A68" i="13" a="1"/>
  <c r="A68" i="13" s="1"/>
  <c r="H67" i="14"/>
  <c r="C67" i="14"/>
  <c r="E67" i="14"/>
  <c r="D67" i="14"/>
  <c r="B67" i="14"/>
  <c r="G67" i="14"/>
  <c r="F67" i="14"/>
  <c r="A68" i="14" a="1"/>
  <c r="A68" i="14" s="1"/>
  <c r="H68" i="13" l="1"/>
  <c r="F68" i="13"/>
  <c r="B68" i="13"/>
  <c r="D68" i="13"/>
  <c r="G68" i="13"/>
  <c r="C68" i="13"/>
  <c r="E68" i="13"/>
  <c r="A69" i="13" a="1"/>
  <c r="A69" i="13" s="1"/>
  <c r="F68" i="14"/>
  <c r="D68" i="14"/>
  <c r="G68" i="14"/>
  <c r="E68" i="14"/>
  <c r="C68" i="14"/>
  <c r="H68" i="14"/>
  <c r="B68" i="14"/>
  <c r="A69" i="14" a="1"/>
  <c r="A69" i="14" s="1"/>
  <c r="F69" i="13" l="1"/>
  <c r="G69" i="13"/>
  <c r="B69" i="13"/>
  <c r="D69" i="13"/>
  <c r="C69" i="13"/>
  <c r="H69" i="13"/>
  <c r="E69" i="13"/>
  <c r="A70" i="13" a="1"/>
  <c r="A70" i="13" s="1"/>
  <c r="G69" i="14"/>
  <c r="E69" i="14"/>
  <c r="H69" i="14"/>
  <c r="D69" i="14"/>
  <c r="F69" i="14"/>
  <c r="B69" i="14"/>
  <c r="C69" i="14"/>
  <c r="A70" i="14" a="1"/>
  <c r="A70" i="14" s="1"/>
  <c r="H70" i="13" l="1"/>
  <c r="G70" i="13"/>
  <c r="B70" i="13"/>
  <c r="D70" i="13"/>
  <c r="E70" i="13"/>
  <c r="F70" i="13"/>
  <c r="C70" i="13"/>
  <c r="A71" i="13" a="1"/>
  <c r="A71" i="13" s="1"/>
  <c r="G70" i="14"/>
  <c r="B70" i="14"/>
  <c r="H70" i="14"/>
  <c r="E70" i="14"/>
  <c r="C70" i="14"/>
  <c r="F70" i="14"/>
  <c r="D70" i="14"/>
  <c r="A71" i="14" a="1"/>
  <c r="A71" i="14" s="1"/>
  <c r="D71" i="13" l="1"/>
  <c r="F71" i="13"/>
  <c r="B71" i="13"/>
  <c r="H71" i="13"/>
  <c r="C71" i="13"/>
  <c r="E71" i="13"/>
  <c r="G71" i="13"/>
  <c r="A72" i="13" a="1"/>
  <c r="A72" i="13" s="1"/>
  <c r="H71" i="14"/>
  <c r="C71" i="14"/>
  <c r="B71" i="14"/>
  <c r="D71" i="14"/>
  <c r="F71" i="14"/>
  <c r="E71" i="14"/>
  <c r="G71" i="14"/>
  <c r="A72" i="14" a="1"/>
  <c r="A72" i="14" s="1"/>
  <c r="D72" i="13" l="1"/>
  <c r="H72" i="13"/>
  <c r="B72" i="13"/>
  <c r="E72" i="13"/>
  <c r="G72" i="13"/>
  <c r="C72" i="13"/>
  <c r="F72" i="13"/>
  <c r="A73" i="13" a="1"/>
  <c r="A73" i="13" s="1"/>
  <c r="B72" i="14"/>
  <c r="D72" i="14"/>
  <c r="C72" i="14"/>
  <c r="E72" i="14"/>
  <c r="G72" i="14"/>
  <c r="F72" i="14"/>
  <c r="H72" i="14"/>
  <c r="A73" i="14" a="1"/>
  <c r="A73" i="14" s="1"/>
  <c r="C73" i="13" l="1"/>
  <c r="H73" i="13"/>
  <c r="B73" i="13"/>
  <c r="F73" i="13"/>
  <c r="E73" i="13"/>
  <c r="D73" i="13"/>
  <c r="G73" i="13"/>
  <c r="A74" i="13" a="1"/>
  <c r="A74" i="13" s="1"/>
  <c r="C73" i="14"/>
  <c r="E73" i="14"/>
  <c r="D73" i="14"/>
  <c r="H73" i="14"/>
  <c r="F73" i="14"/>
  <c r="B73" i="14"/>
  <c r="G73" i="14"/>
  <c r="A74" i="14" a="1"/>
  <c r="A74" i="14" s="1"/>
  <c r="D74" i="13" l="1"/>
  <c r="H74" i="13"/>
  <c r="B74" i="13"/>
  <c r="F74" i="13"/>
  <c r="E74" i="13"/>
  <c r="C74" i="13"/>
  <c r="G74" i="13"/>
  <c r="A75" i="13" a="1"/>
  <c r="A75" i="13" s="1"/>
  <c r="B74" i="14"/>
  <c r="D74" i="14"/>
  <c r="G74" i="14"/>
  <c r="F74" i="14"/>
  <c r="H74" i="14"/>
  <c r="C74" i="14"/>
  <c r="E74" i="14"/>
  <c r="A75" i="14" a="1"/>
  <c r="A75" i="14" s="1"/>
  <c r="D75" i="13" l="1"/>
  <c r="G75" i="13"/>
  <c r="B75" i="13"/>
  <c r="H75" i="13"/>
  <c r="F75" i="13"/>
  <c r="E75" i="13"/>
  <c r="C75" i="13"/>
  <c r="A76" i="13" a="1"/>
  <c r="A76" i="13" s="1"/>
  <c r="C75" i="14"/>
  <c r="F75" i="14"/>
  <c r="G75" i="14"/>
  <c r="H75" i="14"/>
  <c r="D75" i="14"/>
  <c r="E75" i="14"/>
  <c r="B75" i="14"/>
  <c r="A76" i="14" a="1"/>
  <c r="A76" i="14" s="1"/>
  <c r="B76" i="13" l="1"/>
  <c r="E76" i="13"/>
  <c r="F76" i="13"/>
  <c r="D76" i="13"/>
  <c r="G76" i="13"/>
  <c r="H76" i="13"/>
  <c r="C76" i="13"/>
  <c r="A77" i="13" a="1"/>
  <c r="A77" i="13" s="1"/>
  <c r="H76" i="14"/>
  <c r="G76" i="14"/>
  <c r="D76" i="14"/>
  <c r="E76" i="14"/>
  <c r="F76" i="14"/>
  <c r="B76" i="14"/>
  <c r="C76" i="14"/>
  <c r="A77" i="14" a="1"/>
  <c r="A77" i="14" s="1"/>
  <c r="B77" i="13" l="1"/>
  <c r="F77" i="13"/>
  <c r="G77" i="13"/>
  <c r="C77" i="13"/>
  <c r="E77" i="13"/>
  <c r="D77" i="13"/>
  <c r="H77" i="13"/>
  <c r="A78" i="13" a="1"/>
  <c r="A78" i="13" s="1"/>
  <c r="G77" i="14"/>
  <c r="E77" i="14"/>
  <c r="C77" i="14"/>
  <c r="B77" i="14"/>
  <c r="D77" i="14"/>
  <c r="F77" i="14"/>
  <c r="H77" i="14"/>
  <c r="A78" i="14" a="1"/>
  <c r="A78" i="14" s="1"/>
  <c r="G78" i="13" l="1"/>
  <c r="F78" i="13"/>
  <c r="H78" i="13"/>
  <c r="D78" i="13"/>
  <c r="B78" i="13"/>
  <c r="E78" i="13"/>
  <c r="C78" i="13"/>
  <c r="A79" i="13" a="1"/>
  <c r="A79" i="13" s="1"/>
  <c r="E78" i="14"/>
  <c r="D78" i="14"/>
  <c r="H78" i="14"/>
  <c r="G78" i="14"/>
  <c r="C78" i="14"/>
  <c r="F78" i="14"/>
  <c r="B78" i="14"/>
  <c r="A79" i="14" a="1"/>
  <c r="A79" i="14" s="1"/>
  <c r="D79" i="13" l="1"/>
  <c r="B79" i="13"/>
  <c r="G79" i="13"/>
  <c r="H79" i="13"/>
  <c r="C79" i="13"/>
  <c r="E79" i="13"/>
  <c r="F79" i="13"/>
  <c r="A80" i="13" a="1"/>
  <c r="A80" i="13" s="1"/>
  <c r="C79" i="14"/>
  <c r="G79" i="14"/>
  <c r="B79" i="14"/>
  <c r="D79" i="14"/>
  <c r="H79" i="14"/>
  <c r="E79" i="14"/>
  <c r="F79" i="14"/>
  <c r="A80" i="14" a="1"/>
  <c r="A80" i="14" s="1"/>
  <c r="F80" i="13" l="1"/>
  <c r="G80" i="13"/>
  <c r="B80" i="13"/>
  <c r="D80" i="13"/>
  <c r="C80" i="13"/>
  <c r="E80" i="13"/>
  <c r="H80" i="13"/>
  <c r="A81" i="13" a="1"/>
  <c r="A81" i="13" s="1"/>
  <c r="E80" i="14"/>
  <c r="H80" i="14"/>
  <c r="G80" i="14"/>
  <c r="C80" i="14"/>
  <c r="D80" i="14"/>
  <c r="F80" i="14"/>
  <c r="B80" i="14"/>
  <c r="A81" i="14" a="1"/>
  <c r="A81" i="14" s="1"/>
  <c r="C81" i="13" l="1"/>
  <c r="F81" i="13"/>
  <c r="D81" i="13"/>
  <c r="B81" i="13"/>
  <c r="E81" i="13"/>
  <c r="H81" i="13"/>
  <c r="G81" i="13"/>
  <c r="A82" i="13" a="1"/>
  <c r="A82" i="13" s="1"/>
  <c r="E81" i="14"/>
  <c r="D81" i="14"/>
  <c r="B81" i="14"/>
  <c r="C81" i="14"/>
  <c r="F81" i="14"/>
  <c r="G81" i="14"/>
  <c r="H81" i="14"/>
  <c r="A82" i="14" a="1"/>
  <c r="A82" i="14" s="1"/>
  <c r="C82" i="13" l="1"/>
  <c r="B82" i="13"/>
  <c r="G82" i="13"/>
  <c r="F82" i="13"/>
  <c r="E82" i="13"/>
  <c r="D82" i="13"/>
  <c r="H82" i="13"/>
  <c r="A83" i="13" a="1"/>
  <c r="A83" i="13" s="1"/>
  <c r="C82" i="14"/>
  <c r="B82" i="14"/>
  <c r="E82" i="14"/>
  <c r="D82" i="14"/>
  <c r="F82" i="14"/>
  <c r="H82" i="14"/>
  <c r="G82" i="14"/>
  <c r="A83" i="14" a="1"/>
  <c r="A83" i="14" s="1"/>
  <c r="H83" i="13" l="1"/>
  <c r="C83" i="13"/>
  <c r="E83" i="13"/>
  <c r="F83" i="13"/>
  <c r="B83" i="13"/>
  <c r="G83" i="13"/>
  <c r="D83" i="13"/>
  <c r="A84" i="13" a="1"/>
  <c r="A84" i="13" s="1"/>
  <c r="H83" i="14"/>
  <c r="E83" i="14"/>
  <c r="C83" i="14"/>
  <c r="D83" i="14"/>
  <c r="F83" i="14"/>
  <c r="B83" i="14"/>
  <c r="G83" i="14"/>
  <c r="A84" i="14" a="1"/>
  <c r="A84" i="14" s="1"/>
  <c r="G84" i="13" l="1"/>
  <c r="F84" i="13"/>
  <c r="D84" i="13"/>
  <c r="C84" i="13"/>
  <c r="B84" i="13"/>
  <c r="H84" i="13"/>
  <c r="E84" i="13"/>
  <c r="A85" i="13" a="1"/>
  <c r="A85" i="13" s="1"/>
  <c r="G84" i="14"/>
  <c r="B84" i="14"/>
  <c r="H84" i="14"/>
  <c r="E84" i="14"/>
  <c r="C84" i="14"/>
  <c r="F84" i="14"/>
  <c r="D84" i="14"/>
  <c r="A85" i="14" a="1"/>
  <c r="A85" i="14" s="1"/>
  <c r="B85" i="13" l="1"/>
  <c r="D85" i="13"/>
  <c r="C85" i="13"/>
  <c r="E85" i="13"/>
  <c r="F85" i="13"/>
  <c r="G85" i="13"/>
  <c r="H85" i="13"/>
  <c r="A86" i="13" a="1"/>
  <c r="A86" i="13" s="1"/>
  <c r="F85" i="14"/>
  <c r="G85" i="14"/>
  <c r="B85" i="14"/>
  <c r="H85" i="14"/>
  <c r="D85" i="14"/>
  <c r="E85" i="14"/>
  <c r="C85" i="14"/>
  <c r="A86" i="14" a="1"/>
  <c r="A86" i="14" s="1"/>
  <c r="H86" i="13" l="1"/>
  <c r="G86" i="13"/>
  <c r="B86" i="13"/>
  <c r="E86" i="13"/>
  <c r="D86" i="13"/>
  <c r="C86" i="13"/>
  <c r="F86" i="13"/>
  <c r="A87" i="13" a="1"/>
  <c r="A87" i="13" s="1"/>
  <c r="H86" i="14"/>
  <c r="D86" i="14"/>
  <c r="C86" i="14"/>
  <c r="E86" i="14"/>
  <c r="G86" i="14"/>
  <c r="F86" i="14"/>
  <c r="B86" i="14"/>
  <c r="A87" i="14" a="1"/>
  <c r="A87" i="14" s="1"/>
  <c r="H87" i="13" l="1"/>
  <c r="B87" i="13"/>
  <c r="C87" i="13"/>
  <c r="D87" i="13"/>
  <c r="G87" i="13"/>
  <c r="E87" i="13"/>
  <c r="F87" i="13"/>
  <c r="A88" i="13" a="1"/>
  <c r="A88" i="13" s="1"/>
  <c r="D87" i="14"/>
  <c r="G87" i="14"/>
  <c r="H87" i="14"/>
  <c r="C87" i="14"/>
  <c r="F87" i="14"/>
  <c r="E87" i="14"/>
  <c r="B87" i="14"/>
  <c r="A88" i="14" a="1"/>
  <c r="A88" i="14" s="1"/>
  <c r="G88" i="13" l="1"/>
  <c r="E88" i="13"/>
  <c r="B88" i="13"/>
  <c r="D88" i="13"/>
  <c r="H88" i="13"/>
  <c r="F88" i="13"/>
  <c r="C88" i="13"/>
  <c r="A89" i="13" a="1"/>
  <c r="A89" i="13" s="1"/>
  <c r="B88" i="14"/>
  <c r="E88" i="14"/>
  <c r="C88" i="14"/>
  <c r="H88" i="14"/>
  <c r="D88" i="14"/>
  <c r="F88" i="14"/>
  <c r="G88" i="14"/>
  <c r="A89" i="14" a="1"/>
  <c r="A89" i="14" s="1"/>
  <c r="F89" i="13" l="1"/>
  <c r="E89" i="13"/>
  <c r="G89" i="13"/>
  <c r="C89" i="13"/>
  <c r="H89" i="13"/>
  <c r="D89" i="13"/>
  <c r="B89" i="13"/>
  <c r="A90" i="13" a="1"/>
  <c r="A90" i="13" s="1"/>
  <c r="F89" i="14"/>
  <c r="E89" i="14"/>
  <c r="C89" i="14"/>
  <c r="G89" i="14"/>
  <c r="D89" i="14"/>
  <c r="B89" i="14"/>
  <c r="H89" i="14"/>
  <c r="A90" i="14" a="1"/>
  <c r="A90" i="14" s="1"/>
  <c r="F90" i="13" l="1"/>
  <c r="H90" i="13"/>
  <c r="C90" i="13"/>
  <c r="E90" i="13"/>
  <c r="D90" i="13"/>
  <c r="B90" i="13"/>
  <c r="G90" i="13"/>
  <c r="A91" i="13" a="1"/>
  <c r="A91" i="13" s="1"/>
  <c r="B90" i="14"/>
  <c r="C90" i="14"/>
  <c r="H90" i="14"/>
  <c r="F90" i="14"/>
  <c r="D90" i="14"/>
  <c r="E90" i="14"/>
  <c r="G90" i="14"/>
  <c r="A91" i="14" a="1"/>
  <c r="A91" i="14" s="1"/>
  <c r="G91" i="13" l="1"/>
  <c r="D91" i="13"/>
  <c r="E91" i="13"/>
  <c r="F91" i="13"/>
  <c r="H91" i="13"/>
  <c r="C91" i="13"/>
  <c r="B91" i="13"/>
  <c r="A92" i="13" a="1"/>
  <c r="A92" i="13" s="1"/>
  <c r="H91" i="14"/>
  <c r="C91" i="14"/>
  <c r="E91" i="14"/>
  <c r="G91" i="14"/>
  <c r="D91" i="14"/>
  <c r="F91" i="14"/>
  <c r="B91" i="14"/>
  <c r="A92" i="14" a="1"/>
  <c r="A92" i="14" s="1"/>
  <c r="F92" i="13" l="1"/>
  <c r="H92" i="13"/>
  <c r="G92" i="13"/>
  <c r="D92" i="13"/>
  <c r="C92" i="13"/>
  <c r="E92" i="13"/>
  <c r="B92" i="13"/>
  <c r="A93" i="13" a="1"/>
  <c r="A93" i="13" s="1"/>
  <c r="D92" i="14"/>
  <c r="E92" i="14"/>
  <c r="F92" i="14"/>
  <c r="B92" i="14"/>
  <c r="C92" i="14"/>
  <c r="H92" i="14"/>
  <c r="G92" i="14"/>
  <c r="A93" i="14" a="1"/>
  <c r="A93" i="14" s="1"/>
  <c r="B93" i="13" l="1"/>
  <c r="G93" i="13"/>
  <c r="E93" i="13"/>
  <c r="C93" i="13"/>
  <c r="F93" i="13"/>
  <c r="H93" i="13"/>
  <c r="D93" i="13"/>
  <c r="A94" i="13" a="1"/>
  <c r="A94" i="13" s="1"/>
  <c r="F93" i="14"/>
  <c r="D93" i="14"/>
  <c r="G93" i="14"/>
  <c r="E93" i="14"/>
  <c r="H93" i="14"/>
  <c r="B93" i="14"/>
  <c r="C93" i="14"/>
  <c r="A94" i="14" a="1"/>
  <c r="A94" i="14" s="1"/>
  <c r="F94" i="13" l="1"/>
  <c r="D94" i="13"/>
  <c r="B94" i="13"/>
  <c r="E94" i="13"/>
  <c r="H94" i="13"/>
  <c r="G94" i="13"/>
  <c r="C94" i="13"/>
  <c r="A95" i="13" a="1"/>
  <c r="A95" i="13" s="1"/>
  <c r="F94" i="14"/>
  <c r="B94" i="14"/>
  <c r="C94" i="14"/>
  <c r="D94" i="14"/>
  <c r="G94" i="14"/>
  <c r="H94" i="14"/>
  <c r="E94" i="14"/>
  <c r="A95" i="14" a="1"/>
  <c r="A95" i="14" s="1"/>
  <c r="D95" i="13" l="1"/>
  <c r="B95" i="13"/>
  <c r="E95" i="13"/>
  <c r="C95" i="13"/>
  <c r="H95" i="13"/>
  <c r="F95" i="13"/>
  <c r="G95" i="13"/>
  <c r="A96" i="13" a="1"/>
  <c r="A96" i="13" s="1"/>
  <c r="H95" i="14"/>
  <c r="G95" i="14"/>
  <c r="E95" i="14"/>
  <c r="C95" i="14"/>
  <c r="F95" i="14"/>
  <c r="D95" i="14"/>
  <c r="B95" i="14"/>
  <c r="A96" i="14" a="1"/>
  <c r="A96" i="14" s="1"/>
  <c r="F96" i="13" l="1"/>
  <c r="D96" i="13"/>
  <c r="H96" i="13"/>
  <c r="B96" i="13"/>
  <c r="E96" i="13"/>
  <c r="C96" i="13"/>
  <c r="G96" i="13"/>
  <c r="A97" i="13" a="1"/>
  <c r="A97" i="13" s="1"/>
  <c r="D96" i="14"/>
  <c r="E96" i="14"/>
  <c r="G96" i="14"/>
  <c r="C96" i="14"/>
  <c r="B96" i="14"/>
  <c r="H96" i="14"/>
  <c r="F96" i="14"/>
  <c r="A97" i="14" a="1"/>
  <c r="A97" i="14" s="1"/>
  <c r="E97" i="13" l="1"/>
  <c r="D97" i="13"/>
  <c r="H97" i="13"/>
  <c r="G97" i="13"/>
  <c r="F97" i="13"/>
  <c r="C97" i="13"/>
  <c r="B97" i="13"/>
  <c r="A98" i="13" a="1"/>
  <c r="A98" i="13" s="1"/>
  <c r="F97" i="14"/>
  <c r="H97" i="14"/>
  <c r="D97" i="14"/>
  <c r="E97" i="14"/>
  <c r="B97" i="14"/>
  <c r="C97" i="14"/>
  <c r="G97" i="14"/>
  <c r="A98" i="14" a="1"/>
  <c r="A98" i="14" s="1"/>
  <c r="D98" i="13" l="1"/>
  <c r="F98" i="13"/>
  <c r="H98" i="13"/>
  <c r="E98" i="13"/>
  <c r="C98" i="13"/>
  <c r="B98" i="13"/>
  <c r="G98" i="13"/>
  <c r="A99" i="13" a="1"/>
  <c r="A99" i="13" s="1"/>
  <c r="D98" i="14"/>
  <c r="G98" i="14"/>
  <c r="B98" i="14"/>
  <c r="E98" i="14"/>
  <c r="F98" i="14"/>
  <c r="H98" i="14"/>
  <c r="C98" i="14"/>
  <c r="A99" i="14" a="1"/>
  <c r="A99" i="14" s="1"/>
  <c r="B99" i="13" l="1"/>
  <c r="C99" i="13"/>
  <c r="H99" i="13"/>
  <c r="G99" i="13"/>
  <c r="F99" i="13"/>
  <c r="D99" i="13"/>
  <c r="E99" i="13"/>
  <c r="A100" i="13" a="1"/>
  <c r="A100" i="13" s="1"/>
  <c r="H99" i="14"/>
  <c r="G99" i="14"/>
  <c r="F99" i="14"/>
  <c r="D99" i="14"/>
  <c r="B99" i="14"/>
  <c r="C99" i="14"/>
  <c r="E99" i="14"/>
  <c r="A100" i="14" a="1"/>
  <c r="A100" i="14" s="1"/>
  <c r="D100" i="14" l="1"/>
  <c r="G100" i="14"/>
  <c r="F100" i="14"/>
  <c r="E100" i="14"/>
  <c r="H100" i="14"/>
  <c r="B100" i="14"/>
  <c r="C100" i="14"/>
  <c r="A101" i="14" a="1"/>
  <c r="A101" i="14" s="1"/>
  <c r="F100" i="13"/>
  <c r="D100" i="13"/>
  <c r="B100" i="13"/>
  <c r="G100" i="13"/>
  <c r="E100" i="13"/>
  <c r="C100" i="13"/>
  <c r="H100" i="13"/>
  <c r="A101" i="13" a="1"/>
  <c r="A101" i="13" s="1"/>
  <c r="F101" i="14" l="1"/>
  <c r="H101" i="14"/>
  <c r="B101" i="14"/>
  <c r="C101" i="14"/>
  <c r="E101" i="14"/>
  <c r="D101" i="14"/>
  <c r="G101" i="14"/>
  <c r="A102" i="14" a="1"/>
  <c r="A102" i="14" s="1"/>
  <c r="D101" i="13"/>
  <c r="H101" i="13"/>
  <c r="B101" i="13"/>
  <c r="E101" i="13"/>
  <c r="G101" i="13"/>
  <c r="C101" i="13"/>
  <c r="F101" i="13"/>
  <c r="A102" i="13" a="1"/>
  <c r="A102" i="13" s="1"/>
  <c r="H102" i="13" l="1"/>
  <c r="G102" i="13"/>
  <c r="B102" i="13"/>
  <c r="E102" i="13"/>
  <c r="F102" i="13"/>
  <c r="C102" i="13"/>
  <c r="D102" i="13"/>
  <c r="A103" i="13" a="1"/>
  <c r="A103" i="13" s="1"/>
  <c r="E102" i="14"/>
  <c r="F102" i="14"/>
  <c r="C102" i="14"/>
  <c r="H102" i="14"/>
  <c r="G102" i="14"/>
  <c r="B102" i="14"/>
  <c r="D102" i="14"/>
  <c r="A103" i="14" a="1"/>
  <c r="A103" i="14" s="1"/>
  <c r="H103" i="14" l="1"/>
  <c r="F103" i="14"/>
  <c r="B103" i="14"/>
  <c r="G103" i="14"/>
  <c r="E103" i="14"/>
  <c r="D103" i="14"/>
  <c r="C103" i="14"/>
  <c r="A104" i="14" a="1"/>
  <c r="A104" i="14" s="1"/>
  <c r="H103" i="13"/>
  <c r="E103" i="13"/>
  <c r="B103" i="13"/>
  <c r="F103" i="13"/>
  <c r="C103" i="13"/>
  <c r="G103" i="13"/>
  <c r="D103" i="13"/>
  <c r="A104" i="13" a="1"/>
  <c r="A104" i="13" s="1"/>
  <c r="G104" i="14" l="1"/>
  <c r="E104" i="14"/>
  <c r="H104" i="14"/>
  <c r="F104" i="14"/>
  <c r="C104" i="14"/>
  <c r="D104" i="14"/>
  <c r="B104" i="14"/>
  <c r="A105" i="14" a="1"/>
  <c r="A105" i="14" s="1"/>
  <c r="D104" i="13"/>
  <c r="E104" i="13"/>
  <c r="B104" i="13"/>
  <c r="F104" i="13"/>
  <c r="C104" i="13"/>
  <c r="H104" i="13"/>
  <c r="G104" i="13"/>
  <c r="A105" i="13" a="1"/>
  <c r="A105" i="13" s="1"/>
  <c r="F105" i="13" l="1"/>
  <c r="B105" i="13"/>
  <c r="C105" i="13"/>
  <c r="H105" i="13"/>
  <c r="D105" i="13"/>
  <c r="G105" i="13"/>
  <c r="E105" i="13"/>
  <c r="A106" i="13" a="1"/>
  <c r="A106" i="13" s="1"/>
  <c r="F105" i="14"/>
  <c r="H105" i="14"/>
  <c r="E105" i="14"/>
  <c r="G105" i="14"/>
  <c r="B105" i="14"/>
  <c r="C105" i="14"/>
  <c r="D105" i="14"/>
  <c r="A106" i="14" a="1"/>
  <c r="A106" i="14" s="1"/>
  <c r="D106" i="13" l="1"/>
  <c r="H106" i="13"/>
  <c r="B106" i="13"/>
  <c r="C106" i="13"/>
  <c r="F106" i="13"/>
  <c r="E106" i="13"/>
  <c r="G106" i="13"/>
  <c r="A107" i="13" a="1"/>
  <c r="A107" i="13" s="1"/>
  <c r="H106" i="14"/>
  <c r="G106" i="14"/>
  <c r="D106" i="14"/>
  <c r="B106" i="14"/>
  <c r="E106" i="14"/>
  <c r="C106" i="14"/>
  <c r="F106" i="14"/>
  <c r="A107" i="14" a="1"/>
  <c r="A107" i="14" s="1"/>
  <c r="H107" i="14" l="1"/>
  <c r="B107" i="14"/>
  <c r="G107" i="14"/>
  <c r="D107" i="14"/>
  <c r="C107" i="14"/>
  <c r="F107" i="14"/>
  <c r="E107" i="14"/>
  <c r="A108" i="14" a="1"/>
  <c r="A108" i="14" s="1"/>
  <c r="H107" i="13"/>
  <c r="B107" i="13"/>
  <c r="G107" i="13"/>
  <c r="E107" i="13"/>
  <c r="C107" i="13"/>
  <c r="F107" i="13"/>
  <c r="D107" i="13"/>
  <c r="A108" i="13" a="1"/>
  <c r="A108" i="13" s="1"/>
  <c r="G108" i="14" l="1"/>
  <c r="F108" i="14"/>
  <c r="B108" i="14"/>
  <c r="E108" i="14"/>
  <c r="H108" i="14"/>
  <c r="D108" i="14"/>
  <c r="C108" i="14"/>
  <c r="A109" i="14" a="1"/>
  <c r="A109" i="14" s="1"/>
  <c r="H108" i="13"/>
  <c r="C108" i="13"/>
  <c r="B108" i="13"/>
  <c r="F108" i="13"/>
  <c r="E108" i="13"/>
  <c r="D108" i="13"/>
  <c r="G108" i="13"/>
  <c r="A109" i="13" a="1"/>
  <c r="A109" i="13" s="1"/>
  <c r="F109" i="13" l="1"/>
  <c r="B109" i="13"/>
  <c r="D109" i="13"/>
  <c r="H109" i="13"/>
  <c r="G109" i="13"/>
  <c r="E109" i="13"/>
  <c r="C109" i="13"/>
  <c r="A110" i="13" a="1"/>
  <c r="A110" i="13" s="1"/>
  <c r="F109" i="14"/>
  <c r="G109" i="14"/>
  <c r="B109" i="14"/>
  <c r="D109" i="14"/>
  <c r="C109" i="14"/>
  <c r="H109" i="14"/>
  <c r="E109" i="14"/>
  <c r="A110" i="14" a="1"/>
  <c r="A110" i="14" s="1"/>
  <c r="E110" i="13" l="1"/>
  <c r="D110" i="13"/>
  <c r="H110" i="13"/>
  <c r="C110" i="13"/>
  <c r="B110" i="13"/>
  <c r="F110" i="13"/>
  <c r="G110" i="13"/>
  <c r="A111" i="13" a="1"/>
  <c r="A111" i="13" s="1"/>
  <c r="E110" i="14"/>
  <c r="H110" i="14"/>
  <c r="C110" i="14"/>
  <c r="B110" i="14"/>
  <c r="G110" i="14"/>
  <c r="D110" i="14"/>
  <c r="F110" i="14"/>
  <c r="A111" i="14" a="1"/>
  <c r="A111" i="14" s="1"/>
  <c r="B111" i="13" l="1"/>
  <c r="D111" i="13"/>
  <c r="G111" i="13"/>
  <c r="C111" i="13"/>
  <c r="F111" i="13"/>
  <c r="H111" i="13"/>
  <c r="E111" i="13"/>
  <c r="A112" i="13" a="1"/>
  <c r="A112" i="13" s="1"/>
  <c r="H111" i="14"/>
  <c r="B111" i="14"/>
  <c r="E111" i="14"/>
  <c r="F111" i="14"/>
  <c r="G111" i="14"/>
  <c r="C111" i="14"/>
  <c r="D111" i="14"/>
  <c r="A112" i="14" a="1"/>
  <c r="A112" i="14" s="1"/>
  <c r="H112" i="13" l="1"/>
  <c r="F112" i="13"/>
  <c r="B112" i="13"/>
  <c r="D112" i="13"/>
  <c r="C112" i="13"/>
  <c r="G112" i="13"/>
  <c r="E112" i="13"/>
  <c r="A113" i="13" a="1"/>
  <c r="A113" i="13" s="1"/>
  <c r="F112" i="14"/>
  <c r="E112" i="14"/>
  <c r="B112" i="14"/>
  <c r="C112" i="14"/>
  <c r="D112" i="14"/>
  <c r="H112" i="14"/>
  <c r="G112" i="14"/>
  <c r="A113" i="14" a="1"/>
  <c r="A113" i="14" s="1"/>
  <c r="D113" i="13" l="1"/>
  <c r="B113" i="13"/>
  <c r="E113" i="13"/>
  <c r="C113" i="13"/>
  <c r="H113" i="13"/>
  <c r="G113" i="13"/>
  <c r="F113" i="13"/>
  <c r="A114" i="13" a="1"/>
  <c r="A114" i="13" s="1"/>
  <c r="F113" i="14"/>
  <c r="C113" i="14"/>
  <c r="E113" i="14"/>
  <c r="H113" i="14"/>
  <c r="B113" i="14"/>
  <c r="D113" i="14"/>
  <c r="G113" i="14"/>
  <c r="A114" i="14" a="1"/>
  <c r="A114" i="14" s="1"/>
  <c r="F114" i="14" l="1"/>
  <c r="G114" i="14"/>
  <c r="D114" i="14"/>
  <c r="E114" i="14"/>
  <c r="H114" i="14"/>
  <c r="C114" i="14"/>
  <c r="B114" i="14"/>
  <c r="A115" i="14" a="1"/>
  <c r="A115" i="14" s="1"/>
  <c r="D114" i="13"/>
  <c r="F114" i="13"/>
  <c r="B114" i="13"/>
  <c r="C114" i="13"/>
  <c r="H114" i="13"/>
  <c r="G114" i="13"/>
  <c r="E114" i="13"/>
  <c r="A115" i="13" a="1"/>
  <c r="A115" i="13" s="1"/>
  <c r="H115" i="14" l="1"/>
  <c r="B115" i="14"/>
  <c r="C115" i="14"/>
  <c r="E115" i="14"/>
  <c r="F115" i="14"/>
  <c r="D115" i="14"/>
  <c r="G115" i="14"/>
  <c r="A116" i="14" a="1"/>
  <c r="A116" i="14" s="1"/>
  <c r="F115" i="13"/>
  <c r="B115" i="13"/>
  <c r="C115" i="13"/>
  <c r="H115" i="13"/>
  <c r="G115" i="13"/>
  <c r="D115" i="13"/>
  <c r="E115" i="13"/>
  <c r="A116" i="13" a="1"/>
  <c r="A116" i="13" s="1"/>
  <c r="H116" i="13" l="1"/>
  <c r="G116" i="13"/>
  <c r="B116" i="13"/>
  <c r="E116" i="13"/>
  <c r="F116" i="13"/>
  <c r="C116" i="13"/>
  <c r="D116" i="13"/>
  <c r="A117" i="13" a="1"/>
  <c r="A117" i="13" s="1"/>
  <c r="E116" i="14"/>
  <c r="H116" i="14"/>
  <c r="B116" i="14"/>
  <c r="C116" i="14"/>
  <c r="F116" i="14"/>
  <c r="D116" i="14"/>
  <c r="G116" i="14"/>
  <c r="A117" i="14" a="1"/>
  <c r="A117" i="14" s="1"/>
  <c r="G117" i="13" l="1"/>
  <c r="D117" i="13"/>
  <c r="E117" i="13"/>
  <c r="F117" i="13"/>
  <c r="B117" i="13"/>
  <c r="C117" i="13"/>
  <c r="H117" i="13"/>
  <c r="A118" i="13" a="1"/>
  <c r="A118" i="13" s="1"/>
  <c r="F117" i="14"/>
  <c r="C117" i="14"/>
  <c r="E117" i="14"/>
  <c r="D117" i="14"/>
  <c r="B117" i="14"/>
  <c r="G117" i="14"/>
  <c r="H117" i="14"/>
  <c r="A118" i="14" a="1"/>
  <c r="A118" i="14" s="1"/>
  <c r="F118" i="13" l="1"/>
  <c r="H118" i="13"/>
  <c r="G118" i="13"/>
  <c r="C118" i="13"/>
  <c r="E118" i="13"/>
  <c r="B118" i="13"/>
  <c r="D118" i="13"/>
  <c r="A119" i="13" a="1"/>
  <c r="A119" i="13" s="1"/>
  <c r="C118" i="14"/>
  <c r="B118" i="14"/>
  <c r="G118" i="14"/>
  <c r="H118" i="14"/>
  <c r="E118" i="14"/>
  <c r="F118" i="14"/>
  <c r="D118" i="14"/>
  <c r="A119" i="14" a="1"/>
  <c r="A119" i="14" s="1"/>
  <c r="C119" i="13" l="1"/>
  <c r="D119" i="13"/>
  <c r="H119" i="13"/>
  <c r="G119" i="13"/>
  <c r="F119" i="13"/>
  <c r="B119" i="13"/>
  <c r="E119" i="13"/>
  <c r="A120" i="13" a="1"/>
  <c r="A120" i="13" s="1"/>
  <c r="C119" i="14"/>
  <c r="B119" i="14"/>
  <c r="E119" i="14"/>
  <c r="G119" i="14"/>
  <c r="D119" i="14"/>
  <c r="H119" i="14"/>
  <c r="F119" i="14"/>
  <c r="A120" i="14" a="1"/>
  <c r="A120" i="14" s="1"/>
  <c r="D120" i="13" l="1"/>
  <c r="C120" i="13"/>
  <c r="G120" i="13"/>
  <c r="B120" i="13"/>
  <c r="F120" i="13"/>
  <c r="H120" i="13"/>
  <c r="E120" i="13"/>
  <c r="A121" i="13" a="1"/>
  <c r="A121" i="13" s="1"/>
  <c r="E120" i="14"/>
  <c r="H120" i="14"/>
  <c r="B120" i="14"/>
  <c r="D120" i="14"/>
  <c r="C120" i="14"/>
  <c r="F120" i="14"/>
  <c r="G120" i="14"/>
  <c r="A121" i="14" a="1"/>
  <c r="A121" i="14" s="1"/>
  <c r="D121" i="13" l="1"/>
  <c r="G121" i="13"/>
  <c r="H121" i="13"/>
  <c r="C121" i="13"/>
  <c r="B121" i="13"/>
  <c r="F121" i="13"/>
  <c r="E121" i="13"/>
  <c r="A122" i="13" a="1"/>
  <c r="A122" i="13" s="1"/>
  <c r="E121" i="14"/>
  <c r="D121" i="14"/>
  <c r="G121" i="14"/>
  <c r="F121" i="14"/>
  <c r="C121" i="14"/>
  <c r="H121" i="14"/>
  <c r="B121" i="14"/>
  <c r="A122" i="14" a="1"/>
  <c r="A122" i="14" s="1"/>
  <c r="E122" i="13" l="1"/>
  <c r="C122" i="13"/>
  <c r="H122" i="13"/>
  <c r="B122" i="13"/>
  <c r="G122" i="13"/>
  <c r="F122" i="13"/>
  <c r="D122" i="13"/>
  <c r="A123" i="13" a="1"/>
  <c r="A123" i="13" s="1"/>
  <c r="C122" i="14"/>
  <c r="F122" i="14"/>
  <c r="G122" i="14"/>
  <c r="H122" i="14"/>
  <c r="D122" i="14"/>
  <c r="E122" i="14"/>
  <c r="B122" i="14"/>
  <c r="A123" i="14" a="1"/>
  <c r="A123" i="14" s="1"/>
  <c r="F123" i="13" l="1"/>
  <c r="D123" i="13"/>
  <c r="G123" i="13"/>
  <c r="H123" i="13"/>
  <c r="C123" i="13"/>
  <c r="B123" i="13"/>
  <c r="E123" i="13"/>
  <c r="A124" i="13" a="1"/>
  <c r="A124" i="13" s="1"/>
  <c r="D123" i="14"/>
  <c r="C123" i="14"/>
  <c r="H123" i="14"/>
  <c r="E123" i="14"/>
  <c r="B123" i="14"/>
  <c r="G123" i="14"/>
  <c r="F123" i="14"/>
  <c r="F124" i="13" l="1"/>
  <c r="C124" i="13"/>
  <c r="H124" i="13"/>
  <c r="B124" i="13"/>
  <c r="G124" i="13"/>
  <c r="D124" i="13"/>
  <c r="E124" i="13"/>
  <c r="A125" i="13" a="1"/>
  <c r="A125" i="13" s="1"/>
  <c r="D125" i="13" l="1"/>
  <c r="E125" i="13"/>
  <c r="H125" i="13"/>
  <c r="C125" i="13"/>
  <c r="B125" i="13"/>
  <c r="G125" i="13"/>
  <c r="F125" i="13"/>
  <c r="A126" i="13" a="1"/>
  <c r="A126" i="13" s="1"/>
  <c r="G126" i="13" l="1"/>
  <c r="D126" i="13"/>
  <c r="H126" i="13"/>
  <c r="C126" i="13"/>
  <c r="B126" i="13"/>
  <c r="F126" i="13"/>
  <c r="E126" i="13"/>
  <c r="A127" i="13" a="1"/>
  <c r="A127" i="13" s="1"/>
  <c r="C127" i="13" l="1"/>
  <c r="D127" i="13"/>
  <c r="B127" i="13"/>
  <c r="F127" i="13"/>
  <c r="E127" i="13"/>
  <c r="H127" i="13"/>
  <c r="G127" i="13"/>
  <c r="A128" i="13" a="1"/>
  <c r="A128" i="13" s="1"/>
  <c r="C128" i="13" l="1"/>
  <c r="E128" i="13"/>
  <c r="F128" i="13"/>
  <c r="B128" i="13"/>
  <c r="H128" i="13"/>
  <c r="G128" i="13"/>
  <c r="D128" i="13"/>
  <c r="A129" i="13" a="1"/>
  <c r="A129" i="13" s="1"/>
  <c r="G129" i="13" l="1"/>
  <c r="C129" i="13"/>
  <c r="F129" i="13"/>
  <c r="D129" i="13"/>
  <c r="B129" i="13"/>
  <c r="H129" i="13"/>
  <c r="E129" i="13"/>
  <c r="A130" i="13" a="1"/>
  <c r="A130" i="13" s="1"/>
  <c r="G130" i="13" l="1"/>
  <c r="F130" i="13"/>
  <c r="D130" i="13"/>
  <c r="E130" i="13"/>
  <c r="C130" i="13"/>
  <c r="B130" i="13"/>
  <c r="H130" i="13"/>
  <c r="A131" i="13" a="1"/>
  <c r="A131" i="13" s="1"/>
  <c r="C131" i="13" l="1"/>
  <c r="E131" i="13"/>
  <c r="B131" i="13"/>
  <c r="F131" i="13"/>
  <c r="G131" i="13"/>
  <c r="H131" i="13"/>
  <c r="D131" i="13"/>
  <c r="A132" i="13" a="1"/>
  <c r="A132" i="13" s="1"/>
  <c r="H132" i="13" l="1"/>
  <c r="C132" i="13"/>
  <c r="F132" i="13"/>
  <c r="B132" i="13"/>
  <c r="D132" i="13"/>
  <c r="G132" i="13"/>
  <c r="E132" i="13"/>
  <c r="A133" i="13" a="1"/>
  <c r="A133" i="13" s="1"/>
  <c r="H133" i="13" l="1"/>
  <c r="E133" i="13"/>
  <c r="D133" i="13"/>
  <c r="F133" i="13"/>
  <c r="G133" i="13"/>
  <c r="C133" i="13"/>
  <c r="B133" i="13"/>
  <c r="A134" i="13" a="1"/>
  <c r="A134" i="13" s="1"/>
  <c r="G134" i="13" l="1"/>
  <c r="F134" i="13"/>
  <c r="E134" i="13"/>
  <c r="C134" i="13"/>
  <c r="B134" i="13"/>
  <c r="D134" i="13"/>
  <c r="H134" i="13"/>
  <c r="A135" i="13" a="1"/>
  <c r="A135" i="13" s="1"/>
  <c r="C135" i="13" l="1"/>
  <c r="G135" i="13"/>
  <c r="B135" i="13"/>
  <c r="F135" i="13"/>
  <c r="H135" i="13"/>
  <c r="E135" i="13"/>
  <c r="D135" i="13"/>
  <c r="A136" i="13" a="1"/>
  <c r="A136" i="13" s="1"/>
  <c r="D136" i="13" l="1"/>
  <c r="C136" i="13"/>
  <c r="G136" i="13"/>
  <c r="B136" i="13"/>
  <c r="E136" i="13"/>
  <c r="F136" i="13"/>
  <c r="H136" i="13"/>
  <c r="A137" i="13" a="1"/>
  <c r="A137" i="13" s="1"/>
  <c r="H137" i="13" l="1"/>
  <c r="F137" i="13"/>
  <c r="G137" i="13"/>
  <c r="C137" i="13"/>
  <c r="B137" i="13"/>
  <c r="D137" i="13"/>
  <c r="E137" i="13"/>
  <c r="A138" i="13" a="1"/>
  <c r="A138" i="13" s="1"/>
  <c r="G138" i="13" l="1"/>
  <c r="H138" i="13"/>
  <c r="F138" i="13"/>
  <c r="D138" i="13"/>
  <c r="C138" i="13"/>
  <c r="B138" i="13"/>
  <c r="E138" i="13"/>
  <c r="A139" i="13" a="1"/>
  <c r="A139" i="13" s="1"/>
  <c r="F139" i="13" l="1"/>
  <c r="H139" i="13"/>
  <c r="B139" i="13"/>
  <c r="G139" i="13"/>
  <c r="E139" i="13"/>
  <c r="D139" i="13"/>
  <c r="C139" i="13"/>
  <c r="A140" i="13" a="1"/>
  <c r="A140" i="13" s="1"/>
  <c r="F140" i="13" l="1"/>
  <c r="E140" i="13"/>
  <c r="D140" i="13"/>
  <c r="C140" i="13"/>
  <c r="B140" i="13"/>
  <c r="G140" i="13"/>
  <c r="H140" i="13"/>
  <c r="A141" i="13" a="1"/>
  <c r="A141" i="13" s="1"/>
  <c r="H141" i="13" l="1"/>
  <c r="D141" i="13"/>
  <c r="G141" i="13"/>
  <c r="B141" i="13"/>
  <c r="F141" i="13"/>
  <c r="C141" i="13"/>
  <c r="E141" i="13"/>
  <c r="A142" i="13" a="1"/>
  <c r="A142" i="13" s="1"/>
  <c r="G142" i="13" l="1"/>
  <c r="E142" i="13"/>
  <c r="F142" i="13"/>
  <c r="B142" i="13"/>
  <c r="D142" i="13"/>
  <c r="C142" i="13"/>
  <c r="H142" i="13"/>
  <c r="A143" i="13" a="1"/>
  <c r="A143" i="13" s="1"/>
  <c r="C143" i="13" l="1"/>
  <c r="E143" i="13"/>
  <c r="B143" i="13"/>
  <c r="D143" i="13"/>
  <c r="F143" i="13"/>
  <c r="H143" i="13"/>
  <c r="G143" i="13"/>
  <c r="A144" i="13" a="1"/>
  <c r="A144" i="13" s="1"/>
  <c r="G144" i="13" l="1"/>
  <c r="E144" i="13"/>
  <c r="H144" i="13"/>
  <c r="B144" i="13"/>
  <c r="D144" i="13"/>
  <c r="C144" i="13"/>
  <c r="F144" i="13"/>
  <c r="A145" i="13" a="1"/>
  <c r="A145" i="13" s="1"/>
  <c r="H145" i="13" l="1"/>
  <c r="G145" i="13"/>
  <c r="B145" i="13"/>
  <c r="F145" i="13"/>
  <c r="C145" i="13"/>
  <c r="E145" i="13"/>
  <c r="D145" i="13"/>
  <c r="A146" i="13" a="1"/>
  <c r="A146" i="13" s="1"/>
  <c r="G146" i="13" l="1"/>
  <c r="F146" i="13"/>
  <c r="E146" i="13"/>
  <c r="C146" i="13"/>
  <c r="D146" i="13"/>
  <c r="H146" i="13"/>
  <c r="B146" i="13"/>
  <c r="A147" i="13" a="1"/>
  <c r="A147" i="13" s="1"/>
  <c r="C147" i="13" l="1"/>
  <c r="E147" i="13"/>
  <c r="B147" i="13"/>
  <c r="F147" i="13"/>
  <c r="D147" i="13"/>
  <c r="H147" i="13"/>
  <c r="G147" i="13"/>
  <c r="A148" i="13" a="1"/>
  <c r="A148" i="13" s="1"/>
  <c r="H148" i="13" l="1"/>
  <c r="D148" i="13"/>
  <c r="B148" i="13"/>
  <c r="F148" i="13"/>
  <c r="C148" i="13"/>
  <c r="G148" i="13"/>
  <c r="E148" i="13"/>
  <c r="A149" i="13" a="1"/>
  <c r="A149" i="13" s="1"/>
  <c r="E149" i="13" l="1"/>
  <c r="F149" i="13"/>
  <c r="D149" i="13"/>
  <c r="G149" i="13"/>
  <c r="H149" i="13"/>
  <c r="C149" i="13"/>
  <c r="B149" i="13"/>
  <c r="A150" i="13" a="1"/>
  <c r="A150" i="13" s="1"/>
  <c r="G150" i="13" l="1"/>
  <c r="H150" i="13"/>
  <c r="C150" i="13"/>
  <c r="E150" i="13"/>
  <c r="D150" i="13"/>
  <c r="B150" i="13"/>
  <c r="F150" i="13"/>
  <c r="A151" i="13" a="1"/>
  <c r="A151" i="13" s="1"/>
  <c r="F151" i="13" l="1"/>
  <c r="H151" i="13"/>
  <c r="B151" i="13"/>
  <c r="D151" i="13"/>
  <c r="C151" i="13"/>
  <c r="G151" i="13"/>
  <c r="E151" i="13"/>
  <c r="A152" i="13" a="1"/>
  <c r="A152" i="13" s="1"/>
  <c r="D152" i="13" l="1"/>
  <c r="G152" i="13"/>
  <c r="C152" i="13"/>
  <c r="H152" i="13"/>
  <c r="E152" i="13"/>
  <c r="F152" i="13"/>
  <c r="B152" i="13"/>
  <c r="A153" i="13" a="1"/>
  <c r="A153" i="13" s="1"/>
  <c r="H153" i="13" l="1"/>
  <c r="C153" i="13"/>
  <c r="G153" i="13"/>
  <c r="D153" i="13"/>
  <c r="F153" i="13"/>
  <c r="B153" i="13"/>
  <c r="E153" i="13"/>
  <c r="A154" i="13" a="1"/>
  <c r="A154" i="13" s="1"/>
  <c r="G154" i="13" l="1"/>
  <c r="D154" i="13"/>
  <c r="F154" i="13"/>
  <c r="E154" i="13"/>
  <c r="B154" i="13"/>
  <c r="H154" i="13"/>
  <c r="C154" i="13"/>
  <c r="A155" i="13" a="1"/>
  <c r="A155" i="13" s="1"/>
  <c r="C155" i="13" l="1"/>
  <c r="D155" i="13"/>
  <c r="B155" i="13"/>
  <c r="E155" i="13"/>
  <c r="H155" i="13"/>
  <c r="F155" i="13"/>
  <c r="G155" i="13"/>
  <c r="A156" i="13" a="1"/>
  <c r="A156" i="13" s="1"/>
  <c r="F156" i="13" l="1"/>
  <c r="C156" i="13"/>
  <c r="D156" i="13"/>
  <c r="E156" i="13"/>
  <c r="G156" i="13"/>
  <c r="B156" i="13"/>
  <c r="H156" i="13"/>
  <c r="A157" i="13" a="1"/>
  <c r="A157" i="13" s="1"/>
  <c r="H157" i="13" l="1"/>
  <c r="D157" i="13"/>
  <c r="G157" i="13"/>
  <c r="B157" i="13"/>
  <c r="F157" i="13"/>
  <c r="C157" i="13"/>
  <c r="E157" i="13"/>
  <c r="A158" i="13" a="1"/>
  <c r="A158" i="13" s="1"/>
  <c r="G158" i="13" l="1"/>
  <c r="E158" i="13"/>
  <c r="F158" i="13"/>
  <c r="B158" i="13"/>
  <c r="D158" i="13"/>
  <c r="C158" i="13"/>
  <c r="H158" i="13"/>
  <c r="A159" i="13" a="1"/>
  <c r="A159" i="13" s="1"/>
  <c r="C159" i="13" l="1"/>
  <c r="D159" i="13"/>
  <c r="B159" i="13"/>
  <c r="E159" i="13"/>
  <c r="F159" i="13"/>
  <c r="H159" i="13"/>
  <c r="G159" i="13"/>
  <c r="A160" i="13" a="1"/>
  <c r="A160" i="13" s="1"/>
  <c r="G160" i="13" l="1"/>
  <c r="H160" i="13"/>
  <c r="C160" i="13"/>
  <c r="B160" i="13"/>
  <c r="F160" i="13"/>
  <c r="E160" i="13"/>
  <c r="D160" i="13"/>
  <c r="A161" i="13" a="1"/>
  <c r="A161" i="13" s="1"/>
  <c r="C161" i="13" l="1"/>
  <c r="G161" i="13"/>
  <c r="B161" i="13"/>
  <c r="E161" i="13"/>
  <c r="D161" i="13"/>
  <c r="F161" i="13"/>
  <c r="H161" i="13"/>
  <c r="A162" i="13" a="1"/>
  <c r="A162" i="13" s="1"/>
  <c r="G162" i="13" l="1"/>
  <c r="F162" i="13"/>
  <c r="E162" i="13"/>
  <c r="C162" i="13"/>
  <c r="D162" i="13"/>
  <c r="H162" i="13"/>
  <c r="B162" i="13"/>
  <c r="A163" i="13" a="1"/>
  <c r="A163" i="13" s="1"/>
  <c r="C163" i="13" l="1"/>
  <c r="E163" i="13"/>
  <c r="B163" i="13"/>
  <c r="F163" i="13"/>
  <c r="D163" i="13"/>
  <c r="H163" i="13"/>
  <c r="G163" i="13"/>
  <c r="A164" i="13" a="1"/>
  <c r="A164" i="13" s="1"/>
  <c r="H164" i="13" l="1"/>
  <c r="D164" i="13"/>
  <c r="B164" i="13"/>
  <c r="F164" i="13"/>
  <c r="C164" i="13"/>
  <c r="G164" i="13"/>
  <c r="E164" i="13"/>
  <c r="A165" i="13" a="1"/>
  <c r="A165" i="13" s="1"/>
  <c r="H165" i="13" l="1"/>
  <c r="F165" i="13"/>
  <c r="C165" i="13"/>
  <c r="G165" i="13"/>
  <c r="D165" i="13"/>
  <c r="E165" i="13"/>
  <c r="B165" i="13"/>
  <c r="A166" i="13" a="1"/>
  <c r="A166" i="13" s="1"/>
  <c r="G166" i="13" l="1"/>
  <c r="H166" i="13"/>
  <c r="C166" i="13"/>
  <c r="E166" i="13"/>
  <c r="D166" i="13"/>
  <c r="B166" i="13"/>
  <c r="F166" i="13"/>
  <c r="A167" i="13" a="1"/>
  <c r="A167" i="13" s="1"/>
  <c r="C167" i="13" l="1"/>
  <c r="G167" i="13"/>
  <c r="B167" i="13"/>
  <c r="E167" i="13"/>
  <c r="D167" i="13"/>
  <c r="H167" i="13"/>
  <c r="F167" i="13"/>
  <c r="A168" i="13" a="1"/>
  <c r="A168" i="13" s="1"/>
  <c r="D168" i="13" l="1"/>
  <c r="H168" i="13"/>
  <c r="C168" i="13"/>
  <c r="G168" i="13"/>
  <c r="E168" i="13"/>
  <c r="F168" i="13"/>
  <c r="B168" i="13"/>
  <c r="A169" i="13" a="1"/>
  <c r="A169" i="13" s="1"/>
  <c r="H169" i="13" l="1"/>
  <c r="C169" i="13"/>
  <c r="G169" i="13"/>
  <c r="D169" i="13"/>
  <c r="F169" i="13"/>
  <c r="B169" i="13"/>
  <c r="E169" i="13"/>
  <c r="A170" i="13" a="1"/>
  <c r="A170" i="13" s="1"/>
  <c r="G170" i="13" l="1"/>
  <c r="D170" i="13"/>
  <c r="F170" i="13"/>
  <c r="E170" i="13"/>
  <c r="B170" i="13"/>
  <c r="H170" i="13"/>
  <c r="C170" i="13"/>
  <c r="A171" i="13" a="1"/>
  <c r="A171" i="13" s="1"/>
  <c r="F171" i="13" l="1"/>
  <c r="D171" i="13"/>
  <c r="B171" i="13"/>
  <c r="H171" i="13"/>
  <c r="C171" i="13"/>
  <c r="G171" i="13"/>
  <c r="E171" i="13"/>
  <c r="A172" i="13" a="1"/>
  <c r="A172" i="13" s="1"/>
  <c r="C172" i="13" l="1"/>
  <c r="E172" i="13"/>
  <c r="H172" i="13"/>
  <c r="G172" i="13"/>
  <c r="F172" i="13"/>
  <c r="B172" i="13"/>
  <c r="D172" i="13"/>
  <c r="A173" i="13" a="1"/>
  <c r="A173" i="13" s="1"/>
  <c r="H173" i="13" l="1"/>
  <c r="D173" i="13"/>
  <c r="G173" i="13"/>
  <c r="B173" i="13"/>
  <c r="F173" i="13"/>
  <c r="C173" i="13"/>
  <c r="E173" i="13"/>
  <c r="A174" i="13" a="1"/>
  <c r="A174" i="13" s="1"/>
  <c r="G174" i="13" l="1"/>
  <c r="E174" i="13"/>
  <c r="F174" i="13"/>
  <c r="B174" i="13"/>
  <c r="D174" i="13"/>
  <c r="C174" i="13"/>
  <c r="H174" i="13"/>
  <c r="A175" i="13" a="1"/>
  <c r="A175" i="13" s="1"/>
  <c r="C175" i="13" l="1"/>
  <c r="D175" i="13"/>
  <c r="B175" i="13"/>
  <c r="E175" i="13"/>
  <c r="F175" i="13"/>
  <c r="H175" i="13"/>
  <c r="G175" i="13"/>
  <c r="A176" i="13" a="1"/>
  <c r="A176" i="13" s="1"/>
  <c r="G176" i="13" l="1"/>
  <c r="E176" i="13"/>
  <c r="H176" i="13"/>
  <c r="B176" i="13"/>
  <c r="D176" i="13"/>
  <c r="C176" i="13"/>
  <c r="F176" i="13"/>
  <c r="A177" i="13" a="1"/>
  <c r="A177" i="13" s="1"/>
  <c r="H177" i="13" l="1"/>
  <c r="G177" i="13"/>
  <c r="B177" i="13"/>
  <c r="F177" i="13"/>
  <c r="C177" i="13"/>
  <c r="E177" i="13"/>
  <c r="D177" i="13"/>
  <c r="A178" i="13" a="1"/>
  <c r="A178" i="13" s="1"/>
  <c r="G178" i="13" l="1"/>
  <c r="F178" i="13"/>
  <c r="E178" i="13"/>
  <c r="C178" i="13"/>
  <c r="D178" i="13"/>
  <c r="H178" i="13"/>
  <c r="B178" i="13"/>
  <c r="A179" i="13" a="1"/>
  <c r="A179" i="13" s="1"/>
  <c r="C179" i="13" l="1"/>
  <c r="E179" i="13"/>
  <c r="B179" i="13"/>
  <c r="F179" i="13"/>
  <c r="D179" i="13"/>
  <c r="H179" i="13"/>
  <c r="G179" i="13"/>
  <c r="A180" i="13" a="1"/>
  <c r="A180" i="13" s="1"/>
  <c r="H180" i="13" l="1"/>
  <c r="D180" i="13"/>
  <c r="B180" i="13"/>
  <c r="F180" i="13"/>
  <c r="C180" i="13"/>
  <c r="G180" i="13"/>
  <c r="E180" i="13"/>
  <c r="A181" i="13" a="1"/>
  <c r="A181" i="13" s="1"/>
  <c r="E181" i="13" l="1"/>
  <c r="G181" i="13"/>
  <c r="D181" i="13"/>
  <c r="F181" i="13"/>
  <c r="H181" i="13"/>
  <c r="C181" i="13"/>
  <c r="B181" i="13"/>
  <c r="A182" i="13" a="1"/>
  <c r="A182" i="13" s="1"/>
  <c r="G182" i="13" l="1"/>
  <c r="H182" i="13"/>
  <c r="C182" i="13"/>
  <c r="E182" i="13"/>
  <c r="D182" i="13"/>
  <c r="B182" i="13"/>
  <c r="F182" i="13"/>
  <c r="A183" i="13" a="1"/>
  <c r="A183" i="13" s="1"/>
  <c r="F183" i="13" l="1"/>
  <c r="G183" i="13"/>
  <c r="B183" i="13"/>
  <c r="E183" i="13"/>
  <c r="D183" i="13"/>
  <c r="H183" i="13"/>
  <c r="C183" i="13"/>
  <c r="A184" i="13" a="1"/>
  <c r="A184" i="13" s="1"/>
  <c r="D184" i="13" l="1"/>
  <c r="G184" i="13"/>
  <c r="C184" i="13"/>
  <c r="H184" i="13"/>
  <c r="E184" i="13"/>
  <c r="F184" i="13"/>
  <c r="B184" i="13"/>
  <c r="A185" i="13" a="1"/>
  <c r="A185" i="13" s="1"/>
  <c r="H185" i="13" l="1"/>
  <c r="C185" i="13"/>
  <c r="G185" i="13"/>
  <c r="D185" i="13"/>
  <c r="F185" i="13"/>
  <c r="B185" i="13"/>
  <c r="E185" i="13"/>
  <c r="A186" i="13" a="1"/>
  <c r="A186" i="13" s="1"/>
  <c r="G186" i="13" l="1"/>
  <c r="D186" i="13"/>
  <c r="F186" i="13"/>
  <c r="E186" i="13"/>
  <c r="B186" i="13"/>
  <c r="H186" i="13"/>
  <c r="C186" i="13"/>
  <c r="A187" i="13" a="1"/>
  <c r="A187" i="13" s="1"/>
  <c r="C187" i="13" l="1"/>
  <c r="H187" i="13"/>
  <c r="B187" i="13"/>
  <c r="E187" i="13"/>
  <c r="D187" i="13"/>
  <c r="F187" i="13"/>
  <c r="G187" i="13"/>
  <c r="A188" i="13" a="1"/>
  <c r="A188" i="13" s="1"/>
  <c r="F188" i="13" l="1"/>
  <c r="C188" i="13"/>
  <c r="D188" i="13"/>
  <c r="E188" i="13"/>
  <c r="G188" i="13"/>
  <c r="B188" i="13"/>
  <c r="H188" i="13"/>
  <c r="A189" i="13" a="1"/>
  <c r="A189" i="13" s="1"/>
  <c r="H189" i="13" l="1"/>
  <c r="D189" i="13"/>
  <c r="G189" i="13"/>
  <c r="B189" i="13"/>
  <c r="F189" i="13"/>
  <c r="C189" i="13"/>
  <c r="E189" i="13"/>
  <c r="A190" i="13" a="1"/>
  <c r="A190" i="13" s="1"/>
  <c r="G190" i="13" l="1"/>
  <c r="E190" i="13"/>
  <c r="F190" i="13"/>
  <c r="B190" i="13"/>
  <c r="D190" i="13"/>
  <c r="C190" i="13"/>
  <c r="H190" i="13"/>
  <c r="A191" i="13" a="1"/>
  <c r="A191" i="13" s="1"/>
  <c r="C191" i="13" l="1"/>
  <c r="D191" i="13"/>
  <c r="B191" i="13"/>
  <c r="E191" i="13"/>
  <c r="F191" i="13"/>
  <c r="H191" i="13"/>
  <c r="G191" i="13"/>
  <c r="A192" i="13" a="1"/>
  <c r="A192" i="13" s="1"/>
  <c r="C192" i="13" l="1"/>
  <c r="H192" i="13"/>
  <c r="G192" i="13"/>
  <c r="B192" i="13"/>
  <c r="D192" i="13"/>
  <c r="E192" i="13"/>
  <c r="F192" i="13"/>
  <c r="A193" i="13" a="1"/>
  <c r="A193" i="13" s="1"/>
  <c r="G193" i="13" l="1"/>
  <c r="E193" i="13"/>
  <c r="B193" i="13"/>
  <c r="F193" i="13"/>
  <c r="D193" i="13"/>
  <c r="C193" i="13"/>
  <c r="H193" i="13"/>
  <c r="A194" i="13" a="1"/>
  <c r="A194" i="13" s="1"/>
  <c r="G194" i="13" l="1"/>
  <c r="E194" i="13"/>
  <c r="F194" i="13"/>
  <c r="C194" i="13"/>
  <c r="D194" i="13"/>
  <c r="H194" i="13"/>
  <c r="B194" i="13"/>
  <c r="A195" i="13" a="1"/>
  <c r="A195" i="13" s="1"/>
  <c r="C195" i="13" l="1"/>
  <c r="E195" i="13"/>
  <c r="B195" i="13"/>
  <c r="F195" i="13"/>
  <c r="D195" i="13"/>
  <c r="H195" i="13"/>
  <c r="G195" i="13"/>
  <c r="A196" i="13" a="1"/>
  <c r="A196" i="13" s="1"/>
  <c r="H196" i="13" l="1"/>
  <c r="D196" i="13"/>
  <c r="B196" i="13"/>
  <c r="F196" i="13"/>
  <c r="C196" i="13"/>
  <c r="G196" i="13"/>
  <c r="E196" i="13"/>
  <c r="A197" i="13" a="1"/>
  <c r="A197" i="13" s="1"/>
  <c r="H197" i="13" l="1"/>
  <c r="F197" i="13"/>
  <c r="C197" i="13"/>
  <c r="G197" i="13"/>
  <c r="D197" i="13"/>
  <c r="E197" i="13"/>
  <c r="B197" i="13"/>
  <c r="A198" i="13" a="1"/>
  <c r="A198" i="13" s="1"/>
  <c r="G198" i="13" l="1"/>
  <c r="F198" i="13"/>
  <c r="C198" i="13"/>
  <c r="E198" i="13"/>
  <c r="D198" i="13"/>
  <c r="B198" i="13"/>
  <c r="H198" i="13"/>
  <c r="A199" i="13" a="1"/>
  <c r="A199" i="13" s="1"/>
  <c r="C199" i="13" l="1"/>
  <c r="G199" i="13"/>
  <c r="B199" i="13"/>
  <c r="E199" i="13"/>
  <c r="D199" i="13"/>
  <c r="H199" i="13"/>
  <c r="F199" i="13"/>
  <c r="A200" i="13" a="1"/>
  <c r="A200" i="13" s="1"/>
  <c r="D200" i="13" l="1"/>
  <c r="G200" i="13"/>
  <c r="C200" i="13"/>
  <c r="H200" i="13"/>
  <c r="E200" i="13"/>
  <c r="F200" i="13"/>
  <c r="B200" i="13"/>
  <c r="A201" i="13" a="1"/>
  <c r="A201" i="13" s="1"/>
  <c r="H201" i="13" l="1"/>
  <c r="C201" i="13"/>
  <c r="G201" i="13"/>
  <c r="D201" i="13"/>
  <c r="F201" i="13"/>
  <c r="B201" i="13"/>
  <c r="E201" i="13"/>
  <c r="A202" i="13" a="1"/>
  <c r="A202" i="13" s="1"/>
  <c r="G202" i="13" l="1"/>
  <c r="H202" i="13"/>
  <c r="F202" i="13"/>
  <c r="E202" i="13"/>
  <c r="B202" i="13"/>
  <c r="D202" i="13"/>
  <c r="C202" i="13"/>
  <c r="A203" i="13" a="1"/>
  <c r="A203" i="13" s="1"/>
  <c r="F203" i="13" l="1"/>
  <c r="H203" i="13"/>
  <c r="B203" i="13"/>
  <c r="E203" i="13"/>
  <c r="D203" i="13"/>
  <c r="G203" i="13"/>
  <c r="C203" i="13"/>
  <c r="A204" i="13" a="1"/>
  <c r="A204" i="13" s="1"/>
  <c r="F204" i="13" l="1"/>
  <c r="E204" i="13"/>
  <c r="D204" i="13"/>
  <c r="C204" i="13"/>
  <c r="H204" i="13"/>
  <c r="G204" i="13"/>
  <c r="B204" i="13"/>
  <c r="A205" i="13" a="1"/>
  <c r="A205" i="13" s="1"/>
  <c r="H205" i="13" l="1"/>
  <c r="D205" i="13"/>
  <c r="G205" i="13"/>
  <c r="B205" i="13"/>
  <c r="C205" i="13"/>
  <c r="E205" i="13"/>
  <c r="F205" i="13"/>
  <c r="A206" i="13" a="1"/>
  <c r="A206" i="13" s="1"/>
  <c r="G206" i="13" l="1"/>
  <c r="E206" i="13"/>
  <c r="F206" i="13"/>
  <c r="B206" i="13"/>
  <c r="D206" i="13"/>
  <c r="C206" i="13"/>
  <c r="H206" i="13"/>
  <c r="A207" i="13" a="1"/>
  <c r="A207" i="13" s="1"/>
  <c r="C207" i="13" l="1"/>
  <c r="D207" i="13"/>
  <c r="B207" i="13"/>
  <c r="E207" i="13"/>
  <c r="F207" i="13"/>
  <c r="H207" i="13"/>
  <c r="G207" i="13"/>
  <c r="A208" i="13" a="1"/>
  <c r="A208" i="13" s="1"/>
  <c r="G208" i="13" l="1"/>
  <c r="E208" i="13"/>
  <c r="H208" i="13"/>
  <c r="B208" i="13"/>
  <c r="C208" i="13"/>
  <c r="D208" i="13"/>
  <c r="F208" i="13"/>
  <c r="A209" i="13" a="1"/>
  <c r="A209" i="13" s="1"/>
  <c r="H209" i="13" l="1"/>
  <c r="G209" i="13"/>
  <c r="B209" i="13"/>
  <c r="E209" i="13"/>
  <c r="D209" i="13"/>
  <c r="F209" i="13"/>
  <c r="C209" i="13"/>
  <c r="A210" i="13" a="1"/>
  <c r="A210" i="13" s="1"/>
  <c r="H210" i="13" l="1"/>
  <c r="C210" i="13"/>
  <c r="E210" i="13"/>
  <c r="B210" i="13"/>
  <c r="D210" i="13"/>
  <c r="F210" i="13"/>
  <c r="G210" i="13"/>
  <c r="A211" i="13" a="1"/>
  <c r="A211" i="13" s="1"/>
  <c r="D211" i="13" l="1"/>
  <c r="H211" i="13"/>
  <c r="F211" i="13"/>
  <c r="E211" i="13"/>
  <c r="G211" i="13"/>
  <c r="C211" i="13"/>
  <c r="B211" i="13"/>
  <c r="A212" i="13" a="1"/>
  <c r="A212" i="13" s="1"/>
  <c r="D212" i="13" l="1"/>
  <c r="B212" i="13"/>
  <c r="C212" i="13"/>
  <c r="G212" i="13"/>
  <c r="E212" i="13"/>
  <c r="H212" i="13"/>
  <c r="F212" i="13"/>
</calcChain>
</file>

<file path=xl/sharedStrings.xml><?xml version="1.0" encoding="utf-8"?>
<sst xmlns="http://schemas.openxmlformats.org/spreadsheetml/2006/main" count="4181" uniqueCount="2160">
  <si>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</si>
  <si>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</si>
  <si>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</si>
  <si>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</si>
  <si>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</si>
  <si>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</si>
  <si>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</si>
  <si>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</si>
  <si>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</si>
  <si>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</si>
  <si>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</si>
  <si>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</si>
  <si>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</si>
  <si>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</si>
  <si>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</si>
  <si>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</si>
  <si>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</si>
  <si>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</si>
  <si>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</si>
  <si>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</si>
  <si>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</si>
  <si>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</si>
  <si>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</si>
  <si>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</si>
  <si>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</si>
  <si>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</si>
  <si>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</si>
  <si>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</si>
  <si>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</si>
  <si>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</si>
  <si>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</si>
  <si>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</si>
  <si>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</si>
  <si>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</si>
  <si>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</si>
  <si>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</si>
  <si>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</si>
  <si>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</si>
  <si>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</si>
  <si>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</si>
  <si>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</si>
  <si>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</si>
  <si>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</si>
  <si>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</si>
  <si>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</si>
  <si>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</si>
  <si>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</si>
  <si>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</si>
  <si>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</si>
  <si>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</si>
  <si>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</si>
  <si>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</si>
  <si>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</si>
  <si>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</si>
  <si>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</si>
  <si>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</si>
  <si>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</si>
  <si>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</si>
  <si>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</si>
  <si>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</si>
  <si>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</si>
  <si>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</si>
  <si>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</si>
  <si>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</si>
  <si>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</si>
  <si>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</si>
  <si>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</si>
  <si>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</si>
  <si>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</si>
  <si>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</si>
  <si>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</si>
  <si>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</si>
  <si>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</si>
  <si>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</si>
  <si>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</si>
  <si>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</si>
  <si>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</si>
  <si>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</si>
  <si>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</si>
  <si>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</si>
  <si>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</si>
  <si>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</si>
  <si>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</si>
  <si>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</si>
  <si>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</si>
  <si>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</si>
  <si>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</si>
  <si>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</si>
  <si>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</si>
  <si>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</si>
  <si>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</si>
  <si>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</si>
  <si>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</si>
  <si>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</si>
  <si>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</si>
  <si>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</si>
  <si>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</si>
  <si>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</si>
  <si>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</si>
  <si>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</si>
  <si>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</si>
  <si>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</si>
  <si>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</si>
  <si>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</si>
  <si>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</si>
  <si>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</si>
  <si>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</si>
  <si>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</si>
  <si>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</si>
  <si>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</si>
  <si>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</si>
  <si>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</si>
  <si>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</si>
  <si>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</si>
  <si>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</si>
  <si>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</si>
  <si>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</si>
  <si>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</si>
  <si>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</si>
  <si>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</si>
  <si>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</si>
  <si>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</si>
  <si>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</si>
  <si>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</si>
  <si>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</si>
  <si>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</si>
  <si>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</si>
  <si>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</si>
  <si>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</si>
  <si>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</si>
  <si>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</si>
  <si>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</si>
  <si>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</si>
  <si>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</si>
  <si>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</si>
  <si>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</si>
  <si>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</si>
  <si>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</si>
  <si>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</si>
  <si>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</si>
  <si>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</si>
  <si>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</si>
  <si>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</si>
  <si>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</si>
  <si>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</si>
  <si>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</si>
  <si>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</si>
  <si>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</si>
  <si>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</si>
  <si>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</si>
  <si>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</si>
  <si>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</si>
  <si>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</si>
  <si>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</si>
  <si>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</si>
  <si>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</si>
  <si>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</si>
  <si>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</si>
  <si>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</si>
  <si>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</si>
  <si>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</si>
  <si>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</si>
  <si>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</si>
  <si>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</si>
  <si>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</si>
  <si>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</si>
  <si>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</si>
  <si>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</si>
  <si>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</si>
  <si>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</si>
  <si>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</si>
  <si>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</si>
  <si>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</si>
  <si>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</si>
  <si>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</si>
  <si>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</si>
  <si>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</si>
  <si>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</si>
  <si>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</si>
  <si>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</si>
  <si>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</si>
  <si>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</si>
  <si>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</si>
  <si>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</si>
  <si>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</si>
  <si>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</si>
  <si>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</si>
  <si>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</si>
  <si>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</si>
  <si>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</si>
  <si>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</si>
  <si>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</si>
  <si>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</si>
  <si>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</si>
  <si>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</si>
  <si>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</si>
  <si>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</si>
  <si>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</si>
  <si>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</si>
  <si>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</si>
  <si>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</si>
  <si>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</si>
  <si>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</si>
  <si>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</si>
  <si>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</si>
  <si>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</si>
  <si>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</si>
  <si>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</si>
  <si>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</si>
  <si>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</si>
  <si>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</si>
  <si>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</si>
  <si>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</si>
  <si>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</si>
  <si>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</si>
  <si>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</si>
  <si>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</si>
  <si>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</si>
  <si>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</si>
  <si>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</si>
  <si>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</si>
  <si>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</si>
  <si>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</si>
  <si>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</si>
  <si>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</si>
  <si>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</si>
  <si>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</si>
  <si>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</si>
  <si>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</si>
  <si>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</si>
  <si>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</si>
  <si>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</si>
  <si>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</si>
  <si>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</si>
  <si>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</si>
  <si>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</si>
  <si>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</si>
  <si>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</si>
  <si>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</si>
  <si>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</si>
  <si>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</si>
  <si>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</si>
  <si>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</si>
  <si>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</si>
  <si>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</si>
  <si>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</si>
  <si>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</si>
  <si>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</si>
  <si>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</si>
  <si>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</si>
  <si>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</si>
  <si>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</si>
  <si>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</si>
  <si>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</si>
  <si>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</si>
  <si>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</si>
  <si>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</si>
  <si>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</si>
  <si>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</si>
  <si>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</si>
  <si>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</si>
  <si>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</si>
  <si>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</si>
  <si>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</si>
  <si>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</si>
  <si>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</si>
  <si>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</si>
  <si>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</si>
  <si>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</si>
  <si>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</si>
  <si>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</si>
  <si>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</si>
  <si>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</si>
  <si>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</si>
  <si>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</si>
  <si>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</si>
  <si>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</si>
  <si>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</si>
  <si>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</si>
  <si>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</si>
  <si>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</si>
  <si>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</si>
  <si>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</si>
  <si>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</si>
  <si>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</si>
  <si>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</si>
  <si>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</si>
  <si>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</si>
  <si>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</si>
  <si>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</si>
  <si>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</si>
  <si>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</si>
  <si>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</si>
  <si>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</si>
  <si>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</si>
  <si>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</si>
  <si>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</si>
  <si>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</si>
  <si>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</si>
  <si>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</si>
  <si>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</si>
  <si>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</si>
  <si>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</si>
  <si>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</si>
  <si>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</si>
  <si>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</si>
  <si>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</si>
  <si>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</si>
  <si>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</si>
  <si>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</si>
  <si>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</si>
  <si>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</si>
  <si>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</si>
  <si>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</si>
  <si>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</si>
  <si>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</si>
  <si>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</si>
  <si>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</si>
  <si>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</si>
  <si>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</si>
  <si>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</si>
  <si>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</si>
  <si>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</si>
  <si>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</si>
  <si>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</si>
  <si>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</si>
  <si>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</si>
  <si>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</si>
  <si>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</si>
  <si>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</si>
  <si>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</si>
  <si>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</si>
  <si>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</si>
  <si>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</si>
  <si>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</si>
  <si>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</si>
  <si>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</si>
  <si>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</si>
  <si>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</si>
  <si>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</si>
  <si>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</si>
  <si>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</si>
  <si>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</si>
  <si>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</si>
  <si>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</si>
  <si>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</si>
  <si>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</si>
  <si>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</si>
  <si>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</si>
  <si>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</si>
  <si>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</si>
  <si>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</si>
  <si>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</si>
  <si>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</si>
  <si>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</si>
  <si>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</si>
  <si>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</si>
  <si>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</si>
  <si>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</si>
  <si>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</si>
  <si>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</si>
  <si>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</si>
  <si>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</si>
  <si>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</si>
  <si>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</si>
  <si>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</si>
  <si>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</si>
  <si>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</si>
  <si>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</si>
  <si>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</si>
  <si>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</si>
  <si>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</si>
  <si>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</si>
  <si>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</si>
  <si>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</si>
  <si>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</si>
  <si>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</si>
  <si>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</si>
  <si>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</si>
  <si>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</si>
  <si>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</si>
  <si>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</si>
  <si>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</si>
  <si>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</si>
  <si>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</si>
  <si>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</si>
  <si>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</si>
  <si>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</si>
  <si>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</si>
  <si>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</si>
  <si>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</si>
  <si>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</si>
  <si>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</si>
  <si>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</si>
  <si>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</si>
  <si>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</si>
  <si>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</si>
  <si>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</si>
  <si>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</si>
  <si>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</si>
  <si>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</si>
  <si>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</si>
  <si>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</si>
  <si>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</si>
  <si>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</si>
  <si>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</si>
  <si>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</si>
  <si>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</si>
  <si>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</si>
  <si>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</si>
  <si>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</si>
  <si>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</si>
  <si>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</si>
  <si>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</si>
  <si>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</si>
  <si>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</si>
  <si>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</si>
  <si>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</si>
  <si>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</si>
  <si>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</si>
  <si>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</si>
  <si>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</si>
  <si>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</si>
  <si>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</si>
  <si>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</si>
  <si>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</si>
  <si>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</si>
  <si>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</si>
  <si>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</si>
  <si>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</si>
  <si>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</si>
  <si>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</si>
  <si>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</si>
  <si>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</si>
  <si>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</si>
  <si>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</si>
  <si>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</si>
  <si>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</si>
  <si>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</si>
  <si>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</si>
  <si>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</si>
  <si>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</si>
  <si>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</si>
  <si>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</si>
  <si>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</si>
  <si>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</si>
  <si>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</si>
  <si>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</si>
  <si>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</si>
  <si>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</si>
  <si>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</si>
  <si>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</si>
  <si>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</si>
  <si>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</si>
  <si>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</si>
  <si>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</si>
  <si>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</si>
  <si>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</si>
  <si>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</si>
  <si>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</si>
  <si>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</si>
  <si>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</si>
  <si>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</si>
  <si>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</si>
  <si>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</si>
  <si>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</si>
  <si>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</si>
  <si>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</si>
  <si>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</si>
  <si>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</si>
  <si>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</si>
  <si>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</si>
  <si>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</si>
  <si>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</si>
  <si>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</si>
  <si>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</si>
  <si>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</si>
  <si>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</si>
  <si>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</si>
  <si>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</si>
  <si>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</si>
  <si>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</si>
  <si>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</si>
  <si>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</si>
  <si>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</si>
  <si>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</si>
  <si>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</si>
  <si>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</si>
  <si>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</si>
  <si>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</si>
  <si>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</si>
  <si>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</si>
  <si>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</si>
  <si>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</si>
  <si>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</si>
  <si>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</si>
  <si>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</si>
  <si>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</si>
  <si>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</si>
  <si>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</si>
  <si>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</si>
  <si>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</si>
  <si>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</si>
  <si>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</si>
  <si>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</si>
  <si>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</si>
  <si>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</si>
  <si>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</si>
  <si>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</si>
  <si>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</si>
  <si>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</si>
  <si>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</si>
  <si>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</si>
  <si>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</si>
  <si>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</si>
  <si>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</si>
  <si>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</si>
  <si>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</si>
  <si>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</si>
  <si>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</si>
  <si>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</si>
  <si>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</si>
  <si>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</si>
  <si>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</si>
  <si>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</si>
  <si>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</si>
  <si>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</si>
  <si>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</si>
  <si>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</si>
  <si>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</si>
  <si>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</si>
  <si>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</si>
  <si>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</si>
  <si>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</si>
  <si>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</si>
  <si>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</si>
  <si>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</si>
  <si>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</si>
  <si>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</si>
  <si>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</si>
  <si>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</si>
  <si>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</si>
  <si>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</si>
  <si>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</si>
  <si>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</si>
  <si>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</si>
  <si>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</si>
  <si>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</si>
  <si>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</si>
  <si>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</si>
  <si>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</si>
  <si>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</si>
  <si>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</si>
  <si>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</si>
  <si>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</si>
  <si>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</si>
  <si>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</si>
  <si>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</si>
  <si>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</si>
  <si>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</si>
  <si>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</si>
  <si>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</si>
  <si>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</si>
  <si>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</si>
  <si>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</si>
  <si>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</si>
  <si>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</si>
  <si>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</si>
  <si>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</si>
  <si>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</si>
  <si>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</si>
  <si>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</si>
  <si>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</si>
  <si>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</si>
  <si>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</si>
  <si>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</si>
  <si>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</si>
  <si>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</si>
  <si>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</si>
  <si>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</si>
  <si>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</si>
  <si>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</si>
  <si>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</si>
  <si>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</si>
  <si>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</si>
  <si>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</si>
  <si>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</si>
  <si>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</si>
  <si>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</si>
  <si>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</si>
  <si>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</si>
  <si>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</si>
  <si>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</si>
  <si>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</si>
  <si>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</si>
  <si>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</si>
  <si>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</si>
  <si>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</si>
  <si>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</si>
  <si>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</si>
  <si>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</si>
  <si>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</si>
  <si>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</si>
  <si>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</si>
  <si>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</si>
  <si>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</si>
  <si>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</si>
  <si>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</si>
  <si>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</si>
  <si>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</si>
  <si>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</si>
  <si>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</si>
  <si>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</si>
  <si>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</si>
  <si>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</si>
  <si>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</si>
  <si>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</si>
  <si>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</si>
  <si>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</si>
  <si>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</si>
  <si>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</si>
  <si>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</si>
  <si>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</si>
  <si>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</si>
  <si>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</si>
  <si>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</si>
  <si>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</si>
  <si>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</si>
  <si>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</si>
  <si>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</si>
  <si>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</si>
  <si>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</si>
  <si>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</si>
  <si>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</si>
  <si>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</si>
  <si>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</si>
  <si>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</si>
  <si>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</si>
  <si>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</si>
  <si>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</si>
  <si>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</si>
  <si>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</si>
  <si>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</si>
  <si>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</si>
  <si>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</si>
  <si>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</si>
  <si>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</si>
  <si>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</si>
  <si>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</si>
  <si>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</si>
  <si>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</si>
  <si>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</si>
  <si>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</si>
  <si>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</si>
  <si>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</si>
  <si>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</si>
  <si>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</si>
  <si>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</si>
  <si>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</si>
  <si>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</si>
  <si>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</si>
  <si>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</si>
  <si>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</si>
  <si>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</si>
  <si>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</si>
  <si>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</si>
  <si>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</si>
  <si>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</si>
  <si>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</si>
  <si>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</si>
  <si>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</si>
  <si>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</si>
  <si>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</si>
  <si>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</si>
  <si>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</si>
  <si>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</si>
  <si>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</si>
  <si>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</si>
  <si>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</si>
  <si>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</si>
  <si>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</si>
  <si>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</si>
  <si>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</si>
  <si>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</si>
  <si>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</si>
  <si>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</si>
  <si>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</si>
  <si>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</si>
  <si>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</si>
  <si>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</si>
  <si>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</si>
  <si>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Eastern Power Networks</t>
  </si>
  <si>
    <t>2017/2018</t>
  </si>
  <si>
    <t>01/04/2017</t>
  </si>
  <si>
    <t>Monday to Friday 
(Including Bank Holidays)
March to October Inclusive</t>
  </si>
  <si>
    <t>All times are in UK Clock time</t>
  </si>
  <si>
    <t>16:00 - 19:00</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</si>
  <si>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</si>
  <si>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</si>
  <si>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</si>
  <si>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</si>
  <si>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</si>
  <si>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</si>
  <si>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</si>
  <si>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</si>
  <si>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</si>
  <si>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</si>
  <si>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</si>
  <si>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</si>
  <si>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</si>
  <si>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</si>
  <si>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</si>
  <si>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80, 902, 916</t>
  </si>
  <si>
    <t>84, 903, 918</t>
  </si>
  <si>
    <t>771, 791, 792</t>
  </si>
  <si>
    <t>796, 797</t>
  </si>
  <si>
    <t>798, 799</t>
  </si>
  <si>
    <t>Stratton Hall Solar - IMPORT</t>
  </si>
  <si>
    <t>Weston Airfield - IMPORT</t>
  </si>
  <si>
    <t>ARA, Manton</t>
  </si>
  <si>
    <t>Stansted Main</t>
  </si>
  <si>
    <t>Stansted Primary</t>
  </si>
  <si>
    <t>BOC Ltd, Thame</t>
  </si>
  <si>
    <t>British Pipeline Agcy Coryton</t>
  </si>
  <si>
    <t>British Sugar - Bury</t>
  </si>
  <si>
    <t>British Sugar - Wissington</t>
  </si>
  <si>
    <t>Case New Holland UK Ltd</t>
  </si>
  <si>
    <t>Coldham Wind Farm - IMPORT</t>
  </si>
  <si>
    <t>Defence Research Agcy, Bedford</t>
  </si>
  <si>
    <t>Mucking Generation - IMPORT</t>
  </si>
  <si>
    <t>Pitsea Landfill - IMPORT</t>
  </si>
  <si>
    <t>Sutton Power Station - IMPORT</t>
  </si>
  <si>
    <t>EMR East Tilbury Brickworks</t>
  </si>
  <si>
    <t>Glassmoor Wind Farm - IMPORT</t>
  </si>
  <si>
    <t>Red Tile Wind Farm - IMPORT</t>
  </si>
  <si>
    <t>Fibropower Eye</t>
  </si>
  <si>
    <t>Fibrowatt Thetford</t>
  </si>
  <si>
    <t>Ford, Dagenham</t>
  </si>
  <si>
    <t>H Williams Scrap Yard</t>
  </si>
  <si>
    <t>Hayward Tyler Fluid Dynamics</t>
  </si>
  <si>
    <t>Brogborough Landfill - Site 1</t>
  </si>
  <si>
    <t>Kodak Ltd - Harrow</t>
  </si>
  <si>
    <t>L Scott &amp; Electro - Norwich</t>
  </si>
  <si>
    <t>Little Barford Power Station</t>
  </si>
  <si>
    <t>LU - East Finchley</t>
  </si>
  <si>
    <t>Edmonton Incinerator - IMPORT</t>
  </si>
  <si>
    <t>Bradwell Wind farm - IMPORT</t>
  </si>
  <si>
    <t>Merck,Sharp &amp; Dohme, Hoddesdon</t>
  </si>
  <si>
    <t>News International</t>
  </si>
  <si>
    <t>N. Pickenham W. Farm - IMPORT</t>
  </si>
  <si>
    <t>Palm Paper Limited</t>
  </si>
  <si>
    <t>Petrolplus - Coryton</t>
  </si>
  <si>
    <t>Port of Tilbury - IMPORT</t>
  </si>
  <si>
    <t>Ranson Moor Farm - IMPORT</t>
  </si>
  <si>
    <t>Cotton Wind farm - IMPORT</t>
  </si>
  <si>
    <t>Scroby Sands - IMPORT</t>
  </si>
  <si>
    <t>Shell UK Ltd - Coryton</t>
  </si>
  <si>
    <t>Stags Holt Wind Farm - IMPORT</t>
  </si>
  <si>
    <t>WRG, Stewartby</t>
  </si>
  <si>
    <t>NR Basildon - IMPORT</t>
  </si>
  <si>
    <t>Earls Hall Farm - IMPORT</t>
  </si>
  <si>
    <t>NR Colchester - IMPORT</t>
  </si>
  <si>
    <t>NR Crowlands - IMPORT</t>
  </si>
  <si>
    <t>NR Grahame Park - IMPORT</t>
  </si>
  <si>
    <t>NR Hornsey - IMPORT</t>
  </si>
  <si>
    <t>NR Kings Lynn - IMPORT</t>
  </si>
  <si>
    <t>NR Little Barford - IMPORT</t>
  </si>
  <si>
    <t>NR Manningtree - IMPORT</t>
  </si>
  <si>
    <t>NR Milton - IMPORT</t>
  </si>
  <si>
    <t>NR Norwich - IMPORT</t>
  </si>
  <si>
    <t>NR Peterborough  - IMPORT</t>
  </si>
  <si>
    <t>NR Rayleigh - IMPORT</t>
  </si>
  <si>
    <t>NR Rye House - IMPORT</t>
  </si>
  <si>
    <t>NR Shenfield - IMPORT</t>
  </si>
  <si>
    <t>NR Southend Central - IMPORT</t>
  </si>
  <si>
    <t>NR Springfield - IMPORT</t>
  </si>
  <si>
    <t>NR Stowmarket - IMPORT</t>
  </si>
  <si>
    <t>NR Sundon - IMPORT</t>
  </si>
  <si>
    <t>NR Tottenham - IMPORT</t>
  </si>
  <si>
    <t>NR Ugley - IMPORT</t>
  </si>
  <si>
    <t>NR Welwyn - IMPORT</t>
  </si>
  <si>
    <t>Rainham Generator - IMPORT</t>
  </si>
  <si>
    <t>WELWYN DATA CENTRE - IMPORT</t>
  </si>
  <si>
    <t>LU Manor House - IMPORT</t>
  </si>
  <si>
    <t>Glassmoor II - IMPORT</t>
  </si>
  <si>
    <t>Ind. Chemicals Group - IMPORT</t>
  </si>
  <si>
    <t>Wadlow Wind farm - IMPORT</t>
  </si>
  <si>
    <t>Whitemill Wind farm - IMPORT</t>
  </si>
  <si>
    <t>Abbotts Ripton SF - IMPORT</t>
  </si>
  <si>
    <t>Bay Farm Solar - IMPORT</t>
  </si>
  <si>
    <t>Biggleswade WF - IMPORT</t>
  </si>
  <si>
    <t>Broxted Solar Farm - IMPORT</t>
  </si>
  <si>
    <t>Burnthouse Solar - IMPORT</t>
  </si>
  <si>
    <t>Burnthouse Wind - IMPORT</t>
  </si>
  <si>
    <t>Cantelupe Solar Farm - IMPORT</t>
  </si>
  <si>
    <t>Chediston Hall - IMPORT</t>
  </si>
  <si>
    <t>Dairy House SF - IMPORT</t>
  </si>
  <si>
    <t>Double Back Lane - IMPORT</t>
  </si>
  <si>
    <t>Drapers Farm Solar - IMPORT</t>
  </si>
  <si>
    <t>Egmere Airfield SF - IMPORT</t>
  </si>
  <si>
    <t>Ellough Solar Farm - IMPORT</t>
  </si>
  <si>
    <t>Euston Estate - IMPORT</t>
  </si>
  <si>
    <t>Eye Airfield WF - IMPORT</t>
  </si>
  <si>
    <t>Hardingham Hall - IMPORT</t>
  </si>
  <si>
    <t>Highfields Solar - IMPORT</t>
  </si>
  <si>
    <t>Lackford Solar Farm - IMPORT</t>
  </si>
  <si>
    <t>Beckham Hall - IMPORT</t>
  </si>
  <si>
    <t>Hall Farm - IMPORT</t>
  </si>
  <si>
    <t>Lexham Farm - IMPORT</t>
  </si>
  <si>
    <t>Nova Scotia - IMPORT</t>
  </si>
  <si>
    <t>Meadow Farm - IMPORT</t>
  </si>
  <si>
    <t>Middlewick Wind Farm - IMPORT</t>
  </si>
  <si>
    <t>Mingay Solar Farm - IMPORT</t>
  </si>
  <si>
    <t>North Norfolk SF - IMPORT</t>
  </si>
  <si>
    <t>Parham Airfield - IMPORT</t>
  </si>
  <si>
    <t>Reydon Solar Farm - IMPORT</t>
  </si>
  <si>
    <t>Sprigs Solar Farm - IMPORT</t>
  </si>
  <si>
    <t>Stowbridge Solar Farm - IMPORT</t>
  </si>
  <si>
    <t>British Sugar Bury - EXPORT</t>
  </si>
  <si>
    <t>Brogborough Pwr Stn - EXPORT</t>
  </si>
  <si>
    <t>Mucking Generation - EXPORT</t>
  </si>
  <si>
    <t>Rainham LFG - EXPORT</t>
  </si>
  <si>
    <t>Edmonton Incinerator - EXPORT</t>
  </si>
  <si>
    <t>Sutton Power Station - EXPORT</t>
  </si>
  <si>
    <t>N Pickenham W. Farm - EXPORT</t>
  </si>
  <si>
    <t>Eye Power Station - EXPORT</t>
  </si>
  <si>
    <t>Red Tile Wind Farm - EXPORT</t>
  </si>
  <si>
    <t>Glass Moor Wind Farm - EXPORT</t>
  </si>
  <si>
    <t>Kodak, Harrow - EXPORT</t>
  </si>
  <si>
    <t>Middlewick Wind Farm - Export</t>
  </si>
  <si>
    <t>WRG, Stewartby - EXPORT</t>
  </si>
  <si>
    <t>Pitsea Landfill - EXPORT</t>
  </si>
  <si>
    <t>Ranson Moor Wind Farm - EXPORT</t>
  </si>
  <si>
    <t>Coldham Wind Farm - EXPORT</t>
  </si>
  <si>
    <t>Scroby Sands - EXPORT</t>
  </si>
  <si>
    <t>Stags Holt Wind Farm - EXPORT</t>
  </si>
  <si>
    <t>Thetford  Pwr Stn - EXPORT</t>
  </si>
  <si>
    <t>Br. Sugar Wissington - EXPORT</t>
  </si>
  <si>
    <t>NR Colchester - EXPORT</t>
  </si>
  <si>
    <t>NR Crowlands - EXPORT</t>
  </si>
  <si>
    <t>NR Dunton - EXPORT</t>
  </si>
  <si>
    <t>NR Manningtree - EXPORT</t>
  </si>
  <si>
    <t>NR Norwich - EXPORT</t>
  </si>
  <si>
    <t>NR Rayleigh - EXPORT</t>
  </si>
  <si>
    <t>NR Shenfield - EXPORT</t>
  </si>
  <si>
    <t>NR Southend - EXPORT</t>
  </si>
  <si>
    <t>NR Springfield - EXPORT</t>
  </si>
  <si>
    <t>NR Stowmarket - EXPORT</t>
  </si>
  <si>
    <t>Mingay Solar Farm - EXPORT</t>
  </si>
  <si>
    <t>North Norfolk SF - EXPORT</t>
  </si>
  <si>
    <t>Stowbridge Solar Farm - EXPORT</t>
  </si>
  <si>
    <t>Port of Tilbury - EXPORT</t>
  </si>
  <si>
    <t>Bradwell Wind farm - EXPORT</t>
  </si>
  <si>
    <t>Burnthouse Solar - EXPORT</t>
  </si>
  <si>
    <t>Cotton Wind farm - EXPORT</t>
  </si>
  <si>
    <t>Earls hall Farm - EXPORT</t>
  </si>
  <si>
    <t>Glass Moor II Wind farm - EXP</t>
  </si>
  <si>
    <t>Wadlow Wind farm - EXPORT</t>
  </si>
  <si>
    <t>Whitemill Wind farm - EXPORT</t>
  </si>
  <si>
    <t>Abbotts Ripton SF - EXPORT</t>
  </si>
  <si>
    <t>Bay Farm Solar - EXPORT</t>
  </si>
  <si>
    <t>Biggleswade WF - EXPORT</t>
  </si>
  <si>
    <t>Broxted Solar Farm - EXPORT</t>
  </si>
  <si>
    <t>Burnthouse Wind - EXPORT</t>
  </si>
  <si>
    <t>Cantelupe Solar Farm - EXPORT</t>
  </si>
  <si>
    <t>Chediston Hall - EXPORT</t>
  </si>
  <si>
    <t>Dairy House Solar Farm - EXPORT</t>
  </si>
  <si>
    <t>Double Back Lane - EXPORT</t>
  </si>
  <si>
    <t>Drapers Farm Solar - EXPORT</t>
  </si>
  <si>
    <t>Egmere Airfield SF - EXPORT</t>
  </si>
  <si>
    <t>Ellough Solar Farm - EXPORT</t>
  </si>
  <si>
    <t>Euston Estate - EXPORT</t>
  </si>
  <si>
    <t>Eye Airfield Wind Farm - EXPORT</t>
  </si>
  <si>
    <t>Hardingham Hall - EXPORT</t>
  </si>
  <si>
    <t>Highfields Solar - EXPORT</t>
  </si>
  <si>
    <t>Lackford Solar Farm - EXPORT</t>
  </si>
  <si>
    <t>Beckham Hall - EXPORT</t>
  </si>
  <si>
    <t>Hall Farm - EXPORT</t>
  </si>
  <si>
    <t>Lexham Farm - EXPORT</t>
  </si>
  <si>
    <t>Nova Scotia - EXPORT</t>
  </si>
  <si>
    <t>Meadow Farm - EXPORT</t>
  </si>
  <si>
    <t>Stratton Hall Solar - EXPORT</t>
  </si>
  <si>
    <t>Reydon Solar Farm - EXPORT</t>
  </si>
  <si>
    <t>Parham Airfield - EXPORT</t>
  </si>
  <si>
    <t>Sprigs Solar Farm - EXPORT</t>
  </si>
  <si>
    <t>Weston Airfield - EXPORT</t>
  </si>
  <si>
    <t>Node ID</t>
  </si>
  <si>
    <t>1, 3, 7, 11, 15, 22, 25, 29, 33, 40, 43, 46, 49, 55, 58, 61, 64, 86, 100, 101, 102, 103, 110, 111, 112, 113, 150, 151, 152, 153, 160, 161, 162, 163, 200, 201, 205, 237, 238, 239, 242, 247, 248, 250, 254, 350, 901, 905, 912, 913, 915</t>
  </si>
  <si>
    <t>Suffolk EFW - IMPORT</t>
  </si>
  <si>
    <t>NR Sundon - EXPORT</t>
  </si>
  <si>
    <t>NR Tottenham - EXPORT</t>
  </si>
  <si>
    <t>NR Ugley - EXPORT</t>
  </si>
  <si>
    <t>CVA site specific LLFs</t>
  </si>
  <si>
    <t>MSID</t>
  </si>
  <si>
    <t>Norwich Main SGT 1 and 2</t>
  </si>
  <si>
    <t>Norwich Main SGT 3 and 4</t>
  </si>
  <si>
    <t>Amersham/Ilmer</t>
  </si>
  <si>
    <t>Peterborough Power Station</t>
  </si>
  <si>
    <t>WPD Stamford</t>
  </si>
  <si>
    <t>Sundon</t>
  </si>
  <si>
    <t>King's Lynn Power Station</t>
  </si>
  <si>
    <t>Enfield Energy Centre</t>
  </si>
  <si>
    <t>Great Yarmouth Power Station</t>
  </si>
  <si>
    <t>Gunfleet Sands 33kV</t>
  </si>
  <si>
    <t>3, 40</t>
  </si>
  <si>
    <t>7, 11, 25, 43,
46, 58</t>
  </si>
  <si>
    <t>22, 29, 55, 61</t>
  </si>
  <si>
    <t>201, 237, 238, 239</t>
  </si>
  <si>
    <t>15, 49, 205,
242, 247, 248</t>
  </si>
  <si>
    <t>33, 64</t>
  </si>
  <si>
    <t>250, 254</t>
  </si>
  <si>
    <t>100, 110, 150, 160</t>
  </si>
  <si>
    <t>102, 112, 152, 162</t>
  </si>
  <si>
    <t>103, 113, 153, 163</t>
  </si>
  <si>
    <t>101, 111, 151, 161</t>
  </si>
  <si>
    <t>905, 912, 913</t>
  </si>
  <si>
    <t>8 or 0</t>
  </si>
  <si>
    <t>3VALSW</t>
  </si>
  <si>
    <t>ABSRSF</t>
  </si>
  <si>
    <t>ADBRKS</t>
  </si>
  <si>
    <t>AIAMAN</t>
  </si>
  <si>
    <t>ARAMAN</t>
  </si>
  <si>
    <t>ARLAFD</t>
  </si>
  <si>
    <t>ASTONC</t>
  </si>
  <si>
    <t>AVENUE</t>
  </si>
  <si>
    <t>AW_GRA</t>
  </si>
  <si>
    <t>AWOUSE</t>
  </si>
  <si>
    <t>BARNFM</t>
  </si>
  <si>
    <t>BAYFMS</t>
  </si>
  <si>
    <t>BDGHSE</t>
  </si>
  <si>
    <t>BDWLWF</t>
  </si>
  <si>
    <t>BERMAT</t>
  </si>
  <si>
    <t>BGWDWF</t>
  </si>
  <si>
    <t>BLGTSF</t>
  </si>
  <si>
    <t>BOCTHA</t>
  </si>
  <si>
    <t>BOXTED</t>
  </si>
  <si>
    <t>BPA_CO</t>
  </si>
  <si>
    <t>BPTLTD</t>
  </si>
  <si>
    <t>BRCHGP</t>
  </si>
  <si>
    <t>BROGB_</t>
  </si>
  <si>
    <t>BROXSF</t>
  </si>
  <si>
    <t>BRTHS2</t>
  </si>
  <si>
    <t>BRTHSS</t>
  </si>
  <si>
    <t>BRTHSW</t>
  </si>
  <si>
    <t>BS_BUR</t>
  </si>
  <si>
    <t>BS_WIS</t>
  </si>
  <si>
    <t>BSBURY</t>
  </si>
  <si>
    <t>BSGBRN</t>
  </si>
  <si>
    <t>BTLCOM</t>
  </si>
  <si>
    <t>BURYLN</t>
  </si>
  <si>
    <t>CANTSF</t>
  </si>
  <si>
    <t>CMEXUK</t>
  </si>
  <si>
    <t>CHPLOW</t>
  </si>
  <si>
    <t>CHFARM</t>
  </si>
  <si>
    <t>CLTSHL</t>
  </si>
  <si>
    <t>COLDHA</t>
  </si>
  <si>
    <t>CROYDN</t>
  </si>
  <si>
    <t>CTWDFM</t>
  </si>
  <si>
    <t>DBLANE</t>
  </si>
  <si>
    <t>DGRLTY</t>
  </si>
  <si>
    <t>DRABED</t>
  </si>
  <si>
    <t>DRAPER</t>
  </si>
  <si>
    <t>DRYHSE</t>
  </si>
  <si>
    <t>GRTYAR</t>
  </si>
  <si>
    <t>KNGSLN</t>
  </si>
  <si>
    <t>PTRBRO</t>
  </si>
  <si>
    <t>EARLHF</t>
  </si>
  <si>
    <t>EBCKHM</t>
  </si>
  <si>
    <t>EDLMUC</t>
  </si>
  <si>
    <t>EDLPIT</t>
  </si>
  <si>
    <t>EGMRSF</t>
  </si>
  <si>
    <t>ELLOSF</t>
  </si>
  <si>
    <t>ELSAGE</t>
  </si>
  <si>
    <t>EMR_TI</t>
  </si>
  <si>
    <t>EPRSUT</t>
  </si>
  <si>
    <t>ESWMID</t>
  </si>
  <si>
    <t>ESWWIX</t>
  </si>
  <si>
    <t>EUSTSF</t>
  </si>
  <si>
    <t>EXNING</t>
  </si>
  <si>
    <t>EYEWFM</t>
  </si>
  <si>
    <t>FBWTHE</t>
  </si>
  <si>
    <t>FENLND</t>
  </si>
  <si>
    <t>FIBEYE</t>
  </si>
  <si>
    <t>FLYFRM</t>
  </si>
  <si>
    <t>FORD_D</t>
  </si>
  <si>
    <t>FRDHVS</t>
  </si>
  <si>
    <t>FUJISL</t>
  </si>
  <si>
    <t>FWINDS</t>
  </si>
  <si>
    <t>FXDFAG</t>
  </si>
  <si>
    <t>FXDOYS</t>
  </si>
  <si>
    <t>GDE132</t>
  </si>
  <si>
    <t>GFTHRN</t>
  </si>
  <si>
    <t>GLASM2</t>
  </si>
  <si>
    <t>GLASSM</t>
  </si>
  <si>
    <t>GLXOST</t>
  </si>
  <si>
    <t>GLXOWR</t>
  </si>
  <si>
    <t>GOSFLD</t>
  </si>
  <si>
    <t>GRNEND</t>
  </si>
  <si>
    <t>GRNFRM</t>
  </si>
  <si>
    <t>GUNFL3</t>
  </si>
  <si>
    <t>GUNFLT</t>
  </si>
  <si>
    <t>HALLFM</t>
  </si>
  <si>
    <t>HDGMSF</t>
  </si>
  <si>
    <t>HEINZF</t>
  </si>
  <si>
    <t>HGHFLD</t>
  </si>
  <si>
    <t>HOBACK</t>
  </si>
  <si>
    <t>HOLTON</t>
  </si>
  <si>
    <t>HTFD_L</t>
  </si>
  <si>
    <t>HYDESF</t>
  </si>
  <si>
    <t>ICGLTD</t>
  </si>
  <si>
    <t>INFSSE</t>
  </si>
  <si>
    <t>JKSLNE</t>
  </si>
  <si>
    <t>KLYN33</t>
  </si>
  <si>
    <t>KNNING</t>
  </si>
  <si>
    <t>KODAKH</t>
  </si>
  <si>
    <t>LBARPS</t>
  </si>
  <si>
    <t>LBZSNS</t>
  </si>
  <si>
    <t>LAKENH</t>
  </si>
  <si>
    <t>LCKFRD</t>
  </si>
  <si>
    <t>LDAHSF</t>
  </si>
  <si>
    <t>LEXHSF</t>
  </si>
  <si>
    <t>LNGFRD</t>
  </si>
  <si>
    <t>LNGHOE</t>
  </si>
  <si>
    <t>LNGHO2</t>
  </si>
  <si>
    <t>LONWST</t>
  </si>
  <si>
    <t>LS&amp;E_N</t>
  </si>
  <si>
    <t>LU_FIN</t>
  </si>
  <si>
    <t>LU_MHO</t>
  </si>
  <si>
    <t>LU_NEA</t>
  </si>
  <si>
    <t>MANORF</t>
  </si>
  <si>
    <t>MANRFM</t>
  </si>
  <si>
    <t>MDLWCK</t>
  </si>
  <si>
    <t>MDWFRM</t>
  </si>
  <si>
    <t>MELBRN</t>
  </si>
  <si>
    <t>MILH_C</t>
  </si>
  <si>
    <t>MINGAY</t>
  </si>
  <si>
    <t>MLVLCM</t>
  </si>
  <si>
    <t>MNBRNZ</t>
  </si>
  <si>
    <t>MSDHOD</t>
  </si>
  <si>
    <t>NEWHOL</t>
  </si>
  <si>
    <t>NEWSIL</t>
  </si>
  <si>
    <t>NNFKSF</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</si>
  <si>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</si>
  <si>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</si>
  <si>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</si>
  <si>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</si>
  <si>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</si>
  <si>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</si>
  <si>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</si>
  <si>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</si>
  <si>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</si>
  <si>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</si>
  <si>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</si>
  <si>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</si>
  <si>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</si>
  <si>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</si>
  <si>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</si>
  <si>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</si>
  <si>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</si>
  <si>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</si>
  <si>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</si>
  <si>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</si>
  <si>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</si>
  <si>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</si>
  <si>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NVASCT</t>
  </si>
  <si>
    <t>NYSEIB</t>
  </si>
  <si>
    <t>OLDAIR</t>
  </si>
  <si>
    <t>PICKEN</t>
  </si>
  <si>
    <t>PLMPPR</t>
  </si>
  <si>
    <t>PLYTRS</t>
  </si>
  <si>
    <t>PP_COR</t>
  </si>
  <si>
    <t>PRECIS</t>
  </si>
  <si>
    <t>PRHMSF</t>
  </si>
  <si>
    <t>PRMFDS</t>
  </si>
  <si>
    <t>QNETIC</t>
  </si>
  <si>
    <t>QRRNDN</t>
  </si>
  <si>
    <t>RAF_AL</t>
  </si>
  <si>
    <t>RAINHM</t>
  </si>
  <si>
    <t>RANJAC</t>
  </si>
  <si>
    <t>RANSON</t>
  </si>
  <si>
    <t>REDTI1</t>
  </si>
  <si>
    <t>REYDON</t>
  </si>
  <si>
    <t>RIDEON</t>
  </si>
  <si>
    <t>RMWFII</t>
  </si>
  <si>
    <t>RNDMHS</t>
  </si>
  <si>
    <t>ROYSTN</t>
  </si>
  <si>
    <t>RPRLTD</t>
  </si>
  <si>
    <t>SALHSE</t>
  </si>
  <si>
    <t>SCROBY</t>
  </si>
  <si>
    <t>SCTTOW</t>
  </si>
  <si>
    <t>SEN1&amp;2</t>
  </si>
  <si>
    <t>SFKEFW</t>
  </si>
  <si>
    <t>SHELL_</t>
  </si>
  <si>
    <t>SHERSH</t>
  </si>
  <si>
    <t>SPRIGS</t>
  </si>
  <si>
    <t>STAGSH</t>
  </si>
  <si>
    <t>STMFRD</t>
  </si>
  <si>
    <t>STANS2</t>
  </si>
  <si>
    <t>STANS3</t>
  </si>
  <si>
    <t>STEVRD</t>
  </si>
  <si>
    <t>STOSTH</t>
  </si>
  <si>
    <t>STRTHL</t>
  </si>
  <si>
    <t>STWBRG</t>
  </si>
  <si>
    <t>TILBUR</t>
  </si>
  <si>
    <t>TOOLEY</t>
  </si>
  <si>
    <t>UB_EYE</t>
  </si>
  <si>
    <t>UBS_UK</t>
  </si>
  <si>
    <t>VXHALL</t>
  </si>
  <si>
    <t>VINESF</t>
  </si>
  <si>
    <t>WAIRWF</t>
  </si>
  <si>
    <t>WARNER</t>
  </si>
  <si>
    <t>WDLWWF</t>
  </si>
  <si>
    <t>WHMLWF</t>
  </si>
  <si>
    <t>WIGGIN</t>
  </si>
  <si>
    <t>WILLIA</t>
  </si>
  <si>
    <t>WLBRHM</t>
  </si>
  <si>
    <t>WOOLLY</t>
  </si>
  <si>
    <t>WRGSTE</t>
  </si>
  <si>
    <t>WRYDEC</t>
  </si>
  <si>
    <t>WSBRDG</t>
  </si>
  <si>
    <t>WSTNLV</t>
  </si>
  <si>
    <t>WTRLOO</t>
  </si>
  <si>
    <t>WWYNDC</t>
  </si>
  <si>
    <t>LBCO_L</t>
  </si>
  <si>
    <t>AFFINITY WATER LIMITED</t>
  </si>
  <si>
    <t>ADDENBROOKES NHS TRUST</t>
  </si>
  <si>
    <t>A I A MANAGEMENT LTD</t>
  </si>
  <si>
    <t>AIRCRAFT RESEARCH ASSOCIATION LIMITED</t>
  </si>
  <si>
    <t>ARLA FOODS LIMITED</t>
  </si>
  <si>
    <t>ASTON CLINTON</t>
  </si>
  <si>
    <t>LIGHTSOURCE SPV 15 LIMITED</t>
  </si>
  <si>
    <t>ANGLIAN WATER SERVICES</t>
  </si>
  <si>
    <t>BARN FARM SOLAR</t>
  </si>
  <si>
    <t>BAY FARM IMPORT</t>
  </si>
  <si>
    <t>BOARDINGHOUSE WINDFARM LIMITED</t>
  </si>
  <si>
    <t>RWE INNOGY UK LIMITED</t>
  </si>
  <si>
    <t>BERNARD MATTHEWS LIMITED</t>
  </si>
  <si>
    <t>BIGGLESWADE WIND FARM LIMITED</t>
  </si>
  <si>
    <t>SOLAR CENTURY</t>
  </si>
  <si>
    <t>BOC LTD</t>
  </si>
  <si>
    <t>PUSH ENERGY (BOXTED AIRFIELD) LIMITED</t>
  </si>
  <si>
    <t>BRITISH PIPELINE AGENCY LTD</t>
  </si>
  <si>
    <t>ZURICH ASSURANCE LTD</t>
  </si>
  <si>
    <t>BIRCH GRAVEL PIT SOLAR</t>
  </si>
  <si>
    <t>INFINIS ENERGY SERVICES LIMITED</t>
  </si>
  <si>
    <t>BROXTED SOLAR CO LTD</t>
  </si>
  <si>
    <t>BURNTHOUSE SOLAR LIMITED</t>
  </si>
  <si>
    <t>TURVES SOLAR LTD</t>
  </si>
  <si>
    <t>REG BURNHOUSE FARM LTD</t>
  </si>
  <si>
    <t>ASSOCIATED BRITISH FOODS PLC</t>
  </si>
  <si>
    <t>PUSH ENERGY (BASSINGBOURN)</t>
  </si>
  <si>
    <t>BRITISH TELECOMMUNICATIONS PLC</t>
  </si>
  <si>
    <t>SE BURY LANE SOLAR LTD</t>
  </si>
  <si>
    <t>HASLINGFIELD SOLAR PARK LIMITED</t>
  </si>
  <si>
    <t>CEMEX UK OPERATIONS LIMITED</t>
  </si>
  <si>
    <t>ADALINDA SOLAR SPV1 LTD</t>
  </si>
  <si>
    <t>CHIPLOW WIND FARM</t>
  </si>
  <si>
    <t>CHURCH FARM SOLAR</t>
  </si>
  <si>
    <t>SCOTTOW MOOR SOLAR LIMITED</t>
  </si>
  <si>
    <t>SCOTTISHPOWER STRATEGIC TRANSACTIONS</t>
  </si>
  <si>
    <t>PUSH ENERGY (CROYDON) LIMITED</t>
  </si>
  <si>
    <t>COTTON FARM WIND FARM LIMITED</t>
  </si>
  <si>
    <t>SOLAR WOODWALTON LIMITED</t>
  </si>
  <si>
    <t>HSBC BANK PLC</t>
  </si>
  <si>
    <t>DRAPERS FARM SOLAR</t>
  </si>
  <si>
    <t>SUNSAVE 25 (WIX LODGE FARM) LIMITED</t>
  </si>
  <si>
    <t xml:space="preserve"> MSID: 7111</t>
  </si>
  <si>
    <t xml:space="preserve"> MSID: 7044</t>
  </si>
  <si>
    <t>CENTRICA KL LIMITED</t>
  </si>
  <si>
    <t xml:space="preserve"> MSID: 7006</t>
  </si>
  <si>
    <t>CENTRICA PB LIMITED</t>
  </si>
  <si>
    <t>GEM WIND FARM 2 LIMITED</t>
  </si>
  <si>
    <t>HALL SOLAR LIMITED</t>
  </si>
  <si>
    <t>NON FOSSIL PURCHASING AGENCY</t>
  </si>
  <si>
    <t>EGMERE AIRFIELD SOLAR PARK LIMITED</t>
  </si>
  <si>
    <t>ELLOUGH SOLAR LLP</t>
  </si>
  <si>
    <t>MAGNETAR SOLAR (UK) LTD</t>
  </si>
  <si>
    <t>EUROPEAN METAL RECYCLING LTD</t>
  </si>
  <si>
    <t>ENERGY POWER RESOURCES LTD</t>
  </si>
  <si>
    <t>NORTHUMBRIAN WATER LIMITED</t>
  </si>
  <si>
    <t>NORTHUMBRIAN WATER</t>
  </si>
  <si>
    <t>HONINGTON IMPORT</t>
  </si>
  <si>
    <t>DAISY NO 1 LIMITED</t>
  </si>
  <si>
    <t>EYE WIND POWER LIMITED</t>
  </si>
  <si>
    <t>CEMG EXPORT PORTFOLIO</t>
  </si>
  <si>
    <t>FENLAND SOLAR FARM</t>
  </si>
  <si>
    <t>EPR EYE POWER STATION</t>
  </si>
  <si>
    <t>FOLLY FARM SOLAR PARK LTD</t>
  </si>
  <si>
    <t>FORD MOTOR COMPANY LTD</t>
  </si>
  <si>
    <t>FUJITSU SERVICES LIMITED</t>
  </si>
  <si>
    <t>MSP FAIRWIND LIMITED</t>
  </si>
  <si>
    <t>HUTCHISON PORTS (UK) LTD</t>
  </si>
  <si>
    <t>GOOD ENERGY WEST RAYNHAM SOLAR PARK (030) LTD</t>
  </si>
  <si>
    <t>REDSTOW RENEWABLES LIMITED</t>
  </si>
  <si>
    <t>GLASS MOOR 2 WIND FARM LTD</t>
  </si>
  <si>
    <t>GLASS MOOR WINDFARM</t>
  </si>
  <si>
    <t>GLAXOSMITHKLINE SERVICES UNLIMITED</t>
  </si>
  <si>
    <t>PUSH ENERGY (GOSFIELD AIRFIELD) LIMITED</t>
  </si>
  <si>
    <t>GREEN END SOLAR FARM</t>
  </si>
  <si>
    <t>GREEN FARM SOLAR</t>
  </si>
  <si>
    <t xml:space="preserve"> MSID: 7277</t>
  </si>
  <si>
    <t>DONG ENERGY GUNFLEET SANDS DEMO (UK) LTD</t>
  </si>
  <si>
    <t xml:space="preserve"> MSID: 7211;7213</t>
  </si>
  <si>
    <t xml:space="preserve">SOLAR CENTURY </t>
  </si>
  <si>
    <t>HIGHFIELDS SOLAR LTD</t>
  </si>
  <si>
    <t>HOBACK SOLAR LIMITED</t>
  </si>
  <si>
    <t>BERNARD MATTHEWS GREEN ENERGY HALESWORTH LIMITED</t>
  </si>
  <si>
    <t>HAYWARD TYLER LIMITED</t>
  </si>
  <si>
    <t>INDUSTRIAL CHEMICALS LTD</t>
  </si>
  <si>
    <t>ENET</t>
  </si>
  <si>
    <t>SOUTHERN ELECTRIC POWER DISTRIBUTION PLC</t>
  </si>
  <si>
    <t>JACKS LANE ENERGY LTD</t>
  </si>
  <si>
    <t>SOLAR DIVIDEND LIMITED</t>
  </si>
  <si>
    <t>OPCO (UK) LIMITED</t>
  </si>
  <si>
    <t>RWE GENERATION UK PLC</t>
  </si>
  <si>
    <t>HANSON QUARRY PRODUCTS EUROPE LIMITED</t>
  </si>
  <si>
    <t>UK POWER NETWORKS</t>
  </si>
  <si>
    <t>MINISTRY OF DEFENCE</t>
  </si>
  <si>
    <t>LACKFORD ESTATE SOLAR PARK LIMITED</t>
  </si>
  <si>
    <t>HURSIT SPV1 LTD</t>
  </si>
  <si>
    <t>CLARAMOND SOLAR SPV1 LTD</t>
  </si>
  <si>
    <t>PUSH ENERGY (LANGENHOE) LIMITED</t>
  </si>
  <si>
    <t>LONDON WASTE LTD</t>
  </si>
  <si>
    <t>A T B LAURENCE SCOTT LTD</t>
  </si>
  <si>
    <t>LONDON UNDERGROUND</t>
  </si>
  <si>
    <t>LIGHTSOURCE SPV 106 LIMITED</t>
  </si>
  <si>
    <t>PS MANOR FARM SOLAR LIMITED</t>
  </si>
  <si>
    <t>MIDDLEWICK WIND FARM LTD</t>
  </si>
  <si>
    <t>LIGHTSOURCE SPV 53 LTD</t>
  </si>
  <si>
    <t>MELBOURN SOLAR (MUNCEY &amp; BLACK PEAK)</t>
  </si>
  <si>
    <t xml:space="preserve"> MSID: 1638</t>
  </si>
  <si>
    <t>MINGAY FARM LTD</t>
  </si>
  <si>
    <t>ANGLIA FARMERS LIMITED</t>
  </si>
  <si>
    <t>BOLTON AEROSPACE LTD</t>
  </si>
  <si>
    <t>MERCK SHARP &amp; DOHME LIMITED</t>
  </si>
  <si>
    <t>CNH UK LIMITED</t>
  </si>
  <si>
    <t>LUMICITY 1 LTD</t>
  </si>
  <si>
    <t>NETWORK RAIL INFRASTRUCTURE LTD</t>
  </si>
  <si>
    <t>NATIONAL RIVERS AUTHORITY</t>
  </si>
  <si>
    <t>NOVA SCOTIA SOLAR</t>
  </si>
  <si>
    <t>IMPERIUM CENTRE LIMITED</t>
  </si>
  <si>
    <t>OLD AIRFIELD SOLAR</t>
  </si>
  <si>
    <t>NORTH PICKENHAM WINDFARM LLP</t>
  </si>
  <si>
    <t>PALM PAPER LTD</t>
  </si>
  <si>
    <t>PLAYTERS SOLAR LIMITED</t>
  </si>
  <si>
    <t>CORYTON ASSET LIMITED</t>
  </si>
  <si>
    <t>BOURNS LIMITED</t>
  </si>
  <si>
    <t>GG RENEWABLES LIMITED</t>
  </si>
  <si>
    <t>DANIELS CHILLED FOODS LTD</t>
  </si>
  <si>
    <t>QINETIQ LTD</t>
  </si>
  <si>
    <t>AWE RENEWABLES LIMITED</t>
  </si>
  <si>
    <t>RANSOMES JACOBSEN</t>
  </si>
  <si>
    <t>CEMG</t>
  </si>
  <si>
    <t>FENLAND WINDFARMS LIMITED</t>
  </si>
  <si>
    <t>REYDON PV POWER PLANT</t>
  </si>
  <si>
    <t>RIDGEONS LIMITED</t>
  </si>
  <si>
    <t>RAMSEY II LTD</t>
  </si>
  <si>
    <t>THE RANDOM HOUSE GROUP LTD</t>
  </si>
  <si>
    <t>ROYSTON SOLAR FARM</t>
  </si>
  <si>
    <t>RHONE POULENC RORER LTD</t>
  </si>
  <si>
    <t>SALHOUSE SOLAR</t>
  </si>
  <si>
    <t>SCROBY SANDS GENERATION</t>
  </si>
  <si>
    <t>SITA UK</t>
  </si>
  <si>
    <t>LONDON GATEWAY PORT LIMITED</t>
  </si>
  <si>
    <t xml:space="preserve"> MSID: 7234</t>
  </si>
  <si>
    <t>SCIRA OFFSHORE ENERGY LIMITED</t>
  </si>
  <si>
    <t>SPRIGGS SOLAR LIMITED</t>
  </si>
  <si>
    <t>EON RENEWABLES</t>
  </si>
  <si>
    <t>DNET</t>
  </si>
  <si>
    <t xml:space="preserve"> MSID: 2035</t>
  </si>
  <si>
    <t>STANSTED AIRPORT LIMITED</t>
  </si>
  <si>
    <t>ELLI SOLAR SPV1 LIMITED</t>
  </si>
  <si>
    <t>FCP SOLAR LIMITED</t>
  </si>
  <si>
    <t>FORTH PORTS PLC</t>
  </si>
  <si>
    <t>LIGHTSOURCE SPV 144 LIMITED</t>
  </si>
  <si>
    <t>BIRDS EYE LIMITED</t>
  </si>
  <si>
    <t>MATTERHORN CAPITAL DC CHESHAM S.A.R.L</t>
  </si>
  <si>
    <t>GENERAL MOTORS UK LIMITED</t>
  </si>
  <si>
    <t>BERNARD MATTHEWS WIND FARM (WESTON) LLP</t>
  </si>
  <si>
    <t>WARNER BROS</t>
  </si>
  <si>
    <t>WADLOW ENERGY LIMITED</t>
  </si>
  <si>
    <t>WHITE MILL WINDFARM LIMITED</t>
  </si>
  <si>
    <t>S.E SOLAR (2) LTD</t>
  </si>
  <si>
    <t>METAL &amp; WASTE RECYCLING LTD</t>
  </si>
  <si>
    <t>GREAT WILBRAHAM SOLAR PARK LIMITED</t>
  </si>
  <si>
    <t>RES UK &amp; IRELAND LTD</t>
  </si>
  <si>
    <t>WRYDE CROFT WIND FARM</t>
  </si>
  <si>
    <t>WESTON LONGVILLE G1 SOLAR FARM LIMITED</t>
  </si>
  <si>
    <t>WATERLOO FARM SOLAR PARK</t>
  </si>
  <si>
    <t>COLT TECHNOLOGY SERVICES</t>
  </si>
  <si>
    <t>VINES SOLAR</t>
  </si>
  <si>
    <t>1030081553176
1030081553404</t>
  </si>
  <si>
    <t>1030085114723
1030085114955</t>
  </si>
  <si>
    <t>1023477037942
1014571445536</t>
  </si>
  <si>
    <t>1023475403798
1014571965793</t>
  </si>
  <si>
    <t>1023475256360
1014572502380</t>
  </si>
  <si>
    <t>1030041592510
1030041592742
1030041592974
1030041593203</t>
  </si>
  <si>
    <t>1050000169030
1014572546086</t>
  </si>
  <si>
    <t>1014571132500
1023474247588</t>
  </si>
  <si>
    <t>1030050289278
1030050289506</t>
  </si>
  <si>
    <t>1023497822125
1023497822357
1023514863056
1030010107819</t>
  </si>
  <si>
    <t>1023475632649
1014572805060</t>
  </si>
  <si>
    <t>1014572640842
1014572641075</t>
  </si>
  <si>
    <t>1023526590750
1023526590982
1023526591211</t>
  </si>
  <si>
    <t xml:space="preserve">1014572633250
1023479907422 </t>
  </si>
  <si>
    <t>1023482441566
1023492579962</t>
  </si>
  <si>
    <t>1014569657748
1014569657970</t>
  </si>
  <si>
    <t>1023475635409
1023475634488
1023484819994
1023475633563</t>
  </si>
  <si>
    <t>1030074763340
1030074763118</t>
  </si>
  <si>
    <t>1099000001162
1099000001171</t>
  </si>
  <si>
    <t>1023479820941
1014568411606</t>
  </si>
  <si>
    <t>1023477604661
1014568599280</t>
  </si>
  <si>
    <t>1023478728447
1023478728907</t>
  </si>
  <si>
    <t>1030059686387
1030060990025
1030060990257
1030060990489</t>
  </si>
  <si>
    <t>1050000907391
1050000907407
1050000907416
1050000907443</t>
  </si>
  <si>
    <t>1014572268249
1023498487971</t>
  </si>
  <si>
    <t>1023533706269
1023533706490</t>
  </si>
  <si>
    <t>1030022814396
1030022814856
1030022815089
1030022814624</t>
  </si>
  <si>
    <t xml:space="preserve">1014572898446
1030076303426 </t>
  </si>
  <si>
    <t xml:space="preserve">1023545945047
1030077668707 </t>
  </si>
  <si>
    <t>1014572907871
1023484600573</t>
  </si>
  <si>
    <t>1030062357839
1030062357607</t>
  </si>
  <si>
    <t>1030062872341
1030062872573</t>
  </si>
  <si>
    <t>1014572632790
1015685836242</t>
  </si>
  <si>
    <t>1014572860726
1023479474560</t>
  </si>
  <si>
    <t>1023487353212
1023487352751</t>
  </si>
  <si>
    <t>1030037258397
1030037258625</t>
  </si>
  <si>
    <t>1099000000372
1099000000381</t>
  </si>
  <si>
    <t>1030047519845
1030047520070</t>
  </si>
  <si>
    <t>1023478133661
1023525729172
1023525728718</t>
  </si>
  <si>
    <t>1030084129409
1030084129630
1030084129862</t>
  </si>
  <si>
    <t>1050000903217
1050000775176</t>
  </si>
  <si>
    <t>1050000903226
1050000775185</t>
  </si>
  <si>
    <t>1014573052317
1023470683505</t>
  </si>
  <si>
    <t>1030065428330
1030065428562</t>
  </si>
  <si>
    <t>1014571158953
1014571159186
1014571159414
1014571158721</t>
  </si>
  <si>
    <t>1030076325049
1030076325270</t>
  </si>
  <si>
    <t>1030078016464
1030078016696</t>
  </si>
  <si>
    <t>1030078016924
1030078017157</t>
  </si>
  <si>
    <t>1030059750786
1030059751015</t>
  </si>
  <si>
    <t>1023518907371
1023518908064</t>
  </si>
  <si>
    <t>Export
Unique
Identifier</t>
  </si>
  <si>
    <t>Import
Unique
Identifier</t>
  </si>
  <si>
    <t>CHEDSF</t>
  </si>
  <si>
    <t>Exceeded capacity charge
p/kVA/day</t>
  </si>
  <si>
    <t>Import
exceeded capacity charge
(p/kVA/day)</t>
  </si>
  <si>
    <t>Export
exceeded capacity charge
(p/kVA/day)</t>
  </si>
  <si>
    <t>Average daily exceded capacity
kVA</t>
  </si>
  <si>
    <t>Exceeded capacity charge
£</t>
  </si>
  <si>
    <t>Average daily exceeded capacity
kVA</t>
  </si>
  <si>
    <t>Import exceeded capacity charge
£</t>
  </si>
  <si>
    <t>Export exceeded capacity charge
£</t>
  </si>
  <si>
    <t>ABBOTS RIPTON SOLAR ENERGY LIMITED</t>
  </si>
  <si>
    <t>BAP LOAN CO LIMITED</t>
  </si>
  <si>
    <t>NATIONAL GRID ELECTRICITY TRANSMISSION PLC</t>
  </si>
  <si>
    <t>ALBERT BARTLETT &amp; SONS (AIRDRIE) LIMITED</t>
  </si>
  <si>
    <t>MTS RYDON SOLAR LIMITED</t>
  </si>
  <si>
    <t>UK POWER NETWORKS OPERATIONS LTD</t>
  </si>
  <si>
    <t>LANGFORD SOLAR LIMITED</t>
  </si>
  <si>
    <t>TFL LONDON UNDERGROUND (BSP)</t>
  </si>
  <si>
    <t>NEWS UK &amp; IRELAND LIMITED</t>
  </si>
  <si>
    <t>1030037258165 
1030037720697</t>
  </si>
  <si>
    <t>STEVENAGE SOLAR FARM</t>
  </si>
  <si>
    <t>CHISBORN SOLAR FARM LTD</t>
  </si>
  <si>
    <t>PUSH ENERGY (WISBRIDGE) LTD</t>
  </si>
  <si>
    <t>07:00 - 16:00
19.00 - 23.00</t>
  </si>
  <si>
    <t>00:00 - 07:00
23:00 - 24:00</t>
  </si>
  <si>
    <t>00:00 - 24:00</t>
  </si>
  <si>
    <t>07:00 - 16:00
19:00 - 23:00</t>
  </si>
  <si>
    <t>07:00 - 23:00</t>
  </si>
  <si>
    <t>BERECHURCH 11 BB</t>
  </si>
  <si>
    <t>LEXDEN 11 BB</t>
  </si>
  <si>
    <t>MARKS TEY 11 BB</t>
  </si>
  <si>
    <t>CUSTOMER</t>
  </si>
  <si>
    <t>PELDON 11 BB</t>
  </si>
  <si>
    <t>SHRUB END 11 BB</t>
  </si>
  <si>
    <t>TIPTREE 11 BB</t>
  </si>
  <si>
    <t>AUSTIN CANONS 11KV BB</t>
  </si>
  <si>
    <t>HARROWDEN 11 BB</t>
  </si>
  <si>
    <t>MANTON LANE 11 BB</t>
  </si>
  <si>
    <t>MARSTON RD 11 BB</t>
  </si>
  <si>
    <t>MARSTON RD SE/1</t>
  </si>
  <si>
    <t>MARSTON RD SE/2</t>
  </si>
  <si>
    <t>MARSTON RD T1</t>
  </si>
  <si>
    <t>PREBEND ST 1 11 BB</t>
  </si>
  <si>
    <t>PREBEND ST 2 11 BB</t>
  </si>
  <si>
    <t>PREBEND ST 3 11 BB</t>
  </si>
  <si>
    <t>AYLESB E 33 BB</t>
  </si>
  <si>
    <t>BUCKINGHAM RD 11 BB</t>
  </si>
  <si>
    <t>EXCHANGE ST 11 BB</t>
  </si>
  <si>
    <t>NTH DRIVE 11 BB</t>
  </si>
  <si>
    <t>TRING 11 BB</t>
  </si>
  <si>
    <t>WADDESDON 11 BB</t>
  </si>
  <si>
    <t>WENDOVER 11 BB</t>
  </si>
  <si>
    <t>CROWLANDS 33 BB</t>
  </si>
  <si>
    <t>CROWLANDS T1 SE</t>
  </si>
  <si>
    <t>CROWLANDS T2 SE</t>
  </si>
  <si>
    <t>BARKING WEST 33 REAR BB</t>
  </si>
  <si>
    <t>BECONTREE 11 BB</t>
  </si>
  <si>
    <t>CHEQUERS 11 BB</t>
  </si>
  <si>
    <t>CHERRY TREE 11 BB</t>
  </si>
  <si>
    <t>MAY &amp; BAKER 11 BB</t>
  </si>
  <si>
    <t>C POTTERS BAR 11 BB</t>
  </si>
  <si>
    <t>COCKFOSTERS 11 BB</t>
  </si>
  <si>
    <t>ELSTREE 11 BB</t>
  </si>
  <si>
    <t>ROWLEY LN T1/2 11 BB</t>
  </si>
  <si>
    <t>ROWLEY LN T3 11 BB</t>
  </si>
  <si>
    <t>TAPSTER ST 11 BB</t>
  </si>
  <si>
    <t>WHETSTONE 11 BB</t>
  </si>
  <si>
    <t>BASILDON 33 BB</t>
  </si>
  <si>
    <t>CRANHAM 11 BB</t>
  </si>
  <si>
    <t>DURHAM RD 11 BB</t>
  </si>
  <si>
    <t>LANGDON PRIMARY 11KV</t>
  </si>
  <si>
    <t>WEST HORNDON 11 BB</t>
  </si>
  <si>
    <t>BELCH 11 BB</t>
  </si>
  <si>
    <t>BOXTED 11 BB</t>
  </si>
  <si>
    <t>CORN 11 BB</t>
  </si>
  <si>
    <t>GLEMS 11 BB</t>
  </si>
  <si>
    <t>GROTON 11 BB</t>
  </si>
  <si>
    <t>HAVER 11 BB</t>
  </si>
  <si>
    <t>LT WRAT 11 BB</t>
  </si>
  <si>
    <t>P77A WIXOE</t>
  </si>
  <si>
    <t>P77B WIXOE</t>
  </si>
  <si>
    <t>SUD 11 BB</t>
  </si>
  <si>
    <t>HANG LEA 11 BB</t>
  </si>
  <si>
    <t>NEWTOWN 11 BB</t>
  </si>
  <si>
    <t>THORLEY 11 BB</t>
  </si>
  <si>
    <t>PSB19A/2</t>
  </si>
  <si>
    <t>CHELMS N A 11 BB</t>
  </si>
  <si>
    <t>CHELMS N B 11 BB</t>
  </si>
  <si>
    <t>BRAINTREE DEPOT 1 11 BB</t>
  </si>
  <si>
    <t>BRAINTREE DEPOT 2 11 BB</t>
  </si>
  <si>
    <t>BRAINTREE DEPOT 3 11 BB</t>
  </si>
  <si>
    <t>COGGESHALL 11 BB</t>
  </si>
  <si>
    <t>HALSTEAD 11 BB</t>
  </si>
  <si>
    <t>LAKE &amp; ELLIOT 11 BB</t>
  </si>
  <si>
    <t>WEST BRAINTREE 11 BB</t>
  </si>
  <si>
    <t>WITHAM 11 BB1</t>
  </si>
  <si>
    <t>WITHAM 11 BB2</t>
  </si>
  <si>
    <t>WITHAM 11 BB3</t>
  </si>
  <si>
    <t>WITHAM 11 BB4</t>
  </si>
  <si>
    <t>STOW BR T1A SE TEE</t>
  </si>
  <si>
    <t>COL GRID SE TEE/2</t>
  </si>
  <si>
    <t>BRIMS STH 11 BB</t>
  </si>
  <si>
    <t>ELSTREE 505</t>
  </si>
  <si>
    <t>WALTHAM PK MAIN 11 BB</t>
  </si>
  <si>
    <t>WALTHAM PK REV 11 BB</t>
  </si>
  <si>
    <t>CUFFLEY 11 BB</t>
  </si>
  <si>
    <t>EAST ENFIELD 11 BB</t>
  </si>
  <si>
    <t>LADYSM RD 11 BB</t>
  </si>
  <si>
    <t>NTH CHINGFORD 11 BB</t>
  </si>
  <si>
    <t>STH CHINGFORD 11 BB</t>
  </si>
  <si>
    <t>THE CROSS 1A/2A 11 BB</t>
  </si>
  <si>
    <t>THE CROSS 3 11 BB</t>
  </si>
  <si>
    <t>WALTHAM ABBEY T1/2 11 BB</t>
  </si>
  <si>
    <t>MILTON BR/2</t>
  </si>
  <si>
    <t>ARBURY GRID 11KV</t>
  </si>
  <si>
    <t>BURWELL 11 BB</t>
  </si>
  <si>
    <t>ELY 11 BB</t>
  </si>
  <si>
    <t>EXNING 11 BB</t>
  </si>
  <si>
    <t>LINTON 11 BB</t>
  </si>
  <si>
    <t>NEWMARKET 11 BB</t>
  </si>
  <si>
    <t>SOHAM 11 BB</t>
  </si>
  <si>
    <t>BARROW 11 BB</t>
  </si>
  <si>
    <t>BURY A 11 BB</t>
  </si>
  <si>
    <t>BURY B 11 BB</t>
  </si>
  <si>
    <t>BURY BSC 33 BB</t>
  </si>
  <si>
    <t>DRINK 11 BB</t>
  </si>
  <si>
    <t>FORNHAM 11 BB</t>
  </si>
  <si>
    <t>ICK 11 BB</t>
  </si>
  <si>
    <t>KENNETT 11 BB</t>
  </si>
  <si>
    <t>KENNETT T2</t>
  </si>
  <si>
    <t>MILD 11 BB</t>
  </si>
  <si>
    <t>PLAYFIELDS 11 BB</t>
  </si>
  <si>
    <t>ABBOTS CENTRAL 11 BB</t>
  </si>
  <si>
    <t>GROVE MILL 11 BB</t>
  </si>
  <si>
    <t>BERRYGROVE PRIMARY</t>
  </si>
  <si>
    <t>HARTSPRING 11 BB</t>
  </si>
  <si>
    <t>MERRYHILL 11 BB</t>
  </si>
  <si>
    <t>ADELAIDE ST 11 BB</t>
  </si>
  <si>
    <t>CELL BARNES PR 11 BB</t>
  </si>
  <si>
    <t>MARSHALSWICK 11 BB</t>
  </si>
  <si>
    <t>PARK ST 11 BB</t>
  </si>
  <si>
    <t>CHELMS EAST LOCAL 11 BB</t>
  </si>
  <si>
    <t>DANBURY 11 BB</t>
  </si>
  <si>
    <t>STH CHELMSFORD 11 BB</t>
  </si>
  <si>
    <t>WEST CHELMSFORD 11 BB</t>
  </si>
  <si>
    <t>WEST HANNINGFIELD 11 BB</t>
  </si>
  <si>
    <t>WRITTLE STREET 11 BB</t>
  </si>
  <si>
    <t>CHISBON HTH 11 BB</t>
  </si>
  <si>
    <t>CLACTON 11 BB</t>
  </si>
  <si>
    <t>FRINT 11 BB</t>
  </si>
  <si>
    <t>OLD RD 11 BB</t>
  </si>
  <si>
    <t>VALLEY 11 BB</t>
  </si>
  <si>
    <t>DOCK RD 11 BB</t>
  </si>
  <si>
    <t>FAGBURY RD PRIMARY 11KV</t>
  </si>
  <si>
    <t>FOREHAM 11 BB</t>
  </si>
  <si>
    <t>GUSF 11 BB</t>
  </si>
  <si>
    <t>LANG AV 11 BB</t>
  </si>
  <si>
    <t>MART 11 BB</t>
  </si>
  <si>
    <t>NACTON 11 BB</t>
  </si>
  <si>
    <t>OYSTERBED RD 11KV</t>
  </si>
  <si>
    <t>SHOTLEY 11 BB</t>
  </si>
  <si>
    <t>TATTING 11 BB</t>
  </si>
  <si>
    <t>WARRENH 11 BB</t>
  </si>
  <si>
    <t>ALRESFORD 11 BB</t>
  </si>
  <si>
    <t>BRAIS 11 BB</t>
  </si>
  <si>
    <t>EAST BAY 11 BB</t>
  </si>
  <si>
    <t>MERSEA RD 11 BB</t>
  </si>
  <si>
    <t>PARSONS HTH 11 BB</t>
  </si>
  <si>
    <t>CORYTON 33 BB</t>
  </si>
  <si>
    <t>CHASE CROSS 11 BB</t>
  </si>
  <si>
    <t>ROMFORD 11 BB</t>
  </si>
  <si>
    <t>ROMFORD NTH 11 BB</t>
  </si>
  <si>
    <t>SELINAS LN 11 BB</t>
  </si>
  <si>
    <t>DISS 11 BB</t>
  </si>
  <si>
    <t>EYE 11 BB</t>
  </si>
  <si>
    <t>KENH 11 BB</t>
  </si>
  <si>
    <t>RICK 11 BB</t>
  </si>
  <si>
    <t>TIVET 11 BB</t>
  </si>
  <si>
    <t>ATTLEBOROUGH 11 BB</t>
  </si>
  <si>
    <t>BOUNDARY PK 11 BB</t>
  </si>
  <si>
    <t>CRINGLEFD 11 BB</t>
  </si>
  <si>
    <t>EARLH W 11 BB</t>
  </si>
  <si>
    <t>EARLHAM GRID 11 BB</t>
  </si>
  <si>
    <t>EARLH GRD LOC B MAIN1 11 BB</t>
  </si>
  <si>
    <t>EARLH GRD LOC B RES1 11 BB</t>
  </si>
  <si>
    <t>HAPTON 11 BB</t>
  </si>
  <si>
    <t>WYMONDHAM 11 BB</t>
  </si>
  <si>
    <t>LT BARFORD 11KV 1 BB</t>
  </si>
  <si>
    <t>LT BARFORD 11KV 2 BB</t>
  </si>
  <si>
    <t>LT BARFORD MAIN 132 BB2</t>
  </si>
  <si>
    <t>LT BARFORD RESERVE 132 BB2</t>
  </si>
  <si>
    <t>STANMORE 1A 11 BB</t>
  </si>
  <si>
    <t>STANMORE 2A 11 BB</t>
  </si>
  <si>
    <t>BR BOURNE END TEE/1</t>
  </si>
  <si>
    <t>BR BOURNE END TEE/2</t>
  </si>
  <si>
    <t>BUSHEY MILL 1 11 BB</t>
  </si>
  <si>
    <t>BUSHEY MILL 2 11 BB</t>
  </si>
  <si>
    <t>LINDSEY ST 11 BB</t>
  </si>
  <si>
    <t>ONGAR 11 BB</t>
  </si>
  <si>
    <t>BELLE VUE 11 BB</t>
  </si>
  <si>
    <t>CHURCH END 11 BB</t>
  </si>
  <si>
    <t>CRANLEY GARDENS 6.6 BB</t>
  </si>
  <si>
    <t>EAST BARNET 11 BB</t>
  </si>
  <si>
    <t>EAST FINCHLEY 11 BB</t>
  </si>
  <si>
    <t>FINCHLEY 33 BB</t>
  </si>
  <si>
    <t>NORTH FINCHLEY 11 BB</t>
  </si>
  <si>
    <t>BURNHAM 11 BB</t>
  </si>
  <si>
    <t>BURNHAM SW STN/1</t>
  </si>
  <si>
    <t>BURNHAM SW STN/2</t>
  </si>
  <si>
    <t>ECKO 11 BB</t>
  </si>
  <si>
    <t>THORPE BAY 11 BB</t>
  </si>
  <si>
    <t>BARNWELL 11 BB</t>
  </si>
  <si>
    <t>FULBOURN 11KV BB</t>
  </si>
  <si>
    <t>ADDENBROOKES 11 BB</t>
  </si>
  <si>
    <t>ADDENBROOKES 33 BB</t>
  </si>
  <si>
    <t>RADNOR 11 BB</t>
  </si>
  <si>
    <t>SAWSTON 11 BB</t>
  </si>
  <si>
    <t>SLEAFORD ST 11 BB</t>
  </si>
  <si>
    <t>ST ANTHONY ST 11 BB</t>
  </si>
  <si>
    <t>BRAD 11 BB</t>
  </si>
  <si>
    <t>CAIS 11 BB</t>
  </si>
  <si>
    <t>GT YAR 33 BB</t>
  </si>
  <si>
    <t>GT YAR T3/T5 11 BB</t>
  </si>
  <si>
    <t>GT YAR T4 11 BB</t>
  </si>
  <si>
    <t>MAGDA 11 BB</t>
  </si>
  <si>
    <t>MARTH 11 BB</t>
  </si>
  <si>
    <t>ORMES 11 BB</t>
  </si>
  <si>
    <t>HALESWORTH 11 BB</t>
  </si>
  <si>
    <t>HARLESTON 11 BB</t>
  </si>
  <si>
    <t>PEAS 11 BB</t>
  </si>
  <si>
    <t>REYD 33 BB</t>
  </si>
  <si>
    <t>REYDON 11 BB</t>
  </si>
  <si>
    <t>HARLOW W 33 BB</t>
  </si>
  <si>
    <t>HARLOW W T3/5 11 BB</t>
  </si>
  <si>
    <t>NEW HARLOW PRIMARY 11KV</t>
  </si>
  <si>
    <t>HARLOW W T4/6 11 BB</t>
  </si>
  <si>
    <t>NEW HARLOW 11 BB</t>
  </si>
  <si>
    <t>S HARLOW 11 BB</t>
  </si>
  <si>
    <t>GREENHILL 11 BB</t>
  </si>
  <si>
    <t>HARROW NTH T1/2 11 BB</t>
  </si>
  <si>
    <t>HARROW NTH T3 11 BB</t>
  </si>
  <si>
    <t>STH HARROW 11 BB</t>
  </si>
  <si>
    <t>STH RUISLIP 11 BB</t>
  </si>
  <si>
    <t>SUDBURY CRT 1 11 BB</t>
  </si>
  <si>
    <t>SUDBURY CRT 2 11 BB</t>
  </si>
  <si>
    <t>EASTCOTE A 11 BB</t>
  </si>
  <si>
    <t>EASTCOTE B 11 BB</t>
  </si>
  <si>
    <t>HATCH END 11 BB</t>
  </si>
  <si>
    <t>PINNER GREEN 11 BB</t>
  </si>
  <si>
    <t>CHANTRY LN 11 BB</t>
  </si>
  <si>
    <t>HATFIELD 11 BB</t>
  </si>
  <si>
    <t>HATFIELD 33 BB</t>
  </si>
  <si>
    <t>SHENLEY 11 BB</t>
  </si>
  <si>
    <t>TUNNEL 11 BB</t>
  </si>
  <si>
    <t>W POTTERS BAR 11 BB</t>
  </si>
  <si>
    <t>BURNHAM TH 11 BB</t>
  </si>
  <si>
    <t>COXFORD 11 BB</t>
  </si>
  <si>
    <t>EGMERE 11 BB</t>
  </si>
  <si>
    <t>EGMERE 33 BB</t>
  </si>
  <si>
    <t>FAKENHAM 11 BB</t>
  </si>
  <si>
    <t>HUNSTANTON 11 BB</t>
  </si>
  <si>
    <t>BEE 11 BB</t>
  </si>
  <si>
    <t>BROCKENHURST 11 BB</t>
  </si>
  <si>
    <t>GOLDERS GREEN 11 BB</t>
  </si>
  <si>
    <t>HENDON WAY 11 BB</t>
  </si>
  <si>
    <t>KINGSBURY 11 BB</t>
  </si>
  <si>
    <t>MILL HILL 11 BB</t>
  </si>
  <si>
    <t>ALDRETH 11 BB</t>
  </si>
  <si>
    <t>ALDRETH 33 BB</t>
  </si>
  <si>
    <t>HISTON 11 BB</t>
  </si>
  <si>
    <t>LANDBEACH 11 BB</t>
  </si>
  <si>
    <t>LONGSTANTON 11 BB</t>
  </si>
  <si>
    <t>MADINGLEY RD 11 BB</t>
  </si>
  <si>
    <t>MILTON RD 11 BB</t>
  </si>
  <si>
    <t>STOREYS WAY 11 BB</t>
  </si>
  <si>
    <t>THOMPSONS LANE 11 BB</t>
  </si>
  <si>
    <t>FROGMORE 11 BB</t>
  </si>
  <si>
    <t>HOLYWELL 33 BB</t>
  </si>
  <si>
    <t>KINGS LANGLEY 11 BB</t>
  </si>
  <si>
    <t>PICCOTTS END 33 BB</t>
  </si>
  <si>
    <t>WESTBURY 11 BB</t>
  </si>
  <si>
    <t>ELM PARK 11 BB</t>
  </si>
  <si>
    <t>HORNCHURCH LOC T1/5 11 BB</t>
  </si>
  <si>
    <t>HORNCHURCH LOC T2 11 BB</t>
  </si>
  <si>
    <t>NOAK HILL 11 BB</t>
  </si>
  <si>
    <t>STRAIGHT RD 11 BB</t>
  </si>
  <si>
    <t>CADDINGTON 11 BB</t>
  </si>
  <si>
    <t>CHEDDINGTON 11 BB</t>
  </si>
  <si>
    <t>DUNSTABLE 11 BB</t>
  </si>
  <si>
    <t>HOUGH REG 11 BB</t>
  </si>
  <si>
    <t>HOUGH REG 33 BB</t>
  </si>
  <si>
    <t>KENSWORTH 11 BB</t>
  </si>
  <si>
    <t>PITSTONE 11 BB</t>
  </si>
  <si>
    <t>BRINGTON 11 BB</t>
  </si>
  <si>
    <t>BURY 11 BB</t>
  </si>
  <si>
    <t>BURY 33 BB2</t>
  </si>
  <si>
    <t>HUNT GRID 33 BB</t>
  </si>
  <si>
    <t>HUNTINGDON GRID 11KV</t>
  </si>
  <si>
    <t>ST IVES 11 BB</t>
  </si>
  <si>
    <t>WOODWALTON 11 BB</t>
  </si>
  <si>
    <t>BARS 11 BB</t>
  </si>
  <si>
    <t>BECC 11 BB</t>
  </si>
  <si>
    <t>BUNG 11 BB</t>
  </si>
  <si>
    <t>HENS 11 BB</t>
  </si>
  <si>
    <t>CHINNOR 11 BB</t>
  </si>
  <si>
    <t>ILMER 11 BB</t>
  </si>
  <si>
    <t>SAUNDERTON 11 BB</t>
  </si>
  <si>
    <t>THAME 11 BB</t>
  </si>
  <si>
    <t>HIGHFIELD 11 BB</t>
  </si>
  <si>
    <t>IPSWICH 11 BB</t>
  </si>
  <si>
    <t>IPSWICH 33 BB</t>
  </si>
  <si>
    <t>ROUNDWD RD 11 BB</t>
  </si>
  <si>
    <t>TURR 11 BB</t>
  </si>
  <si>
    <t>FAIRSTEAD 11 BB</t>
  </si>
  <si>
    <t>GAYWOOD 11 BB</t>
  </si>
  <si>
    <t>HARDWICK RD 11 BB</t>
  </si>
  <si>
    <t>KL AUSTIN ST 11 BB</t>
  </si>
  <si>
    <t>LT MASSM 11 BB</t>
  </si>
  <si>
    <t>SNETTISHAM 11 BB</t>
  </si>
  <si>
    <t>DOWNHAM MKT 11 BB</t>
  </si>
  <si>
    <t>WATLINGTON 11 BB</t>
  </si>
  <si>
    <t>WIGGENHALL 1 11 BB</t>
  </si>
  <si>
    <t>BRANTHAM 11 BB</t>
  </si>
  <si>
    <t>DOVER 11 BB</t>
  </si>
  <si>
    <t>FOXASH 11 BB</t>
  </si>
  <si>
    <t>LANGHAM 11 BB</t>
  </si>
  <si>
    <t>P60S WIX</t>
  </si>
  <si>
    <t>SEVERALLS 11 BB</t>
  </si>
  <si>
    <t>WIX 11 BB</t>
  </si>
  <si>
    <t>BERESFORD AVE 11 BB</t>
  </si>
  <si>
    <t>CENTRAL WEMBLEY 11 BB</t>
  </si>
  <si>
    <t>WEMBLEY PARK 11KV</t>
  </si>
  <si>
    <t>EAST LETCHWORTH 11 BB</t>
  </si>
  <si>
    <t>LETCH FAC 11 BB</t>
  </si>
  <si>
    <t>P37 SHEFFORD</t>
  </si>
  <si>
    <t>SHEFFORD 11 BB</t>
  </si>
  <si>
    <t>WEST LETCHWORTH 11 BB</t>
  </si>
  <si>
    <t>BIGGLESWADE 1 11 BB</t>
  </si>
  <si>
    <t>BIGGLESWADE 2 11 BB</t>
  </si>
  <si>
    <t>BOURN 11 BB</t>
  </si>
  <si>
    <t>CROYDON 11 BB</t>
  </si>
  <si>
    <t>GODMANCHESTER 11 BB</t>
  </si>
  <si>
    <t>HILTON 11 BB</t>
  </si>
  <si>
    <t>KIMBOLTON 11 BB</t>
  </si>
  <si>
    <t>LT BARFORD 33 BB</t>
  </si>
  <si>
    <t>OFFORD 11 BB</t>
  </si>
  <si>
    <t>PERRY 1/2 11 BB</t>
  </si>
  <si>
    <t>PERRY 3 11 BB</t>
  </si>
  <si>
    <t>SANDY 11 BB</t>
  </si>
  <si>
    <t>LONG RD 11 BB</t>
  </si>
  <si>
    <t>LOWES 11 BB</t>
  </si>
  <si>
    <t>WHAP RD 11 BB</t>
  </si>
  <si>
    <t>CAPABILITY GRN 11 BB</t>
  </si>
  <si>
    <t>CEN HARPENDEN 11 BB</t>
  </si>
  <si>
    <t>E HARPENDEN 11 BB</t>
  </si>
  <si>
    <t>LUTON AIRPORT 11 BB</t>
  </si>
  <si>
    <t>LUTON ST MARYS 11 BB</t>
  </si>
  <si>
    <t>LUTON STH 33 BB</t>
  </si>
  <si>
    <t>STOPSLEY 11 BB</t>
  </si>
  <si>
    <t>AMERSHAM 11 BB</t>
  </si>
  <si>
    <t>BERKHAMPSTEAD 11 BB</t>
  </si>
  <si>
    <t>BOIS LANE 11 BB</t>
  </si>
  <si>
    <t>GT MISSENDEN 11 BB</t>
  </si>
  <si>
    <t>LYE GREEN 11 BB</t>
  </si>
  <si>
    <t>ASHERIDGE RD</t>
  </si>
  <si>
    <t>MALDON CAUSEWAY 11 BB</t>
  </si>
  <si>
    <t>MALDON WICK 11 BB</t>
  </si>
  <si>
    <t>TILLINGHAM 11 BB</t>
  </si>
  <si>
    <t>CHATTERIS 11 BB</t>
  </si>
  <si>
    <t>LITTLEPORT 11 BB</t>
  </si>
  <si>
    <t>MARCH 11 BB</t>
  </si>
  <si>
    <t>P49 MARCH</t>
  </si>
  <si>
    <t>P80 WHITTLESEY</t>
  </si>
  <si>
    <t>SOUTHERY 11 BB</t>
  </si>
  <si>
    <t>WHITTLESEY 11 BB</t>
  </si>
  <si>
    <t>WISS 33 BB</t>
  </si>
  <si>
    <t>BASSINGBOURN 11 BB</t>
  </si>
  <si>
    <t>MELBOURN 11KV BB</t>
  </si>
  <si>
    <t>ROYSTON 11 BB</t>
  </si>
  <si>
    <t>SHEPRETH 11 BB</t>
  </si>
  <si>
    <t>COLINDALE A 11 BB</t>
  </si>
  <si>
    <t>COLINDALE B 11 BB</t>
  </si>
  <si>
    <t>MIHI1RB</t>
  </si>
  <si>
    <t>BILLERICAY EAST 11 BB</t>
  </si>
  <si>
    <t>CHALVEDON 11 BB</t>
  </si>
  <si>
    <t>GARDINERS LN 11 BB</t>
  </si>
  <si>
    <t>KINGSWOOD 11 BB</t>
  </si>
  <si>
    <t>NEVENDON GRD 33 BB</t>
  </si>
  <si>
    <t>THE LIMES 11 BB</t>
  </si>
  <si>
    <t>NOR THORPE MAIN1 11 BB</t>
  </si>
  <si>
    <t>NOR THORPE REV1 11 BB</t>
  </si>
  <si>
    <t>BURY ST 11 BB</t>
  </si>
  <si>
    <t>CEN EDMONTON 11 BB</t>
  </si>
  <si>
    <t>CROUCH END A 6.6 BB</t>
  </si>
  <si>
    <t>CROUCH END B 6.6 BB</t>
  </si>
  <si>
    <t>LONSDALE DR 11 BB</t>
  </si>
  <si>
    <t>NTH ENFIELD 11 BB</t>
  </si>
  <si>
    <t>WATSONS RD 11 BB</t>
  </si>
  <si>
    <t>FARCET 11 BB</t>
  </si>
  <si>
    <t>FUNTHAMS LN 11 BB</t>
  </si>
  <si>
    <t>ORTON 11 BB</t>
  </si>
  <si>
    <t>P137 BURY</t>
  </si>
  <si>
    <t>PETER CEN 11 BB</t>
  </si>
  <si>
    <t>PETER STH1 11 BB</t>
  </si>
  <si>
    <t>PETER STH2 11 BB</t>
  </si>
  <si>
    <t>HEMEL EAST 11 BB</t>
  </si>
  <si>
    <t>HEMEL NTH 11 BB</t>
  </si>
  <si>
    <t>INDUSTRIAL 11 BB</t>
  </si>
  <si>
    <t>ST PAUL 11 BB</t>
  </si>
  <si>
    <t>WARNERS END 11 BB</t>
  </si>
  <si>
    <t>BARCLAY WAY 11 BB</t>
  </si>
  <si>
    <t>LAKESIDE 11 BB</t>
  </si>
  <si>
    <t>MANOR WAY 11 BB</t>
  </si>
  <si>
    <t>PURFLEET LOC T1/2 11 BB</t>
  </si>
  <si>
    <t>PURFLEET LOC T3/4 11 BB</t>
  </si>
  <si>
    <t>RAINHAM 11 BB</t>
  </si>
  <si>
    <t>BELLHOUSE 11 BB</t>
  </si>
  <si>
    <t>RAY LOC 11 BB</t>
  </si>
  <si>
    <t>STH WOODM FERR 11 BB</t>
  </si>
  <si>
    <t>UPLANDS PARK 11 BB</t>
  </si>
  <si>
    <t>WICKFORD 11 BB</t>
  </si>
  <si>
    <t>COL 11 BB</t>
  </si>
  <si>
    <t>SOUTHEND BR SE/1</t>
  </si>
  <si>
    <t>SOUTHEND BR SE/2</t>
  </si>
  <si>
    <t>SOUTHEND F 11 BB</t>
  </si>
  <si>
    <t>SOUTHEND R 11 BB</t>
  </si>
  <si>
    <t>RAYLEIGH LOCAL SE/1</t>
  </si>
  <si>
    <t>RAYLEIGH LOCAL SE/2</t>
  </si>
  <si>
    <t>BROXB 11 BB</t>
  </si>
  <si>
    <t>E HERT 11 BB</t>
  </si>
  <si>
    <t>HODDESDON 11 BB</t>
  </si>
  <si>
    <t>MUCH HAD 11 BB1</t>
  </si>
  <si>
    <t>MUCH HAD 11 BB2</t>
  </si>
  <si>
    <t>RYE HOUSE 33</t>
  </si>
  <si>
    <t>RYE HOUSE 11 BB</t>
  </si>
  <si>
    <t>TURNFORD 11 BB</t>
  </si>
  <si>
    <t>WARE 11 BB</t>
  </si>
  <si>
    <t>AYLSHAM 11 BB</t>
  </si>
  <si>
    <t>CROMER 11 BB</t>
  </si>
  <si>
    <t>EAST DEREHAM A 11 BB</t>
  </si>
  <si>
    <t>EAST DEREHAM B 11 BB</t>
  </si>
  <si>
    <t>GT WITCHM 11 BB</t>
  </si>
  <si>
    <t>HARDINGHAM 11 BB</t>
  </si>
  <si>
    <t>HORSF 11 BB</t>
  </si>
  <si>
    <t>KNAPTON 11 BB</t>
  </si>
  <si>
    <t>NTH WALS 11 BB</t>
  </si>
  <si>
    <t>SALL 11 BB</t>
  </si>
  <si>
    <t>STODY 11 BB</t>
  </si>
  <si>
    <t>WEST BECK 11 BB</t>
  </si>
  <si>
    <t>WESTON LONGV 11 BB</t>
  </si>
  <si>
    <t>RAINBOW LANE 1 11 BB</t>
  </si>
  <si>
    <t>RAINBOW LANE 2 11 BB</t>
  </si>
  <si>
    <t>BRENTWOOD 11 BB</t>
  </si>
  <si>
    <t>GOOSE GRN 11 BB</t>
  </si>
  <si>
    <t>HAROLD WD 11 BB</t>
  </si>
  <si>
    <t>HIGH ST 11 BB</t>
  </si>
  <si>
    <t>HUTTON 11 BB</t>
  </si>
  <si>
    <t>INGATESTN 11 BB</t>
  </si>
  <si>
    <t>BASILDON LOCAL 1 11 BB</t>
  </si>
  <si>
    <t>BASILDON LOCAL 2 11 BB</t>
  </si>
  <si>
    <t>BASILDON LOCAL T2</t>
  </si>
  <si>
    <t>CANVEY 11 BB</t>
  </si>
  <si>
    <t>HADLEIGH 11 BB</t>
  </si>
  <si>
    <t>SOUTH BENFLEET LOCAL 11 BB</t>
  </si>
  <si>
    <t>THUNDERSLEY 11 BB</t>
  </si>
  <si>
    <t>HAINAULT AVE 11 BB</t>
  </si>
  <si>
    <t>LEIGH 11 BB</t>
  </si>
  <si>
    <t>SOUTHEND W 2 11 BB1</t>
  </si>
  <si>
    <t>SOUTHEND W 2 11 BB2</t>
  </si>
  <si>
    <t>KENTON 11 BB</t>
  </si>
  <si>
    <t>MANNS RD 1 11 BB</t>
  </si>
  <si>
    <t>MANNS RD 2 11 BB</t>
  </si>
  <si>
    <t>NTH WEMBLEY 11 BB</t>
  </si>
  <si>
    <t>STONEGROVE 11 BB</t>
  </si>
  <si>
    <t>WEALDSTONE 11 BB</t>
  </si>
  <si>
    <t>CH GREEN 11 BB</t>
  </si>
  <si>
    <t>E STEV 11 BB</t>
  </si>
  <si>
    <t>KNEB 11 BB</t>
  </si>
  <si>
    <t>N STEV 11 BB</t>
  </si>
  <si>
    <t>REED 11 BB</t>
  </si>
  <si>
    <t>S STEV 11 BB</t>
  </si>
  <si>
    <t>STEV 11 BB</t>
  </si>
  <si>
    <t>VERITY WAY 11 BB</t>
  </si>
  <si>
    <t>WARREN SPR 11 BB</t>
  </si>
  <si>
    <t>CLAY 11 BB</t>
  </si>
  <si>
    <t>COTTON 11 BB</t>
  </si>
  <si>
    <t>DEB 11 BB</t>
  </si>
  <si>
    <t>ELMSWELL 11 BB</t>
  </si>
  <si>
    <t>HAD 11 BB</t>
  </si>
  <si>
    <t>HITC 11 BB</t>
  </si>
  <si>
    <t>STOW 11 BB</t>
  </si>
  <si>
    <t>STOW 33 BB</t>
  </si>
  <si>
    <t>EDISON RD 1 11 BB</t>
  </si>
  <si>
    <t>EDISON RD 2 11 BB</t>
  </si>
  <si>
    <t>LUTON NTH FBB</t>
  </si>
  <si>
    <t>CHAUL END 11 BB</t>
  </si>
  <si>
    <t>LEIGHT BUZZ 11 BB</t>
  </si>
  <si>
    <t>LEWSEY 11 BB</t>
  </si>
  <si>
    <t>LUTON NTH RBB</t>
  </si>
  <si>
    <t>SUNDON 11 BB</t>
  </si>
  <si>
    <t>KEMPSTONE 11 BB</t>
  </si>
  <si>
    <t>NARBOROUGH 11 BB</t>
  </si>
  <si>
    <t>NORTHWOLD 11 BB</t>
  </si>
  <si>
    <t>SWAFFHAM 11 BB</t>
  </si>
  <si>
    <t>SWAFFHAM 33 BB</t>
  </si>
  <si>
    <t>WATTON 11 BB</t>
  </si>
  <si>
    <t>ACROWS 11 BB</t>
  </si>
  <si>
    <t>DUNMOW 11 BB</t>
  </si>
  <si>
    <t>SAF WALD 11 BB</t>
  </si>
  <si>
    <t>TAKELEY 11 BB</t>
  </si>
  <si>
    <t>THAX 33 BB</t>
  </si>
  <si>
    <t>THAX LOC 11 BB</t>
  </si>
  <si>
    <t>WETHERSF 11 BB</t>
  </si>
  <si>
    <t>WH RODING 11 BB</t>
  </si>
  <si>
    <t>BRAND 11 BB</t>
  </si>
  <si>
    <t>FELT 11 BB</t>
  </si>
  <si>
    <t>HON 33 BB</t>
  </si>
  <si>
    <t>HONINGTON 1 11 BB</t>
  </si>
  <si>
    <t>HONINGTON 2 11 BB</t>
  </si>
  <si>
    <t>KIMMS 11 BB</t>
  </si>
  <si>
    <t>LAKEN 11 BB</t>
  </si>
  <si>
    <t>STAN 11 BB</t>
  </si>
  <si>
    <t>THET 11 BB</t>
  </si>
  <si>
    <t>THET PS 33 BB</t>
  </si>
  <si>
    <t>WAT LN 11 BB</t>
  </si>
  <si>
    <t>BARRACK ST 11 BB</t>
  </si>
  <si>
    <t>BEIGHTON 11 BB</t>
  </si>
  <si>
    <t>GEORGE HILL 11 BB</t>
  </si>
  <si>
    <t>MOUSE 11 BB</t>
  </si>
  <si>
    <t>PEACHMAN WAY 11 BB</t>
  </si>
  <si>
    <t>SCOTTOW 11 BB</t>
  </si>
  <si>
    <t>SPROWS 11 BB</t>
  </si>
  <si>
    <t>THORPE LOCAL 33 BB1</t>
  </si>
  <si>
    <t>THORPE LOCAL 33 BB2</t>
  </si>
  <si>
    <t>TUCKSWD 11 BB</t>
  </si>
  <si>
    <t>WORSTEAD 11 BB</t>
  </si>
  <si>
    <t>WROXM 11 BB</t>
  </si>
  <si>
    <t>BATA 11 BB</t>
  </si>
  <si>
    <t>LT. BELHUS 11 BB</t>
  </si>
  <si>
    <t>MARSHFOOT ROAD 11 BB</t>
  </si>
  <si>
    <t>SELWYN RD 11 BB</t>
  </si>
  <si>
    <t>TILBURY LOCAL 11 BB</t>
  </si>
  <si>
    <t>HORNSEY 11 BB</t>
  </si>
  <si>
    <t>PALMERS GRN GRID 11 MAIN</t>
  </si>
  <si>
    <t>PALMERS GRN GRID 11 REAR</t>
  </si>
  <si>
    <t>TOTT GRID 1 11 BB</t>
  </si>
  <si>
    <t>TOTT GRID 2 11 BB</t>
  </si>
  <si>
    <t>TOTT GRID T1A</t>
  </si>
  <si>
    <t>TOTT GRID T1B</t>
  </si>
  <si>
    <t>BRUCE GROVE 11 BB</t>
  </si>
  <si>
    <t>CEN TOTT 11 BB</t>
  </si>
  <si>
    <t>PONDERS END 11 BB</t>
  </si>
  <si>
    <t>PONDERS END T1</t>
  </si>
  <si>
    <t>PONDERS END T2</t>
  </si>
  <si>
    <t>WEST GREEN 11 BB</t>
  </si>
  <si>
    <t>ALP 11 BB</t>
  </si>
  <si>
    <t>HEMBLINGTON 11 BB</t>
  </si>
  <si>
    <t>MULBART 11 BB</t>
  </si>
  <si>
    <t>ST STEPH A 11 BB</t>
  </si>
  <si>
    <t>ST STEPH B 11 BB</t>
  </si>
  <si>
    <t>STALH A 11 BB</t>
  </si>
  <si>
    <t>STALH B 11 BB</t>
  </si>
  <si>
    <t>PETER CEN 132 BB/2</t>
  </si>
  <si>
    <t>PETER EAST 1A 11 BB</t>
  </si>
  <si>
    <t>PETER EAST 1B 11 BB</t>
  </si>
  <si>
    <t>PETER NTH A 11 BB</t>
  </si>
  <si>
    <t>PETER NTH B 11 BB</t>
  </si>
  <si>
    <t>GUYHIRN 11 BB</t>
  </si>
  <si>
    <t>LEVERINGTON 11 BB</t>
  </si>
  <si>
    <t>OUTWELL 11 BB</t>
  </si>
  <si>
    <t>P19 WALSOKEN</t>
  </si>
  <si>
    <t>STICKFAST LN 11 BB</t>
  </si>
  <si>
    <t>WALSOKEN 11 BB</t>
  </si>
  <si>
    <t>WISBEACH RAILWAY 11 BB</t>
  </si>
  <si>
    <t>HOLYWELL FBB 11 BB</t>
  </si>
  <si>
    <t>HOLYWELL RBB 11 BB</t>
  </si>
  <si>
    <t>RICKMANSWORTH A 11 BB</t>
  </si>
  <si>
    <t>RICKMANSWORTH B 11 BB</t>
  </si>
  <si>
    <t>CENTRAL WELWYN 11 BB</t>
  </si>
  <si>
    <t>FRYTHE 11 BB</t>
  </si>
  <si>
    <t>LYLE 11 BB</t>
  </si>
  <si>
    <t>OLD WELWYN 1 11 BB</t>
  </si>
  <si>
    <t>OLD WELWYN 2 11 BB</t>
  </si>
  <si>
    <t>WELWYN 11 BB</t>
  </si>
  <si>
    <t>WEST HERTFORD 11 BB</t>
  </si>
  <si>
    <t>GRAYS 11 BB</t>
  </si>
  <si>
    <t>HEDLEY AVE 11 BB</t>
  </si>
  <si>
    <t>W THURROCK GRD 33 BB</t>
  </si>
  <si>
    <t>AMPTHILL 11 BB</t>
  </si>
  <si>
    <t>BARTON 11 BB</t>
  </si>
  <si>
    <t>BROGBOROUGH 11 BB</t>
  </si>
  <si>
    <t>WESTONING 11 BB</t>
  </si>
  <si>
    <t>BENH 11 BB</t>
  </si>
  <si>
    <t>BENTW 11 BB</t>
  </si>
  <si>
    <t>FRAM 11 BB</t>
  </si>
  <si>
    <t>HACH 11 BB</t>
  </si>
  <si>
    <t>LAX 11 BB</t>
  </si>
  <si>
    <t>LEIS 11 BB</t>
  </si>
  <si>
    <t>MANR 11 BB</t>
  </si>
  <si>
    <t>MELTON 11 BB</t>
  </si>
  <si>
    <t>ORF 1 11 BB</t>
  </si>
  <si>
    <t>ORF 2 11 BB</t>
  </si>
  <si>
    <t>NTH HITCHIN 11 BB</t>
  </si>
  <si>
    <t>STH HITCHIN 11 BB</t>
  </si>
  <si>
    <t>Dummy SSCs for Measurement Class F &amp; G Half Hourly data aggregation</t>
  </si>
  <si>
    <t>GSP Group ID</t>
  </si>
  <si>
    <t>GSP Group Name</t>
  </si>
  <si>
    <t>Dummy SSC</t>
  </si>
  <si>
    <t>"Red" period TPR</t>
  </si>
  <si>
    <t xml:space="preserve">"Amber" period TPR </t>
  </si>
  <si>
    <t>"Green" Period TPR</t>
  </si>
  <si>
    <t>_A</t>
  </si>
  <si>
    <t>Eastern</t>
  </si>
  <si>
    <t>_B</t>
  </si>
  <si>
    <t>East Midlands</t>
  </si>
  <si>
    <t>_C</t>
  </si>
  <si>
    <t>London</t>
  </si>
  <si>
    <t>_D</t>
  </si>
  <si>
    <t>Merseyside and North Wales</t>
  </si>
  <si>
    <t>_E</t>
  </si>
  <si>
    <t>Midlands</t>
  </si>
  <si>
    <t>_F</t>
  </si>
  <si>
    <t>Northern</t>
  </si>
  <si>
    <t>_G</t>
  </si>
  <si>
    <t>North Western</t>
  </si>
  <si>
    <t>_H</t>
  </si>
  <si>
    <t>Southern</t>
  </si>
  <si>
    <t>_J</t>
  </si>
  <si>
    <t>South Eastern</t>
  </si>
  <si>
    <t>_K</t>
  </si>
  <si>
    <t>South Wales</t>
  </si>
  <si>
    <t>_L</t>
  </si>
  <si>
    <t>South Western</t>
  </si>
  <si>
    <t>_M</t>
  </si>
  <si>
    <t>Yorkshire</t>
  </si>
  <si>
    <t>_N</t>
  </si>
  <si>
    <t>South Scotland</t>
  </si>
  <si>
    <t>_P</t>
  </si>
  <si>
    <t>North Scotland</t>
  </si>
  <si>
    <t>ALCORG</t>
  </si>
  <si>
    <t xml:space="preserve">ALCOR LSPV LTD </t>
  </si>
  <si>
    <t>ARDLGH</t>
  </si>
  <si>
    <t>SUNSAVE 28 (ARDLEIGH) LIMITED</t>
  </si>
  <si>
    <t>BLCAMB</t>
  </si>
  <si>
    <t>BURY GREEN FARM SOLAR LIMITED</t>
  </si>
  <si>
    <t>BLDOCK</t>
  </si>
  <si>
    <t>MSID 7308</t>
  </si>
  <si>
    <t>MSID 7309</t>
  </si>
  <si>
    <t>GREEN FROG POWER LTD</t>
  </si>
  <si>
    <t>BUNNS HILL SOLAR LIMITED</t>
  </si>
  <si>
    <t>CLDECT</t>
  </si>
  <si>
    <t>AMP GM005</t>
  </si>
  <si>
    <t>DRAYTN</t>
  </si>
  <si>
    <t xml:space="preserve">HAYMAKER (SIXTEEN) LTD </t>
  </si>
  <si>
    <t>HONYSM</t>
  </si>
  <si>
    <t>HONEYSOME ROAD SOLAR LIMITED</t>
  </si>
  <si>
    <t>LEICSQ</t>
  </si>
  <si>
    <t>SOUTH CREAKE SOLAR COMPANY LIMITED</t>
  </si>
  <si>
    <t>LWRNCE</t>
  </si>
  <si>
    <t>LIGHTSOURCE SPV180 LTD</t>
  </si>
  <si>
    <t>MLLFLD</t>
  </si>
  <si>
    <t>MILLFIELD SOLAR FARM</t>
  </si>
  <si>
    <t>NEWTON</t>
  </si>
  <si>
    <t>WEL SOLAR PARK 6 LIMITED</t>
  </si>
  <si>
    <t>OULTON</t>
  </si>
  <si>
    <t>OULTON SOLAR LIMITED</t>
  </si>
  <si>
    <t>OUTWDS</t>
  </si>
  <si>
    <t>WEL SOLAR PARK 5 LIMITED</t>
  </si>
  <si>
    <t>RMSYSF</t>
  </si>
  <si>
    <t>RAMSEY SOLAR LIMITED</t>
  </si>
  <si>
    <t>ROOKRY</t>
  </si>
  <si>
    <t>ROOKERY SOLAR LIMITED</t>
  </si>
  <si>
    <t>SCMOOR</t>
  </si>
  <si>
    <t>SNTBRE</t>
  </si>
  <si>
    <t>TOGGAM</t>
  </si>
  <si>
    <t>GREENHEATH ENERGY LIMITED</t>
  </si>
  <si>
    <t>UKPRST</t>
  </si>
  <si>
    <t>TILGRN</t>
  </si>
  <si>
    <t xml:space="preserve">TILBURY GREEN POWER </t>
  </si>
  <si>
    <t>BWSC EAST ANGLIA LIMITED</t>
  </si>
  <si>
    <t>UK POWER RESERVE EASTMAN WAY</t>
  </si>
  <si>
    <t>HRMTGE</t>
  </si>
  <si>
    <t>CRSSNG</t>
  </si>
  <si>
    <t>STNPTS</t>
  </si>
  <si>
    <t>CRANHM</t>
  </si>
  <si>
    <t>ROSE AND CROWN SOLAR FARM</t>
  </si>
  <si>
    <t>HERMITAGE SOLAR PARK LTD</t>
  </si>
  <si>
    <t>CRESSING SOLAR FARM LIMITED</t>
  </si>
  <si>
    <t>BELECTRIC SOLAR LTD</t>
  </si>
  <si>
    <t>WEL SOLAR PARK 12 LTD</t>
  </si>
  <si>
    <t>PRETORIA ENERGY COMPANY (MEPAL) LIMITED</t>
  </si>
  <si>
    <t>HODDESDON ADVANCED THERMAL TREATMENT WKS</t>
  </si>
  <si>
    <t>HDATTP</t>
  </si>
  <si>
    <t>RANDCS</t>
  </si>
  <si>
    <t>Fairwinds Solar Farm - EXPORT</t>
  </si>
  <si>
    <t>GE West Raynham Solar - EXPORT</t>
  </si>
  <si>
    <t>Gosfield Solar Farm - EXPORT</t>
  </si>
  <si>
    <t>Green End Solar Farm - EXPORT</t>
  </si>
  <si>
    <t>Hoback Farm - EXPORT</t>
  </si>
  <si>
    <t>7308 / 7309</t>
  </si>
  <si>
    <t>Green Frog Power Ltd</t>
  </si>
  <si>
    <t>Aston Clinton SF - IMPORT</t>
  </si>
  <si>
    <t>Avenue Farm - IMPORT</t>
  </si>
  <si>
    <t>Boardinghouse Wind - IMPORT</t>
  </si>
  <si>
    <t>Boxted Airfield SF - IMPORT</t>
  </si>
  <si>
    <t>Bassingbourn Solar - IMPORT</t>
  </si>
  <si>
    <t>Burnthouse Solar II - IMPORT</t>
  </si>
  <si>
    <t>Croydon Solar Farm - IMPORT</t>
  </si>
  <si>
    <t>Exning Solar Farm - IMPORT</t>
  </si>
  <si>
    <t>Fenland Solar Farm - IMPORT</t>
  </si>
  <si>
    <t>Folly Solar Farm - IMPORT</t>
  </si>
  <si>
    <t>Fairwinds Solar Farm - IMPORT</t>
  </si>
  <si>
    <t>GE West Raynham Solar - IMPORT</t>
  </si>
  <si>
    <t>Gosfield Solar Farm - IMPORT</t>
  </si>
  <si>
    <t>Green End Solar Farm - IMPORT</t>
  </si>
  <si>
    <t>Hoback Farm - IMPORT</t>
  </si>
  <si>
    <t>Hydes Farm - IMPORT</t>
  </si>
  <si>
    <t>Jacks Lane Wind Farm - IMPORT</t>
  </si>
  <si>
    <t>Kenninghall Solar - IMPORT</t>
  </si>
  <si>
    <t>Langford Solar Farm - IMXPORT</t>
  </si>
  <si>
    <t>Langenhoe Solar Farm - IMPORT</t>
  </si>
  <si>
    <t>Langenhoe Solar II - IMPORT</t>
  </si>
  <si>
    <t>Manor Farm Eggington - IMPORT</t>
  </si>
  <si>
    <t>Old Airfield (Birch) - IMPORT</t>
  </si>
  <si>
    <t>Quarrendon Wind - IMPORT</t>
  </si>
  <si>
    <t>Scottow Estate SF - IMPORT</t>
  </si>
  <si>
    <t>St. Osyth PV Farm - IMPORT</t>
  </si>
  <si>
    <t>Wiggin Hill Farm - IMPORT</t>
  </si>
  <si>
    <t>Great Wilbraham Solar - IMPORT</t>
  </si>
  <si>
    <t>Wisbridge Farm - IMPORT</t>
  </si>
  <si>
    <t>Woolley Hill WF - IMPORT</t>
  </si>
  <si>
    <t>Waterloo Solar Park - IMPORT</t>
  </si>
  <si>
    <t>Blue Gates Farm - IMPORT</t>
  </si>
  <si>
    <t>Coltishall Solar Park - IMPORT</t>
  </si>
  <si>
    <t>Hall Farm Solar - IMPORT</t>
  </si>
  <si>
    <t>Muncey &amp; Black Peak - IMPORT</t>
  </si>
  <si>
    <t>Weston Longville SF - IMPORT</t>
  </si>
  <si>
    <t>Hydes Farm - EXPORT</t>
  </si>
  <si>
    <t>Jacks Lane Wind Farm - EXPORT</t>
  </si>
  <si>
    <t>Kenninghall Solar - EXPORT</t>
  </si>
  <si>
    <t>Langford Solar Farm - EXPORT</t>
  </si>
  <si>
    <t>Langenhoe Solar Farm - EXPORT</t>
  </si>
  <si>
    <t>Langenhoe Solar II - EXPORT</t>
  </si>
  <si>
    <t>Manor Farm Eggington - EXPORT</t>
  </si>
  <si>
    <t>Old Airfield (Birch) - EXPORT</t>
  </si>
  <si>
    <t>Quarrendon Wind - EXPORT</t>
  </si>
  <si>
    <t>Scottow Estate SF - EXPORT</t>
  </si>
  <si>
    <t>St. Osyth PV Farm - EXPORT</t>
  </si>
  <si>
    <t>Wiggin Hill Farm - EXPORT</t>
  </si>
  <si>
    <t>Great Wilbraham Solar - EXPORT</t>
  </si>
  <si>
    <t>Wisbridge Farm - EXPORT</t>
  </si>
  <si>
    <t>Woolley Hill WF - EXPORT</t>
  </si>
  <si>
    <t>Waterloo Solar Park - EXPORT</t>
  </si>
  <si>
    <t>Blue Gates Farm - EXPORT</t>
  </si>
  <si>
    <t>Coltishall Solar Park - EXPORT</t>
  </si>
  <si>
    <t>Hall Farm Solar - EXPORT</t>
  </si>
  <si>
    <t>Muncey &amp; Black Peak - EXPORT</t>
  </si>
  <si>
    <t>Suffolk EFW - EXPORT</t>
  </si>
  <si>
    <t>Weston Longville SF - EXPORT</t>
  </si>
  <si>
    <t>NR Kings Lynn - EXPORT</t>
  </si>
  <si>
    <t>NR Milton - EXPORT</t>
  </si>
  <si>
    <t>SOLAR PARK DEVELOPMENTS 2 LTD</t>
  </si>
  <si>
    <t>Aston Clinton SF - EXPORT</t>
  </si>
  <si>
    <t>Avenue Farm - EXPORT</t>
  </si>
  <si>
    <t>Boardinghouse Wind - EXPORT</t>
  </si>
  <si>
    <t>Boxted Airfield SF - EXPORT</t>
  </si>
  <si>
    <t>Bassingbourn Solar - EXPORT</t>
  </si>
  <si>
    <t>Burnthouse Solar II - EXPORT</t>
  </si>
  <si>
    <t>Bury Lane Farm - EXPORT</t>
  </si>
  <si>
    <t>Croydon Solar Farm - EXPORT</t>
  </si>
  <si>
    <t>Exning Solar Farm - EXPORT</t>
  </si>
  <si>
    <t>Fenland Solar Farm - EXPORT</t>
  </si>
  <si>
    <t>Folly Solar Farm - EXPORT</t>
  </si>
  <si>
    <t>1030083272428
1050001161751</t>
  </si>
  <si>
    <t>LYONSH</t>
  </si>
  <si>
    <t>PUSH ENERGY (KENTISHES) LIMITED</t>
  </si>
  <si>
    <t>HHFARM</t>
  </si>
  <si>
    <t>LIGHTSOURCE SPV 9 LIMITED</t>
  </si>
  <si>
    <t>MILLFM</t>
  </si>
  <si>
    <t>PUSH ENERGY (MILL FARM) LIMITED</t>
  </si>
  <si>
    <t>POBAIL</t>
  </si>
  <si>
    <t>CANEWDON SOLAR FARM</t>
  </si>
  <si>
    <t>TRNCLE</t>
  </si>
  <si>
    <t>TURNCOLE WIND FARM LIMITED</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</si>
  <si>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</si>
  <si>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</si>
  <si>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</si>
  <si>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</si>
  <si>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</si>
  <si>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</si>
  <si>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</si>
  <si>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</si>
  <si>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</si>
  <si>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</si>
  <si>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BNNSHL</t>
  </si>
  <si>
    <t>CAMBRIDGESHIRE COUNTY COUNCIL</t>
  </si>
  <si>
    <t>MILLDR</t>
  </si>
  <si>
    <t>HRSFEN</t>
  </si>
  <si>
    <t>SWNLND</t>
  </si>
  <si>
    <t>SWANLAND ROAD SOLAR LTD</t>
  </si>
  <si>
    <t>HRLWDC</t>
  </si>
  <si>
    <t>HARLOW PROPERTIES LIMITED (KAO DATA CAMPUS)</t>
  </si>
  <si>
    <t>MOWLEM</t>
  </si>
  <si>
    <t>MOWLEM TRADING ESTATE</t>
  </si>
  <si>
    <t>CLAYBT</t>
  </si>
  <si>
    <t>CLAYPV</t>
  </si>
  <si>
    <t>GREYSH</t>
  </si>
  <si>
    <t>ERNUNN</t>
  </si>
  <si>
    <t>PLUTUS POWERGEN</t>
  </si>
  <si>
    <t>PUSH ENERGY LTD</t>
  </si>
  <si>
    <t>ANESCO LIMITED</t>
  </si>
  <si>
    <t xml:space="preserve">1050001003372
1050001003381
1050001003390 </t>
  </si>
  <si>
    <t>BERDHF</t>
  </si>
  <si>
    <t>STATERA ENERGY LIMITED</t>
  </si>
  <si>
    <t>1050001450466
1050001450475</t>
  </si>
  <si>
    <t>0.00</t>
  </si>
  <si>
    <t>CLRDWN</t>
  </si>
  <si>
    <t>BESS CLAREDWON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</si>
</sst>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0_ ;[White]\-0.000\ "/>
    <numFmt numFmtId="174" formatCode="0.000_ ;\-0.000\ "/>
    <numFmt numFmtId="175" formatCode="0.00;[Red]\-0.00;?;"/>
    <numFmt numFmtId="176" formatCode="#,##0;\-#,##0;;"/>
    <numFmt numFmtId="177" formatCode="000"/>
    <numFmt numFmtId="178" formatCode="#,##0;[Red]\-#,##0;;"/>
    <numFmt numFmtId="179" formatCode="0.000;[Red]\-0.000;?;"/>
    <numFmt numFmtId="180" formatCode="_(?,???,??0.000_);[Red]\(?,???,??0.000\);"/>
    <numFmt numFmtId="181" formatCode="_(?,???,??0.00_);[Red]\-0.00;"/>
    <numFmt numFmtId="182" formatCode="_(?,???,??0.000_);[Red]\-0.000;"/>
    <numFmt numFmtId="183" formatCode="_-* #,##0.0000_-;\-* #,##0.0000_-;_-* &quot;-&quot;??_-;_-@_-"/>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b/>
      <sz val="12"/>
      <name val="Arial"/>
      <family val="2"/>
    </font>
    <font>
      <sz val="10"/>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0" borderId="0" applyNumberFormat="0" applyBorder="0" applyAlignment="0" applyProtection="0"/>
    <xf numFmtId="0" fontId="2" fillId="6"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 fillId="23" borderId="0" applyNumberFormat="0" applyBorder="0" applyAlignment="0" applyProtection="0"/>
    <xf numFmtId="0" fontId="23" fillId="24" borderId="0" applyNumberFormat="0" applyBorder="0" applyAlignment="0" applyProtection="0"/>
    <xf numFmtId="0" fontId="28" fillId="0" borderId="0"/>
    <xf numFmtId="0" fontId="31" fillId="32" borderId="0" applyNumberFormat="0" applyBorder="0" applyAlignment="0" applyProtection="0"/>
    <xf numFmtId="43" fontId="33" fillId="0" borderId="0" applyFont="0" applyFill="0" applyBorder="0" applyAlignment="0" applyProtection="0"/>
  </cellStyleXfs>
  <cellXfs count="28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lignment vertical="center" wrapText="1"/>
    </xf>
    <xf numFmtId="165" fontId="5" fillId="3"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169" fontId="19" fillId="3"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5" borderId="1" xfId="0" applyNumberFormat="1" applyFont="1" applyFill="1" applyBorder="1" applyAlignment="1" applyProtection="1">
      <alignment horizontal="center" vertical="center"/>
      <protection locked="0"/>
    </xf>
    <xf numFmtId="165" fontId="20" fillId="16" borderId="1" xfId="0" applyNumberFormat="1" applyFont="1" applyFill="1" applyBorder="1" applyAlignment="1" applyProtection="1">
      <alignment horizontal="center" vertical="center"/>
      <protection locked="0"/>
    </xf>
    <xf numFmtId="165" fontId="19" fillId="9" borderId="1" xfId="0" applyNumberFormat="1" applyFont="1" applyFill="1" applyBorder="1" applyAlignment="1" applyProtection="1">
      <alignment horizontal="center" vertical="center"/>
      <protection locked="0"/>
    </xf>
    <xf numFmtId="172" fontId="19" fillId="18" borderId="1" xfId="0" applyNumberFormat="1" applyFont="1" applyFill="1" applyBorder="1" applyAlignment="1" applyProtection="1">
      <alignment horizontal="center" vertical="center"/>
      <protection locked="0"/>
    </xf>
    <xf numFmtId="173" fontId="20" fillId="14" borderId="1" xfId="0" applyNumberFormat="1" applyFont="1" applyFill="1" applyBorder="1" applyAlignment="1" applyProtection="1">
      <alignment horizontal="center" vertical="center"/>
      <protection locked="0"/>
    </xf>
    <xf numFmtId="172" fontId="20" fillId="15" borderId="1" xfId="0" applyNumberFormat="1" applyFont="1" applyFill="1" applyBorder="1" applyAlignment="1" applyProtection="1">
      <alignment horizontal="center" vertical="center"/>
      <protection locked="0"/>
    </xf>
    <xf numFmtId="0" fontId="21" fillId="0" borderId="1" xfId="1" applyFont="1" applyBorder="1" applyAlignment="1">
      <alignment horizontal="center" vertical="center" wrapText="1"/>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2" fontId="20" fillId="16" borderId="1" xfId="0" applyNumberFormat="1" applyFont="1" applyFill="1" applyBorder="1" applyAlignment="1" applyProtection="1">
      <alignment horizontal="center" vertical="center"/>
      <protection locked="0"/>
    </xf>
    <xf numFmtId="0" fontId="19" fillId="0" borderId="1" xfId="0" applyFont="1" applyBorder="1" applyAlignment="1">
      <alignment horizontal="center" vertical="center" wrapText="1"/>
    </xf>
    <xf numFmtId="172" fontId="19" fillId="3" borderId="1" xfId="0" applyNumberFormat="1" applyFont="1" applyFill="1" applyBorder="1" applyAlignment="1">
      <alignment horizontal="center" vertical="center"/>
    </xf>
    <xf numFmtId="174" fontId="20" fillId="16" borderId="1" xfId="0" applyNumberFormat="1" applyFont="1" applyFill="1" applyBorder="1" applyAlignment="1" applyProtection="1">
      <alignment horizontal="center" vertical="center"/>
      <protection locked="0"/>
    </xf>
    <xf numFmtId="165" fontId="19" fillId="3" borderId="1" xfId="0" applyNumberFormat="1" applyFont="1" applyFill="1" applyBorder="1" applyAlignment="1">
      <alignment horizontal="center" vertical="center"/>
    </xf>
    <xf numFmtId="165" fontId="19" fillId="4" borderId="1" xfId="0" applyNumberFormat="1" applyFont="1" applyFill="1" applyBorder="1" applyAlignment="1">
      <alignment horizontal="center" vertical="center"/>
    </xf>
    <xf numFmtId="172" fontId="5" fillId="3" borderId="1" xfId="0" applyNumberFormat="1" applyFont="1" applyFill="1" applyBorder="1" applyAlignment="1" applyProtection="1">
      <alignment horizontal="center" vertical="center"/>
      <protection locked="0"/>
    </xf>
    <xf numFmtId="173" fontId="20" fillId="17"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5" fontId="19" fillId="10" borderId="1" xfId="0" applyNumberFormat="1" applyFont="1" applyFill="1" applyBorder="1" applyAlignment="1">
      <alignment horizontal="center" vertical="center"/>
    </xf>
    <xf numFmtId="169" fontId="19" fillId="3" borderId="1" xfId="0" applyNumberFormat="1" applyFont="1" applyFill="1" applyBorder="1" applyAlignment="1">
      <alignment horizontal="center" vertical="center"/>
    </xf>
    <xf numFmtId="0" fontId="0" fillId="13" borderId="0" xfId="0" applyFill="1"/>
    <xf numFmtId="0" fontId="12" fillId="2" borderId="0" xfId="4" applyFill="1" applyAlignment="1" applyProtection="1">
      <alignment vertical="center"/>
    </xf>
    <xf numFmtId="0" fontId="5" fillId="2" borderId="8" xfId="7" quotePrefix="1" applyFill="1" applyBorder="1" applyAlignment="1">
      <alignment vertical="center" wrapText="1"/>
    </xf>
    <xf numFmtId="0" fontId="5" fillId="2" borderId="0" xfId="7"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ill="1" applyAlignment="1">
      <alignment horizontal="center" vertical="center"/>
    </xf>
    <xf numFmtId="166" fontId="5" fillId="2" borderId="0" xfId="7" applyNumberFormat="1" applyFill="1" applyAlignment="1">
      <alignment horizontal="center" vertical="center"/>
    </xf>
    <xf numFmtId="0" fontId="5" fillId="2" borderId="0" xfId="7" applyFill="1"/>
    <xf numFmtId="0" fontId="19" fillId="13" borderId="1" xfId="0"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ill="1" applyAlignment="1" applyProtection="1">
      <alignment horizontal="left" vertical="center" wrapText="1"/>
      <protection locked="0"/>
    </xf>
    <xf numFmtId="49" fontId="10" fillId="6" borderId="0" xfId="2" applyNumberFormat="1" applyFill="1" applyAlignment="1" applyProtection="1">
      <alignment vertical="center" wrapText="1"/>
      <protection locked="0"/>
    </xf>
    <xf numFmtId="49" fontId="17" fillId="0" borderId="0" xfId="5" applyNumberFormat="1" applyBorder="1" applyAlignment="1" applyProtection="1">
      <alignment vertical="center"/>
      <protection locked="0"/>
    </xf>
    <xf numFmtId="49" fontId="10" fillId="6" borderId="0" xfId="2" applyNumberFormat="1" applyFill="1" applyBorder="1" applyAlignment="1" applyProtection="1">
      <alignment vertical="center" wrapText="1"/>
      <protection locked="0"/>
    </xf>
    <xf numFmtId="49" fontId="10" fillId="0" borderId="0" xfId="6" applyNumberFormat="1" applyBorder="1" applyAlignment="1" applyProtection="1">
      <alignment vertical="center"/>
      <protection locked="0"/>
    </xf>
    <xf numFmtId="49" fontId="10" fillId="0" borderId="0" xfId="6"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3" borderId="0" xfId="0" applyFill="1" applyAlignment="1">
      <alignment vertical="center"/>
    </xf>
    <xf numFmtId="0" fontId="24" fillId="16" borderId="1" xfId="0" applyFont="1" applyFill="1" applyBorder="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18"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16" fillId="13" borderId="0" xfId="2" applyNumberFormat="1" applyFont="1" applyFill="1" applyBorder="1" applyAlignment="1">
      <alignment horizontal="center" vertical="center" wrapText="1"/>
    </xf>
    <xf numFmtId="0" fontId="7" fillId="13" borderId="0" xfId="7" applyFont="1" applyFill="1" applyAlignment="1">
      <alignment vertical="center"/>
    </xf>
    <xf numFmtId="0" fontId="16" fillId="13" borderId="0" xfId="2" applyNumberFormat="1" applyFont="1" applyFill="1" applyBorder="1" applyAlignment="1" applyProtection="1">
      <alignment horizontal="center" vertical="center" wrapText="1"/>
    </xf>
    <xf numFmtId="0" fontId="6" fillId="13" borderId="0" xfId="0" applyFont="1" applyFill="1" applyAlignment="1">
      <alignment horizontal="left" vertical="center" wrapText="1"/>
    </xf>
    <xf numFmtId="0" fontId="5" fillId="13" borderId="0" xfId="0" applyFont="1" applyFill="1" applyAlignment="1">
      <alignment horizontal="left" vertical="center" wrapText="1"/>
    </xf>
    <xf numFmtId="0" fontId="16" fillId="13" borderId="0" xfId="2" applyNumberFormat="1" applyFont="1" applyFill="1" applyBorder="1" applyAlignment="1">
      <alignment vertical="center" wrapText="1"/>
    </xf>
    <xf numFmtId="0" fontId="6" fillId="13" borderId="4" xfId="0" applyFont="1" applyFill="1" applyBorder="1" applyAlignment="1">
      <alignment horizontal="left" vertical="center" wrapText="1"/>
    </xf>
    <xf numFmtId="0" fontId="5" fillId="13" borderId="4"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16" fillId="13"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ill="1" applyAlignment="1" applyProtection="1">
      <alignment vertical="center"/>
      <protection hidden="1"/>
    </xf>
    <xf numFmtId="177" fontId="5" fillId="9" borderId="1" xfId="7" applyNumberFormat="1" applyFill="1" applyBorder="1" applyAlignment="1">
      <alignment horizontal="center" vertical="center" wrapText="1"/>
    </xf>
    <xf numFmtId="170" fontId="5" fillId="26" borderId="0" xfId="7" applyNumberFormat="1" applyFill="1"/>
    <xf numFmtId="171" fontId="5" fillId="26" borderId="0" xfId="7" applyNumberFormat="1" applyFill="1"/>
    <xf numFmtId="0" fontId="5" fillId="26" borderId="0" xfId="7" applyFill="1"/>
    <xf numFmtId="0" fontId="5" fillId="26" borderId="0" xfId="7" applyFill="1" applyAlignment="1">
      <alignment horizontal="left"/>
    </xf>
    <xf numFmtId="0" fontId="5" fillId="11" borderId="1" xfId="14" applyFont="1" applyFill="1" applyBorder="1" applyAlignment="1" applyProtection="1">
      <alignment vertical="center"/>
      <protection locked="0"/>
    </xf>
    <xf numFmtId="176" fontId="5" fillId="28" borderId="1" xfId="11" applyNumberFormat="1" applyFont="1" applyFill="1" applyBorder="1" applyAlignment="1" applyProtection="1">
      <alignment vertical="center"/>
      <protection locked="0"/>
    </xf>
    <xf numFmtId="175" fontId="2" fillId="27" borderId="1" xfId="10" applyNumberFormat="1" applyFill="1" applyBorder="1" applyAlignment="1" applyProtection="1">
      <alignment vertical="center"/>
    </xf>
    <xf numFmtId="176" fontId="5" fillId="27" borderId="1" xfId="10" applyNumberFormat="1" applyFont="1" applyFill="1" applyBorder="1" applyAlignment="1" applyProtection="1">
      <alignment vertical="center"/>
      <protection locked="0"/>
    </xf>
    <xf numFmtId="176" fontId="5" fillId="30" borderId="1" xfId="10" applyNumberFormat="1" applyFont="1" applyFill="1" applyBorder="1" applyAlignment="1" applyProtection="1">
      <alignment vertical="center"/>
      <protection locked="0"/>
    </xf>
    <xf numFmtId="176" fontId="5" fillId="31" borderId="1" xfId="11" applyNumberFormat="1" applyFont="1" applyFill="1" applyBorder="1" applyAlignment="1" applyProtection="1">
      <alignment vertical="center"/>
      <protection locked="0"/>
    </xf>
    <xf numFmtId="0" fontId="16" fillId="0" borderId="0" xfId="2"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6" fillId="7" borderId="6" xfId="0" applyFont="1" applyFill="1" applyBorder="1" applyAlignment="1">
      <alignment horizontal="left" vertical="center" wrapText="1"/>
    </xf>
    <xf numFmtId="0" fontId="5" fillId="11" borderId="1" xfId="9" quotePrefix="1" applyFont="1" applyFill="1" applyBorder="1" applyAlignment="1" applyProtection="1">
      <alignment horizontal="center" vertical="center" wrapText="1"/>
    </xf>
    <xf numFmtId="0" fontId="5" fillId="29" borderId="1" xfId="12" quotePrefix="1" applyFont="1" applyFill="1" applyBorder="1" applyAlignment="1" applyProtection="1">
      <alignment horizontal="center" vertical="center" wrapText="1"/>
    </xf>
    <xf numFmtId="175" fontId="2" fillId="30" borderId="1" xfId="13" applyNumberFormat="1" applyFill="1" applyBorder="1" applyAlignment="1" applyProtection="1">
      <alignment vertical="center"/>
    </xf>
    <xf numFmtId="0" fontId="6" fillId="7" borderId="1" xfId="0" applyFont="1" applyFill="1" applyBorder="1" applyAlignment="1">
      <alignment horizontal="left" vertical="center" wrapText="1"/>
    </xf>
    <xf numFmtId="0" fontId="5" fillId="11" borderId="1" xfId="14" applyFont="1" applyFill="1" applyBorder="1" applyAlignment="1" applyProtection="1">
      <alignment vertical="center" wrapText="1"/>
    </xf>
    <xf numFmtId="0" fontId="5" fillId="25"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5" borderId="1" xfId="14" applyFont="1" applyFill="1" applyBorder="1" applyAlignment="1" applyProtection="1">
      <alignment vertical="center" wrapText="1"/>
    </xf>
    <xf numFmtId="0" fontId="5" fillId="7" borderId="1" xfId="0" applyFont="1" applyFill="1" applyBorder="1" applyAlignment="1">
      <alignment horizontal="center" vertical="center" wrapText="1"/>
    </xf>
    <xf numFmtId="176" fontId="2" fillId="27" borderId="1" xfId="10" applyNumberFormat="1" applyFill="1" applyBorder="1" applyAlignment="1" applyProtection="1">
      <alignment vertical="center"/>
      <protection locked="0"/>
    </xf>
    <xf numFmtId="178" fontId="2" fillId="27" borderId="1" xfId="10" applyNumberFormat="1" applyFill="1" applyBorder="1" applyAlignment="1" applyProtection="1">
      <alignment vertical="center"/>
    </xf>
    <xf numFmtId="178" fontId="2" fillId="30" borderId="1" xfId="10" applyNumberFormat="1" applyFill="1" applyBorder="1" applyAlignment="1" applyProtection="1">
      <alignment vertical="center"/>
    </xf>
    <xf numFmtId="178" fontId="5" fillId="28" borderId="1" xfId="11" applyNumberFormat="1" applyFont="1" applyFill="1" applyBorder="1" applyAlignment="1" applyProtection="1">
      <alignment vertical="center"/>
    </xf>
    <xf numFmtId="178" fontId="5" fillId="31" borderId="1" xfId="11" applyNumberFormat="1" applyFont="1" applyFill="1" applyBorder="1" applyAlignment="1" applyProtection="1">
      <alignment vertical="center"/>
    </xf>
    <xf numFmtId="179" fontId="2" fillId="27" borderId="5" xfId="10" applyNumberFormat="1" applyFill="1" applyBorder="1" applyAlignment="1" applyProtection="1">
      <alignment vertical="center"/>
    </xf>
    <xf numFmtId="179" fontId="2" fillId="27" borderId="1" xfId="10" applyNumberFormat="1" applyFill="1" applyBorder="1" applyAlignment="1" applyProtection="1">
      <alignment vertical="center"/>
    </xf>
    <xf numFmtId="0" fontId="27" fillId="0" borderId="0" xfId="7" applyFont="1"/>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29" borderId="1" xfId="12" quotePrefix="1" applyNumberFormat="1" applyFont="1" applyFill="1" applyBorder="1" applyAlignment="1" applyProtection="1">
      <alignment horizontal="center" vertical="center" wrapText="1"/>
    </xf>
    <xf numFmtId="49" fontId="22" fillId="7" borderId="1" xfId="7" quotePrefix="1" applyNumberFormat="1" applyFont="1" applyFill="1" applyBorder="1" applyAlignment="1">
      <alignment horizontal="center" vertical="center" wrapText="1"/>
    </xf>
    <xf numFmtId="0" fontId="12" fillId="0" borderId="0" xfId="4" applyFill="1" applyAlignment="1" applyProtection="1">
      <alignment horizontal="left" vertical="center"/>
    </xf>
    <xf numFmtId="49" fontId="17" fillId="0" borderId="0" xfId="5" quotePrefix="1" applyNumberFormat="1" applyBorder="1" applyAlignment="1" applyProtection="1">
      <alignment horizontal="left" vertical="center"/>
      <protection locked="0"/>
    </xf>
    <xf numFmtId="0" fontId="6" fillId="0" borderId="1" xfId="0" applyFont="1" applyBorder="1" applyAlignment="1">
      <alignment horizontal="left" vertical="center" wrapText="1" indent="1"/>
    </xf>
    <xf numFmtId="0" fontId="5" fillId="4" borderId="1" xfId="0" applyFont="1" applyFill="1" applyBorder="1" applyAlignment="1">
      <alignment horizontal="center" vertical="center" wrapText="1"/>
    </xf>
    <xf numFmtId="0" fontId="6" fillId="7" borderId="2" xfId="0" applyFont="1" applyFill="1" applyBorder="1" applyAlignment="1" applyProtection="1">
      <alignment horizontal="center" vertical="center" wrapText="1"/>
      <protection locked="0"/>
    </xf>
    <xf numFmtId="49" fontId="10" fillId="6" borderId="1" xfId="2" quotePrefix="1" applyNumberFormat="1" applyFill="1" applyBorder="1" applyAlignment="1" applyProtection="1">
      <alignment horizontal="center" vertical="center" wrapText="1"/>
      <protection locked="0"/>
    </xf>
    <xf numFmtId="49" fontId="10" fillId="6" borderId="1" xfId="2" applyNumberFormat="1" applyFill="1" applyBorder="1" applyAlignment="1" applyProtection="1">
      <alignment horizontal="center" vertical="center" wrapText="1"/>
      <protection locked="0"/>
    </xf>
    <xf numFmtId="49" fontId="15" fillId="5" borderId="1" xfId="3" applyNumberFormat="1" applyFont="1" applyBorder="1" applyAlignment="1" applyProtection="1">
      <alignment horizontal="center" vertical="center" wrapText="1"/>
      <protection locked="0"/>
    </xf>
    <xf numFmtId="0" fontId="6" fillId="0" borderId="6" xfId="0" applyFont="1" applyBorder="1" applyAlignment="1">
      <alignment horizontal="left" vertical="center" wrapText="1" indent="1"/>
    </xf>
    <xf numFmtId="0" fontId="5" fillId="13" borderId="1" xfId="0" applyFont="1" applyFill="1" applyBorder="1" applyAlignment="1">
      <alignment horizontal="center" vertical="center" wrapText="1"/>
    </xf>
    <xf numFmtId="172" fontId="6" fillId="15" borderId="1" xfId="0" applyNumberFormat="1" applyFont="1" applyFill="1" applyBorder="1" applyAlignment="1" applyProtection="1">
      <alignment horizontal="center" vertical="center" wrapText="1"/>
      <protection locked="0"/>
    </xf>
    <xf numFmtId="0" fontId="5" fillId="13" borderId="0" xfId="0" applyFont="1" applyFill="1" applyAlignment="1">
      <alignment horizontal="center" vertical="center" wrapText="1"/>
    </xf>
    <xf numFmtId="0" fontId="5" fillId="4" borderId="1" xfId="0" applyFont="1" applyFill="1" applyBorder="1" applyAlignment="1">
      <alignment vertical="center" wrapText="1"/>
    </xf>
    <xf numFmtId="0" fontId="0" fillId="13" borderId="0" xfId="0" applyFill="1" applyAlignment="1">
      <alignment horizontal="center" vertical="center"/>
    </xf>
    <xf numFmtId="0" fontId="5" fillId="13" borderId="0" xfId="0" applyFont="1" applyFill="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13" fillId="13" borderId="0" xfId="4" applyFont="1" applyFill="1" applyBorder="1" applyAlignment="1" applyProtection="1">
      <alignment vertical="center"/>
    </xf>
    <xf numFmtId="0" fontId="6" fillId="7" borderId="1" xfId="0" quotePrefix="1" applyFont="1" applyFill="1" applyBorder="1" applyAlignment="1" applyProtection="1">
      <alignment horizontal="center" vertical="center" wrapText="1"/>
      <protection locked="0"/>
    </xf>
    <xf numFmtId="0" fontId="0" fillId="0" borderId="1" xfId="0" quotePrefix="1" applyBorder="1" applyAlignment="1">
      <alignment horizontal="center" vertical="center" wrapText="1"/>
    </xf>
    <xf numFmtId="2" fontId="19" fillId="8" borderId="1" xfId="0" applyNumberFormat="1" applyFont="1" applyFill="1" applyBorder="1" applyAlignment="1" applyProtection="1">
      <alignment horizontal="center" vertical="center" wrapText="1"/>
      <protection locked="0"/>
    </xf>
    <xf numFmtId="49" fontId="5" fillId="9" borderId="1" xfId="0" quotePrefix="1" applyNumberFormat="1" applyFont="1" applyFill="1" applyBorder="1" applyAlignment="1" applyProtection="1">
      <alignment horizontal="left" vertical="center" wrapText="1" indent="1"/>
      <protection locked="0"/>
    </xf>
    <xf numFmtId="49" fontId="5" fillId="9" borderId="1" xfId="0" applyNumberFormat="1" applyFont="1" applyFill="1" applyBorder="1" applyAlignment="1" applyProtection="1">
      <alignment horizontal="left" vertical="center" wrapText="1" indent="1"/>
      <protection locked="0"/>
    </xf>
    <xf numFmtId="180" fontId="3" fillId="12" borderId="1" xfId="8" applyNumberFormat="1" applyFont="1" applyFill="1" applyBorder="1" applyAlignment="1" applyProtection="1">
      <alignment horizontal="right" vertical="center"/>
    </xf>
    <xf numFmtId="181" fontId="3" fillId="12" borderId="1" xfId="8" applyNumberFormat="1" applyFont="1" applyFill="1" applyBorder="1" applyAlignment="1" applyProtection="1">
      <alignment horizontal="right" vertical="center"/>
    </xf>
    <xf numFmtId="182" fontId="3" fillId="9" borderId="1" xfId="7" applyNumberFormat="1" applyFont="1" applyFill="1" applyBorder="1" applyAlignment="1" applyProtection="1">
      <alignment horizontal="right" vertical="center"/>
      <protection locked="0"/>
    </xf>
    <xf numFmtId="181" fontId="3" fillId="9" borderId="1" xfId="8" applyNumberFormat="1" applyFont="1" applyFill="1" applyBorder="1" applyAlignment="1" applyProtection="1">
      <alignment horizontal="right" vertical="center"/>
      <protection locked="0"/>
    </xf>
    <xf numFmtId="181" fontId="3" fillId="9" borderId="1" xfId="7" applyNumberFormat="1" applyFont="1" applyFill="1" applyBorder="1" applyAlignment="1" applyProtection="1">
      <alignment horizontal="right" vertical="center"/>
      <protection locked="0"/>
    </xf>
    <xf numFmtId="177" fontId="5" fillId="9" borderId="1" xfId="7" applyNumberFormat="1" applyFill="1" applyBorder="1" applyAlignment="1">
      <alignment horizontal="left" vertical="center" wrapText="1" indent="1"/>
    </xf>
    <xf numFmtId="2" fontId="3" fillId="12" borderId="1" xfId="7" applyNumberFormat="1" applyFont="1" applyFill="1" applyBorder="1" applyAlignment="1">
      <alignment horizontal="right" vertical="center"/>
    </xf>
    <xf numFmtId="2" fontId="3" fillId="12" borderId="1" xfId="8" applyNumberFormat="1" applyFont="1" applyFill="1" applyBorder="1" applyAlignment="1" applyProtection="1">
      <alignment horizontal="right" vertical="center"/>
    </xf>
    <xf numFmtId="0" fontId="5" fillId="9" borderId="1" xfId="7" applyFill="1" applyBorder="1" applyAlignment="1">
      <alignment horizontal="left" vertical="center" wrapText="1" indent="1"/>
    </xf>
    <xf numFmtId="0" fontId="6" fillId="13" borderId="4" xfId="0" applyFont="1" applyFill="1" applyBorder="1" applyAlignment="1">
      <alignment horizontal="center" vertical="center" wrapText="1"/>
    </xf>
    <xf numFmtId="0" fontId="5" fillId="9" borderId="1" xfId="7" applyFill="1" applyBorder="1" applyAlignment="1">
      <alignment horizontal="center" vertical="center" wrapText="1"/>
    </xf>
    <xf numFmtId="1" fontId="5" fillId="9" borderId="1" xfId="7" applyNumberFormat="1" applyFill="1" applyBorder="1" applyAlignment="1">
      <alignment horizontal="center" vertical="center" wrapText="1"/>
    </xf>
    <xf numFmtId="1" fontId="5" fillId="9" borderId="1" xfId="7" applyNumberFormat="1" applyFill="1" applyBorder="1" applyAlignment="1">
      <alignment horizontal="left" vertical="center" wrapText="1" indent="1"/>
    </xf>
    <xf numFmtId="172" fontId="3" fillId="19" borderId="1" xfId="7" applyNumberFormat="1" applyFont="1" applyFill="1" applyBorder="1" applyAlignment="1">
      <alignment horizontal="right" vertical="center"/>
    </xf>
    <xf numFmtId="43" fontId="3" fillId="19" borderId="1" xfId="8" applyFont="1" applyFill="1" applyBorder="1" applyAlignment="1" applyProtection="1">
      <alignment horizontal="right" vertical="center"/>
    </xf>
    <xf numFmtId="164" fontId="3" fillId="19" borderId="1" xfId="7" applyNumberFormat="1" applyFont="1" applyFill="1" applyBorder="1" applyAlignment="1">
      <alignment horizontal="right" vertical="center"/>
    </xf>
    <xf numFmtId="0" fontId="0" fillId="2" borderId="1" xfId="0" applyFill="1" applyBorder="1" applyAlignment="1">
      <alignment horizontal="left" vertical="center" indent="1"/>
    </xf>
    <xf numFmtId="172" fontId="0" fillId="2" borderId="1" xfId="0" applyNumberFormat="1" applyFill="1" applyBorder="1" applyAlignment="1">
      <alignment horizontal="center" vertical="center"/>
    </xf>
    <xf numFmtId="0" fontId="5" fillId="33" borderId="1" xfId="7" applyFill="1" applyBorder="1" applyAlignment="1">
      <alignment horizontal="center" vertical="center" wrapText="1"/>
    </xf>
    <xf numFmtId="0" fontId="5" fillId="33" borderId="1" xfId="7" applyFill="1" applyBorder="1" applyAlignment="1">
      <alignment vertical="top"/>
    </xf>
    <xf numFmtId="0" fontId="5" fillId="33" borderId="1" xfId="7" applyFill="1" applyBorder="1" applyAlignment="1">
      <alignment horizontal="center" vertical="center"/>
    </xf>
    <xf numFmtId="0" fontId="5" fillId="33" borderId="1" xfId="7" quotePrefix="1" applyFill="1" applyBorder="1" applyAlignment="1">
      <alignment horizontal="center" vertical="center" wrapText="1"/>
    </xf>
    <xf numFmtId="0" fontId="5" fillId="33" borderId="6" xfId="7" applyFill="1" applyBorder="1" applyAlignment="1">
      <alignment horizontal="center"/>
    </xf>
    <xf numFmtId="0" fontId="5" fillId="33" borderId="6" xfId="7" applyFill="1" applyBorder="1" applyAlignment="1">
      <alignment horizontal="left"/>
    </xf>
    <xf numFmtId="0" fontId="5" fillId="0" borderId="1" xfId="7" applyBorder="1"/>
    <xf numFmtId="0" fontId="5" fillId="33" borderId="1" xfId="7" applyFill="1" applyBorder="1" applyAlignment="1">
      <alignment horizontal="center"/>
    </xf>
    <xf numFmtId="0" fontId="5" fillId="33" borderId="1" xfId="7" applyFill="1" applyBorder="1" applyAlignment="1">
      <alignment horizontal="left"/>
    </xf>
    <xf numFmtId="49" fontId="5" fillId="9" borderId="1" xfId="0" applyNumberFormat="1" applyFont="1" applyFill="1" applyBorder="1" applyAlignment="1">
      <alignment horizontal="left" vertical="center" wrapText="1" indent="1"/>
    </xf>
    <xf numFmtId="1" fontId="5" fillId="9" borderId="1" xfId="0" quotePrefix="1" applyNumberFormat="1" applyFont="1" applyFill="1" applyBorder="1" applyAlignment="1" applyProtection="1">
      <alignment horizontal="center" vertical="center" wrapText="1"/>
      <protection locked="0"/>
    </xf>
    <xf numFmtId="0" fontId="5" fillId="9" borderId="1" xfId="0" quotePrefix="1" applyFont="1" applyFill="1" applyBorder="1" applyAlignment="1" applyProtection="1">
      <alignment horizontal="center" vertical="center" wrapText="1"/>
      <protection locked="0"/>
    </xf>
    <xf numFmtId="49" fontId="5" fillId="9" borderId="1" xfId="7" quotePrefix="1" applyNumberFormat="1" applyFill="1" applyBorder="1" applyAlignment="1" applyProtection="1">
      <alignment horizontal="left" vertical="center" wrapText="1" indent="1"/>
      <protection locked="0"/>
    </xf>
    <xf numFmtId="1" fontId="5" fillId="9" borderId="1" xfId="7" quotePrefix="1" applyNumberFormat="1" applyFill="1" applyBorder="1" applyAlignment="1" applyProtection="1">
      <alignment horizontal="center" vertical="center" wrapText="1"/>
      <protection locked="0"/>
    </xf>
    <xf numFmtId="49" fontId="5" fillId="9" borderId="1" xfId="7" applyNumberFormat="1" applyFill="1" applyBorder="1" applyAlignment="1">
      <alignment horizontal="left" vertical="center" wrapText="1" indent="1"/>
    </xf>
    <xf numFmtId="0" fontId="6" fillId="34" borderId="1" xfId="0" quotePrefix="1" applyFont="1" applyFill="1" applyBorder="1" applyAlignment="1">
      <alignment horizontal="center" vertical="center" wrapText="1"/>
    </xf>
    <xf numFmtId="0" fontId="6" fillId="35" borderId="1" xfId="0" quotePrefix="1" applyFont="1" applyFill="1" applyBorder="1" applyAlignment="1">
      <alignment horizontal="center" vertical="center" wrapText="1"/>
    </xf>
    <xf numFmtId="49" fontId="5" fillId="9" borderId="1" xfId="0" quotePrefix="1" applyNumberFormat="1" applyFont="1" applyFill="1" applyBorder="1" applyAlignment="1">
      <alignment horizontal="left" vertical="center" wrapText="1" indent="1"/>
    </xf>
    <xf numFmtId="165" fontId="5" fillId="36" borderId="1" xfId="0" applyNumberFormat="1" applyFont="1" applyFill="1" applyBorder="1" applyAlignment="1" applyProtection="1">
      <alignment horizontal="center" vertical="center" wrapText="1"/>
      <protection locked="0"/>
    </xf>
    <xf numFmtId="165" fontId="3" fillId="36" borderId="1" xfId="0" applyNumberFormat="1" applyFont="1" applyFill="1" applyBorder="1" applyAlignment="1" applyProtection="1">
      <alignment horizontal="center" vertical="center"/>
      <protection locked="0"/>
    </xf>
    <xf numFmtId="1" fontId="5" fillId="9" borderId="1" xfId="0" quotePrefix="1" applyNumberFormat="1" applyFont="1" applyFill="1" applyBorder="1" applyAlignment="1">
      <alignment horizontal="left" vertical="center" wrapText="1" indent="1"/>
    </xf>
    <xf numFmtId="0" fontId="0" fillId="36" borderId="0" xfId="0" applyFill="1" applyAlignment="1">
      <alignment vertical="center"/>
    </xf>
    <xf numFmtId="183" fontId="3" fillId="9" borderId="1" xfId="17" quotePrefix="1" applyNumberFormat="1" applyFont="1" applyFill="1" applyBorder="1" applyAlignment="1" applyProtection="1">
      <alignment horizontal="right" vertical="center"/>
      <protection locked="0"/>
    </xf>
    <xf numFmtId="0" fontId="5" fillId="0" borderId="0" xfId="0" quotePrefix="1" applyFont="1" applyAlignment="1">
      <alignment horizontal="left" wrapText="1"/>
    </xf>
    <xf numFmtId="0" fontId="18" fillId="0" borderId="0" xfId="0" quotePrefix="1" applyFont="1" applyAlignment="1">
      <alignment horizontal="left" vertical="top" wrapText="1"/>
    </xf>
    <xf numFmtId="0" fontId="14" fillId="0" borderId="0" xfId="0" quotePrefix="1" applyFont="1" applyAlignment="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ill="1" applyAlignment="1" applyProtection="1">
      <alignment horizontal="center" vertical="center" wrapText="1"/>
      <protection locked="0"/>
    </xf>
    <xf numFmtId="49" fontId="10" fillId="6" borderId="0" xfId="2" applyNumberFormat="1" applyFill="1" applyAlignment="1" applyProtection="1">
      <alignment horizontal="left" vertical="center" wrapText="1"/>
      <protection locked="0"/>
    </xf>
    <xf numFmtId="0" fontId="6" fillId="0" borderId="1" xfId="0" applyFont="1" applyBorder="1" applyAlignment="1">
      <alignment horizontal="left" vertical="center" wrapText="1" indent="1"/>
    </xf>
    <xf numFmtId="0" fontId="31" fillId="32" borderId="13" xfId="16" quotePrefix="1" applyBorder="1" applyAlignment="1">
      <alignment horizontal="left" vertical="top" wrapText="1"/>
    </xf>
    <xf numFmtId="0" fontId="31" fillId="32"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2" fontId="19" fillId="15" borderId="3" xfId="0" applyNumberFormat="1" applyFont="1" applyFill="1" applyBorder="1" applyAlignment="1" applyProtection="1">
      <alignment horizontal="center" vertical="center"/>
      <protection locked="0"/>
    </xf>
    <xf numFmtId="172" fontId="19" fillId="15"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5" fillId="2" borderId="8" xfId="7" quotePrefix="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2"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Alignment="1">
      <alignment horizontal="center" vertical="center" wrapText="1"/>
    </xf>
    <xf numFmtId="172"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2" fontId="32"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31" fillId="32" borderId="13" xfId="16" quotePrefix="1" applyBorder="1" applyAlignment="1" applyProtection="1">
      <alignment horizontal="left" vertical="center" wrapText="1"/>
    </xf>
    <xf numFmtId="0" fontId="31" fillId="32" borderId="8" xfId="16" quotePrefix="1" applyBorder="1" applyAlignment="1" applyProtection="1">
      <alignment horizontal="left" vertical="center" wrapText="1"/>
    </xf>
    <xf numFmtId="0" fontId="31" fillId="32" borderId="13" xfId="16" quotePrefix="1" applyBorder="1" applyAlignment="1" applyProtection="1">
      <alignment horizontal="center" vertical="center" wrapText="1"/>
    </xf>
    <xf numFmtId="0" fontId="31" fillId="32" borderId="8" xfId="16" quotePrefix="1" applyBorder="1" applyAlignment="1" applyProtection="1">
      <alignment horizontal="center" vertical="center" wrapText="1"/>
    </xf>
    <xf numFmtId="0" fontId="31" fillId="32"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 xfId="0" quotePrefix="1"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0" fillId="13" borderId="8" xfId="0" applyFill="1" applyBorder="1" applyAlignment="1">
      <alignment horizontal="left" vertical="center" wrapText="1"/>
    </xf>
    <xf numFmtId="0" fontId="5" fillId="0" borderId="1" xfId="0" applyFont="1" applyBorder="1" applyAlignment="1">
      <alignment horizontal="left" vertical="center" wrapText="1" indent="1"/>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0" fillId="2" borderId="0" xfId="0" quotePrefix="1" applyFill="1" applyAlignment="1">
      <alignment horizontal="center" vertical="center" wrapText="1"/>
    </xf>
    <xf numFmtId="0" fontId="5" fillId="0" borderId="0" xfId="7" quotePrefix="1" applyAlignment="1">
      <alignment horizontal="left"/>
    </xf>
    <xf numFmtId="0" fontId="12" fillId="0" borderId="0" xfId="4" applyFill="1" applyAlignment="1" applyProtection="1">
      <alignment horizontal="left" vertical="center"/>
    </xf>
    <xf numFmtId="0" fontId="6" fillId="0" borderId="0" xfId="7" applyFont="1" applyAlignment="1">
      <alignment horizontal="center"/>
    </xf>
    <xf numFmtId="0" fontId="6" fillId="7" borderId="3" xfId="7" applyFont="1" applyFill="1" applyBorder="1" applyAlignment="1">
      <alignment horizontal="center" vertical="center"/>
    </xf>
    <xf numFmtId="0" fontId="6" fillId="7" borderId="4" xfId="7" applyFont="1" applyFill="1" applyBorder="1" applyAlignment="1">
      <alignment horizontal="center" vertical="center"/>
    </xf>
    <xf numFmtId="0" fontId="6" fillId="7" borderId="5" xfId="7" applyFont="1" applyFill="1" applyBorder="1" applyAlignment="1">
      <alignment horizontal="center"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lignment horizontal="left" vertical="center" wrapText="1"/>
    </xf>
    <xf numFmtId="0" fontId="6" fillId="7" borderId="4" xfId="0" applyFont="1" applyFill="1" applyBorder="1" applyAlignment="1">
      <alignment horizontal="left" vertical="center" wrapText="1"/>
    </xf>
    <xf numFmtId="0" fontId="6" fillId="7" borderId="5" xfId="0" applyFont="1" applyFill="1" applyBorder="1" applyAlignment="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lignment horizontal="left" vertical="top" wrapText="1"/>
    </xf>
    <xf numFmtId="0" fontId="5" fillId="0" borderId="0" xfId="0" quotePrefix="1" applyFont="1" applyAlignment="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F000000}"/>
    <cellStyle name="Normal 3" xfId="15" xr:uid="{00000000-0005-0000-0000-000010000000}"/>
    <cellStyle name="Normal_Sheet1" xfId="1" xr:uid="{00000000-0005-0000-0000-000011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0</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24750" cy="42672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5"/>
  <sheetViews>
    <sheetView showGridLines="0" zoomScale="90" zoomScaleNormal="90" zoomScaleSheetLayoutView="100" workbookViewId="0"/>
  </sheetViews>
  <sheetFormatPr defaultRowHeight="12.75" x14ac:dyDescent="0.35"/>
  <cols>
    <col min="1" max="1" width="54.73046875" customWidth="1"/>
    <col min="2" max="2" width="42.1328125" customWidth="1"/>
    <col min="3" max="3" width="28" customWidth="1"/>
    <col min="4" max="5" width="18.1328125" customWidth="1"/>
  </cols>
  <sheetData>
    <row r="1" spans="1:8" x14ac:dyDescent="0.35">
      <c r="A1" s="20"/>
      <c r="B1" s="20"/>
      <c r="C1" s="20"/>
      <c r="D1" s="20"/>
      <c r="E1" s="20"/>
    </row>
    <row r="2" spans="1:8" ht="16.899999999999999" x14ac:dyDescent="0.35">
      <c r="A2" s="138" t="s">
        <v>638</v>
      </c>
      <c r="B2" s="71"/>
      <c r="C2" s="71"/>
      <c r="D2" s="71"/>
      <c r="E2" s="71"/>
    </row>
    <row r="3" spans="1:8" ht="13.9" x14ac:dyDescent="0.35">
      <c r="A3" s="71"/>
      <c r="B3" s="142" t="s">
        <v>640</v>
      </c>
      <c r="C3" s="143" t="s">
        <v>686</v>
      </c>
      <c r="D3" s="143" t="s">
        <v>90</v>
      </c>
      <c r="E3" s="143" t="s">
        <v>89</v>
      </c>
    </row>
    <row r="4" spans="1:8" ht="27.75" x14ac:dyDescent="0.35">
      <c r="A4" s="72" t="s">
        <v>638</v>
      </c>
      <c r="B4" s="144" t="s">
        <v>691</v>
      </c>
      <c r="C4" s="144" t="s">
        <v>692</v>
      </c>
      <c r="D4" s="144" t="s">
        <v>693</v>
      </c>
      <c r="E4" s="144" t="s">
        <v>637</v>
      </c>
    </row>
    <row r="5" spans="1:8" x14ac:dyDescent="0.35">
      <c r="A5" s="71"/>
      <c r="B5" s="71"/>
      <c r="C5" s="71"/>
      <c r="D5" s="71"/>
      <c r="E5" s="71"/>
    </row>
    <row r="6" spans="1:8" ht="16.899999999999999" x14ac:dyDescent="0.35">
      <c r="A6" s="74" t="s">
        <v>83</v>
      </c>
      <c r="B6" s="71"/>
      <c r="C6" s="71"/>
      <c r="D6" s="71"/>
      <c r="E6" s="71"/>
    </row>
    <row r="7" spans="1:8" ht="13.9" x14ac:dyDescent="0.35">
      <c r="A7" s="75" t="s">
        <v>84</v>
      </c>
      <c r="B7" s="207" t="s">
        <v>85</v>
      </c>
      <c r="C7" s="207"/>
      <c r="D7" s="207"/>
      <c r="E7" s="207"/>
    </row>
    <row r="8" spans="1:8" ht="30" customHeight="1" x14ac:dyDescent="0.35">
      <c r="A8" s="79" t="s">
        <v>473</v>
      </c>
      <c r="B8" s="203" t="s">
        <v>87</v>
      </c>
      <c r="C8" s="203"/>
      <c r="D8" s="203"/>
      <c r="E8" s="203"/>
    </row>
    <row r="9" spans="1:8" ht="30" customHeight="1" x14ac:dyDescent="0.35">
      <c r="A9" s="79" t="s">
        <v>474</v>
      </c>
      <c r="B9" s="20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03"/>
      <c r="D9" s="203"/>
      <c r="E9" s="203"/>
    </row>
    <row r="10" spans="1:8" ht="30" customHeight="1" x14ac:dyDescent="0.35">
      <c r="A10" s="79" t="s">
        <v>475</v>
      </c>
      <c r="B10" s="203" t="s">
        <v>88</v>
      </c>
      <c r="C10" s="203"/>
      <c r="D10" s="203"/>
      <c r="E10" s="203"/>
    </row>
    <row r="11" spans="1:8" ht="61.5" customHeight="1" x14ac:dyDescent="0.35">
      <c r="A11" s="79" t="s">
        <v>476</v>
      </c>
      <c r="B11" s="20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3"/>
      <c r="D11" s="203"/>
      <c r="E11" s="203"/>
      <c r="F11" s="202"/>
      <c r="G11" s="202"/>
      <c r="H11" s="202"/>
    </row>
    <row r="12" spans="1:8" ht="86.25" customHeight="1" x14ac:dyDescent="0.35">
      <c r="A12" s="79" t="s">
        <v>179</v>
      </c>
      <c r="B12" s="203" t="s">
        <v>639</v>
      </c>
      <c r="C12" s="203"/>
      <c r="D12" s="203"/>
      <c r="E12" s="203"/>
    </row>
    <row r="13" spans="1:8" ht="33.75" customHeight="1" x14ac:dyDescent="0.35">
      <c r="A13" s="79" t="s">
        <v>472</v>
      </c>
      <c r="B13" s="203"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Eastern Power Networks Licence area.</v>
      </c>
      <c r="C13" s="203"/>
      <c r="D13" s="203"/>
      <c r="E13" s="203"/>
    </row>
    <row r="14" spans="1:8" ht="29.25" customHeight="1" x14ac:dyDescent="0.35">
      <c r="A14" s="79" t="s">
        <v>452</v>
      </c>
      <c r="B14" s="203" t="s">
        <v>590</v>
      </c>
      <c r="C14" s="203"/>
      <c r="D14" s="203"/>
      <c r="E14" s="203"/>
    </row>
    <row r="15" spans="1:8" ht="30" customHeight="1" x14ac:dyDescent="0.35">
      <c r="A15" s="79" t="s">
        <v>447</v>
      </c>
      <c r="B15" s="203" t="s">
        <v>448</v>
      </c>
      <c r="C15" s="203"/>
      <c r="D15" s="203"/>
      <c r="E15" s="203"/>
    </row>
    <row r="16" spans="1:8" ht="30" customHeight="1" x14ac:dyDescent="0.35">
      <c r="A16" s="79" t="s">
        <v>533</v>
      </c>
      <c r="B16" s="203" t="s">
        <v>532</v>
      </c>
      <c r="C16" s="203"/>
      <c r="D16" s="203"/>
      <c r="E16" s="203"/>
    </row>
    <row r="17" spans="1:5" x14ac:dyDescent="0.35">
      <c r="A17" s="71"/>
      <c r="B17" s="71"/>
      <c r="C17" s="71"/>
      <c r="D17" s="71"/>
      <c r="E17" s="71"/>
    </row>
    <row r="18" spans="1:5" ht="13.9" x14ac:dyDescent="0.35">
      <c r="A18" s="76" t="s">
        <v>95</v>
      </c>
      <c r="B18" s="71"/>
      <c r="C18" s="71"/>
      <c r="D18" s="71"/>
      <c r="E18" s="71"/>
    </row>
    <row r="19" spans="1:5" ht="13.9" x14ac:dyDescent="0.35">
      <c r="A19" s="75"/>
      <c r="B19" s="206"/>
      <c r="C19" s="206"/>
      <c r="D19" s="206"/>
      <c r="E19" s="206"/>
    </row>
    <row r="20" spans="1:5" ht="32.25" customHeight="1" x14ac:dyDescent="0.35">
      <c r="A20" s="204" t="s">
        <v>512</v>
      </c>
      <c r="B20" s="205"/>
      <c r="C20" s="205"/>
      <c r="D20" s="205"/>
      <c r="E20" s="205"/>
    </row>
    <row r="21" spans="1:5" x14ac:dyDescent="0.35">
      <c r="A21" s="71"/>
      <c r="B21" s="71"/>
      <c r="C21" s="71"/>
      <c r="D21" s="71"/>
      <c r="E21" s="71"/>
    </row>
    <row r="22" spans="1:5" ht="13.9" x14ac:dyDescent="0.35">
      <c r="A22" s="77" t="s">
        <v>96</v>
      </c>
      <c r="B22" s="71"/>
      <c r="C22" s="71"/>
      <c r="D22" s="71"/>
      <c r="E22" s="71"/>
    </row>
    <row r="23" spans="1:5" ht="13.9" x14ac:dyDescent="0.35">
      <c r="A23" s="73"/>
      <c r="B23" s="206"/>
      <c r="C23" s="206"/>
      <c r="D23" s="206"/>
      <c r="E23" s="206"/>
    </row>
    <row r="24" spans="1:5" ht="28.5" customHeight="1" x14ac:dyDescent="0.35">
      <c r="A24" s="204" t="s">
        <v>477</v>
      </c>
      <c r="B24" s="205"/>
      <c r="C24" s="205"/>
      <c r="D24" s="205"/>
      <c r="E24" s="205"/>
    </row>
    <row r="25" spans="1:5" ht="28.5" customHeight="1" x14ac:dyDescent="0.35">
      <c r="A25" s="201" t="s">
        <v>636</v>
      </c>
      <c r="B25" s="201"/>
      <c r="C25" s="201"/>
      <c r="D25" s="201"/>
      <c r="E25" s="201"/>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Designated EHV Prop'!A1" display="Annex 6 new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0"/>
  <sheetViews>
    <sheetView tabSelected="1" topLeftCell="A16" zoomScaleNormal="100" zoomScaleSheetLayoutView="100" workbookViewId="0">
      <selection activeCell="A24" sqref="A24"/>
    </sheetView>
  </sheetViews>
  <sheetFormatPr defaultColWidth="9.1328125" defaultRowHeight="27.75" customHeight="1" x14ac:dyDescent="0.35"/>
  <cols>
    <col min="1" max="1" width="49" style="1" bestFit="1" customWidth="1"/>
    <col min="2" max="2" width="17.59765625" style="2" customWidth="1"/>
    <col min="3" max="3" width="6.86328125" style="1" customWidth="1"/>
    <col min="4" max="4" width="17.59765625" style="1" customWidth="1"/>
    <col min="5" max="7" width="17.59765625" style="2" customWidth="1"/>
    <col min="8" max="9" width="17.59765625" style="7" customWidth="1"/>
    <col min="10" max="10" width="17.59765625" style="4" customWidth="1"/>
    <col min="11" max="11" width="17.59765625" style="5" customWidth="1"/>
    <col min="12" max="12" width="1.3984375" style="3" customWidth="1"/>
    <col min="13" max="13" width="15.59765625" style="3" customWidth="1"/>
    <col min="14" max="19" width="15.59765625" style="1" customWidth="1"/>
    <col min="20" max="16384" width="9.1328125" style="1"/>
  </cols>
  <sheetData>
    <row r="1" spans="1:14" ht="27.75" customHeight="1" x14ac:dyDescent="0.35">
      <c r="A1" s="100" t="s">
        <v>86</v>
      </c>
      <c r="B1" s="209" t="s">
        <v>687</v>
      </c>
      <c r="C1" s="210"/>
      <c r="D1" s="210"/>
    </row>
    <row r="2" spans="1:14" ht="27" customHeight="1" x14ac:dyDescent="0.35">
      <c r="A2" s="211" t="str">
        <f>Overview!B4&amp; " - Effective from "&amp;Overview!D4&amp;" - "&amp;Overview!E4&amp;" LV and HV charges"</f>
        <v>Eastern Power Networks - Effective from 01/04/2017 - Final LV and HV charges</v>
      </c>
      <c r="B2" s="211"/>
      <c r="C2" s="211"/>
      <c r="D2" s="211"/>
      <c r="E2" s="211"/>
      <c r="F2" s="211"/>
      <c r="G2" s="211"/>
      <c r="H2" s="211"/>
      <c r="I2" s="211"/>
      <c r="J2" s="211"/>
      <c r="K2" s="211"/>
    </row>
    <row r="3" spans="1:14" s="81" customFormat="1" ht="15" customHeight="1" x14ac:dyDescent="0.35">
      <c r="A3" s="87"/>
      <c r="B3" s="87"/>
      <c r="C3" s="87"/>
      <c r="D3" s="87"/>
      <c r="E3" s="87"/>
      <c r="F3" s="87"/>
      <c r="G3" s="87"/>
      <c r="H3" s="87"/>
      <c r="I3" s="87"/>
      <c r="J3" s="87"/>
      <c r="K3" s="87"/>
      <c r="L3" s="58"/>
      <c r="M3" s="58"/>
    </row>
    <row r="4" spans="1:14" ht="27" customHeight="1" x14ac:dyDescent="0.35">
      <c r="A4" s="211" t="s">
        <v>502</v>
      </c>
      <c r="B4" s="211"/>
      <c r="C4" s="211"/>
      <c r="D4" s="211"/>
      <c r="E4" s="211"/>
      <c r="F4" s="87"/>
      <c r="G4" s="211" t="s">
        <v>501</v>
      </c>
      <c r="H4" s="211"/>
      <c r="I4" s="211"/>
      <c r="J4" s="211"/>
      <c r="K4" s="211"/>
    </row>
    <row r="5" spans="1:14" ht="28.5" customHeight="1" x14ac:dyDescent="0.35">
      <c r="A5" s="80" t="s">
        <v>80</v>
      </c>
      <c r="B5" s="83" t="s">
        <v>493</v>
      </c>
      <c r="C5" s="212" t="s">
        <v>494</v>
      </c>
      <c r="D5" s="213"/>
      <c r="E5" s="82" t="s">
        <v>495</v>
      </c>
      <c r="F5" s="87"/>
      <c r="G5" s="215"/>
      <c r="H5" s="216"/>
      <c r="I5" s="84" t="s">
        <v>499</v>
      </c>
      <c r="J5" s="85" t="s">
        <v>500</v>
      </c>
      <c r="K5" s="82" t="s">
        <v>495</v>
      </c>
      <c r="L5" s="87"/>
      <c r="N5" s="3"/>
    </row>
    <row r="6" spans="1:14" ht="65.25" customHeight="1" x14ac:dyDescent="0.35">
      <c r="A6" s="145" t="s">
        <v>496</v>
      </c>
      <c r="B6" s="18" t="s">
        <v>696</v>
      </c>
      <c r="C6" s="214" t="s">
        <v>1365</v>
      </c>
      <c r="D6" s="214"/>
      <c r="E6" s="146" t="s">
        <v>1366</v>
      </c>
      <c r="F6" s="87"/>
      <c r="G6" s="208" t="s">
        <v>497</v>
      </c>
      <c r="H6" s="208"/>
      <c r="I6" s="18" t="s">
        <v>696</v>
      </c>
      <c r="J6" s="86" t="s">
        <v>1368</v>
      </c>
      <c r="K6" s="146" t="s">
        <v>1366</v>
      </c>
      <c r="L6" s="87"/>
      <c r="N6" s="3"/>
    </row>
    <row r="7" spans="1:14" ht="65.25" customHeight="1" x14ac:dyDescent="0.35">
      <c r="A7" s="145" t="s">
        <v>82</v>
      </c>
      <c r="B7" s="140"/>
      <c r="C7" s="217"/>
      <c r="D7" s="217"/>
      <c r="E7" s="86" t="s">
        <v>1367</v>
      </c>
      <c r="F7" s="87"/>
      <c r="G7" s="208" t="s">
        <v>694</v>
      </c>
      <c r="H7" s="208"/>
      <c r="I7" s="140"/>
      <c r="J7" s="86" t="s">
        <v>1369</v>
      </c>
      <c r="K7" s="146" t="s">
        <v>1366</v>
      </c>
      <c r="L7" s="87"/>
      <c r="N7" s="3"/>
    </row>
    <row r="8" spans="1:14" ht="65.25" customHeight="1" x14ac:dyDescent="0.35">
      <c r="A8" s="139" t="s">
        <v>81</v>
      </c>
      <c r="B8" s="218" t="s">
        <v>695</v>
      </c>
      <c r="C8" s="219"/>
      <c r="D8" s="219"/>
      <c r="E8" s="220"/>
      <c r="F8" s="87"/>
      <c r="G8" s="218" t="s">
        <v>82</v>
      </c>
      <c r="H8" s="220"/>
      <c r="I8" s="140"/>
      <c r="J8" s="140"/>
      <c r="K8" s="86" t="s">
        <v>1367</v>
      </c>
      <c r="L8" s="87"/>
      <c r="N8" s="3"/>
    </row>
    <row r="9" spans="1:14" s="81" customFormat="1" ht="27" customHeight="1" x14ac:dyDescent="0.35">
      <c r="F9" s="87"/>
      <c r="G9" s="208" t="s">
        <v>81</v>
      </c>
      <c r="H9" s="208"/>
      <c r="I9" s="208" t="s">
        <v>695</v>
      </c>
      <c r="J9" s="208"/>
      <c r="K9" s="208"/>
      <c r="L9" s="87"/>
      <c r="M9" s="58"/>
      <c r="N9" s="58"/>
    </row>
    <row r="10" spans="1:14" s="81" customFormat="1" ht="36" hidden="1" customHeight="1" x14ac:dyDescent="0.35">
      <c r="M10" s="58"/>
      <c r="N10" s="58"/>
    </row>
    <row r="11" spans="1:14" s="81" customFormat="1" ht="27" hidden="1" customHeight="1" x14ac:dyDescent="0.35">
      <c r="A11" s="87"/>
      <c r="B11" s="87"/>
      <c r="C11" s="87"/>
      <c r="D11" s="87"/>
      <c r="E11" s="87"/>
      <c r="F11" s="87"/>
      <c r="G11" s="87"/>
      <c r="H11" s="87"/>
      <c r="I11" s="87"/>
      <c r="J11" s="87"/>
      <c r="K11" s="87"/>
      <c r="L11" s="87"/>
      <c r="M11" s="58"/>
    </row>
    <row r="12" spans="1:14" s="81" customFormat="1" ht="12.75" customHeight="1" x14ac:dyDescent="0.35">
      <c r="A12" s="87"/>
      <c r="B12" s="87"/>
      <c r="C12" s="87"/>
      <c r="D12" s="87"/>
      <c r="E12" s="87"/>
      <c r="F12" s="87"/>
      <c r="G12" s="87"/>
      <c r="H12" s="87"/>
      <c r="I12" s="87"/>
      <c r="J12" s="87"/>
      <c r="K12" s="87"/>
      <c r="L12" s="58"/>
      <c r="M12" s="58"/>
    </row>
    <row r="13" spans="1:14" ht="78.75" customHeight="1" x14ac:dyDescent="0.35">
      <c r="A13" s="26" t="s">
        <v>688</v>
      </c>
      <c r="B13" s="11" t="s">
        <v>91</v>
      </c>
      <c r="C13" s="11" t="s">
        <v>92</v>
      </c>
      <c r="D13" s="26" t="s">
        <v>630</v>
      </c>
      <c r="E13" s="26" t="s">
        <v>631</v>
      </c>
      <c r="F13" s="26" t="s">
        <v>632</v>
      </c>
      <c r="G13" s="11" t="s">
        <v>93</v>
      </c>
      <c r="H13" s="11" t="s">
        <v>94</v>
      </c>
      <c r="I13" s="11" t="s">
        <v>453</v>
      </c>
      <c r="J13" s="26" t="s">
        <v>1344</v>
      </c>
      <c r="K13" s="11" t="s">
        <v>50</v>
      </c>
    </row>
    <row r="14" spans="1:14" ht="32.25" customHeight="1" x14ac:dyDescent="0.35">
      <c r="A14" s="13" t="s">
        <v>0</v>
      </c>
      <c r="B14" s="157" t="s">
        <v>904</v>
      </c>
      <c r="C14" s="70">
        <v>1</v>
      </c>
      <c r="D14" s="32">
        <v>1.998</v>
      </c>
      <c r="E14" s="35">
        <v>0</v>
      </c>
      <c r="F14" s="35">
        <v>0</v>
      </c>
      <c r="G14" s="34">
        <v>4.6900000000000004</v>
      </c>
      <c r="H14" s="35">
        <v>0</v>
      </c>
      <c r="I14" s="35">
        <v>0</v>
      </c>
      <c r="J14" s="35"/>
      <c r="K14" s="36"/>
    </row>
    <row r="15" spans="1:14" ht="32.25" customHeight="1" x14ac:dyDescent="0.35">
      <c r="A15" s="13" t="s">
        <v>1</v>
      </c>
      <c r="B15" s="31" t="s">
        <v>905</v>
      </c>
      <c r="C15" s="70">
        <v>2</v>
      </c>
      <c r="D15" s="32">
        <v>2.3959999999999999</v>
      </c>
      <c r="E15" s="32">
        <v>0.03</v>
      </c>
      <c r="F15" s="35">
        <v>0</v>
      </c>
      <c r="G15" s="34">
        <v>4.6900000000000004</v>
      </c>
      <c r="H15" s="35">
        <v>0</v>
      </c>
      <c r="I15" s="35">
        <v>0</v>
      </c>
      <c r="J15" s="35"/>
      <c r="K15" s="36"/>
    </row>
    <row r="16" spans="1:14" ht="32.25" customHeight="1" x14ac:dyDescent="0.35">
      <c r="A16" s="13" t="s">
        <v>11</v>
      </c>
      <c r="B16" s="31" t="s">
        <v>906</v>
      </c>
      <c r="C16" s="70">
        <v>2</v>
      </c>
      <c r="D16" s="32">
        <v>9.1999999999999998E-2</v>
      </c>
      <c r="E16" s="35">
        <v>0</v>
      </c>
      <c r="F16" s="35">
        <v>0</v>
      </c>
      <c r="G16" s="35">
        <v>0</v>
      </c>
      <c r="H16" s="35">
        <v>0</v>
      </c>
      <c r="I16" s="35">
        <v>0</v>
      </c>
      <c r="J16" s="35"/>
      <c r="K16" s="36"/>
    </row>
    <row r="17" spans="1:11" ht="32.25" customHeight="1" x14ac:dyDescent="0.35">
      <c r="A17" s="13" t="s">
        <v>12</v>
      </c>
      <c r="B17" s="37" t="s">
        <v>907</v>
      </c>
      <c r="C17" s="70">
        <v>3</v>
      </c>
      <c r="D17" s="32">
        <v>1.5349999999999999</v>
      </c>
      <c r="E17" s="35">
        <v>0</v>
      </c>
      <c r="F17" s="35">
        <v>0</v>
      </c>
      <c r="G17" s="34">
        <v>5.05</v>
      </c>
      <c r="H17" s="35">
        <v>0</v>
      </c>
      <c r="I17" s="35">
        <v>0</v>
      </c>
      <c r="J17" s="35"/>
      <c r="K17" s="36"/>
    </row>
    <row r="18" spans="1:11" ht="32.25" customHeight="1" x14ac:dyDescent="0.35">
      <c r="A18" s="13" t="s">
        <v>13</v>
      </c>
      <c r="B18" s="31" t="s">
        <v>908</v>
      </c>
      <c r="C18" s="70">
        <v>4</v>
      </c>
      <c r="D18" s="32">
        <v>1.8380000000000001</v>
      </c>
      <c r="E18" s="32">
        <v>0.03</v>
      </c>
      <c r="F18" s="35">
        <v>0</v>
      </c>
      <c r="G18" s="34">
        <v>5.05</v>
      </c>
      <c r="H18" s="35">
        <v>0</v>
      </c>
      <c r="I18" s="35">
        <v>0</v>
      </c>
      <c r="J18" s="35"/>
      <c r="K18" s="36"/>
    </row>
    <row r="19" spans="1:11" ht="32.25" customHeight="1" x14ac:dyDescent="0.35">
      <c r="A19" s="13" t="s">
        <v>14</v>
      </c>
      <c r="B19" s="31" t="s">
        <v>909</v>
      </c>
      <c r="C19" s="70">
        <v>4</v>
      </c>
      <c r="D19" s="32">
        <v>0.18</v>
      </c>
      <c r="E19" s="35">
        <v>0</v>
      </c>
      <c r="F19" s="35">
        <v>0</v>
      </c>
      <c r="G19" s="35">
        <v>0</v>
      </c>
      <c r="H19" s="35">
        <v>0</v>
      </c>
      <c r="I19" s="35">
        <v>0</v>
      </c>
      <c r="J19" s="35"/>
      <c r="K19" s="36"/>
    </row>
    <row r="20" spans="1:11" ht="32.25" customHeight="1" x14ac:dyDescent="0.35">
      <c r="A20" s="13" t="s">
        <v>2</v>
      </c>
      <c r="B20" s="37" t="s">
        <v>910</v>
      </c>
      <c r="C20" s="70" t="s">
        <v>20</v>
      </c>
      <c r="D20" s="32">
        <v>1.7330000000000001</v>
      </c>
      <c r="E20" s="32">
        <v>2.3E-2</v>
      </c>
      <c r="F20" s="35">
        <v>0</v>
      </c>
      <c r="G20" s="34">
        <v>32.92</v>
      </c>
      <c r="H20" s="35">
        <v>0</v>
      </c>
      <c r="I20" s="35">
        <v>0</v>
      </c>
      <c r="J20" s="35"/>
      <c r="K20" s="36"/>
    </row>
    <row r="21" spans="1:11" ht="32.25" customHeight="1" x14ac:dyDescent="0.35">
      <c r="A21" s="13" t="s">
        <v>15</v>
      </c>
      <c r="B21" s="35"/>
      <c r="C21" s="35"/>
      <c r="D21" s="32">
        <v>1.044</v>
      </c>
      <c r="E21" s="32">
        <v>1.2999999999999999E-2</v>
      </c>
      <c r="F21" s="35">
        <v>0</v>
      </c>
      <c r="G21" s="34">
        <v>10.19</v>
      </c>
      <c r="H21" s="35">
        <v>0</v>
      </c>
      <c r="I21" s="35">
        <v>0</v>
      </c>
      <c r="J21" s="35"/>
      <c r="K21" s="55"/>
    </row>
    <row r="22" spans="1:11" ht="32.25" customHeight="1" x14ac:dyDescent="0.35">
      <c r="A22" s="13" t="s">
        <v>16</v>
      </c>
      <c r="B22" s="35"/>
      <c r="C22" s="35"/>
      <c r="D22" s="32">
        <v>0.68500000000000005</v>
      </c>
      <c r="E22" s="32">
        <v>4.0000000000000001E-3</v>
      </c>
      <c r="F22" s="35">
        <v>0</v>
      </c>
      <c r="G22" s="34">
        <v>102.52</v>
      </c>
      <c r="H22" s="35">
        <v>0</v>
      </c>
      <c r="I22" s="35">
        <v>0</v>
      </c>
      <c r="J22" s="35"/>
      <c r="K22" s="55"/>
    </row>
    <row r="23" spans="1:11" ht="32.25" customHeight="1" x14ac:dyDescent="0.35">
      <c r="A23" s="13" t="s">
        <v>566</v>
      </c>
      <c r="B23" s="31">
        <v>1</v>
      </c>
      <c r="C23" s="70">
        <v>0</v>
      </c>
      <c r="D23" s="42">
        <v>15.253</v>
      </c>
      <c r="E23" s="38">
        <v>0.13100000000000001</v>
      </c>
      <c r="F23" s="39">
        <v>2.3E-2</v>
      </c>
      <c r="G23" s="34">
        <v>4.6900000000000004</v>
      </c>
      <c r="H23" s="35">
        <v>0</v>
      </c>
      <c r="I23" s="35">
        <v>0</v>
      </c>
      <c r="J23" s="35"/>
      <c r="K23" s="55"/>
    </row>
    <row r="24" spans="1:11" ht="32.25" customHeight="1" x14ac:dyDescent="0.35">
      <c r="A24" s="13" t="s">
        <v>567</v>
      </c>
      <c r="B24" s="31">
        <v>200</v>
      </c>
      <c r="C24" s="70">
        <v>0</v>
      </c>
      <c r="D24" s="42">
        <v>13.855</v>
      </c>
      <c r="E24" s="38">
        <v>0.11899999999999999</v>
      </c>
      <c r="F24" s="39">
        <v>2.1000000000000001E-2</v>
      </c>
      <c r="G24" s="34">
        <v>5.37</v>
      </c>
      <c r="H24" s="35">
        <v>0</v>
      </c>
      <c r="I24" s="35">
        <v>0</v>
      </c>
      <c r="J24" s="35"/>
      <c r="K24" s="55"/>
    </row>
    <row r="25" spans="1:11" ht="32.25" customHeight="1" x14ac:dyDescent="0.35">
      <c r="A25" s="13" t="s">
        <v>17</v>
      </c>
      <c r="B25" s="36">
        <v>86</v>
      </c>
      <c r="C25" s="70">
        <v>0</v>
      </c>
      <c r="D25" s="42">
        <v>10.911</v>
      </c>
      <c r="E25" s="38">
        <v>7.8E-2</v>
      </c>
      <c r="F25" s="39">
        <v>1.4E-2</v>
      </c>
      <c r="G25" s="34">
        <v>14.87</v>
      </c>
      <c r="H25" s="34">
        <v>3.15</v>
      </c>
      <c r="I25" s="40">
        <v>0.33200000000000002</v>
      </c>
      <c r="J25" s="56">
        <f>H25</f>
        <v>3.15</v>
      </c>
      <c r="K25" s="36"/>
    </row>
    <row r="26" spans="1:11" ht="32.25" customHeight="1" x14ac:dyDescent="0.35">
      <c r="A26" s="13" t="s">
        <v>18</v>
      </c>
      <c r="B26" s="36">
        <v>80</v>
      </c>
      <c r="C26" s="70">
        <v>0</v>
      </c>
      <c r="D26" s="42">
        <v>7.7169999999999996</v>
      </c>
      <c r="E26" s="38">
        <v>3.5000000000000003E-2</v>
      </c>
      <c r="F26" s="39">
        <v>7.0000000000000001E-3</v>
      </c>
      <c r="G26" s="34">
        <v>10.19</v>
      </c>
      <c r="H26" s="34">
        <v>4.67</v>
      </c>
      <c r="I26" s="40">
        <v>0.215</v>
      </c>
      <c r="J26" s="56">
        <f>H26</f>
        <v>4.67</v>
      </c>
      <c r="K26" s="36"/>
    </row>
    <row r="27" spans="1:11" ht="32.25" customHeight="1" x14ac:dyDescent="0.35">
      <c r="A27" s="13" t="s">
        <v>19</v>
      </c>
      <c r="B27" s="36">
        <v>84</v>
      </c>
      <c r="C27" s="70">
        <v>0</v>
      </c>
      <c r="D27" s="42">
        <v>6.3840000000000003</v>
      </c>
      <c r="E27" s="38">
        <v>0.02</v>
      </c>
      <c r="F27" s="39">
        <v>4.0000000000000001E-3</v>
      </c>
      <c r="G27" s="34">
        <v>102.52</v>
      </c>
      <c r="H27" s="34">
        <v>3.87</v>
      </c>
      <c r="I27" s="40">
        <v>0.17899999999999999</v>
      </c>
      <c r="J27" s="56">
        <f>H27</f>
        <v>3.87</v>
      </c>
      <c r="K27" s="36"/>
    </row>
    <row r="28" spans="1:11" ht="32.25" customHeight="1" x14ac:dyDescent="0.35">
      <c r="A28" s="13" t="s">
        <v>182</v>
      </c>
      <c r="B28" s="36" t="s">
        <v>911</v>
      </c>
      <c r="C28" s="70">
        <v>8</v>
      </c>
      <c r="D28" s="32">
        <v>1.7490000000000001</v>
      </c>
      <c r="E28" s="35">
        <v>0</v>
      </c>
      <c r="F28" s="35">
        <v>0</v>
      </c>
      <c r="G28" s="35">
        <v>0</v>
      </c>
      <c r="H28" s="35">
        <v>0</v>
      </c>
      <c r="I28" s="35">
        <v>0</v>
      </c>
      <c r="J28" s="35"/>
      <c r="K28" s="36"/>
    </row>
    <row r="29" spans="1:11" ht="32.25" customHeight="1" x14ac:dyDescent="0.35">
      <c r="A29" s="13" t="s">
        <v>183</v>
      </c>
      <c r="B29" s="36" t="s">
        <v>912</v>
      </c>
      <c r="C29" s="70">
        <v>1</v>
      </c>
      <c r="D29" s="32">
        <v>2.6040000000000001</v>
      </c>
      <c r="E29" s="35">
        <v>0</v>
      </c>
      <c r="F29" s="35">
        <v>0</v>
      </c>
      <c r="G29" s="35">
        <v>0</v>
      </c>
      <c r="H29" s="35">
        <v>0</v>
      </c>
      <c r="I29" s="35">
        <v>0</v>
      </c>
      <c r="J29" s="35"/>
      <c r="K29" s="36"/>
    </row>
    <row r="30" spans="1:11" ht="32.25" customHeight="1" x14ac:dyDescent="0.35">
      <c r="A30" s="13" t="s">
        <v>184</v>
      </c>
      <c r="B30" s="36" t="s">
        <v>913</v>
      </c>
      <c r="C30" s="70">
        <v>1</v>
      </c>
      <c r="D30" s="32">
        <v>4.43</v>
      </c>
      <c r="E30" s="35">
        <v>0</v>
      </c>
      <c r="F30" s="35">
        <v>0</v>
      </c>
      <c r="G30" s="35">
        <v>0</v>
      </c>
      <c r="H30" s="35">
        <v>0</v>
      </c>
      <c r="I30" s="35">
        <v>0</v>
      </c>
      <c r="J30" s="35"/>
      <c r="K30" s="36"/>
    </row>
    <row r="31" spans="1:11" ht="32.25" customHeight="1" x14ac:dyDescent="0.35">
      <c r="A31" s="13" t="s">
        <v>185</v>
      </c>
      <c r="B31" s="36" t="s">
        <v>914</v>
      </c>
      <c r="C31" s="70">
        <v>1</v>
      </c>
      <c r="D31" s="32">
        <v>1.181</v>
      </c>
      <c r="E31" s="35">
        <v>0</v>
      </c>
      <c r="F31" s="35">
        <v>0</v>
      </c>
      <c r="G31" s="35">
        <v>0</v>
      </c>
      <c r="H31" s="35">
        <v>0</v>
      </c>
      <c r="I31" s="35">
        <v>0</v>
      </c>
      <c r="J31" s="35"/>
      <c r="K31" s="36"/>
    </row>
    <row r="32" spans="1:11" ht="32.25" customHeight="1" x14ac:dyDescent="0.35">
      <c r="A32" s="13" t="s">
        <v>3</v>
      </c>
      <c r="B32" s="36">
        <v>350</v>
      </c>
      <c r="C32" s="70">
        <v>0</v>
      </c>
      <c r="D32" s="54">
        <v>39.655000000000001</v>
      </c>
      <c r="E32" s="41">
        <v>0.65300000000000002</v>
      </c>
      <c r="F32" s="39">
        <v>0.55200000000000005</v>
      </c>
      <c r="G32" s="35">
        <v>0</v>
      </c>
      <c r="H32" s="35">
        <v>0</v>
      </c>
      <c r="I32" s="35">
        <v>0</v>
      </c>
      <c r="J32" s="35"/>
      <c r="K32" s="36"/>
    </row>
    <row r="33" spans="1:11" ht="32.25" customHeight="1" x14ac:dyDescent="0.35">
      <c r="A33" s="13" t="s">
        <v>568</v>
      </c>
      <c r="B33" s="37" t="s">
        <v>915</v>
      </c>
      <c r="C33" s="70" t="s">
        <v>916</v>
      </c>
      <c r="D33" s="32">
        <v>-0.90500000000000003</v>
      </c>
      <c r="E33" s="35">
        <v>0</v>
      </c>
      <c r="F33" s="35">
        <v>0</v>
      </c>
      <c r="G33" s="34">
        <v>0</v>
      </c>
      <c r="H33" s="35">
        <v>0</v>
      </c>
      <c r="I33" s="35">
        <v>0</v>
      </c>
      <c r="J33" s="35"/>
      <c r="K33" s="36"/>
    </row>
    <row r="34" spans="1:11" ht="32.25" customHeight="1" x14ac:dyDescent="0.35">
      <c r="A34" s="13" t="s">
        <v>10</v>
      </c>
      <c r="B34" s="35"/>
      <c r="C34" s="35"/>
      <c r="D34" s="32">
        <v>-0.80200000000000005</v>
      </c>
      <c r="E34" s="35">
        <v>0</v>
      </c>
      <c r="F34" s="35">
        <v>0</v>
      </c>
      <c r="G34" s="34">
        <v>0</v>
      </c>
      <c r="H34" s="35">
        <v>0</v>
      </c>
      <c r="I34" s="35">
        <v>0</v>
      </c>
      <c r="J34" s="35"/>
      <c r="K34" s="55"/>
    </row>
    <row r="35" spans="1:11" ht="32.25" customHeight="1" x14ac:dyDescent="0.35">
      <c r="A35" s="13" t="s">
        <v>4</v>
      </c>
      <c r="B35" s="36">
        <v>901</v>
      </c>
      <c r="C35" s="70">
        <v>0</v>
      </c>
      <c r="D35" s="32">
        <v>-0.90500000000000003</v>
      </c>
      <c r="E35" s="35">
        <v>0</v>
      </c>
      <c r="F35" s="35">
        <v>0</v>
      </c>
      <c r="G35" s="34">
        <v>0</v>
      </c>
      <c r="H35" s="35">
        <v>0</v>
      </c>
      <c r="I35" s="40">
        <v>0.28899999999999998</v>
      </c>
      <c r="J35" s="35"/>
      <c r="K35" s="36"/>
    </row>
    <row r="36" spans="1:11" ht="32.25" customHeight="1" x14ac:dyDescent="0.35">
      <c r="A36" s="13" t="s">
        <v>5</v>
      </c>
      <c r="B36" s="36">
        <v>915</v>
      </c>
      <c r="C36" s="70">
        <v>0</v>
      </c>
      <c r="D36" s="42">
        <v>-9.6839999999999993</v>
      </c>
      <c r="E36" s="43">
        <v>-0.09</v>
      </c>
      <c r="F36" s="39">
        <v>-1.6E-2</v>
      </c>
      <c r="G36" s="34">
        <v>0</v>
      </c>
      <c r="H36" s="35">
        <v>0</v>
      </c>
      <c r="I36" s="40">
        <v>0.28899999999999998</v>
      </c>
      <c r="J36" s="35"/>
      <c r="K36" s="36"/>
    </row>
    <row r="37" spans="1:11" ht="32.25" customHeight="1" x14ac:dyDescent="0.35">
      <c r="A37" s="13" t="s">
        <v>6</v>
      </c>
      <c r="B37" s="36">
        <v>902</v>
      </c>
      <c r="C37" s="70">
        <v>0</v>
      </c>
      <c r="D37" s="32">
        <v>-0.80200000000000005</v>
      </c>
      <c r="E37" s="35">
        <v>0</v>
      </c>
      <c r="F37" s="35">
        <v>0</v>
      </c>
      <c r="G37" s="34">
        <v>0</v>
      </c>
      <c r="H37" s="35">
        <v>0</v>
      </c>
      <c r="I37" s="40">
        <v>0.25900000000000001</v>
      </c>
      <c r="J37" s="35"/>
      <c r="K37" s="36"/>
    </row>
    <row r="38" spans="1:11" ht="32.25" customHeight="1" x14ac:dyDescent="0.35">
      <c r="A38" s="13" t="s">
        <v>7</v>
      </c>
      <c r="B38" s="36">
        <v>916</v>
      </c>
      <c r="C38" s="70">
        <v>0</v>
      </c>
      <c r="D38" s="42">
        <v>-8.6259999999999994</v>
      </c>
      <c r="E38" s="38">
        <v>-7.1999999999999995E-2</v>
      </c>
      <c r="F38" s="39">
        <v>-1.2999999999999999E-2</v>
      </c>
      <c r="G38" s="34">
        <v>0</v>
      </c>
      <c r="H38" s="35">
        <v>0</v>
      </c>
      <c r="I38" s="40">
        <v>0.25900000000000001</v>
      </c>
      <c r="J38" s="35"/>
      <c r="K38" s="36"/>
    </row>
    <row r="39" spans="1:11" ht="32.25" customHeight="1" x14ac:dyDescent="0.35">
      <c r="A39" s="13" t="s">
        <v>8</v>
      </c>
      <c r="B39" s="36">
        <v>903</v>
      </c>
      <c r="C39" s="70">
        <v>0</v>
      </c>
      <c r="D39" s="32">
        <v>-0.57699999999999996</v>
      </c>
      <c r="E39" s="35">
        <v>0</v>
      </c>
      <c r="F39" s="35">
        <v>0</v>
      </c>
      <c r="G39" s="34">
        <v>48.95</v>
      </c>
      <c r="H39" s="35">
        <v>0</v>
      </c>
      <c r="I39" s="40">
        <v>0.21099999999999999</v>
      </c>
      <c r="J39" s="35"/>
      <c r="K39" s="36"/>
    </row>
    <row r="40" spans="1:11" ht="32.25" customHeight="1" x14ac:dyDescent="0.35">
      <c r="A40" s="13" t="s">
        <v>9</v>
      </c>
      <c r="B40" s="36">
        <v>918</v>
      </c>
      <c r="C40" s="70">
        <v>0</v>
      </c>
      <c r="D40" s="42">
        <v>-6.3120000000000003</v>
      </c>
      <c r="E40" s="38">
        <v>-0.03</v>
      </c>
      <c r="F40" s="39">
        <v>-6.0000000000000001E-3</v>
      </c>
      <c r="G40" s="34">
        <v>48.95</v>
      </c>
      <c r="H40" s="35">
        <v>0</v>
      </c>
      <c r="I40" s="40">
        <v>0.21099999999999999</v>
      </c>
      <c r="J40" s="35"/>
      <c r="K40" s="36"/>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I9:K9"/>
    <mergeCell ref="B1:D1"/>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xr:uid="{00000000-0004-0000-0100-000000000000}"/>
  </hyperlinks>
  <pageMargins left="0.39370078740157483" right="0.35433070866141736" top="0.9055118110236221" bottom="0.55118110236220474" header="0.31496062992125984" footer="0.31496062992125984"/>
  <pageSetup paperSize="9" scale="45" fitToHeight="0" orientation="portrait" r:id="rId2"/>
  <headerFooter scaleWithDoc="0">
    <oddHeader>&amp;L&amp;"Arial,Bold"
Annex 1&amp;"Arial,Regular" - Charges for use of the Distribution System by LV and HV Designated Properties</oddHeader>
    <oddFooter>&amp;C&amp;P of &amp;N</oddFooter>
  </headerFooter>
  <ignoredErrors>
    <ignoredError sqref="J27" evalError="1"/>
    <ignoredError sqref="B14"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218"/>
  <sheetViews>
    <sheetView zoomScale="85" zoomScaleNormal="85" zoomScaleSheetLayoutView="100" workbookViewId="0">
      <pane ySplit="10" topLeftCell="A32" activePane="bottomLeft" state="frozen"/>
      <selection activeCell="B1" sqref="B1"/>
      <selection pane="bottomLeft" activeCell="M169" sqref="M169"/>
    </sheetView>
  </sheetViews>
  <sheetFormatPr defaultColWidth="9.1328125" defaultRowHeight="27.75" customHeight="1" x14ac:dyDescent="0.35"/>
  <cols>
    <col min="1" max="1" width="14.59765625" style="61" customWidth="1"/>
    <col min="2" max="2" width="7.265625" style="61" customWidth="1"/>
    <col min="3" max="3" width="17.1328125" style="61" customWidth="1"/>
    <col min="4" max="4" width="14.73046875" style="67" customWidth="1"/>
    <col min="5" max="5" width="7.1328125" style="67" customWidth="1"/>
    <col min="6" max="6" width="17.265625" style="67" customWidth="1"/>
    <col min="7" max="7" width="50.73046875" style="67" customWidth="1"/>
    <col min="8" max="8" width="14.73046875" style="67" customWidth="1"/>
    <col min="9" max="9" width="14.73046875" style="68" customWidth="1"/>
    <col min="10" max="11" width="14.73046875" style="69" customWidth="1"/>
    <col min="12" max="15" width="14.73046875" style="61" customWidth="1"/>
    <col min="16" max="17" width="15.59765625" style="61" customWidth="1"/>
    <col min="18" max="16384" width="9.1328125" style="61"/>
  </cols>
  <sheetData>
    <row r="1" spans="1:15" ht="66.75" customHeight="1" x14ac:dyDescent="0.35">
      <c r="A1" s="59" t="s">
        <v>86</v>
      </c>
      <c r="B1" s="59"/>
      <c r="C1" s="222" t="s">
        <v>641</v>
      </c>
      <c r="D1" s="222"/>
      <c r="E1" s="60"/>
      <c r="F1" s="221" t="s">
        <v>181</v>
      </c>
      <c r="G1" s="221"/>
      <c r="H1" s="221"/>
      <c r="I1" s="221"/>
      <c r="J1" s="221"/>
      <c r="K1" s="221"/>
      <c r="L1" s="221"/>
      <c r="M1" s="221"/>
      <c r="N1" s="221"/>
      <c r="O1" s="221"/>
    </row>
    <row r="2" spans="1:15" s="62" customFormat="1" ht="25.5" customHeight="1" x14ac:dyDescent="0.35">
      <c r="A2" s="211" t="str">
        <f>Overview!B4&amp; " - Effective from "&amp;Overview!D4&amp;" - "&amp;Overview!E4&amp;" EDCM charges"</f>
        <v>Eastern Power Networks - Effective from 01/04/2017 - Final EDCM charges</v>
      </c>
      <c r="B2" s="211"/>
      <c r="C2" s="211"/>
      <c r="D2" s="211"/>
      <c r="E2" s="211"/>
      <c r="F2" s="211"/>
      <c r="G2" s="211"/>
      <c r="H2" s="211"/>
      <c r="I2" s="211"/>
      <c r="J2" s="211"/>
      <c r="K2" s="211"/>
      <c r="L2" s="211"/>
      <c r="M2" s="211"/>
      <c r="N2" s="211"/>
      <c r="O2" s="211"/>
    </row>
    <row r="3" spans="1:15" s="88" customFormat="1" ht="10.5" customHeight="1" x14ac:dyDescent="0.35">
      <c r="A3" s="87"/>
      <c r="B3" s="87"/>
      <c r="C3" s="87"/>
      <c r="D3" s="87"/>
      <c r="E3" s="87"/>
      <c r="F3" s="87"/>
      <c r="G3" s="87"/>
      <c r="H3" s="87"/>
      <c r="I3" s="87"/>
      <c r="J3" s="87"/>
      <c r="K3" s="87"/>
      <c r="L3" s="87"/>
      <c r="M3" s="87"/>
      <c r="N3" s="87"/>
      <c r="O3" s="87"/>
    </row>
    <row r="4" spans="1:15" s="88" customFormat="1" ht="25.5" customHeight="1" x14ac:dyDescent="0.35">
      <c r="A4" s="211" t="s">
        <v>503</v>
      </c>
      <c r="B4" s="211"/>
      <c r="C4" s="211"/>
      <c r="D4" s="211"/>
      <c r="E4" s="211"/>
      <c r="F4" s="211"/>
      <c r="G4" s="87"/>
      <c r="H4" s="87"/>
      <c r="I4" s="87"/>
      <c r="J4" s="87"/>
      <c r="K4" s="87"/>
      <c r="L4" s="87"/>
      <c r="M4" s="87"/>
      <c r="N4" s="87"/>
      <c r="O4" s="87"/>
    </row>
    <row r="5" spans="1:15" s="88" customFormat="1" ht="25.5" customHeight="1" x14ac:dyDescent="0.35">
      <c r="A5" s="224" t="s">
        <v>80</v>
      </c>
      <c r="B5" s="225"/>
      <c r="C5" s="225"/>
      <c r="D5" s="226" t="s">
        <v>498</v>
      </c>
      <c r="E5" s="226"/>
      <c r="F5" s="226"/>
      <c r="G5" s="87"/>
      <c r="H5" s="87"/>
      <c r="I5" s="87"/>
      <c r="J5" s="87"/>
      <c r="K5" s="87"/>
      <c r="L5" s="87"/>
      <c r="M5" s="87"/>
      <c r="N5" s="87"/>
      <c r="O5" s="87"/>
    </row>
    <row r="6" spans="1:15" s="88" customFormat="1" ht="48" customHeight="1" x14ac:dyDescent="0.35">
      <c r="A6" s="208" t="s">
        <v>497</v>
      </c>
      <c r="B6" s="208"/>
      <c r="C6" s="208"/>
      <c r="D6" s="214" t="s">
        <v>696</v>
      </c>
      <c r="E6" s="214"/>
      <c r="F6" s="214"/>
      <c r="G6" s="87"/>
      <c r="H6" s="87"/>
      <c r="I6" s="87"/>
      <c r="J6" s="87"/>
      <c r="K6" s="87"/>
      <c r="L6" s="87"/>
      <c r="M6" s="87"/>
      <c r="N6" s="87"/>
      <c r="O6" s="87"/>
    </row>
    <row r="7" spans="1:15" s="88" customFormat="1" ht="26.25" customHeight="1" x14ac:dyDescent="0.35">
      <c r="A7" s="208" t="s">
        <v>81</v>
      </c>
      <c r="B7" s="208"/>
      <c r="C7" s="208"/>
      <c r="D7" s="223" t="s">
        <v>695</v>
      </c>
      <c r="E7" s="223"/>
      <c r="F7" s="223"/>
      <c r="G7" s="87"/>
      <c r="H7" s="87"/>
      <c r="I7" s="87"/>
      <c r="J7" s="87"/>
      <c r="K7" s="87"/>
      <c r="L7" s="87"/>
      <c r="M7" s="87"/>
      <c r="N7" s="87"/>
      <c r="O7" s="87"/>
    </row>
    <row r="8" spans="1:15" s="88" customFormat="1" ht="25.5" hidden="1" customHeight="1" x14ac:dyDescent="0.35">
      <c r="A8" s="87"/>
      <c r="B8" s="87"/>
      <c r="C8" s="87"/>
      <c r="D8" s="87"/>
      <c r="E8" s="87"/>
      <c r="F8" s="87"/>
      <c r="G8" s="87"/>
      <c r="H8" s="87"/>
      <c r="I8" s="87"/>
      <c r="J8" s="87"/>
      <c r="K8" s="87"/>
      <c r="L8" s="87"/>
      <c r="M8" s="87"/>
      <c r="N8" s="87"/>
      <c r="O8" s="87"/>
    </row>
    <row r="9" spans="1:15" s="88" customFormat="1" ht="10.5" customHeight="1" x14ac:dyDescent="0.35">
      <c r="A9" s="87"/>
      <c r="B9" s="87"/>
      <c r="C9" s="87"/>
      <c r="D9" s="87"/>
      <c r="E9" s="87"/>
      <c r="F9" s="87"/>
      <c r="G9" s="87"/>
      <c r="H9" s="87"/>
      <c r="I9" s="87"/>
      <c r="J9" s="87"/>
      <c r="K9" s="87"/>
      <c r="L9" s="87"/>
      <c r="M9" s="87"/>
      <c r="N9" s="87"/>
      <c r="O9" s="87"/>
    </row>
    <row r="10" spans="1:15" ht="63.75" customHeight="1" x14ac:dyDescent="0.35">
      <c r="A10" s="63" t="s">
        <v>1342</v>
      </c>
      <c r="B10" s="64" t="s">
        <v>469</v>
      </c>
      <c r="C10" s="63" t="s">
        <v>470</v>
      </c>
      <c r="D10" s="63" t="s">
        <v>1341</v>
      </c>
      <c r="E10" s="64" t="s">
        <v>469</v>
      </c>
      <c r="F10" s="63" t="s">
        <v>471</v>
      </c>
      <c r="G10" s="65" t="s">
        <v>180</v>
      </c>
      <c r="H10" s="66" t="s">
        <v>628</v>
      </c>
      <c r="I10" s="65" t="s">
        <v>491</v>
      </c>
      <c r="J10" s="65" t="s">
        <v>624</v>
      </c>
      <c r="K10" s="136" t="s">
        <v>1345</v>
      </c>
      <c r="L10" s="66" t="s">
        <v>629</v>
      </c>
      <c r="M10" s="65" t="s">
        <v>492</v>
      </c>
      <c r="N10" s="65" t="s">
        <v>625</v>
      </c>
      <c r="O10" s="136" t="s">
        <v>1346</v>
      </c>
    </row>
    <row r="11" spans="1:15" ht="30" customHeight="1" x14ac:dyDescent="0.35">
      <c r="A11" s="165" t="s">
        <v>917</v>
      </c>
      <c r="B11" s="101">
        <v>771</v>
      </c>
      <c r="C11" s="101">
        <v>1014569699836</v>
      </c>
      <c r="D11" s="159"/>
      <c r="E11" s="101"/>
      <c r="F11" s="101"/>
      <c r="G11" s="165" t="s">
        <v>1124</v>
      </c>
      <c r="H11" s="160">
        <v>0.71699999999999997</v>
      </c>
      <c r="I11" s="161">
        <v>178.32</v>
      </c>
      <c r="J11" s="161">
        <v>5.56</v>
      </c>
      <c r="K11" s="161">
        <v>5.56</v>
      </c>
      <c r="L11" s="162">
        <v>0</v>
      </c>
      <c r="M11" s="163">
        <v>0</v>
      </c>
      <c r="N11" s="164">
        <v>0</v>
      </c>
      <c r="O11" s="164">
        <v>0</v>
      </c>
    </row>
    <row r="12" spans="1:15" ht="30" customHeight="1" x14ac:dyDescent="0.35">
      <c r="A12" s="158" t="s">
        <v>918</v>
      </c>
      <c r="B12" s="101">
        <v>869</v>
      </c>
      <c r="C12" s="101">
        <v>1050000574685</v>
      </c>
      <c r="D12" s="159" t="s">
        <v>918</v>
      </c>
      <c r="E12" s="101">
        <v>744</v>
      </c>
      <c r="F12" s="101">
        <v>1050000574694</v>
      </c>
      <c r="G12" s="165" t="s">
        <v>1352</v>
      </c>
      <c r="H12" s="160">
        <v>1.9079999999999999</v>
      </c>
      <c r="I12" s="161">
        <v>18.239999999999998</v>
      </c>
      <c r="J12" s="161">
        <v>3</v>
      </c>
      <c r="K12" s="161">
        <v>3</v>
      </c>
      <c r="L12" s="162">
        <v>0</v>
      </c>
      <c r="M12" s="163">
        <v>3647.93</v>
      </c>
      <c r="N12" s="164">
        <v>0.05</v>
      </c>
      <c r="O12" s="164">
        <v>0.05</v>
      </c>
    </row>
    <row r="13" spans="1:15" ht="30" customHeight="1" x14ac:dyDescent="0.35">
      <c r="A13" s="158" t="s">
        <v>919</v>
      </c>
      <c r="B13" s="101">
        <v>771</v>
      </c>
      <c r="C13" s="101">
        <v>1023529546480</v>
      </c>
      <c r="D13" s="159"/>
      <c r="E13" s="101"/>
      <c r="F13" s="101"/>
      <c r="G13" s="165" t="s">
        <v>1125</v>
      </c>
      <c r="H13" s="160">
        <v>1.4139999999999999</v>
      </c>
      <c r="I13" s="161">
        <v>3068.14</v>
      </c>
      <c r="J13" s="161">
        <v>3.93</v>
      </c>
      <c r="K13" s="161">
        <v>3.93</v>
      </c>
      <c r="L13" s="162">
        <v>0</v>
      </c>
      <c r="M13" s="163">
        <v>0</v>
      </c>
      <c r="N13" s="164">
        <v>0</v>
      </c>
      <c r="O13" s="164">
        <v>0</v>
      </c>
    </row>
    <row r="14" spans="1:15" ht="30" customHeight="1" x14ac:dyDescent="0.35">
      <c r="A14" s="158" t="s">
        <v>920</v>
      </c>
      <c r="B14" s="101">
        <v>771</v>
      </c>
      <c r="C14" s="101">
        <v>1014569292506</v>
      </c>
      <c r="D14" s="159" t="s">
        <v>920</v>
      </c>
      <c r="E14" s="101">
        <v>792</v>
      </c>
      <c r="F14" s="101">
        <v>1030054607984</v>
      </c>
      <c r="G14" s="165" t="s">
        <v>1126</v>
      </c>
      <c r="H14" s="160">
        <v>2.944</v>
      </c>
      <c r="I14" s="161">
        <v>8.49</v>
      </c>
      <c r="J14" s="161">
        <v>19.010000000000002</v>
      </c>
      <c r="K14" s="161">
        <v>19.010000000000002</v>
      </c>
      <c r="L14" s="162">
        <v>-2.8439999999999999</v>
      </c>
      <c r="M14" s="163">
        <v>169.83</v>
      </c>
      <c r="N14" s="164">
        <v>0.05</v>
      </c>
      <c r="O14" s="164">
        <v>0.05</v>
      </c>
    </row>
    <row r="15" spans="1:15" ht="30" customHeight="1" x14ac:dyDescent="0.35">
      <c r="A15" s="158" t="s">
        <v>921</v>
      </c>
      <c r="B15" s="101">
        <v>800</v>
      </c>
      <c r="C15" s="101">
        <v>1023483097981</v>
      </c>
      <c r="D15" s="159"/>
      <c r="E15" s="101"/>
      <c r="F15" s="101"/>
      <c r="G15" s="165" t="s">
        <v>1127</v>
      </c>
      <c r="H15" s="160">
        <v>0.111</v>
      </c>
      <c r="I15" s="161">
        <v>6644.17</v>
      </c>
      <c r="J15" s="161">
        <v>0.95</v>
      </c>
      <c r="K15" s="161">
        <v>0.95</v>
      </c>
      <c r="L15" s="162">
        <v>0</v>
      </c>
      <c r="M15" s="163">
        <v>0</v>
      </c>
      <c r="N15" s="164">
        <v>0</v>
      </c>
      <c r="O15" s="164">
        <v>0</v>
      </c>
    </row>
    <row r="16" spans="1:15" ht="30" customHeight="1" x14ac:dyDescent="0.35">
      <c r="A16" s="158" t="s">
        <v>922</v>
      </c>
      <c r="B16" s="101">
        <v>771</v>
      </c>
      <c r="C16" s="101" t="s">
        <v>1291</v>
      </c>
      <c r="D16" s="159" t="s">
        <v>922</v>
      </c>
      <c r="E16" s="101">
        <v>792</v>
      </c>
      <c r="F16" s="101" t="s">
        <v>1292</v>
      </c>
      <c r="G16" s="165" t="s">
        <v>1128</v>
      </c>
      <c r="H16" s="160">
        <v>4.1719999999999997</v>
      </c>
      <c r="I16" s="161">
        <v>3283.78</v>
      </c>
      <c r="J16" s="161">
        <v>1.78</v>
      </c>
      <c r="K16" s="161">
        <v>1.78</v>
      </c>
      <c r="L16" s="162">
        <v>0</v>
      </c>
      <c r="M16" s="163">
        <v>1094.5899999999999</v>
      </c>
      <c r="N16" s="164">
        <v>0.05</v>
      </c>
      <c r="O16" s="164">
        <v>0.05</v>
      </c>
    </row>
    <row r="17" spans="1:15" ht="30" customHeight="1" x14ac:dyDescent="0.35">
      <c r="A17" s="158" t="s">
        <v>923</v>
      </c>
      <c r="B17" s="101">
        <v>503</v>
      </c>
      <c r="C17" s="101">
        <v>1050000834246</v>
      </c>
      <c r="D17" s="159" t="s">
        <v>923</v>
      </c>
      <c r="E17" s="101">
        <v>780</v>
      </c>
      <c r="F17" s="101">
        <v>1050000834255</v>
      </c>
      <c r="G17" s="165" t="s">
        <v>1129</v>
      </c>
      <c r="H17" s="160">
        <v>5.9809999999999999</v>
      </c>
      <c r="I17" s="161">
        <v>2.58</v>
      </c>
      <c r="J17" s="161">
        <v>3.14</v>
      </c>
      <c r="K17" s="161">
        <v>3.14</v>
      </c>
      <c r="L17" s="162">
        <v>0</v>
      </c>
      <c r="M17" s="163">
        <v>515.71</v>
      </c>
      <c r="N17" s="164">
        <v>0.05</v>
      </c>
      <c r="O17" s="164">
        <v>0.05</v>
      </c>
    </row>
    <row r="18" spans="1:15" ht="30" customHeight="1" x14ac:dyDescent="0.35">
      <c r="A18" s="158" t="s">
        <v>924</v>
      </c>
      <c r="B18" s="101">
        <v>504</v>
      </c>
      <c r="C18" s="101">
        <v>1050000774970</v>
      </c>
      <c r="D18" s="159" t="s">
        <v>924</v>
      </c>
      <c r="E18" s="101">
        <v>781</v>
      </c>
      <c r="F18" s="101">
        <v>1050000774980</v>
      </c>
      <c r="G18" s="165" t="s">
        <v>1130</v>
      </c>
      <c r="H18" s="160">
        <v>6.4000000000000001E-2</v>
      </c>
      <c r="I18" s="161">
        <v>17.149999999999999</v>
      </c>
      <c r="J18" s="161">
        <v>4.1100000000000003</v>
      </c>
      <c r="K18" s="161">
        <v>4.1100000000000003</v>
      </c>
      <c r="L18" s="162">
        <v>0</v>
      </c>
      <c r="M18" s="163">
        <v>1114.99</v>
      </c>
      <c r="N18" s="164">
        <v>0.05</v>
      </c>
      <c r="O18" s="164">
        <v>0.05</v>
      </c>
    </row>
    <row r="19" spans="1:15" ht="30" customHeight="1" x14ac:dyDescent="0.35">
      <c r="A19" s="158" t="s">
        <v>925</v>
      </c>
      <c r="B19" s="101">
        <v>771</v>
      </c>
      <c r="C19" s="101" t="s">
        <v>1293</v>
      </c>
      <c r="D19" s="159"/>
      <c r="E19" s="101"/>
      <c r="F19" s="101"/>
      <c r="G19" s="165" t="s">
        <v>1131</v>
      </c>
      <c r="H19" s="160">
        <v>2.419</v>
      </c>
      <c r="I19" s="161">
        <v>178.32</v>
      </c>
      <c r="J19" s="161">
        <v>6.81</v>
      </c>
      <c r="K19" s="161">
        <v>6.81</v>
      </c>
      <c r="L19" s="162">
        <v>0</v>
      </c>
      <c r="M19" s="163">
        <v>0</v>
      </c>
      <c r="N19" s="164">
        <v>0</v>
      </c>
      <c r="O19" s="164">
        <v>0</v>
      </c>
    </row>
    <row r="20" spans="1:15" ht="30" customHeight="1" x14ac:dyDescent="0.35">
      <c r="A20" s="158" t="s">
        <v>926</v>
      </c>
      <c r="B20" s="101">
        <v>771</v>
      </c>
      <c r="C20" s="101" t="s">
        <v>1294</v>
      </c>
      <c r="D20" s="159"/>
      <c r="E20" s="101"/>
      <c r="F20" s="101"/>
      <c r="G20" s="165" t="s">
        <v>1131</v>
      </c>
      <c r="H20" s="160">
        <v>2.605</v>
      </c>
      <c r="I20" s="161">
        <v>178.32</v>
      </c>
      <c r="J20" s="161">
        <v>4.1500000000000004</v>
      </c>
      <c r="K20" s="161">
        <v>4.1500000000000004</v>
      </c>
      <c r="L20" s="162">
        <v>0</v>
      </c>
      <c r="M20" s="163">
        <v>0</v>
      </c>
      <c r="N20" s="164">
        <v>0</v>
      </c>
      <c r="O20" s="164">
        <v>0</v>
      </c>
    </row>
    <row r="21" spans="1:15" ht="30" customHeight="1" x14ac:dyDescent="0.35">
      <c r="A21" s="158" t="s">
        <v>927</v>
      </c>
      <c r="B21" s="101">
        <v>796</v>
      </c>
      <c r="C21" s="101">
        <v>1050000774999</v>
      </c>
      <c r="D21" s="159" t="s">
        <v>927</v>
      </c>
      <c r="E21" s="101">
        <v>797</v>
      </c>
      <c r="F21" s="101">
        <v>1050000775005</v>
      </c>
      <c r="G21" s="165" t="s">
        <v>1132</v>
      </c>
      <c r="H21" s="160">
        <v>4.0010000000000003</v>
      </c>
      <c r="I21" s="161">
        <v>44.65</v>
      </c>
      <c r="J21" s="161">
        <v>6.69</v>
      </c>
      <c r="K21" s="161">
        <v>6.69</v>
      </c>
      <c r="L21" s="162">
        <v>0</v>
      </c>
      <c r="M21" s="163">
        <v>1875.31</v>
      </c>
      <c r="N21" s="164">
        <v>0.05</v>
      </c>
      <c r="O21" s="164">
        <v>0.05</v>
      </c>
    </row>
    <row r="22" spans="1:15" ht="30" customHeight="1" x14ac:dyDescent="0.35">
      <c r="A22" s="158" t="s">
        <v>928</v>
      </c>
      <c r="B22" s="101">
        <v>870</v>
      </c>
      <c r="C22" s="101">
        <v>1050000579318</v>
      </c>
      <c r="D22" s="159" t="s">
        <v>928</v>
      </c>
      <c r="E22" s="101">
        <v>745</v>
      </c>
      <c r="F22" s="101">
        <v>1050000579327</v>
      </c>
      <c r="G22" s="165" t="s">
        <v>1133</v>
      </c>
      <c r="H22" s="160">
        <v>2.2919999999999998</v>
      </c>
      <c r="I22" s="161">
        <v>31.89</v>
      </c>
      <c r="J22" s="161">
        <v>4.26</v>
      </c>
      <c r="K22" s="161">
        <v>4.26</v>
      </c>
      <c r="L22" s="162">
        <v>0</v>
      </c>
      <c r="M22" s="163">
        <v>2551.06</v>
      </c>
      <c r="N22" s="164">
        <v>0.05</v>
      </c>
      <c r="O22" s="164">
        <v>0.05</v>
      </c>
    </row>
    <row r="23" spans="1:15" ht="30" customHeight="1" x14ac:dyDescent="0.35">
      <c r="A23" s="158" t="s">
        <v>929</v>
      </c>
      <c r="B23" s="101">
        <v>505</v>
      </c>
      <c r="C23" s="101">
        <v>1050000669548</v>
      </c>
      <c r="D23" s="159" t="s">
        <v>929</v>
      </c>
      <c r="E23" s="101">
        <v>782</v>
      </c>
      <c r="F23" s="101">
        <v>1050000669539</v>
      </c>
      <c r="G23" s="165" t="s">
        <v>1134</v>
      </c>
      <c r="H23" s="160">
        <v>0.92600000000000005</v>
      </c>
      <c r="I23" s="161">
        <v>28.23</v>
      </c>
      <c r="J23" s="161">
        <v>1.66</v>
      </c>
      <c r="K23" s="161">
        <v>1.66</v>
      </c>
      <c r="L23" s="162">
        <v>0</v>
      </c>
      <c r="M23" s="163">
        <v>1052.2</v>
      </c>
      <c r="N23" s="164">
        <v>0.05</v>
      </c>
      <c r="O23" s="164">
        <v>0.05</v>
      </c>
    </row>
    <row r="24" spans="1:15" ht="30" customHeight="1" x14ac:dyDescent="0.35">
      <c r="A24" s="158" t="s">
        <v>930</v>
      </c>
      <c r="B24" s="101">
        <v>827</v>
      </c>
      <c r="C24" s="101">
        <v>1030082700415</v>
      </c>
      <c r="D24" s="159" t="s">
        <v>930</v>
      </c>
      <c r="E24" s="101">
        <v>734</v>
      </c>
      <c r="F24" s="101">
        <v>1030082700647</v>
      </c>
      <c r="G24" s="165" t="s">
        <v>1135</v>
      </c>
      <c r="H24" s="160">
        <v>2.8570000000000002</v>
      </c>
      <c r="I24" s="161">
        <v>38.42</v>
      </c>
      <c r="J24" s="161">
        <v>2.59</v>
      </c>
      <c r="K24" s="161">
        <v>2.59</v>
      </c>
      <c r="L24" s="162">
        <v>0</v>
      </c>
      <c r="M24" s="163">
        <v>3938.04</v>
      </c>
      <c r="N24" s="164">
        <v>0.05</v>
      </c>
      <c r="O24" s="164">
        <v>0.05</v>
      </c>
    </row>
    <row r="25" spans="1:15" ht="30" customHeight="1" x14ac:dyDescent="0.35">
      <c r="A25" s="158" t="s">
        <v>931</v>
      </c>
      <c r="B25" s="101">
        <v>771</v>
      </c>
      <c r="C25" s="101">
        <v>1014571751895</v>
      </c>
      <c r="D25" s="159"/>
      <c r="E25" s="101"/>
      <c r="F25" s="101"/>
      <c r="G25" s="165" t="s">
        <v>1136</v>
      </c>
      <c r="H25" s="160">
        <v>0.47399999999999998</v>
      </c>
      <c r="I25" s="161">
        <v>89.16</v>
      </c>
      <c r="J25" s="161">
        <v>6.61</v>
      </c>
      <c r="K25" s="161">
        <v>6.61</v>
      </c>
      <c r="L25" s="162">
        <v>0</v>
      </c>
      <c r="M25" s="163">
        <v>0</v>
      </c>
      <c r="N25" s="164">
        <v>0</v>
      </c>
      <c r="O25" s="164">
        <v>0</v>
      </c>
    </row>
    <row r="26" spans="1:15" ht="30" customHeight="1" x14ac:dyDescent="0.35">
      <c r="A26" s="158" t="s">
        <v>932</v>
      </c>
      <c r="B26" s="101">
        <v>871</v>
      </c>
      <c r="C26" s="101">
        <v>1030083931374</v>
      </c>
      <c r="D26" s="159" t="s">
        <v>932</v>
      </c>
      <c r="E26" s="101">
        <v>746</v>
      </c>
      <c r="F26" s="101">
        <v>1030083931142</v>
      </c>
      <c r="G26" s="165" t="s">
        <v>1137</v>
      </c>
      <c r="H26" s="160">
        <v>1.302</v>
      </c>
      <c r="I26" s="161">
        <v>3.39</v>
      </c>
      <c r="J26" s="161">
        <v>4.2699999999999996</v>
      </c>
      <c r="K26" s="161">
        <v>4.2699999999999996</v>
      </c>
      <c r="L26" s="162">
        <v>0</v>
      </c>
      <c r="M26" s="163">
        <v>278.25</v>
      </c>
      <c r="N26" s="164">
        <v>0.05</v>
      </c>
      <c r="O26" s="164">
        <v>0.05</v>
      </c>
    </row>
    <row r="27" spans="1:15" ht="30" customHeight="1" x14ac:dyDescent="0.35">
      <c r="A27" s="158" t="s">
        <v>933</v>
      </c>
      <c r="B27" s="101">
        <v>534</v>
      </c>
      <c r="C27" s="101">
        <v>1050000769039</v>
      </c>
      <c r="D27" s="159" t="s">
        <v>933</v>
      </c>
      <c r="E27" s="101">
        <v>466</v>
      </c>
      <c r="F27" s="101">
        <v>1050000769048</v>
      </c>
      <c r="G27" s="165" t="s">
        <v>1138</v>
      </c>
      <c r="H27" s="160">
        <v>4.1920000000000002</v>
      </c>
      <c r="I27" s="161">
        <v>11.76</v>
      </c>
      <c r="J27" s="161">
        <v>2.87</v>
      </c>
      <c r="K27" s="161">
        <v>2.87</v>
      </c>
      <c r="L27" s="162">
        <v>0</v>
      </c>
      <c r="M27" s="163">
        <v>1117.5899999999999</v>
      </c>
      <c r="N27" s="164">
        <v>0.05</v>
      </c>
      <c r="O27" s="164">
        <v>0.05</v>
      </c>
    </row>
    <row r="28" spans="1:15" ht="30" customHeight="1" x14ac:dyDescent="0.35">
      <c r="A28" s="158" t="s">
        <v>934</v>
      </c>
      <c r="B28" s="101">
        <v>803</v>
      </c>
      <c r="C28" s="101">
        <v>1014572608412</v>
      </c>
      <c r="D28" s="159"/>
      <c r="E28" s="101"/>
      <c r="F28" s="101"/>
      <c r="G28" s="165" t="s">
        <v>1139</v>
      </c>
      <c r="H28" s="160">
        <v>2.91</v>
      </c>
      <c r="I28" s="161">
        <v>965.67</v>
      </c>
      <c r="J28" s="161">
        <v>5.03</v>
      </c>
      <c r="K28" s="161">
        <v>5.03</v>
      </c>
      <c r="L28" s="162">
        <v>0</v>
      </c>
      <c r="M28" s="163">
        <v>0</v>
      </c>
      <c r="N28" s="164">
        <v>0</v>
      </c>
      <c r="O28" s="164">
        <v>0</v>
      </c>
    </row>
    <row r="29" spans="1:15" ht="30" customHeight="1" x14ac:dyDescent="0.35">
      <c r="A29" s="158" t="s">
        <v>935</v>
      </c>
      <c r="B29" s="101">
        <v>506</v>
      </c>
      <c r="C29" s="101">
        <v>1050000774270</v>
      </c>
      <c r="D29" s="159" t="s">
        <v>935</v>
      </c>
      <c r="E29" s="101">
        <v>783</v>
      </c>
      <c r="F29" s="101">
        <v>1050000774289</v>
      </c>
      <c r="G29" s="165" t="s">
        <v>1140</v>
      </c>
      <c r="H29" s="160">
        <v>4.7969999999999997</v>
      </c>
      <c r="I29" s="161">
        <v>5.88</v>
      </c>
      <c r="J29" s="161">
        <v>3.23</v>
      </c>
      <c r="K29" s="161">
        <v>3.23</v>
      </c>
      <c r="L29" s="162">
        <v>0</v>
      </c>
      <c r="M29" s="163">
        <v>952.82</v>
      </c>
      <c r="N29" s="164">
        <v>0.05</v>
      </c>
      <c r="O29" s="164">
        <v>0.05</v>
      </c>
    </row>
    <row r="30" spans="1:15" ht="30" customHeight="1" x14ac:dyDescent="0.35">
      <c r="A30" s="158" t="s">
        <v>936</v>
      </c>
      <c r="B30" s="101">
        <v>804</v>
      </c>
      <c r="C30" s="101">
        <v>1014572578282</v>
      </c>
      <c r="D30" s="159"/>
      <c r="E30" s="101"/>
      <c r="F30" s="101"/>
      <c r="G30" s="165" t="s">
        <v>1141</v>
      </c>
      <c r="H30" s="160">
        <v>0.626</v>
      </c>
      <c r="I30" s="161">
        <v>511.57</v>
      </c>
      <c r="J30" s="161">
        <v>1.64</v>
      </c>
      <c r="K30" s="161">
        <v>1.64</v>
      </c>
      <c r="L30" s="162">
        <v>0</v>
      </c>
      <c r="M30" s="163">
        <v>0</v>
      </c>
      <c r="N30" s="164">
        <v>0</v>
      </c>
      <c r="O30" s="164">
        <v>0</v>
      </c>
    </row>
    <row r="31" spans="1:15" ht="30" customHeight="1" x14ac:dyDescent="0.35">
      <c r="A31" s="158" t="s">
        <v>937</v>
      </c>
      <c r="B31" s="101">
        <v>771</v>
      </c>
      <c r="C31" s="101" t="s">
        <v>1295</v>
      </c>
      <c r="D31" s="159"/>
      <c r="E31" s="101"/>
      <c r="F31" s="101"/>
      <c r="G31" s="165" t="s">
        <v>1142</v>
      </c>
      <c r="H31" s="160">
        <v>2.09</v>
      </c>
      <c r="I31" s="161">
        <v>178.32</v>
      </c>
      <c r="J31" s="161">
        <v>1.93</v>
      </c>
      <c r="K31" s="161">
        <v>1.93</v>
      </c>
      <c r="L31" s="162">
        <v>0</v>
      </c>
      <c r="M31" s="163">
        <v>0</v>
      </c>
      <c r="N31" s="164">
        <v>0</v>
      </c>
      <c r="O31" s="164">
        <v>0</v>
      </c>
    </row>
    <row r="32" spans="1:15" ht="30" customHeight="1" x14ac:dyDescent="0.35">
      <c r="A32" s="158" t="s">
        <v>938</v>
      </c>
      <c r="B32" s="101">
        <v>525</v>
      </c>
      <c r="C32" s="101">
        <v>1050000961956</v>
      </c>
      <c r="D32" s="159" t="s">
        <v>938</v>
      </c>
      <c r="E32" s="101">
        <v>457</v>
      </c>
      <c r="F32" s="101">
        <v>1050000961965</v>
      </c>
      <c r="G32" s="165" t="s">
        <v>1143</v>
      </c>
      <c r="H32" s="160">
        <v>3.597</v>
      </c>
      <c r="I32" s="161">
        <v>43.72</v>
      </c>
      <c r="J32" s="161">
        <v>2.82</v>
      </c>
      <c r="K32" s="161">
        <v>2.82</v>
      </c>
      <c r="L32" s="162">
        <v>0</v>
      </c>
      <c r="M32" s="163">
        <v>2688.79</v>
      </c>
      <c r="N32" s="164">
        <v>0.05</v>
      </c>
      <c r="O32" s="164">
        <v>0.05</v>
      </c>
    </row>
    <row r="33" spans="1:15" ht="51" x14ac:dyDescent="0.35">
      <c r="A33" s="158" t="s">
        <v>939</v>
      </c>
      <c r="B33" s="101">
        <v>821</v>
      </c>
      <c r="C33" s="101" t="s">
        <v>1296</v>
      </c>
      <c r="D33" s="159"/>
      <c r="E33" s="101"/>
      <c r="F33" s="101"/>
      <c r="G33" s="165" t="s">
        <v>1144</v>
      </c>
      <c r="H33" s="160">
        <v>0.03</v>
      </c>
      <c r="I33" s="161">
        <v>228.45</v>
      </c>
      <c r="J33" s="161">
        <v>1.58</v>
      </c>
      <c r="K33" s="161">
        <v>1.58</v>
      </c>
      <c r="L33" s="162">
        <v>0</v>
      </c>
      <c r="M33" s="163">
        <v>0</v>
      </c>
      <c r="N33" s="164">
        <v>0</v>
      </c>
      <c r="O33" s="164">
        <v>0</v>
      </c>
    </row>
    <row r="34" spans="1:15" ht="30" customHeight="1" x14ac:dyDescent="0.35">
      <c r="A34" s="158" t="s">
        <v>940</v>
      </c>
      <c r="B34" s="101">
        <v>872</v>
      </c>
      <c r="C34" s="101">
        <v>1050000521610</v>
      </c>
      <c r="D34" s="159" t="s">
        <v>940</v>
      </c>
      <c r="E34" s="101">
        <v>747</v>
      </c>
      <c r="F34" s="101">
        <v>1030085039971</v>
      </c>
      <c r="G34" s="165" t="s">
        <v>1145</v>
      </c>
      <c r="H34" s="160">
        <v>5.2770000000000001</v>
      </c>
      <c r="I34" s="161">
        <v>11.19</v>
      </c>
      <c r="J34" s="161">
        <v>6.12</v>
      </c>
      <c r="K34" s="161">
        <v>6.12</v>
      </c>
      <c r="L34" s="162">
        <v>0</v>
      </c>
      <c r="M34" s="163">
        <v>2574.65</v>
      </c>
      <c r="N34" s="164">
        <v>0.05</v>
      </c>
      <c r="O34" s="164">
        <v>0.05</v>
      </c>
    </row>
    <row r="35" spans="1:15" ht="30" customHeight="1" x14ac:dyDescent="0.35">
      <c r="A35" s="158" t="s">
        <v>941</v>
      </c>
      <c r="B35" s="101">
        <v>508</v>
      </c>
      <c r="C35" s="101">
        <v>1050000782944</v>
      </c>
      <c r="D35" s="159" t="s">
        <v>941</v>
      </c>
      <c r="E35" s="101">
        <v>785</v>
      </c>
      <c r="F35" s="101">
        <v>1050000773842</v>
      </c>
      <c r="G35" s="165" t="s">
        <v>1146</v>
      </c>
      <c r="H35" s="160">
        <v>0.52100000000000002</v>
      </c>
      <c r="I35" s="161">
        <v>1.27</v>
      </c>
      <c r="J35" s="161">
        <v>3.12</v>
      </c>
      <c r="K35" s="161">
        <v>3.12</v>
      </c>
      <c r="L35" s="162">
        <v>0</v>
      </c>
      <c r="M35" s="163">
        <v>254.51</v>
      </c>
      <c r="N35" s="164">
        <v>0.05</v>
      </c>
      <c r="O35" s="164">
        <v>0.05</v>
      </c>
    </row>
    <row r="36" spans="1:15" ht="30" customHeight="1" x14ac:dyDescent="0.35">
      <c r="A36" s="158" t="s">
        <v>942</v>
      </c>
      <c r="B36" s="101">
        <v>873</v>
      </c>
      <c r="C36" s="101">
        <v>1030083941266</v>
      </c>
      <c r="D36" s="159" t="s">
        <v>942</v>
      </c>
      <c r="E36" s="101">
        <v>735</v>
      </c>
      <c r="F36" s="101">
        <v>1030083941034</v>
      </c>
      <c r="G36" s="165" t="s">
        <v>1147</v>
      </c>
      <c r="H36" s="160">
        <v>0.52100000000000002</v>
      </c>
      <c r="I36" s="161">
        <v>2.82</v>
      </c>
      <c r="J36" s="161">
        <v>2.84</v>
      </c>
      <c r="K36" s="161">
        <v>2.84</v>
      </c>
      <c r="L36" s="162">
        <v>0</v>
      </c>
      <c r="M36" s="163">
        <v>252.96</v>
      </c>
      <c r="N36" s="164">
        <v>0.05</v>
      </c>
      <c r="O36" s="164">
        <v>0.05</v>
      </c>
    </row>
    <row r="37" spans="1:15" ht="30" customHeight="1" x14ac:dyDescent="0.35">
      <c r="A37" s="158" t="s">
        <v>943</v>
      </c>
      <c r="B37" s="101">
        <v>874</v>
      </c>
      <c r="C37" s="101">
        <v>1030083918035</v>
      </c>
      <c r="D37" s="159" t="s">
        <v>943</v>
      </c>
      <c r="E37" s="101">
        <v>748</v>
      </c>
      <c r="F37" s="101">
        <v>1030083917802</v>
      </c>
      <c r="G37" s="165" t="s">
        <v>1148</v>
      </c>
      <c r="H37" s="160">
        <v>0.52100000000000002</v>
      </c>
      <c r="I37" s="161">
        <v>7.24</v>
      </c>
      <c r="J37" s="161">
        <v>2.13</v>
      </c>
      <c r="K37" s="161">
        <v>2.13</v>
      </c>
      <c r="L37" s="162">
        <v>0</v>
      </c>
      <c r="M37" s="163">
        <v>248.54</v>
      </c>
      <c r="N37" s="164">
        <v>0.05</v>
      </c>
      <c r="O37" s="164">
        <v>0.05</v>
      </c>
    </row>
    <row r="38" spans="1:15" ht="30" customHeight="1" x14ac:dyDescent="0.35">
      <c r="A38" s="158" t="s">
        <v>944</v>
      </c>
      <c r="B38" s="101">
        <v>805</v>
      </c>
      <c r="C38" s="101">
        <v>1023485782314</v>
      </c>
      <c r="D38" s="159" t="s">
        <v>944</v>
      </c>
      <c r="E38" s="101">
        <v>700</v>
      </c>
      <c r="F38" s="101">
        <v>1023485782546</v>
      </c>
      <c r="G38" s="165" t="s">
        <v>1149</v>
      </c>
      <c r="H38" s="160">
        <v>1.9319999999999999</v>
      </c>
      <c r="I38" s="161">
        <v>62.7</v>
      </c>
      <c r="J38" s="161">
        <v>1.52</v>
      </c>
      <c r="K38" s="161">
        <v>1.52</v>
      </c>
      <c r="L38" s="162">
        <v>-2.113</v>
      </c>
      <c r="M38" s="163">
        <v>448.87</v>
      </c>
      <c r="N38" s="164">
        <v>0.05</v>
      </c>
      <c r="O38" s="164">
        <v>0.05</v>
      </c>
    </row>
    <row r="39" spans="1:15" ht="30" customHeight="1" x14ac:dyDescent="0.35">
      <c r="A39" s="158" t="s">
        <v>945</v>
      </c>
      <c r="B39" s="101">
        <v>806</v>
      </c>
      <c r="C39" s="101">
        <v>1014568635628</v>
      </c>
      <c r="D39" s="159" t="s">
        <v>945</v>
      </c>
      <c r="E39" s="101">
        <v>719</v>
      </c>
      <c r="F39" s="101">
        <v>1023470427970</v>
      </c>
      <c r="G39" s="165" t="s">
        <v>1149</v>
      </c>
      <c r="H39" s="160">
        <v>0.997</v>
      </c>
      <c r="I39" s="161">
        <v>25.58</v>
      </c>
      <c r="J39" s="161">
        <v>1.39</v>
      </c>
      <c r="K39" s="161">
        <v>1.39</v>
      </c>
      <c r="L39" s="162">
        <v>-0.997</v>
      </c>
      <c r="M39" s="163">
        <v>230.21</v>
      </c>
      <c r="N39" s="164">
        <v>0.05</v>
      </c>
      <c r="O39" s="164">
        <v>0.05</v>
      </c>
    </row>
    <row r="40" spans="1:15" ht="30" customHeight="1" x14ac:dyDescent="0.35">
      <c r="A40" s="158" t="s">
        <v>946</v>
      </c>
      <c r="B40" s="101">
        <v>796</v>
      </c>
      <c r="C40" s="101">
        <v>1050000914910</v>
      </c>
      <c r="D40" s="159" t="s">
        <v>946</v>
      </c>
      <c r="E40" s="101">
        <v>797</v>
      </c>
      <c r="F40" s="101">
        <v>1050000914900</v>
      </c>
      <c r="G40" s="165" t="s">
        <v>1149</v>
      </c>
      <c r="H40" s="160">
        <v>1.9319999999999999</v>
      </c>
      <c r="I40" s="161">
        <v>23.25</v>
      </c>
      <c r="J40" s="161">
        <v>2.63</v>
      </c>
      <c r="K40" s="161">
        <v>2.63</v>
      </c>
      <c r="L40" s="162">
        <v>-2.113</v>
      </c>
      <c r="M40" s="163">
        <v>232.53</v>
      </c>
      <c r="N40" s="164">
        <v>0.05</v>
      </c>
      <c r="O40" s="164">
        <v>0.05</v>
      </c>
    </row>
    <row r="41" spans="1:15" ht="30" customHeight="1" x14ac:dyDescent="0.35">
      <c r="A41" s="158" t="s">
        <v>947</v>
      </c>
      <c r="B41" s="101">
        <v>507</v>
      </c>
      <c r="C41" s="101">
        <v>1050000773851</v>
      </c>
      <c r="D41" s="159" t="s">
        <v>947</v>
      </c>
      <c r="E41" s="101">
        <v>784</v>
      </c>
      <c r="F41" s="101">
        <v>1050000773860</v>
      </c>
      <c r="G41" s="165" t="s">
        <v>1150</v>
      </c>
      <c r="H41" s="160">
        <v>0.93200000000000005</v>
      </c>
      <c r="I41" s="161">
        <v>12.78</v>
      </c>
      <c r="J41" s="161">
        <v>2.16</v>
      </c>
      <c r="K41" s="161">
        <v>2.16</v>
      </c>
      <c r="L41" s="162">
        <v>0</v>
      </c>
      <c r="M41" s="163">
        <v>1533.09</v>
      </c>
      <c r="N41" s="164">
        <v>0.05</v>
      </c>
      <c r="O41" s="164">
        <v>0.05</v>
      </c>
    </row>
    <row r="42" spans="1:15" ht="30" customHeight="1" x14ac:dyDescent="0.35">
      <c r="A42" s="158" t="s">
        <v>948</v>
      </c>
      <c r="B42" s="101">
        <v>771</v>
      </c>
      <c r="C42" s="101" t="s">
        <v>1297</v>
      </c>
      <c r="D42" s="159"/>
      <c r="E42" s="101"/>
      <c r="F42" s="101"/>
      <c r="G42" s="165" t="s">
        <v>1151</v>
      </c>
      <c r="H42" s="160">
        <v>4.8239999999999998</v>
      </c>
      <c r="I42" s="161">
        <v>178.32</v>
      </c>
      <c r="J42" s="161">
        <v>9.1300000000000008</v>
      </c>
      <c r="K42" s="161">
        <v>9.1300000000000008</v>
      </c>
      <c r="L42" s="162">
        <v>0</v>
      </c>
      <c r="M42" s="163">
        <v>0</v>
      </c>
      <c r="N42" s="164">
        <v>0</v>
      </c>
      <c r="O42" s="164">
        <v>0</v>
      </c>
    </row>
    <row r="43" spans="1:15" ht="30" customHeight="1" x14ac:dyDescent="0.35">
      <c r="A43" s="158" t="s">
        <v>949</v>
      </c>
      <c r="B43" s="101">
        <v>796</v>
      </c>
      <c r="C43" s="101">
        <v>1050000729676</v>
      </c>
      <c r="D43" s="159" t="s">
        <v>949</v>
      </c>
      <c r="E43" s="101">
        <v>786</v>
      </c>
      <c r="F43" s="101">
        <v>1050000729667</v>
      </c>
      <c r="G43" s="165" t="s">
        <v>1152</v>
      </c>
      <c r="H43" s="160">
        <v>0.86199999999999999</v>
      </c>
      <c r="I43" s="161">
        <v>2.08</v>
      </c>
      <c r="J43" s="161">
        <v>2.37</v>
      </c>
      <c r="K43" s="161">
        <v>2.37</v>
      </c>
      <c r="L43" s="162">
        <v>0</v>
      </c>
      <c r="M43" s="163">
        <v>519.83000000000004</v>
      </c>
      <c r="N43" s="164">
        <v>0.05</v>
      </c>
      <c r="O43" s="164">
        <v>0.05</v>
      </c>
    </row>
    <row r="44" spans="1:15" ht="30" customHeight="1" x14ac:dyDescent="0.35">
      <c r="A44" s="158" t="s">
        <v>950</v>
      </c>
      <c r="B44" s="101">
        <v>875</v>
      </c>
      <c r="C44" s="101">
        <v>1030082355419</v>
      </c>
      <c r="D44" s="159" t="s">
        <v>950</v>
      </c>
      <c r="E44" s="101">
        <v>749</v>
      </c>
      <c r="F44" s="101">
        <v>1030081926920</v>
      </c>
      <c r="G44" s="165" t="s">
        <v>1153</v>
      </c>
      <c r="H44" s="160">
        <v>0.105</v>
      </c>
      <c r="I44" s="161">
        <v>23.21</v>
      </c>
      <c r="J44" s="161">
        <v>2.4500000000000002</v>
      </c>
      <c r="K44" s="161">
        <v>2.4500000000000002</v>
      </c>
      <c r="L44" s="162">
        <v>0</v>
      </c>
      <c r="M44" s="163">
        <v>1160.6500000000001</v>
      </c>
      <c r="N44" s="164">
        <v>0.05</v>
      </c>
      <c r="O44" s="164">
        <v>0.05</v>
      </c>
    </row>
    <row r="45" spans="1:15" ht="30" customHeight="1" x14ac:dyDescent="0.35">
      <c r="A45" s="158" t="s">
        <v>1343</v>
      </c>
      <c r="B45" s="101">
        <v>876</v>
      </c>
      <c r="C45" s="101">
        <v>1030083806488</v>
      </c>
      <c r="D45" s="159" t="s">
        <v>1343</v>
      </c>
      <c r="E45" s="101">
        <v>750</v>
      </c>
      <c r="F45" s="101">
        <v>1030083806256</v>
      </c>
      <c r="G45" s="165" t="s">
        <v>1155</v>
      </c>
      <c r="H45" s="160">
        <v>0.72199999999999998</v>
      </c>
      <c r="I45" s="161">
        <v>8.18</v>
      </c>
      <c r="J45" s="161">
        <v>3.16</v>
      </c>
      <c r="K45" s="161">
        <v>3.16</v>
      </c>
      <c r="L45" s="162">
        <v>0</v>
      </c>
      <c r="M45" s="163">
        <v>1020.54</v>
      </c>
      <c r="N45" s="164">
        <v>0.05</v>
      </c>
      <c r="O45" s="164">
        <v>0.05</v>
      </c>
    </row>
    <row r="46" spans="1:15" ht="30" customHeight="1" x14ac:dyDescent="0.35">
      <c r="A46" s="158" t="s">
        <v>953</v>
      </c>
      <c r="B46" s="101">
        <v>796</v>
      </c>
      <c r="C46" s="101">
        <v>1050000961983</v>
      </c>
      <c r="D46" s="159" t="s">
        <v>953</v>
      </c>
      <c r="E46" s="101">
        <v>797</v>
      </c>
      <c r="F46" s="101">
        <v>1050000961992</v>
      </c>
      <c r="G46" s="165" t="s">
        <v>1157</v>
      </c>
      <c r="H46" s="160">
        <v>0.29199999999999998</v>
      </c>
      <c r="I46" s="161">
        <v>48.68</v>
      </c>
      <c r="J46" s="161">
        <v>5.49</v>
      </c>
      <c r="K46" s="161">
        <v>5.49</v>
      </c>
      <c r="L46" s="162">
        <v>0</v>
      </c>
      <c r="M46" s="163">
        <v>2531.48</v>
      </c>
      <c r="N46" s="164">
        <v>0.05</v>
      </c>
      <c r="O46" s="164">
        <v>0.05</v>
      </c>
    </row>
    <row r="47" spans="1:15" ht="30" customHeight="1" x14ac:dyDescent="0.35">
      <c r="A47" s="158" t="s">
        <v>952</v>
      </c>
      <c r="B47" s="101">
        <v>796</v>
      </c>
      <c r="C47" s="101">
        <v>1050000948022</v>
      </c>
      <c r="D47" s="159" t="s">
        <v>952</v>
      </c>
      <c r="E47" s="101">
        <v>797</v>
      </c>
      <c r="F47" s="101">
        <v>1050000948031</v>
      </c>
      <c r="G47" s="165" t="s">
        <v>1156</v>
      </c>
      <c r="H47" s="160">
        <v>1.718</v>
      </c>
      <c r="I47" s="161">
        <v>29.89</v>
      </c>
      <c r="J47" s="161">
        <v>3.68</v>
      </c>
      <c r="K47" s="161">
        <v>3.68</v>
      </c>
      <c r="L47" s="162">
        <v>0</v>
      </c>
      <c r="M47" s="163">
        <v>3587.35</v>
      </c>
      <c r="N47" s="164">
        <v>0.05</v>
      </c>
      <c r="O47" s="164">
        <v>0.05</v>
      </c>
    </row>
    <row r="48" spans="1:15" ht="30" customHeight="1" x14ac:dyDescent="0.35">
      <c r="A48" s="158" t="s">
        <v>954</v>
      </c>
      <c r="B48" s="101">
        <v>535</v>
      </c>
      <c r="C48" s="101">
        <v>1050000841917</v>
      </c>
      <c r="D48" s="159" t="s">
        <v>954</v>
      </c>
      <c r="E48" s="101">
        <v>467</v>
      </c>
      <c r="F48" s="101">
        <v>1050000841926</v>
      </c>
      <c r="G48" s="165" t="s">
        <v>1158</v>
      </c>
      <c r="H48" s="160">
        <v>0.121</v>
      </c>
      <c r="I48" s="161">
        <v>6.79</v>
      </c>
      <c r="J48" s="161">
        <v>8.02</v>
      </c>
      <c r="K48" s="161">
        <v>8.02</v>
      </c>
      <c r="L48" s="162">
        <v>0</v>
      </c>
      <c r="M48" s="163">
        <v>339.5</v>
      </c>
      <c r="N48" s="164">
        <v>0.05</v>
      </c>
      <c r="O48" s="164">
        <v>0.05</v>
      </c>
    </row>
    <row r="49" spans="1:15" ht="30" customHeight="1" x14ac:dyDescent="0.35">
      <c r="A49" s="158" t="s">
        <v>951</v>
      </c>
      <c r="B49" s="101">
        <v>771</v>
      </c>
      <c r="C49" s="101" t="s">
        <v>1298</v>
      </c>
      <c r="D49" s="159"/>
      <c r="E49" s="101"/>
      <c r="F49" s="101"/>
      <c r="G49" s="165" t="s">
        <v>1154</v>
      </c>
      <c r="H49" s="160">
        <v>4.266</v>
      </c>
      <c r="I49" s="161">
        <v>178.32</v>
      </c>
      <c r="J49" s="161">
        <v>3.06</v>
      </c>
      <c r="K49" s="161">
        <v>3.06</v>
      </c>
      <c r="L49" s="162">
        <v>0</v>
      </c>
      <c r="M49" s="163">
        <v>0</v>
      </c>
      <c r="N49" s="164">
        <v>0</v>
      </c>
      <c r="O49" s="164">
        <v>0</v>
      </c>
    </row>
    <row r="50" spans="1:15" ht="30" customHeight="1" x14ac:dyDescent="0.35">
      <c r="A50" s="158" t="s">
        <v>955</v>
      </c>
      <c r="B50" s="101">
        <v>808</v>
      </c>
      <c r="C50" s="101">
        <v>1030017556367</v>
      </c>
      <c r="D50" s="159"/>
      <c r="E50" s="101"/>
      <c r="F50" s="101"/>
      <c r="G50" s="165" t="s">
        <v>1159</v>
      </c>
      <c r="H50" s="160">
        <v>0.622</v>
      </c>
      <c r="I50" s="161">
        <v>25.02</v>
      </c>
      <c r="J50" s="161">
        <v>2.95</v>
      </c>
      <c r="K50" s="161">
        <v>2.95</v>
      </c>
      <c r="L50" s="162">
        <v>0</v>
      </c>
      <c r="M50" s="163">
        <v>0</v>
      </c>
      <c r="N50" s="164">
        <v>0</v>
      </c>
      <c r="O50" s="164">
        <v>0</v>
      </c>
    </row>
    <row r="51" spans="1:15" ht="30" customHeight="1" x14ac:dyDescent="0.35">
      <c r="A51" s="158" t="s">
        <v>956</v>
      </c>
      <c r="B51" s="101">
        <v>509</v>
      </c>
      <c r="C51" s="101">
        <v>1050000808859</v>
      </c>
      <c r="D51" s="159" t="s">
        <v>956</v>
      </c>
      <c r="E51" s="101">
        <v>787</v>
      </c>
      <c r="F51" s="101">
        <v>1050000808868</v>
      </c>
      <c r="G51" s="165" t="s">
        <v>1160</v>
      </c>
      <c r="H51" s="160">
        <v>0.104</v>
      </c>
      <c r="I51" s="161">
        <v>1.68</v>
      </c>
      <c r="J51" s="161">
        <v>1.92</v>
      </c>
      <c r="K51" s="161">
        <v>1.92</v>
      </c>
      <c r="L51" s="162">
        <v>0</v>
      </c>
      <c r="M51" s="163">
        <v>897.75</v>
      </c>
      <c r="N51" s="164">
        <v>0.05</v>
      </c>
      <c r="O51" s="164">
        <v>0.05</v>
      </c>
    </row>
    <row r="52" spans="1:15" ht="30" customHeight="1" x14ac:dyDescent="0.35">
      <c r="A52" s="158" t="s">
        <v>957</v>
      </c>
      <c r="B52" s="101">
        <v>835</v>
      </c>
      <c r="C52" s="101">
        <v>1030079565056</v>
      </c>
      <c r="D52" s="159" t="s">
        <v>957</v>
      </c>
      <c r="E52" s="101">
        <v>736</v>
      </c>
      <c r="F52" s="101">
        <v>1030079564823</v>
      </c>
      <c r="G52" s="165" t="s">
        <v>1161</v>
      </c>
      <c r="H52" s="160">
        <v>0.129</v>
      </c>
      <c r="I52" s="161">
        <v>11.49</v>
      </c>
      <c r="J52" s="161">
        <v>2.15</v>
      </c>
      <c r="K52" s="161">
        <v>2.15</v>
      </c>
      <c r="L52" s="162">
        <v>0</v>
      </c>
      <c r="M52" s="163">
        <v>942.44</v>
      </c>
      <c r="N52" s="164">
        <v>0.05</v>
      </c>
      <c r="O52" s="164">
        <v>0.05</v>
      </c>
    </row>
    <row r="53" spans="1:15" ht="30" customHeight="1" x14ac:dyDescent="0.35">
      <c r="A53" s="158" t="s">
        <v>958</v>
      </c>
      <c r="B53" s="101">
        <v>878</v>
      </c>
      <c r="C53" s="101">
        <v>1050000612950</v>
      </c>
      <c r="D53" s="159" t="s">
        <v>958</v>
      </c>
      <c r="E53" s="101">
        <v>752</v>
      </c>
      <c r="F53" s="101">
        <v>1050000612940</v>
      </c>
      <c r="G53" s="165" t="s">
        <v>1162</v>
      </c>
      <c r="H53" s="160">
        <v>1.97</v>
      </c>
      <c r="I53" s="161">
        <v>7.68</v>
      </c>
      <c r="J53" s="161">
        <v>4.34</v>
      </c>
      <c r="K53" s="161">
        <v>4.34</v>
      </c>
      <c r="L53" s="162">
        <v>0</v>
      </c>
      <c r="M53" s="163">
        <v>1383.04</v>
      </c>
      <c r="N53" s="164">
        <v>0.05</v>
      </c>
      <c r="O53" s="164">
        <v>0.05</v>
      </c>
    </row>
    <row r="54" spans="1:15" ht="30" customHeight="1" x14ac:dyDescent="0.35">
      <c r="A54" s="158" t="s">
        <v>959</v>
      </c>
      <c r="B54" s="101">
        <v>771</v>
      </c>
      <c r="C54" s="101" t="s">
        <v>1299</v>
      </c>
      <c r="D54" s="159"/>
      <c r="E54" s="101"/>
      <c r="F54" s="101"/>
      <c r="G54" s="165" t="s">
        <v>1163</v>
      </c>
      <c r="H54" s="160">
        <v>1.552</v>
      </c>
      <c r="I54" s="161">
        <v>6509.85</v>
      </c>
      <c r="J54" s="161">
        <v>1.69</v>
      </c>
      <c r="K54" s="161">
        <v>1.69</v>
      </c>
      <c r="L54" s="162">
        <v>0</v>
      </c>
      <c r="M54" s="163">
        <v>0</v>
      </c>
      <c r="N54" s="164">
        <v>0</v>
      </c>
      <c r="O54" s="164">
        <v>0</v>
      </c>
    </row>
    <row r="55" spans="1:15" ht="30" customHeight="1" x14ac:dyDescent="0.35">
      <c r="A55" s="158" t="s">
        <v>960</v>
      </c>
      <c r="B55" s="101">
        <v>809</v>
      </c>
      <c r="C55" s="101">
        <v>1014572509517</v>
      </c>
      <c r="D55" s="159"/>
      <c r="E55" s="101"/>
      <c r="F55" s="101"/>
      <c r="G55" s="165" t="s">
        <v>1353</v>
      </c>
      <c r="H55" s="160">
        <v>9.2999999999999999E-2</v>
      </c>
      <c r="I55" s="161">
        <v>7705.09</v>
      </c>
      <c r="J55" s="161">
        <v>1.35</v>
      </c>
      <c r="K55" s="161">
        <v>1.35</v>
      </c>
      <c r="L55" s="162">
        <v>0</v>
      </c>
      <c r="M55" s="163">
        <v>0</v>
      </c>
      <c r="N55" s="164">
        <v>0</v>
      </c>
      <c r="O55" s="164">
        <v>0</v>
      </c>
    </row>
    <row r="56" spans="1:15" ht="30" customHeight="1" x14ac:dyDescent="0.35">
      <c r="A56" s="158" t="s">
        <v>961</v>
      </c>
      <c r="B56" s="101">
        <v>879</v>
      </c>
      <c r="C56" s="101">
        <v>1050000581432</v>
      </c>
      <c r="D56" s="159" t="s">
        <v>961</v>
      </c>
      <c r="E56" s="101">
        <v>753</v>
      </c>
      <c r="F56" s="101">
        <v>1050000581441</v>
      </c>
      <c r="G56" s="165" t="s">
        <v>1164</v>
      </c>
      <c r="H56" s="160">
        <v>0</v>
      </c>
      <c r="I56" s="161">
        <v>5.3</v>
      </c>
      <c r="J56" s="161">
        <v>2.23</v>
      </c>
      <c r="K56" s="161">
        <v>2.23</v>
      </c>
      <c r="L56" s="162">
        <v>0</v>
      </c>
      <c r="M56" s="163">
        <v>529.54999999999995</v>
      </c>
      <c r="N56" s="164">
        <v>0.05</v>
      </c>
      <c r="O56" s="164">
        <v>0.05</v>
      </c>
    </row>
    <row r="57" spans="1:15" ht="30" customHeight="1" x14ac:dyDescent="0.35">
      <c r="A57" s="158" t="s">
        <v>962</v>
      </c>
      <c r="B57" s="101">
        <v>877</v>
      </c>
      <c r="C57" s="101">
        <v>1050000609423</v>
      </c>
      <c r="D57" s="159" t="s">
        <v>962</v>
      </c>
      <c r="E57" s="101">
        <v>751</v>
      </c>
      <c r="F57" s="101">
        <v>1050000609380</v>
      </c>
      <c r="G57" s="165" t="s">
        <v>1165</v>
      </c>
      <c r="H57" s="160">
        <v>3.9830000000000001</v>
      </c>
      <c r="I57" s="161">
        <v>1.87</v>
      </c>
      <c r="J57" s="161">
        <v>8.2200000000000006</v>
      </c>
      <c r="K57" s="161">
        <v>8.2200000000000006</v>
      </c>
      <c r="L57" s="162">
        <v>0</v>
      </c>
      <c r="M57" s="163">
        <v>561.41</v>
      </c>
      <c r="N57" s="164">
        <v>0.05</v>
      </c>
      <c r="O57" s="164">
        <v>0.05</v>
      </c>
    </row>
    <row r="58" spans="1:15" ht="30" customHeight="1" x14ac:dyDescent="0.35">
      <c r="A58" s="158" t="s">
        <v>966</v>
      </c>
      <c r="B58" s="101">
        <v>841</v>
      </c>
      <c r="C58" s="101">
        <v>1030081316739</v>
      </c>
      <c r="D58" s="159" t="s">
        <v>966</v>
      </c>
      <c r="E58" s="101">
        <v>737</v>
      </c>
      <c r="F58" s="101">
        <v>1030081316960</v>
      </c>
      <c r="G58" s="165" t="s">
        <v>1171</v>
      </c>
      <c r="H58" s="160">
        <v>4.0549999999999997</v>
      </c>
      <c r="I58" s="161">
        <v>3.56</v>
      </c>
      <c r="J58" s="161">
        <v>2.0299999999999998</v>
      </c>
      <c r="K58" s="161">
        <v>2.0299999999999998</v>
      </c>
      <c r="L58" s="162">
        <v>0</v>
      </c>
      <c r="M58" s="163">
        <v>355.66</v>
      </c>
      <c r="N58" s="164">
        <v>0.05</v>
      </c>
      <c r="O58" s="164">
        <v>0.05</v>
      </c>
    </row>
    <row r="59" spans="1:15" ht="30" customHeight="1" x14ac:dyDescent="0.35">
      <c r="A59" s="158" t="s">
        <v>967</v>
      </c>
      <c r="B59" s="101">
        <v>887</v>
      </c>
      <c r="C59" s="101">
        <v>1050000609441</v>
      </c>
      <c r="D59" s="159" t="s">
        <v>967</v>
      </c>
      <c r="E59" s="101">
        <v>761</v>
      </c>
      <c r="F59" s="101">
        <v>1050000563595</v>
      </c>
      <c r="G59" s="165" t="s">
        <v>1172</v>
      </c>
      <c r="H59" s="160">
        <v>4.7E-2</v>
      </c>
      <c r="I59" s="161">
        <v>1.44</v>
      </c>
      <c r="J59" s="161">
        <v>7.71</v>
      </c>
      <c r="K59" s="161">
        <v>7.71</v>
      </c>
      <c r="L59" s="162">
        <v>0</v>
      </c>
      <c r="M59" s="163">
        <v>275.02999999999997</v>
      </c>
      <c r="N59" s="164">
        <v>0.05</v>
      </c>
      <c r="O59" s="164">
        <v>0.05</v>
      </c>
    </row>
    <row r="60" spans="1:15" ht="65.099999999999994" customHeight="1" x14ac:dyDescent="0.35">
      <c r="A60" s="158" t="s">
        <v>968</v>
      </c>
      <c r="B60" s="101">
        <v>810</v>
      </c>
      <c r="C60" s="101" t="s">
        <v>1300</v>
      </c>
      <c r="D60" s="159"/>
      <c r="E60" s="101"/>
      <c r="F60" s="101"/>
      <c r="G60" s="165" t="s">
        <v>1173</v>
      </c>
      <c r="H60" s="160">
        <v>5.8000000000000003E-2</v>
      </c>
      <c r="I60" s="161">
        <v>7.31</v>
      </c>
      <c r="J60" s="161">
        <v>1.65</v>
      </c>
      <c r="K60" s="161">
        <v>1.65</v>
      </c>
      <c r="L60" s="162">
        <v>0</v>
      </c>
      <c r="M60" s="163">
        <v>0</v>
      </c>
      <c r="N60" s="164">
        <v>0</v>
      </c>
      <c r="O60" s="164">
        <v>0</v>
      </c>
    </row>
    <row r="61" spans="1:15" ht="30" customHeight="1" x14ac:dyDescent="0.35">
      <c r="A61" s="158" t="s">
        <v>969</v>
      </c>
      <c r="B61" s="101">
        <v>811</v>
      </c>
      <c r="C61" s="101">
        <v>1030020271288</v>
      </c>
      <c r="D61" s="159"/>
      <c r="E61" s="101"/>
      <c r="F61" s="101"/>
      <c r="G61" s="165" t="s">
        <v>1173</v>
      </c>
      <c r="H61" s="160">
        <v>0.90400000000000003</v>
      </c>
      <c r="I61" s="161">
        <v>22.89</v>
      </c>
      <c r="J61" s="161">
        <v>1.63</v>
      </c>
      <c r="K61" s="161">
        <v>1.63</v>
      </c>
      <c r="L61" s="162">
        <v>0</v>
      </c>
      <c r="M61" s="163">
        <v>0</v>
      </c>
      <c r="N61" s="164">
        <v>0</v>
      </c>
      <c r="O61" s="164">
        <v>0</v>
      </c>
    </row>
    <row r="62" spans="1:15" ht="30" customHeight="1" x14ac:dyDescent="0.35">
      <c r="A62" s="158" t="s">
        <v>970</v>
      </c>
      <c r="B62" s="101">
        <v>880</v>
      </c>
      <c r="C62" s="101">
        <v>1050000567483</v>
      </c>
      <c r="D62" s="159" t="s">
        <v>970</v>
      </c>
      <c r="E62" s="101">
        <v>754</v>
      </c>
      <c r="F62" s="101">
        <v>1050000567492</v>
      </c>
      <c r="G62" s="165" t="s">
        <v>1174</v>
      </c>
      <c r="H62" s="160">
        <v>1.7270000000000001</v>
      </c>
      <c r="I62" s="161">
        <v>5.07</v>
      </c>
      <c r="J62" s="161">
        <v>3.42</v>
      </c>
      <c r="K62" s="161">
        <v>3.42</v>
      </c>
      <c r="L62" s="162">
        <v>0</v>
      </c>
      <c r="M62" s="163">
        <v>537.53</v>
      </c>
      <c r="N62" s="164">
        <v>0.05</v>
      </c>
      <c r="O62" s="164">
        <v>0.05</v>
      </c>
    </row>
    <row r="63" spans="1:15" ht="30" customHeight="1" x14ac:dyDescent="0.35">
      <c r="A63" s="158" t="s">
        <v>971</v>
      </c>
      <c r="B63" s="101">
        <v>881</v>
      </c>
      <c r="C63" s="101">
        <v>1050000612880</v>
      </c>
      <c r="D63" s="159" t="s">
        <v>971</v>
      </c>
      <c r="E63" s="101">
        <v>755</v>
      </c>
      <c r="F63" s="101">
        <v>1050000612870</v>
      </c>
      <c r="G63" s="165" t="s">
        <v>1175</v>
      </c>
      <c r="H63" s="160">
        <v>0.51</v>
      </c>
      <c r="I63" s="161">
        <v>4.68</v>
      </c>
      <c r="J63" s="161">
        <v>3.15</v>
      </c>
      <c r="K63" s="161">
        <v>3.15</v>
      </c>
      <c r="L63" s="162">
        <v>0</v>
      </c>
      <c r="M63" s="163">
        <v>1075.75</v>
      </c>
      <c r="N63" s="164">
        <v>0.05</v>
      </c>
      <c r="O63" s="164">
        <v>0.05</v>
      </c>
    </row>
    <row r="64" spans="1:15" ht="30" customHeight="1" x14ac:dyDescent="0.35">
      <c r="A64" s="158" t="s">
        <v>972</v>
      </c>
      <c r="B64" s="101">
        <v>796</v>
      </c>
      <c r="C64" s="101">
        <v>1050000923668</v>
      </c>
      <c r="D64" s="159" t="s">
        <v>972</v>
      </c>
      <c r="E64" s="101">
        <v>797</v>
      </c>
      <c r="F64" s="101">
        <v>1050000923677</v>
      </c>
      <c r="G64" s="165" t="s">
        <v>1176</v>
      </c>
      <c r="H64" s="160">
        <v>0.308</v>
      </c>
      <c r="I64" s="161">
        <v>15.85</v>
      </c>
      <c r="J64" s="161">
        <v>5.62</v>
      </c>
      <c r="K64" s="161">
        <v>5.62</v>
      </c>
      <c r="L64" s="162">
        <v>0</v>
      </c>
      <c r="M64" s="163">
        <v>950.81</v>
      </c>
      <c r="N64" s="164">
        <v>0.05</v>
      </c>
      <c r="O64" s="164">
        <v>0.05</v>
      </c>
    </row>
    <row r="65" spans="1:15" ht="30" customHeight="1" x14ac:dyDescent="0.35">
      <c r="A65" s="158" t="s">
        <v>973</v>
      </c>
      <c r="B65" s="101">
        <v>813</v>
      </c>
      <c r="C65" s="101" t="s">
        <v>1301</v>
      </c>
      <c r="D65" s="159"/>
      <c r="E65" s="101"/>
      <c r="F65" s="101"/>
      <c r="G65" s="165" t="s">
        <v>1177</v>
      </c>
      <c r="H65" s="160">
        <v>4.5999999999999999E-2</v>
      </c>
      <c r="I65" s="161">
        <v>511.57</v>
      </c>
      <c r="J65" s="161">
        <v>1.88</v>
      </c>
      <c r="K65" s="161">
        <v>1.88</v>
      </c>
      <c r="L65" s="162">
        <v>0</v>
      </c>
      <c r="M65" s="163">
        <v>0</v>
      </c>
      <c r="N65" s="164">
        <v>0</v>
      </c>
      <c r="O65" s="164">
        <v>0</v>
      </c>
    </row>
    <row r="66" spans="1:15" ht="30" customHeight="1" x14ac:dyDescent="0.35">
      <c r="A66" s="158" t="s">
        <v>974</v>
      </c>
      <c r="B66" s="101">
        <v>812</v>
      </c>
      <c r="C66" s="101">
        <v>1023494988750</v>
      </c>
      <c r="D66" s="159" t="s">
        <v>974</v>
      </c>
      <c r="E66" s="101">
        <v>705</v>
      </c>
      <c r="F66" s="101">
        <v>1023503165023</v>
      </c>
      <c r="G66" s="165" t="s">
        <v>1178</v>
      </c>
      <c r="H66" s="160">
        <v>1.4239999999999999</v>
      </c>
      <c r="I66" s="161">
        <v>253.68</v>
      </c>
      <c r="J66" s="161">
        <v>1.41</v>
      </c>
      <c r="K66" s="161">
        <v>1.41</v>
      </c>
      <c r="L66" s="162">
        <v>-1.4239999999999999</v>
      </c>
      <c r="M66" s="163">
        <v>1927.94</v>
      </c>
      <c r="N66" s="164">
        <v>0.05</v>
      </c>
      <c r="O66" s="164">
        <v>0.05</v>
      </c>
    </row>
    <row r="67" spans="1:15" ht="30" customHeight="1" x14ac:dyDescent="0.35">
      <c r="A67" s="158" t="s">
        <v>975</v>
      </c>
      <c r="B67" s="101">
        <v>771</v>
      </c>
      <c r="C67" s="101" t="s">
        <v>1302</v>
      </c>
      <c r="D67" s="159" t="s">
        <v>975</v>
      </c>
      <c r="E67" s="101">
        <v>792</v>
      </c>
      <c r="F67" s="101" t="s">
        <v>1340</v>
      </c>
      <c r="G67" s="165" t="s">
        <v>1179</v>
      </c>
      <c r="H67" s="160">
        <v>6.73</v>
      </c>
      <c r="I67" s="161">
        <v>166.43</v>
      </c>
      <c r="J67" s="161">
        <v>2.99</v>
      </c>
      <c r="K67" s="161">
        <v>2.99</v>
      </c>
      <c r="L67" s="162">
        <v>-6.7370000000000001</v>
      </c>
      <c r="M67" s="163">
        <v>11.89</v>
      </c>
      <c r="N67" s="164">
        <v>0.05</v>
      </c>
      <c r="O67" s="164">
        <v>0.05</v>
      </c>
    </row>
    <row r="68" spans="1:15" ht="30" customHeight="1" x14ac:dyDescent="0.35">
      <c r="A68" s="158" t="s">
        <v>976</v>
      </c>
      <c r="B68" s="101">
        <v>771</v>
      </c>
      <c r="C68" s="101">
        <v>1014572713989</v>
      </c>
      <c r="D68" s="159"/>
      <c r="E68" s="101"/>
      <c r="F68" s="101"/>
      <c r="G68" s="165" t="s">
        <v>1180</v>
      </c>
      <c r="H68" s="160">
        <v>5.6829999999999998</v>
      </c>
      <c r="I68" s="161">
        <v>2199.9299999999998</v>
      </c>
      <c r="J68" s="161">
        <v>5.72</v>
      </c>
      <c r="K68" s="161">
        <v>5.72</v>
      </c>
      <c r="L68" s="162">
        <v>0</v>
      </c>
      <c r="M68" s="163">
        <v>0</v>
      </c>
      <c r="N68" s="164">
        <v>0</v>
      </c>
      <c r="O68" s="164">
        <v>0</v>
      </c>
    </row>
    <row r="69" spans="1:15" ht="30" customHeight="1" x14ac:dyDescent="0.35">
      <c r="A69" s="158" t="s">
        <v>977</v>
      </c>
      <c r="B69" s="101">
        <v>882</v>
      </c>
      <c r="C69" s="101">
        <v>1050000628160</v>
      </c>
      <c r="D69" s="159" t="s">
        <v>977</v>
      </c>
      <c r="E69" s="101">
        <v>797</v>
      </c>
      <c r="F69" s="101">
        <v>1050000628170</v>
      </c>
      <c r="G69" s="165" t="s">
        <v>1181</v>
      </c>
      <c r="H69" s="160">
        <v>3.4079999999999999</v>
      </c>
      <c r="I69" s="161">
        <v>40.229999999999997</v>
      </c>
      <c r="J69" s="161">
        <v>2.4300000000000002</v>
      </c>
      <c r="K69" s="161">
        <v>2.4300000000000002</v>
      </c>
      <c r="L69" s="162">
        <v>0</v>
      </c>
      <c r="M69" s="163">
        <v>965.42</v>
      </c>
      <c r="N69" s="164">
        <v>0.05</v>
      </c>
      <c r="O69" s="164">
        <v>0.05</v>
      </c>
    </row>
    <row r="70" spans="1:15" ht="30" customHeight="1" x14ac:dyDescent="0.35">
      <c r="A70" s="158" t="s">
        <v>978</v>
      </c>
      <c r="B70" s="101">
        <v>510</v>
      </c>
      <c r="C70" s="101">
        <v>1050000784384</v>
      </c>
      <c r="D70" s="159" t="s">
        <v>978</v>
      </c>
      <c r="E70" s="101">
        <v>788</v>
      </c>
      <c r="F70" s="101">
        <v>1050000784393</v>
      </c>
      <c r="G70" s="165" t="s">
        <v>1182</v>
      </c>
      <c r="H70" s="160">
        <v>2.9000000000000001E-2</v>
      </c>
      <c r="I70" s="161">
        <v>10.71</v>
      </c>
      <c r="J70" s="161">
        <v>2.06</v>
      </c>
      <c r="K70" s="161">
        <v>2.06</v>
      </c>
      <c r="L70" s="162">
        <v>0</v>
      </c>
      <c r="M70" s="163">
        <v>2569.4499999999998</v>
      </c>
      <c r="N70" s="164">
        <v>0.05</v>
      </c>
      <c r="O70" s="164">
        <v>0.05</v>
      </c>
    </row>
    <row r="71" spans="1:15" ht="30" customHeight="1" x14ac:dyDescent="0.35">
      <c r="A71" s="158" t="s">
        <v>979</v>
      </c>
      <c r="B71" s="101">
        <v>883</v>
      </c>
      <c r="C71" s="101">
        <v>1030085019966</v>
      </c>
      <c r="D71" s="159" t="s">
        <v>979</v>
      </c>
      <c r="E71" s="101">
        <v>757</v>
      </c>
      <c r="F71" s="101">
        <v>1030085020190</v>
      </c>
      <c r="G71" s="165" t="s">
        <v>1183</v>
      </c>
      <c r="H71" s="160">
        <v>2.2280000000000002</v>
      </c>
      <c r="I71" s="161">
        <v>9.14</v>
      </c>
      <c r="J71" s="161">
        <v>1.96</v>
      </c>
      <c r="K71" s="161">
        <v>1.96</v>
      </c>
      <c r="L71" s="162">
        <v>0</v>
      </c>
      <c r="M71" s="163">
        <v>621.58000000000004</v>
      </c>
      <c r="N71" s="164">
        <v>0.05</v>
      </c>
      <c r="O71" s="164">
        <v>0.05</v>
      </c>
    </row>
    <row r="72" spans="1:15" ht="30" customHeight="1" x14ac:dyDescent="0.35">
      <c r="A72" s="158" t="s">
        <v>980</v>
      </c>
      <c r="B72" s="101">
        <v>817</v>
      </c>
      <c r="C72" s="101">
        <v>1023507304338</v>
      </c>
      <c r="D72" s="159" t="s">
        <v>980</v>
      </c>
      <c r="E72" s="101">
        <v>718</v>
      </c>
      <c r="F72" s="101">
        <v>1023507304560</v>
      </c>
      <c r="G72" s="165" t="s">
        <v>1184</v>
      </c>
      <c r="H72" s="160">
        <v>3.73</v>
      </c>
      <c r="I72" s="161">
        <v>72.260000000000005</v>
      </c>
      <c r="J72" s="161">
        <v>3.16</v>
      </c>
      <c r="K72" s="161">
        <v>3.16</v>
      </c>
      <c r="L72" s="162">
        <v>-5.9939999999999998</v>
      </c>
      <c r="M72" s="163">
        <v>695.1</v>
      </c>
      <c r="N72" s="164">
        <v>0.05</v>
      </c>
      <c r="O72" s="164">
        <v>0.05</v>
      </c>
    </row>
    <row r="73" spans="1:15" ht="30" customHeight="1" x14ac:dyDescent="0.35">
      <c r="A73" s="158" t="s">
        <v>981</v>
      </c>
      <c r="B73" s="101">
        <v>511</v>
      </c>
      <c r="C73" s="101">
        <v>1050000774163</v>
      </c>
      <c r="D73" s="159" t="s">
        <v>981</v>
      </c>
      <c r="E73" s="101">
        <v>789</v>
      </c>
      <c r="F73" s="101">
        <v>1050000774172</v>
      </c>
      <c r="G73" s="165" t="s">
        <v>1185</v>
      </c>
      <c r="H73" s="160">
        <v>1.345</v>
      </c>
      <c r="I73" s="161">
        <v>34.51</v>
      </c>
      <c r="J73" s="161">
        <v>1.44</v>
      </c>
      <c r="K73" s="161">
        <v>1.44</v>
      </c>
      <c r="L73" s="162">
        <v>0</v>
      </c>
      <c r="M73" s="163">
        <v>3450.66</v>
      </c>
      <c r="N73" s="164">
        <v>0.05</v>
      </c>
      <c r="O73" s="164">
        <v>0.05</v>
      </c>
    </row>
    <row r="74" spans="1:15" ht="30" customHeight="1" x14ac:dyDescent="0.35">
      <c r="A74" s="158" t="s">
        <v>982</v>
      </c>
      <c r="B74" s="101">
        <v>816</v>
      </c>
      <c r="C74" s="101">
        <v>1023479132092</v>
      </c>
      <c r="D74" s="159" t="s">
        <v>982</v>
      </c>
      <c r="E74" s="101">
        <v>707</v>
      </c>
      <c r="F74" s="101">
        <v>1023479132320</v>
      </c>
      <c r="G74" s="165" t="s">
        <v>1186</v>
      </c>
      <c r="H74" s="160">
        <v>2.2280000000000002</v>
      </c>
      <c r="I74" s="161">
        <v>17.670000000000002</v>
      </c>
      <c r="J74" s="161">
        <v>1.92</v>
      </c>
      <c r="K74" s="161">
        <v>1.92</v>
      </c>
      <c r="L74" s="162">
        <v>-2.8719999999999999</v>
      </c>
      <c r="M74" s="163">
        <v>300.39</v>
      </c>
      <c r="N74" s="164">
        <v>0.05</v>
      </c>
      <c r="O74" s="164">
        <v>0.05</v>
      </c>
    </row>
    <row r="75" spans="1:15" ht="30" customHeight="1" x14ac:dyDescent="0.35">
      <c r="A75" s="158" t="s">
        <v>983</v>
      </c>
      <c r="B75" s="101">
        <v>512</v>
      </c>
      <c r="C75" s="101">
        <v>1050000822463</v>
      </c>
      <c r="D75" s="159" t="s">
        <v>983</v>
      </c>
      <c r="E75" s="101">
        <v>790</v>
      </c>
      <c r="F75" s="101">
        <v>1050000822472</v>
      </c>
      <c r="G75" s="165" t="s">
        <v>1187</v>
      </c>
      <c r="H75" s="160">
        <v>6.0330000000000004</v>
      </c>
      <c r="I75" s="161">
        <v>7.5</v>
      </c>
      <c r="J75" s="161">
        <v>3.58</v>
      </c>
      <c r="K75" s="161">
        <v>3.58</v>
      </c>
      <c r="L75" s="162">
        <v>0</v>
      </c>
      <c r="M75" s="163">
        <v>1124.6500000000001</v>
      </c>
      <c r="N75" s="164">
        <v>0.05</v>
      </c>
      <c r="O75" s="164">
        <v>0.05</v>
      </c>
    </row>
    <row r="76" spans="1:15" ht="30" customHeight="1" x14ac:dyDescent="0.35">
      <c r="A76" s="158" t="s">
        <v>984</v>
      </c>
      <c r="B76" s="101">
        <v>818</v>
      </c>
      <c r="C76" s="101">
        <v>1015684515819</v>
      </c>
      <c r="D76" s="159"/>
      <c r="E76" s="101"/>
      <c r="F76" s="101"/>
      <c r="G76" s="165" t="s">
        <v>1188</v>
      </c>
      <c r="H76" s="160">
        <v>0</v>
      </c>
      <c r="I76" s="161">
        <v>23686.5</v>
      </c>
      <c r="J76" s="161">
        <v>2.08</v>
      </c>
      <c r="K76" s="161">
        <v>2.08</v>
      </c>
      <c r="L76" s="162">
        <v>0</v>
      </c>
      <c r="M76" s="163">
        <v>0</v>
      </c>
      <c r="N76" s="164">
        <v>0</v>
      </c>
      <c r="O76" s="164">
        <v>0</v>
      </c>
    </row>
    <row r="77" spans="1:15" ht="30" customHeight="1" x14ac:dyDescent="0.35">
      <c r="A77" s="158" t="s">
        <v>985</v>
      </c>
      <c r="B77" s="101">
        <v>771</v>
      </c>
      <c r="C77" s="101">
        <v>1014572810813</v>
      </c>
      <c r="D77" s="159"/>
      <c r="E77" s="101"/>
      <c r="F77" s="101"/>
      <c r="G77" s="165" t="s">
        <v>1188</v>
      </c>
      <c r="H77" s="160">
        <v>0.215</v>
      </c>
      <c r="I77" s="161">
        <v>178.32</v>
      </c>
      <c r="J77" s="161">
        <v>3.72</v>
      </c>
      <c r="K77" s="161">
        <v>3.72</v>
      </c>
      <c r="L77" s="162">
        <v>0</v>
      </c>
      <c r="M77" s="163">
        <v>0</v>
      </c>
      <c r="N77" s="164">
        <v>0</v>
      </c>
      <c r="O77" s="164">
        <v>0</v>
      </c>
    </row>
    <row r="78" spans="1:15" ht="50.1" customHeight="1" x14ac:dyDescent="0.35">
      <c r="A78" s="158" t="s">
        <v>986</v>
      </c>
      <c r="B78" s="101">
        <v>771</v>
      </c>
      <c r="C78" s="101" t="s">
        <v>1303</v>
      </c>
      <c r="D78" s="159"/>
      <c r="E78" s="101"/>
      <c r="F78" s="101"/>
      <c r="G78" s="165" t="s">
        <v>1189</v>
      </c>
      <c r="H78" s="160">
        <v>2.6339999999999999</v>
      </c>
      <c r="I78" s="161">
        <v>267.48</v>
      </c>
      <c r="J78" s="161">
        <v>3.37</v>
      </c>
      <c r="K78" s="161">
        <v>3.37</v>
      </c>
      <c r="L78" s="162">
        <v>0</v>
      </c>
      <c r="M78" s="163">
        <v>0</v>
      </c>
      <c r="N78" s="164">
        <v>0</v>
      </c>
      <c r="O78" s="164">
        <v>0</v>
      </c>
    </row>
    <row r="79" spans="1:15" ht="30" customHeight="1" x14ac:dyDescent="0.35">
      <c r="A79" s="158" t="s">
        <v>987</v>
      </c>
      <c r="B79" s="101">
        <v>513</v>
      </c>
      <c r="C79" s="101">
        <v>1050000709721</v>
      </c>
      <c r="D79" s="159" t="s">
        <v>987</v>
      </c>
      <c r="E79" s="101">
        <v>766</v>
      </c>
      <c r="F79" s="101">
        <v>1050000709730</v>
      </c>
      <c r="G79" s="165" t="s">
        <v>1190</v>
      </c>
      <c r="H79" s="160">
        <v>0.107</v>
      </c>
      <c r="I79" s="161">
        <v>3.04</v>
      </c>
      <c r="J79" s="161">
        <v>2.0099999999999998</v>
      </c>
      <c r="K79" s="161">
        <v>2.0099999999999998</v>
      </c>
      <c r="L79" s="162">
        <v>0</v>
      </c>
      <c r="M79" s="163">
        <v>304.45</v>
      </c>
      <c r="N79" s="164">
        <v>0.05</v>
      </c>
      <c r="O79" s="164">
        <v>0.05</v>
      </c>
    </row>
    <row r="80" spans="1:15" ht="30" customHeight="1" x14ac:dyDescent="0.35">
      <c r="A80" s="158" t="s">
        <v>988</v>
      </c>
      <c r="B80" s="101">
        <v>771</v>
      </c>
      <c r="C80" s="101" t="s">
        <v>1304</v>
      </c>
      <c r="D80" s="159"/>
      <c r="E80" s="101"/>
      <c r="F80" s="101"/>
      <c r="G80" s="165" t="s">
        <v>1191</v>
      </c>
      <c r="H80" s="160">
        <v>0.54500000000000004</v>
      </c>
      <c r="I80" s="161">
        <v>178.32</v>
      </c>
      <c r="J80" s="161">
        <v>4.33</v>
      </c>
      <c r="K80" s="161">
        <v>4.33</v>
      </c>
      <c r="L80" s="162">
        <v>0</v>
      </c>
      <c r="M80" s="163">
        <v>0</v>
      </c>
      <c r="N80" s="164">
        <v>0</v>
      </c>
      <c r="O80" s="164">
        <v>0</v>
      </c>
    </row>
    <row r="81" spans="1:15" ht="30" customHeight="1" x14ac:dyDescent="0.35">
      <c r="A81" s="158" t="s">
        <v>989</v>
      </c>
      <c r="B81" s="101">
        <v>771</v>
      </c>
      <c r="C81" s="101" t="s">
        <v>1305</v>
      </c>
      <c r="D81" s="159"/>
      <c r="E81" s="101"/>
      <c r="F81" s="101"/>
      <c r="G81" s="165" t="s">
        <v>1191</v>
      </c>
      <c r="H81" s="160">
        <v>0.54500000000000004</v>
      </c>
      <c r="I81" s="161">
        <v>178.32</v>
      </c>
      <c r="J81" s="161">
        <v>4.24</v>
      </c>
      <c r="K81" s="161">
        <v>4.24</v>
      </c>
      <c r="L81" s="162">
        <v>0</v>
      </c>
      <c r="M81" s="163">
        <v>0</v>
      </c>
      <c r="N81" s="164">
        <v>0</v>
      </c>
      <c r="O81" s="164">
        <v>0</v>
      </c>
    </row>
    <row r="82" spans="1:15" ht="30" customHeight="1" x14ac:dyDescent="0.35">
      <c r="A82" s="158" t="s">
        <v>990</v>
      </c>
      <c r="B82" s="101">
        <v>514</v>
      </c>
      <c r="C82" s="101">
        <v>1050000738305</v>
      </c>
      <c r="D82" s="159" t="s">
        <v>990</v>
      </c>
      <c r="E82" s="101">
        <v>767</v>
      </c>
      <c r="F82" s="101">
        <v>1050000738290</v>
      </c>
      <c r="G82" s="165" t="s">
        <v>1192</v>
      </c>
      <c r="H82" s="160">
        <v>0.14299999999999999</v>
      </c>
      <c r="I82" s="161">
        <v>20.420000000000002</v>
      </c>
      <c r="J82" s="161">
        <v>2.41</v>
      </c>
      <c r="K82" s="161">
        <v>2.41</v>
      </c>
      <c r="L82" s="162">
        <v>0</v>
      </c>
      <c r="M82" s="163">
        <v>1018.74</v>
      </c>
      <c r="N82" s="164">
        <v>0.05</v>
      </c>
      <c r="O82" s="164">
        <v>0.05</v>
      </c>
    </row>
    <row r="83" spans="1:15" ht="30" customHeight="1" x14ac:dyDescent="0.35">
      <c r="A83" s="158" t="s">
        <v>991</v>
      </c>
      <c r="B83" s="101">
        <v>796</v>
      </c>
      <c r="C83" s="101">
        <v>1050000903244</v>
      </c>
      <c r="D83" s="159" t="s">
        <v>991</v>
      </c>
      <c r="E83" s="101">
        <v>797</v>
      </c>
      <c r="F83" s="101">
        <v>1050000903253</v>
      </c>
      <c r="G83" s="165" t="s">
        <v>1193</v>
      </c>
      <c r="H83" s="160">
        <v>1.5649999999999999</v>
      </c>
      <c r="I83" s="161">
        <v>51.68</v>
      </c>
      <c r="J83" s="161">
        <v>3.84</v>
      </c>
      <c r="K83" s="161">
        <v>3.84</v>
      </c>
      <c r="L83" s="162">
        <v>0</v>
      </c>
      <c r="M83" s="163">
        <v>718.47</v>
      </c>
      <c r="N83" s="164">
        <v>0.05</v>
      </c>
      <c r="O83" s="164">
        <v>0.05</v>
      </c>
    </row>
    <row r="84" spans="1:15" ht="30" customHeight="1" x14ac:dyDescent="0.35">
      <c r="A84" s="158" t="s">
        <v>992</v>
      </c>
      <c r="B84" s="101">
        <v>865</v>
      </c>
      <c r="C84" s="101">
        <v>1030083962424</v>
      </c>
      <c r="D84" s="159" t="s">
        <v>992</v>
      </c>
      <c r="E84" s="101">
        <v>738</v>
      </c>
      <c r="F84" s="101">
        <v>1030083962656</v>
      </c>
      <c r="G84" s="165" t="s">
        <v>1194</v>
      </c>
      <c r="H84" s="160">
        <v>0.46500000000000002</v>
      </c>
      <c r="I84" s="161">
        <v>44.19</v>
      </c>
      <c r="J84" s="161">
        <v>2.15</v>
      </c>
      <c r="K84" s="161">
        <v>2.15</v>
      </c>
      <c r="L84" s="162">
        <v>0</v>
      </c>
      <c r="M84" s="163">
        <v>2173.9699999999998</v>
      </c>
      <c r="N84" s="164">
        <v>0.05</v>
      </c>
      <c r="O84" s="164">
        <v>0.05</v>
      </c>
    </row>
    <row r="85" spans="1:15" ht="30" customHeight="1" x14ac:dyDescent="0.35">
      <c r="A85" s="158" t="s">
        <v>993</v>
      </c>
      <c r="B85" s="101">
        <v>814</v>
      </c>
      <c r="C85" s="101">
        <v>1030024800679</v>
      </c>
      <c r="D85" s="159"/>
      <c r="E85" s="101"/>
      <c r="F85" s="101"/>
      <c r="G85" s="165" t="s">
        <v>1195</v>
      </c>
      <c r="H85" s="160">
        <v>0.46300000000000002</v>
      </c>
      <c r="I85" s="161">
        <v>11.39</v>
      </c>
      <c r="J85" s="161">
        <v>2.17</v>
      </c>
      <c r="K85" s="161">
        <v>2.17</v>
      </c>
      <c r="L85" s="162">
        <v>0</v>
      </c>
      <c r="M85" s="163">
        <v>0</v>
      </c>
      <c r="N85" s="164">
        <v>0</v>
      </c>
      <c r="O85" s="164">
        <v>0</v>
      </c>
    </row>
    <row r="86" spans="1:15" ht="30" customHeight="1" x14ac:dyDescent="0.35">
      <c r="A86" s="158" t="s">
        <v>994</v>
      </c>
      <c r="B86" s="101">
        <v>771</v>
      </c>
      <c r="C86" s="101" t="s">
        <v>1306</v>
      </c>
      <c r="D86" s="159"/>
      <c r="E86" s="101"/>
      <c r="F86" s="101"/>
      <c r="G86" s="165" t="s">
        <v>1196</v>
      </c>
      <c r="H86" s="160">
        <v>1.7170000000000001</v>
      </c>
      <c r="I86" s="161">
        <v>178.32</v>
      </c>
      <c r="J86" s="161">
        <v>4.76</v>
      </c>
      <c r="K86" s="161">
        <v>4.76</v>
      </c>
      <c r="L86" s="162">
        <v>0</v>
      </c>
      <c r="M86" s="163">
        <v>0</v>
      </c>
      <c r="N86" s="164">
        <v>0</v>
      </c>
      <c r="O86" s="164">
        <v>0</v>
      </c>
    </row>
    <row r="87" spans="1:15" ht="65.099999999999994" customHeight="1" x14ac:dyDescent="0.35">
      <c r="A87" s="158" t="s">
        <v>995</v>
      </c>
      <c r="B87" s="101">
        <v>771</v>
      </c>
      <c r="C87" s="101" t="s">
        <v>1307</v>
      </c>
      <c r="D87" s="159" t="s">
        <v>995</v>
      </c>
      <c r="E87" s="101">
        <v>792</v>
      </c>
      <c r="F87" s="101" t="s">
        <v>1308</v>
      </c>
      <c r="G87" s="165" t="s">
        <v>1196</v>
      </c>
      <c r="H87" s="160">
        <v>2.6030000000000002</v>
      </c>
      <c r="I87" s="161">
        <v>624.13</v>
      </c>
      <c r="J87" s="161">
        <v>1.73</v>
      </c>
      <c r="K87" s="161">
        <v>1.73</v>
      </c>
      <c r="L87" s="162">
        <v>-2.6110000000000002</v>
      </c>
      <c r="M87" s="163">
        <v>0</v>
      </c>
      <c r="N87" s="164">
        <v>0.05</v>
      </c>
      <c r="O87" s="164">
        <v>0.05</v>
      </c>
    </row>
    <row r="88" spans="1:15" ht="30" customHeight="1" x14ac:dyDescent="0.35">
      <c r="A88" s="158" t="s">
        <v>996</v>
      </c>
      <c r="B88" s="101">
        <v>515</v>
      </c>
      <c r="C88" s="101">
        <v>1050000714216</v>
      </c>
      <c r="D88" s="159" t="s">
        <v>996</v>
      </c>
      <c r="E88" s="101">
        <v>768</v>
      </c>
      <c r="F88" s="101">
        <v>1050000714207</v>
      </c>
      <c r="G88" s="165" t="s">
        <v>1197</v>
      </c>
      <c r="H88" s="160">
        <v>1.3240000000000001</v>
      </c>
      <c r="I88" s="161">
        <v>190.17</v>
      </c>
      <c r="J88" s="161">
        <v>5.49</v>
      </c>
      <c r="K88" s="161">
        <v>5.49</v>
      </c>
      <c r="L88" s="162">
        <v>0</v>
      </c>
      <c r="M88" s="163">
        <v>2053.84</v>
      </c>
      <c r="N88" s="164">
        <v>0.05</v>
      </c>
      <c r="O88" s="164">
        <v>0.05</v>
      </c>
    </row>
    <row r="89" spans="1:15" ht="30" customHeight="1" x14ac:dyDescent="0.35">
      <c r="A89" s="158" t="s">
        <v>997</v>
      </c>
      <c r="B89" s="101">
        <v>516</v>
      </c>
      <c r="C89" s="101">
        <v>1050000774215</v>
      </c>
      <c r="D89" s="159" t="s">
        <v>997</v>
      </c>
      <c r="E89" s="101">
        <v>769</v>
      </c>
      <c r="F89" s="101">
        <v>1050000774224</v>
      </c>
      <c r="G89" s="165" t="s">
        <v>1198</v>
      </c>
      <c r="H89" s="160">
        <v>1.345</v>
      </c>
      <c r="I89" s="161">
        <v>39.93</v>
      </c>
      <c r="J89" s="161">
        <v>1.42</v>
      </c>
      <c r="K89" s="161">
        <v>1.42</v>
      </c>
      <c r="L89" s="162">
        <v>0</v>
      </c>
      <c r="M89" s="163">
        <v>3993.41</v>
      </c>
      <c r="N89" s="164">
        <v>0.05</v>
      </c>
      <c r="O89" s="164">
        <v>0.05</v>
      </c>
    </row>
    <row r="90" spans="1:15" ht="30" customHeight="1" x14ac:dyDescent="0.35">
      <c r="A90" s="158" t="s">
        <v>998</v>
      </c>
      <c r="B90" s="101">
        <v>796</v>
      </c>
      <c r="C90" s="101">
        <v>1050001003248</v>
      </c>
      <c r="D90" s="159" t="s">
        <v>998</v>
      </c>
      <c r="E90" s="101">
        <v>797</v>
      </c>
      <c r="F90" s="101">
        <v>1050001003257</v>
      </c>
      <c r="G90" s="165" t="s">
        <v>1199</v>
      </c>
      <c r="H90" s="160">
        <v>4.0010000000000003</v>
      </c>
      <c r="I90" s="161">
        <v>7.05</v>
      </c>
      <c r="J90" s="161">
        <v>6.69</v>
      </c>
      <c r="K90" s="161">
        <v>6.69</v>
      </c>
      <c r="L90" s="162">
        <v>0</v>
      </c>
      <c r="M90" s="163">
        <v>1127.8900000000001</v>
      </c>
      <c r="N90" s="164">
        <v>0.05</v>
      </c>
      <c r="O90" s="164">
        <v>0.05</v>
      </c>
    </row>
    <row r="91" spans="1:15" ht="30" customHeight="1" x14ac:dyDescent="0.35">
      <c r="A91" s="158" t="s">
        <v>963</v>
      </c>
      <c r="B91" s="101">
        <v>7111</v>
      </c>
      <c r="C91" s="101" t="s">
        <v>1166</v>
      </c>
      <c r="D91" s="159"/>
      <c r="E91" s="101"/>
      <c r="F91" s="101"/>
      <c r="G91" s="165" t="s">
        <v>1214</v>
      </c>
      <c r="H91" s="160">
        <v>0</v>
      </c>
      <c r="I91" s="161">
        <v>11.27</v>
      </c>
      <c r="J91" s="161">
        <v>1.35</v>
      </c>
      <c r="K91" s="161">
        <v>1.35</v>
      </c>
      <c r="L91" s="162">
        <v>0</v>
      </c>
      <c r="M91" s="163">
        <v>0</v>
      </c>
      <c r="N91" s="164">
        <v>0</v>
      </c>
      <c r="O91" s="164">
        <v>0</v>
      </c>
    </row>
    <row r="92" spans="1:15" ht="30" customHeight="1" x14ac:dyDescent="0.35">
      <c r="A92" s="158" t="s">
        <v>999</v>
      </c>
      <c r="B92" s="101">
        <v>7277</v>
      </c>
      <c r="C92" s="101" t="s">
        <v>1200</v>
      </c>
      <c r="D92" s="159" t="s">
        <v>999</v>
      </c>
      <c r="E92" s="101">
        <v>7277</v>
      </c>
      <c r="F92" s="101" t="s">
        <v>1200</v>
      </c>
      <c r="G92" s="165" t="s">
        <v>1201</v>
      </c>
      <c r="H92" s="160">
        <v>4.0430000000000001</v>
      </c>
      <c r="I92" s="161">
        <v>305.13</v>
      </c>
      <c r="J92" s="161">
        <v>2.79</v>
      </c>
      <c r="K92" s="161">
        <v>2.79</v>
      </c>
      <c r="L92" s="162">
        <v>0</v>
      </c>
      <c r="M92" s="163">
        <v>982.16</v>
      </c>
      <c r="N92" s="164">
        <v>0.05</v>
      </c>
      <c r="O92" s="164">
        <v>0.05</v>
      </c>
    </row>
    <row r="93" spans="1:15" ht="30" customHeight="1" x14ac:dyDescent="0.35">
      <c r="A93" s="158" t="s">
        <v>1000</v>
      </c>
      <c r="B93" s="101">
        <v>7211</v>
      </c>
      <c r="C93" s="101" t="s">
        <v>1202</v>
      </c>
      <c r="D93" s="159"/>
      <c r="E93" s="101"/>
      <c r="F93" s="101"/>
      <c r="G93" s="165" t="s">
        <v>1354</v>
      </c>
      <c r="H93" s="160">
        <v>1.7000000000000001E-2</v>
      </c>
      <c r="I93" s="161">
        <v>241.06</v>
      </c>
      <c r="J93" s="161">
        <v>3.89</v>
      </c>
      <c r="K93" s="161">
        <v>3.89</v>
      </c>
      <c r="L93" s="162">
        <v>0</v>
      </c>
      <c r="M93" s="163">
        <v>0</v>
      </c>
      <c r="N93" s="164">
        <v>0</v>
      </c>
      <c r="O93" s="164">
        <v>0</v>
      </c>
    </row>
    <row r="94" spans="1:15" ht="30" customHeight="1" x14ac:dyDescent="0.35">
      <c r="A94" s="158" t="s">
        <v>1001</v>
      </c>
      <c r="B94" s="101">
        <v>536</v>
      </c>
      <c r="C94" s="101">
        <v>1050000834219</v>
      </c>
      <c r="D94" s="159" t="s">
        <v>1001</v>
      </c>
      <c r="E94" s="101">
        <v>468</v>
      </c>
      <c r="F94" s="101">
        <v>1050000834228</v>
      </c>
      <c r="G94" s="165" t="s">
        <v>2103</v>
      </c>
      <c r="H94" s="160">
        <v>0.10199999999999999</v>
      </c>
      <c r="I94" s="161">
        <v>9.58</v>
      </c>
      <c r="J94" s="161">
        <v>7.52</v>
      </c>
      <c r="K94" s="161">
        <v>7.52</v>
      </c>
      <c r="L94" s="162">
        <v>0</v>
      </c>
      <c r="M94" s="163">
        <v>1280.5</v>
      </c>
      <c r="N94" s="164">
        <v>0.05</v>
      </c>
      <c r="O94" s="164">
        <v>0.05</v>
      </c>
    </row>
    <row r="95" spans="1:15" ht="30" customHeight="1" x14ac:dyDescent="0.35">
      <c r="A95" s="158" t="s">
        <v>1002</v>
      </c>
      <c r="B95" s="101">
        <v>884</v>
      </c>
      <c r="C95" s="101">
        <v>1050000521726</v>
      </c>
      <c r="D95" s="159" t="s">
        <v>1002</v>
      </c>
      <c r="E95" s="101">
        <v>758</v>
      </c>
      <c r="F95" s="101">
        <v>1050000521735</v>
      </c>
      <c r="G95" s="165" t="s">
        <v>1203</v>
      </c>
      <c r="H95" s="160">
        <v>9.7000000000000003E-2</v>
      </c>
      <c r="I95" s="161">
        <v>5.15</v>
      </c>
      <c r="J95" s="161">
        <v>8.59</v>
      </c>
      <c r="K95" s="161">
        <v>8.59</v>
      </c>
      <c r="L95" s="162">
        <v>0</v>
      </c>
      <c r="M95" s="163">
        <v>622.78</v>
      </c>
      <c r="N95" s="164">
        <v>0.05</v>
      </c>
      <c r="O95" s="164">
        <v>0.05</v>
      </c>
    </row>
    <row r="96" spans="1:15" ht="30" customHeight="1" x14ac:dyDescent="0.35">
      <c r="A96" s="158" t="s">
        <v>1003</v>
      </c>
      <c r="B96" s="101">
        <v>771</v>
      </c>
      <c r="C96" s="101">
        <v>1014573127752</v>
      </c>
      <c r="D96" s="159"/>
      <c r="E96" s="101"/>
      <c r="F96" s="101"/>
      <c r="G96" s="165" t="s">
        <v>1355</v>
      </c>
      <c r="H96" s="160">
        <v>5.4039999999999999</v>
      </c>
      <c r="I96" s="161">
        <v>89.16</v>
      </c>
      <c r="J96" s="161">
        <v>9.65</v>
      </c>
      <c r="K96" s="161">
        <v>9.65</v>
      </c>
      <c r="L96" s="162">
        <v>0</v>
      </c>
      <c r="M96" s="163">
        <v>0</v>
      </c>
      <c r="N96" s="164">
        <v>0</v>
      </c>
      <c r="O96" s="164">
        <v>0</v>
      </c>
    </row>
    <row r="97" spans="1:15" ht="30" customHeight="1" x14ac:dyDescent="0.35">
      <c r="A97" s="158" t="s">
        <v>1004</v>
      </c>
      <c r="B97" s="101">
        <v>885</v>
      </c>
      <c r="C97" s="101">
        <v>1050000563150</v>
      </c>
      <c r="D97" s="159" t="s">
        <v>1004</v>
      </c>
      <c r="E97" s="101">
        <v>759</v>
      </c>
      <c r="F97" s="101">
        <v>1050000563169</v>
      </c>
      <c r="G97" s="165" t="s">
        <v>1204</v>
      </c>
      <c r="H97" s="160">
        <v>3.5179999999999998</v>
      </c>
      <c r="I97" s="161">
        <v>6.36</v>
      </c>
      <c r="J97" s="161">
        <v>3.68</v>
      </c>
      <c r="K97" s="161">
        <v>3.68</v>
      </c>
      <c r="L97" s="162">
        <v>0</v>
      </c>
      <c r="M97" s="163">
        <v>2004.94</v>
      </c>
      <c r="N97" s="164">
        <v>0.05</v>
      </c>
      <c r="O97" s="164">
        <v>0.05</v>
      </c>
    </row>
    <row r="98" spans="1:15" ht="30" customHeight="1" x14ac:dyDescent="0.35">
      <c r="A98" s="158" t="s">
        <v>1005</v>
      </c>
      <c r="B98" s="101">
        <v>517</v>
      </c>
      <c r="C98" s="101">
        <v>1050000708514</v>
      </c>
      <c r="D98" s="159" t="s">
        <v>1005</v>
      </c>
      <c r="E98" s="101">
        <v>770</v>
      </c>
      <c r="F98" s="101">
        <v>1050000698405</v>
      </c>
      <c r="G98" s="165" t="s">
        <v>1205</v>
      </c>
      <c r="H98" s="160">
        <v>0.104</v>
      </c>
      <c r="I98" s="161">
        <v>4.6100000000000003</v>
      </c>
      <c r="J98" s="161">
        <v>3.14</v>
      </c>
      <c r="K98" s="161">
        <v>3.14</v>
      </c>
      <c r="L98" s="162">
        <v>0</v>
      </c>
      <c r="M98" s="163">
        <v>852.42</v>
      </c>
      <c r="N98" s="164">
        <v>0.05</v>
      </c>
      <c r="O98" s="164">
        <v>0.05</v>
      </c>
    </row>
    <row r="99" spans="1:15" ht="30" customHeight="1" x14ac:dyDescent="0.35">
      <c r="A99" s="158" t="s">
        <v>1006</v>
      </c>
      <c r="B99" s="101">
        <v>796</v>
      </c>
      <c r="C99" s="101">
        <v>1050000769118</v>
      </c>
      <c r="D99" s="159" t="s">
        <v>1006</v>
      </c>
      <c r="E99" s="101">
        <v>797</v>
      </c>
      <c r="F99" s="101">
        <v>1050000769127</v>
      </c>
      <c r="G99" s="165" t="s">
        <v>1206</v>
      </c>
      <c r="H99" s="160">
        <v>0.64100000000000001</v>
      </c>
      <c r="I99" s="161">
        <v>17.52</v>
      </c>
      <c r="J99" s="161">
        <v>2.99</v>
      </c>
      <c r="K99" s="161">
        <v>2.99</v>
      </c>
      <c r="L99" s="162">
        <v>0</v>
      </c>
      <c r="M99" s="163">
        <v>700.91</v>
      </c>
      <c r="N99" s="164">
        <v>0.05</v>
      </c>
      <c r="O99" s="164">
        <v>0.05</v>
      </c>
    </row>
    <row r="100" spans="1:15" ht="30" customHeight="1" x14ac:dyDescent="0.35">
      <c r="A100" s="158" t="s">
        <v>1007</v>
      </c>
      <c r="B100" s="101">
        <v>820</v>
      </c>
      <c r="C100" s="101">
        <v>1014569896484</v>
      </c>
      <c r="D100" s="159"/>
      <c r="E100" s="101"/>
      <c r="F100" s="101"/>
      <c r="G100" s="165" t="s">
        <v>1207</v>
      </c>
      <c r="H100" s="160">
        <v>0.26800000000000002</v>
      </c>
      <c r="I100" s="161">
        <v>1290.08</v>
      </c>
      <c r="J100" s="161">
        <v>2.08</v>
      </c>
      <c r="K100" s="161">
        <v>2.08</v>
      </c>
      <c r="L100" s="162">
        <v>0</v>
      </c>
      <c r="M100" s="163">
        <v>0</v>
      </c>
      <c r="N100" s="164">
        <v>0</v>
      </c>
      <c r="O100" s="164">
        <v>0</v>
      </c>
    </row>
    <row r="101" spans="1:15" ht="30" customHeight="1" x14ac:dyDescent="0.35">
      <c r="A101" s="158" t="s">
        <v>1008</v>
      </c>
      <c r="B101" s="101">
        <v>518</v>
      </c>
      <c r="C101" s="101">
        <v>1050000759713</v>
      </c>
      <c r="D101" s="159" t="s">
        <v>1008</v>
      </c>
      <c r="E101" s="101">
        <v>450</v>
      </c>
      <c r="F101" s="101">
        <v>1050000759722</v>
      </c>
      <c r="G101" s="165" t="s">
        <v>1356</v>
      </c>
      <c r="H101" s="160">
        <v>1.304</v>
      </c>
      <c r="I101" s="161">
        <v>11.87</v>
      </c>
      <c r="J101" s="161">
        <v>2.4900000000000002</v>
      </c>
      <c r="K101" s="161">
        <v>2.4900000000000002</v>
      </c>
      <c r="L101" s="162">
        <v>0</v>
      </c>
      <c r="M101" s="163">
        <v>1068.56</v>
      </c>
      <c r="N101" s="164">
        <v>0.05</v>
      </c>
      <c r="O101" s="164">
        <v>0.05</v>
      </c>
    </row>
    <row r="102" spans="1:15" ht="30" customHeight="1" x14ac:dyDescent="0.35">
      <c r="A102" s="158" t="s">
        <v>1009</v>
      </c>
      <c r="B102" s="101">
        <v>866</v>
      </c>
      <c r="C102" s="101">
        <v>1030075706342</v>
      </c>
      <c r="D102" s="159"/>
      <c r="E102" s="101"/>
      <c r="F102" s="101"/>
      <c r="G102" s="165" t="s">
        <v>1208</v>
      </c>
      <c r="H102" s="160">
        <v>0</v>
      </c>
      <c r="I102" s="161">
        <v>939.56</v>
      </c>
      <c r="J102" s="161">
        <v>2.44</v>
      </c>
      <c r="K102" s="161">
        <v>2.44</v>
      </c>
      <c r="L102" s="162">
        <v>0</v>
      </c>
      <c r="M102" s="163">
        <v>0</v>
      </c>
      <c r="N102" s="164">
        <v>0</v>
      </c>
      <c r="O102" s="164">
        <v>0</v>
      </c>
    </row>
    <row r="103" spans="1:15" ht="30" customHeight="1" x14ac:dyDescent="0.35">
      <c r="A103" s="158" t="s">
        <v>1010</v>
      </c>
      <c r="B103" s="101" t="s">
        <v>1209</v>
      </c>
      <c r="C103" s="101" t="s">
        <v>1309</v>
      </c>
      <c r="D103" s="159"/>
      <c r="E103" s="101"/>
      <c r="F103" s="101"/>
      <c r="G103" s="165" t="s">
        <v>1210</v>
      </c>
      <c r="H103" s="160">
        <v>2.8180000000000001</v>
      </c>
      <c r="I103" s="161">
        <v>5033.08</v>
      </c>
      <c r="J103" s="161">
        <v>1.99</v>
      </c>
      <c r="K103" s="161">
        <v>1.99</v>
      </c>
      <c r="L103" s="162">
        <v>0</v>
      </c>
      <c r="M103" s="163">
        <v>0</v>
      </c>
      <c r="N103" s="164">
        <v>0</v>
      </c>
      <c r="O103" s="164">
        <v>0</v>
      </c>
    </row>
    <row r="104" spans="1:15" ht="30" customHeight="1" x14ac:dyDescent="0.35">
      <c r="A104" s="158" t="s">
        <v>1011</v>
      </c>
      <c r="B104" s="101">
        <v>519</v>
      </c>
      <c r="C104" s="101">
        <v>1050000556055</v>
      </c>
      <c r="D104" s="159" t="s">
        <v>1011</v>
      </c>
      <c r="E104" s="101">
        <v>451</v>
      </c>
      <c r="F104" s="101">
        <v>1050000556046</v>
      </c>
      <c r="G104" s="165" t="s">
        <v>1211</v>
      </c>
      <c r="H104" s="160">
        <v>1.718</v>
      </c>
      <c r="I104" s="161">
        <v>26.33</v>
      </c>
      <c r="J104" s="161">
        <v>2.64</v>
      </c>
      <c r="K104" s="161">
        <v>2.64</v>
      </c>
      <c r="L104" s="162">
        <v>0</v>
      </c>
      <c r="M104" s="163">
        <v>3950.12</v>
      </c>
      <c r="N104" s="164">
        <v>0.05</v>
      </c>
      <c r="O104" s="164">
        <v>0.05</v>
      </c>
    </row>
    <row r="105" spans="1:15" ht="30" customHeight="1" x14ac:dyDescent="0.35">
      <c r="A105" s="158" t="s">
        <v>1012</v>
      </c>
      <c r="B105" s="101">
        <v>7044</v>
      </c>
      <c r="C105" s="101" t="s">
        <v>1167</v>
      </c>
      <c r="D105" s="159"/>
      <c r="E105" s="101"/>
      <c r="F105" s="101"/>
      <c r="G105" s="165" t="s">
        <v>1168</v>
      </c>
      <c r="H105" s="160">
        <v>0.46100000000000002</v>
      </c>
      <c r="I105" s="161">
        <v>255.78</v>
      </c>
      <c r="J105" s="161">
        <v>1.96</v>
      </c>
      <c r="K105" s="161">
        <v>1.96</v>
      </c>
      <c r="L105" s="162">
        <v>0</v>
      </c>
      <c r="M105" s="163">
        <v>0</v>
      </c>
      <c r="N105" s="164">
        <v>0</v>
      </c>
      <c r="O105" s="164">
        <v>0</v>
      </c>
    </row>
    <row r="106" spans="1:15" ht="30" customHeight="1" x14ac:dyDescent="0.35">
      <c r="A106" s="158" t="s">
        <v>964</v>
      </c>
      <c r="B106" s="101">
        <v>7044</v>
      </c>
      <c r="C106" s="101" t="s">
        <v>1167</v>
      </c>
      <c r="D106" s="159"/>
      <c r="E106" s="101"/>
      <c r="F106" s="101"/>
      <c r="G106" s="165" t="s">
        <v>1168</v>
      </c>
      <c r="H106" s="160">
        <v>0</v>
      </c>
      <c r="I106" s="161">
        <v>6</v>
      </c>
      <c r="J106" s="161">
        <v>1.45</v>
      </c>
      <c r="K106" s="161">
        <v>1.45</v>
      </c>
      <c r="L106" s="162">
        <v>0</v>
      </c>
      <c r="M106" s="163">
        <v>0</v>
      </c>
      <c r="N106" s="164">
        <v>0</v>
      </c>
      <c r="O106" s="164">
        <v>0</v>
      </c>
    </row>
    <row r="107" spans="1:15" ht="30" customHeight="1" x14ac:dyDescent="0.35">
      <c r="A107" s="158" t="s">
        <v>1013</v>
      </c>
      <c r="B107" s="101">
        <v>520</v>
      </c>
      <c r="C107" s="101">
        <v>1050000823458</v>
      </c>
      <c r="D107" s="159" t="s">
        <v>1013</v>
      </c>
      <c r="E107" s="101">
        <v>452</v>
      </c>
      <c r="F107" s="101">
        <v>1050000823467</v>
      </c>
      <c r="G107" s="165" t="s">
        <v>1212</v>
      </c>
      <c r="H107" s="160">
        <v>2.5760000000000001</v>
      </c>
      <c r="I107" s="161">
        <v>2.23</v>
      </c>
      <c r="J107" s="161">
        <v>4.5599999999999996</v>
      </c>
      <c r="K107" s="161">
        <v>4.5599999999999996</v>
      </c>
      <c r="L107" s="162">
        <v>0</v>
      </c>
      <c r="M107" s="163">
        <v>535.20000000000005</v>
      </c>
      <c r="N107" s="164">
        <v>0.05</v>
      </c>
      <c r="O107" s="164">
        <v>0.05</v>
      </c>
    </row>
    <row r="108" spans="1:15" ht="30" customHeight="1" x14ac:dyDescent="0.35">
      <c r="A108" s="158" t="s">
        <v>1014</v>
      </c>
      <c r="B108" s="101">
        <v>822</v>
      </c>
      <c r="C108" s="101">
        <v>1023478871040</v>
      </c>
      <c r="D108" s="159"/>
      <c r="E108" s="101"/>
      <c r="F108" s="101"/>
      <c r="G108" s="165" t="s">
        <v>1213</v>
      </c>
      <c r="H108" s="160">
        <v>1.373</v>
      </c>
      <c r="I108" s="161">
        <v>1186.98</v>
      </c>
      <c r="J108" s="161">
        <v>1.98</v>
      </c>
      <c r="K108" s="161">
        <v>1.98</v>
      </c>
      <c r="L108" s="162">
        <v>0</v>
      </c>
      <c r="M108" s="163">
        <v>0</v>
      </c>
      <c r="N108" s="164">
        <v>0</v>
      </c>
      <c r="O108" s="164">
        <v>0</v>
      </c>
    </row>
    <row r="109" spans="1:15" ht="30" customHeight="1" x14ac:dyDescent="0.35">
      <c r="A109" s="158" t="s">
        <v>1017</v>
      </c>
      <c r="B109" s="101">
        <v>771</v>
      </c>
      <c r="C109" s="101">
        <v>1023504932800</v>
      </c>
      <c r="D109" s="159"/>
      <c r="E109" s="101"/>
      <c r="F109" s="101"/>
      <c r="G109" s="165" t="s">
        <v>1217</v>
      </c>
      <c r="H109" s="160">
        <v>11.698</v>
      </c>
      <c r="I109" s="161">
        <v>178.32</v>
      </c>
      <c r="J109" s="161">
        <v>11.96</v>
      </c>
      <c r="K109" s="161">
        <v>11.96</v>
      </c>
      <c r="L109" s="162">
        <v>0</v>
      </c>
      <c r="M109" s="163">
        <v>0</v>
      </c>
      <c r="N109" s="164">
        <v>0</v>
      </c>
      <c r="O109" s="164">
        <v>0</v>
      </c>
    </row>
    <row r="110" spans="1:15" ht="30" customHeight="1" x14ac:dyDescent="0.35">
      <c r="A110" s="158" t="s">
        <v>1015</v>
      </c>
      <c r="B110" s="101">
        <v>824</v>
      </c>
      <c r="C110" s="101">
        <v>1014572529986</v>
      </c>
      <c r="D110" s="159"/>
      <c r="E110" s="101"/>
      <c r="F110" s="101"/>
      <c r="G110" s="165" t="s">
        <v>1214</v>
      </c>
      <c r="H110" s="160">
        <v>0.21</v>
      </c>
      <c r="I110" s="161">
        <v>255.78</v>
      </c>
      <c r="J110" s="161">
        <v>1.39</v>
      </c>
      <c r="K110" s="161">
        <v>1.39</v>
      </c>
      <c r="L110" s="162">
        <v>0</v>
      </c>
      <c r="M110" s="163">
        <v>0</v>
      </c>
      <c r="N110" s="164">
        <v>0</v>
      </c>
      <c r="O110" s="164">
        <v>0</v>
      </c>
    </row>
    <row r="111" spans="1:15" ht="30" customHeight="1" x14ac:dyDescent="0.35">
      <c r="A111" s="158" t="s">
        <v>1123</v>
      </c>
      <c r="B111" s="101">
        <v>771</v>
      </c>
      <c r="C111" s="101" t="s">
        <v>1310</v>
      </c>
      <c r="D111" s="159"/>
      <c r="E111" s="101"/>
      <c r="F111" s="101"/>
      <c r="G111" s="165" t="s">
        <v>1215</v>
      </c>
      <c r="H111" s="160">
        <v>5.2999999999999999E-2</v>
      </c>
      <c r="I111" s="161">
        <v>178.32</v>
      </c>
      <c r="J111" s="161">
        <v>1.23</v>
      </c>
      <c r="K111" s="161">
        <v>1.23</v>
      </c>
      <c r="L111" s="162">
        <v>0</v>
      </c>
      <c r="M111" s="163">
        <v>0</v>
      </c>
      <c r="N111" s="164">
        <v>0</v>
      </c>
      <c r="O111" s="164">
        <v>0</v>
      </c>
    </row>
    <row r="112" spans="1:15" ht="30" customHeight="1" x14ac:dyDescent="0.35">
      <c r="A112" s="158" t="s">
        <v>1016</v>
      </c>
      <c r="B112" s="101">
        <v>771</v>
      </c>
      <c r="C112" s="101">
        <v>1050000687486</v>
      </c>
      <c r="D112" s="159" t="s">
        <v>1016</v>
      </c>
      <c r="E112" s="101">
        <v>792</v>
      </c>
      <c r="F112" s="101">
        <v>1050000687495</v>
      </c>
      <c r="G112" s="165" t="s">
        <v>1357</v>
      </c>
      <c r="H112" s="160">
        <v>5.4269999999999996</v>
      </c>
      <c r="I112" s="161">
        <v>133.74</v>
      </c>
      <c r="J112" s="161">
        <v>1.32</v>
      </c>
      <c r="K112" s="161">
        <v>1.32</v>
      </c>
      <c r="L112" s="162">
        <v>0</v>
      </c>
      <c r="M112" s="163">
        <v>133.74</v>
      </c>
      <c r="N112" s="164">
        <v>0.05</v>
      </c>
      <c r="O112" s="164">
        <v>0.05</v>
      </c>
    </row>
    <row r="113" spans="1:15" ht="30" customHeight="1" x14ac:dyDescent="0.35">
      <c r="A113" s="158" t="s">
        <v>1018</v>
      </c>
      <c r="B113" s="101">
        <v>886</v>
      </c>
      <c r="C113" s="101">
        <v>1050000578704</v>
      </c>
      <c r="D113" s="159" t="s">
        <v>1018</v>
      </c>
      <c r="E113" s="101">
        <v>760</v>
      </c>
      <c r="F113" s="101">
        <v>1050000578699</v>
      </c>
      <c r="G113" s="165" t="s">
        <v>1218</v>
      </c>
      <c r="H113" s="160">
        <v>2.2919999999999998</v>
      </c>
      <c r="I113" s="161">
        <v>1.1200000000000001</v>
      </c>
      <c r="J113" s="161">
        <v>5.44</v>
      </c>
      <c r="K113" s="161">
        <v>5.44</v>
      </c>
      <c r="L113" s="162">
        <v>0</v>
      </c>
      <c r="M113" s="163">
        <v>562.16</v>
      </c>
      <c r="N113" s="164">
        <v>0.05</v>
      </c>
      <c r="O113" s="164">
        <v>0.05</v>
      </c>
    </row>
    <row r="114" spans="1:15" ht="30" customHeight="1" x14ac:dyDescent="0.35">
      <c r="A114" s="158" t="s">
        <v>1019</v>
      </c>
      <c r="B114" s="101">
        <v>888</v>
      </c>
      <c r="C114" s="101">
        <v>1030083806024</v>
      </c>
      <c r="D114" s="159" t="s">
        <v>1019</v>
      </c>
      <c r="E114" s="101">
        <v>762</v>
      </c>
      <c r="F114" s="101">
        <v>1030083805795</v>
      </c>
      <c r="G114" s="165" t="s">
        <v>1219</v>
      </c>
      <c r="H114" s="160">
        <v>1.508</v>
      </c>
      <c r="I114" s="161">
        <v>5.8</v>
      </c>
      <c r="J114" s="161">
        <v>3.8</v>
      </c>
      <c r="K114" s="161">
        <v>3.8</v>
      </c>
      <c r="L114" s="162">
        <v>0</v>
      </c>
      <c r="M114" s="163">
        <v>552.30999999999995</v>
      </c>
      <c r="N114" s="164">
        <v>0.05</v>
      </c>
      <c r="O114" s="164">
        <v>0.05</v>
      </c>
    </row>
    <row r="115" spans="1:15" ht="30" customHeight="1" x14ac:dyDescent="0.35">
      <c r="A115" s="158" t="s">
        <v>1020</v>
      </c>
      <c r="B115" s="101">
        <v>889</v>
      </c>
      <c r="C115" s="101">
        <v>1030083805563</v>
      </c>
      <c r="D115" s="159" t="s">
        <v>1020</v>
      </c>
      <c r="E115" s="101">
        <v>763</v>
      </c>
      <c r="F115" s="101">
        <v>1030083805331</v>
      </c>
      <c r="G115" s="165" t="s">
        <v>1220</v>
      </c>
      <c r="H115" s="160">
        <v>1.758</v>
      </c>
      <c r="I115" s="161">
        <v>6.72</v>
      </c>
      <c r="J115" s="161">
        <v>2.11</v>
      </c>
      <c r="K115" s="161">
        <v>2.11</v>
      </c>
      <c r="L115" s="162">
        <v>0</v>
      </c>
      <c r="M115" s="163">
        <v>639.30999999999995</v>
      </c>
      <c r="N115" s="164">
        <v>0.05</v>
      </c>
      <c r="O115" s="164">
        <v>0.05</v>
      </c>
    </row>
    <row r="116" spans="1:15" ht="30" customHeight="1" x14ac:dyDescent="0.35">
      <c r="A116" s="158" t="s">
        <v>1021</v>
      </c>
      <c r="B116" s="101">
        <v>521</v>
      </c>
      <c r="C116" s="101">
        <v>1050000698283</v>
      </c>
      <c r="D116" s="159" t="s">
        <v>1021</v>
      </c>
      <c r="E116" s="101">
        <v>453</v>
      </c>
      <c r="F116" s="101">
        <v>1050000698247</v>
      </c>
      <c r="G116" s="165" t="s">
        <v>1358</v>
      </c>
      <c r="H116" s="160">
        <v>1.2909999999999999</v>
      </c>
      <c r="I116" s="161">
        <v>14.03</v>
      </c>
      <c r="J116" s="161">
        <v>4.75</v>
      </c>
      <c r="K116" s="161">
        <v>4.75</v>
      </c>
      <c r="L116" s="162">
        <v>0</v>
      </c>
      <c r="M116" s="163">
        <v>2454.4299999999998</v>
      </c>
      <c r="N116" s="164">
        <v>0.05</v>
      </c>
      <c r="O116" s="164">
        <v>0.05</v>
      </c>
    </row>
    <row r="117" spans="1:15" ht="30" customHeight="1" x14ac:dyDescent="0.35">
      <c r="A117" s="158" t="s">
        <v>1023</v>
      </c>
      <c r="B117" s="101">
        <v>523</v>
      </c>
      <c r="C117" s="101">
        <v>1050000802936</v>
      </c>
      <c r="D117" s="159" t="s">
        <v>1023</v>
      </c>
      <c r="E117" s="101">
        <v>455</v>
      </c>
      <c r="F117" s="101">
        <v>1050000802945</v>
      </c>
      <c r="G117" s="165" t="s">
        <v>1221</v>
      </c>
      <c r="H117" s="160">
        <v>4.1040000000000001</v>
      </c>
      <c r="I117" s="161">
        <v>22.86</v>
      </c>
      <c r="J117" s="161">
        <v>10.25</v>
      </c>
      <c r="K117" s="161">
        <v>10.25</v>
      </c>
      <c r="L117" s="162">
        <v>0</v>
      </c>
      <c r="M117" s="163">
        <v>1005.86</v>
      </c>
      <c r="N117" s="164">
        <v>0.05</v>
      </c>
      <c r="O117" s="164">
        <v>0.05</v>
      </c>
    </row>
    <row r="118" spans="1:15" ht="30" customHeight="1" x14ac:dyDescent="0.35">
      <c r="A118" s="158" t="s">
        <v>1022</v>
      </c>
      <c r="B118" s="101">
        <v>522</v>
      </c>
      <c r="C118" s="101">
        <v>1050000774109</v>
      </c>
      <c r="D118" s="159" t="s">
        <v>1022</v>
      </c>
      <c r="E118" s="101">
        <v>454</v>
      </c>
      <c r="F118" s="101">
        <v>1050000774118</v>
      </c>
      <c r="G118" s="165" t="s">
        <v>1221</v>
      </c>
      <c r="H118" s="160">
        <v>4.109</v>
      </c>
      <c r="I118" s="161">
        <v>33.909999999999997</v>
      </c>
      <c r="J118" s="161">
        <v>10.09</v>
      </c>
      <c r="K118" s="161">
        <v>10.09</v>
      </c>
      <c r="L118" s="162">
        <v>0</v>
      </c>
      <c r="M118" s="163">
        <v>994.8</v>
      </c>
      <c r="N118" s="164">
        <v>0.05</v>
      </c>
      <c r="O118" s="164">
        <v>0.05</v>
      </c>
    </row>
    <row r="119" spans="1:15" ht="30" customHeight="1" x14ac:dyDescent="0.35">
      <c r="A119" s="158" t="s">
        <v>1024</v>
      </c>
      <c r="B119" s="101">
        <v>826</v>
      </c>
      <c r="C119" s="101">
        <v>1023497360519</v>
      </c>
      <c r="D119" s="159"/>
      <c r="E119" s="101"/>
      <c r="F119" s="101"/>
      <c r="G119" s="165" t="s">
        <v>1222</v>
      </c>
      <c r="H119" s="160">
        <v>4.0000000000000001E-3</v>
      </c>
      <c r="I119" s="161">
        <v>161.26</v>
      </c>
      <c r="J119" s="161">
        <v>1.05</v>
      </c>
      <c r="K119" s="161">
        <v>1.05</v>
      </c>
      <c r="L119" s="162">
        <v>0</v>
      </c>
      <c r="M119" s="163">
        <v>0</v>
      </c>
      <c r="N119" s="164">
        <v>0</v>
      </c>
      <c r="O119" s="164">
        <v>0</v>
      </c>
    </row>
    <row r="120" spans="1:15" ht="30" customHeight="1" x14ac:dyDescent="0.35">
      <c r="A120" s="158" t="s">
        <v>1025</v>
      </c>
      <c r="B120" s="101">
        <v>823</v>
      </c>
      <c r="C120" s="101" t="s">
        <v>1311</v>
      </c>
      <c r="D120" s="159"/>
      <c r="E120" s="101"/>
      <c r="F120" s="101"/>
      <c r="G120" s="165" t="s">
        <v>1223</v>
      </c>
      <c r="H120" s="160">
        <v>0.08</v>
      </c>
      <c r="I120" s="161">
        <v>1545.86</v>
      </c>
      <c r="J120" s="161">
        <v>1.26</v>
      </c>
      <c r="K120" s="161">
        <v>1.26</v>
      </c>
      <c r="L120" s="162">
        <v>0</v>
      </c>
      <c r="M120" s="163">
        <v>0</v>
      </c>
      <c r="N120" s="164">
        <v>0</v>
      </c>
      <c r="O120" s="164">
        <v>0</v>
      </c>
    </row>
    <row r="121" spans="1:15" ht="30" customHeight="1" x14ac:dyDescent="0.35">
      <c r="A121" s="158" t="s">
        <v>1026</v>
      </c>
      <c r="B121" s="101">
        <v>825</v>
      </c>
      <c r="C121" s="101" t="s">
        <v>1312</v>
      </c>
      <c r="D121" s="159"/>
      <c r="E121" s="101"/>
      <c r="F121" s="101"/>
      <c r="G121" s="165" t="s">
        <v>1359</v>
      </c>
      <c r="H121" s="160">
        <v>0.81499999999999995</v>
      </c>
      <c r="I121" s="161">
        <v>511.57</v>
      </c>
      <c r="J121" s="161">
        <v>2.41</v>
      </c>
      <c r="K121" s="161">
        <v>2.41</v>
      </c>
      <c r="L121" s="162">
        <v>0</v>
      </c>
      <c r="M121" s="163">
        <v>0</v>
      </c>
      <c r="N121" s="164">
        <v>0</v>
      </c>
      <c r="O121" s="164">
        <v>0</v>
      </c>
    </row>
    <row r="122" spans="1:15" ht="65.099999999999994" customHeight="1" x14ac:dyDescent="0.35">
      <c r="A122" s="158" t="s">
        <v>1027</v>
      </c>
      <c r="B122" s="101">
        <v>864</v>
      </c>
      <c r="C122" s="101" t="s">
        <v>1313</v>
      </c>
      <c r="D122" s="159"/>
      <c r="E122" s="101"/>
      <c r="F122" s="101"/>
      <c r="G122" s="165" t="s">
        <v>1359</v>
      </c>
      <c r="H122" s="160">
        <v>0</v>
      </c>
      <c r="I122" s="161">
        <v>46140.7</v>
      </c>
      <c r="J122" s="161">
        <v>2.1</v>
      </c>
      <c r="K122" s="161">
        <v>2.1</v>
      </c>
      <c r="L122" s="162">
        <v>0</v>
      </c>
      <c r="M122" s="163">
        <v>0</v>
      </c>
      <c r="N122" s="164">
        <v>0</v>
      </c>
      <c r="O122" s="164">
        <v>0</v>
      </c>
    </row>
    <row r="123" spans="1:15" ht="65.099999999999994" customHeight="1" x14ac:dyDescent="0.35">
      <c r="A123" s="158" t="s">
        <v>1028</v>
      </c>
      <c r="B123" s="101">
        <v>798</v>
      </c>
      <c r="C123" s="101" t="s">
        <v>1314</v>
      </c>
      <c r="D123" s="159"/>
      <c r="E123" s="101"/>
      <c r="F123" s="101"/>
      <c r="G123" s="165" t="s">
        <v>1224</v>
      </c>
      <c r="H123" s="160">
        <v>0</v>
      </c>
      <c r="I123" s="161">
        <v>49865.5</v>
      </c>
      <c r="J123" s="161">
        <v>1.42</v>
      </c>
      <c r="K123" s="161">
        <v>1.42</v>
      </c>
      <c r="L123" s="162">
        <v>0</v>
      </c>
      <c r="M123" s="163">
        <v>0</v>
      </c>
      <c r="N123" s="164">
        <v>0</v>
      </c>
      <c r="O123" s="164">
        <v>0</v>
      </c>
    </row>
    <row r="124" spans="1:15" ht="30" customHeight="1" x14ac:dyDescent="0.35">
      <c r="A124" s="158" t="s">
        <v>1029</v>
      </c>
      <c r="B124" s="101">
        <v>524</v>
      </c>
      <c r="C124" s="101">
        <v>1050000843640</v>
      </c>
      <c r="D124" s="159" t="s">
        <v>1029</v>
      </c>
      <c r="E124" s="101">
        <v>456</v>
      </c>
      <c r="F124" s="101">
        <v>1050000843659</v>
      </c>
      <c r="G124" s="165" t="s">
        <v>1225</v>
      </c>
      <c r="H124" s="160">
        <v>3.0000000000000001E-3</v>
      </c>
      <c r="I124" s="161">
        <v>49.26</v>
      </c>
      <c r="J124" s="161">
        <v>6.55</v>
      </c>
      <c r="K124" s="161">
        <v>6.55</v>
      </c>
      <c r="L124" s="162">
        <v>0</v>
      </c>
      <c r="M124" s="163">
        <v>720.88</v>
      </c>
      <c r="N124" s="164">
        <v>0.05</v>
      </c>
      <c r="O124" s="164">
        <v>0.05</v>
      </c>
    </row>
    <row r="125" spans="1:15" ht="30" customHeight="1" x14ac:dyDescent="0.35">
      <c r="A125" s="158" t="s">
        <v>1030</v>
      </c>
      <c r="B125" s="101">
        <v>796</v>
      </c>
      <c r="C125" s="101">
        <v>1050000961361</v>
      </c>
      <c r="D125" s="159" t="s">
        <v>1030</v>
      </c>
      <c r="E125" s="101">
        <v>797</v>
      </c>
      <c r="F125" s="101">
        <v>1050000961370</v>
      </c>
      <c r="G125" s="165" t="s">
        <v>1226</v>
      </c>
      <c r="H125" s="160">
        <v>0.441</v>
      </c>
      <c r="I125" s="161">
        <v>15.6</v>
      </c>
      <c r="J125" s="161">
        <v>3.77</v>
      </c>
      <c r="K125" s="161">
        <v>3.77</v>
      </c>
      <c r="L125" s="162">
        <v>0</v>
      </c>
      <c r="M125" s="163">
        <v>3391.99</v>
      </c>
      <c r="N125" s="164">
        <v>0.05</v>
      </c>
      <c r="O125" s="164">
        <v>0.05</v>
      </c>
    </row>
    <row r="126" spans="1:15" ht="30" customHeight="1" x14ac:dyDescent="0.35">
      <c r="A126" s="158" t="s">
        <v>1031</v>
      </c>
      <c r="B126" s="101">
        <v>892</v>
      </c>
      <c r="C126" s="101">
        <v>1050000543223</v>
      </c>
      <c r="D126" s="159" t="s">
        <v>1031</v>
      </c>
      <c r="E126" s="101">
        <v>797</v>
      </c>
      <c r="F126" s="101">
        <v>1050000543241</v>
      </c>
      <c r="G126" s="165" t="s">
        <v>1227</v>
      </c>
      <c r="H126" s="160">
        <v>2.6190000000000002</v>
      </c>
      <c r="I126" s="161">
        <v>37.18</v>
      </c>
      <c r="J126" s="161">
        <v>2.58</v>
      </c>
      <c r="K126" s="161">
        <v>2.58</v>
      </c>
      <c r="L126" s="162">
        <v>0</v>
      </c>
      <c r="M126" s="163">
        <v>5131.5</v>
      </c>
      <c r="N126" s="164">
        <v>0.05</v>
      </c>
      <c r="O126" s="164">
        <v>0.05</v>
      </c>
    </row>
    <row r="127" spans="1:15" ht="30" customHeight="1" x14ac:dyDescent="0.35">
      <c r="A127" s="158" t="s">
        <v>1032</v>
      </c>
      <c r="B127" s="101">
        <v>891</v>
      </c>
      <c r="C127" s="101">
        <v>1050000589956</v>
      </c>
      <c r="D127" s="159" t="s">
        <v>1032</v>
      </c>
      <c r="E127" s="101">
        <v>765</v>
      </c>
      <c r="F127" s="101">
        <v>1050000579266</v>
      </c>
      <c r="G127" s="165" t="s">
        <v>1228</v>
      </c>
      <c r="H127" s="160">
        <v>1.2210000000000001</v>
      </c>
      <c r="I127" s="161">
        <v>3.56</v>
      </c>
      <c r="J127" s="161">
        <v>3.13</v>
      </c>
      <c r="K127" s="161">
        <v>3.13</v>
      </c>
      <c r="L127" s="162">
        <v>0</v>
      </c>
      <c r="M127" s="163">
        <v>355.66</v>
      </c>
      <c r="N127" s="164">
        <v>0.05</v>
      </c>
      <c r="O127" s="164">
        <v>0.05</v>
      </c>
    </row>
    <row r="128" spans="1:15" ht="30" customHeight="1" x14ac:dyDescent="0.35">
      <c r="A128" s="158" t="s">
        <v>1033</v>
      </c>
      <c r="B128" s="101">
        <v>537</v>
      </c>
      <c r="C128" s="101">
        <v>1050000810928</v>
      </c>
      <c r="D128" s="159" t="s">
        <v>1033</v>
      </c>
      <c r="E128" s="101">
        <v>469</v>
      </c>
      <c r="F128" s="101">
        <v>1050000810937</v>
      </c>
      <c r="G128" s="165" t="s">
        <v>1229</v>
      </c>
      <c r="H128" s="160">
        <v>0</v>
      </c>
      <c r="I128" s="161">
        <v>8.6999999999999993</v>
      </c>
      <c r="J128" s="161">
        <v>2.23</v>
      </c>
      <c r="K128" s="161">
        <v>2.23</v>
      </c>
      <c r="L128" s="162">
        <v>0</v>
      </c>
      <c r="M128" s="163">
        <v>782.6</v>
      </c>
      <c r="N128" s="164">
        <v>0.05</v>
      </c>
      <c r="O128" s="164">
        <v>0.05</v>
      </c>
    </row>
    <row r="129" spans="1:15" ht="30" customHeight="1" x14ac:dyDescent="0.35">
      <c r="A129" s="158" t="s">
        <v>1034</v>
      </c>
      <c r="B129" s="101">
        <v>1638</v>
      </c>
      <c r="C129" s="101" t="s">
        <v>1230</v>
      </c>
      <c r="D129" s="159"/>
      <c r="E129" s="101"/>
      <c r="F129" s="101"/>
      <c r="G129" s="165" t="s">
        <v>1216</v>
      </c>
      <c r="H129" s="160">
        <v>0</v>
      </c>
      <c r="I129" s="161">
        <v>0</v>
      </c>
      <c r="J129" s="161">
        <v>0.81</v>
      </c>
      <c r="K129" s="161">
        <v>0.81</v>
      </c>
      <c r="L129" s="162">
        <v>0</v>
      </c>
      <c r="M129" s="163">
        <v>0</v>
      </c>
      <c r="N129" s="164">
        <v>0</v>
      </c>
      <c r="O129" s="164">
        <v>0</v>
      </c>
    </row>
    <row r="130" spans="1:15" ht="30" customHeight="1" x14ac:dyDescent="0.35">
      <c r="A130" s="158" t="s">
        <v>1035</v>
      </c>
      <c r="B130" s="101">
        <v>893</v>
      </c>
      <c r="C130" s="101">
        <v>1050000574667</v>
      </c>
      <c r="D130" s="159" t="s">
        <v>1035</v>
      </c>
      <c r="E130" s="101">
        <v>730</v>
      </c>
      <c r="F130" s="101">
        <v>1050000574676</v>
      </c>
      <c r="G130" s="165" t="s">
        <v>1231</v>
      </c>
      <c r="H130" s="160">
        <v>6.5000000000000002E-2</v>
      </c>
      <c r="I130" s="161">
        <v>3.54</v>
      </c>
      <c r="J130" s="161">
        <v>4.59</v>
      </c>
      <c r="K130" s="161">
        <v>4.59</v>
      </c>
      <c r="L130" s="162">
        <v>0</v>
      </c>
      <c r="M130" s="163">
        <v>531.29999999999995</v>
      </c>
      <c r="N130" s="164">
        <v>0.05</v>
      </c>
      <c r="O130" s="164">
        <v>0.05</v>
      </c>
    </row>
    <row r="131" spans="1:15" ht="30" customHeight="1" x14ac:dyDescent="0.35">
      <c r="A131" s="158" t="s">
        <v>1036</v>
      </c>
      <c r="B131" s="101">
        <v>771</v>
      </c>
      <c r="C131" s="101">
        <v>1030062915127</v>
      </c>
      <c r="D131" s="159"/>
      <c r="E131" s="101"/>
      <c r="F131" s="101"/>
      <c r="G131" s="165" t="s">
        <v>1232</v>
      </c>
      <c r="H131" s="160">
        <v>0.82899999999999996</v>
      </c>
      <c r="I131" s="161">
        <v>89.16</v>
      </c>
      <c r="J131" s="161">
        <v>1.1499999999999999</v>
      </c>
      <c r="K131" s="161">
        <v>1.1499999999999999</v>
      </c>
      <c r="L131" s="162">
        <v>0</v>
      </c>
      <c r="M131" s="163">
        <v>0</v>
      </c>
      <c r="N131" s="164">
        <v>0</v>
      </c>
      <c r="O131" s="164">
        <v>0</v>
      </c>
    </row>
    <row r="132" spans="1:15" ht="30" customHeight="1" x14ac:dyDescent="0.35">
      <c r="A132" s="158" t="s">
        <v>1037</v>
      </c>
      <c r="B132" s="101">
        <v>771</v>
      </c>
      <c r="C132" s="101" t="s">
        <v>1315</v>
      </c>
      <c r="D132" s="159"/>
      <c r="E132" s="101"/>
      <c r="F132" s="101"/>
      <c r="G132" s="165" t="s">
        <v>1233</v>
      </c>
      <c r="H132" s="160">
        <v>0</v>
      </c>
      <c r="I132" s="161">
        <v>178.32</v>
      </c>
      <c r="J132" s="161">
        <v>2.35</v>
      </c>
      <c r="K132" s="161">
        <v>2.35</v>
      </c>
      <c r="L132" s="162">
        <v>0</v>
      </c>
      <c r="M132" s="163">
        <v>0</v>
      </c>
      <c r="N132" s="164">
        <v>0</v>
      </c>
      <c r="O132" s="164">
        <v>0</v>
      </c>
    </row>
    <row r="133" spans="1:15" ht="30" customHeight="1" x14ac:dyDescent="0.35">
      <c r="A133" s="158" t="s">
        <v>1038</v>
      </c>
      <c r="B133" s="101">
        <v>828</v>
      </c>
      <c r="C133" s="101" t="s">
        <v>1316</v>
      </c>
      <c r="D133" s="159"/>
      <c r="E133" s="101"/>
      <c r="F133" s="101"/>
      <c r="G133" s="165" t="s">
        <v>1234</v>
      </c>
      <c r="H133" s="160">
        <v>2E-3</v>
      </c>
      <c r="I133" s="161">
        <v>3304.16</v>
      </c>
      <c r="J133" s="161">
        <v>2.87</v>
      </c>
      <c r="K133" s="161">
        <v>2.87</v>
      </c>
      <c r="L133" s="162">
        <v>0</v>
      </c>
      <c r="M133" s="163">
        <v>0</v>
      </c>
      <c r="N133" s="164">
        <v>0</v>
      </c>
      <c r="O133" s="164">
        <v>0</v>
      </c>
    </row>
    <row r="134" spans="1:15" ht="30" customHeight="1" x14ac:dyDescent="0.35">
      <c r="A134" s="158" t="s">
        <v>1039</v>
      </c>
      <c r="B134" s="101">
        <v>807</v>
      </c>
      <c r="C134" s="101">
        <v>1014569560220</v>
      </c>
      <c r="D134" s="159"/>
      <c r="E134" s="101"/>
      <c r="F134" s="101"/>
      <c r="G134" s="165" t="s">
        <v>1235</v>
      </c>
      <c r="H134" s="160">
        <v>1.014</v>
      </c>
      <c r="I134" s="161">
        <v>4648.75</v>
      </c>
      <c r="J134" s="161">
        <v>2.65</v>
      </c>
      <c r="K134" s="161">
        <v>2.65</v>
      </c>
      <c r="L134" s="162">
        <v>0</v>
      </c>
      <c r="M134" s="163">
        <v>0</v>
      </c>
      <c r="N134" s="164">
        <v>0</v>
      </c>
      <c r="O134" s="164">
        <v>0</v>
      </c>
    </row>
    <row r="135" spans="1:15" ht="65.099999999999994" customHeight="1" x14ac:dyDescent="0.35">
      <c r="A135" s="158" t="s">
        <v>1040</v>
      </c>
      <c r="B135" s="101">
        <v>771</v>
      </c>
      <c r="C135" s="101" t="s">
        <v>1317</v>
      </c>
      <c r="D135" s="159"/>
      <c r="E135" s="101"/>
      <c r="F135" s="101"/>
      <c r="G135" s="165" t="s">
        <v>1360</v>
      </c>
      <c r="H135" s="160">
        <v>1E-3</v>
      </c>
      <c r="I135" s="161">
        <v>356.64</v>
      </c>
      <c r="J135" s="161">
        <v>1.88</v>
      </c>
      <c r="K135" s="161">
        <v>1.88</v>
      </c>
      <c r="L135" s="162">
        <v>0</v>
      </c>
      <c r="M135" s="163">
        <v>0</v>
      </c>
      <c r="N135" s="164">
        <v>0</v>
      </c>
      <c r="O135" s="164">
        <v>0</v>
      </c>
    </row>
    <row r="136" spans="1:15" ht="30" customHeight="1" x14ac:dyDescent="0.35">
      <c r="A136" s="158" t="s">
        <v>1041</v>
      </c>
      <c r="B136" s="101">
        <v>894</v>
      </c>
      <c r="C136" s="101">
        <v>1050000599909</v>
      </c>
      <c r="D136" s="159" t="s">
        <v>1041</v>
      </c>
      <c r="E136" s="101">
        <v>731</v>
      </c>
      <c r="F136" s="101">
        <v>1050000599893</v>
      </c>
      <c r="G136" s="165" t="s">
        <v>1236</v>
      </c>
      <c r="H136" s="160">
        <v>5.5E-2</v>
      </c>
      <c r="I136" s="161">
        <v>6.69</v>
      </c>
      <c r="J136" s="161">
        <v>9.43</v>
      </c>
      <c r="K136" s="161">
        <v>9.43</v>
      </c>
      <c r="L136" s="162">
        <v>0</v>
      </c>
      <c r="M136" s="163">
        <v>993.58</v>
      </c>
      <c r="N136" s="164">
        <v>0.05</v>
      </c>
      <c r="O136" s="164">
        <v>0.05</v>
      </c>
    </row>
    <row r="137" spans="1:15" ht="30" customHeight="1" x14ac:dyDescent="0.35">
      <c r="A137" s="158" t="s">
        <v>1042</v>
      </c>
      <c r="B137" s="101">
        <v>840</v>
      </c>
      <c r="C137" s="101">
        <v>1023478020044</v>
      </c>
      <c r="D137" s="159" t="s">
        <v>1042</v>
      </c>
      <c r="E137" s="101">
        <v>722</v>
      </c>
      <c r="F137" s="101">
        <v>1023545945010</v>
      </c>
      <c r="G137" s="165" t="s">
        <v>1237</v>
      </c>
      <c r="H137" s="160">
        <v>0</v>
      </c>
      <c r="I137" s="161">
        <v>6868.49</v>
      </c>
      <c r="J137" s="161">
        <v>3.24</v>
      </c>
      <c r="K137" s="161">
        <v>3.24</v>
      </c>
      <c r="L137" s="162">
        <v>0</v>
      </c>
      <c r="M137" s="163">
        <v>0.01</v>
      </c>
      <c r="N137" s="164">
        <v>0.05</v>
      </c>
      <c r="O137" s="164">
        <v>0.05</v>
      </c>
    </row>
    <row r="138" spans="1:15" ht="30" customHeight="1" x14ac:dyDescent="0.35">
      <c r="A138" s="158" t="s">
        <v>1043</v>
      </c>
      <c r="B138" s="101">
        <v>842</v>
      </c>
      <c r="C138" s="101" t="s">
        <v>1318</v>
      </c>
      <c r="D138" s="159" t="s">
        <v>1043</v>
      </c>
      <c r="E138" s="101">
        <v>720</v>
      </c>
      <c r="F138" s="101" t="s">
        <v>1319</v>
      </c>
      <c r="G138" s="165" t="s">
        <v>1237</v>
      </c>
      <c r="H138" s="160">
        <v>1E-3</v>
      </c>
      <c r="I138" s="161">
        <v>5396.68</v>
      </c>
      <c r="J138" s="161">
        <v>6.36</v>
      </c>
      <c r="K138" s="161">
        <v>6.36</v>
      </c>
      <c r="L138" s="162">
        <v>0</v>
      </c>
      <c r="M138" s="163">
        <v>1471.82</v>
      </c>
      <c r="N138" s="164">
        <v>0.05</v>
      </c>
      <c r="O138" s="164">
        <v>0.05</v>
      </c>
    </row>
    <row r="139" spans="1:15" ht="30" customHeight="1" x14ac:dyDescent="0.35">
      <c r="A139" s="158" t="s">
        <v>1044</v>
      </c>
      <c r="B139" s="101">
        <v>843</v>
      </c>
      <c r="C139" s="101">
        <v>1014572578742</v>
      </c>
      <c r="D139" s="159" t="s">
        <v>1044</v>
      </c>
      <c r="E139" s="101">
        <v>721</v>
      </c>
      <c r="F139" s="101">
        <v>1023545945029</v>
      </c>
      <c r="G139" s="165" t="s">
        <v>1237</v>
      </c>
      <c r="H139" s="160">
        <v>0</v>
      </c>
      <c r="I139" s="161">
        <v>6868.5</v>
      </c>
      <c r="J139" s="161">
        <v>5.72</v>
      </c>
      <c r="K139" s="161">
        <v>5.72</v>
      </c>
      <c r="L139" s="162">
        <v>0</v>
      </c>
      <c r="M139" s="163">
        <v>0</v>
      </c>
      <c r="N139" s="164">
        <v>0.05</v>
      </c>
      <c r="O139" s="164">
        <v>0.05</v>
      </c>
    </row>
    <row r="140" spans="1:15" ht="30" customHeight="1" x14ac:dyDescent="0.35">
      <c r="A140" s="158" t="s">
        <v>1045</v>
      </c>
      <c r="B140" s="101">
        <v>844</v>
      </c>
      <c r="C140" s="101">
        <v>1014573096936</v>
      </c>
      <c r="D140" s="159"/>
      <c r="E140" s="101"/>
      <c r="F140" s="101"/>
      <c r="G140" s="165" t="s">
        <v>1237</v>
      </c>
      <c r="H140" s="160">
        <v>0</v>
      </c>
      <c r="I140" s="161">
        <v>3434.25</v>
      </c>
      <c r="J140" s="161">
        <v>1.17</v>
      </c>
      <c r="K140" s="161">
        <v>1.17</v>
      </c>
      <c r="L140" s="162">
        <v>0</v>
      </c>
      <c r="M140" s="163">
        <v>0</v>
      </c>
      <c r="N140" s="164">
        <v>0</v>
      </c>
      <c r="O140" s="164">
        <v>0</v>
      </c>
    </row>
    <row r="141" spans="1:15" ht="30" customHeight="1" x14ac:dyDescent="0.35">
      <c r="A141" s="158" t="s">
        <v>1046</v>
      </c>
      <c r="B141" s="101">
        <v>845</v>
      </c>
      <c r="C141" s="101">
        <v>1014572986535</v>
      </c>
      <c r="D141" s="159"/>
      <c r="E141" s="101"/>
      <c r="F141" s="101"/>
      <c r="G141" s="165" t="s">
        <v>1237</v>
      </c>
      <c r="H141" s="160">
        <v>1E-3</v>
      </c>
      <c r="I141" s="161">
        <v>6868.5</v>
      </c>
      <c r="J141" s="161">
        <v>4.92</v>
      </c>
      <c r="K141" s="161">
        <v>4.92</v>
      </c>
      <c r="L141" s="162">
        <v>0</v>
      </c>
      <c r="M141" s="163">
        <v>0</v>
      </c>
      <c r="N141" s="164">
        <v>0</v>
      </c>
      <c r="O141" s="164">
        <v>0</v>
      </c>
    </row>
    <row r="142" spans="1:15" ht="30" customHeight="1" x14ac:dyDescent="0.35">
      <c r="A142" s="158" t="s">
        <v>1047</v>
      </c>
      <c r="B142" s="101">
        <v>846</v>
      </c>
      <c r="C142" s="101">
        <v>1014572901666</v>
      </c>
      <c r="D142" s="159"/>
      <c r="E142" s="101"/>
      <c r="F142" s="101"/>
      <c r="G142" s="165" t="s">
        <v>1237</v>
      </c>
      <c r="H142" s="160">
        <v>0</v>
      </c>
      <c r="I142" s="161">
        <v>3434.25</v>
      </c>
      <c r="J142" s="161">
        <v>2.44</v>
      </c>
      <c r="K142" s="161">
        <v>2.44</v>
      </c>
      <c r="L142" s="162">
        <v>0</v>
      </c>
      <c r="M142" s="163">
        <v>0</v>
      </c>
      <c r="N142" s="164">
        <v>0</v>
      </c>
      <c r="O142" s="164">
        <v>0</v>
      </c>
    </row>
    <row r="143" spans="1:15" ht="30" customHeight="1" x14ac:dyDescent="0.35">
      <c r="A143" s="158" t="s">
        <v>1048</v>
      </c>
      <c r="B143" s="101">
        <v>847</v>
      </c>
      <c r="C143" s="101">
        <v>1014572780683</v>
      </c>
      <c r="D143" s="159"/>
      <c r="E143" s="101"/>
      <c r="F143" s="101"/>
      <c r="G143" s="165" t="s">
        <v>1237</v>
      </c>
      <c r="H143" s="160">
        <v>0</v>
      </c>
      <c r="I143" s="161">
        <v>9495.3799999999992</v>
      </c>
      <c r="J143" s="161">
        <v>2.73</v>
      </c>
      <c r="K143" s="161">
        <v>2.73</v>
      </c>
      <c r="L143" s="162">
        <v>0</v>
      </c>
      <c r="M143" s="163">
        <v>0</v>
      </c>
      <c r="N143" s="164">
        <v>0</v>
      </c>
      <c r="O143" s="164">
        <v>0</v>
      </c>
    </row>
    <row r="144" spans="1:15" ht="30" customHeight="1" x14ac:dyDescent="0.35">
      <c r="A144" s="158" t="s">
        <v>1049</v>
      </c>
      <c r="B144" s="101">
        <v>848</v>
      </c>
      <c r="C144" s="101">
        <v>1014572821160</v>
      </c>
      <c r="D144" s="159" t="s">
        <v>1049</v>
      </c>
      <c r="E144" s="101">
        <v>723</v>
      </c>
      <c r="F144" s="101">
        <v>1023545947499</v>
      </c>
      <c r="G144" s="165" t="s">
        <v>1237</v>
      </c>
      <c r="H144" s="160">
        <v>1.4E-2</v>
      </c>
      <c r="I144" s="161">
        <v>3434.25</v>
      </c>
      <c r="J144" s="161">
        <v>3.86</v>
      </c>
      <c r="K144" s="161">
        <v>3.86</v>
      </c>
      <c r="L144" s="162">
        <v>0</v>
      </c>
      <c r="M144" s="163">
        <v>0</v>
      </c>
      <c r="N144" s="164">
        <v>0.05</v>
      </c>
      <c r="O144" s="164">
        <v>0.05</v>
      </c>
    </row>
    <row r="145" spans="1:15" ht="30" customHeight="1" x14ac:dyDescent="0.35">
      <c r="A145" s="158" t="s">
        <v>1050</v>
      </c>
      <c r="B145" s="101">
        <v>849</v>
      </c>
      <c r="C145" s="101">
        <v>1014573017580</v>
      </c>
      <c r="D145" s="159"/>
      <c r="E145" s="101"/>
      <c r="F145" s="101"/>
      <c r="G145" s="165" t="s">
        <v>1237</v>
      </c>
      <c r="H145" s="160">
        <v>4.0000000000000001E-3</v>
      </c>
      <c r="I145" s="161">
        <v>7896.83</v>
      </c>
      <c r="J145" s="161">
        <v>2.84</v>
      </c>
      <c r="K145" s="161">
        <v>2.84</v>
      </c>
      <c r="L145" s="162">
        <v>0</v>
      </c>
      <c r="M145" s="163">
        <v>0</v>
      </c>
      <c r="N145" s="164">
        <v>0</v>
      </c>
      <c r="O145" s="164">
        <v>0</v>
      </c>
    </row>
    <row r="146" spans="1:15" ht="30" customHeight="1" x14ac:dyDescent="0.35">
      <c r="A146" s="158" t="s">
        <v>1051</v>
      </c>
      <c r="B146" s="101">
        <v>850</v>
      </c>
      <c r="C146" s="101">
        <v>1014572876363</v>
      </c>
      <c r="D146" s="159" t="s">
        <v>1051</v>
      </c>
      <c r="E146" s="101">
        <v>724</v>
      </c>
      <c r="F146" s="101">
        <v>1023545944902</v>
      </c>
      <c r="G146" s="165" t="s">
        <v>1237</v>
      </c>
      <c r="H146" s="160">
        <v>0</v>
      </c>
      <c r="I146" s="161">
        <v>3434.24</v>
      </c>
      <c r="J146" s="161">
        <v>4.12</v>
      </c>
      <c r="K146" s="161">
        <v>4.12</v>
      </c>
      <c r="L146" s="162">
        <v>0</v>
      </c>
      <c r="M146" s="163">
        <v>0.01</v>
      </c>
      <c r="N146" s="164">
        <v>0.05</v>
      </c>
      <c r="O146" s="164">
        <v>0.05</v>
      </c>
    </row>
    <row r="147" spans="1:15" ht="30" customHeight="1" x14ac:dyDescent="0.35">
      <c r="A147" s="158" t="s">
        <v>1052</v>
      </c>
      <c r="B147" s="101">
        <v>851</v>
      </c>
      <c r="C147" s="101">
        <v>1014573170075</v>
      </c>
      <c r="D147" s="159"/>
      <c r="E147" s="101"/>
      <c r="F147" s="101"/>
      <c r="G147" s="165" t="s">
        <v>1237</v>
      </c>
      <c r="H147" s="160">
        <v>0</v>
      </c>
      <c r="I147" s="161">
        <v>3434.25</v>
      </c>
      <c r="J147" s="161">
        <v>4.09</v>
      </c>
      <c r="K147" s="161">
        <v>4.09</v>
      </c>
      <c r="L147" s="162">
        <v>0</v>
      </c>
      <c r="M147" s="163">
        <v>0</v>
      </c>
      <c r="N147" s="164">
        <v>0</v>
      </c>
      <c r="O147" s="164">
        <v>0</v>
      </c>
    </row>
    <row r="148" spans="1:15" ht="30" customHeight="1" x14ac:dyDescent="0.35">
      <c r="A148" s="158" t="s">
        <v>1053</v>
      </c>
      <c r="B148" s="101">
        <v>852</v>
      </c>
      <c r="C148" s="101">
        <v>1014573010682</v>
      </c>
      <c r="D148" s="159" t="s">
        <v>1053</v>
      </c>
      <c r="E148" s="101">
        <v>725</v>
      </c>
      <c r="F148" s="101">
        <v>1023545944911</v>
      </c>
      <c r="G148" s="165" t="s">
        <v>1237</v>
      </c>
      <c r="H148" s="160">
        <v>1.0999999999999999E-2</v>
      </c>
      <c r="I148" s="161">
        <v>6868.5</v>
      </c>
      <c r="J148" s="161">
        <v>3.66</v>
      </c>
      <c r="K148" s="161">
        <v>3.66</v>
      </c>
      <c r="L148" s="162">
        <v>0</v>
      </c>
      <c r="M148" s="163">
        <v>0.01</v>
      </c>
      <c r="N148" s="164">
        <v>0.05</v>
      </c>
      <c r="O148" s="164">
        <v>0.05</v>
      </c>
    </row>
    <row r="149" spans="1:15" ht="30" customHeight="1" x14ac:dyDescent="0.35">
      <c r="A149" s="158" t="s">
        <v>1054</v>
      </c>
      <c r="B149" s="101">
        <v>853</v>
      </c>
      <c r="C149" s="101">
        <v>1014572632104</v>
      </c>
      <c r="D149" s="159"/>
      <c r="E149" s="101"/>
      <c r="F149" s="101"/>
      <c r="G149" s="165" t="s">
        <v>1237</v>
      </c>
      <c r="H149" s="160">
        <v>0</v>
      </c>
      <c r="I149" s="161">
        <v>6868.5</v>
      </c>
      <c r="J149" s="161">
        <v>2.8</v>
      </c>
      <c r="K149" s="161">
        <v>2.8</v>
      </c>
      <c r="L149" s="162">
        <v>0</v>
      </c>
      <c r="M149" s="163">
        <v>0</v>
      </c>
      <c r="N149" s="164">
        <v>0</v>
      </c>
      <c r="O149" s="164">
        <v>0</v>
      </c>
    </row>
    <row r="150" spans="1:15" ht="30" customHeight="1" x14ac:dyDescent="0.35">
      <c r="A150" s="158" t="s">
        <v>1055</v>
      </c>
      <c r="B150" s="101">
        <v>855</v>
      </c>
      <c r="C150" s="101">
        <v>1014572682017</v>
      </c>
      <c r="D150" s="159" t="s">
        <v>1055</v>
      </c>
      <c r="E150" s="101">
        <v>727</v>
      </c>
      <c r="F150" s="101">
        <v>1023545944920</v>
      </c>
      <c r="G150" s="165" t="s">
        <v>1237</v>
      </c>
      <c r="H150" s="160">
        <v>0</v>
      </c>
      <c r="I150" s="161">
        <v>6868.5</v>
      </c>
      <c r="J150" s="161">
        <v>6.32</v>
      </c>
      <c r="K150" s="161">
        <v>6.32</v>
      </c>
      <c r="L150" s="162">
        <v>0</v>
      </c>
      <c r="M150" s="163">
        <v>0</v>
      </c>
      <c r="N150" s="164">
        <v>0.05</v>
      </c>
      <c r="O150" s="164">
        <v>0.05</v>
      </c>
    </row>
    <row r="151" spans="1:15" ht="30" customHeight="1" x14ac:dyDescent="0.35">
      <c r="A151" s="158" t="s">
        <v>1056</v>
      </c>
      <c r="B151" s="101">
        <v>854</v>
      </c>
      <c r="C151" s="101">
        <v>1023478597119</v>
      </c>
      <c r="D151" s="159" t="s">
        <v>1056</v>
      </c>
      <c r="E151" s="101">
        <v>726</v>
      </c>
      <c r="F151" s="101">
        <v>1023545945056</v>
      </c>
      <c r="G151" s="165" t="s">
        <v>1237</v>
      </c>
      <c r="H151" s="160">
        <v>3.0000000000000001E-3</v>
      </c>
      <c r="I151" s="161">
        <v>6868.5</v>
      </c>
      <c r="J151" s="161">
        <v>3.65</v>
      </c>
      <c r="K151" s="161">
        <v>3.65</v>
      </c>
      <c r="L151" s="162">
        <v>0</v>
      </c>
      <c r="M151" s="163">
        <v>0</v>
      </c>
      <c r="N151" s="164">
        <v>0.05</v>
      </c>
      <c r="O151" s="164">
        <v>0.05</v>
      </c>
    </row>
    <row r="152" spans="1:15" ht="30" customHeight="1" x14ac:dyDescent="0.35">
      <c r="A152" s="158" t="s">
        <v>1057</v>
      </c>
      <c r="B152" s="101">
        <v>856</v>
      </c>
      <c r="C152" s="101">
        <v>1014572602660</v>
      </c>
      <c r="D152" s="159" t="s">
        <v>1057</v>
      </c>
      <c r="E152" s="101">
        <v>728</v>
      </c>
      <c r="F152" s="101">
        <v>1023545944930</v>
      </c>
      <c r="G152" s="165" t="s">
        <v>1237</v>
      </c>
      <c r="H152" s="160">
        <v>0</v>
      </c>
      <c r="I152" s="161">
        <v>6868.5</v>
      </c>
      <c r="J152" s="161">
        <v>3.2</v>
      </c>
      <c r="K152" s="161">
        <v>3.2</v>
      </c>
      <c r="L152" s="162">
        <v>0</v>
      </c>
      <c r="M152" s="163">
        <v>0</v>
      </c>
      <c r="N152" s="164">
        <v>0.05</v>
      </c>
      <c r="O152" s="164">
        <v>0.05</v>
      </c>
    </row>
    <row r="153" spans="1:15" ht="30" customHeight="1" x14ac:dyDescent="0.35">
      <c r="A153" s="158" t="s">
        <v>1058</v>
      </c>
      <c r="B153" s="101">
        <v>857</v>
      </c>
      <c r="C153" s="101">
        <v>1014572719730</v>
      </c>
      <c r="D153" s="159" t="s">
        <v>1058</v>
      </c>
      <c r="E153" s="101">
        <v>729</v>
      </c>
      <c r="F153" s="101">
        <v>1023545947968</v>
      </c>
      <c r="G153" s="165" t="s">
        <v>1237</v>
      </c>
      <c r="H153" s="160">
        <v>0</v>
      </c>
      <c r="I153" s="161">
        <v>6868.49</v>
      </c>
      <c r="J153" s="161">
        <v>4.34</v>
      </c>
      <c r="K153" s="161">
        <v>4.34</v>
      </c>
      <c r="L153" s="162">
        <v>0</v>
      </c>
      <c r="M153" s="163">
        <v>0.01</v>
      </c>
      <c r="N153" s="164">
        <v>0.05</v>
      </c>
      <c r="O153" s="164">
        <v>0.05</v>
      </c>
    </row>
    <row r="154" spans="1:15" ht="30" customHeight="1" x14ac:dyDescent="0.35">
      <c r="A154" s="158" t="s">
        <v>1059</v>
      </c>
      <c r="B154" s="101">
        <v>858</v>
      </c>
      <c r="C154" s="101">
        <v>1014572853366</v>
      </c>
      <c r="D154" s="159"/>
      <c r="E154" s="101"/>
      <c r="F154" s="101"/>
      <c r="G154" s="165" t="s">
        <v>1237</v>
      </c>
      <c r="H154" s="160">
        <v>0</v>
      </c>
      <c r="I154" s="161">
        <v>8120.61</v>
      </c>
      <c r="J154" s="161">
        <v>2.15</v>
      </c>
      <c r="K154" s="161">
        <v>2.15</v>
      </c>
      <c r="L154" s="162">
        <v>0</v>
      </c>
      <c r="M154" s="163">
        <v>0</v>
      </c>
      <c r="N154" s="164">
        <v>0</v>
      </c>
      <c r="O154" s="164">
        <v>0</v>
      </c>
    </row>
    <row r="155" spans="1:15" ht="30" customHeight="1" x14ac:dyDescent="0.35">
      <c r="A155" s="158" t="s">
        <v>1060</v>
      </c>
      <c r="B155" s="101">
        <v>859</v>
      </c>
      <c r="C155" s="101">
        <v>1014573142245</v>
      </c>
      <c r="D155" s="159"/>
      <c r="E155" s="101"/>
      <c r="F155" s="101"/>
      <c r="G155" s="165" t="s">
        <v>1237</v>
      </c>
      <c r="H155" s="160">
        <v>0</v>
      </c>
      <c r="I155" s="161">
        <v>6868.5</v>
      </c>
      <c r="J155" s="161">
        <v>2.31</v>
      </c>
      <c r="K155" s="161">
        <v>2.31</v>
      </c>
      <c r="L155" s="162">
        <v>0</v>
      </c>
      <c r="M155" s="163">
        <v>0</v>
      </c>
      <c r="N155" s="164">
        <v>0</v>
      </c>
      <c r="O155" s="164">
        <v>0</v>
      </c>
    </row>
    <row r="156" spans="1:15" ht="30" customHeight="1" x14ac:dyDescent="0.35">
      <c r="A156" s="158" t="s">
        <v>1061</v>
      </c>
      <c r="B156" s="101">
        <v>860</v>
      </c>
      <c r="C156" s="101">
        <v>1014573113954</v>
      </c>
      <c r="D156" s="159"/>
      <c r="E156" s="101"/>
      <c r="F156" s="101"/>
      <c r="G156" s="165" t="s">
        <v>1237</v>
      </c>
      <c r="H156" s="160">
        <v>6.0000000000000001E-3</v>
      </c>
      <c r="I156" s="161">
        <v>3434.25</v>
      </c>
      <c r="J156" s="161">
        <v>3.76</v>
      </c>
      <c r="K156" s="161">
        <v>3.76</v>
      </c>
      <c r="L156" s="162">
        <v>0</v>
      </c>
      <c r="M156" s="163">
        <v>0</v>
      </c>
      <c r="N156" s="164">
        <v>0</v>
      </c>
      <c r="O156" s="164">
        <v>0</v>
      </c>
    </row>
    <row r="157" spans="1:15" ht="30" customHeight="1" x14ac:dyDescent="0.35">
      <c r="A157" s="158" t="s">
        <v>1062</v>
      </c>
      <c r="B157" s="101">
        <v>861</v>
      </c>
      <c r="C157" s="101">
        <v>1014572501466</v>
      </c>
      <c r="D157" s="159"/>
      <c r="E157" s="101"/>
      <c r="F157" s="101"/>
      <c r="G157" s="165" t="s">
        <v>1237</v>
      </c>
      <c r="H157" s="160">
        <v>0.04</v>
      </c>
      <c r="I157" s="161">
        <v>6868.5</v>
      </c>
      <c r="J157" s="161">
        <v>5.18</v>
      </c>
      <c r="K157" s="161">
        <v>5.18</v>
      </c>
      <c r="L157" s="162">
        <v>0</v>
      </c>
      <c r="M157" s="163">
        <v>0</v>
      </c>
      <c r="N157" s="164">
        <v>0</v>
      </c>
      <c r="O157" s="164">
        <v>0</v>
      </c>
    </row>
    <row r="158" spans="1:15" ht="30" customHeight="1" x14ac:dyDescent="0.35">
      <c r="A158" s="158" t="s">
        <v>1063</v>
      </c>
      <c r="B158" s="101">
        <v>771</v>
      </c>
      <c r="C158" s="101" t="s">
        <v>1320</v>
      </c>
      <c r="D158" s="159"/>
      <c r="E158" s="101"/>
      <c r="F158" s="101"/>
      <c r="G158" s="165" t="s">
        <v>1238</v>
      </c>
      <c r="H158" s="160">
        <v>7.2169999999999996</v>
      </c>
      <c r="I158" s="161">
        <v>178.32</v>
      </c>
      <c r="J158" s="161">
        <v>1.28</v>
      </c>
      <c r="K158" s="161">
        <v>1.28</v>
      </c>
      <c r="L158" s="162">
        <v>0</v>
      </c>
      <c r="M158" s="163">
        <v>0</v>
      </c>
      <c r="N158" s="164">
        <v>0</v>
      </c>
      <c r="O158" s="164">
        <v>0</v>
      </c>
    </row>
    <row r="159" spans="1:15" ht="30" customHeight="1" x14ac:dyDescent="0.35">
      <c r="A159" s="158" t="s">
        <v>1064</v>
      </c>
      <c r="B159" s="101">
        <v>890</v>
      </c>
      <c r="C159" s="101">
        <v>1050000588206</v>
      </c>
      <c r="D159" s="159" t="s">
        <v>1064</v>
      </c>
      <c r="E159" s="101">
        <v>764</v>
      </c>
      <c r="F159" s="101">
        <v>1050000588215</v>
      </c>
      <c r="G159" s="165" t="s">
        <v>1239</v>
      </c>
      <c r="H159" s="160">
        <v>2.7080000000000002</v>
      </c>
      <c r="I159" s="161">
        <v>3.66</v>
      </c>
      <c r="J159" s="161">
        <v>3.32</v>
      </c>
      <c r="K159" s="161">
        <v>3.32</v>
      </c>
      <c r="L159" s="162">
        <v>0</v>
      </c>
      <c r="M159" s="163">
        <v>533.77</v>
      </c>
      <c r="N159" s="164">
        <v>0.05</v>
      </c>
      <c r="O159" s="164">
        <v>0.05</v>
      </c>
    </row>
    <row r="160" spans="1:15" ht="30" customHeight="1" x14ac:dyDescent="0.35">
      <c r="A160" s="158" t="s">
        <v>1065</v>
      </c>
      <c r="B160" s="101">
        <v>771</v>
      </c>
      <c r="C160" s="101" t="s">
        <v>1321</v>
      </c>
      <c r="D160" s="159"/>
      <c r="E160" s="101"/>
      <c r="F160" s="101"/>
      <c r="G160" s="165" t="s">
        <v>1240</v>
      </c>
      <c r="H160" s="160">
        <v>1.014</v>
      </c>
      <c r="I160" s="161">
        <v>4684.72</v>
      </c>
      <c r="J160" s="161">
        <v>2.27</v>
      </c>
      <c r="K160" s="161">
        <v>2.27</v>
      </c>
      <c r="L160" s="162">
        <v>0</v>
      </c>
      <c r="M160" s="163">
        <v>0</v>
      </c>
      <c r="N160" s="164">
        <v>0</v>
      </c>
      <c r="O160" s="164">
        <v>0</v>
      </c>
    </row>
    <row r="161" spans="1:15" ht="30" customHeight="1" x14ac:dyDescent="0.35">
      <c r="A161" s="158" t="s">
        <v>1066</v>
      </c>
      <c r="B161" s="101">
        <v>796</v>
      </c>
      <c r="C161" s="101">
        <v>1050000890756</v>
      </c>
      <c r="D161" s="159" t="s">
        <v>1066</v>
      </c>
      <c r="E161" s="101">
        <v>797</v>
      </c>
      <c r="F161" s="101">
        <v>1050000890765</v>
      </c>
      <c r="G161" s="165" t="s">
        <v>1241</v>
      </c>
      <c r="H161" s="160">
        <v>3.597</v>
      </c>
      <c r="I161" s="161">
        <v>13.01</v>
      </c>
      <c r="J161" s="161">
        <v>2.82</v>
      </c>
      <c r="K161" s="161">
        <v>2.82</v>
      </c>
      <c r="L161" s="162">
        <v>0</v>
      </c>
      <c r="M161" s="163">
        <v>242.78</v>
      </c>
      <c r="N161" s="164">
        <v>0.05</v>
      </c>
      <c r="O161" s="164">
        <v>0.05</v>
      </c>
    </row>
    <row r="162" spans="1:15" ht="30" customHeight="1" x14ac:dyDescent="0.35">
      <c r="A162" s="158" t="s">
        <v>1067</v>
      </c>
      <c r="B162" s="101">
        <v>830</v>
      </c>
      <c r="C162" s="101">
        <v>1030030431071</v>
      </c>
      <c r="D162" s="159"/>
      <c r="E162" s="101"/>
      <c r="F162" s="101"/>
      <c r="G162" s="165" t="s">
        <v>1242</v>
      </c>
      <c r="H162" s="160">
        <v>1.681</v>
      </c>
      <c r="I162" s="161">
        <v>6.7</v>
      </c>
      <c r="J162" s="161">
        <v>1.52</v>
      </c>
      <c r="K162" s="161">
        <v>1.52</v>
      </c>
      <c r="L162" s="162">
        <v>0</v>
      </c>
      <c r="M162" s="163">
        <v>0</v>
      </c>
      <c r="N162" s="164">
        <v>0</v>
      </c>
      <c r="O162" s="164">
        <v>0</v>
      </c>
    </row>
    <row r="163" spans="1:15" ht="30" customHeight="1" x14ac:dyDescent="0.35">
      <c r="A163" s="158" t="s">
        <v>1068</v>
      </c>
      <c r="B163" s="101">
        <v>831</v>
      </c>
      <c r="C163" s="101" t="s">
        <v>1322</v>
      </c>
      <c r="D163" s="159" t="s">
        <v>1068</v>
      </c>
      <c r="E163" s="101">
        <v>799</v>
      </c>
      <c r="F163" s="101" t="s">
        <v>2156</v>
      </c>
      <c r="G163" s="165" t="s">
        <v>1243</v>
      </c>
      <c r="H163" s="160">
        <v>0</v>
      </c>
      <c r="I163" s="161">
        <v>2353.7199999999998</v>
      </c>
      <c r="J163" s="161">
        <v>3.64</v>
      </c>
      <c r="K163" s="161">
        <v>3.64</v>
      </c>
      <c r="L163" s="162">
        <v>-0.05</v>
      </c>
      <c r="M163" s="200" t="s">
        <v>2157</v>
      </c>
      <c r="N163" s="164">
        <v>0.05</v>
      </c>
      <c r="O163" s="164">
        <v>0.05</v>
      </c>
    </row>
    <row r="164" spans="1:15" ht="30" customHeight="1" x14ac:dyDescent="0.35">
      <c r="A164" s="158" t="s">
        <v>1069</v>
      </c>
      <c r="B164" s="101">
        <v>796</v>
      </c>
      <c r="C164" s="101">
        <v>1050000903165</v>
      </c>
      <c r="D164" s="159" t="s">
        <v>1069</v>
      </c>
      <c r="E164" s="101">
        <v>797</v>
      </c>
      <c r="F164" s="101">
        <v>1050000903174</v>
      </c>
      <c r="G164" s="165" t="s">
        <v>1244</v>
      </c>
      <c r="H164" s="160">
        <v>0.47099999999999997</v>
      </c>
      <c r="I164" s="161">
        <v>20.43</v>
      </c>
      <c r="J164" s="161">
        <v>3.33</v>
      </c>
      <c r="K164" s="161">
        <v>3.33</v>
      </c>
      <c r="L164" s="162">
        <v>0</v>
      </c>
      <c r="M164" s="163">
        <v>2042.58</v>
      </c>
      <c r="N164" s="164">
        <v>0.05</v>
      </c>
      <c r="O164" s="164">
        <v>0.05</v>
      </c>
    </row>
    <row r="165" spans="1:15" ht="30" customHeight="1" x14ac:dyDescent="0.35">
      <c r="A165" s="158" t="s">
        <v>1070</v>
      </c>
      <c r="B165" s="101">
        <v>832</v>
      </c>
      <c r="C165" s="101">
        <v>1014569523654</v>
      </c>
      <c r="D165" s="159"/>
      <c r="E165" s="101"/>
      <c r="F165" s="101"/>
      <c r="G165" s="165" t="s">
        <v>1245</v>
      </c>
      <c r="H165" s="160">
        <v>0</v>
      </c>
      <c r="I165" s="161">
        <v>1023.14</v>
      </c>
      <c r="J165" s="161">
        <v>2.5099999999999998</v>
      </c>
      <c r="K165" s="161">
        <v>2.5099999999999998</v>
      </c>
      <c r="L165" s="162">
        <v>0</v>
      </c>
      <c r="M165" s="163">
        <v>0</v>
      </c>
      <c r="N165" s="164">
        <v>0</v>
      </c>
      <c r="O165" s="164">
        <v>0</v>
      </c>
    </row>
    <row r="166" spans="1:15" ht="30" customHeight="1" x14ac:dyDescent="0.35">
      <c r="A166" s="158" t="s">
        <v>1071</v>
      </c>
      <c r="B166" s="101">
        <v>771</v>
      </c>
      <c r="C166" s="101" t="s">
        <v>1323</v>
      </c>
      <c r="D166" s="159"/>
      <c r="E166" s="101"/>
      <c r="F166" s="101"/>
      <c r="G166" s="165" t="s">
        <v>1246</v>
      </c>
      <c r="H166" s="160">
        <v>2.7149999999999999</v>
      </c>
      <c r="I166" s="161">
        <v>178.32</v>
      </c>
      <c r="J166" s="161">
        <v>7.87</v>
      </c>
      <c r="K166" s="161">
        <v>7.87</v>
      </c>
      <c r="L166" s="162">
        <v>0</v>
      </c>
      <c r="M166" s="163">
        <v>0</v>
      </c>
      <c r="N166" s="164">
        <v>0</v>
      </c>
      <c r="O166" s="164">
        <v>0</v>
      </c>
    </row>
    <row r="167" spans="1:15" ht="30" customHeight="1" x14ac:dyDescent="0.35">
      <c r="A167" s="158" t="s">
        <v>1072</v>
      </c>
      <c r="B167" s="101">
        <v>895</v>
      </c>
      <c r="C167" s="101">
        <v>1030085099084</v>
      </c>
      <c r="D167" s="159" t="s">
        <v>1072</v>
      </c>
      <c r="E167" s="101">
        <v>777</v>
      </c>
      <c r="F167" s="101">
        <v>1030085040202</v>
      </c>
      <c r="G167" s="165" t="s">
        <v>1247</v>
      </c>
      <c r="H167" s="160">
        <v>0.92600000000000005</v>
      </c>
      <c r="I167" s="161">
        <v>6.18</v>
      </c>
      <c r="J167" s="161">
        <v>10.73</v>
      </c>
      <c r="K167" s="161">
        <v>10.73</v>
      </c>
      <c r="L167" s="162">
        <v>0</v>
      </c>
      <c r="M167" s="163">
        <v>1852.76</v>
      </c>
      <c r="N167" s="164">
        <v>0.05</v>
      </c>
      <c r="O167" s="164">
        <v>0.05</v>
      </c>
    </row>
    <row r="168" spans="1:15" ht="30" customHeight="1" x14ac:dyDescent="0.35">
      <c r="A168" s="158" t="s">
        <v>1073</v>
      </c>
      <c r="B168" s="101">
        <v>771</v>
      </c>
      <c r="C168" s="101" t="s">
        <v>1324</v>
      </c>
      <c r="D168" s="159"/>
      <c r="E168" s="101"/>
      <c r="F168" s="101"/>
      <c r="G168" s="165" t="s">
        <v>1248</v>
      </c>
      <c r="H168" s="160">
        <v>2.165</v>
      </c>
      <c r="I168" s="161">
        <v>178.32</v>
      </c>
      <c r="J168" s="161">
        <v>5.64</v>
      </c>
      <c r="K168" s="161">
        <v>5.64</v>
      </c>
      <c r="L168" s="162">
        <v>0</v>
      </c>
      <c r="M168" s="163">
        <v>0</v>
      </c>
      <c r="N168" s="164">
        <v>0</v>
      </c>
      <c r="O168" s="164">
        <v>0</v>
      </c>
    </row>
    <row r="169" spans="1:15" ht="30" customHeight="1" x14ac:dyDescent="0.35">
      <c r="A169" s="158" t="s">
        <v>965</v>
      </c>
      <c r="B169" s="101">
        <v>7006</v>
      </c>
      <c r="C169" s="101" t="s">
        <v>1169</v>
      </c>
      <c r="D169" s="159"/>
      <c r="E169" s="101"/>
      <c r="F169" s="101"/>
      <c r="G169" s="165" t="s">
        <v>1170</v>
      </c>
      <c r="H169" s="160">
        <v>0</v>
      </c>
      <c r="I169" s="161">
        <v>1.06</v>
      </c>
      <c r="J169" s="161">
        <v>1.32</v>
      </c>
      <c r="K169" s="161">
        <v>1.32</v>
      </c>
      <c r="L169" s="162">
        <v>0</v>
      </c>
      <c r="M169" s="163">
        <v>0</v>
      </c>
      <c r="N169" s="164">
        <v>0</v>
      </c>
      <c r="O169" s="164">
        <v>0</v>
      </c>
    </row>
    <row r="170" spans="1:15" ht="30" customHeight="1" x14ac:dyDescent="0.35">
      <c r="A170" s="158" t="s">
        <v>1074</v>
      </c>
      <c r="B170" s="101">
        <v>771</v>
      </c>
      <c r="C170" s="101">
        <v>1014572722956</v>
      </c>
      <c r="D170" s="159"/>
      <c r="E170" s="101"/>
      <c r="F170" s="101"/>
      <c r="G170" s="165" t="s">
        <v>1249</v>
      </c>
      <c r="H170" s="160">
        <v>2.6190000000000002</v>
      </c>
      <c r="I170" s="161">
        <v>4292.01</v>
      </c>
      <c r="J170" s="161">
        <v>4.84</v>
      </c>
      <c r="K170" s="161">
        <v>4.84</v>
      </c>
      <c r="L170" s="162">
        <v>0</v>
      </c>
      <c r="M170" s="163">
        <v>0</v>
      </c>
      <c r="N170" s="164">
        <v>0</v>
      </c>
      <c r="O170" s="164">
        <v>0</v>
      </c>
    </row>
    <row r="171" spans="1:15" ht="30" customHeight="1" x14ac:dyDescent="0.35">
      <c r="A171" s="158" t="s">
        <v>1075</v>
      </c>
      <c r="B171" s="101">
        <v>526</v>
      </c>
      <c r="C171" s="101">
        <v>1050000768550</v>
      </c>
      <c r="D171" s="159" t="s">
        <v>1075</v>
      </c>
      <c r="E171" s="101">
        <v>458</v>
      </c>
      <c r="F171" s="101">
        <v>1050000768693</v>
      </c>
      <c r="G171" s="165" t="s">
        <v>1250</v>
      </c>
      <c r="H171" s="160">
        <v>6.0860000000000003</v>
      </c>
      <c r="I171" s="161">
        <v>34.020000000000003</v>
      </c>
      <c r="J171" s="161">
        <v>3.28</v>
      </c>
      <c r="K171" s="161">
        <v>3.28</v>
      </c>
      <c r="L171" s="162">
        <v>0</v>
      </c>
      <c r="M171" s="163">
        <v>1020.56</v>
      </c>
      <c r="N171" s="164">
        <v>0.05</v>
      </c>
      <c r="O171" s="164">
        <v>0.05</v>
      </c>
    </row>
    <row r="172" spans="1:15" ht="30" customHeight="1" x14ac:dyDescent="0.35">
      <c r="A172" s="158" t="s">
        <v>1076</v>
      </c>
      <c r="B172" s="101">
        <v>771</v>
      </c>
      <c r="C172" s="101">
        <v>1014572929954</v>
      </c>
      <c r="D172" s="159"/>
      <c r="E172" s="101"/>
      <c r="F172" s="101"/>
      <c r="G172" s="165" t="s">
        <v>1217</v>
      </c>
      <c r="H172" s="160">
        <v>4.66</v>
      </c>
      <c r="I172" s="161">
        <v>89.16</v>
      </c>
      <c r="J172" s="161">
        <v>6.62</v>
      </c>
      <c r="K172" s="161">
        <v>6.62</v>
      </c>
      <c r="L172" s="162">
        <v>0</v>
      </c>
      <c r="M172" s="163">
        <v>0</v>
      </c>
      <c r="N172" s="164">
        <v>0</v>
      </c>
      <c r="O172" s="164">
        <v>0</v>
      </c>
    </row>
    <row r="173" spans="1:15" ht="30" customHeight="1" x14ac:dyDescent="0.35">
      <c r="A173" s="158" t="s">
        <v>1077</v>
      </c>
      <c r="B173" s="101">
        <v>862</v>
      </c>
      <c r="C173" s="101" t="s">
        <v>1325</v>
      </c>
      <c r="D173" s="159"/>
      <c r="E173" s="101"/>
      <c r="F173" s="101"/>
      <c r="G173" s="165" t="s">
        <v>1173</v>
      </c>
      <c r="H173" s="160">
        <v>4.1289999999999996</v>
      </c>
      <c r="I173" s="161">
        <v>23.05</v>
      </c>
      <c r="J173" s="161">
        <v>1.68</v>
      </c>
      <c r="K173" s="161">
        <v>1.68</v>
      </c>
      <c r="L173" s="162">
        <v>0</v>
      </c>
      <c r="M173" s="163">
        <v>0</v>
      </c>
      <c r="N173" s="164">
        <v>0</v>
      </c>
      <c r="O173" s="164">
        <v>0</v>
      </c>
    </row>
    <row r="174" spans="1:15" ht="30" customHeight="1" x14ac:dyDescent="0.35">
      <c r="A174" s="158" t="s">
        <v>1078</v>
      </c>
      <c r="B174" s="101">
        <v>771</v>
      </c>
      <c r="C174" s="101">
        <v>1014712345991</v>
      </c>
      <c r="D174" s="159"/>
      <c r="E174" s="101"/>
      <c r="F174" s="101"/>
      <c r="G174" s="165" t="s">
        <v>1251</v>
      </c>
      <c r="H174" s="160">
        <v>0.83</v>
      </c>
      <c r="I174" s="161">
        <v>89.16</v>
      </c>
      <c r="J174" s="161">
        <v>3.72</v>
      </c>
      <c r="K174" s="161">
        <v>3.72</v>
      </c>
      <c r="L174" s="162">
        <v>0</v>
      </c>
      <c r="M174" s="163">
        <v>0</v>
      </c>
      <c r="N174" s="164">
        <v>0</v>
      </c>
      <c r="O174" s="164">
        <v>0</v>
      </c>
    </row>
    <row r="175" spans="1:15" ht="30" customHeight="1" x14ac:dyDescent="0.35">
      <c r="A175" s="158" t="s">
        <v>1079</v>
      </c>
      <c r="B175" s="101">
        <v>834</v>
      </c>
      <c r="C175" s="101">
        <v>1030034117745</v>
      </c>
      <c r="D175" s="159"/>
      <c r="E175" s="101"/>
      <c r="F175" s="101"/>
      <c r="G175" s="165" t="s">
        <v>1252</v>
      </c>
      <c r="H175" s="160">
        <v>0.53300000000000003</v>
      </c>
      <c r="I175" s="161">
        <v>2.48</v>
      </c>
      <c r="J175" s="161">
        <v>2.98</v>
      </c>
      <c r="K175" s="161">
        <v>2.98</v>
      </c>
      <c r="L175" s="162">
        <v>0</v>
      </c>
      <c r="M175" s="163">
        <v>0</v>
      </c>
      <c r="N175" s="164">
        <v>0</v>
      </c>
      <c r="O175" s="164">
        <v>0</v>
      </c>
    </row>
    <row r="176" spans="1:15" ht="30" customHeight="1" x14ac:dyDescent="0.35">
      <c r="A176" s="158" t="s">
        <v>1080</v>
      </c>
      <c r="B176" s="101">
        <v>815</v>
      </c>
      <c r="C176" s="101" t="s">
        <v>1361</v>
      </c>
      <c r="D176" s="159" t="s">
        <v>1080</v>
      </c>
      <c r="E176" s="101">
        <v>708</v>
      </c>
      <c r="F176" s="101" t="s">
        <v>1326</v>
      </c>
      <c r="G176" s="165" t="s">
        <v>1253</v>
      </c>
      <c r="H176" s="160">
        <v>1.288</v>
      </c>
      <c r="I176" s="161">
        <v>153.81</v>
      </c>
      <c r="J176" s="161">
        <v>2.79</v>
      </c>
      <c r="K176" s="161">
        <v>2.79</v>
      </c>
      <c r="L176" s="162">
        <v>0</v>
      </c>
      <c r="M176" s="163">
        <v>8014.64</v>
      </c>
      <c r="N176" s="164">
        <v>0.05</v>
      </c>
      <c r="O176" s="164">
        <v>0.05</v>
      </c>
    </row>
    <row r="177" spans="1:15" ht="30" customHeight="1" x14ac:dyDescent="0.35">
      <c r="A177" s="158" t="s">
        <v>1081</v>
      </c>
      <c r="B177" s="101">
        <v>896</v>
      </c>
      <c r="C177" s="101">
        <v>1050000612816</v>
      </c>
      <c r="D177" s="159" t="s">
        <v>1081</v>
      </c>
      <c r="E177" s="101">
        <v>797</v>
      </c>
      <c r="F177" s="101">
        <v>1050000612807</v>
      </c>
      <c r="G177" s="165" t="s">
        <v>1254</v>
      </c>
      <c r="H177" s="160">
        <v>0.60199999999999998</v>
      </c>
      <c r="I177" s="161">
        <v>3.5</v>
      </c>
      <c r="J177" s="161">
        <v>2.23</v>
      </c>
      <c r="K177" s="161">
        <v>2.23</v>
      </c>
      <c r="L177" s="162">
        <v>0</v>
      </c>
      <c r="M177" s="163">
        <v>559.79</v>
      </c>
      <c r="N177" s="164">
        <v>0.05</v>
      </c>
      <c r="O177" s="164">
        <v>0.05</v>
      </c>
    </row>
    <row r="178" spans="1:15" ht="30" customHeight="1" x14ac:dyDescent="0.35">
      <c r="A178" s="158" t="s">
        <v>1082</v>
      </c>
      <c r="B178" s="101">
        <v>771</v>
      </c>
      <c r="C178" s="101">
        <v>1014570337858</v>
      </c>
      <c r="D178" s="159"/>
      <c r="E178" s="101"/>
      <c r="F178" s="101"/>
      <c r="G178" s="165" t="s">
        <v>1255</v>
      </c>
      <c r="H178" s="160">
        <v>1.569</v>
      </c>
      <c r="I178" s="161">
        <v>89.16</v>
      </c>
      <c r="J178" s="161">
        <v>5.03</v>
      </c>
      <c r="K178" s="161">
        <v>5.03</v>
      </c>
      <c r="L178" s="162">
        <v>0</v>
      </c>
      <c r="M178" s="163">
        <v>0</v>
      </c>
      <c r="N178" s="164">
        <v>0</v>
      </c>
      <c r="O178" s="164">
        <v>0</v>
      </c>
    </row>
    <row r="179" spans="1:15" ht="30" customHeight="1" x14ac:dyDescent="0.35">
      <c r="A179" s="158" t="s">
        <v>1083</v>
      </c>
      <c r="B179" s="101">
        <v>796</v>
      </c>
      <c r="C179" s="101">
        <v>1050000811220</v>
      </c>
      <c r="D179" s="159" t="s">
        <v>1083</v>
      </c>
      <c r="E179" s="101">
        <v>797</v>
      </c>
      <c r="F179" s="101">
        <v>1050000811230</v>
      </c>
      <c r="G179" s="165" t="s">
        <v>1256</v>
      </c>
      <c r="H179" s="160">
        <v>0.46300000000000002</v>
      </c>
      <c r="I179" s="161">
        <v>9.51</v>
      </c>
      <c r="J179" s="161">
        <v>2.92</v>
      </c>
      <c r="K179" s="161">
        <v>2.92</v>
      </c>
      <c r="L179" s="162">
        <v>0</v>
      </c>
      <c r="M179" s="163">
        <v>760.63</v>
      </c>
      <c r="N179" s="164">
        <v>0.05</v>
      </c>
      <c r="O179" s="164">
        <v>0.05</v>
      </c>
    </row>
    <row r="180" spans="1:15" ht="30" customHeight="1" x14ac:dyDescent="0.35">
      <c r="A180" s="158" t="s">
        <v>1084</v>
      </c>
      <c r="B180" s="101">
        <v>771</v>
      </c>
      <c r="C180" s="101">
        <v>1014571768453</v>
      </c>
      <c r="D180" s="159"/>
      <c r="E180" s="101"/>
      <c r="F180" s="101"/>
      <c r="G180" s="165" t="s">
        <v>1257</v>
      </c>
      <c r="H180" s="160">
        <v>2.407</v>
      </c>
      <c r="I180" s="161">
        <v>89.16</v>
      </c>
      <c r="J180" s="161">
        <v>2.54</v>
      </c>
      <c r="K180" s="161">
        <v>2.54</v>
      </c>
      <c r="L180" s="162">
        <v>0</v>
      </c>
      <c r="M180" s="163">
        <v>0</v>
      </c>
      <c r="N180" s="164">
        <v>0</v>
      </c>
      <c r="O180" s="164">
        <v>0</v>
      </c>
    </row>
    <row r="181" spans="1:15" ht="30" customHeight="1" x14ac:dyDescent="0.35">
      <c r="A181" s="158" t="s">
        <v>1085</v>
      </c>
      <c r="B181" s="101">
        <v>796</v>
      </c>
      <c r="C181" s="101">
        <v>1050000996105</v>
      </c>
      <c r="D181" s="159" t="s">
        <v>1085</v>
      </c>
      <c r="E181" s="101">
        <v>797</v>
      </c>
      <c r="F181" s="101">
        <v>1050000996114</v>
      </c>
      <c r="G181" s="165" t="s">
        <v>1258</v>
      </c>
      <c r="H181" s="160">
        <v>0.86199999999999999</v>
      </c>
      <c r="I181" s="161">
        <v>3.06</v>
      </c>
      <c r="J181" s="161">
        <v>2.92</v>
      </c>
      <c r="K181" s="161">
        <v>2.92</v>
      </c>
      <c r="L181" s="162">
        <v>0</v>
      </c>
      <c r="M181" s="163">
        <v>459.58</v>
      </c>
      <c r="N181" s="164">
        <v>0.05</v>
      </c>
      <c r="O181" s="164">
        <v>0.05</v>
      </c>
    </row>
    <row r="182" spans="1:15" ht="30" customHeight="1" x14ac:dyDescent="0.35">
      <c r="A182" s="158" t="s">
        <v>1086</v>
      </c>
      <c r="B182" s="101">
        <v>771</v>
      </c>
      <c r="C182" s="101">
        <v>1014569969627</v>
      </c>
      <c r="D182" s="159"/>
      <c r="E182" s="101"/>
      <c r="F182" s="101"/>
      <c r="G182" s="165" t="s">
        <v>1259</v>
      </c>
      <c r="H182" s="160">
        <v>0.75900000000000001</v>
      </c>
      <c r="I182" s="161">
        <v>178.32</v>
      </c>
      <c r="J182" s="161">
        <v>1.83</v>
      </c>
      <c r="K182" s="161">
        <v>1.83</v>
      </c>
      <c r="L182" s="162">
        <v>0</v>
      </c>
      <c r="M182" s="163">
        <v>0</v>
      </c>
      <c r="N182" s="164">
        <v>0</v>
      </c>
      <c r="O182" s="164">
        <v>0</v>
      </c>
    </row>
    <row r="183" spans="1:15" ht="30" customHeight="1" x14ac:dyDescent="0.35">
      <c r="A183" s="158" t="s">
        <v>1087</v>
      </c>
      <c r="B183" s="101">
        <v>796</v>
      </c>
      <c r="C183" s="101">
        <v>1050000946025</v>
      </c>
      <c r="D183" s="159" t="s">
        <v>1087</v>
      </c>
      <c r="E183" s="101">
        <v>797</v>
      </c>
      <c r="F183" s="101">
        <v>1050000946034</v>
      </c>
      <c r="G183" s="165" t="s">
        <v>1260</v>
      </c>
      <c r="H183" s="160">
        <v>0</v>
      </c>
      <c r="I183" s="161">
        <v>6.07</v>
      </c>
      <c r="J183" s="161">
        <v>5.34</v>
      </c>
      <c r="K183" s="161">
        <v>5.34</v>
      </c>
      <c r="L183" s="162">
        <v>0</v>
      </c>
      <c r="M183" s="163">
        <v>505.5</v>
      </c>
      <c r="N183" s="164">
        <v>0.05</v>
      </c>
      <c r="O183" s="164">
        <v>0.05</v>
      </c>
    </row>
    <row r="184" spans="1:15" ht="30" customHeight="1" x14ac:dyDescent="0.35">
      <c r="A184" s="158" t="s">
        <v>1088</v>
      </c>
      <c r="B184" s="101">
        <v>836</v>
      </c>
      <c r="C184" s="101">
        <v>1023545564889</v>
      </c>
      <c r="D184" s="159"/>
      <c r="E184" s="101"/>
      <c r="F184" s="101"/>
      <c r="G184" s="165" t="s">
        <v>1261</v>
      </c>
      <c r="H184" s="160">
        <v>2.3E-2</v>
      </c>
      <c r="I184" s="161">
        <v>20.440000000000001</v>
      </c>
      <c r="J184" s="161">
        <v>2.0499999999999998</v>
      </c>
      <c r="K184" s="161">
        <v>2.0499999999999998</v>
      </c>
      <c r="L184" s="162">
        <v>0</v>
      </c>
      <c r="M184" s="163">
        <v>0</v>
      </c>
      <c r="N184" s="164">
        <v>0</v>
      </c>
      <c r="O184" s="164">
        <v>0</v>
      </c>
    </row>
    <row r="185" spans="1:15" ht="30" customHeight="1" x14ac:dyDescent="0.35">
      <c r="A185" s="158" t="s">
        <v>1089</v>
      </c>
      <c r="B185" s="101">
        <v>527</v>
      </c>
      <c r="C185" s="101">
        <v>1050000841935</v>
      </c>
      <c r="D185" s="159" t="s">
        <v>1089</v>
      </c>
      <c r="E185" s="101">
        <v>459</v>
      </c>
      <c r="F185" s="101">
        <v>1050000841971</v>
      </c>
      <c r="G185" s="165" t="s">
        <v>1158</v>
      </c>
      <c r="H185" s="160">
        <v>0.311</v>
      </c>
      <c r="I185" s="161">
        <v>6.51</v>
      </c>
      <c r="J185" s="161">
        <v>6.61</v>
      </c>
      <c r="K185" s="161">
        <v>6.61</v>
      </c>
      <c r="L185" s="162">
        <v>0</v>
      </c>
      <c r="M185" s="163">
        <v>1283.57</v>
      </c>
      <c r="N185" s="164">
        <v>0.05</v>
      </c>
      <c r="O185" s="164">
        <v>0.05</v>
      </c>
    </row>
    <row r="186" spans="1:15" ht="30" customHeight="1" x14ac:dyDescent="0.35">
      <c r="A186" s="158" t="s">
        <v>1090</v>
      </c>
      <c r="B186" s="101" t="s">
        <v>1209</v>
      </c>
      <c r="C186" s="101" t="s">
        <v>1327</v>
      </c>
      <c r="D186" s="159"/>
      <c r="E186" s="101"/>
      <c r="F186" s="101"/>
      <c r="G186" s="165" t="s">
        <v>1210</v>
      </c>
      <c r="H186" s="160">
        <v>7.2999999999999995E-2</v>
      </c>
      <c r="I186" s="161">
        <v>3045.18</v>
      </c>
      <c r="J186" s="161">
        <v>2.63</v>
      </c>
      <c r="K186" s="161">
        <v>2.63</v>
      </c>
      <c r="L186" s="162">
        <v>0</v>
      </c>
      <c r="M186" s="163">
        <v>0</v>
      </c>
      <c r="N186" s="164">
        <v>0</v>
      </c>
      <c r="O186" s="164">
        <v>0</v>
      </c>
    </row>
    <row r="187" spans="1:15" ht="30" customHeight="1" x14ac:dyDescent="0.35">
      <c r="A187" s="158" t="s">
        <v>1091</v>
      </c>
      <c r="B187" s="101">
        <v>502</v>
      </c>
      <c r="C187" s="101">
        <v>1050000628009</v>
      </c>
      <c r="D187" s="159" t="s">
        <v>1091</v>
      </c>
      <c r="E187" s="101">
        <v>470</v>
      </c>
      <c r="F187" s="101">
        <v>1050000628018</v>
      </c>
      <c r="G187" s="165" t="s">
        <v>1262</v>
      </c>
      <c r="H187" s="160">
        <v>0.96699999999999997</v>
      </c>
      <c r="I187" s="161">
        <v>726.41</v>
      </c>
      <c r="J187" s="161">
        <v>2.3199999999999998</v>
      </c>
      <c r="K187" s="161">
        <v>2.3199999999999998</v>
      </c>
      <c r="L187" s="162">
        <v>-2.0369999999999999</v>
      </c>
      <c r="M187" s="163">
        <v>5044.54</v>
      </c>
      <c r="N187" s="164">
        <v>0.05</v>
      </c>
      <c r="O187" s="164">
        <v>0.05</v>
      </c>
    </row>
    <row r="188" spans="1:15" ht="30" customHeight="1" x14ac:dyDescent="0.35">
      <c r="A188" s="158" t="s">
        <v>1092</v>
      </c>
      <c r="B188" s="101">
        <v>837</v>
      </c>
      <c r="C188" s="101" t="s">
        <v>2115</v>
      </c>
      <c r="D188" s="159"/>
      <c r="E188" s="101"/>
      <c r="F188" s="101"/>
      <c r="G188" s="165" t="s">
        <v>1263</v>
      </c>
      <c r="H188" s="160">
        <v>1.843</v>
      </c>
      <c r="I188" s="161">
        <v>1278.92</v>
      </c>
      <c r="J188" s="161">
        <v>1.74</v>
      </c>
      <c r="K188" s="161">
        <v>1.74</v>
      </c>
      <c r="L188" s="162">
        <v>0</v>
      </c>
      <c r="M188" s="163">
        <v>0</v>
      </c>
      <c r="N188" s="164">
        <v>0</v>
      </c>
      <c r="O188" s="164">
        <v>0</v>
      </c>
    </row>
    <row r="189" spans="1:15" ht="30" customHeight="1" x14ac:dyDescent="0.35">
      <c r="A189" s="158" t="s">
        <v>1093</v>
      </c>
      <c r="B189" s="101">
        <v>7234</v>
      </c>
      <c r="C189" s="101" t="s">
        <v>1264</v>
      </c>
      <c r="D189" s="159" t="s">
        <v>1093</v>
      </c>
      <c r="E189" s="101">
        <v>7234</v>
      </c>
      <c r="F189" s="101" t="s">
        <v>1264</v>
      </c>
      <c r="G189" s="165" t="s">
        <v>1265</v>
      </c>
      <c r="H189" s="160">
        <v>5.2999999999999999E-2</v>
      </c>
      <c r="I189" s="161">
        <v>30.05</v>
      </c>
      <c r="J189" s="161">
        <v>1.18</v>
      </c>
      <c r="K189" s="161">
        <v>1.18</v>
      </c>
      <c r="L189" s="162">
        <v>0</v>
      </c>
      <c r="M189" s="163">
        <v>1662.7</v>
      </c>
      <c r="N189" s="164">
        <v>0.05</v>
      </c>
      <c r="O189" s="164">
        <v>0.05</v>
      </c>
    </row>
    <row r="190" spans="1:15" ht="30" customHeight="1" x14ac:dyDescent="0.35">
      <c r="A190" s="158" t="s">
        <v>1094</v>
      </c>
      <c r="B190" s="101">
        <v>897</v>
      </c>
      <c r="C190" s="101">
        <v>1050000540019</v>
      </c>
      <c r="D190" s="159" t="s">
        <v>1094</v>
      </c>
      <c r="E190" s="101">
        <v>778</v>
      </c>
      <c r="F190" s="101">
        <v>1050000540028</v>
      </c>
      <c r="G190" s="165" t="s">
        <v>1266</v>
      </c>
      <c r="H190" s="160">
        <v>1.5269999999999999</v>
      </c>
      <c r="I190" s="161">
        <v>2.72</v>
      </c>
      <c r="J190" s="161">
        <v>5.25</v>
      </c>
      <c r="K190" s="161">
        <v>5.25</v>
      </c>
      <c r="L190" s="162">
        <v>0</v>
      </c>
      <c r="M190" s="163">
        <v>653.65</v>
      </c>
      <c r="N190" s="164">
        <v>0.05</v>
      </c>
      <c r="O190" s="164">
        <v>0.05</v>
      </c>
    </row>
    <row r="191" spans="1:15" ht="30" customHeight="1" x14ac:dyDescent="0.35">
      <c r="A191" s="158" t="s">
        <v>1095</v>
      </c>
      <c r="B191" s="101">
        <v>838</v>
      </c>
      <c r="C191" s="101">
        <v>1030037478730</v>
      </c>
      <c r="D191" s="159" t="s">
        <v>1095</v>
      </c>
      <c r="E191" s="101">
        <v>717</v>
      </c>
      <c r="F191" s="101">
        <v>1030037478509</v>
      </c>
      <c r="G191" s="165" t="s">
        <v>1267</v>
      </c>
      <c r="H191" s="160">
        <v>0.51200000000000001</v>
      </c>
      <c r="I191" s="161">
        <v>184.43</v>
      </c>
      <c r="J191" s="161">
        <v>1.3</v>
      </c>
      <c r="K191" s="161">
        <v>1.3</v>
      </c>
      <c r="L191" s="162">
        <v>0</v>
      </c>
      <c r="M191" s="163">
        <v>3688.6</v>
      </c>
      <c r="N191" s="164">
        <v>0.05</v>
      </c>
      <c r="O191" s="164">
        <v>0.05</v>
      </c>
    </row>
    <row r="192" spans="1:15" ht="30" customHeight="1" x14ac:dyDescent="0.35">
      <c r="A192" s="158" t="s">
        <v>1097</v>
      </c>
      <c r="B192" s="101">
        <v>802</v>
      </c>
      <c r="C192" s="101" t="s">
        <v>1328</v>
      </c>
      <c r="D192" s="159"/>
      <c r="E192" s="101"/>
      <c r="F192" s="101"/>
      <c r="G192" s="165" t="s">
        <v>1270</v>
      </c>
      <c r="H192" s="160">
        <v>0.113</v>
      </c>
      <c r="I192" s="161">
        <v>14474.54</v>
      </c>
      <c r="J192" s="161">
        <v>2.57</v>
      </c>
      <c r="K192" s="161">
        <v>2.57</v>
      </c>
      <c r="L192" s="162">
        <v>0</v>
      </c>
      <c r="M192" s="163">
        <v>0</v>
      </c>
      <c r="N192" s="164">
        <v>0</v>
      </c>
      <c r="O192" s="164">
        <v>0</v>
      </c>
    </row>
    <row r="193" spans="1:15" ht="30" customHeight="1" x14ac:dyDescent="0.35">
      <c r="A193" s="158" t="s">
        <v>1098</v>
      </c>
      <c r="B193" s="101">
        <v>801</v>
      </c>
      <c r="C193" s="101">
        <v>1015685338293</v>
      </c>
      <c r="D193" s="159"/>
      <c r="E193" s="101"/>
      <c r="F193" s="101"/>
      <c r="G193" s="165" t="s">
        <v>1270</v>
      </c>
      <c r="H193" s="160">
        <v>0.59699999999999998</v>
      </c>
      <c r="I193" s="161">
        <v>178.32</v>
      </c>
      <c r="J193" s="161">
        <v>3.12</v>
      </c>
      <c r="K193" s="161">
        <v>3.12</v>
      </c>
      <c r="L193" s="162">
        <v>0</v>
      </c>
      <c r="M193" s="163">
        <v>0</v>
      </c>
      <c r="N193" s="164">
        <v>0</v>
      </c>
      <c r="O193" s="164">
        <v>0</v>
      </c>
    </row>
    <row r="194" spans="1:15" ht="30" customHeight="1" x14ac:dyDescent="0.35">
      <c r="A194" s="158" t="s">
        <v>1099</v>
      </c>
      <c r="B194" s="101">
        <v>796</v>
      </c>
      <c r="C194" s="101">
        <v>1050000979768</v>
      </c>
      <c r="D194" s="159" t="s">
        <v>1099</v>
      </c>
      <c r="E194" s="101">
        <v>797</v>
      </c>
      <c r="F194" s="101">
        <v>1050000979777</v>
      </c>
      <c r="G194" s="165" t="s">
        <v>1362</v>
      </c>
      <c r="H194" s="160">
        <v>9.4E-2</v>
      </c>
      <c r="I194" s="161">
        <v>4.07</v>
      </c>
      <c r="J194" s="161">
        <v>2.7</v>
      </c>
      <c r="K194" s="161">
        <v>2.7</v>
      </c>
      <c r="L194" s="162">
        <v>0</v>
      </c>
      <c r="M194" s="163">
        <v>406.86</v>
      </c>
      <c r="N194" s="164">
        <v>0.05</v>
      </c>
      <c r="O194" s="164">
        <v>0.05</v>
      </c>
    </row>
    <row r="195" spans="1:15" ht="30" customHeight="1" x14ac:dyDescent="0.35">
      <c r="A195" s="158" t="s">
        <v>1096</v>
      </c>
      <c r="B195" s="101" t="s">
        <v>1268</v>
      </c>
      <c r="C195" s="101" t="s">
        <v>1269</v>
      </c>
      <c r="D195" s="159"/>
      <c r="E195" s="101"/>
      <c r="F195" s="101"/>
      <c r="G195" s="165" t="s">
        <v>1216</v>
      </c>
      <c r="H195" s="160">
        <v>0</v>
      </c>
      <c r="I195" s="161">
        <v>0</v>
      </c>
      <c r="J195" s="161">
        <v>6.79</v>
      </c>
      <c r="K195" s="161">
        <v>6.79</v>
      </c>
      <c r="L195" s="162">
        <v>0</v>
      </c>
      <c r="M195" s="163">
        <v>0</v>
      </c>
      <c r="N195" s="164">
        <v>0</v>
      </c>
      <c r="O195" s="164">
        <v>0</v>
      </c>
    </row>
    <row r="196" spans="1:15" ht="30" customHeight="1" x14ac:dyDescent="0.35">
      <c r="A196" s="158" t="s">
        <v>1100</v>
      </c>
      <c r="B196" s="101">
        <v>528</v>
      </c>
      <c r="C196" s="101">
        <v>1050000783238</v>
      </c>
      <c r="D196" s="159" t="s">
        <v>1100</v>
      </c>
      <c r="E196" s="101">
        <v>460</v>
      </c>
      <c r="F196" s="101">
        <v>1050000759740</v>
      </c>
      <c r="G196" s="165" t="s">
        <v>1363</v>
      </c>
      <c r="H196" s="160">
        <v>4.1909999999999998</v>
      </c>
      <c r="I196" s="161">
        <v>10.78</v>
      </c>
      <c r="J196" s="161">
        <v>3.79</v>
      </c>
      <c r="K196" s="161">
        <v>3.79</v>
      </c>
      <c r="L196" s="162">
        <v>0</v>
      </c>
      <c r="M196" s="163">
        <v>1293.58</v>
      </c>
      <c r="N196" s="164">
        <v>0.05</v>
      </c>
      <c r="O196" s="164">
        <v>0.05</v>
      </c>
    </row>
    <row r="197" spans="1:15" ht="30" customHeight="1" x14ac:dyDescent="0.35">
      <c r="A197" s="158" t="s">
        <v>1101</v>
      </c>
      <c r="B197" s="101">
        <v>500</v>
      </c>
      <c r="C197" s="101">
        <v>1050000563372</v>
      </c>
      <c r="D197" s="159" t="s">
        <v>1101</v>
      </c>
      <c r="E197" s="101">
        <v>775</v>
      </c>
      <c r="F197" s="101">
        <v>1050000563381</v>
      </c>
      <c r="G197" s="165" t="s">
        <v>1271</v>
      </c>
      <c r="H197" s="160">
        <v>0.48299999999999998</v>
      </c>
      <c r="I197" s="161">
        <v>1.3</v>
      </c>
      <c r="J197" s="161">
        <v>3.56</v>
      </c>
      <c r="K197" s="161">
        <v>3.56</v>
      </c>
      <c r="L197" s="162">
        <v>0</v>
      </c>
      <c r="M197" s="163">
        <v>282.93</v>
      </c>
      <c r="N197" s="164">
        <v>0.05</v>
      </c>
      <c r="O197" s="164">
        <v>0.05</v>
      </c>
    </row>
    <row r="198" spans="1:15" ht="30" customHeight="1" x14ac:dyDescent="0.35">
      <c r="A198" s="158" t="s">
        <v>1102</v>
      </c>
      <c r="B198" s="101">
        <v>898</v>
      </c>
      <c r="C198" s="101">
        <v>1050000613847</v>
      </c>
      <c r="D198" s="159" t="s">
        <v>1102</v>
      </c>
      <c r="E198" s="101">
        <v>732</v>
      </c>
      <c r="F198" s="101">
        <v>1050000613856</v>
      </c>
      <c r="G198" s="165" t="s">
        <v>1272</v>
      </c>
      <c r="H198" s="160">
        <v>6.5000000000000002E-2</v>
      </c>
      <c r="I198" s="161">
        <v>4.6399999999999997</v>
      </c>
      <c r="J198" s="161">
        <v>4.76</v>
      </c>
      <c r="K198" s="161">
        <v>4.76</v>
      </c>
      <c r="L198" s="162">
        <v>0</v>
      </c>
      <c r="M198" s="163">
        <v>975.15</v>
      </c>
      <c r="N198" s="164">
        <v>0.05</v>
      </c>
      <c r="O198" s="164">
        <v>0.05</v>
      </c>
    </row>
    <row r="199" spans="1:15" ht="50.1" customHeight="1" x14ac:dyDescent="0.35">
      <c r="A199" s="158" t="s">
        <v>1103</v>
      </c>
      <c r="B199" s="101">
        <v>833</v>
      </c>
      <c r="C199" s="101" t="s">
        <v>1329</v>
      </c>
      <c r="D199" s="159" t="s">
        <v>1103</v>
      </c>
      <c r="E199" s="101">
        <v>733</v>
      </c>
      <c r="F199" s="101" t="s">
        <v>1330</v>
      </c>
      <c r="G199" s="165" t="s">
        <v>1273</v>
      </c>
      <c r="H199" s="160">
        <v>4.5999999999999999E-2</v>
      </c>
      <c r="I199" s="161">
        <v>2181.29</v>
      </c>
      <c r="J199" s="161">
        <v>2.81</v>
      </c>
      <c r="K199" s="161">
        <v>2.81</v>
      </c>
      <c r="L199" s="162">
        <v>0</v>
      </c>
      <c r="M199" s="163">
        <v>716.71</v>
      </c>
      <c r="N199" s="164">
        <v>0.05</v>
      </c>
      <c r="O199" s="164">
        <v>0.05</v>
      </c>
    </row>
    <row r="200" spans="1:15" ht="30" customHeight="1" x14ac:dyDescent="0.35">
      <c r="A200" s="158" t="s">
        <v>1104</v>
      </c>
      <c r="B200" s="101">
        <v>796</v>
      </c>
      <c r="C200" s="101" t="s">
        <v>1331</v>
      </c>
      <c r="D200" s="159" t="s">
        <v>1104</v>
      </c>
      <c r="E200" s="101">
        <v>797</v>
      </c>
      <c r="F200" s="101" t="s">
        <v>1332</v>
      </c>
      <c r="G200" s="165" t="s">
        <v>1274</v>
      </c>
      <c r="H200" s="160">
        <v>1.3149999999999999</v>
      </c>
      <c r="I200" s="161">
        <v>17.13</v>
      </c>
      <c r="J200" s="161">
        <v>3.16</v>
      </c>
      <c r="K200" s="161">
        <v>3.16</v>
      </c>
      <c r="L200" s="162">
        <v>0</v>
      </c>
      <c r="M200" s="163">
        <v>856.44</v>
      </c>
      <c r="N200" s="164">
        <v>0.05</v>
      </c>
      <c r="O200" s="164">
        <v>0.05</v>
      </c>
    </row>
    <row r="201" spans="1:15" ht="30" customHeight="1" x14ac:dyDescent="0.35">
      <c r="A201" s="158" t="s">
        <v>1105</v>
      </c>
      <c r="B201" s="101">
        <v>771</v>
      </c>
      <c r="C201" s="101" t="s">
        <v>1333</v>
      </c>
      <c r="D201" s="159"/>
      <c r="E201" s="101"/>
      <c r="F201" s="101"/>
      <c r="G201" s="165" t="s">
        <v>1275</v>
      </c>
      <c r="H201" s="160">
        <v>1.1930000000000001</v>
      </c>
      <c r="I201" s="161">
        <v>178.32</v>
      </c>
      <c r="J201" s="161">
        <v>3.53</v>
      </c>
      <c r="K201" s="161">
        <v>3.53</v>
      </c>
      <c r="L201" s="162">
        <v>0</v>
      </c>
      <c r="M201" s="163">
        <v>0</v>
      </c>
      <c r="N201" s="164">
        <v>0</v>
      </c>
      <c r="O201" s="164">
        <v>0</v>
      </c>
    </row>
    <row r="202" spans="1:15" ht="30" customHeight="1" x14ac:dyDescent="0.35">
      <c r="A202" s="158" t="s">
        <v>1106</v>
      </c>
      <c r="B202" s="101">
        <v>771</v>
      </c>
      <c r="C202" s="101" t="s">
        <v>1334</v>
      </c>
      <c r="D202" s="159"/>
      <c r="E202" s="101"/>
      <c r="F202" s="101"/>
      <c r="G202" s="165" t="s">
        <v>1276</v>
      </c>
      <c r="H202" s="160">
        <v>0.20699999999999999</v>
      </c>
      <c r="I202" s="161">
        <v>5475.55</v>
      </c>
      <c r="J202" s="161">
        <v>1.1000000000000001</v>
      </c>
      <c r="K202" s="161">
        <v>1.1000000000000001</v>
      </c>
      <c r="L202" s="162">
        <v>0</v>
      </c>
      <c r="M202" s="163">
        <v>0</v>
      </c>
      <c r="N202" s="164">
        <v>0</v>
      </c>
      <c r="O202" s="164">
        <v>0</v>
      </c>
    </row>
    <row r="203" spans="1:15" ht="30" customHeight="1" x14ac:dyDescent="0.35">
      <c r="A203" s="158" t="s">
        <v>1108</v>
      </c>
      <c r="B203" s="101">
        <v>798</v>
      </c>
      <c r="C203" s="101">
        <v>1050000996141</v>
      </c>
      <c r="D203" s="159" t="s">
        <v>1108</v>
      </c>
      <c r="E203" s="101">
        <v>799</v>
      </c>
      <c r="F203" s="101">
        <v>1050000996150</v>
      </c>
      <c r="G203" s="165" t="s">
        <v>1290</v>
      </c>
      <c r="H203" s="160">
        <v>0</v>
      </c>
      <c r="I203" s="161">
        <v>399.98</v>
      </c>
      <c r="J203" s="161">
        <v>2.23</v>
      </c>
      <c r="K203" s="161">
        <v>2.23</v>
      </c>
      <c r="L203" s="162">
        <v>0</v>
      </c>
      <c r="M203" s="163">
        <v>15999.29</v>
      </c>
      <c r="N203" s="164">
        <v>0.05</v>
      </c>
      <c r="O203" s="164">
        <v>0.05</v>
      </c>
    </row>
    <row r="204" spans="1:15" ht="65.099999999999994" customHeight="1" x14ac:dyDescent="0.35">
      <c r="A204" s="158" t="s">
        <v>1107</v>
      </c>
      <c r="B204" s="101">
        <v>771</v>
      </c>
      <c r="C204" s="101" t="s">
        <v>1335</v>
      </c>
      <c r="D204" s="159"/>
      <c r="E204" s="101"/>
      <c r="F204" s="101"/>
      <c r="G204" s="165" t="s">
        <v>1277</v>
      </c>
      <c r="H204" s="160">
        <v>0.26800000000000002</v>
      </c>
      <c r="I204" s="161">
        <v>356.64</v>
      </c>
      <c r="J204" s="161">
        <v>3.77</v>
      </c>
      <c r="K204" s="161">
        <v>3.77</v>
      </c>
      <c r="L204" s="162">
        <v>0</v>
      </c>
      <c r="M204" s="163">
        <v>0</v>
      </c>
      <c r="N204" s="164">
        <v>0</v>
      </c>
      <c r="O204" s="164">
        <v>0</v>
      </c>
    </row>
    <row r="205" spans="1:15" ht="30" customHeight="1" x14ac:dyDescent="0.35">
      <c r="A205" s="158" t="s">
        <v>1109</v>
      </c>
      <c r="B205" s="101">
        <v>501</v>
      </c>
      <c r="C205" s="101">
        <v>1050000529637</v>
      </c>
      <c r="D205" s="159" t="s">
        <v>1109</v>
      </c>
      <c r="E205" s="101">
        <v>779</v>
      </c>
      <c r="F205" s="101">
        <v>1050000529664</v>
      </c>
      <c r="G205" s="165" t="s">
        <v>1278</v>
      </c>
      <c r="H205" s="160">
        <v>7.0999999999999994E-2</v>
      </c>
      <c r="I205" s="161">
        <v>16.11</v>
      </c>
      <c r="J205" s="161">
        <v>7.9</v>
      </c>
      <c r="K205" s="161">
        <v>7.9</v>
      </c>
      <c r="L205" s="162">
        <v>0</v>
      </c>
      <c r="M205" s="163">
        <v>886.11</v>
      </c>
      <c r="N205" s="164">
        <v>0.05</v>
      </c>
      <c r="O205" s="164">
        <v>0.05</v>
      </c>
    </row>
    <row r="206" spans="1:15" ht="30" customHeight="1" x14ac:dyDescent="0.35">
      <c r="A206" s="158" t="s">
        <v>1110</v>
      </c>
      <c r="B206" s="101">
        <v>771</v>
      </c>
      <c r="C206" s="101" t="s">
        <v>1336</v>
      </c>
      <c r="D206" s="159"/>
      <c r="E206" s="101"/>
      <c r="F206" s="101"/>
      <c r="G206" s="165" t="s">
        <v>1279</v>
      </c>
      <c r="H206" s="160">
        <v>0.51100000000000001</v>
      </c>
      <c r="I206" s="161">
        <v>4929.87</v>
      </c>
      <c r="J206" s="161">
        <v>3.01</v>
      </c>
      <c r="K206" s="161">
        <v>3.01</v>
      </c>
      <c r="L206" s="162">
        <v>0</v>
      </c>
      <c r="M206" s="163">
        <v>0</v>
      </c>
      <c r="N206" s="164">
        <v>0</v>
      </c>
      <c r="O206" s="164">
        <v>0</v>
      </c>
    </row>
    <row r="207" spans="1:15" ht="30" customHeight="1" x14ac:dyDescent="0.35">
      <c r="A207" s="158" t="s">
        <v>1111</v>
      </c>
      <c r="B207" s="101">
        <v>867</v>
      </c>
      <c r="C207" s="101" t="s">
        <v>1337</v>
      </c>
      <c r="D207" s="159" t="s">
        <v>1111</v>
      </c>
      <c r="E207" s="101">
        <v>742</v>
      </c>
      <c r="F207" s="101" t="s">
        <v>1338</v>
      </c>
      <c r="G207" s="165" t="s">
        <v>1280</v>
      </c>
      <c r="H207" s="160">
        <v>0.83</v>
      </c>
      <c r="I207" s="161">
        <v>8.02</v>
      </c>
      <c r="J207" s="161">
        <v>3.3</v>
      </c>
      <c r="K207" s="161">
        <v>3.3</v>
      </c>
      <c r="L207" s="162">
        <v>0</v>
      </c>
      <c r="M207" s="163">
        <v>1330.99</v>
      </c>
      <c r="N207" s="164">
        <v>0.05</v>
      </c>
      <c r="O207" s="164">
        <v>0.05</v>
      </c>
    </row>
    <row r="208" spans="1:15" ht="30" customHeight="1" x14ac:dyDescent="0.35">
      <c r="A208" s="158" t="s">
        <v>1112</v>
      </c>
      <c r="B208" s="101">
        <v>868</v>
      </c>
      <c r="C208" s="101">
        <v>1030079196591</v>
      </c>
      <c r="D208" s="159" t="s">
        <v>1112</v>
      </c>
      <c r="E208" s="101">
        <v>743</v>
      </c>
      <c r="F208" s="101">
        <v>1030079196820</v>
      </c>
      <c r="G208" s="165" t="s">
        <v>1281</v>
      </c>
      <c r="H208" s="160">
        <v>0.61699999999999999</v>
      </c>
      <c r="I208" s="161">
        <v>79.12</v>
      </c>
      <c r="J208" s="161">
        <v>2.68</v>
      </c>
      <c r="K208" s="161">
        <v>2.68</v>
      </c>
      <c r="L208" s="162">
        <v>0</v>
      </c>
      <c r="M208" s="163">
        <v>2917.54</v>
      </c>
      <c r="N208" s="164">
        <v>0.05</v>
      </c>
      <c r="O208" s="164">
        <v>0.05</v>
      </c>
    </row>
    <row r="209" spans="1:15" ht="30" customHeight="1" x14ac:dyDescent="0.35">
      <c r="A209" s="158" t="s">
        <v>1113</v>
      </c>
      <c r="B209" s="101">
        <v>529</v>
      </c>
      <c r="C209" s="101">
        <v>1050000769145</v>
      </c>
      <c r="D209" s="159" t="s">
        <v>1113</v>
      </c>
      <c r="E209" s="101">
        <v>461</v>
      </c>
      <c r="F209" s="101">
        <v>1050000769154</v>
      </c>
      <c r="G209" s="165" t="s">
        <v>1282</v>
      </c>
      <c r="H209" s="160">
        <v>1.9610000000000001</v>
      </c>
      <c r="I209" s="161">
        <v>10.210000000000001</v>
      </c>
      <c r="J209" s="161">
        <v>3.71</v>
      </c>
      <c r="K209" s="161">
        <v>3.71</v>
      </c>
      <c r="L209" s="162">
        <v>0</v>
      </c>
      <c r="M209" s="163">
        <v>1021.29</v>
      </c>
      <c r="N209" s="164">
        <v>0.05</v>
      </c>
      <c r="O209" s="164">
        <v>0.05</v>
      </c>
    </row>
    <row r="210" spans="1:15" ht="30" customHeight="1" x14ac:dyDescent="0.35">
      <c r="A210" s="158" t="s">
        <v>1114</v>
      </c>
      <c r="B210" s="101">
        <v>819</v>
      </c>
      <c r="C210" s="101">
        <v>1030027859903</v>
      </c>
      <c r="D210" s="159"/>
      <c r="E210" s="101"/>
      <c r="F210" s="101"/>
      <c r="G210" s="165" t="s">
        <v>1283</v>
      </c>
      <c r="H210" s="160">
        <v>1.3440000000000001</v>
      </c>
      <c r="I210" s="161">
        <v>1181.07</v>
      </c>
      <c r="J210" s="161">
        <v>8.9700000000000006</v>
      </c>
      <c r="K210" s="161">
        <v>8.9700000000000006</v>
      </c>
      <c r="L210" s="162">
        <v>0</v>
      </c>
      <c r="M210" s="163">
        <v>0</v>
      </c>
      <c r="N210" s="164">
        <v>0</v>
      </c>
      <c r="O210" s="164">
        <v>0</v>
      </c>
    </row>
    <row r="211" spans="1:15" ht="30" customHeight="1" x14ac:dyDescent="0.35">
      <c r="A211" s="158" t="s">
        <v>1115</v>
      </c>
      <c r="B211" s="101">
        <v>530</v>
      </c>
      <c r="C211" s="101">
        <v>1050000714155</v>
      </c>
      <c r="D211" s="159" t="s">
        <v>1115</v>
      </c>
      <c r="E211" s="101">
        <v>462</v>
      </c>
      <c r="F211" s="101">
        <v>1050000714164</v>
      </c>
      <c r="G211" s="165" t="s">
        <v>1284</v>
      </c>
      <c r="H211" s="160">
        <v>1.58</v>
      </c>
      <c r="I211" s="161">
        <v>9.4600000000000009</v>
      </c>
      <c r="J211" s="161">
        <v>2.59</v>
      </c>
      <c r="K211" s="161">
        <v>2.59</v>
      </c>
      <c r="L211" s="162">
        <v>0</v>
      </c>
      <c r="M211" s="163">
        <v>5673.58</v>
      </c>
      <c r="N211" s="164">
        <v>0.05</v>
      </c>
      <c r="O211" s="164">
        <v>0.05</v>
      </c>
    </row>
    <row r="212" spans="1:15" ht="30" customHeight="1" x14ac:dyDescent="0.35">
      <c r="A212" s="158" t="s">
        <v>1116</v>
      </c>
      <c r="B212" s="101">
        <v>532</v>
      </c>
      <c r="C212" s="101">
        <v>1050000555920</v>
      </c>
      <c r="D212" s="159" t="s">
        <v>1116</v>
      </c>
      <c r="E212" s="101">
        <v>464</v>
      </c>
      <c r="F212" s="101">
        <v>1050000555910</v>
      </c>
      <c r="G212" s="165" t="s">
        <v>1285</v>
      </c>
      <c r="H212" s="160">
        <v>0.441</v>
      </c>
      <c r="I212" s="161">
        <v>53.71</v>
      </c>
      <c r="J212" s="161">
        <v>2.96</v>
      </c>
      <c r="K212" s="161">
        <v>2.96</v>
      </c>
      <c r="L212" s="162">
        <v>0</v>
      </c>
      <c r="M212" s="163">
        <v>5370.76</v>
      </c>
      <c r="N212" s="164">
        <v>0.05</v>
      </c>
      <c r="O212" s="164">
        <v>0.05</v>
      </c>
    </row>
    <row r="213" spans="1:15" ht="30" customHeight="1" x14ac:dyDescent="0.35">
      <c r="A213" s="158" t="s">
        <v>1117</v>
      </c>
      <c r="B213" s="101">
        <v>839</v>
      </c>
      <c r="C213" s="101">
        <v>1023479303448</v>
      </c>
      <c r="D213" s="159"/>
      <c r="E213" s="101"/>
      <c r="F213" s="101"/>
      <c r="G213" s="165" t="s">
        <v>1144</v>
      </c>
      <c r="H213" s="160">
        <v>4.5999999999999999E-2</v>
      </c>
      <c r="I213" s="161">
        <v>95.69</v>
      </c>
      <c r="J213" s="161">
        <v>1.02</v>
      </c>
      <c r="K213" s="161">
        <v>1.02</v>
      </c>
      <c r="L213" s="162">
        <v>0</v>
      </c>
      <c r="M213" s="163">
        <v>0</v>
      </c>
      <c r="N213" s="164">
        <v>0</v>
      </c>
      <c r="O213" s="164">
        <v>0</v>
      </c>
    </row>
    <row r="214" spans="1:15" ht="30" customHeight="1" x14ac:dyDescent="0.35">
      <c r="A214" s="158" t="s">
        <v>1118</v>
      </c>
      <c r="B214" s="101">
        <v>798</v>
      </c>
      <c r="C214" s="101">
        <v>1050000948110</v>
      </c>
      <c r="D214" s="159" t="s">
        <v>1118</v>
      </c>
      <c r="E214" s="101">
        <v>799</v>
      </c>
      <c r="F214" s="101">
        <v>1050000948120</v>
      </c>
      <c r="G214" s="165" t="s">
        <v>1286</v>
      </c>
      <c r="H214" s="160">
        <v>0</v>
      </c>
      <c r="I214" s="161">
        <v>25.1</v>
      </c>
      <c r="J214" s="161">
        <v>2.1800000000000002</v>
      </c>
      <c r="K214" s="161">
        <v>2.1800000000000002</v>
      </c>
      <c r="L214" s="162">
        <v>0</v>
      </c>
      <c r="M214" s="163">
        <v>6526.07</v>
      </c>
      <c r="N214" s="164">
        <v>0.05</v>
      </c>
      <c r="O214" s="164">
        <v>0.05</v>
      </c>
    </row>
    <row r="215" spans="1:15" ht="30" customHeight="1" x14ac:dyDescent="0.35">
      <c r="A215" s="158" t="s">
        <v>1119</v>
      </c>
      <c r="B215" s="101">
        <v>531</v>
      </c>
      <c r="C215" s="101">
        <v>1050000650690</v>
      </c>
      <c r="D215" s="159" t="s">
        <v>1119</v>
      </c>
      <c r="E215" s="101">
        <v>463</v>
      </c>
      <c r="F215" s="101">
        <v>1050000650680</v>
      </c>
      <c r="G215" s="165" t="s">
        <v>1364</v>
      </c>
      <c r="H215" s="160">
        <v>0.27200000000000002</v>
      </c>
      <c r="I215" s="161">
        <v>8.42</v>
      </c>
      <c r="J215" s="161">
        <v>16.16</v>
      </c>
      <c r="K215" s="161">
        <v>16.16</v>
      </c>
      <c r="L215" s="162">
        <v>0</v>
      </c>
      <c r="M215" s="163">
        <v>673.81</v>
      </c>
      <c r="N215" s="164">
        <v>0.05</v>
      </c>
      <c r="O215" s="164">
        <v>0.05</v>
      </c>
    </row>
    <row r="216" spans="1:15" ht="30" customHeight="1" x14ac:dyDescent="0.35">
      <c r="A216" s="158" t="s">
        <v>1120</v>
      </c>
      <c r="B216" s="101">
        <v>538</v>
      </c>
      <c r="C216" s="101">
        <v>1050000811596</v>
      </c>
      <c r="D216" s="159" t="s">
        <v>1120</v>
      </c>
      <c r="E216" s="101">
        <v>471</v>
      </c>
      <c r="F216" s="101">
        <v>1050000811601</v>
      </c>
      <c r="G216" s="165" t="s">
        <v>1287</v>
      </c>
      <c r="H216" s="160">
        <v>7.0999999999999994E-2</v>
      </c>
      <c r="I216" s="161">
        <v>9.66</v>
      </c>
      <c r="J216" s="161">
        <v>8.94</v>
      </c>
      <c r="K216" s="161">
        <v>8.94</v>
      </c>
      <c r="L216" s="162">
        <v>0</v>
      </c>
      <c r="M216" s="163">
        <v>708.76</v>
      </c>
      <c r="N216" s="164">
        <v>0.05</v>
      </c>
      <c r="O216" s="164">
        <v>0.05</v>
      </c>
    </row>
    <row r="217" spans="1:15" ht="30" customHeight="1" x14ac:dyDescent="0.35">
      <c r="A217" s="158" t="s">
        <v>1121</v>
      </c>
      <c r="B217" s="101">
        <v>533</v>
      </c>
      <c r="C217" s="101">
        <v>1050000769163</v>
      </c>
      <c r="D217" s="159" t="s">
        <v>1121</v>
      </c>
      <c r="E217" s="101">
        <v>465</v>
      </c>
      <c r="F217" s="101">
        <v>1050000769172</v>
      </c>
      <c r="G217" s="165" t="s">
        <v>1288</v>
      </c>
      <c r="H217" s="160">
        <v>0.182</v>
      </c>
      <c r="I217" s="161">
        <v>4.32</v>
      </c>
      <c r="J217" s="161">
        <v>4.5599999999999996</v>
      </c>
      <c r="K217" s="161">
        <v>4.5599999999999996</v>
      </c>
      <c r="L217" s="162">
        <v>0</v>
      </c>
      <c r="M217" s="163">
        <v>432.46</v>
      </c>
      <c r="N217" s="164">
        <v>0.05</v>
      </c>
      <c r="O217" s="164">
        <v>0.05</v>
      </c>
    </row>
    <row r="218" spans="1:15" ht="30" customHeight="1" x14ac:dyDescent="0.35">
      <c r="A218" s="158" t="s">
        <v>1122</v>
      </c>
      <c r="B218" s="101">
        <v>771</v>
      </c>
      <c r="C218" s="101" t="s">
        <v>1339</v>
      </c>
      <c r="D218" s="159"/>
      <c r="E218" s="101"/>
      <c r="F218" s="101"/>
      <c r="G218" s="165" t="s">
        <v>1289</v>
      </c>
      <c r="H218" s="160">
        <v>0.04</v>
      </c>
      <c r="I218" s="161">
        <v>19880.330000000002</v>
      </c>
      <c r="J218" s="161">
        <v>3.97</v>
      </c>
      <c r="K218" s="161">
        <v>3.97</v>
      </c>
      <c r="L218" s="162">
        <v>0</v>
      </c>
      <c r="M218" s="163">
        <v>0</v>
      </c>
      <c r="N218" s="164">
        <v>0</v>
      </c>
      <c r="O218" s="164">
        <v>0</v>
      </c>
    </row>
  </sheetData>
  <sortState xmlns:xlrd2="http://schemas.microsoft.com/office/spreadsheetml/2017/richdata2" ref="A11:O218">
    <sortCondition ref="A11:A218"/>
  </sortState>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9055118110236221" bottom="0.55118110236220474" header="0.31496062992125984" footer="0.31496062992125984"/>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212"/>
  <sheetViews>
    <sheetView zoomScale="90" zoomScaleNormal="90" zoomScaleSheetLayoutView="100" workbookViewId="0">
      <selection sqref="A1:H1"/>
    </sheetView>
  </sheetViews>
  <sheetFormatPr defaultColWidth="9.1328125" defaultRowHeight="12.75" x14ac:dyDescent="0.35"/>
  <cols>
    <col min="1" max="1" width="14.73046875" style="61" customWidth="1"/>
    <col min="2" max="2" width="8.73046875" style="67" customWidth="1"/>
    <col min="3" max="3" width="16.73046875" style="67" bestFit="1" customWidth="1"/>
    <col min="4" max="4" width="54.86328125" style="67" customWidth="1"/>
    <col min="5" max="5" width="14.73046875" style="68" customWidth="1"/>
    <col min="6" max="7" width="14.73046875" style="69" customWidth="1"/>
    <col min="8" max="8" width="14.73046875" style="61" customWidth="1"/>
    <col min="9" max="9" width="15.59765625" style="61" customWidth="1"/>
    <col min="10" max="13" width="9.1328125" style="61"/>
    <col min="14" max="14" width="9.3984375" style="61" bestFit="1" customWidth="1"/>
    <col min="15" max="16384" width="9.1328125" style="61"/>
  </cols>
  <sheetData>
    <row r="1" spans="1:14" ht="66.75" customHeight="1" x14ac:dyDescent="0.35">
      <c r="A1" s="221" t="s">
        <v>517</v>
      </c>
      <c r="B1" s="221"/>
      <c r="C1" s="221"/>
      <c r="D1" s="221"/>
      <c r="E1" s="221"/>
      <c r="F1" s="221"/>
      <c r="G1" s="221"/>
      <c r="H1" s="221"/>
    </row>
    <row r="2" spans="1:14" s="62" customFormat="1" ht="25.5" customHeight="1" x14ac:dyDescent="0.35">
      <c r="A2" s="227" t="str">
        <f>Overview!B4&amp; " - Effective from "&amp;Overview!D4&amp;" - "&amp;Overview!E4&amp;" EDCM import charges"</f>
        <v>Eastern Power Networks - Effective from 01/04/2017 - Final EDCM import charges</v>
      </c>
      <c r="B2" s="228"/>
      <c r="C2" s="228"/>
      <c r="D2" s="228"/>
      <c r="E2" s="228"/>
      <c r="F2" s="228"/>
      <c r="G2" s="228"/>
      <c r="H2" s="229"/>
    </row>
    <row r="3" spans="1:14" s="88" customFormat="1" ht="17.649999999999999" x14ac:dyDescent="0.35">
      <c r="A3" s="93"/>
      <c r="B3" s="169"/>
      <c r="C3" s="169"/>
      <c r="D3" s="94"/>
      <c r="E3" s="95"/>
      <c r="F3" s="95"/>
      <c r="G3" s="96"/>
      <c r="H3" s="96"/>
      <c r="I3" s="87"/>
      <c r="J3" s="87"/>
      <c r="K3" s="87"/>
      <c r="L3" s="87"/>
      <c r="M3" s="87"/>
      <c r="N3" s="87"/>
    </row>
    <row r="4" spans="1:14" ht="60.75" customHeight="1" x14ac:dyDescent="0.35">
      <c r="A4" s="63" t="s">
        <v>489</v>
      </c>
      <c r="B4" s="64" t="s">
        <v>469</v>
      </c>
      <c r="C4" s="63" t="s">
        <v>470</v>
      </c>
      <c r="D4" s="65" t="s">
        <v>180</v>
      </c>
      <c r="E4" s="133" t="str">
        <f>'Annex 2 EHV charges'!H10</f>
        <v>Import
Super Red
unit charge
(p/kWh)</v>
      </c>
      <c r="F4" s="133" t="str">
        <f>'Annex 2 EHV charges'!I10</f>
        <v>Import
fixed charge
(p/day)</v>
      </c>
      <c r="G4" s="133" t="str">
        <f>'Annex 2 EHV charges'!J10</f>
        <v>Import
capacity charge
(p/kVA/day)</v>
      </c>
      <c r="H4" s="133" t="str">
        <f>'Annex 2 EHV charges'!K10</f>
        <v>Import
exceeded capacity charge
(p/kVA/day)</v>
      </c>
    </row>
    <row r="5" spans="1:14" ht="30.75" customHeight="1" x14ac:dyDescent="0.35">
      <c r="A5" s="168" t="str">
        <f t="array" ref="A5">IFERROR(INDEX('Annex 2 EHV charges'!$A$11:$A$218, MATCH(0, IF(ISBLANK('Annex 2 EHV charges'!$A$11:$A$218),1, COUNTIF(A$4:$A4, 'Annex 2 EHV charges'!$A$11:$A$218)), 0)),"")</f>
        <v>3VALSW</v>
      </c>
      <c r="B5" s="170">
        <f>IF($A5="","",VLOOKUP($A5,'Annex 2 EHV charges'!$A:$O,2,0))</f>
        <v>771</v>
      </c>
      <c r="C5" s="171">
        <f>IF($A5="","",VLOOKUP($A5,'Annex 2 EHV charges'!$A:$O,3,0))</f>
        <v>1014569699836</v>
      </c>
      <c r="D5" s="168" t="str">
        <f>IF($A5="","",VLOOKUP($A5,'Annex 2 EHV charges'!$A:$O,7,0))</f>
        <v>AFFINITY WATER LIMITED</v>
      </c>
      <c r="E5" s="166">
        <f>IFERROR(IF(VLOOKUP($A5,'Annex 2 EHV charges'!$A:$O,8,FALSE)=0,"",VLOOKUP($A5,'Annex 2 EHV charges'!$A:$O,8,FALSE)),"")</f>
        <v>0.71699999999999997</v>
      </c>
      <c r="F5" s="167">
        <f>IFERROR(IF(VLOOKUP($A5,'Annex 2 EHV charges'!$A:$O,9,FALSE)=0,"",VLOOKUP($A5,'Annex 2 EHV charges'!$A:$O,9,FALSE)),"")</f>
        <v>178.32</v>
      </c>
      <c r="G5" s="166">
        <f>IFERROR(IF(VLOOKUP($A5,'Annex 2 EHV charges'!$A:$O,10,FALSE)=0,"",VLOOKUP($A5,'Annex 2 EHV charges'!$A:$O,10,FALSE)),"")</f>
        <v>5.56</v>
      </c>
      <c r="H5" s="166">
        <f>IFERROR(IF(VLOOKUP($A5,'Annex 2 EHV charges'!$A:$O,11,FALSE)=0,"",VLOOKUP($A5,'Annex 2 EHV charges'!$A:$O,11,FALSE)),"")</f>
        <v>5.56</v>
      </c>
    </row>
    <row r="6" spans="1:14" ht="30.75" customHeight="1" x14ac:dyDescent="0.35">
      <c r="A6" s="168" t="str">
        <f t="array" ref="A6">IFERROR(INDEX('Annex 2 EHV charges'!$A$11:$A$218, MATCH(0, IF(ISBLANK('Annex 2 EHV charges'!$A$11:$A$218),1, COUNTIF(A$4:$A5, 'Annex 2 EHV charges'!$A$11:$A$218)), 0)),"")</f>
        <v>ABSRSF</v>
      </c>
      <c r="B6" s="170">
        <f>IF($A6="","",VLOOKUP($A6,'Annex 2 EHV charges'!$A:$O,2,0))</f>
        <v>869</v>
      </c>
      <c r="C6" s="171">
        <f>IF($A6="","",VLOOKUP($A6,'Annex 2 EHV charges'!$A:$O,3,0))</f>
        <v>1050000574685</v>
      </c>
      <c r="D6" s="168" t="str">
        <f>IF($A6="","",VLOOKUP($A6,'Annex 2 EHV charges'!$A:$O,7,0))</f>
        <v>ABBOTS RIPTON SOLAR ENERGY LIMITED</v>
      </c>
      <c r="E6" s="166">
        <f>IFERROR(IF(VLOOKUP($A6,'Annex 2 EHV charges'!$A:$O,8,FALSE)=0,"",VLOOKUP($A6,'Annex 2 EHV charges'!$A:$O,8,FALSE)),"")</f>
        <v>1.9079999999999999</v>
      </c>
      <c r="F6" s="167">
        <f>IFERROR(IF(VLOOKUP($A6,'Annex 2 EHV charges'!$A:$O,9,FALSE)=0,"",VLOOKUP($A6,'Annex 2 EHV charges'!$A:$O,9,FALSE)),"")</f>
        <v>18.239999999999998</v>
      </c>
      <c r="G6" s="166">
        <f>IFERROR(IF(VLOOKUP($A6,'Annex 2 EHV charges'!$A:$O,10,FALSE)=0,"",VLOOKUP($A6,'Annex 2 EHV charges'!$A:$O,10,FALSE)),"")</f>
        <v>3</v>
      </c>
      <c r="H6" s="166">
        <f>IFERROR(IF(VLOOKUP($A6,'Annex 2 EHV charges'!$A:$O,11,FALSE)=0,"",VLOOKUP($A6,'Annex 2 EHV charges'!$A:$O,11,FALSE)),"")</f>
        <v>3</v>
      </c>
    </row>
    <row r="7" spans="1:14" ht="30.75" customHeight="1" x14ac:dyDescent="0.35">
      <c r="A7" s="168" t="str">
        <f t="array" ref="A7">IFERROR(INDEX('Annex 2 EHV charges'!$A$11:$A$218, MATCH(0, IF(ISBLANK('Annex 2 EHV charges'!$A$11:$A$218),1, COUNTIF(A$4:$A6, 'Annex 2 EHV charges'!$A$11:$A$218)), 0)),"")</f>
        <v>ADBRKS</v>
      </c>
      <c r="B7" s="170">
        <f>IF($A7="","",VLOOKUP($A7,'Annex 2 EHV charges'!$A:$O,2,0))</f>
        <v>771</v>
      </c>
      <c r="C7" s="171">
        <f>IF($A7="","",VLOOKUP($A7,'Annex 2 EHV charges'!$A:$O,3,0))</f>
        <v>1023529546480</v>
      </c>
      <c r="D7" s="168" t="str">
        <f>IF($A7="","",VLOOKUP($A7,'Annex 2 EHV charges'!$A:$O,7,0))</f>
        <v>ADDENBROOKES NHS TRUST</v>
      </c>
      <c r="E7" s="166">
        <f>IFERROR(IF(VLOOKUP($A7,'Annex 2 EHV charges'!$A:$O,8,FALSE)=0,"",VLOOKUP($A7,'Annex 2 EHV charges'!$A:$O,8,FALSE)),"")</f>
        <v>1.4139999999999999</v>
      </c>
      <c r="F7" s="167">
        <f>IFERROR(IF(VLOOKUP($A7,'Annex 2 EHV charges'!$A:$O,9,FALSE)=0,"",VLOOKUP($A7,'Annex 2 EHV charges'!$A:$O,9,FALSE)),"")</f>
        <v>3068.14</v>
      </c>
      <c r="G7" s="166">
        <f>IFERROR(IF(VLOOKUP($A7,'Annex 2 EHV charges'!$A:$O,10,FALSE)=0,"",VLOOKUP($A7,'Annex 2 EHV charges'!$A:$O,10,FALSE)),"")</f>
        <v>3.93</v>
      </c>
      <c r="H7" s="166">
        <f>IFERROR(IF(VLOOKUP($A7,'Annex 2 EHV charges'!$A:$O,11,FALSE)=0,"",VLOOKUP($A7,'Annex 2 EHV charges'!$A:$O,11,FALSE)),"")</f>
        <v>3.93</v>
      </c>
    </row>
    <row r="8" spans="1:14" ht="30.75" customHeight="1" x14ac:dyDescent="0.35">
      <c r="A8" s="168" t="str">
        <f t="array" ref="A8">IFERROR(INDEX('Annex 2 EHV charges'!$A$11:$A$218, MATCH(0, IF(ISBLANK('Annex 2 EHV charges'!$A$11:$A$218),1, COUNTIF(A$4:$A7, 'Annex 2 EHV charges'!$A$11:$A$218)), 0)),"")</f>
        <v>AIAMAN</v>
      </c>
      <c r="B8" s="170">
        <f>IF($A8="","",VLOOKUP($A8,'Annex 2 EHV charges'!$A:$O,2,0))</f>
        <v>771</v>
      </c>
      <c r="C8" s="171">
        <f>IF($A8="","",VLOOKUP($A8,'Annex 2 EHV charges'!$A:$O,3,0))</f>
        <v>1014569292506</v>
      </c>
      <c r="D8" s="168" t="str">
        <f>IF($A8="","",VLOOKUP($A8,'Annex 2 EHV charges'!$A:$O,7,0))</f>
        <v>A I A MANAGEMENT LTD</v>
      </c>
      <c r="E8" s="166">
        <f>IFERROR(IF(VLOOKUP($A8,'Annex 2 EHV charges'!$A:$O,8,FALSE)=0,"",VLOOKUP($A8,'Annex 2 EHV charges'!$A:$O,8,FALSE)),"")</f>
        <v>2.944</v>
      </c>
      <c r="F8" s="167">
        <f>IFERROR(IF(VLOOKUP($A8,'Annex 2 EHV charges'!$A:$O,9,FALSE)=0,"",VLOOKUP($A8,'Annex 2 EHV charges'!$A:$O,9,FALSE)),"")</f>
        <v>8.49</v>
      </c>
      <c r="G8" s="166">
        <f>IFERROR(IF(VLOOKUP($A8,'Annex 2 EHV charges'!$A:$O,10,FALSE)=0,"",VLOOKUP($A8,'Annex 2 EHV charges'!$A:$O,10,FALSE)),"")</f>
        <v>19.010000000000002</v>
      </c>
      <c r="H8" s="166">
        <f>IFERROR(IF(VLOOKUP($A8,'Annex 2 EHV charges'!$A:$O,11,FALSE)=0,"",VLOOKUP($A8,'Annex 2 EHV charges'!$A:$O,11,FALSE)),"")</f>
        <v>19.010000000000002</v>
      </c>
    </row>
    <row r="9" spans="1:14" ht="30.75" customHeight="1" x14ac:dyDescent="0.35">
      <c r="A9" s="168" t="str">
        <f t="array" ref="A9">IFERROR(INDEX('Annex 2 EHV charges'!$A$11:$A$218, MATCH(0, IF(ISBLANK('Annex 2 EHV charges'!$A$11:$A$218),1, COUNTIF(A$4:$A8, 'Annex 2 EHV charges'!$A$11:$A$218)), 0)),"")</f>
        <v>ARAMAN</v>
      </c>
      <c r="B9" s="170">
        <f>IF($A9="","",VLOOKUP($A9,'Annex 2 EHV charges'!$A:$O,2,0))</f>
        <v>800</v>
      </c>
      <c r="C9" s="171">
        <f>IF($A9="","",VLOOKUP($A9,'Annex 2 EHV charges'!$A:$O,3,0))</f>
        <v>1023483097981</v>
      </c>
      <c r="D9" s="168" t="str">
        <f>IF($A9="","",VLOOKUP($A9,'Annex 2 EHV charges'!$A:$O,7,0))</f>
        <v>AIRCRAFT RESEARCH ASSOCIATION LIMITED</v>
      </c>
      <c r="E9" s="166">
        <f>IFERROR(IF(VLOOKUP($A9,'Annex 2 EHV charges'!$A:$O,8,FALSE)=0,"",VLOOKUP($A9,'Annex 2 EHV charges'!$A:$O,8,FALSE)),"")</f>
        <v>0.111</v>
      </c>
      <c r="F9" s="167">
        <f>IFERROR(IF(VLOOKUP($A9,'Annex 2 EHV charges'!$A:$O,9,FALSE)=0,"",VLOOKUP($A9,'Annex 2 EHV charges'!$A:$O,9,FALSE)),"")</f>
        <v>6644.17</v>
      </c>
      <c r="G9" s="166">
        <f>IFERROR(IF(VLOOKUP($A9,'Annex 2 EHV charges'!$A:$O,10,FALSE)=0,"",VLOOKUP($A9,'Annex 2 EHV charges'!$A:$O,10,FALSE)),"")</f>
        <v>0.95</v>
      </c>
      <c r="H9" s="166">
        <f>IFERROR(IF(VLOOKUP($A9,'Annex 2 EHV charges'!$A:$O,11,FALSE)=0,"",VLOOKUP($A9,'Annex 2 EHV charges'!$A:$O,11,FALSE)),"")</f>
        <v>0.95</v>
      </c>
    </row>
    <row r="10" spans="1:14" ht="30.75" customHeight="1" x14ac:dyDescent="0.35">
      <c r="A10" s="168" t="str">
        <f t="array" ref="A10">IFERROR(INDEX('Annex 2 EHV charges'!$A$11:$A$218, MATCH(0, IF(ISBLANK('Annex 2 EHV charges'!$A$11:$A$218),1, COUNTIF(A$4:$A9, 'Annex 2 EHV charges'!$A$11:$A$218)), 0)),"")</f>
        <v>ARLAFD</v>
      </c>
      <c r="B10" s="170">
        <f>IF($A10="","",VLOOKUP($A10,'Annex 2 EHV charges'!$A:$O,2,0))</f>
        <v>771</v>
      </c>
      <c r="C10" s="171" t="str">
        <f>IF($A10="","",VLOOKUP($A10,'Annex 2 EHV charges'!$A:$O,3,0))</f>
        <v>1030081553176
1030081553404</v>
      </c>
      <c r="D10" s="168" t="str">
        <f>IF($A10="","",VLOOKUP($A10,'Annex 2 EHV charges'!$A:$O,7,0))</f>
        <v>ARLA FOODS LIMITED</v>
      </c>
      <c r="E10" s="166">
        <f>IFERROR(IF(VLOOKUP($A10,'Annex 2 EHV charges'!$A:$O,8,FALSE)=0,"",VLOOKUP($A10,'Annex 2 EHV charges'!$A:$O,8,FALSE)),"")</f>
        <v>4.1719999999999997</v>
      </c>
      <c r="F10" s="167">
        <f>IFERROR(IF(VLOOKUP($A10,'Annex 2 EHV charges'!$A:$O,9,FALSE)=0,"",VLOOKUP($A10,'Annex 2 EHV charges'!$A:$O,9,FALSE)),"")</f>
        <v>3283.78</v>
      </c>
      <c r="G10" s="166">
        <f>IFERROR(IF(VLOOKUP($A10,'Annex 2 EHV charges'!$A:$O,10,FALSE)=0,"",VLOOKUP($A10,'Annex 2 EHV charges'!$A:$O,10,FALSE)),"")</f>
        <v>1.78</v>
      </c>
      <c r="H10" s="166">
        <f>IFERROR(IF(VLOOKUP($A10,'Annex 2 EHV charges'!$A:$O,11,FALSE)=0,"",VLOOKUP($A10,'Annex 2 EHV charges'!$A:$O,11,FALSE)),"")</f>
        <v>1.78</v>
      </c>
    </row>
    <row r="11" spans="1:14" ht="30.75" customHeight="1" x14ac:dyDescent="0.35">
      <c r="A11" s="168" t="str">
        <f t="array" ref="A11">IFERROR(INDEX('Annex 2 EHV charges'!$A$11:$A$218, MATCH(0, IF(ISBLANK('Annex 2 EHV charges'!$A$11:$A$218),1, COUNTIF(A$4:$A10, 'Annex 2 EHV charges'!$A$11:$A$218)), 0)),"")</f>
        <v>ASTONC</v>
      </c>
      <c r="B11" s="170">
        <f>IF($A11="","",VLOOKUP($A11,'Annex 2 EHV charges'!$A:$O,2,0))</f>
        <v>503</v>
      </c>
      <c r="C11" s="171">
        <f>IF($A11="","",VLOOKUP($A11,'Annex 2 EHV charges'!$A:$O,3,0))</f>
        <v>1050000834246</v>
      </c>
      <c r="D11" s="168" t="str">
        <f>IF($A11="","",VLOOKUP($A11,'Annex 2 EHV charges'!$A:$O,7,0))</f>
        <v>ASTON CLINTON</v>
      </c>
      <c r="E11" s="166">
        <f>IFERROR(IF(VLOOKUP($A11,'Annex 2 EHV charges'!$A:$O,8,FALSE)=0,"",VLOOKUP($A11,'Annex 2 EHV charges'!$A:$O,8,FALSE)),"")</f>
        <v>5.9809999999999999</v>
      </c>
      <c r="F11" s="167">
        <f>IFERROR(IF(VLOOKUP($A11,'Annex 2 EHV charges'!$A:$O,9,FALSE)=0,"",VLOOKUP($A11,'Annex 2 EHV charges'!$A:$O,9,FALSE)),"")</f>
        <v>2.58</v>
      </c>
      <c r="G11" s="166">
        <f>IFERROR(IF(VLOOKUP($A11,'Annex 2 EHV charges'!$A:$O,10,FALSE)=0,"",VLOOKUP($A11,'Annex 2 EHV charges'!$A:$O,10,FALSE)),"")</f>
        <v>3.14</v>
      </c>
      <c r="H11" s="166">
        <f>IFERROR(IF(VLOOKUP($A11,'Annex 2 EHV charges'!$A:$O,11,FALSE)=0,"",VLOOKUP($A11,'Annex 2 EHV charges'!$A:$O,11,FALSE)),"")</f>
        <v>3.14</v>
      </c>
    </row>
    <row r="12" spans="1:14" ht="30.75" customHeight="1" x14ac:dyDescent="0.35">
      <c r="A12" s="168" t="str">
        <f t="array" ref="A12">IFERROR(INDEX('Annex 2 EHV charges'!$A$11:$A$218, MATCH(0, IF(ISBLANK('Annex 2 EHV charges'!$A$11:$A$218),1, COUNTIF(A$4:$A11, 'Annex 2 EHV charges'!$A$11:$A$218)), 0)),"")</f>
        <v>AVENUE</v>
      </c>
      <c r="B12" s="170">
        <f>IF($A12="","",VLOOKUP($A12,'Annex 2 EHV charges'!$A:$O,2,0))</f>
        <v>504</v>
      </c>
      <c r="C12" s="171">
        <f>IF($A12="","",VLOOKUP($A12,'Annex 2 EHV charges'!$A:$O,3,0))</f>
        <v>1050000774970</v>
      </c>
      <c r="D12" s="168" t="str">
        <f>IF($A12="","",VLOOKUP($A12,'Annex 2 EHV charges'!$A:$O,7,0))</f>
        <v>LIGHTSOURCE SPV 15 LIMITED</v>
      </c>
      <c r="E12" s="166">
        <f>IFERROR(IF(VLOOKUP($A12,'Annex 2 EHV charges'!$A:$O,8,FALSE)=0,"",VLOOKUP($A12,'Annex 2 EHV charges'!$A:$O,8,FALSE)),"")</f>
        <v>6.4000000000000001E-2</v>
      </c>
      <c r="F12" s="167">
        <f>IFERROR(IF(VLOOKUP($A12,'Annex 2 EHV charges'!$A:$O,9,FALSE)=0,"",VLOOKUP($A12,'Annex 2 EHV charges'!$A:$O,9,FALSE)),"")</f>
        <v>17.149999999999999</v>
      </c>
      <c r="G12" s="166">
        <f>IFERROR(IF(VLOOKUP($A12,'Annex 2 EHV charges'!$A:$O,10,FALSE)=0,"",VLOOKUP($A12,'Annex 2 EHV charges'!$A:$O,10,FALSE)),"")</f>
        <v>4.1100000000000003</v>
      </c>
      <c r="H12" s="166">
        <f>IFERROR(IF(VLOOKUP($A12,'Annex 2 EHV charges'!$A:$O,11,FALSE)=0,"",VLOOKUP($A12,'Annex 2 EHV charges'!$A:$O,11,FALSE)),"")</f>
        <v>4.1100000000000003</v>
      </c>
    </row>
    <row r="13" spans="1:14" ht="30.75" customHeight="1" x14ac:dyDescent="0.35">
      <c r="A13" s="168" t="str">
        <f t="array" ref="A13">IFERROR(INDEX('Annex 2 EHV charges'!$A$11:$A$218, MATCH(0, IF(ISBLANK('Annex 2 EHV charges'!$A$11:$A$218),1, COUNTIF(A$4:$A12, 'Annex 2 EHV charges'!$A$11:$A$218)), 0)),"")</f>
        <v>AW_GRA</v>
      </c>
      <c r="B13" s="170">
        <f>IF($A13="","",VLOOKUP($A13,'Annex 2 EHV charges'!$A:$O,2,0))</f>
        <v>771</v>
      </c>
      <c r="C13" s="171" t="str">
        <f>IF($A13="","",VLOOKUP($A13,'Annex 2 EHV charges'!$A:$O,3,0))</f>
        <v>1023477037942
1014571445536</v>
      </c>
      <c r="D13" s="168" t="str">
        <f>IF($A13="","",VLOOKUP($A13,'Annex 2 EHV charges'!$A:$O,7,0))</f>
        <v>ANGLIAN WATER SERVICES</v>
      </c>
      <c r="E13" s="166">
        <f>IFERROR(IF(VLOOKUP($A13,'Annex 2 EHV charges'!$A:$O,8,FALSE)=0,"",VLOOKUP($A13,'Annex 2 EHV charges'!$A:$O,8,FALSE)),"")</f>
        <v>2.419</v>
      </c>
      <c r="F13" s="167">
        <f>IFERROR(IF(VLOOKUP($A13,'Annex 2 EHV charges'!$A:$O,9,FALSE)=0,"",VLOOKUP($A13,'Annex 2 EHV charges'!$A:$O,9,FALSE)),"")</f>
        <v>178.32</v>
      </c>
      <c r="G13" s="166">
        <f>IFERROR(IF(VLOOKUP($A13,'Annex 2 EHV charges'!$A:$O,10,FALSE)=0,"",VLOOKUP($A13,'Annex 2 EHV charges'!$A:$O,10,FALSE)),"")</f>
        <v>6.81</v>
      </c>
      <c r="H13" s="166">
        <f>IFERROR(IF(VLOOKUP($A13,'Annex 2 EHV charges'!$A:$O,11,FALSE)=0,"",VLOOKUP($A13,'Annex 2 EHV charges'!$A:$O,11,FALSE)),"")</f>
        <v>6.81</v>
      </c>
    </row>
    <row r="14" spans="1:14" ht="30.75" customHeight="1" x14ac:dyDescent="0.35">
      <c r="A14" s="168" t="str">
        <f t="array" ref="A14">IFERROR(INDEX('Annex 2 EHV charges'!$A$11:$A$218, MATCH(0, IF(ISBLANK('Annex 2 EHV charges'!$A$11:$A$218),1, COUNTIF(A$4:$A13, 'Annex 2 EHV charges'!$A$11:$A$218)), 0)),"")</f>
        <v>AWOUSE</v>
      </c>
      <c r="B14" s="170">
        <f>IF($A14="","",VLOOKUP($A14,'Annex 2 EHV charges'!$A:$O,2,0))</f>
        <v>771</v>
      </c>
      <c r="C14" s="171" t="str">
        <f>IF($A14="","",VLOOKUP($A14,'Annex 2 EHV charges'!$A:$O,3,0))</f>
        <v>1023475403798
1014571965793</v>
      </c>
      <c r="D14" s="168" t="str">
        <f>IF($A14="","",VLOOKUP($A14,'Annex 2 EHV charges'!$A:$O,7,0))</f>
        <v>ANGLIAN WATER SERVICES</v>
      </c>
      <c r="E14" s="166">
        <f>IFERROR(IF(VLOOKUP($A14,'Annex 2 EHV charges'!$A:$O,8,FALSE)=0,"",VLOOKUP($A14,'Annex 2 EHV charges'!$A:$O,8,FALSE)),"")</f>
        <v>2.605</v>
      </c>
      <c r="F14" s="167">
        <f>IFERROR(IF(VLOOKUP($A14,'Annex 2 EHV charges'!$A:$O,9,FALSE)=0,"",VLOOKUP($A14,'Annex 2 EHV charges'!$A:$O,9,FALSE)),"")</f>
        <v>178.32</v>
      </c>
      <c r="G14" s="166">
        <f>IFERROR(IF(VLOOKUP($A14,'Annex 2 EHV charges'!$A:$O,10,FALSE)=0,"",VLOOKUP($A14,'Annex 2 EHV charges'!$A:$O,10,FALSE)),"")</f>
        <v>4.1500000000000004</v>
      </c>
      <c r="H14" s="166">
        <f>IFERROR(IF(VLOOKUP($A14,'Annex 2 EHV charges'!$A:$O,11,FALSE)=0,"",VLOOKUP($A14,'Annex 2 EHV charges'!$A:$O,11,FALSE)),"")</f>
        <v>4.1500000000000004</v>
      </c>
    </row>
    <row r="15" spans="1:14" ht="30.75" customHeight="1" x14ac:dyDescent="0.35">
      <c r="A15" s="168" t="str">
        <f t="array" ref="A15">IFERROR(INDEX('Annex 2 EHV charges'!$A$11:$A$218, MATCH(0, IF(ISBLANK('Annex 2 EHV charges'!$A$11:$A$218),1, COUNTIF(A$4:$A14, 'Annex 2 EHV charges'!$A$11:$A$218)), 0)),"")</f>
        <v>BARNFM</v>
      </c>
      <c r="B15" s="170">
        <f>IF($A15="","",VLOOKUP($A15,'Annex 2 EHV charges'!$A:$O,2,0))</f>
        <v>796</v>
      </c>
      <c r="C15" s="171">
        <f>IF($A15="","",VLOOKUP($A15,'Annex 2 EHV charges'!$A:$O,3,0))</f>
        <v>1050000774999</v>
      </c>
      <c r="D15" s="168" t="str">
        <f>IF($A15="","",VLOOKUP($A15,'Annex 2 EHV charges'!$A:$O,7,0))</f>
        <v>BARN FARM SOLAR</v>
      </c>
      <c r="E15" s="166">
        <f>IFERROR(IF(VLOOKUP($A15,'Annex 2 EHV charges'!$A:$O,8,FALSE)=0,"",VLOOKUP($A15,'Annex 2 EHV charges'!$A:$O,8,FALSE)),"")</f>
        <v>4.0010000000000003</v>
      </c>
      <c r="F15" s="167">
        <f>IFERROR(IF(VLOOKUP($A15,'Annex 2 EHV charges'!$A:$O,9,FALSE)=0,"",VLOOKUP($A15,'Annex 2 EHV charges'!$A:$O,9,FALSE)),"")</f>
        <v>44.65</v>
      </c>
      <c r="G15" s="166">
        <f>IFERROR(IF(VLOOKUP($A15,'Annex 2 EHV charges'!$A:$O,10,FALSE)=0,"",VLOOKUP($A15,'Annex 2 EHV charges'!$A:$O,10,FALSE)),"")</f>
        <v>6.69</v>
      </c>
      <c r="H15" s="166">
        <f>IFERROR(IF(VLOOKUP($A15,'Annex 2 EHV charges'!$A:$O,11,FALSE)=0,"",VLOOKUP($A15,'Annex 2 EHV charges'!$A:$O,11,FALSE)),"")</f>
        <v>6.69</v>
      </c>
    </row>
    <row r="16" spans="1:14" ht="30.75" customHeight="1" x14ac:dyDescent="0.35">
      <c r="A16" s="168" t="str">
        <f t="array" ref="A16">IFERROR(INDEX('Annex 2 EHV charges'!$A$11:$A$218, MATCH(0, IF(ISBLANK('Annex 2 EHV charges'!$A$11:$A$218),1, COUNTIF(A$4:$A15, 'Annex 2 EHV charges'!$A$11:$A$218)), 0)),"")</f>
        <v>BAYFMS</v>
      </c>
      <c r="B16" s="170">
        <f>IF($A16="","",VLOOKUP($A16,'Annex 2 EHV charges'!$A:$O,2,0))</f>
        <v>870</v>
      </c>
      <c r="C16" s="171">
        <f>IF($A16="","",VLOOKUP($A16,'Annex 2 EHV charges'!$A:$O,3,0))</f>
        <v>1050000579318</v>
      </c>
      <c r="D16" s="168" t="str">
        <f>IF($A16="","",VLOOKUP($A16,'Annex 2 EHV charges'!$A:$O,7,0))</f>
        <v>BAY FARM IMPORT</v>
      </c>
      <c r="E16" s="166">
        <f>IFERROR(IF(VLOOKUP($A16,'Annex 2 EHV charges'!$A:$O,8,FALSE)=0,"",VLOOKUP($A16,'Annex 2 EHV charges'!$A:$O,8,FALSE)),"")</f>
        <v>2.2919999999999998</v>
      </c>
      <c r="F16" s="167">
        <f>IFERROR(IF(VLOOKUP($A16,'Annex 2 EHV charges'!$A:$O,9,FALSE)=0,"",VLOOKUP($A16,'Annex 2 EHV charges'!$A:$O,9,FALSE)),"")</f>
        <v>31.89</v>
      </c>
      <c r="G16" s="166">
        <f>IFERROR(IF(VLOOKUP($A16,'Annex 2 EHV charges'!$A:$O,10,FALSE)=0,"",VLOOKUP($A16,'Annex 2 EHV charges'!$A:$O,10,FALSE)),"")</f>
        <v>4.26</v>
      </c>
      <c r="H16" s="166">
        <f>IFERROR(IF(VLOOKUP($A16,'Annex 2 EHV charges'!$A:$O,11,FALSE)=0,"",VLOOKUP($A16,'Annex 2 EHV charges'!$A:$O,11,FALSE)),"")</f>
        <v>4.26</v>
      </c>
    </row>
    <row r="17" spans="1:8" ht="30.75" customHeight="1" x14ac:dyDescent="0.35">
      <c r="A17" s="168" t="str">
        <f t="array" ref="A17">IFERROR(INDEX('Annex 2 EHV charges'!$A$11:$A$218, MATCH(0, IF(ISBLANK('Annex 2 EHV charges'!$A$11:$A$218),1, COUNTIF(A$4:$A16, 'Annex 2 EHV charges'!$A$11:$A$218)), 0)),"")</f>
        <v>BDGHSE</v>
      </c>
      <c r="B17" s="170">
        <f>IF($A17="","",VLOOKUP($A17,'Annex 2 EHV charges'!$A:$O,2,0))</f>
        <v>505</v>
      </c>
      <c r="C17" s="171">
        <f>IF($A17="","",VLOOKUP($A17,'Annex 2 EHV charges'!$A:$O,3,0))</f>
        <v>1050000669548</v>
      </c>
      <c r="D17" s="168" t="str">
        <f>IF($A17="","",VLOOKUP($A17,'Annex 2 EHV charges'!$A:$O,7,0))</f>
        <v>BOARDINGHOUSE WINDFARM LIMITED</v>
      </c>
      <c r="E17" s="166">
        <f>IFERROR(IF(VLOOKUP($A17,'Annex 2 EHV charges'!$A:$O,8,FALSE)=0,"",VLOOKUP($A17,'Annex 2 EHV charges'!$A:$O,8,FALSE)),"")</f>
        <v>0.92600000000000005</v>
      </c>
      <c r="F17" s="167">
        <f>IFERROR(IF(VLOOKUP($A17,'Annex 2 EHV charges'!$A:$O,9,FALSE)=0,"",VLOOKUP($A17,'Annex 2 EHV charges'!$A:$O,9,FALSE)),"")</f>
        <v>28.23</v>
      </c>
      <c r="G17" s="166">
        <f>IFERROR(IF(VLOOKUP($A17,'Annex 2 EHV charges'!$A:$O,10,FALSE)=0,"",VLOOKUP($A17,'Annex 2 EHV charges'!$A:$O,10,FALSE)),"")</f>
        <v>1.66</v>
      </c>
      <c r="H17" s="166">
        <f>IFERROR(IF(VLOOKUP($A17,'Annex 2 EHV charges'!$A:$O,11,FALSE)=0,"",VLOOKUP($A17,'Annex 2 EHV charges'!$A:$O,11,FALSE)),"")</f>
        <v>1.66</v>
      </c>
    </row>
    <row r="18" spans="1:8" ht="30.75" customHeight="1" x14ac:dyDescent="0.35">
      <c r="A18" s="168" t="str">
        <f t="array" ref="A18">IFERROR(INDEX('Annex 2 EHV charges'!$A$11:$A$218, MATCH(0, IF(ISBLANK('Annex 2 EHV charges'!$A$11:$A$218),1, COUNTIF(A$4:$A17, 'Annex 2 EHV charges'!$A$11:$A$218)), 0)),"")</f>
        <v>BDWLWF</v>
      </c>
      <c r="B18" s="170">
        <f>IF($A18="","",VLOOKUP($A18,'Annex 2 EHV charges'!$A:$O,2,0))</f>
        <v>827</v>
      </c>
      <c r="C18" s="171">
        <f>IF($A18="","",VLOOKUP($A18,'Annex 2 EHV charges'!$A:$O,3,0))</f>
        <v>1030082700415</v>
      </c>
      <c r="D18" s="168" t="str">
        <f>IF($A18="","",VLOOKUP($A18,'Annex 2 EHV charges'!$A:$O,7,0))</f>
        <v>RWE INNOGY UK LIMITED</v>
      </c>
      <c r="E18" s="166">
        <f>IFERROR(IF(VLOOKUP($A18,'Annex 2 EHV charges'!$A:$O,8,FALSE)=0,"",VLOOKUP($A18,'Annex 2 EHV charges'!$A:$O,8,FALSE)),"")</f>
        <v>2.8570000000000002</v>
      </c>
      <c r="F18" s="167">
        <f>IFERROR(IF(VLOOKUP($A18,'Annex 2 EHV charges'!$A:$O,9,FALSE)=0,"",VLOOKUP($A18,'Annex 2 EHV charges'!$A:$O,9,FALSE)),"")</f>
        <v>38.42</v>
      </c>
      <c r="G18" s="166">
        <f>IFERROR(IF(VLOOKUP($A18,'Annex 2 EHV charges'!$A:$O,10,FALSE)=0,"",VLOOKUP($A18,'Annex 2 EHV charges'!$A:$O,10,FALSE)),"")</f>
        <v>2.59</v>
      </c>
      <c r="H18" s="166">
        <f>IFERROR(IF(VLOOKUP($A18,'Annex 2 EHV charges'!$A:$O,11,FALSE)=0,"",VLOOKUP($A18,'Annex 2 EHV charges'!$A:$O,11,FALSE)),"")</f>
        <v>2.59</v>
      </c>
    </row>
    <row r="19" spans="1:8" ht="30.75" customHeight="1" x14ac:dyDescent="0.35">
      <c r="A19" s="168" t="str">
        <f t="array" ref="A19">IFERROR(INDEX('Annex 2 EHV charges'!$A$11:$A$218, MATCH(0, IF(ISBLANK('Annex 2 EHV charges'!$A$11:$A$218),1, COUNTIF(A$4:$A18, 'Annex 2 EHV charges'!$A$11:$A$218)), 0)),"")</f>
        <v>BERMAT</v>
      </c>
      <c r="B19" s="170">
        <f>IF($A19="","",VLOOKUP($A19,'Annex 2 EHV charges'!$A:$O,2,0))</f>
        <v>771</v>
      </c>
      <c r="C19" s="171">
        <f>IF($A19="","",VLOOKUP($A19,'Annex 2 EHV charges'!$A:$O,3,0))</f>
        <v>1014571751895</v>
      </c>
      <c r="D19" s="168" t="str">
        <f>IF($A19="","",VLOOKUP($A19,'Annex 2 EHV charges'!$A:$O,7,0))</f>
        <v>BERNARD MATTHEWS LIMITED</v>
      </c>
      <c r="E19" s="166">
        <f>IFERROR(IF(VLOOKUP($A19,'Annex 2 EHV charges'!$A:$O,8,FALSE)=0,"",VLOOKUP($A19,'Annex 2 EHV charges'!$A:$O,8,FALSE)),"")</f>
        <v>0.47399999999999998</v>
      </c>
      <c r="F19" s="167">
        <f>IFERROR(IF(VLOOKUP($A19,'Annex 2 EHV charges'!$A:$O,9,FALSE)=0,"",VLOOKUP($A19,'Annex 2 EHV charges'!$A:$O,9,FALSE)),"")</f>
        <v>89.16</v>
      </c>
      <c r="G19" s="166">
        <f>IFERROR(IF(VLOOKUP($A19,'Annex 2 EHV charges'!$A:$O,10,FALSE)=0,"",VLOOKUP($A19,'Annex 2 EHV charges'!$A:$O,10,FALSE)),"")</f>
        <v>6.61</v>
      </c>
      <c r="H19" s="166">
        <f>IFERROR(IF(VLOOKUP($A19,'Annex 2 EHV charges'!$A:$O,11,FALSE)=0,"",VLOOKUP($A19,'Annex 2 EHV charges'!$A:$O,11,FALSE)),"")</f>
        <v>6.61</v>
      </c>
    </row>
    <row r="20" spans="1:8" ht="30.75" customHeight="1" x14ac:dyDescent="0.35">
      <c r="A20" s="168" t="str">
        <f t="array" ref="A20">IFERROR(INDEX('Annex 2 EHV charges'!$A$11:$A$218, MATCH(0, IF(ISBLANK('Annex 2 EHV charges'!$A$11:$A$218),1, COUNTIF(A$4:$A19, 'Annex 2 EHV charges'!$A$11:$A$218)), 0)),"")</f>
        <v>BGWDWF</v>
      </c>
      <c r="B20" s="170">
        <f>IF($A20="","",VLOOKUP($A20,'Annex 2 EHV charges'!$A:$O,2,0))</f>
        <v>871</v>
      </c>
      <c r="C20" s="171">
        <f>IF($A20="","",VLOOKUP($A20,'Annex 2 EHV charges'!$A:$O,3,0))</f>
        <v>1030083931374</v>
      </c>
      <c r="D20" s="168" t="str">
        <f>IF($A20="","",VLOOKUP($A20,'Annex 2 EHV charges'!$A:$O,7,0))</f>
        <v>BIGGLESWADE WIND FARM LIMITED</v>
      </c>
      <c r="E20" s="166">
        <f>IFERROR(IF(VLOOKUP($A20,'Annex 2 EHV charges'!$A:$O,8,FALSE)=0,"",VLOOKUP($A20,'Annex 2 EHV charges'!$A:$O,8,FALSE)),"")</f>
        <v>1.302</v>
      </c>
      <c r="F20" s="167">
        <f>IFERROR(IF(VLOOKUP($A20,'Annex 2 EHV charges'!$A:$O,9,FALSE)=0,"",VLOOKUP($A20,'Annex 2 EHV charges'!$A:$O,9,FALSE)),"")</f>
        <v>3.39</v>
      </c>
      <c r="G20" s="166">
        <f>IFERROR(IF(VLOOKUP($A20,'Annex 2 EHV charges'!$A:$O,10,FALSE)=0,"",VLOOKUP($A20,'Annex 2 EHV charges'!$A:$O,10,FALSE)),"")</f>
        <v>4.2699999999999996</v>
      </c>
      <c r="H20" s="166">
        <f>IFERROR(IF(VLOOKUP($A20,'Annex 2 EHV charges'!$A:$O,11,FALSE)=0,"",VLOOKUP($A20,'Annex 2 EHV charges'!$A:$O,11,FALSE)),"")</f>
        <v>4.2699999999999996</v>
      </c>
    </row>
    <row r="21" spans="1:8" ht="30.75" customHeight="1" x14ac:dyDescent="0.35">
      <c r="A21" s="168" t="str">
        <f t="array" ref="A21">IFERROR(INDEX('Annex 2 EHV charges'!$A$11:$A$218, MATCH(0, IF(ISBLANK('Annex 2 EHV charges'!$A$11:$A$218),1, COUNTIF(A$4:$A20, 'Annex 2 EHV charges'!$A$11:$A$218)), 0)),"")</f>
        <v>BLGTSF</v>
      </c>
      <c r="B21" s="170">
        <f>IF($A21="","",VLOOKUP($A21,'Annex 2 EHV charges'!$A:$O,2,0))</f>
        <v>534</v>
      </c>
      <c r="C21" s="171">
        <f>IF($A21="","",VLOOKUP($A21,'Annex 2 EHV charges'!$A:$O,3,0))</f>
        <v>1050000769039</v>
      </c>
      <c r="D21" s="168" t="str">
        <f>IF($A21="","",VLOOKUP($A21,'Annex 2 EHV charges'!$A:$O,7,0))</f>
        <v>SOLAR CENTURY</v>
      </c>
      <c r="E21" s="166">
        <f>IFERROR(IF(VLOOKUP($A21,'Annex 2 EHV charges'!$A:$O,8,FALSE)=0,"",VLOOKUP($A21,'Annex 2 EHV charges'!$A:$O,8,FALSE)),"")</f>
        <v>4.1920000000000002</v>
      </c>
      <c r="F21" s="167">
        <f>IFERROR(IF(VLOOKUP($A21,'Annex 2 EHV charges'!$A:$O,9,FALSE)=0,"",VLOOKUP($A21,'Annex 2 EHV charges'!$A:$O,9,FALSE)),"")</f>
        <v>11.76</v>
      </c>
      <c r="G21" s="166">
        <f>IFERROR(IF(VLOOKUP($A21,'Annex 2 EHV charges'!$A:$O,10,FALSE)=0,"",VLOOKUP($A21,'Annex 2 EHV charges'!$A:$O,10,FALSE)),"")</f>
        <v>2.87</v>
      </c>
      <c r="H21" s="166">
        <f>IFERROR(IF(VLOOKUP($A21,'Annex 2 EHV charges'!$A:$O,11,FALSE)=0,"",VLOOKUP($A21,'Annex 2 EHV charges'!$A:$O,11,FALSE)),"")</f>
        <v>2.87</v>
      </c>
    </row>
    <row r="22" spans="1:8" ht="30.75" customHeight="1" x14ac:dyDescent="0.35">
      <c r="A22" s="168" t="str">
        <f t="array" ref="A22">IFERROR(INDEX('Annex 2 EHV charges'!$A$11:$A$218, MATCH(0, IF(ISBLANK('Annex 2 EHV charges'!$A$11:$A$218),1, COUNTIF(A$4:$A21, 'Annex 2 EHV charges'!$A$11:$A$218)), 0)),"")</f>
        <v>BOCTHA</v>
      </c>
      <c r="B22" s="170">
        <f>IF($A22="","",VLOOKUP($A22,'Annex 2 EHV charges'!$A:$O,2,0))</f>
        <v>803</v>
      </c>
      <c r="C22" s="171">
        <f>IF($A22="","",VLOOKUP($A22,'Annex 2 EHV charges'!$A:$O,3,0))</f>
        <v>1014572608412</v>
      </c>
      <c r="D22" s="168" t="str">
        <f>IF($A22="","",VLOOKUP($A22,'Annex 2 EHV charges'!$A:$O,7,0))</f>
        <v>BOC LTD</v>
      </c>
      <c r="E22" s="166">
        <f>IFERROR(IF(VLOOKUP($A22,'Annex 2 EHV charges'!$A:$O,8,FALSE)=0,"",VLOOKUP($A22,'Annex 2 EHV charges'!$A:$O,8,FALSE)),"")</f>
        <v>2.91</v>
      </c>
      <c r="F22" s="167">
        <f>IFERROR(IF(VLOOKUP($A22,'Annex 2 EHV charges'!$A:$O,9,FALSE)=0,"",VLOOKUP($A22,'Annex 2 EHV charges'!$A:$O,9,FALSE)),"")</f>
        <v>965.67</v>
      </c>
      <c r="G22" s="166">
        <f>IFERROR(IF(VLOOKUP($A22,'Annex 2 EHV charges'!$A:$O,10,FALSE)=0,"",VLOOKUP($A22,'Annex 2 EHV charges'!$A:$O,10,FALSE)),"")</f>
        <v>5.03</v>
      </c>
      <c r="H22" s="166">
        <f>IFERROR(IF(VLOOKUP($A22,'Annex 2 EHV charges'!$A:$O,11,FALSE)=0,"",VLOOKUP($A22,'Annex 2 EHV charges'!$A:$O,11,FALSE)),"")</f>
        <v>5.03</v>
      </c>
    </row>
    <row r="23" spans="1:8" ht="30.75" customHeight="1" x14ac:dyDescent="0.35">
      <c r="A23" s="168" t="str">
        <f t="array" ref="A23">IFERROR(INDEX('Annex 2 EHV charges'!$A$11:$A$218, MATCH(0, IF(ISBLANK('Annex 2 EHV charges'!$A$11:$A$218),1, COUNTIF(A$4:$A22, 'Annex 2 EHV charges'!$A$11:$A$218)), 0)),"")</f>
        <v>BOXTED</v>
      </c>
      <c r="B23" s="170">
        <f>IF($A23="","",VLOOKUP($A23,'Annex 2 EHV charges'!$A:$O,2,0))</f>
        <v>506</v>
      </c>
      <c r="C23" s="171">
        <f>IF($A23="","",VLOOKUP($A23,'Annex 2 EHV charges'!$A:$O,3,0))</f>
        <v>1050000774270</v>
      </c>
      <c r="D23" s="168" t="str">
        <f>IF($A23="","",VLOOKUP($A23,'Annex 2 EHV charges'!$A:$O,7,0))</f>
        <v>PUSH ENERGY (BOXTED AIRFIELD) LIMITED</v>
      </c>
      <c r="E23" s="166">
        <f>IFERROR(IF(VLOOKUP($A23,'Annex 2 EHV charges'!$A:$O,8,FALSE)=0,"",VLOOKUP($A23,'Annex 2 EHV charges'!$A:$O,8,FALSE)),"")</f>
        <v>4.7969999999999997</v>
      </c>
      <c r="F23" s="167">
        <f>IFERROR(IF(VLOOKUP($A23,'Annex 2 EHV charges'!$A:$O,9,FALSE)=0,"",VLOOKUP($A23,'Annex 2 EHV charges'!$A:$O,9,FALSE)),"")</f>
        <v>5.88</v>
      </c>
      <c r="G23" s="166">
        <f>IFERROR(IF(VLOOKUP($A23,'Annex 2 EHV charges'!$A:$O,10,FALSE)=0,"",VLOOKUP($A23,'Annex 2 EHV charges'!$A:$O,10,FALSE)),"")</f>
        <v>3.23</v>
      </c>
      <c r="H23" s="166">
        <f>IFERROR(IF(VLOOKUP($A23,'Annex 2 EHV charges'!$A:$O,11,FALSE)=0,"",VLOOKUP($A23,'Annex 2 EHV charges'!$A:$O,11,FALSE)),"")</f>
        <v>3.23</v>
      </c>
    </row>
    <row r="24" spans="1:8" ht="30.75" customHeight="1" x14ac:dyDescent="0.35">
      <c r="A24" s="168" t="str">
        <f t="array" ref="A24">IFERROR(INDEX('Annex 2 EHV charges'!$A$11:$A$218, MATCH(0, IF(ISBLANK('Annex 2 EHV charges'!$A$11:$A$218),1, COUNTIF(A$4:$A23, 'Annex 2 EHV charges'!$A$11:$A$218)), 0)),"")</f>
        <v>BPA_CO</v>
      </c>
      <c r="B24" s="170">
        <f>IF($A24="","",VLOOKUP($A24,'Annex 2 EHV charges'!$A:$O,2,0))</f>
        <v>804</v>
      </c>
      <c r="C24" s="171">
        <f>IF($A24="","",VLOOKUP($A24,'Annex 2 EHV charges'!$A:$O,3,0))</f>
        <v>1014572578282</v>
      </c>
      <c r="D24" s="168" t="str">
        <f>IF($A24="","",VLOOKUP($A24,'Annex 2 EHV charges'!$A:$O,7,0))</f>
        <v>BRITISH PIPELINE AGENCY LTD</v>
      </c>
      <c r="E24" s="166">
        <f>IFERROR(IF(VLOOKUP($A24,'Annex 2 EHV charges'!$A:$O,8,FALSE)=0,"",VLOOKUP($A24,'Annex 2 EHV charges'!$A:$O,8,FALSE)),"")</f>
        <v>0.626</v>
      </c>
      <c r="F24" s="167">
        <f>IFERROR(IF(VLOOKUP($A24,'Annex 2 EHV charges'!$A:$O,9,FALSE)=0,"",VLOOKUP($A24,'Annex 2 EHV charges'!$A:$O,9,FALSE)),"")</f>
        <v>511.57</v>
      </c>
      <c r="G24" s="166">
        <f>IFERROR(IF(VLOOKUP($A24,'Annex 2 EHV charges'!$A:$O,10,FALSE)=0,"",VLOOKUP($A24,'Annex 2 EHV charges'!$A:$O,10,FALSE)),"")</f>
        <v>1.64</v>
      </c>
      <c r="H24" s="166">
        <f>IFERROR(IF(VLOOKUP($A24,'Annex 2 EHV charges'!$A:$O,11,FALSE)=0,"",VLOOKUP($A24,'Annex 2 EHV charges'!$A:$O,11,FALSE)),"")</f>
        <v>1.64</v>
      </c>
    </row>
    <row r="25" spans="1:8" ht="30.75" customHeight="1" x14ac:dyDescent="0.35">
      <c r="A25" s="168" t="str">
        <f t="array" ref="A25">IFERROR(INDEX('Annex 2 EHV charges'!$A$11:$A$218, MATCH(0, IF(ISBLANK('Annex 2 EHV charges'!$A$11:$A$218),1, COUNTIF(A$4:$A24, 'Annex 2 EHV charges'!$A$11:$A$218)), 0)),"")</f>
        <v>BPTLTD</v>
      </c>
      <c r="B25" s="170">
        <f>IF($A25="","",VLOOKUP($A25,'Annex 2 EHV charges'!$A:$O,2,0))</f>
        <v>771</v>
      </c>
      <c r="C25" s="171" t="str">
        <f>IF($A25="","",VLOOKUP($A25,'Annex 2 EHV charges'!$A:$O,3,0))</f>
        <v>1023475256360
1014572502380</v>
      </c>
      <c r="D25" s="168" t="str">
        <f>IF($A25="","",VLOOKUP($A25,'Annex 2 EHV charges'!$A:$O,7,0))</f>
        <v>ZURICH ASSURANCE LTD</v>
      </c>
      <c r="E25" s="166">
        <f>IFERROR(IF(VLOOKUP($A25,'Annex 2 EHV charges'!$A:$O,8,FALSE)=0,"",VLOOKUP($A25,'Annex 2 EHV charges'!$A:$O,8,FALSE)),"")</f>
        <v>2.09</v>
      </c>
      <c r="F25" s="167">
        <f>IFERROR(IF(VLOOKUP($A25,'Annex 2 EHV charges'!$A:$O,9,FALSE)=0,"",VLOOKUP($A25,'Annex 2 EHV charges'!$A:$O,9,FALSE)),"")</f>
        <v>178.32</v>
      </c>
      <c r="G25" s="166">
        <f>IFERROR(IF(VLOOKUP($A25,'Annex 2 EHV charges'!$A:$O,10,FALSE)=0,"",VLOOKUP($A25,'Annex 2 EHV charges'!$A:$O,10,FALSE)),"")</f>
        <v>1.93</v>
      </c>
      <c r="H25" s="166">
        <f>IFERROR(IF(VLOOKUP($A25,'Annex 2 EHV charges'!$A:$O,11,FALSE)=0,"",VLOOKUP($A25,'Annex 2 EHV charges'!$A:$O,11,FALSE)),"")</f>
        <v>1.93</v>
      </c>
    </row>
    <row r="26" spans="1:8" ht="30.75" customHeight="1" x14ac:dyDescent="0.35">
      <c r="A26" s="168" t="str">
        <f t="array" ref="A26">IFERROR(INDEX('Annex 2 EHV charges'!$A$11:$A$218, MATCH(0, IF(ISBLANK('Annex 2 EHV charges'!$A$11:$A$218),1, COUNTIF(A$4:$A25, 'Annex 2 EHV charges'!$A$11:$A$218)), 0)),"")</f>
        <v>BRCHGP</v>
      </c>
      <c r="B26" s="170">
        <f>IF($A26="","",VLOOKUP($A26,'Annex 2 EHV charges'!$A:$O,2,0))</f>
        <v>525</v>
      </c>
      <c r="C26" s="171">
        <f>IF($A26="","",VLOOKUP($A26,'Annex 2 EHV charges'!$A:$O,3,0))</f>
        <v>1050000961956</v>
      </c>
      <c r="D26" s="168" t="str">
        <f>IF($A26="","",VLOOKUP($A26,'Annex 2 EHV charges'!$A:$O,7,0))</f>
        <v>BIRCH GRAVEL PIT SOLAR</v>
      </c>
      <c r="E26" s="166">
        <f>IFERROR(IF(VLOOKUP($A26,'Annex 2 EHV charges'!$A:$O,8,FALSE)=0,"",VLOOKUP($A26,'Annex 2 EHV charges'!$A:$O,8,FALSE)),"")</f>
        <v>3.597</v>
      </c>
      <c r="F26" s="167">
        <f>IFERROR(IF(VLOOKUP($A26,'Annex 2 EHV charges'!$A:$O,9,FALSE)=0,"",VLOOKUP($A26,'Annex 2 EHV charges'!$A:$O,9,FALSE)),"")</f>
        <v>43.72</v>
      </c>
      <c r="G26" s="166">
        <f>IFERROR(IF(VLOOKUP($A26,'Annex 2 EHV charges'!$A:$O,10,FALSE)=0,"",VLOOKUP($A26,'Annex 2 EHV charges'!$A:$O,10,FALSE)),"")</f>
        <v>2.82</v>
      </c>
      <c r="H26" s="166">
        <f>IFERROR(IF(VLOOKUP($A26,'Annex 2 EHV charges'!$A:$O,11,FALSE)=0,"",VLOOKUP($A26,'Annex 2 EHV charges'!$A:$O,11,FALSE)),"")</f>
        <v>2.82</v>
      </c>
    </row>
    <row r="27" spans="1:8" ht="51" x14ac:dyDescent="0.35">
      <c r="A27" s="168" t="str">
        <f t="array" ref="A27">IFERROR(INDEX('Annex 2 EHV charges'!$A$11:$A$218, MATCH(0, IF(ISBLANK('Annex 2 EHV charges'!$A$11:$A$218),1, COUNTIF(A$4:$A26, 'Annex 2 EHV charges'!$A$11:$A$218)), 0)),"")</f>
        <v>BROGB_</v>
      </c>
      <c r="B27" s="170">
        <f>IF($A27="","",VLOOKUP($A27,'Annex 2 EHV charges'!$A:$O,2,0))</f>
        <v>821</v>
      </c>
      <c r="C27" s="171" t="str">
        <f>IF($A27="","",VLOOKUP($A27,'Annex 2 EHV charges'!$A:$O,3,0))</f>
        <v>1030041592510
1030041592742
1030041592974
1030041593203</v>
      </c>
      <c r="D27" s="168" t="str">
        <f>IF($A27="","",VLOOKUP($A27,'Annex 2 EHV charges'!$A:$O,7,0))</f>
        <v>INFINIS ENERGY SERVICES LIMITED</v>
      </c>
      <c r="E27" s="166">
        <f>IFERROR(IF(VLOOKUP($A27,'Annex 2 EHV charges'!$A:$O,8,FALSE)=0,"",VLOOKUP($A27,'Annex 2 EHV charges'!$A:$O,8,FALSE)),"")</f>
        <v>0.03</v>
      </c>
      <c r="F27" s="167">
        <f>IFERROR(IF(VLOOKUP($A27,'Annex 2 EHV charges'!$A:$O,9,FALSE)=0,"",VLOOKUP($A27,'Annex 2 EHV charges'!$A:$O,9,FALSE)),"")</f>
        <v>228.45</v>
      </c>
      <c r="G27" s="166">
        <f>IFERROR(IF(VLOOKUP($A27,'Annex 2 EHV charges'!$A:$O,10,FALSE)=0,"",VLOOKUP($A27,'Annex 2 EHV charges'!$A:$O,10,FALSE)),"")</f>
        <v>1.58</v>
      </c>
      <c r="H27" s="166">
        <f>IFERROR(IF(VLOOKUP($A27,'Annex 2 EHV charges'!$A:$O,11,FALSE)=0,"",VLOOKUP($A27,'Annex 2 EHV charges'!$A:$O,11,FALSE)),"")</f>
        <v>1.58</v>
      </c>
    </row>
    <row r="28" spans="1:8" ht="30.75" customHeight="1" x14ac:dyDescent="0.35">
      <c r="A28" s="168" t="str">
        <f t="array" ref="A28">IFERROR(INDEX('Annex 2 EHV charges'!$A$11:$A$218, MATCH(0, IF(ISBLANK('Annex 2 EHV charges'!$A$11:$A$218),1, COUNTIF(A$4:$A27, 'Annex 2 EHV charges'!$A$11:$A$218)), 0)),"")</f>
        <v>BROXSF</v>
      </c>
      <c r="B28" s="170">
        <f>IF($A28="","",VLOOKUP($A28,'Annex 2 EHV charges'!$A:$O,2,0))</f>
        <v>872</v>
      </c>
      <c r="C28" s="171">
        <f>IF($A28="","",VLOOKUP($A28,'Annex 2 EHV charges'!$A:$O,3,0))</f>
        <v>1050000521610</v>
      </c>
      <c r="D28" s="168" t="str">
        <f>IF($A28="","",VLOOKUP($A28,'Annex 2 EHV charges'!$A:$O,7,0))</f>
        <v>BROXTED SOLAR CO LTD</v>
      </c>
      <c r="E28" s="166">
        <f>IFERROR(IF(VLOOKUP($A28,'Annex 2 EHV charges'!$A:$O,8,FALSE)=0,"",VLOOKUP($A28,'Annex 2 EHV charges'!$A:$O,8,FALSE)),"")</f>
        <v>5.2770000000000001</v>
      </c>
      <c r="F28" s="167">
        <f>IFERROR(IF(VLOOKUP($A28,'Annex 2 EHV charges'!$A:$O,9,FALSE)=0,"",VLOOKUP($A28,'Annex 2 EHV charges'!$A:$O,9,FALSE)),"")</f>
        <v>11.19</v>
      </c>
      <c r="G28" s="166">
        <f>IFERROR(IF(VLOOKUP($A28,'Annex 2 EHV charges'!$A:$O,10,FALSE)=0,"",VLOOKUP($A28,'Annex 2 EHV charges'!$A:$O,10,FALSE)),"")</f>
        <v>6.12</v>
      </c>
      <c r="H28" s="166">
        <f>IFERROR(IF(VLOOKUP($A28,'Annex 2 EHV charges'!$A:$O,11,FALSE)=0,"",VLOOKUP($A28,'Annex 2 EHV charges'!$A:$O,11,FALSE)),"")</f>
        <v>6.12</v>
      </c>
    </row>
    <row r="29" spans="1:8" ht="30.75" customHeight="1" x14ac:dyDescent="0.35">
      <c r="A29" s="168" t="str">
        <f t="array" ref="A29">IFERROR(INDEX('Annex 2 EHV charges'!$A$11:$A$218, MATCH(0, IF(ISBLANK('Annex 2 EHV charges'!$A$11:$A$218),1, COUNTIF(A$4:$A28, 'Annex 2 EHV charges'!$A$11:$A$218)), 0)),"")</f>
        <v>BRTHS2</v>
      </c>
      <c r="B29" s="170">
        <f>IF($A29="","",VLOOKUP($A29,'Annex 2 EHV charges'!$A:$O,2,0))</f>
        <v>508</v>
      </c>
      <c r="C29" s="171">
        <f>IF($A29="","",VLOOKUP($A29,'Annex 2 EHV charges'!$A:$O,3,0))</f>
        <v>1050000782944</v>
      </c>
      <c r="D29" s="168" t="str">
        <f>IF($A29="","",VLOOKUP($A29,'Annex 2 EHV charges'!$A:$O,7,0))</f>
        <v>BURNTHOUSE SOLAR LIMITED</v>
      </c>
      <c r="E29" s="166">
        <f>IFERROR(IF(VLOOKUP($A29,'Annex 2 EHV charges'!$A:$O,8,FALSE)=0,"",VLOOKUP($A29,'Annex 2 EHV charges'!$A:$O,8,FALSE)),"")</f>
        <v>0.52100000000000002</v>
      </c>
      <c r="F29" s="167">
        <f>IFERROR(IF(VLOOKUP($A29,'Annex 2 EHV charges'!$A:$O,9,FALSE)=0,"",VLOOKUP($A29,'Annex 2 EHV charges'!$A:$O,9,FALSE)),"")</f>
        <v>1.27</v>
      </c>
      <c r="G29" s="166">
        <f>IFERROR(IF(VLOOKUP($A29,'Annex 2 EHV charges'!$A:$O,10,FALSE)=0,"",VLOOKUP($A29,'Annex 2 EHV charges'!$A:$O,10,FALSE)),"")</f>
        <v>3.12</v>
      </c>
      <c r="H29" s="166">
        <f>IFERROR(IF(VLOOKUP($A29,'Annex 2 EHV charges'!$A:$O,11,FALSE)=0,"",VLOOKUP($A29,'Annex 2 EHV charges'!$A:$O,11,FALSE)),"")</f>
        <v>3.12</v>
      </c>
    </row>
    <row r="30" spans="1:8" ht="30.75" customHeight="1" x14ac:dyDescent="0.35">
      <c r="A30" s="168" t="str">
        <f t="array" ref="A30">IFERROR(INDEX('Annex 2 EHV charges'!$A$11:$A$218, MATCH(0, IF(ISBLANK('Annex 2 EHV charges'!$A$11:$A$218),1, COUNTIF(A$4:$A29, 'Annex 2 EHV charges'!$A$11:$A$218)), 0)),"")</f>
        <v>BRTHSS</v>
      </c>
      <c r="B30" s="170">
        <f>IF($A30="","",VLOOKUP($A30,'Annex 2 EHV charges'!$A:$O,2,0))</f>
        <v>873</v>
      </c>
      <c r="C30" s="171">
        <f>IF($A30="","",VLOOKUP($A30,'Annex 2 EHV charges'!$A:$O,3,0))</f>
        <v>1030083941266</v>
      </c>
      <c r="D30" s="168" t="str">
        <f>IF($A30="","",VLOOKUP($A30,'Annex 2 EHV charges'!$A:$O,7,0))</f>
        <v>TURVES SOLAR LTD</v>
      </c>
      <c r="E30" s="166">
        <f>IFERROR(IF(VLOOKUP($A30,'Annex 2 EHV charges'!$A:$O,8,FALSE)=0,"",VLOOKUP($A30,'Annex 2 EHV charges'!$A:$O,8,FALSE)),"")</f>
        <v>0.52100000000000002</v>
      </c>
      <c r="F30" s="167">
        <f>IFERROR(IF(VLOOKUP($A30,'Annex 2 EHV charges'!$A:$O,9,FALSE)=0,"",VLOOKUP($A30,'Annex 2 EHV charges'!$A:$O,9,FALSE)),"")</f>
        <v>2.82</v>
      </c>
      <c r="G30" s="166">
        <f>IFERROR(IF(VLOOKUP($A30,'Annex 2 EHV charges'!$A:$O,10,FALSE)=0,"",VLOOKUP($A30,'Annex 2 EHV charges'!$A:$O,10,FALSE)),"")</f>
        <v>2.84</v>
      </c>
      <c r="H30" s="166">
        <f>IFERROR(IF(VLOOKUP($A30,'Annex 2 EHV charges'!$A:$O,11,FALSE)=0,"",VLOOKUP($A30,'Annex 2 EHV charges'!$A:$O,11,FALSE)),"")</f>
        <v>2.84</v>
      </c>
    </row>
    <row r="31" spans="1:8" ht="30.75" customHeight="1" x14ac:dyDescent="0.35">
      <c r="A31" s="168" t="str">
        <f t="array" ref="A31">IFERROR(INDEX('Annex 2 EHV charges'!$A$11:$A$218, MATCH(0, IF(ISBLANK('Annex 2 EHV charges'!$A$11:$A$218),1, COUNTIF(A$4:$A30, 'Annex 2 EHV charges'!$A$11:$A$218)), 0)),"")</f>
        <v>BRTHSW</v>
      </c>
      <c r="B31" s="170">
        <f>IF($A31="","",VLOOKUP($A31,'Annex 2 EHV charges'!$A:$O,2,0))</f>
        <v>874</v>
      </c>
      <c r="C31" s="171">
        <f>IF($A31="","",VLOOKUP($A31,'Annex 2 EHV charges'!$A:$O,3,0))</f>
        <v>1030083918035</v>
      </c>
      <c r="D31" s="168" t="str">
        <f>IF($A31="","",VLOOKUP($A31,'Annex 2 EHV charges'!$A:$O,7,0))</f>
        <v>REG BURNHOUSE FARM LTD</v>
      </c>
      <c r="E31" s="166">
        <f>IFERROR(IF(VLOOKUP($A31,'Annex 2 EHV charges'!$A:$O,8,FALSE)=0,"",VLOOKUP($A31,'Annex 2 EHV charges'!$A:$O,8,FALSE)),"")</f>
        <v>0.52100000000000002</v>
      </c>
      <c r="F31" s="167">
        <f>IFERROR(IF(VLOOKUP($A31,'Annex 2 EHV charges'!$A:$O,9,FALSE)=0,"",VLOOKUP($A31,'Annex 2 EHV charges'!$A:$O,9,FALSE)),"")</f>
        <v>7.24</v>
      </c>
      <c r="G31" s="166">
        <f>IFERROR(IF(VLOOKUP($A31,'Annex 2 EHV charges'!$A:$O,10,FALSE)=0,"",VLOOKUP($A31,'Annex 2 EHV charges'!$A:$O,10,FALSE)),"")</f>
        <v>2.13</v>
      </c>
      <c r="H31" s="166">
        <f>IFERROR(IF(VLOOKUP($A31,'Annex 2 EHV charges'!$A:$O,11,FALSE)=0,"",VLOOKUP($A31,'Annex 2 EHV charges'!$A:$O,11,FALSE)),"")</f>
        <v>2.13</v>
      </c>
    </row>
    <row r="32" spans="1:8" ht="30.75" customHeight="1" x14ac:dyDescent="0.35">
      <c r="A32" s="168" t="str">
        <f t="array" ref="A32">IFERROR(INDEX('Annex 2 EHV charges'!$A$11:$A$218, MATCH(0, IF(ISBLANK('Annex 2 EHV charges'!$A$11:$A$218),1, COUNTIF(A$4:$A31, 'Annex 2 EHV charges'!$A$11:$A$218)), 0)),"")</f>
        <v>BS_BUR</v>
      </c>
      <c r="B32" s="170">
        <f>IF($A32="","",VLOOKUP($A32,'Annex 2 EHV charges'!$A:$O,2,0))</f>
        <v>805</v>
      </c>
      <c r="C32" s="171">
        <f>IF($A32="","",VLOOKUP($A32,'Annex 2 EHV charges'!$A:$O,3,0))</f>
        <v>1023485782314</v>
      </c>
      <c r="D32" s="168" t="str">
        <f>IF($A32="","",VLOOKUP($A32,'Annex 2 EHV charges'!$A:$O,7,0))</f>
        <v>ASSOCIATED BRITISH FOODS PLC</v>
      </c>
      <c r="E32" s="166">
        <f>IFERROR(IF(VLOOKUP($A32,'Annex 2 EHV charges'!$A:$O,8,FALSE)=0,"",VLOOKUP($A32,'Annex 2 EHV charges'!$A:$O,8,FALSE)),"")</f>
        <v>1.9319999999999999</v>
      </c>
      <c r="F32" s="167">
        <f>IFERROR(IF(VLOOKUP($A32,'Annex 2 EHV charges'!$A:$O,9,FALSE)=0,"",VLOOKUP($A32,'Annex 2 EHV charges'!$A:$O,9,FALSE)),"")</f>
        <v>62.7</v>
      </c>
      <c r="G32" s="166">
        <f>IFERROR(IF(VLOOKUP($A32,'Annex 2 EHV charges'!$A:$O,10,FALSE)=0,"",VLOOKUP($A32,'Annex 2 EHV charges'!$A:$O,10,FALSE)),"")</f>
        <v>1.52</v>
      </c>
      <c r="H32" s="166">
        <f>IFERROR(IF(VLOOKUP($A32,'Annex 2 EHV charges'!$A:$O,11,FALSE)=0,"",VLOOKUP($A32,'Annex 2 EHV charges'!$A:$O,11,FALSE)),"")</f>
        <v>1.52</v>
      </c>
    </row>
    <row r="33" spans="1:8" ht="30.75" customHeight="1" x14ac:dyDescent="0.35">
      <c r="A33" s="168" t="str">
        <f t="array" ref="A33">IFERROR(INDEX('Annex 2 EHV charges'!$A$11:$A$218, MATCH(0, IF(ISBLANK('Annex 2 EHV charges'!$A$11:$A$218),1, COUNTIF(A$4:$A32, 'Annex 2 EHV charges'!$A$11:$A$218)), 0)),"")</f>
        <v>BS_WIS</v>
      </c>
      <c r="B33" s="170">
        <f>IF($A33="","",VLOOKUP($A33,'Annex 2 EHV charges'!$A:$O,2,0))</f>
        <v>806</v>
      </c>
      <c r="C33" s="171">
        <f>IF($A33="","",VLOOKUP($A33,'Annex 2 EHV charges'!$A:$O,3,0))</f>
        <v>1014568635628</v>
      </c>
      <c r="D33" s="168" t="str">
        <f>IF($A33="","",VLOOKUP($A33,'Annex 2 EHV charges'!$A:$O,7,0))</f>
        <v>ASSOCIATED BRITISH FOODS PLC</v>
      </c>
      <c r="E33" s="166">
        <f>IFERROR(IF(VLOOKUP($A33,'Annex 2 EHV charges'!$A:$O,8,FALSE)=0,"",VLOOKUP($A33,'Annex 2 EHV charges'!$A:$O,8,FALSE)),"")</f>
        <v>0.997</v>
      </c>
      <c r="F33" s="167">
        <f>IFERROR(IF(VLOOKUP($A33,'Annex 2 EHV charges'!$A:$O,9,FALSE)=0,"",VLOOKUP($A33,'Annex 2 EHV charges'!$A:$O,9,FALSE)),"")</f>
        <v>25.58</v>
      </c>
      <c r="G33" s="166">
        <f>IFERROR(IF(VLOOKUP($A33,'Annex 2 EHV charges'!$A:$O,10,FALSE)=0,"",VLOOKUP($A33,'Annex 2 EHV charges'!$A:$O,10,FALSE)),"")</f>
        <v>1.39</v>
      </c>
      <c r="H33" s="166">
        <f>IFERROR(IF(VLOOKUP($A33,'Annex 2 EHV charges'!$A:$O,11,FALSE)=0,"",VLOOKUP($A33,'Annex 2 EHV charges'!$A:$O,11,FALSE)),"")</f>
        <v>1.39</v>
      </c>
    </row>
    <row r="34" spans="1:8" ht="30.75" customHeight="1" x14ac:dyDescent="0.35">
      <c r="A34" s="168" t="str">
        <f t="array" ref="A34">IFERROR(INDEX('Annex 2 EHV charges'!$A$11:$A$218, MATCH(0, IF(ISBLANK('Annex 2 EHV charges'!$A$11:$A$218),1, COUNTIF(A$4:$A33, 'Annex 2 EHV charges'!$A$11:$A$218)), 0)),"")</f>
        <v>BSBURY</v>
      </c>
      <c r="B34" s="170">
        <f>IF($A34="","",VLOOKUP($A34,'Annex 2 EHV charges'!$A:$O,2,0))</f>
        <v>796</v>
      </c>
      <c r="C34" s="171">
        <f>IF($A34="","",VLOOKUP($A34,'Annex 2 EHV charges'!$A:$O,3,0))</f>
        <v>1050000914910</v>
      </c>
      <c r="D34" s="168" t="str">
        <f>IF($A34="","",VLOOKUP($A34,'Annex 2 EHV charges'!$A:$O,7,0))</f>
        <v>ASSOCIATED BRITISH FOODS PLC</v>
      </c>
      <c r="E34" s="166">
        <f>IFERROR(IF(VLOOKUP($A34,'Annex 2 EHV charges'!$A:$O,8,FALSE)=0,"",VLOOKUP($A34,'Annex 2 EHV charges'!$A:$O,8,FALSE)),"")</f>
        <v>1.9319999999999999</v>
      </c>
      <c r="F34" s="167">
        <f>IFERROR(IF(VLOOKUP($A34,'Annex 2 EHV charges'!$A:$O,9,FALSE)=0,"",VLOOKUP($A34,'Annex 2 EHV charges'!$A:$O,9,FALSE)),"")</f>
        <v>23.25</v>
      </c>
      <c r="G34" s="166">
        <f>IFERROR(IF(VLOOKUP($A34,'Annex 2 EHV charges'!$A:$O,10,FALSE)=0,"",VLOOKUP($A34,'Annex 2 EHV charges'!$A:$O,10,FALSE)),"")</f>
        <v>2.63</v>
      </c>
      <c r="H34" s="166">
        <f>IFERROR(IF(VLOOKUP($A34,'Annex 2 EHV charges'!$A:$O,11,FALSE)=0,"",VLOOKUP($A34,'Annex 2 EHV charges'!$A:$O,11,FALSE)),"")</f>
        <v>2.63</v>
      </c>
    </row>
    <row r="35" spans="1:8" ht="30.75" customHeight="1" x14ac:dyDescent="0.35">
      <c r="A35" s="168" t="str">
        <f t="array" ref="A35">IFERROR(INDEX('Annex 2 EHV charges'!$A$11:$A$218, MATCH(0, IF(ISBLANK('Annex 2 EHV charges'!$A$11:$A$218),1, COUNTIF(A$4:$A34, 'Annex 2 EHV charges'!$A$11:$A$218)), 0)),"")</f>
        <v>BSGBRN</v>
      </c>
      <c r="B35" s="170">
        <f>IF($A35="","",VLOOKUP($A35,'Annex 2 EHV charges'!$A:$O,2,0))</f>
        <v>507</v>
      </c>
      <c r="C35" s="171">
        <f>IF($A35="","",VLOOKUP($A35,'Annex 2 EHV charges'!$A:$O,3,0))</f>
        <v>1050000773851</v>
      </c>
      <c r="D35" s="168" t="str">
        <f>IF($A35="","",VLOOKUP($A35,'Annex 2 EHV charges'!$A:$O,7,0))</f>
        <v>PUSH ENERGY (BASSINGBOURN)</v>
      </c>
      <c r="E35" s="166">
        <f>IFERROR(IF(VLOOKUP($A35,'Annex 2 EHV charges'!$A:$O,8,FALSE)=0,"",VLOOKUP($A35,'Annex 2 EHV charges'!$A:$O,8,FALSE)),"")</f>
        <v>0.93200000000000005</v>
      </c>
      <c r="F35" s="167">
        <f>IFERROR(IF(VLOOKUP($A35,'Annex 2 EHV charges'!$A:$O,9,FALSE)=0,"",VLOOKUP($A35,'Annex 2 EHV charges'!$A:$O,9,FALSE)),"")</f>
        <v>12.78</v>
      </c>
      <c r="G35" s="166">
        <f>IFERROR(IF(VLOOKUP($A35,'Annex 2 EHV charges'!$A:$O,10,FALSE)=0,"",VLOOKUP($A35,'Annex 2 EHV charges'!$A:$O,10,FALSE)),"")</f>
        <v>2.16</v>
      </c>
      <c r="H35" s="166">
        <f>IFERROR(IF(VLOOKUP($A35,'Annex 2 EHV charges'!$A:$O,11,FALSE)=0,"",VLOOKUP($A35,'Annex 2 EHV charges'!$A:$O,11,FALSE)),"")</f>
        <v>2.16</v>
      </c>
    </row>
    <row r="36" spans="1:8" ht="30.75" customHeight="1" x14ac:dyDescent="0.35">
      <c r="A36" s="168" t="str">
        <f t="array" ref="A36">IFERROR(INDEX('Annex 2 EHV charges'!$A$11:$A$218, MATCH(0, IF(ISBLANK('Annex 2 EHV charges'!$A$11:$A$218),1, COUNTIF(A$4:$A35, 'Annex 2 EHV charges'!$A$11:$A$218)), 0)),"")</f>
        <v>BTLCOM</v>
      </c>
      <c r="B36" s="170">
        <f>IF($A36="","",VLOOKUP($A36,'Annex 2 EHV charges'!$A:$O,2,0))</f>
        <v>771</v>
      </c>
      <c r="C36" s="171" t="str">
        <f>IF($A36="","",VLOOKUP($A36,'Annex 2 EHV charges'!$A:$O,3,0))</f>
        <v>1050000169030
1014572546086</v>
      </c>
      <c r="D36" s="168" t="str">
        <f>IF($A36="","",VLOOKUP($A36,'Annex 2 EHV charges'!$A:$O,7,0))</f>
        <v>BRITISH TELECOMMUNICATIONS PLC</v>
      </c>
      <c r="E36" s="166">
        <f>IFERROR(IF(VLOOKUP($A36,'Annex 2 EHV charges'!$A:$O,8,FALSE)=0,"",VLOOKUP($A36,'Annex 2 EHV charges'!$A:$O,8,FALSE)),"")</f>
        <v>4.8239999999999998</v>
      </c>
      <c r="F36" s="167">
        <f>IFERROR(IF(VLOOKUP($A36,'Annex 2 EHV charges'!$A:$O,9,FALSE)=0,"",VLOOKUP($A36,'Annex 2 EHV charges'!$A:$O,9,FALSE)),"")</f>
        <v>178.32</v>
      </c>
      <c r="G36" s="166">
        <f>IFERROR(IF(VLOOKUP($A36,'Annex 2 EHV charges'!$A:$O,10,FALSE)=0,"",VLOOKUP($A36,'Annex 2 EHV charges'!$A:$O,10,FALSE)),"")</f>
        <v>9.1300000000000008</v>
      </c>
      <c r="H36" s="166">
        <f>IFERROR(IF(VLOOKUP($A36,'Annex 2 EHV charges'!$A:$O,11,FALSE)=0,"",VLOOKUP($A36,'Annex 2 EHV charges'!$A:$O,11,FALSE)),"")</f>
        <v>9.1300000000000008</v>
      </c>
    </row>
    <row r="37" spans="1:8" ht="30.75" customHeight="1" x14ac:dyDescent="0.35">
      <c r="A37" s="168" t="str">
        <f t="array" ref="A37">IFERROR(INDEX('Annex 2 EHV charges'!$A$11:$A$218, MATCH(0, IF(ISBLANK('Annex 2 EHV charges'!$A$11:$A$218),1, COUNTIF(A$4:$A36, 'Annex 2 EHV charges'!$A$11:$A$218)), 0)),"")</f>
        <v>BURYLN</v>
      </c>
      <c r="B37" s="170">
        <f>IF($A37="","",VLOOKUP($A37,'Annex 2 EHV charges'!$A:$O,2,0))</f>
        <v>796</v>
      </c>
      <c r="C37" s="171">
        <f>IF($A37="","",VLOOKUP($A37,'Annex 2 EHV charges'!$A:$O,3,0))</f>
        <v>1050000729676</v>
      </c>
      <c r="D37" s="168" t="str">
        <f>IF($A37="","",VLOOKUP($A37,'Annex 2 EHV charges'!$A:$O,7,0))</f>
        <v>SE BURY LANE SOLAR LTD</v>
      </c>
      <c r="E37" s="166">
        <f>IFERROR(IF(VLOOKUP($A37,'Annex 2 EHV charges'!$A:$O,8,FALSE)=0,"",VLOOKUP($A37,'Annex 2 EHV charges'!$A:$O,8,FALSE)),"")</f>
        <v>0.86199999999999999</v>
      </c>
      <c r="F37" s="167">
        <f>IFERROR(IF(VLOOKUP($A37,'Annex 2 EHV charges'!$A:$O,9,FALSE)=0,"",VLOOKUP($A37,'Annex 2 EHV charges'!$A:$O,9,FALSE)),"")</f>
        <v>2.08</v>
      </c>
      <c r="G37" s="166">
        <f>IFERROR(IF(VLOOKUP($A37,'Annex 2 EHV charges'!$A:$O,10,FALSE)=0,"",VLOOKUP($A37,'Annex 2 EHV charges'!$A:$O,10,FALSE)),"")</f>
        <v>2.37</v>
      </c>
      <c r="H37" s="166">
        <f>IFERROR(IF(VLOOKUP($A37,'Annex 2 EHV charges'!$A:$O,11,FALSE)=0,"",VLOOKUP($A37,'Annex 2 EHV charges'!$A:$O,11,FALSE)),"")</f>
        <v>2.37</v>
      </c>
    </row>
    <row r="38" spans="1:8" ht="30.75" customHeight="1" x14ac:dyDescent="0.35">
      <c r="A38" s="168" t="str">
        <f t="array" ref="A38">IFERROR(INDEX('Annex 2 EHV charges'!$A$11:$A$218, MATCH(0, IF(ISBLANK('Annex 2 EHV charges'!$A$11:$A$218),1, COUNTIF(A$4:$A37, 'Annex 2 EHV charges'!$A$11:$A$218)), 0)),"")</f>
        <v>CANTSF</v>
      </c>
      <c r="B38" s="170">
        <f>IF($A38="","",VLOOKUP($A38,'Annex 2 EHV charges'!$A:$O,2,0))</f>
        <v>875</v>
      </c>
      <c r="C38" s="171">
        <f>IF($A38="","",VLOOKUP($A38,'Annex 2 EHV charges'!$A:$O,3,0))</f>
        <v>1030082355419</v>
      </c>
      <c r="D38" s="168" t="str">
        <f>IF($A38="","",VLOOKUP($A38,'Annex 2 EHV charges'!$A:$O,7,0))</f>
        <v>HASLINGFIELD SOLAR PARK LIMITED</v>
      </c>
      <c r="E38" s="166">
        <f>IFERROR(IF(VLOOKUP($A38,'Annex 2 EHV charges'!$A:$O,8,FALSE)=0,"",VLOOKUP($A38,'Annex 2 EHV charges'!$A:$O,8,FALSE)),"")</f>
        <v>0.105</v>
      </c>
      <c r="F38" s="167">
        <f>IFERROR(IF(VLOOKUP($A38,'Annex 2 EHV charges'!$A:$O,9,FALSE)=0,"",VLOOKUP($A38,'Annex 2 EHV charges'!$A:$O,9,FALSE)),"")</f>
        <v>23.21</v>
      </c>
      <c r="G38" s="166">
        <f>IFERROR(IF(VLOOKUP($A38,'Annex 2 EHV charges'!$A:$O,10,FALSE)=0,"",VLOOKUP($A38,'Annex 2 EHV charges'!$A:$O,10,FALSE)),"")</f>
        <v>2.4500000000000002</v>
      </c>
      <c r="H38" s="166">
        <f>IFERROR(IF(VLOOKUP($A38,'Annex 2 EHV charges'!$A:$O,11,FALSE)=0,"",VLOOKUP($A38,'Annex 2 EHV charges'!$A:$O,11,FALSE)),"")</f>
        <v>2.4500000000000002</v>
      </c>
    </row>
    <row r="39" spans="1:8" ht="30.75" customHeight="1" x14ac:dyDescent="0.35">
      <c r="A39" s="168" t="str">
        <f t="array" ref="A39">IFERROR(INDEX('Annex 2 EHV charges'!$A$11:$A$218, MATCH(0, IF(ISBLANK('Annex 2 EHV charges'!$A$11:$A$218),1, COUNTIF(A$4:$A38, 'Annex 2 EHV charges'!$A$11:$A$218)), 0)),"")</f>
        <v>CHEDSF</v>
      </c>
      <c r="B39" s="170">
        <f>IF($A39="","",VLOOKUP($A39,'Annex 2 EHV charges'!$A:$O,2,0))</f>
        <v>876</v>
      </c>
      <c r="C39" s="171">
        <f>IF($A39="","",VLOOKUP($A39,'Annex 2 EHV charges'!$A:$O,3,0))</f>
        <v>1030083806488</v>
      </c>
      <c r="D39" s="168" t="str">
        <f>IF($A39="","",VLOOKUP($A39,'Annex 2 EHV charges'!$A:$O,7,0))</f>
        <v>ADALINDA SOLAR SPV1 LTD</v>
      </c>
      <c r="E39" s="166">
        <f>IFERROR(IF(VLOOKUP($A39,'Annex 2 EHV charges'!$A:$O,8,FALSE)=0,"",VLOOKUP($A39,'Annex 2 EHV charges'!$A:$O,8,FALSE)),"")</f>
        <v>0.72199999999999998</v>
      </c>
      <c r="F39" s="167">
        <f>IFERROR(IF(VLOOKUP($A39,'Annex 2 EHV charges'!$A:$O,9,FALSE)=0,"",VLOOKUP($A39,'Annex 2 EHV charges'!$A:$O,9,FALSE)),"")</f>
        <v>8.18</v>
      </c>
      <c r="G39" s="166">
        <f>IFERROR(IF(VLOOKUP($A39,'Annex 2 EHV charges'!$A:$O,10,FALSE)=0,"",VLOOKUP($A39,'Annex 2 EHV charges'!$A:$O,10,FALSE)),"")</f>
        <v>3.16</v>
      </c>
      <c r="H39" s="166">
        <f>IFERROR(IF(VLOOKUP($A39,'Annex 2 EHV charges'!$A:$O,11,FALSE)=0,"",VLOOKUP($A39,'Annex 2 EHV charges'!$A:$O,11,FALSE)),"")</f>
        <v>3.16</v>
      </c>
    </row>
    <row r="40" spans="1:8" ht="30.75" customHeight="1" x14ac:dyDescent="0.35">
      <c r="A40" s="168" t="str">
        <f t="array" ref="A40">IFERROR(INDEX('Annex 2 EHV charges'!$A$11:$A$218, MATCH(0, IF(ISBLANK('Annex 2 EHV charges'!$A$11:$A$218),1, COUNTIF(A$4:$A39, 'Annex 2 EHV charges'!$A$11:$A$218)), 0)),"")</f>
        <v>CHFARM</v>
      </c>
      <c r="B40" s="170">
        <f>IF($A40="","",VLOOKUP($A40,'Annex 2 EHV charges'!$A:$O,2,0))</f>
        <v>796</v>
      </c>
      <c r="C40" s="171">
        <f>IF($A40="","",VLOOKUP($A40,'Annex 2 EHV charges'!$A:$O,3,0))</f>
        <v>1050000961983</v>
      </c>
      <c r="D40" s="168" t="str">
        <f>IF($A40="","",VLOOKUP($A40,'Annex 2 EHV charges'!$A:$O,7,0))</f>
        <v>CHURCH FARM SOLAR</v>
      </c>
      <c r="E40" s="166">
        <f>IFERROR(IF(VLOOKUP($A40,'Annex 2 EHV charges'!$A:$O,8,FALSE)=0,"",VLOOKUP($A40,'Annex 2 EHV charges'!$A:$O,8,FALSE)),"")</f>
        <v>0.29199999999999998</v>
      </c>
      <c r="F40" s="167">
        <f>IFERROR(IF(VLOOKUP($A40,'Annex 2 EHV charges'!$A:$O,9,FALSE)=0,"",VLOOKUP($A40,'Annex 2 EHV charges'!$A:$O,9,FALSE)),"")</f>
        <v>48.68</v>
      </c>
      <c r="G40" s="166">
        <f>IFERROR(IF(VLOOKUP($A40,'Annex 2 EHV charges'!$A:$O,10,FALSE)=0,"",VLOOKUP($A40,'Annex 2 EHV charges'!$A:$O,10,FALSE)),"")</f>
        <v>5.49</v>
      </c>
      <c r="H40" s="166">
        <f>IFERROR(IF(VLOOKUP($A40,'Annex 2 EHV charges'!$A:$O,11,FALSE)=0,"",VLOOKUP($A40,'Annex 2 EHV charges'!$A:$O,11,FALSE)),"")</f>
        <v>5.49</v>
      </c>
    </row>
    <row r="41" spans="1:8" ht="30.75" customHeight="1" x14ac:dyDescent="0.35">
      <c r="A41" s="168" t="str">
        <f t="array" ref="A41">IFERROR(INDEX('Annex 2 EHV charges'!$A$11:$A$218, MATCH(0, IF(ISBLANK('Annex 2 EHV charges'!$A$11:$A$218),1, COUNTIF(A$4:$A40, 'Annex 2 EHV charges'!$A$11:$A$218)), 0)),"")</f>
        <v>CHPLOW</v>
      </c>
      <c r="B41" s="170">
        <f>IF($A41="","",VLOOKUP($A41,'Annex 2 EHV charges'!$A:$O,2,0))</f>
        <v>796</v>
      </c>
      <c r="C41" s="171">
        <f>IF($A41="","",VLOOKUP($A41,'Annex 2 EHV charges'!$A:$O,3,0))</f>
        <v>1050000948022</v>
      </c>
      <c r="D41" s="168" t="str">
        <f>IF($A41="","",VLOOKUP($A41,'Annex 2 EHV charges'!$A:$O,7,0))</f>
        <v>CHIPLOW WIND FARM</v>
      </c>
      <c r="E41" s="166">
        <f>IFERROR(IF(VLOOKUP($A41,'Annex 2 EHV charges'!$A:$O,8,FALSE)=0,"",VLOOKUP($A41,'Annex 2 EHV charges'!$A:$O,8,FALSE)),"")</f>
        <v>1.718</v>
      </c>
      <c r="F41" s="167">
        <f>IFERROR(IF(VLOOKUP($A41,'Annex 2 EHV charges'!$A:$O,9,FALSE)=0,"",VLOOKUP($A41,'Annex 2 EHV charges'!$A:$O,9,FALSE)),"")</f>
        <v>29.89</v>
      </c>
      <c r="G41" s="166">
        <f>IFERROR(IF(VLOOKUP($A41,'Annex 2 EHV charges'!$A:$O,10,FALSE)=0,"",VLOOKUP($A41,'Annex 2 EHV charges'!$A:$O,10,FALSE)),"")</f>
        <v>3.68</v>
      </c>
      <c r="H41" s="166">
        <f>IFERROR(IF(VLOOKUP($A41,'Annex 2 EHV charges'!$A:$O,11,FALSE)=0,"",VLOOKUP($A41,'Annex 2 EHV charges'!$A:$O,11,FALSE)),"")</f>
        <v>3.68</v>
      </c>
    </row>
    <row r="42" spans="1:8" ht="30.75" customHeight="1" x14ac:dyDescent="0.35">
      <c r="A42" s="168" t="str">
        <f t="array" ref="A42">IFERROR(INDEX('Annex 2 EHV charges'!$A$11:$A$218, MATCH(0, IF(ISBLANK('Annex 2 EHV charges'!$A$11:$A$218),1, COUNTIF(A$4:$A41, 'Annex 2 EHV charges'!$A$11:$A$218)), 0)),"")</f>
        <v>CLTSHL</v>
      </c>
      <c r="B42" s="170">
        <f>IF($A42="","",VLOOKUP($A42,'Annex 2 EHV charges'!$A:$O,2,0))</f>
        <v>535</v>
      </c>
      <c r="C42" s="171">
        <f>IF($A42="","",VLOOKUP($A42,'Annex 2 EHV charges'!$A:$O,3,0))</f>
        <v>1050000841917</v>
      </c>
      <c r="D42" s="168" t="str">
        <f>IF($A42="","",VLOOKUP($A42,'Annex 2 EHV charges'!$A:$O,7,0))</f>
        <v>SCOTTOW MOOR SOLAR LIMITED</v>
      </c>
      <c r="E42" s="166">
        <f>IFERROR(IF(VLOOKUP($A42,'Annex 2 EHV charges'!$A:$O,8,FALSE)=0,"",VLOOKUP($A42,'Annex 2 EHV charges'!$A:$O,8,FALSE)),"")</f>
        <v>0.121</v>
      </c>
      <c r="F42" s="167">
        <f>IFERROR(IF(VLOOKUP($A42,'Annex 2 EHV charges'!$A:$O,9,FALSE)=0,"",VLOOKUP($A42,'Annex 2 EHV charges'!$A:$O,9,FALSE)),"")</f>
        <v>6.79</v>
      </c>
      <c r="G42" s="166">
        <f>IFERROR(IF(VLOOKUP($A42,'Annex 2 EHV charges'!$A:$O,10,FALSE)=0,"",VLOOKUP($A42,'Annex 2 EHV charges'!$A:$O,10,FALSE)),"")</f>
        <v>8.02</v>
      </c>
      <c r="H42" s="166">
        <f>IFERROR(IF(VLOOKUP($A42,'Annex 2 EHV charges'!$A:$O,11,FALSE)=0,"",VLOOKUP($A42,'Annex 2 EHV charges'!$A:$O,11,FALSE)),"")</f>
        <v>8.02</v>
      </c>
    </row>
    <row r="43" spans="1:8" ht="30.75" customHeight="1" x14ac:dyDescent="0.35">
      <c r="A43" s="168" t="str">
        <f t="array" ref="A43">IFERROR(INDEX('Annex 2 EHV charges'!$A$11:$A$218, MATCH(0, IF(ISBLANK('Annex 2 EHV charges'!$A$11:$A$218),1, COUNTIF(A$4:$A42, 'Annex 2 EHV charges'!$A$11:$A$218)), 0)),"")</f>
        <v>CMEXUK</v>
      </c>
      <c r="B43" s="170">
        <f>IF($A43="","",VLOOKUP($A43,'Annex 2 EHV charges'!$A:$O,2,0))</f>
        <v>771</v>
      </c>
      <c r="C43" s="171" t="str">
        <f>IF($A43="","",VLOOKUP($A43,'Annex 2 EHV charges'!$A:$O,3,0))</f>
        <v>1014571132500
1023474247588</v>
      </c>
      <c r="D43" s="168" t="str">
        <f>IF($A43="","",VLOOKUP($A43,'Annex 2 EHV charges'!$A:$O,7,0))</f>
        <v>CEMEX UK OPERATIONS LIMITED</v>
      </c>
      <c r="E43" s="166">
        <f>IFERROR(IF(VLOOKUP($A43,'Annex 2 EHV charges'!$A:$O,8,FALSE)=0,"",VLOOKUP($A43,'Annex 2 EHV charges'!$A:$O,8,FALSE)),"")</f>
        <v>4.266</v>
      </c>
      <c r="F43" s="167">
        <f>IFERROR(IF(VLOOKUP($A43,'Annex 2 EHV charges'!$A:$O,9,FALSE)=0,"",VLOOKUP($A43,'Annex 2 EHV charges'!$A:$O,9,FALSE)),"")</f>
        <v>178.32</v>
      </c>
      <c r="G43" s="166">
        <f>IFERROR(IF(VLOOKUP($A43,'Annex 2 EHV charges'!$A:$O,10,FALSE)=0,"",VLOOKUP($A43,'Annex 2 EHV charges'!$A:$O,10,FALSE)),"")</f>
        <v>3.06</v>
      </c>
      <c r="H43" s="166">
        <f>IFERROR(IF(VLOOKUP($A43,'Annex 2 EHV charges'!$A:$O,11,FALSE)=0,"",VLOOKUP($A43,'Annex 2 EHV charges'!$A:$O,11,FALSE)),"")</f>
        <v>3.06</v>
      </c>
    </row>
    <row r="44" spans="1:8" ht="30.75" customHeight="1" x14ac:dyDescent="0.35">
      <c r="A44" s="168" t="str">
        <f t="array" ref="A44">IFERROR(INDEX('Annex 2 EHV charges'!$A$11:$A$218, MATCH(0, IF(ISBLANK('Annex 2 EHV charges'!$A$11:$A$218),1, COUNTIF(A$4:$A43, 'Annex 2 EHV charges'!$A$11:$A$218)), 0)),"")</f>
        <v>COLDHA</v>
      </c>
      <c r="B44" s="170">
        <f>IF($A44="","",VLOOKUP($A44,'Annex 2 EHV charges'!$A:$O,2,0))</f>
        <v>808</v>
      </c>
      <c r="C44" s="171">
        <f>IF($A44="","",VLOOKUP($A44,'Annex 2 EHV charges'!$A:$O,3,0))</f>
        <v>1030017556367</v>
      </c>
      <c r="D44" s="168" t="str">
        <f>IF($A44="","",VLOOKUP($A44,'Annex 2 EHV charges'!$A:$O,7,0))</f>
        <v>SCOTTISHPOWER STRATEGIC TRANSACTIONS</v>
      </c>
      <c r="E44" s="166">
        <f>IFERROR(IF(VLOOKUP($A44,'Annex 2 EHV charges'!$A:$O,8,FALSE)=0,"",VLOOKUP($A44,'Annex 2 EHV charges'!$A:$O,8,FALSE)),"")</f>
        <v>0.622</v>
      </c>
      <c r="F44" s="167">
        <f>IFERROR(IF(VLOOKUP($A44,'Annex 2 EHV charges'!$A:$O,9,FALSE)=0,"",VLOOKUP($A44,'Annex 2 EHV charges'!$A:$O,9,FALSE)),"")</f>
        <v>25.02</v>
      </c>
      <c r="G44" s="166">
        <f>IFERROR(IF(VLOOKUP($A44,'Annex 2 EHV charges'!$A:$O,10,FALSE)=0,"",VLOOKUP($A44,'Annex 2 EHV charges'!$A:$O,10,FALSE)),"")</f>
        <v>2.95</v>
      </c>
      <c r="H44" s="166">
        <f>IFERROR(IF(VLOOKUP($A44,'Annex 2 EHV charges'!$A:$O,11,FALSE)=0,"",VLOOKUP($A44,'Annex 2 EHV charges'!$A:$O,11,FALSE)),"")</f>
        <v>2.95</v>
      </c>
    </row>
    <row r="45" spans="1:8" ht="30.75" customHeight="1" x14ac:dyDescent="0.35">
      <c r="A45" s="168" t="str">
        <f t="array" ref="A45">IFERROR(INDEX('Annex 2 EHV charges'!$A$11:$A$218, MATCH(0, IF(ISBLANK('Annex 2 EHV charges'!$A$11:$A$218),1, COUNTIF(A$4:$A44, 'Annex 2 EHV charges'!$A$11:$A$218)), 0)),"")</f>
        <v>CROYDN</v>
      </c>
      <c r="B45" s="170">
        <f>IF($A45="","",VLOOKUP($A45,'Annex 2 EHV charges'!$A:$O,2,0))</f>
        <v>509</v>
      </c>
      <c r="C45" s="171">
        <f>IF($A45="","",VLOOKUP($A45,'Annex 2 EHV charges'!$A:$O,3,0))</f>
        <v>1050000808859</v>
      </c>
      <c r="D45" s="168" t="str">
        <f>IF($A45="","",VLOOKUP($A45,'Annex 2 EHV charges'!$A:$O,7,0))</f>
        <v>PUSH ENERGY (CROYDON) LIMITED</v>
      </c>
      <c r="E45" s="166">
        <f>IFERROR(IF(VLOOKUP($A45,'Annex 2 EHV charges'!$A:$O,8,FALSE)=0,"",VLOOKUP($A45,'Annex 2 EHV charges'!$A:$O,8,FALSE)),"")</f>
        <v>0.104</v>
      </c>
      <c r="F45" s="167">
        <f>IFERROR(IF(VLOOKUP($A45,'Annex 2 EHV charges'!$A:$O,9,FALSE)=0,"",VLOOKUP($A45,'Annex 2 EHV charges'!$A:$O,9,FALSE)),"")</f>
        <v>1.68</v>
      </c>
      <c r="G45" s="166">
        <f>IFERROR(IF(VLOOKUP($A45,'Annex 2 EHV charges'!$A:$O,10,FALSE)=0,"",VLOOKUP($A45,'Annex 2 EHV charges'!$A:$O,10,FALSE)),"")</f>
        <v>1.92</v>
      </c>
      <c r="H45" s="166">
        <f>IFERROR(IF(VLOOKUP($A45,'Annex 2 EHV charges'!$A:$O,11,FALSE)=0,"",VLOOKUP($A45,'Annex 2 EHV charges'!$A:$O,11,FALSE)),"")</f>
        <v>1.92</v>
      </c>
    </row>
    <row r="46" spans="1:8" ht="30.75" customHeight="1" x14ac:dyDescent="0.35">
      <c r="A46" s="168" t="str">
        <f t="array" ref="A46">IFERROR(INDEX('Annex 2 EHV charges'!$A$11:$A$218, MATCH(0, IF(ISBLANK('Annex 2 EHV charges'!$A$11:$A$218),1, COUNTIF(A$4:$A45, 'Annex 2 EHV charges'!$A$11:$A$218)), 0)),"")</f>
        <v>CTWDFM</v>
      </c>
      <c r="B46" s="170">
        <f>IF($A46="","",VLOOKUP($A46,'Annex 2 EHV charges'!$A:$O,2,0))</f>
        <v>835</v>
      </c>
      <c r="C46" s="171">
        <f>IF($A46="","",VLOOKUP($A46,'Annex 2 EHV charges'!$A:$O,3,0))</f>
        <v>1030079565056</v>
      </c>
      <c r="D46" s="168" t="str">
        <f>IF($A46="","",VLOOKUP($A46,'Annex 2 EHV charges'!$A:$O,7,0))</f>
        <v>COTTON FARM WIND FARM LIMITED</v>
      </c>
      <c r="E46" s="166">
        <f>IFERROR(IF(VLOOKUP($A46,'Annex 2 EHV charges'!$A:$O,8,FALSE)=0,"",VLOOKUP($A46,'Annex 2 EHV charges'!$A:$O,8,FALSE)),"")</f>
        <v>0.129</v>
      </c>
      <c r="F46" s="167">
        <f>IFERROR(IF(VLOOKUP($A46,'Annex 2 EHV charges'!$A:$O,9,FALSE)=0,"",VLOOKUP($A46,'Annex 2 EHV charges'!$A:$O,9,FALSE)),"")</f>
        <v>11.49</v>
      </c>
      <c r="G46" s="166">
        <f>IFERROR(IF(VLOOKUP($A46,'Annex 2 EHV charges'!$A:$O,10,FALSE)=0,"",VLOOKUP($A46,'Annex 2 EHV charges'!$A:$O,10,FALSE)),"")</f>
        <v>2.15</v>
      </c>
      <c r="H46" s="166">
        <f>IFERROR(IF(VLOOKUP($A46,'Annex 2 EHV charges'!$A:$O,11,FALSE)=0,"",VLOOKUP($A46,'Annex 2 EHV charges'!$A:$O,11,FALSE)),"")</f>
        <v>2.15</v>
      </c>
    </row>
    <row r="47" spans="1:8" ht="30.75" customHeight="1" x14ac:dyDescent="0.35">
      <c r="A47" s="168" t="str">
        <f t="array" ref="A47">IFERROR(INDEX('Annex 2 EHV charges'!$A$11:$A$218, MATCH(0, IF(ISBLANK('Annex 2 EHV charges'!$A$11:$A$218),1, COUNTIF(A$4:$A46, 'Annex 2 EHV charges'!$A$11:$A$218)), 0)),"")</f>
        <v>DBLANE</v>
      </c>
      <c r="B47" s="170">
        <f>IF($A47="","",VLOOKUP($A47,'Annex 2 EHV charges'!$A:$O,2,0))</f>
        <v>878</v>
      </c>
      <c r="C47" s="171">
        <f>IF($A47="","",VLOOKUP($A47,'Annex 2 EHV charges'!$A:$O,3,0))</f>
        <v>1050000612950</v>
      </c>
      <c r="D47" s="168" t="str">
        <f>IF($A47="","",VLOOKUP($A47,'Annex 2 EHV charges'!$A:$O,7,0))</f>
        <v>SOLAR WOODWALTON LIMITED</v>
      </c>
      <c r="E47" s="166">
        <f>IFERROR(IF(VLOOKUP($A47,'Annex 2 EHV charges'!$A:$O,8,FALSE)=0,"",VLOOKUP($A47,'Annex 2 EHV charges'!$A:$O,8,FALSE)),"")</f>
        <v>1.97</v>
      </c>
      <c r="F47" s="167">
        <f>IFERROR(IF(VLOOKUP($A47,'Annex 2 EHV charges'!$A:$O,9,FALSE)=0,"",VLOOKUP($A47,'Annex 2 EHV charges'!$A:$O,9,FALSE)),"")</f>
        <v>7.68</v>
      </c>
      <c r="G47" s="166">
        <f>IFERROR(IF(VLOOKUP($A47,'Annex 2 EHV charges'!$A:$O,10,FALSE)=0,"",VLOOKUP($A47,'Annex 2 EHV charges'!$A:$O,10,FALSE)),"")</f>
        <v>4.34</v>
      </c>
      <c r="H47" s="166">
        <f>IFERROR(IF(VLOOKUP($A47,'Annex 2 EHV charges'!$A:$O,11,FALSE)=0,"",VLOOKUP($A47,'Annex 2 EHV charges'!$A:$O,11,FALSE)),"")</f>
        <v>4.34</v>
      </c>
    </row>
    <row r="48" spans="1:8" ht="30.75" customHeight="1" x14ac:dyDescent="0.35">
      <c r="A48" s="168" t="str">
        <f t="array" ref="A48">IFERROR(INDEX('Annex 2 EHV charges'!$A$11:$A$218, MATCH(0, IF(ISBLANK('Annex 2 EHV charges'!$A$11:$A$218),1, COUNTIF(A$4:$A47, 'Annex 2 EHV charges'!$A$11:$A$218)), 0)),"")</f>
        <v>DGRLTY</v>
      </c>
      <c r="B48" s="170">
        <f>IF($A48="","",VLOOKUP($A48,'Annex 2 EHV charges'!$A:$O,2,0))</f>
        <v>771</v>
      </c>
      <c r="C48" s="171" t="str">
        <f>IF($A48="","",VLOOKUP($A48,'Annex 2 EHV charges'!$A:$O,3,0))</f>
        <v>1030050289278
1030050289506</v>
      </c>
      <c r="D48" s="168" t="str">
        <f>IF($A48="","",VLOOKUP($A48,'Annex 2 EHV charges'!$A:$O,7,0))</f>
        <v>HSBC BANK PLC</v>
      </c>
      <c r="E48" s="166">
        <f>IFERROR(IF(VLOOKUP($A48,'Annex 2 EHV charges'!$A:$O,8,FALSE)=0,"",VLOOKUP($A48,'Annex 2 EHV charges'!$A:$O,8,FALSE)),"")</f>
        <v>1.552</v>
      </c>
      <c r="F48" s="167">
        <f>IFERROR(IF(VLOOKUP($A48,'Annex 2 EHV charges'!$A:$O,9,FALSE)=0,"",VLOOKUP($A48,'Annex 2 EHV charges'!$A:$O,9,FALSE)),"")</f>
        <v>6509.85</v>
      </c>
      <c r="G48" s="166">
        <f>IFERROR(IF(VLOOKUP($A48,'Annex 2 EHV charges'!$A:$O,10,FALSE)=0,"",VLOOKUP($A48,'Annex 2 EHV charges'!$A:$O,10,FALSE)),"")</f>
        <v>1.69</v>
      </c>
      <c r="H48" s="166">
        <f>IFERROR(IF(VLOOKUP($A48,'Annex 2 EHV charges'!$A:$O,11,FALSE)=0,"",VLOOKUP($A48,'Annex 2 EHV charges'!$A:$O,11,FALSE)),"")</f>
        <v>1.69</v>
      </c>
    </row>
    <row r="49" spans="1:8" ht="30.75" customHeight="1" x14ac:dyDescent="0.35">
      <c r="A49" s="168" t="str">
        <f t="array" ref="A49">IFERROR(INDEX('Annex 2 EHV charges'!$A$11:$A$218, MATCH(0, IF(ISBLANK('Annex 2 EHV charges'!$A$11:$A$218),1, COUNTIF(A$4:$A48, 'Annex 2 EHV charges'!$A$11:$A$218)), 0)),"")</f>
        <v>DRABED</v>
      </c>
      <c r="B49" s="170">
        <f>IF($A49="","",VLOOKUP($A49,'Annex 2 EHV charges'!$A:$O,2,0))</f>
        <v>809</v>
      </c>
      <c r="C49" s="171">
        <f>IF($A49="","",VLOOKUP($A49,'Annex 2 EHV charges'!$A:$O,3,0))</f>
        <v>1014572509517</v>
      </c>
      <c r="D49" s="168" t="str">
        <f>IF($A49="","",VLOOKUP($A49,'Annex 2 EHV charges'!$A:$O,7,0))</f>
        <v>BAP LOAN CO LIMITED</v>
      </c>
      <c r="E49" s="166">
        <f>IFERROR(IF(VLOOKUP($A49,'Annex 2 EHV charges'!$A:$O,8,FALSE)=0,"",VLOOKUP($A49,'Annex 2 EHV charges'!$A:$O,8,FALSE)),"")</f>
        <v>9.2999999999999999E-2</v>
      </c>
      <c r="F49" s="167">
        <f>IFERROR(IF(VLOOKUP($A49,'Annex 2 EHV charges'!$A:$O,9,FALSE)=0,"",VLOOKUP($A49,'Annex 2 EHV charges'!$A:$O,9,FALSE)),"")</f>
        <v>7705.09</v>
      </c>
      <c r="G49" s="166">
        <f>IFERROR(IF(VLOOKUP($A49,'Annex 2 EHV charges'!$A:$O,10,FALSE)=0,"",VLOOKUP($A49,'Annex 2 EHV charges'!$A:$O,10,FALSE)),"")</f>
        <v>1.35</v>
      </c>
      <c r="H49" s="166">
        <f>IFERROR(IF(VLOOKUP($A49,'Annex 2 EHV charges'!$A:$O,11,FALSE)=0,"",VLOOKUP($A49,'Annex 2 EHV charges'!$A:$O,11,FALSE)),"")</f>
        <v>1.35</v>
      </c>
    </row>
    <row r="50" spans="1:8" ht="30.75" customHeight="1" x14ac:dyDescent="0.35">
      <c r="A50" s="168" t="str">
        <f t="array" ref="A50">IFERROR(INDEX('Annex 2 EHV charges'!$A$11:$A$218, MATCH(0, IF(ISBLANK('Annex 2 EHV charges'!$A$11:$A$218),1, COUNTIF(A$4:$A49, 'Annex 2 EHV charges'!$A$11:$A$218)), 0)),"")</f>
        <v>DRAPER</v>
      </c>
      <c r="B50" s="170">
        <f>IF($A50="","",VLOOKUP($A50,'Annex 2 EHV charges'!$A:$O,2,0))</f>
        <v>879</v>
      </c>
      <c r="C50" s="171">
        <f>IF($A50="","",VLOOKUP($A50,'Annex 2 EHV charges'!$A:$O,3,0))</f>
        <v>1050000581432</v>
      </c>
      <c r="D50" s="168" t="str">
        <f>IF($A50="","",VLOOKUP($A50,'Annex 2 EHV charges'!$A:$O,7,0))</f>
        <v>DRAPERS FARM SOLAR</v>
      </c>
      <c r="E50" s="166" t="str">
        <f>IFERROR(IF(VLOOKUP($A50,'Annex 2 EHV charges'!$A:$O,8,FALSE)=0,"",VLOOKUP($A50,'Annex 2 EHV charges'!$A:$O,8,FALSE)),"")</f>
        <v/>
      </c>
      <c r="F50" s="167">
        <f>IFERROR(IF(VLOOKUP($A50,'Annex 2 EHV charges'!$A:$O,9,FALSE)=0,"",VLOOKUP($A50,'Annex 2 EHV charges'!$A:$O,9,FALSE)),"")</f>
        <v>5.3</v>
      </c>
      <c r="G50" s="166">
        <f>IFERROR(IF(VLOOKUP($A50,'Annex 2 EHV charges'!$A:$O,10,FALSE)=0,"",VLOOKUP($A50,'Annex 2 EHV charges'!$A:$O,10,FALSE)),"")</f>
        <v>2.23</v>
      </c>
      <c r="H50" s="166">
        <f>IFERROR(IF(VLOOKUP($A50,'Annex 2 EHV charges'!$A:$O,11,FALSE)=0,"",VLOOKUP($A50,'Annex 2 EHV charges'!$A:$O,11,FALSE)),"")</f>
        <v>2.23</v>
      </c>
    </row>
    <row r="51" spans="1:8" ht="30.75" customHeight="1" x14ac:dyDescent="0.35">
      <c r="A51" s="168" t="str">
        <f t="array" ref="A51">IFERROR(INDEX('Annex 2 EHV charges'!$A$11:$A$218, MATCH(0, IF(ISBLANK('Annex 2 EHV charges'!$A$11:$A$218),1, COUNTIF(A$4:$A50, 'Annex 2 EHV charges'!$A$11:$A$218)), 0)),"")</f>
        <v>DRYHSE</v>
      </c>
      <c r="B51" s="170">
        <f>IF($A51="","",VLOOKUP($A51,'Annex 2 EHV charges'!$A:$O,2,0))</f>
        <v>877</v>
      </c>
      <c r="C51" s="171">
        <f>IF($A51="","",VLOOKUP($A51,'Annex 2 EHV charges'!$A:$O,3,0))</f>
        <v>1050000609423</v>
      </c>
      <c r="D51" s="168" t="str">
        <f>IF($A51="","",VLOOKUP($A51,'Annex 2 EHV charges'!$A:$O,7,0))</f>
        <v>SUNSAVE 25 (WIX LODGE FARM) LIMITED</v>
      </c>
      <c r="E51" s="166">
        <f>IFERROR(IF(VLOOKUP($A51,'Annex 2 EHV charges'!$A:$O,8,FALSE)=0,"",VLOOKUP($A51,'Annex 2 EHV charges'!$A:$O,8,FALSE)),"")</f>
        <v>3.9830000000000001</v>
      </c>
      <c r="F51" s="167">
        <f>IFERROR(IF(VLOOKUP($A51,'Annex 2 EHV charges'!$A:$O,9,FALSE)=0,"",VLOOKUP($A51,'Annex 2 EHV charges'!$A:$O,9,FALSE)),"")</f>
        <v>1.87</v>
      </c>
      <c r="G51" s="166">
        <f>IFERROR(IF(VLOOKUP($A51,'Annex 2 EHV charges'!$A:$O,10,FALSE)=0,"",VLOOKUP($A51,'Annex 2 EHV charges'!$A:$O,10,FALSE)),"")</f>
        <v>8.2200000000000006</v>
      </c>
      <c r="H51" s="166">
        <f>IFERROR(IF(VLOOKUP($A51,'Annex 2 EHV charges'!$A:$O,11,FALSE)=0,"",VLOOKUP($A51,'Annex 2 EHV charges'!$A:$O,11,FALSE)),"")</f>
        <v>8.2200000000000006</v>
      </c>
    </row>
    <row r="52" spans="1:8" ht="30.75" customHeight="1" x14ac:dyDescent="0.35">
      <c r="A52" s="168" t="str">
        <f t="array" ref="A52">IFERROR(INDEX('Annex 2 EHV charges'!$A$11:$A$218, MATCH(0, IF(ISBLANK('Annex 2 EHV charges'!$A$11:$A$218),1, COUNTIF(A$4:$A51, 'Annex 2 EHV charges'!$A$11:$A$218)), 0)),"")</f>
        <v>EARLHF</v>
      </c>
      <c r="B52" s="170">
        <f>IF($A52="","",VLOOKUP($A52,'Annex 2 EHV charges'!$A:$O,2,0))</f>
        <v>841</v>
      </c>
      <c r="C52" s="171">
        <f>IF($A52="","",VLOOKUP($A52,'Annex 2 EHV charges'!$A:$O,3,0))</f>
        <v>1030081316739</v>
      </c>
      <c r="D52" s="168" t="str">
        <f>IF($A52="","",VLOOKUP($A52,'Annex 2 EHV charges'!$A:$O,7,0))</f>
        <v>GEM WIND FARM 2 LIMITED</v>
      </c>
      <c r="E52" s="166">
        <f>IFERROR(IF(VLOOKUP($A52,'Annex 2 EHV charges'!$A:$O,8,FALSE)=0,"",VLOOKUP($A52,'Annex 2 EHV charges'!$A:$O,8,FALSE)),"")</f>
        <v>4.0549999999999997</v>
      </c>
      <c r="F52" s="167">
        <f>IFERROR(IF(VLOOKUP($A52,'Annex 2 EHV charges'!$A:$O,9,FALSE)=0,"",VLOOKUP($A52,'Annex 2 EHV charges'!$A:$O,9,FALSE)),"")</f>
        <v>3.56</v>
      </c>
      <c r="G52" s="166">
        <f>IFERROR(IF(VLOOKUP($A52,'Annex 2 EHV charges'!$A:$O,10,FALSE)=0,"",VLOOKUP($A52,'Annex 2 EHV charges'!$A:$O,10,FALSE)),"")</f>
        <v>2.0299999999999998</v>
      </c>
      <c r="H52" s="166">
        <f>IFERROR(IF(VLOOKUP($A52,'Annex 2 EHV charges'!$A:$O,11,FALSE)=0,"",VLOOKUP($A52,'Annex 2 EHV charges'!$A:$O,11,FALSE)),"")</f>
        <v>2.0299999999999998</v>
      </c>
    </row>
    <row r="53" spans="1:8" ht="30.75" customHeight="1" x14ac:dyDescent="0.35">
      <c r="A53" s="168" t="str">
        <f t="array" ref="A53">IFERROR(INDEX('Annex 2 EHV charges'!$A$11:$A$218, MATCH(0, IF(ISBLANK('Annex 2 EHV charges'!$A$11:$A$218),1, COUNTIF(A$4:$A52, 'Annex 2 EHV charges'!$A$11:$A$218)), 0)),"")</f>
        <v>EBCKHM</v>
      </c>
      <c r="B53" s="170">
        <f>IF($A53="","",VLOOKUP($A53,'Annex 2 EHV charges'!$A:$O,2,0))</f>
        <v>887</v>
      </c>
      <c r="C53" s="171">
        <f>IF($A53="","",VLOOKUP($A53,'Annex 2 EHV charges'!$A:$O,3,0))</f>
        <v>1050000609441</v>
      </c>
      <c r="D53" s="168" t="str">
        <f>IF($A53="","",VLOOKUP($A53,'Annex 2 EHV charges'!$A:$O,7,0))</f>
        <v>HALL SOLAR LIMITED</v>
      </c>
      <c r="E53" s="166">
        <f>IFERROR(IF(VLOOKUP($A53,'Annex 2 EHV charges'!$A:$O,8,FALSE)=0,"",VLOOKUP($A53,'Annex 2 EHV charges'!$A:$O,8,FALSE)),"")</f>
        <v>4.7E-2</v>
      </c>
      <c r="F53" s="167">
        <f>IFERROR(IF(VLOOKUP($A53,'Annex 2 EHV charges'!$A:$O,9,FALSE)=0,"",VLOOKUP($A53,'Annex 2 EHV charges'!$A:$O,9,FALSE)),"")</f>
        <v>1.44</v>
      </c>
      <c r="G53" s="166">
        <f>IFERROR(IF(VLOOKUP($A53,'Annex 2 EHV charges'!$A:$O,10,FALSE)=0,"",VLOOKUP($A53,'Annex 2 EHV charges'!$A:$O,10,FALSE)),"")</f>
        <v>7.71</v>
      </c>
      <c r="H53" s="166">
        <f>IFERROR(IF(VLOOKUP($A53,'Annex 2 EHV charges'!$A:$O,11,FALSE)=0,"",VLOOKUP($A53,'Annex 2 EHV charges'!$A:$O,11,FALSE)),"")</f>
        <v>7.71</v>
      </c>
    </row>
    <row r="54" spans="1:8" ht="51" x14ac:dyDescent="0.35">
      <c r="A54" s="168" t="str">
        <f t="array" ref="A54">IFERROR(INDEX('Annex 2 EHV charges'!$A$11:$A$218, MATCH(0, IF(ISBLANK('Annex 2 EHV charges'!$A$11:$A$218),1, COUNTIF(A$4:$A53, 'Annex 2 EHV charges'!$A$11:$A$218)), 0)),"")</f>
        <v>EDLMUC</v>
      </c>
      <c r="B54" s="170">
        <f>IF($A54="","",VLOOKUP($A54,'Annex 2 EHV charges'!$A:$O,2,0))</f>
        <v>810</v>
      </c>
      <c r="C54" s="171" t="str">
        <f>IF($A54="","",VLOOKUP($A54,'Annex 2 EHV charges'!$A:$O,3,0))</f>
        <v>1023497822125
1023497822357
1023514863056
1030010107819</v>
      </c>
      <c r="D54" s="168" t="str">
        <f>IF($A54="","",VLOOKUP($A54,'Annex 2 EHV charges'!$A:$O,7,0))</f>
        <v>NON FOSSIL PURCHASING AGENCY</v>
      </c>
      <c r="E54" s="166">
        <f>IFERROR(IF(VLOOKUP($A54,'Annex 2 EHV charges'!$A:$O,8,FALSE)=0,"",VLOOKUP($A54,'Annex 2 EHV charges'!$A:$O,8,FALSE)),"")</f>
        <v>5.8000000000000003E-2</v>
      </c>
      <c r="F54" s="167">
        <f>IFERROR(IF(VLOOKUP($A54,'Annex 2 EHV charges'!$A:$O,9,FALSE)=0,"",VLOOKUP($A54,'Annex 2 EHV charges'!$A:$O,9,FALSE)),"")</f>
        <v>7.31</v>
      </c>
      <c r="G54" s="166">
        <f>IFERROR(IF(VLOOKUP($A54,'Annex 2 EHV charges'!$A:$O,10,FALSE)=0,"",VLOOKUP($A54,'Annex 2 EHV charges'!$A:$O,10,FALSE)),"")</f>
        <v>1.65</v>
      </c>
      <c r="H54" s="166">
        <f>IFERROR(IF(VLOOKUP($A54,'Annex 2 EHV charges'!$A:$O,11,FALSE)=0,"",VLOOKUP($A54,'Annex 2 EHV charges'!$A:$O,11,FALSE)),"")</f>
        <v>1.65</v>
      </c>
    </row>
    <row r="55" spans="1:8" ht="30.75" customHeight="1" x14ac:dyDescent="0.35">
      <c r="A55" s="168" t="str">
        <f t="array" ref="A55">IFERROR(INDEX('Annex 2 EHV charges'!$A$11:$A$218, MATCH(0, IF(ISBLANK('Annex 2 EHV charges'!$A$11:$A$218),1, COUNTIF(A$4:$A54, 'Annex 2 EHV charges'!$A$11:$A$218)), 0)),"")</f>
        <v>EDLPIT</v>
      </c>
      <c r="B55" s="170">
        <f>IF($A55="","",VLOOKUP($A55,'Annex 2 EHV charges'!$A:$O,2,0))</f>
        <v>811</v>
      </c>
      <c r="C55" s="171">
        <f>IF($A55="","",VLOOKUP($A55,'Annex 2 EHV charges'!$A:$O,3,0))</f>
        <v>1030020271288</v>
      </c>
      <c r="D55" s="168" t="str">
        <f>IF($A55="","",VLOOKUP($A55,'Annex 2 EHV charges'!$A:$O,7,0))</f>
        <v>NON FOSSIL PURCHASING AGENCY</v>
      </c>
      <c r="E55" s="166">
        <f>IFERROR(IF(VLOOKUP($A55,'Annex 2 EHV charges'!$A:$O,8,FALSE)=0,"",VLOOKUP($A55,'Annex 2 EHV charges'!$A:$O,8,FALSE)),"")</f>
        <v>0.90400000000000003</v>
      </c>
      <c r="F55" s="167">
        <f>IFERROR(IF(VLOOKUP($A55,'Annex 2 EHV charges'!$A:$O,9,FALSE)=0,"",VLOOKUP($A55,'Annex 2 EHV charges'!$A:$O,9,FALSE)),"")</f>
        <v>22.89</v>
      </c>
      <c r="G55" s="166">
        <f>IFERROR(IF(VLOOKUP($A55,'Annex 2 EHV charges'!$A:$O,10,FALSE)=0,"",VLOOKUP($A55,'Annex 2 EHV charges'!$A:$O,10,FALSE)),"")</f>
        <v>1.63</v>
      </c>
      <c r="H55" s="166">
        <f>IFERROR(IF(VLOOKUP($A55,'Annex 2 EHV charges'!$A:$O,11,FALSE)=0,"",VLOOKUP($A55,'Annex 2 EHV charges'!$A:$O,11,FALSE)),"")</f>
        <v>1.63</v>
      </c>
    </row>
    <row r="56" spans="1:8" ht="30.75" customHeight="1" x14ac:dyDescent="0.35">
      <c r="A56" s="168" t="str">
        <f t="array" ref="A56">IFERROR(INDEX('Annex 2 EHV charges'!$A$11:$A$218, MATCH(0, IF(ISBLANK('Annex 2 EHV charges'!$A$11:$A$218),1, COUNTIF(A$4:$A55, 'Annex 2 EHV charges'!$A$11:$A$218)), 0)),"")</f>
        <v>EGMRSF</v>
      </c>
      <c r="B56" s="170">
        <f>IF($A56="","",VLOOKUP($A56,'Annex 2 EHV charges'!$A:$O,2,0))</f>
        <v>880</v>
      </c>
      <c r="C56" s="171">
        <f>IF($A56="","",VLOOKUP($A56,'Annex 2 EHV charges'!$A:$O,3,0))</f>
        <v>1050000567483</v>
      </c>
      <c r="D56" s="168" t="str">
        <f>IF($A56="","",VLOOKUP($A56,'Annex 2 EHV charges'!$A:$O,7,0))</f>
        <v>EGMERE AIRFIELD SOLAR PARK LIMITED</v>
      </c>
      <c r="E56" s="166">
        <f>IFERROR(IF(VLOOKUP($A56,'Annex 2 EHV charges'!$A:$O,8,FALSE)=0,"",VLOOKUP($A56,'Annex 2 EHV charges'!$A:$O,8,FALSE)),"")</f>
        <v>1.7270000000000001</v>
      </c>
      <c r="F56" s="167">
        <f>IFERROR(IF(VLOOKUP($A56,'Annex 2 EHV charges'!$A:$O,9,FALSE)=0,"",VLOOKUP($A56,'Annex 2 EHV charges'!$A:$O,9,FALSE)),"")</f>
        <v>5.07</v>
      </c>
      <c r="G56" s="166">
        <f>IFERROR(IF(VLOOKUP($A56,'Annex 2 EHV charges'!$A:$O,10,FALSE)=0,"",VLOOKUP($A56,'Annex 2 EHV charges'!$A:$O,10,FALSE)),"")</f>
        <v>3.42</v>
      </c>
      <c r="H56" s="166">
        <f>IFERROR(IF(VLOOKUP($A56,'Annex 2 EHV charges'!$A:$O,11,FALSE)=0,"",VLOOKUP($A56,'Annex 2 EHV charges'!$A:$O,11,FALSE)),"")</f>
        <v>3.42</v>
      </c>
    </row>
    <row r="57" spans="1:8" ht="30.75" customHeight="1" x14ac:dyDescent="0.35">
      <c r="A57" s="168" t="str">
        <f t="array" ref="A57">IFERROR(INDEX('Annex 2 EHV charges'!$A$11:$A$218, MATCH(0, IF(ISBLANK('Annex 2 EHV charges'!$A$11:$A$218),1, COUNTIF(A$4:$A56, 'Annex 2 EHV charges'!$A$11:$A$218)), 0)),"")</f>
        <v>ELLOSF</v>
      </c>
      <c r="B57" s="170">
        <f>IF($A57="","",VLOOKUP($A57,'Annex 2 EHV charges'!$A:$O,2,0))</f>
        <v>881</v>
      </c>
      <c r="C57" s="171">
        <f>IF($A57="","",VLOOKUP($A57,'Annex 2 EHV charges'!$A:$O,3,0))</f>
        <v>1050000612880</v>
      </c>
      <c r="D57" s="168" t="str">
        <f>IF($A57="","",VLOOKUP($A57,'Annex 2 EHV charges'!$A:$O,7,0))</f>
        <v>ELLOUGH SOLAR LLP</v>
      </c>
      <c r="E57" s="166">
        <f>IFERROR(IF(VLOOKUP($A57,'Annex 2 EHV charges'!$A:$O,8,FALSE)=0,"",VLOOKUP($A57,'Annex 2 EHV charges'!$A:$O,8,FALSE)),"")</f>
        <v>0.51</v>
      </c>
      <c r="F57" s="167">
        <f>IFERROR(IF(VLOOKUP($A57,'Annex 2 EHV charges'!$A:$O,9,FALSE)=0,"",VLOOKUP($A57,'Annex 2 EHV charges'!$A:$O,9,FALSE)),"")</f>
        <v>4.68</v>
      </c>
      <c r="G57" s="166">
        <f>IFERROR(IF(VLOOKUP($A57,'Annex 2 EHV charges'!$A:$O,10,FALSE)=0,"",VLOOKUP($A57,'Annex 2 EHV charges'!$A:$O,10,FALSE)),"")</f>
        <v>3.15</v>
      </c>
      <c r="H57" s="166">
        <f>IFERROR(IF(VLOOKUP($A57,'Annex 2 EHV charges'!$A:$O,11,FALSE)=0,"",VLOOKUP($A57,'Annex 2 EHV charges'!$A:$O,11,FALSE)),"")</f>
        <v>3.15</v>
      </c>
    </row>
    <row r="58" spans="1:8" ht="30.75" customHeight="1" x14ac:dyDescent="0.35">
      <c r="A58" s="168" t="str">
        <f t="array" ref="A58">IFERROR(INDEX('Annex 2 EHV charges'!$A$11:$A$218, MATCH(0, IF(ISBLANK('Annex 2 EHV charges'!$A$11:$A$218),1, COUNTIF(A$4:$A57, 'Annex 2 EHV charges'!$A$11:$A$218)), 0)),"")</f>
        <v>ELSAGE</v>
      </c>
      <c r="B58" s="170">
        <f>IF($A58="","",VLOOKUP($A58,'Annex 2 EHV charges'!$A:$O,2,0))</f>
        <v>796</v>
      </c>
      <c r="C58" s="171">
        <f>IF($A58="","",VLOOKUP($A58,'Annex 2 EHV charges'!$A:$O,3,0))</f>
        <v>1050000923668</v>
      </c>
      <c r="D58" s="168" t="str">
        <f>IF($A58="","",VLOOKUP($A58,'Annex 2 EHV charges'!$A:$O,7,0))</f>
        <v>MAGNETAR SOLAR (UK) LTD</v>
      </c>
      <c r="E58" s="166">
        <f>IFERROR(IF(VLOOKUP($A58,'Annex 2 EHV charges'!$A:$O,8,FALSE)=0,"",VLOOKUP($A58,'Annex 2 EHV charges'!$A:$O,8,FALSE)),"")</f>
        <v>0.308</v>
      </c>
      <c r="F58" s="167">
        <f>IFERROR(IF(VLOOKUP($A58,'Annex 2 EHV charges'!$A:$O,9,FALSE)=0,"",VLOOKUP($A58,'Annex 2 EHV charges'!$A:$O,9,FALSE)),"")</f>
        <v>15.85</v>
      </c>
      <c r="G58" s="166">
        <f>IFERROR(IF(VLOOKUP($A58,'Annex 2 EHV charges'!$A:$O,10,FALSE)=0,"",VLOOKUP($A58,'Annex 2 EHV charges'!$A:$O,10,FALSE)),"")</f>
        <v>5.62</v>
      </c>
      <c r="H58" s="166">
        <f>IFERROR(IF(VLOOKUP($A58,'Annex 2 EHV charges'!$A:$O,11,FALSE)=0,"",VLOOKUP($A58,'Annex 2 EHV charges'!$A:$O,11,FALSE)),"")</f>
        <v>5.62</v>
      </c>
    </row>
    <row r="59" spans="1:8" ht="30.75" customHeight="1" x14ac:dyDescent="0.35">
      <c r="A59" s="168" t="str">
        <f t="array" ref="A59">IFERROR(INDEX('Annex 2 EHV charges'!$A$11:$A$218, MATCH(0, IF(ISBLANK('Annex 2 EHV charges'!$A$11:$A$218),1, COUNTIF(A$4:$A58, 'Annex 2 EHV charges'!$A$11:$A$218)), 0)),"")</f>
        <v>EMR_TI</v>
      </c>
      <c r="B59" s="170">
        <f>IF($A59="","",VLOOKUP($A59,'Annex 2 EHV charges'!$A:$O,2,0))</f>
        <v>813</v>
      </c>
      <c r="C59" s="171" t="str">
        <f>IF($A59="","",VLOOKUP($A59,'Annex 2 EHV charges'!$A:$O,3,0))</f>
        <v>1023475632649
1014572805060</v>
      </c>
      <c r="D59" s="168" t="str">
        <f>IF($A59="","",VLOOKUP($A59,'Annex 2 EHV charges'!$A:$O,7,0))</f>
        <v>EUROPEAN METAL RECYCLING LTD</v>
      </c>
      <c r="E59" s="166">
        <f>IFERROR(IF(VLOOKUP($A59,'Annex 2 EHV charges'!$A:$O,8,FALSE)=0,"",VLOOKUP($A59,'Annex 2 EHV charges'!$A:$O,8,FALSE)),"")</f>
        <v>4.5999999999999999E-2</v>
      </c>
      <c r="F59" s="167">
        <f>IFERROR(IF(VLOOKUP($A59,'Annex 2 EHV charges'!$A:$O,9,FALSE)=0,"",VLOOKUP($A59,'Annex 2 EHV charges'!$A:$O,9,FALSE)),"")</f>
        <v>511.57</v>
      </c>
      <c r="G59" s="166">
        <f>IFERROR(IF(VLOOKUP($A59,'Annex 2 EHV charges'!$A:$O,10,FALSE)=0,"",VLOOKUP($A59,'Annex 2 EHV charges'!$A:$O,10,FALSE)),"")</f>
        <v>1.88</v>
      </c>
      <c r="H59" s="166">
        <f>IFERROR(IF(VLOOKUP($A59,'Annex 2 EHV charges'!$A:$O,11,FALSE)=0,"",VLOOKUP($A59,'Annex 2 EHV charges'!$A:$O,11,FALSE)),"")</f>
        <v>1.88</v>
      </c>
    </row>
    <row r="60" spans="1:8" ht="30.75" customHeight="1" x14ac:dyDescent="0.35">
      <c r="A60" s="168" t="str">
        <f t="array" ref="A60">IFERROR(INDEX('Annex 2 EHV charges'!$A$11:$A$218, MATCH(0, IF(ISBLANK('Annex 2 EHV charges'!$A$11:$A$218),1, COUNTIF(A$4:$A59, 'Annex 2 EHV charges'!$A$11:$A$218)), 0)),"")</f>
        <v>EPRSUT</v>
      </c>
      <c r="B60" s="170">
        <f>IF($A60="","",VLOOKUP($A60,'Annex 2 EHV charges'!$A:$O,2,0))</f>
        <v>812</v>
      </c>
      <c r="C60" s="171">
        <f>IF($A60="","",VLOOKUP($A60,'Annex 2 EHV charges'!$A:$O,3,0))</f>
        <v>1023494988750</v>
      </c>
      <c r="D60" s="168" t="str">
        <f>IF($A60="","",VLOOKUP($A60,'Annex 2 EHV charges'!$A:$O,7,0))</f>
        <v>ENERGY POWER RESOURCES LTD</v>
      </c>
      <c r="E60" s="166">
        <f>IFERROR(IF(VLOOKUP($A60,'Annex 2 EHV charges'!$A:$O,8,FALSE)=0,"",VLOOKUP($A60,'Annex 2 EHV charges'!$A:$O,8,FALSE)),"")</f>
        <v>1.4239999999999999</v>
      </c>
      <c r="F60" s="167">
        <f>IFERROR(IF(VLOOKUP($A60,'Annex 2 EHV charges'!$A:$O,9,FALSE)=0,"",VLOOKUP($A60,'Annex 2 EHV charges'!$A:$O,9,FALSE)),"")</f>
        <v>253.68</v>
      </c>
      <c r="G60" s="166">
        <f>IFERROR(IF(VLOOKUP($A60,'Annex 2 EHV charges'!$A:$O,10,FALSE)=0,"",VLOOKUP($A60,'Annex 2 EHV charges'!$A:$O,10,FALSE)),"")</f>
        <v>1.41</v>
      </c>
      <c r="H60" s="166">
        <f>IFERROR(IF(VLOOKUP($A60,'Annex 2 EHV charges'!$A:$O,11,FALSE)=0,"",VLOOKUP($A60,'Annex 2 EHV charges'!$A:$O,11,FALSE)),"")</f>
        <v>1.41</v>
      </c>
    </row>
    <row r="61" spans="1:8" ht="30.75" customHeight="1" x14ac:dyDescent="0.35">
      <c r="A61" s="168" t="str">
        <f t="array" ref="A61">IFERROR(INDEX('Annex 2 EHV charges'!$A$11:$A$218, MATCH(0, IF(ISBLANK('Annex 2 EHV charges'!$A$11:$A$218),1, COUNTIF(A$4:$A60, 'Annex 2 EHV charges'!$A$11:$A$218)), 0)),"")</f>
        <v>ESWMID</v>
      </c>
      <c r="B61" s="170">
        <f>IF($A61="","",VLOOKUP($A61,'Annex 2 EHV charges'!$A:$O,2,0))</f>
        <v>771</v>
      </c>
      <c r="C61" s="171" t="str">
        <f>IF($A61="","",VLOOKUP($A61,'Annex 2 EHV charges'!$A:$O,3,0))</f>
        <v>1014572640842
1014572641075</v>
      </c>
      <c r="D61" s="168" t="str">
        <f>IF($A61="","",VLOOKUP($A61,'Annex 2 EHV charges'!$A:$O,7,0))</f>
        <v>NORTHUMBRIAN WATER LIMITED</v>
      </c>
      <c r="E61" s="166">
        <f>IFERROR(IF(VLOOKUP($A61,'Annex 2 EHV charges'!$A:$O,8,FALSE)=0,"",VLOOKUP($A61,'Annex 2 EHV charges'!$A:$O,8,FALSE)),"")</f>
        <v>6.73</v>
      </c>
      <c r="F61" s="167">
        <f>IFERROR(IF(VLOOKUP($A61,'Annex 2 EHV charges'!$A:$O,9,FALSE)=0,"",VLOOKUP($A61,'Annex 2 EHV charges'!$A:$O,9,FALSE)),"")</f>
        <v>166.43</v>
      </c>
      <c r="G61" s="166">
        <f>IFERROR(IF(VLOOKUP($A61,'Annex 2 EHV charges'!$A:$O,10,FALSE)=0,"",VLOOKUP($A61,'Annex 2 EHV charges'!$A:$O,10,FALSE)),"")</f>
        <v>2.99</v>
      </c>
      <c r="H61" s="166">
        <f>IFERROR(IF(VLOOKUP($A61,'Annex 2 EHV charges'!$A:$O,11,FALSE)=0,"",VLOOKUP($A61,'Annex 2 EHV charges'!$A:$O,11,FALSE)),"")</f>
        <v>2.99</v>
      </c>
    </row>
    <row r="62" spans="1:8" ht="30.75" customHeight="1" x14ac:dyDescent="0.35">
      <c r="A62" s="168" t="str">
        <f t="array" ref="A62">IFERROR(INDEX('Annex 2 EHV charges'!$A$11:$A$218, MATCH(0, IF(ISBLANK('Annex 2 EHV charges'!$A$11:$A$218),1, COUNTIF(A$4:$A61, 'Annex 2 EHV charges'!$A$11:$A$218)), 0)),"")</f>
        <v>ESWWIX</v>
      </c>
      <c r="B62" s="170">
        <f>IF($A62="","",VLOOKUP($A62,'Annex 2 EHV charges'!$A:$O,2,0))</f>
        <v>771</v>
      </c>
      <c r="C62" s="171">
        <f>IF($A62="","",VLOOKUP($A62,'Annex 2 EHV charges'!$A:$O,3,0))</f>
        <v>1014572713989</v>
      </c>
      <c r="D62" s="168" t="str">
        <f>IF($A62="","",VLOOKUP($A62,'Annex 2 EHV charges'!$A:$O,7,0))</f>
        <v>NORTHUMBRIAN WATER</v>
      </c>
      <c r="E62" s="166">
        <f>IFERROR(IF(VLOOKUP($A62,'Annex 2 EHV charges'!$A:$O,8,FALSE)=0,"",VLOOKUP($A62,'Annex 2 EHV charges'!$A:$O,8,FALSE)),"")</f>
        <v>5.6829999999999998</v>
      </c>
      <c r="F62" s="167">
        <f>IFERROR(IF(VLOOKUP($A62,'Annex 2 EHV charges'!$A:$O,9,FALSE)=0,"",VLOOKUP($A62,'Annex 2 EHV charges'!$A:$O,9,FALSE)),"")</f>
        <v>2199.9299999999998</v>
      </c>
      <c r="G62" s="166">
        <f>IFERROR(IF(VLOOKUP($A62,'Annex 2 EHV charges'!$A:$O,10,FALSE)=0,"",VLOOKUP($A62,'Annex 2 EHV charges'!$A:$O,10,FALSE)),"")</f>
        <v>5.72</v>
      </c>
      <c r="H62" s="166">
        <f>IFERROR(IF(VLOOKUP($A62,'Annex 2 EHV charges'!$A:$O,11,FALSE)=0,"",VLOOKUP($A62,'Annex 2 EHV charges'!$A:$O,11,FALSE)),"")</f>
        <v>5.72</v>
      </c>
    </row>
    <row r="63" spans="1:8" ht="30.75" customHeight="1" x14ac:dyDescent="0.35">
      <c r="A63" s="168" t="str">
        <f t="array" ref="A63">IFERROR(INDEX('Annex 2 EHV charges'!$A$11:$A$218, MATCH(0, IF(ISBLANK('Annex 2 EHV charges'!$A$11:$A$218),1, COUNTIF(A$4:$A62, 'Annex 2 EHV charges'!$A$11:$A$218)), 0)),"")</f>
        <v>EUSTSF</v>
      </c>
      <c r="B63" s="170">
        <f>IF($A63="","",VLOOKUP($A63,'Annex 2 EHV charges'!$A:$O,2,0))</f>
        <v>882</v>
      </c>
      <c r="C63" s="171">
        <f>IF($A63="","",VLOOKUP($A63,'Annex 2 EHV charges'!$A:$O,3,0))</f>
        <v>1050000628160</v>
      </c>
      <c r="D63" s="168" t="str">
        <f>IF($A63="","",VLOOKUP($A63,'Annex 2 EHV charges'!$A:$O,7,0))</f>
        <v>HONINGTON IMPORT</v>
      </c>
      <c r="E63" s="166">
        <f>IFERROR(IF(VLOOKUP($A63,'Annex 2 EHV charges'!$A:$O,8,FALSE)=0,"",VLOOKUP($A63,'Annex 2 EHV charges'!$A:$O,8,FALSE)),"")</f>
        <v>3.4079999999999999</v>
      </c>
      <c r="F63" s="167">
        <f>IFERROR(IF(VLOOKUP($A63,'Annex 2 EHV charges'!$A:$O,9,FALSE)=0,"",VLOOKUP($A63,'Annex 2 EHV charges'!$A:$O,9,FALSE)),"")</f>
        <v>40.229999999999997</v>
      </c>
      <c r="G63" s="166">
        <f>IFERROR(IF(VLOOKUP($A63,'Annex 2 EHV charges'!$A:$O,10,FALSE)=0,"",VLOOKUP($A63,'Annex 2 EHV charges'!$A:$O,10,FALSE)),"")</f>
        <v>2.4300000000000002</v>
      </c>
      <c r="H63" s="166">
        <f>IFERROR(IF(VLOOKUP($A63,'Annex 2 EHV charges'!$A:$O,11,FALSE)=0,"",VLOOKUP($A63,'Annex 2 EHV charges'!$A:$O,11,FALSE)),"")</f>
        <v>2.4300000000000002</v>
      </c>
    </row>
    <row r="64" spans="1:8" ht="30.75" customHeight="1" x14ac:dyDescent="0.35">
      <c r="A64" s="168" t="str">
        <f t="array" ref="A64">IFERROR(INDEX('Annex 2 EHV charges'!$A$11:$A$218, MATCH(0, IF(ISBLANK('Annex 2 EHV charges'!$A$11:$A$218),1, COUNTIF(A$4:$A63, 'Annex 2 EHV charges'!$A$11:$A$218)), 0)),"")</f>
        <v>EXNING</v>
      </c>
      <c r="B64" s="170">
        <f>IF($A64="","",VLOOKUP($A64,'Annex 2 EHV charges'!$A:$O,2,0))</f>
        <v>510</v>
      </c>
      <c r="C64" s="171">
        <f>IF($A64="","",VLOOKUP($A64,'Annex 2 EHV charges'!$A:$O,3,0))</f>
        <v>1050000784384</v>
      </c>
      <c r="D64" s="168" t="str">
        <f>IF($A64="","",VLOOKUP($A64,'Annex 2 EHV charges'!$A:$O,7,0))</f>
        <v>DAISY NO 1 LIMITED</v>
      </c>
      <c r="E64" s="166">
        <f>IFERROR(IF(VLOOKUP($A64,'Annex 2 EHV charges'!$A:$O,8,FALSE)=0,"",VLOOKUP($A64,'Annex 2 EHV charges'!$A:$O,8,FALSE)),"")</f>
        <v>2.9000000000000001E-2</v>
      </c>
      <c r="F64" s="167">
        <f>IFERROR(IF(VLOOKUP($A64,'Annex 2 EHV charges'!$A:$O,9,FALSE)=0,"",VLOOKUP($A64,'Annex 2 EHV charges'!$A:$O,9,FALSE)),"")</f>
        <v>10.71</v>
      </c>
      <c r="G64" s="166">
        <f>IFERROR(IF(VLOOKUP($A64,'Annex 2 EHV charges'!$A:$O,10,FALSE)=0,"",VLOOKUP($A64,'Annex 2 EHV charges'!$A:$O,10,FALSE)),"")</f>
        <v>2.06</v>
      </c>
      <c r="H64" s="166">
        <f>IFERROR(IF(VLOOKUP($A64,'Annex 2 EHV charges'!$A:$O,11,FALSE)=0,"",VLOOKUP($A64,'Annex 2 EHV charges'!$A:$O,11,FALSE)),"")</f>
        <v>2.06</v>
      </c>
    </row>
    <row r="65" spans="1:8" ht="30.75" customHeight="1" x14ac:dyDescent="0.35">
      <c r="A65" s="168" t="str">
        <f t="array" ref="A65">IFERROR(INDEX('Annex 2 EHV charges'!$A$11:$A$218, MATCH(0, IF(ISBLANK('Annex 2 EHV charges'!$A$11:$A$218),1, COUNTIF(A$4:$A64, 'Annex 2 EHV charges'!$A$11:$A$218)), 0)),"")</f>
        <v>EYEWFM</v>
      </c>
      <c r="B65" s="170">
        <f>IF($A65="","",VLOOKUP($A65,'Annex 2 EHV charges'!$A:$O,2,0))</f>
        <v>883</v>
      </c>
      <c r="C65" s="171">
        <f>IF($A65="","",VLOOKUP($A65,'Annex 2 EHV charges'!$A:$O,3,0))</f>
        <v>1030085019966</v>
      </c>
      <c r="D65" s="168" t="str">
        <f>IF($A65="","",VLOOKUP($A65,'Annex 2 EHV charges'!$A:$O,7,0))</f>
        <v>EYE WIND POWER LIMITED</v>
      </c>
      <c r="E65" s="166">
        <f>IFERROR(IF(VLOOKUP($A65,'Annex 2 EHV charges'!$A:$O,8,FALSE)=0,"",VLOOKUP($A65,'Annex 2 EHV charges'!$A:$O,8,FALSE)),"")</f>
        <v>2.2280000000000002</v>
      </c>
      <c r="F65" s="167">
        <f>IFERROR(IF(VLOOKUP($A65,'Annex 2 EHV charges'!$A:$O,9,FALSE)=0,"",VLOOKUP($A65,'Annex 2 EHV charges'!$A:$O,9,FALSE)),"")</f>
        <v>9.14</v>
      </c>
      <c r="G65" s="166">
        <f>IFERROR(IF(VLOOKUP($A65,'Annex 2 EHV charges'!$A:$O,10,FALSE)=0,"",VLOOKUP($A65,'Annex 2 EHV charges'!$A:$O,10,FALSE)),"")</f>
        <v>1.96</v>
      </c>
      <c r="H65" s="166">
        <f>IFERROR(IF(VLOOKUP($A65,'Annex 2 EHV charges'!$A:$O,11,FALSE)=0,"",VLOOKUP($A65,'Annex 2 EHV charges'!$A:$O,11,FALSE)),"")</f>
        <v>1.96</v>
      </c>
    </row>
    <row r="66" spans="1:8" ht="30.75" customHeight="1" x14ac:dyDescent="0.35">
      <c r="A66" s="168" t="str">
        <f t="array" ref="A66">IFERROR(INDEX('Annex 2 EHV charges'!$A$11:$A$218, MATCH(0, IF(ISBLANK('Annex 2 EHV charges'!$A$11:$A$218),1, COUNTIF(A$4:$A65, 'Annex 2 EHV charges'!$A$11:$A$218)), 0)),"")</f>
        <v>FBWTHE</v>
      </c>
      <c r="B66" s="170">
        <f>IF($A66="","",VLOOKUP($A66,'Annex 2 EHV charges'!$A:$O,2,0))</f>
        <v>817</v>
      </c>
      <c r="C66" s="171">
        <f>IF($A66="","",VLOOKUP($A66,'Annex 2 EHV charges'!$A:$O,3,0))</f>
        <v>1023507304338</v>
      </c>
      <c r="D66" s="168" t="str">
        <f>IF($A66="","",VLOOKUP($A66,'Annex 2 EHV charges'!$A:$O,7,0))</f>
        <v>CEMG EXPORT PORTFOLIO</v>
      </c>
      <c r="E66" s="166">
        <f>IFERROR(IF(VLOOKUP($A66,'Annex 2 EHV charges'!$A:$O,8,FALSE)=0,"",VLOOKUP($A66,'Annex 2 EHV charges'!$A:$O,8,FALSE)),"")</f>
        <v>3.73</v>
      </c>
      <c r="F66" s="167">
        <f>IFERROR(IF(VLOOKUP($A66,'Annex 2 EHV charges'!$A:$O,9,FALSE)=0,"",VLOOKUP($A66,'Annex 2 EHV charges'!$A:$O,9,FALSE)),"")</f>
        <v>72.260000000000005</v>
      </c>
      <c r="G66" s="166">
        <f>IFERROR(IF(VLOOKUP($A66,'Annex 2 EHV charges'!$A:$O,10,FALSE)=0,"",VLOOKUP($A66,'Annex 2 EHV charges'!$A:$O,10,FALSE)),"")</f>
        <v>3.16</v>
      </c>
      <c r="H66" s="166">
        <f>IFERROR(IF(VLOOKUP($A66,'Annex 2 EHV charges'!$A:$O,11,FALSE)=0,"",VLOOKUP($A66,'Annex 2 EHV charges'!$A:$O,11,FALSE)),"")</f>
        <v>3.16</v>
      </c>
    </row>
    <row r="67" spans="1:8" ht="30.75" customHeight="1" x14ac:dyDescent="0.35">
      <c r="A67" s="168" t="str">
        <f t="array" ref="A67">IFERROR(INDEX('Annex 2 EHV charges'!$A$11:$A$218, MATCH(0, IF(ISBLANK('Annex 2 EHV charges'!$A$11:$A$218),1, COUNTIF(A$4:$A66, 'Annex 2 EHV charges'!$A$11:$A$218)), 0)),"")</f>
        <v>FENLND</v>
      </c>
      <c r="B67" s="170">
        <f>IF($A67="","",VLOOKUP($A67,'Annex 2 EHV charges'!$A:$O,2,0))</f>
        <v>511</v>
      </c>
      <c r="C67" s="171">
        <f>IF($A67="","",VLOOKUP($A67,'Annex 2 EHV charges'!$A:$O,3,0))</f>
        <v>1050000774163</v>
      </c>
      <c r="D67" s="168" t="str">
        <f>IF($A67="","",VLOOKUP($A67,'Annex 2 EHV charges'!$A:$O,7,0))</f>
        <v>FENLAND SOLAR FARM</v>
      </c>
      <c r="E67" s="166">
        <f>IFERROR(IF(VLOOKUP($A67,'Annex 2 EHV charges'!$A:$O,8,FALSE)=0,"",VLOOKUP($A67,'Annex 2 EHV charges'!$A:$O,8,FALSE)),"")</f>
        <v>1.345</v>
      </c>
      <c r="F67" s="167">
        <f>IFERROR(IF(VLOOKUP($A67,'Annex 2 EHV charges'!$A:$O,9,FALSE)=0,"",VLOOKUP($A67,'Annex 2 EHV charges'!$A:$O,9,FALSE)),"")</f>
        <v>34.51</v>
      </c>
      <c r="G67" s="166">
        <f>IFERROR(IF(VLOOKUP($A67,'Annex 2 EHV charges'!$A:$O,10,FALSE)=0,"",VLOOKUP($A67,'Annex 2 EHV charges'!$A:$O,10,FALSE)),"")</f>
        <v>1.44</v>
      </c>
      <c r="H67" s="166">
        <f>IFERROR(IF(VLOOKUP($A67,'Annex 2 EHV charges'!$A:$O,11,FALSE)=0,"",VLOOKUP($A67,'Annex 2 EHV charges'!$A:$O,11,FALSE)),"")</f>
        <v>1.44</v>
      </c>
    </row>
    <row r="68" spans="1:8" ht="30.75" customHeight="1" x14ac:dyDescent="0.35">
      <c r="A68" s="168" t="str">
        <f t="array" ref="A68">IFERROR(INDEX('Annex 2 EHV charges'!$A$11:$A$218, MATCH(0, IF(ISBLANK('Annex 2 EHV charges'!$A$11:$A$218),1, COUNTIF(A$4:$A67, 'Annex 2 EHV charges'!$A$11:$A$218)), 0)),"")</f>
        <v>FIBEYE</v>
      </c>
      <c r="B68" s="170">
        <f>IF($A68="","",VLOOKUP($A68,'Annex 2 EHV charges'!$A:$O,2,0))</f>
        <v>816</v>
      </c>
      <c r="C68" s="171">
        <f>IF($A68="","",VLOOKUP($A68,'Annex 2 EHV charges'!$A:$O,3,0))</f>
        <v>1023479132092</v>
      </c>
      <c r="D68" s="168" t="str">
        <f>IF($A68="","",VLOOKUP($A68,'Annex 2 EHV charges'!$A:$O,7,0))</f>
        <v>EPR EYE POWER STATION</v>
      </c>
      <c r="E68" s="166">
        <f>IFERROR(IF(VLOOKUP($A68,'Annex 2 EHV charges'!$A:$O,8,FALSE)=0,"",VLOOKUP($A68,'Annex 2 EHV charges'!$A:$O,8,FALSE)),"")</f>
        <v>2.2280000000000002</v>
      </c>
      <c r="F68" s="167">
        <f>IFERROR(IF(VLOOKUP($A68,'Annex 2 EHV charges'!$A:$O,9,FALSE)=0,"",VLOOKUP($A68,'Annex 2 EHV charges'!$A:$O,9,FALSE)),"")</f>
        <v>17.670000000000002</v>
      </c>
      <c r="G68" s="166">
        <f>IFERROR(IF(VLOOKUP($A68,'Annex 2 EHV charges'!$A:$O,10,FALSE)=0,"",VLOOKUP($A68,'Annex 2 EHV charges'!$A:$O,10,FALSE)),"")</f>
        <v>1.92</v>
      </c>
      <c r="H68" s="166">
        <f>IFERROR(IF(VLOOKUP($A68,'Annex 2 EHV charges'!$A:$O,11,FALSE)=0,"",VLOOKUP($A68,'Annex 2 EHV charges'!$A:$O,11,FALSE)),"")</f>
        <v>1.92</v>
      </c>
    </row>
    <row r="69" spans="1:8" ht="30.75" customHeight="1" x14ac:dyDescent="0.35">
      <c r="A69" s="168" t="str">
        <f t="array" ref="A69">IFERROR(INDEX('Annex 2 EHV charges'!$A$11:$A$218, MATCH(0, IF(ISBLANK('Annex 2 EHV charges'!$A$11:$A$218),1, COUNTIF(A$4:$A68, 'Annex 2 EHV charges'!$A$11:$A$218)), 0)),"")</f>
        <v>FLYFRM</v>
      </c>
      <c r="B69" s="170">
        <f>IF($A69="","",VLOOKUP($A69,'Annex 2 EHV charges'!$A:$O,2,0))</f>
        <v>512</v>
      </c>
      <c r="C69" s="171">
        <f>IF($A69="","",VLOOKUP($A69,'Annex 2 EHV charges'!$A:$O,3,0))</f>
        <v>1050000822463</v>
      </c>
      <c r="D69" s="168" t="str">
        <f>IF($A69="","",VLOOKUP($A69,'Annex 2 EHV charges'!$A:$O,7,0))</f>
        <v>FOLLY FARM SOLAR PARK LTD</v>
      </c>
      <c r="E69" s="166">
        <f>IFERROR(IF(VLOOKUP($A69,'Annex 2 EHV charges'!$A:$O,8,FALSE)=0,"",VLOOKUP($A69,'Annex 2 EHV charges'!$A:$O,8,FALSE)),"")</f>
        <v>6.0330000000000004</v>
      </c>
      <c r="F69" s="167">
        <f>IFERROR(IF(VLOOKUP($A69,'Annex 2 EHV charges'!$A:$O,9,FALSE)=0,"",VLOOKUP($A69,'Annex 2 EHV charges'!$A:$O,9,FALSE)),"")</f>
        <v>7.5</v>
      </c>
      <c r="G69" s="166">
        <f>IFERROR(IF(VLOOKUP($A69,'Annex 2 EHV charges'!$A:$O,10,FALSE)=0,"",VLOOKUP($A69,'Annex 2 EHV charges'!$A:$O,10,FALSE)),"")</f>
        <v>3.58</v>
      </c>
      <c r="H69" s="166">
        <f>IFERROR(IF(VLOOKUP($A69,'Annex 2 EHV charges'!$A:$O,11,FALSE)=0,"",VLOOKUP($A69,'Annex 2 EHV charges'!$A:$O,11,FALSE)),"")</f>
        <v>3.58</v>
      </c>
    </row>
    <row r="70" spans="1:8" ht="30.75" customHeight="1" x14ac:dyDescent="0.35">
      <c r="A70" s="168" t="str">
        <f t="array" ref="A70">IFERROR(INDEX('Annex 2 EHV charges'!$A$11:$A$218, MATCH(0, IF(ISBLANK('Annex 2 EHV charges'!$A$11:$A$218),1, COUNTIF(A$4:$A69, 'Annex 2 EHV charges'!$A$11:$A$218)), 0)),"")</f>
        <v>FORD_D</v>
      </c>
      <c r="B70" s="170">
        <f>IF($A70="","",VLOOKUP($A70,'Annex 2 EHV charges'!$A:$O,2,0))</f>
        <v>818</v>
      </c>
      <c r="C70" s="171">
        <f>IF($A70="","",VLOOKUP($A70,'Annex 2 EHV charges'!$A:$O,3,0))</f>
        <v>1015684515819</v>
      </c>
      <c r="D70" s="168" t="str">
        <f>IF($A70="","",VLOOKUP($A70,'Annex 2 EHV charges'!$A:$O,7,0))</f>
        <v>FORD MOTOR COMPANY LTD</v>
      </c>
      <c r="E70" s="166" t="str">
        <f>IFERROR(IF(VLOOKUP($A70,'Annex 2 EHV charges'!$A:$O,8,FALSE)=0,"",VLOOKUP($A70,'Annex 2 EHV charges'!$A:$O,8,FALSE)),"")</f>
        <v/>
      </c>
      <c r="F70" s="167">
        <f>IFERROR(IF(VLOOKUP($A70,'Annex 2 EHV charges'!$A:$O,9,FALSE)=0,"",VLOOKUP($A70,'Annex 2 EHV charges'!$A:$O,9,FALSE)),"")</f>
        <v>23686.5</v>
      </c>
      <c r="G70" s="166">
        <f>IFERROR(IF(VLOOKUP($A70,'Annex 2 EHV charges'!$A:$O,10,FALSE)=0,"",VLOOKUP($A70,'Annex 2 EHV charges'!$A:$O,10,FALSE)),"")</f>
        <v>2.08</v>
      </c>
      <c r="H70" s="166">
        <f>IFERROR(IF(VLOOKUP($A70,'Annex 2 EHV charges'!$A:$O,11,FALSE)=0,"",VLOOKUP($A70,'Annex 2 EHV charges'!$A:$O,11,FALSE)),"")</f>
        <v>2.08</v>
      </c>
    </row>
    <row r="71" spans="1:8" ht="30.75" customHeight="1" x14ac:dyDescent="0.35">
      <c r="A71" s="168" t="str">
        <f t="array" ref="A71">IFERROR(INDEX('Annex 2 EHV charges'!$A$11:$A$218, MATCH(0, IF(ISBLANK('Annex 2 EHV charges'!$A$11:$A$218),1, COUNTIF(A$4:$A70, 'Annex 2 EHV charges'!$A$11:$A$218)), 0)),"")</f>
        <v>FRDHVS</v>
      </c>
      <c r="B71" s="170">
        <f>IF($A71="","",VLOOKUP($A71,'Annex 2 EHV charges'!$A:$O,2,0))</f>
        <v>771</v>
      </c>
      <c r="C71" s="171">
        <f>IF($A71="","",VLOOKUP($A71,'Annex 2 EHV charges'!$A:$O,3,0))</f>
        <v>1014572810813</v>
      </c>
      <c r="D71" s="168" t="str">
        <f>IF($A71="","",VLOOKUP($A71,'Annex 2 EHV charges'!$A:$O,7,0))</f>
        <v>FORD MOTOR COMPANY LTD</v>
      </c>
      <c r="E71" s="166">
        <f>IFERROR(IF(VLOOKUP($A71,'Annex 2 EHV charges'!$A:$O,8,FALSE)=0,"",VLOOKUP($A71,'Annex 2 EHV charges'!$A:$O,8,FALSE)),"")</f>
        <v>0.215</v>
      </c>
      <c r="F71" s="167">
        <f>IFERROR(IF(VLOOKUP($A71,'Annex 2 EHV charges'!$A:$O,9,FALSE)=0,"",VLOOKUP($A71,'Annex 2 EHV charges'!$A:$O,9,FALSE)),"")</f>
        <v>178.32</v>
      </c>
      <c r="G71" s="166">
        <f>IFERROR(IF(VLOOKUP($A71,'Annex 2 EHV charges'!$A:$O,10,FALSE)=0,"",VLOOKUP($A71,'Annex 2 EHV charges'!$A:$O,10,FALSE)),"")</f>
        <v>3.72</v>
      </c>
      <c r="H71" s="166">
        <f>IFERROR(IF(VLOOKUP($A71,'Annex 2 EHV charges'!$A:$O,11,FALSE)=0,"",VLOOKUP($A71,'Annex 2 EHV charges'!$A:$O,11,FALSE)),"")</f>
        <v>3.72</v>
      </c>
    </row>
    <row r="72" spans="1:8" ht="38.25" x14ac:dyDescent="0.35">
      <c r="A72" s="168" t="str">
        <f t="array" ref="A72">IFERROR(INDEX('Annex 2 EHV charges'!$A$11:$A$218, MATCH(0, IF(ISBLANK('Annex 2 EHV charges'!$A$11:$A$218),1, COUNTIF(A$4:$A71, 'Annex 2 EHV charges'!$A$11:$A$218)), 0)),"")</f>
        <v>FUJISL</v>
      </c>
      <c r="B72" s="170">
        <f>IF($A72="","",VLOOKUP($A72,'Annex 2 EHV charges'!$A:$O,2,0))</f>
        <v>771</v>
      </c>
      <c r="C72" s="171" t="str">
        <f>IF($A72="","",VLOOKUP($A72,'Annex 2 EHV charges'!$A:$O,3,0))</f>
        <v>1023526590750
1023526590982
1023526591211</v>
      </c>
      <c r="D72" s="168" t="str">
        <f>IF($A72="","",VLOOKUP($A72,'Annex 2 EHV charges'!$A:$O,7,0))</f>
        <v>FUJITSU SERVICES LIMITED</v>
      </c>
      <c r="E72" s="166">
        <f>IFERROR(IF(VLOOKUP($A72,'Annex 2 EHV charges'!$A:$O,8,FALSE)=0,"",VLOOKUP($A72,'Annex 2 EHV charges'!$A:$O,8,FALSE)),"")</f>
        <v>2.6339999999999999</v>
      </c>
      <c r="F72" s="167">
        <f>IFERROR(IF(VLOOKUP($A72,'Annex 2 EHV charges'!$A:$O,9,FALSE)=0,"",VLOOKUP($A72,'Annex 2 EHV charges'!$A:$O,9,FALSE)),"")</f>
        <v>267.48</v>
      </c>
      <c r="G72" s="166">
        <f>IFERROR(IF(VLOOKUP($A72,'Annex 2 EHV charges'!$A:$O,10,FALSE)=0,"",VLOOKUP($A72,'Annex 2 EHV charges'!$A:$O,10,FALSE)),"")</f>
        <v>3.37</v>
      </c>
      <c r="H72" s="166">
        <f>IFERROR(IF(VLOOKUP($A72,'Annex 2 EHV charges'!$A:$O,11,FALSE)=0,"",VLOOKUP($A72,'Annex 2 EHV charges'!$A:$O,11,FALSE)),"")</f>
        <v>3.37</v>
      </c>
    </row>
    <row r="73" spans="1:8" ht="30.75" customHeight="1" x14ac:dyDescent="0.35">
      <c r="A73" s="168" t="str">
        <f t="array" ref="A73">IFERROR(INDEX('Annex 2 EHV charges'!$A$11:$A$218, MATCH(0, IF(ISBLANK('Annex 2 EHV charges'!$A$11:$A$218),1, COUNTIF(A$4:$A72, 'Annex 2 EHV charges'!$A$11:$A$218)), 0)),"")</f>
        <v>FWINDS</v>
      </c>
      <c r="B73" s="170">
        <f>IF($A73="","",VLOOKUP($A73,'Annex 2 EHV charges'!$A:$O,2,0))</f>
        <v>513</v>
      </c>
      <c r="C73" s="171">
        <f>IF($A73="","",VLOOKUP($A73,'Annex 2 EHV charges'!$A:$O,3,0))</f>
        <v>1050000709721</v>
      </c>
      <c r="D73" s="168" t="str">
        <f>IF($A73="","",VLOOKUP($A73,'Annex 2 EHV charges'!$A:$O,7,0))</f>
        <v>MSP FAIRWIND LIMITED</v>
      </c>
      <c r="E73" s="166">
        <f>IFERROR(IF(VLOOKUP($A73,'Annex 2 EHV charges'!$A:$O,8,FALSE)=0,"",VLOOKUP($A73,'Annex 2 EHV charges'!$A:$O,8,FALSE)),"")</f>
        <v>0.107</v>
      </c>
      <c r="F73" s="167">
        <f>IFERROR(IF(VLOOKUP($A73,'Annex 2 EHV charges'!$A:$O,9,FALSE)=0,"",VLOOKUP($A73,'Annex 2 EHV charges'!$A:$O,9,FALSE)),"")</f>
        <v>3.04</v>
      </c>
      <c r="G73" s="166">
        <f>IFERROR(IF(VLOOKUP($A73,'Annex 2 EHV charges'!$A:$O,10,FALSE)=0,"",VLOOKUP($A73,'Annex 2 EHV charges'!$A:$O,10,FALSE)),"")</f>
        <v>2.0099999999999998</v>
      </c>
      <c r="H73" s="166">
        <f>IFERROR(IF(VLOOKUP($A73,'Annex 2 EHV charges'!$A:$O,11,FALSE)=0,"",VLOOKUP($A73,'Annex 2 EHV charges'!$A:$O,11,FALSE)),"")</f>
        <v>2.0099999999999998</v>
      </c>
    </row>
    <row r="74" spans="1:8" ht="30.75" customHeight="1" x14ac:dyDescent="0.35">
      <c r="A74" s="168" t="str">
        <f t="array" ref="A74">IFERROR(INDEX('Annex 2 EHV charges'!$A$11:$A$218, MATCH(0, IF(ISBLANK('Annex 2 EHV charges'!$A$11:$A$218),1, COUNTIF(A$4:$A73, 'Annex 2 EHV charges'!$A$11:$A$218)), 0)),"")</f>
        <v>FXDFAG</v>
      </c>
      <c r="B74" s="170">
        <f>IF($A74="","",VLOOKUP($A74,'Annex 2 EHV charges'!$A:$O,2,0))</f>
        <v>771</v>
      </c>
      <c r="C74" s="171" t="str">
        <f>IF($A74="","",VLOOKUP($A74,'Annex 2 EHV charges'!$A:$O,3,0))</f>
        <v xml:space="preserve">1014572633250
1023479907422 </v>
      </c>
      <c r="D74" s="168" t="str">
        <f>IF($A74="","",VLOOKUP($A74,'Annex 2 EHV charges'!$A:$O,7,0))</f>
        <v>HUTCHISON PORTS (UK) LTD</v>
      </c>
      <c r="E74" s="166">
        <f>IFERROR(IF(VLOOKUP($A74,'Annex 2 EHV charges'!$A:$O,8,FALSE)=0,"",VLOOKUP($A74,'Annex 2 EHV charges'!$A:$O,8,FALSE)),"")</f>
        <v>0.54500000000000004</v>
      </c>
      <c r="F74" s="167">
        <f>IFERROR(IF(VLOOKUP($A74,'Annex 2 EHV charges'!$A:$O,9,FALSE)=0,"",VLOOKUP($A74,'Annex 2 EHV charges'!$A:$O,9,FALSE)),"")</f>
        <v>178.32</v>
      </c>
      <c r="G74" s="166">
        <f>IFERROR(IF(VLOOKUP($A74,'Annex 2 EHV charges'!$A:$O,10,FALSE)=0,"",VLOOKUP($A74,'Annex 2 EHV charges'!$A:$O,10,FALSE)),"")</f>
        <v>4.33</v>
      </c>
      <c r="H74" s="166">
        <f>IFERROR(IF(VLOOKUP($A74,'Annex 2 EHV charges'!$A:$O,11,FALSE)=0,"",VLOOKUP($A74,'Annex 2 EHV charges'!$A:$O,11,FALSE)),"")</f>
        <v>4.33</v>
      </c>
    </row>
    <row r="75" spans="1:8" ht="30.75" customHeight="1" x14ac:dyDescent="0.35">
      <c r="A75" s="168" t="str">
        <f t="array" ref="A75">IFERROR(INDEX('Annex 2 EHV charges'!$A$11:$A$218, MATCH(0, IF(ISBLANK('Annex 2 EHV charges'!$A$11:$A$218),1, COUNTIF(A$4:$A74, 'Annex 2 EHV charges'!$A$11:$A$218)), 0)),"")</f>
        <v>FXDOYS</v>
      </c>
      <c r="B75" s="170">
        <f>IF($A75="","",VLOOKUP($A75,'Annex 2 EHV charges'!$A:$O,2,0))</f>
        <v>771</v>
      </c>
      <c r="C75" s="171" t="str">
        <f>IF($A75="","",VLOOKUP($A75,'Annex 2 EHV charges'!$A:$O,3,0))</f>
        <v>1023482441566
1023492579962</v>
      </c>
      <c r="D75" s="168" t="str">
        <f>IF($A75="","",VLOOKUP($A75,'Annex 2 EHV charges'!$A:$O,7,0))</f>
        <v>HUTCHISON PORTS (UK) LTD</v>
      </c>
      <c r="E75" s="166">
        <f>IFERROR(IF(VLOOKUP($A75,'Annex 2 EHV charges'!$A:$O,8,FALSE)=0,"",VLOOKUP($A75,'Annex 2 EHV charges'!$A:$O,8,FALSE)),"")</f>
        <v>0.54500000000000004</v>
      </c>
      <c r="F75" s="167">
        <f>IFERROR(IF(VLOOKUP($A75,'Annex 2 EHV charges'!$A:$O,9,FALSE)=0,"",VLOOKUP($A75,'Annex 2 EHV charges'!$A:$O,9,FALSE)),"")</f>
        <v>178.32</v>
      </c>
      <c r="G75" s="166">
        <f>IFERROR(IF(VLOOKUP($A75,'Annex 2 EHV charges'!$A:$O,10,FALSE)=0,"",VLOOKUP($A75,'Annex 2 EHV charges'!$A:$O,10,FALSE)),"")</f>
        <v>4.24</v>
      </c>
      <c r="H75" s="166">
        <f>IFERROR(IF(VLOOKUP($A75,'Annex 2 EHV charges'!$A:$O,11,FALSE)=0,"",VLOOKUP($A75,'Annex 2 EHV charges'!$A:$O,11,FALSE)),"")</f>
        <v>4.24</v>
      </c>
    </row>
    <row r="76" spans="1:8" ht="30.75" customHeight="1" x14ac:dyDescent="0.35">
      <c r="A76" s="168" t="str">
        <f t="array" ref="A76">IFERROR(INDEX('Annex 2 EHV charges'!$A$11:$A$218, MATCH(0, IF(ISBLANK('Annex 2 EHV charges'!$A$11:$A$218),1, COUNTIF(A$4:$A75, 'Annex 2 EHV charges'!$A$11:$A$218)), 0)),"")</f>
        <v>GDE132</v>
      </c>
      <c r="B76" s="170">
        <f>IF($A76="","",VLOOKUP($A76,'Annex 2 EHV charges'!$A:$O,2,0))</f>
        <v>514</v>
      </c>
      <c r="C76" s="171">
        <f>IF($A76="","",VLOOKUP($A76,'Annex 2 EHV charges'!$A:$O,3,0))</f>
        <v>1050000738305</v>
      </c>
      <c r="D76" s="168" t="str">
        <f>IF($A76="","",VLOOKUP($A76,'Annex 2 EHV charges'!$A:$O,7,0))</f>
        <v>GOOD ENERGY WEST RAYNHAM SOLAR PARK (030) LTD</v>
      </c>
      <c r="E76" s="166">
        <f>IFERROR(IF(VLOOKUP($A76,'Annex 2 EHV charges'!$A:$O,8,FALSE)=0,"",VLOOKUP($A76,'Annex 2 EHV charges'!$A:$O,8,FALSE)),"")</f>
        <v>0.14299999999999999</v>
      </c>
      <c r="F76" s="167">
        <f>IFERROR(IF(VLOOKUP($A76,'Annex 2 EHV charges'!$A:$O,9,FALSE)=0,"",VLOOKUP($A76,'Annex 2 EHV charges'!$A:$O,9,FALSE)),"")</f>
        <v>20.420000000000002</v>
      </c>
      <c r="G76" s="166">
        <f>IFERROR(IF(VLOOKUP($A76,'Annex 2 EHV charges'!$A:$O,10,FALSE)=0,"",VLOOKUP($A76,'Annex 2 EHV charges'!$A:$O,10,FALSE)),"")</f>
        <v>2.41</v>
      </c>
      <c r="H76" s="166">
        <f>IFERROR(IF(VLOOKUP($A76,'Annex 2 EHV charges'!$A:$O,11,FALSE)=0,"",VLOOKUP($A76,'Annex 2 EHV charges'!$A:$O,11,FALSE)),"")</f>
        <v>2.41</v>
      </c>
    </row>
    <row r="77" spans="1:8" ht="30.75" customHeight="1" x14ac:dyDescent="0.35">
      <c r="A77" s="168" t="str">
        <f t="array" ref="A77">IFERROR(INDEX('Annex 2 EHV charges'!$A$11:$A$218, MATCH(0, IF(ISBLANK('Annex 2 EHV charges'!$A$11:$A$218),1, COUNTIF(A$4:$A76, 'Annex 2 EHV charges'!$A$11:$A$218)), 0)),"")</f>
        <v>GFTHRN</v>
      </c>
      <c r="B77" s="170">
        <f>IF($A77="","",VLOOKUP($A77,'Annex 2 EHV charges'!$A:$O,2,0))</f>
        <v>796</v>
      </c>
      <c r="C77" s="171">
        <f>IF($A77="","",VLOOKUP($A77,'Annex 2 EHV charges'!$A:$O,3,0))</f>
        <v>1050000903244</v>
      </c>
      <c r="D77" s="168" t="str">
        <f>IF($A77="","",VLOOKUP($A77,'Annex 2 EHV charges'!$A:$O,7,0))</f>
        <v>REDSTOW RENEWABLES LIMITED</v>
      </c>
      <c r="E77" s="166">
        <f>IFERROR(IF(VLOOKUP($A77,'Annex 2 EHV charges'!$A:$O,8,FALSE)=0,"",VLOOKUP($A77,'Annex 2 EHV charges'!$A:$O,8,FALSE)),"")</f>
        <v>1.5649999999999999</v>
      </c>
      <c r="F77" s="167">
        <f>IFERROR(IF(VLOOKUP($A77,'Annex 2 EHV charges'!$A:$O,9,FALSE)=0,"",VLOOKUP($A77,'Annex 2 EHV charges'!$A:$O,9,FALSE)),"")</f>
        <v>51.68</v>
      </c>
      <c r="G77" s="166">
        <f>IFERROR(IF(VLOOKUP($A77,'Annex 2 EHV charges'!$A:$O,10,FALSE)=0,"",VLOOKUP($A77,'Annex 2 EHV charges'!$A:$O,10,FALSE)),"")</f>
        <v>3.84</v>
      </c>
      <c r="H77" s="166">
        <f>IFERROR(IF(VLOOKUP($A77,'Annex 2 EHV charges'!$A:$O,11,FALSE)=0,"",VLOOKUP($A77,'Annex 2 EHV charges'!$A:$O,11,FALSE)),"")</f>
        <v>3.84</v>
      </c>
    </row>
    <row r="78" spans="1:8" ht="30.75" customHeight="1" x14ac:dyDescent="0.35">
      <c r="A78" s="168" t="str">
        <f t="array" ref="A78">IFERROR(INDEX('Annex 2 EHV charges'!$A$11:$A$218, MATCH(0, IF(ISBLANK('Annex 2 EHV charges'!$A$11:$A$218),1, COUNTIF(A$4:$A77, 'Annex 2 EHV charges'!$A$11:$A$218)), 0)),"")</f>
        <v>GLASM2</v>
      </c>
      <c r="B78" s="170">
        <f>IF($A78="","",VLOOKUP($A78,'Annex 2 EHV charges'!$A:$O,2,0))</f>
        <v>865</v>
      </c>
      <c r="C78" s="171">
        <f>IF($A78="","",VLOOKUP($A78,'Annex 2 EHV charges'!$A:$O,3,0))</f>
        <v>1030083962424</v>
      </c>
      <c r="D78" s="168" t="str">
        <f>IF($A78="","",VLOOKUP($A78,'Annex 2 EHV charges'!$A:$O,7,0))</f>
        <v>GLASS MOOR 2 WIND FARM LTD</v>
      </c>
      <c r="E78" s="166">
        <f>IFERROR(IF(VLOOKUP($A78,'Annex 2 EHV charges'!$A:$O,8,FALSE)=0,"",VLOOKUP($A78,'Annex 2 EHV charges'!$A:$O,8,FALSE)),"")</f>
        <v>0.46500000000000002</v>
      </c>
      <c r="F78" s="167">
        <f>IFERROR(IF(VLOOKUP($A78,'Annex 2 EHV charges'!$A:$O,9,FALSE)=0,"",VLOOKUP($A78,'Annex 2 EHV charges'!$A:$O,9,FALSE)),"")</f>
        <v>44.19</v>
      </c>
      <c r="G78" s="166">
        <f>IFERROR(IF(VLOOKUP($A78,'Annex 2 EHV charges'!$A:$O,10,FALSE)=0,"",VLOOKUP($A78,'Annex 2 EHV charges'!$A:$O,10,FALSE)),"")</f>
        <v>2.15</v>
      </c>
      <c r="H78" s="166">
        <f>IFERROR(IF(VLOOKUP($A78,'Annex 2 EHV charges'!$A:$O,11,FALSE)=0,"",VLOOKUP($A78,'Annex 2 EHV charges'!$A:$O,11,FALSE)),"")</f>
        <v>2.15</v>
      </c>
    </row>
    <row r="79" spans="1:8" ht="30.75" customHeight="1" x14ac:dyDescent="0.35">
      <c r="A79" s="168" t="str">
        <f t="array" ref="A79">IFERROR(INDEX('Annex 2 EHV charges'!$A$11:$A$218, MATCH(0, IF(ISBLANK('Annex 2 EHV charges'!$A$11:$A$218),1, COUNTIF(A$4:$A78, 'Annex 2 EHV charges'!$A$11:$A$218)), 0)),"")</f>
        <v>GLASSM</v>
      </c>
      <c r="B79" s="170">
        <f>IF($A79="","",VLOOKUP($A79,'Annex 2 EHV charges'!$A:$O,2,0))</f>
        <v>814</v>
      </c>
      <c r="C79" s="171">
        <f>IF($A79="","",VLOOKUP($A79,'Annex 2 EHV charges'!$A:$O,3,0))</f>
        <v>1030024800679</v>
      </c>
      <c r="D79" s="168" t="str">
        <f>IF($A79="","",VLOOKUP($A79,'Annex 2 EHV charges'!$A:$O,7,0))</f>
        <v>GLASS MOOR WINDFARM</v>
      </c>
      <c r="E79" s="166">
        <f>IFERROR(IF(VLOOKUP($A79,'Annex 2 EHV charges'!$A:$O,8,FALSE)=0,"",VLOOKUP($A79,'Annex 2 EHV charges'!$A:$O,8,FALSE)),"")</f>
        <v>0.46300000000000002</v>
      </c>
      <c r="F79" s="167">
        <f>IFERROR(IF(VLOOKUP($A79,'Annex 2 EHV charges'!$A:$O,9,FALSE)=0,"",VLOOKUP($A79,'Annex 2 EHV charges'!$A:$O,9,FALSE)),"")</f>
        <v>11.39</v>
      </c>
      <c r="G79" s="166">
        <f>IFERROR(IF(VLOOKUP($A79,'Annex 2 EHV charges'!$A:$O,10,FALSE)=0,"",VLOOKUP($A79,'Annex 2 EHV charges'!$A:$O,10,FALSE)),"")</f>
        <v>2.17</v>
      </c>
      <c r="H79" s="166">
        <f>IFERROR(IF(VLOOKUP($A79,'Annex 2 EHV charges'!$A:$O,11,FALSE)=0,"",VLOOKUP($A79,'Annex 2 EHV charges'!$A:$O,11,FALSE)),"")</f>
        <v>2.17</v>
      </c>
    </row>
    <row r="80" spans="1:8" ht="30.75" customHeight="1" x14ac:dyDescent="0.35">
      <c r="A80" s="168" t="str">
        <f t="array" ref="A80">IFERROR(INDEX('Annex 2 EHV charges'!$A$11:$A$218, MATCH(0, IF(ISBLANK('Annex 2 EHV charges'!$A$11:$A$218),1, COUNTIF(A$4:$A79, 'Annex 2 EHV charges'!$A$11:$A$218)), 0)),"")</f>
        <v>GLXOST</v>
      </c>
      <c r="B80" s="170">
        <f>IF($A80="","",VLOOKUP($A80,'Annex 2 EHV charges'!$A:$O,2,0))</f>
        <v>771</v>
      </c>
      <c r="C80" s="171" t="str">
        <f>IF($A80="","",VLOOKUP($A80,'Annex 2 EHV charges'!$A:$O,3,0))</f>
        <v>1014569657748
1014569657970</v>
      </c>
      <c r="D80" s="168" t="str">
        <f>IF($A80="","",VLOOKUP($A80,'Annex 2 EHV charges'!$A:$O,7,0))</f>
        <v>GLAXOSMITHKLINE SERVICES UNLIMITED</v>
      </c>
      <c r="E80" s="166">
        <f>IFERROR(IF(VLOOKUP($A80,'Annex 2 EHV charges'!$A:$O,8,FALSE)=0,"",VLOOKUP($A80,'Annex 2 EHV charges'!$A:$O,8,FALSE)),"")</f>
        <v>1.7170000000000001</v>
      </c>
      <c r="F80" s="167">
        <f>IFERROR(IF(VLOOKUP($A80,'Annex 2 EHV charges'!$A:$O,9,FALSE)=0,"",VLOOKUP($A80,'Annex 2 EHV charges'!$A:$O,9,FALSE)),"")</f>
        <v>178.32</v>
      </c>
      <c r="G80" s="166">
        <f>IFERROR(IF(VLOOKUP($A80,'Annex 2 EHV charges'!$A:$O,10,FALSE)=0,"",VLOOKUP($A80,'Annex 2 EHV charges'!$A:$O,10,FALSE)),"")</f>
        <v>4.76</v>
      </c>
      <c r="H80" s="166">
        <f>IFERROR(IF(VLOOKUP($A80,'Annex 2 EHV charges'!$A:$O,11,FALSE)=0,"",VLOOKUP($A80,'Annex 2 EHV charges'!$A:$O,11,FALSE)),"")</f>
        <v>4.76</v>
      </c>
    </row>
    <row r="81" spans="1:8" ht="51" x14ac:dyDescent="0.35">
      <c r="A81" s="168" t="str">
        <f t="array" ref="A81">IFERROR(INDEX('Annex 2 EHV charges'!$A$11:$A$218, MATCH(0, IF(ISBLANK('Annex 2 EHV charges'!$A$11:$A$218),1, COUNTIF(A$4:$A80, 'Annex 2 EHV charges'!$A$11:$A$218)), 0)),"")</f>
        <v>GLXOWR</v>
      </c>
      <c r="B81" s="170">
        <f>IF($A81="","",VLOOKUP($A81,'Annex 2 EHV charges'!$A:$O,2,0))</f>
        <v>771</v>
      </c>
      <c r="C81" s="171" t="str">
        <f>IF($A81="","",VLOOKUP($A81,'Annex 2 EHV charges'!$A:$O,3,0))</f>
        <v>1023475635409
1023475634488
1023484819994
1023475633563</v>
      </c>
      <c r="D81" s="168" t="str">
        <f>IF($A81="","",VLOOKUP($A81,'Annex 2 EHV charges'!$A:$O,7,0))</f>
        <v>GLAXOSMITHKLINE SERVICES UNLIMITED</v>
      </c>
      <c r="E81" s="166">
        <f>IFERROR(IF(VLOOKUP($A81,'Annex 2 EHV charges'!$A:$O,8,FALSE)=0,"",VLOOKUP($A81,'Annex 2 EHV charges'!$A:$O,8,FALSE)),"")</f>
        <v>2.6030000000000002</v>
      </c>
      <c r="F81" s="167">
        <f>IFERROR(IF(VLOOKUP($A81,'Annex 2 EHV charges'!$A:$O,9,FALSE)=0,"",VLOOKUP($A81,'Annex 2 EHV charges'!$A:$O,9,FALSE)),"")</f>
        <v>624.13</v>
      </c>
      <c r="G81" s="166">
        <f>IFERROR(IF(VLOOKUP($A81,'Annex 2 EHV charges'!$A:$O,10,FALSE)=0,"",VLOOKUP($A81,'Annex 2 EHV charges'!$A:$O,10,FALSE)),"")</f>
        <v>1.73</v>
      </c>
      <c r="H81" s="166">
        <f>IFERROR(IF(VLOOKUP($A81,'Annex 2 EHV charges'!$A:$O,11,FALSE)=0,"",VLOOKUP($A81,'Annex 2 EHV charges'!$A:$O,11,FALSE)),"")</f>
        <v>1.73</v>
      </c>
    </row>
    <row r="82" spans="1:8" ht="30.75" customHeight="1" x14ac:dyDescent="0.35">
      <c r="A82" s="168" t="str">
        <f t="array" ref="A82">IFERROR(INDEX('Annex 2 EHV charges'!$A$11:$A$218, MATCH(0, IF(ISBLANK('Annex 2 EHV charges'!$A$11:$A$218),1, COUNTIF(A$4:$A81, 'Annex 2 EHV charges'!$A$11:$A$218)), 0)),"")</f>
        <v>GOSFLD</v>
      </c>
      <c r="B82" s="170">
        <f>IF($A82="","",VLOOKUP($A82,'Annex 2 EHV charges'!$A:$O,2,0))</f>
        <v>515</v>
      </c>
      <c r="C82" s="171">
        <f>IF($A82="","",VLOOKUP($A82,'Annex 2 EHV charges'!$A:$O,3,0))</f>
        <v>1050000714216</v>
      </c>
      <c r="D82" s="168" t="str">
        <f>IF($A82="","",VLOOKUP($A82,'Annex 2 EHV charges'!$A:$O,7,0))</f>
        <v>PUSH ENERGY (GOSFIELD AIRFIELD) LIMITED</v>
      </c>
      <c r="E82" s="166">
        <f>IFERROR(IF(VLOOKUP($A82,'Annex 2 EHV charges'!$A:$O,8,FALSE)=0,"",VLOOKUP($A82,'Annex 2 EHV charges'!$A:$O,8,FALSE)),"")</f>
        <v>1.3240000000000001</v>
      </c>
      <c r="F82" s="167">
        <f>IFERROR(IF(VLOOKUP($A82,'Annex 2 EHV charges'!$A:$O,9,FALSE)=0,"",VLOOKUP($A82,'Annex 2 EHV charges'!$A:$O,9,FALSE)),"")</f>
        <v>190.17</v>
      </c>
      <c r="G82" s="166">
        <f>IFERROR(IF(VLOOKUP($A82,'Annex 2 EHV charges'!$A:$O,10,FALSE)=0,"",VLOOKUP($A82,'Annex 2 EHV charges'!$A:$O,10,FALSE)),"")</f>
        <v>5.49</v>
      </c>
      <c r="H82" s="166">
        <f>IFERROR(IF(VLOOKUP($A82,'Annex 2 EHV charges'!$A:$O,11,FALSE)=0,"",VLOOKUP($A82,'Annex 2 EHV charges'!$A:$O,11,FALSE)),"")</f>
        <v>5.49</v>
      </c>
    </row>
    <row r="83" spans="1:8" ht="30.75" customHeight="1" x14ac:dyDescent="0.35">
      <c r="A83" s="168" t="str">
        <f t="array" ref="A83">IFERROR(INDEX('Annex 2 EHV charges'!$A$11:$A$218, MATCH(0, IF(ISBLANK('Annex 2 EHV charges'!$A$11:$A$218),1, COUNTIF(A$4:$A82, 'Annex 2 EHV charges'!$A$11:$A$218)), 0)),"")</f>
        <v>GRNEND</v>
      </c>
      <c r="B83" s="170">
        <f>IF($A83="","",VLOOKUP($A83,'Annex 2 EHV charges'!$A:$O,2,0))</f>
        <v>516</v>
      </c>
      <c r="C83" s="171">
        <f>IF($A83="","",VLOOKUP($A83,'Annex 2 EHV charges'!$A:$O,3,0))</f>
        <v>1050000774215</v>
      </c>
      <c r="D83" s="168" t="str">
        <f>IF($A83="","",VLOOKUP($A83,'Annex 2 EHV charges'!$A:$O,7,0))</f>
        <v>GREEN END SOLAR FARM</v>
      </c>
      <c r="E83" s="166">
        <f>IFERROR(IF(VLOOKUP($A83,'Annex 2 EHV charges'!$A:$O,8,FALSE)=0,"",VLOOKUP($A83,'Annex 2 EHV charges'!$A:$O,8,FALSE)),"")</f>
        <v>1.345</v>
      </c>
      <c r="F83" s="167">
        <f>IFERROR(IF(VLOOKUP($A83,'Annex 2 EHV charges'!$A:$O,9,FALSE)=0,"",VLOOKUP($A83,'Annex 2 EHV charges'!$A:$O,9,FALSE)),"")</f>
        <v>39.93</v>
      </c>
      <c r="G83" s="166">
        <f>IFERROR(IF(VLOOKUP($A83,'Annex 2 EHV charges'!$A:$O,10,FALSE)=0,"",VLOOKUP($A83,'Annex 2 EHV charges'!$A:$O,10,FALSE)),"")</f>
        <v>1.42</v>
      </c>
      <c r="H83" s="166">
        <f>IFERROR(IF(VLOOKUP($A83,'Annex 2 EHV charges'!$A:$O,11,FALSE)=0,"",VLOOKUP($A83,'Annex 2 EHV charges'!$A:$O,11,FALSE)),"")</f>
        <v>1.42</v>
      </c>
    </row>
    <row r="84" spans="1:8" x14ac:dyDescent="0.35">
      <c r="A84" s="168" t="str">
        <f t="array" ref="A84">IFERROR(INDEX('Annex 2 EHV charges'!$A$11:$A$218, MATCH(0, IF(ISBLANK('Annex 2 EHV charges'!$A$11:$A$218),1, COUNTIF(A$4:$A83, 'Annex 2 EHV charges'!$A$11:$A$218)), 0)),"")</f>
        <v>GRNFRM</v>
      </c>
      <c r="B84" s="170">
        <f>IF($A84="","",VLOOKUP($A84,'Annex 2 EHV charges'!$A:$O,2,0))</f>
        <v>796</v>
      </c>
      <c r="C84" s="171">
        <f>IF($A84="","",VLOOKUP($A84,'Annex 2 EHV charges'!$A:$O,3,0))</f>
        <v>1050001003248</v>
      </c>
      <c r="D84" s="168" t="str">
        <f>IF($A84="","",VLOOKUP($A84,'Annex 2 EHV charges'!$A:$O,7,0))</f>
        <v>GREEN FARM SOLAR</v>
      </c>
      <c r="E84" s="166">
        <f>IFERROR(IF(VLOOKUP($A84,'Annex 2 EHV charges'!$A:$O,8,FALSE)=0,"",VLOOKUP($A84,'Annex 2 EHV charges'!$A:$O,8,FALSE)),"")</f>
        <v>4.0010000000000003</v>
      </c>
      <c r="F84" s="167">
        <f>IFERROR(IF(VLOOKUP($A84,'Annex 2 EHV charges'!$A:$O,9,FALSE)=0,"",VLOOKUP($A84,'Annex 2 EHV charges'!$A:$O,9,FALSE)),"")</f>
        <v>7.05</v>
      </c>
      <c r="G84" s="166">
        <f>IFERROR(IF(VLOOKUP($A84,'Annex 2 EHV charges'!$A:$O,10,FALSE)=0,"",VLOOKUP($A84,'Annex 2 EHV charges'!$A:$O,10,FALSE)),"")</f>
        <v>6.69</v>
      </c>
      <c r="H84" s="166">
        <f>IFERROR(IF(VLOOKUP($A84,'Annex 2 EHV charges'!$A:$O,11,FALSE)=0,"",VLOOKUP($A84,'Annex 2 EHV charges'!$A:$O,11,FALSE)),"")</f>
        <v>6.69</v>
      </c>
    </row>
    <row r="85" spans="1:8" ht="30.75" customHeight="1" x14ac:dyDescent="0.35">
      <c r="A85" s="168" t="str">
        <f t="array" ref="A85">IFERROR(INDEX('Annex 2 EHV charges'!$A$11:$A$218, MATCH(0, IF(ISBLANK('Annex 2 EHV charges'!$A$11:$A$218),1, COUNTIF(A$4:$A84, 'Annex 2 EHV charges'!$A$11:$A$218)), 0)),"")</f>
        <v>GRTYAR</v>
      </c>
      <c r="B85" s="170">
        <f>IF($A85="","",VLOOKUP($A85,'Annex 2 EHV charges'!$A:$O,2,0))</f>
        <v>7111</v>
      </c>
      <c r="C85" s="171" t="str">
        <f>IF($A85="","",VLOOKUP($A85,'Annex 2 EHV charges'!$A:$O,3,0))</f>
        <v xml:space="preserve"> MSID: 7111</v>
      </c>
      <c r="D85" s="168" t="str">
        <f>IF($A85="","",VLOOKUP($A85,'Annex 2 EHV charges'!$A:$O,7,0))</f>
        <v>RWE GENERATION UK PLC</v>
      </c>
      <c r="E85" s="166" t="str">
        <f>IFERROR(IF(VLOOKUP($A85,'Annex 2 EHV charges'!$A:$O,8,FALSE)=0,"",VLOOKUP($A85,'Annex 2 EHV charges'!$A:$O,8,FALSE)),"")</f>
        <v/>
      </c>
      <c r="F85" s="167">
        <f>IFERROR(IF(VLOOKUP($A85,'Annex 2 EHV charges'!$A:$O,9,FALSE)=0,"",VLOOKUP($A85,'Annex 2 EHV charges'!$A:$O,9,FALSE)),"")</f>
        <v>11.27</v>
      </c>
      <c r="G85" s="166">
        <f>IFERROR(IF(VLOOKUP($A85,'Annex 2 EHV charges'!$A:$O,10,FALSE)=0,"",VLOOKUP($A85,'Annex 2 EHV charges'!$A:$O,10,FALSE)),"")</f>
        <v>1.35</v>
      </c>
      <c r="H85" s="166">
        <f>IFERROR(IF(VLOOKUP($A85,'Annex 2 EHV charges'!$A:$O,11,FALSE)=0,"",VLOOKUP($A85,'Annex 2 EHV charges'!$A:$O,11,FALSE)),"")</f>
        <v>1.35</v>
      </c>
    </row>
    <row r="86" spans="1:8" ht="30.75" customHeight="1" x14ac:dyDescent="0.35">
      <c r="A86" s="168" t="str">
        <f t="array" ref="A86">IFERROR(INDEX('Annex 2 EHV charges'!$A$11:$A$218, MATCH(0, IF(ISBLANK('Annex 2 EHV charges'!$A$11:$A$218),1, COUNTIF(A$4:$A85, 'Annex 2 EHV charges'!$A$11:$A$218)), 0)),"")</f>
        <v>GUNFL3</v>
      </c>
      <c r="B86" s="170">
        <f>IF($A86="","",VLOOKUP($A86,'Annex 2 EHV charges'!$A:$O,2,0))</f>
        <v>7277</v>
      </c>
      <c r="C86" s="171" t="str">
        <f>IF($A86="","",VLOOKUP($A86,'Annex 2 EHV charges'!$A:$O,3,0))</f>
        <v xml:space="preserve"> MSID: 7277</v>
      </c>
      <c r="D86" s="168" t="str">
        <f>IF($A86="","",VLOOKUP($A86,'Annex 2 EHV charges'!$A:$O,7,0))</f>
        <v>DONG ENERGY GUNFLEET SANDS DEMO (UK) LTD</v>
      </c>
      <c r="E86" s="166">
        <f>IFERROR(IF(VLOOKUP($A86,'Annex 2 EHV charges'!$A:$O,8,FALSE)=0,"",VLOOKUP($A86,'Annex 2 EHV charges'!$A:$O,8,FALSE)),"")</f>
        <v>4.0430000000000001</v>
      </c>
      <c r="F86" s="167">
        <f>IFERROR(IF(VLOOKUP($A86,'Annex 2 EHV charges'!$A:$O,9,FALSE)=0,"",VLOOKUP($A86,'Annex 2 EHV charges'!$A:$O,9,FALSE)),"")</f>
        <v>305.13</v>
      </c>
      <c r="G86" s="166">
        <f>IFERROR(IF(VLOOKUP($A86,'Annex 2 EHV charges'!$A:$O,10,FALSE)=0,"",VLOOKUP($A86,'Annex 2 EHV charges'!$A:$O,10,FALSE)),"")</f>
        <v>2.79</v>
      </c>
      <c r="H86" s="166">
        <f>IFERROR(IF(VLOOKUP($A86,'Annex 2 EHV charges'!$A:$O,11,FALSE)=0,"",VLOOKUP($A86,'Annex 2 EHV charges'!$A:$O,11,FALSE)),"")</f>
        <v>2.79</v>
      </c>
    </row>
    <row r="87" spans="1:8" ht="30.75" customHeight="1" x14ac:dyDescent="0.35">
      <c r="A87" s="168" t="str">
        <f t="array" ref="A87">IFERROR(INDEX('Annex 2 EHV charges'!$A$11:$A$218, MATCH(0, IF(ISBLANK('Annex 2 EHV charges'!$A$11:$A$218),1, COUNTIF(A$4:$A86, 'Annex 2 EHV charges'!$A$11:$A$218)), 0)),"")</f>
        <v>GUNFLT</v>
      </c>
      <c r="B87" s="170">
        <f>IF($A87="","",VLOOKUP($A87,'Annex 2 EHV charges'!$A:$O,2,0))</f>
        <v>7211</v>
      </c>
      <c r="C87" s="171" t="str">
        <f>IF($A87="","",VLOOKUP($A87,'Annex 2 EHV charges'!$A:$O,3,0))</f>
        <v xml:space="preserve"> MSID: 7211;7213</v>
      </c>
      <c r="D87" s="168" t="str">
        <f>IF($A87="","",VLOOKUP($A87,'Annex 2 EHV charges'!$A:$O,7,0))</f>
        <v>NATIONAL GRID ELECTRICITY TRANSMISSION PLC</v>
      </c>
      <c r="E87" s="166">
        <f>IFERROR(IF(VLOOKUP($A87,'Annex 2 EHV charges'!$A:$O,8,FALSE)=0,"",VLOOKUP($A87,'Annex 2 EHV charges'!$A:$O,8,FALSE)),"")</f>
        <v>1.7000000000000001E-2</v>
      </c>
      <c r="F87" s="167">
        <f>IFERROR(IF(VLOOKUP($A87,'Annex 2 EHV charges'!$A:$O,9,FALSE)=0,"",VLOOKUP($A87,'Annex 2 EHV charges'!$A:$O,9,FALSE)),"")</f>
        <v>241.06</v>
      </c>
      <c r="G87" s="166">
        <f>IFERROR(IF(VLOOKUP($A87,'Annex 2 EHV charges'!$A:$O,10,FALSE)=0,"",VLOOKUP($A87,'Annex 2 EHV charges'!$A:$O,10,FALSE)),"")</f>
        <v>3.89</v>
      </c>
      <c r="H87" s="166">
        <f>IFERROR(IF(VLOOKUP($A87,'Annex 2 EHV charges'!$A:$O,11,FALSE)=0,"",VLOOKUP($A87,'Annex 2 EHV charges'!$A:$O,11,FALSE)),"")</f>
        <v>3.89</v>
      </c>
    </row>
    <row r="88" spans="1:8" ht="30.75" customHeight="1" x14ac:dyDescent="0.35">
      <c r="A88" s="168" t="str">
        <f t="array" ref="A88">IFERROR(INDEX('Annex 2 EHV charges'!$A$11:$A$218, MATCH(0, IF(ISBLANK('Annex 2 EHV charges'!$A$11:$A$218),1, COUNTIF(A$4:$A87, 'Annex 2 EHV charges'!$A$11:$A$218)), 0)),"")</f>
        <v>HALLFM</v>
      </c>
      <c r="B88" s="170">
        <f>IF($A88="","",VLOOKUP($A88,'Annex 2 EHV charges'!$A:$O,2,0))</f>
        <v>536</v>
      </c>
      <c r="C88" s="171">
        <f>IF($A88="","",VLOOKUP($A88,'Annex 2 EHV charges'!$A:$O,3,0))</f>
        <v>1050000834219</v>
      </c>
      <c r="D88" s="168" t="str">
        <f>IF($A88="","",VLOOKUP($A88,'Annex 2 EHV charges'!$A:$O,7,0))</f>
        <v>SOLAR PARK DEVELOPMENTS 2 LTD</v>
      </c>
      <c r="E88" s="166">
        <f>IFERROR(IF(VLOOKUP($A88,'Annex 2 EHV charges'!$A:$O,8,FALSE)=0,"",VLOOKUP($A88,'Annex 2 EHV charges'!$A:$O,8,FALSE)),"")</f>
        <v>0.10199999999999999</v>
      </c>
      <c r="F88" s="167">
        <f>IFERROR(IF(VLOOKUP($A88,'Annex 2 EHV charges'!$A:$O,9,FALSE)=0,"",VLOOKUP($A88,'Annex 2 EHV charges'!$A:$O,9,FALSE)),"")</f>
        <v>9.58</v>
      </c>
      <c r="G88" s="166">
        <f>IFERROR(IF(VLOOKUP($A88,'Annex 2 EHV charges'!$A:$O,10,FALSE)=0,"",VLOOKUP($A88,'Annex 2 EHV charges'!$A:$O,10,FALSE)),"")</f>
        <v>7.52</v>
      </c>
      <c r="H88" s="166">
        <f>IFERROR(IF(VLOOKUP($A88,'Annex 2 EHV charges'!$A:$O,11,FALSE)=0,"",VLOOKUP($A88,'Annex 2 EHV charges'!$A:$O,11,FALSE)),"")</f>
        <v>7.52</v>
      </c>
    </row>
    <row r="89" spans="1:8" ht="30.75" customHeight="1" x14ac:dyDescent="0.35">
      <c r="A89" s="168" t="str">
        <f t="array" ref="A89">IFERROR(INDEX('Annex 2 EHV charges'!$A$11:$A$218, MATCH(0, IF(ISBLANK('Annex 2 EHV charges'!$A$11:$A$218),1, COUNTIF(A$4:$A88, 'Annex 2 EHV charges'!$A$11:$A$218)), 0)),"")</f>
        <v>HDGMSF</v>
      </c>
      <c r="B89" s="170">
        <f>IF($A89="","",VLOOKUP($A89,'Annex 2 EHV charges'!$A:$O,2,0))</f>
        <v>884</v>
      </c>
      <c r="C89" s="171">
        <f>IF($A89="","",VLOOKUP($A89,'Annex 2 EHV charges'!$A:$O,3,0))</f>
        <v>1050000521726</v>
      </c>
      <c r="D89" s="168" t="str">
        <f>IF($A89="","",VLOOKUP($A89,'Annex 2 EHV charges'!$A:$O,7,0))</f>
        <v xml:space="preserve">SOLAR CENTURY </v>
      </c>
      <c r="E89" s="166">
        <f>IFERROR(IF(VLOOKUP($A89,'Annex 2 EHV charges'!$A:$O,8,FALSE)=0,"",VLOOKUP($A89,'Annex 2 EHV charges'!$A:$O,8,FALSE)),"")</f>
        <v>9.7000000000000003E-2</v>
      </c>
      <c r="F89" s="167">
        <f>IFERROR(IF(VLOOKUP($A89,'Annex 2 EHV charges'!$A:$O,9,FALSE)=0,"",VLOOKUP($A89,'Annex 2 EHV charges'!$A:$O,9,FALSE)),"")</f>
        <v>5.15</v>
      </c>
      <c r="G89" s="166">
        <f>IFERROR(IF(VLOOKUP($A89,'Annex 2 EHV charges'!$A:$O,10,FALSE)=0,"",VLOOKUP($A89,'Annex 2 EHV charges'!$A:$O,10,FALSE)),"")</f>
        <v>8.59</v>
      </c>
      <c r="H89" s="166">
        <f>IFERROR(IF(VLOOKUP($A89,'Annex 2 EHV charges'!$A:$O,11,FALSE)=0,"",VLOOKUP($A89,'Annex 2 EHV charges'!$A:$O,11,FALSE)),"")</f>
        <v>8.59</v>
      </c>
    </row>
    <row r="90" spans="1:8" ht="30.75" customHeight="1" x14ac:dyDescent="0.35">
      <c r="A90" s="168" t="str">
        <f t="array" ref="A90">IFERROR(INDEX('Annex 2 EHV charges'!$A$11:$A$218, MATCH(0, IF(ISBLANK('Annex 2 EHV charges'!$A$11:$A$218),1, COUNTIF(A$4:$A89, 'Annex 2 EHV charges'!$A$11:$A$218)), 0)),"")</f>
        <v>HEINZF</v>
      </c>
      <c r="B90" s="170">
        <f>IF($A90="","",VLOOKUP($A90,'Annex 2 EHV charges'!$A:$O,2,0))</f>
        <v>771</v>
      </c>
      <c r="C90" s="171">
        <f>IF($A90="","",VLOOKUP($A90,'Annex 2 EHV charges'!$A:$O,3,0))</f>
        <v>1014573127752</v>
      </c>
      <c r="D90" s="168" t="str">
        <f>IF($A90="","",VLOOKUP($A90,'Annex 2 EHV charges'!$A:$O,7,0))</f>
        <v>ALBERT BARTLETT &amp; SONS (AIRDRIE) LIMITED</v>
      </c>
      <c r="E90" s="166">
        <f>IFERROR(IF(VLOOKUP($A90,'Annex 2 EHV charges'!$A:$O,8,FALSE)=0,"",VLOOKUP($A90,'Annex 2 EHV charges'!$A:$O,8,FALSE)),"")</f>
        <v>5.4039999999999999</v>
      </c>
      <c r="F90" s="167">
        <f>IFERROR(IF(VLOOKUP($A90,'Annex 2 EHV charges'!$A:$O,9,FALSE)=0,"",VLOOKUP($A90,'Annex 2 EHV charges'!$A:$O,9,FALSE)),"")</f>
        <v>89.16</v>
      </c>
      <c r="G90" s="166">
        <f>IFERROR(IF(VLOOKUP($A90,'Annex 2 EHV charges'!$A:$O,10,FALSE)=0,"",VLOOKUP($A90,'Annex 2 EHV charges'!$A:$O,10,FALSE)),"")</f>
        <v>9.65</v>
      </c>
      <c r="H90" s="166">
        <f>IFERROR(IF(VLOOKUP($A90,'Annex 2 EHV charges'!$A:$O,11,FALSE)=0,"",VLOOKUP($A90,'Annex 2 EHV charges'!$A:$O,11,FALSE)),"")</f>
        <v>9.65</v>
      </c>
    </row>
    <row r="91" spans="1:8" ht="30.75" customHeight="1" x14ac:dyDescent="0.35">
      <c r="A91" s="168" t="str">
        <f t="array" ref="A91">IFERROR(INDEX('Annex 2 EHV charges'!$A$11:$A$218, MATCH(0, IF(ISBLANK('Annex 2 EHV charges'!$A$11:$A$218),1, COUNTIF(A$4:$A90, 'Annex 2 EHV charges'!$A$11:$A$218)), 0)),"")</f>
        <v>HGHFLD</v>
      </c>
      <c r="B91" s="170">
        <f>IF($A91="","",VLOOKUP($A91,'Annex 2 EHV charges'!$A:$O,2,0))</f>
        <v>885</v>
      </c>
      <c r="C91" s="171">
        <f>IF($A91="","",VLOOKUP($A91,'Annex 2 EHV charges'!$A:$O,3,0))</f>
        <v>1050000563150</v>
      </c>
      <c r="D91" s="168" t="str">
        <f>IF($A91="","",VLOOKUP($A91,'Annex 2 EHV charges'!$A:$O,7,0))</f>
        <v>HIGHFIELDS SOLAR LTD</v>
      </c>
      <c r="E91" s="166">
        <f>IFERROR(IF(VLOOKUP($A91,'Annex 2 EHV charges'!$A:$O,8,FALSE)=0,"",VLOOKUP($A91,'Annex 2 EHV charges'!$A:$O,8,FALSE)),"")</f>
        <v>3.5179999999999998</v>
      </c>
      <c r="F91" s="167">
        <f>IFERROR(IF(VLOOKUP($A91,'Annex 2 EHV charges'!$A:$O,9,FALSE)=0,"",VLOOKUP($A91,'Annex 2 EHV charges'!$A:$O,9,FALSE)),"")</f>
        <v>6.36</v>
      </c>
      <c r="G91" s="166">
        <f>IFERROR(IF(VLOOKUP($A91,'Annex 2 EHV charges'!$A:$O,10,FALSE)=0,"",VLOOKUP($A91,'Annex 2 EHV charges'!$A:$O,10,FALSE)),"")</f>
        <v>3.68</v>
      </c>
      <c r="H91" s="166">
        <f>IFERROR(IF(VLOOKUP($A91,'Annex 2 EHV charges'!$A:$O,11,FALSE)=0,"",VLOOKUP($A91,'Annex 2 EHV charges'!$A:$O,11,FALSE)),"")</f>
        <v>3.68</v>
      </c>
    </row>
    <row r="92" spans="1:8" ht="30.75" customHeight="1" x14ac:dyDescent="0.35">
      <c r="A92" s="168" t="str">
        <f t="array" ref="A92">IFERROR(INDEX('Annex 2 EHV charges'!$A$11:$A$218, MATCH(0, IF(ISBLANK('Annex 2 EHV charges'!$A$11:$A$218),1, COUNTIF(A$4:$A91, 'Annex 2 EHV charges'!$A$11:$A$218)), 0)),"")</f>
        <v>HOBACK</v>
      </c>
      <c r="B92" s="170">
        <f>IF($A92="","",VLOOKUP($A92,'Annex 2 EHV charges'!$A:$O,2,0))</f>
        <v>517</v>
      </c>
      <c r="C92" s="171">
        <f>IF($A92="","",VLOOKUP($A92,'Annex 2 EHV charges'!$A:$O,3,0))</f>
        <v>1050000708514</v>
      </c>
      <c r="D92" s="168" t="str">
        <f>IF($A92="","",VLOOKUP($A92,'Annex 2 EHV charges'!$A:$O,7,0))</f>
        <v>HOBACK SOLAR LIMITED</v>
      </c>
      <c r="E92" s="166">
        <f>IFERROR(IF(VLOOKUP($A92,'Annex 2 EHV charges'!$A:$O,8,FALSE)=0,"",VLOOKUP($A92,'Annex 2 EHV charges'!$A:$O,8,FALSE)),"")</f>
        <v>0.104</v>
      </c>
      <c r="F92" s="167">
        <f>IFERROR(IF(VLOOKUP($A92,'Annex 2 EHV charges'!$A:$O,9,FALSE)=0,"",VLOOKUP($A92,'Annex 2 EHV charges'!$A:$O,9,FALSE)),"")</f>
        <v>4.6100000000000003</v>
      </c>
      <c r="G92" s="166">
        <f>IFERROR(IF(VLOOKUP($A92,'Annex 2 EHV charges'!$A:$O,10,FALSE)=0,"",VLOOKUP($A92,'Annex 2 EHV charges'!$A:$O,10,FALSE)),"")</f>
        <v>3.14</v>
      </c>
      <c r="H92" s="166">
        <f>IFERROR(IF(VLOOKUP($A92,'Annex 2 EHV charges'!$A:$O,11,FALSE)=0,"",VLOOKUP($A92,'Annex 2 EHV charges'!$A:$O,11,FALSE)),"")</f>
        <v>3.14</v>
      </c>
    </row>
    <row r="93" spans="1:8" ht="30.75" customHeight="1" x14ac:dyDescent="0.35">
      <c r="A93" s="168" t="str">
        <f t="array" ref="A93">IFERROR(INDEX('Annex 2 EHV charges'!$A$11:$A$218, MATCH(0, IF(ISBLANK('Annex 2 EHV charges'!$A$11:$A$218),1, COUNTIF(A$4:$A92, 'Annex 2 EHV charges'!$A$11:$A$218)), 0)),"")</f>
        <v>HOLTON</v>
      </c>
      <c r="B93" s="170">
        <f>IF($A93="","",VLOOKUP($A93,'Annex 2 EHV charges'!$A:$O,2,0))</f>
        <v>796</v>
      </c>
      <c r="C93" s="171">
        <f>IF($A93="","",VLOOKUP($A93,'Annex 2 EHV charges'!$A:$O,3,0))</f>
        <v>1050000769118</v>
      </c>
      <c r="D93" s="168" t="str">
        <f>IF($A93="","",VLOOKUP($A93,'Annex 2 EHV charges'!$A:$O,7,0))</f>
        <v>BERNARD MATTHEWS GREEN ENERGY HALESWORTH LIMITED</v>
      </c>
      <c r="E93" s="166">
        <f>IFERROR(IF(VLOOKUP($A93,'Annex 2 EHV charges'!$A:$O,8,FALSE)=0,"",VLOOKUP($A93,'Annex 2 EHV charges'!$A:$O,8,FALSE)),"")</f>
        <v>0.64100000000000001</v>
      </c>
      <c r="F93" s="167">
        <f>IFERROR(IF(VLOOKUP($A93,'Annex 2 EHV charges'!$A:$O,9,FALSE)=0,"",VLOOKUP($A93,'Annex 2 EHV charges'!$A:$O,9,FALSE)),"")</f>
        <v>17.52</v>
      </c>
      <c r="G93" s="166">
        <f>IFERROR(IF(VLOOKUP($A93,'Annex 2 EHV charges'!$A:$O,10,FALSE)=0,"",VLOOKUP($A93,'Annex 2 EHV charges'!$A:$O,10,FALSE)),"")</f>
        <v>2.99</v>
      </c>
      <c r="H93" s="166">
        <f>IFERROR(IF(VLOOKUP($A93,'Annex 2 EHV charges'!$A:$O,11,FALSE)=0,"",VLOOKUP($A93,'Annex 2 EHV charges'!$A:$O,11,FALSE)),"")</f>
        <v>2.99</v>
      </c>
    </row>
    <row r="94" spans="1:8" ht="30.75" customHeight="1" x14ac:dyDescent="0.35">
      <c r="A94" s="168" t="str">
        <f t="array" ref="A94">IFERROR(INDEX('Annex 2 EHV charges'!$A$11:$A$218, MATCH(0, IF(ISBLANK('Annex 2 EHV charges'!$A$11:$A$218),1, COUNTIF(A$4:$A93, 'Annex 2 EHV charges'!$A$11:$A$218)), 0)),"")</f>
        <v>HTFD_L</v>
      </c>
      <c r="B94" s="170">
        <f>IF($A94="","",VLOOKUP($A94,'Annex 2 EHV charges'!$A:$O,2,0))</f>
        <v>820</v>
      </c>
      <c r="C94" s="171">
        <f>IF($A94="","",VLOOKUP($A94,'Annex 2 EHV charges'!$A:$O,3,0))</f>
        <v>1014569896484</v>
      </c>
      <c r="D94" s="168" t="str">
        <f>IF($A94="","",VLOOKUP($A94,'Annex 2 EHV charges'!$A:$O,7,0))</f>
        <v>HAYWARD TYLER LIMITED</v>
      </c>
      <c r="E94" s="166">
        <f>IFERROR(IF(VLOOKUP($A94,'Annex 2 EHV charges'!$A:$O,8,FALSE)=0,"",VLOOKUP($A94,'Annex 2 EHV charges'!$A:$O,8,FALSE)),"")</f>
        <v>0.26800000000000002</v>
      </c>
      <c r="F94" s="167">
        <f>IFERROR(IF(VLOOKUP($A94,'Annex 2 EHV charges'!$A:$O,9,FALSE)=0,"",VLOOKUP($A94,'Annex 2 EHV charges'!$A:$O,9,FALSE)),"")</f>
        <v>1290.08</v>
      </c>
      <c r="G94" s="166">
        <f>IFERROR(IF(VLOOKUP($A94,'Annex 2 EHV charges'!$A:$O,10,FALSE)=0,"",VLOOKUP($A94,'Annex 2 EHV charges'!$A:$O,10,FALSE)),"")</f>
        <v>2.08</v>
      </c>
      <c r="H94" s="166">
        <f>IFERROR(IF(VLOOKUP($A94,'Annex 2 EHV charges'!$A:$O,11,FALSE)=0,"",VLOOKUP($A94,'Annex 2 EHV charges'!$A:$O,11,FALSE)),"")</f>
        <v>2.08</v>
      </c>
    </row>
    <row r="95" spans="1:8" ht="30.75" customHeight="1" x14ac:dyDescent="0.35">
      <c r="A95" s="168" t="str">
        <f t="array" ref="A95">IFERROR(INDEX('Annex 2 EHV charges'!$A$11:$A$218, MATCH(0, IF(ISBLANK('Annex 2 EHV charges'!$A$11:$A$218),1, COUNTIF(A$4:$A94, 'Annex 2 EHV charges'!$A$11:$A$218)), 0)),"")</f>
        <v>HYDESF</v>
      </c>
      <c r="B95" s="170">
        <f>IF($A95="","",VLOOKUP($A95,'Annex 2 EHV charges'!$A:$O,2,0))</f>
        <v>518</v>
      </c>
      <c r="C95" s="171">
        <f>IF($A95="","",VLOOKUP($A95,'Annex 2 EHV charges'!$A:$O,3,0))</f>
        <v>1050000759713</v>
      </c>
      <c r="D95" s="168" t="str">
        <f>IF($A95="","",VLOOKUP($A95,'Annex 2 EHV charges'!$A:$O,7,0))</f>
        <v>MTS RYDON SOLAR LIMITED</v>
      </c>
      <c r="E95" s="166">
        <f>IFERROR(IF(VLOOKUP($A95,'Annex 2 EHV charges'!$A:$O,8,FALSE)=0,"",VLOOKUP($A95,'Annex 2 EHV charges'!$A:$O,8,FALSE)),"")</f>
        <v>1.304</v>
      </c>
      <c r="F95" s="167">
        <f>IFERROR(IF(VLOOKUP($A95,'Annex 2 EHV charges'!$A:$O,9,FALSE)=0,"",VLOOKUP($A95,'Annex 2 EHV charges'!$A:$O,9,FALSE)),"")</f>
        <v>11.87</v>
      </c>
      <c r="G95" s="166">
        <f>IFERROR(IF(VLOOKUP($A95,'Annex 2 EHV charges'!$A:$O,10,FALSE)=0,"",VLOOKUP($A95,'Annex 2 EHV charges'!$A:$O,10,FALSE)),"")</f>
        <v>2.4900000000000002</v>
      </c>
      <c r="H95" s="166">
        <f>IFERROR(IF(VLOOKUP($A95,'Annex 2 EHV charges'!$A:$O,11,FALSE)=0,"",VLOOKUP($A95,'Annex 2 EHV charges'!$A:$O,11,FALSE)),"")</f>
        <v>2.4900000000000002</v>
      </c>
    </row>
    <row r="96" spans="1:8" ht="30.75" customHeight="1" x14ac:dyDescent="0.35">
      <c r="A96" s="168" t="str">
        <f t="array" ref="A96">IFERROR(INDEX('Annex 2 EHV charges'!$A$11:$A$218, MATCH(0, IF(ISBLANK('Annex 2 EHV charges'!$A$11:$A$218),1, COUNTIF(A$4:$A95, 'Annex 2 EHV charges'!$A$11:$A$218)), 0)),"")</f>
        <v>ICGLTD</v>
      </c>
      <c r="B96" s="170">
        <f>IF($A96="","",VLOOKUP($A96,'Annex 2 EHV charges'!$A:$O,2,0))</f>
        <v>866</v>
      </c>
      <c r="C96" s="171">
        <f>IF($A96="","",VLOOKUP($A96,'Annex 2 EHV charges'!$A:$O,3,0))</f>
        <v>1030075706342</v>
      </c>
      <c r="D96" s="168" t="str">
        <f>IF($A96="","",VLOOKUP($A96,'Annex 2 EHV charges'!$A:$O,7,0))</f>
        <v>INDUSTRIAL CHEMICALS LTD</v>
      </c>
      <c r="E96" s="166" t="str">
        <f>IFERROR(IF(VLOOKUP($A96,'Annex 2 EHV charges'!$A:$O,8,FALSE)=0,"",VLOOKUP($A96,'Annex 2 EHV charges'!$A:$O,8,FALSE)),"")</f>
        <v/>
      </c>
      <c r="F96" s="167">
        <f>IFERROR(IF(VLOOKUP($A96,'Annex 2 EHV charges'!$A:$O,9,FALSE)=0,"",VLOOKUP($A96,'Annex 2 EHV charges'!$A:$O,9,FALSE)),"")</f>
        <v>939.56</v>
      </c>
      <c r="G96" s="166">
        <f>IFERROR(IF(VLOOKUP($A96,'Annex 2 EHV charges'!$A:$O,10,FALSE)=0,"",VLOOKUP($A96,'Annex 2 EHV charges'!$A:$O,10,FALSE)),"")</f>
        <v>2.44</v>
      </c>
      <c r="H96" s="166">
        <f>IFERROR(IF(VLOOKUP($A96,'Annex 2 EHV charges'!$A:$O,11,FALSE)=0,"",VLOOKUP($A96,'Annex 2 EHV charges'!$A:$O,11,FALSE)),"")</f>
        <v>2.44</v>
      </c>
    </row>
    <row r="97" spans="1:8" ht="30.75" customHeight="1" x14ac:dyDescent="0.35">
      <c r="A97" s="168" t="str">
        <f t="array" ref="A97">IFERROR(INDEX('Annex 2 EHV charges'!$A$11:$A$218, MATCH(0, IF(ISBLANK('Annex 2 EHV charges'!$A$11:$A$218),1, COUNTIF(A$4:$A96, 'Annex 2 EHV charges'!$A$11:$A$218)), 0)),"")</f>
        <v>INFSSE</v>
      </c>
      <c r="B97" s="170" t="str">
        <f>IF($A97="","",VLOOKUP($A97,'Annex 2 EHV charges'!$A:$O,2,0))</f>
        <v>ENET</v>
      </c>
      <c r="C97" s="171" t="str">
        <f>IF($A97="","",VLOOKUP($A97,'Annex 2 EHV charges'!$A:$O,3,0))</f>
        <v>1099000001162
1099000001171</v>
      </c>
      <c r="D97" s="168" t="str">
        <f>IF($A97="","",VLOOKUP($A97,'Annex 2 EHV charges'!$A:$O,7,0))</f>
        <v>SOUTHERN ELECTRIC POWER DISTRIBUTION PLC</v>
      </c>
      <c r="E97" s="166">
        <f>IFERROR(IF(VLOOKUP($A97,'Annex 2 EHV charges'!$A:$O,8,FALSE)=0,"",VLOOKUP($A97,'Annex 2 EHV charges'!$A:$O,8,FALSE)),"")</f>
        <v>2.8180000000000001</v>
      </c>
      <c r="F97" s="167">
        <f>IFERROR(IF(VLOOKUP($A97,'Annex 2 EHV charges'!$A:$O,9,FALSE)=0,"",VLOOKUP($A97,'Annex 2 EHV charges'!$A:$O,9,FALSE)),"")</f>
        <v>5033.08</v>
      </c>
      <c r="G97" s="166">
        <f>IFERROR(IF(VLOOKUP($A97,'Annex 2 EHV charges'!$A:$O,10,FALSE)=0,"",VLOOKUP($A97,'Annex 2 EHV charges'!$A:$O,10,FALSE)),"")</f>
        <v>1.99</v>
      </c>
      <c r="H97" s="166">
        <f>IFERROR(IF(VLOOKUP($A97,'Annex 2 EHV charges'!$A:$O,11,FALSE)=0,"",VLOOKUP($A97,'Annex 2 EHV charges'!$A:$O,11,FALSE)),"")</f>
        <v>1.99</v>
      </c>
    </row>
    <row r="98" spans="1:8" ht="30.75" customHeight="1" x14ac:dyDescent="0.35">
      <c r="A98" s="168" t="str">
        <f t="array" ref="A98">IFERROR(INDEX('Annex 2 EHV charges'!$A$11:$A$218, MATCH(0, IF(ISBLANK('Annex 2 EHV charges'!$A$11:$A$218),1, COUNTIF(A$4:$A97, 'Annex 2 EHV charges'!$A$11:$A$218)), 0)),"")</f>
        <v>JKSLNE</v>
      </c>
      <c r="B98" s="170">
        <f>IF($A98="","",VLOOKUP($A98,'Annex 2 EHV charges'!$A:$O,2,0))</f>
        <v>519</v>
      </c>
      <c r="C98" s="171">
        <f>IF($A98="","",VLOOKUP($A98,'Annex 2 EHV charges'!$A:$O,3,0))</f>
        <v>1050000556055</v>
      </c>
      <c r="D98" s="168" t="str">
        <f>IF($A98="","",VLOOKUP($A98,'Annex 2 EHV charges'!$A:$O,7,0))</f>
        <v>JACKS LANE ENERGY LTD</v>
      </c>
      <c r="E98" s="166">
        <f>IFERROR(IF(VLOOKUP($A98,'Annex 2 EHV charges'!$A:$O,8,FALSE)=0,"",VLOOKUP($A98,'Annex 2 EHV charges'!$A:$O,8,FALSE)),"")</f>
        <v>1.718</v>
      </c>
      <c r="F98" s="167">
        <f>IFERROR(IF(VLOOKUP($A98,'Annex 2 EHV charges'!$A:$O,9,FALSE)=0,"",VLOOKUP($A98,'Annex 2 EHV charges'!$A:$O,9,FALSE)),"")</f>
        <v>26.33</v>
      </c>
      <c r="G98" s="166">
        <f>IFERROR(IF(VLOOKUP($A98,'Annex 2 EHV charges'!$A:$O,10,FALSE)=0,"",VLOOKUP($A98,'Annex 2 EHV charges'!$A:$O,10,FALSE)),"")</f>
        <v>2.64</v>
      </c>
      <c r="H98" s="166">
        <f>IFERROR(IF(VLOOKUP($A98,'Annex 2 EHV charges'!$A:$O,11,FALSE)=0,"",VLOOKUP($A98,'Annex 2 EHV charges'!$A:$O,11,FALSE)),"")</f>
        <v>2.64</v>
      </c>
    </row>
    <row r="99" spans="1:8" ht="30.75" customHeight="1" x14ac:dyDescent="0.35">
      <c r="A99" s="168" t="str">
        <f t="array" ref="A99">IFERROR(INDEX('Annex 2 EHV charges'!$A$11:$A$218, MATCH(0, IF(ISBLANK('Annex 2 EHV charges'!$A$11:$A$218),1, COUNTIF(A$4:$A98, 'Annex 2 EHV charges'!$A$11:$A$218)), 0)),"")</f>
        <v>KLYN33</v>
      </c>
      <c r="B99" s="170">
        <f>IF($A99="","",VLOOKUP($A99,'Annex 2 EHV charges'!$A:$O,2,0))</f>
        <v>7044</v>
      </c>
      <c r="C99" s="171" t="str">
        <f>IF($A99="","",VLOOKUP($A99,'Annex 2 EHV charges'!$A:$O,3,0))</f>
        <v xml:space="preserve"> MSID: 7044</v>
      </c>
      <c r="D99" s="168" t="str">
        <f>IF($A99="","",VLOOKUP($A99,'Annex 2 EHV charges'!$A:$O,7,0))</f>
        <v>CENTRICA KL LIMITED</v>
      </c>
      <c r="E99" s="166">
        <f>IFERROR(IF(VLOOKUP($A99,'Annex 2 EHV charges'!$A:$O,8,FALSE)=0,"",VLOOKUP($A99,'Annex 2 EHV charges'!$A:$O,8,FALSE)),"")</f>
        <v>0.46100000000000002</v>
      </c>
      <c r="F99" s="167">
        <f>IFERROR(IF(VLOOKUP($A99,'Annex 2 EHV charges'!$A:$O,9,FALSE)=0,"",VLOOKUP($A99,'Annex 2 EHV charges'!$A:$O,9,FALSE)),"")</f>
        <v>255.78</v>
      </c>
      <c r="G99" s="166">
        <f>IFERROR(IF(VLOOKUP($A99,'Annex 2 EHV charges'!$A:$O,10,FALSE)=0,"",VLOOKUP($A99,'Annex 2 EHV charges'!$A:$O,10,FALSE)),"")</f>
        <v>1.96</v>
      </c>
      <c r="H99" s="166">
        <f>IFERROR(IF(VLOOKUP($A99,'Annex 2 EHV charges'!$A:$O,11,FALSE)=0,"",VLOOKUP($A99,'Annex 2 EHV charges'!$A:$O,11,FALSE)),"")</f>
        <v>1.96</v>
      </c>
    </row>
    <row r="100" spans="1:8" ht="30.75" customHeight="1" x14ac:dyDescent="0.35">
      <c r="A100" s="168" t="str">
        <f t="array" ref="A100">IFERROR(INDEX('Annex 2 EHV charges'!$A$11:$A$218, MATCH(0, IF(ISBLANK('Annex 2 EHV charges'!$A$11:$A$218),1, COUNTIF(A$4:$A99, 'Annex 2 EHV charges'!$A$11:$A$218)), 0)),"")</f>
        <v>KNGSLN</v>
      </c>
      <c r="B100" s="170">
        <f>IF($A100="","",VLOOKUP($A100,'Annex 2 EHV charges'!$A:$O,2,0))</f>
        <v>7044</v>
      </c>
      <c r="C100" s="171" t="str">
        <f>IF($A100="","",VLOOKUP($A100,'Annex 2 EHV charges'!$A:$O,3,0))</f>
        <v xml:space="preserve"> MSID: 7044</v>
      </c>
      <c r="D100" s="168" t="str">
        <f>IF($A100="","",VLOOKUP($A100,'Annex 2 EHV charges'!$A:$O,7,0))</f>
        <v>CENTRICA KL LIMITED</v>
      </c>
      <c r="E100" s="166" t="str">
        <f>IFERROR(IF(VLOOKUP($A100,'Annex 2 EHV charges'!$A:$O,8,FALSE)=0,"",VLOOKUP($A100,'Annex 2 EHV charges'!$A:$O,8,FALSE)),"")</f>
        <v/>
      </c>
      <c r="F100" s="167">
        <f>IFERROR(IF(VLOOKUP($A100,'Annex 2 EHV charges'!$A:$O,9,FALSE)=0,"",VLOOKUP($A100,'Annex 2 EHV charges'!$A:$O,9,FALSE)),"")</f>
        <v>6</v>
      </c>
      <c r="G100" s="166">
        <f>IFERROR(IF(VLOOKUP($A100,'Annex 2 EHV charges'!$A:$O,10,FALSE)=0,"",VLOOKUP($A100,'Annex 2 EHV charges'!$A:$O,10,FALSE)),"")</f>
        <v>1.45</v>
      </c>
      <c r="H100" s="166">
        <f>IFERROR(IF(VLOOKUP($A100,'Annex 2 EHV charges'!$A:$O,11,FALSE)=0,"",VLOOKUP($A100,'Annex 2 EHV charges'!$A:$O,11,FALSE)),"")</f>
        <v>1.45</v>
      </c>
    </row>
    <row r="101" spans="1:8" ht="30.75" customHeight="1" x14ac:dyDescent="0.35">
      <c r="A101" s="168" t="str">
        <f t="array" ref="A101">IFERROR(INDEX('Annex 2 EHV charges'!$A$11:$A$218, MATCH(0, IF(ISBLANK('Annex 2 EHV charges'!$A$11:$A$218),1, COUNTIF(A$4:$A100, 'Annex 2 EHV charges'!$A$11:$A$218)), 0)),"")</f>
        <v>KNNING</v>
      </c>
      <c r="B101" s="170">
        <f>IF($A101="","",VLOOKUP($A101,'Annex 2 EHV charges'!$A:$O,2,0))</f>
        <v>520</v>
      </c>
      <c r="C101" s="171">
        <f>IF($A101="","",VLOOKUP($A101,'Annex 2 EHV charges'!$A:$O,3,0))</f>
        <v>1050000823458</v>
      </c>
      <c r="D101" s="168" t="str">
        <f>IF($A101="","",VLOOKUP($A101,'Annex 2 EHV charges'!$A:$O,7,0))</f>
        <v>SOLAR DIVIDEND LIMITED</v>
      </c>
      <c r="E101" s="166">
        <f>IFERROR(IF(VLOOKUP($A101,'Annex 2 EHV charges'!$A:$O,8,FALSE)=0,"",VLOOKUP($A101,'Annex 2 EHV charges'!$A:$O,8,FALSE)),"")</f>
        <v>2.5760000000000001</v>
      </c>
      <c r="F101" s="167">
        <f>IFERROR(IF(VLOOKUP($A101,'Annex 2 EHV charges'!$A:$O,9,FALSE)=0,"",VLOOKUP($A101,'Annex 2 EHV charges'!$A:$O,9,FALSE)),"")</f>
        <v>2.23</v>
      </c>
      <c r="G101" s="166">
        <f>IFERROR(IF(VLOOKUP($A101,'Annex 2 EHV charges'!$A:$O,10,FALSE)=0,"",VLOOKUP($A101,'Annex 2 EHV charges'!$A:$O,10,FALSE)),"")</f>
        <v>4.5599999999999996</v>
      </c>
      <c r="H101" s="166">
        <f>IFERROR(IF(VLOOKUP($A101,'Annex 2 EHV charges'!$A:$O,11,FALSE)=0,"",VLOOKUP($A101,'Annex 2 EHV charges'!$A:$O,11,FALSE)),"")</f>
        <v>4.5599999999999996</v>
      </c>
    </row>
    <row r="102" spans="1:8" ht="30.75" customHeight="1" x14ac:dyDescent="0.35">
      <c r="A102" s="168" t="str">
        <f t="array" ref="A102">IFERROR(INDEX('Annex 2 EHV charges'!$A$11:$A$218, MATCH(0, IF(ISBLANK('Annex 2 EHV charges'!$A$11:$A$218),1, COUNTIF(A$4:$A101, 'Annex 2 EHV charges'!$A$11:$A$218)), 0)),"")</f>
        <v>KODAKH</v>
      </c>
      <c r="B102" s="170">
        <f>IF($A102="","",VLOOKUP($A102,'Annex 2 EHV charges'!$A:$O,2,0))</f>
        <v>822</v>
      </c>
      <c r="C102" s="171">
        <f>IF($A102="","",VLOOKUP($A102,'Annex 2 EHV charges'!$A:$O,3,0))</f>
        <v>1023478871040</v>
      </c>
      <c r="D102" s="168" t="str">
        <f>IF($A102="","",VLOOKUP($A102,'Annex 2 EHV charges'!$A:$O,7,0))</f>
        <v>OPCO (UK) LIMITED</v>
      </c>
      <c r="E102" s="166">
        <f>IFERROR(IF(VLOOKUP($A102,'Annex 2 EHV charges'!$A:$O,8,FALSE)=0,"",VLOOKUP($A102,'Annex 2 EHV charges'!$A:$O,8,FALSE)),"")</f>
        <v>1.373</v>
      </c>
      <c r="F102" s="167">
        <f>IFERROR(IF(VLOOKUP($A102,'Annex 2 EHV charges'!$A:$O,9,FALSE)=0,"",VLOOKUP($A102,'Annex 2 EHV charges'!$A:$O,9,FALSE)),"")</f>
        <v>1186.98</v>
      </c>
      <c r="G102" s="166">
        <f>IFERROR(IF(VLOOKUP($A102,'Annex 2 EHV charges'!$A:$O,10,FALSE)=0,"",VLOOKUP($A102,'Annex 2 EHV charges'!$A:$O,10,FALSE)),"")</f>
        <v>1.98</v>
      </c>
      <c r="H102" s="166">
        <f>IFERROR(IF(VLOOKUP($A102,'Annex 2 EHV charges'!$A:$O,11,FALSE)=0,"",VLOOKUP($A102,'Annex 2 EHV charges'!$A:$O,11,FALSE)),"")</f>
        <v>1.98</v>
      </c>
    </row>
    <row r="103" spans="1:8" ht="30.75" customHeight="1" x14ac:dyDescent="0.35">
      <c r="A103" s="168" t="str">
        <f t="array" ref="A103">IFERROR(INDEX('Annex 2 EHV charges'!$A$11:$A$218, MATCH(0, IF(ISBLANK('Annex 2 EHV charges'!$A$11:$A$218),1, COUNTIF(A$4:$A102, 'Annex 2 EHV charges'!$A$11:$A$218)), 0)),"")</f>
        <v>LAKENH</v>
      </c>
      <c r="B103" s="170">
        <f>IF($A103="","",VLOOKUP($A103,'Annex 2 EHV charges'!$A:$O,2,0))</f>
        <v>771</v>
      </c>
      <c r="C103" s="171">
        <f>IF($A103="","",VLOOKUP($A103,'Annex 2 EHV charges'!$A:$O,3,0))</f>
        <v>1023504932800</v>
      </c>
      <c r="D103" s="168" t="str">
        <f>IF($A103="","",VLOOKUP($A103,'Annex 2 EHV charges'!$A:$O,7,0))</f>
        <v>MINISTRY OF DEFENCE</v>
      </c>
      <c r="E103" s="166">
        <f>IFERROR(IF(VLOOKUP($A103,'Annex 2 EHV charges'!$A:$O,8,FALSE)=0,"",VLOOKUP($A103,'Annex 2 EHV charges'!$A:$O,8,FALSE)),"")</f>
        <v>11.698</v>
      </c>
      <c r="F103" s="167">
        <f>IFERROR(IF(VLOOKUP($A103,'Annex 2 EHV charges'!$A:$O,9,FALSE)=0,"",VLOOKUP($A103,'Annex 2 EHV charges'!$A:$O,9,FALSE)),"")</f>
        <v>178.32</v>
      </c>
      <c r="G103" s="166">
        <f>IFERROR(IF(VLOOKUP($A103,'Annex 2 EHV charges'!$A:$O,10,FALSE)=0,"",VLOOKUP($A103,'Annex 2 EHV charges'!$A:$O,10,FALSE)),"")</f>
        <v>11.96</v>
      </c>
      <c r="H103" s="166">
        <f>IFERROR(IF(VLOOKUP($A103,'Annex 2 EHV charges'!$A:$O,11,FALSE)=0,"",VLOOKUP($A103,'Annex 2 EHV charges'!$A:$O,11,FALSE)),"")</f>
        <v>11.96</v>
      </c>
    </row>
    <row r="104" spans="1:8" ht="30.75" customHeight="1" x14ac:dyDescent="0.35">
      <c r="A104" s="168" t="str">
        <f t="array" ref="A104">IFERROR(INDEX('Annex 2 EHV charges'!$A$11:$A$218, MATCH(0, IF(ISBLANK('Annex 2 EHV charges'!$A$11:$A$218),1, COUNTIF(A$4:$A103, 'Annex 2 EHV charges'!$A$11:$A$218)), 0)),"")</f>
        <v>LBARPS</v>
      </c>
      <c r="B104" s="170">
        <f>IF($A104="","",VLOOKUP($A104,'Annex 2 EHV charges'!$A:$O,2,0))</f>
        <v>824</v>
      </c>
      <c r="C104" s="171">
        <f>IF($A104="","",VLOOKUP($A104,'Annex 2 EHV charges'!$A:$O,3,0))</f>
        <v>1014572529986</v>
      </c>
      <c r="D104" s="168" t="str">
        <f>IF($A104="","",VLOOKUP($A104,'Annex 2 EHV charges'!$A:$O,7,0))</f>
        <v>RWE GENERATION UK PLC</v>
      </c>
      <c r="E104" s="166">
        <f>IFERROR(IF(VLOOKUP($A104,'Annex 2 EHV charges'!$A:$O,8,FALSE)=0,"",VLOOKUP($A104,'Annex 2 EHV charges'!$A:$O,8,FALSE)),"")</f>
        <v>0.21</v>
      </c>
      <c r="F104" s="167">
        <f>IFERROR(IF(VLOOKUP($A104,'Annex 2 EHV charges'!$A:$O,9,FALSE)=0,"",VLOOKUP($A104,'Annex 2 EHV charges'!$A:$O,9,FALSE)),"")</f>
        <v>255.78</v>
      </c>
      <c r="G104" s="166">
        <f>IFERROR(IF(VLOOKUP($A104,'Annex 2 EHV charges'!$A:$O,10,FALSE)=0,"",VLOOKUP($A104,'Annex 2 EHV charges'!$A:$O,10,FALSE)),"")</f>
        <v>1.39</v>
      </c>
      <c r="H104" s="166">
        <f>IFERROR(IF(VLOOKUP($A104,'Annex 2 EHV charges'!$A:$O,11,FALSE)=0,"",VLOOKUP($A104,'Annex 2 EHV charges'!$A:$O,11,FALSE)),"")</f>
        <v>1.39</v>
      </c>
    </row>
    <row r="105" spans="1:8" ht="30.75" customHeight="1" x14ac:dyDescent="0.35">
      <c r="A105" s="168" t="str">
        <f t="array" ref="A105">IFERROR(INDEX('Annex 2 EHV charges'!$A$11:$A$218, MATCH(0, IF(ISBLANK('Annex 2 EHV charges'!$A$11:$A$218),1, COUNTIF(A$4:$A104, 'Annex 2 EHV charges'!$A$11:$A$218)), 0)),"")</f>
        <v>LBCO_L</v>
      </c>
      <c r="B105" s="170">
        <f>IF($A105="","",VLOOKUP($A105,'Annex 2 EHV charges'!$A:$O,2,0))</f>
        <v>771</v>
      </c>
      <c r="C105" s="171" t="str">
        <f>IF($A105="","",VLOOKUP($A105,'Annex 2 EHV charges'!$A:$O,3,0))</f>
        <v>1023479820941
1014568411606</v>
      </c>
      <c r="D105" s="168" t="str">
        <f>IF($A105="","",VLOOKUP($A105,'Annex 2 EHV charges'!$A:$O,7,0))</f>
        <v>HANSON QUARRY PRODUCTS EUROPE LIMITED</v>
      </c>
      <c r="E105" s="166">
        <f>IFERROR(IF(VLOOKUP($A105,'Annex 2 EHV charges'!$A:$O,8,FALSE)=0,"",VLOOKUP($A105,'Annex 2 EHV charges'!$A:$O,8,FALSE)),"")</f>
        <v>5.2999999999999999E-2</v>
      </c>
      <c r="F105" s="167">
        <f>IFERROR(IF(VLOOKUP($A105,'Annex 2 EHV charges'!$A:$O,9,FALSE)=0,"",VLOOKUP($A105,'Annex 2 EHV charges'!$A:$O,9,FALSE)),"")</f>
        <v>178.32</v>
      </c>
      <c r="G105" s="166">
        <f>IFERROR(IF(VLOOKUP($A105,'Annex 2 EHV charges'!$A:$O,10,FALSE)=0,"",VLOOKUP($A105,'Annex 2 EHV charges'!$A:$O,10,FALSE)),"")</f>
        <v>1.23</v>
      </c>
      <c r="H105" s="166">
        <f>IFERROR(IF(VLOOKUP($A105,'Annex 2 EHV charges'!$A:$O,11,FALSE)=0,"",VLOOKUP($A105,'Annex 2 EHV charges'!$A:$O,11,FALSE)),"")</f>
        <v>1.23</v>
      </c>
    </row>
    <row r="106" spans="1:8" ht="30.75" customHeight="1" x14ac:dyDescent="0.35">
      <c r="A106" s="168" t="str">
        <f t="array" ref="A106">IFERROR(INDEX('Annex 2 EHV charges'!$A$11:$A$218, MATCH(0, IF(ISBLANK('Annex 2 EHV charges'!$A$11:$A$218),1, COUNTIF(A$4:$A105, 'Annex 2 EHV charges'!$A$11:$A$218)), 0)),"")</f>
        <v>LBZSNS</v>
      </c>
      <c r="B106" s="170">
        <f>IF($A106="","",VLOOKUP($A106,'Annex 2 EHV charges'!$A:$O,2,0))</f>
        <v>771</v>
      </c>
      <c r="C106" s="171">
        <f>IF($A106="","",VLOOKUP($A106,'Annex 2 EHV charges'!$A:$O,3,0))</f>
        <v>1050000687486</v>
      </c>
      <c r="D106" s="168" t="str">
        <f>IF($A106="","",VLOOKUP($A106,'Annex 2 EHV charges'!$A:$O,7,0))</f>
        <v>UK POWER NETWORKS OPERATIONS LTD</v>
      </c>
      <c r="E106" s="166">
        <f>IFERROR(IF(VLOOKUP($A106,'Annex 2 EHV charges'!$A:$O,8,FALSE)=0,"",VLOOKUP($A106,'Annex 2 EHV charges'!$A:$O,8,FALSE)),"")</f>
        <v>5.4269999999999996</v>
      </c>
      <c r="F106" s="167">
        <f>IFERROR(IF(VLOOKUP($A106,'Annex 2 EHV charges'!$A:$O,9,FALSE)=0,"",VLOOKUP($A106,'Annex 2 EHV charges'!$A:$O,9,FALSE)),"")</f>
        <v>133.74</v>
      </c>
      <c r="G106" s="166">
        <f>IFERROR(IF(VLOOKUP($A106,'Annex 2 EHV charges'!$A:$O,10,FALSE)=0,"",VLOOKUP($A106,'Annex 2 EHV charges'!$A:$O,10,FALSE)),"")</f>
        <v>1.32</v>
      </c>
      <c r="H106" s="166">
        <f>IFERROR(IF(VLOOKUP($A106,'Annex 2 EHV charges'!$A:$O,11,FALSE)=0,"",VLOOKUP($A106,'Annex 2 EHV charges'!$A:$O,11,FALSE)),"")</f>
        <v>1.32</v>
      </c>
    </row>
    <row r="107" spans="1:8" ht="30.75" customHeight="1" x14ac:dyDescent="0.35">
      <c r="A107" s="168" t="str">
        <f t="array" ref="A107">IFERROR(INDEX('Annex 2 EHV charges'!$A$11:$A$218, MATCH(0, IF(ISBLANK('Annex 2 EHV charges'!$A$11:$A$218),1, COUNTIF(A$4:$A106, 'Annex 2 EHV charges'!$A$11:$A$218)), 0)),"")</f>
        <v>LCKFRD</v>
      </c>
      <c r="B107" s="170">
        <f>IF($A107="","",VLOOKUP($A107,'Annex 2 EHV charges'!$A:$O,2,0))</f>
        <v>886</v>
      </c>
      <c r="C107" s="171">
        <f>IF($A107="","",VLOOKUP($A107,'Annex 2 EHV charges'!$A:$O,3,0))</f>
        <v>1050000578704</v>
      </c>
      <c r="D107" s="168" t="str">
        <f>IF($A107="","",VLOOKUP($A107,'Annex 2 EHV charges'!$A:$O,7,0))</f>
        <v>LACKFORD ESTATE SOLAR PARK LIMITED</v>
      </c>
      <c r="E107" s="166">
        <f>IFERROR(IF(VLOOKUP($A107,'Annex 2 EHV charges'!$A:$O,8,FALSE)=0,"",VLOOKUP($A107,'Annex 2 EHV charges'!$A:$O,8,FALSE)),"")</f>
        <v>2.2919999999999998</v>
      </c>
      <c r="F107" s="167">
        <f>IFERROR(IF(VLOOKUP($A107,'Annex 2 EHV charges'!$A:$O,9,FALSE)=0,"",VLOOKUP($A107,'Annex 2 EHV charges'!$A:$O,9,FALSE)),"")</f>
        <v>1.1200000000000001</v>
      </c>
      <c r="G107" s="166">
        <f>IFERROR(IF(VLOOKUP($A107,'Annex 2 EHV charges'!$A:$O,10,FALSE)=0,"",VLOOKUP($A107,'Annex 2 EHV charges'!$A:$O,10,FALSE)),"")</f>
        <v>5.44</v>
      </c>
      <c r="H107" s="166">
        <f>IFERROR(IF(VLOOKUP($A107,'Annex 2 EHV charges'!$A:$O,11,FALSE)=0,"",VLOOKUP($A107,'Annex 2 EHV charges'!$A:$O,11,FALSE)),"")</f>
        <v>5.44</v>
      </c>
    </row>
    <row r="108" spans="1:8" ht="30.75" customHeight="1" x14ac:dyDescent="0.35">
      <c r="A108" s="168" t="str">
        <f t="array" ref="A108">IFERROR(INDEX('Annex 2 EHV charges'!$A$11:$A$218, MATCH(0, IF(ISBLANK('Annex 2 EHV charges'!$A$11:$A$218),1, COUNTIF(A$4:$A107, 'Annex 2 EHV charges'!$A$11:$A$218)), 0)),"")</f>
        <v>LDAHSF</v>
      </c>
      <c r="B108" s="170">
        <f>IF($A108="","",VLOOKUP($A108,'Annex 2 EHV charges'!$A:$O,2,0))</f>
        <v>888</v>
      </c>
      <c r="C108" s="171">
        <f>IF($A108="","",VLOOKUP($A108,'Annex 2 EHV charges'!$A:$O,3,0))</f>
        <v>1030083806024</v>
      </c>
      <c r="D108" s="168" t="str">
        <f>IF($A108="","",VLOOKUP($A108,'Annex 2 EHV charges'!$A:$O,7,0))</f>
        <v>HURSIT SPV1 LTD</v>
      </c>
      <c r="E108" s="166">
        <f>IFERROR(IF(VLOOKUP($A108,'Annex 2 EHV charges'!$A:$O,8,FALSE)=0,"",VLOOKUP($A108,'Annex 2 EHV charges'!$A:$O,8,FALSE)),"")</f>
        <v>1.508</v>
      </c>
      <c r="F108" s="167">
        <f>IFERROR(IF(VLOOKUP($A108,'Annex 2 EHV charges'!$A:$O,9,FALSE)=0,"",VLOOKUP($A108,'Annex 2 EHV charges'!$A:$O,9,FALSE)),"")</f>
        <v>5.8</v>
      </c>
      <c r="G108" s="166">
        <f>IFERROR(IF(VLOOKUP($A108,'Annex 2 EHV charges'!$A:$O,10,FALSE)=0,"",VLOOKUP($A108,'Annex 2 EHV charges'!$A:$O,10,FALSE)),"")</f>
        <v>3.8</v>
      </c>
      <c r="H108" s="166">
        <f>IFERROR(IF(VLOOKUP($A108,'Annex 2 EHV charges'!$A:$O,11,FALSE)=0,"",VLOOKUP($A108,'Annex 2 EHV charges'!$A:$O,11,FALSE)),"")</f>
        <v>3.8</v>
      </c>
    </row>
    <row r="109" spans="1:8" ht="30.75" customHeight="1" x14ac:dyDescent="0.35">
      <c r="A109" s="168" t="str">
        <f t="array" ref="A109">IFERROR(INDEX('Annex 2 EHV charges'!$A$11:$A$218, MATCH(0, IF(ISBLANK('Annex 2 EHV charges'!$A$11:$A$218),1, COUNTIF(A$4:$A108, 'Annex 2 EHV charges'!$A$11:$A$218)), 0)),"")</f>
        <v>LEXHSF</v>
      </c>
      <c r="B109" s="170">
        <f>IF($A109="","",VLOOKUP($A109,'Annex 2 EHV charges'!$A:$O,2,0))</f>
        <v>889</v>
      </c>
      <c r="C109" s="171">
        <f>IF($A109="","",VLOOKUP($A109,'Annex 2 EHV charges'!$A:$O,3,0))</f>
        <v>1030083805563</v>
      </c>
      <c r="D109" s="168" t="str">
        <f>IF($A109="","",VLOOKUP($A109,'Annex 2 EHV charges'!$A:$O,7,0))</f>
        <v>CLARAMOND SOLAR SPV1 LTD</v>
      </c>
      <c r="E109" s="166">
        <f>IFERROR(IF(VLOOKUP($A109,'Annex 2 EHV charges'!$A:$O,8,FALSE)=0,"",VLOOKUP($A109,'Annex 2 EHV charges'!$A:$O,8,FALSE)),"")</f>
        <v>1.758</v>
      </c>
      <c r="F109" s="167">
        <f>IFERROR(IF(VLOOKUP($A109,'Annex 2 EHV charges'!$A:$O,9,FALSE)=0,"",VLOOKUP($A109,'Annex 2 EHV charges'!$A:$O,9,FALSE)),"")</f>
        <v>6.72</v>
      </c>
      <c r="G109" s="166">
        <f>IFERROR(IF(VLOOKUP($A109,'Annex 2 EHV charges'!$A:$O,10,FALSE)=0,"",VLOOKUP($A109,'Annex 2 EHV charges'!$A:$O,10,FALSE)),"")</f>
        <v>2.11</v>
      </c>
      <c r="H109" s="166">
        <f>IFERROR(IF(VLOOKUP($A109,'Annex 2 EHV charges'!$A:$O,11,FALSE)=0,"",VLOOKUP($A109,'Annex 2 EHV charges'!$A:$O,11,FALSE)),"")</f>
        <v>2.11</v>
      </c>
    </row>
    <row r="110" spans="1:8" ht="30.75" customHeight="1" x14ac:dyDescent="0.35">
      <c r="A110" s="168" t="str">
        <f t="array" ref="A110">IFERROR(INDEX('Annex 2 EHV charges'!$A$11:$A$218, MATCH(0, IF(ISBLANK('Annex 2 EHV charges'!$A$11:$A$218),1, COUNTIF(A$4:$A109, 'Annex 2 EHV charges'!$A$11:$A$218)), 0)),"")</f>
        <v>LNGFRD</v>
      </c>
      <c r="B110" s="170">
        <f>IF($A110="","",VLOOKUP($A110,'Annex 2 EHV charges'!$A:$O,2,0))</f>
        <v>521</v>
      </c>
      <c r="C110" s="171">
        <f>IF($A110="","",VLOOKUP($A110,'Annex 2 EHV charges'!$A:$O,3,0))</f>
        <v>1050000698283</v>
      </c>
      <c r="D110" s="168" t="str">
        <f>IF($A110="","",VLOOKUP($A110,'Annex 2 EHV charges'!$A:$O,7,0))</f>
        <v>LANGFORD SOLAR LIMITED</v>
      </c>
      <c r="E110" s="166">
        <f>IFERROR(IF(VLOOKUP($A110,'Annex 2 EHV charges'!$A:$O,8,FALSE)=0,"",VLOOKUP($A110,'Annex 2 EHV charges'!$A:$O,8,FALSE)),"")</f>
        <v>1.2909999999999999</v>
      </c>
      <c r="F110" s="167">
        <f>IFERROR(IF(VLOOKUP($A110,'Annex 2 EHV charges'!$A:$O,9,FALSE)=0,"",VLOOKUP($A110,'Annex 2 EHV charges'!$A:$O,9,FALSE)),"")</f>
        <v>14.03</v>
      </c>
      <c r="G110" s="166">
        <f>IFERROR(IF(VLOOKUP($A110,'Annex 2 EHV charges'!$A:$O,10,FALSE)=0,"",VLOOKUP($A110,'Annex 2 EHV charges'!$A:$O,10,FALSE)),"")</f>
        <v>4.75</v>
      </c>
      <c r="H110" s="166">
        <f>IFERROR(IF(VLOOKUP($A110,'Annex 2 EHV charges'!$A:$O,11,FALSE)=0,"",VLOOKUP($A110,'Annex 2 EHV charges'!$A:$O,11,FALSE)),"")</f>
        <v>4.75</v>
      </c>
    </row>
    <row r="111" spans="1:8" ht="30.75" customHeight="1" x14ac:dyDescent="0.35">
      <c r="A111" s="168" t="str">
        <f t="array" ref="A111">IFERROR(INDEX('Annex 2 EHV charges'!$A$11:$A$218, MATCH(0, IF(ISBLANK('Annex 2 EHV charges'!$A$11:$A$218),1, COUNTIF(A$4:$A110, 'Annex 2 EHV charges'!$A$11:$A$218)), 0)),"")</f>
        <v>LNGHO2</v>
      </c>
      <c r="B111" s="170">
        <f>IF($A111="","",VLOOKUP($A111,'Annex 2 EHV charges'!$A:$O,2,0))</f>
        <v>523</v>
      </c>
      <c r="C111" s="171">
        <f>IF($A111="","",VLOOKUP($A111,'Annex 2 EHV charges'!$A:$O,3,0))</f>
        <v>1050000802936</v>
      </c>
      <c r="D111" s="168" t="str">
        <f>IF($A111="","",VLOOKUP($A111,'Annex 2 EHV charges'!$A:$O,7,0))</f>
        <v>PUSH ENERGY (LANGENHOE) LIMITED</v>
      </c>
      <c r="E111" s="166">
        <f>IFERROR(IF(VLOOKUP($A111,'Annex 2 EHV charges'!$A:$O,8,FALSE)=0,"",VLOOKUP($A111,'Annex 2 EHV charges'!$A:$O,8,FALSE)),"")</f>
        <v>4.1040000000000001</v>
      </c>
      <c r="F111" s="167">
        <f>IFERROR(IF(VLOOKUP($A111,'Annex 2 EHV charges'!$A:$O,9,FALSE)=0,"",VLOOKUP($A111,'Annex 2 EHV charges'!$A:$O,9,FALSE)),"")</f>
        <v>22.86</v>
      </c>
      <c r="G111" s="166">
        <f>IFERROR(IF(VLOOKUP($A111,'Annex 2 EHV charges'!$A:$O,10,FALSE)=0,"",VLOOKUP($A111,'Annex 2 EHV charges'!$A:$O,10,FALSE)),"")</f>
        <v>10.25</v>
      </c>
      <c r="H111" s="166">
        <f>IFERROR(IF(VLOOKUP($A111,'Annex 2 EHV charges'!$A:$O,11,FALSE)=0,"",VLOOKUP($A111,'Annex 2 EHV charges'!$A:$O,11,FALSE)),"")</f>
        <v>10.25</v>
      </c>
    </row>
    <row r="112" spans="1:8" ht="30.75" customHeight="1" x14ac:dyDescent="0.35">
      <c r="A112" s="168" t="str">
        <f t="array" ref="A112">IFERROR(INDEX('Annex 2 EHV charges'!$A$11:$A$218, MATCH(0, IF(ISBLANK('Annex 2 EHV charges'!$A$11:$A$218),1, COUNTIF(A$4:$A111, 'Annex 2 EHV charges'!$A$11:$A$218)), 0)),"")</f>
        <v>LNGHOE</v>
      </c>
      <c r="B112" s="170">
        <f>IF($A112="","",VLOOKUP($A112,'Annex 2 EHV charges'!$A:$O,2,0))</f>
        <v>522</v>
      </c>
      <c r="C112" s="171">
        <f>IF($A112="","",VLOOKUP($A112,'Annex 2 EHV charges'!$A:$O,3,0))</f>
        <v>1050000774109</v>
      </c>
      <c r="D112" s="168" t="str">
        <f>IF($A112="","",VLOOKUP($A112,'Annex 2 EHV charges'!$A:$O,7,0))</f>
        <v>PUSH ENERGY (LANGENHOE) LIMITED</v>
      </c>
      <c r="E112" s="166">
        <f>IFERROR(IF(VLOOKUP($A112,'Annex 2 EHV charges'!$A:$O,8,FALSE)=0,"",VLOOKUP($A112,'Annex 2 EHV charges'!$A:$O,8,FALSE)),"")</f>
        <v>4.109</v>
      </c>
      <c r="F112" s="167">
        <f>IFERROR(IF(VLOOKUP($A112,'Annex 2 EHV charges'!$A:$O,9,FALSE)=0,"",VLOOKUP($A112,'Annex 2 EHV charges'!$A:$O,9,FALSE)),"")</f>
        <v>33.909999999999997</v>
      </c>
      <c r="G112" s="166">
        <f>IFERROR(IF(VLOOKUP($A112,'Annex 2 EHV charges'!$A:$O,10,FALSE)=0,"",VLOOKUP($A112,'Annex 2 EHV charges'!$A:$O,10,FALSE)),"")</f>
        <v>10.09</v>
      </c>
      <c r="H112" s="166">
        <f>IFERROR(IF(VLOOKUP($A112,'Annex 2 EHV charges'!$A:$O,11,FALSE)=0,"",VLOOKUP($A112,'Annex 2 EHV charges'!$A:$O,11,FALSE)),"")</f>
        <v>10.09</v>
      </c>
    </row>
    <row r="113" spans="1:8" ht="30.75" customHeight="1" x14ac:dyDescent="0.35">
      <c r="A113" s="168" t="str">
        <f t="array" ref="A113">IFERROR(INDEX('Annex 2 EHV charges'!$A$11:$A$218, MATCH(0, IF(ISBLANK('Annex 2 EHV charges'!$A$11:$A$218),1, COUNTIF(A$4:$A112, 'Annex 2 EHV charges'!$A$11:$A$218)), 0)),"")</f>
        <v>LONWST</v>
      </c>
      <c r="B113" s="170">
        <f>IF($A113="","",VLOOKUP($A113,'Annex 2 EHV charges'!$A:$O,2,0))</f>
        <v>826</v>
      </c>
      <c r="C113" s="171">
        <f>IF($A113="","",VLOOKUP($A113,'Annex 2 EHV charges'!$A:$O,3,0))</f>
        <v>1023497360519</v>
      </c>
      <c r="D113" s="168" t="str">
        <f>IF($A113="","",VLOOKUP($A113,'Annex 2 EHV charges'!$A:$O,7,0))</f>
        <v>LONDON WASTE LTD</v>
      </c>
      <c r="E113" s="166">
        <f>IFERROR(IF(VLOOKUP($A113,'Annex 2 EHV charges'!$A:$O,8,FALSE)=0,"",VLOOKUP($A113,'Annex 2 EHV charges'!$A:$O,8,FALSE)),"")</f>
        <v>4.0000000000000001E-3</v>
      </c>
      <c r="F113" s="167">
        <f>IFERROR(IF(VLOOKUP($A113,'Annex 2 EHV charges'!$A:$O,9,FALSE)=0,"",VLOOKUP($A113,'Annex 2 EHV charges'!$A:$O,9,FALSE)),"")</f>
        <v>161.26</v>
      </c>
      <c r="G113" s="166">
        <f>IFERROR(IF(VLOOKUP($A113,'Annex 2 EHV charges'!$A:$O,10,FALSE)=0,"",VLOOKUP($A113,'Annex 2 EHV charges'!$A:$O,10,FALSE)),"")</f>
        <v>1.05</v>
      </c>
      <c r="H113" s="166">
        <f>IFERROR(IF(VLOOKUP($A113,'Annex 2 EHV charges'!$A:$O,11,FALSE)=0,"",VLOOKUP($A113,'Annex 2 EHV charges'!$A:$O,11,FALSE)),"")</f>
        <v>1.05</v>
      </c>
    </row>
    <row r="114" spans="1:8" ht="30.75" customHeight="1" x14ac:dyDescent="0.35">
      <c r="A114" s="168" t="str">
        <f t="array" ref="A114">IFERROR(INDEX('Annex 2 EHV charges'!$A$11:$A$218, MATCH(0, IF(ISBLANK('Annex 2 EHV charges'!$A$11:$A$218),1, COUNTIF(A$4:$A113, 'Annex 2 EHV charges'!$A$11:$A$218)), 0)),"")</f>
        <v>LS&amp;E_N</v>
      </c>
      <c r="B114" s="170">
        <f>IF($A114="","",VLOOKUP($A114,'Annex 2 EHV charges'!$A:$O,2,0))</f>
        <v>823</v>
      </c>
      <c r="C114" s="171" t="str">
        <f>IF($A114="","",VLOOKUP($A114,'Annex 2 EHV charges'!$A:$O,3,0))</f>
        <v>1023477604661
1014568599280</v>
      </c>
      <c r="D114" s="168" t="str">
        <f>IF($A114="","",VLOOKUP($A114,'Annex 2 EHV charges'!$A:$O,7,0))</f>
        <v>A T B LAURENCE SCOTT LTD</v>
      </c>
      <c r="E114" s="166">
        <f>IFERROR(IF(VLOOKUP($A114,'Annex 2 EHV charges'!$A:$O,8,FALSE)=0,"",VLOOKUP($A114,'Annex 2 EHV charges'!$A:$O,8,FALSE)),"")</f>
        <v>0.08</v>
      </c>
      <c r="F114" s="167">
        <f>IFERROR(IF(VLOOKUP($A114,'Annex 2 EHV charges'!$A:$O,9,FALSE)=0,"",VLOOKUP($A114,'Annex 2 EHV charges'!$A:$O,9,FALSE)),"")</f>
        <v>1545.86</v>
      </c>
      <c r="G114" s="166">
        <f>IFERROR(IF(VLOOKUP($A114,'Annex 2 EHV charges'!$A:$O,10,FALSE)=0,"",VLOOKUP($A114,'Annex 2 EHV charges'!$A:$O,10,FALSE)),"")</f>
        <v>1.26</v>
      </c>
      <c r="H114" s="166">
        <f>IFERROR(IF(VLOOKUP($A114,'Annex 2 EHV charges'!$A:$O,11,FALSE)=0,"",VLOOKUP($A114,'Annex 2 EHV charges'!$A:$O,11,FALSE)),"")</f>
        <v>1.26</v>
      </c>
    </row>
    <row r="115" spans="1:8" ht="30.75" customHeight="1" x14ac:dyDescent="0.35">
      <c r="A115" s="168" t="str">
        <f t="array" ref="A115">IFERROR(INDEX('Annex 2 EHV charges'!$A$11:$A$218, MATCH(0, IF(ISBLANK('Annex 2 EHV charges'!$A$11:$A$218),1, COUNTIF(A$4:$A114, 'Annex 2 EHV charges'!$A$11:$A$218)), 0)),"")</f>
        <v>LU_FIN</v>
      </c>
      <c r="B115" s="170">
        <f>IF($A115="","",VLOOKUP($A115,'Annex 2 EHV charges'!$A:$O,2,0))</f>
        <v>825</v>
      </c>
      <c r="C115" s="171" t="str">
        <f>IF($A115="","",VLOOKUP($A115,'Annex 2 EHV charges'!$A:$O,3,0))</f>
        <v>1023478728447
1023478728907</v>
      </c>
      <c r="D115" s="168" t="str">
        <f>IF($A115="","",VLOOKUP($A115,'Annex 2 EHV charges'!$A:$O,7,0))</f>
        <v>TFL LONDON UNDERGROUND (BSP)</v>
      </c>
      <c r="E115" s="166">
        <f>IFERROR(IF(VLOOKUP($A115,'Annex 2 EHV charges'!$A:$O,8,FALSE)=0,"",VLOOKUP($A115,'Annex 2 EHV charges'!$A:$O,8,FALSE)),"")</f>
        <v>0.81499999999999995</v>
      </c>
      <c r="F115" s="167">
        <f>IFERROR(IF(VLOOKUP($A115,'Annex 2 EHV charges'!$A:$O,9,FALSE)=0,"",VLOOKUP($A115,'Annex 2 EHV charges'!$A:$O,9,FALSE)),"")</f>
        <v>511.57</v>
      </c>
      <c r="G115" s="166">
        <f>IFERROR(IF(VLOOKUP($A115,'Annex 2 EHV charges'!$A:$O,10,FALSE)=0,"",VLOOKUP($A115,'Annex 2 EHV charges'!$A:$O,10,FALSE)),"")</f>
        <v>2.41</v>
      </c>
      <c r="H115" s="166">
        <f>IFERROR(IF(VLOOKUP($A115,'Annex 2 EHV charges'!$A:$O,11,FALSE)=0,"",VLOOKUP($A115,'Annex 2 EHV charges'!$A:$O,11,FALSE)),"")</f>
        <v>2.41</v>
      </c>
    </row>
    <row r="116" spans="1:8" ht="51" x14ac:dyDescent="0.35">
      <c r="A116" s="168" t="str">
        <f t="array" ref="A116">IFERROR(INDEX('Annex 2 EHV charges'!$A$11:$A$218, MATCH(0, IF(ISBLANK('Annex 2 EHV charges'!$A$11:$A$218),1, COUNTIF(A$4:$A115, 'Annex 2 EHV charges'!$A$11:$A$218)), 0)),"")</f>
        <v>LU_MHO</v>
      </c>
      <c r="B116" s="170">
        <f>IF($A116="","",VLOOKUP($A116,'Annex 2 EHV charges'!$A:$O,2,0))</f>
        <v>864</v>
      </c>
      <c r="C116" s="171" t="str">
        <f>IF($A116="","",VLOOKUP($A116,'Annex 2 EHV charges'!$A:$O,3,0))</f>
        <v>1030059686387
1030060990025
1030060990257
1030060990489</v>
      </c>
      <c r="D116" s="168" t="str">
        <f>IF($A116="","",VLOOKUP($A116,'Annex 2 EHV charges'!$A:$O,7,0))</f>
        <v>TFL LONDON UNDERGROUND (BSP)</v>
      </c>
      <c r="E116" s="166" t="str">
        <f>IFERROR(IF(VLOOKUP($A116,'Annex 2 EHV charges'!$A:$O,8,FALSE)=0,"",VLOOKUP($A116,'Annex 2 EHV charges'!$A:$O,8,FALSE)),"")</f>
        <v/>
      </c>
      <c r="F116" s="167">
        <f>IFERROR(IF(VLOOKUP($A116,'Annex 2 EHV charges'!$A:$O,9,FALSE)=0,"",VLOOKUP($A116,'Annex 2 EHV charges'!$A:$O,9,FALSE)),"")</f>
        <v>46140.7</v>
      </c>
      <c r="G116" s="166">
        <f>IFERROR(IF(VLOOKUP($A116,'Annex 2 EHV charges'!$A:$O,10,FALSE)=0,"",VLOOKUP($A116,'Annex 2 EHV charges'!$A:$O,10,FALSE)),"")</f>
        <v>2.1</v>
      </c>
      <c r="H116" s="166">
        <f>IFERROR(IF(VLOOKUP($A116,'Annex 2 EHV charges'!$A:$O,11,FALSE)=0,"",VLOOKUP($A116,'Annex 2 EHV charges'!$A:$O,11,FALSE)),"")</f>
        <v>2.1</v>
      </c>
    </row>
    <row r="117" spans="1:8" ht="51" x14ac:dyDescent="0.35">
      <c r="A117" s="168" t="str">
        <f t="array" ref="A117">IFERROR(INDEX('Annex 2 EHV charges'!$A$11:$A$218, MATCH(0, IF(ISBLANK('Annex 2 EHV charges'!$A$11:$A$218),1, COUNTIF(A$4:$A116, 'Annex 2 EHV charges'!$A$11:$A$218)), 0)),"")</f>
        <v>LU_NEA</v>
      </c>
      <c r="B117" s="170">
        <f>IF($A117="","",VLOOKUP($A117,'Annex 2 EHV charges'!$A:$O,2,0))</f>
        <v>798</v>
      </c>
      <c r="C117" s="171" t="str">
        <f>IF($A117="","",VLOOKUP($A117,'Annex 2 EHV charges'!$A:$O,3,0))</f>
        <v>1050000907391
1050000907407
1050000907416
1050000907443</v>
      </c>
      <c r="D117" s="168" t="str">
        <f>IF($A117="","",VLOOKUP($A117,'Annex 2 EHV charges'!$A:$O,7,0))</f>
        <v>LONDON UNDERGROUND</v>
      </c>
      <c r="E117" s="166" t="str">
        <f>IFERROR(IF(VLOOKUP($A117,'Annex 2 EHV charges'!$A:$O,8,FALSE)=0,"",VLOOKUP($A117,'Annex 2 EHV charges'!$A:$O,8,FALSE)),"")</f>
        <v/>
      </c>
      <c r="F117" s="167">
        <f>IFERROR(IF(VLOOKUP($A117,'Annex 2 EHV charges'!$A:$O,9,FALSE)=0,"",VLOOKUP($A117,'Annex 2 EHV charges'!$A:$O,9,FALSE)),"")</f>
        <v>49865.5</v>
      </c>
      <c r="G117" s="166">
        <f>IFERROR(IF(VLOOKUP($A117,'Annex 2 EHV charges'!$A:$O,10,FALSE)=0,"",VLOOKUP($A117,'Annex 2 EHV charges'!$A:$O,10,FALSE)),"")</f>
        <v>1.42</v>
      </c>
      <c r="H117" s="166">
        <f>IFERROR(IF(VLOOKUP($A117,'Annex 2 EHV charges'!$A:$O,11,FALSE)=0,"",VLOOKUP($A117,'Annex 2 EHV charges'!$A:$O,11,FALSE)),"")</f>
        <v>1.42</v>
      </c>
    </row>
    <row r="118" spans="1:8" x14ac:dyDescent="0.35">
      <c r="A118" s="168" t="str">
        <f t="array" ref="A118">IFERROR(INDEX('Annex 2 EHV charges'!$A$11:$A$218, MATCH(0, IF(ISBLANK('Annex 2 EHV charges'!$A$11:$A$218),1, COUNTIF(A$4:$A117, 'Annex 2 EHV charges'!$A$11:$A$218)), 0)),"")</f>
        <v>MANORF</v>
      </c>
      <c r="B118" s="170">
        <f>IF($A118="","",VLOOKUP($A118,'Annex 2 EHV charges'!$A:$O,2,0))</f>
        <v>524</v>
      </c>
      <c r="C118" s="171">
        <f>IF($A118="","",VLOOKUP($A118,'Annex 2 EHV charges'!$A:$O,3,0))</f>
        <v>1050000843640</v>
      </c>
      <c r="D118" s="168" t="str">
        <f>IF($A118="","",VLOOKUP($A118,'Annex 2 EHV charges'!$A:$O,7,0))</f>
        <v>LIGHTSOURCE SPV 106 LIMITED</v>
      </c>
      <c r="E118" s="166">
        <f>IFERROR(IF(VLOOKUP($A118,'Annex 2 EHV charges'!$A:$O,8,FALSE)=0,"",VLOOKUP($A118,'Annex 2 EHV charges'!$A:$O,8,FALSE)),"")</f>
        <v>3.0000000000000001E-3</v>
      </c>
      <c r="F118" s="167">
        <f>IFERROR(IF(VLOOKUP($A118,'Annex 2 EHV charges'!$A:$O,9,FALSE)=0,"",VLOOKUP($A118,'Annex 2 EHV charges'!$A:$O,9,FALSE)),"")</f>
        <v>49.26</v>
      </c>
      <c r="G118" s="166">
        <f>IFERROR(IF(VLOOKUP($A118,'Annex 2 EHV charges'!$A:$O,10,FALSE)=0,"",VLOOKUP($A118,'Annex 2 EHV charges'!$A:$O,10,FALSE)),"")</f>
        <v>6.55</v>
      </c>
      <c r="H118" s="166">
        <f>IFERROR(IF(VLOOKUP($A118,'Annex 2 EHV charges'!$A:$O,11,FALSE)=0,"",VLOOKUP($A118,'Annex 2 EHV charges'!$A:$O,11,FALSE)),"")</f>
        <v>6.55</v>
      </c>
    </row>
    <row r="119" spans="1:8" ht="30.75" customHeight="1" x14ac:dyDescent="0.35">
      <c r="A119" s="168" t="str">
        <f t="array" ref="A119">IFERROR(INDEX('Annex 2 EHV charges'!$A$11:$A$218, MATCH(0, IF(ISBLANK('Annex 2 EHV charges'!$A$11:$A$218),1, COUNTIF(A$4:$A118, 'Annex 2 EHV charges'!$A$11:$A$218)), 0)),"")</f>
        <v>MANRFM</v>
      </c>
      <c r="B119" s="170">
        <f>IF($A119="","",VLOOKUP($A119,'Annex 2 EHV charges'!$A:$O,2,0))</f>
        <v>796</v>
      </c>
      <c r="C119" s="171">
        <f>IF($A119="","",VLOOKUP($A119,'Annex 2 EHV charges'!$A:$O,3,0))</f>
        <v>1050000961361</v>
      </c>
      <c r="D119" s="168" t="str">
        <f>IF($A119="","",VLOOKUP($A119,'Annex 2 EHV charges'!$A:$O,7,0))</f>
        <v>PS MANOR FARM SOLAR LIMITED</v>
      </c>
      <c r="E119" s="166">
        <f>IFERROR(IF(VLOOKUP($A119,'Annex 2 EHV charges'!$A:$O,8,FALSE)=0,"",VLOOKUP($A119,'Annex 2 EHV charges'!$A:$O,8,FALSE)),"")</f>
        <v>0.441</v>
      </c>
      <c r="F119" s="167">
        <f>IFERROR(IF(VLOOKUP($A119,'Annex 2 EHV charges'!$A:$O,9,FALSE)=0,"",VLOOKUP($A119,'Annex 2 EHV charges'!$A:$O,9,FALSE)),"")</f>
        <v>15.6</v>
      </c>
      <c r="G119" s="166">
        <f>IFERROR(IF(VLOOKUP($A119,'Annex 2 EHV charges'!$A:$O,10,FALSE)=0,"",VLOOKUP($A119,'Annex 2 EHV charges'!$A:$O,10,FALSE)),"")</f>
        <v>3.77</v>
      </c>
      <c r="H119" s="166">
        <f>IFERROR(IF(VLOOKUP($A119,'Annex 2 EHV charges'!$A:$O,11,FALSE)=0,"",VLOOKUP($A119,'Annex 2 EHV charges'!$A:$O,11,FALSE)),"")</f>
        <v>3.77</v>
      </c>
    </row>
    <row r="120" spans="1:8" ht="30.75" customHeight="1" x14ac:dyDescent="0.35">
      <c r="A120" s="168" t="str">
        <f t="array" ref="A120">IFERROR(INDEX('Annex 2 EHV charges'!$A$11:$A$218, MATCH(0, IF(ISBLANK('Annex 2 EHV charges'!$A$11:$A$218),1, COUNTIF(A$4:$A119, 'Annex 2 EHV charges'!$A$11:$A$218)), 0)),"")</f>
        <v>MDLWCK</v>
      </c>
      <c r="B120" s="170">
        <f>IF($A120="","",VLOOKUP($A120,'Annex 2 EHV charges'!$A:$O,2,0))</f>
        <v>892</v>
      </c>
      <c r="C120" s="171">
        <f>IF($A120="","",VLOOKUP($A120,'Annex 2 EHV charges'!$A:$O,3,0))</f>
        <v>1050000543223</v>
      </c>
      <c r="D120" s="168" t="str">
        <f>IF($A120="","",VLOOKUP($A120,'Annex 2 EHV charges'!$A:$O,7,0))</f>
        <v>MIDDLEWICK WIND FARM LTD</v>
      </c>
      <c r="E120" s="166">
        <f>IFERROR(IF(VLOOKUP($A120,'Annex 2 EHV charges'!$A:$O,8,FALSE)=0,"",VLOOKUP($A120,'Annex 2 EHV charges'!$A:$O,8,FALSE)),"")</f>
        <v>2.6190000000000002</v>
      </c>
      <c r="F120" s="167">
        <f>IFERROR(IF(VLOOKUP($A120,'Annex 2 EHV charges'!$A:$O,9,FALSE)=0,"",VLOOKUP($A120,'Annex 2 EHV charges'!$A:$O,9,FALSE)),"")</f>
        <v>37.18</v>
      </c>
      <c r="G120" s="166">
        <f>IFERROR(IF(VLOOKUP($A120,'Annex 2 EHV charges'!$A:$O,10,FALSE)=0,"",VLOOKUP($A120,'Annex 2 EHV charges'!$A:$O,10,FALSE)),"")</f>
        <v>2.58</v>
      </c>
      <c r="H120" s="166">
        <f>IFERROR(IF(VLOOKUP($A120,'Annex 2 EHV charges'!$A:$O,11,FALSE)=0,"",VLOOKUP($A120,'Annex 2 EHV charges'!$A:$O,11,FALSE)),"")</f>
        <v>2.58</v>
      </c>
    </row>
    <row r="121" spans="1:8" ht="30.75" customHeight="1" x14ac:dyDescent="0.35">
      <c r="A121" s="168" t="str">
        <f t="array" ref="A121">IFERROR(INDEX('Annex 2 EHV charges'!$A$11:$A$218, MATCH(0, IF(ISBLANK('Annex 2 EHV charges'!$A$11:$A$218),1, COUNTIF(A$4:$A120, 'Annex 2 EHV charges'!$A$11:$A$218)), 0)),"")</f>
        <v>MDWFRM</v>
      </c>
      <c r="B121" s="170">
        <f>IF($A121="","",VLOOKUP($A121,'Annex 2 EHV charges'!$A:$O,2,0))</f>
        <v>891</v>
      </c>
      <c r="C121" s="171">
        <f>IF($A121="","",VLOOKUP($A121,'Annex 2 EHV charges'!$A:$O,3,0))</f>
        <v>1050000589956</v>
      </c>
      <c r="D121" s="168" t="str">
        <f>IF($A121="","",VLOOKUP($A121,'Annex 2 EHV charges'!$A:$O,7,0))</f>
        <v>LIGHTSOURCE SPV 53 LTD</v>
      </c>
      <c r="E121" s="166">
        <f>IFERROR(IF(VLOOKUP($A121,'Annex 2 EHV charges'!$A:$O,8,FALSE)=0,"",VLOOKUP($A121,'Annex 2 EHV charges'!$A:$O,8,FALSE)),"")</f>
        <v>1.2210000000000001</v>
      </c>
      <c r="F121" s="167">
        <f>IFERROR(IF(VLOOKUP($A121,'Annex 2 EHV charges'!$A:$O,9,FALSE)=0,"",VLOOKUP($A121,'Annex 2 EHV charges'!$A:$O,9,FALSE)),"")</f>
        <v>3.56</v>
      </c>
      <c r="G121" s="166">
        <f>IFERROR(IF(VLOOKUP($A121,'Annex 2 EHV charges'!$A:$O,10,FALSE)=0,"",VLOOKUP($A121,'Annex 2 EHV charges'!$A:$O,10,FALSE)),"")</f>
        <v>3.13</v>
      </c>
      <c r="H121" s="166">
        <f>IFERROR(IF(VLOOKUP($A121,'Annex 2 EHV charges'!$A:$O,11,FALSE)=0,"",VLOOKUP($A121,'Annex 2 EHV charges'!$A:$O,11,FALSE)),"")</f>
        <v>3.13</v>
      </c>
    </row>
    <row r="122" spans="1:8" ht="30.75" customHeight="1" x14ac:dyDescent="0.35">
      <c r="A122" s="168" t="str">
        <f t="array" ref="A122">IFERROR(INDEX('Annex 2 EHV charges'!$A$11:$A$218, MATCH(0, IF(ISBLANK('Annex 2 EHV charges'!$A$11:$A$218),1, COUNTIF(A$4:$A121, 'Annex 2 EHV charges'!$A$11:$A$218)), 0)),"")</f>
        <v>MELBRN</v>
      </c>
      <c r="B122" s="170">
        <f>IF($A122="","",VLOOKUP($A122,'Annex 2 EHV charges'!$A:$O,2,0))</f>
        <v>537</v>
      </c>
      <c r="C122" s="171">
        <f>IF($A122="","",VLOOKUP($A122,'Annex 2 EHV charges'!$A:$O,3,0))</f>
        <v>1050000810928</v>
      </c>
      <c r="D122" s="168" t="str">
        <f>IF($A122="","",VLOOKUP($A122,'Annex 2 EHV charges'!$A:$O,7,0))</f>
        <v>MELBOURN SOLAR (MUNCEY &amp; BLACK PEAK)</v>
      </c>
      <c r="E122" s="166" t="str">
        <f>IFERROR(IF(VLOOKUP($A122,'Annex 2 EHV charges'!$A:$O,8,FALSE)=0,"",VLOOKUP($A122,'Annex 2 EHV charges'!$A:$O,8,FALSE)),"")</f>
        <v/>
      </c>
      <c r="F122" s="167">
        <f>IFERROR(IF(VLOOKUP($A122,'Annex 2 EHV charges'!$A:$O,9,FALSE)=0,"",VLOOKUP($A122,'Annex 2 EHV charges'!$A:$O,9,FALSE)),"")</f>
        <v>8.6999999999999993</v>
      </c>
      <c r="G122" s="166">
        <f>IFERROR(IF(VLOOKUP($A122,'Annex 2 EHV charges'!$A:$O,10,FALSE)=0,"",VLOOKUP($A122,'Annex 2 EHV charges'!$A:$O,10,FALSE)),"")</f>
        <v>2.23</v>
      </c>
      <c r="H122" s="166">
        <f>IFERROR(IF(VLOOKUP($A122,'Annex 2 EHV charges'!$A:$O,11,FALSE)=0,"",VLOOKUP($A122,'Annex 2 EHV charges'!$A:$O,11,FALSE)),"")</f>
        <v>2.23</v>
      </c>
    </row>
    <row r="123" spans="1:8" ht="30.75" customHeight="1" x14ac:dyDescent="0.35">
      <c r="A123" s="168" t="str">
        <f t="array" ref="A123">IFERROR(INDEX('Annex 2 EHV charges'!$A$11:$A$218, MATCH(0, IF(ISBLANK('Annex 2 EHV charges'!$A$11:$A$218),1, COUNTIF(A$4:$A122, 'Annex 2 EHV charges'!$A$11:$A$218)), 0)),"")</f>
        <v>MILH_C</v>
      </c>
      <c r="B123" s="170">
        <f>IF($A123="","",VLOOKUP($A123,'Annex 2 EHV charges'!$A:$O,2,0))</f>
        <v>1638</v>
      </c>
      <c r="C123" s="171" t="str">
        <f>IF($A123="","",VLOOKUP($A123,'Annex 2 EHV charges'!$A:$O,3,0))</f>
        <v xml:space="preserve"> MSID: 1638</v>
      </c>
      <c r="D123" s="168" t="str">
        <f>IF($A123="","",VLOOKUP($A123,'Annex 2 EHV charges'!$A:$O,7,0))</f>
        <v>UK POWER NETWORKS</v>
      </c>
      <c r="E123" s="166" t="str">
        <f>IFERROR(IF(VLOOKUP($A123,'Annex 2 EHV charges'!$A:$O,8,FALSE)=0,"",VLOOKUP($A123,'Annex 2 EHV charges'!$A:$O,8,FALSE)),"")</f>
        <v/>
      </c>
      <c r="F123" s="167" t="str">
        <f>IFERROR(IF(VLOOKUP($A123,'Annex 2 EHV charges'!$A:$O,9,FALSE)=0,"",VLOOKUP($A123,'Annex 2 EHV charges'!$A:$O,9,FALSE)),"")</f>
        <v/>
      </c>
      <c r="G123" s="166">
        <f>IFERROR(IF(VLOOKUP($A123,'Annex 2 EHV charges'!$A:$O,10,FALSE)=0,"",VLOOKUP($A123,'Annex 2 EHV charges'!$A:$O,10,FALSE)),"")</f>
        <v>0.81</v>
      </c>
      <c r="H123" s="166">
        <f>IFERROR(IF(VLOOKUP($A123,'Annex 2 EHV charges'!$A:$O,11,FALSE)=0,"",VLOOKUP($A123,'Annex 2 EHV charges'!$A:$O,11,FALSE)),"")</f>
        <v>0.81</v>
      </c>
    </row>
    <row r="124" spans="1:8" ht="30.75" customHeight="1" x14ac:dyDescent="0.35">
      <c r="A124" s="168" t="str">
        <f t="array" ref="A124">IFERROR(INDEX('Annex 2 EHV charges'!$A$11:$A$218, MATCH(0, IF(ISBLANK('Annex 2 EHV charges'!$A$11:$A$218),1, COUNTIF(A$4:$A123, 'Annex 2 EHV charges'!$A$11:$A$218)), 0)),"")</f>
        <v>MINGAY</v>
      </c>
      <c r="B124" s="170">
        <f>IF($A124="","",VLOOKUP($A124,'Annex 2 EHV charges'!$A:$O,2,0))</f>
        <v>893</v>
      </c>
      <c r="C124" s="171">
        <f>IF($A124="","",VLOOKUP($A124,'Annex 2 EHV charges'!$A:$O,3,0))</f>
        <v>1050000574667</v>
      </c>
      <c r="D124" s="168" t="str">
        <f>IF($A124="","",VLOOKUP($A124,'Annex 2 EHV charges'!$A:$O,7,0))</f>
        <v>MINGAY FARM LTD</v>
      </c>
      <c r="E124" s="166">
        <f>IFERROR(IF(VLOOKUP($A124,'Annex 2 EHV charges'!$A:$O,8,FALSE)=0,"",VLOOKUP($A124,'Annex 2 EHV charges'!$A:$O,8,FALSE)),"")</f>
        <v>6.5000000000000002E-2</v>
      </c>
      <c r="F124" s="167">
        <f>IFERROR(IF(VLOOKUP($A124,'Annex 2 EHV charges'!$A:$O,9,FALSE)=0,"",VLOOKUP($A124,'Annex 2 EHV charges'!$A:$O,9,FALSE)),"")</f>
        <v>3.54</v>
      </c>
      <c r="G124" s="166">
        <f>IFERROR(IF(VLOOKUP($A124,'Annex 2 EHV charges'!$A:$O,10,FALSE)=0,"",VLOOKUP($A124,'Annex 2 EHV charges'!$A:$O,10,FALSE)),"")</f>
        <v>4.59</v>
      </c>
      <c r="H124" s="166">
        <f>IFERROR(IF(VLOOKUP($A124,'Annex 2 EHV charges'!$A:$O,11,FALSE)=0,"",VLOOKUP($A124,'Annex 2 EHV charges'!$A:$O,11,FALSE)),"")</f>
        <v>4.59</v>
      </c>
    </row>
    <row r="125" spans="1:8" ht="30.75" customHeight="1" x14ac:dyDescent="0.35">
      <c r="A125" s="168" t="str">
        <f t="array" ref="A125">IFERROR(INDEX('Annex 2 EHV charges'!$A$11:$A$218, MATCH(0, IF(ISBLANK('Annex 2 EHV charges'!$A$11:$A$218),1, COUNTIF(A$4:$A124, 'Annex 2 EHV charges'!$A$11:$A$218)), 0)),"")</f>
        <v>MLVLCM</v>
      </c>
      <c r="B125" s="170">
        <f>IF($A125="","",VLOOKUP($A125,'Annex 2 EHV charges'!$A:$O,2,0))</f>
        <v>771</v>
      </c>
      <c r="C125" s="171">
        <f>IF($A125="","",VLOOKUP($A125,'Annex 2 EHV charges'!$A:$O,3,0))</f>
        <v>1030062915127</v>
      </c>
      <c r="D125" s="168" t="str">
        <f>IF($A125="","",VLOOKUP($A125,'Annex 2 EHV charges'!$A:$O,7,0))</f>
        <v>ANGLIA FARMERS LIMITED</v>
      </c>
      <c r="E125" s="166">
        <f>IFERROR(IF(VLOOKUP($A125,'Annex 2 EHV charges'!$A:$O,8,FALSE)=0,"",VLOOKUP($A125,'Annex 2 EHV charges'!$A:$O,8,FALSE)),"")</f>
        <v>0.82899999999999996</v>
      </c>
      <c r="F125" s="167">
        <f>IFERROR(IF(VLOOKUP($A125,'Annex 2 EHV charges'!$A:$O,9,FALSE)=0,"",VLOOKUP($A125,'Annex 2 EHV charges'!$A:$O,9,FALSE)),"")</f>
        <v>89.16</v>
      </c>
      <c r="G125" s="166">
        <f>IFERROR(IF(VLOOKUP($A125,'Annex 2 EHV charges'!$A:$O,10,FALSE)=0,"",VLOOKUP($A125,'Annex 2 EHV charges'!$A:$O,10,FALSE)),"")</f>
        <v>1.1499999999999999</v>
      </c>
      <c r="H125" s="166">
        <f>IFERROR(IF(VLOOKUP($A125,'Annex 2 EHV charges'!$A:$O,11,FALSE)=0,"",VLOOKUP($A125,'Annex 2 EHV charges'!$A:$O,11,FALSE)),"")</f>
        <v>1.1499999999999999</v>
      </c>
    </row>
    <row r="126" spans="1:8" ht="30.75" customHeight="1" x14ac:dyDescent="0.35">
      <c r="A126" s="168" t="str">
        <f t="array" ref="A126">IFERROR(INDEX('Annex 2 EHV charges'!$A$11:$A$218, MATCH(0, IF(ISBLANK('Annex 2 EHV charges'!$A$11:$A$218),1, COUNTIF(A$4:$A125, 'Annex 2 EHV charges'!$A$11:$A$218)), 0)),"")</f>
        <v>MNBRNZ</v>
      </c>
      <c r="B126" s="170">
        <f>IF($A126="","",VLOOKUP($A126,'Annex 2 EHV charges'!$A:$O,2,0))</f>
        <v>771</v>
      </c>
      <c r="C126" s="171" t="str">
        <f>IF($A126="","",VLOOKUP($A126,'Annex 2 EHV charges'!$A:$O,3,0))</f>
        <v>1014572268249
1023498487971</v>
      </c>
      <c r="D126" s="168" t="str">
        <f>IF($A126="","",VLOOKUP($A126,'Annex 2 EHV charges'!$A:$O,7,0))</f>
        <v>BOLTON AEROSPACE LTD</v>
      </c>
      <c r="E126" s="166" t="str">
        <f>IFERROR(IF(VLOOKUP($A126,'Annex 2 EHV charges'!$A:$O,8,FALSE)=0,"",VLOOKUP($A126,'Annex 2 EHV charges'!$A:$O,8,FALSE)),"")</f>
        <v/>
      </c>
      <c r="F126" s="167">
        <f>IFERROR(IF(VLOOKUP($A126,'Annex 2 EHV charges'!$A:$O,9,FALSE)=0,"",VLOOKUP($A126,'Annex 2 EHV charges'!$A:$O,9,FALSE)),"")</f>
        <v>178.32</v>
      </c>
      <c r="G126" s="166">
        <f>IFERROR(IF(VLOOKUP($A126,'Annex 2 EHV charges'!$A:$O,10,FALSE)=0,"",VLOOKUP($A126,'Annex 2 EHV charges'!$A:$O,10,FALSE)),"")</f>
        <v>2.35</v>
      </c>
      <c r="H126" s="166">
        <f>IFERROR(IF(VLOOKUP($A126,'Annex 2 EHV charges'!$A:$O,11,FALSE)=0,"",VLOOKUP($A126,'Annex 2 EHV charges'!$A:$O,11,FALSE)),"")</f>
        <v>2.35</v>
      </c>
    </row>
    <row r="127" spans="1:8" ht="30.75" customHeight="1" x14ac:dyDescent="0.35">
      <c r="A127" s="168" t="str">
        <f t="array" ref="A127">IFERROR(INDEX('Annex 2 EHV charges'!$A$11:$A$218, MATCH(0, IF(ISBLANK('Annex 2 EHV charges'!$A$11:$A$218),1, COUNTIF(A$4:$A126, 'Annex 2 EHV charges'!$A$11:$A$218)), 0)),"")</f>
        <v>MSDHOD</v>
      </c>
      <c r="B127" s="170">
        <f>IF($A127="","",VLOOKUP($A127,'Annex 2 EHV charges'!$A:$O,2,0))</f>
        <v>828</v>
      </c>
      <c r="C127" s="171" t="str">
        <f>IF($A127="","",VLOOKUP($A127,'Annex 2 EHV charges'!$A:$O,3,0))</f>
        <v>1023533706269
1023533706490</v>
      </c>
      <c r="D127" s="168" t="str">
        <f>IF($A127="","",VLOOKUP($A127,'Annex 2 EHV charges'!$A:$O,7,0))</f>
        <v>MERCK SHARP &amp; DOHME LIMITED</v>
      </c>
      <c r="E127" s="166">
        <f>IFERROR(IF(VLOOKUP($A127,'Annex 2 EHV charges'!$A:$O,8,FALSE)=0,"",VLOOKUP($A127,'Annex 2 EHV charges'!$A:$O,8,FALSE)),"")</f>
        <v>2E-3</v>
      </c>
      <c r="F127" s="167">
        <f>IFERROR(IF(VLOOKUP($A127,'Annex 2 EHV charges'!$A:$O,9,FALSE)=0,"",VLOOKUP($A127,'Annex 2 EHV charges'!$A:$O,9,FALSE)),"")</f>
        <v>3304.16</v>
      </c>
      <c r="G127" s="166">
        <f>IFERROR(IF(VLOOKUP($A127,'Annex 2 EHV charges'!$A:$O,10,FALSE)=0,"",VLOOKUP($A127,'Annex 2 EHV charges'!$A:$O,10,FALSE)),"")</f>
        <v>2.87</v>
      </c>
      <c r="H127" s="166">
        <f>IFERROR(IF(VLOOKUP($A127,'Annex 2 EHV charges'!$A:$O,11,FALSE)=0,"",VLOOKUP($A127,'Annex 2 EHV charges'!$A:$O,11,FALSE)),"")</f>
        <v>2.87</v>
      </c>
    </row>
    <row r="128" spans="1:8" ht="30.75" customHeight="1" x14ac:dyDescent="0.35">
      <c r="A128" s="168" t="str">
        <f t="array" ref="A128">IFERROR(INDEX('Annex 2 EHV charges'!$A$11:$A$218, MATCH(0, IF(ISBLANK('Annex 2 EHV charges'!$A$11:$A$218),1, COUNTIF(A$4:$A127, 'Annex 2 EHV charges'!$A$11:$A$218)), 0)),"")</f>
        <v>NEWHOL</v>
      </c>
      <c r="B128" s="170">
        <f>IF($A128="","",VLOOKUP($A128,'Annex 2 EHV charges'!$A:$O,2,0))</f>
        <v>807</v>
      </c>
      <c r="C128" s="171">
        <f>IF($A128="","",VLOOKUP($A128,'Annex 2 EHV charges'!$A:$O,3,0))</f>
        <v>1014569560220</v>
      </c>
      <c r="D128" s="168" t="str">
        <f>IF($A128="","",VLOOKUP($A128,'Annex 2 EHV charges'!$A:$O,7,0))</f>
        <v>CNH UK LIMITED</v>
      </c>
      <c r="E128" s="166">
        <f>IFERROR(IF(VLOOKUP($A128,'Annex 2 EHV charges'!$A:$O,8,FALSE)=0,"",VLOOKUP($A128,'Annex 2 EHV charges'!$A:$O,8,FALSE)),"")</f>
        <v>1.014</v>
      </c>
      <c r="F128" s="167">
        <f>IFERROR(IF(VLOOKUP($A128,'Annex 2 EHV charges'!$A:$O,9,FALSE)=0,"",VLOOKUP($A128,'Annex 2 EHV charges'!$A:$O,9,FALSE)),"")</f>
        <v>4648.75</v>
      </c>
      <c r="G128" s="166">
        <f>IFERROR(IF(VLOOKUP($A128,'Annex 2 EHV charges'!$A:$O,10,FALSE)=0,"",VLOOKUP($A128,'Annex 2 EHV charges'!$A:$O,10,FALSE)),"")</f>
        <v>2.65</v>
      </c>
      <c r="H128" s="166">
        <f>IFERROR(IF(VLOOKUP($A128,'Annex 2 EHV charges'!$A:$O,11,FALSE)=0,"",VLOOKUP($A128,'Annex 2 EHV charges'!$A:$O,11,FALSE)),"")</f>
        <v>2.65</v>
      </c>
    </row>
    <row r="129" spans="1:8" ht="51" x14ac:dyDescent="0.35">
      <c r="A129" s="168" t="str">
        <f t="array" ref="A129">IFERROR(INDEX('Annex 2 EHV charges'!$A$11:$A$218, MATCH(0, IF(ISBLANK('Annex 2 EHV charges'!$A$11:$A$218),1, COUNTIF(A$4:$A128, 'Annex 2 EHV charges'!$A$11:$A$218)), 0)),"")</f>
        <v>NEWSIL</v>
      </c>
      <c r="B129" s="170">
        <f>IF($A129="","",VLOOKUP($A129,'Annex 2 EHV charges'!$A:$O,2,0))</f>
        <v>771</v>
      </c>
      <c r="C129" s="171" t="str">
        <f>IF($A129="","",VLOOKUP($A129,'Annex 2 EHV charges'!$A:$O,3,0))</f>
        <v>1030022814396
1030022814856
1030022815089
1030022814624</v>
      </c>
      <c r="D129" s="168" t="str">
        <f>IF($A129="","",VLOOKUP($A129,'Annex 2 EHV charges'!$A:$O,7,0))</f>
        <v>NEWS UK &amp; IRELAND LIMITED</v>
      </c>
      <c r="E129" s="166">
        <f>IFERROR(IF(VLOOKUP($A129,'Annex 2 EHV charges'!$A:$O,8,FALSE)=0,"",VLOOKUP($A129,'Annex 2 EHV charges'!$A:$O,8,FALSE)),"")</f>
        <v>1E-3</v>
      </c>
      <c r="F129" s="167">
        <f>IFERROR(IF(VLOOKUP($A129,'Annex 2 EHV charges'!$A:$O,9,FALSE)=0,"",VLOOKUP($A129,'Annex 2 EHV charges'!$A:$O,9,FALSE)),"")</f>
        <v>356.64</v>
      </c>
      <c r="G129" s="166">
        <f>IFERROR(IF(VLOOKUP($A129,'Annex 2 EHV charges'!$A:$O,10,FALSE)=0,"",VLOOKUP($A129,'Annex 2 EHV charges'!$A:$O,10,FALSE)),"")</f>
        <v>1.88</v>
      </c>
      <c r="H129" s="166">
        <f>IFERROR(IF(VLOOKUP($A129,'Annex 2 EHV charges'!$A:$O,11,FALSE)=0,"",VLOOKUP($A129,'Annex 2 EHV charges'!$A:$O,11,FALSE)),"")</f>
        <v>1.88</v>
      </c>
    </row>
    <row r="130" spans="1:8" x14ac:dyDescent="0.35">
      <c r="A130" s="168" t="str">
        <f t="array" ref="A130">IFERROR(INDEX('Annex 2 EHV charges'!$A$11:$A$218, MATCH(0, IF(ISBLANK('Annex 2 EHV charges'!$A$11:$A$218),1, COUNTIF(A$4:$A129, 'Annex 2 EHV charges'!$A$11:$A$218)), 0)),"")</f>
        <v>NNFKSF</v>
      </c>
      <c r="B130" s="170">
        <f>IF($A130="","",VLOOKUP($A130,'Annex 2 EHV charges'!$A:$O,2,0))</f>
        <v>894</v>
      </c>
      <c r="C130" s="171">
        <f>IF($A130="","",VLOOKUP($A130,'Annex 2 EHV charges'!$A:$O,3,0))</f>
        <v>1050000599909</v>
      </c>
      <c r="D130" s="168" t="str">
        <f>IF($A130="","",VLOOKUP($A130,'Annex 2 EHV charges'!$A:$O,7,0))</f>
        <v>LUMICITY 1 LTD</v>
      </c>
      <c r="E130" s="166">
        <f>IFERROR(IF(VLOOKUP($A130,'Annex 2 EHV charges'!$A:$O,8,FALSE)=0,"",VLOOKUP($A130,'Annex 2 EHV charges'!$A:$O,8,FALSE)),"")</f>
        <v>5.5E-2</v>
      </c>
      <c r="F130" s="167">
        <f>IFERROR(IF(VLOOKUP($A130,'Annex 2 EHV charges'!$A:$O,9,FALSE)=0,"",VLOOKUP($A130,'Annex 2 EHV charges'!$A:$O,9,FALSE)),"")</f>
        <v>6.69</v>
      </c>
      <c r="G130" s="166">
        <f>IFERROR(IF(VLOOKUP($A130,'Annex 2 EHV charges'!$A:$O,10,FALSE)=0,"",VLOOKUP($A130,'Annex 2 EHV charges'!$A:$O,10,FALSE)),"")</f>
        <v>9.43</v>
      </c>
      <c r="H130" s="166">
        <f>IFERROR(IF(VLOOKUP($A130,'Annex 2 EHV charges'!$A:$O,11,FALSE)=0,"",VLOOKUP($A130,'Annex 2 EHV charges'!$A:$O,11,FALSE)),"")</f>
        <v>9.43</v>
      </c>
    </row>
    <row r="131" spans="1:8" ht="30.75" customHeight="1" x14ac:dyDescent="0.35">
      <c r="A131" s="168" t="str">
        <f t="array" ref="A131">IFERROR(INDEX('Annex 2 EHV charges'!$A$11:$A$218, MATCH(0, IF(ISBLANK('Annex 2 EHV charges'!$A$11:$A$218),1, COUNTIF(A$4:$A130, 'Annex 2 EHV charges'!$A$11:$A$218)), 0)),"")</f>
        <v>NR_BAS</v>
      </c>
      <c r="B131" s="170">
        <f>IF($A131="","",VLOOKUP($A131,'Annex 2 EHV charges'!$A:$O,2,0))</f>
        <v>840</v>
      </c>
      <c r="C131" s="171">
        <f>IF($A131="","",VLOOKUP($A131,'Annex 2 EHV charges'!$A:$O,3,0))</f>
        <v>1023478020044</v>
      </c>
      <c r="D131" s="168" t="str">
        <f>IF($A131="","",VLOOKUP($A131,'Annex 2 EHV charges'!$A:$O,7,0))</f>
        <v>NETWORK RAIL INFRASTRUCTURE LTD</v>
      </c>
      <c r="E131" s="166" t="str">
        <f>IFERROR(IF(VLOOKUP($A131,'Annex 2 EHV charges'!$A:$O,8,FALSE)=0,"",VLOOKUP($A131,'Annex 2 EHV charges'!$A:$O,8,FALSE)),"")</f>
        <v/>
      </c>
      <c r="F131" s="167">
        <f>IFERROR(IF(VLOOKUP($A131,'Annex 2 EHV charges'!$A:$O,9,FALSE)=0,"",VLOOKUP($A131,'Annex 2 EHV charges'!$A:$O,9,FALSE)),"")</f>
        <v>6868.49</v>
      </c>
      <c r="G131" s="166">
        <f>IFERROR(IF(VLOOKUP($A131,'Annex 2 EHV charges'!$A:$O,10,FALSE)=0,"",VLOOKUP($A131,'Annex 2 EHV charges'!$A:$O,10,FALSE)),"")</f>
        <v>3.24</v>
      </c>
      <c r="H131" s="166">
        <f>IFERROR(IF(VLOOKUP($A131,'Annex 2 EHV charges'!$A:$O,11,FALSE)=0,"",VLOOKUP($A131,'Annex 2 EHV charges'!$A:$O,11,FALSE)),"")</f>
        <v>3.24</v>
      </c>
    </row>
    <row r="132" spans="1:8" ht="30.75" customHeight="1" x14ac:dyDescent="0.35">
      <c r="A132" s="168" t="str">
        <f t="array" ref="A132">IFERROR(INDEX('Annex 2 EHV charges'!$A$11:$A$218, MATCH(0, IF(ISBLANK('Annex 2 EHV charges'!$A$11:$A$218),1, COUNTIF(A$4:$A131, 'Annex 2 EHV charges'!$A$11:$A$218)), 0)),"")</f>
        <v>NR_COL</v>
      </c>
      <c r="B132" s="170">
        <f>IF($A132="","",VLOOKUP($A132,'Annex 2 EHV charges'!$A:$O,2,0))</f>
        <v>842</v>
      </c>
      <c r="C132" s="171" t="str">
        <f>IF($A132="","",VLOOKUP($A132,'Annex 2 EHV charges'!$A:$O,3,0))</f>
        <v xml:space="preserve">1014572898446
1030076303426 </v>
      </c>
      <c r="D132" s="168" t="str">
        <f>IF($A132="","",VLOOKUP($A132,'Annex 2 EHV charges'!$A:$O,7,0))</f>
        <v>NETWORK RAIL INFRASTRUCTURE LTD</v>
      </c>
      <c r="E132" s="166">
        <f>IFERROR(IF(VLOOKUP($A132,'Annex 2 EHV charges'!$A:$O,8,FALSE)=0,"",VLOOKUP($A132,'Annex 2 EHV charges'!$A:$O,8,FALSE)),"")</f>
        <v>1E-3</v>
      </c>
      <c r="F132" s="167">
        <f>IFERROR(IF(VLOOKUP($A132,'Annex 2 EHV charges'!$A:$O,9,FALSE)=0,"",VLOOKUP($A132,'Annex 2 EHV charges'!$A:$O,9,FALSE)),"")</f>
        <v>5396.68</v>
      </c>
      <c r="G132" s="166">
        <f>IFERROR(IF(VLOOKUP($A132,'Annex 2 EHV charges'!$A:$O,10,FALSE)=0,"",VLOOKUP($A132,'Annex 2 EHV charges'!$A:$O,10,FALSE)),"")</f>
        <v>6.36</v>
      </c>
      <c r="H132" s="166">
        <f>IFERROR(IF(VLOOKUP($A132,'Annex 2 EHV charges'!$A:$O,11,FALSE)=0,"",VLOOKUP($A132,'Annex 2 EHV charges'!$A:$O,11,FALSE)),"")</f>
        <v>6.36</v>
      </c>
    </row>
    <row r="133" spans="1:8" ht="30.75" customHeight="1" x14ac:dyDescent="0.35">
      <c r="A133" s="168" t="str">
        <f t="array" ref="A133">IFERROR(INDEX('Annex 2 EHV charges'!$A$11:$A$218, MATCH(0, IF(ISBLANK('Annex 2 EHV charges'!$A$11:$A$218),1, COUNTIF(A$4:$A132, 'Annex 2 EHV charges'!$A$11:$A$218)), 0)),"")</f>
        <v>NR_CRW</v>
      </c>
      <c r="B133" s="170">
        <f>IF($A133="","",VLOOKUP($A133,'Annex 2 EHV charges'!$A:$O,2,0))</f>
        <v>843</v>
      </c>
      <c r="C133" s="171">
        <f>IF($A133="","",VLOOKUP($A133,'Annex 2 EHV charges'!$A:$O,3,0))</f>
        <v>1014572578742</v>
      </c>
      <c r="D133" s="168" t="str">
        <f>IF($A133="","",VLOOKUP($A133,'Annex 2 EHV charges'!$A:$O,7,0))</f>
        <v>NETWORK RAIL INFRASTRUCTURE LTD</v>
      </c>
      <c r="E133" s="166" t="str">
        <f>IFERROR(IF(VLOOKUP($A133,'Annex 2 EHV charges'!$A:$O,8,FALSE)=0,"",VLOOKUP($A133,'Annex 2 EHV charges'!$A:$O,8,FALSE)),"")</f>
        <v/>
      </c>
      <c r="F133" s="167">
        <f>IFERROR(IF(VLOOKUP($A133,'Annex 2 EHV charges'!$A:$O,9,FALSE)=0,"",VLOOKUP($A133,'Annex 2 EHV charges'!$A:$O,9,FALSE)),"")</f>
        <v>6868.5</v>
      </c>
      <c r="G133" s="166">
        <f>IFERROR(IF(VLOOKUP($A133,'Annex 2 EHV charges'!$A:$O,10,FALSE)=0,"",VLOOKUP($A133,'Annex 2 EHV charges'!$A:$O,10,FALSE)),"")</f>
        <v>5.72</v>
      </c>
      <c r="H133" s="166">
        <f>IFERROR(IF(VLOOKUP($A133,'Annex 2 EHV charges'!$A:$O,11,FALSE)=0,"",VLOOKUP($A133,'Annex 2 EHV charges'!$A:$O,11,FALSE)),"")</f>
        <v>5.72</v>
      </c>
    </row>
    <row r="134" spans="1:8" ht="30.75" customHeight="1" x14ac:dyDescent="0.35">
      <c r="A134" s="168" t="str">
        <f t="array" ref="A134">IFERROR(INDEX('Annex 2 EHV charges'!$A$11:$A$218, MATCH(0, IF(ISBLANK('Annex 2 EHV charges'!$A$11:$A$218),1, COUNTIF(A$4:$A133, 'Annex 2 EHV charges'!$A$11:$A$218)), 0)),"")</f>
        <v>NR_GRA</v>
      </c>
      <c r="B134" s="170">
        <f>IF($A134="","",VLOOKUP($A134,'Annex 2 EHV charges'!$A:$O,2,0))</f>
        <v>844</v>
      </c>
      <c r="C134" s="171">
        <f>IF($A134="","",VLOOKUP($A134,'Annex 2 EHV charges'!$A:$O,3,0))</f>
        <v>1014573096936</v>
      </c>
      <c r="D134" s="168" t="str">
        <f>IF($A134="","",VLOOKUP($A134,'Annex 2 EHV charges'!$A:$O,7,0))</f>
        <v>NETWORK RAIL INFRASTRUCTURE LTD</v>
      </c>
      <c r="E134" s="166" t="str">
        <f>IFERROR(IF(VLOOKUP($A134,'Annex 2 EHV charges'!$A:$O,8,FALSE)=0,"",VLOOKUP($A134,'Annex 2 EHV charges'!$A:$O,8,FALSE)),"")</f>
        <v/>
      </c>
      <c r="F134" s="167">
        <f>IFERROR(IF(VLOOKUP($A134,'Annex 2 EHV charges'!$A:$O,9,FALSE)=0,"",VLOOKUP($A134,'Annex 2 EHV charges'!$A:$O,9,FALSE)),"")</f>
        <v>3434.25</v>
      </c>
      <c r="G134" s="166">
        <f>IFERROR(IF(VLOOKUP($A134,'Annex 2 EHV charges'!$A:$O,10,FALSE)=0,"",VLOOKUP($A134,'Annex 2 EHV charges'!$A:$O,10,FALSE)),"")</f>
        <v>1.17</v>
      </c>
      <c r="H134" s="166">
        <f>IFERROR(IF(VLOOKUP($A134,'Annex 2 EHV charges'!$A:$O,11,FALSE)=0,"",VLOOKUP($A134,'Annex 2 EHV charges'!$A:$O,11,FALSE)),"")</f>
        <v>1.17</v>
      </c>
    </row>
    <row r="135" spans="1:8" ht="30.75" customHeight="1" x14ac:dyDescent="0.35">
      <c r="A135" s="168" t="str">
        <f t="array" ref="A135">IFERROR(INDEX('Annex 2 EHV charges'!$A$11:$A$218, MATCH(0, IF(ISBLANK('Annex 2 EHV charges'!$A$11:$A$218),1, COUNTIF(A$4:$A134, 'Annex 2 EHV charges'!$A$11:$A$218)), 0)),"")</f>
        <v>NR_HOR</v>
      </c>
      <c r="B135" s="170">
        <f>IF($A135="","",VLOOKUP($A135,'Annex 2 EHV charges'!$A:$O,2,0))</f>
        <v>845</v>
      </c>
      <c r="C135" s="171">
        <f>IF($A135="","",VLOOKUP($A135,'Annex 2 EHV charges'!$A:$O,3,0))</f>
        <v>1014572986535</v>
      </c>
      <c r="D135" s="168" t="str">
        <f>IF($A135="","",VLOOKUP($A135,'Annex 2 EHV charges'!$A:$O,7,0))</f>
        <v>NETWORK RAIL INFRASTRUCTURE LTD</v>
      </c>
      <c r="E135" s="166">
        <f>IFERROR(IF(VLOOKUP($A135,'Annex 2 EHV charges'!$A:$O,8,FALSE)=0,"",VLOOKUP($A135,'Annex 2 EHV charges'!$A:$O,8,FALSE)),"")</f>
        <v>1E-3</v>
      </c>
      <c r="F135" s="167">
        <f>IFERROR(IF(VLOOKUP($A135,'Annex 2 EHV charges'!$A:$O,9,FALSE)=0,"",VLOOKUP($A135,'Annex 2 EHV charges'!$A:$O,9,FALSE)),"")</f>
        <v>6868.5</v>
      </c>
      <c r="G135" s="166">
        <f>IFERROR(IF(VLOOKUP($A135,'Annex 2 EHV charges'!$A:$O,10,FALSE)=0,"",VLOOKUP($A135,'Annex 2 EHV charges'!$A:$O,10,FALSE)),"")</f>
        <v>4.92</v>
      </c>
      <c r="H135" s="166">
        <f>IFERROR(IF(VLOOKUP($A135,'Annex 2 EHV charges'!$A:$O,11,FALSE)=0,"",VLOOKUP($A135,'Annex 2 EHV charges'!$A:$O,11,FALSE)),"")</f>
        <v>4.92</v>
      </c>
    </row>
    <row r="136" spans="1:8" ht="30.75" customHeight="1" x14ac:dyDescent="0.35">
      <c r="A136" s="168" t="str">
        <f t="array" ref="A136">IFERROR(INDEX('Annex 2 EHV charges'!$A$11:$A$218, MATCH(0, IF(ISBLANK('Annex 2 EHV charges'!$A$11:$A$218),1, COUNTIF(A$4:$A135, 'Annex 2 EHV charges'!$A$11:$A$218)), 0)),"")</f>
        <v>NR_KNG</v>
      </c>
      <c r="B136" s="170">
        <f>IF($A136="","",VLOOKUP($A136,'Annex 2 EHV charges'!$A:$O,2,0))</f>
        <v>846</v>
      </c>
      <c r="C136" s="171">
        <f>IF($A136="","",VLOOKUP($A136,'Annex 2 EHV charges'!$A:$O,3,0))</f>
        <v>1014572901666</v>
      </c>
      <c r="D136" s="168" t="str">
        <f>IF($A136="","",VLOOKUP($A136,'Annex 2 EHV charges'!$A:$O,7,0))</f>
        <v>NETWORK RAIL INFRASTRUCTURE LTD</v>
      </c>
      <c r="E136" s="166" t="str">
        <f>IFERROR(IF(VLOOKUP($A136,'Annex 2 EHV charges'!$A:$O,8,FALSE)=0,"",VLOOKUP($A136,'Annex 2 EHV charges'!$A:$O,8,FALSE)),"")</f>
        <v/>
      </c>
      <c r="F136" s="167">
        <f>IFERROR(IF(VLOOKUP($A136,'Annex 2 EHV charges'!$A:$O,9,FALSE)=0,"",VLOOKUP($A136,'Annex 2 EHV charges'!$A:$O,9,FALSE)),"")</f>
        <v>3434.25</v>
      </c>
      <c r="G136" s="166">
        <f>IFERROR(IF(VLOOKUP($A136,'Annex 2 EHV charges'!$A:$O,10,FALSE)=0,"",VLOOKUP($A136,'Annex 2 EHV charges'!$A:$O,10,FALSE)),"")</f>
        <v>2.44</v>
      </c>
      <c r="H136" s="166">
        <f>IFERROR(IF(VLOOKUP($A136,'Annex 2 EHV charges'!$A:$O,11,FALSE)=0,"",VLOOKUP($A136,'Annex 2 EHV charges'!$A:$O,11,FALSE)),"")</f>
        <v>2.44</v>
      </c>
    </row>
    <row r="137" spans="1:8" ht="30.75" customHeight="1" x14ac:dyDescent="0.35">
      <c r="A137" s="168" t="str">
        <f t="array" ref="A137">IFERROR(INDEX('Annex 2 EHV charges'!$A$11:$A$218, MATCH(0, IF(ISBLANK('Annex 2 EHV charges'!$A$11:$A$218),1, COUNTIF(A$4:$A136, 'Annex 2 EHV charges'!$A$11:$A$218)), 0)),"")</f>
        <v>NR_LBR</v>
      </c>
      <c r="B137" s="170">
        <f>IF($A137="","",VLOOKUP($A137,'Annex 2 EHV charges'!$A:$O,2,0))</f>
        <v>847</v>
      </c>
      <c r="C137" s="171">
        <f>IF($A137="","",VLOOKUP($A137,'Annex 2 EHV charges'!$A:$O,3,0))</f>
        <v>1014572780683</v>
      </c>
      <c r="D137" s="168" t="str">
        <f>IF($A137="","",VLOOKUP($A137,'Annex 2 EHV charges'!$A:$O,7,0))</f>
        <v>NETWORK RAIL INFRASTRUCTURE LTD</v>
      </c>
      <c r="E137" s="166" t="str">
        <f>IFERROR(IF(VLOOKUP($A137,'Annex 2 EHV charges'!$A:$O,8,FALSE)=0,"",VLOOKUP($A137,'Annex 2 EHV charges'!$A:$O,8,FALSE)),"")</f>
        <v/>
      </c>
      <c r="F137" s="167">
        <f>IFERROR(IF(VLOOKUP($A137,'Annex 2 EHV charges'!$A:$O,9,FALSE)=0,"",VLOOKUP($A137,'Annex 2 EHV charges'!$A:$O,9,FALSE)),"")</f>
        <v>9495.3799999999992</v>
      </c>
      <c r="G137" s="166">
        <f>IFERROR(IF(VLOOKUP($A137,'Annex 2 EHV charges'!$A:$O,10,FALSE)=0,"",VLOOKUP($A137,'Annex 2 EHV charges'!$A:$O,10,FALSE)),"")</f>
        <v>2.73</v>
      </c>
      <c r="H137" s="166">
        <f>IFERROR(IF(VLOOKUP($A137,'Annex 2 EHV charges'!$A:$O,11,FALSE)=0,"",VLOOKUP($A137,'Annex 2 EHV charges'!$A:$O,11,FALSE)),"")</f>
        <v>2.73</v>
      </c>
    </row>
    <row r="138" spans="1:8" ht="30.75" customHeight="1" x14ac:dyDescent="0.35">
      <c r="A138" s="168" t="str">
        <f t="array" ref="A138">IFERROR(INDEX('Annex 2 EHV charges'!$A$11:$A$218, MATCH(0, IF(ISBLANK('Annex 2 EHV charges'!$A$11:$A$218),1, COUNTIF(A$4:$A137, 'Annex 2 EHV charges'!$A$11:$A$218)), 0)),"")</f>
        <v>NR_MAN</v>
      </c>
      <c r="B138" s="170">
        <f>IF($A138="","",VLOOKUP($A138,'Annex 2 EHV charges'!$A:$O,2,0))</f>
        <v>848</v>
      </c>
      <c r="C138" s="171">
        <f>IF($A138="","",VLOOKUP($A138,'Annex 2 EHV charges'!$A:$O,3,0))</f>
        <v>1014572821160</v>
      </c>
      <c r="D138" s="168" t="str">
        <f>IF($A138="","",VLOOKUP($A138,'Annex 2 EHV charges'!$A:$O,7,0))</f>
        <v>NETWORK RAIL INFRASTRUCTURE LTD</v>
      </c>
      <c r="E138" s="166">
        <f>IFERROR(IF(VLOOKUP($A138,'Annex 2 EHV charges'!$A:$O,8,FALSE)=0,"",VLOOKUP($A138,'Annex 2 EHV charges'!$A:$O,8,FALSE)),"")</f>
        <v>1.4E-2</v>
      </c>
      <c r="F138" s="167">
        <f>IFERROR(IF(VLOOKUP($A138,'Annex 2 EHV charges'!$A:$O,9,FALSE)=0,"",VLOOKUP($A138,'Annex 2 EHV charges'!$A:$O,9,FALSE)),"")</f>
        <v>3434.25</v>
      </c>
      <c r="G138" s="166">
        <f>IFERROR(IF(VLOOKUP($A138,'Annex 2 EHV charges'!$A:$O,10,FALSE)=0,"",VLOOKUP($A138,'Annex 2 EHV charges'!$A:$O,10,FALSE)),"")</f>
        <v>3.86</v>
      </c>
      <c r="H138" s="166">
        <f>IFERROR(IF(VLOOKUP($A138,'Annex 2 EHV charges'!$A:$O,11,FALSE)=0,"",VLOOKUP($A138,'Annex 2 EHV charges'!$A:$O,11,FALSE)),"")</f>
        <v>3.86</v>
      </c>
    </row>
    <row r="139" spans="1:8" ht="30.75" customHeight="1" x14ac:dyDescent="0.35">
      <c r="A139" s="168" t="str">
        <f t="array" ref="A139">IFERROR(INDEX('Annex 2 EHV charges'!$A$11:$A$218, MATCH(0, IF(ISBLANK('Annex 2 EHV charges'!$A$11:$A$218),1, COUNTIF(A$4:$A138, 'Annex 2 EHV charges'!$A$11:$A$218)), 0)),"")</f>
        <v>NR_MIL</v>
      </c>
      <c r="B139" s="170">
        <f>IF($A139="","",VLOOKUP($A139,'Annex 2 EHV charges'!$A:$O,2,0))</f>
        <v>849</v>
      </c>
      <c r="C139" s="171">
        <f>IF($A139="","",VLOOKUP($A139,'Annex 2 EHV charges'!$A:$O,3,0))</f>
        <v>1014573017580</v>
      </c>
      <c r="D139" s="168" t="str">
        <f>IF($A139="","",VLOOKUP($A139,'Annex 2 EHV charges'!$A:$O,7,0))</f>
        <v>NETWORK RAIL INFRASTRUCTURE LTD</v>
      </c>
      <c r="E139" s="166">
        <f>IFERROR(IF(VLOOKUP($A139,'Annex 2 EHV charges'!$A:$O,8,FALSE)=0,"",VLOOKUP($A139,'Annex 2 EHV charges'!$A:$O,8,FALSE)),"")</f>
        <v>4.0000000000000001E-3</v>
      </c>
      <c r="F139" s="167">
        <f>IFERROR(IF(VLOOKUP($A139,'Annex 2 EHV charges'!$A:$O,9,FALSE)=0,"",VLOOKUP($A139,'Annex 2 EHV charges'!$A:$O,9,FALSE)),"")</f>
        <v>7896.83</v>
      </c>
      <c r="G139" s="166">
        <f>IFERROR(IF(VLOOKUP($A139,'Annex 2 EHV charges'!$A:$O,10,FALSE)=0,"",VLOOKUP($A139,'Annex 2 EHV charges'!$A:$O,10,FALSE)),"")</f>
        <v>2.84</v>
      </c>
      <c r="H139" s="166">
        <f>IFERROR(IF(VLOOKUP($A139,'Annex 2 EHV charges'!$A:$O,11,FALSE)=0,"",VLOOKUP($A139,'Annex 2 EHV charges'!$A:$O,11,FALSE)),"")</f>
        <v>2.84</v>
      </c>
    </row>
    <row r="140" spans="1:8" ht="30.75" customHeight="1" x14ac:dyDescent="0.35">
      <c r="A140" s="168" t="str">
        <f t="array" ref="A140">IFERROR(INDEX('Annex 2 EHV charges'!$A$11:$A$218, MATCH(0, IF(ISBLANK('Annex 2 EHV charges'!$A$11:$A$218),1, COUNTIF(A$4:$A139, 'Annex 2 EHV charges'!$A$11:$A$218)), 0)),"")</f>
        <v>NR_NRW</v>
      </c>
      <c r="B140" s="170">
        <f>IF($A140="","",VLOOKUP($A140,'Annex 2 EHV charges'!$A:$O,2,0))</f>
        <v>850</v>
      </c>
      <c r="C140" s="171">
        <f>IF($A140="","",VLOOKUP($A140,'Annex 2 EHV charges'!$A:$O,3,0))</f>
        <v>1014572876363</v>
      </c>
      <c r="D140" s="168" t="str">
        <f>IF($A140="","",VLOOKUP($A140,'Annex 2 EHV charges'!$A:$O,7,0))</f>
        <v>NETWORK RAIL INFRASTRUCTURE LTD</v>
      </c>
      <c r="E140" s="166" t="str">
        <f>IFERROR(IF(VLOOKUP($A140,'Annex 2 EHV charges'!$A:$O,8,FALSE)=0,"",VLOOKUP($A140,'Annex 2 EHV charges'!$A:$O,8,FALSE)),"")</f>
        <v/>
      </c>
      <c r="F140" s="167">
        <f>IFERROR(IF(VLOOKUP($A140,'Annex 2 EHV charges'!$A:$O,9,FALSE)=0,"",VLOOKUP($A140,'Annex 2 EHV charges'!$A:$O,9,FALSE)),"")</f>
        <v>3434.24</v>
      </c>
      <c r="G140" s="166">
        <f>IFERROR(IF(VLOOKUP($A140,'Annex 2 EHV charges'!$A:$O,10,FALSE)=0,"",VLOOKUP($A140,'Annex 2 EHV charges'!$A:$O,10,FALSE)),"")</f>
        <v>4.12</v>
      </c>
      <c r="H140" s="166">
        <f>IFERROR(IF(VLOOKUP($A140,'Annex 2 EHV charges'!$A:$O,11,FALSE)=0,"",VLOOKUP($A140,'Annex 2 EHV charges'!$A:$O,11,FALSE)),"")</f>
        <v>4.12</v>
      </c>
    </row>
    <row r="141" spans="1:8" ht="30.75" customHeight="1" x14ac:dyDescent="0.35">
      <c r="A141" s="168" t="str">
        <f t="array" ref="A141">IFERROR(INDEX('Annex 2 EHV charges'!$A$11:$A$218, MATCH(0, IF(ISBLANK('Annex 2 EHV charges'!$A$11:$A$218),1, COUNTIF(A$4:$A140, 'Annex 2 EHV charges'!$A$11:$A$218)), 0)),"")</f>
        <v>NR_PET</v>
      </c>
      <c r="B141" s="170">
        <f>IF($A141="","",VLOOKUP($A141,'Annex 2 EHV charges'!$A:$O,2,0))</f>
        <v>851</v>
      </c>
      <c r="C141" s="171">
        <f>IF($A141="","",VLOOKUP($A141,'Annex 2 EHV charges'!$A:$O,3,0))</f>
        <v>1014573170075</v>
      </c>
      <c r="D141" s="168" t="str">
        <f>IF($A141="","",VLOOKUP($A141,'Annex 2 EHV charges'!$A:$O,7,0))</f>
        <v>NETWORK RAIL INFRASTRUCTURE LTD</v>
      </c>
      <c r="E141" s="166" t="str">
        <f>IFERROR(IF(VLOOKUP($A141,'Annex 2 EHV charges'!$A:$O,8,FALSE)=0,"",VLOOKUP($A141,'Annex 2 EHV charges'!$A:$O,8,FALSE)),"")</f>
        <v/>
      </c>
      <c r="F141" s="167">
        <f>IFERROR(IF(VLOOKUP($A141,'Annex 2 EHV charges'!$A:$O,9,FALSE)=0,"",VLOOKUP($A141,'Annex 2 EHV charges'!$A:$O,9,FALSE)),"")</f>
        <v>3434.25</v>
      </c>
      <c r="G141" s="166">
        <f>IFERROR(IF(VLOOKUP($A141,'Annex 2 EHV charges'!$A:$O,10,FALSE)=0,"",VLOOKUP($A141,'Annex 2 EHV charges'!$A:$O,10,FALSE)),"")</f>
        <v>4.09</v>
      </c>
      <c r="H141" s="166">
        <f>IFERROR(IF(VLOOKUP($A141,'Annex 2 EHV charges'!$A:$O,11,FALSE)=0,"",VLOOKUP($A141,'Annex 2 EHV charges'!$A:$O,11,FALSE)),"")</f>
        <v>4.09</v>
      </c>
    </row>
    <row r="142" spans="1:8" ht="30.75" customHeight="1" x14ac:dyDescent="0.35">
      <c r="A142" s="168" t="str">
        <f t="array" ref="A142">IFERROR(INDEX('Annex 2 EHV charges'!$A$11:$A$218, MATCH(0, IF(ISBLANK('Annex 2 EHV charges'!$A$11:$A$218),1, COUNTIF(A$4:$A141, 'Annex 2 EHV charges'!$A$11:$A$218)), 0)),"")</f>
        <v>NR_RAY</v>
      </c>
      <c r="B142" s="170">
        <f>IF($A142="","",VLOOKUP($A142,'Annex 2 EHV charges'!$A:$O,2,0))</f>
        <v>852</v>
      </c>
      <c r="C142" s="171">
        <f>IF($A142="","",VLOOKUP($A142,'Annex 2 EHV charges'!$A:$O,3,0))</f>
        <v>1014573010682</v>
      </c>
      <c r="D142" s="168" t="str">
        <f>IF($A142="","",VLOOKUP($A142,'Annex 2 EHV charges'!$A:$O,7,0))</f>
        <v>NETWORK RAIL INFRASTRUCTURE LTD</v>
      </c>
      <c r="E142" s="166">
        <f>IFERROR(IF(VLOOKUP($A142,'Annex 2 EHV charges'!$A:$O,8,FALSE)=0,"",VLOOKUP($A142,'Annex 2 EHV charges'!$A:$O,8,FALSE)),"")</f>
        <v>1.0999999999999999E-2</v>
      </c>
      <c r="F142" s="167">
        <f>IFERROR(IF(VLOOKUP($A142,'Annex 2 EHV charges'!$A:$O,9,FALSE)=0,"",VLOOKUP($A142,'Annex 2 EHV charges'!$A:$O,9,FALSE)),"")</f>
        <v>6868.5</v>
      </c>
      <c r="G142" s="166">
        <f>IFERROR(IF(VLOOKUP($A142,'Annex 2 EHV charges'!$A:$O,10,FALSE)=0,"",VLOOKUP($A142,'Annex 2 EHV charges'!$A:$O,10,FALSE)),"")</f>
        <v>3.66</v>
      </c>
      <c r="H142" s="166">
        <f>IFERROR(IF(VLOOKUP($A142,'Annex 2 EHV charges'!$A:$O,11,FALSE)=0,"",VLOOKUP($A142,'Annex 2 EHV charges'!$A:$O,11,FALSE)),"")</f>
        <v>3.66</v>
      </c>
    </row>
    <row r="143" spans="1:8" ht="30.75" customHeight="1" x14ac:dyDescent="0.35">
      <c r="A143" s="168" t="str">
        <f t="array" ref="A143">IFERROR(INDEX('Annex 2 EHV charges'!$A$11:$A$218, MATCH(0, IF(ISBLANK('Annex 2 EHV charges'!$A$11:$A$218),1, COUNTIF(A$4:$A142, 'Annex 2 EHV charges'!$A$11:$A$218)), 0)),"")</f>
        <v>NR_RYE</v>
      </c>
      <c r="B143" s="170">
        <f>IF($A143="","",VLOOKUP($A143,'Annex 2 EHV charges'!$A:$O,2,0))</f>
        <v>853</v>
      </c>
      <c r="C143" s="171">
        <f>IF($A143="","",VLOOKUP($A143,'Annex 2 EHV charges'!$A:$O,3,0))</f>
        <v>1014572632104</v>
      </c>
      <c r="D143" s="168" t="str">
        <f>IF($A143="","",VLOOKUP($A143,'Annex 2 EHV charges'!$A:$O,7,0))</f>
        <v>NETWORK RAIL INFRASTRUCTURE LTD</v>
      </c>
      <c r="E143" s="166" t="str">
        <f>IFERROR(IF(VLOOKUP($A143,'Annex 2 EHV charges'!$A:$O,8,FALSE)=0,"",VLOOKUP($A143,'Annex 2 EHV charges'!$A:$O,8,FALSE)),"")</f>
        <v/>
      </c>
      <c r="F143" s="167">
        <f>IFERROR(IF(VLOOKUP($A143,'Annex 2 EHV charges'!$A:$O,9,FALSE)=0,"",VLOOKUP($A143,'Annex 2 EHV charges'!$A:$O,9,FALSE)),"")</f>
        <v>6868.5</v>
      </c>
      <c r="G143" s="166">
        <f>IFERROR(IF(VLOOKUP($A143,'Annex 2 EHV charges'!$A:$O,10,FALSE)=0,"",VLOOKUP($A143,'Annex 2 EHV charges'!$A:$O,10,FALSE)),"")</f>
        <v>2.8</v>
      </c>
      <c r="H143" s="166">
        <f>IFERROR(IF(VLOOKUP($A143,'Annex 2 EHV charges'!$A:$O,11,FALSE)=0,"",VLOOKUP($A143,'Annex 2 EHV charges'!$A:$O,11,FALSE)),"")</f>
        <v>2.8</v>
      </c>
    </row>
    <row r="144" spans="1:8" ht="30.75" customHeight="1" x14ac:dyDescent="0.35">
      <c r="A144" s="168" t="str">
        <f t="array" ref="A144">IFERROR(INDEX('Annex 2 EHV charges'!$A$11:$A$218, MATCH(0, IF(ISBLANK('Annex 2 EHV charges'!$A$11:$A$218),1, COUNTIF(A$4:$A143, 'Annex 2 EHV charges'!$A$11:$A$218)), 0)),"")</f>
        <v>NR_SED</v>
      </c>
      <c r="B144" s="170">
        <f>IF($A144="","",VLOOKUP($A144,'Annex 2 EHV charges'!$A:$O,2,0))</f>
        <v>855</v>
      </c>
      <c r="C144" s="171">
        <f>IF($A144="","",VLOOKUP($A144,'Annex 2 EHV charges'!$A:$O,3,0))</f>
        <v>1014572682017</v>
      </c>
      <c r="D144" s="168" t="str">
        <f>IF($A144="","",VLOOKUP($A144,'Annex 2 EHV charges'!$A:$O,7,0))</f>
        <v>NETWORK RAIL INFRASTRUCTURE LTD</v>
      </c>
      <c r="E144" s="166" t="str">
        <f>IFERROR(IF(VLOOKUP($A144,'Annex 2 EHV charges'!$A:$O,8,FALSE)=0,"",VLOOKUP($A144,'Annex 2 EHV charges'!$A:$O,8,FALSE)),"")</f>
        <v/>
      </c>
      <c r="F144" s="167">
        <f>IFERROR(IF(VLOOKUP($A144,'Annex 2 EHV charges'!$A:$O,9,FALSE)=0,"",VLOOKUP($A144,'Annex 2 EHV charges'!$A:$O,9,FALSE)),"")</f>
        <v>6868.5</v>
      </c>
      <c r="G144" s="166">
        <f>IFERROR(IF(VLOOKUP($A144,'Annex 2 EHV charges'!$A:$O,10,FALSE)=0,"",VLOOKUP($A144,'Annex 2 EHV charges'!$A:$O,10,FALSE)),"")</f>
        <v>6.32</v>
      </c>
      <c r="H144" s="166">
        <f>IFERROR(IF(VLOOKUP($A144,'Annex 2 EHV charges'!$A:$O,11,FALSE)=0,"",VLOOKUP($A144,'Annex 2 EHV charges'!$A:$O,11,FALSE)),"")</f>
        <v>6.32</v>
      </c>
    </row>
    <row r="145" spans="1:8" ht="30.75" customHeight="1" x14ac:dyDescent="0.35">
      <c r="A145" s="168" t="str">
        <f t="array" ref="A145">IFERROR(INDEX('Annex 2 EHV charges'!$A$11:$A$218, MATCH(0, IF(ISBLANK('Annex 2 EHV charges'!$A$11:$A$218),1, COUNTIF(A$4:$A144, 'Annex 2 EHV charges'!$A$11:$A$218)), 0)),"")</f>
        <v>NR_SHN</v>
      </c>
      <c r="B145" s="170">
        <f>IF($A145="","",VLOOKUP($A145,'Annex 2 EHV charges'!$A:$O,2,0))</f>
        <v>854</v>
      </c>
      <c r="C145" s="171">
        <f>IF($A145="","",VLOOKUP($A145,'Annex 2 EHV charges'!$A:$O,3,0))</f>
        <v>1023478597119</v>
      </c>
      <c r="D145" s="168" t="str">
        <f>IF($A145="","",VLOOKUP($A145,'Annex 2 EHV charges'!$A:$O,7,0))</f>
        <v>NETWORK RAIL INFRASTRUCTURE LTD</v>
      </c>
      <c r="E145" s="166">
        <f>IFERROR(IF(VLOOKUP($A145,'Annex 2 EHV charges'!$A:$O,8,FALSE)=0,"",VLOOKUP($A145,'Annex 2 EHV charges'!$A:$O,8,FALSE)),"")</f>
        <v>3.0000000000000001E-3</v>
      </c>
      <c r="F145" s="167">
        <f>IFERROR(IF(VLOOKUP($A145,'Annex 2 EHV charges'!$A:$O,9,FALSE)=0,"",VLOOKUP($A145,'Annex 2 EHV charges'!$A:$O,9,FALSE)),"")</f>
        <v>6868.5</v>
      </c>
      <c r="G145" s="166">
        <f>IFERROR(IF(VLOOKUP($A145,'Annex 2 EHV charges'!$A:$O,10,FALSE)=0,"",VLOOKUP($A145,'Annex 2 EHV charges'!$A:$O,10,FALSE)),"")</f>
        <v>3.65</v>
      </c>
      <c r="H145" s="166">
        <f>IFERROR(IF(VLOOKUP($A145,'Annex 2 EHV charges'!$A:$O,11,FALSE)=0,"",VLOOKUP($A145,'Annex 2 EHV charges'!$A:$O,11,FALSE)),"")</f>
        <v>3.65</v>
      </c>
    </row>
    <row r="146" spans="1:8" ht="30.75" customHeight="1" x14ac:dyDescent="0.35">
      <c r="A146" s="168" t="str">
        <f t="array" ref="A146">IFERROR(INDEX('Annex 2 EHV charges'!$A$11:$A$218, MATCH(0, IF(ISBLANK('Annex 2 EHV charges'!$A$11:$A$218),1, COUNTIF(A$4:$A145, 'Annex 2 EHV charges'!$A$11:$A$218)), 0)),"")</f>
        <v>NR_SPR</v>
      </c>
      <c r="B146" s="170">
        <f>IF($A146="","",VLOOKUP($A146,'Annex 2 EHV charges'!$A:$O,2,0))</f>
        <v>856</v>
      </c>
      <c r="C146" s="171">
        <f>IF($A146="","",VLOOKUP($A146,'Annex 2 EHV charges'!$A:$O,3,0))</f>
        <v>1014572602660</v>
      </c>
      <c r="D146" s="168" t="str">
        <f>IF($A146="","",VLOOKUP($A146,'Annex 2 EHV charges'!$A:$O,7,0))</f>
        <v>NETWORK RAIL INFRASTRUCTURE LTD</v>
      </c>
      <c r="E146" s="166" t="str">
        <f>IFERROR(IF(VLOOKUP($A146,'Annex 2 EHV charges'!$A:$O,8,FALSE)=0,"",VLOOKUP($A146,'Annex 2 EHV charges'!$A:$O,8,FALSE)),"")</f>
        <v/>
      </c>
      <c r="F146" s="167">
        <f>IFERROR(IF(VLOOKUP($A146,'Annex 2 EHV charges'!$A:$O,9,FALSE)=0,"",VLOOKUP($A146,'Annex 2 EHV charges'!$A:$O,9,FALSE)),"")</f>
        <v>6868.5</v>
      </c>
      <c r="G146" s="166">
        <f>IFERROR(IF(VLOOKUP($A146,'Annex 2 EHV charges'!$A:$O,10,FALSE)=0,"",VLOOKUP($A146,'Annex 2 EHV charges'!$A:$O,10,FALSE)),"")</f>
        <v>3.2</v>
      </c>
      <c r="H146" s="166">
        <f>IFERROR(IF(VLOOKUP($A146,'Annex 2 EHV charges'!$A:$O,11,FALSE)=0,"",VLOOKUP($A146,'Annex 2 EHV charges'!$A:$O,11,FALSE)),"")</f>
        <v>3.2</v>
      </c>
    </row>
    <row r="147" spans="1:8" ht="30.75" customHeight="1" x14ac:dyDescent="0.35">
      <c r="A147" s="168" t="str">
        <f t="array" ref="A147">IFERROR(INDEX('Annex 2 EHV charges'!$A$11:$A$218, MATCH(0, IF(ISBLANK('Annex 2 EHV charges'!$A$11:$A$218),1, COUNTIF(A$4:$A146, 'Annex 2 EHV charges'!$A$11:$A$218)), 0)),"")</f>
        <v>NR_STW</v>
      </c>
      <c r="B147" s="170">
        <f>IF($A147="","",VLOOKUP($A147,'Annex 2 EHV charges'!$A:$O,2,0))</f>
        <v>857</v>
      </c>
      <c r="C147" s="171">
        <f>IF($A147="","",VLOOKUP($A147,'Annex 2 EHV charges'!$A:$O,3,0))</f>
        <v>1014572719730</v>
      </c>
      <c r="D147" s="168" t="str">
        <f>IF($A147="","",VLOOKUP($A147,'Annex 2 EHV charges'!$A:$O,7,0))</f>
        <v>NETWORK RAIL INFRASTRUCTURE LTD</v>
      </c>
      <c r="E147" s="166" t="str">
        <f>IFERROR(IF(VLOOKUP($A147,'Annex 2 EHV charges'!$A:$O,8,FALSE)=0,"",VLOOKUP($A147,'Annex 2 EHV charges'!$A:$O,8,FALSE)),"")</f>
        <v/>
      </c>
      <c r="F147" s="167">
        <f>IFERROR(IF(VLOOKUP($A147,'Annex 2 EHV charges'!$A:$O,9,FALSE)=0,"",VLOOKUP($A147,'Annex 2 EHV charges'!$A:$O,9,FALSE)),"")</f>
        <v>6868.49</v>
      </c>
      <c r="G147" s="166">
        <f>IFERROR(IF(VLOOKUP($A147,'Annex 2 EHV charges'!$A:$O,10,FALSE)=0,"",VLOOKUP($A147,'Annex 2 EHV charges'!$A:$O,10,FALSE)),"")</f>
        <v>4.34</v>
      </c>
      <c r="H147" s="166">
        <f>IFERROR(IF(VLOOKUP($A147,'Annex 2 EHV charges'!$A:$O,11,FALSE)=0,"",VLOOKUP($A147,'Annex 2 EHV charges'!$A:$O,11,FALSE)),"")</f>
        <v>4.34</v>
      </c>
    </row>
    <row r="148" spans="1:8" ht="30.75" customHeight="1" x14ac:dyDescent="0.35">
      <c r="A148" s="168" t="str">
        <f t="array" ref="A148">IFERROR(INDEX('Annex 2 EHV charges'!$A$11:$A$218, MATCH(0, IF(ISBLANK('Annex 2 EHV charges'!$A$11:$A$218),1, COUNTIF(A$4:$A147, 'Annex 2 EHV charges'!$A$11:$A$218)), 0)),"")</f>
        <v>NR_SUN</v>
      </c>
      <c r="B148" s="170">
        <f>IF($A148="","",VLOOKUP($A148,'Annex 2 EHV charges'!$A:$O,2,0))</f>
        <v>858</v>
      </c>
      <c r="C148" s="171">
        <f>IF($A148="","",VLOOKUP($A148,'Annex 2 EHV charges'!$A:$O,3,0))</f>
        <v>1014572853366</v>
      </c>
      <c r="D148" s="168" t="str">
        <f>IF($A148="","",VLOOKUP($A148,'Annex 2 EHV charges'!$A:$O,7,0))</f>
        <v>NETWORK RAIL INFRASTRUCTURE LTD</v>
      </c>
      <c r="E148" s="166" t="str">
        <f>IFERROR(IF(VLOOKUP($A148,'Annex 2 EHV charges'!$A:$O,8,FALSE)=0,"",VLOOKUP($A148,'Annex 2 EHV charges'!$A:$O,8,FALSE)),"")</f>
        <v/>
      </c>
      <c r="F148" s="167">
        <f>IFERROR(IF(VLOOKUP($A148,'Annex 2 EHV charges'!$A:$O,9,FALSE)=0,"",VLOOKUP($A148,'Annex 2 EHV charges'!$A:$O,9,FALSE)),"")</f>
        <v>8120.61</v>
      </c>
      <c r="G148" s="166">
        <f>IFERROR(IF(VLOOKUP($A148,'Annex 2 EHV charges'!$A:$O,10,FALSE)=0,"",VLOOKUP($A148,'Annex 2 EHV charges'!$A:$O,10,FALSE)),"")</f>
        <v>2.15</v>
      </c>
      <c r="H148" s="166">
        <f>IFERROR(IF(VLOOKUP($A148,'Annex 2 EHV charges'!$A:$O,11,FALSE)=0,"",VLOOKUP($A148,'Annex 2 EHV charges'!$A:$O,11,FALSE)),"")</f>
        <v>2.15</v>
      </c>
    </row>
    <row r="149" spans="1:8" ht="30.75" customHeight="1" x14ac:dyDescent="0.35">
      <c r="A149" s="168" t="str">
        <f t="array" ref="A149">IFERROR(INDEX('Annex 2 EHV charges'!$A$11:$A$218, MATCH(0, IF(ISBLANK('Annex 2 EHV charges'!$A$11:$A$218),1, COUNTIF(A$4:$A148, 'Annex 2 EHV charges'!$A$11:$A$218)), 0)),"")</f>
        <v>NR_TOT</v>
      </c>
      <c r="B149" s="170">
        <f>IF($A149="","",VLOOKUP($A149,'Annex 2 EHV charges'!$A:$O,2,0))</f>
        <v>859</v>
      </c>
      <c r="C149" s="171">
        <f>IF($A149="","",VLOOKUP($A149,'Annex 2 EHV charges'!$A:$O,3,0))</f>
        <v>1014573142245</v>
      </c>
      <c r="D149" s="168" t="str">
        <f>IF($A149="","",VLOOKUP($A149,'Annex 2 EHV charges'!$A:$O,7,0))</f>
        <v>NETWORK RAIL INFRASTRUCTURE LTD</v>
      </c>
      <c r="E149" s="166" t="str">
        <f>IFERROR(IF(VLOOKUP($A149,'Annex 2 EHV charges'!$A:$O,8,FALSE)=0,"",VLOOKUP($A149,'Annex 2 EHV charges'!$A:$O,8,FALSE)),"")</f>
        <v/>
      </c>
      <c r="F149" s="167">
        <f>IFERROR(IF(VLOOKUP($A149,'Annex 2 EHV charges'!$A:$O,9,FALSE)=0,"",VLOOKUP($A149,'Annex 2 EHV charges'!$A:$O,9,FALSE)),"")</f>
        <v>6868.5</v>
      </c>
      <c r="G149" s="166">
        <f>IFERROR(IF(VLOOKUP($A149,'Annex 2 EHV charges'!$A:$O,10,FALSE)=0,"",VLOOKUP($A149,'Annex 2 EHV charges'!$A:$O,10,FALSE)),"")</f>
        <v>2.31</v>
      </c>
      <c r="H149" s="166">
        <f>IFERROR(IF(VLOOKUP($A149,'Annex 2 EHV charges'!$A:$O,11,FALSE)=0,"",VLOOKUP($A149,'Annex 2 EHV charges'!$A:$O,11,FALSE)),"")</f>
        <v>2.31</v>
      </c>
    </row>
    <row r="150" spans="1:8" ht="30.75" customHeight="1" x14ac:dyDescent="0.35">
      <c r="A150" s="168" t="str">
        <f t="array" ref="A150">IFERROR(INDEX('Annex 2 EHV charges'!$A$11:$A$218, MATCH(0, IF(ISBLANK('Annex 2 EHV charges'!$A$11:$A$218),1, COUNTIF(A$4:$A149, 'Annex 2 EHV charges'!$A$11:$A$218)), 0)),"")</f>
        <v>NR_UGL</v>
      </c>
      <c r="B150" s="170">
        <f>IF($A150="","",VLOOKUP($A150,'Annex 2 EHV charges'!$A:$O,2,0))</f>
        <v>860</v>
      </c>
      <c r="C150" s="171">
        <f>IF($A150="","",VLOOKUP($A150,'Annex 2 EHV charges'!$A:$O,3,0))</f>
        <v>1014573113954</v>
      </c>
      <c r="D150" s="168" t="str">
        <f>IF($A150="","",VLOOKUP($A150,'Annex 2 EHV charges'!$A:$O,7,0))</f>
        <v>NETWORK RAIL INFRASTRUCTURE LTD</v>
      </c>
      <c r="E150" s="166">
        <f>IFERROR(IF(VLOOKUP($A150,'Annex 2 EHV charges'!$A:$O,8,FALSE)=0,"",VLOOKUP($A150,'Annex 2 EHV charges'!$A:$O,8,FALSE)),"")</f>
        <v>6.0000000000000001E-3</v>
      </c>
      <c r="F150" s="167">
        <f>IFERROR(IF(VLOOKUP($A150,'Annex 2 EHV charges'!$A:$O,9,FALSE)=0,"",VLOOKUP($A150,'Annex 2 EHV charges'!$A:$O,9,FALSE)),"")</f>
        <v>3434.25</v>
      </c>
      <c r="G150" s="166">
        <f>IFERROR(IF(VLOOKUP($A150,'Annex 2 EHV charges'!$A:$O,10,FALSE)=0,"",VLOOKUP($A150,'Annex 2 EHV charges'!$A:$O,10,FALSE)),"")</f>
        <v>3.76</v>
      </c>
      <c r="H150" s="166">
        <f>IFERROR(IF(VLOOKUP($A150,'Annex 2 EHV charges'!$A:$O,11,FALSE)=0,"",VLOOKUP($A150,'Annex 2 EHV charges'!$A:$O,11,FALSE)),"")</f>
        <v>3.76</v>
      </c>
    </row>
    <row r="151" spans="1:8" ht="30.75" customHeight="1" x14ac:dyDescent="0.35">
      <c r="A151" s="168" t="str">
        <f t="array" ref="A151">IFERROR(INDEX('Annex 2 EHV charges'!$A$11:$A$218, MATCH(0, IF(ISBLANK('Annex 2 EHV charges'!$A$11:$A$218),1, COUNTIF(A$4:$A150, 'Annex 2 EHV charges'!$A$11:$A$218)), 0)),"")</f>
        <v>NR_WEL</v>
      </c>
      <c r="B151" s="170">
        <f>IF($A151="","",VLOOKUP($A151,'Annex 2 EHV charges'!$A:$O,2,0))</f>
        <v>861</v>
      </c>
      <c r="C151" s="171">
        <f>IF($A151="","",VLOOKUP($A151,'Annex 2 EHV charges'!$A:$O,3,0))</f>
        <v>1014572501466</v>
      </c>
      <c r="D151" s="168" t="str">
        <f>IF($A151="","",VLOOKUP($A151,'Annex 2 EHV charges'!$A:$O,7,0))</f>
        <v>NETWORK RAIL INFRASTRUCTURE LTD</v>
      </c>
      <c r="E151" s="166">
        <f>IFERROR(IF(VLOOKUP($A151,'Annex 2 EHV charges'!$A:$O,8,FALSE)=0,"",VLOOKUP($A151,'Annex 2 EHV charges'!$A:$O,8,FALSE)),"")</f>
        <v>0.04</v>
      </c>
      <c r="F151" s="167">
        <f>IFERROR(IF(VLOOKUP($A151,'Annex 2 EHV charges'!$A:$O,9,FALSE)=0,"",VLOOKUP($A151,'Annex 2 EHV charges'!$A:$O,9,FALSE)),"")</f>
        <v>6868.5</v>
      </c>
      <c r="G151" s="166">
        <f>IFERROR(IF(VLOOKUP($A151,'Annex 2 EHV charges'!$A:$O,10,FALSE)=0,"",VLOOKUP($A151,'Annex 2 EHV charges'!$A:$O,10,FALSE)),"")</f>
        <v>5.18</v>
      </c>
      <c r="H151" s="166">
        <f>IFERROR(IF(VLOOKUP($A151,'Annex 2 EHV charges'!$A:$O,11,FALSE)=0,"",VLOOKUP($A151,'Annex 2 EHV charges'!$A:$O,11,FALSE)),"")</f>
        <v>5.18</v>
      </c>
    </row>
    <row r="152" spans="1:8" ht="30.75" customHeight="1" x14ac:dyDescent="0.35">
      <c r="A152" s="168" t="str">
        <f t="array" ref="A152">IFERROR(INDEX('Annex 2 EHV charges'!$A$11:$A$218, MATCH(0, IF(ISBLANK('Annex 2 EHV charges'!$A$11:$A$218),1, COUNTIF(A$4:$A151, 'Annex 2 EHV charges'!$A$11:$A$218)), 0)),"")</f>
        <v>NRAUTH</v>
      </c>
      <c r="B152" s="170">
        <f>IF($A152="","",VLOOKUP($A152,'Annex 2 EHV charges'!$A:$O,2,0))</f>
        <v>771</v>
      </c>
      <c r="C152" s="171" t="str">
        <f>IF($A152="","",VLOOKUP($A152,'Annex 2 EHV charges'!$A:$O,3,0))</f>
        <v>1014572907871
1023484600573</v>
      </c>
      <c r="D152" s="168" t="str">
        <f>IF($A152="","",VLOOKUP($A152,'Annex 2 EHV charges'!$A:$O,7,0))</f>
        <v>NATIONAL RIVERS AUTHORITY</v>
      </c>
      <c r="E152" s="166">
        <f>IFERROR(IF(VLOOKUP($A152,'Annex 2 EHV charges'!$A:$O,8,FALSE)=0,"",VLOOKUP($A152,'Annex 2 EHV charges'!$A:$O,8,FALSE)),"")</f>
        <v>7.2169999999999996</v>
      </c>
      <c r="F152" s="167">
        <f>IFERROR(IF(VLOOKUP($A152,'Annex 2 EHV charges'!$A:$O,9,FALSE)=0,"",VLOOKUP($A152,'Annex 2 EHV charges'!$A:$O,9,FALSE)),"")</f>
        <v>178.32</v>
      </c>
      <c r="G152" s="166">
        <f>IFERROR(IF(VLOOKUP($A152,'Annex 2 EHV charges'!$A:$O,10,FALSE)=0,"",VLOOKUP($A152,'Annex 2 EHV charges'!$A:$O,10,FALSE)),"")</f>
        <v>1.28</v>
      </c>
      <c r="H152" s="166">
        <f>IFERROR(IF(VLOOKUP($A152,'Annex 2 EHV charges'!$A:$O,11,FALSE)=0,"",VLOOKUP($A152,'Annex 2 EHV charges'!$A:$O,11,FALSE)),"")</f>
        <v>1.28</v>
      </c>
    </row>
    <row r="153" spans="1:8" ht="30.75" customHeight="1" x14ac:dyDescent="0.35">
      <c r="A153" s="168" t="str">
        <f t="array" ref="A153">IFERROR(INDEX('Annex 2 EHV charges'!$A$11:$A$218, MATCH(0, IF(ISBLANK('Annex 2 EHV charges'!$A$11:$A$218),1, COUNTIF(A$4:$A152, 'Annex 2 EHV charges'!$A$11:$A$218)), 0)),"")</f>
        <v>NVASCT</v>
      </c>
      <c r="B153" s="170">
        <f>IF($A153="","",VLOOKUP($A153,'Annex 2 EHV charges'!$A:$O,2,0))</f>
        <v>890</v>
      </c>
      <c r="C153" s="171">
        <f>IF($A153="","",VLOOKUP($A153,'Annex 2 EHV charges'!$A:$O,3,0))</f>
        <v>1050000588206</v>
      </c>
      <c r="D153" s="168" t="str">
        <f>IF($A153="","",VLOOKUP($A153,'Annex 2 EHV charges'!$A:$O,7,0))</f>
        <v>NOVA SCOTIA SOLAR</v>
      </c>
      <c r="E153" s="166">
        <f>IFERROR(IF(VLOOKUP($A153,'Annex 2 EHV charges'!$A:$O,8,FALSE)=0,"",VLOOKUP($A153,'Annex 2 EHV charges'!$A:$O,8,FALSE)),"")</f>
        <v>2.7080000000000002</v>
      </c>
      <c r="F153" s="167">
        <f>IFERROR(IF(VLOOKUP($A153,'Annex 2 EHV charges'!$A:$O,9,FALSE)=0,"",VLOOKUP($A153,'Annex 2 EHV charges'!$A:$O,9,FALSE)),"")</f>
        <v>3.66</v>
      </c>
      <c r="G153" s="166">
        <f>IFERROR(IF(VLOOKUP($A153,'Annex 2 EHV charges'!$A:$O,10,FALSE)=0,"",VLOOKUP($A153,'Annex 2 EHV charges'!$A:$O,10,FALSE)),"")</f>
        <v>3.32</v>
      </c>
      <c r="H153" s="166">
        <f>IFERROR(IF(VLOOKUP($A153,'Annex 2 EHV charges'!$A:$O,11,FALSE)=0,"",VLOOKUP($A153,'Annex 2 EHV charges'!$A:$O,11,FALSE)),"")</f>
        <v>3.32</v>
      </c>
    </row>
    <row r="154" spans="1:8" ht="30.75" customHeight="1" x14ac:dyDescent="0.35">
      <c r="A154" s="168" t="str">
        <f t="array" ref="A154">IFERROR(INDEX('Annex 2 EHV charges'!$A$11:$A$218, MATCH(0, IF(ISBLANK('Annex 2 EHV charges'!$A$11:$A$218),1, COUNTIF(A$4:$A153, 'Annex 2 EHV charges'!$A$11:$A$218)), 0)),"")</f>
        <v>NYSEIB</v>
      </c>
      <c r="B154" s="170">
        <f>IF($A154="","",VLOOKUP($A154,'Annex 2 EHV charges'!$A:$O,2,0))</f>
        <v>771</v>
      </c>
      <c r="C154" s="171" t="str">
        <f>IF($A154="","",VLOOKUP($A154,'Annex 2 EHV charges'!$A:$O,3,0))</f>
        <v>1030062357839
1030062357607</v>
      </c>
      <c r="D154" s="168" t="str">
        <f>IF($A154="","",VLOOKUP($A154,'Annex 2 EHV charges'!$A:$O,7,0))</f>
        <v>IMPERIUM CENTRE LIMITED</v>
      </c>
      <c r="E154" s="166">
        <f>IFERROR(IF(VLOOKUP($A154,'Annex 2 EHV charges'!$A:$O,8,FALSE)=0,"",VLOOKUP($A154,'Annex 2 EHV charges'!$A:$O,8,FALSE)),"")</f>
        <v>1.014</v>
      </c>
      <c r="F154" s="167">
        <f>IFERROR(IF(VLOOKUP($A154,'Annex 2 EHV charges'!$A:$O,9,FALSE)=0,"",VLOOKUP($A154,'Annex 2 EHV charges'!$A:$O,9,FALSE)),"")</f>
        <v>4684.72</v>
      </c>
      <c r="G154" s="166">
        <f>IFERROR(IF(VLOOKUP($A154,'Annex 2 EHV charges'!$A:$O,10,FALSE)=0,"",VLOOKUP($A154,'Annex 2 EHV charges'!$A:$O,10,FALSE)),"")</f>
        <v>2.27</v>
      </c>
      <c r="H154" s="166">
        <f>IFERROR(IF(VLOOKUP($A154,'Annex 2 EHV charges'!$A:$O,11,FALSE)=0,"",VLOOKUP($A154,'Annex 2 EHV charges'!$A:$O,11,FALSE)),"")</f>
        <v>2.27</v>
      </c>
    </row>
    <row r="155" spans="1:8" ht="30.75" customHeight="1" x14ac:dyDescent="0.35">
      <c r="A155" s="168" t="str">
        <f t="array" ref="A155">IFERROR(INDEX('Annex 2 EHV charges'!$A$11:$A$218, MATCH(0, IF(ISBLANK('Annex 2 EHV charges'!$A$11:$A$218),1, COUNTIF(A$4:$A154, 'Annex 2 EHV charges'!$A$11:$A$218)), 0)),"")</f>
        <v>OLDAIR</v>
      </c>
      <c r="B155" s="170">
        <f>IF($A155="","",VLOOKUP($A155,'Annex 2 EHV charges'!$A:$O,2,0))</f>
        <v>796</v>
      </c>
      <c r="C155" s="171">
        <f>IF($A155="","",VLOOKUP($A155,'Annex 2 EHV charges'!$A:$O,3,0))</f>
        <v>1050000890756</v>
      </c>
      <c r="D155" s="168" t="str">
        <f>IF($A155="","",VLOOKUP($A155,'Annex 2 EHV charges'!$A:$O,7,0))</f>
        <v>OLD AIRFIELD SOLAR</v>
      </c>
      <c r="E155" s="166">
        <f>IFERROR(IF(VLOOKUP($A155,'Annex 2 EHV charges'!$A:$O,8,FALSE)=0,"",VLOOKUP($A155,'Annex 2 EHV charges'!$A:$O,8,FALSE)),"")</f>
        <v>3.597</v>
      </c>
      <c r="F155" s="167">
        <f>IFERROR(IF(VLOOKUP($A155,'Annex 2 EHV charges'!$A:$O,9,FALSE)=0,"",VLOOKUP($A155,'Annex 2 EHV charges'!$A:$O,9,FALSE)),"")</f>
        <v>13.01</v>
      </c>
      <c r="G155" s="166">
        <f>IFERROR(IF(VLOOKUP($A155,'Annex 2 EHV charges'!$A:$O,10,FALSE)=0,"",VLOOKUP($A155,'Annex 2 EHV charges'!$A:$O,10,FALSE)),"")</f>
        <v>2.82</v>
      </c>
      <c r="H155" s="166">
        <f>IFERROR(IF(VLOOKUP($A155,'Annex 2 EHV charges'!$A:$O,11,FALSE)=0,"",VLOOKUP($A155,'Annex 2 EHV charges'!$A:$O,11,FALSE)),"")</f>
        <v>2.82</v>
      </c>
    </row>
    <row r="156" spans="1:8" ht="30.75" customHeight="1" x14ac:dyDescent="0.35">
      <c r="A156" s="168" t="str">
        <f t="array" ref="A156">IFERROR(INDEX('Annex 2 EHV charges'!$A$11:$A$218, MATCH(0, IF(ISBLANK('Annex 2 EHV charges'!$A$11:$A$218),1, COUNTIF(A$4:$A155, 'Annex 2 EHV charges'!$A$11:$A$218)), 0)),"")</f>
        <v>PICKEN</v>
      </c>
      <c r="B156" s="170">
        <f>IF($A156="","",VLOOKUP($A156,'Annex 2 EHV charges'!$A:$O,2,0))</f>
        <v>830</v>
      </c>
      <c r="C156" s="171">
        <f>IF($A156="","",VLOOKUP($A156,'Annex 2 EHV charges'!$A:$O,3,0))</f>
        <v>1030030431071</v>
      </c>
      <c r="D156" s="168" t="str">
        <f>IF($A156="","",VLOOKUP($A156,'Annex 2 EHV charges'!$A:$O,7,0))</f>
        <v>NORTH PICKENHAM WINDFARM LLP</v>
      </c>
      <c r="E156" s="166">
        <f>IFERROR(IF(VLOOKUP($A156,'Annex 2 EHV charges'!$A:$O,8,FALSE)=0,"",VLOOKUP($A156,'Annex 2 EHV charges'!$A:$O,8,FALSE)),"")</f>
        <v>1.681</v>
      </c>
      <c r="F156" s="167">
        <f>IFERROR(IF(VLOOKUP($A156,'Annex 2 EHV charges'!$A:$O,9,FALSE)=0,"",VLOOKUP($A156,'Annex 2 EHV charges'!$A:$O,9,FALSE)),"")</f>
        <v>6.7</v>
      </c>
      <c r="G156" s="166">
        <f>IFERROR(IF(VLOOKUP($A156,'Annex 2 EHV charges'!$A:$O,10,FALSE)=0,"",VLOOKUP($A156,'Annex 2 EHV charges'!$A:$O,10,FALSE)),"")</f>
        <v>1.52</v>
      </c>
      <c r="H156" s="166">
        <f>IFERROR(IF(VLOOKUP($A156,'Annex 2 EHV charges'!$A:$O,11,FALSE)=0,"",VLOOKUP($A156,'Annex 2 EHV charges'!$A:$O,11,FALSE)),"")</f>
        <v>1.52</v>
      </c>
    </row>
    <row r="157" spans="1:8" ht="30.75" customHeight="1" x14ac:dyDescent="0.35">
      <c r="A157" s="168" t="str">
        <f t="array" ref="A157">IFERROR(INDEX('Annex 2 EHV charges'!$A$11:$A$218, MATCH(0, IF(ISBLANK('Annex 2 EHV charges'!$A$11:$A$218),1, COUNTIF(A$4:$A156, 'Annex 2 EHV charges'!$A$11:$A$218)), 0)),"")</f>
        <v>PLMPPR</v>
      </c>
      <c r="B157" s="170">
        <f>IF($A157="","",VLOOKUP($A157,'Annex 2 EHV charges'!$A:$O,2,0))</f>
        <v>831</v>
      </c>
      <c r="C157" s="171" t="str">
        <f>IF($A157="","",VLOOKUP($A157,'Annex 2 EHV charges'!$A:$O,3,0))</f>
        <v>1030062872341
1030062872573</v>
      </c>
      <c r="D157" s="168" t="str">
        <f>IF($A157="","",VLOOKUP($A157,'Annex 2 EHV charges'!$A:$O,7,0))</f>
        <v>PALM PAPER LTD</v>
      </c>
      <c r="E157" s="166" t="str">
        <f>IFERROR(IF(VLOOKUP($A157,'Annex 2 EHV charges'!$A:$O,8,FALSE)=0,"",VLOOKUP($A157,'Annex 2 EHV charges'!$A:$O,8,FALSE)),"")</f>
        <v/>
      </c>
      <c r="F157" s="167">
        <f>IFERROR(IF(VLOOKUP($A157,'Annex 2 EHV charges'!$A:$O,9,FALSE)=0,"",VLOOKUP($A157,'Annex 2 EHV charges'!$A:$O,9,FALSE)),"")</f>
        <v>2353.7199999999998</v>
      </c>
      <c r="G157" s="166">
        <f>IFERROR(IF(VLOOKUP($A157,'Annex 2 EHV charges'!$A:$O,10,FALSE)=0,"",VLOOKUP($A157,'Annex 2 EHV charges'!$A:$O,10,FALSE)),"")</f>
        <v>3.64</v>
      </c>
      <c r="H157" s="166">
        <f>IFERROR(IF(VLOOKUP($A157,'Annex 2 EHV charges'!$A:$O,11,FALSE)=0,"",VLOOKUP($A157,'Annex 2 EHV charges'!$A:$O,11,FALSE)),"")</f>
        <v>3.64</v>
      </c>
    </row>
    <row r="158" spans="1:8" ht="30.75" customHeight="1" x14ac:dyDescent="0.35">
      <c r="A158" s="168" t="str">
        <f t="array" ref="A158">IFERROR(INDEX('Annex 2 EHV charges'!$A$11:$A$218, MATCH(0, IF(ISBLANK('Annex 2 EHV charges'!$A$11:$A$218),1, COUNTIF(A$4:$A157, 'Annex 2 EHV charges'!$A$11:$A$218)), 0)),"")</f>
        <v>PLYTRS</v>
      </c>
      <c r="B158" s="170">
        <f>IF($A158="","",VLOOKUP($A158,'Annex 2 EHV charges'!$A:$O,2,0))</f>
        <v>796</v>
      </c>
      <c r="C158" s="171">
        <f>IF($A158="","",VLOOKUP($A158,'Annex 2 EHV charges'!$A:$O,3,0))</f>
        <v>1050000903165</v>
      </c>
      <c r="D158" s="168" t="str">
        <f>IF($A158="","",VLOOKUP($A158,'Annex 2 EHV charges'!$A:$O,7,0))</f>
        <v>PLAYTERS SOLAR LIMITED</v>
      </c>
      <c r="E158" s="166">
        <f>IFERROR(IF(VLOOKUP($A158,'Annex 2 EHV charges'!$A:$O,8,FALSE)=0,"",VLOOKUP($A158,'Annex 2 EHV charges'!$A:$O,8,FALSE)),"")</f>
        <v>0.47099999999999997</v>
      </c>
      <c r="F158" s="167">
        <f>IFERROR(IF(VLOOKUP($A158,'Annex 2 EHV charges'!$A:$O,9,FALSE)=0,"",VLOOKUP($A158,'Annex 2 EHV charges'!$A:$O,9,FALSE)),"")</f>
        <v>20.43</v>
      </c>
      <c r="G158" s="166">
        <f>IFERROR(IF(VLOOKUP($A158,'Annex 2 EHV charges'!$A:$O,10,FALSE)=0,"",VLOOKUP($A158,'Annex 2 EHV charges'!$A:$O,10,FALSE)),"")</f>
        <v>3.33</v>
      </c>
      <c r="H158" s="166">
        <f>IFERROR(IF(VLOOKUP($A158,'Annex 2 EHV charges'!$A:$O,11,FALSE)=0,"",VLOOKUP($A158,'Annex 2 EHV charges'!$A:$O,11,FALSE)),"")</f>
        <v>3.33</v>
      </c>
    </row>
    <row r="159" spans="1:8" ht="30.75" customHeight="1" x14ac:dyDescent="0.35">
      <c r="A159" s="168" t="str">
        <f t="array" ref="A159">IFERROR(INDEX('Annex 2 EHV charges'!$A$11:$A$218, MATCH(0, IF(ISBLANK('Annex 2 EHV charges'!$A$11:$A$218),1, COUNTIF(A$4:$A158, 'Annex 2 EHV charges'!$A$11:$A$218)), 0)),"")</f>
        <v>PP_COR</v>
      </c>
      <c r="B159" s="170">
        <f>IF($A159="","",VLOOKUP($A159,'Annex 2 EHV charges'!$A:$O,2,0))</f>
        <v>832</v>
      </c>
      <c r="C159" s="171">
        <f>IF($A159="","",VLOOKUP($A159,'Annex 2 EHV charges'!$A:$O,3,0))</f>
        <v>1014569523654</v>
      </c>
      <c r="D159" s="168" t="str">
        <f>IF($A159="","",VLOOKUP($A159,'Annex 2 EHV charges'!$A:$O,7,0))</f>
        <v>CORYTON ASSET LIMITED</v>
      </c>
      <c r="E159" s="166" t="str">
        <f>IFERROR(IF(VLOOKUP($A159,'Annex 2 EHV charges'!$A:$O,8,FALSE)=0,"",VLOOKUP($A159,'Annex 2 EHV charges'!$A:$O,8,FALSE)),"")</f>
        <v/>
      </c>
      <c r="F159" s="167">
        <f>IFERROR(IF(VLOOKUP($A159,'Annex 2 EHV charges'!$A:$O,9,FALSE)=0,"",VLOOKUP($A159,'Annex 2 EHV charges'!$A:$O,9,FALSE)),"")</f>
        <v>1023.14</v>
      </c>
      <c r="G159" s="166">
        <f>IFERROR(IF(VLOOKUP($A159,'Annex 2 EHV charges'!$A:$O,10,FALSE)=0,"",VLOOKUP($A159,'Annex 2 EHV charges'!$A:$O,10,FALSE)),"")</f>
        <v>2.5099999999999998</v>
      </c>
      <c r="H159" s="166">
        <f>IFERROR(IF(VLOOKUP($A159,'Annex 2 EHV charges'!$A:$O,11,FALSE)=0,"",VLOOKUP($A159,'Annex 2 EHV charges'!$A:$O,11,FALSE)),"")</f>
        <v>2.5099999999999998</v>
      </c>
    </row>
    <row r="160" spans="1:8" ht="30.75" customHeight="1" x14ac:dyDescent="0.35">
      <c r="A160" s="168" t="str">
        <f t="array" ref="A160">IFERROR(INDEX('Annex 2 EHV charges'!$A$11:$A$218, MATCH(0, IF(ISBLANK('Annex 2 EHV charges'!$A$11:$A$218),1, COUNTIF(A$4:$A159, 'Annex 2 EHV charges'!$A$11:$A$218)), 0)),"")</f>
        <v>PRECIS</v>
      </c>
      <c r="B160" s="170">
        <f>IF($A160="","",VLOOKUP($A160,'Annex 2 EHV charges'!$A:$O,2,0))</f>
        <v>771</v>
      </c>
      <c r="C160" s="171" t="str">
        <f>IF($A160="","",VLOOKUP($A160,'Annex 2 EHV charges'!$A:$O,3,0))</f>
        <v>1014572632790
1015685836242</v>
      </c>
      <c r="D160" s="168" t="str">
        <f>IF($A160="","",VLOOKUP($A160,'Annex 2 EHV charges'!$A:$O,7,0))</f>
        <v>BOURNS LIMITED</v>
      </c>
      <c r="E160" s="166">
        <f>IFERROR(IF(VLOOKUP($A160,'Annex 2 EHV charges'!$A:$O,8,FALSE)=0,"",VLOOKUP($A160,'Annex 2 EHV charges'!$A:$O,8,FALSE)),"")</f>
        <v>2.7149999999999999</v>
      </c>
      <c r="F160" s="167">
        <f>IFERROR(IF(VLOOKUP($A160,'Annex 2 EHV charges'!$A:$O,9,FALSE)=0,"",VLOOKUP($A160,'Annex 2 EHV charges'!$A:$O,9,FALSE)),"")</f>
        <v>178.32</v>
      </c>
      <c r="G160" s="166">
        <f>IFERROR(IF(VLOOKUP($A160,'Annex 2 EHV charges'!$A:$O,10,FALSE)=0,"",VLOOKUP($A160,'Annex 2 EHV charges'!$A:$O,10,FALSE)),"")</f>
        <v>7.87</v>
      </c>
      <c r="H160" s="166">
        <f>IFERROR(IF(VLOOKUP($A160,'Annex 2 EHV charges'!$A:$O,11,FALSE)=0,"",VLOOKUP($A160,'Annex 2 EHV charges'!$A:$O,11,FALSE)),"")</f>
        <v>7.87</v>
      </c>
    </row>
    <row r="161" spans="1:8" ht="30.75" customHeight="1" x14ac:dyDescent="0.35">
      <c r="A161" s="168" t="str">
        <f t="array" ref="A161">IFERROR(INDEX('Annex 2 EHV charges'!$A$11:$A$218, MATCH(0, IF(ISBLANK('Annex 2 EHV charges'!$A$11:$A$218),1, COUNTIF(A$4:$A160, 'Annex 2 EHV charges'!$A$11:$A$218)), 0)),"")</f>
        <v>PRHMSF</v>
      </c>
      <c r="B161" s="170">
        <f>IF($A161="","",VLOOKUP($A161,'Annex 2 EHV charges'!$A:$O,2,0))</f>
        <v>895</v>
      </c>
      <c r="C161" s="171">
        <f>IF($A161="","",VLOOKUP($A161,'Annex 2 EHV charges'!$A:$O,3,0))</f>
        <v>1030085099084</v>
      </c>
      <c r="D161" s="168" t="str">
        <f>IF($A161="","",VLOOKUP($A161,'Annex 2 EHV charges'!$A:$O,7,0))</f>
        <v>GG RENEWABLES LIMITED</v>
      </c>
      <c r="E161" s="166">
        <f>IFERROR(IF(VLOOKUP($A161,'Annex 2 EHV charges'!$A:$O,8,FALSE)=0,"",VLOOKUP($A161,'Annex 2 EHV charges'!$A:$O,8,FALSE)),"")</f>
        <v>0.92600000000000005</v>
      </c>
      <c r="F161" s="167">
        <f>IFERROR(IF(VLOOKUP($A161,'Annex 2 EHV charges'!$A:$O,9,FALSE)=0,"",VLOOKUP($A161,'Annex 2 EHV charges'!$A:$O,9,FALSE)),"")</f>
        <v>6.18</v>
      </c>
      <c r="G161" s="166">
        <f>IFERROR(IF(VLOOKUP($A161,'Annex 2 EHV charges'!$A:$O,10,FALSE)=0,"",VLOOKUP($A161,'Annex 2 EHV charges'!$A:$O,10,FALSE)),"")</f>
        <v>10.73</v>
      </c>
      <c r="H161" s="166">
        <f>IFERROR(IF(VLOOKUP($A161,'Annex 2 EHV charges'!$A:$O,11,FALSE)=0,"",VLOOKUP($A161,'Annex 2 EHV charges'!$A:$O,11,FALSE)),"")</f>
        <v>10.73</v>
      </c>
    </row>
    <row r="162" spans="1:8" ht="30.75" customHeight="1" x14ac:dyDescent="0.35">
      <c r="A162" s="168" t="str">
        <f t="array" ref="A162">IFERROR(INDEX('Annex 2 EHV charges'!$A$11:$A$218, MATCH(0, IF(ISBLANK('Annex 2 EHV charges'!$A$11:$A$218),1, COUNTIF(A$4:$A161, 'Annex 2 EHV charges'!$A$11:$A$218)), 0)),"")</f>
        <v>PRMFDS</v>
      </c>
      <c r="B162" s="170">
        <f>IF($A162="","",VLOOKUP($A162,'Annex 2 EHV charges'!$A:$O,2,0))</f>
        <v>771</v>
      </c>
      <c r="C162" s="171" t="str">
        <f>IF($A162="","",VLOOKUP($A162,'Annex 2 EHV charges'!$A:$O,3,0))</f>
        <v>1014572860726
1023479474560</v>
      </c>
      <c r="D162" s="168" t="str">
        <f>IF($A162="","",VLOOKUP($A162,'Annex 2 EHV charges'!$A:$O,7,0))</f>
        <v>DANIELS CHILLED FOODS LTD</v>
      </c>
      <c r="E162" s="166">
        <f>IFERROR(IF(VLOOKUP($A162,'Annex 2 EHV charges'!$A:$O,8,FALSE)=0,"",VLOOKUP($A162,'Annex 2 EHV charges'!$A:$O,8,FALSE)),"")</f>
        <v>2.165</v>
      </c>
      <c r="F162" s="167">
        <f>IFERROR(IF(VLOOKUP($A162,'Annex 2 EHV charges'!$A:$O,9,FALSE)=0,"",VLOOKUP($A162,'Annex 2 EHV charges'!$A:$O,9,FALSE)),"")</f>
        <v>178.32</v>
      </c>
      <c r="G162" s="166">
        <f>IFERROR(IF(VLOOKUP($A162,'Annex 2 EHV charges'!$A:$O,10,FALSE)=0,"",VLOOKUP($A162,'Annex 2 EHV charges'!$A:$O,10,FALSE)),"")</f>
        <v>5.64</v>
      </c>
      <c r="H162" s="166">
        <f>IFERROR(IF(VLOOKUP($A162,'Annex 2 EHV charges'!$A:$O,11,FALSE)=0,"",VLOOKUP($A162,'Annex 2 EHV charges'!$A:$O,11,FALSE)),"")</f>
        <v>5.64</v>
      </c>
    </row>
    <row r="163" spans="1:8" ht="30.75" customHeight="1" x14ac:dyDescent="0.35">
      <c r="A163" s="168" t="str">
        <f t="array" ref="A163">IFERROR(INDEX('Annex 2 EHV charges'!$A$11:$A$218, MATCH(0, IF(ISBLANK('Annex 2 EHV charges'!$A$11:$A$218),1, COUNTIF(A$4:$A162, 'Annex 2 EHV charges'!$A$11:$A$218)), 0)),"")</f>
        <v>PTRBRO</v>
      </c>
      <c r="B163" s="170">
        <f>IF($A163="","",VLOOKUP($A163,'Annex 2 EHV charges'!$A:$O,2,0))</f>
        <v>7006</v>
      </c>
      <c r="C163" s="171" t="str">
        <f>IF($A163="","",VLOOKUP($A163,'Annex 2 EHV charges'!$A:$O,3,0))</f>
        <v xml:space="preserve"> MSID: 7006</v>
      </c>
      <c r="D163" s="168" t="str">
        <f>IF($A163="","",VLOOKUP($A163,'Annex 2 EHV charges'!$A:$O,7,0))</f>
        <v>CENTRICA PB LIMITED</v>
      </c>
      <c r="E163" s="166" t="str">
        <f>IFERROR(IF(VLOOKUP($A163,'Annex 2 EHV charges'!$A:$O,8,FALSE)=0,"",VLOOKUP($A163,'Annex 2 EHV charges'!$A:$O,8,FALSE)),"")</f>
        <v/>
      </c>
      <c r="F163" s="167">
        <f>IFERROR(IF(VLOOKUP($A163,'Annex 2 EHV charges'!$A:$O,9,FALSE)=0,"",VLOOKUP($A163,'Annex 2 EHV charges'!$A:$O,9,FALSE)),"")</f>
        <v>1.06</v>
      </c>
      <c r="G163" s="166">
        <f>IFERROR(IF(VLOOKUP($A163,'Annex 2 EHV charges'!$A:$O,10,FALSE)=0,"",VLOOKUP($A163,'Annex 2 EHV charges'!$A:$O,10,FALSE)),"")</f>
        <v>1.32</v>
      </c>
      <c r="H163" s="166">
        <f>IFERROR(IF(VLOOKUP($A163,'Annex 2 EHV charges'!$A:$O,11,FALSE)=0,"",VLOOKUP($A163,'Annex 2 EHV charges'!$A:$O,11,FALSE)),"")</f>
        <v>1.32</v>
      </c>
    </row>
    <row r="164" spans="1:8" ht="30.75" customHeight="1" x14ac:dyDescent="0.35">
      <c r="A164" s="168" t="str">
        <f t="array" ref="A164">IFERROR(INDEX('Annex 2 EHV charges'!$A$11:$A$218, MATCH(0, IF(ISBLANK('Annex 2 EHV charges'!$A$11:$A$218),1, COUNTIF(A$4:$A163, 'Annex 2 EHV charges'!$A$11:$A$218)), 0)),"")</f>
        <v>QNETIC</v>
      </c>
      <c r="B164" s="170">
        <f>IF($A164="","",VLOOKUP($A164,'Annex 2 EHV charges'!$A:$O,2,0))</f>
        <v>771</v>
      </c>
      <c r="C164" s="171">
        <f>IF($A164="","",VLOOKUP($A164,'Annex 2 EHV charges'!$A:$O,3,0))</f>
        <v>1014572722956</v>
      </c>
      <c r="D164" s="168" t="str">
        <f>IF($A164="","",VLOOKUP($A164,'Annex 2 EHV charges'!$A:$O,7,0))</f>
        <v>QINETIQ LTD</v>
      </c>
      <c r="E164" s="166">
        <f>IFERROR(IF(VLOOKUP($A164,'Annex 2 EHV charges'!$A:$O,8,FALSE)=0,"",VLOOKUP($A164,'Annex 2 EHV charges'!$A:$O,8,FALSE)),"")</f>
        <v>2.6190000000000002</v>
      </c>
      <c r="F164" s="167">
        <f>IFERROR(IF(VLOOKUP($A164,'Annex 2 EHV charges'!$A:$O,9,FALSE)=0,"",VLOOKUP($A164,'Annex 2 EHV charges'!$A:$O,9,FALSE)),"")</f>
        <v>4292.01</v>
      </c>
      <c r="G164" s="166">
        <f>IFERROR(IF(VLOOKUP($A164,'Annex 2 EHV charges'!$A:$O,10,FALSE)=0,"",VLOOKUP($A164,'Annex 2 EHV charges'!$A:$O,10,FALSE)),"")</f>
        <v>4.84</v>
      </c>
      <c r="H164" s="166">
        <f>IFERROR(IF(VLOOKUP($A164,'Annex 2 EHV charges'!$A:$O,11,FALSE)=0,"",VLOOKUP($A164,'Annex 2 EHV charges'!$A:$O,11,FALSE)),"")</f>
        <v>4.84</v>
      </c>
    </row>
    <row r="165" spans="1:8" ht="30.75" customHeight="1" x14ac:dyDescent="0.35">
      <c r="A165" s="168" t="str">
        <f t="array" ref="A165">IFERROR(INDEX('Annex 2 EHV charges'!$A$11:$A$218, MATCH(0, IF(ISBLANK('Annex 2 EHV charges'!$A$11:$A$218),1, COUNTIF(A$4:$A164, 'Annex 2 EHV charges'!$A$11:$A$218)), 0)),"")</f>
        <v>QRRNDN</v>
      </c>
      <c r="B165" s="170">
        <f>IF($A165="","",VLOOKUP($A165,'Annex 2 EHV charges'!$A:$O,2,0))</f>
        <v>526</v>
      </c>
      <c r="C165" s="171">
        <f>IF($A165="","",VLOOKUP($A165,'Annex 2 EHV charges'!$A:$O,3,0))</f>
        <v>1050000768550</v>
      </c>
      <c r="D165" s="168" t="str">
        <f>IF($A165="","",VLOOKUP($A165,'Annex 2 EHV charges'!$A:$O,7,0))</f>
        <v>AWE RENEWABLES LIMITED</v>
      </c>
      <c r="E165" s="166">
        <f>IFERROR(IF(VLOOKUP($A165,'Annex 2 EHV charges'!$A:$O,8,FALSE)=0,"",VLOOKUP($A165,'Annex 2 EHV charges'!$A:$O,8,FALSE)),"")</f>
        <v>6.0860000000000003</v>
      </c>
      <c r="F165" s="167">
        <f>IFERROR(IF(VLOOKUP($A165,'Annex 2 EHV charges'!$A:$O,9,FALSE)=0,"",VLOOKUP($A165,'Annex 2 EHV charges'!$A:$O,9,FALSE)),"")</f>
        <v>34.020000000000003</v>
      </c>
      <c r="G165" s="166">
        <f>IFERROR(IF(VLOOKUP($A165,'Annex 2 EHV charges'!$A:$O,10,FALSE)=0,"",VLOOKUP($A165,'Annex 2 EHV charges'!$A:$O,10,FALSE)),"")</f>
        <v>3.28</v>
      </c>
      <c r="H165" s="166">
        <f>IFERROR(IF(VLOOKUP($A165,'Annex 2 EHV charges'!$A:$O,11,FALSE)=0,"",VLOOKUP($A165,'Annex 2 EHV charges'!$A:$O,11,FALSE)),"")</f>
        <v>3.28</v>
      </c>
    </row>
    <row r="166" spans="1:8" ht="30.75" customHeight="1" x14ac:dyDescent="0.35">
      <c r="A166" s="168" t="str">
        <f t="array" ref="A166">IFERROR(INDEX('Annex 2 EHV charges'!$A$11:$A$218, MATCH(0, IF(ISBLANK('Annex 2 EHV charges'!$A$11:$A$218),1, COUNTIF(A$4:$A165, 'Annex 2 EHV charges'!$A$11:$A$218)), 0)),"")</f>
        <v>RAF_AL</v>
      </c>
      <c r="B166" s="170">
        <f>IF($A166="","",VLOOKUP($A166,'Annex 2 EHV charges'!$A:$O,2,0))</f>
        <v>771</v>
      </c>
      <c r="C166" s="171">
        <f>IF($A166="","",VLOOKUP($A166,'Annex 2 EHV charges'!$A:$O,3,0))</f>
        <v>1014572929954</v>
      </c>
      <c r="D166" s="168" t="str">
        <f>IF($A166="","",VLOOKUP($A166,'Annex 2 EHV charges'!$A:$O,7,0))</f>
        <v>MINISTRY OF DEFENCE</v>
      </c>
      <c r="E166" s="166">
        <f>IFERROR(IF(VLOOKUP($A166,'Annex 2 EHV charges'!$A:$O,8,FALSE)=0,"",VLOOKUP($A166,'Annex 2 EHV charges'!$A:$O,8,FALSE)),"")</f>
        <v>4.66</v>
      </c>
      <c r="F166" s="167">
        <f>IFERROR(IF(VLOOKUP($A166,'Annex 2 EHV charges'!$A:$O,9,FALSE)=0,"",VLOOKUP($A166,'Annex 2 EHV charges'!$A:$O,9,FALSE)),"")</f>
        <v>89.16</v>
      </c>
      <c r="G166" s="166">
        <f>IFERROR(IF(VLOOKUP($A166,'Annex 2 EHV charges'!$A:$O,10,FALSE)=0,"",VLOOKUP($A166,'Annex 2 EHV charges'!$A:$O,10,FALSE)),"")</f>
        <v>6.62</v>
      </c>
      <c r="H166" s="166">
        <f>IFERROR(IF(VLOOKUP($A166,'Annex 2 EHV charges'!$A:$O,11,FALSE)=0,"",VLOOKUP($A166,'Annex 2 EHV charges'!$A:$O,11,FALSE)),"")</f>
        <v>6.62</v>
      </c>
    </row>
    <row r="167" spans="1:8" ht="30.75" customHeight="1" x14ac:dyDescent="0.35">
      <c r="A167" s="168" t="str">
        <f t="array" ref="A167">IFERROR(INDEX('Annex 2 EHV charges'!$A$11:$A$218, MATCH(0, IF(ISBLANK('Annex 2 EHV charges'!$A$11:$A$218),1, COUNTIF(A$4:$A166, 'Annex 2 EHV charges'!$A$11:$A$218)), 0)),"")</f>
        <v>RAINHM</v>
      </c>
      <c r="B167" s="170">
        <f>IF($A167="","",VLOOKUP($A167,'Annex 2 EHV charges'!$A:$O,2,0))</f>
        <v>862</v>
      </c>
      <c r="C167" s="171" t="str">
        <f>IF($A167="","",VLOOKUP($A167,'Annex 2 EHV charges'!$A:$O,3,0))</f>
        <v>1023487353212
1023487352751</v>
      </c>
      <c r="D167" s="168" t="str">
        <f>IF($A167="","",VLOOKUP($A167,'Annex 2 EHV charges'!$A:$O,7,0))</f>
        <v>NON FOSSIL PURCHASING AGENCY</v>
      </c>
      <c r="E167" s="166">
        <f>IFERROR(IF(VLOOKUP($A167,'Annex 2 EHV charges'!$A:$O,8,FALSE)=0,"",VLOOKUP($A167,'Annex 2 EHV charges'!$A:$O,8,FALSE)),"")</f>
        <v>4.1289999999999996</v>
      </c>
      <c r="F167" s="167">
        <f>IFERROR(IF(VLOOKUP($A167,'Annex 2 EHV charges'!$A:$O,9,FALSE)=0,"",VLOOKUP($A167,'Annex 2 EHV charges'!$A:$O,9,FALSE)),"")</f>
        <v>23.05</v>
      </c>
      <c r="G167" s="166">
        <f>IFERROR(IF(VLOOKUP($A167,'Annex 2 EHV charges'!$A:$O,10,FALSE)=0,"",VLOOKUP($A167,'Annex 2 EHV charges'!$A:$O,10,FALSE)),"")</f>
        <v>1.68</v>
      </c>
      <c r="H167" s="166">
        <f>IFERROR(IF(VLOOKUP($A167,'Annex 2 EHV charges'!$A:$O,11,FALSE)=0,"",VLOOKUP($A167,'Annex 2 EHV charges'!$A:$O,11,FALSE)),"")</f>
        <v>1.68</v>
      </c>
    </row>
    <row r="168" spans="1:8" ht="30.75" customHeight="1" x14ac:dyDescent="0.35">
      <c r="A168" s="168" t="str">
        <f t="array" ref="A168">IFERROR(INDEX('Annex 2 EHV charges'!$A$11:$A$218, MATCH(0, IF(ISBLANK('Annex 2 EHV charges'!$A$11:$A$218),1, COUNTIF(A$4:$A167, 'Annex 2 EHV charges'!$A$11:$A$218)), 0)),"")</f>
        <v>RANJAC</v>
      </c>
      <c r="B168" s="170">
        <f>IF($A168="","",VLOOKUP($A168,'Annex 2 EHV charges'!$A:$O,2,0))</f>
        <v>771</v>
      </c>
      <c r="C168" s="171">
        <f>IF($A168="","",VLOOKUP($A168,'Annex 2 EHV charges'!$A:$O,3,0))</f>
        <v>1014712345991</v>
      </c>
      <c r="D168" s="168" t="str">
        <f>IF($A168="","",VLOOKUP($A168,'Annex 2 EHV charges'!$A:$O,7,0))</f>
        <v>RANSOMES JACOBSEN</v>
      </c>
      <c r="E168" s="166">
        <f>IFERROR(IF(VLOOKUP($A168,'Annex 2 EHV charges'!$A:$O,8,FALSE)=0,"",VLOOKUP($A168,'Annex 2 EHV charges'!$A:$O,8,FALSE)),"")</f>
        <v>0.83</v>
      </c>
      <c r="F168" s="167">
        <f>IFERROR(IF(VLOOKUP($A168,'Annex 2 EHV charges'!$A:$O,9,FALSE)=0,"",VLOOKUP($A168,'Annex 2 EHV charges'!$A:$O,9,FALSE)),"")</f>
        <v>89.16</v>
      </c>
      <c r="G168" s="166">
        <f>IFERROR(IF(VLOOKUP($A168,'Annex 2 EHV charges'!$A:$O,10,FALSE)=0,"",VLOOKUP($A168,'Annex 2 EHV charges'!$A:$O,10,FALSE)),"")</f>
        <v>3.72</v>
      </c>
      <c r="H168" s="166">
        <f>IFERROR(IF(VLOOKUP($A168,'Annex 2 EHV charges'!$A:$O,11,FALSE)=0,"",VLOOKUP($A168,'Annex 2 EHV charges'!$A:$O,11,FALSE)),"")</f>
        <v>3.72</v>
      </c>
    </row>
    <row r="169" spans="1:8" ht="30.75" customHeight="1" x14ac:dyDescent="0.35">
      <c r="A169" s="168" t="str">
        <f t="array" ref="A169">IFERROR(INDEX('Annex 2 EHV charges'!$A$11:$A$218, MATCH(0, IF(ISBLANK('Annex 2 EHV charges'!$A$11:$A$218),1, COUNTIF(A$4:$A168, 'Annex 2 EHV charges'!$A$11:$A$218)), 0)),"")</f>
        <v>RANSON</v>
      </c>
      <c r="B169" s="170">
        <f>IF($A169="","",VLOOKUP($A169,'Annex 2 EHV charges'!$A:$O,2,0))</f>
        <v>834</v>
      </c>
      <c r="C169" s="171">
        <f>IF($A169="","",VLOOKUP($A169,'Annex 2 EHV charges'!$A:$O,3,0))</f>
        <v>1030034117745</v>
      </c>
      <c r="D169" s="168" t="str">
        <f>IF($A169="","",VLOOKUP($A169,'Annex 2 EHV charges'!$A:$O,7,0))</f>
        <v>CEMG</v>
      </c>
      <c r="E169" s="166">
        <f>IFERROR(IF(VLOOKUP($A169,'Annex 2 EHV charges'!$A:$O,8,FALSE)=0,"",VLOOKUP($A169,'Annex 2 EHV charges'!$A:$O,8,FALSE)),"")</f>
        <v>0.53300000000000003</v>
      </c>
      <c r="F169" s="167">
        <f>IFERROR(IF(VLOOKUP($A169,'Annex 2 EHV charges'!$A:$O,9,FALSE)=0,"",VLOOKUP($A169,'Annex 2 EHV charges'!$A:$O,9,FALSE)),"")</f>
        <v>2.48</v>
      </c>
      <c r="G169" s="166">
        <f>IFERROR(IF(VLOOKUP($A169,'Annex 2 EHV charges'!$A:$O,10,FALSE)=0,"",VLOOKUP($A169,'Annex 2 EHV charges'!$A:$O,10,FALSE)),"")</f>
        <v>2.98</v>
      </c>
      <c r="H169" s="166">
        <f>IFERROR(IF(VLOOKUP($A169,'Annex 2 EHV charges'!$A:$O,11,FALSE)=0,"",VLOOKUP($A169,'Annex 2 EHV charges'!$A:$O,11,FALSE)),"")</f>
        <v>2.98</v>
      </c>
    </row>
    <row r="170" spans="1:8" ht="30.75" customHeight="1" x14ac:dyDescent="0.35">
      <c r="A170" s="168" t="str">
        <f t="array" ref="A170">IFERROR(INDEX('Annex 2 EHV charges'!$A$11:$A$218, MATCH(0, IF(ISBLANK('Annex 2 EHV charges'!$A$11:$A$218),1, COUNTIF(A$4:$A169, 'Annex 2 EHV charges'!$A$11:$A$218)), 0)),"")</f>
        <v>REDTI1</v>
      </c>
      <c r="B170" s="170">
        <f>IF($A170="","",VLOOKUP($A170,'Annex 2 EHV charges'!$A:$O,2,0))</f>
        <v>815</v>
      </c>
      <c r="C170" s="171" t="str">
        <f>IF($A170="","",VLOOKUP($A170,'Annex 2 EHV charges'!$A:$O,3,0))</f>
        <v>1030037258165 
1030037720697</v>
      </c>
      <c r="D170" s="168" t="str">
        <f>IF($A170="","",VLOOKUP($A170,'Annex 2 EHV charges'!$A:$O,7,0))</f>
        <v>FENLAND WINDFARMS LIMITED</v>
      </c>
      <c r="E170" s="166">
        <f>IFERROR(IF(VLOOKUP($A170,'Annex 2 EHV charges'!$A:$O,8,FALSE)=0,"",VLOOKUP($A170,'Annex 2 EHV charges'!$A:$O,8,FALSE)),"")</f>
        <v>1.288</v>
      </c>
      <c r="F170" s="167">
        <f>IFERROR(IF(VLOOKUP($A170,'Annex 2 EHV charges'!$A:$O,9,FALSE)=0,"",VLOOKUP($A170,'Annex 2 EHV charges'!$A:$O,9,FALSE)),"")</f>
        <v>153.81</v>
      </c>
      <c r="G170" s="166">
        <f>IFERROR(IF(VLOOKUP($A170,'Annex 2 EHV charges'!$A:$O,10,FALSE)=0,"",VLOOKUP($A170,'Annex 2 EHV charges'!$A:$O,10,FALSE)),"")</f>
        <v>2.79</v>
      </c>
      <c r="H170" s="166">
        <f>IFERROR(IF(VLOOKUP($A170,'Annex 2 EHV charges'!$A:$O,11,FALSE)=0,"",VLOOKUP($A170,'Annex 2 EHV charges'!$A:$O,11,FALSE)),"")</f>
        <v>2.79</v>
      </c>
    </row>
    <row r="171" spans="1:8" ht="30.75" customHeight="1" x14ac:dyDescent="0.35">
      <c r="A171" s="168" t="str">
        <f t="array" ref="A171">IFERROR(INDEX('Annex 2 EHV charges'!$A$11:$A$218, MATCH(0, IF(ISBLANK('Annex 2 EHV charges'!$A$11:$A$218),1, COUNTIF(A$4:$A170, 'Annex 2 EHV charges'!$A$11:$A$218)), 0)),"")</f>
        <v>REYDON</v>
      </c>
      <c r="B171" s="170">
        <f>IF($A171="","",VLOOKUP($A171,'Annex 2 EHV charges'!$A:$O,2,0))</f>
        <v>896</v>
      </c>
      <c r="C171" s="171">
        <f>IF($A171="","",VLOOKUP($A171,'Annex 2 EHV charges'!$A:$O,3,0))</f>
        <v>1050000612816</v>
      </c>
      <c r="D171" s="168" t="str">
        <f>IF($A171="","",VLOOKUP($A171,'Annex 2 EHV charges'!$A:$O,7,0))</f>
        <v>REYDON PV POWER PLANT</v>
      </c>
      <c r="E171" s="166">
        <f>IFERROR(IF(VLOOKUP($A171,'Annex 2 EHV charges'!$A:$O,8,FALSE)=0,"",VLOOKUP($A171,'Annex 2 EHV charges'!$A:$O,8,FALSE)),"")</f>
        <v>0.60199999999999998</v>
      </c>
      <c r="F171" s="167">
        <f>IFERROR(IF(VLOOKUP($A171,'Annex 2 EHV charges'!$A:$O,9,FALSE)=0,"",VLOOKUP($A171,'Annex 2 EHV charges'!$A:$O,9,FALSE)),"")</f>
        <v>3.5</v>
      </c>
      <c r="G171" s="166">
        <f>IFERROR(IF(VLOOKUP($A171,'Annex 2 EHV charges'!$A:$O,10,FALSE)=0,"",VLOOKUP($A171,'Annex 2 EHV charges'!$A:$O,10,FALSE)),"")</f>
        <v>2.23</v>
      </c>
      <c r="H171" s="166">
        <f>IFERROR(IF(VLOOKUP($A171,'Annex 2 EHV charges'!$A:$O,11,FALSE)=0,"",VLOOKUP($A171,'Annex 2 EHV charges'!$A:$O,11,FALSE)),"")</f>
        <v>2.23</v>
      </c>
    </row>
    <row r="172" spans="1:8" ht="30.75" customHeight="1" x14ac:dyDescent="0.35">
      <c r="A172" s="168" t="str">
        <f t="array" ref="A172">IFERROR(INDEX('Annex 2 EHV charges'!$A$11:$A$218, MATCH(0, IF(ISBLANK('Annex 2 EHV charges'!$A$11:$A$218),1, COUNTIF(A$4:$A171, 'Annex 2 EHV charges'!$A$11:$A$218)), 0)),"")</f>
        <v>RIDEON</v>
      </c>
      <c r="B172" s="170">
        <f>IF($A172="","",VLOOKUP($A172,'Annex 2 EHV charges'!$A:$O,2,0))</f>
        <v>771</v>
      </c>
      <c r="C172" s="171">
        <f>IF($A172="","",VLOOKUP($A172,'Annex 2 EHV charges'!$A:$O,3,0))</f>
        <v>1014570337858</v>
      </c>
      <c r="D172" s="168" t="str">
        <f>IF($A172="","",VLOOKUP($A172,'Annex 2 EHV charges'!$A:$O,7,0))</f>
        <v>RIDGEONS LIMITED</v>
      </c>
      <c r="E172" s="166">
        <f>IFERROR(IF(VLOOKUP($A172,'Annex 2 EHV charges'!$A:$O,8,FALSE)=0,"",VLOOKUP($A172,'Annex 2 EHV charges'!$A:$O,8,FALSE)),"")</f>
        <v>1.569</v>
      </c>
      <c r="F172" s="167">
        <f>IFERROR(IF(VLOOKUP($A172,'Annex 2 EHV charges'!$A:$O,9,FALSE)=0,"",VLOOKUP($A172,'Annex 2 EHV charges'!$A:$O,9,FALSE)),"")</f>
        <v>89.16</v>
      </c>
      <c r="G172" s="166">
        <f>IFERROR(IF(VLOOKUP($A172,'Annex 2 EHV charges'!$A:$O,10,FALSE)=0,"",VLOOKUP($A172,'Annex 2 EHV charges'!$A:$O,10,FALSE)),"")</f>
        <v>5.03</v>
      </c>
      <c r="H172" s="166">
        <f>IFERROR(IF(VLOOKUP($A172,'Annex 2 EHV charges'!$A:$O,11,FALSE)=0,"",VLOOKUP($A172,'Annex 2 EHV charges'!$A:$O,11,FALSE)),"")</f>
        <v>5.03</v>
      </c>
    </row>
    <row r="173" spans="1:8" ht="30.75" customHeight="1" x14ac:dyDescent="0.35">
      <c r="A173" s="168" t="str">
        <f t="array" ref="A173">IFERROR(INDEX('Annex 2 EHV charges'!$A$11:$A$218, MATCH(0, IF(ISBLANK('Annex 2 EHV charges'!$A$11:$A$218),1, COUNTIF(A$4:$A172, 'Annex 2 EHV charges'!$A$11:$A$218)), 0)),"")</f>
        <v>RMWFII</v>
      </c>
      <c r="B173" s="170">
        <f>IF($A173="","",VLOOKUP($A173,'Annex 2 EHV charges'!$A:$O,2,0))</f>
        <v>796</v>
      </c>
      <c r="C173" s="171">
        <f>IF($A173="","",VLOOKUP($A173,'Annex 2 EHV charges'!$A:$O,3,0))</f>
        <v>1050000811220</v>
      </c>
      <c r="D173" s="168" t="str">
        <f>IF($A173="","",VLOOKUP($A173,'Annex 2 EHV charges'!$A:$O,7,0))</f>
        <v>RAMSEY II LTD</v>
      </c>
      <c r="E173" s="166">
        <f>IFERROR(IF(VLOOKUP($A173,'Annex 2 EHV charges'!$A:$O,8,FALSE)=0,"",VLOOKUP($A173,'Annex 2 EHV charges'!$A:$O,8,FALSE)),"")</f>
        <v>0.46300000000000002</v>
      </c>
      <c r="F173" s="167">
        <f>IFERROR(IF(VLOOKUP($A173,'Annex 2 EHV charges'!$A:$O,9,FALSE)=0,"",VLOOKUP($A173,'Annex 2 EHV charges'!$A:$O,9,FALSE)),"")</f>
        <v>9.51</v>
      </c>
      <c r="G173" s="166">
        <f>IFERROR(IF(VLOOKUP($A173,'Annex 2 EHV charges'!$A:$O,10,FALSE)=0,"",VLOOKUP($A173,'Annex 2 EHV charges'!$A:$O,10,FALSE)),"")</f>
        <v>2.92</v>
      </c>
      <c r="H173" s="166">
        <f>IFERROR(IF(VLOOKUP($A173,'Annex 2 EHV charges'!$A:$O,11,FALSE)=0,"",VLOOKUP($A173,'Annex 2 EHV charges'!$A:$O,11,FALSE)),"")</f>
        <v>2.92</v>
      </c>
    </row>
    <row r="174" spans="1:8" ht="30.75" customHeight="1" x14ac:dyDescent="0.35">
      <c r="A174" s="168" t="str">
        <f t="array" ref="A174">IFERROR(INDEX('Annex 2 EHV charges'!$A$11:$A$218, MATCH(0, IF(ISBLANK('Annex 2 EHV charges'!$A$11:$A$218),1, COUNTIF(A$4:$A173, 'Annex 2 EHV charges'!$A$11:$A$218)), 0)),"")</f>
        <v>RNDMHS</v>
      </c>
      <c r="B174" s="170">
        <f>IF($A174="","",VLOOKUP($A174,'Annex 2 EHV charges'!$A:$O,2,0))</f>
        <v>771</v>
      </c>
      <c r="C174" s="171">
        <f>IF($A174="","",VLOOKUP($A174,'Annex 2 EHV charges'!$A:$O,3,0))</f>
        <v>1014571768453</v>
      </c>
      <c r="D174" s="168" t="str">
        <f>IF($A174="","",VLOOKUP($A174,'Annex 2 EHV charges'!$A:$O,7,0))</f>
        <v>THE RANDOM HOUSE GROUP LTD</v>
      </c>
      <c r="E174" s="166">
        <f>IFERROR(IF(VLOOKUP($A174,'Annex 2 EHV charges'!$A:$O,8,FALSE)=0,"",VLOOKUP($A174,'Annex 2 EHV charges'!$A:$O,8,FALSE)),"")</f>
        <v>2.407</v>
      </c>
      <c r="F174" s="167">
        <f>IFERROR(IF(VLOOKUP($A174,'Annex 2 EHV charges'!$A:$O,9,FALSE)=0,"",VLOOKUP($A174,'Annex 2 EHV charges'!$A:$O,9,FALSE)),"")</f>
        <v>89.16</v>
      </c>
      <c r="G174" s="166">
        <f>IFERROR(IF(VLOOKUP($A174,'Annex 2 EHV charges'!$A:$O,10,FALSE)=0,"",VLOOKUP($A174,'Annex 2 EHV charges'!$A:$O,10,FALSE)),"")</f>
        <v>2.54</v>
      </c>
      <c r="H174" s="166">
        <f>IFERROR(IF(VLOOKUP($A174,'Annex 2 EHV charges'!$A:$O,11,FALSE)=0,"",VLOOKUP($A174,'Annex 2 EHV charges'!$A:$O,11,FALSE)),"")</f>
        <v>2.54</v>
      </c>
    </row>
    <row r="175" spans="1:8" ht="30.75" customHeight="1" x14ac:dyDescent="0.35">
      <c r="A175" s="168" t="str">
        <f t="array" ref="A175">IFERROR(INDEX('Annex 2 EHV charges'!$A$11:$A$218, MATCH(0, IF(ISBLANK('Annex 2 EHV charges'!$A$11:$A$218),1, COUNTIF(A$4:$A174, 'Annex 2 EHV charges'!$A$11:$A$218)), 0)),"")</f>
        <v>ROYSTN</v>
      </c>
      <c r="B175" s="170">
        <f>IF($A175="","",VLOOKUP($A175,'Annex 2 EHV charges'!$A:$O,2,0))</f>
        <v>796</v>
      </c>
      <c r="C175" s="171">
        <f>IF($A175="","",VLOOKUP($A175,'Annex 2 EHV charges'!$A:$O,3,0))</f>
        <v>1050000996105</v>
      </c>
      <c r="D175" s="168" t="str">
        <f>IF($A175="","",VLOOKUP($A175,'Annex 2 EHV charges'!$A:$O,7,0))</f>
        <v>ROYSTON SOLAR FARM</v>
      </c>
      <c r="E175" s="166">
        <f>IFERROR(IF(VLOOKUP($A175,'Annex 2 EHV charges'!$A:$O,8,FALSE)=0,"",VLOOKUP($A175,'Annex 2 EHV charges'!$A:$O,8,FALSE)),"")</f>
        <v>0.86199999999999999</v>
      </c>
      <c r="F175" s="167">
        <f>IFERROR(IF(VLOOKUP($A175,'Annex 2 EHV charges'!$A:$O,9,FALSE)=0,"",VLOOKUP($A175,'Annex 2 EHV charges'!$A:$O,9,FALSE)),"")</f>
        <v>3.06</v>
      </c>
      <c r="G175" s="166">
        <f>IFERROR(IF(VLOOKUP($A175,'Annex 2 EHV charges'!$A:$O,10,FALSE)=0,"",VLOOKUP($A175,'Annex 2 EHV charges'!$A:$O,10,FALSE)),"")</f>
        <v>2.92</v>
      </c>
      <c r="H175" s="166">
        <f>IFERROR(IF(VLOOKUP($A175,'Annex 2 EHV charges'!$A:$O,11,FALSE)=0,"",VLOOKUP($A175,'Annex 2 EHV charges'!$A:$O,11,FALSE)),"")</f>
        <v>2.92</v>
      </c>
    </row>
    <row r="176" spans="1:8" ht="30.75" customHeight="1" x14ac:dyDescent="0.35">
      <c r="A176" s="168" t="str">
        <f t="array" ref="A176">IFERROR(INDEX('Annex 2 EHV charges'!$A$11:$A$218, MATCH(0, IF(ISBLANK('Annex 2 EHV charges'!$A$11:$A$218),1, COUNTIF(A$4:$A175, 'Annex 2 EHV charges'!$A$11:$A$218)), 0)),"")</f>
        <v>RPRLTD</v>
      </c>
      <c r="B176" s="170">
        <f>IF($A176="","",VLOOKUP($A176,'Annex 2 EHV charges'!$A:$O,2,0))</f>
        <v>771</v>
      </c>
      <c r="C176" s="171">
        <f>IF($A176="","",VLOOKUP($A176,'Annex 2 EHV charges'!$A:$O,3,0))</f>
        <v>1014569969627</v>
      </c>
      <c r="D176" s="168" t="str">
        <f>IF($A176="","",VLOOKUP($A176,'Annex 2 EHV charges'!$A:$O,7,0))</f>
        <v>RHONE POULENC RORER LTD</v>
      </c>
      <c r="E176" s="166">
        <f>IFERROR(IF(VLOOKUP($A176,'Annex 2 EHV charges'!$A:$O,8,FALSE)=0,"",VLOOKUP($A176,'Annex 2 EHV charges'!$A:$O,8,FALSE)),"")</f>
        <v>0.75900000000000001</v>
      </c>
      <c r="F176" s="167">
        <f>IFERROR(IF(VLOOKUP($A176,'Annex 2 EHV charges'!$A:$O,9,FALSE)=0,"",VLOOKUP($A176,'Annex 2 EHV charges'!$A:$O,9,FALSE)),"")</f>
        <v>178.32</v>
      </c>
      <c r="G176" s="166">
        <f>IFERROR(IF(VLOOKUP($A176,'Annex 2 EHV charges'!$A:$O,10,FALSE)=0,"",VLOOKUP($A176,'Annex 2 EHV charges'!$A:$O,10,FALSE)),"")</f>
        <v>1.83</v>
      </c>
      <c r="H176" s="166">
        <f>IFERROR(IF(VLOOKUP($A176,'Annex 2 EHV charges'!$A:$O,11,FALSE)=0,"",VLOOKUP($A176,'Annex 2 EHV charges'!$A:$O,11,FALSE)),"")</f>
        <v>1.83</v>
      </c>
    </row>
    <row r="177" spans="1:8" ht="30.75" customHeight="1" x14ac:dyDescent="0.35">
      <c r="A177" s="168" t="str">
        <f t="array" ref="A177">IFERROR(INDEX('Annex 2 EHV charges'!$A$11:$A$218, MATCH(0, IF(ISBLANK('Annex 2 EHV charges'!$A$11:$A$218),1, COUNTIF(A$4:$A176, 'Annex 2 EHV charges'!$A$11:$A$218)), 0)),"")</f>
        <v>SALHSE</v>
      </c>
      <c r="B177" s="170">
        <f>IF($A177="","",VLOOKUP($A177,'Annex 2 EHV charges'!$A:$O,2,0))</f>
        <v>796</v>
      </c>
      <c r="C177" s="171">
        <f>IF($A177="","",VLOOKUP($A177,'Annex 2 EHV charges'!$A:$O,3,0))</f>
        <v>1050000946025</v>
      </c>
      <c r="D177" s="168" t="str">
        <f>IF($A177="","",VLOOKUP($A177,'Annex 2 EHV charges'!$A:$O,7,0))</f>
        <v>SALHOUSE SOLAR</v>
      </c>
      <c r="E177" s="166" t="str">
        <f>IFERROR(IF(VLOOKUP($A177,'Annex 2 EHV charges'!$A:$O,8,FALSE)=0,"",VLOOKUP($A177,'Annex 2 EHV charges'!$A:$O,8,FALSE)),"")</f>
        <v/>
      </c>
      <c r="F177" s="167">
        <f>IFERROR(IF(VLOOKUP($A177,'Annex 2 EHV charges'!$A:$O,9,FALSE)=0,"",VLOOKUP($A177,'Annex 2 EHV charges'!$A:$O,9,FALSE)),"")</f>
        <v>6.07</v>
      </c>
      <c r="G177" s="166">
        <f>IFERROR(IF(VLOOKUP($A177,'Annex 2 EHV charges'!$A:$O,10,FALSE)=0,"",VLOOKUP($A177,'Annex 2 EHV charges'!$A:$O,10,FALSE)),"")</f>
        <v>5.34</v>
      </c>
      <c r="H177" s="166">
        <f>IFERROR(IF(VLOOKUP($A177,'Annex 2 EHV charges'!$A:$O,11,FALSE)=0,"",VLOOKUP($A177,'Annex 2 EHV charges'!$A:$O,11,FALSE)),"")</f>
        <v>5.34</v>
      </c>
    </row>
    <row r="178" spans="1:8" ht="30.75" customHeight="1" x14ac:dyDescent="0.35">
      <c r="A178" s="168" t="str">
        <f t="array" ref="A178">IFERROR(INDEX('Annex 2 EHV charges'!$A$11:$A$218, MATCH(0, IF(ISBLANK('Annex 2 EHV charges'!$A$11:$A$218),1, COUNTIF(A$4:$A177, 'Annex 2 EHV charges'!$A$11:$A$218)), 0)),"")</f>
        <v>SCROBY</v>
      </c>
      <c r="B178" s="170">
        <f>IF($A178="","",VLOOKUP($A178,'Annex 2 EHV charges'!$A:$O,2,0))</f>
        <v>836</v>
      </c>
      <c r="C178" s="171">
        <f>IF($A178="","",VLOOKUP($A178,'Annex 2 EHV charges'!$A:$O,3,0))</f>
        <v>1023545564889</v>
      </c>
      <c r="D178" s="168" t="str">
        <f>IF($A178="","",VLOOKUP($A178,'Annex 2 EHV charges'!$A:$O,7,0))</f>
        <v>SCROBY SANDS GENERATION</v>
      </c>
      <c r="E178" s="166">
        <f>IFERROR(IF(VLOOKUP($A178,'Annex 2 EHV charges'!$A:$O,8,FALSE)=0,"",VLOOKUP($A178,'Annex 2 EHV charges'!$A:$O,8,FALSE)),"")</f>
        <v>2.3E-2</v>
      </c>
      <c r="F178" s="167">
        <f>IFERROR(IF(VLOOKUP($A178,'Annex 2 EHV charges'!$A:$O,9,FALSE)=0,"",VLOOKUP($A178,'Annex 2 EHV charges'!$A:$O,9,FALSE)),"")</f>
        <v>20.440000000000001</v>
      </c>
      <c r="G178" s="166">
        <f>IFERROR(IF(VLOOKUP($A178,'Annex 2 EHV charges'!$A:$O,10,FALSE)=0,"",VLOOKUP($A178,'Annex 2 EHV charges'!$A:$O,10,FALSE)),"")</f>
        <v>2.0499999999999998</v>
      </c>
      <c r="H178" s="166">
        <f>IFERROR(IF(VLOOKUP($A178,'Annex 2 EHV charges'!$A:$O,11,FALSE)=0,"",VLOOKUP($A178,'Annex 2 EHV charges'!$A:$O,11,FALSE)),"")</f>
        <v>2.0499999999999998</v>
      </c>
    </row>
    <row r="179" spans="1:8" ht="30.75" customHeight="1" x14ac:dyDescent="0.35">
      <c r="A179" s="168" t="str">
        <f t="array" ref="A179">IFERROR(INDEX('Annex 2 EHV charges'!$A$11:$A$218, MATCH(0, IF(ISBLANK('Annex 2 EHV charges'!$A$11:$A$218),1, COUNTIF(A$4:$A178, 'Annex 2 EHV charges'!$A$11:$A$218)), 0)),"")</f>
        <v>SCTTOW</v>
      </c>
      <c r="B179" s="170">
        <f>IF($A179="","",VLOOKUP($A179,'Annex 2 EHV charges'!$A:$O,2,0))</f>
        <v>527</v>
      </c>
      <c r="C179" s="171">
        <f>IF($A179="","",VLOOKUP($A179,'Annex 2 EHV charges'!$A:$O,3,0))</f>
        <v>1050000841935</v>
      </c>
      <c r="D179" s="168" t="str">
        <f>IF($A179="","",VLOOKUP($A179,'Annex 2 EHV charges'!$A:$O,7,0))</f>
        <v>SCOTTOW MOOR SOLAR LIMITED</v>
      </c>
      <c r="E179" s="166">
        <f>IFERROR(IF(VLOOKUP($A179,'Annex 2 EHV charges'!$A:$O,8,FALSE)=0,"",VLOOKUP($A179,'Annex 2 EHV charges'!$A:$O,8,FALSE)),"")</f>
        <v>0.311</v>
      </c>
      <c r="F179" s="167">
        <f>IFERROR(IF(VLOOKUP($A179,'Annex 2 EHV charges'!$A:$O,9,FALSE)=0,"",VLOOKUP($A179,'Annex 2 EHV charges'!$A:$O,9,FALSE)),"")</f>
        <v>6.51</v>
      </c>
      <c r="G179" s="166">
        <f>IFERROR(IF(VLOOKUP($A179,'Annex 2 EHV charges'!$A:$O,10,FALSE)=0,"",VLOOKUP($A179,'Annex 2 EHV charges'!$A:$O,10,FALSE)),"")</f>
        <v>6.61</v>
      </c>
      <c r="H179" s="166">
        <f>IFERROR(IF(VLOOKUP($A179,'Annex 2 EHV charges'!$A:$O,11,FALSE)=0,"",VLOOKUP($A179,'Annex 2 EHV charges'!$A:$O,11,FALSE)),"")</f>
        <v>6.61</v>
      </c>
    </row>
    <row r="180" spans="1:8" ht="30.75" customHeight="1" x14ac:dyDescent="0.35">
      <c r="A180" s="168" t="str">
        <f t="array" ref="A180">IFERROR(INDEX('Annex 2 EHV charges'!$A$11:$A$218, MATCH(0, IF(ISBLANK('Annex 2 EHV charges'!$A$11:$A$218),1, COUNTIF(A$4:$A179, 'Annex 2 EHV charges'!$A$11:$A$218)), 0)),"")</f>
        <v>SEN1&amp;2</v>
      </c>
      <c r="B180" s="170" t="str">
        <f>IF($A180="","",VLOOKUP($A180,'Annex 2 EHV charges'!$A:$O,2,0))</f>
        <v>ENET</v>
      </c>
      <c r="C180" s="171" t="str">
        <f>IF($A180="","",VLOOKUP($A180,'Annex 2 EHV charges'!$A:$O,3,0))</f>
        <v>1099000000372
1099000000381</v>
      </c>
      <c r="D180" s="168" t="str">
        <f>IF($A180="","",VLOOKUP($A180,'Annex 2 EHV charges'!$A:$O,7,0))</f>
        <v>SOUTHERN ELECTRIC POWER DISTRIBUTION PLC</v>
      </c>
      <c r="E180" s="166">
        <f>IFERROR(IF(VLOOKUP($A180,'Annex 2 EHV charges'!$A:$O,8,FALSE)=0,"",VLOOKUP($A180,'Annex 2 EHV charges'!$A:$O,8,FALSE)),"")</f>
        <v>7.2999999999999995E-2</v>
      </c>
      <c r="F180" s="167">
        <f>IFERROR(IF(VLOOKUP($A180,'Annex 2 EHV charges'!$A:$O,9,FALSE)=0,"",VLOOKUP($A180,'Annex 2 EHV charges'!$A:$O,9,FALSE)),"")</f>
        <v>3045.18</v>
      </c>
      <c r="G180" s="166">
        <f>IFERROR(IF(VLOOKUP($A180,'Annex 2 EHV charges'!$A:$O,10,FALSE)=0,"",VLOOKUP($A180,'Annex 2 EHV charges'!$A:$O,10,FALSE)),"")</f>
        <v>2.63</v>
      </c>
      <c r="H180" s="166">
        <f>IFERROR(IF(VLOOKUP($A180,'Annex 2 EHV charges'!$A:$O,11,FALSE)=0,"",VLOOKUP($A180,'Annex 2 EHV charges'!$A:$O,11,FALSE)),"")</f>
        <v>2.63</v>
      </c>
    </row>
    <row r="181" spans="1:8" ht="30.75" customHeight="1" x14ac:dyDescent="0.35">
      <c r="A181" s="168" t="str">
        <f t="array" ref="A181">IFERROR(INDEX('Annex 2 EHV charges'!$A$11:$A$218, MATCH(0, IF(ISBLANK('Annex 2 EHV charges'!$A$11:$A$218),1, COUNTIF(A$4:$A180, 'Annex 2 EHV charges'!$A$11:$A$218)), 0)),"")</f>
        <v>SFKEFW</v>
      </c>
      <c r="B181" s="170">
        <f>IF($A181="","",VLOOKUP($A181,'Annex 2 EHV charges'!$A:$O,2,0))</f>
        <v>502</v>
      </c>
      <c r="C181" s="171">
        <f>IF($A181="","",VLOOKUP($A181,'Annex 2 EHV charges'!$A:$O,3,0))</f>
        <v>1050000628009</v>
      </c>
      <c r="D181" s="168" t="str">
        <f>IF($A181="","",VLOOKUP($A181,'Annex 2 EHV charges'!$A:$O,7,0))</f>
        <v>SITA UK</v>
      </c>
      <c r="E181" s="166">
        <f>IFERROR(IF(VLOOKUP($A181,'Annex 2 EHV charges'!$A:$O,8,FALSE)=0,"",VLOOKUP($A181,'Annex 2 EHV charges'!$A:$O,8,FALSE)),"")</f>
        <v>0.96699999999999997</v>
      </c>
      <c r="F181" s="167">
        <f>IFERROR(IF(VLOOKUP($A181,'Annex 2 EHV charges'!$A:$O,9,FALSE)=0,"",VLOOKUP($A181,'Annex 2 EHV charges'!$A:$O,9,FALSE)),"")</f>
        <v>726.41</v>
      </c>
      <c r="G181" s="166">
        <f>IFERROR(IF(VLOOKUP($A181,'Annex 2 EHV charges'!$A:$O,10,FALSE)=0,"",VLOOKUP($A181,'Annex 2 EHV charges'!$A:$O,10,FALSE)),"")</f>
        <v>2.3199999999999998</v>
      </c>
      <c r="H181" s="166">
        <f>IFERROR(IF(VLOOKUP($A181,'Annex 2 EHV charges'!$A:$O,11,FALSE)=0,"",VLOOKUP($A181,'Annex 2 EHV charges'!$A:$O,11,FALSE)),"")</f>
        <v>2.3199999999999998</v>
      </c>
    </row>
    <row r="182" spans="1:8" ht="30.75" customHeight="1" x14ac:dyDescent="0.35">
      <c r="A182" s="168" t="str">
        <f t="array" ref="A182">IFERROR(INDEX('Annex 2 EHV charges'!$A$11:$A$218, MATCH(0, IF(ISBLANK('Annex 2 EHV charges'!$A$11:$A$218),1, COUNTIF(A$4:$A181, 'Annex 2 EHV charges'!$A$11:$A$218)), 0)),"")</f>
        <v>SHELL_</v>
      </c>
      <c r="B182" s="170">
        <f>IF($A182="","",VLOOKUP($A182,'Annex 2 EHV charges'!$A:$O,2,0))</f>
        <v>837</v>
      </c>
      <c r="C182" s="171" t="str">
        <f>IF($A182="","",VLOOKUP($A182,'Annex 2 EHV charges'!$A:$O,3,0))</f>
        <v>1030083272428
1050001161751</v>
      </c>
      <c r="D182" s="168" t="str">
        <f>IF($A182="","",VLOOKUP($A182,'Annex 2 EHV charges'!$A:$O,7,0))</f>
        <v>LONDON GATEWAY PORT LIMITED</v>
      </c>
      <c r="E182" s="166">
        <f>IFERROR(IF(VLOOKUP($A182,'Annex 2 EHV charges'!$A:$O,8,FALSE)=0,"",VLOOKUP($A182,'Annex 2 EHV charges'!$A:$O,8,FALSE)),"")</f>
        <v>1.843</v>
      </c>
      <c r="F182" s="167">
        <f>IFERROR(IF(VLOOKUP($A182,'Annex 2 EHV charges'!$A:$O,9,FALSE)=0,"",VLOOKUP($A182,'Annex 2 EHV charges'!$A:$O,9,FALSE)),"")</f>
        <v>1278.92</v>
      </c>
      <c r="G182" s="166">
        <f>IFERROR(IF(VLOOKUP($A182,'Annex 2 EHV charges'!$A:$O,10,FALSE)=0,"",VLOOKUP($A182,'Annex 2 EHV charges'!$A:$O,10,FALSE)),"")</f>
        <v>1.74</v>
      </c>
      <c r="H182" s="166">
        <f>IFERROR(IF(VLOOKUP($A182,'Annex 2 EHV charges'!$A:$O,11,FALSE)=0,"",VLOOKUP($A182,'Annex 2 EHV charges'!$A:$O,11,FALSE)),"")</f>
        <v>1.74</v>
      </c>
    </row>
    <row r="183" spans="1:8" ht="30.75" customHeight="1" x14ac:dyDescent="0.35">
      <c r="A183" s="168" t="str">
        <f t="array" ref="A183">IFERROR(INDEX('Annex 2 EHV charges'!$A$11:$A$218, MATCH(0, IF(ISBLANK('Annex 2 EHV charges'!$A$11:$A$218),1, COUNTIF(A$4:$A182, 'Annex 2 EHV charges'!$A$11:$A$218)), 0)),"")</f>
        <v>SHERSH</v>
      </c>
      <c r="B183" s="170">
        <f>IF($A183="","",VLOOKUP($A183,'Annex 2 EHV charges'!$A:$O,2,0))</f>
        <v>7234</v>
      </c>
      <c r="C183" s="171" t="str">
        <f>IF($A183="","",VLOOKUP($A183,'Annex 2 EHV charges'!$A:$O,3,0))</f>
        <v xml:space="preserve"> MSID: 7234</v>
      </c>
      <c r="D183" s="168" t="str">
        <f>IF($A183="","",VLOOKUP($A183,'Annex 2 EHV charges'!$A:$O,7,0))</f>
        <v>SCIRA OFFSHORE ENERGY LIMITED</v>
      </c>
      <c r="E183" s="166">
        <f>IFERROR(IF(VLOOKUP($A183,'Annex 2 EHV charges'!$A:$O,8,FALSE)=0,"",VLOOKUP($A183,'Annex 2 EHV charges'!$A:$O,8,FALSE)),"")</f>
        <v>5.2999999999999999E-2</v>
      </c>
      <c r="F183" s="167">
        <f>IFERROR(IF(VLOOKUP($A183,'Annex 2 EHV charges'!$A:$O,9,FALSE)=0,"",VLOOKUP($A183,'Annex 2 EHV charges'!$A:$O,9,FALSE)),"")</f>
        <v>30.05</v>
      </c>
      <c r="G183" s="166">
        <f>IFERROR(IF(VLOOKUP($A183,'Annex 2 EHV charges'!$A:$O,10,FALSE)=0,"",VLOOKUP($A183,'Annex 2 EHV charges'!$A:$O,10,FALSE)),"")</f>
        <v>1.18</v>
      </c>
      <c r="H183" s="166">
        <f>IFERROR(IF(VLOOKUP($A183,'Annex 2 EHV charges'!$A:$O,11,FALSE)=0,"",VLOOKUP($A183,'Annex 2 EHV charges'!$A:$O,11,FALSE)),"")</f>
        <v>1.18</v>
      </c>
    </row>
    <row r="184" spans="1:8" ht="30.75" customHeight="1" x14ac:dyDescent="0.35">
      <c r="A184" s="168" t="str">
        <f t="array" ref="A184">IFERROR(INDEX('Annex 2 EHV charges'!$A$11:$A$218, MATCH(0, IF(ISBLANK('Annex 2 EHV charges'!$A$11:$A$218),1, COUNTIF(A$4:$A183, 'Annex 2 EHV charges'!$A$11:$A$218)), 0)),"")</f>
        <v>SPRIGS</v>
      </c>
      <c r="B184" s="170">
        <f>IF($A184="","",VLOOKUP($A184,'Annex 2 EHV charges'!$A:$O,2,0))</f>
        <v>897</v>
      </c>
      <c r="C184" s="171">
        <f>IF($A184="","",VLOOKUP($A184,'Annex 2 EHV charges'!$A:$O,3,0))</f>
        <v>1050000540019</v>
      </c>
      <c r="D184" s="168" t="str">
        <f>IF($A184="","",VLOOKUP($A184,'Annex 2 EHV charges'!$A:$O,7,0))</f>
        <v>SPRIGGS SOLAR LIMITED</v>
      </c>
      <c r="E184" s="166">
        <f>IFERROR(IF(VLOOKUP($A184,'Annex 2 EHV charges'!$A:$O,8,FALSE)=0,"",VLOOKUP($A184,'Annex 2 EHV charges'!$A:$O,8,FALSE)),"")</f>
        <v>1.5269999999999999</v>
      </c>
      <c r="F184" s="167">
        <f>IFERROR(IF(VLOOKUP($A184,'Annex 2 EHV charges'!$A:$O,9,FALSE)=0,"",VLOOKUP($A184,'Annex 2 EHV charges'!$A:$O,9,FALSE)),"")</f>
        <v>2.72</v>
      </c>
      <c r="G184" s="166">
        <f>IFERROR(IF(VLOOKUP($A184,'Annex 2 EHV charges'!$A:$O,10,FALSE)=0,"",VLOOKUP($A184,'Annex 2 EHV charges'!$A:$O,10,FALSE)),"")</f>
        <v>5.25</v>
      </c>
      <c r="H184" s="166">
        <f>IFERROR(IF(VLOOKUP($A184,'Annex 2 EHV charges'!$A:$O,11,FALSE)=0,"",VLOOKUP($A184,'Annex 2 EHV charges'!$A:$O,11,FALSE)),"")</f>
        <v>5.25</v>
      </c>
    </row>
    <row r="185" spans="1:8" ht="30.75" customHeight="1" x14ac:dyDescent="0.35">
      <c r="A185" s="168" t="str">
        <f t="array" ref="A185">IFERROR(INDEX('Annex 2 EHV charges'!$A$11:$A$218, MATCH(0, IF(ISBLANK('Annex 2 EHV charges'!$A$11:$A$218),1, COUNTIF(A$4:$A184, 'Annex 2 EHV charges'!$A$11:$A$218)), 0)),"")</f>
        <v>STAGSH</v>
      </c>
      <c r="B185" s="170">
        <f>IF($A185="","",VLOOKUP($A185,'Annex 2 EHV charges'!$A:$O,2,0))</f>
        <v>838</v>
      </c>
      <c r="C185" s="171">
        <f>IF($A185="","",VLOOKUP($A185,'Annex 2 EHV charges'!$A:$O,3,0))</f>
        <v>1030037478730</v>
      </c>
      <c r="D185" s="168" t="str">
        <f>IF($A185="","",VLOOKUP($A185,'Annex 2 EHV charges'!$A:$O,7,0))</f>
        <v>EON RENEWABLES</v>
      </c>
      <c r="E185" s="166">
        <f>IFERROR(IF(VLOOKUP($A185,'Annex 2 EHV charges'!$A:$O,8,FALSE)=0,"",VLOOKUP($A185,'Annex 2 EHV charges'!$A:$O,8,FALSE)),"")</f>
        <v>0.51200000000000001</v>
      </c>
      <c r="F185" s="167">
        <f>IFERROR(IF(VLOOKUP($A185,'Annex 2 EHV charges'!$A:$O,9,FALSE)=0,"",VLOOKUP($A185,'Annex 2 EHV charges'!$A:$O,9,FALSE)),"")</f>
        <v>184.43</v>
      </c>
      <c r="G185" s="166">
        <f>IFERROR(IF(VLOOKUP($A185,'Annex 2 EHV charges'!$A:$O,10,FALSE)=0,"",VLOOKUP($A185,'Annex 2 EHV charges'!$A:$O,10,FALSE)),"")</f>
        <v>1.3</v>
      </c>
      <c r="H185" s="166">
        <f>IFERROR(IF(VLOOKUP($A185,'Annex 2 EHV charges'!$A:$O,11,FALSE)=0,"",VLOOKUP($A185,'Annex 2 EHV charges'!$A:$O,11,FALSE)),"")</f>
        <v>1.3</v>
      </c>
    </row>
    <row r="186" spans="1:8" ht="30.75" customHeight="1" x14ac:dyDescent="0.35">
      <c r="A186" s="168" t="str">
        <f t="array" ref="A186">IFERROR(INDEX('Annex 2 EHV charges'!$A$11:$A$218, MATCH(0, IF(ISBLANK('Annex 2 EHV charges'!$A$11:$A$218),1, COUNTIF(A$4:$A185, 'Annex 2 EHV charges'!$A$11:$A$218)), 0)),"")</f>
        <v>STANS2</v>
      </c>
      <c r="B186" s="170">
        <f>IF($A186="","",VLOOKUP($A186,'Annex 2 EHV charges'!$A:$O,2,0))</f>
        <v>802</v>
      </c>
      <c r="C186" s="171" t="str">
        <f>IF($A186="","",VLOOKUP($A186,'Annex 2 EHV charges'!$A:$O,3,0))</f>
        <v>1030047519845
1030047520070</v>
      </c>
      <c r="D186" s="168" t="str">
        <f>IF($A186="","",VLOOKUP($A186,'Annex 2 EHV charges'!$A:$O,7,0))</f>
        <v>STANSTED AIRPORT LIMITED</v>
      </c>
      <c r="E186" s="166">
        <f>IFERROR(IF(VLOOKUP($A186,'Annex 2 EHV charges'!$A:$O,8,FALSE)=0,"",VLOOKUP($A186,'Annex 2 EHV charges'!$A:$O,8,FALSE)),"")</f>
        <v>0.113</v>
      </c>
      <c r="F186" s="167">
        <f>IFERROR(IF(VLOOKUP($A186,'Annex 2 EHV charges'!$A:$O,9,FALSE)=0,"",VLOOKUP($A186,'Annex 2 EHV charges'!$A:$O,9,FALSE)),"")</f>
        <v>14474.54</v>
      </c>
      <c r="G186" s="166">
        <f>IFERROR(IF(VLOOKUP($A186,'Annex 2 EHV charges'!$A:$O,10,FALSE)=0,"",VLOOKUP($A186,'Annex 2 EHV charges'!$A:$O,10,FALSE)),"")</f>
        <v>2.57</v>
      </c>
      <c r="H186" s="166">
        <f>IFERROR(IF(VLOOKUP($A186,'Annex 2 EHV charges'!$A:$O,11,FALSE)=0,"",VLOOKUP($A186,'Annex 2 EHV charges'!$A:$O,11,FALSE)),"")</f>
        <v>2.57</v>
      </c>
    </row>
    <row r="187" spans="1:8" ht="30.75" customHeight="1" x14ac:dyDescent="0.35">
      <c r="A187" s="168" t="str">
        <f t="array" ref="A187">IFERROR(INDEX('Annex 2 EHV charges'!$A$11:$A$218, MATCH(0, IF(ISBLANK('Annex 2 EHV charges'!$A$11:$A$218),1, COUNTIF(A$4:$A186, 'Annex 2 EHV charges'!$A$11:$A$218)), 0)),"")</f>
        <v>STANS3</v>
      </c>
      <c r="B187" s="170">
        <f>IF($A187="","",VLOOKUP($A187,'Annex 2 EHV charges'!$A:$O,2,0))</f>
        <v>801</v>
      </c>
      <c r="C187" s="171">
        <f>IF($A187="","",VLOOKUP($A187,'Annex 2 EHV charges'!$A:$O,3,0))</f>
        <v>1015685338293</v>
      </c>
      <c r="D187" s="168" t="str">
        <f>IF($A187="","",VLOOKUP($A187,'Annex 2 EHV charges'!$A:$O,7,0))</f>
        <v>STANSTED AIRPORT LIMITED</v>
      </c>
      <c r="E187" s="166">
        <f>IFERROR(IF(VLOOKUP($A187,'Annex 2 EHV charges'!$A:$O,8,FALSE)=0,"",VLOOKUP($A187,'Annex 2 EHV charges'!$A:$O,8,FALSE)),"")</f>
        <v>0.59699999999999998</v>
      </c>
      <c r="F187" s="167">
        <f>IFERROR(IF(VLOOKUP($A187,'Annex 2 EHV charges'!$A:$O,9,FALSE)=0,"",VLOOKUP($A187,'Annex 2 EHV charges'!$A:$O,9,FALSE)),"")</f>
        <v>178.32</v>
      </c>
      <c r="G187" s="166">
        <f>IFERROR(IF(VLOOKUP($A187,'Annex 2 EHV charges'!$A:$O,10,FALSE)=0,"",VLOOKUP($A187,'Annex 2 EHV charges'!$A:$O,10,FALSE)),"")</f>
        <v>3.12</v>
      </c>
      <c r="H187" s="166">
        <f>IFERROR(IF(VLOOKUP($A187,'Annex 2 EHV charges'!$A:$O,11,FALSE)=0,"",VLOOKUP($A187,'Annex 2 EHV charges'!$A:$O,11,FALSE)),"")</f>
        <v>3.12</v>
      </c>
    </row>
    <row r="188" spans="1:8" ht="30.75" customHeight="1" x14ac:dyDescent="0.35">
      <c r="A188" s="168" t="str">
        <f t="array" ref="A188">IFERROR(INDEX('Annex 2 EHV charges'!$A$11:$A$218, MATCH(0, IF(ISBLANK('Annex 2 EHV charges'!$A$11:$A$218),1, COUNTIF(A$4:$A187, 'Annex 2 EHV charges'!$A$11:$A$218)), 0)),"")</f>
        <v>STEVRD</v>
      </c>
      <c r="B188" s="170">
        <f>IF($A188="","",VLOOKUP($A188,'Annex 2 EHV charges'!$A:$O,2,0))</f>
        <v>796</v>
      </c>
      <c r="C188" s="171">
        <f>IF($A188="","",VLOOKUP($A188,'Annex 2 EHV charges'!$A:$O,3,0))</f>
        <v>1050000979768</v>
      </c>
      <c r="D188" s="168" t="str">
        <f>IF($A188="","",VLOOKUP($A188,'Annex 2 EHV charges'!$A:$O,7,0))</f>
        <v>STEVENAGE SOLAR FARM</v>
      </c>
      <c r="E188" s="166">
        <f>IFERROR(IF(VLOOKUP($A188,'Annex 2 EHV charges'!$A:$O,8,FALSE)=0,"",VLOOKUP($A188,'Annex 2 EHV charges'!$A:$O,8,FALSE)),"")</f>
        <v>9.4E-2</v>
      </c>
      <c r="F188" s="167">
        <f>IFERROR(IF(VLOOKUP($A188,'Annex 2 EHV charges'!$A:$O,9,FALSE)=0,"",VLOOKUP($A188,'Annex 2 EHV charges'!$A:$O,9,FALSE)),"")</f>
        <v>4.07</v>
      </c>
      <c r="G188" s="166">
        <f>IFERROR(IF(VLOOKUP($A188,'Annex 2 EHV charges'!$A:$O,10,FALSE)=0,"",VLOOKUP($A188,'Annex 2 EHV charges'!$A:$O,10,FALSE)),"")</f>
        <v>2.7</v>
      </c>
      <c r="H188" s="166">
        <f>IFERROR(IF(VLOOKUP($A188,'Annex 2 EHV charges'!$A:$O,11,FALSE)=0,"",VLOOKUP($A188,'Annex 2 EHV charges'!$A:$O,11,FALSE)),"")</f>
        <v>2.7</v>
      </c>
    </row>
    <row r="189" spans="1:8" ht="30.75" customHeight="1" x14ac:dyDescent="0.35">
      <c r="A189" s="168" t="str">
        <f t="array" ref="A189">IFERROR(INDEX('Annex 2 EHV charges'!$A$11:$A$218, MATCH(0, IF(ISBLANK('Annex 2 EHV charges'!$A$11:$A$218),1, COUNTIF(A$4:$A188, 'Annex 2 EHV charges'!$A$11:$A$218)), 0)),"")</f>
        <v>STMFRD</v>
      </c>
      <c r="B189" s="170" t="str">
        <f>IF($A189="","",VLOOKUP($A189,'Annex 2 EHV charges'!$A:$O,2,0))</f>
        <v>DNET</v>
      </c>
      <c r="C189" s="171" t="str">
        <f>IF($A189="","",VLOOKUP($A189,'Annex 2 EHV charges'!$A:$O,3,0))</f>
        <v xml:space="preserve"> MSID: 2035</v>
      </c>
      <c r="D189" s="168" t="str">
        <f>IF($A189="","",VLOOKUP($A189,'Annex 2 EHV charges'!$A:$O,7,0))</f>
        <v>UK POWER NETWORKS</v>
      </c>
      <c r="E189" s="166" t="str">
        <f>IFERROR(IF(VLOOKUP($A189,'Annex 2 EHV charges'!$A:$O,8,FALSE)=0,"",VLOOKUP($A189,'Annex 2 EHV charges'!$A:$O,8,FALSE)),"")</f>
        <v/>
      </c>
      <c r="F189" s="167" t="str">
        <f>IFERROR(IF(VLOOKUP($A189,'Annex 2 EHV charges'!$A:$O,9,FALSE)=0,"",VLOOKUP($A189,'Annex 2 EHV charges'!$A:$O,9,FALSE)),"")</f>
        <v/>
      </c>
      <c r="G189" s="166">
        <f>IFERROR(IF(VLOOKUP($A189,'Annex 2 EHV charges'!$A:$O,10,FALSE)=0,"",VLOOKUP($A189,'Annex 2 EHV charges'!$A:$O,10,FALSE)),"")</f>
        <v>6.79</v>
      </c>
      <c r="H189" s="166">
        <f>IFERROR(IF(VLOOKUP($A189,'Annex 2 EHV charges'!$A:$O,11,FALSE)=0,"",VLOOKUP($A189,'Annex 2 EHV charges'!$A:$O,11,FALSE)),"")</f>
        <v>6.79</v>
      </c>
    </row>
    <row r="190" spans="1:8" ht="30.75" customHeight="1" x14ac:dyDescent="0.35">
      <c r="A190" s="168" t="str">
        <f t="array" ref="A190">IFERROR(INDEX('Annex 2 EHV charges'!$A$11:$A$218, MATCH(0, IF(ISBLANK('Annex 2 EHV charges'!$A$11:$A$218),1, COUNTIF(A$4:$A189, 'Annex 2 EHV charges'!$A$11:$A$218)), 0)),"")</f>
        <v>STOSTH</v>
      </c>
      <c r="B190" s="170">
        <f>IF($A190="","",VLOOKUP($A190,'Annex 2 EHV charges'!$A:$O,2,0))</f>
        <v>528</v>
      </c>
      <c r="C190" s="171">
        <f>IF($A190="","",VLOOKUP($A190,'Annex 2 EHV charges'!$A:$O,3,0))</f>
        <v>1050000783238</v>
      </c>
      <c r="D190" s="168" t="str">
        <f>IF($A190="","",VLOOKUP($A190,'Annex 2 EHV charges'!$A:$O,7,0))</f>
        <v>CHISBORN SOLAR FARM LTD</v>
      </c>
      <c r="E190" s="166">
        <f>IFERROR(IF(VLOOKUP($A190,'Annex 2 EHV charges'!$A:$O,8,FALSE)=0,"",VLOOKUP($A190,'Annex 2 EHV charges'!$A:$O,8,FALSE)),"")</f>
        <v>4.1909999999999998</v>
      </c>
      <c r="F190" s="167">
        <f>IFERROR(IF(VLOOKUP($A190,'Annex 2 EHV charges'!$A:$O,9,FALSE)=0,"",VLOOKUP($A190,'Annex 2 EHV charges'!$A:$O,9,FALSE)),"")</f>
        <v>10.78</v>
      </c>
      <c r="G190" s="166">
        <f>IFERROR(IF(VLOOKUP($A190,'Annex 2 EHV charges'!$A:$O,10,FALSE)=0,"",VLOOKUP($A190,'Annex 2 EHV charges'!$A:$O,10,FALSE)),"")</f>
        <v>3.79</v>
      </c>
      <c r="H190" s="166">
        <f>IFERROR(IF(VLOOKUP($A190,'Annex 2 EHV charges'!$A:$O,11,FALSE)=0,"",VLOOKUP($A190,'Annex 2 EHV charges'!$A:$O,11,FALSE)),"")</f>
        <v>3.79</v>
      </c>
    </row>
    <row r="191" spans="1:8" ht="30.75" customHeight="1" x14ac:dyDescent="0.35">
      <c r="A191" s="168" t="str">
        <f t="array" ref="A191">IFERROR(INDEX('Annex 2 EHV charges'!$A$11:$A$218, MATCH(0, IF(ISBLANK('Annex 2 EHV charges'!$A$11:$A$218),1, COUNTIF(A$4:$A190, 'Annex 2 EHV charges'!$A$11:$A$218)), 0)),"")</f>
        <v>STRTHL</v>
      </c>
      <c r="B191" s="170">
        <f>IF($A191="","",VLOOKUP($A191,'Annex 2 EHV charges'!$A:$O,2,0))</f>
        <v>500</v>
      </c>
      <c r="C191" s="171">
        <f>IF($A191="","",VLOOKUP($A191,'Annex 2 EHV charges'!$A:$O,3,0))</f>
        <v>1050000563372</v>
      </c>
      <c r="D191" s="168" t="str">
        <f>IF($A191="","",VLOOKUP($A191,'Annex 2 EHV charges'!$A:$O,7,0))</f>
        <v>ELLI SOLAR SPV1 LIMITED</v>
      </c>
      <c r="E191" s="166">
        <f>IFERROR(IF(VLOOKUP($A191,'Annex 2 EHV charges'!$A:$O,8,FALSE)=0,"",VLOOKUP($A191,'Annex 2 EHV charges'!$A:$O,8,FALSE)),"")</f>
        <v>0.48299999999999998</v>
      </c>
      <c r="F191" s="167">
        <f>IFERROR(IF(VLOOKUP($A191,'Annex 2 EHV charges'!$A:$O,9,FALSE)=0,"",VLOOKUP($A191,'Annex 2 EHV charges'!$A:$O,9,FALSE)),"")</f>
        <v>1.3</v>
      </c>
      <c r="G191" s="166">
        <f>IFERROR(IF(VLOOKUP($A191,'Annex 2 EHV charges'!$A:$O,10,FALSE)=0,"",VLOOKUP($A191,'Annex 2 EHV charges'!$A:$O,10,FALSE)),"")</f>
        <v>3.56</v>
      </c>
      <c r="H191" s="166">
        <f>IFERROR(IF(VLOOKUP($A191,'Annex 2 EHV charges'!$A:$O,11,FALSE)=0,"",VLOOKUP($A191,'Annex 2 EHV charges'!$A:$O,11,FALSE)),"")</f>
        <v>3.56</v>
      </c>
    </row>
    <row r="192" spans="1:8" ht="30.75" customHeight="1" x14ac:dyDescent="0.35">
      <c r="A192" s="168" t="str">
        <f t="array" ref="A192">IFERROR(INDEX('Annex 2 EHV charges'!$A$11:$A$218, MATCH(0, IF(ISBLANK('Annex 2 EHV charges'!$A$11:$A$218),1, COUNTIF(A$4:$A191, 'Annex 2 EHV charges'!$A$11:$A$218)), 0)),"")</f>
        <v>STWBRG</v>
      </c>
      <c r="B192" s="170">
        <f>IF($A192="","",VLOOKUP($A192,'Annex 2 EHV charges'!$A:$O,2,0))</f>
        <v>898</v>
      </c>
      <c r="C192" s="171">
        <f>IF($A192="","",VLOOKUP($A192,'Annex 2 EHV charges'!$A:$O,3,0))</f>
        <v>1050000613847</v>
      </c>
      <c r="D192" s="168" t="str">
        <f>IF($A192="","",VLOOKUP($A192,'Annex 2 EHV charges'!$A:$O,7,0))</f>
        <v>FCP SOLAR LIMITED</v>
      </c>
      <c r="E192" s="166">
        <f>IFERROR(IF(VLOOKUP($A192,'Annex 2 EHV charges'!$A:$O,8,FALSE)=0,"",VLOOKUP($A192,'Annex 2 EHV charges'!$A:$O,8,FALSE)),"")</f>
        <v>6.5000000000000002E-2</v>
      </c>
      <c r="F192" s="167">
        <f>IFERROR(IF(VLOOKUP($A192,'Annex 2 EHV charges'!$A:$O,9,FALSE)=0,"",VLOOKUP($A192,'Annex 2 EHV charges'!$A:$O,9,FALSE)),"")</f>
        <v>4.6399999999999997</v>
      </c>
      <c r="G192" s="166">
        <f>IFERROR(IF(VLOOKUP($A192,'Annex 2 EHV charges'!$A:$O,10,FALSE)=0,"",VLOOKUP($A192,'Annex 2 EHV charges'!$A:$O,10,FALSE)),"")</f>
        <v>4.76</v>
      </c>
      <c r="H192" s="166">
        <f>IFERROR(IF(VLOOKUP($A192,'Annex 2 EHV charges'!$A:$O,11,FALSE)=0,"",VLOOKUP($A192,'Annex 2 EHV charges'!$A:$O,11,FALSE)),"")</f>
        <v>4.76</v>
      </c>
    </row>
    <row r="193" spans="1:8" ht="38.25" x14ac:dyDescent="0.35">
      <c r="A193" s="168" t="str">
        <f t="array" ref="A193">IFERROR(INDEX('Annex 2 EHV charges'!$A$11:$A$218, MATCH(0, IF(ISBLANK('Annex 2 EHV charges'!$A$11:$A$218),1, COUNTIF(A$4:$A192, 'Annex 2 EHV charges'!$A$11:$A$218)), 0)),"")</f>
        <v>TILBUR</v>
      </c>
      <c r="B193" s="170">
        <f>IF($A193="","",VLOOKUP($A193,'Annex 2 EHV charges'!$A:$O,2,0))</f>
        <v>833</v>
      </c>
      <c r="C193" s="171" t="str">
        <f>IF($A193="","",VLOOKUP($A193,'Annex 2 EHV charges'!$A:$O,3,0))</f>
        <v>1023478133661
1023525729172
1023525728718</v>
      </c>
      <c r="D193" s="168" t="str">
        <f>IF($A193="","",VLOOKUP($A193,'Annex 2 EHV charges'!$A:$O,7,0))</f>
        <v>FORTH PORTS PLC</v>
      </c>
      <c r="E193" s="166">
        <f>IFERROR(IF(VLOOKUP($A193,'Annex 2 EHV charges'!$A:$O,8,FALSE)=0,"",VLOOKUP($A193,'Annex 2 EHV charges'!$A:$O,8,FALSE)),"")</f>
        <v>4.5999999999999999E-2</v>
      </c>
      <c r="F193" s="167">
        <f>IFERROR(IF(VLOOKUP($A193,'Annex 2 EHV charges'!$A:$O,9,FALSE)=0,"",VLOOKUP($A193,'Annex 2 EHV charges'!$A:$O,9,FALSE)),"")</f>
        <v>2181.29</v>
      </c>
      <c r="G193" s="166">
        <f>IFERROR(IF(VLOOKUP($A193,'Annex 2 EHV charges'!$A:$O,10,FALSE)=0,"",VLOOKUP($A193,'Annex 2 EHV charges'!$A:$O,10,FALSE)),"")</f>
        <v>2.81</v>
      </c>
      <c r="H193" s="166">
        <f>IFERROR(IF(VLOOKUP($A193,'Annex 2 EHV charges'!$A:$O,11,FALSE)=0,"",VLOOKUP($A193,'Annex 2 EHV charges'!$A:$O,11,FALSE)),"")</f>
        <v>2.81</v>
      </c>
    </row>
    <row r="194" spans="1:8" ht="30.75" customHeight="1" x14ac:dyDescent="0.35">
      <c r="A194" s="168" t="str">
        <f t="array" ref="A194">IFERROR(INDEX('Annex 2 EHV charges'!$A$11:$A$218, MATCH(0, IF(ISBLANK('Annex 2 EHV charges'!$A$11:$A$218),1, COUNTIF(A$4:$A193, 'Annex 2 EHV charges'!$A$11:$A$218)), 0)),"")</f>
        <v>TOOLEY</v>
      </c>
      <c r="B194" s="170">
        <f>IF($A194="","",VLOOKUP($A194,'Annex 2 EHV charges'!$A:$O,2,0))</f>
        <v>796</v>
      </c>
      <c r="C194" s="171" t="str">
        <f>IF($A194="","",VLOOKUP($A194,'Annex 2 EHV charges'!$A:$O,3,0))</f>
        <v>1050000903217
1050000775176</v>
      </c>
      <c r="D194" s="168" t="str">
        <f>IF($A194="","",VLOOKUP($A194,'Annex 2 EHV charges'!$A:$O,7,0))</f>
        <v>LIGHTSOURCE SPV 144 LIMITED</v>
      </c>
      <c r="E194" s="166">
        <f>IFERROR(IF(VLOOKUP($A194,'Annex 2 EHV charges'!$A:$O,8,FALSE)=0,"",VLOOKUP($A194,'Annex 2 EHV charges'!$A:$O,8,FALSE)),"")</f>
        <v>1.3149999999999999</v>
      </c>
      <c r="F194" s="167">
        <f>IFERROR(IF(VLOOKUP($A194,'Annex 2 EHV charges'!$A:$O,9,FALSE)=0,"",VLOOKUP($A194,'Annex 2 EHV charges'!$A:$O,9,FALSE)),"")</f>
        <v>17.13</v>
      </c>
      <c r="G194" s="166">
        <f>IFERROR(IF(VLOOKUP($A194,'Annex 2 EHV charges'!$A:$O,10,FALSE)=0,"",VLOOKUP($A194,'Annex 2 EHV charges'!$A:$O,10,FALSE)),"")</f>
        <v>3.16</v>
      </c>
      <c r="H194" s="166">
        <f>IFERROR(IF(VLOOKUP($A194,'Annex 2 EHV charges'!$A:$O,11,FALSE)=0,"",VLOOKUP($A194,'Annex 2 EHV charges'!$A:$O,11,FALSE)),"")</f>
        <v>3.16</v>
      </c>
    </row>
    <row r="195" spans="1:8" ht="30.75" customHeight="1" x14ac:dyDescent="0.35">
      <c r="A195" s="168" t="str">
        <f t="array" ref="A195">IFERROR(INDEX('Annex 2 EHV charges'!$A$11:$A$218, MATCH(0, IF(ISBLANK('Annex 2 EHV charges'!$A$11:$A$218),1, COUNTIF(A$4:$A194, 'Annex 2 EHV charges'!$A$11:$A$218)), 0)),"")</f>
        <v>UB_EYE</v>
      </c>
      <c r="B195" s="170">
        <f>IF($A195="","",VLOOKUP($A195,'Annex 2 EHV charges'!$A:$O,2,0))</f>
        <v>771</v>
      </c>
      <c r="C195" s="171" t="str">
        <f>IF($A195="","",VLOOKUP($A195,'Annex 2 EHV charges'!$A:$O,3,0))</f>
        <v>1014573052317
1023470683505</v>
      </c>
      <c r="D195" s="168" t="str">
        <f>IF($A195="","",VLOOKUP($A195,'Annex 2 EHV charges'!$A:$O,7,0))</f>
        <v>BIRDS EYE LIMITED</v>
      </c>
      <c r="E195" s="166">
        <f>IFERROR(IF(VLOOKUP($A195,'Annex 2 EHV charges'!$A:$O,8,FALSE)=0,"",VLOOKUP($A195,'Annex 2 EHV charges'!$A:$O,8,FALSE)),"")</f>
        <v>1.1930000000000001</v>
      </c>
      <c r="F195" s="167">
        <f>IFERROR(IF(VLOOKUP($A195,'Annex 2 EHV charges'!$A:$O,9,FALSE)=0,"",VLOOKUP($A195,'Annex 2 EHV charges'!$A:$O,9,FALSE)),"")</f>
        <v>178.32</v>
      </c>
      <c r="G195" s="166">
        <f>IFERROR(IF(VLOOKUP($A195,'Annex 2 EHV charges'!$A:$O,10,FALSE)=0,"",VLOOKUP($A195,'Annex 2 EHV charges'!$A:$O,10,FALSE)),"")</f>
        <v>3.53</v>
      </c>
      <c r="H195" s="166">
        <f>IFERROR(IF(VLOOKUP($A195,'Annex 2 EHV charges'!$A:$O,11,FALSE)=0,"",VLOOKUP($A195,'Annex 2 EHV charges'!$A:$O,11,FALSE)),"")</f>
        <v>3.53</v>
      </c>
    </row>
    <row r="196" spans="1:8" ht="30.75" customHeight="1" x14ac:dyDescent="0.35">
      <c r="A196" s="168" t="str">
        <f t="array" ref="A196">IFERROR(INDEX('Annex 2 EHV charges'!$A$11:$A$218, MATCH(0, IF(ISBLANK('Annex 2 EHV charges'!$A$11:$A$218),1, COUNTIF(A$4:$A195, 'Annex 2 EHV charges'!$A$11:$A$218)), 0)),"")</f>
        <v>UBS_UK</v>
      </c>
      <c r="B196" s="170">
        <f>IF($A196="","",VLOOKUP($A196,'Annex 2 EHV charges'!$A:$O,2,0))</f>
        <v>771</v>
      </c>
      <c r="C196" s="171" t="str">
        <f>IF($A196="","",VLOOKUP($A196,'Annex 2 EHV charges'!$A:$O,3,0))</f>
        <v>1030065428330
1030065428562</v>
      </c>
      <c r="D196" s="168" t="str">
        <f>IF($A196="","",VLOOKUP($A196,'Annex 2 EHV charges'!$A:$O,7,0))</f>
        <v>MATTERHORN CAPITAL DC CHESHAM S.A.R.L</v>
      </c>
      <c r="E196" s="166">
        <f>IFERROR(IF(VLOOKUP($A196,'Annex 2 EHV charges'!$A:$O,8,FALSE)=0,"",VLOOKUP($A196,'Annex 2 EHV charges'!$A:$O,8,FALSE)),"")</f>
        <v>0.20699999999999999</v>
      </c>
      <c r="F196" s="167">
        <f>IFERROR(IF(VLOOKUP($A196,'Annex 2 EHV charges'!$A:$O,9,FALSE)=0,"",VLOOKUP($A196,'Annex 2 EHV charges'!$A:$O,9,FALSE)),"")</f>
        <v>5475.55</v>
      </c>
      <c r="G196" s="166">
        <f>IFERROR(IF(VLOOKUP($A196,'Annex 2 EHV charges'!$A:$O,10,FALSE)=0,"",VLOOKUP($A196,'Annex 2 EHV charges'!$A:$O,10,FALSE)),"")</f>
        <v>1.1000000000000001</v>
      </c>
      <c r="H196" s="166">
        <f>IFERROR(IF(VLOOKUP($A196,'Annex 2 EHV charges'!$A:$O,11,FALSE)=0,"",VLOOKUP($A196,'Annex 2 EHV charges'!$A:$O,11,FALSE)),"")</f>
        <v>1.1000000000000001</v>
      </c>
    </row>
    <row r="197" spans="1:8" x14ac:dyDescent="0.35">
      <c r="A197" s="168" t="str">
        <f t="array" ref="A197">IFERROR(INDEX('Annex 2 EHV charges'!$A$11:$A$218, MATCH(0, IF(ISBLANK('Annex 2 EHV charges'!$A$11:$A$218),1, COUNTIF(A$4:$A196, 'Annex 2 EHV charges'!$A$11:$A$218)), 0)),"")</f>
        <v>VINESF</v>
      </c>
      <c r="B197" s="170">
        <f>IF($A197="","",VLOOKUP($A197,'Annex 2 EHV charges'!$A:$O,2,0))</f>
        <v>798</v>
      </c>
      <c r="C197" s="171">
        <f>IF($A197="","",VLOOKUP($A197,'Annex 2 EHV charges'!$A:$O,3,0))</f>
        <v>1050000996141</v>
      </c>
      <c r="D197" s="168" t="str">
        <f>IF($A197="","",VLOOKUP($A197,'Annex 2 EHV charges'!$A:$O,7,0))</f>
        <v>VINES SOLAR</v>
      </c>
      <c r="E197" s="166" t="str">
        <f>IFERROR(IF(VLOOKUP($A197,'Annex 2 EHV charges'!$A:$O,8,FALSE)=0,"",VLOOKUP($A197,'Annex 2 EHV charges'!$A:$O,8,FALSE)),"")</f>
        <v/>
      </c>
      <c r="F197" s="167">
        <f>IFERROR(IF(VLOOKUP($A197,'Annex 2 EHV charges'!$A:$O,9,FALSE)=0,"",VLOOKUP($A197,'Annex 2 EHV charges'!$A:$O,9,FALSE)),"")</f>
        <v>399.98</v>
      </c>
      <c r="G197" s="166">
        <f>IFERROR(IF(VLOOKUP($A197,'Annex 2 EHV charges'!$A:$O,10,FALSE)=0,"",VLOOKUP($A197,'Annex 2 EHV charges'!$A:$O,10,FALSE)),"")</f>
        <v>2.23</v>
      </c>
      <c r="H197" s="166">
        <f>IFERROR(IF(VLOOKUP($A197,'Annex 2 EHV charges'!$A:$O,11,FALSE)=0,"",VLOOKUP($A197,'Annex 2 EHV charges'!$A:$O,11,FALSE)),"")</f>
        <v>2.23</v>
      </c>
    </row>
    <row r="198" spans="1:8" ht="51" x14ac:dyDescent="0.35">
      <c r="A198" s="168" t="str">
        <f t="array" ref="A198">IFERROR(INDEX('Annex 2 EHV charges'!$A$11:$A$218, MATCH(0, IF(ISBLANK('Annex 2 EHV charges'!$A$11:$A$218),1, COUNTIF(A$4:$A197, 'Annex 2 EHV charges'!$A$11:$A$218)), 0)),"")</f>
        <v>VXHALL</v>
      </c>
      <c r="B198" s="170">
        <f>IF($A198="","",VLOOKUP($A198,'Annex 2 EHV charges'!$A:$O,2,0))</f>
        <v>771</v>
      </c>
      <c r="C198" s="171" t="str">
        <f>IF($A198="","",VLOOKUP($A198,'Annex 2 EHV charges'!$A:$O,3,0))</f>
        <v>1014571158953
1014571159186
1014571159414
1014571158721</v>
      </c>
      <c r="D198" s="168" t="str">
        <f>IF($A198="","",VLOOKUP($A198,'Annex 2 EHV charges'!$A:$O,7,0))</f>
        <v>GENERAL MOTORS UK LIMITED</v>
      </c>
      <c r="E198" s="166">
        <f>IFERROR(IF(VLOOKUP($A198,'Annex 2 EHV charges'!$A:$O,8,FALSE)=0,"",VLOOKUP($A198,'Annex 2 EHV charges'!$A:$O,8,FALSE)),"")</f>
        <v>0.26800000000000002</v>
      </c>
      <c r="F198" s="167">
        <f>IFERROR(IF(VLOOKUP($A198,'Annex 2 EHV charges'!$A:$O,9,FALSE)=0,"",VLOOKUP($A198,'Annex 2 EHV charges'!$A:$O,9,FALSE)),"")</f>
        <v>356.64</v>
      </c>
      <c r="G198" s="166">
        <f>IFERROR(IF(VLOOKUP($A198,'Annex 2 EHV charges'!$A:$O,10,FALSE)=0,"",VLOOKUP($A198,'Annex 2 EHV charges'!$A:$O,10,FALSE)),"")</f>
        <v>3.77</v>
      </c>
      <c r="H198" s="166">
        <f>IFERROR(IF(VLOOKUP($A198,'Annex 2 EHV charges'!$A:$O,11,FALSE)=0,"",VLOOKUP($A198,'Annex 2 EHV charges'!$A:$O,11,FALSE)),"")</f>
        <v>3.77</v>
      </c>
    </row>
    <row r="199" spans="1:8" ht="30.75" customHeight="1" x14ac:dyDescent="0.35">
      <c r="A199" s="168" t="str">
        <f t="array" ref="A199">IFERROR(INDEX('Annex 2 EHV charges'!$A$11:$A$218, MATCH(0, IF(ISBLANK('Annex 2 EHV charges'!$A$11:$A$218),1, COUNTIF(A$4:$A198, 'Annex 2 EHV charges'!$A$11:$A$218)), 0)),"")</f>
        <v>WAIRWF</v>
      </c>
      <c r="B199" s="170">
        <f>IF($A199="","",VLOOKUP($A199,'Annex 2 EHV charges'!$A:$O,2,0))</f>
        <v>501</v>
      </c>
      <c r="C199" s="171">
        <f>IF($A199="","",VLOOKUP($A199,'Annex 2 EHV charges'!$A:$O,3,0))</f>
        <v>1050000529637</v>
      </c>
      <c r="D199" s="168" t="str">
        <f>IF($A199="","",VLOOKUP($A199,'Annex 2 EHV charges'!$A:$O,7,0))</f>
        <v>BERNARD MATTHEWS WIND FARM (WESTON) LLP</v>
      </c>
      <c r="E199" s="166">
        <f>IFERROR(IF(VLOOKUP($A199,'Annex 2 EHV charges'!$A:$O,8,FALSE)=0,"",VLOOKUP($A199,'Annex 2 EHV charges'!$A:$O,8,FALSE)),"")</f>
        <v>7.0999999999999994E-2</v>
      </c>
      <c r="F199" s="167">
        <f>IFERROR(IF(VLOOKUP($A199,'Annex 2 EHV charges'!$A:$O,9,FALSE)=0,"",VLOOKUP($A199,'Annex 2 EHV charges'!$A:$O,9,FALSE)),"")</f>
        <v>16.11</v>
      </c>
      <c r="G199" s="166">
        <f>IFERROR(IF(VLOOKUP($A199,'Annex 2 EHV charges'!$A:$O,10,FALSE)=0,"",VLOOKUP($A199,'Annex 2 EHV charges'!$A:$O,10,FALSE)),"")</f>
        <v>7.9</v>
      </c>
      <c r="H199" s="166">
        <f>IFERROR(IF(VLOOKUP($A199,'Annex 2 EHV charges'!$A:$O,11,FALSE)=0,"",VLOOKUP($A199,'Annex 2 EHV charges'!$A:$O,11,FALSE)),"")</f>
        <v>7.9</v>
      </c>
    </row>
    <row r="200" spans="1:8" ht="30.75" customHeight="1" x14ac:dyDescent="0.35">
      <c r="A200" s="168" t="str">
        <f t="array" ref="A200">IFERROR(INDEX('Annex 2 EHV charges'!$A$11:$A$218, MATCH(0, IF(ISBLANK('Annex 2 EHV charges'!$A$11:$A$218),1, COUNTIF(A$4:$A199, 'Annex 2 EHV charges'!$A$11:$A$218)), 0)),"")</f>
        <v>WARNER</v>
      </c>
      <c r="B200" s="170">
        <f>IF($A200="","",VLOOKUP($A200,'Annex 2 EHV charges'!$A:$O,2,0))</f>
        <v>771</v>
      </c>
      <c r="C200" s="171" t="str">
        <f>IF($A200="","",VLOOKUP($A200,'Annex 2 EHV charges'!$A:$O,3,0))</f>
        <v>1030076325049
1030076325270</v>
      </c>
      <c r="D200" s="168" t="str">
        <f>IF($A200="","",VLOOKUP($A200,'Annex 2 EHV charges'!$A:$O,7,0))</f>
        <v>WARNER BROS</v>
      </c>
      <c r="E200" s="166">
        <f>IFERROR(IF(VLOOKUP($A200,'Annex 2 EHV charges'!$A:$O,8,FALSE)=0,"",VLOOKUP($A200,'Annex 2 EHV charges'!$A:$O,8,FALSE)),"")</f>
        <v>0.51100000000000001</v>
      </c>
      <c r="F200" s="167">
        <f>IFERROR(IF(VLOOKUP($A200,'Annex 2 EHV charges'!$A:$O,9,FALSE)=0,"",VLOOKUP($A200,'Annex 2 EHV charges'!$A:$O,9,FALSE)),"")</f>
        <v>4929.87</v>
      </c>
      <c r="G200" s="166">
        <f>IFERROR(IF(VLOOKUP($A200,'Annex 2 EHV charges'!$A:$O,10,FALSE)=0,"",VLOOKUP($A200,'Annex 2 EHV charges'!$A:$O,10,FALSE)),"")</f>
        <v>3.01</v>
      </c>
      <c r="H200" s="166">
        <f>IFERROR(IF(VLOOKUP($A200,'Annex 2 EHV charges'!$A:$O,11,FALSE)=0,"",VLOOKUP($A200,'Annex 2 EHV charges'!$A:$O,11,FALSE)),"")</f>
        <v>3.01</v>
      </c>
    </row>
    <row r="201" spans="1:8" ht="30.75" customHeight="1" x14ac:dyDescent="0.35">
      <c r="A201" s="168" t="str">
        <f t="array" ref="A201">IFERROR(INDEX('Annex 2 EHV charges'!$A$11:$A$218, MATCH(0, IF(ISBLANK('Annex 2 EHV charges'!$A$11:$A$218),1, COUNTIF(A$4:$A200, 'Annex 2 EHV charges'!$A$11:$A$218)), 0)),"")</f>
        <v>WDLWWF</v>
      </c>
      <c r="B201" s="170">
        <f>IF($A201="","",VLOOKUP($A201,'Annex 2 EHV charges'!$A:$O,2,0))</f>
        <v>867</v>
      </c>
      <c r="C201" s="171" t="str">
        <f>IF($A201="","",VLOOKUP($A201,'Annex 2 EHV charges'!$A:$O,3,0))</f>
        <v>1030078016464
1030078016696</v>
      </c>
      <c r="D201" s="168" t="str">
        <f>IF($A201="","",VLOOKUP($A201,'Annex 2 EHV charges'!$A:$O,7,0))</f>
        <v>WADLOW ENERGY LIMITED</v>
      </c>
      <c r="E201" s="166">
        <f>IFERROR(IF(VLOOKUP($A201,'Annex 2 EHV charges'!$A:$O,8,FALSE)=0,"",VLOOKUP($A201,'Annex 2 EHV charges'!$A:$O,8,FALSE)),"")</f>
        <v>0.83</v>
      </c>
      <c r="F201" s="167">
        <f>IFERROR(IF(VLOOKUP($A201,'Annex 2 EHV charges'!$A:$O,9,FALSE)=0,"",VLOOKUP($A201,'Annex 2 EHV charges'!$A:$O,9,FALSE)),"")</f>
        <v>8.02</v>
      </c>
      <c r="G201" s="166">
        <f>IFERROR(IF(VLOOKUP($A201,'Annex 2 EHV charges'!$A:$O,10,FALSE)=0,"",VLOOKUP($A201,'Annex 2 EHV charges'!$A:$O,10,FALSE)),"")</f>
        <v>3.3</v>
      </c>
      <c r="H201" s="166">
        <f>IFERROR(IF(VLOOKUP($A201,'Annex 2 EHV charges'!$A:$O,11,FALSE)=0,"",VLOOKUP($A201,'Annex 2 EHV charges'!$A:$O,11,FALSE)),"")</f>
        <v>3.3</v>
      </c>
    </row>
    <row r="202" spans="1:8" ht="30.75" customHeight="1" x14ac:dyDescent="0.35">
      <c r="A202" s="168" t="str">
        <f t="array" ref="A202">IFERROR(INDEX('Annex 2 EHV charges'!$A$11:$A$218, MATCH(0, IF(ISBLANK('Annex 2 EHV charges'!$A$11:$A$218),1, COUNTIF(A$4:$A201, 'Annex 2 EHV charges'!$A$11:$A$218)), 0)),"")</f>
        <v>WHMLWF</v>
      </c>
      <c r="B202" s="170">
        <f>IF($A202="","",VLOOKUP($A202,'Annex 2 EHV charges'!$A:$O,2,0))</f>
        <v>868</v>
      </c>
      <c r="C202" s="171">
        <f>IF($A202="","",VLOOKUP($A202,'Annex 2 EHV charges'!$A:$O,3,0))</f>
        <v>1030079196591</v>
      </c>
      <c r="D202" s="168" t="str">
        <f>IF($A202="","",VLOOKUP($A202,'Annex 2 EHV charges'!$A:$O,7,0))</f>
        <v>WHITE MILL WINDFARM LIMITED</v>
      </c>
      <c r="E202" s="166">
        <f>IFERROR(IF(VLOOKUP($A202,'Annex 2 EHV charges'!$A:$O,8,FALSE)=0,"",VLOOKUP($A202,'Annex 2 EHV charges'!$A:$O,8,FALSE)),"")</f>
        <v>0.61699999999999999</v>
      </c>
      <c r="F202" s="167">
        <f>IFERROR(IF(VLOOKUP($A202,'Annex 2 EHV charges'!$A:$O,9,FALSE)=0,"",VLOOKUP($A202,'Annex 2 EHV charges'!$A:$O,9,FALSE)),"")</f>
        <v>79.12</v>
      </c>
      <c r="G202" s="166">
        <f>IFERROR(IF(VLOOKUP($A202,'Annex 2 EHV charges'!$A:$O,10,FALSE)=0,"",VLOOKUP($A202,'Annex 2 EHV charges'!$A:$O,10,FALSE)),"")</f>
        <v>2.68</v>
      </c>
      <c r="H202" s="166">
        <f>IFERROR(IF(VLOOKUP($A202,'Annex 2 EHV charges'!$A:$O,11,FALSE)=0,"",VLOOKUP($A202,'Annex 2 EHV charges'!$A:$O,11,FALSE)),"")</f>
        <v>2.68</v>
      </c>
    </row>
    <row r="203" spans="1:8" ht="30.75" customHeight="1" x14ac:dyDescent="0.35">
      <c r="A203" s="168" t="str">
        <f t="array" ref="A203">IFERROR(INDEX('Annex 2 EHV charges'!$A$11:$A$218, MATCH(0, IF(ISBLANK('Annex 2 EHV charges'!$A$11:$A$218),1, COUNTIF(A$4:$A202, 'Annex 2 EHV charges'!$A$11:$A$218)), 0)),"")</f>
        <v>WIGGIN</v>
      </c>
      <c r="B203" s="170">
        <f>IF($A203="","",VLOOKUP($A203,'Annex 2 EHV charges'!$A:$O,2,0))</f>
        <v>529</v>
      </c>
      <c r="C203" s="171">
        <f>IF($A203="","",VLOOKUP($A203,'Annex 2 EHV charges'!$A:$O,3,0))</f>
        <v>1050000769145</v>
      </c>
      <c r="D203" s="168" t="str">
        <f>IF($A203="","",VLOOKUP($A203,'Annex 2 EHV charges'!$A:$O,7,0))</f>
        <v>S.E SOLAR (2) LTD</v>
      </c>
      <c r="E203" s="166">
        <f>IFERROR(IF(VLOOKUP($A203,'Annex 2 EHV charges'!$A:$O,8,FALSE)=0,"",VLOOKUP($A203,'Annex 2 EHV charges'!$A:$O,8,FALSE)),"")</f>
        <v>1.9610000000000001</v>
      </c>
      <c r="F203" s="167">
        <f>IFERROR(IF(VLOOKUP($A203,'Annex 2 EHV charges'!$A:$O,9,FALSE)=0,"",VLOOKUP($A203,'Annex 2 EHV charges'!$A:$O,9,FALSE)),"")</f>
        <v>10.210000000000001</v>
      </c>
      <c r="G203" s="166">
        <f>IFERROR(IF(VLOOKUP($A203,'Annex 2 EHV charges'!$A:$O,10,FALSE)=0,"",VLOOKUP($A203,'Annex 2 EHV charges'!$A:$O,10,FALSE)),"")</f>
        <v>3.71</v>
      </c>
      <c r="H203" s="166">
        <f>IFERROR(IF(VLOOKUP($A203,'Annex 2 EHV charges'!$A:$O,11,FALSE)=0,"",VLOOKUP($A203,'Annex 2 EHV charges'!$A:$O,11,FALSE)),"")</f>
        <v>3.71</v>
      </c>
    </row>
    <row r="204" spans="1:8" ht="30.75" customHeight="1" x14ac:dyDescent="0.35">
      <c r="A204" s="168" t="str">
        <f t="array" ref="A204">IFERROR(INDEX('Annex 2 EHV charges'!$A$11:$A$218, MATCH(0, IF(ISBLANK('Annex 2 EHV charges'!$A$11:$A$218),1, COUNTIF(A$4:$A203, 'Annex 2 EHV charges'!$A$11:$A$218)), 0)),"")</f>
        <v>WILLIA</v>
      </c>
      <c r="B204" s="170">
        <f>IF($A204="","",VLOOKUP($A204,'Annex 2 EHV charges'!$A:$O,2,0))</f>
        <v>819</v>
      </c>
      <c r="C204" s="171">
        <f>IF($A204="","",VLOOKUP($A204,'Annex 2 EHV charges'!$A:$O,3,0))</f>
        <v>1030027859903</v>
      </c>
      <c r="D204" s="168" t="str">
        <f>IF($A204="","",VLOOKUP($A204,'Annex 2 EHV charges'!$A:$O,7,0))</f>
        <v>METAL &amp; WASTE RECYCLING LTD</v>
      </c>
      <c r="E204" s="166">
        <f>IFERROR(IF(VLOOKUP($A204,'Annex 2 EHV charges'!$A:$O,8,FALSE)=0,"",VLOOKUP($A204,'Annex 2 EHV charges'!$A:$O,8,FALSE)),"")</f>
        <v>1.3440000000000001</v>
      </c>
      <c r="F204" s="167">
        <f>IFERROR(IF(VLOOKUP($A204,'Annex 2 EHV charges'!$A:$O,9,FALSE)=0,"",VLOOKUP($A204,'Annex 2 EHV charges'!$A:$O,9,FALSE)),"")</f>
        <v>1181.07</v>
      </c>
      <c r="G204" s="166">
        <f>IFERROR(IF(VLOOKUP($A204,'Annex 2 EHV charges'!$A:$O,10,FALSE)=0,"",VLOOKUP($A204,'Annex 2 EHV charges'!$A:$O,10,FALSE)),"")</f>
        <v>8.9700000000000006</v>
      </c>
      <c r="H204" s="166">
        <f>IFERROR(IF(VLOOKUP($A204,'Annex 2 EHV charges'!$A:$O,11,FALSE)=0,"",VLOOKUP($A204,'Annex 2 EHV charges'!$A:$O,11,FALSE)),"")</f>
        <v>8.9700000000000006</v>
      </c>
    </row>
    <row r="205" spans="1:8" ht="30.75" customHeight="1" x14ac:dyDescent="0.35">
      <c r="A205" s="168" t="str">
        <f t="array" ref="A205">IFERROR(INDEX('Annex 2 EHV charges'!$A$11:$A$218, MATCH(0, IF(ISBLANK('Annex 2 EHV charges'!$A$11:$A$218),1, COUNTIF(A$4:$A204, 'Annex 2 EHV charges'!$A$11:$A$218)), 0)),"")</f>
        <v>WLBRHM</v>
      </c>
      <c r="B205" s="170">
        <f>IF($A205="","",VLOOKUP($A205,'Annex 2 EHV charges'!$A:$O,2,0))</f>
        <v>530</v>
      </c>
      <c r="C205" s="171">
        <f>IF($A205="","",VLOOKUP($A205,'Annex 2 EHV charges'!$A:$O,3,0))</f>
        <v>1050000714155</v>
      </c>
      <c r="D205" s="168" t="str">
        <f>IF($A205="","",VLOOKUP($A205,'Annex 2 EHV charges'!$A:$O,7,0))</f>
        <v>GREAT WILBRAHAM SOLAR PARK LIMITED</v>
      </c>
      <c r="E205" s="166">
        <f>IFERROR(IF(VLOOKUP($A205,'Annex 2 EHV charges'!$A:$O,8,FALSE)=0,"",VLOOKUP($A205,'Annex 2 EHV charges'!$A:$O,8,FALSE)),"")</f>
        <v>1.58</v>
      </c>
      <c r="F205" s="167">
        <f>IFERROR(IF(VLOOKUP($A205,'Annex 2 EHV charges'!$A:$O,9,FALSE)=0,"",VLOOKUP($A205,'Annex 2 EHV charges'!$A:$O,9,FALSE)),"")</f>
        <v>9.4600000000000009</v>
      </c>
      <c r="G205" s="166">
        <f>IFERROR(IF(VLOOKUP($A205,'Annex 2 EHV charges'!$A:$O,10,FALSE)=0,"",VLOOKUP($A205,'Annex 2 EHV charges'!$A:$O,10,FALSE)),"")</f>
        <v>2.59</v>
      </c>
      <c r="H205" s="166">
        <f>IFERROR(IF(VLOOKUP($A205,'Annex 2 EHV charges'!$A:$O,11,FALSE)=0,"",VLOOKUP($A205,'Annex 2 EHV charges'!$A:$O,11,FALSE)),"")</f>
        <v>2.59</v>
      </c>
    </row>
    <row r="206" spans="1:8" ht="30.75" customHeight="1" x14ac:dyDescent="0.35">
      <c r="A206" s="168" t="str">
        <f t="array" ref="A206">IFERROR(INDEX('Annex 2 EHV charges'!$A$11:$A$218, MATCH(0, IF(ISBLANK('Annex 2 EHV charges'!$A$11:$A$218),1, COUNTIF(A$4:$A205, 'Annex 2 EHV charges'!$A$11:$A$218)), 0)),"")</f>
        <v>WOOLLY</v>
      </c>
      <c r="B206" s="170">
        <f>IF($A206="","",VLOOKUP($A206,'Annex 2 EHV charges'!$A:$O,2,0))</f>
        <v>532</v>
      </c>
      <c r="C206" s="171">
        <f>IF($A206="","",VLOOKUP($A206,'Annex 2 EHV charges'!$A:$O,3,0))</f>
        <v>1050000555920</v>
      </c>
      <c r="D206" s="168" t="str">
        <f>IF($A206="","",VLOOKUP($A206,'Annex 2 EHV charges'!$A:$O,7,0))</f>
        <v>RES UK &amp; IRELAND LTD</v>
      </c>
      <c r="E206" s="166">
        <f>IFERROR(IF(VLOOKUP($A206,'Annex 2 EHV charges'!$A:$O,8,FALSE)=0,"",VLOOKUP($A206,'Annex 2 EHV charges'!$A:$O,8,FALSE)),"")</f>
        <v>0.441</v>
      </c>
      <c r="F206" s="167">
        <f>IFERROR(IF(VLOOKUP($A206,'Annex 2 EHV charges'!$A:$O,9,FALSE)=0,"",VLOOKUP($A206,'Annex 2 EHV charges'!$A:$O,9,FALSE)),"")</f>
        <v>53.71</v>
      </c>
      <c r="G206" s="166">
        <f>IFERROR(IF(VLOOKUP($A206,'Annex 2 EHV charges'!$A:$O,10,FALSE)=0,"",VLOOKUP($A206,'Annex 2 EHV charges'!$A:$O,10,FALSE)),"")</f>
        <v>2.96</v>
      </c>
      <c r="H206" s="166">
        <f>IFERROR(IF(VLOOKUP($A206,'Annex 2 EHV charges'!$A:$O,11,FALSE)=0,"",VLOOKUP($A206,'Annex 2 EHV charges'!$A:$O,11,FALSE)),"")</f>
        <v>2.96</v>
      </c>
    </row>
    <row r="207" spans="1:8" ht="30.75" customHeight="1" x14ac:dyDescent="0.35">
      <c r="A207" s="168" t="str">
        <f t="array" ref="A207">IFERROR(INDEX('Annex 2 EHV charges'!$A$11:$A$218, MATCH(0, IF(ISBLANK('Annex 2 EHV charges'!$A$11:$A$218),1, COUNTIF(A$4:$A206, 'Annex 2 EHV charges'!$A$11:$A$218)), 0)),"")</f>
        <v>WRGSTE</v>
      </c>
      <c r="B207" s="170">
        <f>IF($A207="","",VLOOKUP($A207,'Annex 2 EHV charges'!$A:$O,2,0))</f>
        <v>839</v>
      </c>
      <c r="C207" s="171">
        <f>IF($A207="","",VLOOKUP($A207,'Annex 2 EHV charges'!$A:$O,3,0))</f>
        <v>1023479303448</v>
      </c>
      <c r="D207" s="168" t="str">
        <f>IF($A207="","",VLOOKUP($A207,'Annex 2 EHV charges'!$A:$O,7,0))</f>
        <v>INFINIS ENERGY SERVICES LIMITED</v>
      </c>
      <c r="E207" s="166">
        <f>IFERROR(IF(VLOOKUP($A207,'Annex 2 EHV charges'!$A:$O,8,FALSE)=0,"",VLOOKUP($A207,'Annex 2 EHV charges'!$A:$O,8,FALSE)),"")</f>
        <v>4.5999999999999999E-2</v>
      </c>
      <c r="F207" s="167">
        <f>IFERROR(IF(VLOOKUP($A207,'Annex 2 EHV charges'!$A:$O,9,FALSE)=0,"",VLOOKUP($A207,'Annex 2 EHV charges'!$A:$O,9,FALSE)),"")</f>
        <v>95.69</v>
      </c>
      <c r="G207" s="166">
        <f>IFERROR(IF(VLOOKUP($A207,'Annex 2 EHV charges'!$A:$O,10,FALSE)=0,"",VLOOKUP($A207,'Annex 2 EHV charges'!$A:$O,10,FALSE)),"")</f>
        <v>1.02</v>
      </c>
      <c r="H207" s="166">
        <f>IFERROR(IF(VLOOKUP($A207,'Annex 2 EHV charges'!$A:$O,11,FALSE)=0,"",VLOOKUP($A207,'Annex 2 EHV charges'!$A:$O,11,FALSE)),"")</f>
        <v>1.02</v>
      </c>
    </row>
    <row r="208" spans="1:8" ht="30.75" customHeight="1" x14ac:dyDescent="0.35">
      <c r="A208" s="168" t="str">
        <f t="array" ref="A208">IFERROR(INDEX('Annex 2 EHV charges'!$A$11:$A$218, MATCH(0, IF(ISBLANK('Annex 2 EHV charges'!$A$11:$A$218),1, COUNTIF(A$4:$A207, 'Annex 2 EHV charges'!$A$11:$A$218)), 0)),"")</f>
        <v>WRYDEC</v>
      </c>
      <c r="B208" s="170">
        <f>IF($A208="","",VLOOKUP($A208,'Annex 2 EHV charges'!$A:$O,2,0))</f>
        <v>798</v>
      </c>
      <c r="C208" s="171">
        <f>IF($A208="","",VLOOKUP($A208,'Annex 2 EHV charges'!$A:$O,3,0))</f>
        <v>1050000948110</v>
      </c>
      <c r="D208" s="168" t="str">
        <f>IF($A208="","",VLOOKUP($A208,'Annex 2 EHV charges'!$A:$O,7,0))</f>
        <v>WRYDE CROFT WIND FARM</v>
      </c>
      <c r="E208" s="166" t="str">
        <f>IFERROR(IF(VLOOKUP($A208,'Annex 2 EHV charges'!$A:$O,8,FALSE)=0,"",VLOOKUP($A208,'Annex 2 EHV charges'!$A:$O,8,FALSE)),"")</f>
        <v/>
      </c>
      <c r="F208" s="167">
        <f>IFERROR(IF(VLOOKUP($A208,'Annex 2 EHV charges'!$A:$O,9,FALSE)=0,"",VLOOKUP($A208,'Annex 2 EHV charges'!$A:$O,9,FALSE)),"")</f>
        <v>25.1</v>
      </c>
      <c r="G208" s="166">
        <f>IFERROR(IF(VLOOKUP($A208,'Annex 2 EHV charges'!$A:$O,10,FALSE)=0,"",VLOOKUP($A208,'Annex 2 EHV charges'!$A:$O,10,FALSE)),"")</f>
        <v>2.1800000000000002</v>
      </c>
      <c r="H208" s="166">
        <f>IFERROR(IF(VLOOKUP($A208,'Annex 2 EHV charges'!$A:$O,11,FALSE)=0,"",VLOOKUP($A208,'Annex 2 EHV charges'!$A:$O,11,FALSE)),"")</f>
        <v>2.1800000000000002</v>
      </c>
    </row>
    <row r="209" spans="1:8" ht="30.75" customHeight="1" x14ac:dyDescent="0.35">
      <c r="A209" s="168" t="str">
        <f t="array" ref="A209">IFERROR(INDEX('Annex 2 EHV charges'!$A$11:$A$218, MATCH(0, IF(ISBLANK('Annex 2 EHV charges'!$A$11:$A$218),1, COUNTIF(A$4:$A208, 'Annex 2 EHV charges'!$A$11:$A$218)), 0)),"")</f>
        <v>WSBRDG</v>
      </c>
      <c r="B209" s="170">
        <f>IF($A209="","",VLOOKUP($A209,'Annex 2 EHV charges'!$A:$O,2,0))</f>
        <v>531</v>
      </c>
      <c r="C209" s="171">
        <f>IF($A209="","",VLOOKUP($A209,'Annex 2 EHV charges'!$A:$O,3,0))</f>
        <v>1050000650690</v>
      </c>
      <c r="D209" s="168" t="str">
        <f>IF($A209="","",VLOOKUP($A209,'Annex 2 EHV charges'!$A:$O,7,0))</f>
        <v>PUSH ENERGY (WISBRIDGE) LTD</v>
      </c>
      <c r="E209" s="166">
        <f>IFERROR(IF(VLOOKUP($A209,'Annex 2 EHV charges'!$A:$O,8,FALSE)=0,"",VLOOKUP($A209,'Annex 2 EHV charges'!$A:$O,8,FALSE)),"")</f>
        <v>0.27200000000000002</v>
      </c>
      <c r="F209" s="167">
        <f>IFERROR(IF(VLOOKUP($A209,'Annex 2 EHV charges'!$A:$O,9,FALSE)=0,"",VLOOKUP($A209,'Annex 2 EHV charges'!$A:$O,9,FALSE)),"")</f>
        <v>8.42</v>
      </c>
      <c r="G209" s="166">
        <f>IFERROR(IF(VLOOKUP($A209,'Annex 2 EHV charges'!$A:$O,10,FALSE)=0,"",VLOOKUP($A209,'Annex 2 EHV charges'!$A:$O,10,FALSE)),"")</f>
        <v>16.16</v>
      </c>
      <c r="H209" s="166">
        <f>IFERROR(IF(VLOOKUP($A209,'Annex 2 EHV charges'!$A:$O,11,FALSE)=0,"",VLOOKUP($A209,'Annex 2 EHV charges'!$A:$O,11,FALSE)),"")</f>
        <v>16.16</v>
      </c>
    </row>
    <row r="210" spans="1:8" ht="30.75" customHeight="1" x14ac:dyDescent="0.35">
      <c r="A210" s="168" t="str">
        <f t="array" ref="A210">IFERROR(INDEX('Annex 2 EHV charges'!$A$11:$A$218, MATCH(0, IF(ISBLANK('Annex 2 EHV charges'!$A$11:$A$218),1, COUNTIF(A$4:$A209, 'Annex 2 EHV charges'!$A$11:$A$218)), 0)),"")</f>
        <v>WSTNLV</v>
      </c>
      <c r="B210" s="170">
        <f>IF($A210="","",VLOOKUP($A210,'Annex 2 EHV charges'!$A:$O,2,0))</f>
        <v>538</v>
      </c>
      <c r="C210" s="171">
        <f>IF($A210="","",VLOOKUP($A210,'Annex 2 EHV charges'!$A:$O,3,0))</f>
        <v>1050000811596</v>
      </c>
      <c r="D210" s="168" t="str">
        <f>IF($A210="","",VLOOKUP($A210,'Annex 2 EHV charges'!$A:$O,7,0))</f>
        <v>WESTON LONGVILLE G1 SOLAR FARM LIMITED</v>
      </c>
      <c r="E210" s="166">
        <f>IFERROR(IF(VLOOKUP($A210,'Annex 2 EHV charges'!$A:$O,8,FALSE)=0,"",VLOOKUP($A210,'Annex 2 EHV charges'!$A:$O,8,FALSE)),"")</f>
        <v>7.0999999999999994E-2</v>
      </c>
      <c r="F210" s="167">
        <f>IFERROR(IF(VLOOKUP($A210,'Annex 2 EHV charges'!$A:$O,9,FALSE)=0,"",VLOOKUP($A210,'Annex 2 EHV charges'!$A:$O,9,FALSE)),"")</f>
        <v>9.66</v>
      </c>
      <c r="G210" s="166">
        <f>IFERROR(IF(VLOOKUP($A210,'Annex 2 EHV charges'!$A:$O,10,FALSE)=0,"",VLOOKUP($A210,'Annex 2 EHV charges'!$A:$O,10,FALSE)),"")</f>
        <v>8.94</v>
      </c>
      <c r="H210" s="166">
        <f>IFERROR(IF(VLOOKUP($A210,'Annex 2 EHV charges'!$A:$O,11,FALSE)=0,"",VLOOKUP($A210,'Annex 2 EHV charges'!$A:$O,11,FALSE)),"")</f>
        <v>8.94</v>
      </c>
    </row>
    <row r="211" spans="1:8" ht="30.75" customHeight="1" x14ac:dyDescent="0.35">
      <c r="A211" s="168" t="str">
        <f t="array" ref="A211">IFERROR(INDEX('Annex 2 EHV charges'!$A$11:$A$218, MATCH(0, IF(ISBLANK('Annex 2 EHV charges'!$A$11:$A$218),1, COUNTIF(A$4:$A210, 'Annex 2 EHV charges'!$A$11:$A$218)), 0)),"")</f>
        <v>WTRLOO</v>
      </c>
      <c r="B211" s="170">
        <f>IF($A211="","",VLOOKUP($A211,'Annex 2 EHV charges'!$A:$O,2,0))</f>
        <v>533</v>
      </c>
      <c r="C211" s="171">
        <f>IF($A211="","",VLOOKUP($A211,'Annex 2 EHV charges'!$A:$O,3,0))</f>
        <v>1050000769163</v>
      </c>
      <c r="D211" s="168" t="str">
        <f>IF($A211="","",VLOOKUP($A211,'Annex 2 EHV charges'!$A:$O,7,0))</f>
        <v>WATERLOO FARM SOLAR PARK</v>
      </c>
      <c r="E211" s="166">
        <f>IFERROR(IF(VLOOKUP($A211,'Annex 2 EHV charges'!$A:$O,8,FALSE)=0,"",VLOOKUP($A211,'Annex 2 EHV charges'!$A:$O,8,FALSE)),"")</f>
        <v>0.182</v>
      </c>
      <c r="F211" s="167">
        <f>IFERROR(IF(VLOOKUP($A211,'Annex 2 EHV charges'!$A:$O,9,FALSE)=0,"",VLOOKUP($A211,'Annex 2 EHV charges'!$A:$O,9,FALSE)),"")</f>
        <v>4.32</v>
      </c>
      <c r="G211" s="166">
        <f>IFERROR(IF(VLOOKUP($A211,'Annex 2 EHV charges'!$A:$O,10,FALSE)=0,"",VLOOKUP($A211,'Annex 2 EHV charges'!$A:$O,10,FALSE)),"")</f>
        <v>4.5599999999999996</v>
      </c>
      <c r="H211" s="166">
        <f>IFERROR(IF(VLOOKUP($A211,'Annex 2 EHV charges'!$A:$O,11,FALSE)=0,"",VLOOKUP($A211,'Annex 2 EHV charges'!$A:$O,11,FALSE)),"")</f>
        <v>4.5599999999999996</v>
      </c>
    </row>
    <row r="212" spans="1:8" ht="30.75" customHeight="1" x14ac:dyDescent="0.35">
      <c r="A212" s="168" t="str">
        <f t="array" ref="A212">IFERROR(INDEX('Annex 2 EHV charges'!$A$11:$A$218, MATCH(0, IF(ISBLANK('Annex 2 EHV charges'!$A$11:$A$218),1, COUNTIF(A$4:$A211, 'Annex 2 EHV charges'!$A$11:$A$218)), 0)),"")</f>
        <v>WWYNDC</v>
      </c>
      <c r="B212" s="170">
        <f>IF($A212="","",VLOOKUP($A212,'Annex 2 EHV charges'!$A:$O,2,0))</f>
        <v>771</v>
      </c>
      <c r="C212" s="171" t="str">
        <f>IF($A212="","",VLOOKUP($A212,'Annex 2 EHV charges'!$A:$O,3,0))</f>
        <v>1030059750786
1030059751015</v>
      </c>
      <c r="D212" s="168" t="str">
        <f>IF($A212="","",VLOOKUP($A212,'Annex 2 EHV charges'!$A:$O,7,0))</f>
        <v>COLT TECHNOLOGY SERVICES</v>
      </c>
      <c r="E212" s="166">
        <f>IFERROR(IF(VLOOKUP($A212,'Annex 2 EHV charges'!$A:$O,8,FALSE)=0,"",VLOOKUP($A212,'Annex 2 EHV charges'!$A:$O,8,FALSE)),"")</f>
        <v>0.04</v>
      </c>
      <c r="F212" s="167">
        <f>IFERROR(IF(VLOOKUP($A212,'Annex 2 EHV charges'!$A:$O,9,FALSE)=0,"",VLOOKUP($A212,'Annex 2 EHV charges'!$A:$O,9,FALSE)),"")</f>
        <v>19880.330000000002</v>
      </c>
      <c r="G212" s="166">
        <f>IFERROR(IF(VLOOKUP($A212,'Annex 2 EHV charges'!$A:$O,10,FALSE)=0,"",VLOOKUP($A212,'Annex 2 EHV charges'!$A:$O,10,FALSE)),"")</f>
        <v>3.97</v>
      </c>
      <c r="H212" s="166">
        <f>IFERROR(IF(VLOOKUP($A212,'Annex 2 EHV charges'!$A:$O,11,FALSE)=0,"",VLOOKUP($A212,'Annex 2 EHV charges'!$A:$O,11,FALSE)),"")</f>
        <v>3.97</v>
      </c>
    </row>
  </sheetData>
  <mergeCells count="2">
    <mergeCell ref="A2:H2"/>
    <mergeCell ref="A1:H1"/>
  </mergeCells>
  <pageMargins left="0.70866141732283472" right="0.70866141732283472" top="0.94488188976377963" bottom="0.74803149606299213" header="0.31496062992125984" footer="0.31496062992125984"/>
  <pageSetup paperSize="9" scale="86"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123"/>
  <sheetViews>
    <sheetView zoomScale="90" zoomScaleNormal="90" zoomScaleSheetLayoutView="100" workbookViewId="0">
      <selection sqref="A1:H1"/>
    </sheetView>
  </sheetViews>
  <sheetFormatPr defaultColWidth="9.1328125" defaultRowHeight="12.75" x14ac:dyDescent="0.35"/>
  <cols>
    <col min="1" max="1" width="14.73046875" style="61" customWidth="1"/>
    <col min="2" max="2" width="8.73046875" style="67" customWidth="1"/>
    <col min="3" max="3" width="17.265625" style="67" bestFit="1" customWidth="1"/>
    <col min="4" max="4" width="50.73046875" style="67" customWidth="1"/>
    <col min="5" max="5" width="14.73046875" style="68" customWidth="1"/>
    <col min="6" max="7" width="14.73046875" style="69" customWidth="1"/>
    <col min="8" max="8" width="14.73046875" style="61" customWidth="1"/>
    <col min="9" max="9" width="15.59765625" style="61" customWidth="1"/>
    <col min="10" max="16384" width="9.1328125" style="61"/>
  </cols>
  <sheetData>
    <row r="1" spans="1:15" ht="66.75" customHeight="1" x14ac:dyDescent="0.35">
      <c r="A1" s="221" t="s">
        <v>517</v>
      </c>
      <c r="B1" s="221"/>
      <c r="C1" s="221"/>
      <c r="D1" s="221"/>
      <c r="E1" s="221"/>
      <c r="F1" s="221"/>
      <c r="G1" s="221"/>
      <c r="H1" s="221"/>
    </row>
    <row r="2" spans="1:15" s="62" customFormat="1" ht="25.5" customHeight="1" x14ac:dyDescent="0.35">
      <c r="A2" s="227" t="str">
        <f>Overview!B4&amp; " - Effective from "&amp;Overview!D4&amp;" - "&amp;Overview!E4&amp;" EDCM export charges"</f>
        <v>Eastern Power Networks - Effective from 01/04/2017 - Final EDCM export charges</v>
      </c>
      <c r="B2" s="228"/>
      <c r="C2" s="228"/>
      <c r="D2" s="228"/>
      <c r="E2" s="228"/>
      <c r="F2" s="228"/>
      <c r="G2" s="228"/>
      <c r="H2" s="229"/>
    </row>
    <row r="3" spans="1:15" s="88" customFormat="1" ht="17.649999999999999" x14ac:dyDescent="0.35">
      <c r="A3" s="93"/>
      <c r="B3" s="169"/>
      <c r="C3" s="169"/>
      <c r="D3" s="94"/>
      <c r="E3" s="95"/>
      <c r="F3" s="95"/>
      <c r="G3" s="96"/>
      <c r="H3" s="96"/>
      <c r="I3" s="87"/>
      <c r="J3" s="87"/>
      <c r="K3" s="87"/>
      <c r="L3" s="87"/>
      <c r="M3" s="87"/>
      <c r="N3" s="87"/>
      <c r="O3" s="87"/>
    </row>
    <row r="4" spans="1:15" ht="60.75" customHeight="1" x14ac:dyDescent="0.35">
      <c r="A4" s="63" t="s">
        <v>490</v>
      </c>
      <c r="B4" s="64" t="s">
        <v>469</v>
      </c>
      <c r="C4" s="63" t="s">
        <v>471</v>
      </c>
      <c r="D4" s="65" t="s">
        <v>180</v>
      </c>
      <c r="E4" s="65" t="str">
        <f>'Annex 2 EHV charges'!L10</f>
        <v>Export
Super Red
unit charge
(p/kWh)</v>
      </c>
      <c r="F4" s="65" t="str">
        <f>'Annex 2 EHV charges'!M10</f>
        <v>Export
fixed charge
(p/day)</v>
      </c>
      <c r="G4" s="65" t="str">
        <f>'Annex 2 EHV charges'!N10</f>
        <v>Export
capacity charge
(p/kVA/day)</v>
      </c>
      <c r="H4" s="65" t="str">
        <f>'Annex 2 EHV charges'!O10</f>
        <v>Export
exceeded capacity charge
(p/kVA/day)</v>
      </c>
    </row>
    <row r="5" spans="1:15" ht="33.75" customHeight="1" x14ac:dyDescent="0.35">
      <c r="A5" s="172" t="str">
        <f t="array" ref="A5">IFERROR(INDEX('Annex 2 EHV charges'!$D$11:$D$218, MATCH(0, IF(ISBLANK('Annex 2 EHV charges'!$D$11:$D$218),1, COUNTIF(A$4:$A4, 'Annex 2 EHV charges'!$D$11:$D$218)), 0)),"")</f>
        <v>ABSRSF</v>
      </c>
      <c r="B5" s="170">
        <f>IF($A5="","",VLOOKUP($A5,'Annex 2 EHV charges'!$D:$O,2,0))</f>
        <v>744</v>
      </c>
      <c r="C5" s="171">
        <f>IF($A5="","",VLOOKUP($A5,'Annex 2 EHV charges'!$D:$O,3,0))</f>
        <v>1050000574694</v>
      </c>
      <c r="D5" s="168" t="str">
        <f>IF($A5="","",VLOOKUP($A5,'Annex 2 EHV charges'!$D:$O,4,0))</f>
        <v>ABBOTS RIPTON SOLAR ENERGY LIMITED</v>
      </c>
      <c r="E5" s="173" t="str">
        <f>IFERROR(IF(VLOOKUP($A5,'Annex 2 EHV charges'!$D:$O,9,FALSE)=0,"",VLOOKUP($A5,'Annex 2 EHV charges'!$D:$O,9,FALSE)),"")</f>
        <v/>
      </c>
      <c r="F5" s="174">
        <f>IFERROR(IF(VLOOKUP($A5,'Annex 2 EHV charges'!$D:$O,10,FALSE)=0,"",VLOOKUP($A5,'Annex 2 EHV charges'!$D:$O,10,FALSE)),"")</f>
        <v>3647.93</v>
      </c>
      <c r="G5" s="175">
        <f>IFERROR(IF(VLOOKUP($A5,'Annex 2 EHV charges'!$D:$O,11,FALSE)=0,"",VLOOKUP($A5,'Annex 2 EHV charges'!$D:$O,11,FALSE)),"")</f>
        <v>0.05</v>
      </c>
      <c r="H5" s="175">
        <f>IFERROR(IF(VLOOKUP($A5,'Annex 2 EHV charges'!$D:$O,12,FALSE)=0,"",VLOOKUP($A5,'Annex 2 EHV charges'!$D:$O,12,FALSE)),"")</f>
        <v>0.05</v>
      </c>
    </row>
    <row r="6" spans="1:15" ht="33.75" customHeight="1" x14ac:dyDescent="0.35">
      <c r="A6" s="172" t="str">
        <f t="array" ref="A6">IFERROR(INDEX('Annex 2 EHV charges'!$D$11:$D$218, MATCH(0, IF(ISBLANK('Annex 2 EHV charges'!$D$11:$D$218),1, COUNTIF(A$4:$A5, 'Annex 2 EHV charges'!$D$11:$D$218)), 0)),"")</f>
        <v>AIAMAN</v>
      </c>
      <c r="B6" s="170">
        <f>IF($A6="","",VLOOKUP($A6,'Annex 2 EHV charges'!$D:$O,2,0))</f>
        <v>792</v>
      </c>
      <c r="C6" s="171">
        <f>IF($A6="","",VLOOKUP($A6,'Annex 2 EHV charges'!$D:$O,3,0))</f>
        <v>1030054607984</v>
      </c>
      <c r="D6" s="168" t="str">
        <f>IF($A6="","",VLOOKUP($A6,'Annex 2 EHV charges'!$D:$O,4,0))</f>
        <v>A I A MANAGEMENT LTD</v>
      </c>
      <c r="E6" s="173">
        <f>IFERROR(IF(VLOOKUP($A6,'Annex 2 EHV charges'!$D:$O,9,FALSE)=0,"",VLOOKUP($A6,'Annex 2 EHV charges'!$D:$O,9,FALSE)),"")</f>
        <v>-2.8439999999999999</v>
      </c>
      <c r="F6" s="174">
        <f>IFERROR(IF(VLOOKUP($A6,'Annex 2 EHV charges'!$D:$O,10,FALSE)=0,"",VLOOKUP($A6,'Annex 2 EHV charges'!$D:$O,10,FALSE)),"")</f>
        <v>169.83</v>
      </c>
      <c r="G6" s="175">
        <f>IFERROR(IF(VLOOKUP($A6,'Annex 2 EHV charges'!$D:$O,11,FALSE)=0,"",VLOOKUP($A6,'Annex 2 EHV charges'!$D:$O,11,FALSE)),"")</f>
        <v>0.05</v>
      </c>
      <c r="H6" s="175">
        <f>IFERROR(IF(VLOOKUP($A6,'Annex 2 EHV charges'!$D:$O,12,FALSE)=0,"",VLOOKUP($A6,'Annex 2 EHV charges'!$D:$O,12,FALSE)),"")</f>
        <v>0.05</v>
      </c>
    </row>
    <row r="7" spans="1:15" ht="33.75" customHeight="1" x14ac:dyDescent="0.35">
      <c r="A7" s="172" t="str">
        <f t="array" ref="A7">IFERROR(INDEX('Annex 2 EHV charges'!$D$11:$D$218, MATCH(0, IF(ISBLANK('Annex 2 EHV charges'!$D$11:$D$218),1, COUNTIF(A$4:$A6, 'Annex 2 EHV charges'!$D$11:$D$218)), 0)),"")</f>
        <v>ARLAFD</v>
      </c>
      <c r="B7" s="170">
        <f>IF($A7="","",VLOOKUP($A7,'Annex 2 EHV charges'!$D:$O,2,0))</f>
        <v>792</v>
      </c>
      <c r="C7" s="171" t="str">
        <f>IF($A7="","",VLOOKUP($A7,'Annex 2 EHV charges'!$D:$O,3,0))</f>
        <v>1030085114723
1030085114955</v>
      </c>
      <c r="D7" s="168" t="str">
        <f>IF($A7="","",VLOOKUP($A7,'Annex 2 EHV charges'!$D:$O,4,0))</f>
        <v>ARLA FOODS LIMITED</v>
      </c>
      <c r="E7" s="173" t="str">
        <f>IFERROR(IF(VLOOKUP($A7,'Annex 2 EHV charges'!$D:$O,9,FALSE)=0,"",VLOOKUP($A7,'Annex 2 EHV charges'!$D:$O,9,FALSE)),"")</f>
        <v/>
      </c>
      <c r="F7" s="174">
        <f>IFERROR(IF(VLOOKUP($A7,'Annex 2 EHV charges'!$D:$O,10,FALSE)=0,"",VLOOKUP($A7,'Annex 2 EHV charges'!$D:$O,10,FALSE)),"")</f>
        <v>1094.5899999999999</v>
      </c>
      <c r="G7" s="175">
        <f>IFERROR(IF(VLOOKUP($A7,'Annex 2 EHV charges'!$D:$O,11,FALSE)=0,"",VLOOKUP($A7,'Annex 2 EHV charges'!$D:$O,11,FALSE)),"")</f>
        <v>0.05</v>
      </c>
      <c r="H7" s="175">
        <f>IFERROR(IF(VLOOKUP($A7,'Annex 2 EHV charges'!$D:$O,12,FALSE)=0,"",VLOOKUP($A7,'Annex 2 EHV charges'!$D:$O,12,FALSE)),"")</f>
        <v>0.05</v>
      </c>
    </row>
    <row r="8" spans="1:15" ht="33.75" customHeight="1" x14ac:dyDescent="0.35">
      <c r="A8" s="172" t="str">
        <f t="array" ref="A8">IFERROR(INDEX('Annex 2 EHV charges'!$D$11:$D$218, MATCH(0, IF(ISBLANK('Annex 2 EHV charges'!$D$11:$D$218),1, COUNTIF(A$4:$A7, 'Annex 2 EHV charges'!$D$11:$D$218)), 0)),"")</f>
        <v>ASTONC</v>
      </c>
      <c r="B8" s="170">
        <f>IF($A8="","",VLOOKUP($A8,'Annex 2 EHV charges'!$D:$O,2,0))</f>
        <v>780</v>
      </c>
      <c r="C8" s="171">
        <f>IF($A8="","",VLOOKUP($A8,'Annex 2 EHV charges'!$D:$O,3,0))</f>
        <v>1050000834255</v>
      </c>
      <c r="D8" s="168" t="str">
        <f>IF($A8="","",VLOOKUP($A8,'Annex 2 EHV charges'!$D:$O,4,0))</f>
        <v>ASTON CLINTON</v>
      </c>
      <c r="E8" s="173" t="str">
        <f>IFERROR(IF(VLOOKUP($A8,'Annex 2 EHV charges'!$D:$O,9,FALSE)=0,"",VLOOKUP($A8,'Annex 2 EHV charges'!$D:$O,9,FALSE)),"")</f>
        <v/>
      </c>
      <c r="F8" s="174">
        <f>IFERROR(IF(VLOOKUP($A8,'Annex 2 EHV charges'!$D:$O,10,FALSE)=0,"",VLOOKUP($A8,'Annex 2 EHV charges'!$D:$O,10,FALSE)),"")</f>
        <v>515.71</v>
      </c>
      <c r="G8" s="175">
        <f>IFERROR(IF(VLOOKUP($A8,'Annex 2 EHV charges'!$D:$O,11,FALSE)=0,"",VLOOKUP($A8,'Annex 2 EHV charges'!$D:$O,11,FALSE)),"")</f>
        <v>0.05</v>
      </c>
      <c r="H8" s="175">
        <f>IFERROR(IF(VLOOKUP($A8,'Annex 2 EHV charges'!$D:$O,12,FALSE)=0,"",VLOOKUP($A8,'Annex 2 EHV charges'!$D:$O,12,FALSE)),"")</f>
        <v>0.05</v>
      </c>
    </row>
    <row r="9" spans="1:15" ht="33.75" customHeight="1" x14ac:dyDescent="0.35">
      <c r="A9" s="172" t="str">
        <f t="array" ref="A9">IFERROR(INDEX('Annex 2 EHV charges'!$D$11:$D$218, MATCH(0, IF(ISBLANK('Annex 2 EHV charges'!$D$11:$D$218),1, COUNTIF(A$4:$A8, 'Annex 2 EHV charges'!$D$11:$D$218)), 0)),"")</f>
        <v>AVENUE</v>
      </c>
      <c r="B9" s="170">
        <f>IF($A9="","",VLOOKUP($A9,'Annex 2 EHV charges'!$D:$O,2,0))</f>
        <v>781</v>
      </c>
      <c r="C9" s="171">
        <f>IF($A9="","",VLOOKUP($A9,'Annex 2 EHV charges'!$D:$O,3,0))</f>
        <v>1050000774980</v>
      </c>
      <c r="D9" s="168" t="str">
        <f>IF($A9="","",VLOOKUP($A9,'Annex 2 EHV charges'!$D:$O,4,0))</f>
        <v>LIGHTSOURCE SPV 15 LIMITED</v>
      </c>
      <c r="E9" s="173" t="str">
        <f>IFERROR(IF(VLOOKUP($A9,'Annex 2 EHV charges'!$D:$O,9,FALSE)=0,"",VLOOKUP($A9,'Annex 2 EHV charges'!$D:$O,9,FALSE)),"")</f>
        <v/>
      </c>
      <c r="F9" s="174">
        <f>IFERROR(IF(VLOOKUP($A9,'Annex 2 EHV charges'!$D:$O,10,FALSE)=0,"",VLOOKUP($A9,'Annex 2 EHV charges'!$D:$O,10,FALSE)),"")</f>
        <v>1114.99</v>
      </c>
      <c r="G9" s="175">
        <f>IFERROR(IF(VLOOKUP($A9,'Annex 2 EHV charges'!$D:$O,11,FALSE)=0,"",VLOOKUP($A9,'Annex 2 EHV charges'!$D:$O,11,FALSE)),"")</f>
        <v>0.05</v>
      </c>
      <c r="H9" s="175">
        <f>IFERROR(IF(VLOOKUP($A9,'Annex 2 EHV charges'!$D:$O,12,FALSE)=0,"",VLOOKUP($A9,'Annex 2 EHV charges'!$D:$O,12,FALSE)),"")</f>
        <v>0.05</v>
      </c>
    </row>
    <row r="10" spans="1:15" ht="33.75" customHeight="1" x14ac:dyDescent="0.35">
      <c r="A10" s="172" t="str">
        <f t="array" ref="A10">IFERROR(INDEX('Annex 2 EHV charges'!$D$11:$D$218, MATCH(0, IF(ISBLANK('Annex 2 EHV charges'!$D$11:$D$218),1, COUNTIF(A$4:$A9, 'Annex 2 EHV charges'!$D$11:$D$218)), 0)),"")</f>
        <v>BARNFM</v>
      </c>
      <c r="B10" s="170">
        <f>IF($A10="","",VLOOKUP($A10,'Annex 2 EHV charges'!$D:$O,2,0))</f>
        <v>797</v>
      </c>
      <c r="C10" s="171">
        <f>IF($A10="","",VLOOKUP($A10,'Annex 2 EHV charges'!$D:$O,3,0))</f>
        <v>1050000775005</v>
      </c>
      <c r="D10" s="168" t="str">
        <f>IF($A10="","",VLOOKUP($A10,'Annex 2 EHV charges'!$D:$O,4,0))</f>
        <v>BARN FARM SOLAR</v>
      </c>
      <c r="E10" s="173" t="str">
        <f>IFERROR(IF(VLOOKUP($A10,'Annex 2 EHV charges'!$D:$O,9,FALSE)=0,"",VLOOKUP($A10,'Annex 2 EHV charges'!$D:$O,9,FALSE)),"")</f>
        <v/>
      </c>
      <c r="F10" s="174">
        <f>IFERROR(IF(VLOOKUP($A10,'Annex 2 EHV charges'!$D:$O,10,FALSE)=0,"",VLOOKUP($A10,'Annex 2 EHV charges'!$D:$O,10,FALSE)),"")</f>
        <v>1875.31</v>
      </c>
      <c r="G10" s="175">
        <f>IFERROR(IF(VLOOKUP($A10,'Annex 2 EHV charges'!$D:$O,11,FALSE)=0,"",VLOOKUP($A10,'Annex 2 EHV charges'!$D:$O,11,FALSE)),"")</f>
        <v>0.05</v>
      </c>
      <c r="H10" s="175">
        <f>IFERROR(IF(VLOOKUP($A10,'Annex 2 EHV charges'!$D:$O,12,FALSE)=0,"",VLOOKUP($A10,'Annex 2 EHV charges'!$D:$O,12,FALSE)),"")</f>
        <v>0.05</v>
      </c>
    </row>
    <row r="11" spans="1:15" ht="33.75" customHeight="1" x14ac:dyDescent="0.35">
      <c r="A11" s="172" t="str">
        <f t="array" ref="A11">IFERROR(INDEX('Annex 2 EHV charges'!$D$11:$D$218, MATCH(0, IF(ISBLANK('Annex 2 EHV charges'!$D$11:$D$218),1, COUNTIF(A$4:$A10, 'Annex 2 EHV charges'!$D$11:$D$218)), 0)),"")</f>
        <v>BAYFMS</v>
      </c>
      <c r="B11" s="170">
        <f>IF($A11="","",VLOOKUP($A11,'Annex 2 EHV charges'!$D:$O,2,0))</f>
        <v>745</v>
      </c>
      <c r="C11" s="171">
        <f>IF($A11="","",VLOOKUP($A11,'Annex 2 EHV charges'!$D:$O,3,0))</f>
        <v>1050000579327</v>
      </c>
      <c r="D11" s="168" t="str">
        <f>IF($A11="","",VLOOKUP($A11,'Annex 2 EHV charges'!$D:$O,4,0))</f>
        <v>BAY FARM IMPORT</v>
      </c>
      <c r="E11" s="173" t="str">
        <f>IFERROR(IF(VLOOKUP($A11,'Annex 2 EHV charges'!$D:$O,9,FALSE)=0,"",VLOOKUP($A11,'Annex 2 EHV charges'!$D:$O,9,FALSE)),"")</f>
        <v/>
      </c>
      <c r="F11" s="174">
        <f>IFERROR(IF(VLOOKUP($A11,'Annex 2 EHV charges'!$D:$O,10,FALSE)=0,"",VLOOKUP($A11,'Annex 2 EHV charges'!$D:$O,10,FALSE)),"")</f>
        <v>2551.06</v>
      </c>
      <c r="G11" s="175">
        <f>IFERROR(IF(VLOOKUP($A11,'Annex 2 EHV charges'!$D:$O,11,FALSE)=0,"",VLOOKUP($A11,'Annex 2 EHV charges'!$D:$O,11,FALSE)),"")</f>
        <v>0.05</v>
      </c>
      <c r="H11" s="175">
        <f>IFERROR(IF(VLOOKUP($A11,'Annex 2 EHV charges'!$D:$O,12,FALSE)=0,"",VLOOKUP($A11,'Annex 2 EHV charges'!$D:$O,12,FALSE)),"")</f>
        <v>0.05</v>
      </c>
    </row>
    <row r="12" spans="1:15" ht="33.75" customHeight="1" x14ac:dyDescent="0.35">
      <c r="A12" s="172" t="str">
        <f t="array" ref="A12">IFERROR(INDEX('Annex 2 EHV charges'!$D$11:$D$218, MATCH(0, IF(ISBLANK('Annex 2 EHV charges'!$D$11:$D$218),1, COUNTIF(A$4:$A11, 'Annex 2 EHV charges'!$D$11:$D$218)), 0)),"")</f>
        <v>BDGHSE</v>
      </c>
      <c r="B12" s="170">
        <f>IF($A12="","",VLOOKUP($A12,'Annex 2 EHV charges'!$D:$O,2,0))</f>
        <v>782</v>
      </c>
      <c r="C12" s="171">
        <f>IF($A12="","",VLOOKUP($A12,'Annex 2 EHV charges'!$D:$O,3,0))</f>
        <v>1050000669539</v>
      </c>
      <c r="D12" s="168" t="str">
        <f>IF($A12="","",VLOOKUP($A12,'Annex 2 EHV charges'!$D:$O,4,0))</f>
        <v>BOARDINGHOUSE WINDFARM LIMITED</v>
      </c>
      <c r="E12" s="173" t="str">
        <f>IFERROR(IF(VLOOKUP($A12,'Annex 2 EHV charges'!$D:$O,9,FALSE)=0,"",VLOOKUP($A12,'Annex 2 EHV charges'!$D:$O,9,FALSE)),"")</f>
        <v/>
      </c>
      <c r="F12" s="174">
        <f>IFERROR(IF(VLOOKUP($A12,'Annex 2 EHV charges'!$D:$O,10,FALSE)=0,"",VLOOKUP($A12,'Annex 2 EHV charges'!$D:$O,10,FALSE)),"")</f>
        <v>1052.2</v>
      </c>
      <c r="G12" s="175">
        <f>IFERROR(IF(VLOOKUP($A12,'Annex 2 EHV charges'!$D:$O,11,FALSE)=0,"",VLOOKUP($A12,'Annex 2 EHV charges'!$D:$O,11,FALSE)),"")</f>
        <v>0.05</v>
      </c>
      <c r="H12" s="175">
        <f>IFERROR(IF(VLOOKUP($A12,'Annex 2 EHV charges'!$D:$O,12,FALSE)=0,"",VLOOKUP($A12,'Annex 2 EHV charges'!$D:$O,12,FALSE)),"")</f>
        <v>0.05</v>
      </c>
    </row>
    <row r="13" spans="1:15" ht="33.75" customHeight="1" x14ac:dyDescent="0.35">
      <c r="A13" s="172" t="str">
        <f t="array" ref="A13">IFERROR(INDEX('Annex 2 EHV charges'!$D$11:$D$218, MATCH(0, IF(ISBLANK('Annex 2 EHV charges'!$D$11:$D$218),1, COUNTIF(A$4:$A12, 'Annex 2 EHV charges'!$D$11:$D$218)), 0)),"")</f>
        <v>BDWLWF</v>
      </c>
      <c r="B13" s="170">
        <f>IF($A13="","",VLOOKUP($A13,'Annex 2 EHV charges'!$D:$O,2,0))</f>
        <v>734</v>
      </c>
      <c r="C13" s="171">
        <f>IF($A13="","",VLOOKUP($A13,'Annex 2 EHV charges'!$D:$O,3,0))</f>
        <v>1030082700647</v>
      </c>
      <c r="D13" s="168" t="str">
        <f>IF($A13="","",VLOOKUP($A13,'Annex 2 EHV charges'!$D:$O,4,0))</f>
        <v>RWE INNOGY UK LIMITED</v>
      </c>
      <c r="E13" s="173" t="str">
        <f>IFERROR(IF(VLOOKUP($A13,'Annex 2 EHV charges'!$D:$O,9,FALSE)=0,"",VLOOKUP($A13,'Annex 2 EHV charges'!$D:$O,9,FALSE)),"")</f>
        <v/>
      </c>
      <c r="F13" s="174">
        <f>IFERROR(IF(VLOOKUP($A13,'Annex 2 EHV charges'!$D:$O,10,FALSE)=0,"",VLOOKUP($A13,'Annex 2 EHV charges'!$D:$O,10,FALSE)),"")</f>
        <v>3938.04</v>
      </c>
      <c r="G13" s="175">
        <f>IFERROR(IF(VLOOKUP($A13,'Annex 2 EHV charges'!$D:$O,11,FALSE)=0,"",VLOOKUP($A13,'Annex 2 EHV charges'!$D:$O,11,FALSE)),"")</f>
        <v>0.05</v>
      </c>
      <c r="H13" s="175">
        <f>IFERROR(IF(VLOOKUP($A13,'Annex 2 EHV charges'!$D:$O,12,FALSE)=0,"",VLOOKUP($A13,'Annex 2 EHV charges'!$D:$O,12,FALSE)),"")</f>
        <v>0.05</v>
      </c>
    </row>
    <row r="14" spans="1:15" ht="33.75" customHeight="1" x14ac:dyDescent="0.35">
      <c r="A14" s="172" t="str">
        <f t="array" ref="A14">IFERROR(INDEX('Annex 2 EHV charges'!$D$11:$D$218, MATCH(0, IF(ISBLANK('Annex 2 EHV charges'!$D$11:$D$218),1, COUNTIF(A$4:$A13, 'Annex 2 EHV charges'!$D$11:$D$218)), 0)),"")</f>
        <v>BGWDWF</v>
      </c>
      <c r="B14" s="170">
        <f>IF($A14="","",VLOOKUP($A14,'Annex 2 EHV charges'!$D:$O,2,0))</f>
        <v>746</v>
      </c>
      <c r="C14" s="171">
        <f>IF($A14="","",VLOOKUP($A14,'Annex 2 EHV charges'!$D:$O,3,0))</f>
        <v>1030083931142</v>
      </c>
      <c r="D14" s="168" t="str">
        <f>IF($A14="","",VLOOKUP($A14,'Annex 2 EHV charges'!$D:$O,4,0))</f>
        <v>BIGGLESWADE WIND FARM LIMITED</v>
      </c>
      <c r="E14" s="173" t="str">
        <f>IFERROR(IF(VLOOKUP($A14,'Annex 2 EHV charges'!$D:$O,9,FALSE)=0,"",VLOOKUP($A14,'Annex 2 EHV charges'!$D:$O,9,FALSE)),"")</f>
        <v/>
      </c>
      <c r="F14" s="174">
        <f>IFERROR(IF(VLOOKUP($A14,'Annex 2 EHV charges'!$D:$O,10,FALSE)=0,"",VLOOKUP($A14,'Annex 2 EHV charges'!$D:$O,10,FALSE)),"")</f>
        <v>278.25</v>
      </c>
      <c r="G14" s="175">
        <f>IFERROR(IF(VLOOKUP($A14,'Annex 2 EHV charges'!$D:$O,11,FALSE)=0,"",VLOOKUP($A14,'Annex 2 EHV charges'!$D:$O,11,FALSE)),"")</f>
        <v>0.05</v>
      </c>
      <c r="H14" s="175">
        <f>IFERROR(IF(VLOOKUP($A14,'Annex 2 EHV charges'!$D:$O,12,FALSE)=0,"",VLOOKUP($A14,'Annex 2 EHV charges'!$D:$O,12,FALSE)),"")</f>
        <v>0.05</v>
      </c>
    </row>
    <row r="15" spans="1:15" ht="33.75" customHeight="1" x14ac:dyDescent="0.35">
      <c r="A15" s="172" t="str">
        <f t="array" ref="A15">IFERROR(INDEX('Annex 2 EHV charges'!$D$11:$D$218, MATCH(0, IF(ISBLANK('Annex 2 EHV charges'!$D$11:$D$218),1, COUNTIF(A$4:$A14, 'Annex 2 EHV charges'!$D$11:$D$218)), 0)),"")</f>
        <v>BLGTSF</v>
      </c>
      <c r="B15" s="170">
        <f>IF($A15="","",VLOOKUP($A15,'Annex 2 EHV charges'!$D:$O,2,0))</f>
        <v>466</v>
      </c>
      <c r="C15" s="171">
        <f>IF($A15="","",VLOOKUP($A15,'Annex 2 EHV charges'!$D:$O,3,0))</f>
        <v>1050000769048</v>
      </c>
      <c r="D15" s="168" t="str">
        <f>IF($A15="","",VLOOKUP($A15,'Annex 2 EHV charges'!$D:$O,4,0))</f>
        <v>SOLAR CENTURY</v>
      </c>
      <c r="E15" s="173" t="str">
        <f>IFERROR(IF(VLOOKUP($A15,'Annex 2 EHV charges'!$D:$O,9,FALSE)=0,"",VLOOKUP($A15,'Annex 2 EHV charges'!$D:$O,9,FALSE)),"")</f>
        <v/>
      </c>
      <c r="F15" s="174">
        <f>IFERROR(IF(VLOOKUP($A15,'Annex 2 EHV charges'!$D:$O,10,FALSE)=0,"",VLOOKUP($A15,'Annex 2 EHV charges'!$D:$O,10,FALSE)),"")</f>
        <v>1117.5899999999999</v>
      </c>
      <c r="G15" s="175">
        <f>IFERROR(IF(VLOOKUP($A15,'Annex 2 EHV charges'!$D:$O,11,FALSE)=0,"",VLOOKUP($A15,'Annex 2 EHV charges'!$D:$O,11,FALSE)),"")</f>
        <v>0.05</v>
      </c>
      <c r="H15" s="175">
        <f>IFERROR(IF(VLOOKUP($A15,'Annex 2 EHV charges'!$D:$O,12,FALSE)=0,"",VLOOKUP($A15,'Annex 2 EHV charges'!$D:$O,12,FALSE)),"")</f>
        <v>0.05</v>
      </c>
    </row>
    <row r="16" spans="1:15" ht="33.75" customHeight="1" x14ac:dyDescent="0.35">
      <c r="A16" s="172" t="str">
        <f t="array" ref="A16">IFERROR(INDEX('Annex 2 EHV charges'!$D$11:$D$218, MATCH(0, IF(ISBLANK('Annex 2 EHV charges'!$D$11:$D$218),1, COUNTIF(A$4:$A15, 'Annex 2 EHV charges'!$D$11:$D$218)), 0)),"")</f>
        <v>BOXTED</v>
      </c>
      <c r="B16" s="170">
        <f>IF($A16="","",VLOOKUP($A16,'Annex 2 EHV charges'!$D:$O,2,0))</f>
        <v>783</v>
      </c>
      <c r="C16" s="171">
        <f>IF($A16="","",VLOOKUP($A16,'Annex 2 EHV charges'!$D:$O,3,0))</f>
        <v>1050000774289</v>
      </c>
      <c r="D16" s="168" t="str">
        <f>IF($A16="","",VLOOKUP($A16,'Annex 2 EHV charges'!$D:$O,4,0))</f>
        <v>PUSH ENERGY (BOXTED AIRFIELD) LIMITED</v>
      </c>
      <c r="E16" s="173" t="str">
        <f>IFERROR(IF(VLOOKUP($A16,'Annex 2 EHV charges'!$D:$O,9,FALSE)=0,"",VLOOKUP($A16,'Annex 2 EHV charges'!$D:$O,9,FALSE)),"")</f>
        <v/>
      </c>
      <c r="F16" s="174">
        <f>IFERROR(IF(VLOOKUP($A16,'Annex 2 EHV charges'!$D:$O,10,FALSE)=0,"",VLOOKUP($A16,'Annex 2 EHV charges'!$D:$O,10,FALSE)),"")</f>
        <v>952.82</v>
      </c>
      <c r="G16" s="175">
        <f>IFERROR(IF(VLOOKUP($A16,'Annex 2 EHV charges'!$D:$O,11,FALSE)=0,"",VLOOKUP($A16,'Annex 2 EHV charges'!$D:$O,11,FALSE)),"")</f>
        <v>0.05</v>
      </c>
      <c r="H16" s="175">
        <f>IFERROR(IF(VLOOKUP($A16,'Annex 2 EHV charges'!$D:$O,12,FALSE)=0,"",VLOOKUP($A16,'Annex 2 EHV charges'!$D:$O,12,FALSE)),"")</f>
        <v>0.05</v>
      </c>
    </row>
    <row r="17" spans="1:8" ht="33.75" customHeight="1" x14ac:dyDescent="0.35">
      <c r="A17" s="172" t="str">
        <f t="array" ref="A17">IFERROR(INDEX('Annex 2 EHV charges'!$D$11:$D$218, MATCH(0, IF(ISBLANK('Annex 2 EHV charges'!$D$11:$D$218),1, COUNTIF(A$4:$A16, 'Annex 2 EHV charges'!$D$11:$D$218)), 0)),"")</f>
        <v>BRCHGP</v>
      </c>
      <c r="B17" s="170">
        <f>IF($A17="","",VLOOKUP($A17,'Annex 2 EHV charges'!$D:$O,2,0))</f>
        <v>457</v>
      </c>
      <c r="C17" s="171">
        <f>IF($A17="","",VLOOKUP($A17,'Annex 2 EHV charges'!$D:$O,3,0))</f>
        <v>1050000961965</v>
      </c>
      <c r="D17" s="168" t="str">
        <f>IF($A17="","",VLOOKUP($A17,'Annex 2 EHV charges'!$D:$O,4,0))</f>
        <v>BIRCH GRAVEL PIT SOLAR</v>
      </c>
      <c r="E17" s="173" t="str">
        <f>IFERROR(IF(VLOOKUP($A17,'Annex 2 EHV charges'!$D:$O,9,FALSE)=0,"",VLOOKUP($A17,'Annex 2 EHV charges'!$D:$O,9,FALSE)),"")</f>
        <v/>
      </c>
      <c r="F17" s="174">
        <f>IFERROR(IF(VLOOKUP($A17,'Annex 2 EHV charges'!$D:$O,10,FALSE)=0,"",VLOOKUP($A17,'Annex 2 EHV charges'!$D:$O,10,FALSE)),"")</f>
        <v>2688.79</v>
      </c>
      <c r="G17" s="175">
        <f>IFERROR(IF(VLOOKUP($A17,'Annex 2 EHV charges'!$D:$O,11,FALSE)=0,"",VLOOKUP($A17,'Annex 2 EHV charges'!$D:$O,11,FALSE)),"")</f>
        <v>0.05</v>
      </c>
      <c r="H17" s="175">
        <f>IFERROR(IF(VLOOKUP($A17,'Annex 2 EHV charges'!$D:$O,12,FALSE)=0,"",VLOOKUP($A17,'Annex 2 EHV charges'!$D:$O,12,FALSE)),"")</f>
        <v>0.05</v>
      </c>
    </row>
    <row r="18" spans="1:8" ht="33.75" customHeight="1" x14ac:dyDescent="0.35">
      <c r="A18" s="172" t="str">
        <f t="array" ref="A18">IFERROR(INDEX('Annex 2 EHV charges'!$D$11:$D$218, MATCH(0, IF(ISBLANK('Annex 2 EHV charges'!$D$11:$D$218),1, COUNTIF(A$4:$A17, 'Annex 2 EHV charges'!$D$11:$D$218)), 0)),"")</f>
        <v>BROXSF</v>
      </c>
      <c r="B18" s="170">
        <f>IF($A18="","",VLOOKUP($A18,'Annex 2 EHV charges'!$D:$O,2,0))</f>
        <v>747</v>
      </c>
      <c r="C18" s="171">
        <f>IF($A18="","",VLOOKUP($A18,'Annex 2 EHV charges'!$D:$O,3,0))</f>
        <v>1030085039971</v>
      </c>
      <c r="D18" s="168" t="str">
        <f>IF($A18="","",VLOOKUP($A18,'Annex 2 EHV charges'!$D:$O,4,0))</f>
        <v>BROXTED SOLAR CO LTD</v>
      </c>
      <c r="E18" s="173" t="str">
        <f>IFERROR(IF(VLOOKUP($A18,'Annex 2 EHV charges'!$D:$O,9,FALSE)=0,"",VLOOKUP($A18,'Annex 2 EHV charges'!$D:$O,9,FALSE)),"")</f>
        <v/>
      </c>
      <c r="F18" s="174">
        <f>IFERROR(IF(VLOOKUP($A18,'Annex 2 EHV charges'!$D:$O,10,FALSE)=0,"",VLOOKUP($A18,'Annex 2 EHV charges'!$D:$O,10,FALSE)),"")</f>
        <v>2574.65</v>
      </c>
      <c r="G18" s="175">
        <f>IFERROR(IF(VLOOKUP($A18,'Annex 2 EHV charges'!$D:$O,11,FALSE)=0,"",VLOOKUP($A18,'Annex 2 EHV charges'!$D:$O,11,FALSE)),"")</f>
        <v>0.05</v>
      </c>
      <c r="H18" s="175">
        <f>IFERROR(IF(VLOOKUP($A18,'Annex 2 EHV charges'!$D:$O,12,FALSE)=0,"",VLOOKUP($A18,'Annex 2 EHV charges'!$D:$O,12,FALSE)),"")</f>
        <v>0.05</v>
      </c>
    </row>
    <row r="19" spans="1:8" ht="33.75" customHeight="1" x14ac:dyDescent="0.35">
      <c r="A19" s="172" t="str">
        <f t="array" ref="A19">IFERROR(INDEX('Annex 2 EHV charges'!$D$11:$D$218, MATCH(0, IF(ISBLANK('Annex 2 EHV charges'!$D$11:$D$218),1, COUNTIF(A$4:$A18, 'Annex 2 EHV charges'!$D$11:$D$218)), 0)),"")</f>
        <v>BRTHS2</v>
      </c>
      <c r="B19" s="170">
        <f>IF($A19="","",VLOOKUP($A19,'Annex 2 EHV charges'!$D:$O,2,0))</f>
        <v>785</v>
      </c>
      <c r="C19" s="171">
        <f>IF($A19="","",VLOOKUP($A19,'Annex 2 EHV charges'!$D:$O,3,0))</f>
        <v>1050000773842</v>
      </c>
      <c r="D19" s="168" t="str">
        <f>IF($A19="","",VLOOKUP($A19,'Annex 2 EHV charges'!$D:$O,4,0))</f>
        <v>BURNTHOUSE SOLAR LIMITED</v>
      </c>
      <c r="E19" s="173" t="str">
        <f>IFERROR(IF(VLOOKUP($A19,'Annex 2 EHV charges'!$D:$O,9,FALSE)=0,"",VLOOKUP($A19,'Annex 2 EHV charges'!$D:$O,9,FALSE)),"")</f>
        <v/>
      </c>
      <c r="F19" s="174">
        <f>IFERROR(IF(VLOOKUP($A19,'Annex 2 EHV charges'!$D:$O,10,FALSE)=0,"",VLOOKUP($A19,'Annex 2 EHV charges'!$D:$O,10,FALSE)),"")</f>
        <v>254.51</v>
      </c>
      <c r="G19" s="175">
        <f>IFERROR(IF(VLOOKUP($A19,'Annex 2 EHV charges'!$D:$O,11,FALSE)=0,"",VLOOKUP($A19,'Annex 2 EHV charges'!$D:$O,11,FALSE)),"")</f>
        <v>0.05</v>
      </c>
      <c r="H19" s="175">
        <f>IFERROR(IF(VLOOKUP($A19,'Annex 2 EHV charges'!$D:$O,12,FALSE)=0,"",VLOOKUP($A19,'Annex 2 EHV charges'!$D:$O,12,FALSE)),"")</f>
        <v>0.05</v>
      </c>
    </row>
    <row r="20" spans="1:8" ht="33.75" customHeight="1" x14ac:dyDescent="0.35">
      <c r="A20" s="172" t="str">
        <f t="array" ref="A20">IFERROR(INDEX('Annex 2 EHV charges'!$D$11:$D$218, MATCH(0, IF(ISBLANK('Annex 2 EHV charges'!$D$11:$D$218),1, COUNTIF(A$4:$A19, 'Annex 2 EHV charges'!$D$11:$D$218)), 0)),"")</f>
        <v>BRTHSS</v>
      </c>
      <c r="B20" s="170">
        <f>IF($A20="","",VLOOKUP($A20,'Annex 2 EHV charges'!$D:$O,2,0))</f>
        <v>735</v>
      </c>
      <c r="C20" s="171">
        <f>IF($A20="","",VLOOKUP($A20,'Annex 2 EHV charges'!$D:$O,3,0))</f>
        <v>1030083941034</v>
      </c>
      <c r="D20" s="168" t="str">
        <f>IF($A20="","",VLOOKUP($A20,'Annex 2 EHV charges'!$D:$O,4,0))</f>
        <v>TURVES SOLAR LTD</v>
      </c>
      <c r="E20" s="173" t="str">
        <f>IFERROR(IF(VLOOKUP($A20,'Annex 2 EHV charges'!$D:$O,9,FALSE)=0,"",VLOOKUP($A20,'Annex 2 EHV charges'!$D:$O,9,FALSE)),"")</f>
        <v/>
      </c>
      <c r="F20" s="174">
        <f>IFERROR(IF(VLOOKUP($A20,'Annex 2 EHV charges'!$D:$O,10,FALSE)=0,"",VLOOKUP($A20,'Annex 2 EHV charges'!$D:$O,10,FALSE)),"")</f>
        <v>252.96</v>
      </c>
      <c r="G20" s="175">
        <f>IFERROR(IF(VLOOKUP($A20,'Annex 2 EHV charges'!$D:$O,11,FALSE)=0,"",VLOOKUP($A20,'Annex 2 EHV charges'!$D:$O,11,FALSE)),"")</f>
        <v>0.05</v>
      </c>
      <c r="H20" s="175">
        <f>IFERROR(IF(VLOOKUP($A20,'Annex 2 EHV charges'!$D:$O,12,FALSE)=0,"",VLOOKUP($A20,'Annex 2 EHV charges'!$D:$O,12,FALSE)),"")</f>
        <v>0.05</v>
      </c>
    </row>
    <row r="21" spans="1:8" ht="33.75" customHeight="1" x14ac:dyDescent="0.35">
      <c r="A21" s="172" t="str">
        <f t="array" ref="A21">IFERROR(INDEX('Annex 2 EHV charges'!$D$11:$D$218, MATCH(0, IF(ISBLANK('Annex 2 EHV charges'!$D$11:$D$218),1, COUNTIF(A$4:$A20, 'Annex 2 EHV charges'!$D$11:$D$218)), 0)),"")</f>
        <v>BRTHSW</v>
      </c>
      <c r="B21" s="170">
        <f>IF($A21="","",VLOOKUP($A21,'Annex 2 EHV charges'!$D:$O,2,0))</f>
        <v>748</v>
      </c>
      <c r="C21" s="171">
        <f>IF($A21="","",VLOOKUP($A21,'Annex 2 EHV charges'!$D:$O,3,0))</f>
        <v>1030083917802</v>
      </c>
      <c r="D21" s="168" t="str">
        <f>IF($A21="","",VLOOKUP($A21,'Annex 2 EHV charges'!$D:$O,4,0))</f>
        <v>REG BURNHOUSE FARM LTD</v>
      </c>
      <c r="E21" s="173" t="str">
        <f>IFERROR(IF(VLOOKUP($A21,'Annex 2 EHV charges'!$D:$O,9,FALSE)=0,"",VLOOKUP($A21,'Annex 2 EHV charges'!$D:$O,9,FALSE)),"")</f>
        <v/>
      </c>
      <c r="F21" s="174">
        <f>IFERROR(IF(VLOOKUP($A21,'Annex 2 EHV charges'!$D:$O,10,FALSE)=0,"",VLOOKUP($A21,'Annex 2 EHV charges'!$D:$O,10,FALSE)),"")</f>
        <v>248.54</v>
      </c>
      <c r="G21" s="175">
        <f>IFERROR(IF(VLOOKUP($A21,'Annex 2 EHV charges'!$D:$O,11,FALSE)=0,"",VLOOKUP($A21,'Annex 2 EHV charges'!$D:$O,11,FALSE)),"")</f>
        <v>0.05</v>
      </c>
      <c r="H21" s="175">
        <f>IFERROR(IF(VLOOKUP($A21,'Annex 2 EHV charges'!$D:$O,12,FALSE)=0,"",VLOOKUP($A21,'Annex 2 EHV charges'!$D:$O,12,FALSE)),"")</f>
        <v>0.05</v>
      </c>
    </row>
    <row r="22" spans="1:8" ht="33.75" customHeight="1" x14ac:dyDescent="0.35">
      <c r="A22" s="172" t="str">
        <f t="array" ref="A22">IFERROR(INDEX('Annex 2 EHV charges'!$D$11:$D$218, MATCH(0, IF(ISBLANK('Annex 2 EHV charges'!$D$11:$D$218),1, COUNTIF(A$4:$A21, 'Annex 2 EHV charges'!$D$11:$D$218)), 0)),"")</f>
        <v>BS_BUR</v>
      </c>
      <c r="B22" s="170">
        <f>IF($A22="","",VLOOKUP($A22,'Annex 2 EHV charges'!$D:$O,2,0))</f>
        <v>700</v>
      </c>
      <c r="C22" s="171">
        <f>IF($A22="","",VLOOKUP($A22,'Annex 2 EHV charges'!$D:$O,3,0))</f>
        <v>1023485782546</v>
      </c>
      <c r="D22" s="168" t="str">
        <f>IF($A22="","",VLOOKUP($A22,'Annex 2 EHV charges'!$D:$O,4,0))</f>
        <v>ASSOCIATED BRITISH FOODS PLC</v>
      </c>
      <c r="E22" s="173">
        <f>IFERROR(IF(VLOOKUP($A22,'Annex 2 EHV charges'!$D:$O,9,FALSE)=0,"",VLOOKUP($A22,'Annex 2 EHV charges'!$D:$O,9,FALSE)),"")</f>
        <v>-2.113</v>
      </c>
      <c r="F22" s="174">
        <f>IFERROR(IF(VLOOKUP($A22,'Annex 2 EHV charges'!$D:$O,10,FALSE)=0,"",VLOOKUP($A22,'Annex 2 EHV charges'!$D:$O,10,FALSE)),"")</f>
        <v>448.87</v>
      </c>
      <c r="G22" s="175">
        <f>IFERROR(IF(VLOOKUP($A22,'Annex 2 EHV charges'!$D:$O,11,FALSE)=0,"",VLOOKUP($A22,'Annex 2 EHV charges'!$D:$O,11,FALSE)),"")</f>
        <v>0.05</v>
      </c>
      <c r="H22" s="175">
        <f>IFERROR(IF(VLOOKUP($A22,'Annex 2 EHV charges'!$D:$O,12,FALSE)=0,"",VLOOKUP($A22,'Annex 2 EHV charges'!$D:$O,12,FALSE)),"")</f>
        <v>0.05</v>
      </c>
    </row>
    <row r="23" spans="1:8" ht="33.75" customHeight="1" x14ac:dyDescent="0.35">
      <c r="A23" s="172" t="str">
        <f t="array" ref="A23">IFERROR(INDEX('Annex 2 EHV charges'!$D$11:$D$218, MATCH(0, IF(ISBLANK('Annex 2 EHV charges'!$D$11:$D$218),1, COUNTIF(A$4:$A22, 'Annex 2 EHV charges'!$D$11:$D$218)), 0)),"")</f>
        <v>BS_WIS</v>
      </c>
      <c r="B23" s="170">
        <f>IF($A23="","",VLOOKUP($A23,'Annex 2 EHV charges'!$D:$O,2,0))</f>
        <v>719</v>
      </c>
      <c r="C23" s="171">
        <f>IF($A23="","",VLOOKUP($A23,'Annex 2 EHV charges'!$D:$O,3,0))</f>
        <v>1023470427970</v>
      </c>
      <c r="D23" s="168" t="str">
        <f>IF($A23="","",VLOOKUP($A23,'Annex 2 EHV charges'!$D:$O,4,0))</f>
        <v>ASSOCIATED BRITISH FOODS PLC</v>
      </c>
      <c r="E23" s="173">
        <f>IFERROR(IF(VLOOKUP($A23,'Annex 2 EHV charges'!$D:$O,9,FALSE)=0,"",VLOOKUP($A23,'Annex 2 EHV charges'!$D:$O,9,FALSE)),"")</f>
        <v>-0.997</v>
      </c>
      <c r="F23" s="174">
        <f>IFERROR(IF(VLOOKUP($A23,'Annex 2 EHV charges'!$D:$O,10,FALSE)=0,"",VLOOKUP($A23,'Annex 2 EHV charges'!$D:$O,10,FALSE)),"")</f>
        <v>230.21</v>
      </c>
      <c r="G23" s="175">
        <f>IFERROR(IF(VLOOKUP($A23,'Annex 2 EHV charges'!$D:$O,11,FALSE)=0,"",VLOOKUP($A23,'Annex 2 EHV charges'!$D:$O,11,FALSE)),"")</f>
        <v>0.05</v>
      </c>
      <c r="H23" s="175">
        <f>IFERROR(IF(VLOOKUP($A23,'Annex 2 EHV charges'!$D:$O,12,FALSE)=0,"",VLOOKUP($A23,'Annex 2 EHV charges'!$D:$O,12,FALSE)),"")</f>
        <v>0.05</v>
      </c>
    </row>
    <row r="24" spans="1:8" ht="33.75" customHeight="1" x14ac:dyDescent="0.35">
      <c r="A24" s="172" t="str">
        <f t="array" ref="A24">IFERROR(INDEX('Annex 2 EHV charges'!$D$11:$D$218, MATCH(0, IF(ISBLANK('Annex 2 EHV charges'!$D$11:$D$218),1, COUNTIF(A$4:$A23, 'Annex 2 EHV charges'!$D$11:$D$218)), 0)),"")</f>
        <v>BSBURY</v>
      </c>
      <c r="B24" s="170">
        <f>IF($A24="","",VLOOKUP($A24,'Annex 2 EHV charges'!$D:$O,2,0))</f>
        <v>797</v>
      </c>
      <c r="C24" s="171">
        <f>IF($A24="","",VLOOKUP($A24,'Annex 2 EHV charges'!$D:$O,3,0))</f>
        <v>1050000914900</v>
      </c>
      <c r="D24" s="168" t="str">
        <f>IF($A24="","",VLOOKUP($A24,'Annex 2 EHV charges'!$D:$O,4,0))</f>
        <v>ASSOCIATED BRITISH FOODS PLC</v>
      </c>
      <c r="E24" s="173">
        <f>IFERROR(IF(VLOOKUP($A24,'Annex 2 EHV charges'!$D:$O,9,FALSE)=0,"",VLOOKUP($A24,'Annex 2 EHV charges'!$D:$O,9,FALSE)),"")</f>
        <v>-2.113</v>
      </c>
      <c r="F24" s="174">
        <f>IFERROR(IF(VLOOKUP($A24,'Annex 2 EHV charges'!$D:$O,10,FALSE)=0,"",VLOOKUP($A24,'Annex 2 EHV charges'!$D:$O,10,FALSE)),"")</f>
        <v>232.53</v>
      </c>
      <c r="G24" s="175">
        <f>IFERROR(IF(VLOOKUP($A24,'Annex 2 EHV charges'!$D:$O,11,FALSE)=0,"",VLOOKUP($A24,'Annex 2 EHV charges'!$D:$O,11,FALSE)),"")</f>
        <v>0.05</v>
      </c>
      <c r="H24" s="175">
        <f>IFERROR(IF(VLOOKUP($A24,'Annex 2 EHV charges'!$D:$O,12,FALSE)=0,"",VLOOKUP($A24,'Annex 2 EHV charges'!$D:$O,12,FALSE)),"")</f>
        <v>0.05</v>
      </c>
    </row>
    <row r="25" spans="1:8" ht="33.75" customHeight="1" x14ac:dyDescent="0.35">
      <c r="A25" s="172" t="str">
        <f t="array" ref="A25">IFERROR(INDEX('Annex 2 EHV charges'!$D$11:$D$218, MATCH(0, IF(ISBLANK('Annex 2 EHV charges'!$D$11:$D$218),1, COUNTIF(A$4:$A24, 'Annex 2 EHV charges'!$D$11:$D$218)), 0)),"")</f>
        <v>BSGBRN</v>
      </c>
      <c r="B25" s="170">
        <f>IF($A25="","",VLOOKUP($A25,'Annex 2 EHV charges'!$D:$O,2,0))</f>
        <v>784</v>
      </c>
      <c r="C25" s="171">
        <f>IF($A25="","",VLOOKUP($A25,'Annex 2 EHV charges'!$D:$O,3,0))</f>
        <v>1050000773860</v>
      </c>
      <c r="D25" s="168" t="str">
        <f>IF($A25="","",VLOOKUP($A25,'Annex 2 EHV charges'!$D:$O,4,0))</f>
        <v>PUSH ENERGY (BASSINGBOURN)</v>
      </c>
      <c r="E25" s="173" t="str">
        <f>IFERROR(IF(VLOOKUP($A25,'Annex 2 EHV charges'!$D:$O,9,FALSE)=0,"",VLOOKUP($A25,'Annex 2 EHV charges'!$D:$O,9,FALSE)),"")</f>
        <v/>
      </c>
      <c r="F25" s="174">
        <f>IFERROR(IF(VLOOKUP($A25,'Annex 2 EHV charges'!$D:$O,10,FALSE)=0,"",VLOOKUP($A25,'Annex 2 EHV charges'!$D:$O,10,FALSE)),"")</f>
        <v>1533.09</v>
      </c>
      <c r="G25" s="175">
        <f>IFERROR(IF(VLOOKUP($A25,'Annex 2 EHV charges'!$D:$O,11,FALSE)=0,"",VLOOKUP($A25,'Annex 2 EHV charges'!$D:$O,11,FALSE)),"")</f>
        <v>0.05</v>
      </c>
      <c r="H25" s="175">
        <f>IFERROR(IF(VLOOKUP($A25,'Annex 2 EHV charges'!$D:$O,12,FALSE)=0,"",VLOOKUP($A25,'Annex 2 EHV charges'!$D:$O,12,FALSE)),"")</f>
        <v>0.05</v>
      </c>
    </row>
    <row r="26" spans="1:8" ht="33.75" customHeight="1" x14ac:dyDescent="0.35">
      <c r="A26" s="172" t="str">
        <f t="array" ref="A26">IFERROR(INDEX('Annex 2 EHV charges'!$D$11:$D$218, MATCH(0, IF(ISBLANK('Annex 2 EHV charges'!$D$11:$D$218),1, COUNTIF(A$4:$A25, 'Annex 2 EHV charges'!$D$11:$D$218)), 0)),"")</f>
        <v>BURYLN</v>
      </c>
      <c r="B26" s="170">
        <f>IF($A26="","",VLOOKUP($A26,'Annex 2 EHV charges'!$D:$O,2,0))</f>
        <v>786</v>
      </c>
      <c r="C26" s="171">
        <f>IF($A26="","",VLOOKUP($A26,'Annex 2 EHV charges'!$D:$O,3,0))</f>
        <v>1050000729667</v>
      </c>
      <c r="D26" s="168" t="str">
        <f>IF($A26="","",VLOOKUP($A26,'Annex 2 EHV charges'!$D:$O,4,0))</f>
        <v>SE BURY LANE SOLAR LTD</v>
      </c>
      <c r="E26" s="173" t="str">
        <f>IFERROR(IF(VLOOKUP($A26,'Annex 2 EHV charges'!$D:$O,9,FALSE)=0,"",VLOOKUP($A26,'Annex 2 EHV charges'!$D:$O,9,FALSE)),"")</f>
        <v/>
      </c>
      <c r="F26" s="174">
        <f>IFERROR(IF(VLOOKUP($A26,'Annex 2 EHV charges'!$D:$O,10,FALSE)=0,"",VLOOKUP($A26,'Annex 2 EHV charges'!$D:$O,10,FALSE)),"")</f>
        <v>519.83000000000004</v>
      </c>
      <c r="G26" s="175">
        <f>IFERROR(IF(VLOOKUP($A26,'Annex 2 EHV charges'!$D:$O,11,FALSE)=0,"",VLOOKUP($A26,'Annex 2 EHV charges'!$D:$O,11,FALSE)),"")</f>
        <v>0.05</v>
      </c>
      <c r="H26" s="175">
        <f>IFERROR(IF(VLOOKUP($A26,'Annex 2 EHV charges'!$D:$O,12,FALSE)=0,"",VLOOKUP($A26,'Annex 2 EHV charges'!$D:$O,12,FALSE)),"")</f>
        <v>0.05</v>
      </c>
    </row>
    <row r="27" spans="1:8" ht="33.75" customHeight="1" x14ac:dyDescent="0.35">
      <c r="A27" s="172" t="str">
        <f t="array" ref="A27">IFERROR(INDEX('Annex 2 EHV charges'!$D$11:$D$218, MATCH(0, IF(ISBLANK('Annex 2 EHV charges'!$D$11:$D$218),1, COUNTIF(A$4:$A26, 'Annex 2 EHV charges'!$D$11:$D$218)), 0)),"")</f>
        <v>CANTSF</v>
      </c>
      <c r="B27" s="170">
        <f>IF($A27="","",VLOOKUP($A27,'Annex 2 EHV charges'!$D:$O,2,0))</f>
        <v>749</v>
      </c>
      <c r="C27" s="171">
        <f>IF($A27="","",VLOOKUP($A27,'Annex 2 EHV charges'!$D:$O,3,0))</f>
        <v>1030081926920</v>
      </c>
      <c r="D27" s="168" t="str">
        <f>IF($A27="","",VLOOKUP($A27,'Annex 2 EHV charges'!$D:$O,4,0))</f>
        <v>HASLINGFIELD SOLAR PARK LIMITED</v>
      </c>
      <c r="E27" s="173" t="str">
        <f>IFERROR(IF(VLOOKUP($A27,'Annex 2 EHV charges'!$D:$O,9,FALSE)=0,"",VLOOKUP($A27,'Annex 2 EHV charges'!$D:$O,9,FALSE)),"")</f>
        <v/>
      </c>
      <c r="F27" s="174">
        <f>IFERROR(IF(VLOOKUP($A27,'Annex 2 EHV charges'!$D:$O,10,FALSE)=0,"",VLOOKUP($A27,'Annex 2 EHV charges'!$D:$O,10,FALSE)),"")</f>
        <v>1160.6500000000001</v>
      </c>
      <c r="G27" s="175">
        <f>IFERROR(IF(VLOOKUP($A27,'Annex 2 EHV charges'!$D:$O,11,FALSE)=0,"",VLOOKUP($A27,'Annex 2 EHV charges'!$D:$O,11,FALSE)),"")</f>
        <v>0.05</v>
      </c>
      <c r="H27" s="175">
        <f>IFERROR(IF(VLOOKUP($A27,'Annex 2 EHV charges'!$D:$O,12,FALSE)=0,"",VLOOKUP($A27,'Annex 2 EHV charges'!$D:$O,12,FALSE)),"")</f>
        <v>0.05</v>
      </c>
    </row>
    <row r="28" spans="1:8" ht="33.75" customHeight="1" x14ac:dyDescent="0.35">
      <c r="A28" s="172" t="str">
        <f t="array" ref="A28">IFERROR(INDEX('Annex 2 EHV charges'!$D$11:$D$218, MATCH(0, IF(ISBLANK('Annex 2 EHV charges'!$D$11:$D$218),1, COUNTIF(A$4:$A27, 'Annex 2 EHV charges'!$D$11:$D$218)), 0)),"")</f>
        <v>CHEDSF</v>
      </c>
      <c r="B28" s="170">
        <f>IF($A28="","",VLOOKUP($A28,'Annex 2 EHV charges'!$D:$O,2,0))</f>
        <v>750</v>
      </c>
      <c r="C28" s="171">
        <f>IF($A28="","",VLOOKUP($A28,'Annex 2 EHV charges'!$D:$O,3,0))</f>
        <v>1030083806256</v>
      </c>
      <c r="D28" s="168" t="str">
        <f>IF($A28="","",VLOOKUP($A28,'Annex 2 EHV charges'!$D:$O,4,0))</f>
        <v>ADALINDA SOLAR SPV1 LTD</v>
      </c>
      <c r="E28" s="173" t="str">
        <f>IFERROR(IF(VLOOKUP($A28,'Annex 2 EHV charges'!$D:$O,9,FALSE)=0,"",VLOOKUP($A28,'Annex 2 EHV charges'!$D:$O,9,FALSE)),"")</f>
        <v/>
      </c>
      <c r="F28" s="174">
        <f>IFERROR(IF(VLOOKUP($A28,'Annex 2 EHV charges'!$D:$O,10,FALSE)=0,"",VLOOKUP($A28,'Annex 2 EHV charges'!$D:$O,10,FALSE)),"")</f>
        <v>1020.54</v>
      </c>
      <c r="G28" s="175">
        <f>IFERROR(IF(VLOOKUP($A28,'Annex 2 EHV charges'!$D:$O,11,FALSE)=0,"",VLOOKUP($A28,'Annex 2 EHV charges'!$D:$O,11,FALSE)),"")</f>
        <v>0.05</v>
      </c>
      <c r="H28" s="175">
        <f>IFERROR(IF(VLOOKUP($A28,'Annex 2 EHV charges'!$D:$O,12,FALSE)=0,"",VLOOKUP($A28,'Annex 2 EHV charges'!$D:$O,12,FALSE)),"")</f>
        <v>0.05</v>
      </c>
    </row>
    <row r="29" spans="1:8" ht="33.75" customHeight="1" x14ac:dyDescent="0.35">
      <c r="A29" s="172" t="str">
        <f t="array" ref="A29">IFERROR(INDEX('Annex 2 EHV charges'!$D$11:$D$218, MATCH(0, IF(ISBLANK('Annex 2 EHV charges'!$D$11:$D$218),1, COUNTIF(A$4:$A28, 'Annex 2 EHV charges'!$D$11:$D$218)), 0)),"")</f>
        <v>CHFARM</v>
      </c>
      <c r="B29" s="170">
        <f>IF($A29="","",VLOOKUP($A29,'Annex 2 EHV charges'!$D:$O,2,0))</f>
        <v>797</v>
      </c>
      <c r="C29" s="171">
        <f>IF($A29="","",VLOOKUP($A29,'Annex 2 EHV charges'!$D:$O,3,0))</f>
        <v>1050000961992</v>
      </c>
      <c r="D29" s="168" t="str">
        <f>IF($A29="","",VLOOKUP($A29,'Annex 2 EHV charges'!$D:$O,4,0))</f>
        <v>CHURCH FARM SOLAR</v>
      </c>
      <c r="E29" s="173" t="str">
        <f>IFERROR(IF(VLOOKUP($A29,'Annex 2 EHV charges'!$D:$O,9,FALSE)=0,"",VLOOKUP($A29,'Annex 2 EHV charges'!$D:$O,9,FALSE)),"")</f>
        <v/>
      </c>
      <c r="F29" s="174">
        <f>IFERROR(IF(VLOOKUP($A29,'Annex 2 EHV charges'!$D:$O,10,FALSE)=0,"",VLOOKUP($A29,'Annex 2 EHV charges'!$D:$O,10,FALSE)),"")</f>
        <v>2531.48</v>
      </c>
      <c r="G29" s="175">
        <f>IFERROR(IF(VLOOKUP($A29,'Annex 2 EHV charges'!$D:$O,11,FALSE)=0,"",VLOOKUP($A29,'Annex 2 EHV charges'!$D:$O,11,FALSE)),"")</f>
        <v>0.05</v>
      </c>
      <c r="H29" s="175">
        <f>IFERROR(IF(VLOOKUP($A29,'Annex 2 EHV charges'!$D:$O,12,FALSE)=0,"",VLOOKUP($A29,'Annex 2 EHV charges'!$D:$O,12,FALSE)),"")</f>
        <v>0.05</v>
      </c>
    </row>
    <row r="30" spans="1:8" ht="33.75" customHeight="1" x14ac:dyDescent="0.35">
      <c r="A30" s="172" t="str">
        <f t="array" ref="A30">IFERROR(INDEX('Annex 2 EHV charges'!$D$11:$D$218, MATCH(0, IF(ISBLANK('Annex 2 EHV charges'!$D$11:$D$218),1, COUNTIF(A$4:$A29, 'Annex 2 EHV charges'!$D$11:$D$218)), 0)),"")</f>
        <v>CHPLOW</v>
      </c>
      <c r="B30" s="170">
        <f>IF($A30="","",VLOOKUP($A30,'Annex 2 EHV charges'!$D:$O,2,0))</f>
        <v>797</v>
      </c>
      <c r="C30" s="171">
        <f>IF($A30="","",VLOOKUP($A30,'Annex 2 EHV charges'!$D:$O,3,0))</f>
        <v>1050000948031</v>
      </c>
      <c r="D30" s="168" t="str">
        <f>IF($A30="","",VLOOKUP($A30,'Annex 2 EHV charges'!$D:$O,4,0))</f>
        <v>CHIPLOW WIND FARM</v>
      </c>
      <c r="E30" s="173" t="str">
        <f>IFERROR(IF(VLOOKUP($A30,'Annex 2 EHV charges'!$D:$O,9,FALSE)=0,"",VLOOKUP($A30,'Annex 2 EHV charges'!$D:$O,9,FALSE)),"")</f>
        <v/>
      </c>
      <c r="F30" s="174">
        <f>IFERROR(IF(VLOOKUP($A30,'Annex 2 EHV charges'!$D:$O,10,FALSE)=0,"",VLOOKUP($A30,'Annex 2 EHV charges'!$D:$O,10,FALSE)),"")</f>
        <v>3587.35</v>
      </c>
      <c r="G30" s="175">
        <f>IFERROR(IF(VLOOKUP($A30,'Annex 2 EHV charges'!$D:$O,11,FALSE)=0,"",VLOOKUP($A30,'Annex 2 EHV charges'!$D:$O,11,FALSE)),"")</f>
        <v>0.05</v>
      </c>
      <c r="H30" s="175">
        <f>IFERROR(IF(VLOOKUP($A30,'Annex 2 EHV charges'!$D:$O,12,FALSE)=0,"",VLOOKUP($A30,'Annex 2 EHV charges'!$D:$O,12,FALSE)),"")</f>
        <v>0.05</v>
      </c>
    </row>
    <row r="31" spans="1:8" ht="33.75" customHeight="1" x14ac:dyDescent="0.35">
      <c r="A31" s="172" t="str">
        <f t="array" ref="A31">IFERROR(INDEX('Annex 2 EHV charges'!$D$11:$D$218, MATCH(0, IF(ISBLANK('Annex 2 EHV charges'!$D$11:$D$218),1, COUNTIF(A$4:$A30, 'Annex 2 EHV charges'!$D$11:$D$218)), 0)),"")</f>
        <v>CLTSHL</v>
      </c>
      <c r="B31" s="170">
        <f>IF($A31="","",VLOOKUP($A31,'Annex 2 EHV charges'!$D:$O,2,0))</f>
        <v>467</v>
      </c>
      <c r="C31" s="171">
        <f>IF($A31="","",VLOOKUP($A31,'Annex 2 EHV charges'!$D:$O,3,0))</f>
        <v>1050000841926</v>
      </c>
      <c r="D31" s="168" t="str">
        <f>IF($A31="","",VLOOKUP($A31,'Annex 2 EHV charges'!$D:$O,4,0))</f>
        <v>SCOTTOW MOOR SOLAR LIMITED</v>
      </c>
      <c r="E31" s="173" t="str">
        <f>IFERROR(IF(VLOOKUP($A31,'Annex 2 EHV charges'!$D:$O,9,FALSE)=0,"",VLOOKUP($A31,'Annex 2 EHV charges'!$D:$O,9,FALSE)),"")</f>
        <v/>
      </c>
      <c r="F31" s="174">
        <f>IFERROR(IF(VLOOKUP($A31,'Annex 2 EHV charges'!$D:$O,10,FALSE)=0,"",VLOOKUP($A31,'Annex 2 EHV charges'!$D:$O,10,FALSE)),"")</f>
        <v>339.5</v>
      </c>
      <c r="G31" s="175">
        <f>IFERROR(IF(VLOOKUP($A31,'Annex 2 EHV charges'!$D:$O,11,FALSE)=0,"",VLOOKUP($A31,'Annex 2 EHV charges'!$D:$O,11,FALSE)),"")</f>
        <v>0.05</v>
      </c>
      <c r="H31" s="175">
        <f>IFERROR(IF(VLOOKUP($A31,'Annex 2 EHV charges'!$D:$O,12,FALSE)=0,"",VLOOKUP($A31,'Annex 2 EHV charges'!$D:$O,12,FALSE)),"")</f>
        <v>0.05</v>
      </c>
    </row>
    <row r="32" spans="1:8" ht="33.75" customHeight="1" x14ac:dyDescent="0.35">
      <c r="A32" s="172" t="str">
        <f t="array" ref="A32">IFERROR(INDEX('Annex 2 EHV charges'!$D$11:$D$218, MATCH(0, IF(ISBLANK('Annex 2 EHV charges'!$D$11:$D$218),1, COUNTIF(A$4:$A31, 'Annex 2 EHV charges'!$D$11:$D$218)), 0)),"")</f>
        <v>CROYDN</v>
      </c>
      <c r="B32" s="170">
        <f>IF($A32="","",VLOOKUP($A32,'Annex 2 EHV charges'!$D:$O,2,0))</f>
        <v>787</v>
      </c>
      <c r="C32" s="171">
        <f>IF($A32="","",VLOOKUP($A32,'Annex 2 EHV charges'!$D:$O,3,0))</f>
        <v>1050000808868</v>
      </c>
      <c r="D32" s="168" t="str">
        <f>IF($A32="","",VLOOKUP($A32,'Annex 2 EHV charges'!$D:$O,4,0))</f>
        <v>PUSH ENERGY (CROYDON) LIMITED</v>
      </c>
      <c r="E32" s="173" t="str">
        <f>IFERROR(IF(VLOOKUP($A32,'Annex 2 EHV charges'!$D:$O,9,FALSE)=0,"",VLOOKUP($A32,'Annex 2 EHV charges'!$D:$O,9,FALSE)),"")</f>
        <v/>
      </c>
      <c r="F32" s="174">
        <f>IFERROR(IF(VLOOKUP($A32,'Annex 2 EHV charges'!$D:$O,10,FALSE)=0,"",VLOOKUP($A32,'Annex 2 EHV charges'!$D:$O,10,FALSE)),"")</f>
        <v>897.75</v>
      </c>
      <c r="G32" s="175">
        <f>IFERROR(IF(VLOOKUP($A32,'Annex 2 EHV charges'!$D:$O,11,FALSE)=0,"",VLOOKUP($A32,'Annex 2 EHV charges'!$D:$O,11,FALSE)),"")</f>
        <v>0.05</v>
      </c>
      <c r="H32" s="175">
        <f>IFERROR(IF(VLOOKUP($A32,'Annex 2 EHV charges'!$D:$O,12,FALSE)=0,"",VLOOKUP($A32,'Annex 2 EHV charges'!$D:$O,12,FALSE)),"")</f>
        <v>0.05</v>
      </c>
    </row>
    <row r="33" spans="1:8" ht="33.75" customHeight="1" x14ac:dyDescent="0.35">
      <c r="A33" s="172" t="str">
        <f t="array" ref="A33">IFERROR(INDEX('Annex 2 EHV charges'!$D$11:$D$218, MATCH(0, IF(ISBLANK('Annex 2 EHV charges'!$D$11:$D$218),1, COUNTIF(A$4:$A32, 'Annex 2 EHV charges'!$D$11:$D$218)), 0)),"")</f>
        <v>CTWDFM</v>
      </c>
      <c r="B33" s="170">
        <f>IF($A33="","",VLOOKUP($A33,'Annex 2 EHV charges'!$D:$O,2,0))</f>
        <v>736</v>
      </c>
      <c r="C33" s="171">
        <f>IF($A33="","",VLOOKUP($A33,'Annex 2 EHV charges'!$D:$O,3,0))</f>
        <v>1030079564823</v>
      </c>
      <c r="D33" s="168" t="str">
        <f>IF($A33="","",VLOOKUP($A33,'Annex 2 EHV charges'!$D:$O,4,0))</f>
        <v>COTTON FARM WIND FARM LIMITED</v>
      </c>
      <c r="E33" s="173" t="str">
        <f>IFERROR(IF(VLOOKUP($A33,'Annex 2 EHV charges'!$D:$O,9,FALSE)=0,"",VLOOKUP($A33,'Annex 2 EHV charges'!$D:$O,9,FALSE)),"")</f>
        <v/>
      </c>
      <c r="F33" s="174">
        <f>IFERROR(IF(VLOOKUP($A33,'Annex 2 EHV charges'!$D:$O,10,FALSE)=0,"",VLOOKUP($A33,'Annex 2 EHV charges'!$D:$O,10,FALSE)),"")</f>
        <v>942.44</v>
      </c>
      <c r="G33" s="175">
        <f>IFERROR(IF(VLOOKUP($A33,'Annex 2 EHV charges'!$D:$O,11,FALSE)=0,"",VLOOKUP($A33,'Annex 2 EHV charges'!$D:$O,11,FALSE)),"")</f>
        <v>0.05</v>
      </c>
      <c r="H33" s="175">
        <f>IFERROR(IF(VLOOKUP($A33,'Annex 2 EHV charges'!$D:$O,12,FALSE)=0,"",VLOOKUP($A33,'Annex 2 EHV charges'!$D:$O,12,FALSE)),"")</f>
        <v>0.05</v>
      </c>
    </row>
    <row r="34" spans="1:8" ht="33.75" customHeight="1" x14ac:dyDescent="0.35">
      <c r="A34" s="172" t="str">
        <f t="array" ref="A34">IFERROR(INDEX('Annex 2 EHV charges'!$D$11:$D$218, MATCH(0, IF(ISBLANK('Annex 2 EHV charges'!$D$11:$D$218),1, COUNTIF(A$4:$A33, 'Annex 2 EHV charges'!$D$11:$D$218)), 0)),"")</f>
        <v>DBLANE</v>
      </c>
      <c r="B34" s="170">
        <f>IF($A34="","",VLOOKUP($A34,'Annex 2 EHV charges'!$D:$O,2,0))</f>
        <v>752</v>
      </c>
      <c r="C34" s="171">
        <f>IF($A34="","",VLOOKUP($A34,'Annex 2 EHV charges'!$D:$O,3,0))</f>
        <v>1050000612940</v>
      </c>
      <c r="D34" s="168" t="str">
        <f>IF($A34="","",VLOOKUP($A34,'Annex 2 EHV charges'!$D:$O,4,0))</f>
        <v>SOLAR WOODWALTON LIMITED</v>
      </c>
      <c r="E34" s="173" t="str">
        <f>IFERROR(IF(VLOOKUP($A34,'Annex 2 EHV charges'!$D:$O,9,FALSE)=0,"",VLOOKUP($A34,'Annex 2 EHV charges'!$D:$O,9,FALSE)),"")</f>
        <v/>
      </c>
      <c r="F34" s="174">
        <f>IFERROR(IF(VLOOKUP($A34,'Annex 2 EHV charges'!$D:$O,10,FALSE)=0,"",VLOOKUP($A34,'Annex 2 EHV charges'!$D:$O,10,FALSE)),"")</f>
        <v>1383.04</v>
      </c>
      <c r="G34" s="175">
        <f>IFERROR(IF(VLOOKUP($A34,'Annex 2 EHV charges'!$D:$O,11,FALSE)=0,"",VLOOKUP($A34,'Annex 2 EHV charges'!$D:$O,11,FALSE)),"")</f>
        <v>0.05</v>
      </c>
      <c r="H34" s="175">
        <f>IFERROR(IF(VLOOKUP($A34,'Annex 2 EHV charges'!$D:$O,12,FALSE)=0,"",VLOOKUP($A34,'Annex 2 EHV charges'!$D:$O,12,FALSE)),"")</f>
        <v>0.05</v>
      </c>
    </row>
    <row r="35" spans="1:8" ht="33.75" customHeight="1" x14ac:dyDescent="0.35">
      <c r="A35" s="172" t="str">
        <f t="array" ref="A35">IFERROR(INDEX('Annex 2 EHV charges'!$D$11:$D$218, MATCH(0, IF(ISBLANK('Annex 2 EHV charges'!$D$11:$D$218),1, COUNTIF(A$4:$A34, 'Annex 2 EHV charges'!$D$11:$D$218)), 0)),"")</f>
        <v>DRAPER</v>
      </c>
      <c r="B35" s="170">
        <f>IF($A35="","",VLOOKUP($A35,'Annex 2 EHV charges'!$D:$O,2,0))</f>
        <v>753</v>
      </c>
      <c r="C35" s="171">
        <f>IF($A35="","",VLOOKUP($A35,'Annex 2 EHV charges'!$D:$O,3,0))</f>
        <v>1050000581441</v>
      </c>
      <c r="D35" s="168" t="str">
        <f>IF($A35="","",VLOOKUP($A35,'Annex 2 EHV charges'!$D:$O,4,0))</f>
        <v>DRAPERS FARM SOLAR</v>
      </c>
      <c r="E35" s="173" t="str">
        <f>IFERROR(IF(VLOOKUP($A35,'Annex 2 EHV charges'!$D:$O,9,FALSE)=0,"",VLOOKUP($A35,'Annex 2 EHV charges'!$D:$O,9,FALSE)),"")</f>
        <v/>
      </c>
      <c r="F35" s="174">
        <f>IFERROR(IF(VLOOKUP($A35,'Annex 2 EHV charges'!$D:$O,10,FALSE)=0,"",VLOOKUP($A35,'Annex 2 EHV charges'!$D:$O,10,FALSE)),"")</f>
        <v>529.54999999999995</v>
      </c>
      <c r="G35" s="175">
        <f>IFERROR(IF(VLOOKUP($A35,'Annex 2 EHV charges'!$D:$O,11,FALSE)=0,"",VLOOKUP($A35,'Annex 2 EHV charges'!$D:$O,11,FALSE)),"")</f>
        <v>0.05</v>
      </c>
      <c r="H35" s="175">
        <f>IFERROR(IF(VLOOKUP($A35,'Annex 2 EHV charges'!$D:$O,12,FALSE)=0,"",VLOOKUP($A35,'Annex 2 EHV charges'!$D:$O,12,FALSE)),"")</f>
        <v>0.05</v>
      </c>
    </row>
    <row r="36" spans="1:8" ht="33.75" customHeight="1" x14ac:dyDescent="0.35">
      <c r="A36" s="172" t="str">
        <f t="array" ref="A36">IFERROR(INDEX('Annex 2 EHV charges'!$D$11:$D$218, MATCH(0, IF(ISBLANK('Annex 2 EHV charges'!$D$11:$D$218),1, COUNTIF(A$4:$A35, 'Annex 2 EHV charges'!$D$11:$D$218)), 0)),"")</f>
        <v>DRYHSE</v>
      </c>
      <c r="B36" s="170">
        <f>IF($A36="","",VLOOKUP($A36,'Annex 2 EHV charges'!$D:$O,2,0))</f>
        <v>751</v>
      </c>
      <c r="C36" s="171">
        <f>IF($A36="","",VLOOKUP($A36,'Annex 2 EHV charges'!$D:$O,3,0))</f>
        <v>1050000609380</v>
      </c>
      <c r="D36" s="168" t="str">
        <f>IF($A36="","",VLOOKUP($A36,'Annex 2 EHV charges'!$D:$O,4,0))</f>
        <v>SUNSAVE 25 (WIX LODGE FARM) LIMITED</v>
      </c>
      <c r="E36" s="173" t="str">
        <f>IFERROR(IF(VLOOKUP($A36,'Annex 2 EHV charges'!$D:$O,9,FALSE)=0,"",VLOOKUP($A36,'Annex 2 EHV charges'!$D:$O,9,FALSE)),"")</f>
        <v/>
      </c>
      <c r="F36" s="174">
        <f>IFERROR(IF(VLOOKUP($A36,'Annex 2 EHV charges'!$D:$O,10,FALSE)=0,"",VLOOKUP($A36,'Annex 2 EHV charges'!$D:$O,10,FALSE)),"")</f>
        <v>561.41</v>
      </c>
      <c r="G36" s="175">
        <f>IFERROR(IF(VLOOKUP($A36,'Annex 2 EHV charges'!$D:$O,11,FALSE)=0,"",VLOOKUP($A36,'Annex 2 EHV charges'!$D:$O,11,FALSE)),"")</f>
        <v>0.05</v>
      </c>
      <c r="H36" s="175">
        <f>IFERROR(IF(VLOOKUP($A36,'Annex 2 EHV charges'!$D:$O,12,FALSE)=0,"",VLOOKUP($A36,'Annex 2 EHV charges'!$D:$O,12,FALSE)),"")</f>
        <v>0.05</v>
      </c>
    </row>
    <row r="37" spans="1:8" ht="33.75" customHeight="1" x14ac:dyDescent="0.35">
      <c r="A37" s="172" t="str">
        <f t="array" ref="A37">IFERROR(INDEX('Annex 2 EHV charges'!$D$11:$D$218, MATCH(0, IF(ISBLANK('Annex 2 EHV charges'!$D$11:$D$218),1, COUNTIF(A$4:$A36, 'Annex 2 EHV charges'!$D$11:$D$218)), 0)),"")</f>
        <v>EARLHF</v>
      </c>
      <c r="B37" s="170">
        <f>IF($A37="","",VLOOKUP($A37,'Annex 2 EHV charges'!$D:$O,2,0))</f>
        <v>737</v>
      </c>
      <c r="C37" s="171">
        <f>IF($A37="","",VLOOKUP($A37,'Annex 2 EHV charges'!$D:$O,3,0))</f>
        <v>1030081316960</v>
      </c>
      <c r="D37" s="168" t="str">
        <f>IF($A37="","",VLOOKUP($A37,'Annex 2 EHV charges'!$D:$O,4,0))</f>
        <v>GEM WIND FARM 2 LIMITED</v>
      </c>
      <c r="E37" s="173" t="str">
        <f>IFERROR(IF(VLOOKUP($A37,'Annex 2 EHV charges'!$D:$O,9,FALSE)=0,"",VLOOKUP($A37,'Annex 2 EHV charges'!$D:$O,9,FALSE)),"")</f>
        <v/>
      </c>
      <c r="F37" s="174">
        <f>IFERROR(IF(VLOOKUP($A37,'Annex 2 EHV charges'!$D:$O,10,FALSE)=0,"",VLOOKUP($A37,'Annex 2 EHV charges'!$D:$O,10,FALSE)),"")</f>
        <v>355.66</v>
      </c>
      <c r="G37" s="175">
        <f>IFERROR(IF(VLOOKUP($A37,'Annex 2 EHV charges'!$D:$O,11,FALSE)=0,"",VLOOKUP($A37,'Annex 2 EHV charges'!$D:$O,11,FALSE)),"")</f>
        <v>0.05</v>
      </c>
      <c r="H37" s="175">
        <f>IFERROR(IF(VLOOKUP($A37,'Annex 2 EHV charges'!$D:$O,12,FALSE)=0,"",VLOOKUP($A37,'Annex 2 EHV charges'!$D:$O,12,FALSE)),"")</f>
        <v>0.05</v>
      </c>
    </row>
    <row r="38" spans="1:8" ht="33.75" customHeight="1" x14ac:dyDescent="0.35">
      <c r="A38" s="172" t="str">
        <f t="array" ref="A38">IFERROR(INDEX('Annex 2 EHV charges'!$D$11:$D$218, MATCH(0, IF(ISBLANK('Annex 2 EHV charges'!$D$11:$D$218),1, COUNTIF(A$4:$A37, 'Annex 2 EHV charges'!$D$11:$D$218)), 0)),"")</f>
        <v>EBCKHM</v>
      </c>
      <c r="B38" s="170">
        <f>IF($A38="","",VLOOKUP($A38,'Annex 2 EHV charges'!$D:$O,2,0))</f>
        <v>761</v>
      </c>
      <c r="C38" s="171">
        <f>IF($A38="","",VLOOKUP($A38,'Annex 2 EHV charges'!$D:$O,3,0))</f>
        <v>1050000563595</v>
      </c>
      <c r="D38" s="168" t="str">
        <f>IF($A38="","",VLOOKUP($A38,'Annex 2 EHV charges'!$D:$O,4,0))</f>
        <v>HALL SOLAR LIMITED</v>
      </c>
      <c r="E38" s="173" t="str">
        <f>IFERROR(IF(VLOOKUP($A38,'Annex 2 EHV charges'!$D:$O,9,FALSE)=0,"",VLOOKUP($A38,'Annex 2 EHV charges'!$D:$O,9,FALSE)),"")</f>
        <v/>
      </c>
      <c r="F38" s="174">
        <f>IFERROR(IF(VLOOKUP($A38,'Annex 2 EHV charges'!$D:$O,10,FALSE)=0,"",VLOOKUP($A38,'Annex 2 EHV charges'!$D:$O,10,FALSE)),"")</f>
        <v>275.02999999999997</v>
      </c>
      <c r="G38" s="175">
        <f>IFERROR(IF(VLOOKUP($A38,'Annex 2 EHV charges'!$D:$O,11,FALSE)=0,"",VLOOKUP($A38,'Annex 2 EHV charges'!$D:$O,11,FALSE)),"")</f>
        <v>0.05</v>
      </c>
      <c r="H38" s="175">
        <f>IFERROR(IF(VLOOKUP($A38,'Annex 2 EHV charges'!$D:$O,12,FALSE)=0,"",VLOOKUP($A38,'Annex 2 EHV charges'!$D:$O,12,FALSE)),"")</f>
        <v>0.05</v>
      </c>
    </row>
    <row r="39" spans="1:8" ht="33.75" customHeight="1" x14ac:dyDescent="0.35">
      <c r="A39" s="172" t="str">
        <f t="array" ref="A39">IFERROR(INDEX('Annex 2 EHV charges'!$D$11:$D$218, MATCH(0, IF(ISBLANK('Annex 2 EHV charges'!$D$11:$D$218),1, COUNTIF(A$4:$A38, 'Annex 2 EHV charges'!$D$11:$D$218)), 0)),"")</f>
        <v>EGMRSF</v>
      </c>
      <c r="B39" s="170">
        <f>IF($A39="","",VLOOKUP($A39,'Annex 2 EHV charges'!$D:$O,2,0))</f>
        <v>754</v>
      </c>
      <c r="C39" s="171">
        <f>IF($A39="","",VLOOKUP($A39,'Annex 2 EHV charges'!$D:$O,3,0))</f>
        <v>1050000567492</v>
      </c>
      <c r="D39" s="168" t="str">
        <f>IF($A39="","",VLOOKUP($A39,'Annex 2 EHV charges'!$D:$O,4,0))</f>
        <v>EGMERE AIRFIELD SOLAR PARK LIMITED</v>
      </c>
      <c r="E39" s="173" t="str">
        <f>IFERROR(IF(VLOOKUP($A39,'Annex 2 EHV charges'!$D:$O,9,FALSE)=0,"",VLOOKUP($A39,'Annex 2 EHV charges'!$D:$O,9,FALSE)),"")</f>
        <v/>
      </c>
      <c r="F39" s="174">
        <f>IFERROR(IF(VLOOKUP($A39,'Annex 2 EHV charges'!$D:$O,10,FALSE)=0,"",VLOOKUP($A39,'Annex 2 EHV charges'!$D:$O,10,FALSE)),"")</f>
        <v>537.53</v>
      </c>
      <c r="G39" s="175">
        <f>IFERROR(IF(VLOOKUP($A39,'Annex 2 EHV charges'!$D:$O,11,FALSE)=0,"",VLOOKUP($A39,'Annex 2 EHV charges'!$D:$O,11,FALSE)),"")</f>
        <v>0.05</v>
      </c>
      <c r="H39" s="175">
        <f>IFERROR(IF(VLOOKUP($A39,'Annex 2 EHV charges'!$D:$O,12,FALSE)=0,"",VLOOKUP($A39,'Annex 2 EHV charges'!$D:$O,12,FALSE)),"")</f>
        <v>0.05</v>
      </c>
    </row>
    <row r="40" spans="1:8" ht="33.75" customHeight="1" x14ac:dyDescent="0.35">
      <c r="A40" s="172" t="str">
        <f t="array" ref="A40">IFERROR(INDEX('Annex 2 EHV charges'!$D$11:$D$218, MATCH(0, IF(ISBLANK('Annex 2 EHV charges'!$D$11:$D$218),1, COUNTIF(A$4:$A39, 'Annex 2 EHV charges'!$D$11:$D$218)), 0)),"")</f>
        <v>ELLOSF</v>
      </c>
      <c r="B40" s="170">
        <f>IF($A40="","",VLOOKUP($A40,'Annex 2 EHV charges'!$D:$O,2,0))</f>
        <v>755</v>
      </c>
      <c r="C40" s="171">
        <f>IF($A40="","",VLOOKUP($A40,'Annex 2 EHV charges'!$D:$O,3,0))</f>
        <v>1050000612870</v>
      </c>
      <c r="D40" s="168" t="str">
        <f>IF($A40="","",VLOOKUP($A40,'Annex 2 EHV charges'!$D:$O,4,0))</f>
        <v>ELLOUGH SOLAR LLP</v>
      </c>
      <c r="E40" s="173" t="str">
        <f>IFERROR(IF(VLOOKUP($A40,'Annex 2 EHV charges'!$D:$O,9,FALSE)=0,"",VLOOKUP($A40,'Annex 2 EHV charges'!$D:$O,9,FALSE)),"")</f>
        <v/>
      </c>
      <c r="F40" s="174">
        <f>IFERROR(IF(VLOOKUP($A40,'Annex 2 EHV charges'!$D:$O,10,FALSE)=0,"",VLOOKUP($A40,'Annex 2 EHV charges'!$D:$O,10,FALSE)),"")</f>
        <v>1075.75</v>
      </c>
      <c r="G40" s="175">
        <f>IFERROR(IF(VLOOKUP($A40,'Annex 2 EHV charges'!$D:$O,11,FALSE)=0,"",VLOOKUP($A40,'Annex 2 EHV charges'!$D:$O,11,FALSE)),"")</f>
        <v>0.05</v>
      </c>
      <c r="H40" s="175">
        <f>IFERROR(IF(VLOOKUP($A40,'Annex 2 EHV charges'!$D:$O,12,FALSE)=0,"",VLOOKUP($A40,'Annex 2 EHV charges'!$D:$O,12,FALSE)),"")</f>
        <v>0.05</v>
      </c>
    </row>
    <row r="41" spans="1:8" ht="33.75" customHeight="1" x14ac:dyDescent="0.35">
      <c r="A41" s="172" t="str">
        <f t="array" ref="A41">IFERROR(INDEX('Annex 2 EHV charges'!$D$11:$D$218, MATCH(0, IF(ISBLANK('Annex 2 EHV charges'!$D$11:$D$218),1, COUNTIF(A$4:$A40, 'Annex 2 EHV charges'!$D$11:$D$218)), 0)),"")</f>
        <v>ELSAGE</v>
      </c>
      <c r="B41" s="170">
        <f>IF($A41="","",VLOOKUP($A41,'Annex 2 EHV charges'!$D:$O,2,0))</f>
        <v>797</v>
      </c>
      <c r="C41" s="171">
        <f>IF($A41="","",VLOOKUP($A41,'Annex 2 EHV charges'!$D:$O,3,0))</f>
        <v>1050000923677</v>
      </c>
      <c r="D41" s="168" t="str">
        <f>IF($A41="","",VLOOKUP($A41,'Annex 2 EHV charges'!$D:$O,4,0))</f>
        <v>MAGNETAR SOLAR (UK) LTD</v>
      </c>
      <c r="E41" s="173" t="str">
        <f>IFERROR(IF(VLOOKUP($A41,'Annex 2 EHV charges'!$D:$O,9,FALSE)=0,"",VLOOKUP($A41,'Annex 2 EHV charges'!$D:$O,9,FALSE)),"")</f>
        <v/>
      </c>
      <c r="F41" s="174">
        <f>IFERROR(IF(VLOOKUP($A41,'Annex 2 EHV charges'!$D:$O,10,FALSE)=0,"",VLOOKUP($A41,'Annex 2 EHV charges'!$D:$O,10,FALSE)),"")</f>
        <v>950.81</v>
      </c>
      <c r="G41" s="175">
        <f>IFERROR(IF(VLOOKUP($A41,'Annex 2 EHV charges'!$D:$O,11,FALSE)=0,"",VLOOKUP($A41,'Annex 2 EHV charges'!$D:$O,11,FALSE)),"")</f>
        <v>0.05</v>
      </c>
      <c r="H41" s="175">
        <f>IFERROR(IF(VLOOKUP($A41,'Annex 2 EHV charges'!$D:$O,12,FALSE)=0,"",VLOOKUP($A41,'Annex 2 EHV charges'!$D:$O,12,FALSE)),"")</f>
        <v>0.05</v>
      </c>
    </row>
    <row r="42" spans="1:8" ht="33.75" customHeight="1" x14ac:dyDescent="0.35">
      <c r="A42" s="172" t="str">
        <f t="array" ref="A42">IFERROR(INDEX('Annex 2 EHV charges'!$D$11:$D$218, MATCH(0, IF(ISBLANK('Annex 2 EHV charges'!$D$11:$D$218),1, COUNTIF(A$4:$A41, 'Annex 2 EHV charges'!$D$11:$D$218)), 0)),"")</f>
        <v>EPRSUT</v>
      </c>
      <c r="B42" s="170">
        <f>IF($A42="","",VLOOKUP($A42,'Annex 2 EHV charges'!$D:$O,2,0))</f>
        <v>705</v>
      </c>
      <c r="C42" s="171">
        <f>IF($A42="","",VLOOKUP($A42,'Annex 2 EHV charges'!$D:$O,3,0))</f>
        <v>1023503165023</v>
      </c>
      <c r="D42" s="168" t="str">
        <f>IF($A42="","",VLOOKUP($A42,'Annex 2 EHV charges'!$D:$O,4,0))</f>
        <v>ENERGY POWER RESOURCES LTD</v>
      </c>
      <c r="E42" s="173">
        <f>IFERROR(IF(VLOOKUP($A42,'Annex 2 EHV charges'!$D:$O,9,FALSE)=0,"",VLOOKUP($A42,'Annex 2 EHV charges'!$D:$O,9,FALSE)),"")</f>
        <v>-1.4239999999999999</v>
      </c>
      <c r="F42" s="174">
        <f>IFERROR(IF(VLOOKUP($A42,'Annex 2 EHV charges'!$D:$O,10,FALSE)=0,"",VLOOKUP($A42,'Annex 2 EHV charges'!$D:$O,10,FALSE)),"")</f>
        <v>1927.94</v>
      </c>
      <c r="G42" s="175">
        <f>IFERROR(IF(VLOOKUP($A42,'Annex 2 EHV charges'!$D:$O,11,FALSE)=0,"",VLOOKUP($A42,'Annex 2 EHV charges'!$D:$O,11,FALSE)),"")</f>
        <v>0.05</v>
      </c>
      <c r="H42" s="175">
        <f>IFERROR(IF(VLOOKUP($A42,'Annex 2 EHV charges'!$D:$O,12,FALSE)=0,"",VLOOKUP($A42,'Annex 2 EHV charges'!$D:$O,12,FALSE)),"")</f>
        <v>0.05</v>
      </c>
    </row>
    <row r="43" spans="1:8" ht="33.75" customHeight="1" x14ac:dyDescent="0.35">
      <c r="A43" s="172" t="str">
        <f t="array" ref="A43">IFERROR(INDEX('Annex 2 EHV charges'!$D$11:$D$218, MATCH(0, IF(ISBLANK('Annex 2 EHV charges'!$D$11:$D$218),1, COUNTIF(A$4:$A42, 'Annex 2 EHV charges'!$D$11:$D$218)), 0)),"")</f>
        <v>ESWMID</v>
      </c>
      <c r="B43" s="170">
        <f>IF($A43="","",VLOOKUP($A43,'Annex 2 EHV charges'!$D:$O,2,0))</f>
        <v>792</v>
      </c>
      <c r="C43" s="171" t="str">
        <f>IF($A43="","",VLOOKUP($A43,'Annex 2 EHV charges'!$D:$O,3,0))</f>
        <v>1023518907371
1023518908064</v>
      </c>
      <c r="D43" s="168" t="str">
        <f>IF($A43="","",VLOOKUP($A43,'Annex 2 EHV charges'!$D:$O,4,0))</f>
        <v>NORTHUMBRIAN WATER LIMITED</v>
      </c>
      <c r="E43" s="173">
        <f>IFERROR(IF(VLOOKUP($A43,'Annex 2 EHV charges'!$D:$O,9,FALSE)=0,"",VLOOKUP($A43,'Annex 2 EHV charges'!$D:$O,9,FALSE)),"")</f>
        <v>-6.7370000000000001</v>
      </c>
      <c r="F43" s="174">
        <f>IFERROR(IF(VLOOKUP($A43,'Annex 2 EHV charges'!$D:$O,10,FALSE)=0,"",VLOOKUP($A43,'Annex 2 EHV charges'!$D:$O,10,FALSE)),"")</f>
        <v>11.89</v>
      </c>
      <c r="G43" s="175">
        <f>IFERROR(IF(VLOOKUP($A43,'Annex 2 EHV charges'!$D:$O,11,FALSE)=0,"",VLOOKUP($A43,'Annex 2 EHV charges'!$D:$O,11,FALSE)),"")</f>
        <v>0.05</v>
      </c>
      <c r="H43" s="175">
        <f>IFERROR(IF(VLOOKUP($A43,'Annex 2 EHV charges'!$D:$O,12,FALSE)=0,"",VLOOKUP($A43,'Annex 2 EHV charges'!$D:$O,12,FALSE)),"")</f>
        <v>0.05</v>
      </c>
    </row>
    <row r="44" spans="1:8" ht="33.75" customHeight="1" x14ac:dyDescent="0.35">
      <c r="A44" s="172" t="str">
        <f t="array" ref="A44">IFERROR(INDEX('Annex 2 EHV charges'!$D$11:$D$218, MATCH(0, IF(ISBLANK('Annex 2 EHV charges'!$D$11:$D$218),1, COUNTIF(A$4:$A43, 'Annex 2 EHV charges'!$D$11:$D$218)), 0)),"")</f>
        <v>EUSTSF</v>
      </c>
      <c r="B44" s="170">
        <f>IF($A44="","",VLOOKUP($A44,'Annex 2 EHV charges'!$D:$O,2,0))</f>
        <v>797</v>
      </c>
      <c r="C44" s="171">
        <f>IF($A44="","",VLOOKUP($A44,'Annex 2 EHV charges'!$D:$O,3,0))</f>
        <v>1050000628170</v>
      </c>
      <c r="D44" s="168" t="str">
        <f>IF($A44="","",VLOOKUP($A44,'Annex 2 EHV charges'!$D:$O,4,0))</f>
        <v>HONINGTON IMPORT</v>
      </c>
      <c r="E44" s="173" t="str">
        <f>IFERROR(IF(VLOOKUP($A44,'Annex 2 EHV charges'!$D:$O,9,FALSE)=0,"",VLOOKUP($A44,'Annex 2 EHV charges'!$D:$O,9,FALSE)),"")</f>
        <v/>
      </c>
      <c r="F44" s="174">
        <f>IFERROR(IF(VLOOKUP($A44,'Annex 2 EHV charges'!$D:$O,10,FALSE)=0,"",VLOOKUP($A44,'Annex 2 EHV charges'!$D:$O,10,FALSE)),"")</f>
        <v>965.42</v>
      </c>
      <c r="G44" s="175">
        <f>IFERROR(IF(VLOOKUP($A44,'Annex 2 EHV charges'!$D:$O,11,FALSE)=0,"",VLOOKUP($A44,'Annex 2 EHV charges'!$D:$O,11,FALSE)),"")</f>
        <v>0.05</v>
      </c>
      <c r="H44" s="175">
        <f>IFERROR(IF(VLOOKUP($A44,'Annex 2 EHV charges'!$D:$O,12,FALSE)=0,"",VLOOKUP($A44,'Annex 2 EHV charges'!$D:$O,12,FALSE)),"")</f>
        <v>0.05</v>
      </c>
    </row>
    <row r="45" spans="1:8" ht="33.75" customHeight="1" x14ac:dyDescent="0.35">
      <c r="A45" s="172" t="str">
        <f t="array" ref="A45">IFERROR(INDEX('Annex 2 EHV charges'!$D$11:$D$218, MATCH(0, IF(ISBLANK('Annex 2 EHV charges'!$D$11:$D$218),1, COUNTIF(A$4:$A44, 'Annex 2 EHV charges'!$D$11:$D$218)), 0)),"")</f>
        <v>EXNING</v>
      </c>
      <c r="B45" s="170">
        <f>IF($A45="","",VLOOKUP($A45,'Annex 2 EHV charges'!$D:$O,2,0))</f>
        <v>788</v>
      </c>
      <c r="C45" s="171">
        <f>IF($A45="","",VLOOKUP($A45,'Annex 2 EHV charges'!$D:$O,3,0))</f>
        <v>1050000784393</v>
      </c>
      <c r="D45" s="168" t="str">
        <f>IF($A45="","",VLOOKUP($A45,'Annex 2 EHV charges'!$D:$O,4,0))</f>
        <v>DAISY NO 1 LIMITED</v>
      </c>
      <c r="E45" s="173" t="str">
        <f>IFERROR(IF(VLOOKUP($A45,'Annex 2 EHV charges'!$D:$O,9,FALSE)=0,"",VLOOKUP($A45,'Annex 2 EHV charges'!$D:$O,9,FALSE)),"")</f>
        <v/>
      </c>
      <c r="F45" s="174">
        <f>IFERROR(IF(VLOOKUP($A45,'Annex 2 EHV charges'!$D:$O,10,FALSE)=0,"",VLOOKUP($A45,'Annex 2 EHV charges'!$D:$O,10,FALSE)),"")</f>
        <v>2569.4499999999998</v>
      </c>
      <c r="G45" s="175">
        <f>IFERROR(IF(VLOOKUP($A45,'Annex 2 EHV charges'!$D:$O,11,FALSE)=0,"",VLOOKUP($A45,'Annex 2 EHV charges'!$D:$O,11,FALSE)),"")</f>
        <v>0.05</v>
      </c>
      <c r="H45" s="175">
        <f>IFERROR(IF(VLOOKUP($A45,'Annex 2 EHV charges'!$D:$O,12,FALSE)=0,"",VLOOKUP($A45,'Annex 2 EHV charges'!$D:$O,12,FALSE)),"")</f>
        <v>0.05</v>
      </c>
    </row>
    <row r="46" spans="1:8" ht="33.75" customHeight="1" x14ac:dyDescent="0.35">
      <c r="A46" s="172" t="str">
        <f t="array" ref="A46">IFERROR(INDEX('Annex 2 EHV charges'!$D$11:$D$218, MATCH(0, IF(ISBLANK('Annex 2 EHV charges'!$D$11:$D$218),1, COUNTIF(A$4:$A45, 'Annex 2 EHV charges'!$D$11:$D$218)), 0)),"")</f>
        <v>EYEWFM</v>
      </c>
      <c r="B46" s="170">
        <f>IF($A46="","",VLOOKUP($A46,'Annex 2 EHV charges'!$D:$O,2,0))</f>
        <v>757</v>
      </c>
      <c r="C46" s="171">
        <f>IF($A46="","",VLOOKUP($A46,'Annex 2 EHV charges'!$D:$O,3,0))</f>
        <v>1030085020190</v>
      </c>
      <c r="D46" s="168" t="str">
        <f>IF($A46="","",VLOOKUP($A46,'Annex 2 EHV charges'!$D:$O,4,0))</f>
        <v>EYE WIND POWER LIMITED</v>
      </c>
      <c r="E46" s="173" t="str">
        <f>IFERROR(IF(VLOOKUP($A46,'Annex 2 EHV charges'!$D:$O,9,FALSE)=0,"",VLOOKUP($A46,'Annex 2 EHV charges'!$D:$O,9,FALSE)),"")</f>
        <v/>
      </c>
      <c r="F46" s="174">
        <f>IFERROR(IF(VLOOKUP($A46,'Annex 2 EHV charges'!$D:$O,10,FALSE)=0,"",VLOOKUP($A46,'Annex 2 EHV charges'!$D:$O,10,FALSE)),"")</f>
        <v>621.58000000000004</v>
      </c>
      <c r="G46" s="175">
        <f>IFERROR(IF(VLOOKUP($A46,'Annex 2 EHV charges'!$D:$O,11,FALSE)=0,"",VLOOKUP($A46,'Annex 2 EHV charges'!$D:$O,11,FALSE)),"")</f>
        <v>0.05</v>
      </c>
      <c r="H46" s="175">
        <f>IFERROR(IF(VLOOKUP($A46,'Annex 2 EHV charges'!$D:$O,12,FALSE)=0,"",VLOOKUP($A46,'Annex 2 EHV charges'!$D:$O,12,FALSE)),"")</f>
        <v>0.05</v>
      </c>
    </row>
    <row r="47" spans="1:8" ht="33.75" customHeight="1" x14ac:dyDescent="0.35">
      <c r="A47" s="172" t="str">
        <f t="array" ref="A47">IFERROR(INDEX('Annex 2 EHV charges'!$D$11:$D$218, MATCH(0, IF(ISBLANK('Annex 2 EHV charges'!$D$11:$D$218),1, COUNTIF(A$4:$A46, 'Annex 2 EHV charges'!$D$11:$D$218)), 0)),"")</f>
        <v>FBWTHE</v>
      </c>
      <c r="B47" s="170">
        <f>IF($A47="","",VLOOKUP($A47,'Annex 2 EHV charges'!$D:$O,2,0))</f>
        <v>718</v>
      </c>
      <c r="C47" s="171">
        <f>IF($A47="","",VLOOKUP($A47,'Annex 2 EHV charges'!$D:$O,3,0))</f>
        <v>1023507304560</v>
      </c>
      <c r="D47" s="168" t="str">
        <f>IF($A47="","",VLOOKUP($A47,'Annex 2 EHV charges'!$D:$O,4,0))</f>
        <v>CEMG EXPORT PORTFOLIO</v>
      </c>
      <c r="E47" s="173">
        <f>IFERROR(IF(VLOOKUP($A47,'Annex 2 EHV charges'!$D:$O,9,FALSE)=0,"",VLOOKUP($A47,'Annex 2 EHV charges'!$D:$O,9,FALSE)),"")</f>
        <v>-5.9939999999999998</v>
      </c>
      <c r="F47" s="174">
        <f>IFERROR(IF(VLOOKUP($A47,'Annex 2 EHV charges'!$D:$O,10,FALSE)=0,"",VLOOKUP($A47,'Annex 2 EHV charges'!$D:$O,10,FALSE)),"")</f>
        <v>695.1</v>
      </c>
      <c r="G47" s="175">
        <f>IFERROR(IF(VLOOKUP($A47,'Annex 2 EHV charges'!$D:$O,11,FALSE)=0,"",VLOOKUP($A47,'Annex 2 EHV charges'!$D:$O,11,FALSE)),"")</f>
        <v>0.05</v>
      </c>
      <c r="H47" s="175">
        <f>IFERROR(IF(VLOOKUP($A47,'Annex 2 EHV charges'!$D:$O,12,FALSE)=0,"",VLOOKUP($A47,'Annex 2 EHV charges'!$D:$O,12,FALSE)),"")</f>
        <v>0.05</v>
      </c>
    </row>
    <row r="48" spans="1:8" ht="33.75" customHeight="1" x14ac:dyDescent="0.35">
      <c r="A48" s="172" t="str">
        <f t="array" ref="A48">IFERROR(INDEX('Annex 2 EHV charges'!$D$11:$D$218, MATCH(0, IF(ISBLANK('Annex 2 EHV charges'!$D$11:$D$218),1, COUNTIF(A$4:$A47, 'Annex 2 EHV charges'!$D$11:$D$218)), 0)),"")</f>
        <v>FENLND</v>
      </c>
      <c r="B48" s="170">
        <f>IF($A48="","",VLOOKUP($A48,'Annex 2 EHV charges'!$D:$O,2,0))</f>
        <v>789</v>
      </c>
      <c r="C48" s="171">
        <f>IF($A48="","",VLOOKUP($A48,'Annex 2 EHV charges'!$D:$O,3,0))</f>
        <v>1050000774172</v>
      </c>
      <c r="D48" s="168" t="str">
        <f>IF($A48="","",VLOOKUP($A48,'Annex 2 EHV charges'!$D:$O,4,0))</f>
        <v>FENLAND SOLAR FARM</v>
      </c>
      <c r="E48" s="173" t="str">
        <f>IFERROR(IF(VLOOKUP($A48,'Annex 2 EHV charges'!$D:$O,9,FALSE)=0,"",VLOOKUP($A48,'Annex 2 EHV charges'!$D:$O,9,FALSE)),"")</f>
        <v/>
      </c>
      <c r="F48" s="174">
        <f>IFERROR(IF(VLOOKUP($A48,'Annex 2 EHV charges'!$D:$O,10,FALSE)=0,"",VLOOKUP($A48,'Annex 2 EHV charges'!$D:$O,10,FALSE)),"")</f>
        <v>3450.66</v>
      </c>
      <c r="G48" s="175">
        <f>IFERROR(IF(VLOOKUP($A48,'Annex 2 EHV charges'!$D:$O,11,FALSE)=0,"",VLOOKUP($A48,'Annex 2 EHV charges'!$D:$O,11,FALSE)),"")</f>
        <v>0.05</v>
      </c>
      <c r="H48" s="175">
        <f>IFERROR(IF(VLOOKUP($A48,'Annex 2 EHV charges'!$D:$O,12,FALSE)=0,"",VLOOKUP($A48,'Annex 2 EHV charges'!$D:$O,12,FALSE)),"")</f>
        <v>0.05</v>
      </c>
    </row>
    <row r="49" spans="1:8" ht="33.75" customHeight="1" x14ac:dyDescent="0.35">
      <c r="A49" s="172" t="str">
        <f t="array" ref="A49">IFERROR(INDEX('Annex 2 EHV charges'!$D$11:$D$218, MATCH(0, IF(ISBLANK('Annex 2 EHV charges'!$D$11:$D$218),1, COUNTIF(A$4:$A48, 'Annex 2 EHV charges'!$D$11:$D$218)), 0)),"")</f>
        <v>FIBEYE</v>
      </c>
      <c r="B49" s="170">
        <f>IF($A49="","",VLOOKUP($A49,'Annex 2 EHV charges'!$D:$O,2,0))</f>
        <v>707</v>
      </c>
      <c r="C49" s="171">
        <f>IF($A49="","",VLOOKUP($A49,'Annex 2 EHV charges'!$D:$O,3,0))</f>
        <v>1023479132320</v>
      </c>
      <c r="D49" s="168" t="str">
        <f>IF($A49="","",VLOOKUP($A49,'Annex 2 EHV charges'!$D:$O,4,0))</f>
        <v>EPR EYE POWER STATION</v>
      </c>
      <c r="E49" s="173">
        <f>IFERROR(IF(VLOOKUP($A49,'Annex 2 EHV charges'!$D:$O,9,FALSE)=0,"",VLOOKUP($A49,'Annex 2 EHV charges'!$D:$O,9,FALSE)),"")</f>
        <v>-2.8719999999999999</v>
      </c>
      <c r="F49" s="174">
        <f>IFERROR(IF(VLOOKUP($A49,'Annex 2 EHV charges'!$D:$O,10,FALSE)=0,"",VLOOKUP($A49,'Annex 2 EHV charges'!$D:$O,10,FALSE)),"")</f>
        <v>300.39</v>
      </c>
      <c r="G49" s="175">
        <f>IFERROR(IF(VLOOKUP($A49,'Annex 2 EHV charges'!$D:$O,11,FALSE)=0,"",VLOOKUP($A49,'Annex 2 EHV charges'!$D:$O,11,FALSE)),"")</f>
        <v>0.05</v>
      </c>
      <c r="H49" s="175">
        <f>IFERROR(IF(VLOOKUP($A49,'Annex 2 EHV charges'!$D:$O,12,FALSE)=0,"",VLOOKUP($A49,'Annex 2 EHV charges'!$D:$O,12,FALSE)),"")</f>
        <v>0.05</v>
      </c>
    </row>
    <row r="50" spans="1:8" ht="33.75" customHeight="1" x14ac:dyDescent="0.35">
      <c r="A50" s="172" t="str">
        <f t="array" ref="A50">IFERROR(INDEX('Annex 2 EHV charges'!$D$11:$D$218, MATCH(0, IF(ISBLANK('Annex 2 EHV charges'!$D$11:$D$218),1, COUNTIF(A$4:$A49, 'Annex 2 EHV charges'!$D$11:$D$218)), 0)),"")</f>
        <v>FLYFRM</v>
      </c>
      <c r="B50" s="170">
        <f>IF($A50="","",VLOOKUP($A50,'Annex 2 EHV charges'!$D:$O,2,0))</f>
        <v>790</v>
      </c>
      <c r="C50" s="171">
        <f>IF($A50="","",VLOOKUP($A50,'Annex 2 EHV charges'!$D:$O,3,0))</f>
        <v>1050000822472</v>
      </c>
      <c r="D50" s="168" t="str">
        <f>IF($A50="","",VLOOKUP($A50,'Annex 2 EHV charges'!$D:$O,4,0))</f>
        <v>FOLLY FARM SOLAR PARK LTD</v>
      </c>
      <c r="E50" s="173" t="str">
        <f>IFERROR(IF(VLOOKUP($A50,'Annex 2 EHV charges'!$D:$O,9,FALSE)=0,"",VLOOKUP($A50,'Annex 2 EHV charges'!$D:$O,9,FALSE)),"")</f>
        <v/>
      </c>
      <c r="F50" s="174">
        <f>IFERROR(IF(VLOOKUP($A50,'Annex 2 EHV charges'!$D:$O,10,FALSE)=0,"",VLOOKUP($A50,'Annex 2 EHV charges'!$D:$O,10,FALSE)),"")</f>
        <v>1124.6500000000001</v>
      </c>
      <c r="G50" s="175">
        <f>IFERROR(IF(VLOOKUP($A50,'Annex 2 EHV charges'!$D:$O,11,FALSE)=0,"",VLOOKUP($A50,'Annex 2 EHV charges'!$D:$O,11,FALSE)),"")</f>
        <v>0.05</v>
      </c>
      <c r="H50" s="175">
        <f>IFERROR(IF(VLOOKUP($A50,'Annex 2 EHV charges'!$D:$O,12,FALSE)=0,"",VLOOKUP($A50,'Annex 2 EHV charges'!$D:$O,12,FALSE)),"")</f>
        <v>0.05</v>
      </c>
    </row>
    <row r="51" spans="1:8" ht="33.75" customHeight="1" x14ac:dyDescent="0.35">
      <c r="A51" s="172" t="str">
        <f t="array" ref="A51">IFERROR(INDEX('Annex 2 EHV charges'!$D$11:$D$218, MATCH(0, IF(ISBLANK('Annex 2 EHV charges'!$D$11:$D$218),1, COUNTIF(A$4:$A50, 'Annex 2 EHV charges'!$D$11:$D$218)), 0)),"")</f>
        <v>FWINDS</v>
      </c>
      <c r="B51" s="170">
        <f>IF($A51="","",VLOOKUP($A51,'Annex 2 EHV charges'!$D:$O,2,0))</f>
        <v>766</v>
      </c>
      <c r="C51" s="171">
        <f>IF($A51="","",VLOOKUP($A51,'Annex 2 EHV charges'!$D:$O,3,0))</f>
        <v>1050000709730</v>
      </c>
      <c r="D51" s="168" t="str">
        <f>IF($A51="","",VLOOKUP($A51,'Annex 2 EHV charges'!$D:$O,4,0))</f>
        <v>MSP FAIRWIND LIMITED</v>
      </c>
      <c r="E51" s="173" t="str">
        <f>IFERROR(IF(VLOOKUP($A51,'Annex 2 EHV charges'!$D:$O,9,FALSE)=0,"",VLOOKUP($A51,'Annex 2 EHV charges'!$D:$O,9,FALSE)),"")</f>
        <v/>
      </c>
      <c r="F51" s="174">
        <f>IFERROR(IF(VLOOKUP($A51,'Annex 2 EHV charges'!$D:$O,10,FALSE)=0,"",VLOOKUP($A51,'Annex 2 EHV charges'!$D:$O,10,FALSE)),"")</f>
        <v>304.45</v>
      </c>
      <c r="G51" s="175">
        <f>IFERROR(IF(VLOOKUP($A51,'Annex 2 EHV charges'!$D:$O,11,FALSE)=0,"",VLOOKUP($A51,'Annex 2 EHV charges'!$D:$O,11,FALSE)),"")</f>
        <v>0.05</v>
      </c>
      <c r="H51" s="175">
        <f>IFERROR(IF(VLOOKUP($A51,'Annex 2 EHV charges'!$D:$O,12,FALSE)=0,"",VLOOKUP($A51,'Annex 2 EHV charges'!$D:$O,12,FALSE)),"")</f>
        <v>0.05</v>
      </c>
    </row>
    <row r="52" spans="1:8" ht="33.75" customHeight="1" x14ac:dyDescent="0.35">
      <c r="A52" s="172" t="str">
        <f t="array" ref="A52">IFERROR(INDEX('Annex 2 EHV charges'!$D$11:$D$218, MATCH(0, IF(ISBLANK('Annex 2 EHV charges'!$D$11:$D$218),1, COUNTIF(A$4:$A51, 'Annex 2 EHV charges'!$D$11:$D$218)), 0)),"")</f>
        <v>GDE132</v>
      </c>
      <c r="B52" s="170">
        <f>IF($A52="","",VLOOKUP($A52,'Annex 2 EHV charges'!$D:$O,2,0))</f>
        <v>767</v>
      </c>
      <c r="C52" s="171">
        <f>IF($A52="","",VLOOKUP($A52,'Annex 2 EHV charges'!$D:$O,3,0))</f>
        <v>1050000738290</v>
      </c>
      <c r="D52" s="168" t="str">
        <f>IF($A52="","",VLOOKUP($A52,'Annex 2 EHV charges'!$D:$O,4,0))</f>
        <v>GOOD ENERGY WEST RAYNHAM SOLAR PARK (030) LTD</v>
      </c>
      <c r="E52" s="173" t="str">
        <f>IFERROR(IF(VLOOKUP($A52,'Annex 2 EHV charges'!$D:$O,9,FALSE)=0,"",VLOOKUP($A52,'Annex 2 EHV charges'!$D:$O,9,FALSE)),"")</f>
        <v/>
      </c>
      <c r="F52" s="174">
        <f>IFERROR(IF(VLOOKUP($A52,'Annex 2 EHV charges'!$D:$O,10,FALSE)=0,"",VLOOKUP($A52,'Annex 2 EHV charges'!$D:$O,10,FALSE)),"")</f>
        <v>1018.74</v>
      </c>
      <c r="G52" s="175">
        <f>IFERROR(IF(VLOOKUP($A52,'Annex 2 EHV charges'!$D:$O,11,FALSE)=0,"",VLOOKUP($A52,'Annex 2 EHV charges'!$D:$O,11,FALSE)),"")</f>
        <v>0.05</v>
      </c>
      <c r="H52" s="175">
        <f>IFERROR(IF(VLOOKUP($A52,'Annex 2 EHV charges'!$D:$O,12,FALSE)=0,"",VLOOKUP($A52,'Annex 2 EHV charges'!$D:$O,12,FALSE)),"")</f>
        <v>0.05</v>
      </c>
    </row>
    <row r="53" spans="1:8" ht="33.75" customHeight="1" x14ac:dyDescent="0.35">
      <c r="A53" s="172" t="str">
        <f t="array" ref="A53">IFERROR(INDEX('Annex 2 EHV charges'!$D$11:$D$218, MATCH(0, IF(ISBLANK('Annex 2 EHV charges'!$D$11:$D$218),1, COUNTIF(A$4:$A52, 'Annex 2 EHV charges'!$D$11:$D$218)), 0)),"")</f>
        <v>GFTHRN</v>
      </c>
      <c r="B53" s="170">
        <f>IF($A53="","",VLOOKUP($A53,'Annex 2 EHV charges'!$D:$O,2,0))</f>
        <v>797</v>
      </c>
      <c r="C53" s="171">
        <f>IF($A53="","",VLOOKUP($A53,'Annex 2 EHV charges'!$D:$O,3,0))</f>
        <v>1050000903253</v>
      </c>
      <c r="D53" s="168" t="str">
        <f>IF($A53="","",VLOOKUP($A53,'Annex 2 EHV charges'!$D:$O,4,0))</f>
        <v>REDSTOW RENEWABLES LIMITED</v>
      </c>
      <c r="E53" s="173" t="str">
        <f>IFERROR(IF(VLOOKUP($A53,'Annex 2 EHV charges'!$D:$O,9,FALSE)=0,"",VLOOKUP($A53,'Annex 2 EHV charges'!$D:$O,9,FALSE)),"")</f>
        <v/>
      </c>
      <c r="F53" s="174">
        <f>IFERROR(IF(VLOOKUP($A53,'Annex 2 EHV charges'!$D:$O,10,FALSE)=0,"",VLOOKUP($A53,'Annex 2 EHV charges'!$D:$O,10,FALSE)),"")</f>
        <v>718.47</v>
      </c>
      <c r="G53" s="175">
        <f>IFERROR(IF(VLOOKUP($A53,'Annex 2 EHV charges'!$D:$O,11,FALSE)=0,"",VLOOKUP($A53,'Annex 2 EHV charges'!$D:$O,11,FALSE)),"")</f>
        <v>0.05</v>
      </c>
      <c r="H53" s="175">
        <f>IFERROR(IF(VLOOKUP($A53,'Annex 2 EHV charges'!$D:$O,12,FALSE)=0,"",VLOOKUP($A53,'Annex 2 EHV charges'!$D:$O,12,FALSE)),"")</f>
        <v>0.05</v>
      </c>
    </row>
    <row r="54" spans="1:8" ht="33.75" customHeight="1" x14ac:dyDescent="0.35">
      <c r="A54" s="172" t="str">
        <f t="array" ref="A54">IFERROR(INDEX('Annex 2 EHV charges'!$D$11:$D$218, MATCH(0, IF(ISBLANK('Annex 2 EHV charges'!$D$11:$D$218),1, COUNTIF(A$4:$A53, 'Annex 2 EHV charges'!$D$11:$D$218)), 0)),"")</f>
        <v>GLASM2</v>
      </c>
      <c r="B54" s="170">
        <f>IF($A54="","",VLOOKUP($A54,'Annex 2 EHV charges'!$D:$O,2,0))</f>
        <v>738</v>
      </c>
      <c r="C54" s="171">
        <f>IF($A54="","",VLOOKUP($A54,'Annex 2 EHV charges'!$D:$O,3,0))</f>
        <v>1030083962656</v>
      </c>
      <c r="D54" s="168" t="str">
        <f>IF($A54="","",VLOOKUP($A54,'Annex 2 EHV charges'!$D:$O,4,0))</f>
        <v>GLASS MOOR 2 WIND FARM LTD</v>
      </c>
      <c r="E54" s="173" t="str">
        <f>IFERROR(IF(VLOOKUP($A54,'Annex 2 EHV charges'!$D:$O,9,FALSE)=0,"",VLOOKUP($A54,'Annex 2 EHV charges'!$D:$O,9,FALSE)),"")</f>
        <v/>
      </c>
      <c r="F54" s="174">
        <f>IFERROR(IF(VLOOKUP($A54,'Annex 2 EHV charges'!$D:$O,10,FALSE)=0,"",VLOOKUP($A54,'Annex 2 EHV charges'!$D:$O,10,FALSE)),"")</f>
        <v>2173.9699999999998</v>
      </c>
      <c r="G54" s="175">
        <f>IFERROR(IF(VLOOKUP($A54,'Annex 2 EHV charges'!$D:$O,11,FALSE)=0,"",VLOOKUP($A54,'Annex 2 EHV charges'!$D:$O,11,FALSE)),"")</f>
        <v>0.05</v>
      </c>
      <c r="H54" s="175">
        <f>IFERROR(IF(VLOOKUP($A54,'Annex 2 EHV charges'!$D:$O,12,FALSE)=0,"",VLOOKUP($A54,'Annex 2 EHV charges'!$D:$O,12,FALSE)),"")</f>
        <v>0.05</v>
      </c>
    </row>
    <row r="55" spans="1:8" ht="33.75" customHeight="1" x14ac:dyDescent="0.35">
      <c r="A55" s="172" t="str">
        <f t="array" ref="A55">IFERROR(INDEX('Annex 2 EHV charges'!$D$11:$D$218, MATCH(0, IF(ISBLANK('Annex 2 EHV charges'!$D$11:$D$218),1, COUNTIF(A$4:$A54, 'Annex 2 EHV charges'!$D$11:$D$218)), 0)),"")</f>
        <v>GLXOWR</v>
      </c>
      <c r="B55" s="170">
        <f>IF($A55="","",VLOOKUP($A55,'Annex 2 EHV charges'!$D:$O,2,0))</f>
        <v>792</v>
      </c>
      <c r="C55" s="171" t="str">
        <f>IF($A55="","",VLOOKUP($A55,'Annex 2 EHV charges'!$D:$O,3,0))</f>
        <v>1030074763340
1030074763118</v>
      </c>
      <c r="D55" s="168" t="str">
        <f>IF($A55="","",VLOOKUP($A55,'Annex 2 EHV charges'!$D:$O,4,0))</f>
        <v>GLAXOSMITHKLINE SERVICES UNLIMITED</v>
      </c>
      <c r="E55" s="173">
        <f>IFERROR(IF(VLOOKUP($A55,'Annex 2 EHV charges'!$D:$O,9,FALSE)=0,"",VLOOKUP($A55,'Annex 2 EHV charges'!$D:$O,9,FALSE)),"")</f>
        <v>-2.6110000000000002</v>
      </c>
      <c r="F55" s="174" t="str">
        <f>IFERROR(IF(VLOOKUP($A55,'Annex 2 EHV charges'!$D:$O,10,FALSE)=0,"",VLOOKUP($A55,'Annex 2 EHV charges'!$D:$O,10,FALSE)),"")</f>
        <v/>
      </c>
      <c r="G55" s="175">
        <f>IFERROR(IF(VLOOKUP($A55,'Annex 2 EHV charges'!$D:$O,11,FALSE)=0,"",VLOOKUP($A55,'Annex 2 EHV charges'!$D:$O,11,FALSE)),"")</f>
        <v>0.05</v>
      </c>
      <c r="H55" s="175">
        <f>IFERROR(IF(VLOOKUP($A55,'Annex 2 EHV charges'!$D:$O,12,FALSE)=0,"",VLOOKUP($A55,'Annex 2 EHV charges'!$D:$O,12,FALSE)),"")</f>
        <v>0.05</v>
      </c>
    </row>
    <row r="56" spans="1:8" ht="33.75" customHeight="1" x14ac:dyDescent="0.35">
      <c r="A56" s="172" t="str">
        <f t="array" ref="A56">IFERROR(INDEX('Annex 2 EHV charges'!$D$11:$D$218, MATCH(0, IF(ISBLANK('Annex 2 EHV charges'!$D$11:$D$218),1, COUNTIF(A$4:$A55, 'Annex 2 EHV charges'!$D$11:$D$218)), 0)),"")</f>
        <v>GOSFLD</v>
      </c>
      <c r="B56" s="170">
        <f>IF($A56="","",VLOOKUP($A56,'Annex 2 EHV charges'!$D:$O,2,0))</f>
        <v>768</v>
      </c>
      <c r="C56" s="171">
        <f>IF($A56="","",VLOOKUP($A56,'Annex 2 EHV charges'!$D:$O,3,0))</f>
        <v>1050000714207</v>
      </c>
      <c r="D56" s="168" t="str">
        <f>IF($A56="","",VLOOKUP($A56,'Annex 2 EHV charges'!$D:$O,4,0))</f>
        <v>PUSH ENERGY (GOSFIELD AIRFIELD) LIMITED</v>
      </c>
      <c r="E56" s="173" t="str">
        <f>IFERROR(IF(VLOOKUP($A56,'Annex 2 EHV charges'!$D:$O,9,FALSE)=0,"",VLOOKUP($A56,'Annex 2 EHV charges'!$D:$O,9,FALSE)),"")</f>
        <v/>
      </c>
      <c r="F56" s="174">
        <f>IFERROR(IF(VLOOKUP($A56,'Annex 2 EHV charges'!$D:$O,10,FALSE)=0,"",VLOOKUP($A56,'Annex 2 EHV charges'!$D:$O,10,FALSE)),"")</f>
        <v>2053.84</v>
      </c>
      <c r="G56" s="175">
        <f>IFERROR(IF(VLOOKUP($A56,'Annex 2 EHV charges'!$D:$O,11,FALSE)=0,"",VLOOKUP($A56,'Annex 2 EHV charges'!$D:$O,11,FALSE)),"")</f>
        <v>0.05</v>
      </c>
      <c r="H56" s="175">
        <f>IFERROR(IF(VLOOKUP($A56,'Annex 2 EHV charges'!$D:$O,12,FALSE)=0,"",VLOOKUP($A56,'Annex 2 EHV charges'!$D:$O,12,FALSE)),"")</f>
        <v>0.05</v>
      </c>
    </row>
    <row r="57" spans="1:8" ht="33.75" customHeight="1" x14ac:dyDescent="0.35">
      <c r="A57" s="172" t="str">
        <f t="array" ref="A57">IFERROR(INDEX('Annex 2 EHV charges'!$D$11:$D$218, MATCH(0, IF(ISBLANK('Annex 2 EHV charges'!$D$11:$D$218),1, COUNTIF(A$4:$A56, 'Annex 2 EHV charges'!$D$11:$D$218)), 0)),"")</f>
        <v>GRNEND</v>
      </c>
      <c r="B57" s="170">
        <f>IF($A57="","",VLOOKUP($A57,'Annex 2 EHV charges'!$D:$O,2,0))</f>
        <v>769</v>
      </c>
      <c r="C57" s="171">
        <f>IF($A57="","",VLOOKUP($A57,'Annex 2 EHV charges'!$D:$O,3,0))</f>
        <v>1050000774224</v>
      </c>
      <c r="D57" s="168" t="str">
        <f>IF($A57="","",VLOOKUP($A57,'Annex 2 EHV charges'!$D:$O,4,0))</f>
        <v>GREEN END SOLAR FARM</v>
      </c>
      <c r="E57" s="173" t="str">
        <f>IFERROR(IF(VLOOKUP($A57,'Annex 2 EHV charges'!$D:$O,9,FALSE)=0,"",VLOOKUP($A57,'Annex 2 EHV charges'!$D:$O,9,FALSE)),"")</f>
        <v/>
      </c>
      <c r="F57" s="174">
        <f>IFERROR(IF(VLOOKUP($A57,'Annex 2 EHV charges'!$D:$O,10,FALSE)=0,"",VLOOKUP($A57,'Annex 2 EHV charges'!$D:$O,10,FALSE)),"")</f>
        <v>3993.41</v>
      </c>
      <c r="G57" s="175">
        <f>IFERROR(IF(VLOOKUP($A57,'Annex 2 EHV charges'!$D:$O,11,FALSE)=0,"",VLOOKUP($A57,'Annex 2 EHV charges'!$D:$O,11,FALSE)),"")</f>
        <v>0.05</v>
      </c>
      <c r="H57" s="175">
        <f>IFERROR(IF(VLOOKUP($A57,'Annex 2 EHV charges'!$D:$O,12,FALSE)=0,"",VLOOKUP($A57,'Annex 2 EHV charges'!$D:$O,12,FALSE)),"")</f>
        <v>0.05</v>
      </c>
    </row>
    <row r="58" spans="1:8" ht="33.75" customHeight="1" x14ac:dyDescent="0.35">
      <c r="A58" s="172" t="str">
        <f t="array" ref="A58">IFERROR(INDEX('Annex 2 EHV charges'!$D$11:$D$218, MATCH(0, IF(ISBLANK('Annex 2 EHV charges'!$D$11:$D$218),1, COUNTIF(A$4:$A57, 'Annex 2 EHV charges'!$D$11:$D$218)), 0)),"")</f>
        <v>GRNFRM</v>
      </c>
      <c r="B58" s="170">
        <f>IF($A58="","",VLOOKUP($A58,'Annex 2 EHV charges'!$D:$O,2,0))</f>
        <v>797</v>
      </c>
      <c r="C58" s="171">
        <f>IF($A58="","",VLOOKUP($A58,'Annex 2 EHV charges'!$D:$O,3,0))</f>
        <v>1050001003257</v>
      </c>
      <c r="D58" s="168" t="str">
        <f>IF($A58="","",VLOOKUP($A58,'Annex 2 EHV charges'!$D:$O,4,0))</f>
        <v>GREEN FARM SOLAR</v>
      </c>
      <c r="E58" s="173" t="str">
        <f>IFERROR(IF(VLOOKUP($A58,'Annex 2 EHV charges'!$D:$O,9,FALSE)=0,"",VLOOKUP($A58,'Annex 2 EHV charges'!$D:$O,9,FALSE)),"")</f>
        <v/>
      </c>
      <c r="F58" s="174">
        <f>IFERROR(IF(VLOOKUP($A58,'Annex 2 EHV charges'!$D:$O,10,FALSE)=0,"",VLOOKUP($A58,'Annex 2 EHV charges'!$D:$O,10,FALSE)),"")</f>
        <v>1127.8900000000001</v>
      </c>
      <c r="G58" s="175">
        <f>IFERROR(IF(VLOOKUP($A58,'Annex 2 EHV charges'!$D:$O,11,FALSE)=0,"",VLOOKUP($A58,'Annex 2 EHV charges'!$D:$O,11,FALSE)),"")</f>
        <v>0.05</v>
      </c>
      <c r="H58" s="175">
        <f>IFERROR(IF(VLOOKUP($A58,'Annex 2 EHV charges'!$D:$O,12,FALSE)=0,"",VLOOKUP($A58,'Annex 2 EHV charges'!$D:$O,12,FALSE)),"")</f>
        <v>0.05</v>
      </c>
    </row>
    <row r="59" spans="1:8" ht="33.75" customHeight="1" x14ac:dyDescent="0.35">
      <c r="A59" s="172" t="str">
        <f t="array" ref="A59">IFERROR(INDEX('Annex 2 EHV charges'!$D$11:$D$218, MATCH(0, IF(ISBLANK('Annex 2 EHV charges'!$D$11:$D$218),1, COUNTIF(A$4:$A58, 'Annex 2 EHV charges'!$D$11:$D$218)), 0)),"")</f>
        <v>GUNFL3</v>
      </c>
      <c r="B59" s="170">
        <f>IF($A59="","",VLOOKUP($A59,'Annex 2 EHV charges'!$D:$O,2,0))</f>
        <v>7277</v>
      </c>
      <c r="C59" s="171" t="str">
        <f>IF($A59="","",VLOOKUP($A59,'Annex 2 EHV charges'!$D:$O,3,0))</f>
        <v xml:space="preserve"> MSID: 7277</v>
      </c>
      <c r="D59" s="168" t="str">
        <f>IF($A59="","",VLOOKUP($A59,'Annex 2 EHV charges'!$D:$O,4,0))</f>
        <v>DONG ENERGY GUNFLEET SANDS DEMO (UK) LTD</v>
      </c>
      <c r="E59" s="173" t="str">
        <f>IFERROR(IF(VLOOKUP($A59,'Annex 2 EHV charges'!$D:$O,9,FALSE)=0,"",VLOOKUP($A59,'Annex 2 EHV charges'!$D:$O,9,FALSE)),"")</f>
        <v/>
      </c>
      <c r="F59" s="174">
        <f>IFERROR(IF(VLOOKUP($A59,'Annex 2 EHV charges'!$D:$O,10,FALSE)=0,"",VLOOKUP($A59,'Annex 2 EHV charges'!$D:$O,10,FALSE)),"")</f>
        <v>982.16</v>
      </c>
      <c r="G59" s="175">
        <f>IFERROR(IF(VLOOKUP($A59,'Annex 2 EHV charges'!$D:$O,11,FALSE)=0,"",VLOOKUP($A59,'Annex 2 EHV charges'!$D:$O,11,FALSE)),"")</f>
        <v>0.05</v>
      </c>
      <c r="H59" s="175">
        <f>IFERROR(IF(VLOOKUP($A59,'Annex 2 EHV charges'!$D:$O,12,FALSE)=0,"",VLOOKUP($A59,'Annex 2 EHV charges'!$D:$O,12,FALSE)),"")</f>
        <v>0.05</v>
      </c>
    </row>
    <row r="60" spans="1:8" ht="33.75" customHeight="1" x14ac:dyDescent="0.35">
      <c r="A60" s="172" t="str">
        <f t="array" ref="A60">IFERROR(INDEX('Annex 2 EHV charges'!$D$11:$D$218, MATCH(0, IF(ISBLANK('Annex 2 EHV charges'!$D$11:$D$218),1, COUNTIF(A$4:$A59, 'Annex 2 EHV charges'!$D$11:$D$218)), 0)),"")</f>
        <v>HALLFM</v>
      </c>
      <c r="B60" s="170">
        <f>IF($A60="","",VLOOKUP($A60,'Annex 2 EHV charges'!$D:$O,2,0))</f>
        <v>468</v>
      </c>
      <c r="C60" s="171">
        <f>IF($A60="","",VLOOKUP($A60,'Annex 2 EHV charges'!$D:$O,3,0))</f>
        <v>1050000834228</v>
      </c>
      <c r="D60" s="168" t="str">
        <f>IF($A60="","",VLOOKUP($A60,'Annex 2 EHV charges'!$D:$O,4,0))</f>
        <v>SOLAR PARK DEVELOPMENTS 2 LTD</v>
      </c>
      <c r="E60" s="173" t="str">
        <f>IFERROR(IF(VLOOKUP($A60,'Annex 2 EHV charges'!$D:$O,9,FALSE)=0,"",VLOOKUP($A60,'Annex 2 EHV charges'!$D:$O,9,FALSE)),"")</f>
        <v/>
      </c>
      <c r="F60" s="174">
        <f>IFERROR(IF(VLOOKUP($A60,'Annex 2 EHV charges'!$D:$O,10,FALSE)=0,"",VLOOKUP($A60,'Annex 2 EHV charges'!$D:$O,10,FALSE)),"")</f>
        <v>1280.5</v>
      </c>
      <c r="G60" s="175">
        <f>IFERROR(IF(VLOOKUP($A60,'Annex 2 EHV charges'!$D:$O,11,FALSE)=0,"",VLOOKUP($A60,'Annex 2 EHV charges'!$D:$O,11,FALSE)),"")</f>
        <v>0.05</v>
      </c>
      <c r="H60" s="175">
        <f>IFERROR(IF(VLOOKUP($A60,'Annex 2 EHV charges'!$D:$O,12,FALSE)=0,"",VLOOKUP($A60,'Annex 2 EHV charges'!$D:$O,12,FALSE)),"")</f>
        <v>0.05</v>
      </c>
    </row>
    <row r="61" spans="1:8" ht="33.75" customHeight="1" x14ac:dyDescent="0.35">
      <c r="A61" s="172" t="str">
        <f t="array" ref="A61">IFERROR(INDEX('Annex 2 EHV charges'!$D$11:$D$218, MATCH(0, IF(ISBLANK('Annex 2 EHV charges'!$D$11:$D$218),1, COUNTIF(A$4:$A60, 'Annex 2 EHV charges'!$D$11:$D$218)), 0)),"")</f>
        <v>HDGMSF</v>
      </c>
      <c r="B61" s="170">
        <f>IF($A61="","",VLOOKUP($A61,'Annex 2 EHV charges'!$D:$O,2,0))</f>
        <v>758</v>
      </c>
      <c r="C61" s="171">
        <f>IF($A61="","",VLOOKUP($A61,'Annex 2 EHV charges'!$D:$O,3,0))</f>
        <v>1050000521735</v>
      </c>
      <c r="D61" s="168" t="str">
        <f>IF($A61="","",VLOOKUP($A61,'Annex 2 EHV charges'!$D:$O,4,0))</f>
        <v xml:space="preserve">SOLAR CENTURY </v>
      </c>
      <c r="E61" s="173" t="str">
        <f>IFERROR(IF(VLOOKUP($A61,'Annex 2 EHV charges'!$D:$O,9,FALSE)=0,"",VLOOKUP($A61,'Annex 2 EHV charges'!$D:$O,9,FALSE)),"")</f>
        <v/>
      </c>
      <c r="F61" s="174">
        <f>IFERROR(IF(VLOOKUP($A61,'Annex 2 EHV charges'!$D:$O,10,FALSE)=0,"",VLOOKUP($A61,'Annex 2 EHV charges'!$D:$O,10,FALSE)),"")</f>
        <v>622.78</v>
      </c>
      <c r="G61" s="175">
        <f>IFERROR(IF(VLOOKUP($A61,'Annex 2 EHV charges'!$D:$O,11,FALSE)=0,"",VLOOKUP($A61,'Annex 2 EHV charges'!$D:$O,11,FALSE)),"")</f>
        <v>0.05</v>
      </c>
      <c r="H61" s="175">
        <f>IFERROR(IF(VLOOKUP($A61,'Annex 2 EHV charges'!$D:$O,12,FALSE)=0,"",VLOOKUP($A61,'Annex 2 EHV charges'!$D:$O,12,FALSE)),"")</f>
        <v>0.05</v>
      </c>
    </row>
    <row r="62" spans="1:8" ht="33.75" customHeight="1" x14ac:dyDescent="0.35">
      <c r="A62" s="172" t="str">
        <f t="array" ref="A62">IFERROR(INDEX('Annex 2 EHV charges'!$D$11:$D$218, MATCH(0, IF(ISBLANK('Annex 2 EHV charges'!$D$11:$D$218),1, COUNTIF(A$4:$A61, 'Annex 2 EHV charges'!$D$11:$D$218)), 0)),"")</f>
        <v>HGHFLD</v>
      </c>
      <c r="B62" s="170">
        <f>IF($A62="","",VLOOKUP($A62,'Annex 2 EHV charges'!$D:$O,2,0))</f>
        <v>759</v>
      </c>
      <c r="C62" s="171">
        <f>IF($A62="","",VLOOKUP($A62,'Annex 2 EHV charges'!$D:$O,3,0))</f>
        <v>1050000563169</v>
      </c>
      <c r="D62" s="168" t="str">
        <f>IF($A62="","",VLOOKUP($A62,'Annex 2 EHV charges'!$D:$O,4,0))</f>
        <v>HIGHFIELDS SOLAR LTD</v>
      </c>
      <c r="E62" s="173" t="str">
        <f>IFERROR(IF(VLOOKUP($A62,'Annex 2 EHV charges'!$D:$O,9,FALSE)=0,"",VLOOKUP($A62,'Annex 2 EHV charges'!$D:$O,9,FALSE)),"")</f>
        <v/>
      </c>
      <c r="F62" s="174">
        <f>IFERROR(IF(VLOOKUP($A62,'Annex 2 EHV charges'!$D:$O,10,FALSE)=0,"",VLOOKUP($A62,'Annex 2 EHV charges'!$D:$O,10,FALSE)),"")</f>
        <v>2004.94</v>
      </c>
      <c r="G62" s="175">
        <f>IFERROR(IF(VLOOKUP($A62,'Annex 2 EHV charges'!$D:$O,11,FALSE)=0,"",VLOOKUP($A62,'Annex 2 EHV charges'!$D:$O,11,FALSE)),"")</f>
        <v>0.05</v>
      </c>
      <c r="H62" s="175">
        <f>IFERROR(IF(VLOOKUP($A62,'Annex 2 EHV charges'!$D:$O,12,FALSE)=0,"",VLOOKUP($A62,'Annex 2 EHV charges'!$D:$O,12,FALSE)),"")</f>
        <v>0.05</v>
      </c>
    </row>
    <row r="63" spans="1:8" ht="33.75" customHeight="1" x14ac:dyDescent="0.35">
      <c r="A63" s="172" t="str">
        <f t="array" ref="A63">IFERROR(INDEX('Annex 2 EHV charges'!$D$11:$D$218, MATCH(0, IF(ISBLANK('Annex 2 EHV charges'!$D$11:$D$218),1, COUNTIF(A$4:$A62, 'Annex 2 EHV charges'!$D$11:$D$218)), 0)),"")</f>
        <v>HOBACK</v>
      </c>
      <c r="B63" s="170">
        <f>IF($A63="","",VLOOKUP($A63,'Annex 2 EHV charges'!$D:$O,2,0))</f>
        <v>770</v>
      </c>
      <c r="C63" s="171">
        <f>IF($A63="","",VLOOKUP($A63,'Annex 2 EHV charges'!$D:$O,3,0))</f>
        <v>1050000698405</v>
      </c>
      <c r="D63" s="168" t="str">
        <f>IF($A63="","",VLOOKUP($A63,'Annex 2 EHV charges'!$D:$O,4,0))</f>
        <v>HOBACK SOLAR LIMITED</v>
      </c>
      <c r="E63" s="173" t="str">
        <f>IFERROR(IF(VLOOKUP($A63,'Annex 2 EHV charges'!$D:$O,9,FALSE)=0,"",VLOOKUP($A63,'Annex 2 EHV charges'!$D:$O,9,FALSE)),"")</f>
        <v/>
      </c>
      <c r="F63" s="174">
        <f>IFERROR(IF(VLOOKUP($A63,'Annex 2 EHV charges'!$D:$O,10,FALSE)=0,"",VLOOKUP($A63,'Annex 2 EHV charges'!$D:$O,10,FALSE)),"")</f>
        <v>852.42</v>
      </c>
      <c r="G63" s="175">
        <f>IFERROR(IF(VLOOKUP($A63,'Annex 2 EHV charges'!$D:$O,11,FALSE)=0,"",VLOOKUP($A63,'Annex 2 EHV charges'!$D:$O,11,FALSE)),"")</f>
        <v>0.05</v>
      </c>
      <c r="H63" s="175">
        <f>IFERROR(IF(VLOOKUP($A63,'Annex 2 EHV charges'!$D:$O,12,FALSE)=0,"",VLOOKUP($A63,'Annex 2 EHV charges'!$D:$O,12,FALSE)),"")</f>
        <v>0.05</v>
      </c>
    </row>
    <row r="64" spans="1:8" ht="33.75" customHeight="1" x14ac:dyDescent="0.35">
      <c r="A64" s="172" t="str">
        <f t="array" ref="A64">IFERROR(INDEX('Annex 2 EHV charges'!$D$11:$D$218, MATCH(0, IF(ISBLANK('Annex 2 EHV charges'!$D$11:$D$218),1, COUNTIF(A$4:$A63, 'Annex 2 EHV charges'!$D$11:$D$218)), 0)),"")</f>
        <v>HOLTON</v>
      </c>
      <c r="B64" s="170">
        <f>IF($A64="","",VLOOKUP($A64,'Annex 2 EHV charges'!$D:$O,2,0))</f>
        <v>797</v>
      </c>
      <c r="C64" s="171">
        <f>IF($A64="","",VLOOKUP($A64,'Annex 2 EHV charges'!$D:$O,3,0))</f>
        <v>1050000769127</v>
      </c>
      <c r="D64" s="168" t="str">
        <f>IF($A64="","",VLOOKUP($A64,'Annex 2 EHV charges'!$D:$O,4,0))</f>
        <v>BERNARD MATTHEWS GREEN ENERGY HALESWORTH LIMITED</v>
      </c>
      <c r="E64" s="173" t="str">
        <f>IFERROR(IF(VLOOKUP($A64,'Annex 2 EHV charges'!$D:$O,9,FALSE)=0,"",VLOOKUP($A64,'Annex 2 EHV charges'!$D:$O,9,FALSE)),"")</f>
        <v/>
      </c>
      <c r="F64" s="174">
        <f>IFERROR(IF(VLOOKUP($A64,'Annex 2 EHV charges'!$D:$O,10,FALSE)=0,"",VLOOKUP($A64,'Annex 2 EHV charges'!$D:$O,10,FALSE)),"")</f>
        <v>700.91</v>
      </c>
      <c r="G64" s="175">
        <f>IFERROR(IF(VLOOKUP($A64,'Annex 2 EHV charges'!$D:$O,11,FALSE)=0,"",VLOOKUP($A64,'Annex 2 EHV charges'!$D:$O,11,FALSE)),"")</f>
        <v>0.05</v>
      </c>
      <c r="H64" s="175">
        <f>IFERROR(IF(VLOOKUP($A64,'Annex 2 EHV charges'!$D:$O,12,FALSE)=0,"",VLOOKUP($A64,'Annex 2 EHV charges'!$D:$O,12,FALSE)),"")</f>
        <v>0.05</v>
      </c>
    </row>
    <row r="65" spans="1:8" ht="33.75" customHeight="1" x14ac:dyDescent="0.35">
      <c r="A65" s="172" t="str">
        <f t="array" ref="A65">IFERROR(INDEX('Annex 2 EHV charges'!$D$11:$D$218, MATCH(0, IF(ISBLANK('Annex 2 EHV charges'!$D$11:$D$218),1, COUNTIF(A$4:$A64, 'Annex 2 EHV charges'!$D$11:$D$218)), 0)),"")</f>
        <v>HYDESF</v>
      </c>
      <c r="B65" s="170">
        <f>IF($A65="","",VLOOKUP($A65,'Annex 2 EHV charges'!$D:$O,2,0))</f>
        <v>450</v>
      </c>
      <c r="C65" s="171">
        <f>IF($A65="","",VLOOKUP($A65,'Annex 2 EHV charges'!$D:$O,3,0))</f>
        <v>1050000759722</v>
      </c>
      <c r="D65" s="168" t="str">
        <f>IF($A65="","",VLOOKUP($A65,'Annex 2 EHV charges'!$D:$O,4,0))</f>
        <v>MTS RYDON SOLAR LIMITED</v>
      </c>
      <c r="E65" s="173" t="str">
        <f>IFERROR(IF(VLOOKUP($A65,'Annex 2 EHV charges'!$D:$O,9,FALSE)=0,"",VLOOKUP($A65,'Annex 2 EHV charges'!$D:$O,9,FALSE)),"")</f>
        <v/>
      </c>
      <c r="F65" s="174">
        <f>IFERROR(IF(VLOOKUP($A65,'Annex 2 EHV charges'!$D:$O,10,FALSE)=0,"",VLOOKUP($A65,'Annex 2 EHV charges'!$D:$O,10,FALSE)),"")</f>
        <v>1068.56</v>
      </c>
      <c r="G65" s="175">
        <f>IFERROR(IF(VLOOKUP($A65,'Annex 2 EHV charges'!$D:$O,11,FALSE)=0,"",VLOOKUP($A65,'Annex 2 EHV charges'!$D:$O,11,FALSE)),"")</f>
        <v>0.05</v>
      </c>
      <c r="H65" s="175">
        <f>IFERROR(IF(VLOOKUP($A65,'Annex 2 EHV charges'!$D:$O,12,FALSE)=0,"",VLOOKUP($A65,'Annex 2 EHV charges'!$D:$O,12,FALSE)),"")</f>
        <v>0.05</v>
      </c>
    </row>
    <row r="66" spans="1:8" ht="33.75" customHeight="1" x14ac:dyDescent="0.35">
      <c r="A66" s="172" t="str">
        <f t="array" ref="A66">IFERROR(INDEX('Annex 2 EHV charges'!$D$11:$D$218, MATCH(0, IF(ISBLANK('Annex 2 EHV charges'!$D$11:$D$218),1, COUNTIF(A$4:$A65, 'Annex 2 EHV charges'!$D$11:$D$218)), 0)),"")</f>
        <v>JKSLNE</v>
      </c>
      <c r="B66" s="170">
        <f>IF($A66="","",VLOOKUP($A66,'Annex 2 EHV charges'!$D:$O,2,0))</f>
        <v>451</v>
      </c>
      <c r="C66" s="171">
        <f>IF($A66="","",VLOOKUP($A66,'Annex 2 EHV charges'!$D:$O,3,0))</f>
        <v>1050000556046</v>
      </c>
      <c r="D66" s="168" t="str">
        <f>IF($A66="","",VLOOKUP($A66,'Annex 2 EHV charges'!$D:$O,4,0))</f>
        <v>JACKS LANE ENERGY LTD</v>
      </c>
      <c r="E66" s="173" t="str">
        <f>IFERROR(IF(VLOOKUP($A66,'Annex 2 EHV charges'!$D:$O,9,FALSE)=0,"",VLOOKUP($A66,'Annex 2 EHV charges'!$D:$O,9,FALSE)),"")</f>
        <v/>
      </c>
      <c r="F66" s="174">
        <f>IFERROR(IF(VLOOKUP($A66,'Annex 2 EHV charges'!$D:$O,10,FALSE)=0,"",VLOOKUP($A66,'Annex 2 EHV charges'!$D:$O,10,FALSE)),"")</f>
        <v>3950.12</v>
      </c>
      <c r="G66" s="175">
        <f>IFERROR(IF(VLOOKUP($A66,'Annex 2 EHV charges'!$D:$O,11,FALSE)=0,"",VLOOKUP($A66,'Annex 2 EHV charges'!$D:$O,11,FALSE)),"")</f>
        <v>0.05</v>
      </c>
      <c r="H66" s="175">
        <f>IFERROR(IF(VLOOKUP($A66,'Annex 2 EHV charges'!$D:$O,12,FALSE)=0,"",VLOOKUP($A66,'Annex 2 EHV charges'!$D:$O,12,FALSE)),"")</f>
        <v>0.05</v>
      </c>
    </row>
    <row r="67" spans="1:8" ht="33.75" customHeight="1" x14ac:dyDescent="0.35">
      <c r="A67" s="172" t="str">
        <f t="array" ref="A67">IFERROR(INDEX('Annex 2 EHV charges'!$D$11:$D$218, MATCH(0, IF(ISBLANK('Annex 2 EHV charges'!$D$11:$D$218),1, COUNTIF(A$4:$A66, 'Annex 2 EHV charges'!$D$11:$D$218)), 0)),"")</f>
        <v>KNNING</v>
      </c>
      <c r="B67" s="170">
        <f>IF($A67="","",VLOOKUP($A67,'Annex 2 EHV charges'!$D:$O,2,0))</f>
        <v>452</v>
      </c>
      <c r="C67" s="171">
        <f>IF($A67="","",VLOOKUP($A67,'Annex 2 EHV charges'!$D:$O,3,0))</f>
        <v>1050000823467</v>
      </c>
      <c r="D67" s="168" t="str">
        <f>IF($A67="","",VLOOKUP($A67,'Annex 2 EHV charges'!$D:$O,4,0))</f>
        <v>SOLAR DIVIDEND LIMITED</v>
      </c>
      <c r="E67" s="173" t="str">
        <f>IFERROR(IF(VLOOKUP($A67,'Annex 2 EHV charges'!$D:$O,9,FALSE)=0,"",VLOOKUP($A67,'Annex 2 EHV charges'!$D:$O,9,FALSE)),"")</f>
        <v/>
      </c>
      <c r="F67" s="174">
        <f>IFERROR(IF(VLOOKUP($A67,'Annex 2 EHV charges'!$D:$O,10,FALSE)=0,"",VLOOKUP($A67,'Annex 2 EHV charges'!$D:$O,10,FALSE)),"")</f>
        <v>535.20000000000005</v>
      </c>
      <c r="G67" s="175">
        <f>IFERROR(IF(VLOOKUP($A67,'Annex 2 EHV charges'!$D:$O,11,FALSE)=0,"",VLOOKUP($A67,'Annex 2 EHV charges'!$D:$O,11,FALSE)),"")</f>
        <v>0.05</v>
      </c>
      <c r="H67" s="175">
        <f>IFERROR(IF(VLOOKUP($A67,'Annex 2 EHV charges'!$D:$O,12,FALSE)=0,"",VLOOKUP($A67,'Annex 2 EHV charges'!$D:$O,12,FALSE)),"")</f>
        <v>0.05</v>
      </c>
    </row>
    <row r="68" spans="1:8" ht="33.75" customHeight="1" x14ac:dyDescent="0.35">
      <c r="A68" s="172" t="str">
        <f t="array" ref="A68">IFERROR(INDEX('Annex 2 EHV charges'!$D$11:$D$218, MATCH(0, IF(ISBLANK('Annex 2 EHV charges'!$D$11:$D$218),1, COUNTIF(A$4:$A67, 'Annex 2 EHV charges'!$D$11:$D$218)), 0)),"")</f>
        <v>LBZSNS</v>
      </c>
      <c r="B68" s="170">
        <f>IF($A68="","",VLOOKUP($A68,'Annex 2 EHV charges'!$D:$O,2,0))</f>
        <v>792</v>
      </c>
      <c r="C68" s="171">
        <f>IF($A68="","",VLOOKUP($A68,'Annex 2 EHV charges'!$D:$O,3,0))</f>
        <v>1050000687495</v>
      </c>
      <c r="D68" s="168" t="str">
        <f>IF($A68="","",VLOOKUP($A68,'Annex 2 EHV charges'!$D:$O,4,0))</f>
        <v>UK POWER NETWORKS OPERATIONS LTD</v>
      </c>
      <c r="E68" s="173" t="str">
        <f>IFERROR(IF(VLOOKUP($A68,'Annex 2 EHV charges'!$D:$O,9,FALSE)=0,"",VLOOKUP($A68,'Annex 2 EHV charges'!$D:$O,9,FALSE)),"")</f>
        <v/>
      </c>
      <c r="F68" s="174">
        <f>IFERROR(IF(VLOOKUP($A68,'Annex 2 EHV charges'!$D:$O,10,FALSE)=0,"",VLOOKUP($A68,'Annex 2 EHV charges'!$D:$O,10,FALSE)),"")</f>
        <v>133.74</v>
      </c>
      <c r="G68" s="175">
        <f>IFERROR(IF(VLOOKUP($A68,'Annex 2 EHV charges'!$D:$O,11,FALSE)=0,"",VLOOKUP($A68,'Annex 2 EHV charges'!$D:$O,11,FALSE)),"")</f>
        <v>0.05</v>
      </c>
      <c r="H68" s="175">
        <f>IFERROR(IF(VLOOKUP($A68,'Annex 2 EHV charges'!$D:$O,12,FALSE)=0,"",VLOOKUP($A68,'Annex 2 EHV charges'!$D:$O,12,FALSE)),"")</f>
        <v>0.05</v>
      </c>
    </row>
    <row r="69" spans="1:8" ht="33.75" customHeight="1" x14ac:dyDescent="0.35">
      <c r="A69" s="172" t="str">
        <f t="array" ref="A69">IFERROR(INDEX('Annex 2 EHV charges'!$D$11:$D$218, MATCH(0, IF(ISBLANK('Annex 2 EHV charges'!$D$11:$D$218),1, COUNTIF(A$4:$A68, 'Annex 2 EHV charges'!$D$11:$D$218)), 0)),"")</f>
        <v>LCKFRD</v>
      </c>
      <c r="B69" s="170">
        <f>IF($A69="","",VLOOKUP($A69,'Annex 2 EHV charges'!$D:$O,2,0))</f>
        <v>760</v>
      </c>
      <c r="C69" s="171">
        <f>IF($A69="","",VLOOKUP($A69,'Annex 2 EHV charges'!$D:$O,3,0))</f>
        <v>1050000578699</v>
      </c>
      <c r="D69" s="168" t="str">
        <f>IF($A69="","",VLOOKUP($A69,'Annex 2 EHV charges'!$D:$O,4,0))</f>
        <v>LACKFORD ESTATE SOLAR PARK LIMITED</v>
      </c>
      <c r="E69" s="173" t="str">
        <f>IFERROR(IF(VLOOKUP($A69,'Annex 2 EHV charges'!$D:$O,9,FALSE)=0,"",VLOOKUP($A69,'Annex 2 EHV charges'!$D:$O,9,FALSE)),"")</f>
        <v/>
      </c>
      <c r="F69" s="174">
        <f>IFERROR(IF(VLOOKUP($A69,'Annex 2 EHV charges'!$D:$O,10,FALSE)=0,"",VLOOKUP($A69,'Annex 2 EHV charges'!$D:$O,10,FALSE)),"")</f>
        <v>562.16</v>
      </c>
      <c r="G69" s="175">
        <f>IFERROR(IF(VLOOKUP($A69,'Annex 2 EHV charges'!$D:$O,11,FALSE)=0,"",VLOOKUP($A69,'Annex 2 EHV charges'!$D:$O,11,FALSE)),"")</f>
        <v>0.05</v>
      </c>
      <c r="H69" s="175">
        <f>IFERROR(IF(VLOOKUP($A69,'Annex 2 EHV charges'!$D:$O,12,FALSE)=0,"",VLOOKUP($A69,'Annex 2 EHV charges'!$D:$O,12,FALSE)),"")</f>
        <v>0.05</v>
      </c>
    </row>
    <row r="70" spans="1:8" ht="33.75" customHeight="1" x14ac:dyDescent="0.35">
      <c r="A70" s="172" t="str">
        <f t="array" ref="A70">IFERROR(INDEX('Annex 2 EHV charges'!$D$11:$D$218, MATCH(0, IF(ISBLANK('Annex 2 EHV charges'!$D$11:$D$218),1, COUNTIF(A$4:$A69, 'Annex 2 EHV charges'!$D$11:$D$218)), 0)),"")</f>
        <v>LDAHSF</v>
      </c>
      <c r="B70" s="170">
        <f>IF($A70="","",VLOOKUP($A70,'Annex 2 EHV charges'!$D:$O,2,0))</f>
        <v>762</v>
      </c>
      <c r="C70" s="171">
        <f>IF($A70="","",VLOOKUP($A70,'Annex 2 EHV charges'!$D:$O,3,0))</f>
        <v>1030083805795</v>
      </c>
      <c r="D70" s="168" t="str">
        <f>IF($A70="","",VLOOKUP($A70,'Annex 2 EHV charges'!$D:$O,4,0))</f>
        <v>HURSIT SPV1 LTD</v>
      </c>
      <c r="E70" s="173" t="str">
        <f>IFERROR(IF(VLOOKUP($A70,'Annex 2 EHV charges'!$D:$O,9,FALSE)=0,"",VLOOKUP($A70,'Annex 2 EHV charges'!$D:$O,9,FALSE)),"")</f>
        <v/>
      </c>
      <c r="F70" s="174">
        <f>IFERROR(IF(VLOOKUP($A70,'Annex 2 EHV charges'!$D:$O,10,FALSE)=0,"",VLOOKUP($A70,'Annex 2 EHV charges'!$D:$O,10,FALSE)),"")</f>
        <v>552.30999999999995</v>
      </c>
      <c r="G70" s="175">
        <f>IFERROR(IF(VLOOKUP($A70,'Annex 2 EHV charges'!$D:$O,11,FALSE)=0,"",VLOOKUP($A70,'Annex 2 EHV charges'!$D:$O,11,FALSE)),"")</f>
        <v>0.05</v>
      </c>
      <c r="H70" s="175">
        <f>IFERROR(IF(VLOOKUP($A70,'Annex 2 EHV charges'!$D:$O,12,FALSE)=0,"",VLOOKUP($A70,'Annex 2 EHV charges'!$D:$O,12,FALSE)),"")</f>
        <v>0.05</v>
      </c>
    </row>
    <row r="71" spans="1:8" ht="33.75" customHeight="1" x14ac:dyDescent="0.35">
      <c r="A71" s="172" t="str">
        <f t="array" ref="A71">IFERROR(INDEX('Annex 2 EHV charges'!$D$11:$D$218, MATCH(0, IF(ISBLANK('Annex 2 EHV charges'!$D$11:$D$218),1, COUNTIF(A$4:$A70, 'Annex 2 EHV charges'!$D$11:$D$218)), 0)),"")</f>
        <v>LEXHSF</v>
      </c>
      <c r="B71" s="170">
        <f>IF($A71="","",VLOOKUP($A71,'Annex 2 EHV charges'!$D:$O,2,0))</f>
        <v>763</v>
      </c>
      <c r="C71" s="171">
        <f>IF($A71="","",VLOOKUP($A71,'Annex 2 EHV charges'!$D:$O,3,0))</f>
        <v>1030083805331</v>
      </c>
      <c r="D71" s="168" t="str">
        <f>IF($A71="","",VLOOKUP($A71,'Annex 2 EHV charges'!$D:$O,4,0))</f>
        <v>CLARAMOND SOLAR SPV1 LTD</v>
      </c>
      <c r="E71" s="173" t="str">
        <f>IFERROR(IF(VLOOKUP($A71,'Annex 2 EHV charges'!$D:$O,9,FALSE)=0,"",VLOOKUP($A71,'Annex 2 EHV charges'!$D:$O,9,FALSE)),"")</f>
        <v/>
      </c>
      <c r="F71" s="174">
        <f>IFERROR(IF(VLOOKUP($A71,'Annex 2 EHV charges'!$D:$O,10,FALSE)=0,"",VLOOKUP($A71,'Annex 2 EHV charges'!$D:$O,10,FALSE)),"")</f>
        <v>639.30999999999995</v>
      </c>
      <c r="G71" s="175">
        <f>IFERROR(IF(VLOOKUP($A71,'Annex 2 EHV charges'!$D:$O,11,FALSE)=0,"",VLOOKUP($A71,'Annex 2 EHV charges'!$D:$O,11,FALSE)),"")</f>
        <v>0.05</v>
      </c>
      <c r="H71" s="175">
        <f>IFERROR(IF(VLOOKUP($A71,'Annex 2 EHV charges'!$D:$O,12,FALSE)=0,"",VLOOKUP($A71,'Annex 2 EHV charges'!$D:$O,12,FALSE)),"")</f>
        <v>0.05</v>
      </c>
    </row>
    <row r="72" spans="1:8" ht="33.75" customHeight="1" x14ac:dyDescent="0.35">
      <c r="A72" s="172" t="str">
        <f t="array" ref="A72">IFERROR(INDEX('Annex 2 EHV charges'!$D$11:$D$218, MATCH(0, IF(ISBLANK('Annex 2 EHV charges'!$D$11:$D$218),1, COUNTIF(A$4:$A71, 'Annex 2 EHV charges'!$D$11:$D$218)), 0)),"")</f>
        <v>LNGFRD</v>
      </c>
      <c r="B72" s="170">
        <f>IF($A72="","",VLOOKUP($A72,'Annex 2 EHV charges'!$D:$O,2,0))</f>
        <v>453</v>
      </c>
      <c r="C72" s="171">
        <f>IF($A72="","",VLOOKUP($A72,'Annex 2 EHV charges'!$D:$O,3,0))</f>
        <v>1050000698247</v>
      </c>
      <c r="D72" s="168" t="str">
        <f>IF($A72="","",VLOOKUP($A72,'Annex 2 EHV charges'!$D:$O,4,0))</f>
        <v>LANGFORD SOLAR LIMITED</v>
      </c>
      <c r="E72" s="173" t="str">
        <f>IFERROR(IF(VLOOKUP($A72,'Annex 2 EHV charges'!$D:$O,9,FALSE)=0,"",VLOOKUP($A72,'Annex 2 EHV charges'!$D:$O,9,FALSE)),"")</f>
        <v/>
      </c>
      <c r="F72" s="174">
        <f>IFERROR(IF(VLOOKUP($A72,'Annex 2 EHV charges'!$D:$O,10,FALSE)=0,"",VLOOKUP($A72,'Annex 2 EHV charges'!$D:$O,10,FALSE)),"")</f>
        <v>2454.4299999999998</v>
      </c>
      <c r="G72" s="175">
        <f>IFERROR(IF(VLOOKUP($A72,'Annex 2 EHV charges'!$D:$O,11,FALSE)=0,"",VLOOKUP($A72,'Annex 2 EHV charges'!$D:$O,11,FALSE)),"")</f>
        <v>0.05</v>
      </c>
      <c r="H72" s="175">
        <f>IFERROR(IF(VLOOKUP($A72,'Annex 2 EHV charges'!$D:$O,12,FALSE)=0,"",VLOOKUP($A72,'Annex 2 EHV charges'!$D:$O,12,FALSE)),"")</f>
        <v>0.05</v>
      </c>
    </row>
    <row r="73" spans="1:8" ht="33.75" customHeight="1" x14ac:dyDescent="0.35">
      <c r="A73" s="172" t="str">
        <f t="array" ref="A73">IFERROR(INDEX('Annex 2 EHV charges'!$D$11:$D$218, MATCH(0, IF(ISBLANK('Annex 2 EHV charges'!$D$11:$D$218),1, COUNTIF(A$4:$A72, 'Annex 2 EHV charges'!$D$11:$D$218)), 0)),"")</f>
        <v>LNGHO2</v>
      </c>
      <c r="B73" s="170">
        <f>IF($A73="","",VLOOKUP($A73,'Annex 2 EHV charges'!$D:$O,2,0))</f>
        <v>455</v>
      </c>
      <c r="C73" s="171">
        <f>IF($A73="","",VLOOKUP($A73,'Annex 2 EHV charges'!$D:$O,3,0))</f>
        <v>1050000802945</v>
      </c>
      <c r="D73" s="168" t="str">
        <f>IF($A73="","",VLOOKUP($A73,'Annex 2 EHV charges'!$D:$O,4,0))</f>
        <v>PUSH ENERGY (LANGENHOE) LIMITED</v>
      </c>
      <c r="E73" s="173" t="str">
        <f>IFERROR(IF(VLOOKUP($A73,'Annex 2 EHV charges'!$D:$O,9,FALSE)=0,"",VLOOKUP($A73,'Annex 2 EHV charges'!$D:$O,9,FALSE)),"")</f>
        <v/>
      </c>
      <c r="F73" s="174">
        <f>IFERROR(IF(VLOOKUP($A73,'Annex 2 EHV charges'!$D:$O,10,FALSE)=0,"",VLOOKUP($A73,'Annex 2 EHV charges'!$D:$O,10,FALSE)),"")</f>
        <v>1005.86</v>
      </c>
      <c r="G73" s="175">
        <f>IFERROR(IF(VLOOKUP($A73,'Annex 2 EHV charges'!$D:$O,11,FALSE)=0,"",VLOOKUP($A73,'Annex 2 EHV charges'!$D:$O,11,FALSE)),"")</f>
        <v>0.05</v>
      </c>
      <c r="H73" s="175">
        <f>IFERROR(IF(VLOOKUP($A73,'Annex 2 EHV charges'!$D:$O,12,FALSE)=0,"",VLOOKUP($A73,'Annex 2 EHV charges'!$D:$O,12,FALSE)),"")</f>
        <v>0.05</v>
      </c>
    </row>
    <row r="74" spans="1:8" ht="33.75" customHeight="1" x14ac:dyDescent="0.35">
      <c r="A74" s="172" t="str">
        <f t="array" ref="A74">IFERROR(INDEX('Annex 2 EHV charges'!$D$11:$D$218, MATCH(0, IF(ISBLANK('Annex 2 EHV charges'!$D$11:$D$218),1, COUNTIF(A$4:$A73, 'Annex 2 EHV charges'!$D$11:$D$218)), 0)),"")</f>
        <v>LNGHOE</v>
      </c>
      <c r="B74" s="170">
        <f>IF($A74="","",VLOOKUP($A74,'Annex 2 EHV charges'!$D:$O,2,0))</f>
        <v>454</v>
      </c>
      <c r="C74" s="171">
        <f>IF($A74="","",VLOOKUP($A74,'Annex 2 EHV charges'!$D:$O,3,0))</f>
        <v>1050000774118</v>
      </c>
      <c r="D74" s="168" t="str">
        <f>IF($A74="","",VLOOKUP($A74,'Annex 2 EHV charges'!$D:$O,4,0))</f>
        <v>PUSH ENERGY (LANGENHOE) LIMITED</v>
      </c>
      <c r="E74" s="173" t="str">
        <f>IFERROR(IF(VLOOKUP($A74,'Annex 2 EHV charges'!$D:$O,9,FALSE)=0,"",VLOOKUP($A74,'Annex 2 EHV charges'!$D:$O,9,FALSE)),"")</f>
        <v/>
      </c>
      <c r="F74" s="174">
        <f>IFERROR(IF(VLOOKUP($A74,'Annex 2 EHV charges'!$D:$O,10,FALSE)=0,"",VLOOKUP($A74,'Annex 2 EHV charges'!$D:$O,10,FALSE)),"")</f>
        <v>994.8</v>
      </c>
      <c r="G74" s="175">
        <f>IFERROR(IF(VLOOKUP($A74,'Annex 2 EHV charges'!$D:$O,11,FALSE)=0,"",VLOOKUP($A74,'Annex 2 EHV charges'!$D:$O,11,FALSE)),"")</f>
        <v>0.05</v>
      </c>
      <c r="H74" s="175">
        <f>IFERROR(IF(VLOOKUP($A74,'Annex 2 EHV charges'!$D:$O,12,FALSE)=0,"",VLOOKUP($A74,'Annex 2 EHV charges'!$D:$O,12,FALSE)),"")</f>
        <v>0.05</v>
      </c>
    </row>
    <row r="75" spans="1:8" ht="33.75" customHeight="1" x14ac:dyDescent="0.35">
      <c r="A75" s="172" t="str">
        <f t="array" ref="A75">IFERROR(INDEX('Annex 2 EHV charges'!$D$11:$D$218, MATCH(0, IF(ISBLANK('Annex 2 EHV charges'!$D$11:$D$218),1, COUNTIF(A$4:$A74, 'Annex 2 EHV charges'!$D$11:$D$218)), 0)),"")</f>
        <v>MANORF</v>
      </c>
      <c r="B75" s="170">
        <f>IF($A75="","",VLOOKUP($A75,'Annex 2 EHV charges'!$D:$O,2,0))</f>
        <v>456</v>
      </c>
      <c r="C75" s="171">
        <f>IF($A75="","",VLOOKUP($A75,'Annex 2 EHV charges'!$D:$O,3,0))</f>
        <v>1050000843659</v>
      </c>
      <c r="D75" s="168" t="str">
        <f>IF($A75="","",VLOOKUP($A75,'Annex 2 EHV charges'!$D:$O,4,0))</f>
        <v>LIGHTSOURCE SPV 106 LIMITED</v>
      </c>
      <c r="E75" s="173" t="str">
        <f>IFERROR(IF(VLOOKUP($A75,'Annex 2 EHV charges'!$D:$O,9,FALSE)=0,"",VLOOKUP($A75,'Annex 2 EHV charges'!$D:$O,9,FALSE)),"")</f>
        <v/>
      </c>
      <c r="F75" s="174">
        <f>IFERROR(IF(VLOOKUP($A75,'Annex 2 EHV charges'!$D:$O,10,FALSE)=0,"",VLOOKUP($A75,'Annex 2 EHV charges'!$D:$O,10,FALSE)),"")</f>
        <v>720.88</v>
      </c>
      <c r="G75" s="175">
        <f>IFERROR(IF(VLOOKUP($A75,'Annex 2 EHV charges'!$D:$O,11,FALSE)=0,"",VLOOKUP($A75,'Annex 2 EHV charges'!$D:$O,11,FALSE)),"")</f>
        <v>0.05</v>
      </c>
      <c r="H75" s="175">
        <f>IFERROR(IF(VLOOKUP($A75,'Annex 2 EHV charges'!$D:$O,12,FALSE)=0,"",VLOOKUP($A75,'Annex 2 EHV charges'!$D:$O,12,FALSE)),"")</f>
        <v>0.05</v>
      </c>
    </row>
    <row r="76" spans="1:8" ht="33.75" customHeight="1" x14ac:dyDescent="0.35">
      <c r="A76" s="172" t="str">
        <f t="array" ref="A76">IFERROR(INDEX('Annex 2 EHV charges'!$D$11:$D$218, MATCH(0, IF(ISBLANK('Annex 2 EHV charges'!$D$11:$D$218),1, COUNTIF(A$4:$A75, 'Annex 2 EHV charges'!$D$11:$D$218)), 0)),"")</f>
        <v>MANRFM</v>
      </c>
      <c r="B76" s="170">
        <f>IF($A76="","",VLOOKUP($A76,'Annex 2 EHV charges'!$D:$O,2,0))</f>
        <v>797</v>
      </c>
      <c r="C76" s="171">
        <f>IF($A76="","",VLOOKUP($A76,'Annex 2 EHV charges'!$D:$O,3,0))</f>
        <v>1050000961370</v>
      </c>
      <c r="D76" s="168" t="str">
        <f>IF($A76="","",VLOOKUP($A76,'Annex 2 EHV charges'!$D:$O,4,0))</f>
        <v>PS MANOR FARM SOLAR LIMITED</v>
      </c>
      <c r="E76" s="173" t="str">
        <f>IFERROR(IF(VLOOKUP($A76,'Annex 2 EHV charges'!$D:$O,9,FALSE)=0,"",VLOOKUP($A76,'Annex 2 EHV charges'!$D:$O,9,FALSE)),"")</f>
        <v/>
      </c>
      <c r="F76" s="174">
        <f>IFERROR(IF(VLOOKUP($A76,'Annex 2 EHV charges'!$D:$O,10,FALSE)=0,"",VLOOKUP($A76,'Annex 2 EHV charges'!$D:$O,10,FALSE)),"")</f>
        <v>3391.99</v>
      </c>
      <c r="G76" s="175">
        <f>IFERROR(IF(VLOOKUP($A76,'Annex 2 EHV charges'!$D:$O,11,FALSE)=0,"",VLOOKUP($A76,'Annex 2 EHV charges'!$D:$O,11,FALSE)),"")</f>
        <v>0.05</v>
      </c>
      <c r="H76" s="175">
        <f>IFERROR(IF(VLOOKUP($A76,'Annex 2 EHV charges'!$D:$O,12,FALSE)=0,"",VLOOKUP($A76,'Annex 2 EHV charges'!$D:$O,12,FALSE)),"")</f>
        <v>0.05</v>
      </c>
    </row>
    <row r="77" spans="1:8" ht="33.75" customHeight="1" x14ac:dyDescent="0.35">
      <c r="A77" s="172" t="str">
        <f t="array" ref="A77">IFERROR(INDEX('Annex 2 EHV charges'!$D$11:$D$218, MATCH(0, IF(ISBLANK('Annex 2 EHV charges'!$D$11:$D$218),1, COUNTIF(A$4:$A76, 'Annex 2 EHV charges'!$D$11:$D$218)), 0)),"")</f>
        <v>MDLWCK</v>
      </c>
      <c r="B77" s="170">
        <f>IF($A77="","",VLOOKUP($A77,'Annex 2 EHV charges'!$D:$O,2,0))</f>
        <v>797</v>
      </c>
      <c r="C77" s="171">
        <f>IF($A77="","",VLOOKUP($A77,'Annex 2 EHV charges'!$D:$O,3,0))</f>
        <v>1050000543241</v>
      </c>
      <c r="D77" s="168" t="str">
        <f>IF($A77="","",VLOOKUP($A77,'Annex 2 EHV charges'!$D:$O,4,0))</f>
        <v>MIDDLEWICK WIND FARM LTD</v>
      </c>
      <c r="E77" s="173" t="str">
        <f>IFERROR(IF(VLOOKUP($A77,'Annex 2 EHV charges'!$D:$O,9,FALSE)=0,"",VLOOKUP($A77,'Annex 2 EHV charges'!$D:$O,9,FALSE)),"")</f>
        <v/>
      </c>
      <c r="F77" s="174">
        <f>IFERROR(IF(VLOOKUP($A77,'Annex 2 EHV charges'!$D:$O,10,FALSE)=0,"",VLOOKUP($A77,'Annex 2 EHV charges'!$D:$O,10,FALSE)),"")</f>
        <v>5131.5</v>
      </c>
      <c r="G77" s="175">
        <f>IFERROR(IF(VLOOKUP($A77,'Annex 2 EHV charges'!$D:$O,11,FALSE)=0,"",VLOOKUP($A77,'Annex 2 EHV charges'!$D:$O,11,FALSE)),"")</f>
        <v>0.05</v>
      </c>
      <c r="H77" s="175">
        <f>IFERROR(IF(VLOOKUP($A77,'Annex 2 EHV charges'!$D:$O,12,FALSE)=0,"",VLOOKUP($A77,'Annex 2 EHV charges'!$D:$O,12,FALSE)),"")</f>
        <v>0.05</v>
      </c>
    </row>
    <row r="78" spans="1:8" ht="33.75" customHeight="1" x14ac:dyDescent="0.35">
      <c r="A78" s="172" t="str">
        <f t="array" ref="A78">IFERROR(INDEX('Annex 2 EHV charges'!$D$11:$D$218, MATCH(0, IF(ISBLANK('Annex 2 EHV charges'!$D$11:$D$218),1, COUNTIF(A$4:$A77, 'Annex 2 EHV charges'!$D$11:$D$218)), 0)),"")</f>
        <v>MDWFRM</v>
      </c>
      <c r="B78" s="170">
        <f>IF($A78="","",VLOOKUP($A78,'Annex 2 EHV charges'!$D:$O,2,0))</f>
        <v>765</v>
      </c>
      <c r="C78" s="171">
        <f>IF($A78="","",VLOOKUP($A78,'Annex 2 EHV charges'!$D:$O,3,0))</f>
        <v>1050000579266</v>
      </c>
      <c r="D78" s="168" t="str">
        <f>IF($A78="","",VLOOKUP($A78,'Annex 2 EHV charges'!$D:$O,4,0))</f>
        <v>LIGHTSOURCE SPV 53 LTD</v>
      </c>
      <c r="E78" s="173" t="str">
        <f>IFERROR(IF(VLOOKUP($A78,'Annex 2 EHV charges'!$D:$O,9,FALSE)=0,"",VLOOKUP($A78,'Annex 2 EHV charges'!$D:$O,9,FALSE)),"")</f>
        <v/>
      </c>
      <c r="F78" s="174">
        <f>IFERROR(IF(VLOOKUP($A78,'Annex 2 EHV charges'!$D:$O,10,FALSE)=0,"",VLOOKUP($A78,'Annex 2 EHV charges'!$D:$O,10,FALSE)),"")</f>
        <v>355.66</v>
      </c>
      <c r="G78" s="175">
        <f>IFERROR(IF(VLOOKUP($A78,'Annex 2 EHV charges'!$D:$O,11,FALSE)=0,"",VLOOKUP($A78,'Annex 2 EHV charges'!$D:$O,11,FALSE)),"")</f>
        <v>0.05</v>
      </c>
      <c r="H78" s="175">
        <f>IFERROR(IF(VLOOKUP($A78,'Annex 2 EHV charges'!$D:$O,12,FALSE)=0,"",VLOOKUP($A78,'Annex 2 EHV charges'!$D:$O,12,FALSE)),"")</f>
        <v>0.05</v>
      </c>
    </row>
    <row r="79" spans="1:8" ht="33.75" customHeight="1" x14ac:dyDescent="0.35">
      <c r="A79" s="172" t="str">
        <f t="array" ref="A79">IFERROR(INDEX('Annex 2 EHV charges'!$D$11:$D$218, MATCH(0, IF(ISBLANK('Annex 2 EHV charges'!$D$11:$D$218),1, COUNTIF(A$4:$A78, 'Annex 2 EHV charges'!$D$11:$D$218)), 0)),"")</f>
        <v>MELBRN</v>
      </c>
      <c r="B79" s="170">
        <f>IF($A79="","",VLOOKUP($A79,'Annex 2 EHV charges'!$D:$O,2,0))</f>
        <v>469</v>
      </c>
      <c r="C79" s="171">
        <f>IF($A79="","",VLOOKUP($A79,'Annex 2 EHV charges'!$D:$O,3,0))</f>
        <v>1050000810937</v>
      </c>
      <c r="D79" s="168" t="str">
        <f>IF($A79="","",VLOOKUP($A79,'Annex 2 EHV charges'!$D:$O,4,0))</f>
        <v>MELBOURN SOLAR (MUNCEY &amp; BLACK PEAK)</v>
      </c>
      <c r="E79" s="173" t="str">
        <f>IFERROR(IF(VLOOKUP($A79,'Annex 2 EHV charges'!$D:$O,9,FALSE)=0,"",VLOOKUP($A79,'Annex 2 EHV charges'!$D:$O,9,FALSE)),"")</f>
        <v/>
      </c>
      <c r="F79" s="174">
        <f>IFERROR(IF(VLOOKUP($A79,'Annex 2 EHV charges'!$D:$O,10,FALSE)=0,"",VLOOKUP($A79,'Annex 2 EHV charges'!$D:$O,10,FALSE)),"")</f>
        <v>782.6</v>
      </c>
      <c r="G79" s="175">
        <f>IFERROR(IF(VLOOKUP($A79,'Annex 2 EHV charges'!$D:$O,11,FALSE)=0,"",VLOOKUP($A79,'Annex 2 EHV charges'!$D:$O,11,FALSE)),"")</f>
        <v>0.05</v>
      </c>
      <c r="H79" s="175">
        <f>IFERROR(IF(VLOOKUP($A79,'Annex 2 EHV charges'!$D:$O,12,FALSE)=0,"",VLOOKUP($A79,'Annex 2 EHV charges'!$D:$O,12,FALSE)),"")</f>
        <v>0.05</v>
      </c>
    </row>
    <row r="80" spans="1:8" ht="33.75" customHeight="1" x14ac:dyDescent="0.35">
      <c r="A80" s="172" t="str">
        <f t="array" ref="A80">IFERROR(INDEX('Annex 2 EHV charges'!$D$11:$D$218, MATCH(0, IF(ISBLANK('Annex 2 EHV charges'!$D$11:$D$218),1, COUNTIF(A$4:$A79, 'Annex 2 EHV charges'!$D$11:$D$218)), 0)),"")</f>
        <v>MINGAY</v>
      </c>
      <c r="B80" s="170">
        <f>IF($A80="","",VLOOKUP($A80,'Annex 2 EHV charges'!$D:$O,2,0))</f>
        <v>730</v>
      </c>
      <c r="C80" s="171">
        <f>IF($A80="","",VLOOKUP($A80,'Annex 2 EHV charges'!$D:$O,3,0))</f>
        <v>1050000574676</v>
      </c>
      <c r="D80" s="168" t="str">
        <f>IF($A80="","",VLOOKUP($A80,'Annex 2 EHV charges'!$D:$O,4,0))</f>
        <v>MINGAY FARM LTD</v>
      </c>
      <c r="E80" s="173" t="str">
        <f>IFERROR(IF(VLOOKUP($A80,'Annex 2 EHV charges'!$D:$O,9,FALSE)=0,"",VLOOKUP($A80,'Annex 2 EHV charges'!$D:$O,9,FALSE)),"")</f>
        <v/>
      </c>
      <c r="F80" s="174">
        <f>IFERROR(IF(VLOOKUP($A80,'Annex 2 EHV charges'!$D:$O,10,FALSE)=0,"",VLOOKUP($A80,'Annex 2 EHV charges'!$D:$O,10,FALSE)),"")</f>
        <v>531.29999999999995</v>
      </c>
      <c r="G80" s="175">
        <f>IFERROR(IF(VLOOKUP($A80,'Annex 2 EHV charges'!$D:$O,11,FALSE)=0,"",VLOOKUP($A80,'Annex 2 EHV charges'!$D:$O,11,FALSE)),"")</f>
        <v>0.05</v>
      </c>
      <c r="H80" s="175">
        <f>IFERROR(IF(VLOOKUP($A80,'Annex 2 EHV charges'!$D:$O,12,FALSE)=0,"",VLOOKUP($A80,'Annex 2 EHV charges'!$D:$O,12,FALSE)),"")</f>
        <v>0.05</v>
      </c>
    </row>
    <row r="81" spans="1:8" ht="33.75" customHeight="1" x14ac:dyDescent="0.35">
      <c r="A81" s="172" t="str">
        <f t="array" ref="A81">IFERROR(INDEX('Annex 2 EHV charges'!$D$11:$D$218, MATCH(0, IF(ISBLANK('Annex 2 EHV charges'!$D$11:$D$218),1, COUNTIF(A$4:$A80, 'Annex 2 EHV charges'!$D$11:$D$218)), 0)),"")</f>
        <v>NNFKSF</v>
      </c>
      <c r="B81" s="170">
        <f>IF($A81="","",VLOOKUP($A81,'Annex 2 EHV charges'!$D:$O,2,0))</f>
        <v>731</v>
      </c>
      <c r="C81" s="171">
        <f>IF($A81="","",VLOOKUP($A81,'Annex 2 EHV charges'!$D:$O,3,0))</f>
        <v>1050000599893</v>
      </c>
      <c r="D81" s="168" t="str">
        <f>IF($A81="","",VLOOKUP($A81,'Annex 2 EHV charges'!$D:$O,4,0))</f>
        <v>LUMICITY 1 LTD</v>
      </c>
      <c r="E81" s="173" t="str">
        <f>IFERROR(IF(VLOOKUP($A81,'Annex 2 EHV charges'!$D:$O,9,FALSE)=0,"",VLOOKUP($A81,'Annex 2 EHV charges'!$D:$O,9,FALSE)),"")</f>
        <v/>
      </c>
      <c r="F81" s="174">
        <f>IFERROR(IF(VLOOKUP($A81,'Annex 2 EHV charges'!$D:$O,10,FALSE)=0,"",VLOOKUP($A81,'Annex 2 EHV charges'!$D:$O,10,FALSE)),"")</f>
        <v>993.58</v>
      </c>
      <c r="G81" s="175">
        <f>IFERROR(IF(VLOOKUP($A81,'Annex 2 EHV charges'!$D:$O,11,FALSE)=0,"",VLOOKUP($A81,'Annex 2 EHV charges'!$D:$O,11,FALSE)),"")</f>
        <v>0.05</v>
      </c>
      <c r="H81" s="175">
        <f>IFERROR(IF(VLOOKUP($A81,'Annex 2 EHV charges'!$D:$O,12,FALSE)=0,"",VLOOKUP($A81,'Annex 2 EHV charges'!$D:$O,12,FALSE)),"")</f>
        <v>0.05</v>
      </c>
    </row>
    <row r="82" spans="1:8" ht="33.75" customHeight="1" x14ac:dyDescent="0.35">
      <c r="A82" s="172" t="str">
        <f t="array" ref="A82">IFERROR(INDEX('Annex 2 EHV charges'!$D$11:$D$218, MATCH(0, IF(ISBLANK('Annex 2 EHV charges'!$D$11:$D$218),1, COUNTIF(A$4:$A81, 'Annex 2 EHV charges'!$D$11:$D$218)), 0)),"")</f>
        <v>NR_BAS</v>
      </c>
      <c r="B82" s="170">
        <f>IF($A82="","",VLOOKUP($A82,'Annex 2 EHV charges'!$D:$O,2,0))</f>
        <v>722</v>
      </c>
      <c r="C82" s="171">
        <f>IF($A82="","",VLOOKUP($A82,'Annex 2 EHV charges'!$D:$O,3,0))</f>
        <v>1023545945010</v>
      </c>
      <c r="D82" s="168" t="str">
        <f>IF($A82="","",VLOOKUP($A82,'Annex 2 EHV charges'!$D:$O,4,0))</f>
        <v>NETWORK RAIL INFRASTRUCTURE LTD</v>
      </c>
      <c r="E82" s="173" t="str">
        <f>IFERROR(IF(VLOOKUP($A82,'Annex 2 EHV charges'!$D:$O,9,FALSE)=0,"",VLOOKUP($A82,'Annex 2 EHV charges'!$D:$O,9,FALSE)),"")</f>
        <v/>
      </c>
      <c r="F82" s="174">
        <f>IFERROR(IF(VLOOKUP($A82,'Annex 2 EHV charges'!$D:$O,10,FALSE)=0,"",VLOOKUP($A82,'Annex 2 EHV charges'!$D:$O,10,FALSE)),"")</f>
        <v>0.01</v>
      </c>
      <c r="G82" s="175">
        <f>IFERROR(IF(VLOOKUP($A82,'Annex 2 EHV charges'!$D:$O,11,FALSE)=0,"",VLOOKUP($A82,'Annex 2 EHV charges'!$D:$O,11,FALSE)),"")</f>
        <v>0.05</v>
      </c>
      <c r="H82" s="175">
        <f>IFERROR(IF(VLOOKUP($A82,'Annex 2 EHV charges'!$D:$O,12,FALSE)=0,"",VLOOKUP($A82,'Annex 2 EHV charges'!$D:$O,12,FALSE)),"")</f>
        <v>0.05</v>
      </c>
    </row>
    <row r="83" spans="1:8" ht="33.75" customHeight="1" x14ac:dyDescent="0.35">
      <c r="A83" s="172" t="str">
        <f t="array" ref="A83">IFERROR(INDEX('Annex 2 EHV charges'!$D$11:$D$218, MATCH(0, IF(ISBLANK('Annex 2 EHV charges'!$D$11:$D$218),1, COUNTIF(A$4:$A82, 'Annex 2 EHV charges'!$D$11:$D$218)), 0)),"")</f>
        <v>NR_COL</v>
      </c>
      <c r="B83" s="170">
        <f>IF($A83="","",VLOOKUP($A83,'Annex 2 EHV charges'!$D:$O,2,0))</f>
        <v>720</v>
      </c>
      <c r="C83" s="171" t="str">
        <f>IF($A83="","",VLOOKUP($A83,'Annex 2 EHV charges'!$D:$O,3,0))</f>
        <v xml:space="preserve">1023545945047
1030077668707 </v>
      </c>
      <c r="D83" s="168" t="str">
        <f>IF($A83="","",VLOOKUP($A83,'Annex 2 EHV charges'!$D:$O,4,0))</f>
        <v>NETWORK RAIL INFRASTRUCTURE LTD</v>
      </c>
      <c r="E83" s="173" t="str">
        <f>IFERROR(IF(VLOOKUP($A83,'Annex 2 EHV charges'!$D:$O,9,FALSE)=0,"",VLOOKUP($A83,'Annex 2 EHV charges'!$D:$O,9,FALSE)),"")</f>
        <v/>
      </c>
      <c r="F83" s="174">
        <f>IFERROR(IF(VLOOKUP($A83,'Annex 2 EHV charges'!$D:$O,10,FALSE)=0,"",VLOOKUP($A83,'Annex 2 EHV charges'!$D:$O,10,FALSE)),"")</f>
        <v>1471.82</v>
      </c>
      <c r="G83" s="175">
        <f>IFERROR(IF(VLOOKUP($A83,'Annex 2 EHV charges'!$D:$O,11,FALSE)=0,"",VLOOKUP($A83,'Annex 2 EHV charges'!$D:$O,11,FALSE)),"")</f>
        <v>0.05</v>
      </c>
      <c r="H83" s="175">
        <f>IFERROR(IF(VLOOKUP($A83,'Annex 2 EHV charges'!$D:$O,12,FALSE)=0,"",VLOOKUP($A83,'Annex 2 EHV charges'!$D:$O,12,FALSE)),"")</f>
        <v>0.05</v>
      </c>
    </row>
    <row r="84" spans="1:8" ht="33.75" customHeight="1" x14ac:dyDescent="0.35">
      <c r="A84" s="172" t="str">
        <f t="array" ref="A84">IFERROR(INDEX('Annex 2 EHV charges'!$D$11:$D$218, MATCH(0, IF(ISBLANK('Annex 2 EHV charges'!$D$11:$D$218),1, COUNTIF(A$4:$A83, 'Annex 2 EHV charges'!$D$11:$D$218)), 0)),"")</f>
        <v>NR_CRW</v>
      </c>
      <c r="B84" s="170">
        <f>IF($A84="","",VLOOKUP($A84,'Annex 2 EHV charges'!$D:$O,2,0))</f>
        <v>721</v>
      </c>
      <c r="C84" s="171">
        <f>IF($A84="","",VLOOKUP($A84,'Annex 2 EHV charges'!$D:$O,3,0))</f>
        <v>1023545945029</v>
      </c>
      <c r="D84" s="168" t="str">
        <f>IF($A84="","",VLOOKUP($A84,'Annex 2 EHV charges'!$D:$O,4,0))</f>
        <v>NETWORK RAIL INFRASTRUCTURE LTD</v>
      </c>
      <c r="E84" s="173" t="str">
        <f>IFERROR(IF(VLOOKUP($A84,'Annex 2 EHV charges'!$D:$O,9,FALSE)=0,"",VLOOKUP($A84,'Annex 2 EHV charges'!$D:$O,9,FALSE)),"")</f>
        <v/>
      </c>
      <c r="F84" s="174" t="str">
        <f>IFERROR(IF(VLOOKUP($A84,'Annex 2 EHV charges'!$D:$O,10,FALSE)=0,"",VLOOKUP($A84,'Annex 2 EHV charges'!$D:$O,10,FALSE)),"")</f>
        <v/>
      </c>
      <c r="G84" s="175">
        <f>IFERROR(IF(VLOOKUP($A84,'Annex 2 EHV charges'!$D:$O,11,FALSE)=0,"",VLOOKUP($A84,'Annex 2 EHV charges'!$D:$O,11,FALSE)),"")</f>
        <v>0.05</v>
      </c>
      <c r="H84" s="175">
        <f>IFERROR(IF(VLOOKUP($A84,'Annex 2 EHV charges'!$D:$O,12,FALSE)=0,"",VLOOKUP($A84,'Annex 2 EHV charges'!$D:$O,12,FALSE)),"")</f>
        <v>0.05</v>
      </c>
    </row>
    <row r="85" spans="1:8" ht="33.75" customHeight="1" x14ac:dyDescent="0.35">
      <c r="A85" s="172" t="str">
        <f t="array" ref="A85">IFERROR(INDEX('Annex 2 EHV charges'!$D$11:$D$218, MATCH(0, IF(ISBLANK('Annex 2 EHV charges'!$D$11:$D$218),1, COUNTIF(A$4:$A84, 'Annex 2 EHV charges'!$D$11:$D$218)), 0)),"")</f>
        <v>NR_MAN</v>
      </c>
      <c r="B85" s="170">
        <f>IF($A85="","",VLOOKUP($A85,'Annex 2 EHV charges'!$D:$O,2,0))</f>
        <v>723</v>
      </c>
      <c r="C85" s="171">
        <f>IF($A85="","",VLOOKUP($A85,'Annex 2 EHV charges'!$D:$O,3,0))</f>
        <v>1023545947499</v>
      </c>
      <c r="D85" s="168" t="str">
        <f>IF($A85="","",VLOOKUP($A85,'Annex 2 EHV charges'!$D:$O,4,0))</f>
        <v>NETWORK RAIL INFRASTRUCTURE LTD</v>
      </c>
      <c r="E85" s="173" t="str">
        <f>IFERROR(IF(VLOOKUP($A85,'Annex 2 EHV charges'!$D:$O,9,FALSE)=0,"",VLOOKUP($A85,'Annex 2 EHV charges'!$D:$O,9,FALSE)),"")</f>
        <v/>
      </c>
      <c r="F85" s="174" t="str">
        <f>IFERROR(IF(VLOOKUP($A85,'Annex 2 EHV charges'!$D:$O,10,FALSE)=0,"",VLOOKUP($A85,'Annex 2 EHV charges'!$D:$O,10,FALSE)),"")</f>
        <v/>
      </c>
      <c r="G85" s="175">
        <f>IFERROR(IF(VLOOKUP($A85,'Annex 2 EHV charges'!$D:$O,11,FALSE)=0,"",VLOOKUP($A85,'Annex 2 EHV charges'!$D:$O,11,FALSE)),"")</f>
        <v>0.05</v>
      </c>
      <c r="H85" s="175">
        <f>IFERROR(IF(VLOOKUP($A85,'Annex 2 EHV charges'!$D:$O,12,FALSE)=0,"",VLOOKUP($A85,'Annex 2 EHV charges'!$D:$O,12,FALSE)),"")</f>
        <v>0.05</v>
      </c>
    </row>
    <row r="86" spans="1:8" ht="33.75" customHeight="1" x14ac:dyDescent="0.35">
      <c r="A86" s="172" t="str">
        <f t="array" ref="A86">IFERROR(INDEX('Annex 2 EHV charges'!$D$11:$D$218, MATCH(0, IF(ISBLANK('Annex 2 EHV charges'!$D$11:$D$218),1, COUNTIF(A$4:$A85, 'Annex 2 EHV charges'!$D$11:$D$218)), 0)),"")</f>
        <v>NR_NRW</v>
      </c>
      <c r="B86" s="170">
        <f>IF($A86="","",VLOOKUP($A86,'Annex 2 EHV charges'!$D:$O,2,0))</f>
        <v>724</v>
      </c>
      <c r="C86" s="171">
        <f>IF($A86="","",VLOOKUP($A86,'Annex 2 EHV charges'!$D:$O,3,0))</f>
        <v>1023545944902</v>
      </c>
      <c r="D86" s="168" t="str">
        <f>IF($A86="","",VLOOKUP($A86,'Annex 2 EHV charges'!$D:$O,4,0))</f>
        <v>NETWORK RAIL INFRASTRUCTURE LTD</v>
      </c>
      <c r="E86" s="173" t="str">
        <f>IFERROR(IF(VLOOKUP($A86,'Annex 2 EHV charges'!$D:$O,9,FALSE)=0,"",VLOOKUP($A86,'Annex 2 EHV charges'!$D:$O,9,FALSE)),"")</f>
        <v/>
      </c>
      <c r="F86" s="174">
        <f>IFERROR(IF(VLOOKUP($A86,'Annex 2 EHV charges'!$D:$O,10,FALSE)=0,"",VLOOKUP($A86,'Annex 2 EHV charges'!$D:$O,10,FALSE)),"")</f>
        <v>0.01</v>
      </c>
      <c r="G86" s="175">
        <f>IFERROR(IF(VLOOKUP($A86,'Annex 2 EHV charges'!$D:$O,11,FALSE)=0,"",VLOOKUP($A86,'Annex 2 EHV charges'!$D:$O,11,FALSE)),"")</f>
        <v>0.05</v>
      </c>
      <c r="H86" s="175">
        <f>IFERROR(IF(VLOOKUP($A86,'Annex 2 EHV charges'!$D:$O,12,FALSE)=0,"",VLOOKUP($A86,'Annex 2 EHV charges'!$D:$O,12,FALSE)),"")</f>
        <v>0.05</v>
      </c>
    </row>
    <row r="87" spans="1:8" ht="33.75" customHeight="1" x14ac:dyDescent="0.35">
      <c r="A87" s="172" t="str">
        <f t="array" ref="A87">IFERROR(INDEX('Annex 2 EHV charges'!$D$11:$D$218, MATCH(0, IF(ISBLANK('Annex 2 EHV charges'!$D$11:$D$218),1, COUNTIF(A$4:$A86, 'Annex 2 EHV charges'!$D$11:$D$218)), 0)),"")</f>
        <v>NR_RAY</v>
      </c>
      <c r="B87" s="170">
        <f>IF($A87="","",VLOOKUP($A87,'Annex 2 EHV charges'!$D:$O,2,0))</f>
        <v>725</v>
      </c>
      <c r="C87" s="171">
        <f>IF($A87="","",VLOOKUP($A87,'Annex 2 EHV charges'!$D:$O,3,0))</f>
        <v>1023545944911</v>
      </c>
      <c r="D87" s="168" t="str">
        <f>IF($A87="","",VLOOKUP($A87,'Annex 2 EHV charges'!$D:$O,4,0))</f>
        <v>NETWORK RAIL INFRASTRUCTURE LTD</v>
      </c>
      <c r="E87" s="173" t="str">
        <f>IFERROR(IF(VLOOKUP($A87,'Annex 2 EHV charges'!$D:$O,9,FALSE)=0,"",VLOOKUP($A87,'Annex 2 EHV charges'!$D:$O,9,FALSE)),"")</f>
        <v/>
      </c>
      <c r="F87" s="174">
        <f>IFERROR(IF(VLOOKUP($A87,'Annex 2 EHV charges'!$D:$O,10,FALSE)=0,"",VLOOKUP($A87,'Annex 2 EHV charges'!$D:$O,10,FALSE)),"")</f>
        <v>0.01</v>
      </c>
      <c r="G87" s="175">
        <f>IFERROR(IF(VLOOKUP($A87,'Annex 2 EHV charges'!$D:$O,11,FALSE)=0,"",VLOOKUP($A87,'Annex 2 EHV charges'!$D:$O,11,FALSE)),"")</f>
        <v>0.05</v>
      </c>
      <c r="H87" s="175">
        <f>IFERROR(IF(VLOOKUP($A87,'Annex 2 EHV charges'!$D:$O,12,FALSE)=0,"",VLOOKUP($A87,'Annex 2 EHV charges'!$D:$O,12,FALSE)),"")</f>
        <v>0.05</v>
      </c>
    </row>
    <row r="88" spans="1:8" ht="33.75" customHeight="1" x14ac:dyDescent="0.35">
      <c r="A88" s="172" t="str">
        <f t="array" ref="A88">IFERROR(INDEX('Annex 2 EHV charges'!$D$11:$D$218, MATCH(0, IF(ISBLANK('Annex 2 EHV charges'!$D$11:$D$218),1, COUNTIF(A$4:$A87, 'Annex 2 EHV charges'!$D$11:$D$218)), 0)),"")</f>
        <v>NR_SED</v>
      </c>
      <c r="B88" s="170">
        <f>IF($A88="","",VLOOKUP($A88,'Annex 2 EHV charges'!$D:$O,2,0))</f>
        <v>727</v>
      </c>
      <c r="C88" s="171">
        <f>IF($A88="","",VLOOKUP($A88,'Annex 2 EHV charges'!$D:$O,3,0))</f>
        <v>1023545944920</v>
      </c>
      <c r="D88" s="168" t="str">
        <f>IF($A88="","",VLOOKUP($A88,'Annex 2 EHV charges'!$D:$O,4,0))</f>
        <v>NETWORK RAIL INFRASTRUCTURE LTD</v>
      </c>
      <c r="E88" s="173" t="str">
        <f>IFERROR(IF(VLOOKUP($A88,'Annex 2 EHV charges'!$D:$O,9,FALSE)=0,"",VLOOKUP($A88,'Annex 2 EHV charges'!$D:$O,9,FALSE)),"")</f>
        <v/>
      </c>
      <c r="F88" s="174" t="str">
        <f>IFERROR(IF(VLOOKUP($A88,'Annex 2 EHV charges'!$D:$O,10,FALSE)=0,"",VLOOKUP($A88,'Annex 2 EHV charges'!$D:$O,10,FALSE)),"")</f>
        <v/>
      </c>
      <c r="G88" s="175">
        <f>IFERROR(IF(VLOOKUP($A88,'Annex 2 EHV charges'!$D:$O,11,FALSE)=0,"",VLOOKUP($A88,'Annex 2 EHV charges'!$D:$O,11,FALSE)),"")</f>
        <v>0.05</v>
      </c>
      <c r="H88" s="175">
        <f>IFERROR(IF(VLOOKUP($A88,'Annex 2 EHV charges'!$D:$O,12,FALSE)=0,"",VLOOKUP($A88,'Annex 2 EHV charges'!$D:$O,12,FALSE)),"")</f>
        <v>0.05</v>
      </c>
    </row>
    <row r="89" spans="1:8" ht="33.75" customHeight="1" x14ac:dyDescent="0.35">
      <c r="A89" s="172" t="str">
        <f t="array" ref="A89">IFERROR(INDEX('Annex 2 EHV charges'!$D$11:$D$218, MATCH(0, IF(ISBLANK('Annex 2 EHV charges'!$D$11:$D$218),1, COUNTIF(A$4:$A88, 'Annex 2 EHV charges'!$D$11:$D$218)), 0)),"")</f>
        <v>NR_SHN</v>
      </c>
      <c r="B89" s="170">
        <f>IF($A89="","",VLOOKUP($A89,'Annex 2 EHV charges'!$D:$O,2,0))</f>
        <v>726</v>
      </c>
      <c r="C89" s="171">
        <f>IF($A89="","",VLOOKUP($A89,'Annex 2 EHV charges'!$D:$O,3,0))</f>
        <v>1023545945056</v>
      </c>
      <c r="D89" s="168" t="str">
        <f>IF($A89="","",VLOOKUP($A89,'Annex 2 EHV charges'!$D:$O,4,0))</f>
        <v>NETWORK RAIL INFRASTRUCTURE LTD</v>
      </c>
      <c r="E89" s="173" t="str">
        <f>IFERROR(IF(VLOOKUP($A89,'Annex 2 EHV charges'!$D:$O,9,FALSE)=0,"",VLOOKUP($A89,'Annex 2 EHV charges'!$D:$O,9,FALSE)),"")</f>
        <v/>
      </c>
      <c r="F89" s="174" t="str">
        <f>IFERROR(IF(VLOOKUP($A89,'Annex 2 EHV charges'!$D:$O,10,FALSE)=0,"",VLOOKUP($A89,'Annex 2 EHV charges'!$D:$O,10,FALSE)),"")</f>
        <v/>
      </c>
      <c r="G89" s="175">
        <f>IFERROR(IF(VLOOKUP($A89,'Annex 2 EHV charges'!$D:$O,11,FALSE)=0,"",VLOOKUP($A89,'Annex 2 EHV charges'!$D:$O,11,FALSE)),"")</f>
        <v>0.05</v>
      </c>
      <c r="H89" s="175">
        <f>IFERROR(IF(VLOOKUP($A89,'Annex 2 EHV charges'!$D:$O,12,FALSE)=0,"",VLOOKUP($A89,'Annex 2 EHV charges'!$D:$O,12,FALSE)),"")</f>
        <v>0.05</v>
      </c>
    </row>
    <row r="90" spans="1:8" ht="33.75" customHeight="1" x14ac:dyDescent="0.35">
      <c r="A90" s="172" t="str">
        <f t="array" ref="A90">IFERROR(INDEX('Annex 2 EHV charges'!$D$11:$D$218, MATCH(0, IF(ISBLANK('Annex 2 EHV charges'!$D$11:$D$218),1, COUNTIF(A$4:$A89, 'Annex 2 EHV charges'!$D$11:$D$218)), 0)),"")</f>
        <v>NR_SPR</v>
      </c>
      <c r="B90" s="170">
        <f>IF($A90="","",VLOOKUP($A90,'Annex 2 EHV charges'!$D:$O,2,0))</f>
        <v>728</v>
      </c>
      <c r="C90" s="171">
        <f>IF($A90="","",VLOOKUP($A90,'Annex 2 EHV charges'!$D:$O,3,0))</f>
        <v>1023545944930</v>
      </c>
      <c r="D90" s="168" t="str">
        <f>IF($A90="","",VLOOKUP($A90,'Annex 2 EHV charges'!$D:$O,4,0))</f>
        <v>NETWORK RAIL INFRASTRUCTURE LTD</v>
      </c>
      <c r="E90" s="173" t="str">
        <f>IFERROR(IF(VLOOKUP($A90,'Annex 2 EHV charges'!$D:$O,9,FALSE)=0,"",VLOOKUP($A90,'Annex 2 EHV charges'!$D:$O,9,FALSE)),"")</f>
        <v/>
      </c>
      <c r="F90" s="174" t="str">
        <f>IFERROR(IF(VLOOKUP($A90,'Annex 2 EHV charges'!$D:$O,10,FALSE)=0,"",VLOOKUP($A90,'Annex 2 EHV charges'!$D:$O,10,FALSE)),"")</f>
        <v/>
      </c>
      <c r="G90" s="175">
        <f>IFERROR(IF(VLOOKUP($A90,'Annex 2 EHV charges'!$D:$O,11,FALSE)=0,"",VLOOKUP($A90,'Annex 2 EHV charges'!$D:$O,11,FALSE)),"")</f>
        <v>0.05</v>
      </c>
      <c r="H90" s="175">
        <f>IFERROR(IF(VLOOKUP($A90,'Annex 2 EHV charges'!$D:$O,12,FALSE)=0,"",VLOOKUP($A90,'Annex 2 EHV charges'!$D:$O,12,FALSE)),"")</f>
        <v>0.05</v>
      </c>
    </row>
    <row r="91" spans="1:8" ht="33.75" customHeight="1" x14ac:dyDescent="0.35">
      <c r="A91" s="172" t="str">
        <f t="array" ref="A91">IFERROR(INDEX('Annex 2 EHV charges'!$D$11:$D$218, MATCH(0, IF(ISBLANK('Annex 2 EHV charges'!$D$11:$D$218),1, COUNTIF(A$4:$A90, 'Annex 2 EHV charges'!$D$11:$D$218)), 0)),"")</f>
        <v>NR_STW</v>
      </c>
      <c r="B91" s="170">
        <f>IF($A91="","",VLOOKUP($A91,'Annex 2 EHV charges'!$D:$O,2,0))</f>
        <v>729</v>
      </c>
      <c r="C91" s="171">
        <f>IF($A91="","",VLOOKUP($A91,'Annex 2 EHV charges'!$D:$O,3,0))</f>
        <v>1023545947968</v>
      </c>
      <c r="D91" s="168" t="str">
        <f>IF($A91="","",VLOOKUP($A91,'Annex 2 EHV charges'!$D:$O,4,0))</f>
        <v>NETWORK RAIL INFRASTRUCTURE LTD</v>
      </c>
      <c r="E91" s="173" t="str">
        <f>IFERROR(IF(VLOOKUP($A91,'Annex 2 EHV charges'!$D:$O,9,FALSE)=0,"",VLOOKUP($A91,'Annex 2 EHV charges'!$D:$O,9,FALSE)),"")</f>
        <v/>
      </c>
      <c r="F91" s="174">
        <f>IFERROR(IF(VLOOKUP($A91,'Annex 2 EHV charges'!$D:$O,10,FALSE)=0,"",VLOOKUP($A91,'Annex 2 EHV charges'!$D:$O,10,FALSE)),"")</f>
        <v>0.01</v>
      </c>
      <c r="G91" s="175">
        <f>IFERROR(IF(VLOOKUP($A91,'Annex 2 EHV charges'!$D:$O,11,FALSE)=0,"",VLOOKUP($A91,'Annex 2 EHV charges'!$D:$O,11,FALSE)),"")</f>
        <v>0.05</v>
      </c>
      <c r="H91" s="175">
        <f>IFERROR(IF(VLOOKUP($A91,'Annex 2 EHV charges'!$D:$O,12,FALSE)=0,"",VLOOKUP($A91,'Annex 2 EHV charges'!$D:$O,12,FALSE)),"")</f>
        <v>0.05</v>
      </c>
    </row>
    <row r="92" spans="1:8" ht="33.75" customHeight="1" x14ac:dyDescent="0.35">
      <c r="A92" s="172" t="str">
        <f t="array" ref="A92">IFERROR(INDEX('Annex 2 EHV charges'!$D$11:$D$218, MATCH(0, IF(ISBLANK('Annex 2 EHV charges'!$D$11:$D$218),1, COUNTIF(A$4:$A91, 'Annex 2 EHV charges'!$D$11:$D$218)), 0)),"")</f>
        <v>NVASCT</v>
      </c>
      <c r="B92" s="170">
        <f>IF($A92="","",VLOOKUP($A92,'Annex 2 EHV charges'!$D:$O,2,0))</f>
        <v>764</v>
      </c>
      <c r="C92" s="171">
        <f>IF($A92="","",VLOOKUP($A92,'Annex 2 EHV charges'!$D:$O,3,0))</f>
        <v>1050000588215</v>
      </c>
      <c r="D92" s="168" t="str">
        <f>IF($A92="","",VLOOKUP($A92,'Annex 2 EHV charges'!$D:$O,4,0))</f>
        <v>NOVA SCOTIA SOLAR</v>
      </c>
      <c r="E92" s="173" t="str">
        <f>IFERROR(IF(VLOOKUP($A92,'Annex 2 EHV charges'!$D:$O,9,FALSE)=0,"",VLOOKUP($A92,'Annex 2 EHV charges'!$D:$O,9,FALSE)),"")</f>
        <v/>
      </c>
      <c r="F92" s="174">
        <f>IFERROR(IF(VLOOKUP($A92,'Annex 2 EHV charges'!$D:$O,10,FALSE)=0,"",VLOOKUP($A92,'Annex 2 EHV charges'!$D:$O,10,FALSE)),"")</f>
        <v>533.77</v>
      </c>
      <c r="G92" s="175">
        <f>IFERROR(IF(VLOOKUP($A92,'Annex 2 EHV charges'!$D:$O,11,FALSE)=0,"",VLOOKUP($A92,'Annex 2 EHV charges'!$D:$O,11,FALSE)),"")</f>
        <v>0.05</v>
      </c>
      <c r="H92" s="175">
        <f>IFERROR(IF(VLOOKUP($A92,'Annex 2 EHV charges'!$D:$O,12,FALSE)=0,"",VLOOKUP($A92,'Annex 2 EHV charges'!$D:$O,12,FALSE)),"")</f>
        <v>0.05</v>
      </c>
    </row>
    <row r="93" spans="1:8" ht="33.75" customHeight="1" x14ac:dyDescent="0.35">
      <c r="A93" s="172" t="str">
        <f t="array" ref="A93">IFERROR(INDEX('Annex 2 EHV charges'!$D$11:$D$218, MATCH(0, IF(ISBLANK('Annex 2 EHV charges'!$D$11:$D$218),1, COUNTIF(A$4:$A92, 'Annex 2 EHV charges'!$D$11:$D$218)), 0)),"")</f>
        <v>OLDAIR</v>
      </c>
      <c r="B93" s="170">
        <f>IF($A93="","",VLOOKUP($A93,'Annex 2 EHV charges'!$D:$O,2,0))</f>
        <v>797</v>
      </c>
      <c r="C93" s="171">
        <f>IF($A93="","",VLOOKUP($A93,'Annex 2 EHV charges'!$D:$O,3,0))</f>
        <v>1050000890765</v>
      </c>
      <c r="D93" s="168" t="str">
        <f>IF($A93="","",VLOOKUP($A93,'Annex 2 EHV charges'!$D:$O,4,0))</f>
        <v>OLD AIRFIELD SOLAR</v>
      </c>
      <c r="E93" s="173" t="str">
        <f>IFERROR(IF(VLOOKUP($A93,'Annex 2 EHV charges'!$D:$O,9,FALSE)=0,"",VLOOKUP($A93,'Annex 2 EHV charges'!$D:$O,9,FALSE)),"")</f>
        <v/>
      </c>
      <c r="F93" s="174">
        <f>IFERROR(IF(VLOOKUP($A93,'Annex 2 EHV charges'!$D:$O,10,FALSE)=0,"",VLOOKUP($A93,'Annex 2 EHV charges'!$D:$O,10,FALSE)),"")</f>
        <v>242.78</v>
      </c>
      <c r="G93" s="175">
        <f>IFERROR(IF(VLOOKUP($A93,'Annex 2 EHV charges'!$D:$O,11,FALSE)=0,"",VLOOKUP($A93,'Annex 2 EHV charges'!$D:$O,11,FALSE)),"")</f>
        <v>0.05</v>
      </c>
      <c r="H93" s="175">
        <f>IFERROR(IF(VLOOKUP($A93,'Annex 2 EHV charges'!$D:$O,12,FALSE)=0,"",VLOOKUP($A93,'Annex 2 EHV charges'!$D:$O,12,FALSE)),"")</f>
        <v>0.05</v>
      </c>
    </row>
    <row r="94" spans="1:8" ht="33.75" customHeight="1" x14ac:dyDescent="0.35">
      <c r="A94" s="172" t="str">
        <f t="array" ref="A94">IFERROR(INDEX('Annex 2 EHV charges'!$D$11:$D$218, MATCH(0, IF(ISBLANK('Annex 2 EHV charges'!$D$11:$D$218),1, COUNTIF(A$4:$A93, 'Annex 2 EHV charges'!$D$11:$D$218)), 0)),"")</f>
        <v>PLMPPR</v>
      </c>
      <c r="B94" s="170">
        <f>IF($A94="","",VLOOKUP($A94,'Annex 2 EHV charges'!$D:$O,2,0))</f>
        <v>799</v>
      </c>
      <c r="C94" s="171" t="str">
        <f>IF($A94="","",VLOOKUP($A94,'Annex 2 EHV charges'!$D:$O,3,0))</f>
        <v>1050001450466
1050001450475</v>
      </c>
      <c r="D94" s="168" t="str">
        <f>IF($A94="","",VLOOKUP($A94,'Annex 2 EHV charges'!$D:$O,4,0))</f>
        <v>PALM PAPER LTD</v>
      </c>
      <c r="E94" s="173">
        <f>IFERROR(IF(VLOOKUP($A94,'Annex 2 EHV charges'!$D:$O,9,FALSE)=0,"",VLOOKUP($A94,'Annex 2 EHV charges'!$D:$O,9,FALSE)),"")</f>
        <v>-0.05</v>
      </c>
      <c r="F94" s="174" t="str">
        <f>IFERROR(IF(VLOOKUP($A94,'Annex 2 EHV charges'!$D:$O,10,FALSE)=0,"",VLOOKUP($A94,'Annex 2 EHV charges'!$D:$O,10,FALSE)),"")</f>
        <v>0.00</v>
      </c>
      <c r="G94" s="175">
        <f>IFERROR(IF(VLOOKUP($A94,'Annex 2 EHV charges'!$D:$O,11,FALSE)=0,"",VLOOKUP($A94,'Annex 2 EHV charges'!$D:$O,11,FALSE)),"")</f>
        <v>0.05</v>
      </c>
      <c r="H94" s="175">
        <f>IFERROR(IF(VLOOKUP($A94,'Annex 2 EHV charges'!$D:$O,12,FALSE)=0,"",VLOOKUP($A94,'Annex 2 EHV charges'!$D:$O,12,FALSE)),"")</f>
        <v>0.05</v>
      </c>
    </row>
    <row r="95" spans="1:8" ht="33.75" customHeight="1" x14ac:dyDescent="0.35">
      <c r="A95" s="172" t="str">
        <f t="array" ref="A95">IFERROR(INDEX('Annex 2 EHV charges'!$D$11:$D$218, MATCH(0, IF(ISBLANK('Annex 2 EHV charges'!$D$11:$D$218),1, COUNTIF(A$4:$A94, 'Annex 2 EHV charges'!$D$11:$D$218)), 0)),"")</f>
        <v>PLYTRS</v>
      </c>
      <c r="B95" s="170">
        <f>IF($A95="","",VLOOKUP($A95,'Annex 2 EHV charges'!$D:$O,2,0))</f>
        <v>797</v>
      </c>
      <c r="C95" s="171">
        <f>IF($A95="","",VLOOKUP($A95,'Annex 2 EHV charges'!$D:$O,3,0))</f>
        <v>1050000903174</v>
      </c>
      <c r="D95" s="168" t="str">
        <f>IF($A95="","",VLOOKUP($A95,'Annex 2 EHV charges'!$D:$O,4,0))</f>
        <v>PLAYTERS SOLAR LIMITED</v>
      </c>
      <c r="E95" s="173" t="str">
        <f>IFERROR(IF(VLOOKUP($A95,'Annex 2 EHV charges'!$D:$O,9,FALSE)=0,"",VLOOKUP($A95,'Annex 2 EHV charges'!$D:$O,9,FALSE)),"")</f>
        <v/>
      </c>
      <c r="F95" s="174">
        <f>IFERROR(IF(VLOOKUP($A95,'Annex 2 EHV charges'!$D:$O,10,FALSE)=0,"",VLOOKUP($A95,'Annex 2 EHV charges'!$D:$O,10,FALSE)),"")</f>
        <v>2042.58</v>
      </c>
      <c r="G95" s="175">
        <f>IFERROR(IF(VLOOKUP($A95,'Annex 2 EHV charges'!$D:$O,11,FALSE)=0,"",VLOOKUP($A95,'Annex 2 EHV charges'!$D:$O,11,FALSE)),"")</f>
        <v>0.05</v>
      </c>
      <c r="H95" s="175">
        <f>IFERROR(IF(VLOOKUP($A95,'Annex 2 EHV charges'!$D:$O,12,FALSE)=0,"",VLOOKUP($A95,'Annex 2 EHV charges'!$D:$O,12,FALSE)),"")</f>
        <v>0.05</v>
      </c>
    </row>
    <row r="96" spans="1:8" ht="33.75" customHeight="1" x14ac:dyDescent="0.35">
      <c r="A96" s="172" t="str">
        <f t="array" ref="A96">IFERROR(INDEX('Annex 2 EHV charges'!$D$11:$D$218, MATCH(0, IF(ISBLANK('Annex 2 EHV charges'!$D$11:$D$218),1, COUNTIF(A$4:$A95, 'Annex 2 EHV charges'!$D$11:$D$218)), 0)),"")</f>
        <v>PRHMSF</v>
      </c>
      <c r="B96" s="170">
        <f>IF($A96="","",VLOOKUP($A96,'Annex 2 EHV charges'!$D:$O,2,0))</f>
        <v>777</v>
      </c>
      <c r="C96" s="171">
        <f>IF($A96="","",VLOOKUP($A96,'Annex 2 EHV charges'!$D:$O,3,0))</f>
        <v>1030085040202</v>
      </c>
      <c r="D96" s="168" t="str">
        <f>IF($A96="","",VLOOKUP($A96,'Annex 2 EHV charges'!$D:$O,4,0))</f>
        <v>GG RENEWABLES LIMITED</v>
      </c>
      <c r="E96" s="173" t="str">
        <f>IFERROR(IF(VLOOKUP($A96,'Annex 2 EHV charges'!$D:$O,9,FALSE)=0,"",VLOOKUP($A96,'Annex 2 EHV charges'!$D:$O,9,FALSE)),"")</f>
        <v/>
      </c>
      <c r="F96" s="174">
        <f>IFERROR(IF(VLOOKUP($A96,'Annex 2 EHV charges'!$D:$O,10,FALSE)=0,"",VLOOKUP($A96,'Annex 2 EHV charges'!$D:$O,10,FALSE)),"")</f>
        <v>1852.76</v>
      </c>
      <c r="G96" s="175">
        <f>IFERROR(IF(VLOOKUP($A96,'Annex 2 EHV charges'!$D:$O,11,FALSE)=0,"",VLOOKUP($A96,'Annex 2 EHV charges'!$D:$O,11,FALSE)),"")</f>
        <v>0.05</v>
      </c>
      <c r="H96" s="175">
        <f>IFERROR(IF(VLOOKUP($A96,'Annex 2 EHV charges'!$D:$O,12,FALSE)=0,"",VLOOKUP($A96,'Annex 2 EHV charges'!$D:$O,12,FALSE)),"")</f>
        <v>0.05</v>
      </c>
    </row>
    <row r="97" spans="1:8" ht="33.75" customHeight="1" x14ac:dyDescent="0.35">
      <c r="A97" s="172" t="str">
        <f t="array" ref="A97">IFERROR(INDEX('Annex 2 EHV charges'!$D$11:$D$218, MATCH(0, IF(ISBLANK('Annex 2 EHV charges'!$D$11:$D$218),1, COUNTIF(A$4:$A96, 'Annex 2 EHV charges'!$D$11:$D$218)), 0)),"")</f>
        <v>QRRNDN</v>
      </c>
      <c r="B97" s="170">
        <f>IF($A97="","",VLOOKUP($A97,'Annex 2 EHV charges'!$D:$O,2,0))</f>
        <v>458</v>
      </c>
      <c r="C97" s="171">
        <f>IF($A97="","",VLOOKUP($A97,'Annex 2 EHV charges'!$D:$O,3,0))</f>
        <v>1050000768693</v>
      </c>
      <c r="D97" s="168" t="str">
        <f>IF($A97="","",VLOOKUP($A97,'Annex 2 EHV charges'!$D:$O,4,0))</f>
        <v>AWE RENEWABLES LIMITED</v>
      </c>
      <c r="E97" s="173" t="str">
        <f>IFERROR(IF(VLOOKUP($A97,'Annex 2 EHV charges'!$D:$O,9,FALSE)=0,"",VLOOKUP($A97,'Annex 2 EHV charges'!$D:$O,9,FALSE)),"")</f>
        <v/>
      </c>
      <c r="F97" s="174">
        <f>IFERROR(IF(VLOOKUP($A97,'Annex 2 EHV charges'!$D:$O,10,FALSE)=0,"",VLOOKUP($A97,'Annex 2 EHV charges'!$D:$O,10,FALSE)),"")</f>
        <v>1020.56</v>
      </c>
      <c r="G97" s="175">
        <f>IFERROR(IF(VLOOKUP($A97,'Annex 2 EHV charges'!$D:$O,11,FALSE)=0,"",VLOOKUP($A97,'Annex 2 EHV charges'!$D:$O,11,FALSE)),"")</f>
        <v>0.05</v>
      </c>
      <c r="H97" s="175">
        <f>IFERROR(IF(VLOOKUP($A97,'Annex 2 EHV charges'!$D:$O,12,FALSE)=0,"",VLOOKUP($A97,'Annex 2 EHV charges'!$D:$O,12,FALSE)),"")</f>
        <v>0.05</v>
      </c>
    </row>
    <row r="98" spans="1:8" ht="33.75" customHeight="1" x14ac:dyDescent="0.35">
      <c r="A98" s="172" t="str">
        <f t="array" ref="A98">IFERROR(INDEX('Annex 2 EHV charges'!$D$11:$D$218, MATCH(0, IF(ISBLANK('Annex 2 EHV charges'!$D$11:$D$218),1, COUNTIF(A$4:$A97, 'Annex 2 EHV charges'!$D$11:$D$218)), 0)),"")</f>
        <v>REDTI1</v>
      </c>
      <c r="B98" s="170">
        <f>IF($A98="","",VLOOKUP($A98,'Annex 2 EHV charges'!$D:$O,2,0))</f>
        <v>708</v>
      </c>
      <c r="C98" s="171" t="str">
        <f>IF($A98="","",VLOOKUP($A98,'Annex 2 EHV charges'!$D:$O,3,0))</f>
        <v>1030037258397
1030037258625</v>
      </c>
      <c r="D98" s="168" t="str">
        <f>IF($A98="","",VLOOKUP($A98,'Annex 2 EHV charges'!$D:$O,4,0))</f>
        <v>FENLAND WINDFARMS LIMITED</v>
      </c>
      <c r="E98" s="173" t="str">
        <f>IFERROR(IF(VLOOKUP($A98,'Annex 2 EHV charges'!$D:$O,9,FALSE)=0,"",VLOOKUP($A98,'Annex 2 EHV charges'!$D:$O,9,FALSE)),"")</f>
        <v/>
      </c>
      <c r="F98" s="174">
        <f>IFERROR(IF(VLOOKUP($A98,'Annex 2 EHV charges'!$D:$O,10,FALSE)=0,"",VLOOKUP($A98,'Annex 2 EHV charges'!$D:$O,10,FALSE)),"")</f>
        <v>8014.64</v>
      </c>
      <c r="G98" s="175">
        <f>IFERROR(IF(VLOOKUP($A98,'Annex 2 EHV charges'!$D:$O,11,FALSE)=0,"",VLOOKUP($A98,'Annex 2 EHV charges'!$D:$O,11,FALSE)),"")</f>
        <v>0.05</v>
      </c>
      <c r="H98" s="175">
        <f>IFERROR(IF(VLOOKUP($A98,'Annex 2 EHV charges'!$D:$O,12,FALSE)=0,"",VLOOKUP($A98,'Annex 2 EHV charges'!$D:$O,12,FALSE)),"")</f>
        <v>0.05</v>
      </c>
    </row>
    <row r="99" spans="1:8" ht="33.75" customHeight="1" x14ac:dyDescent="0.35">
      <c r="A99" s="172" t="str">
        <f t="array" ref="A99">IFERROR(INDEX('Annex 2 EHV charges'!$D$11:$D$218, MATCH(0, IF(ISBLANK('Annex 2 EHV charges'!$D$11:$D$218),1, COUNTIF(A$4:$A98, 'Annex 2 EHV charges'!$D$11:$D$218)), 0)),"")</f>
        <v>REYDON</v>
      </c>
      <c r="B99" s="170">
        <f>IF($A99="","",VLOOKUP($A99,'Annex 2 EHV charges'!$D:$O,2,0))</f>
        <v>797</v>
      </c>
      <c r="C99" s="171">
        <f>IF($A99="","",VLOOKUP($A99,'Annex 2 EHV charges'!$D:$O,3,0))</f>
        <v>1050000612807</v>
      </c>
      <c r="D99" s="168" t="str">
        <f>IF($A99="","",VLOOKUP($A99,'Annex 2 EHV charges'!$D:$O,4,0))</f>
        <v>REYDON PV POWER PLANT</v>
      </c>
      <c r="E99" s="173" t="str">
        <f>IFERROR(IF(VLOOKUP($A99,'Annex 2 EHV charges'!$D:$O,9,FALSE)=0,"",VLOOKUP($A99,'Annex 2 EHV charges'!$D:$O,9,FALSE)),"")</f>
        <v/>
      </c>
      <c r="F99" s="174">
        <f>IFERROR(IF(VLOOKUP($A99,'Annex 2 EHV charges'!$D:$O,10,FALSE)=0,"",VLOOKUP($A99,'Annex 2 EHV charges'!$D:$O,10,FALSE)),"")</f>
        <v>559.79</v>
      </c>
      <c r="G99" s="175">
        <f>IFERROR(IF(VLOOKUP($A99,'Annex 2 EHV charges'!$D:$O,11,FALSE)=0,"",VLOOKUP($A99,'Annex 2 EHV charges'!$D:$O,11,FALSE)),"")</f>
        <v>0.05</v>
      </c>
      <c r="H99" s="175">
        <f>IFERROR(IF(VLOOKUP($A99,'Annex 2 EHV charges'!$D:$O,12,FALSE)=0,"",VLOOKUP($A99,'Annex 2 EHV charges'!$D:$O,12,FALSE)),"")</f>
        <v>0.05</v>
      </c>
    </row>
    <row r="100" spans="1:8" ht="33.75" customHeight="1" x14ac:dyDescent="0.35">
      <c r="A100" s="172" t="str">
        <f t="array" ref="A100">IFERROR(INDEX('Annex 2 EHV charges'!$D$11:$D$218, MATCH(0, IF(ISBLANK('Annex 2 EHV charges'!$D$11:$D$218),1, COUNTIF(A$4:$A99, 'Annex 2 EHV charges'!$D$11:$D$218)), 0)),"")</f>
        <v>RMWFII</v>
      </c>
      <c r="B100" s="170">
        <f>IF($A100="","",VLOOKUP($A100,'Annex 2 EHV charges'!$D:$O,2,0))</f>
        <v>797</v>
      </c>
      <c r="C100" s="171">
        <f>IF($A100="","",VLOOKUP($A100,'Annex 2 EHV charges'!$D:$O,3,0))</f>
        <v>1050000811230</v>
      </c>
      <c r="D100" s="168" t="str">
        <f>IF($A100="","",VLOOKUP($A100,'Annex 2 EHV charges'!$D:$O,4,0))</f>
        <v>RAMSEY II LTD</v>
      </c>
      <c r="E100" s="173" t="str">
        <f>IFERROR(IF(VLOOKUP($A100,'Annex 2 EHV charges'!$D:$O,9,FALSE)=0,"",VLOOKUP($A100,'Annex 2 EHV charges'!$D:$O,9,FALSE)),"")</f>
        <v/>
      </c>
      <c r="F100" s="174">
        <f>IFERROR(IF(VLOOKUP($A100,'Annex 2 EHV charges'!$D:$O,10,FALSE)=0,"",VLOOKUP($A100,'Annex 2 EHV charges'!$D:$O,10,FALSE)),"")</f>
        <v>760.63</v>
      </c>
      <c r="G100" s="175">
        <f>IFERROR(IF(VLOOKUP($A100,'Annex 2 EHV charges'!$D:$O,11,FALSE)=0,"",VLOOKUP($A100,'Annex 2 EHV charges'!$D:$O,11,FALSE)),"")</f>
        <v>0.05</v>
      </c>
      <c r="H100" s="175">
        <f>IFERROR(IF(VLOOKUP($A100,'Annex 2 EHV charges'!$D:$O,12,FALSE)=0,"",VLOOKUP($A100,'Annex 2 EHV charges'!$D:$O,12,FALSE)),"")</f>
        <v>0.05</v>
      </c>
    </row>
    <row r="101" spans="1:8" ht="33.75" customHeight="1" x14ac:dyDescent="0.35">
      <c r="A101" s="172" t="str">
        <f t="array" ref="A101">IFERROR(INDEX('Annex 2 EHV charges'!$D$11:$D$218, MATCH(0, IF(ISBLANK('Annex 2 EHV charges'!$D$11:$D$218),1, COUNTIF(A$4:$A100, 'Annex 2 EHV charges'!$D$11:$D$218)), 0)),"")</f>
        <v>ROYSTN</v>
      </c>
      <c r="B101" s="170">
        <f>IF($A101="","",VLOOKUP($A101,'Annex 2 EHV charges'!$D:$O,2,0))</f>
        <v>797</v>
      </c>
      <c r="C101" s="171">
        <f>IF($A101="","",VLOOKUP($A101,'Annex 2 EHV charges'!$D:$O,3,0))</f>
        <v>1050000996114</v>
      </c>
      <c r="D101" s="168" t="str">
        <f>IF($A101="","",VLOOKUP($A101,'Annex 2 EHV charges'!$D:$O,4,0))</f>
        <v>ROYSTON SOLAR FARM</v>
      </c>
      <c r="E101" s="173" t="str">
        <f>IFERROR(IF(VLOOKUP($A101,'Annex 2 EHV charges'!$D:$O,9,FALSE)=0,"",VLOOKUP($A101,'Annex 2 EHV charges'!$D:$O,9,FALSE)),"")</f>
        <v/>
      </c>
      <c r="F101" s="174">
        <f>IFERROR(IF(VLOOKUP($A101,'Annex 2 EHV charges'!$D:$O,10,FALSE)=0,"",VLOOKUP($A101,'Annex 2 EHV charges'!$D:$O,10,FALSE)),"")</f>
        <v>459.58</v>
      </c>
      <c r="G101" s="175">
        <f>IFERROR(IF(VLOOKUP($A101,'Annex 2 EHV charges'!$D:$O,11,FALSE)=0,"",VLOOKUP($A101,'Annex 2 EHV charges'!$D:$O,11,FALSE)),"")</f>
        <v>0.05</v>
      </c>
      <c r="H101" s="175">
        <f>IFERROR(IF(VLOOKUP($A101,'Annex 2 EHV charges'!$D:$O,12,FALSE)=0,"",VLOOKUP($A101,'Annex 2 EHV charges'!$D:$O,12,FALSE)),"")</f>
        <v>0.05</v>
      </c>
    </row>
    <row r="102" spans="1:8" ht="33.75" customHeight="1" x14ac:dyDescent="0.35">
      <c r="A102" s="172" t="str">
        <f t="array" ref="A102">IFERROR(INDEX('Annex 2 EHV charges'!$D$11:$D$218, MATCH(0, IF(ISBLANK('Annex 2 EHV charges'!$D$11:$D$218),1, COUNTIF(A$4:$A101, 'Annex 2 EHV charges'!$D$11:$D$218)), 0)),"")</f>
        <v>SALHSE</v>
      </c>
      <c r="B102" s="170">
        <f>IF($A102="","",VLOOKUP($A102,'Annex 2 EHV charges'!$D:$O,2,0))</f>
        <v>797</v>
      </c>
      <c r="C102" s="171">
        <f>IF($A102="","",VLOOKUP($A102,'Annex 2 EHV charges'!$D:$O,3,0))</f>
        <v>1050000946034</v>
      </c>
      <c r="D102" s="168" t="str">
        <f>IF($A102="","",VLOOKUP($A102,'Annex 2 EHV charges'!$D:$O,4,0))</f>
        <v>SALHOUSE SOLAR</v>
      </c>
      <c r="E102" s="173" t="str">
        <f>IFERROR(IF(VLOOKUP($A102,'Annex 2 EHV charges'!$D:$O,9,FALSE)=0,"",VLOOKUP($A102,'Annex 2 EHV charges'!$D:$O,9,FALSE)),"")</f>
        <v/>
      </c>
      <c r="F102" s="174">
        <f>IFERROR(IF(VLOOKUP($A102,'Annex 2 EHV charges'!$D:$O,10,FALSE)=0,"",VLOOKUP($A102,'Annex 2 EHV charges'!$D:$O,10,FALSE)),"")</f>
        <v>505.5</v>
      </c>
      <c r="G102" s="175">
        <f>IFERROR(IF(VLOOKUP($A102,'Annex 2 EHV charges'!$D:$O,11,FALSE)=0,"",VLOOKUP($A102,'Annex 2 EHV charges'!$D:$O,11,FALSE)),"")</f>
        <v>0.05</v>
      </c>
      <c r="H102" s="175">
        <f>IFERROR(IF(VLOOKUP($A102,'Annex 2 EHV charges'!$D:$O,12,FALSE)=0,"",VLOOKUP($A102,'Annex 2 EHV charges'!$D:$O,12,FALSE)),"")</f>
        <v>0.05</v>
      </c>
    </row>
    <row r="103" spans="1:8" ht="33.75" customHeight="1" x14ac:dyDescent="0.35">
      <c r="A103" s="172" t="str">
        <f t="array" ref="A103">IFERROR(INDEX('Annex 2 EHV charges'!$D$11:$D$218, MATCH(0, IF(ISBLANK('Annex 2 EHV charges'!$D$11:$D$218),1, COUNTIF(A$4:$A102, 'Annex 2 EHV charges'!$D$11:$D$218)), 0)),"")</f>
        <v>SCTTOW</v>
      </c>
      <c r="B103" s="170">
        <f>IF($A103="","",VLOOKUP($A103,'Annex 2 EHV charges'!$D:$O,2,0))</f>
        <v>459</v>
      </c>
      <c r="C103" s="171">
        <f>IF($A103="","",VLOOKUP($A103,'Annex 2 EHV charges'!$D:$O,3,0))</f>
        <v>1050000841971</v>
      </c>
      <c r="D103" s="168" t="str">
        <f>IF($A103="","",VLOOKUP($A103,'Annex 2 EHV charges'!$D:$O,4,0))</f>
        <v>SCOTTOW MOOR SOLAR LIMITED</v>
      </c>
      <c r="E103" s="173" t="str">
        <f>IFERROR(IF(VLOOKUP($A103,'Annex 2 EHV charges'!$D:$O,9,FALSE)=0,"",VLOOKUP($A103,'Annex 2 EHV charges'!$D:$O,9,FALSE)),"")</f>
        <v/>
      </c>
      <c r="F103" s="174">
        <f>IFERROR(IF(VLOOKUP($A103,'Annex 2 EHV charges'!$D:$O,10,FALSE)=0,"",VLOOKUP($A103,'Annex 2 EHV charges'!$D:$O,10,FALSE)),"")</f>
        <v>1283.57</v>
      </c>
      <c r="G103" s="175">
        <f>IFERROR(IF(VLOOKUP($A103,'Annex 2 EHV charges'!$D:$O,11,FALSE)=0,"",VLOOKUP($A103,'Annex 2 EHV charges'!$D:$O,11,FALSE)),"")</f>
        <v>0.05</v>
      </c>
      <c r="H103" s="175">
        <f>IFERROR(IF(VLOOKUP($A103,'Annex 2 EHV charges'!$D:$O,12,FALSE)=0,"",VLOOKUP($A103,'Annex 2 EHV charges'!$D:$O,12,FALSE)),"")</f>
        <v>0.05</v>
      </c>
    </row>
    <row r="104" spans="1:8" ht="33.75" customHeight="1" x14ac:dyDescent="0.35">
      <c r="A104" s="172" t="str">
        <f t="array" ref="A104">IFERROR(INDEX('Annex 2 EHV charges'!$D$11:$D$218, MATCH(0, IF(ISBLANK('Annex 2 EHV charges'!$D$11:$D$218),1, COUNTIF(A$4:$A103, 'Annex 2 EHV charges'!$D$11:$D$218)), 0)),"")</f>
        <v>SFKEFW</v>
      </c>
      <c r="B104" s="170">
        <f>IF($A104="","",VLOOKUP($A104,'Annex 2 EHV charges'!$D:$O,2,0))</f>
        <v>470</v>
      </c>
      <c r="C104" s="171">
        <f>IF($A104="","",VLOOKUP($A104,'Annex 2 EHV charges'!$D:$O,3,0))</f>
        <v>1050000628018</v>
      </c>
      <c r="D104" s="168" t="str">
        <f>IF($A104="","",VLOOKUP($A104,'Annex 2 EHV charges'!$D:$O,4,0))</f>
        <v>SITA UK</v>
      </c>
      <c r="E104" s="173">
        <f>IFERROR(IF(VLOOKUP($A104,'Annex 2 EHV charges'!$D:$O,9,FALSE)=0,"",VLOOKUP($A104,'Annex 2 EHV charges'!$D:$O,9,FALSE)),"")</f>
        <v>-2.0369999999999999</v>
      </c>
      <c r="F104" s="174">
        <f>IFERROR(IF(VLOOKUP($A104,'Annex 2 EHV charges'!$D:$O,10,FALSE)=0,"",VLOOKUP($A104,'Annex 2 EHV charges'!$D:$O,10,FALSE)),"")</f>
        <v>5044.54</v>
      </c>
      <c r="G104" s="175">
        <f>IFERROR(IF(VLOOKUP($A104,'Annex 2 EHV charges'!$D:$O,11,FALSE)=0,"",VLOOKUP($A104,'Annex 2 EHV charges'!$D:$O,11,FALSE)),"")</f>
        <v>0.05</v>
      </c>
      <c r="H104" s="175">
        <f>IFERROR(IF(VLOOKUP($A104,'Annex 2 EHV charges'!$D:$O,12,FALSE)=0,"",VLOOKUP($A104,'Annex 2 EHV charges'!$D:$O,12,FALSE)),"")</f>
        <v>0.05</v>
      </c>
    </row>
    <row r="105" spans="1:8" ht="33.75" customHeight="1" x14ac:dyDescent="0.35">
      <c r="A105" s="172" t="str">
        <f t="array" ref="A105">IFERROR(INDEX('Annex 2 EHV charges'!$D$11:$D$218, MATCH(0, IF(ISBLANK('Annex 2 EHV charges'!$D$11:$D$218),1, COUNTIF(A$4:$A104, 'Annex 2 EHV charges'!$D$11:$D$218)), 0)),"")</f>
        <v>SHERSH</v>
      </c>
      <c r="B105" s="170">
        <f>IF($A105="","",VLOOKUP($A105,'Annex 2 EHV charges'!$D:$O,2,0))</f>
        <v>7234</v>
      </c>
      <c r="C105" s="171" t="str">
        <f>IF($A105="","",VLOOKUP($A105,'Annex 2 EHV charges'!$D:$O,3,0))</f>
        <v xml:space="preserve"> MSID: 7234</v>
      </c>
      <c r="D105" s="168" t="str">
        <f>IF($A105="","",VLOOKUP($A105,'Annex 2 EHV charges'!$D:$O,4,0))</f>
        <v>SCIRA OFFSHORE ENERGY LIMITED</v>
      </c>
      <c r="E105" s="173" t="str">
        <f>IFERROR(IF(VLOOKUP($A105,'Annex 2 EHV charges'!$D:$O,9,FALSE)=0,"",VLOOKUP($A105,'Annex 2 EHV charges'!$D:$O,9,FALSE)),"")</f>
        <v/>
      </c>
      <c r="F105" s="174">
        <f>IFERROR(IF(VLOOKUP($A105,'Annex 2 EHV charges'!$D:$O,10,FALSE)=0,"",VLOOKUP($A105,'Annex 2 EHV charges'!$D:$O,10,FALSE)),"")</f>
        <v>1662.7</v>
      </c>
      <c r="G105" s="175">
        <f>IFERROR(IF(VLOOKUP($A105,'Annex 2 EHV charges'!$D:$O,11,FALSE)=0,"",VLOOKUP($A105,'Annex 2 EHV charges'!$D:$O,11,FALSE)),"")</f>
        <v>0.05</v>
      </c>
      <c r="H105" s="175">
        <f>IFERROR(IF(VLOOKUP($A105,'Annex 2 EHV charges'!$D:$O,12,FALSE)=0,"",VLOOKUP($A105,'Annex 2 EHV charges'!$D:$O,12,FALSE)),"")</f>
        <v>0.05</v>
      </c>
    </row>
    <row r="106" spans="1:8" ht="33.75" customHeight="1" x14ac:dyDescent="0.35">
      <c r="A106" s="172" t="str">
        <f t="array" ref="A106">IFERROR(INDEX('Annex 2 EHV charges'!$D$11:$D$218, MATCH(0, IF(ISBLANK('Annex 2 EHV charges'!$D$11:$D$218),1, COUNTIF(A$4:$A105, 'Annex 2 EHV charges'!$D$11:$D$218)), 0)),"")</f>
        <v>SPRIGS</v>
      </c>
      <c r="B106" s="170">
        <f>IF($A106="","",VLOOKUP($A106,'Annex 2 EHV charges'!$D:$O,2,0))</f>
        <v>778</v>
      </c>
      <c r="C106" s="171">
        <f>IF($A106="","",VLOOKUP($A106,'Annex 2 EHV charges'!$D:$O,3,0))</f>
        <v>1050000540028</v>
      </c>
      <c r="D106" s="168" t="str">
        <f>IF($A106="","",VLOOKUP($A106,'Annex 2 EHV charges'!$D:$O,4,0))</f>
        <v>SPRIGGS SOLAR LIMITED</v>
      </c>
      <c r="E106" s="173" t="str">
        <f>IFERROR(IF(VLOOKUP($A106,'Annex 2 EHV charges'!$D:$O,9,FALSE)=0,"",VLOOKUP($A106,'Annex 2 EHV charges'!$D:$O,9,FALSE)),"")</f>
        <v/>
      </c>
      <c r="F106" s="174">
        <f>IFERROR(IF(VLOOKUP($A106,'Annex 2 EHV charges'!$D:$O,10,FALSE)=0,"",VLOOKUP($A106,'Annex 2 EHV charges'!$D:$O,10,FALSE)),"")</f>
        <v>653.65</v>
      </c>
      <c r="G106" s="175">
        <f>IFERROR(IF(VLOOKUP($A106,'Annex 2 EHV charges'!$D:$O,11,FALSE)=0,"",VLOOKUP($A106,'Annex 2 EHV charges'!$D:$O,11,FALSE)),"")</f>
        <v>0.05</v>
      </c>
      <c r="H106" s="175">
        <f>IFERROR(IF(VLOOKUP($A106,'Annex 2 EHV charges'!$D:$O,12,FALSE)=0,"",VLOOKUP($A106,'Annex 2 EHV charges'!$D:$O,12,FALSE)),"")</f>
        <v>0.05</v>
      </c>
    </row>
    <row r="107" spans="1:8" ht="33.75" customHeight="1" x14ac:dyDescent="0.35">
      <c r="A107" s="172" t="str">
        <f t="array" ref="A107">IFERROR(INDEX('Annex 2 EHV charges'!$D$11:$D$218, MATCH(0, IF(ISBLANK('Annex 2 EHV charges'!$D$11:$D$218),1, COUNTIF(A$4:$A106, 'Annex 2 EHV charges'!$D$11:$D$218)), 0)),"")</f>
        <v>STAGSH</v>
      </c>
      <c r="B107" s="170">
        <f>IF($A107="","",VLOOKUP($A107,'Annex 2 EHV charges'!$D:$O,2,0))</f>
        <v>717</v>
      </c>
      <c r="C107" s="171">
        <f>IF($A107="","",VLOOKUP($A107,'Annex 2 EHV charges'!$D:$O,3,0))</f>
        <v>1030037478509</v>
      </c>
      <c r="D107" s="168" t="str">
        <f>IF($A107="","",VLOOKUP($A107,'Annex 2 EHV charges'!$D:$O,4,0))</f>
        <v>EON RENEWABLES</v>
      </c>
      <c r="E107" s="173" t="str">
        <f>IFERROR(IF(VLOOKUP($A107,'Annex 2 EHV charges'!$D:$O,9,FALSE)=0,"",VLOOKUP($A107,'Annex 2 EHV charges'!$D:$O,9,FALSE)),"")</f>
        <v/>
      </c>
      <c r="F107" s="174">
        <f>IFERROR(IF(VLOOKUP($A107,'Annex 2 EHV charges'!$D:$O,10,FALSE)=0,"",VLOOKUP($A107,'Annex 2 EHV charges'!$D:$O,10,FALSE)),"")</f>
        <v>3688.6</v>
      </c>
      <c r="G107" s="175">
        <f>IFERROR(IF(VLOOKUP($A107,'Annex 2 EHV charges'!$D:$O,11,FALSE)=0,"",VLOOKUP($A107,'Annex 2 EHV charges'!$D:$O,11,FALSE)),"")</f>
        <v>0.05</v>
      </c>
      <c r="H107" s="175">
        <f>IFERROR(IF(VLOOKUP($A107,'Annex 2 EHV charges'!$D:$O,12,FALSE)=0,"",VLOOKUP($A107,'Annex 2 EHV charges'!$D:$O,12,FALSE)),"")</f>
        <v>0.05</v>
      </c>
    </row>
    <row r="108" spans="1:8" ht="33.75" customHeight="1" x14ac:dyDescent="0.35">
      <c r="A108" s="172" t="str">
        <f t="array" ref="A108">IFERROR(INDEX('Annex 2 EHV charges'!$D$11:$D$218, MATCH(0, IF(ISBLANK('Annex 2 EHV charges'!$D$11:$D$218),1, COUNTIF(A$4:$A107, 'Annex 2 EHV charges'!$D$11:$D$218)), 0)),"")</f>
        <v>STEVRD</v>
      </c>
      <c r="B108" s="170">
        <f>IF($A108="","",VLOOKUP($A108,'Annex 2 EHV charges'!$D:$O,2,0))</f>
        <v>797</v>
      </c>
      <c r="C108" s="171">
        <f>IF($A108="","",VLOOKUP($A108,'Annex 2 EHV charges'!$D:$O,3,0))</f>
        <v>1050000979777</v>
      </c>
      <c r="D108" s="168" t="str">
        <f>IF($A108="","",VLOOKUP($A108,'Annex 2 EHV charges'!$D:$O,4,0))</f>
        <v>STEVENAGE SOLAR FARM</v>
      </c>
      <c r="E108" s="173" t="str">
        <f>IFERROR(IF(VLOOKUP($A108,'Annex 2 EHV charges'!$D:$O,9,FALSE)=0,"",VLOOKUP($A108,'Annex 2 EHV charges'!$D:$O,9,FALSE)),"")</f>
        <v/>
      </c>
      <c r="F108" s="174">
        <f>IFERROR(IF(VLOOKUP($A108,'Annex 2 EHV charges'!$D:$O,10,FALSE)=0,"",VLOOKUP($A108,'Annex 2 EHV charges'!$D:$O,10,FALSE)),"")</f>
        <v>406.86</v>
      </c>
      <c r="G108" s="175">
        <f>IFERROR(IF(VLOOKUP($A108,'Annex 2 EHV charges'!$D:$O,11,FALSE)=0,"",VLOOKUP($A108,'Annex 2 EHV charges'!$D:$O,11,FALSE)),"")</f>
        <v>0.05</v>
      </c>
      <c r="H108" s="175">
        <f>IFERROR(IF(VLOOKUP($A108,'Annex 2 EHV charges'!$D:$O,12,FALSE)=0,"",VLOOKUP($A108,'Annex 2 EHV charges'!$D:$O,12,FALSE)),"")</f>
        <v>0.05</v>
      </c>
    </row>
    <row r="109" spans="1:8" ht="33.75" customHeight="1" x14ac:dyDescent="0.35">
      <c r="A109" s="172" t="str">
        <f t="array" ref="A109">IFERROR(INDEX('Annex 2 EHV charges'!$D$11:$D$218, MATCH(0, IF(ISBLANK('Annex 2 EHV charges'!$D$11:$D$218),1, COUNTIF(A$4:$A108, 'Annex 2 EHV charges'!$D$11:$D$218)), 0)),"")</f>
        <v>STOSTH</v>
      </c>
      <c r="B109" s="170">
        <f>IF($A109="","",VLOOKUP($A109,'Annex 2 EHV charges'!$D:$O,2,0))</f>
        <v>460</v>
      </c>
      <c r="C109" s="171">
        <f>IF($A109="","",VLOOKUP($A109,'Annex 2 EHV charges'!$D:$O,3,0))</f>
        <v>1050000759740</v>
      </c>
      <c r="D109" s="168" t="str">
        <f>IF($A109="","",VLOOKUP($A109,'Annex 2 EHV charges'!$D:$O,4,0))</f>
        <v>CHISBORN SOLAR FARM LTD</v>
      </c>
      <c r="E109" s="173" t="str">
        <f>IFERROR(IF(VLOOKUP($A109,'Annex 2 EHV charges'!$D:$O,9,FALSE)=0,"",VLOOKUP($A109,'Annex 2 EHV charges'!$D:$O,9,FALSE)),"")</f>
        <v/>
      </c>
      <c r="F109" s="174">
        <f>IFERROR(IF(VLOOKUP($A109,'Annex 2 EHV charges'!$D:$O,10,FALSE)=0,"",VLOOKUP($A109,'Annex 2 EHV charges'!$D:$O,10,FALSE)),"")</f>
        <v>1293.58</v>
      </c>
      <c r="G109" s="175">
        <f>IFERROR(IF(VLOOKUP($A109,'Annex 2 EHV charges'!$D:$O,11,FALSE)=0,"",VLOOKUP($A109,'Annex 2 EHV charges'!$D:$O,11,FALSE)),"")</f>
        <v>0.05</v>
      </c>
      <c r="H109" s="175">
        <f>IFERROR(IF(VLOOKUP($A109,'Annex 2 EHV charges'!$D:$O,12,FALSE)=0,"",VLOOKUP($A109,'Annex 2 EHV charges'!$D:$O,12,FALSE)),"")</f>
        <v>0.05</v>
      </c>
    </row>
    <row r="110" spans="1:8" ht="33.75" customHeight="1" x14ac:dyDescent="0.35">
      <c r="A110" s="172" t="str">
        <f t="array" ref="A110">IFERROR(INDEX('Annex 2 EHV charges'!$D$11:$D$218, MATCH(0, IF(ISBLANK('Annex 2 EHV charges'!$D$11:$D$218),1, COUNTIF(A$4:$A109, 'Annex 2 EHV charges'!$D$11:$D$218)), 0)),"")</f>
        <v>STRTHL</v>
      </c>
      <c r="B110" s="170">
        <f>IF($A110="","",VLOOKUP($A110,'Annex 2 EHV charges'!$D:$O,2,0))</f>
        <v>775</v>
      </c>
      <c r="C110" s="171">
        <f>IF($A110="","",VLOOKUP($A110,'Annex 2 EHV charges'!$D:$O,3,0))</f>
        <v>1050000563381</v>
      </c>
      <c r="D110" s="168" t="str">
        <f>IF($A110="","",VLOOKUP($A110,'Annex 2 EHV charges'!$D:$O,4,0))</f>
        <v>ELLI SOLAR SPV1 LIMITED</v>
      </c>
      <c r="E110" s="173" t="str">
        <f>IFERROR(IF(VLOOKUP($A110,'Annex 2 EHV charges'!$D:$O,9,FALSE)=0,"",VLOOKUP($A110,'Annex 2 EHV charges'!$D:$O,9,FALSE)),"")</f>
        <v/>
      </c>
      <c r="F110" s="174">
        <f>IFERROR(IF(VLOOKUP($A110,'Annex 2 EHV charges'!$D:$O,10,FALSE)=0,"",VLOOKUP($A110,'Annex 2 EHV charges'!$D:$O,10,FALSE)),"")</f>
        <v>282.93</v>
      </c>
      <c r="G110" s="175">
        <f>IFERROR(IF(VLOOKUP($A110,'Annex 2 EHV charges'!$D:$O,11,FALSE)=0,"",VLOOKUP($A110,'Annex 2 EHV charges'!$D:$O,11,FALSE)),"")</f>
        <v>0.05</v>
      </c>
      <c r="H110" s="175">
        <f>IFERROR(IF(VLOOKUP($A110,'Annex 2 EHV charges'!$D:$O,12,FALSE)=0,"",VLOOKUP($A110,'Annex 2 EHV charges'!$D:$O,12,FALSE)),"")</f>
        <v>0.05</v>
      </c>
    </row>
    <row r="111" spans="1:8" x14ac:dyDescent="0.35">
      <c r="A111" s="172" t="str">
        <f t="array" ref="A111">IFERROR(INDEX('Annex 2 EHV charges'!$D$11:$D$218, MATCH(0, IF(ISBLANK('Annex 2 EHV charges'!$D$11:$D$218),1, COUNTIF(A$4:$A110, 'Annex 2 EHV charges'!$D$11:$D$218)), 0)),"")</f>
        <v>STWBRG</v>
      </c>
      <c r="B111" s="170">
        <f>IF($A111="","",VLOOKUP($A111,'Annex 2 EHV charges'!$D:$O,2,0))</f>
        <v>732</v>
      </c>
      <c r="C111" s="171">
        <f>IF($A111="","",VLOOKUP($A111,'Annex 2 EHV charges'!$D:$O,3,0))</f>
        <v>1050000613856</v>
      </c>
      <c r="D111" s="168" t="str">
        <f>IF($A111="","",VLOOKUP($A111,'Annex 2 EHV charges'!$D:$O,4,0))</f>
        <v>FCP SOLAR LIMITED</v>
      </c>
      <c r="E111" s="173" t="str">
        <f>IFERROR(IF(VLOOKUP($A111,'Annex 2 EHV charges'!$D:$O,9,FALSE)=0,"",VLOOKUP($A111,'Annex 2 EHV charges'!$D:$O,9,FALSE)),"")</f>
        <v/>
      </c>
      <c r="F111" s="174">
        <f>IFERROR(IF(VLOOKUP($A111,'Annex 2 EHV charges'!$D:$O,10,FALSE)=0,"",VLOOKUP($A111,'Annex 2 EHV charges'!$D:$O,10,FALSE)),"")</f>
        <v>975.15</v>
      </c>
      <c r="G111" s="175">
        <f>IFERROR(IF(VLOOKUP($A111,'Annex 2 EHV charges'!$D:$O,11,FALSE)=0,"",VLOOKUP($A111,'Annex 2 EHV charges'!$D:$O,11,FALSE)),"")</f>
        <v>0.05</v>
      </c>
      <c r="H111" s="175">
        <f>IFERROR(IF(VLOOKUP($A111,'Annex 2 EHV charges'!$D:$O,12,FALSE)=0,"",VLOOKUP($A111,'Annex 2 EHV charges'!$D:$O,12,FALSE)),"")</f>
        <v>0.05</v>
      </c>
    </row>
    <row r="112" spans="1:8" ht="33.75" customHeight="1" x14ac:dyDescent="0.35">
      <c r="A112" s="172" t="str">
        <f t="array" ref="A112">IFERROR(INDEX('Annex 2 EHV charges'!$D$11:$D$218, MATCH(0, IF(ISBLANK('Annex 2 EHV charges'!$D$11:$D$218),1, COUNTIF(A$4:$A111, 'Annex 2 EHV charges'!$D$11:$D$218)), 0)),"")</f>
        <v>TILBUR</v>
      </c>
      <c r="B112" s="170">
        <f>IF($A112="","",VLOOKUP($A112,'Annex 2 EHV charges'!$D:$O,2,0))</f>
        <v>733</v>
      </c>
      <c r="C112" s="171" t="str">
        <f>IF($A112="","",VLOOKUP($A112,'Annex 2 EHV charges'!$D:$O,3,0))</f>
        <v>1030084129409
1030084129630
1030084129862</v>
      </c>
      <c r="D112" s="168" t="str">
        <f>IF($A112="","",VLOOKUP($A112,'Annex 2 EHV charges'!$D:$O,4,0))</f>
        <v>FORTH PORTS PLC</v>
      </c>
      <c r="E112" s="173" t="str">
        <f>IFERROR(IF(VLOOKUP($A112,'Annex 2 EHV charges'!$D:$O,9,FALSE)=0,"",VLOOKUP($A112,'Annex 2 EHV charges'!$D:$O,9,FALSE)),"")</f>
        <v/>
      </c>
      <c r="F112" s="174">
        <f>IFERROR(IF(VLOOKUP($A112,'Annex 2 EHV charges'!$D:$O,10,FALSE)=0,"",VLOOKUP($A112,'Annex 2 EHV charges'!$D:$O,10,FALSE)),"")</f>
        <v>716.71</v>
      </c>
      <c r="G112" s="175">
        <f>IFERROR(IF(VLOOKUP($A112,'Annex 2 EHV charges'!$D:$O,11,FALSE)=0,"",VLOOKUP($A112,'Annex 2 EHV charges'!$D:$O,11,FALSE)),"")</f>
        <v>0.05</v>
      </c>
      <c r="H112" s="175">
        <f>IFERROR(IF(VLOOKUP($A112,'Annex 2 EHV charges'!$D:$O,12,FALSE)=0,"",VLOOKUP($A112,'Annex 2 EHV charges'!$D:$O,12,FALSE)),"")</f>
        <v>0.05</v>
      </c>
    </row>
    <row r="113" spans="1:8" ht="33.75" customHeight="1" x14ac:dyDescent="0.35">
      <c r="A113" s="172" t="str">
        <f t="array" ref="A113">IFERROR(INDEX('Annex 2 EHV charges'!$D$11:$D$218, MATCH(0, IF(ISBLANK('Annex 2 EHV charges'!$D$11:$D$218),1, COUNTIF(A$4:$A112, 'Annex 2 EHV charges'!$D$11:$D$218)), 0)),"")</f>
        <v>TOOLEY</v>
      </c>
      <c r="B113" s="170">
        <f>IF($A113="","",VLOOKUP($A113,'Annex 2 EHV charges'!$D:$O,2,0))</f>
        <v>797</v>
      </c>
      <c r="C113" s="171" t="str">
        <f>IF($A113="","",VLOOKUP($A113,'Annex 2 EHV charges'!$D:$O,3,0))</f>
        <v>1050000903226
1050000775185</v>
      </c>
      <c r="D113" s="168" t="str">
        <f>IF($A113="","",VLOOKUP($A113,'Annex 2 EHV charges'!$D:$O,4,0))</f>
        <v>LIGHTSOURCE SPV 144 LIMITED</v>
      </c>
      <c r="E113" s="173" t="str">
        <f>IFERROR(IF(VLOOKUP($A113,'Annex 2 EHV charges'!$D:$O,9,FALSE)=0,"",VLOOKUP($A113,'Annex 2 EHV charges'!$D:$O,9,FALSE)),"")</f>
        <v/>
      </c>
      <c r="F113" s="174">
        <f>IFERROR(IF(VLOOKUP($A113,'Annex 2 EHV charges'!$D:$O,10,FALSE)=0,"",VLOOKUP($A113,'Annex 2 EHV charges'!$D:$O,10,FALSE)),"")</f>
        <v>856.44</v>
      </c>
      <c r="G113" s="175">
        <f>IFERROR(IF(VLOOKUP($A113,'Annex 2 EHV charges'!$D:$O,11,FALSE)=0,"",VLOOKUP($A113,'Annex 2 EHV charges'!$D:$O,11,FALSE)),"")</f>
        <v>0.05</v>
      </c>
      <c r="H113" s="175">
        <f>IFERROR(IF(VLOOKUP($A113,'Annex 2 EHV charges'!$D:$O,12,FALSE)=0,"",VLOOKUP($A113,'Annex 2 EHV charges'!$D:$O,12,FALSE)),"")</f>
        <v>0.05</v>
      </c>
    </row>
    <row r="114" spans="1:8" ht="33.75" customHeight="1" x14ac:dyDescent="0.35">
      <c r="A114" s="172" t="str">
        <f t="array" ref="A114">IFERROR(INDEX('Annex 2 EHV charges'!$D$11:$D$218, MATCH(0, IF(ISBLANK('Annex 2 EHV charges'!$D$11:$D$218),1, COUNTIF(A$4:$A113, 'Annex 2 EHV charges'!$D$11:$D$218)), 0)),"")</f>
        <v>VINESF</v>
      </c>
      <c r="B114" s="170">
        <f>IF($A114="","",VLOOKUP($A114,'Annex 2 EHV charges'!$D:$O,2,0))</f>
        <v>799</v>
      </c>
      <c r="C114" s="171">
        <f>IF($A114="","",VLOOKUP($A114,'Annex 2 EHV charges'!$D:$O,3,0))</f>
        <v>1050000996150</v>
      </c>
      <c r="D114" s="168" t="str">
        <f>IF($A114="","",VLOOKUP($A114,'Annex 2 EHV charges'!$D:$O,4,0))</f>
        <v>VINES SOLAR</v>
      </c>
      <c r="E114" s="173" t="str">
        <f>IFERROR(IF(VLOOKUP($A114,'Annex 2 EHV charges'!$D:$O,9,FALSE)=0,"",VLOOKUP($A114,'Annex 2 EHV charges'!$D:$O,9,FALSE)),"")</f>
        <v/>
      </c>
      <c r="F114" s="174">
        <f>IFERROR(IF(VLOOKUP($A114,'Annex 2 EHV charges'!$D:$O,10,FALSE)=0,"",VLOOKUP($A114,'Annex 2 EHV charges'!$D:$O,10,FALSE)),"")</f>
        <v>15999.29</v>
      </c>
      <c r="G114" s="175">
        <f>IFERROR(IF(VLOOKUP($A114,'Annex 2 EHV charges'!$D:$O,11,FALSE)=0,"",VLOOKUP($A114,'Annex 2 EHV charges'!$D:$O,11,FALSE)),"")</f>
        <v>0.05</v>
      </c>
      <c r="H114" s="175">
        <f>IFERROR(IF(VLOOKUP($A114,'Annex 2 EHV charges'!$D:$O,12,FALSE)=0,"",VLOOKUP($A114,'Annex 2 EHV charges'!$D:$O,12,FALSE)),"")</f>
        <v>0.05</v>
      </c>
    </row>
    <row r="115" spans="1:8" ht="33.75" customHeight="1" x14ac:dyDescent="0.35">
      <c r="A115" s="172" t="str">
        <f t="array" ref="A115">IFERROR(INDEX('Annex 2 EHV charges'!$D$11:$D$218, MATCH(0, IF(ISBLANK('Annex 2 EHV charges'!$D$11:$D$218),1, COUNTIF(A$4:$A114, 'Annex 2 EHV charges'!$D$11:$D$218)), 0)),"")</f>
        <v>WAIRWF</v>
      </c>
      <c r="B115" s="170">
        <f>IF($A115="","",VLOOKUP($A115,'Annex 2 EHV charges'!$D:$O,2,0))</f>
        <v>779</v>
      </c>
      <c r="C115" s="171">
        <f>IF($A115="","",VLOOKUP($A115,'Annex 2 EHV charges'!$D:$O,3,0))</f>
        <v>1050000529664</v>
      </c>
      <c r="D115" s="168" t="str">
        <f>IF($A115="","",VLOOKUP($A115,'Annex 2 EHV charges'!$D:$O,4,0))</f>
        <v>BERNARD MATTHEWS WIND FARM (WESTON) LLP</v>
      </c>
      <c r="E115" s="173" t="str">
        <f>IFERROR(IF(VLOOKUP($A115,'Annex 2 EHV charges'!$D:$O,9,FALSE)=0,"",VLOOKUP($A115,'Annex 2 EHV charges'!$D:$O,9,FALSE)),"")</f>
        <v/>
      </c>
      <c r="F115" s="174">
        <f>IFERROR(IF(VLOOKUP($A115,'Annex 2 EHV charges'!$D:$O,10,FALSE)=0,"",VLOOKUP($A115,'Annex 2 EHV charges'!$D:$O,10,FALSE)),"")</f>
        <v>886.11</v>
      </c>
      <c r="G115" s="175">
        <f>IFERROR(IF(VLOOKUP($A115,'Annex 2 EHV charges'!$D:$O,11,FALSE)=0,"",VLOOKUP($A115,'Annex 2 EHV charges'!$D:$O,11,FALSE)),"")</f>
        <v>0.05</v>
      </c>
      <c r="H115" s="175">
        <f>IFERROR(IF(VLOOKUP($A115,'Annex 2 EHV charges'!$D:$O,12,FALSE)=0,"",VLOOKUP($A115,'Annex 2 EHV charges'!$D:$O,12,FALSE)),"")</f>
        <v>0.05</v>
      </c>
    </row>
    <row r="116" spans="1:8" ht="33.75" customHeight="1" x14ac:dyDescent="0.35">
      <c r="A116" s="172" t="str">
        <f t="array" ref="A116">IFERROR(INDEX('Annex 2 EHV charges'!$D$11:$D$218, MATCH(0, IF(ISBLANK('Annex 2 EHV charges'!$D$11:$D$218),1, COUNTIF(A$4:$A115, 'Annex 2 EHV charges'!$D$11:$D$218)), 0)),"")</f>
        <v>WDLWWF</v>
      </c>
      <c r="B116" s="170">
        <f>IF($A116="","",VLOOKUP($A116,'Annex 2 EHV charges'!$D:$O,2,0))</f>
        <v>742</v>
      </c>
      <c r="C116" s="171" t="str">
        <f>IF($A116="","",VLOOKUP($A116,'Annex 2 EHV charges'!$D:$O,3,0))</f>
        <v>1030078016924
1030078017157</v>
      </c>
      <c r="D116" s="168" t="str">
        <f>IF($A116="","",VLOOKUP($A116,'Annex 2 EHV charges'!$D:$O,4,0))</f>
        <v>WADLOW ENERGY LIMITED</v>
      </c>
      <c r="E116" s="173" t="str">
        <f>IFERROR(IF(VLOOKUP($A116,'Annex 2 EHV charges'!$D:$O,9,FALSE)=0,"",VLOOKUP($A116,'Annex 2 EHV charges'!$D:$O,9,FALSE)),"")</f>
        <v/>
      </c>
      <c r="F116" s="174">
        <f>IFERROR(IF(VLOOKUP($A116,'Annex 2 EHV charges'!$D:$O,10,FALSE)=0,"",VLOOKUP($A116,'Annex 2 EHV charges'!$D:$O,10,FALSE)),"")</f>
        <v>1330.99</v>
      </c>
      <c r="G116" s="175">
        <f>IFERROR(IF(VLOOKUP($A116,'Annex 2 EHV charges'!$D:$O,11,FALSE)=0,"",VLOOKUP($A116,'Annex 2 EHV charges'!$D:$O,11,FALSE)),"")</f>
        <v>0.05</v>
      </c>
      <c r="H116" s="175">
        <f>IFERROR(IF(VLOOKUP($A116,'Annex 2 EHV charges'!$D:$O,12,FALSE)=0,"",VLOOKUP($A116,'Annex 2 EHV charges'!$D:$O,12,FALSE)),"")</f>
        <v>0.05</v>
      </c>
    </row>
    <row r="117" spans="1:8" ht="33.75" customHeight="1" x14ac:dyDescent="0.35">
      <c r="A117" s="172" t="str">
        <f t="array" ref="A117">IFERROR(INDEX('Annex 2 EHV charges'!$D$11:$D$218, MATCH(0, IF(ISBLANK('Annex 2 EHV charges'!$D$11:$D$218),1, COUNTIF(A$4:$A116, 'Annex 2 EHV charges'!$D$11:$D$218)), 0)),"")</f>
        <v>WHMLWF</v>
      </c>
      <c r="B117" s="170">
        <f>IF($A117="","",VLOOKUP($A117,'Annex 2 EHV charges'!$D:$O,2,0))</f>
        <v>743</v>
      </c>
      <c r="C117" s="171">
        <f>IF($A117="","",VLOOKUP($A117,'Annex 2 EHV charges'!$D:$O,3,0))</f>
        <v>1030079196820</v>
      </c>
      <c r="D117" s="168" t="str">
        <f>IF($A117="","",VLOOKUP($A117,'Annex 2 EHV charges'!$D:$O,4,0))</f>
        <v>WHITE MILL WINDFARM LIMITED</v>
      </c>
      <c r="E117" s="173" t="str">
        <f>IFERROR(IF(VLOOKUP($A117,'Annex 2 EHV charges'!$D:$O,9,FALSE)=0,"",VLOOKUP($A117,'Annex 2 EHV charges'!$D:$O,9,FALSE)),"")</f>
        <v/>
      </c>
      <c r="F117" s="174">
        <f>IFERROR(IF(VLOOKUP($A117,'Annex 2 EHV charges'!$D:$O,10,FALSE)=0,"",VLOOKUP($A117,'Annex 2 EHV charges'!$D:$O,10,FALSE)),"")</f>
        <v>2917.54</v>
      </c>
      <c r="G117" s="175">
        <f>IFERROR(IF(VLOOKUP($A117,'Annex 2 EHV charges'!$D:$O,11,FALSE)=0,"",VLOOKUP($A117,'Annex 2 EHV charges'!$D:$O,11,FALSE)),"")</f>
        <v>0.05</v>
      </c>
      <c r="H117" s="175">
        <f>IFERROR(IF(VLOOKUP($A117,'Annex 2 EHV charges'!$D:$O,12,FALSE)=0,"",VLOOKUP($A117,'Annex 2 EHV charges'!$D:$O,12,FALSE)),"")</f>
        <v>0.05</v>
      </c>
    </row>
    <row r="118" spans="1:8" ht="33.75" customHeight="1" x14ac:dyDescent="0.35">
      <c r="A118" s="172" t="str">
        <f t="array" ref="A118">IFERROR(INDEX('Annex 2 EHV charges'!$D$11:$D$218, MATCH(0, IF(ISBLANK('Annex 2 EHV charges'!$D$11:$D$218),1, COUNTIF(A$4:$A117, 'Annex 2 EHV charges'!$D$11:$D$218)), 0)),"")</f>
        <v>WIGGIN</v>
      </c>
      <c r="B118" s="170">
        <f>IF($A118="","",VLOOKUP($A118,'Annex 2 EHV charges'!$D:$O,2,0))</f>
        <v>461</v>
      </c>
      <c r="C118" s="171">
        <f>IF($A118="","",VLOOKUP($A118,'Annex 2 EHV charges'!$D:$O,3,0))</f>
        <v>1050000769154</v>
      </c>
      <c r="D118" s="168" t="str">
        <f>IF($A118="","",VLOOKUP($A118,'Annex 2 EHV charges'!$D:$O,4,0))</f>
        <v>S.E SOLAR (2) LTD</v>
      </c>
      <c r="E118" s="173" t="str">
        <f>IFERROR(IF(VLOOKUP($A118,'Annex 2 EHV charges'!$D:$O,9,FALSE)=0,"",VLOOKUP($A118,'Annex 2 EHV charges'!$D:$O,9,FALSE)),"")</f>
        <v/>
      </c>
      <c r="F118" s="174">
        <f>IFERROR(IF(VLOOKUP($A118,'Annex 2 EHV charges'!$D:$O,10,FALSE)=0,"",VLOOKUP($A118,'Annex 2 EHV charges'!$D:$O,10,FALSE)),"")</f>
        <v>1021.29</v>
      </c>
      <c r="G118" s="175">
        <f>IFERROR(IF(VLOOKUP($A118,'Annex 2 EHV charges'!$D:$O,11,FALSE)=0,"",VLOOKUP($A118,'Annex 2 EHV charges'!$D:$O,11,FALSE)),"")</f>
        <v>0.05</v>
      </c>
      <c r="H118" s="175">
        <f>IFERROR(IF(VLOOKUP($A118,'Annex 2 EHV charges'!$D:$O,12,FALSE)=0,"",VLOOKUP($A118,'Annex 2 EHV charges'!$D:$O,12,FALSE)),"")</f>
        <v>0.05</v>
      </c>
    </row>
    <row r="119" spans="1:8" ht="33.75" customHeight="1" x14ac:dyDescent="0.35">
      <c r="A119" s="172" t="str">
        <f t="array" ref="A119">IFERROR(INDEX('Annex 2 EHV charges'!$D$11:$D$218, MATCH(0, IF(ISBLANK('Annex 2 EHV charges'!$D$11:$D$218),1, COUNTIF(A$4:$A118, 'Annex 2 EHV charges'!$D$11:$D$218)), 0)),"")</f>
        <v>WLBRHM</v>
      </c>
      <c r="B119" s="170">
        <f>IF($A119="","",VLOOKUP($A119,'Annex 2 EHV charges'!$D:$O,2,0))</f>
        <v>462</v>
      </c>
      <c r="C119" s="171">
        <f>IF($A119="","",VLOOKUP($A119,'Annex 2 EHV charges'!$D:$O,3,0))</f>
        <v>1050000714164</v>
      </c>
      <c r="D119" s="168" t="str">
        <f>IF($A119="","",VLOOKUP($A119,'Annex 2 EHV charges'!$D:$O,4,0))</f>
        <v>GREAT WILBRAHAM SOLAR PARK LIMITED</v>
      </c>
      <c r="E119" s="173" t="str">
        <f>IFERROR(IF(VLOOKUP($A119,'Annex 2 EHV charges'!$D:$O,9,FALSE)=0,"",VLOOKUP($A119,'Annex 2 EHV charges'!$D:$O,9,FALSE)),"")</f>
        <v/>
      </c>
      <c r="F119" s="174">
        <f>IFERROR(IF(VLOOKUP($A119,'Annex 2 EHV charges'!$D:$O,10,FALSE)=0,"",VLOOKUP($A119,'Annex 2 EHV charges'!$D:$O,10,FALSE)),"")</f>
        <v>5673.58</v>
      </c>
      <c r="G119" s="175">
        <f>IFERROR(IF(VLOOKUP($A119,'Annex 2 EHV charges'!$D:$O,11,FALSE)=0,"",VLOOKUP($A119,'Annex 2 EHV charges'!$D:$O,11,FALSE)),"")</f>
        <v>0.05</v>
      </c>
      <c r="H119" s="175">
        <f>IFERROR(IF(VLOOKUP($A119,'Annex 2 EHV charges'!$D:$O,12,FALSE)=0,"",VLOOKUP($A119,'Annex 2 EHV charges'!$D:$O,12,FALSE)),"")</f>
        <v>0.05</v>
      </c>
    </row>
    <row r="120" spans="1:8" ht="33.75" customHeight="1" x14ac:dyDescent="0.35">
      <c r="A120" s="172" t="str">
        <f t="array" ref="A120">IFERROR(INDEX('Annex 2 EHV charges'!$D$11:$D$218, MATCH(0, IF(ISBLANK('Annex 2 EHV charges'!$D$11:$D$218),1, COUNTIF(A$4:$A119, 'Annex 2 EHV charges'!$D$11:$D$218)), 0)),"")</f>
        <v>WOOLLY</v>
      </c>
      <c r="B120" s="170">
        <f>IF($A120="","",VLOOKUP($A120,'Annex 2 EHV charges'!$D:$O,2,0))</f>
        <v>464</v>
      </c>
      <c r="C120" s="171">
        <f>IF($A120="","",VLOOKUP($A120,'Annex 2 EHV charges'!$D:$O,3,0))</f>
        <v>1050000555910</v>
      </c>
      <c r="D120" s="168" t="str">
        <f>IF($A120="","",VLOOKUP($A120,'Annex 2 EHV charges'!$D:$O,4,0))</f>
        <v>RES UK &amp; IRELAND LTD</v>
      </c>
      <c r="E120" s="173" t="str">
        <f>IFERROR(IF(VLOOKUP($A120,'Annex 2 EHV charges'!$D:$O,9,FALSE)=0,"",VLOOKUP($A120,'Annex 2 EHV charges'!$D:$O,9,FALSE)),"")</f>
        <v/>
      </c>
      <c r="F120" s="174">
        <f>IFERROR(IF(VLOOKUP($A120,'Annex 2 EHV charges'!$D:$O,10,FALSE)=0,"",VLOOKUP($A120,'Annex 2 EHV charges'!$D:$O,10,FALSE)),"")</f>
        <v>5370.76</v>
      </c>
      <c r="G120" s="175">
        <f>IFERROR(IF(VLOOKUP($A120,'Annex 2 EHV charges'!$D:$O,11,FALSE)=0,"",VLOOKUP($A120,'Annex 2 EHV charges'!$D:$O,11,FALSE)),"")</f>
        <v>0.05</v>
      </c>
      <c r="H120" s="175">
        <f>IFERROR(IF(VLOOKUP($A120,'Annex 2 EHV charges'!$D:$O,12,FALSE)=0,"",VLOOKUP($A120,'Annex 2 EHV charges'!$D:$O,12,FALSE)),"")</f>
        <v>0.05</v>
      </c>
    </row>
    <row r="121" spans="1:8" ht="33.75" customHeight="1" x14ac:dyDescent="0.35">
      <c r="A121" s="172" t="str">
        <f t="array" ref="A121">IFERROR(INDEX('Annex 2 EHV charges'!$D$11:$D$218, MATCH(0, IF(ISBLANK('Annex 2 EHV charges'!$D$11:$D$218),1, COUNTIF(A$4:$A120, 'Annex 2 EHV charges'!$D$11:$D$218)), 0)),"")</f>
        <v>WRYDEC</v>
      </c>
      <c r="B121" s="170">
        <f>IF($A121="","",VLOOKUP($A121,'Annex 2 EHV charges'!$D:$O,2,0))</f>
        <v>799</v>
      </c>
      <c r="C121" s="171">
        <f>IF($A121="","",VLOOKUP($A121,'Annex 2 EHV charges'!$D:$O,3,0))</f>
        <v>1050000948120</v>
      </c>
      <c r="D121" s="168" t="str">
        <f>IF($A121="","",VLOOKUP($A121,'Annex 2 EHV charges'!$D:$O,4,0))</f>
        <v>WRYDE CROFT WIND FARM</v>
      </c>
      <c r="E121" s="173" t="str">
        <f>IFERROR(IF(VLOOKUP($A121,'Annex 2 EHV charges'!$D:$O,9,FALSE)=0,"",VLOOKUP($A121,'Annex 2 EHV charges'!$D:$O,9,FALSE)),"")</f>
        <v/>
      </c>
      <c r="F121" s="174">
        <f>IFERROR(IF(VLOOKUP($A121,'Annex 2 EHV charges'!$D:$O,10,FALSE)=0,"",VLOOKUP($A121,'Annex 2 EHV charges'!$D:$O,10,FALSE)),"")</f>
        <v>6526.07</v>
      </c>
      <c r="G121" s="175">
        <f>IFERROR(IF(VLOOKUP($A121,'Annex 2 EHV charges'!$D:$O,11,FALSE)=0,"",VLOOKUP($A121,'Annex 2 EHV charges'!$D:$O,11,FALSE)),"")</f>
        <v>0.05</v>
      </c>
      <c r="H121" s="175">
        <f>IFERROR(IF(VLOOKUP($A121,'Annex 2 EHV charges'!$D:$O,12,FALSE)=0,"",VLOOKUP($A121,'Annex 2 EHV charges'!$D:$O,12,FALSE)),"")</f>
        <v>0.05</v>
      </c>
    </row>
    <row r="122" spans="1:8" ht="33.75" customHeight="1" x14ac:dyDescent="0.35">
      <c r="A122" s="172" t="str">
        <f t="array" ref="A122">IFERROR(INDEX('Annex 2 EHV charges'!$D$11:$D$218, MATCH(0, IF(ISBLANK('Annex 2 EHV charges'!$D$11:$D$218),1, COUNTIF(A$4:$A121, 'Annex 2 EHV charges'!$D$11:$D$218)), 0)),"")</f>
        <v>WSBRDG</v>
      </c>
      <c r="B122" s="170">
        <f>IF($A122="","",VLOOKUP($A122,'Annex 2 EHV charges'!$D:$O,2,0))</f>
        <v>463</v>
      </c>
      <c r="C122" s="171">
        <f>IF($A122="","",VLOOKUP($A122,'Annex 2 EHV charges'!$D:$O,3,0))</f>
        <v>1050000650680</v>
      </c>
      <c r="D122" s="168" t="str">
        <f>IF($A122="","",VLOOKUP($A122,'Annex 2 EHV charges'!$D:$O,4,0))</f>
        <v>PUSH ENERGY (WISBRIDGE) LTD</v>
      </c>
      <c r="E122" s="173" t="str">
        <f>IFERROR(IF(VLOOKUP($A122,'Annex 2 EHV charges'!$D:$O,9,FALSE)=0,"",VLOOKUP($A122,'Annex 2 EHV charges'!$D:$O,9,FALSE)),"")</f>
        <v/>
      </c>
      <c r="F122" s="174">
        <f>IFERROR(IF(VLOOKUP($A122,'Annex 2 EHV charges'!$D:$O,10,FALSE)=0,"",VLOOKUP($A122,'Annex 2 EHV charges'!$D:$O,10,FALSE)),"")</f>
        <v>673.81</v>
      </c>
      <c r="G122" s="175">
        <f>IFERROR(IF(VLOOKUP($A122,'Annex 2 EHV charges'!$D:$O,11,FALSE)=0,"",VLOOKUP($A122,'Annex 2 EHV charges'!$D:$O,11,FALSE)),"")</f>
        <v>0.05</v>
      </c>
      <c r="H122" s="175">
        <f>IFERROR(IF(VLOOKUP($A122,'Annex 2 EHV charges'!$D:$O,12,FALSE)=0,"",VLOOKUP($A122,'Annex 2 EHV charges'!$D:$O,12,FALSE)),"")</f>
        <v>0.05</v>
      </c>
    </row>
    <row r="123" spans="1:8" ht="33.75" customHeight="1" x14ac:dyDescent="0.35">
      <c r="A123" s="172" t="str">
        <f t="array" ref="A123">IFERROR(INDEX('Annex 2 EHV charges'!$D$11:$D$218, MATCH(0, IF(ISBLANK('Annex 2 EHV charges'!$D$11:$D$218),1, COUNTIF(A$4:$A122, 'Annex 2 EHV charges'!$D$11:$D$218)), 0)),"")</f>
        <v>WSTNLV</v>
      </c>
      <c r="B123" s="170">
        <f>IF($A123="","",VLOOKUP($A123,'Annex 2 EHV charges'!$D:$O,2,0))</f>
        <v>471</v>
      </c>
      <c r="C123" s="171">
        <f>IF($A123="","",VLOOKUP($A123,'Annex 2 EHV charges'!$D:$O,3,0))</f>
        <v>1050000811601</v>
      </c>
      <c r="D123" s="168" t="str">
        <f>IF($A123="","",VLOOKUP($A123,'Annex 2 EHV charges'!$D:$O,4,0))</f>
        <v>WESTON LONGVILLE G1 SOLAR FARM LIMITED</v>
      </c>
      <c r="E123" s="173" t="str">
        <f>IFERROR(IF(VLOOKUP($A123,'Annex 2 EHV charges'!$D:$O,9,FALSE)=0,"",VLOOKUP($A123,'Annex 2 EHV charges'!$D:$O,9,FALSE)),"")</f>
        <v/>
      </c>
      <c r="F123" s="174">
        <f>IFERROR(IF(VLOOKUP($A123,'Annex 2 EHV charges'!$D:$O,10,FALSE)=0,"",VLOOKUP($A123,'Annex 2 EHV charges'!$D:$O,10,FALSE)),"")</f>
        <v>708.76</v>
      </c>
      <c r="G123" s="175">
        <f>IFERROR(IF(VLOOKUP($A123,'Annex 2 EHV charges'!$D:$O,11,FALSE)=0,"",VLOOKUP($A123,'Annex 2 EHV charges'!$D:$O,11,FALSE)),"")</f>
        <v>0.05</v>
      </c>
      <c r="H123" s="175">
        <f>IFERROR(IF(VLOOKUP($A123,'Annex 2 EHV charges'!$D:$O,12,FALSE)=0,"",VLOOKUP($A123,'Annex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8"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6"/>
  <sheetViews>
    <sheetView zoomScale="80" zoomScaleNormal="80" zoomScaleSheetLayoutView="100" workbookViewId="0"/>
  </sheetViews>
  <sheetFormatPr defaultRowHeight="12.75" x14ac:dyDescent="0.35"/>
  <cols>
    <col min="1" max="1" width="27.3984375" customWidth="1"/>
    <col min="2" max="2" width="11" customWidth="1"/>
    <col min="4" max="10" width="16.59765625" customWidth="1"/>
  </cols>
  <sheetData>
    <row r="1" spans="1:12" s="1" customFormat="1" ht="27.75" customHeight="1" x14ac:dyDescent="0.35">
      <c r="A1" s="10" t="s">
        <v>86</v>
      </c>
      <c r="B1" s="2"/>
      <c r="D1" s="2"/>
      <c r="E1" s="2"/>
      <c r="F1" s="2"/>
      <c r="G1" s="8"/>
      <c r="H1" s="3"/>
      <c r="I1" s="3"/>
    </row>
    <row r="2" spans="1:12" s="1" customFormat="1" ht="27" customHeight="1" x14ac:dyDescent="0.35">
      <c r="A2" s="211" t="str">
        <f>Overview!B4&amp; " - Effective from "&amp;Overview!D4&amp;" - "&amp;Overview!E4&amp;" LV and HV tariffs"</f>
        <v>Eastern Power Networks - Effective from 01/04/2017 - Final LV and HV tariffs</v>
      </c>
      <c r="B2" s="211"/>
      <c r="C2" s="211"/>
      <c r="D2" s="211"/>
      <c r="E2" s="211"/>
      <c r="F2" s="211"/>
      <c r="G2" s="211"/>
      <c r="H2" s="211"/>
      <c r="I2" s="211"/>
      <c r="J2" s="211"/>
      <c r="K2" s="3"/>
      <c r="L2" s="3"/>
    </row>
    <row r="3" spans="1:12" s="1" customFormat="1" ht="27" customHeight="1" x14ac:dyDescent="0.35">
      <c r="A3" s="245" t="s">
        <v>454</v>
      </c>
      <c r="B3" s="245"/>
      <c r="C3" s="245"/>
      <c r="D3" s="245"/>
      <c r="E3" s="245"/>
      <c r="F3" s="245"/>
      <c r="G3" s="245"/>
      <c r="H3" s="245"/>
      <c r="I3" s="245"/>
      <c r="J3" s="245"/>
      <c r="K3" s="3"/>
      <c r="L3" s="3"/>
    </row>
    <row r="4" spans="1:12" s="1" customFormat="1" ht="71.25" customHeight="1" x14ac:dyDescent="0.35">
      <c r="A4" s="12"/>
      <c r="B4" s="26" t="s">
        <v>50</v>
      </c>
      <c r="C4" s="11" t="s">
        <v>92</v>
      </c>
      <c r="D4" s="11" t="s">
        <v>626</v>
      </c>
      <c r="E4" s="11" t="s">
        <v>627</v>
      </c>
      <c r="F4" s="11" t="s">
        <v>93</v>
      </c>
      <c r="G4" s="11"/>
      <c r="H4" s="11"/>
      <c r="I4" s="11"/>
      <c r="J4" s="11"/>
      <c r="K4" s="3"/>
      <c r="L4" s="3"/>
    </row>
    <row r="5" spans="1:12" s="1" customFormat="1" ht="32.25" customHeight="1" x14ac:dyDescent="0.35">
      <c r="A5" s="13"/>
      <c r="B5" s="25"/>
      <c r="C5" s="14"/>
      <c r="D5" s="15"/>
      <c r="E5" s="15"/>
      <c r="F5" s="16"/>
      <c r="G5" s="24"/>
      <c r="H5" s="24"/>
      <c r="I5" s="24"/>
      <c r="J5" s="24"/>
      <c r="K5" s="3"/>
      <c r="L5" s="3"/>
    </row>
    <row r="6" spans="1:12" ht="12.75" customHeight="1" x14ac:dyDescent="0.35">
      <c r="A6" s="239" t="s">
        <v>52</v>
      </c>
      <c r="B6" s="230" t="str">
        <f>Overview!B4&amp; " has no Preserved NHH Tariffs/Additional LLFC classes"</f>
        <v>Eastern Power Networks has no Preserved NHH Tariffs/Additional LLFC classes</v>
      </c>
      <c r="C6" s="231"/>
      <c r="D6" s="231"/>
      <c r="E6" s="231"/>
      <c r="F6" s="231"/>
      <c r="G6" s="231"/>
      <c r="H6" s="231"/>
      <c r="I6" s="231"/>
      <c r="J6" s="232"/>
    </row>
    <row r="7" spans="1:12" ht="12.75" customHeight="1" x14ac:dyDescent="0.35">
      <c r="A7" s="240"/>
      <c r="B7" s="233"/>
      <c r="C7" s="234"/>
      <c r="D7" s="234"/>
      <c r="E7" s="234"/>
      <c r="F7" s="234"/>
      <c r="G7" s="234"/>
      <c r="H7" s="234"/>
      <c r="I7" s="234"/>
      <c r="J7" s="235"/>
    </row>
    <row r="8" spans="1:12" ht="12.75" customHeight="1" x14ac:dyDescent="0.35">
      <c r="A8" s="241"/>
      <c r="B8" s="236"/>
      <c r="C8" s="237"/>
      <c r="D8" s="237"/>
      <c r="E8" s="237"/>
      <c r="F8" s="237"/>
      <c r="G8" s="237"/>
      <c r="H8" s="237"/>
      <c r="I8" s="237"/>
      <c r="J8" s="238"/>
    </row>
    <row r="9" spans="1:12" x14ac:dyDescent="0.35">
      <c r="A9" s="58"/>
      <c r="B9" s="58"/>
      <c r="C9" s="58"/>
      <c r="D9" s="58"/>
      <c r="E9" s="58"/>
      <c r="F9" s="58"/>
      <c r="G9" s="58"/>
      <c r="H9" s="58"/>
      <c r="I9" s="58"/>
      <c r="J9" s="58"/>
    </row>
    <row r="10" spans="1:12" x14ac:dyDescent="0.35">
      <c r="A10" s="58"/>
      <c r="B10" s="58"/>
      <c r="C10" s="58"/>
      <c r="D10" s="58"/>
      <c r="E10" s="58"/>
      <c r="F10" s="58"/>
      <c r="G10" s="58"/>
      <c r="H10" s="58"/>
      <c r="I10" s="58"/>
      <c r="J10" s="58"/>
    </row>
    <row r="11" spans="1:12" s="1" customFormat="1" ht="27" customHeight="1" x14ac:dyDescent="0.35">
      <c r="A11" s="245" t="s">
        <v>455</v>
      </c>
      <c r="B11" s="245"/>
      <c r="C11" s="245"/>
      <c r="D11" s="245"/>
      <c r="E11" s="245"/>
      <c r="F11" s="245"/>
      <c r="G11" s="245"/>
      <c r="H11" s="245"/>
      <c r="I11" s="245"/>
      <c r="J11" s="245"/>
      <c r="K11" s="3"/>
      <c r="L11" s="3"/>
    </row>
    <row r="12" spans="1:12" s="1" customFormat="1" ht="58.5" customHeight="1" x14ac:dyDescent="0.35">
      <c r="A12" s="12"/>
      <c r="B12" s="26" t="s">
        <v>50</v>
      </c>
      <c r="C12" s="11" t="s">
        <v>92</v>
      </c>
      <c r="D12" s="26" t="s">
        <v>633</v>
      </c>
      <c r="E12" s="26" t="s">
        <v>634</v>
      </c>
      <c r="F12" s="26" t="s">
        <v>635</v>
      </c>
      <c r="G12" s="11" t="s">
        <v>93</v>
      </c>
      <c r="H12" s="11" t="s">
        <v>94</v>
      </c>
      <c r="I12" s="11" t="s">
        <v>453</v>
      </c>
      <c r="J12" s="26" t="s">
        <v>1344</v>
      </c>
      <c r="K12" s="3"/>
      <c r="L12" s="3"/>
    </row>
    <row r="13" spans="1:12" s="1" customFormat="1" ht="32.25" customHeight="1" x14ac:dyDescent="0.35">
      <c r="A13" s="13"/>
      <c r="B13" s="25"/>
      <c r="C13" s="14">
        <v>0</v>
      </c>
      <c r="D13" s="15"/>
      <c r="E13" s="15"/>
      <c r="F13" s="15"/>
      <c r="G13" s="16"/>
      <c r="H13" s="16"/>
      <c r="I13" s="15"/>
      <c r="J13" s="16"/>
      <c r="K13" s="3"/>
      <c r="L13" s="3"/>
    </row>
    <row r="14" spans="1:12" ht="12.75" customHeight="1" x14ac:dyDescent="0.35">
      <c r="A14" s="239" t="s">
        <v>52</v>
      </c>
      <c r="B14" s="230" t="str">
        <f>Overview!B4&amp; " has no Preserved HH Tariffs/Additional LLFC classes"</f>
        <v>Eastern Power Networks has no Preserved HH Tariffs/Additional LLFC classes</v>
      </c>
      <c r="C14" s="231"/>
      <c r="D14" s="231"/>
      <c r="E14" s="231"/>
      <c r="F14" s="231"/>
      <c r="G14" s="231"/>
      <c r="H14" s="231"/>
      <c r="I14" s="231"/>
      <c r="J14" s="242"/>
    </row>
    <row r="15" spans="1:12" ht="12.75" customHeight="1" x14ac:dyDescent="0.35">
      <c r="A15" s="240"/>
      <c r="B15" s="233"/>
      <c r="C15" s="234"/>
      <c r="D15" s="234"/>
      <c r="E15" s="234"/>
      <c r="F15" s="234"/>
      <c r="G15" s="234"/>
      <c r="H15" s="234"/>
      <c r="I15" s="234"/>
      <c r="J15" s="243"/>
    </row>
    <row r="16" spans="1:12" ht="12.75" customHeight="1" x14ac:dyDescent="0.35">
      <c r="A16" s="241"/>
      <c r="B16" s="236"/>
      <c r="C16" s="237"/>
      <c r="D16" s="237"/>
      <c r="E16" s="237"/>
      <c r="F16" s="237"/>
      <c r="G16" s="237"/>
      <c r="H16" s="237"/>
      <c r="I16" s="237"/>
      <c r="J16" s="24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xr:uid="{00000000-0004-0000-0500-000000000000}"/>
  </hyperlinks>
  <pageMargins left="0.39370078740157483" right="0.35433070866141736" top="0.9055118110236221" bottom="0.55118110236220474" header="0.31496062992125984" footer="0.31496062992125984"/>
  <pageSetup paperSize="9" scale="59" fitToHeight="0" orientation="portrait" r:id="rId2"/>
  <headerFooter scaleWithDoc="0">
    <oddHeader>&amp;L
&amp;"Arial,Bold"Annex 3&amp;"Arial,Regular"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1"/>
  <sheetViews>
    <sheetView zoomScale="85" zoomScaleNormal="85" zoomScaleSheetLayoutView="85" workbookViewId="0"/>
  </sheetViews>
  <sheetFormatPr defaultColWidth="9.1328125" defaultRowHeight="27.75" customHeight="1" x14ac:dyDescent="0.35"/>
  <cols>
    <col min="1" max="1" width="58" style="1" bestFit="1" customWidth="1"/>
    <col min="2" max="2" width="17.73046875" style="2" customWidth="1"/>
    <col min="3" max="4" width="17.73046875" style="1" customWidth="1"/>
    <col min="5" max="7" width="17.73046875" style="2" customWidth="1"/>
    <col min="8" max="9" width="17.73046875" style="7" customWidth="1"/>
    <col min="10" max="10" width="17.73046875" style="3" customWidth="1"/>
    <col min="11" max="11" width="15.59765625" style="3" customWidth="1"/>
    <col min="12" max="17" width="15.59765625" style="1" customWidth="1"/>
    <col min="18" max="16384" width="9.1328125" style="1"/>
  </cols>
  <sheetData>
    <row r="1" spans="1:13" ht="27.75" customHeight="1" x14ac:dyDescent="0.35">
      <c r="A1" s="10" t="s">
        <v>86</v>
      </c>
      <c r="B1" s="246" t="s">
        <v>642</v>
      </c>
      <c r="C1" s="247"/>
      <c r="D1" s="247"/>
      <c r="F1" s="248" t="s">
        <v>690</v>
      </c>
      <c r="G1" s="249"/>
      <c r="H1" s="250"/>
      <c r="I1" s="3"/>
      <c r="J1" s="1"/>
      <c r="K1" s="1"/>
    </row>
    <row r="2" spans="1:13" ht="31.5" customHeight="1" x14ac:dyDescent="0.35">
      <c r="A2" s="251" t="str">
        <f>Overview!B4&amp; " - Effective from "&amp;Overview!D4&amp;" - "&amp;Overview!E4&amp;" LDNO tariffs"</f>
        <v>Eastern Power Networks - Effective from 01/04/2017 - Final LDNO tariffs</v>
      </c>
      <c r="B2" s="251"/>
      <c r="C2" s="251"/>
      <c r="D2" s="251"/>
      <c r="E2" s="251"/>
      <c r="F2" s="251"/>
      <c r="G2" s="251"/>
      <c r="H2" s="251"/>
      <c r="I2" s="251"/>
      <c r="J2" s="251"/>
    </row>
    <row r="3" spans="1:13" ht="8.25" customHeight="1" x14ac:dyDescent="0.35">
      <c r="A3" s="89"/>
      <c r="B3" s="89"/>
      <c r="C3" s="89"/>
      <c r="D3" s="89"/>
      <c r="E3" s="89"/>
      <c r="F3" s="89"/>
      <c r="G3" s="89"/>
      <c r="H3" s="89"/>
      <c r="I3" s="89"/>
      <c r="J3" s="89"/>
    </row>
    <row r="4" spans="1:13" ht="27" customHeight="1" x14ac:dyDescent="0.35">
      <c r="A4" s="211" t="s">
        <v>502</v>
      </c>
      <c r="B4" s="211"/>
      <c r="C4" s="211"/>
      <c r="D4" s="211"/>
      <c r="E4" s="92"/>
      <c r="F4" s="211" t="s">
        <v>501</v>
      </c>
      <c r="G4" s="211"/>
      <c r="H4" s="211"/>
      <c r="I4" s="211"/>
      <c r="J4" s="211"/>
      <c r="L4" s="3"/>
    </row>
    <row r="5" spans="1:13" ht="32.25" customHeight="1" x14ac:dyDescent="0.35">
      <c r="A5" s="13" t="s">
        <v>80</v>
      </c>
      <c r="B5" s="83" t="s">
        <v>493</v>
      </c>
      <c r="C5" s="147" t="s">
        <v>494</v>
      </c>
      <c r="D5" s="82" t="s">
        <v>495</v>
      </c>
      <c r="E5" s="87"/>
      <c r="F5" s="215"/>
      <c r="G5" s="216"/>
      <c r="H5" s="84" t="s">
        <v>499</v>
      </c>
      <c r="I5" s="85" t="s">
        <v>500</v>
      </c>
      <c r="J5" s="82" t="s">
        <v>495</v>
      </c>
      <c r="K5" s="87"/>
      <c r="L5" s="3"/>
      <c r="M5" s="3"/>
    </row>
    <row r="6" spans="1:13" ht="56.25" customHeight="1" x14ac:dyDescent="0.35">
      <c r="A6" s="139" t="s">
        <v>496</v>
      </c>
      <c r="B6" s="86" t="s">
        <v>696</v>
      </c>
      <c r="C6" s="86" t="s">
        <v>1368</v>
      </c>
      <c r="D6" s="146" t="s">
        <v>1366</v>
      </c>
      <c r="E6" s="148"/>
      <c r="F6" s="218" t="s">
        <v>497</v>
      </c>
      <c r="G6" s="220"/>
      <c r="H6" s="86" t="s">
        <v>696</v>
      </c>
      <c r="I6" s="86" t="s">
        <v>1368</v>
      </c>
      <c r="J6" s="146" t="s">
        <v>1366</v>
      </c>
      <c r="K6" s="87"/>
      <c r="L6" s="3"/>
      <c r="M6" s="3"/>
    </row>
    <row r="7" spans="1:13" ht="56.25" customHeight="1" x14ac:dyDescent="0.35">
      <c r="A7" s="139" t="s">
        <v>82</v>
      </c>
      <c r="B7" s="140"/>
      <c r="C7" s="149"/>
      <c r="D7" s="86" t="s">
        <v>1367</v>
      </c>
      <c r="E7" s="148"/>
      <c r="F7" s="218" t="s">
        <v>694</v>
      </c>
      <c r="G7" s="220"/>
      <c r="H7" s="140"/>
      <c r="I7" s="86" t="s">
        <v>1369</v>
      </c>
      <c r="J7" s="146" t="s">
        <v>1366</v>
      </c>
      <c r="K7" s="87"/>
      <c r="L7" s="3"/>
      <c r="M7" s="3"/>
    </row>
    <row r="8" spans="1:13" ht="55.5" customHeight="1" x14ac:dyDescent="0.35">
      <c r="A8" s="139" t="s">
        <v>81</v>
      </c>
      <c r="B8" s="218" t="s">
        <v>695</v>
      </c>
      <c r="C8" s="219"/>
      <c r="D8" s="220"/>
      <c r="E8" s="150"/>
      <c r="F8" s="218" t="s">
        <v>82</v>
      </c>
      <c r="G8" s="220"/>
      <c r="H8" s="140"/>
      <c r="I8" s="140"/>
      <c r="J8" s="86" t="s">
        <v>1367</v>
      </c>
      <c r="K8" s="87"/>
      <c r="L8" s="3"/>
      <c r="M8" s="3"/>
    </row>
    <row r="9" spans="1:13" s="81" customFormat="1" ht="55.5" customHeight="1" x14ac:dyDescent="0.35">
      <c r="F9" s="218" t="s">
        <v>81</v>
      </c>
      <c r="G9" s="220"/>
      <c r="H9" s="218" t="s">
        <v>695</v>
      </c>
      <c r="I9" s="219"/>
      <c r="J9" s="220"/>
      <c r="K9" s="87"/>
      <c r="L9" s="58"/>
      <c r="M9" s="58"/>
    </row>
    <row r="10" spans="1:13" s="81" customFormat="1" ht="55.5" hidden="1" customHeight="1" x14ac:dyDescent="0.35">
      <c r="M10" s="58"/>
    </row>
    <row r="11" spans="1:13" s="81" customFormat="1" ht="21" hidden="1" customHeight="1" x14ac:dyDescent="0.35">
      <c r="B11" s="87"/>
      <c r="C11" s="87"/>
      <c r="D11" s="87"/>
      <c r="E11" s="87"/>
      <c r="F11" s="87"/>
      <c r="G11" s="87"/>
      <c r="H11" s="87"/>
      <c r="I11" s="87"/>
      <c r="J11" s="87"/>
      <c r="K11" s="87"/>
      <c r="L11" s="87"/>
    </row>
    <row r="12" spans="1:13" s="81" customFormat="1" ht="12" customHeight="1" x14ac:dyDescent="0.35">
      <c r="A12" s="87"/>
      <c r="B12" s="87"/>
      <c r="C12" s="87"/>
      <c r="D12" s="87"/>
      <c r="E12" s="87"/>
      <c r="F12" s="90"/>
      <c r="G12" s="90"/>
      <c r="H12" s="91"/>
      <c r="I12" s="91"/>
      <c r="J12" s="91"/>
      <c r="K12" s="58"/>
      <c r="L12" s="58"/>
    </row>
    <row r="13" spans="1:13" ht="66" customHeight="1" x14ac:dyDescent="0.35">
      <c r="A13" s="26" t="s">
        <v>688</v>
      </c>
      <c r="B13" s="26" t="s">
        <v>194</v>
      </c>
      <c r="C13" s="11" t="s">
        <v>92</v>
      </c>
      <c r="D13" s="11" t="str">
        <f>'Annex 1 LV and HV charges'!D13</f>
        <v>Unit charge 1 (NHH)
or red/black charge (HH)
p/kWh</v>
      </c>
      <c r="E13" s="11" t="str">
        <f>'Annex 1 LV and HV charges'!E13</f>
        <v>Unit charge 2 (NHH)
or amber/yellow charge (HH)
p/kWh</v>
      </c>
      <c r="F13" s="11" t="str">
        <f>'Annex 1 LV and HV charges'!F13</f>
        <v>Green charge(HH)
p/kWh</v>
      </c>
      <c r="G13" s="11" t="str">
        <f>'Annex 1 LV and HV charges'!G13</f>
        <v>Fixed charge p/MPAN/day</v>
      </c>
      <c r="H13" s="11" t="str">
        <f>'Annex 1 LV and HV charges'!H13</f>
        <v>Capacity charge p/kVA/day</v>
      </c>
      <c r="I13" s="11" t="str">
        <f>'Annex 1 LV and HV charges'!I13</f>
        <v>Reactive power charge
p/kVArh</v>
      </c>
      <c r="J13" s="11" t="str">
        <f>'Annex 1 LV and HV charges'!J13</f>
        <v>Exceeded capacity charge
p/kVA/day</v>
      </c>
      <c r="K13" s="1"/>
    </row>
    <row r="14" spans="1:13" ht="27" customHeight="1" x14ac:dyDescent="0.35">
      <c r="A14" s="21" t="s">
        <v>21</v>
      </c>
      <c r="B14" s="25"/>
      <c r="C14" s="44">
        <v>1</v>
      </c>
      <c r="D14" s="32">
        <v>1.3520000000000001</v>
      </c>
      <c r="E14" s="35">
        <v>0</v>
      </c>
      <c r="F14" s="35">
        <v>0</v>
      </c>
      <c r="G14" s="45">
        <v>3.17</v>
      </c>
      <c r="H14" s="35">
        <v>0</v>
      </c>
      <c r="I14" s="35">
        <v>0</v>
      </c>
      <c r="J14" s="57"/>
      <c r="K14" s="1"/>
    </row>
    <row r="15" spans="1:13" ht="27" customHeight="1" x14ac:dyDescent="0.35">
      <c r="A15" s="21" t="s">
        <v>22</v>
      </c>
      <c r="B15" s="25"/>
      <c r="C15" s="44">
        <v>2</v>
      </c>
      <c r="D15" s="32">
        <v>1.6220000000000001</v>
      </c>
      <c r="E15" s="32">
        <v>0.02</v>
      </c>
      <c r="F15" s="35">
        <v>0</v>
      </c>
      <c r="G15" s="45">
        <v>3.17</v>
      </c>
      <c r="H15" s="35">
        <v>0</v>
      </c>
      <c r="I15" s="35">
        <v>0</v>
      </c>
      <c r="J15" s="57"/>
      <c r="K15" s="1"/>
    </row>
    <row r="16" spans="1:13" ht="27" customHeight="1" x14ac:dyDescent="0.35">
      <c r="A16" s="21" t="s">
        <v>23</v>
      </c>
      <c r="B16" s="25"/>
      <c r="C16" s="44">
        <v>2</v>
      </c>
      <c r="D16" s="32">
        <v>6.2E-2</v>
      </c>
      <c r="E16" s="35">
        <v>0</v>
      </c>
      <c r="F16" s="35">
        <v>0</v>
      </c>
      <c r="G16" s="35">
        <v>0</v>
      </c>
      <c r="H16" s="35">
        <v>0</v>
      </c>
      <c r="I16" s="35">
        <v>0</v>
      </c>
      <c r="J16" s="57"/>
      <c r="K16" s="1"/>
    </row>
    <row r="17" spans="1:11" ht="27" customHeight="1" x14ac:dyDescent="0.35">
      <c r="A17" s="21" t="s">
        <v>24</v>
      </c>
      <c r="B17" s="25"/>
      <c r="C17" s="44">
        <v>3</v>
      </c>
      <c r="D17" s="32">
        <v>1.0389999999999999</v>
      </c>
      <c r="E17" s="35">
        <v>0</v>
      </c>
      <c r="F17" s="35">
        <v>0</v>
      </c>
      <c r="G17" s="45">
        <v>3.42</v>
      </c>
      <c r="H17" s="35">
        <v>0</v>
      </c>
      <c r="I17" s="35">
        <v>0</v>
      </c>
      <c r="J17" s="57"/>
      <c r="K17" s="1"/>
    </row>
    <row r="18" spans="1:11" ht="27" customHeight="1" x14ac:dyDescent="0.35">
      <c r="A18" s="21" t="s">
        <v>25</v>
      </c>
      <c r="B18" s="25"/>
      <c r="C18" s="44">
        <v>4</v>
      </c>
      <c r="D18" s="32">
        <v>1.244</v>
      </c>
      <c r="E18" s="32">
        <v>0.02</v>
      </c>
      <c r="F18" s="35">
        <v>0</v>
      </c>
      <c r="G18" s="45">
        <v>3.42</v>
      </c>
      <c r="H18" s="35">
        <v>0</v>
      </c>
      <c r="I18" s="35">
        <v>0</v>
      </c>
      <c r="J18" s="57"/>
      <c r="K18" s="1"/>
    </row>
    <row r="19" spans="1:11" ht="27" customHeight="1" x14ac:dyDescent="0.35">
      <c r="A19" s="21" t="s">
        <v>26</v>
      </c>
      <c r="B19" s="25"/>
      <c r="C19" s="44">
        <v>4</v>
      </c>
      <c r="D19" s="32">
        <v>0.122</v>
      </c>
      <c r="E19" s="35">
        <v>0</v>
      </c>
      <c r="F19" s="35">
        <v>0</v>
      </c>
      <c r="G19" s="35">
        <v>0</v>
      </c>
      <c r="H19" s="35">
        <v>0</v>
      </c>
      <c r="I19" s="35">
        <v>0</v>
      </c>
      <c r="J19" s="57"/>
      <c r="K19" s="1"/>
    </row>
    <row r="20" spans="1:11" ht="27" customHeight="1" x14ac:dyDescent="0.35">
      <c r="A20" s="21" t="s">
        <v>27</v>
      </c>
      <c r="B20" s="25"/>
      <c r="C20" s="44" t="s">
        <v>20</v>
      </c>
      <c r="D20" s="32">
        <v>1.173</v>
      </c>
      <c r="E20" s="32">
        <v>1.6E-2</v>
      </c>
      <c r="F20" s="35">
        <v>0</v>
      </c>
      <c r="G20" s="45">
        <v>22.28</v>
      </c>
      <c r="H20" s="35">
        <v>0</v>
      </c>
      <c r="I20" s="35">
        <v>0</v>
      </c>
      <c r="J20" s="57"/>
      <c r="K20" s="1"/>
    </row>
    <row r="21" spans="1:11" ht="27" customHeight="1" x14ac:dyDescent="0.35">
      <c r="A21" s="21" t="s">
        <v>569</v>
      </c>
      <c r="B21" s="25"/>
      <c r="C21" s="44">
        <v>0</v>
      </c>
      <c r="D21" s="42">
        <v>10.324</v>
      </c>
      <c r="E21" s="38">
        <v>8.8999999999999996E-2</v>
      </c>
      <c r="F21" s="47">
        <v>1.6E-2</v>
      </c>
      <c r="G21" s="45">
        <v>3.17</v>
      </c>
      <c r="H21" s="35">
        <v>0</v>
      </c>
      <c r="I21" s="35">
        <v>0</v>
      </c>
      <c r="J21" s="57"/>
      <c r="K21" s="1"/>
    </row>
    <row r="22" spans="1:11" ht="27" customHeight="1" x14ac:dyDescent="0.35">
      <c r="A22" s="21" t="s">
        <v>570</v>
      </c>
      <c r="B22" s="25"/>
      <c r="C22" s="44">
        <v>0</v>
      </c>
      <c r="D22" s="42">
        <v>9.3770000000000007</v>
      </c>
      <c r="E22" s="38">
        <v>8.1000000000000003E-2</v>
      </c>
      <c r="F22" s="47">
        <v>1.4E-2</v>
      </c>
      <c r="G22" s="45">
        <v>3.63</v>
      </c>
      <c r="H22" s="35">
        <v>0</v>
      </c>
      <c r="I22" s="35">
        <v>0</v>
      </c>
      <c r="J22" s="57"/>
      <c r="K22" s="1"/>
    </row>
    <row r="23" spans="1:11" ht="27" customHeight="1" x14ac:dyDescent="0.35">
      <c r="A23" s="21" t="s">
        <v>28</v>
      </c>
      <c r="B23" s="25"/>
      <c r="C23" s="44">
        <v>0</v>
      </c>
      <c r="D23" s="42">
        <v>7.3849999999999998</v>
      </c>
      <c r="E23" s="38">
        <v>5.2999999999999999E-2</v>
      </c>
      <c r="F23" s="47">
        <v>8.9999999999999993E-3</v>
      </c>
      <c r="G23" s="45">
        <v>10.06</v>
      </c>
      <c r="H23" s="45">
        <v>2.13</v>
      </c>
      <c r="I23" s="32">
        <v>0.22500000000000001</v>
      </c>
      <c r="J23" s="56">
        <f>H23</f>
        <v>2.13</v>
      </c>
      <c r="K23" s="1"/>
    </row>
    <row r="24" spans="1:11" ht="27" customHeight="1" x14ac:dyDescent="0.35">
      <c r="A24" s="21" t="s">
        <v>186</v>
      </c>
      <c r="B24" s="25"/>
      <c r="C24" s="44">
        <v>8</v>
      </c>
      <c r="D24" s="32">
        <v>1.1839999999999999</v>
      </c>
      <c r="E24" s="35">
        <v>0</v>
      </c>
      <c r="F24" s="35">
        <v>0</v>
      </c>
      <c r="G24" s="35">
        <v>0</v>
      </c>
      <c r="H24" s="35">
        <v>0</v>
      </c>
      <c r="I24" s="35">
        <v>0</v>
      </c>
      <c r="J24" s="57"/>
      <c r="K24" s="1"/>
    </row>
    <row r="25" spans="1:11" ht="27" customHeight="1" x14ac:dyDescent="0.35">
      <c r="A25" s="21" t="s">
        <v>187</v>
      </c>
      <c r="B25" s="25"/>
      <c r="C25" s="44">
        <v>1</v>
      </c>
      <c r="D25" s="32">
        <v>1.762</v>
      </c>
      <c r="E25" s="35">
        <v>0</v>
      </c>
      <c r="F25" s="35">
        <v>0</v>
      </c>
      <c r="G25" s="35">
        <v>0</v>
      </c>
      <c r="H25" s="35">
        <v>0</v>
      </c>
      <c r="I25" s="35">
        <v>0</v>
      </c>
      <c r="J25" s="57"/>
      <c r="K25" s="1"/>
    </row>
    <row r="26" spans="1:11" ht="27" customHeight="1" x14ac:dyDescent="0.35">
      <c r="A26" s="21" t="s">
        <v>188</v>
      </c>
      <c r="B26" s="25"/>
      <c r="C26" s="44">
        <v>1</v>
      </c>
      <c r="D26" s="32">
        <v>2.9980000000000002</v>
      </c>
      <c r="E26" s="35">
        <v>0</v>
      </c>
      <c r="F26" s="35">
        <v>0</v>
      </c>
      <c r="G26" s="35">
        <v>0</v>
      </c>
      <c r="H26" s="35">
        <v>0</v>
      </c>
      <c r="I26" s="35">
        <v>0</v>
      </c>
      <c r="J26" s="57"/>
      <c r="K26" s="1"/>
    </row>
    <row r="27" spans="1:11" ht="27" customHeight="1" x14ac:dyDescent="0.35">
      <c r="A27" s="21" t="s">
        <v>189</v>
      </c>
      <c r="B27" s="25"/>
      <c r="C27" s="44">
        <v>1</v>
      </c>
      <c r="D27" s="32">
        <v>0.79900000000000004</v>
      </c>
      <c r="E27" s="35">
        <v>0</v>
      </c>
      <c r="F27" s="35">
        <v>0</v>
      </c>
      <c r="G27" s="35">
        <v>0</v>
      </c>
      <c r="H27" s="35">
        <v>0</v>
      </c>
      <c r="I27" s="35">
        <v>0</v>
      </c>
      <c r="J27" s="57"/>
      <c r="K27" s="1"/>
    </row>
    <row r="28" spans="1:11" ht="27" customHeight="1" x14ac:dyDescent="0.35">
      <c r="A28" s="21" t="s">
        <v>29</v>
      </c>
      <c r="B28" s="25"/>
      <c r="C28" s="48">
        <v>0</v>
      </c>
      <c r="D28" s="54">
        <v>26.838999999999999</v>
      </c>
      <c r="E28" s="41">
        <v>0.442</v>
      </c>
      <c r="F28" s="47">
        <v>0.374</v>
      </c>
      <c r="G28" s="35">
        <v>0</v>
      </c>
      <c r="H28" s="35">
        <v>0</v>
      </c>
      <c r="I28" s="35">
        <v>0</v>
      </c>
      <c r="J28" s="57"/>
      <c r="K28" s="1"/>
    </row>
    <row r="29" spans="1:11" ht="27" customHeight="1" x14ac:dyDescent="0.35">
      <c r="A29" s="21" t="s">
        <v>571</v>
      </c>
      <c r="B29" s="25"/>
      <c r="C29" s="48" t="s">
        <v>916</v>
      </c>
      <c r="D29" s="32">
        <v>-0.90500000000000003</v>
      </c>
      <c r="E29" s="35">
        <v>0</v>
      </c>
      <c r="F29" s="35">
        <v>0</v>
      </c>
      <c r="G29" s="45">
        <v>0</v>
      </c>
      <c r="H29" s="35">
        <v>0</v>
      </c>
      <c r="I29" s="35">
        <v>0</v>
      </c>
      <c r="J29" s="57"/>
      <c r="K29" s="1"/>
    </row>
    <row r="30" spans="1:11" ht="27" customHeight="1" x14ac:dyDescent="0.35">
      <c r="A30" s="21" t="s">
        <v>30</v>
      </c>
      <c r="B30" s="25"/>
      <c r="C30" s="48">
        <v>0</v>
      </c>
      <c r="D30" s="32">
        <v>-0.90500000000000003</v>
      </c>
      <c r="E30" s="35">
        <v>0</v>
      </c>
      <c r="F30" s="35">
        <v>0</v>
      </c>
      <c r="G30" s="45">
        <v>0</v>
      </c>
      <c r="H30" s="35">
        <v>0</v>
      </c>
      <c r="I30" s="32">
        <v>0.28899999999999998</v>
      </c>
      <c r="J30" s="57"/>
      <c r="K30" s="1"/>
    </row>
    <row r="31" spans="1:11" ht="27" customHeight="1" x14ac:dyDescent="0.35">
      <c r="A31" s="21" t="s">
        <v>31</v>
      </c>
      <c r="B31" s="25"/>
      <c r="C31" s="48">
        <v>0</v>
      </c>
      <c r="D31" s="42">
        <v>-9.6839999999999993</v>
      </c>
      <c r="E31" s="43">
        <v>-0.09</v>
      </c>
      <c r="F31" s="39">
        <v>-1.6E-2</v>
      </c>
      <c r="G31" s="45">
        <v>0</v>
      </c>
      <c r="H31" s="35">
        <v>0</v>
      </c>
      <c r="I31" s="32">
        <v>0.28899999999999998</v>
      </c>
      <c r="J31" s="57"/>
      <c r="K31" s="1"/>
    </row>
    <row r="32" spans="1:11" ht="27" customHeight="1" x14ac:dyDescent="0.35">
      <c r="A32" s="21" t="s">
        <v>32</v>
      </c>
      <c r="B32" s="25"/>
      <c r="C32" s="48">
        <v>1</v>
      </c>
      <c r="D32" s="32">
        <v>0.94699999999999995</v>
      </c>
      <c r="E32" s="35">
        <v>0</v>
      </c>
      <c r="F32" s="35">
        <v>0</v>
      </c>
      <c r="G32" s="45">
        <v>2.2200000000000002</v>
      </c>
      <c r="H32" s="35">
        <v>0</v>
      </c>
      <c r="I32" s="35">
        <v>0</v>
      </c>
      <c r="J32" s="57"/>
      <c r="K32" s="1"/>
    </row>
    <row r="33" spans="1:11" ht="27" customHeight="1" x14ac:dyDescent="0.35">
      <c r="A33" s="21" t="s">
        <v>33</v>
      </c>
      <c r="B33" s="25"/>
      <c r="C33" s="48">
        <v>2</v>
      </c>
      <c r="D33" s="32">
        <v>1.1359999999999999</v>
      </c>
      <c r="E33" s="32">
        <v>1.4E-2</v>
      </c>
      <c r="F33" s="35">
        <v>0</v>
      </c>
      <c r="G33" s="45">
        <v>2.2200000000000002</v>
      </c>
      <c r="H33" s="35">
        <v>0</v>
      </c>
      <c r="I33" s="35">
        <v>0</v>
      </c>
      <c r="J33" s="57"/>
      <c r="K33" s="1"/>
    </row>
    <row r="34" spans="1:11" ht="27" customHeight="1" x14ac:dyDescent="0.35">
      <c r="A34" s="21" t="s">
        <v>34</v>
      </c>
      <c r="B34" s="25"/>
      <c r="C34" s="48">
        <v>2</v>
      </c>
      <c r="D34" s="32">
        <v>4.3999999999999997E-2</v>
      </c>
      <c r="E34" s="35">
        <v>0</v>
      </c>
      <c r="F34" s="35">
        <v>0</v>
      </c>
      <c r="G34" s="35">
        <v>0</v>
      </c>
      <c r="H34" s="35">
        <v>0</v>
      </c>
      <c r="I34" s="35">
        <v>0</v>
      </c>
      <c r="J34" s="57"/>
      <c r="K34" s="1"/>
    </row>
    <row r="35" spans="1:11" ht="27" customHeight="1" x14ac:dyDescent="0.35">
      <c r="A35" s="21" t="s">
        <v>35</v>
      </c>
      <c r="B35" s="25"/>
      <c r="C35" s="48">
        <v>3</v>
      </c>
      <c r="D35" s="32">
        <v>0.72799999999999998</v>
      </c>
      <c r="E35" s="35">
        <v>0</v>
      </c>
      <c r="F35" s="35">
        <v>0</v>
      </c>
      <c r="G35" s="45">
        <v>2.39</v>
      </c>
      <c r="H35" s="35">
        <v>0</v>
      </c>
      <c r="I35" s="35">
        <v>0</v>
      </c>
      <c r="J35" s="57"/>
      <c r="K35" s="1"/>
    </row>
    <row r="36" spans="1:11" ht="27" customHeight="1" x14ac:dyDescent="0.35">
      <c r="A36" s="21" t="s">
        <v>36</v>
      </c>
      <c r="B36" s="25"/>
      <c r="C36" s="48">
        <v>4</v>
      </c>
      <c r="D36" s="32">
        <v>0.871</v>
      </c>
      <c r="E36" s="32">
        <v>1.4E-2</v>
      </c>
      <c r="F36" s="35">
        <v>0</v>
      </c>
      <c r="G36" s="45">
        <v>2.39</v>
      </c>
      <c r="H36" s="35">
        <v>0</v>
      </c>
      <c r="I36" s="35">
        <v>0</v>
      </c>
      <c r="J36" s="57"/>
      <c r="K36" s="1"/>
    </row>
    <row r="37" spans="1:11" ht="27" customHeight="1" x14ac:dyDescent="0.35">
      <c r="A37" s="21" t="s">
        <v>37</v>
      </c>
      <c r="B37" s="25"/>
      <c r="C37" s="48">
        <v>4</v>
      </c>
      <c r="D37" s="32">
        <v>8.5000000000000006E-2</v>
      </c>
      <c r="E37" s="35">
        <v>0</v>
      </c>
      <c r="F37" s="35">
        <v>0</v>
      </c>
      <c r="G37" s="35">
        <v>0</v>
      </c>
      <c r="H37" s="35">
        <v>0</v>
      </c>
      <c r="I37" s="35">
        <v>0</v>
      </c>
      <c r="J37" s="57"/>
      <c r="K37" s="1"/>
    </row>
    <row r="38" spans="1:11" ht="27" customHeight="1" x14ac:dyDescent="0.35">
      <c r="A38" s="21" t="s">
        <v>38</v>
      </c>
      <c r="B38" s="25"/>
      <c r="C38" s="48" t="s">
        <v>20</v>
      </c>
      <c r="D38" s="32">
        <v>0.82199999999999995</v>
      </c>
      <c r="E38" s="32">
        <v>1.0999999999999999E-2</v>
      </c>
      <c r="F38" s="35">
        <v>0</v>
      </c>
      <c r="G38" s="45">
        <v>15.61</v>
      </c>
      <c r="H38" s="35">
        <v>0</v>
      </c>
      <c r="I38" s="35">
        <v>0</v>
      </c>
      <c r="J38" s="57"/>
      <c r="K38" s="1"/>
    </row>
    <row r="39" spans="1:11" ht="27" customHeight="1" x14ac:dyDescent="0.35">
      <c r="A39" s="21" t="s">
        <v>572</v>
      </c>
      <c r="B39" s="25"/>
      <c r="C39" s="48">
        <v>0</v>
      </c>
      <c r="D39" s="42">
        <v>7.2320000000000002</v>
      </c>
      <c r="E39" s="38">
        <v>6.2E-2</v>
      </c>
      <c r="F39" s="47">
        <v>1.0999999999999999E-2</v>
      </c>
      <c r="G39" s="45">
        <v>2.2200000000000002</v>
      </c>
      <c r="H39" s="35">
        <v>0</v>
      </c>
      <c r="I39" s="35">
        <v>0</v>
      </c>
      <c r="J39" s="57"/>
      <c r="K39" s="1"/>
    </row>
    <row r="40" spans="1:11" ht="27" customHeight="1" x14ac:dyDescent="0.35">
      <c r="A40" s="21" t="s">
        <v>573</v>
      </c>
      <c r="B40" s="25"/>
      <c r="C40" s="48">
        <v>0</v>
      </c>
      <c r="D40" s="42">
        <v>6.569</v>
      </c>
      <c r="E40" s="38">
        <v>5.6000000000000001E-2</v>
      </c>
      <c r="F40" s="47">
        <v>0.01</v>
      </c>
      <c r="G40" s="45">
        <v>2.5499999999999998</v>
      </c>
      <c r="H40" s="35">
        <v>0</v>
      </c>
      <c r="I40" s="35">
        <v>0</v>
      </c>
      <c r="J40" s="57"/>
      <c r="K40" s="1"/>
    </row>
    <row r="41" spans="1:11" ht="27" customHeight="1" x14ac:dyDescent="0.35">
      <c r="A41" s="21" t="s">
        <v>39</v>
      </c>
      <c r="B41" s="25"/>
      <c r="C41" s="48">
        <v>0</v>
      </c>
      <c r="D41" s="42">
        <v>5.173</v>
      </c>
      <c r="E41" s="38">
        <v>3.6999999999999998E-2</v>
      </c>
      <c r="F41" s="47">
        <v>7.0000000000000001E-3</v>
      </c>
      <c r="G41" s="45">
        <v>7.05</v>
      </c>
      <c r="H41" s="45">
        <v>1.49</v>
      </c>
      <c r="I41" s="32">
        <v>0.157</v>
      </c>
      <c r="J41" s="56">
        <f>H41</f>
        <v>1.49</v>
      </c>
      <c r="K41" s="1"/>
    </row>
    <row r="42" spans="1:11" ht="27" customHeight="1" x14ac:dyDescent="0.35">
      <c r="A42" s="21" t="s">
        <v>40</v>
      </c>
      <c r="B42" s="25"/>
      <c r="C42" s="48">
        <v>0</v>
      </c>
      <c r="D42" s="42">
        <v>5.6029999999999998</v>
      </c>
      <c r="E42" s="38">
        <v>2.5000000000000001E-2</v>
      </c>
      <c r="F42" s="47">
        <v>5.0000000000000001E-3</v>
      </c>
      <c r="G42" s="45">
        <v>7.4</v>
      </c>
      <c r="H42" s="45">
        <v>3.39</v>
      </c>
      <c r="I42" s="32">
        <v>0.156</v>
      </c>
      <c r="J42" s="56">
        <f>H42</f>
        <v>3.39</v>
      </c>
      <c r="K42" s="1"/>
    </row>
    <row r="43" spans="1:11" ht="27" customHeight="1" x14ac:dyDescent="0.35">
      <c r="A43" s="21" t="s">
        <v>41</v>
      </c>
      <c r="B43" s="25"/>
      <c r="C43" s="48">
        <v>0</v>
      </c>
      <c r="D43" s="42">
        <v>5.2249999999999996</v>
      </c>
      <c r="E43" s="38">
        <v>1.6E-2</v>
      </c>
      <c r="F43" s="47">
        <v>3.0000000000000001E-3</v>
      </c>
      <c r="G43" s="45">
        <v>83.91</v>
      </c>
      <c r="H43" s="45">
        <v>3.17</v>
      </c>
      <c r="I43" s="32">
        <v>0.14699999999999999</v>
      </c>
      <c r="J43" s="56">
        <f>H43</f>
        <v>3.17</v>
      </c>
      <c r="K43" s="1"/>
    </row>
    <row r="44" spans="1:11" ht="27" customHeight="1" x14ac:dyDescent="0.35">
      <c r="A44" s="21" t="s">
        <v>190</v>
      </c>
      <c r="B44" s="25"/>
      <c r="C44" s="48">
        <v>8</v>
      </c>
      <c r="D44" s="32">
        <v>0.82899999999999996</v>
      </c>
      <c r="E44" s="35">
        <v>0</v>
      </c>
      <c r="F44" s="35">
        <v>0</v>
      </c>
      <c r="G44" s="35">
        <v>0</v>
      </c>
      <c r="H44" s="35">
        <v>0</v>
      </c>
      <c r="I44" s="35">
        <v>0</v>
      </c>
      <c r="J44" s="57"/>
      <c r="K44" s="1"/>
    </row>
    <row r="45" spans="1:11" ht="27" customHeight="1" x14ac:dyDescent="0.35">
      <c r="A45" s="21" t="s">
        <v>191</v>
      </c>
      <c r="B45" s="25"/>
      <c r="C45" s="48">
        <v>1</v>
      </c>
      <c r="D45" s="32">
        <v>1.2350000000000001</v>
      </c>
      <c r="E45" s="35">
        <v>0</v>
      </c>
      <c r="F45" s="35">
        <v>0</v>
      </c>
      <c r="G45" s="35">
        <v>0</v>
      </c>
      <c r="H45" s="35">
        <v>0</v>
      </c>
      <c r="I45" s="35">
        <v>0</v>
      </c>
      <c r="J45" s="57"/>
      <c r="K45" s="1"/>
    </row>
    <row r="46" spans="1:11" ht="27" customHeight="1" x14ac:dyDescent="0.35">
      <c r="A46" s="21" t="s">
        <v>192</v>
      </c>
      <c r="B46" s="25"/>
      <c r="C46" s="48">
        <v>1</v>
      </c>
      <c r="D46" s="32">
        <v>2.1</v>
      </c>
      <c r="E46" s="35">
        <v>0</v>
      </c>
      <c r="F46" s="35">
        <v>0</v>
      </c>
      <c r="G46" s="35">
        <v>0</v>
      </c>
      <c r="H46" s="35">
        <v>0</v>
      </c>
      <c r="I46" s="35">
        <v>0</v>
      </c>
      <c r="J46" s="57"/>
      <c r="K46" s="1"/>
    </row>
    <row r="47" spans="1:11" ht="27" customHeight="1" x14ac:dyDescent="0.35">
      <c r="A47" s="21" t="s">
        <v>193</v>
      </c>
      <c r="B47" s="25"/>
      <c r="C47" s="48">
        <v>1</v>
      </c>
      <c r="D47" s="32">
        <v>0.56000000000000005</v>
      </c>
      <c r="E47" s="35">
        <v>0</v>
      </c>
      <c r="F47" s="35">
        <v>0</v>
      </c>
      <c r="G47" s="35">
        <v>0</v>
      </c>
      <c r="H47" s="35">
        <v>0</v>
      </c>
      <c r="I47" s="35">
        <v>0</v>
      </c>
      <c r="J47" s="57"/>
      <c r="K47" s="1"/>
    </row>
    <row r="48" spans="1:11" ht="27" customHeight="1" x14ac:dyDescent="0.35">
      <c r="A48" s="21" t="s">
        <v>42</v>
      </c>
      <c r="B48" s="25"/>
      <c r="C48" s="48">
        <v>0</v>
      </c>
      <c r="D48" s="54">
        <v>18.802</v>
      </c>
      <c r="E48" s="41">
        <v>0.31</v>
      </c>
      <c r="F48" s="39">
        <v>0.26200000000000001</v>
      </c>
      <c r="G48" s="35">
        <v>0</v>
      </c>
      <c r="H48" s="35">
        <v>0</v>
      </c>
      <c r="I48" s="35">
        <v>0</v>
      </c>
      <c r="J48" s="57"/>
      <c r="K48" s="1"/>
    </row>
    <row r="49" spans="1:11" ht="27" customHeight="1" x14ac:dyDescent="0.35">
      <c r="A49" s="21" t="s">
        <v>574</v>
      </c>
      <c r="B49" s="25"/>
      <c r="C49" s="48" t="s">
        <v>916</v>
      </c>
      <c r="D49" s="32">
        <v>-0.90500000000000003</v>
      </c>
      <c r="E49" s="35">
        <v>0</v>
      </c>
      <c r="F49" s="35">
        <v>0</v>
      </c>
      <c r="G49" s="45">
        <v>0</v>
      </c>
      <c r="H49" s="35">
        <v>0</v>
      </c>
      <c r="I49" s="35">
        <v>0</v>
      </c>
      <c r="J49" s="57"/>
      <c r="K49" s="1"/>
    </row>
    <row r="50" spans="1:11" ht="27" customHeight="1" x14ac:dyDescent="0.35">
      <c r="A50" s="21" t="s">
        <v>43</v>
      </c>
      <c r="B50" s="25"/>
      <c r="C50" s="48">
        <v>8</v>
      </c>
      <c r="D50" s="32">
        <v>-0.80200000000000005</v>
      </c>
      <c r="E50" s="35">
        <v>0</v>
      </c>
      <c r="F50" s="35">
        <v>0</v>
      </c>
      <c r="G50" s="45">
        <v>0</v>
      </c>
      <c r="H50" s="35">
        <v>0</v>
      </c>
      <c r="I50" s="35">
        <v>0</v>
      </c>
      <c r="J50" s="57"/>
      <c r="K50" s="1"/>
    </row>
    <row r="51" spans="1:11" ht="27" customHeight="1" x14ac:dyDescent="0.35">
      <c r="A51" s="21" t="s">
        <v>44</v>
      </c>
      <c r="B51" s="25"/>
      <c r="C51" s="48">
        <v>0</v>
      </c>
      <c r="D51" s="32">
        <v>-0.90500000000000003</v>
      </c>
      <c r="E51" s="35">
        <v>0</v>
      </c>
      <c r="F51" s="35">
        <v>0</v>
      </c>
      <c r="G51" s="45">
        <v>0</v>
      </c>
      <c r="H51" s="35">
        <v>0</v>
      </c>
      <c r="I51" s="32">
        <v>0.28899999999999998</v>
      </c>
      <c r="J51" s="57"/>
      <c r="K51" s="1"/>
    </row>
    <row r="52" spans="1:11" ht="27" customHeight="1" x14ac:dyDescent="0.35">
      <c r="A52" s="21" t="s">
        <v>45</v>
      </c>
      <c r="B52" s="25"/>
      <c r="C52" s="48">
        <v>0</v>
      </c>
      <c r="D52" s="42">
        <v>-9.6839999999999993</v>
      </c>
      <c r="E52" s="43">
        <v>-0.09</v>
      </c>
      <c r="F52" s="39">
        <v>-1.6E-2</v>
      </c>
      <c r="G52" s="45">
        <v>0</v>
      </c>
      <c r="H52" s="35">
        <v>0</v>
      </c>
      <c r="I52" s="32">
        <v>0.28899999999999998</v>
      </c>
      <c r="J52" s="57"/>
      <c r="K52" s="1"/>
    </row>
    <row r="53" spans="1:11" ht="39.75" customHeight="1" x14ac:dyDescent="0.35">
      <c r="A53" s="21" t="s">
        <v>46</v>
      </c>
      <c r="B53" s="25"/>
      <c r="C53" s="48">
        <v>0</v>
      </c>
      <c r="D53" s="32">
        <v>-0.80200000000000005</v>
      </c>
      <c r="E53" s="35">
        <v>0</v>
      </c>
      <c r="F53" s="35">
        <v>0</v>
      </c>
      <c r="G53" s="45">
        <v>0</v>
      </c>
      <c r="H53" s="35">
        <v>0</v>
      </c>
      <c r="I53" s="32">
        <v>0.25900000000000001</v>
      </c>
      <c r="J53" s="57"/>
      <c r="K53" s="1"/>
    </row>
    <row r="54" spans="1:11" ht="27" customHeight="1" x14ac:dyDescent="0.35">
      <c r="A54" s="21" t="s">
        <v>47</v>
      </c>
      <c r="B54" s="25"/>
      <c r="C54" s="48">
        <v>0</v>
      </c>
      <c r="D54" s="42">
        <v>-8.6259999999999994</v>
      </c>
      <c r="E54" s="38">
        <v>-7.1999999999999995E-2</v>
      </c>
      <c r="F54" s="39">
        <v>-1.2999999999999999E-2</v>
      </c>
      <c r="G54" s="45">
        <v>0</v>
      </c>
      <c r="H54" s="35">
        <v>0</v>
      </c>
      <c r="I54" s="32">
        <v>0.25900000000000001</v>
      </c>
      <c r="J54" s="57"/>
      <c r="K54" s="1"/>
    </row>
    <row r="55" spans="1:11" ht="27" customHeight="1" x14ac:dyDescent="0.35">
      <c r="A55" s="21" t="s">
        <v>48</v>
      </c>
      <c r="B55" s="25"/>
      <c r="C55" s="48">
        <v>0</v>
      </c>
      <c r="D55" s="32">
        <v>-0.57699999999999996</v>
      </c>
      <c r="E55" s="35">
        <v>0</v>
      </c>
      <c r="F55" s="35">
        <v>0</v>
      </c>
      <c r="G55" s="45">
        <v>0</v>
      </c>
      <c r="H55" s="35">
        <v>0</v>
      </c>
      <c r="I55" s="32">
        <v>0.21099999999999999</v>
      </c>
      <c r="J55" s="57"/>
      <c r="K55" s="1"/>
    </row>
    <row r="56" spans="1:11" ht="27" customHeight="1" x14ac:dyDescent="0.35">
      <c r="A56" s="21" t="s">
        <v>49</v>
      </c>
      <c r="B56" s="25"/>
      <c r="C56" s="48">
        <v>0</v>
      </c>
      <c r="D56" s="42">
        <v>-6.3120000000000003</v>
      </c>
      <c r="E56" s="38">
        <v>-0.03</v>
      </c>
      <c r="F56" s="39">
        <v>-6.0000000000000001E-3</v>
      </c>
      <c r="G56" s="45">
        <v>0</v>
      </c>
      <c r="H56" s="35">
        <v>0</v>
      </c>
      <c r="I56" s="32">
        <v>0.21099999999999999</v>
      </c>
      <c r="J56" s="57"/>
      <c r="K56" s="1"/>
    </row>
    <row r="57" spans="1:11" ht="27" customHeight="1" x14ac:dyDescent="0.35">
      <c r="A57" s="21" t="s">
        <v>97</v>
      </c>
      <c r="B57" s="25"/>
      <c r="C57" s="48">
        <v>1</v>
      </c>
      <c r="D57" s="32">
        <v>0.86599999999999999</v>
      </c>
      <c r="E57" s="33"/>
      <c r="F57" s="33"/>
      <c r="G57" s="45">
        <v>2.0299999999999998</v>
      </c>
      <c r="H57" s="33"/>
      <c r="I57" s="33"/>
      <c r="J57" s="22"/>
      <c r="K57" s="1"/>
    </row>
    <row r="58" spans="1:11" ht="27" customHeight="1" x14ac:dyDescent="0.35">
      <c r="A58" s="21" t="s">
        <v>98</v>
      </c>
      <c r="B58" s="25"/>
      <c r="C58" s="48">
        <v>2</v>
      </c>
      <c r="D58" s="32">
        <v>1.0389999999999999</v>
      </c>
      <c r="E58" s="32">
        <v>1.2999999999999999E-2</v>
      </c>
      <c r="F58" s="33"/>
      <c r="G58" s="45">
        <v>2.0299999999999998</v>
      </c>
      <c r="H58" s="33"/>
      <c r="I58" s="33"/>
      <c r="J58" s="22"/>
      <c r="K58" s="1"/>
    </row>
    <row r="59" spans="1:11" ht="27" customHeight="1" x14ac:dyDescent="0.35">
      <c r="A59" s="21" t="s">
        <v>99</v>
      </c>
      <c r="B59" s="25"/>
      <c r="C59" s="48">
        <v>2</v>
      </c>
      <c r="D59" s="32">
        <v>0.04</v>
      </c>
      <c r="E59" s="33"/>
      <c r="F59" s="33"/>
      <c r="G59" s="33"/>
      <c r="H59" s="33"/>
      <c r="I59" s="33"/>
      <c r="J59" s="22"/>
      <c r="K59" s="1"/>
    </row>
    <row r="60" spans="1:11" ht="27" customHeight="1" x14ac:dyDescent="0.35">
      <c r="A60" s="21" t="s">
        <v>100</v>
      </c>
      <c r="B60" s="25"/>
      <c r="C60" s="48">
        <v>3</v>
      </c>
      <c r="D60" s="32">
        <v>0.66500000000000004</v>
      </c>
      <c r="E60" s="33"/>
      <c r="F60" s="33"/>
      <c r="G60" s="45">
        <v>2.19</v>
      </c>
      <c r="H60" s="33"/>
      <c r="I60" s="33"/>
      <c r="J60" s="22"/>
      <c r="K60" s="1"/>
    </row>
    <row r="61" spans="1:11" ht="27" customHeight="1" x14ac:dyDescent="0.35">
      <c r="A61" s="21" t="s">
        <v>101</v>
      </c>
      <c r="B61" s="25"/>
      <c r="C61" s="48">
        <v>4</v>
      </c>
      <c r="D61" s="32">
        <v>0.79700000000000004</v>
      </c>
      <c r="E61" s="32">
        <v>1.2999999999999999E-2</v>
      </c>
      <c r="F61" s="33"/>
      <c r="G61" s="45">
        <v>2.19</v>
      </c>
      <c r="H61" s="33"/>
      <c r="I61" s="33"/>
      <c r="J61" s="22"/>
      <c r="K61" s="1"/>
    </row>
    <row r="62" spans="1:11" ht="27" customHeight="1" x14ac:dyDescent="0.35">
      <c r="A62" s="21" t="s">
        <v>102</v>
      </c>
      <c r="B62" s="25"/>
      <c r="C62" s="48">
        <v>4</v>
      </c>
      <c r="D62" s="32">
        <v>7.8E-2</v>
      </c>
      <c r="E62" s="33"/>
      <c r="F62" s="33"/>
      <c r="G62" s="33"/>
      <c r="H62" s="33"/>
      <c r="I62" s="33"/>
      <c r="J62" s="22"/>
      <c r="K62" s="1"/>
    </row>
    <row r="63" spans="1:11" ht="27" customHeight="1" x14ac:dyDescent="0.35">
      <c r="A63" s="21" t="s">
        <v>103</v>
      </c>
      <c r="B63" s="25"/>
      <c r="C63" s="48" t="s">
        <v>20</v>
      </c>
      <c r="D63" s="32">
        <v>0.751</v>
      </c>
      <c r="E63" s="32">
        <v>0.01</v>
      </c>
      <c r="F63" s="33"/>
      <c r="G63" s="45">
        <v>14.27</v>
      </c>
      <c r="H63" s="33"/>
      <c r="I63" s="33"/>
      <c r="J63" s="22"/>
      <c r="K63" s="1"/>
    </row>
    <row r="64" spans="1:11" ht="27" customHeight="1" x14ac:dyDescent="0.35">
      <c r="A64" s="21" t="s">
        <v>104</v>
      </c>
      <c r="B64" s="25"/>
      <c r="C64" s="48" t="s">
        <v>20</v>
      </c>
      <c r="D64" s="32">
        <v>0.67300000000000004</v>
      </c>
      <c r="E64" s="32">
        <v>8.0000000000000002E-3</v>
      </c>
      <c r="F64" s="33"/>
      <c r="G64" s="45">
        <v>6.57</v>
      </c>
      <c r="H64" s="33"/>
      <c r="I64" s="33"/>
      <c r="J64" s="22"/>
      <c r="K64" s="1"/>
    </row>
    <row r="65" spans="1:11" ht="27" customHeight="1" x14ac:dyDescent="0.35">
      <c r="A65" s="21" t="s">
        <v>105</v>
      </c>
      <c r="B65" s="25"/>
      <c r="C65" s="48" t="s">
        <v>20</v>
      </c>
      <c r="D65" s="32">
        <v>0.49299999999999999</v>
      </c>
      <c r="E65" s="32">
        <v>3.0000000000000001E-3</v>
      </c>
      <c r="F65" s="33"/>
      <c r="G65" s="45">
        <v>73.77</v>
      </c>
      <c r="H65" s="33"/>
      <c r="I65" s="33"/>
      <c r="J65" s="22"/>
      <c r="K65" s="1"/>
    </row>
    <row r="66" spans="1:11" ht="27" customHeight="1" x14ac:dyDescent="0.35">
      <c r="A66" s="21" t="s">
        <v>575</v>
      </c>
      <c r="B66" s="25"/>
      <c r="C66" s="48">
        <v>0</v>
      </c>
      <c r="D66" s="42">
        <v>6.6109999999999998</v>
      </c>
      <c r="E66" s="38">
        <v>5.7000000000000002E-2</v>
      </c>
      <c r="F66" s="50">
        <v>0.01</v>
      </c>
      <c r="G66" s="45">
        <v>2.0299999999999998</v>
      </c>
      <c r="H66" s="33"/>
      <c r="I66" s="33"/>
      <c r="J66" s="22"/>
      <c r="K66" s="1"/>
    </row>
    <row r="67" spans="1:11" ht="27" customHeight="1" x14ac:dyDescent="0.35">
      <c r="A67" s="21" t="s">
        <v>576</v>
      </c>
      <c r="B67" s="25"/>
      <c r="C67" s="48">
        <v>0</v>
      </c>
      <c r="D67" s="42">
        <v>6.0049999999999999</v>
      </c>
      <c r="E67" s="38">
        <v>5.1999999999999998E-2</v>
      </c>
      <c r="F67" s="50">
        <v>8.9999999999999993E-3</v>
      </c>
      <c r="G67" s="45">
        <v>2.33</v>
      </c>
      <c r="H67" s="33"/>
      <c r="I67" s="33"/>
      <c r="J67" s="22"/>
      <c r="K67" s="1"/>
    </row>
    <row r="68" spans="1:11" ht="27" customHeight="1" x14ac:dyDescent="0.35">
      <c r="A68" s="21" t="s">
        <v>106</v>
      </c>
      <c r="B68" s="25"/>
      <c r="C68" s="48">
        <v>0</v>
      </c>
      <c r="D68" s="42">
        <v>4.7290000000000001</v>
      </c>
      <c r="E68" s="38">
        <v>3.4000000000000002E-2</v>
      </c>
      <c r="F68" s="50">
        <v>6.0000000000000001E-3</v>
      </c>
      <c r="G68" s="45">
        <v>6.45</v>
      </c>
      <c r="H68" s="45">
        <v>1.37</v>
      </c>
      <c r="I68" s="32">
        <v>0.14399999999999999</v>
      </c>
      <c r="J68" s="56">
        <f>H68</f>
        <v>1.37</v>
      </c>
      <c r="K68" s="1"/>
    </row>
    <row r="69" spans="1:11" ht="27" customHeight="1" x14ac:dyDescent="0.35">
      <c r="A69" s="21" t="s">
        <v>107</v>
      </c>
      <c r="B69" s="25"/>
      <c r="C69" s="48">
        <v>0</v>
      </c>
      <c r="D69" s="42">
        <v>4.9729999999999999</v>
      </c>
      <c r="E69" s="38">
        <v>2.3E-2</v>
      </c>
      <c r="F69" s="50">
        <v>5.0000000000000001E-3</v>
      </c>
      <c r="G69" s="45">
        <v>6.57</v>
      </c>
      <c r="H69" s="45">
        <v>3.01</v>
      </c>
      <c r="I69" s="32">
        <v>0.13900000000000001</v>
      </c>
      <c r="J69" s="56">
        <f>H69</f>
        <v>3.01</v>
      </c>
      <c r="K69" s="1"/>
    </row>
    <row r="70" spans="1:11" ht="27" customHeight="1" x14ac:dyDescent="0.35">
      <c r="A70" s="21" t="s">
        <v>108</v>
      </c>
      <c r="B70" s="25"/>
      <c r="C70" s="48">
        <v>0</v>
      </c>
      <c r="D70" s="42">
        <v>4.5940000000000003</v>
      </c>
      <c r="E70" s="38">
        <v>1.4E-2</v>
      </c>
      <c r="F70" s="50">
        <v>3.0000000000000001E-3</v>
      </c>
      <c r="G70" s="45">
        <v>73.77</v>
      </c>
      <c r="H70" s="45">
        <v>2.78</v>
      </c>
      <c r="I70" s="32">
        <v>0.129</v>
      </c>
      <c r="J70" s="56">
        <f>H70</f>
        <v>2.78</v>
      </c>
      <c r="K70" s="1"/>
    </row>
    <row r="71" spans="1:11" ht="27" customHeight="1" x14ac:dyDescent="0.35">
      <c r="A71" s="21" t="s">
        <v>195</v>
      </c>
      <c r="B71" s="25"/>
      <c r="C71" s="48">
        <v>8</v>
      </c>
      <c r="D71" s="32">
        <v>0.75800000000000001</v>
      </c>
      <c r="E71" s="33"/>
      <c r="F71" s="33"/>
      <c r="G71" s="33"/>
      <c r="H71" s="33"/>
      <c r="I71" s="33"/>
      <c r="J71" s="23"/>
      <c r="K71" s="1"/>
    </row>
    <row r="72" spans="1:11" ht="27" customHeight="1" x14ac:dyDescent="0.35">
      <c r="A72" s="21" t="s">
        <v>196</v>
      </c>
      <c r="B72" s="25"/>
      <c r="C72" s="48">
        <v>1</v>
      </c>
      <c r="D72" s="32">
        <v>1.129</v>
      </c>
      <c r="E72" s="33"/>
      <c r="F72" s="33"/>
      <c r="G72" s="33"/>
      <c r="H72" s="33"/>
      <c r="I72" s="33"/>
      <c r="J72" s="23"/>
      <c r="K72" s="1"/>
    </row>
    <row r="73" spans="1:11" ht="27" customHeight="1" x14ac:dyDescent="0.35">
      <c r="A73" s="21" t="s">
        <v>197</v>
      </c>
      <c r="B73" s="25"/>
      <c r="C73" s="48">
        <v>1</v>
      </c>
      <c r="D73" s="32">
        <v>1.92</v>
      </c>
      <c r="E73" s="33"/>
      <c r="F73" s="33"/>
      <c r="G73" s="33"/>
      <c r="H73" s="33"/>
      <c r="I73" s="33"/>
      <c r="J73" s="23"/>
      <c r="K73" s="1"/>
    </row>
    <row r="74" spans="1:11" ht="27" customHeight="1" x14ac:dyDescent="0.35">
      <c r="A74" s="21" t="s">
        <v>198</v>
      </c>
      <c r="B74" s="25"/>
      <c r="C74" s="48">
        <v>1</v>
      </c>
      <c r="D74" s="32">
        <v>0.51200000000000001</v>
      </c>
      <c r="E74" s="33"/>
      <c r="F74" s="33"/>
      <c r="G74" s="33"/>
      <c r="H74" s="33"/>
      <c r="I74" s="33"/>
      <c r="J74" s="23"/>
      <c r="K74" s="1"/>
    </row>
    <row r="75" spans="1:11" ht="27" customHeight="1" x14ac:dyDescent="0.35">
      <c r="A75" s="21" t="s">
        <v>109</v>
      </c>
      <c r="B75" s="25"/>
      <c r="C75" s="48">
        <v>0</v>
      </c>
      <c r="D75" s="54">
        <v>17.187999999999999</v>
      </c>
      <c r="E75" s="41">
        <v>0.28299999999999997</v>
      </c>
      <c r="F75" s="50">
        <v>0.23899999999999999</v>
      </c>
      <c r="G75" s="33"/>
      <c r="H75" s="33"/>
      <c r="I75" s="33"/>
      <c r="J75" s="22"/>
      <c r="K75" s="1"/>
    </row>
    <row r="76" spans="1:11" ht="27" customHeight="1" x14ac:dyDescent="0.35">
      <c r="A76" s="21" t="s">
        <v>577</v>
      </c>
      <c r="B76" s="25"/>
      <c r="C76" s="48">
        <v>8</v>
      </c>
      <c r="D76" s="32">
        <v>-0.58299999999999996</v>
      </c>
      <c r="E76" s="33"/>
      <c r="F76" s="33"/>
      <c r="G76" s="45">
        <v>0</v>
      </c>
      <c r="H76" s="33"/>
      <c r="I76" s="33"/>
      <c r="J76" s="22"/>
      <c r="K76" s="1"/>
    </row>
    <row r="77" spans="1:11" ht="27" customHeight="1" x14ac:dyDescent="0.35">
      <c r="A77" s="21" t="s">
        <v>110</v>
      </c>
      <c r="B77" s="25"/>
      <c r="C77" s="48">
        <v>8</v>
      </c>
      <c r="D77" s="32">
        <v>-0.57699999999999996</v>
      </c>
      <c r="E77" s="33"/>
      <c r="F77" s="33"/>
      <c r="G77" s="45">
        <v>0</v>
      </c>
      <c r="H77" s="33"/>
      <c r="I77" s="33"/>
      <c r="J77" s="22"/>
      <c r="K77" s="1"/>
    </row>
    <row r="78" spans="1:11" ht="27" customHeight="1" x14ac:dyDescent="0.35">
      <c r="A78" s="21" t="s">
        <v>111</v>
      </c>
      <c r="B78" s="25"/>
      <c r="C78" s="48">
        <v>0</v>
      </c>
      <c r="D78" s="32">
        <v>-0.58299999999999996</v>
      </c>
      <c r="E78" s="33"/>
      <c r="F78" s="33"/>
      <c r="G78" s="45">
        <v>0</v>
      </c>
      <c r="H78" s="33"/>
      <c r="I78" s="32">
        <v>0.186</v>
      </c>
      <c r="J78" s="22"/>
      <c r="K78" s="1"/>
    </row>
    <row r="79" spans="1:11" ht="27" customHeight="1" x14ac:dyDescent="0.35">
      <c r="A79" s="21" t="s">
        <v>112</v>
      </c>
      <c r="B79" s="25"/>
      <c r="C79" s="48">
        <v>0</v>
      </c>
      <c r="D79" s="42">
        <v>-6.24</v>
      </c>
      <c r="E79" s="38">
        <v>-5.8000000000000003E-2</v>
      </c>
      <c r="F79" s="50">
        <v>-0.01</v>
      </c>
      <c r="G79" s="45">
        <v>0</v>
      </c>
      <c r="H79" s="33"/>
      <c r="I79" s="32">
        <v>0.186</v>
      </c>
      <c r="J79" s="22"/>
      <c r="K79" s="1"/>
    </row>
    <row r="80" spans="1:11" ht="27" customHeight="1" x14ac:dyDescent="0.35">
      <c r="A80" s="21" t="s">
        <v>113</v>
      </c>
      <c r="B80" s="25"/>
      <c r="C80" s="48">
        <v>0</v>
      </c>
      <c r="D80" s="32">
        <v>-0.57699999999999996</v>
      </c>
      <c r="E80" s="33"/>
      <c r="F80" s="33"/>
      <c r="G80" s="45">
        <v>0</v>
      </c>
      <c r="H80" s="33"/>
      <c r="I80" s="32">
        <v>0.186</v>
      </c>
      <c r="J80" s="22"/>
      <c r="K80" s="1"/>
    </row>
    <row r="81" spans="1:11" ht="27" customHeight="1" x14ac:dyDescent="0.35">
      <c r="A81" s="21" t="s">
        <v>114</v>
      </c>
      <c r="B81" s="25"/>
      <c r="C81" s="48">
        <v>0</v>
      </c>
      <c r="D81" s="42">
        <v>-6.2069999999999999</v>
      </c>
      <c r="E81" s="38">
        <v>-5.1999999999999998E-2</v>
      </c>
      <c r="F81" s="50">
        <v>-8.9999999999999993E-3</v>
      </c>
      <c r="G81" s="45">
        <v>0</v>
      </c>
      <c r="H81" s="33"/>
      <c r="I81" s="32">
        <v>0.186</v>
      </c>
      <c r="J81" s="22"/>
      <c r="K81" s="1"/>
    </row>
    <row r="82" spans="1:11" ht="27" customHeight="1" x14ac:dyDescent="0.35">
      <c r="A82" s="21" t="s">
        <v>115</v>
      </c>
      <c r="B82" s="25"/>
      <c r="C82" s="48">
        <v>0</v>
      </c>
      <c r="D82" s="32">
        <v>-0.57699999999999996</v>
      </c>
      <c r="E82" s="33"/>
      <c r="F82" s="33"/>
      <c r="G82" s="45">
        <v>48.95</v>
      </c>
      <c r="H82" s="33"/>
      <c r="I82" s="32">
        <v>0.21099999999999999</v>
      </c>
      <c r="J82" s="22"/>
      <c r="K82" s="1"/>
    </row>
    <row r="83" spans="1:11" ht="27" customHeight="1" x14ac:dyDescent="0.35">
      <c r="A83" s="21" t="s">
        <v>116</v>
      </c>
      <c r="B83" s="25"/>
      <c r="C83" s="48">
        <v>0</v>
      </c>
      <c r="D83" s="42">
        <v>-6.3120000000000003</v>
      </c>
      <c r="E83" s="38">
        <v>-0.03</v>
      </c>
      <c r="F83" s="50">
        <v>-6.0000000000000001E-3</v>
      </c>
      <c r="G83" s="45">
        <v>48.95</v>
      </c>
      <c r="H83" s="33"/>
      <c r="I83" s="32">
        <v>0.21099999999999999</v>
      </c>
      <c r="J83" s="22"/>
      <c r="K83" s="1"/>
    </row>
    <row r="84" spans="1:11" ht="27" customHeight="1" x14ac:dyDescent="0.35">
      <c r="A84" s="21" t="s">
        <v>62</v>
      </c>
      <c r="B84" s="25"/>
      <c r="C84" s="48">
        <v>1</v>
      </c>
      <c r="D84" s="32">
        <v>0.65600000000000003</v>
      </c>
      <c r="E84" s="33"/>
      <c r="F84" s="33"/>
      <c r="G84" s="45">
        <v>1.54</v>
      </c>
      <c r="H84" s="33"/>
      <c r="I84" s="33"/>
      <c r="J84" s="51"/>
      <c r="K84" s="1"/>
    </row>
    <row r="85" spans="1:11" ht="27" customHeight="1" x14ac:dyDescent="0.35">
      <c r="A85" s="21" t="s">
        <v>63</v>
      </c>
      <c r="B85" s="25"/>
      <c r="C85" s="48">
        <v>2</v>
      </c>
      <c r="D85" s="32">
        <v>0.78700000000000003</v>
      </c>
      <c r="E85" s="32">
        <v>0.01</v>
      </c>
      <c r="F85" s="33"/>
      <c r="G85" s="45">
        <v>1.54</v>
      </c>
      <c r="H85" s="33"/>
      <c r="I85" s="33"/>
      <c r="J85" s="51"/>
      <c r="K85" s="1"/>
    </row>
    <row r="86" spans="1:11" ht="27" customHeight="1" x14ac:dyDescent="0.35">
      <c r="A86" s="21" t="s">
        <v>64</v>
      </c>
      <c r="B86" s="25"/>
      <c r="C86" s="48">
        <v>2</v>
      </c>
      <c r="D86" s="32">
        <v>0.03</v>
      </c>
      <c r="E86" s="33"/>
      <c r="F86" s="33"/>
      <c r="G86" s="33"/>
      <c r="H86" s="33"/>
      <c r="I86" s="33"/>
      <c r="J86" s="51"/>
      <c r="K86" s="1"/>
    </row>
    <row r="87" spans="1:11" ht="27" customHeight="1" x14ac:dyDescent="0.35">
      <c r="A87" s="21" t="s">
        <v>65</v>
      </c>
      <c r="B87" s="25"/>
      <c r="C87" s="48">
        <v>3</v>
      </c>
      <c r="D87" s="32">
        <v>0.504</v>
      </c>
      <c r="E87" s="33"/>
      <c r="F87" s="33"/>
      <c r="G87" s="45">
        <v>1.66</v>
      </c>
      <c r="H87" s="33"/>
      <c r="I87" s="33"/>
      <c r="J87" s="51"/>
      <c r="K87" s="1"/>
    </row>
    <row r="88" spans="1:11" ht="27" customHeight="1" x14ac:dyDescent="0.35">
      <c r="A88" s="21" t="s">
        <v>66</v>
      </c>
      <c r="B88" s="25"/>
      <c r="C88" s="48">
        <v>4</v>
      </c>
      <c r="D88" s="32">
        <v>0.60399999999999998</v>
      </c>
      <c r="E88" s="32">
        <v>0.01</v>
      </c>
      <c r="F88" s="33"/>
      <c r="G88" s="45">
        <v>1.66</v>
      </c>
      <c r="H88" s="33"/>
      <c r="I88" s="33"/>
      <c r="J88" s="51"/>
      <c r="K88" s="1"/>
    </row>
    <row r="89" spans="1:11" ht="27" customHeight="1" x14ac:dyDescent="0.35">
      <c r="A89" s="21" t="s">
        <v>67</v>
      </c>
      <c r="B89" s="25"/>
      <c r="C89" s="48">
        <v>4</v>
      </c>
      <c r="D89" s="32">
        <v>5.8999999999999997E-2</v>
      </c>
      <c r="E89" s="33"/>
      <c r="F89" s="33"/>
      <c r="G89" s="33"/>
      <c r="H89" s="33"/>
      <c r="I89" s="33"/>
      <c r="J89" s="51"/>
      <c r="K89" s="1"/>
    </row>
    <row r="90" spans="1:11" ht="27" customHeight="1" x14ac:dyDescent="0.35">
      <c r="A90" s="21" t="s">
        <v>68</v>
      </c>
      <c r="B90" s="25"/>
      <c r="C90" s="48" t="s">
        <v>20</v>
      </c>
      <c r="D90" s="32">
        <v>0.56899999999999995</v>
      </c>
      <c r="E90" s="32">
        <v>8.0000000000000002E-3</v>
      </c>
      <c r="F90" s="33"/>
      <c r="G90" s="45">
        <v>10.81</v>
      </c>
      <c r="H90" s="33"/>
      <c r="I90" s="33"/>
      <c r="J90" s="51"/>
      <c r="K90" s="1"/>
    </row>
    <row r="91" spans="1:11" ht="27" customHeight="1" x14ac:dyDescent="0.35">
      <c r="A91" s="21" t="s">
        <v>117</v>
      </c>
      <c r="B91" s="25"/>
      <c r="C91" s="48" t="s">
        <v>20</v>
      </c>
      <c r="D91" s="32">
        <v>0.51</v>
      </c>
      <c r="E91" s="32">
        <v>6.0000000000000001E-3</v>
      </c>
      <c r="F91" s="33"/>
      <c r="G91" s="45">
        <v>4.9800000000000004</v>
      </c>
      <c r="H91" s="33"/>
      <c r="I91" s="33"/>
      <c r="J91" s="51"/>
      <c r="K91" s="1"/>
    </row>
    <row r="92" spans="1:11" ht="27" customHeight="1" x14ac:dyDescent="0.35">
      <c r="A92" s="21" t="s">
        <v>118</v>
      </c>
      <c r="B92" s="25"/>
      <c r="C92" s="48" t="s">
        <v>20</v>
      </c>
      <c r="D92" s="32">
        <v>0.374</v>
      </c>
      <c r="E92" s="32">
        <v>2E-3</v>
      </c>
      <c r="F92" s="33"/>
      <c r="G92" s="45">
        <v>55.91</v>
      </c>
      <c r="H92" s="33"/>
      <c r="I92" s="33"/>
      <c r="J92" s="51"/>
      <c r="K92" s="1"/>
    </row>
    <row r="93" spans="1:11" ht="27" customHeight="1" x14ac:dyDescent="0.35">
      <c r="A93" s="21" t="s">
        <v>578</v>
      </c>
      <c r="B93" s="25"/>
      <c r="C93" s="48">
        <v>0</v>
      </c>
      <c r="D93" s="42">
        <v>5.01</v>
      </c>
      <c r="E93" s="38">
        <v>4.2999999999999997E-2</v>
      </c>
      <c r="F93" s="50">
        <v>8.0000000000000002E-3</v>
      </c>
      <c r="G93" s="45">
        <v>1.54</v>
      </c>
      <c r="H93" s="33"/>
      <c r="I93" s="33"/>
      <c r="J93" s="51"/>
      <c r="K93" s="1"/>
    </row>
    <row r="94" spans="1:11" ht="27" customHeight="1" x14ac:dyDescent="0.35">
      <c r="A94" s="21" t="s">
        <v>579</v>
      </c>
      <c r="B94" s="25"/>
      <c r="C94" s="48">
        <v>0</v>
      </c>
      <c r="D94" s="42">
        <v>4.5510000000000002</v>
      </c>
      <c r="E94" s="38">
        <v>3.9E-2</v>
      </c>
      <c r="F94" s="50">
        <v>7.0000000000000001E-3</v>
      </c>
      <c r="G94" s="45">
        <v>1.76</v>
      </c>
      <c r="H94" s="33"/>
      <c r="I94" s="33"/>
      <c r="J94" s="51"/>
      <c r="K94" s="1"/>
    </row>
    <row r="95" spans="1:11" ht="27" customHeight="1" x14ac:dyDescent="0.35">
      <c r="A95" s="21" t="s">
        <v>69</v>
      </c>
      <c r="B95" s="25"/>
      <c r="C95" s="48">
        <v>0</v>
      </c>
      <c r="D95" s="42">
        <v>3.5840000000000001</v>
      </c>
      <c r="E95" s="38">
        <v>2.5999999999999999E-2</v>
      </c>
      <c r="F95" s="50">
        <v>5.0000000000000001E-3</v>
      </c>
      <c r="G95" s="45">
        <v>4.88</v>
      </c>
      <c r="H95" s="45">
        <v>1.03</v>
      </c>
      <c r="I95" s="32">
        <v>0.109</v>
      </c>
      <c r="J95" s="56">
        <f>H95</f>
        <v>1.03</v>
      </c>
      <c r="K95" s="1"/>
    </row>
    <row r="96" spans="1:11" ht="27" customHeight="1" x14ac:dyDescent="0.35">
      <c r="A96" s="21" t="s">
        <v>70</v>
      </c>
      <c r="B96" s="25"/>
      <c r="C96" s="48">
        <v>0</v>
      </c>
      <c r="D96" s="42">
        <v>3.7690000000000001</v>
      </c>
      <c r="E96" s="38">
        <v>1.7000000000000001E-2</v>
      </c>
      <c r="F96" s="50">
        <v>3.0000000000000001E-3</v>
      </c>
      <c r="G96" s="45">
        <v>4.9800000000000004</v>
      </c>
      <c r="H96" s="45">
        <v>2.2799999999999998</v>
      </c>
      <c r="I96" s="32">
        <v>0.105</v>
      </c>
      <c r="J96" s="56">
        <f>H96</f>
        <v>2.2799999999999998</v>
      </c>
      <c r="K96" s="1"/>
    </row>
    <row r="97" spans="1:11" ht="27" customHeight="1" x14ac:dyDescent="0.35">
      <c r="A97" s="21" t="s">
        <v>71</v>
      </c>
      <c r="B97" s="25"/>
      <c r="C97" s="48">
        <v>0</v>
      </c>
      <c r="D97" s="42">
        <v>3.4809999999999999</v>
      </c>
      <c r="E97" s="38">
        <v>1.0999999999999999E-2</v>
      </c>
      <c r="F97" s="50">
        <v>2E-3</v>
      </c>
      <c r="G97" s="45">
        <v>55.91</v>
      </c>
      <c r="H97" s="45">
        <v>2.11</v>
      </c>
      <c r="I97" s="32">
        <v>9.8000000000000004E-2</v>
      </c>
      <c r="J97" s="56">
        <f>H97</f>
        <v>2.11</v>
      </c>
      <c r="K97" s="1"/>
    </row>
    <row r="98" spans="1:11" ht="27" customHeight="1" x14ac:dyDescent="0.35">
      <c r="A98" s="21" t="s">
        <v>199</v>
      </c>
      <c r="B98" s="25"/>
      <c r="C98" s="48">
        <v>8</v>
      </c>
      <c r="D98" s="32">
        <v>0.57399999999999995</v>
      </c>
      <c r="E98" s="33"/>
      <c r="F98" s="33"/>
      <c r="G98" s="33"/>
      <c r="H98" s="33"/>
      <c r="I98" s="33"/>
      <c r="J98" s="52"/>
      <c r="K98" s="1"/>
    </row>
    <row r="99" spans="1:11" ht="27" customHeight="1" x14ac:dyDescent="0.35">
      <c r="A99" s="21" t="s">
        <v>200</v>
      </c>
      <c r="B99" s="25"/>
      <c r="C99" s="48">
        <v>1</v>
      </c>
      <c r="D99" s="32">
        <v>0.85499999999999998</v>
      </c>
      <c r="E99" s="33"/>
      <c r="F99" s="33"/>
      <c r="G99" s="33"/>
      <c r="H99" s="33"/>
      <c r="I99" s="33"/>
      <c r="J99" s="52"/>
      <c r="K99" s="1"/>
    </row>
    <row r="100" spans="1:11" ht="27" customHeight="1" x14ac:dyDescent="0.35">
      <c r="A100" s="21" t="s">
        <v>201</v>
      </c>
      <c r="B100" s="25"/>
      <c r="C100" s="48">
        <v>1</v>
      </c>
      <c r="D100" s="32">
        <v>1.4550000000000001</v>
      </c>
      <c r="E100" s="33"/>
      <c r="F100" s="33"/>
      <c r="G100" s="33"/>
      <c r="H100" s="33"/>
      <c r="I100" s="33"/>
      <c r="J100" s="52"/>
      <c r="K100" s="1"/>
    </row>
    <row r="101" spans="1:11" ht="27" customHeight="1" x14ac:dyDescent="0.35">
      <c r="A101" s="21" t="s">
        <v>202</v>
      </c>
      <c r="B101" s="25"/>
      <c r="C101" s="48">
        <v>1</v>
      </c>
      <c r="D101" s="32">
        <v>0.38800000000000001</v>
      </c>
      <c r="E101" s="33"/>
      <c r="F101" s="33"/>
      <c r="G101" s="33"/>
      <c r="H101" s="33"/>
      <c r="I101" s="33"/>
      <c r="J101" s="52"/>
      <c r="K101" s="1"/>
    </row>
    <row r="102" spans="1:11" ht="27" customHeight="1" x14ac:dyDescent="0.35">
      <c r="A102" s="21" t="s">
        <v>72</v>
      </c>
      <c r="B102" s="25"/>
      <c r="C102" s="48">
        <v>0</v>
      </c>
      <c r="D102" s="54">
        <v>13.025</v>
      </c>
      <c r="E102" s="41">
        <v>0.214</v>
      </c>
      <c r="F102" s="50">
        <v>0.18099999999999999</v>
      </c>
      <c r="G102" s="33"/>
      <c r="H102" s="33"/>
      <c r="I102" s="33"/>
      <c r="J102" s="51"/>
      <c r="K102" s="1"/>
    </row>
    <row r="103" spans="1:11" ht="27" customHeight="1" x14ac:dyDescent="0.35">
      <c r="A103" s="21" t="s">
        <v>580</v>
      </c>
      <c r="B103" s="25"/>
      <c r="C103" s="48">
        <v>8</v>
      </c>
      <c r="D103" s="32">
        <v>-0.442</v>
      </c>
      <c r="E103" s="33"/>
      <c r="F103" s="33"/>
      <c r="G103" s="45">
        <v>0</v>
      </c>
      <c r="H103" s="33"/>
      <c r="I103" s="33"/>
      <c r="J103" s="51"/>
      <c r="K103" s="1"/>
    </row>
    <row r="104" spans="1:11" ht="27" customHeight="1" x14ac:dyDescent="0.35">
      <c r="A104" s="21" t="s">
        <v>73</v>
      </c>
      <c r="B104" s="25"/>
      <c r="C104" s="48">
        <v>8</v>
      </c>
      <c r="D104" s="32">
        <v>-0.437</v>
      </c>
      <c r="E104" s="53"/>
      <c r="F104" s="33"/>
      <c r="G104" s="45">
        <v>0</v>
      </c>
      <c r="H104" s="33"/>
      <c r="I104" s="33"/>
      <c r="J104" s="22"/>
      <c r="K104" s="1"/>
    </row>
    <row r="105" spans="1:11" ht="27" customHeight="1" x14ac:dyDescent="0.35">
      <c r="A105" s="21" t="s">
        <v>74</v>
      </c>
      <c r="B105" s="25"/>
      <c r="C105" s="48">
        <v>0</v>
      </c>
      <c r="D105" s="32">
        <v>-0.442</v>
      </c>
      <c r="E105" s="33"/>
      <c r="F105" s="33"/>
      <c r="G105" s="45">
        <v>0</v>
      </c>
      <c r="H105" s="33"/>
      <c r="I105" s="32">
        <v>0.14099999999999999</v>
      </c>
      <c r="J105" s="51"/>
      <c r="K105" s="1"/>
    </row>
    <row r="106" spans="1:11" ht="27" customHeight="1" x14ac:dyDescent="0.35">
      <c r="A106" s="21" t="s">
        <v>75</v>
      </c>
      <c r="B106" s="25"/>
      <c r="C106" s="48">
        <v>0</v>
      </c>
      <c r="D106" s="42">
        <v>-4.7290000000000001</v>
      </c>
      <c r="E106" s="43">
        <v>-4.3999999999999997E-2</v>
      </c>
      <c r="F106" s="50">
        <v>-8.0000000000000002E-3</v>
      </c>
      <c r="G106" s="45">
        <v>0</v>
      </c>
      <c r="H106" s="33"/>
      <c r="I106" s="32">
        <v>0.14099999999999999</v>
      </c>
      <c r="J106" s="51"/>
      <c r="K106" s="1"/>
    </row>
    <row r="107" spans="1:11" ht="27" customHeight="1" x14ac:dyDescent="0.35">
      <c r="A107" s="21" t="s">
        <v>76</v>
      </c>
      <c r="B107" s="25"/>
      <c r="C107" s="48">
        <v>0</v>
      </c>
      <c r="D107" s="32">
        <v>-0.437</v>
      </c>
      <c r="E107" s="33"/>
      <c r="F107" s="33"/>
      <c r="G107" s="45">
        <v>0</v>
      </c>
      <c r="H107" s="33"/>
      <c r="I107" s="32">
        <v>0.14099999999999999</v>
      </c>
      <c r="J107" s="51"/>
      <c r="K107" s="1"/>
    </row>
    <row r="108" spans="1:11" ht="27" customHeight="1" x14ac:dyDescent="0.35">
      <c r="A108" s="21" t="s">
        <v>77</v>
      </c>
      <c r="B108" s="25"/>
      <c r="C108" s="48">
        <v>0</v>
      </c>
      <c r="D108" s="42">
        <v>-4.7039999999999997</v>
      </c>
      <c r="E108" s="38">
        <v>-3.9E-2</v>
      </c>
      <c r="F108" s="50">
        <v>-7.0000000000000001E-3</v>
      </c>
      <c r="G108" s="45">
        <v>0</v>
      </c>
      <c r="H108" s="33"/>
      <c r="I108" s="32">
        <v>0.14099999999999999</v>
      </c>
      <c r="J108" s="51"/>
      <c r="K108" s="1"/>
    </row>
    <row r="109" spans="1:11" ht="27" customHeight="1" x14ac:dyDescent="0.35">
      <c r="A109" s="21" t="s">
        <v>78</v>
      </c>
      <c r="B109" s="25"/>
      <c r="C109" s="48">
        <v>0</v>
      </c>
      <c r="D109" s="32">
        <v>-0.437</v>
      </c>
      <c r="E109" s="33"/>
      <c r="F109" s="33"/>
      <c r="G109" s="45">
        <v>37.090000000000003</v>
      </c>
      <c r="H109" s="33"/>
      <c r="I109" s="32">
        <v>0.16</v>
      </c>
      <c r="J109" s="51"/>
      <c r="K109" s="1"/>
    </row>
    <row r="110" spans="1:11" ht="27" customHeight="1" x14ac:dyDescent="0.35">
      <c r="A110" s="21" t="s">
        <v>79</v>
      </c>
      <c r="B110" s="25"/>
      <c r="C110" s="48">
        <v>0</v>
      </c>
      <c r="D110" s="42">
        <v>-4.7830000000000004</v>
      </c>
      <c r="E110" s="38">
        <v>-2.3E-2</v>
      </c>
      <c r="F110" s="50">
        <v>-5.0000000000000001E-3</v>
      </c>
      <c r="G110" s="45">
        <v>37.090000000000003</v>
      </c>
      <c r="H110" s="33"/>
      <c r="I110" s="32">
        <v>0.16</v>
      </c>
      <c r="J110" s="51"/>
      <c r="K110" s="1"/>
    </row>
    <row r="111" spans="1:11" ht="27" customHeight="1" x14ac:dyDescent="0.35">
      <c r="A111" s="21" t="s">
        <v>119</v>
      </c>
      <c r="B111" s="25"/>
      <c r="C111" s="48">
        <v>1</v>
      </c>
      <c r="D111" s="32">
        <v>0.48599999999999999</v>
      </c>
      <c r="E111" s="33"/>
      <c r="F111" s="33"/>
      <c r="G111" s="45">
        <v>1.1399999999999999</v>
      </c>
      <c r="H111" s="33"/>
      <c r="I111" s="33"/>
      <c r="J111" s="51"/>
      <c r="K111" s="1"/>
    </row>
    <row r="112" spans="1:11" ht="27" customHeight="1" x14ac:dyDescent="0.35">
      <c r="A112" s="21" t="s">
        <v>120</v>
      </c>
      <c r="B112" s="25"/>
      <c r="C112" s="48">
        <v>2</v>
      </c>
      <c r="D112" s="32">
        <v>0.58299999999999996</v>
      </c>
      <c r="E112" s="32">
        <v>7.0000000000000001E-3</v>
      </c>
      <c r="F112" s="33"/>
      <c r="G112" s="45">
        <v>1.1399999999999999</v>
      </c>
      <c r="H112" s="33"/>
      <c r="I112" s="33"/>
      <c r="J112" s="51"/>
      <c r="K112" s="1"/>
    </row>
    <row r="113" spans="1:11" ht="27" customHeight="1" x14ac:dyDescent="0.35">
      <c r="A113" s="21" t="s">
        <v>121</v>
      </c>
      <c r="B113" s="25"/>
      <c r="C113" s="48">
        <v>2</v>
      </c>
      <c r="D113" s="32">
        <v>2.1999999999999999E-2</v>
      </c>
      <c r="E113" s="33"/>
      <c r="F113" s="33"/>
      <c r="G113" s="33"/>
      <c r="H113" s="33"/>
      <c r="I113" s="33"/>
      <c r="J113" s="51"/>
      <c r="K113" s="1"/>
    </row>
    <row r="114" spans="1:11" ht="27" customHeight="1" x14ac:dyDescent="0.35">
      <c r="A114" s="21" t="s">
        <v>122</v>
      </c>
      <c r="B114" s="25"/>
      <c r="C114" s="48">
        <v>3</v>
      </c>
      <c r="D114" s="32">
        <v>0.374</v>
      </c>
      <c r="E114" s="33"/>
      <c r="F114" s="33"/>
      <c r="G114" s="45">
        <v>1.23</v>
      </c>
      <c r="H114" s="33"/>
      <c r="I114" s="33"/>
      <c r="J114" s="51"/>
      <c r="K114" s="1"/>
    </row>
    <row r="115" spans="1:11" ht="27" customHeight="1" x14ac:dyDescent="0.35">
      <c r="A115" s="21" t="s">
        <v>123</v>
      </c>
      <c r="B115" s="25"/>
      <c r="C115" s="48">
        <v>4</v>
      </c>
      <c r="D115" s="32">
        <v>0.44700000000000001</v>
      </c>
      <c r="E115" s="32">
        <v>7.0000000000000001E-3</v>
      </c>
      <c r="F115" s="33"/>
      <c r="G115" s="45">
        <v>1.23</v>
      </c>
      <c r="H115" s="33"/>
      <c r="I115" s="33"/>
      <c r="J115" s="51"/>
      <c r="K115" s="1"/>
    </row>
    <row r="116" spans="1:11" ht="27" customHeight="1" x14ac:dyDescent="0.35">
      <c r="A116" s="21" t="s">
        <v>124</v>
      </c>
      <c r="B116" s="25"/>
      <c r="C116" s="48">
        <v>4</v>
      </c>
      <c r="D116" s="32">
        <v>4.3999999999999997E-2</v>
      </c>
      <c r="E116" s="33"/>
      <c r="F116" s="33"/>
      <c r="G116" s="33"/>
      <c r="H116" s="33"/>
      <c r="I116" s="33"/>
      <c r="J116" s="51"/>
      <c r="K116" s="1"/>
    </row>
    <row r="117" spans="1:11" ht="27" customHeight="1" x14ac:dyDescent="0.35">
      <c r="A117" s="21" t="s">
        <v>125</v>
      </c>
      <c r="B117" s="25"/>
      <c r="C117" s="48" t="s">
        <v>20</v>
      </c>
      <c r="D117" s="32">
        <v>0.42199999999999999</v>
      </c>
      <c r="E117" s="32">
        <v>6.0000000000000001E-3</v>
      </c>
      <c r="F117" s="33"/>
      <c r="G117" s="45">
        <v>8.01</v>
      </c>
      <c r="H117" s="33"/>
      <c r="I117" s="33"/>
      <c r="J117" s="51"/>
      <c r="K117" s="1"/>
    </row>
    <row r="118" spans="1:11" ht="27" customHeight="1" x14ac:dyDescent="0.35">
      <c r="A118" s="21" t="s">
        <v>126</v>
      </c>
      <c r="B118" s="25"/>
      <c r="C118" s="48" t="s">
        <v>20</v>
      </c>
      <c r="D118" s="32">
        <v>0.378</v>
      </c>
      <c r="E118" s="32">
        <v>5.0000000000000001E-3</v>
      </c>
      <c r="F118" s="33"/>
      <c r="G118" s="45">
        <v>3.69</v>
      </c>
      <c r="H118" s="33"/>
      <c r="I118" s="33"/>
      <c r="J118" s="51"/>
      <c r="K118" s="1"/>
    </row>
    <row r="119" spans="1:11" ht="27" customHeight="1" x14ac:dyDescent="0.35">
      <c r="A119" s="21" t="s">
        <v>127</v>
      </c>
      <c r="B119" s="25"/>
      <c r="C119" s="48" t="s">
        <v>20</v>
      </c>
      <c r="D119" s="32">
        <v>0.27700000000000002</v>
      </c>
      <c r="E119" s="32">
        <v>2E-3</v>
      </c>
      <c r="F119" s="33"/>
      <c r="G119" s="45">
        <v>41.42</v>
      </c>
      <c r="H119" s="33"/>
      <c r="I119" s="33"/>
      <c r="J119" s="51"/>
      <c r="K119" s="1"/>
    </row>
    <row r="120" spans="1:11" ht="27" customHeight="1" x14ac:dyDescent="0.35">
      <c r="A120" s="21" t="s">
        <v>581</v>
      </c>
      <c r="B120" s="25"/>
      <c r="C120" s="48">
        <v>0</v>
      </c>
      <c r="D120" s="42">
        <v>3.7120000000000002</v>
      </c>
      <c r="E120" s="38">
        <v>3.2000000000000001E-2</v>
      </c>
      <c r="F120" s="50">
        <v>6.0000000000000001E-3</v>
      </c>
      <c r="G120" s="45">
        <v>1.1399999999999999</v>
      </c>
      <c r="H120" s="33"/>
      <c r="I120" s="33"/>
      <c r="J120" s="51"/>
      <c r="K120" s="1"/>
    </row>
    <row r="121" spans="1:11" ht="27" customHeight="1" x14ac:dyDescent="0.35">
      <c r="A121" s="21" t="s">
        <v>582</v>
      </c>
      <c r="B121" s="25"/>
      <c r="C121" s="48">
        <v>0</v>
      </c>
      <c r="D121" s="42">
        <v>3.3719999999999999</v>
      </c>
      <c r="E121" s="38">
        <v>2.9000000000000001E-2</v>
      </c>
      <c r="F121" s="50">
        <v>5.0000000000000001E-3</v>
      </c>
      <c r="G121" s="45">
        <v>1.31</v>
      </c>
      <c r="H121" s="33"/>
      <c r="I121" s="33"/>
      <c r="J121" s="51"/>
      <c r="K121" s="1"/>
    </row>
    <row r="122" spans="1:11" ht="27" customHeight="1" x14ac:dyDescent="0.35">
      <c r="A122" s="21" t="s">
        <v>128</v>
      </c>
      <c r="B122" s="25"/>
      <c r="C122" s="48">
        <v>0</v>
      </c>
      <c r="D122" s="42">
        <v>2.6549999999999998</v>
      </c>
      <c r="E122" s="38">
        <v>1.9E-2</v>
      </c>
      <c r="F122" s="50">
        <v>3.0000000000000001E-3</v>
      </c>
      <c r="G122" s="45">
        <v>3.62</v>
      </c>
      <c r="H122" s="45">
        <v>0.77</v>
      </c>
      <c r="I122" s="32">
        <v>8.1000000000000003E-2</v>
      </c>
      <c r="J122" s="56">
        <f>H122</f>
        <v>0.77</v>
      </c>
      <c r="K122" s="1"/>
    </row>
    <row r="123" spans="1:11" ht="27" customHeight="1" x14ac:dyDescent="0.35">
      <c r="A123" s="21" t="s">
        <v>129</v>
      </c>
      <c r="B123" s="25"/>
      <c r="C123" s="48">
        <v>0</v>
      </c>
      <c r="D123" s="42">
        <v>2.7919999999999998</v>
      </c>
      <c r="E123" s="38">
        <v>1.2999999999999999E-2</v>
      </c>
      <c r="F123" s="50">
        <v>3.0000000000000001E-3</v>
      </c>
      <c r="G123" s="45">
        <v>3.69</v>
      </c>
      <c r="H123" s="45">
        <v>1.69</v>
      </c>
      <c r="I123" s="32">
        <v>7.8E-2</v>
      </c>
      <c r="J123" s="56">
        <f>H123</f>
        <v>1.69</v>
      </c>
      <c r="K123" s="1"/>
    </row>
    <row r="124" spans="1:11" ht="27" customHeight="1" x14ac:dyDescent="0.35">
      <c r="A124" s="21" t="s">
        <v>130</v>
      </c>
      <c r="B124" s="25"/>
      <c r="C124" s="48">
        <v>0</v>
      </c>
      <c r="D124" s="42">
        <v>2.5790000000000002</v>
      </c>
      <c r="E124" s="38">
        <v>8.0000000000000002E-3</v>
      </c>
      <c r="F124" s="50">
        <v>2E-3</v>
      </c>
      <c r="G124" s="45">
        <v>41.42</v>
      </c>
      <c r="H124" s="45">
        <v>1.56</v>
      </c>
      <c r="I124" s="32">
        <v>7.1999999999999995E-2</v>
      </c>
      <c r="J124" s="56">
        <f>H124</f>
        <v>1.56</v>
      </c>
      <c r="K124" s="1"/>
    </row>
    <row r="125" spans="1:11" ht="27" customHeight="1" x14ac:dyDescent="0.35">
      <c r="A125" s="21" t="s">
        <v>203</v>
      </c>
      <c r="B125" s="25"/>
      <c r="C125" s="48">
        <v>8</v>
      </c>
      <c r="D125" s="32">
        <v>0.42599999999999999</v>
      </c>
      <c r="E125" s="33"/>
      <c r="F125" s="33"/>
      <c r="G125" s="33"/>
      <c r="H125" s="33"/>
      <c r="I125" s="33"/>
      <c r="J125" s="52"/>
      <c r="K125" s="1"/>
    </row>
    <row r="126" spans="1:11" ht="27" customHeight="1" x14ac:dyDescent="0.35">
      <c r="A126" s="21" t="s">
        <v>204</v>
      </c>
      <c r="B126" s="25"/>
      <c r="C126" s="48">
        <v>1</v>
      </c>
      <c r="D126" s="32">
        <v>0.63400000000000001</v>
      </c>
      <c r="E126" s="33"/>
      <c r="F126" s="33"/>
      <c r="G126" s="33"/>
      <c r="H126" s="33"/>
      <c r="I126" s="33"/>
      <c r="J126" s="52"/>
      <c r="K126" s="1"/>
    </row>
    <row r="127" spans="1:11" ht="27" customHeight="1" x14ac:dyDescent="0.35">
      <c r="A127" s="21" t="s">
        <v>205</v>
      </c>
      <c r="B127" s="25"/>
      <c r="C127" s="48">
        <v>1</v>
      </c>
      <c r="D127" s="32">
        <v>1.0780000000000001</v>
      </c>
      <c r="E127" s="33"/>
      <c r="F127" s="33"/>
      <c r="G127" s="33"/>
      <c r="H127" s="33"/>
      <c r="I127" s="33"/>
      <c r="J127" s="52"/>
      <c r="K127" s="1"/>
    </row>
    <row r="128" spans="1:11" ht="27" customHeight="1" x14ac:dyDescent="0.35">
      <c r="A128" s="21" t="s">
        <v>206</v>
      </c>
      <c r="B128" s="25"/>
      <c r="C128" s="48">
        <v>1</v>
      </c>
      <c r="D128" s="32">
        <v>0.28699999999999998</v>
      </c>
      <c r="E128" s="33"/>
      <c r="F128" s="33"/>
      <c r="G128" s="33"/>
      <c r="H128" s="33"/>
      <c r="I128" s="33"/>
      <c r="J128" s="52"/>
      <c r="K128" s="1"/>
    </row>
    <row r="129" spans="1:11" ht="27" customHeight="1" x14ac:dyDescent="0.35">
      <c r="A129" s="21" t="s">
        <v>131</v>
      </c>
      <c r="B129" s="25"/>
      <c r="C129" s="48">
        <v>0</v>
      </c>
      <c r="D129" s="54">
        <v>9.65</v>
      </c>
      <c r="E129" s="41">
        <v>0.159</v>
      </c>
      <c r="F129" s="50">
        <v>0.13400000000000001</v>
      </c>
      <c r="G129" s="33"/>
      <c r="H129" s="33"/>
      <c r="I129" s="33"/>
      <c r="J129" s="51"/>
      <c r="K129" s="1"/>
    </row>
    <row r="130" spans="1:11" ht="27" customHeight="1" x14ac:dyDescent="0.35">
      <c r="A130" s="21" t="s">
        <v>583</v>
      </c>
      <c r="B130" s="25"/>
      <c r="C130" s="48">
        <v>8</v>
      </c>
      <c r="D130" s="32">
        <v>-0.32700000000000001</v>
      </c>
      <c r="E130" s="33"/>
      <c r="F130" s="33"/>
      <c r="G130" s="45">
        <v>0</v>
      </c>
      <c r="H130" s="33"/>
      <c r="I130" s="33"/>
      <c r="J130" s="51"/>
      <c r="K130" s="1"/>
    </row>
    <row r="131" spans="1:11" ht="27" customHeight="1" x14ac:dyDescent="0.35">
      <c r="A131" s="21" t="s">
        <v>132</v>
      </c>
      <c r="B131" s="25"/>
      <c r="C131" s="48">
        <v>8</v>
      </c>
      <c r="D131" s="32">
        <v>-0.32400000000000001</v>
      </c>
      <c r="E131" s="33"/>
      <c r="F131" s="33"/>
      <c r="G131" s="45">
        <v>0</v>
      </c>
      <c r="H131" s="33"/>
      <c r="I131" s="33"/>
      <c r="J131" s="22"/>
      <c r="K131" s="1"/>
    </row>
    <row r="132" spans="1:11" ht="27" customHeight="1" x14ac:dyDescent="0.35">
      <c r="A132" s="21" t="s">
        <v>133</v>
      </c>
      <c r="B132" s="25"/>
      <c r="C132" s="48">
        <v>0</v>
      </c>
      <c r="D132" s="32">
        <v>-0.32700000000000001</v>
      </c>
      <c r="E132" s="33"/>
      <c r="F132" s="33"/>
      <c r="G132" s="45">
        <v>0</v>
      </c>
      <c r="H132" s="33"/>
      <c r="I132" s="32">
        <v>0.105</v>
      </c>
      <c r="J132" s="22"/>
      <c r="K132" s="1"/>
    </row>
    <row r="133" spans="1:11" ht="27" customHeight="1" x14ac:dyDescent="0.35">
      <c r="A133" s="21" t="s">
        <v>134</v>
      </c>
      <c r="B133" s="25"/>
      <c r="C133" s="48">
        <v>0</v>
      </c>
      <c r="D133" s="42">
        <v>-3.504</v>
      </c>
      <c r="E133" s="43">
        <v>-3.3000000000000002E-2</v>
      </c>
      <c r="F133" s="50">
        <v>-6.0000000000000001E-3</v>
      </c>
      <c r="G133" s="45">
        <v>0</v>
      </c>
      <c r="H133" s="33"/>
      <c r="I133" s="32">
        <v>0.105</v>
      </c>
      <c r="J133" s="22"/>
      <c r="K133" s="1"/>
    </row>
    <row r="134" spans="1:11" ht="27" customHeight="1" x14ac:dyDescent="0.35">
      <c r="A134" s="21" t="s">
        <v>135</v>
      </c>
      <c r="B134" s="25"/>
      <c r="C134" s="48">
        <v>0</v>
      </c>
      <c r="D134" s="32">
        <v>-0.32400000000000001</v>
      </c>
      <c r="E134" s="33"/>
      <c r="F134" s="33"/>
      <c r="G134" s="45">
        <v>0</v>
      </c>
      <c r="H134" s="33"/>
      <c r="I134" s="32">
        <v>0.105</v>
      </c>
      <c r="J134" s="22"/>
      <c r="K134" s="1"/>
    </row>
    <row r="135" spans="1:11" ht="27" customHeight="1" x14ac:dyDescent="0.35">
      <c r="A135" s="21" t="s">
        <v>136</v>
      </c>
      <c r="B135" s="25"/>
      <c r="C135" s="48">
        <v>0</v>
      </c>
      <c r="D135" s="42">
        <v>-3.4849999999999999</v>
      </c>
      <c r="E135" s="38">
        <v>-2.9000000000000001E-2</v>
      </c>
      <c r="F135" s="50">
        <v>-5.0000000000000001E-3</v>
      </c>
      <c r="G135" s="45">
        <v>0</v>
      </c>
      <c r="H135" s="33"/>
      <c r="I135" s="32">
        <v>0.105</v>
      </c>
      <c r="J135" s="22"/>
      <c r="K135" s="1"/>
    </row>
    <row r="136" spans="1:11" ht="27" customHeight="1" x14ac:dyDescent="0.35">
      <c r="A136" s="21" t="s">
        <v>137</v>
      </c>
      <c r="B136" s="25"/>
      <c r="C136" s="48">
        <v>0</v>
      </c>
      <c r="D136" s="32">
        <v>-0.32400000000000001</v>
      </c>
      <c r="E136" s="33"/>
      <c r="F136" s="33"/>
      <c r="G136" s="45">
        <v>27.48</v>
      </c>
      <c r="H136" s="33"/>
      <c r="I136" s="32">
        <v>0.11799999999999999</v>
      </c>
      <c r="J136" s="22"/>
      <c r="K136" s="1"/>
    </row>
    <row r="137" spans="1:11" ht="27" customHeight="1" x14ac:dyDescent="0.35">
      <c r="A137" s="21" t="s">
        <v>138</v>
      </c>
      <c r="B137" s="25"/>
      <c r="C137" s="48">
        <v>0</v>
      </c>
      <c r="D137" s="42">
        <v>-3.544</v>
      </c>
      <c r="E137" s="38">
        <v>-1.7000000000000001E-2</v>
      </c>
      <c r="F137" s="50">
        <v>-3.0000000000000001E-3</v>
      </c>
      <c r="G137" s="45">
        <v>27.48</v>
      </c>
      <c r="H137" s="33"/>
      <c r="I137" s="32">
        <v>0.11799999999999999</v>
      </c>
      <c r="J137" s="22"/>
      <c r="K137" s="1"/>
    </row>
    <row r="138" spans="1:11" ht="27" customHeight="1" x14ac:dyDescent="0.35">
      <c r="A138" s="21" t="s">
        <v>139</v>
      </c>
      <c r="B138" s="25"/>
      <c r="C138" s="48">
        <v>1</v>
      </c>
      <c r="D138" s="32">
        <v>0.32</v>
      </c>
      <c r="E138" s="33"/>
      <c r="F138" s="33"/>
      <c r="G138" s="45">
        <v>0.75</v>
      </c>
      <c r="H138" s="33"/>
      <c r="I138" s="33"/>
      <c r="J138" s="51"/>
      <c r="K138" s="1"/>
    </row>
    <row r="139" spans="1:11" ht="27" customHeight="1" x14ac:dyDescent="0.35">
      <c r="A139" s="21" t="s">
        <v>140</v>
      </c>
      <c r="B139" s="25"/>
      <c r="C139" s="48">
        <v>2</v>
      </c>
      <c r="D139" s="32">
        <v>0.38400000000000001</v>
      </c>
      <c r="E139" s="32">
        <v>5.0000000000000001E-3</v>
      </c>
      <c r="F139" s="33"/>
      <c r="G139" s="45">
        <v>0.75</v>
      </c>
      <c r="H139" s="33"/>
      <c r="I139" s="33"/>
      <c r="J139" s="51"/>
      <c r="K139" s="1"/>
    </row>
    <row r="140" spans="1:11" ht="27" customHeight="1" x14ac:dyDescent="0.35">
      <c r="A140" s="21" t="s">
        <v>141</v>
      </c>
      <c r="B140" s="25"/>
      <c r="C140" s="48">
        <v>2</v>
      </c>
      <c r="D140" s="32">
        <v>1.4999999999999999E-2</v>
      </c>
      <c r="E140" s="33"/>
      <c r="F140" s="33"/>
      <c r="G140" s="46"/>
      <c r="H140" s="33"/>
      <c r="I140" s="33"/>
      <c r="J140" s="51"/>
      <c r="K140" s="1"/>
    </row>
    <row r="141" spans="1:11" ht="27" customHeight="1" x14ac:dyDescent="0.35">
      <c r="A141" s="21" t="s">
        <v>142</v>
      </c>
      <c r="B141" s="25"/>
      <c r="C141" s="48">
        <v>3</v>
      </c>
      <c r="D141" s="32">
        <v>0.246</v>
      </c>
      <c r="E141" s="33"/>
      <c r="F141" s="33"/>
      <c r="G141" s="45">
        <v>0.81</v>
      </c>
      <c r="H141" s="33"/>
      <c r="I141" s="33"/>
      <c r="J141" s="51"/>
      <c r="K141" s="1"/>
    </row>
    <row r="142" spans="1:11" ht="27" customHeight="1" x14ac:dyDescent="0.35">
      <c r="A142" s="21" t="s">
        <v>143</v>
      </c>
      <c r="B142" s="25"/>
      <c r="C142" s="48">
        <v>4</v>
      </c>
      <c r="D142" s="32">
        <v>0.29399999999999998</v>
      </c>
      <c r="E142" s="32">
        <v>5.0000000000000001E-3</v>
      </c>
      <c r="F142" s="33"/>
      <c r="G142" s="45">
        <v>0.81</v>
      </c>
      <c r="H142" s="33"/>
      <c r="I142" s="33"/>
      <c r="J142" s="51"/>
      <c r="K142" s="1"/>
    </row>
    <row r="143" spans="1:11" ht="27" customHeight="1" x14ac:dyDescent="0.35">
      <c r="A143" s="21" t="s">
        <v>144</v>
      </c>
      <c r="B143" s="25"/>
      <c r="C143" s="48">
        <v>4</v>
      </c>
      <c r="D143" s="32">
        <v>2.9000000000000001E-2</v>
      </c>
      <c r="E143" s="33"/>
      <c r="F143" s="33"/>
      <c r="G143" s="46"/>
      <c r="H143" s="33"/>
      <c r="I143" s="33"/>
      <c r="J143" s="51"/>
      <c r="K143" s="1"/>
    </row>
    <row r="144" spans="1:11" ht="27" customHeight="1" x14ac:dyDescent="0.35">
      <c r="A144" s="21" t="s">
        <v>145</v>
      </c>
      <c r="B144" s="25"/>
      <c r="C144" s="48" t="s">
        <v>20</v>
      </c>
      <c r="D144" s="32">
        <v>0.27800000000000002</v>
      </c>
      <c r="E144" s="32">
        <v>4.0000000000000001E-3</v>
      </c>
      <c r="F144" s="33"/>
      <c r="G144" s="45">
        <v>5.27</v>
      </c>
      <c r="H144" s="33"/>
      <c r="I144" s="33"/>
      <c r="J144" s="51"/>
      <c r="K144" s="1"/>
    </row>
    <row r="145" spans="1:11" ht="27" customHeight="1" x14ac:dyDescent="0.35">
      <c r="A145" s="21" t="s">
        <v>146</v>
      </c>
      <c r="B145" s="25"/>
      <c r="C145" s="48" t="s">
        <v>20</v>
      </c>
      <c r="D145" s="32">
        <v>0.249</v>
      </c>
      <c r="E145" s="32">
        <v>3.0000000000000001E-3</v>
      </c>
      <c r="F145" s="33"/>
      <c r="G145" s="45">
        <v>2.4300000000000002</v>
      </c>
      <c r="H145" s="33"/>
      <c r="I145" s="33"/>
      <c r="J145" s="49"/>
      <c r="K145" s="1"/>
    </row>
    <row r="146" spans="1:11" ht="27" customHeight="1" x14ac:dyDescent="0.35">
      <c r="A146" s="21" t="s">
        <v>147</v>
      </c>
      <c r="B146" s="25"/>
      <c r="C146" s="48" t="s">
        <v>20</v>
      </c>
      <c r="D146" s="32">
        <v>0.182</v>
      </c>
      <c r="E146" s="32">
        <v>1E-3</v>
      </c>
      <c r="F146" s="33"/>
      <c r="G146" s="45">
        <v>27.27</v>
      </c>
      <c r="H146" s="33"/>
      <c r="I146" s="33"/>
      <c r="J146" s="49"/>
      <c r="K146" s="1"/>
    </row>
    <row r="147" spans="1:11" ht="27" customHeight="1" x14ac:dyDescent="0.35">
      <c r="A147" s="21" t="s">
        <v>584</v>
      </c>
      <c r="B147" s="25"/>
      <c r="C147" s="48">
        <v>0</v>
      </c>
      <c r="D147" s="42">
        <v>2.444</v>
      </c>
      <c r="E147" s="38">
        <v>2.1000000000000001E-2</v>
      </c>
      <c r="F147" s="50">
        <v>4.0000000000000001E-3</v>
      </c>
      <c r="G147" s="45">
        <v>0.75</v>
      </c>
      <c r="H147" s="33"/>
      <c r="I147" s="33"/>
      <c r="J147" s="49"/>
      <c r="K147" s="1"/>
    </row>
    <row r="148" spans="1:11" ht="27" customHeight="1" x14ac:dyDescent="0.35">
      <c r="A148" s="21" t="s">
        <v>585</v>
      </c>
      <c r="B148" s="25"/>
      <c r="C148" s="48">
        <v>0</v>
      </c>
      <c r="D148" s="42">
        <v>2.2200000000000002</v>
      </c>
      <c r="E148" s="38">
        <v>1.9E-2</v>
      </c>
      <c r="F148" s="50">
        <v>3.0000000000000001E-3</v>
      </c>
      <c r="G148" s="45">
        <v>0.86</v>
      </c>
      <c r="H148" s="33"/>
      <c r="I148" s="33"/>
      <c r="J148" s="49"/>
      <c r="K148" s="1"/>
    </row>
    <row r="149" spans="1:11" ht="27" customHeight="1" x14ac:dyDescent="0.35">
      <c r="A149" s="21" t="s">
        <v>148</v>
      </c>
      <c r="B149" s="25"/>
      <c r="C149" s="48">
        <v>0</v>
      </c>
      <c r="D149" s="42">
        <v>1.748</v>
      </c>
      <c r="E149" s="38">
        <v>1.2E-2</v>
      </c>
      <c r="F149" s="50">
        <v>2E-3</v>
      </c>
      <c r="G149" s="45">
        <v>2.38</v>
      </c>
      <c r="H149" s="45">
        <v>0.5</v>
      </c>
      <c r="I149" s="32">
        <v>5.2999999999999999E-2</v>
      </c>
      <c r="J149" s="56">
        <f>H149</f>
        <v>0.5</v>
      </c>
      <c r="K149" s="1"/>
    </row>
    <row r="150" spans="1:11" ht="27" customHeight="1" x14ac:dyDescent="0.35">
      <c r="A150" s="21" t="s">
        <v>149</v>
      </c>
      <c r="B150" s="25"/>
      <c r="C150" s="48">
        <v>0</v>
      </c>
      <c r="D150" s="42">
        <v>1.8380000000000001</v>
      </c>
      <c r="E150" s="38">
        <v>8.0000000000000002E-3</v>
      </c>
      <c r="F150" s="50">
        <v>2E-3</v>
      </c>
      <c r="G150" s="45">
        <v>2.4300000000000002</v>
      </c>
      <c r="H150" s="45">
        <v>1.1100000000000001</v>
      </c>
      <c r="I150" s="32">
        <v>5.0999999999999997E-2</v>
      </c>
      <c r="J150" s="56">
        <f>H150</f>
        <v>1.1100000000000001</v>
      </c>
      <c r="K150" s="1"/>
    </row>
    <row r="151" spans="1:11" ht="27" customHeight="1" x14ac:dyDescent="0.35">
      <c r="A151" s="21" t="s">
        <v>150</v>
      </c>
      <c r="B151" s="25"/>
      <c r="C151" s="48">
        <v>0</v>
      </c>
      <c r="D151" s="42">
        <v>1.698</v>
      </c>
      <c r="E151" s="38">
        <v>5.0000000000000001E-3</v>
      </c>
      <c r="F151" s="50">
        <v>1E-3</v>
      </c>
      <c r="G151" s="45">
        <v>27.27</v>
      </c>
      <c r="H151" s="45">
        <v>1.03</v>
      </c>
      <c r="I151" s="32">
        <v>4.8000000000000001E-2</v>
      </c>
      <c r="J151" s="56">
        <f>H151</f>
        <v>1.03</v>
      </c>
      <c r="K151" s="1"/>
    </row>
    <row r="152" spans="1:11" ht="27" customHeight="1" x14ac:dyDescent="0.35">
      <c r="A152" s="21" t="s">
        <v>207</v>
      </c>
      <c r="B152" s="25"/>
      <c r="C152" s="48">
        <v>8</v>
      </c>
      <c r="D152" s="32">
        <v>0.28000000000000003</v>
      </c>
      <c r="E152" s="33"/>
      <c r="F152" s="33"/>
      <c r="G152" s="33"/>
      <c r="H152" s="33"/>
      <c r="I152" s="33"/>
      <c r="J152" s="52"/>
      <c r="K152" s="1"/>
    </row>
    <row r="153" spans="1:11" ht="27" customHeight="1" x14ac:dyDescent="0.35">
      <c r="A153" s="21" t="s">
        <v>208</v>
      </c>
      <c r="B153" s="25"/>
      <c r="C153" s="48">
        <v>1</v>
      </c>
      <c r="D153" s="32">
        <v>0.41699999999999998</v>
      </c>
      <c r="E153" s="33"/>
      <c r="F153" s="33"/>
      <c r="G153" s="33"/>
      <c r="H153" s="33"/>
      <c r="I153" s="33"/>
      <c r="J153" s="52"/>
      <c r="K153" s="1"/>
    </row>
    <row r="154" spans="1:11" ht="27" customHeight="1" x14ac:dyDescent="0.35">
      <c r="A154" s="21" t="s">
        <v>209</v>
      </c>
      <c r="B154" s="25"/>
      <c r="C154" s="48">
        <v>1</v>
      </c>
      <c r="D154" s="32">
        <v>0.71</v>
      </c>
      <c r="E154" s="33"/>
      <c r="F154" s="33"/>
      <c r="G154" s="33"/>
      <c r="H154" s="33"/>
      <c r="I154" s="33"/>
      <c r="J154" s="51"/>
      <c r="K154" s="1"/>
    </row>
    <row r="155" spans="1:11" ht="27" customHeight="1" x14ac:dyDescent="0.35">
      <c r="A155" s="21" t="s">
        <v>210</v>
      </c>
      <c r="B155" s="25"/>
      <c r="C155" s="48">
        <v>1</v>
      </c>
      <c r="D155" s="32">
        <v>0.189</v>
      </c>
      <c r="E155" s="33"/>
      <c r="F155" s="33"/>
      <c r="G155" s="33"/>
      <c r="H155" s="33"/>
      <c r="I155" s="33"/>
      <c r="J155" s="51"/>
      <c r="K155" s="1"/>
    </row>
    <row r="156" spans="1:11" ht="27" customHeight="1" x14ac:dyDescent="0.35">
      <c r="A156" s="21" t="s">
        <v>151</v>
      </c>
      <c r="B156" s="25"/>
      <c r="C156" s="48">
        <v>0</v>
      </c>
      <c r="D156" s="54">
        <v>6.3529999999999998</v>
      </c>
      <c r="E156" s="41">
        <v>0.105</v>
      </c>
      <c r="F156" s="50">
        <v>8.7999999999999995E-2</v>
      </c>
      <c r="G156" s="33"/>
      <c r="H156" s="33"/>
      <c r="I156" s="33"/>
      <c r="J156" s="51"/>
      <c r="K156" s="1"/>
    </row>
    <row r="157" spans="1:11" ht="27" customHeight="1" x14ac:dyDescent="0.35">
      <c r="A157" s="21" t="s">
        <v>586</v>
      </c>
      <c r="B157" s="25"/>
      <c r="C157" s="48">
        <v>8</v>
      </c>
      <c r="D157" s="32">
        <v>-0.216</v>
      </c>
      <c r="E157" s="33"/>
      <c r="F157" s="33"/>
      <c r="G157" s="45">
        <v>0</v>
      </c>
      <c r="H157" s="33"/>
      <c r="I157" s="33"/>
      <c r="J157" s="51"/>
      <c r="K157" s="1"/>
    </row>
    <row r="158" spans="1:11" ht="27" customHeight="1" x14ac:dyDescent="0.35">
      <c r="A158" s="21" t="s">
        <v>152</v>
      </c>
      <c r="B158" s="25"/>
      <c r="C158" s="48">
        <v>8</v>
      </c>
      <c r="D158" s="32">
        <v>-0.21299999999999999</v>
      </c>
      <c r="E158" s="33"/>
      <c r="F158" s="33"/>
      <c r="G158" s="45">
        <v>0</v>
      </c>
      <c r="H158" s="33"/>
      <c r="I158" s="33"/>
      <c r="J158" s="51"/>
      <c r="K158" s="1"/>
    </row>
    <row r="159" spans="1:11" ht="27" customHeight="1" x14ac:dyDescent="0.35">
      <c r="A159" s="21" t="s">
        <v>153</v>
      </c>
      <c r="B159" s="25"/>
      <c r="C159" s="48">
        <v>0</v>
      </c>
      <c r="D159" s="32">
        <v>-0.216</v>
      </c>
      <c r="E159" s="33"/>
      <c r="F159" s="33"/>
      <c r="G159" s="45">
        <v>0</v>
      </c>
      <c r="H159" s="33"/>
      <c r="I159" s="32">
        <v>6.9000000000000006E-2</v>
      </c>
      <c r="J159" s="51"/>
      <c r="K159" s="1"/>
    </row>
    <row r="160" spans="1:11" ht="27" customHeight="1" x14ac:dyDescent="0.35">
      <c r="A160" s="21" t="s">
        <v>154</v>
      </c>
      <c r="B160" s="25"/>
      <c r="C160" s="48">
        <v>0</v>
      </c>
      <c r="D160" s="42">
        <v>-2.3069999999999999</v>
      </c>
      <c r="E160" s="38">
        <v>-2.1000000000000001E-2</v>
      </c>
      <c r="F160" s="50">
        <v>-4.0000000000000001E-3</v>
      </c>
      <c r="G160" s="45">
        <v>0</v>
      </c>
      <c r="H160" s="33"/>
      <c r="I160" s="32">
        <v>6.9000000000000006E-2</v>
      </c>
      <c r="J160" s="51"/>
      <c r="K160" s="1"/>
    </row>
    <row r="161" spans="1:11" ht="27" customHeight="1" x14ac:dyDescent="0.35">
      <c r="A161" s="21" t="s">
        <v>155</v>
      </c>
      <c r="B161" s="25"/>
      <c r="C161" s="48">
        <v>0</v>
      </c>
      <c r="D161" s="32">
        <v>-0.21299999999999999</v>
      </c>
      <c r="E161" s="33"/>
      <c r="F161" s="33"/>
      <c r="G161" s="45">
        <v>0</v>
      </c>
      <c r="H161" s="33"/>
      <c r="I161" s="32">
        <v>6.9000000000000006E-2</v>
      </c>
      <c r="J161" s="51"/>
      <c r="K161" s="1"/>
    </row>
    <row r="162" spans="1:11" ht="27" customHeight="1" x14ac:dyDescent="0.35">
      <c r="A162" s="21" t="s">
        <v>156</v>
      </c>
      <c r="B162" s="25"/>
      <c r="C162" s="48">
        <v>0</v>
      </c>
      <c r="D162" s="42">
        <v>-2.294</v>
      </c>
      <c r="E162" s="38">
        <v>-1.9E-2</v>
      </c>
      <c r="F162" s="50">
        <v>-3.0000000000000001E-3</v>
      </c>
      <c r="G162" s="45">
        <v>0</v>
      </c>
      <c r="H162" s="33"/>
      <c r="I162" s="32">
        <v>6.9000000000000006E-2</v>
      </c>
      <c r="J162" s="51"/>
      <c r="K162" s="1"/>
    </row>
    <row r="163" spans="1:11" ht="27" customHeight="1" x14ac:dyDescent="0.35">
      <c r="A163" s="21" t="s">
        <v>157</v>
      </c>
      <c r="B163" s="25"/>
      <c r="C163" s="48">
        <v>0</v>
      </c>
      <c r="D163" s="32">
        <v>-0.21299999999999999</v>
      </c>
      <c r="E163" s="33"/>
      <c r="F163" s="33"/>
      <c r="G163" s="45">
        <v>18.09</v>
      </c>
      <c r="H163" s="33"/>
      <c r="I163" s="32">
        <v>7.8E-2</v>
      </c>
      <c r="J163" s="51"/>
      <c r="K163" s="1"/>
    </row>
    <row r="164" spans="1:11" ht="27" customHeight="1" x14ac:dyDescent="0.35">
      <c r="A164" s="21" t="s">
        <v>158</v>
      </c>
      <c r="B164" s="25"/>
      <c r="C164" s="48">
        <v>0</v>
      </c>
      <c r="D164" s="42">
        <v>-2.3330000000000002</v>
      </c>
      <c r="E164" s="38">
        <v>-1.0999999999999999E-2</v>
      </c>
      <c r="F164" s="50">
        <v>-2E-3</v>
      </c>
      <c r="G164" s="45">
        <v>18.09</v>
      </c>
      <c r="H164" s="33"/>
      <c r="I164" s="32">
        <v>7.8E-2</v>
      </c>
      <c r="J164" s="22"/>
      <c r="K164" s="1"/>
    </row>
    <row r="165" spans="1:11" ht="27" customHeight="1" x14ac:dyDescent="0.35">
      <c r="A165" s="21" t="s">
        <v>159</v>
      </c>
      <c r="B165" s="25"/>
      <c r="C165" s="48">
        <v>1</v>
      </c>
      <c r="D165" s="32">
        <v>5.5E-2</v>
      </c>
      <c r="E165" s="33"/>
      <c r="F165" s="33"/>
      <c r="G165" s="45">
        <v>0.13</v>
      </c>
      <c r="H165" s="33"/>
      <c r="I165" s="33"/>
      <c r="J165" s="51"/>
      <c r="K165" s="1"/>
    </row>
    <row r="166" spans="1:11" ht="27" customHeight="1" x14ac:dyDescent="0.35">
      <c r="A166" s="21" t="s">
        <v>160</v>
      </c>
      <c r="B166" s="25"/>
      <c r="C166" s="48">
        <v>2</v>
      </c>
      <c r="D166" s="32">
        <v>6.6000000000000003E-2</v>
      </c>
      <c r="E166" s="32">
        <v>1E-3</v>
      </c>
      <c r="F166" s="33"/>
      <c r="G166" s="45">
        <v>0.13</v>
      </c>
      <c r="H166" s="33"/>
      <c r="I166" s="33"/>
      <c r="J166" s="51"/>
      <c r="K166" s="1"/>
    </row>
    <row r="167" spans="1:11" ht="27" customHeight="1" x14ac:dyDescent="0.35">
      <c r="A167" s="21" t="s">
        <v>161</v>
      </c>
      <c r="B167" s="25"/>
      <c r="C167" s="48">
        <v>2</v>
      </c>
      <c r="D167" s="32">
        <v>3.0000000000000001E-3</v>
      </c>
      <c r="E167" s="33"/>
      <c r="F167" s="33"/>
      <c r="G167" s="33"/>
      <c r="H167" s="33"/>
      <c r="I167" s="33"/>
      <c r="J167" s="51"/>
      <c r="K167" s="1"/>
    </row>
    <row r="168" spans="1:11" ht="27" customHeight="1" x14ac:dyDescent="0.35">
      <c r="A168" s="21" t="s">
        <v>162</v>
      </c>
      <c r="B168" s="25"/>
      <c r="C168" s="48">
        <v>3</v>
      </c>
      <c r="D168" s="32">
        <v>4.2000000000000003E-2</v>
      </c>
      <c r="E168" s="33"/>
      <c r="F168" s="33"/>
      <c r="G168" s="45">
        <v>0.14000000000000001</v>
      </c>
      <c r="H168" s="33"/>
      <c r="I168" s="33"/>
      <c r="J168" s="51"/>
      <c r="K168" s="1"/>
    </row>
    <row r="169" spans="1:11" ht="27" customHeight="1" x14ac:dyDescent="0.35">
      <c r="A169" s="21" t="s">
        <v>163</v>
      </c>
      <c r="B169" s="25"/>
      <c r="C169" s="48">
        <v>4</v>
      </c>
      <c r="D169" s="32">
        <v>5.0999999999999997E-2</v>
      </c>
      <c r="E169" s="32">
        <v>1E-3</v>
      </c>
      <c r="F169" s="33"/>
      <c r="G169" s="45">
        <v>0.14000000000000001</v>
      </c>
      <c r="H169" s="33"/>
      <c r="I169" s="33"/>
      <c r="J169" s="51"/>
      <c r="K169" s="1"/>
    </row>
    <row r="170" spans="1:11" ht="27" customHeight="1" x14ac:dyDescent="0.35">
      <c r="A170" s="21" t="s">
        <v>164</v>
      </c>
      <c r="B170" s="25"/>
      <c r="C170" s="48">
        <v>4</v>
      </c>
      <c r="D170" s="32">
        <v>5.0000000000000001E-3</v>
      </c>
      <c r="E170" s="33"/>
      <c r="F170" s="33"/>
      <c r="G170" s="33"/>
      <c r="H170" s="33"/>
      <c r="I170" s="33"/>
      <c r="J170" s="51"/>
      <c r="K170" s="1"/>
    </row>
    <row r="171" spans="1:11" ht="27" customHeight="1" x14ac:dyDescent="0.35">
      <c r="A171" s="21" t="s">
        <v>165</v>
      </c>
      <c r="B171" s="25"/>
      <c r="C171" s="48" t="s">
        <v>20</v>
      </c>
      <c r="D171" s="32">
        <v>4.8000000000000001E-2</v>
      </c>
      <c r="E171" s="32">
        <v>1E-3</v>
      </c>
      <c r="F171" s="33"/>
      <c r="G171" s="45">
        <v>0.91</v>
      </c>
      <c r="H171" s="33"/>
      <c r="I171" s="33"/>
      <c r="J171" s="51"/>
      <c r="K171" s="1"/>
    </row>
    <row r="172" spans="1:11" ht="27" customHeight="1" x14ac:dyDescent="0.35">
      <c r="A172" s="21" t="s">
        <v>166</v>
      </c>
      <c r="B172" s="25"/>
      <c r="C172" s="48" t="s">
        <v>20</v>
      </c>
      <c r="D172" s="32">
        <v>4.2999999999999997E-2</v>
      </c>
      <c r="E172" s="32">
        <v>1E-3</v>
      </c>
      <c r="F172" s="33"/>
      <c r="G172" s="45">
        <v>0.42</v>
      </c>
      <c r="H172" s="33"/>
      <c r="I172" s="33"/>
      <c r="J172" s="49"/>
      <c r="K172" s="1"/>
    </row>
    <row r="173" spans="1:11" ht="27" customHeight="1" x14ac:dyDescent="0.35">
      <c r="A173" s="21" t="s">
        <v>167</v>
      </c>
      <c r="B173" s="25"/>
      <c r="C173" s="48" t="s">
        <v>20</v>
      </c>
      <c r="D173" s="32">
        <v>3.1E-2</v>
      </c>
      <c r="E173" s="32">
        <v>0</v>
      </c>
      <c r="F173" s="33"/>
      <c r="G173" s="45">
        <v>4.7</v>
      </c>
      <c r="H173" s="33"/>
      <c r="I173" s="33"/>
      <c r="J173" s="49"/>
      <c r="K173" s="1"/>
    </row>
    <row r="174" spans="1:11" ht="27" customHeight="1" x14ac:dyDescent="0.35">
      <c r="A174" s="21" t="s">
        <v>587</v>
      </c>
      <c r="B174" s="25"/>
      <c r="C174" s="48">
        <v>0</v>
      </c>
      <c r="D174" s="42">
        <v>0.42099999999999999</v>
      </c>
      <c r="E174" s="38">
        <v>4.0000000000000001E-3</v>
      </c>
      <c r="F174" s="50">
        <v>1E-3</v>
      </c>
      <c r="G174" s="45">
        <v>0.13</v>
      </c>
      <c r="H174" s="33"/>
      <c r="I174" s="33"/>
      <c r="J174" s="49"/>
      <c r="K174" s="1"/>
    </row>
    <row r="175" spans="1:11" ht="27" customHeight="1" x14ac:dyDescent="0.35">
      <c r="A175" s="21" t="s">
        <v>588</v>
      </c>
      <c r="B175" s="25"/>
      <c r="C175" s="48">
        <v>0</v>
      </c>
      <c r="D175" s="42">
        <v>0.38300000000000001</v>
      </c>
      <c r="E175" s="38">
        <v>3.0000000000000001E-3</v>
      </c>
      <c r="F175" s="50">
        <v>1E-3</v>
      </c>
      <c r="G175" s="45">
        <v>0.15</v>
      </c>
      <c r="H175" s="33"/>
      <c r="I175" s="33"/>
      <c r="J175" s="49"/>
      <c r="K175" s="1"/>
    </row>
    <row r="176" spans="1:11" ht="27" customHeight="1" x14ac:dyDescent="0.35">
      <c r="A176" s="21" t="s">
        <v>168</v>
      </c>
      <c r="B176" s="25"/>
      <c r="C176" s="48">
        <v>0</v>
      </c>
      <c r="D176" s="42">
        <v>0.30199999999999999</v>
      </c>
      <c r="E176" s="38">
        <v>2E-3</v>
      </c>
      <c r="F176" s="50">
        <v>0</v>
      </c>
      <c r="G176" s="45">
        <v>0.41</v>
      </c>
      <c r="H176" s="45">
        <v>0.09</v>
      </c>
      <c r="I176" s="32">
        <v>8.9999999999999993E-3</v>
      </c>
      <c r="J176" s="56">
        <f>H176</f>
        <v>0.09</v>
      </c>
      <c r="K176" s="1"/>
    </row>
    <row r="177" spans="1:11" ht="27" customHeight="1" x14ac:dyDescent="0.35">
      <c r="A177" s="21" t="s">
        <v>169</v>
      </c>
      <c r="B177" s="25"/>
      <c r="C177" s="48">
        <v>0</v>
      </c>
      <c r="D177" s="42">
        <v>0.317</v>
      </c>
      <c r="E177" s="38">
        <v>1E-3</v>
      </c>
      <c r="F177" s="50">
        <v>0</v>
      </c>
      <c r="G177" s="45">
        <v>0.42</v>
      </c>
      <c r="H177" s="45">
        <v>0.19</v>
      </c>
      <c r="I177" s="32">
        <v>8.9999999999999993E-3</v>
      </c>
      <c r="J177" s="56">
        <f>H177</f>
        <v>0.19</v>
      </c>
      <c r="K177" s="1"/>
    </row>
    <row r="178" spans="1:11" ht="27.75" customHeight="1" x14ac:dyDescent="0.35">
      <c r="A178" s="21" t="s">
        <v>170</v>
      </c>
      <c r="B178" s="25"/>
      <c r="C178" s="48">
        <v>0</v>
      </c>
      <c r="D178" s="42">
        <v>0.29299999999999998</v>
      </c>
      <c r="E178" s="38">
        <v>1E-3</v>
      </c>
      <c r="F178" s="50">
        <v>0</v>
      </c>
      <c r="G178" s="45">
        <v>4.7</v>
      </c>
      <c r="H178" s="45">
        <v>0.18</v>
      </c>
      <c r="I178" s="32">
        <v>8.0000000000000002E-3</v>
      </c>
      <c r="J178" s="56">
        <f>H178</f>
        <v>0.18</v>
      </c>
      <c r="K178" s="1"/>
    </row>
    <row r="179" spans="1:11" ht="27.75" customHeight="1" x14ac:dyDescent="0.35">
      <c r="A179" s="21" t="s">
        <v>211</v>
      </c>
      <c r="B179" s="25"/>
      <c r="C179" s="48">
        <v>8</v>
      </c>
      <c r="D179" s="32">
        <v>4.8000000000000001E-2</v>
      </c>
      <c r="E179" s="33"/>
      <c r="F179" s="33"/>
      <c r="G179" s="33"/>
      <c r="H179" s="33"/>
      <c r="I179" s="33"/>
      <c r="J179" s="52"/>
      <c r="K179" s="1"/>
    </row>
    <row r="180" spans="1:11" ht="27.75" customHeight="1" x14ac:dyDescent="0.35">
      <c r="A180" s="21" t="s">
        <v>212</v>
      </c>
      <c r="B180" s="25"/>
      <c r="C180" s="48">
        <v>1</v>
      </c>
      <c r="D180" s="32">
        <v>7.1999999999999995E-2</v>
      </c>
      <c r="E180" s="33"/>
      <c r="F180" s="33"/>
      <c r="G180" s="33"/>
      <c r="H180" s="33"/>
      <c r="I180" s="33"/>
      <c r="J180" s="52"/>
      <c r="K180" s="1"/>
    </row>
    <row r="181" spans="1:11" ht="27.75" customHeight="1" x14ac:dyDescent="0.35">
      <c r="A181" s="21" t="s">
        <v>213</v>
      </c>
      <c r="B181" s="25"/>
      <c r="C181" s="48">
        <v>1</v>
      </c>
      <c r="D181" s="32">
        <v>0.122</v>
      </c>
      <c r="E181" s="33"/>
      <c r="F181" s="33"/>
      <c r="G181" s="33"/>
      <c r="H181" s="33"/>
      <c r="I181" s="33"/>
      <c r="J181" s="51"/>
      <c r="K181" s="1"/>
    </row>
    <row r="182" spans="1:11" ht="27.75" customHeight="1" x14ac:dyDescent="0.35">
      <c r="A182" s="21" t="s">
        <v>214</v>
      </c>
      <c r="B182" s="25"/>
      <c r="C182" s="48">
        <v>1</v>
      </c>
      <c r="D182" s="32">
        <v>3.3000000000000002E-2</v>
      </c>
      <c r="E182" s="33"/>
      <c r="F182" s="33"/>
      <c r="G182" s="33"/>
      <c r="H182" s="33"/>
      <c r="I182" s="33"/>
      <c r="J182" s="51"/>
      <c r="K182" s="1"/>
    </row>
    <row r="183" spans="1:11" ht="27.75" customHeight="1" x14ac:dyDescent="0.35">
      <c r="A183" s="21" t="s">
        <v>171</v>
      </c>
      <c r="B183" s="25"/>
      <c r="C183" s="48">
        <v>0</v>
      </c>
      <c r="D183" s="54">
        <v>1.0960000000000001</v>
      </c>
      <c r="E183" s="41">
        <v>1.7999999999999999E-2</v>
      </c>
      <c r="F183" s="50">
        <v>1.4999999999999999E-2</v>
      </c>
      <c r="G183" s="33"/>
      <c r="H183" s="33"/>
      <c r="I183" s="33"/>
      <c r="J183" s="51"/>
      <c r="K183" s="1"/>
    </row>
    <row r="184" spans="1:11" ht="27.75" customHeight="1" x14ac:dyDescent="0.35">
      <c r="A184" s="21" t="s">
        <v>589</v>
      </c>
      <c r="B184" s="25"/>
      <c r="C184" s="48">
        <v>8</v>
      </c>
      <c r="D184" s="32">
        <v>-3.6999999999999998E-2</v>
      </c>
      <c r="E184" s="33"/>
      <c r="F184" s="33"/>
      <c r="G184" s="45">
        <v>0</v>
      </c>
      <c r="H184" s="33"/>
      <c r="I184" s="33"/>
      <c r="J184" s="51"/>
      <c r="K184" s="1"/>
    </row>
    <row r="185" spans="1:11" ht="27.75" customHeight="1" x14ac:dyDescent="0.35">
      <c r="A185" s="21" t="s">
        <v>172</v>
      </c>
      <c r="B185" s="25"/>
      <c r="C185" s="48">
        <v>8</v>
      </c>
      <c r="D185" s="32">
        <v>-3.6999999999999998E-2</v>
      </c>
      <c r="E185" s="33"/>
      <c r="F185" s="33"/>
      <c r="G185" s="45">
        <v>0</v>
      </c>
      <c r="H185" s="33"/>
      <c r="I185" s="33"/>
      <c r="J185" s="51"/>
      <c r="K185" s="1"/>
    </row>
    <row r="186" spans="1:11" ht="27.75" customHeight="1" x14ac:dyDescent="0.35">
      <c r="A186" s="21" t="s">
        <v>173</v>
      </c>
      <c r="B186" s="25"/>
      <c r="C186" s="48">
        <v>0</v>
      </c>
      <c r="D186" s="32">
        <v>-3.6999999999999998E-2</v>
      </c>
      <c r="E186" s="33"/>
      <c r="F186" s="33"/>
      <c r="G186" s="45">
        <v>0</v>
      </c>
      <c r="H186" s="33"/>
      <c r="I186" s="32">
        <v>1.2E-2</v>
      </c>
      <c r="J186" s="51"/>
      <c r="K186" s="1"/>
    </row>
    <row r="187" spans="1:11" ht="27.75" customHeight="1" x14ac:dyDescent="0.35">
      <c r="A187" s="21" t="s">
        <v>174</v>
      </c>
      <c r="B187" s="25"/>
      <c r="C187" s="48">
        <v>0</v>
      </c>
      <c r="D187" s="42">
        <v>-0.39800000000000002</v>
      </c>
      <c r="E187" s="38">
        <v>-4.0000000000000001E-3</v>
      </c>
      <c r="F187" s="50">
        <v>-1E-3</v>
      </c>
      <c r="G187" s="45">
        <v>0</v>
      </c>
      <c r="H187" s="33"/>
      <c r="I187" s="32">
        <v>1.2E-2</v>
      </c>
      <c r="J187" s="51"/>
      <c r="K187" s="1"/>
    </row>
    <row r="188" spans="1:11" ht="27.75" customHeight="1" x14ac:dyDescent="0.35">
      <c r="A188" s="21" t="s">
        <v>175</v>
      </c>
      <c r="B188" s="25"/>
      <c r="C188" s="48">
        <v>0</v>
      </c>
      <c r="D188" s="32">
        <v>-3.6999999999999998E-2</v>
      </c>
      <c r="E188" s="33"/>
      <c r="F188" s="33"/>
      <c r="G188" s="45">
        <v>0</v>
      </c>
      <c r="H188" s="33"/>
      <c r="I188" s="32">
        <v>1.2E-2</v>
      </c>
      <c r="J188" s="51"/>
      <c r="K188" s="1"/>
    </row>
    <row r="189" spans="1:11" ht="27.75" customHeight="1" x14ac:dyDescent="0.35">
      <c r="A189" s="21" t="s">
        <v>176</v>
      </c>
      <c r="B189" s="25"/>
      <c r="C189" s="48">
        <v>0</v>
      </c>
      <c r="D189" s="42">
        <v>-0.39600000000000002</v>
      </c>
      <c r="E189" s="38">
        <v>-3.0000000000000001E-3</v>
      </c>
      <c r="F189" s="50">
        <v>-1E-3</v>
      </c>
      <c r="G189" s="45">
        <v>0</v>
      </c>
      <c r="H189" s="33"/>
      <c r="I189" s="32">
        <v>1.2E-2</v>
      </c>
      <c r="J189" s="51"/>
      <c r="K189" s="1"/>
    </row>
    <row r="190" spans="1:11" ht="27.75" customHeight="1" x14ac:dyDescent="0.35">
      <c r="A190" s="21" t="s">
        <v>177</v>
      </c>
      <c r="B190" s="25"/>
      <c r="C190" s="48">
        <v>0</v>
      </c>
      <c r="D190" s="32">
        <v>-3.6999999999999998E-2</v>
      </c>
      <c r="E190" s="33"/>
      <c r="F190" s="33"/>
      <c r="G190" s="45">
        <v>3.12</v>
      </c>
      <c r="H190" s="33"/>
      <c r="I190" s="32">
        <v>1.2999999999999999E-2</v>
      </c>
      <c r="J190" s="51"/>
      <c r="K190" s="1"/>
    </row>
    <row r="191" spans="1:11" ht="27.75" customHeight="1" x14ac:dyDescent="0.35">
      <c r="A191" s="21" t="s">
        <v>178</v>
      </c>
      <c r="B191" s="25"/>
      <c r="C191" s="48">
        <v>0</v>
      </c>
      <c r="D191" s="42">
        <v>-0.40200000000000002</v>
      </c>
      <c r="E191" s="38">
        <v>-2E-3</v>
      </c>
      <c r="F191" s="50">
        <v>0</v>
      </c>
      <c r="G191" s="45">
        <v>3.12</v>
      </c>
      <c r="H191" s="33"/>
      <c r="I191" s="32">
        <v>1.2999999999999999E-2</v>
      </c>
      <c r="J191" s="22"/>
      <c r="K191"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8:D8"/>
    <mergeCell ref="A4:D4"/>
    <mergeCell ref="H9:J9"/>
    <mergeCell ref="F6:G6"/>
    <mergeCell ref="F7:G7"/>
    <mergeCell ref="F8:G8"/>
    <mergeCell ref="F9:G9"/>
    <mergeCell ref="B1:D1"/>
    <mergeCell ref="F1:H1"/>
    <mergeCell ref="A2:J2"/>
    <mergeCell ref="F4:J4"/>
    <mergeCell ref="F5:G5"/>
  </mergeCells>
  <phoneticPr fontId="4" type="noConversion"/>
  <hyperlinks>
    <hyperlink ref="A1" location="Overview!A1" display="Back to Overview" xr:uid="{00000000-0004-0000-0600-000000000000}"/>
  </hyperlinks>
  <pageMargins left="0.39370078740157483" right="0.35433070866141736" top="0.9055118110236221" bottom="0.55118110236220474" header="0.31496062992125984" footer="0.31496062992125984"/>
  <pageSetup paperSize="9" scale="44" fitToHeight="0" orientation="portrait" r:id="rId2"/>
  <headerFooter differentFirst="1" scaleWithDoc="0">
    <oddFooter>&amp;C&amp;P of &amp;N</oddFooter>
    <firstHeader>&amp;L
Annex 4 - Charges applied to LDNOs in respect of LV and HV Designated Properties connected in their embedded distribution system</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314"/>
  <sheetViews>
    <sheetView topLeftCell="A10" zoomScale="80" zoomScaleNormal="80" zoomScaleSheetLayoutView="70" workbookViewId="0">
      <selection activeCell="C20" sqref="C20:G20"/>
    </sheetView>
  </sheetViews>
  <sheetFormatPr defaultRowHeight="12.75" x14ac:dyDescent="0.35"/>
  <cols>
    <col min="1" max="2" width="14.1328125" customWidth="1"/>
    <col min="3" max="8" width="23.86328125" customWidth="1"/>
  </cols>
  <sheetData>
    <row r="1" spans="1:8" s="58" customFormat="1" ht="27.75" customHeight="1" x14ac:dyDescent="0.35">
      <c r="A1" s="154" t="s">
        <v>86</v>
      </c>
    </row>
    <row r="2" spans="1:8" s="58" customFormat="1" ht="44.25" customHeight="1" x14ac:dyDescent="0.35">
      <c r="A2" s="256" t="s">
        <v>689</v>
      </c>
      <c r="B2" s="256"/>
      <c r="C2" s="256"/>
      <c r="D2" s="256"/>
      <c r="E2" s="256"/>
      <c r="F2" s="256"/>
      <c r="G2" s="256"/>
    </row>
    <row r="3" spans="1:8" s="58" customFormat="1" ht="47.25" customHeight="1" x14ac:dyDescent="0.35">
      <c r="A3" s="211" t="str">
        <f>Overview!B4&amp; " - Illustrative LLFs for year beginning "&amp;Overview!D4</f>
        <v>Eastern Power Networks - Illustrative LLFs for year beginning 01/04/2017</v>
      </c>
      <c r="B3" s="211"/>
      <c r="C3" s="211"/>
      <c r="D3" s="211"/>
      <c r="E3" s="211"/>
      <c r="F3" s="211"/>
      <c r="G3" s="211"/>
    </row>
    <row r="4" spans="1:8" s="58" customFormat="1" ht="30" customHeight="1" x14ac:dyDescent="0.35">
      <c r="A4" s="255" t="s">
        <v>80</v>
      </c>
      <c r="B4" s="255"/>
      <c r="C4" s="17" t="s">
        <v>54</v>
      </c>
      <c r="D4" s="17" t="s">
        <v>55</v>
      </c>
      <c r="E4" s="17" t="s">
        <v>56</v>
      </c>
      <c r="F4" s="17" t="s">
        <v>57</v>
      </c>
      <c r="G4" s="17" t="s">
        <v>697</v>
      </c>
    </row>
    <row r="5" spans="1:8" s="58" customFormat="1" ht="30" customHeight="1" x14ac:dyDescent="0.35">
      <c r="A5" s="255"/>
      <c r="B5" s="255"/>
      <c r="C5" s="17" t="s">
        <v>698</v>
      </c>
      <c r="D5" s="17" t="s">
        <v>699</v>
      </c>
      <c r="E5" s="17" t="s">
        <v>700</v>
      </c>
      <c r="F5" s="17" t="s">
        <v>701</v>
      </c>
      <c r="G5" s="17" t="s">
        <v>702</v>
      </c>
    </row>
    <row r="6" spans="1:8" s="58" customFormat="1" ht="48" customHeight="1" x14ac:dyDescent="0.35">
      <c r="A6" s="208" t="s">
        <v>703</v>
      </c>
      <c r="B6" s="208"/>
      <c r="C6" s="18" t="s">
        <v>704</v>
      </c>
      <c r="D6" s="140"/>
      <c r="E6" s="86" t="s">
        <v>705</v>
      </c>
      <c r="F6" s="140"/>
      <c r="G6" s="140"/>
    </row>
    <row r="7" spans="1:8" s="58" customFormat="1" ht="48" customHeight="1" x14ac:dyDescent="0.35">
      <c r="A7" s="208" t="s">
        <v>706</v>
      </c>
      <c r="B7" s="208"/>
      <c r="C7" s="140"/>
      <c r="D7" s="18" t="s">
        <v>707</v>
      </c>
      <c r="E7" s="140"/>
      <c r="F7" s="140"/>
      <c r="G7" s="140"/>
    </row>
    <row r="8" spans="1:8" s="58" customFormat="1" ht="48" customHeight="1" x14ac:dyDescent="0.35">
      <c r="A8" s="208" t="s">
        <v>708</v>
      </c>
      <c r="B8" s="208"/>
      <c r="C8" s="140"/>
      <c r="D8" s="140"/>
      <c r="E8" s="18" t="s">
        <v>707</v>
      </c>
      <c r="F8" s="140"/>
      <c r="G8" s="140"/>
    </row>
    <row r="9" spans="1:8" s="58" customFormat="1" ht="48" customHeight="1" x14ac:dyDescent="0.35">
      <c r="A9" s="208" t="s">
        <v>709</v>
      </c>
      <c r="B9" s="208"/>
      <c r="C9" s="140"/>
      <c r="D9" s="140"/>
      <c r="E9" s="140"/>
      <c r="F9" s="86" t="s">
        <v>710</v>
      </c>
      <c r="G9" s="86" t="s">
        <v>711</v>
      </c>
    </row>
    <row r="10" spans="1:8" s="58" customFormat="1" ht="30" customHeight="1" x14ac:dyDescent="0.35">
      <c r="A10" s="208" t="s">
        <v>81</v>
      </c>
      <c r="B10" s="208"/>
      <c r="C10" s="218" t="s">
        <v>695</v>
      </c>
      <c r="D10" s="219"/>
      <c r="E10" s="219"/>
      <c r="F10" s="219"/>
      <c r="G10" s="220"/>
    </row>
    <row r="11" spans="1:8" s="58" customFormat="1" x14ac:dyDescent="0.35">
      <c r="B11" s="151"/>
      <c r="C11" s="151"/>
      <c r="D11" s="151"/>
      <c r="E11" s="151"/>
    </row>
    <row r="12" spans="1:8" s="58" customFormat="1" ht="30.75" customHeight="1" x14ac:dyDescent="0.35">
      <c r="A12" s="255" t="s">
        <v>478</v>
      </c>
      <c r="B12" s="255"/>
      <c r="C12" s="255"/>
      <c r="D12" s="255"/>
      <c r="E12" s="255"/>
      <c r="F12" s="255"/>
      <c r="G12" s="255"/>
      <c r="H12" s="255"/>
    </row>
    <row r="13" spans="1:8" s="58" customFormat="1" ht="30.75" customHeight="1" x14ac:dyDescent="0.35">
      <c r="A13" s="255" t="s">
        <v>53</v>
      </c>
      <c r="B13" s="255"/>
      <c r="C13" s="255"/>
      <c r="D13" s="255"/>
      <c r="E13" s="255"/>
      <c r="F13" s="255"/>
      <c r="G13" s="255"/>
      <c r="H13" s="255"/>
    </row>
    <row r="14" spans="1:8" s="58" customFormat="1" ht="33" customHeight="1" x14ac:dyDescent="0.35">
      <c r="A14" s="255" t="s">
        <v>479</v>
      </c>
      <c r="B14" s="255"/>
      <c r="C14" s="141" t="s">
        <v>54</v>
      </c>
      <c r="D14" s="141" t="s">
        <v>55</v>
      </c>
      <c r="E14" s="141" t="s">
        <v>56</v>
      </c>
      <c r="F14" s="141" t="s">
        <v>57</v>
      </c>
      <c r="G14" s="141" t="s">
        <v>697</v>
      </c>
      <c r="H14" s="141" t="s">
        <v>58</v>
      </c>
    </row>
    <row r="15" spans="1:8" s="58" customFormat="1" ht="125.25" customHeight="1" x14ac:dyDescent="0.35">
      <c r="A15" s="214" t="s">
        <v>480</v>
      </c>
      <c r="B15" s="214"/>
      <c r="C15" s="152">
        <v>1.117</v>
      </c>
      <c r="D15" s="152">
        <v>1.08</v>
      </c>
      <c r="E15" s="152">
        <v>1.087</v>
      </c>
      <c r="F15" s="152">
        <v>1.079</v>
      </c>
      <c r="G15" s="152">
        <v>1.1000000000000001</v>
      </c>
      <c r="H15" s="156" t="s">
        <v>887</v>
      </c>
    </row>
    <row r="16" spans="1:8" s="58" customFormat="1" ht="27" customHeight="1" x14ac:dyDescent="0.35">
      <c r="A16" s="257" t="s">
        <v>481</v>
      </c>
      <c r="B16" s="257"/>
      <c r="C16" s="152">
        <v>1.085</v>
      </c>
      <c r="D16" s="152">
        <v>1.0629999999999999</v>
      </c>
      <c r="E16" s="152">
        <v>1.0740000000000001</v>
      </c>
      <c r="F16" s="152">
        <v>1.0580000000000001</v>
      </c>
      <c r="G16" s="152">
        <v>1.0660000000000001</v>
      </c>
      <c r="H16" s="153" t="s">
        <v>712</v>
      </c>
    </row>
    <row r="17" spans="1:8" s="58" customFormat="1" ht="27" customHeight="1" x14ac:dyDescent="0.35">
      <c r="A17" s="257" t="s">
        <v>482</v>
      </c>
      <c r="B17" s="257"/>
      <c r="C17" s="152">
        <v>1.0529999999999999</v>
      </c>
      <c r="D17" s="152">
        <v>1.04</v>
      </c>
      <c r="E17" s="152">
        <v>1.046</v>
      </c>
      <c r="F17" s="152">
        <v>1.0349999999999999</v>
      </c>
      <c r="G17" s="152">
        <v>1.0409999999999999</v>
      </c>
      <c r="H17" s="153" t="s">
        <v>713</v>
      </c>
    </row>
    <row r="18" spans="1:8" s="58" customFormat="1" ht="27" customHeight="1" x14ac:dyDescent="0.35">
      <c r="A18" s="257" t="s">
        <v>483</v>
      </c>
      <c r="B18" s="257"/>
      <c r="C18" s="152">
        <v>1.052</v>
      </c>
      <c r="D18" s="152">
        <v>1.0389999999999999</v>
      </c>
      <c r="E18" s="152">
        <v>1.046</v>
      </c>
      <c r="F18" s="152">
        <v>1.0349999999999999</v>
      </c>
      <c r="G18" s="152">
        <v>1.04</v>
      </c>
      <c r="H18" s="153" t="s">
        <v>714</v>
      </c>
    </row>
    <row r="19" spans="1:8" s="58" customFormat="1" ht="27" customHeight="1" x14ac:dyDescent="0.35">
      <c r="A19" s="257" t="s">
        <v>484</v>
      </c>
      <c r="B19" s="257"/>
      <c r="C19" s="152">
        <v>1.0169999999999999</v>
      </c>
      <c r="D19" s="152">
        <v>1.014</v>
      </c>
      <c r="E19" s="152">
        <v>1.016</v>
      </c>
      <c r="F19" s="152">
        <v>1.0129999999999999</v>
      </c>
      <c r="G19" s="152">
        <v>1.014</v>
      </c>
      <c r="H19" s="153" t="s">
        <v>715</v>
      </c>
    </row>
    <row r="20" spans="1:8" s="58" customFormat="1" ht="27" customHeight="1" x14ac:dyDescent="0.35">
      <c r="A20" s="257" t="s">
        <v>485</v>
      </c>
      <c r="B20" s="257"/>
      <c r="C20" s="152">
        <v>1.004</v>
      </c>
      <c r="D20" s="152">
        <v>1.0029999999999999</v>
      </c>
      <c r="E20" s="152">
        <v>1.0029999999999999</v>
      </c>
      <c r="F20" s="152">
        <v>1.002</v>
      </c>
      <c r="G20" s="152">
        <v>1.0029999999999999</v>
      </c>
      <c r="H20" s="153" t="s">
        <v>716</v>
      </c>
    </row>
    <row r="21" spans="1:8" s="58" customFormat="1" ht="27" customHeight="1" x14ac:dyDescent="0.35"/>
    <row r="22" spans="1:8" s="58" customFormat="1" ht="27" customHeight="1" x14ac:dyDescent="0.35">
      <c r="A22" s="255" t="s">
        <v>486</v>
      </c>
      <c r="B22" s="255"/>
      <c r="C22" s="255"/>
      <c r="D22" s="255"/>
      <c r="E22" s="255"/>
      <c r="F22" s="255"/>
      <c r="G22" s="255"/>
      <c r="H22" s="255"/>
    </row>
    <row r="23" spans="1:8" s="58" customFormat="1" ht="27" customHeight="1" x14ac:dyDescent="0.35">
      <c r="A23" s="255" t="s">
        <v>60</v>
      </c>
      <c r="B23" s="255"/>
      <c r="C23" s="255"/>
      <c r="D23" s="255"/>
      <c r="E23" s="255"/>
      <c r="F23" s="255"/>
      <c r="G23" s="255"/>
      <c r="H23" s="255"/>
    </row>
    <row r="24" spans="1:8" s="58" customFormat="1" ht="27" customHeight="1" x14ac:dyDescent="0.35">
      <c r="A24" s="17" t="s">
        <v>469</v>
      </c>
      <c r="B24" s="255" t="s">
        <v>59</v>
      </c>
      <c r="C24" s="255"/>
      <c r="D24" s="17" t="s">
        <v>54</v>
      </c>
      <c r="E24" s="17" t="s">
        <v>55</v>
      </c>
      <c r="F24" s="17" t="s">
        <v>56</v>
      </c>
      <c r="G24" s="17" t="s">
        <v>57</v>
      </c>
      <c r="H24" s="17" t="s">
        <v>697</v>
      </c>
    </row>
    <row r="25" spans="1:8" s="58" customFormat="1" ht="27" customHeight="1" x14ac:dyDescent="0.35">
      <c r="A25" s="86">
        <v>500</v>
      </c>
      <c r="B25" s="252" t="s">
        <v>717</v>
      </c>
      <c r="C25" s="253"/>
      <c r="D25" s="152">
        <v>1.06</v>
      </c>
      <c r="E25" s="152">
        <v>1.024</v>
      </c>
      <c r="F25" s="152">
        <v>1.0389999999999999</v>
      </c>
      <c r="G25" s="152">
        <v>1.042</v>
      </c>
      <c r="H25" s="152">
        <v>1.0549999999999999</v>
      </c>
    </row>
    <row r="26" spans="1:8" s="58" customFormat="1" ht="27" customHeight="1" x14ac:dyDescent="0.35">
      <c r="A26" s="86">
        <v>501</v>
      </c>
      <c r="B26" s="252" t="s">
        <v>718</v>
      </c>
      <c r="C26" s="253"/>
      <c r="D26" s="152">
        <v>1.0640000000000001</v>
      </c>
      <c r="E26" s="152">
        <v>1.0449999999999999</v>
      </c>
      <c r="F26" s="152">
        <v>1.042</v>
      </c>
      <c r="G26" s="152">
        <v>1.038</v>
      </c>
      <c r="H26" s="152">
        <v>1.046</v>
      </c>
    </row>
    <row r="27" spans="1:8" s="58" customFormat="1" ht="27" customHeight="1" x14ac:dyDescent="0.35">
      <c r="A27" s="86">
        <v>502</v>
      </c>
      <c r="B27" s="252" t="s">
        <v>888</v>
      </c>
      <c r="C27" s="253"/>
      <c r="D27" s="152">
        <v>1.056</v>
      </c>
      <c r="E27" s="152">
        <v>1.05</v>
      </c>
      <c r="F27" s="152">
        <v>1.0149999999999999</v>
      </c>
      <c r="G27" s="152">
        <v>1.0720000000000001</v>
      </c>
      <c r="H27" s="152">
        <v>1.036</v>
      </c>
    </row>
    <row r="28" spans="1:8" s="58" customFormat="1" ht="27" customHeight="1" x14ac:dyDescent="0.35">
      <c r="A28" s="86">
        <v>503</v>
      </c>
      <c r="B28" s="252" t="s">
        <v>2043</v>
      </c>
      <c r="C28" s="253"/>
      <c r="D28" s="152">
        <v>1.032</v>
      </c>
      <c r="E28" s="152">
        <v>1.0309999999999999</v>
      </c>
      <c r="F28" s="152">
        <v>1.03</v>
      </c>
      <c r="G28" s="152">
        <v>1.0229999999999999</v>
      </c>
      <c r="H28" s="152">
        <v>1.026</v>
      </c>
    </row>
    <row r="29" spans="1:8" s="58" customFormat="1" ht="27" customHeight="1" x14ac:dyDescent="0.35">
      <c r="A29" s="86">
        <v>504</v>
      </c>
      <c r="B29" s="252" t="s">
        <v>2044</v>
      </c>
      <c r="C29" s="253"/>
      <c r="D29" s="152">
        <v>1.0209999999999999</v>
      </c>
      <c r="E29" s="152">
        <v>1.022</v>
      </c>
      <c r="F29" s="152">
        <v>1.0229999999999999</v>
      </c>
      <c r="G29" s="152">
        <v>1.02</v>
      </c>
      <c r="H29" s="152">
        <v>1.02</v>
      </c>
    </row>
    <row r="30" spans="1:8" s="58" customFormat="1" ht="27" customHeight="1" x14ac:dyDescent="0.35">
      <c r="A30" s="86">
        <v>505</v>
      </c>
      <c r="B30" s="252" t="s">
        <v>2045</v>
      </c>
      <c r="C30" s="253"/>
      <c r="D30" s="152">
        <v>1.1439999999999999</v>
      </c>
      <c r="E30" s="152">
        <v>1.133</v>
      </c>
      <c r="F30" s="152">
        <v>1.137</v>
      </c>
      <c r="G30" s="152">
        <v>1.1319999999999999</v>
      </c>
      <c r="H30" s="152">
        <v>1.1339999999999999</v>
      </c>
    </row>
    <row r="31" spans="1:8" s="58" customFormat="1" ht="27" customHeight="1" x14ac:dyDescent="0.35">
      <c r="A31" s="86">
        <v>506</v>
      </c>
      <c r="B31" s="252" t="s">
        <v>2046</v>
      </c>
      <c r="C31" s="253"/>
      <c r="D31" s="152">
        <v>1.0509999999999999</v>
      </c>
      <c r="E31" s="152">
        <v>1.028</v>
      </c>
      <c r="F31" s="152">
        <v>1.0429999999999999</v>
      </c>
      <c r="G31" s="152">
        <v>1.036</v>
      </c>
      <c r="H31" s="152">
        <v>1.044</v>
      </c>
    </row>
    <row r="32" spans="1:8" s="58" customFormat="1" ht="27" customHeight="1" x14ac:dyDescent="0.35">
      <c r="A32" s="86">
        <v>507</v>
      </c>
      <c r="B32" s="252" t="s">
        <v>2047</v>
      </c>
      <c r="C32" s="253"/>
      <c r="D32" s="152">
        <v>1.012</v>
      </c>
      <c r="E32" s="152">
        <v>1.012</v>
      </c>
      <c r="F32" s="152">
        <v>1.0129999999999999</v>
      </c>
      <c r="G32" s="152">
        <v>1.012</v>
      </c>
      <c r="H32" s="152">
        <v>1.012</v>
      </c>
    </row>
    <row r="33" spans="1:8" s="58" customFormat="1" ht="27" customHeight="1" x14ac:dyDescent="0.35">
      <c r="A33" s="86">
        <v>508</v>
      </c>
      <c r="B33" s="252" t="s">
        <v>2048</v>
      </c>
      <c r="C33" s="253"/>
      <c r="D33" s="152">
        <v>1.0289999999999999</v>
      </c>
      <c r="E33" s="152">
        <v>1.02</v>
      </c>
      <c r="F33" s="152">
        <v>1.0269999999999999</v>
      </c>
      <c r="G33" s="152">
        <v>1.0229999999999999</v>
      </c>
      <c r="H33" s="152">
        <v>1.0269999999999999</v>
      </c>
    </row>
    <row r="34" spans="1:8" s="58" customFormat="1" ht="27" customHeight="1" x14ac:dyDescent="0.35">
      <c r="A34" s="86">
        <v>509</v>
      </c>
      <c r="B34" s="252" t="s">
        <v>2049</v>
      </c>
      <c r="C34" s="253"/>
      <c r="D34" s="152">
        <v>0.999</v>
      </c>
      <c r="E34" s="152">
        <v>1</v>
      </c>
      <c r="F34" s="152">
        <v>1</v>
      </c>
      <c r="G34" s="152">
        <v>0.999</v>
      </c>
      <c r="H34" s="152">
        <v>1.004</v>
      </c>
    </row>
    <row r="35" spans="1:8" s="58" customFormat="1" ht="27" customHeight="1" x14ac:dyDescent="0.35">
      <c r="A35" s="86">
        <v>510</v>
      </c>
      <c r="B35" s="252" t="s">
        <v>2050</v>
      </c>
      <c r="C35" s="253"/>
      <c r="D35" s="152">
        <v>1.006</v>
      </c>
      <c r="E35" s="152">
        <v>1.006</v>
      </c>
      <c r="F35" s="152">
        <v>1.006</v>
      </c>
      <c r="G35" s="152">
        <v>1.006</v>
      </c>
      <c r="H35" s="152">
        <v>1.006</v>
      </c>
    </row>
    <row r="36" spans="1:8" s="58" customFormat="1" ht="27" customHeight="1" x14ac:dyDescent="0.35">
      <c r="A36" s="86">
        <v>511</v>
      </c>
      <c r="B36" s="252" t="s">
        <v>2051</v>
      </c>
      <c r="C36" s="253"/>
      <c r="D36" s="152">
        <v>1.0369999999999999</v>
      </c>
      <c r="E36" s="152">
        <v>1.0229999999999999</v>
      </c>
      <c r="F36" s="152">
        <v>1.0329999999999999</v>
      </c>
      <c r="G36" s="152">
        <v>1.028</v>
      </c>
      <c r="H36" s="152">
        <v>1.032</v>
      </c>
    </row>
    <row r="37" spans="1:8" s="58" customFormat="1" ht="27" customHeight="1" x14ac:dyDescent="0.35">
      <c r="A37" s="86">
        <v>512</v>
      </c>
      <c r="B37" s="252" t="s">
        <v>2052</v>
      </c>
      <c r="C37" s="253"/>
      <c r="D37" s="152">
        <v>1.056</v>
      </c>
      <c r="E37" s="152">
        <v>1.0329999999999999</v>
      </c>
      <c r="F37" s="152">
        <v>1.0489999999999999</v>
      </c>
      <c r="G37" s="152">
        <v>1.0409999999999999</v>
      </c>
      <c r="H37" s="152">
        <v>1.0489999999999999</v>
      </c>
    </row>
    <row r="38" spans="1:8" s="58" customFormat="1" ht="27" customHeight="1" x14ac:dyDescent="0.35">
      <c r="A38" s="86">
        <v>513</v>
      </c>
      <c r="B38" s="252" t="s">
        <v>2053</v>
      </c>
      <c r="C38" s="253"/>
      <c r="D38" s="152">
        <v>1.0129999999999999</v>
      </c>
      <c r="E38" s="152">
        <v>1.012</v>
      </c>
      <c r="F38" s="152">
        <v>1.0129999999999999</v>
      </c>
      <c r="G38" s="152">
        <v>1.012</v>
      </c>
      <c r="H38" s="152">
        <v>1.0129999999999999</v>
      </c>
    </row>
    <row r="39" spans="1:8" s="58" customFormat="1" ht="27" customHeight="1" x14ac:dyDescent="0.35">
      <c r="A39" s="86">
        <v>514</v>
      </c>
      <c r="B39" s="252" t="s">
        <v>2054</v>
      </c>
      <c r="C39" s="253"/>
      <c r="D39" s="152">
        <v>1.012</v>
      </c>
      <c r="E39" s="152">
        <v>1.0029999999999999</v>
      </c>
      <c r="F39" s="152">
        <v>1.01</v>
      </c>
      <c r="G39" s="152">
        <v>1.0069999999999999</v>
      </c>
      <c r="H39" s="152">
        <v>1.0109999999999999</v>
      </c>
    </row>
    <row r="40" spans="1:8" s="58" customFormat="1" ht="27" customHeight="1" x14ac:dyDescent="0.35">
      <c r="A40" s="86">
        <v>515</v>
      </c>
      <c r="B40" s="252" t="s">
        <v>2055</v>
      </c>
      <c r="C40" s="253"/>
      <c r="D40" s="152">
        <v>1.012</v>
      </c>
      <c r="E40" s="152">
        <v>1.006</v>
      </c>
      <c r="F40" s="152">
        <v>1.012</v>
      </c>
      <c r="G40" s="152">
        <v>1.006</v>
      </c>
      <c r="H40" s="152">
        <v>1.0069999999999999</v>
      </c>
    </row>
    <row r="41" spans="1:8" s="58" customFormat="1" ht="27" customHeight="1" x14ac:dyDescent="0.35">
      <c r="A41" s="86">
        <v>516</v>
      </c>
      <c r="B41" s="252" t="s">
        <v>2056</v>
      </c>
      <c r="C41" s="253"/>
      <c r="D41" s="152">
        <v>1.032</v>
      </c>
      <c r="E41" s="152">
        <v>1.0189999999999999</v>
      </c>
      <c r="F41" s="152">
        <v>1.028</v>
      </c>
      <c r="G41" s="152">
        <v>1.0229999999999999</v>
      </c>
      <c r="H41" s="152">
        <v>1.0269999999999999</v>
      </c>
    </row>
    <row r="42" spans="1:8" s="58" customFormat="1" ht="27" customHeight="1" x14ac:dyDescent="0.35">
      <c r="A42" s="86">
        <v>517</v>
      </c>
      <c r="B42" s="252" t="s">
        <v>2057</v>
      </c>
      <c r="C42" s="253"/>
      <c r="D42" s="152">
        <v>1.0229999999999999</v>
      </c>
      <c r="E42" s="152">
        <v>1.0109999999999999</v>
      </c>
      <c r="F42" s="152">
        <v>1.0189999999999999</v>
      </c>
      <c r="G42" s="152">
        <v>1.0149999999999999</v>
      </c>
      <c r="H42" s="152">
        <v>1.0189999999999999</v>
      </c>
    </row>
    <row r="43" spans="1:8" s="58" customFormat="1" ht="27" customHeight="1" x14ac:dyDescent="0.35">
      <c r="A43" s="86">
        <v>518</v>
      </c>
      <c r="B43" s="252" t="s">
        <v>2058</v>
      </c>
      <c r="C43" s="253"/>
      <c r="D43" s="152">
        <v>1.0309999999999999</v>
      </c>
      <c r="E43" s="152">
        <v>1.0249999999999999</v>
      </c>
      <c r="F43" s="152">
        <v>1.028</v>
      </c>
      <c r="G43" s="152">
        <v>1.0249999999999999</v>
      </c>
      <c r="H43" s="152">
        <v>1.0289999999999999</v>
      </c>
    </row>
    <row r="44" spans="1:8" s="58" customFormat="1" ht="27" customHeight="1" x14ac:dyDescent="0.35">
      <c r="A44" s="86">
        <v>519</v>
      </c>
      <c r="B44" s="252" t="s">
        <v>2059</v>
      </c>
      <c r="C44" s="253"/>
      <c r="D44" s="152">
        <v>1.0580000000000001</v>
      </c>
      <c r="E44" s="152">
        <v>1.046</v>
      </c>
      <c r="F44" s="152">
        <v>1.0569999999999999</v>
      </c>
      <c r="G44" s="152">
        <v>1.0489999999999999</v>
      </c>
      <c r="H44" s="152">
        <v>1.052</v>
      </c>
    </row>
    <row r="45" spans="1:8" s="58" customFormat="1" ht="27" customHeight="1" x14ac:dyDescent="0.35">
      <c r="A45" s="86">
        <v>520</v>
      </c>
      <c r="B45" s="252" t="s">
        <v>2060</v>
      </c>
      <c r="C45" s="253"/>
      <c r="D45" s="152">
        <v>1.0549999999999999</v>
      </c>
      <c r="E45" s="152">
        <v>1.0369999999999999</v>
      </c>
      <c r="F45" s="152">
        <v>1.052</v>
      </c>
      <c r="G45" s="152">
        <v>1.0409999999999999</v>
      </c>
      <c r="H45" s="152">
        <v>1.046</v>
      </c>
    </row>
    <row r="46" spans="1:8" s="58" customFormat="1" ht="27" customHeight="1" x14ac:dyDescent="0.35">
      <c r="A46" s="86">
        <v>521</v>
      </c>
      <c r="B46" s="252" t="s">
        <v>2061</v>
      </c>
      <c r="C46" s="253"/>
      <c r="D46" s="152">
        <v>1.0589999999999999</v>
      </c>
      <c r="E46" s="152">
        <v>1.0289999999999999</v>
      </c>
      <c r="F46" s="152">
        <v>1.0529999999999999</v>
      </c>
      <c r="G46" s="152">
        <v>1.0389999999999999</v>
      </c>
      <c r="H46" s="152">
        <v>1.0489999999999999</v>
      </c>
    </row>
    <row r="47" spans="1:8" s="58" customFormat="1" ht="27" customHeight="1" x14ac:dyDescent="0.35">
      <c r="A47" s="86">
        <v>522</v>
      </c>
      <c r="B47" s="252" t="s">
        <v>2062</v>
      </c>
      <c r="C47" s="253"/>
      <c r="D47" s="152">
        <v>1.1639999999999999</v>
      </c>
      <c r="E47" s="152">
        <v>1.095</v>
      </c>
      <c r="F47" s="152">
        <v>1.1659999999999999</v>
      </c>
      <c r="G47" s="152">
        <v>1.113</v>
      </c>
      <c r="H47" s="152">
        <v>1.1200000000000001</v>
      </c>
    </row>
    <row r="48" spans="1:8" s="58" customFormat="1" ht="27" customHeight="1" x14ac:dyDescent="0.35">
      <c r="A48" s="86">
        <v>523</v>
      </c>
      <c r="B48" s="252" t="s">
        <v>2063</v>
      </c>
      <c r="C48" s="253"/>
      <c r="D48" s="152">
        <v>1.0680000000000001</v>
      </c>
      <c r="E48" s="152">
        <v>1.046</v>
      </c>
      <c r="F48" s="152">
        <v>1.0629999999999999</v>
      </c>
      <c r="G48" s="152">
        <v>1.054</v>
      </c>
      <c r="H48" s="152">
        <v>1.052</v>
      </c>
    </row>
    <row r="49" spans="1:8" s="58" customFormat="1" ht="27" customHeight="1" x14ac:dyDescent="0.35">
      <c r="A49" s="86">
        <v>524</v>
      </c>
      <c r="B49" s="252" t="s">
        <v>2064</v>
      </c>
      <c r="C49" s="253"/>
      <c r="D49" s="152">
        <v>1.083</v>
      </c>
      <c r="E49" s="152">
        <v>1.0669999999999999</v>
      </c>
      <c r="F49" s="152">
        <v>1.075</v>
      </c>
      <c r="G49" s="152">
        <v>1.0780000000000001</v>
      </c>
      <c r="H49" s="152">
        <v>1.077</v>
      </c>
    </row>
    <row r="50" spans="1:8" s="58" customFormat="1" ht="27" customHeight="1" x14ac:dyDescent="0.35">
      <c r="A50" s="86">
        <v>525</v>
      </c>
      <c r="B50" s="252" t="s">
        <v>2065</v>
      </c>
      <c r="C50" s="253"/>
      <c r="D50" s="152">
        <v>1.0489999999999999</v>
      </c>
      <c r="E50" s="152">
        <v>1.0309999999999999</v>
      </c>
      <c r="F50" s="152">
        <v>1.042</v>
      </c>
      <c r="G50" s="152">
        <v>1.0329999999999999</v>
      </c>
      <c r="H50" s="152">
        <v>1.0429999999999999</v>
      </c>
    </row>
    <row r="51" spans="1:8" s="58" customFormat="1" ht="27" customHeight="1" x14ac:dyDescent="0.35">
      <c r="A51" s="86">
        <v>526</v>
      </c>
      <c r="B51" s="252" t="s">
        <v>2066</v>
      </c>
      <c r="C51" s="253"/>
      <c r="D51" s="152">
        <v>1.0920000000000001</v>
      </c>
      <c r="E51" s="152">
        <v>1.0660000000000001</v>
      </c>
      <c r="F51" s="152">
        <v>1.08</v>
      </c>
      <c r="G51" s="152">
        <v>1.073</v>
      </c>
      <c r="H51" s="152">
        <v>1.075</v>
      </c>
    </row>
    <row r="52" spans="1:8" s="58" customFormat="1" ht="27" customHeight="1" x14ac:dyDescent="0.35">
      <c r="A52" s="86">
        <v>527</v>
      </c>
      <c r="B52" s="252" t="s">
        <v>2067</v>
      </c>
      <c r="C52" s="253"/>
      <c r="D52" s="152">
        <v>1.05</v>
      </c>
      <c r="E52" s="152">
        <v>1.038</v>
      </c>
      <c r="F52" s="152">
        <v>1.0469999999999999</v>
      </c>
      <c r="G52" s="152">
        <v>1.04</v>
      </c>
      <c r="H52" s="152">
        <v>1.0449999999999999</v>
      </c>
    </row>
    <row r="53" spans="1:8" s="58" customFormat="1" ht="27" customHeight="1" x14ac:dyDescent="0.35">
      <c r="A53" s="86">
        <v>528</v>
      </c>
      <c r="B53" s="252" t="s">
        <v>2068</v>
      </c>
      <c r="C53" s="253"/>
      <c r="D53" s="152">
        <v>1.0289999999999999</v>
      </c>
      <c r="E53" s="152">
        <v>1.0229999999999999</v>
      </c>
      <c r="F53" s="152">
        <v>1.0289999999999999</v>
      </c>
      <c r="G53" s="152">
        <v>1.0229999999999999</v>
      </c>
      <c r="H53" s="152">
        <v>1.0249999999999999</v>
      </c>
    </row>
    <row r="54" spans="1:8" s="58" customFormat="1" ht="27" customHeight="1" x14ac:dyDescent="0.35">
      <c r="A54" s="86">
        <v>529</v>
      </c>
      <c r="B54" s="252" t="s">
        <v>2069</v>
      </c>
      <c r="C54" s="253"/>
      <c r="D54" s="152">
        <v>1.0369999999999999</v>
      </c>
      <c r="E54" s="152">
        <v>1.02</v>
      </c>
      <c r="F54" s="152">
        <v>1.034</v>
      </c>
      <c r="G54" s="152">
        <v>1.0269999999999999</v>
      </c>
      <c r="H54" s="152">
        <v>1.024</v>
      </c>
    </row>
    <row r="55" spans="1:8" s="58" customFormat="1" ht="27" customHeight="1" x14ac:dyDescent="0.35">
      <c r="A55" s="86">
        <v>530</v>
      </c>
      <c r="B55" s="252" t="s">
        <v>2070</v>
      </c>
      <c r="C55" s="253"/>
      <c r="D55" s="152">
        <v>1.0169999999999999</v>
      </c>
      <c r="E55" s="152">
        <v>1.014</v>
      </c>
      <c r="F55" s="152">
        <v>1.016</v>
      </c>
      <c r="G55" s="152">
        <v>1.0149999999999999</v>
      </c>
      <c r="H55" s="152">
        <v>1.014</v>
      </c>
    </row>
    <row r="56" spans="1:8" s="58" customFormat="1" ht="27" customHeight="1" x14ac:dyDescent="0.35">
      <c r="A56" s="86">
        <v>531</v>
      </c>
      <c r="B56" s="252" t="s">
        <v>2071</v>
      </c>
      <c r="C56" s="253"/>
      <c r="D56" s="152">
        <v>1.089</v>
      </c>
      <c r="E56" s="152">
        <v>1.0469999999999999</v>
      </c>
      <c r="F56" s="152">
        <v>1.0760000000000001</v>
      </c>
      <c r="G56" s="152">
        <v>1.06</v>
      </c>
      <c r="H56" s="152">
        <v>1.073</v>
      </c>
    </row>
    <row r="57" spans="1:8" s="58" customFormat="1" ht="27" customHeight="1" x14ac:dyDescent="0.35">
      <c r="A57" s="86">
        <v>532</v>
      </c>
      <c r="B57" s="252" t="s">
        <v>2072</v>
      </c>
      <c r="C57" s="253"/>
      <c r="D57" s="152">
        <v>1.0680000000000001</v>
      </c>
      <c r="E57" s="152">
        <v>1.0629999999999999</v>
      </c>
      <c r="F57" s="152">
        <v>1.0669999999999999</v>
      </c>
      <c r="G57" s="152">
        <v>1.0640000000000001</v>
      </c>
      <c r="H57" s="152">
        <v>1.069</v>
      </c>
    </row>
    <row r="58" spans="1:8" s="58" customFormat="1" ht="27" customHeight="1" x14ac:dyDescent="0.35">
      <c r="A58" s="86">
        <v>533</v>
      </c>
      <c r="B58" s="252" t="s">
        <v>2073</v>
      </c>
      <c r="C58" s="253"/>
      <c r="D58" s="152">
        <v>1.036</v>
      </c>
      <c r="E58" s="152">
        <v>1.0229999999999999</v>
      </c>
      <c r="F58" s="152">
        <v>1.0329999999999999</v>
      </c>
      <c r="G58" s="152">
        <v>1.0269999999999999</v>
      </c>
      <c r="H58" s="152">
        <v>1.0349999999999999</v>
      </c>
    </row>
    <row r="59" spans="1:8" s="58" customFormat="1" ht="27" customHeight="1" x14ac:dyDescent="0.35">
      <c r="A59" s="86">
        <v>534</v>
      </c>
      <c r="B59" s="252" t="s">
        <v>2074</v>
      </c>
      <c r="C59" s="253"/>
      <c r="D59" s="152">
        <v>1.048</v>
      </c>
      <c r="E59" s="152">
        <v>1.0229999999999999</v>
      </c>
      <c r="F59" s="152">
        <v>1.0449999999999999</v>
      </c>
      <c r="G59" s="152">
        <v>1.046</v>
      </c>
      <c r="H59" s="152">
        <v>1.046</v>
      </c>
    </row>
    <row r="60" spans="1:8" s="58" customFormat="1" ht="27" customHeight="1" x14ac:dyDescent="0.35">
      <c r="A60" s="86">
        <v>535</v>
      </c>
      <c r="B60" s="252" t="s">
        <v>2075</v>
      </c>
      <c r="C60" s="253"/>
      <c r="D60" s="152">
        <v>1.0580000000000001</v>
      </c>
      <c r="E60" s="152">
        <v>1.0369999999999999</v>
      </c>
      <c r="F60" s="152">
        <v>1.0509999999999999</v>
      </c>
      <c r="G60" s="152">
        <v>1.0429999999999999</v>
      </c>
      <c r="H60" s="152">
        <v>1.05</v>
      </c>
    </row>
    <row r="61" spans="1:8" s="58" customFormat="1" ht="27" customHeight="1" x14ac:dyDescent="0.35">
      <c r="A61" s="86">
        <v>536</v>
      </c>
      <c r="B61" s="252" t="s">
        <v>2076</v>
      </c>
      <c r="C61" s="253"/>
      <c r="D61" s="152">
        <v>1.0269999999999999</v>
      </c>
      <c r="E61" s="152">
        <v>1.02</v>
      </c>
      <c r="F61" s="152">
        <v>1.026</v>
      </c>
      <c r="G61" s="152">
        <v>1.0189999999999999</v>
      </c>
      <c r="H61" s="152">
        <v>1.0209999999999999</v>
      </c>
    </row>
    <row r="62" spans="1:8" s="58" customFormat="1" ht="27" customHeight="1" x14ac:dyDescent="0.35">
      <c r="A62" s="86">
        <v>537</v>
      </c>
      <c r="B62" s="252" t="s">
        <v>2077</v>
      </c>
      <c r="C62" s="253"/>
      <c r="D62" s="152">
        <v>1.0109999999999999</v>
      </c>
      <c r="E62" s="152">
        <v>1.0049999999999999</v>
      </c>
      <c r="F62" s="152">
        <v>1.0089999999999999</v>
      </c>
      <c r="G62" s="152">
        <v>1.0069999999999999</v>
      </c>
      <c r="H62" s="152">
        <v>1.008</v>
      </c>
    </row>
    <row r="63" spans="1:8" s="58" customFormat="1" ht="27" customHeight="1" x14ac:dyDescent="0.35">
      <c r="A63" s="86">
        <v>538</v>
      </c>
      <c r="B63" s="252" t="s">
        <v>2078</v>
      </c>
      <c r="C63" s="253"/>
      <c r="D63" s="152">
        <v>1.0389999999999999</v>
      </c>
      <c r="E63" s="152">
        <v>1.026</v>
      </c>
      <c r="F63" s="152">
        <v>1.042</v>
      </c>
      <c r="G63" s="152">
        <v>1.0329999999999999</v>
      </c>
      <c r="H63" s="152">
        <v>1.0289999999999999</v>
      </c>
    </row>
    <row r="64" spans="1:8" s="58" customFormat="1" ht="27" customHeight="1" x14ac:dyDescent="0.35">
      <c r="A64" s="86">
        <v>800</v>
      </c>
      <c r="B64" s="252" t="s">
        <v>719</v>
      </c>
      <c r="C64" s="253"/>
      <c r="D64" s="152">
        <v>1.028</v>
      </c>
      <c r="E64" s="152">
        <v>1.0289999999999999</v>
      </c>
      <c r="F64" s="152">
        <v>1.028</v>
      </c>
      <c r="G64" s="152">
        <v>1.0229999999999999</v>
      </c>
      <c r="H64" s="152">
        <v>1.0269999999999999</v>
      </c>
    </row>
    <row r="65" spans="1:8" s="58" customFormat="1" ht="27" customHeight="1" x14ac:dyDescent="0.35">
      <c r="A65" s="86">
        <v>801</v>
      </c>
      <c r="B65" s="252" t="s">
        <v>720</v>
      </c>
      <c r="C65" s="253"/>
      <c r="D65" s="152">
        <v>1.0229999999999999</v>
      </c>
      <c r="E65" s="152">
        <v>1.0149999999999999</v>
      </c>
      <c r="F65" s="152">
        <v>1.0189999999999999</v>
      </c>
      <c r="G65" s="152">
        <v>1.016</v>
      </c>
      <c r="H65" s="152">
        <v>1.016</v>
      </c>
    </row>
    <row r="66" spans="1:8" s="58" customFormat="1" ht="27" customHeight="1" x14ac:dyDescent="0.35">
      <c r="A66" s="86">
        <v>802</v>
      </c>
      <c r="B66" s="252" t="s">
        <v>721</v>
      </c>
      <c r="C66" s="253"/>
      <c r="D66" s="152">
        <v>1.02</v>
      </c>
      <c r="E66" s="152">
        <v>1.0129999999999999</v>
      </c>
      <c r="F66" s="152">
        <v>1.018</v>
      </c>
      <c r="G66" s="152">
        <v>1.012</v>
      </c>
      <c r="H66" s="152">
        <v>1.0149999999999999</v>
      </c>
    </row>
    <row r="67" spans="1:8" s="58" customFormat="1" ht="27" customHeight="1" x14ac:dyDescent="0.35">
      <c r="A67" s="86">
        <v>803</v>
      </c>
      <c r="B67" s="252" t="s">
        <v>722</v>
      </c>
      <c r="C67" s="253"/>
      <c r="D67" s="152">
        <v>1.0249999999999999</v>
      </c>
      <c r="E67" s="152">
        <v>1.0189999999999999</v>
      </c>
      <c r="F67" s="152">
        <v>1.022</v>
      </c>
      <c r="G67" s="152">
        <v>1.02</v>
      </c>
      <c r="H67" s="152">
        <v>1.0229999999999999</v>
      </c>
    </row>
    <row r="68" spans="1:8" s="58" customFormat="1" ht="27" customHeight="1" x14ac:dyDescent="0.35">
      <c r="A68" s="86">
        <v>804</v>
      </c>
      <c r="B68" s="252" t="s">
        <v>723</v>
      </c>
      <c r="C68" s="253"/>
      <c r="D68" s="152">
        <v>1.024</v>
      </c>
      <c r="E68" s="152">
        <v>1.0840000000000001</v>
      </c>
      <c r="F68" s="152">
        <v>1.022</v>
      </c>
      <c r="G68" s="152">
        <v>1.0189999999999999</v>
      </c>
      <c r="H68" s="152">
        <v>1.016</v>
      </c>
    </row>
    <row r="69" spans="1:8" s="58" customFormat="1" ht="27" customHeight="1" x14ac:dyDescent="0.35">
      <c r="A69" s="86">
        <v>805</v>
      </c>
      <c r="B69" s="252" t="s">
        <v>724</v>
      </c>
      <c r="C69" s="253"/>
      <c r="D69" s="152">
        <v>1.0289999999999999</v>
      </c>
      <c r="E69" s="152">
        <v>1.054</v>
      </c>
      <c r="F69" s="152">
        <v>1.0409999999999999</v>
      </c>
      <c r="G69" s="152">
        <v>1.0580000000000001</v>
      </c>
      <c r="H69" s="152">
        <v>1.018</v>
      </c>
    </row>
    <row r="70" spans="1:8" s="58" customFormat="1" ht="27" customHeight="1" x14ac:dyDescent="0.35">
      <c r="A70" s="86">
        <v>806</v>
      </c>
      <c r="B70" s="252" t="s">
        <v>725</v>
      </c>
      <c r="C70" s="253"/>
      <c r="D70" s="152">
        <v>1.111</v>
      </c>
      <c r="E70" s="152">
        <v>1.1399999999999999</v>
      </c>
      <c r="F70" s="152">
        <v>1.1499999999999999</v>
      </c>
      <c r="G70" s="152">
        <v>1.1439999999999999</v>
      </c>
      <c r="H70" s="152">
        <v>1.1359999999999999</v>
      </c>
    </row>
    <row r="71" spans="1:8" s="58" customFormat="1" ht="27" customHeight="1" x14ac:dyDescent="0.35">
      <c r="A71" s="86">
        <v>807</v>
      </c>
      <c r="B71" s="252" t="s">
        <v>726</v>
      </c>
      <c r="C71" s="253"/>
      <c r="D71" s="152">
        <v>1.02</v>
      </c>
      <c r="E71" s="152">
        <v>1.0169999999999999</v>
      </c>
      <c r="F71" s="152">
        <v>1.0229999999999999</v>
      </c>
      <c r="G71" s="152">
        <v>1.0129999999999999</v>
      </c>
      <c r="H71" s="152">
        <v>1.018</v>
      </c>
    </row>
    <row r="72" spans="1:8" s="58" customFormat="1" ht="27" customHeight="1" x14ac:dyDescent="0.35">
      <c r="A72" s="86">
        <v>808</v>
      </c>
      <c r="B72" s="252" t="s">
        <v>727</v>
      </c>
      <c r="C72" s="253"/>
      <c r="D72" s="152">
        <v>1.0469999999999999</v>
      </c>
      <c r="E72" s="152">
        <v>1.034</v>
      </c>
      <c r="F72" s="152">
        <v>1.038</v>
      </c>
      <c r="G72" s="152">
        <v>1.0369999999999999</v>
      </c>
      <c r="H72" s="152">
        <v>1.0389999999999999</v>
      </c>
    </row>
    <row r="73" spans="1:8" s="58" customFormat="1" ht="27" customHeight="1" x14ac:dyDescent="0.35">
      <c r="A73" s="86">
        <v>809</v>
      </c>
      <c r="B73" s="252" t="s">
        <v>728</v>
      </c>
      <c r="C73" s="253"/>
      <c r="D73" s="152">
        <v>1.02</v>
      </c>
      <c r="E73" s="152">
        <v>1.0169999999999999</v>
      </c>
      <c r="F73" s="152">
        <v>1.018</v>
      </c>
      <c r="G73" s="152">
        <v>1.0149999999999999</v>
      </c>
      <c r="H73" s="152">
        <v>1.0189999999999999</v>
      </c>
    </row>
    <row r="74" spans="1:8" s="58" customFormat="1" ht="27" customHeight="1" x14ac:dyDescent="0.35">
      <c r="A74" s="86">
        <v>810</v>
      </c>
      <c r="B74" s="252" t="s">
        <v>729</v>
      </c>
      <c r="C74" s="253"/>
      <c r="D74" s="152">
        <v>1.0620000000000001</v>
      </c>
      <c r="E74" s="152">
        <v>1.0589999999999999</v>
      </c>
      <c r="F74" s="152">
        <v>1.0589999999999999</v>
      </c>
      <c r="G74" s="152">
        <v>1.06</v>
      </c>
      <c r="H74" s="152">
        <v>1.0669999999999999</v>
      </c>
    </row>
    <row r="75" spans="1:8" s="58" customFormat="1" ht="27" customHeight="1" x14ac:dyDescent="0.35">
      <c r="A75" s="86">
        <v>811</v>
      </c>
      <c r="B75" s="252" t="s">
        <v>730</v>
      </c>
      <c r="C75" s="253"/>
      <c r="D75" s="152">
        <v>1.1579999999999999</v>
      </c>
      <c r="E75" s="152">
        <v>1.141</v>
      </c>
      <c r="F75" s="152">
        <v>1.1499999999999999</v>
      </c>
      <c r="G75" s="152">
        <v>1.147</v>
      </c>
      <c r="H75" s="152">
        <v>1.147</v>
      </c>
    </row>
    <row r="76" spans="1:8" s="58" customFormat="1" ht="27" customHeight="1" x14ac:dyDescent="0.35">
      <c r="A76" s="86">
        <v>812</v>
      </c>
      <c r="B76" s="252" t="s">
        <v>731</v>
      </c>
      <c r="C76" s="253"/>
      <c r="D76" s="152">
        <v>1.083</v>
      </c>
      <c r="E76" s="152">
        <v>1.0369999999999999</v>
      </c>
      <c r="F76" s="152">
        <v>1.0740000000000001</v>
      </c>
      <c r="G76" s="152">
        <v>1.0449999999999999</v>
      </c>
      <c r="H76" s="152">
        <v>1.0620000000000001</v>
      </c>
    </row>
    <row r="77" spans="1:8" s="58" customFormat="1" ht="27" customHeight="1" x14ac:dyDescent="0.35">
      <c r="A77" s="86">
        <v>813</v>
      </c>
      <c r="B77" s="252" t="s">
        <v>732</v>
      </c>
      <c r="C77" s="253"/>
      <c r="D77" s="152">
        <v>1.0229999999999999</v>
      </c>
      <c r="E77" s="152">
        <v>1.0229999999999999</v>
      </c>
      <c r="F77" s="152">
        <v>1.024</v>
      </c>
      <c r="G77" s="152">
        <v>1.022</v>
      </c>
      <c r="H77" s="152">
        <v>1.0229999999999999</v>
      </c>
    </row>
    <row r="78" spans="1:8" s="58" customFormat="1" ht="27" customHeight="1" x14ac:dyDescent="0.35">
      <c r="A78" s="86">
        <v>814</v>
      </c>
      <c r="B78" s="252" t="s">
        <v>733</v>
      </c>
      <c r="C78" s="253"/>
      <c r="D78" s="152">
        <v>1.052</v>
      </c>
      <c r="E78" s="152">
        <v>1.04</v>
      </c>
      <c r="F78" s="152">
        <v>1.046</v>
      </c>
      <c r="G78" s="152">
        <v>1.034</v>
      </c>
      <c r="H78" s="152">
        <v>1.046</v>
      </c>
    </row>
    <row r="79" spans="1:8" s="58" customFormat="1" ht="27" customHeight="1" x14ac:dyDescent="0.35">
      <c r="A79" s="86">
        <v>815</v>
      </c>
      <c r="B79" s="252" t="s">
        <v>734</v>
      </c>
      <c r="C79" s="253"/>
      <c r="D79" s="152">
        <v>1.1279999999999999</v>
      </c>
      <c r="E79" s="152">
        <v>1.107</v>
      </c>
      <c r="F79" s="152">
        <v>1.1160000000000001</v>
      </c>
      <c r="G79" s="152">
        <v>1.103</v>
      </c>
      <c r="H79" s="152">
        <v>1.1100000000000001</v>
      </c>
    </row>
    <row r="80" spans="1:8" s="58" customFormat="1" ht="27" customHeight="1" x14ac:dyDescent="0.35">
      <c r="A80" s="86">
        <v>816</v>
      </c>
      <c r="B80" s="252" t="s">
        <v>735</v>
      </c>
      <c r="C80" s="253"/>
      <c r="D80" s="152">
        <v>1.052</v>
      </c>
      <c r="E80" s="152">
        <v>1.0489999999999999</v>
      </c>
      <c r="F80" s="152">
        <v>1.054</v>
      </c>
      <c r="G80" s="152">
        <v>1.05</v>
      </c>
      <c r="H80" s="152">
        <v>1.0529999999999999</v>
      </c>
    </row>
    <row r="81" spans="1:8" s="58" customFormat="1" ht="27" customHeight="1" x14ac:dyDescent="0.35">
      <c r="A81" s="86">
        <v>817</v>
      </c>
      <c r="B81" s="252" t="s">
        <v>736</v>
      </c>
      <c r="C81" s="253"/>
      <c r="D81" s="152">
        <v>1.085</v>
      </c>
      <c r="E81" s="152">
        <v>1.0580000000000001</v>
      </c>
      <c r="F81" s="152">
        <v>1.0649999999999999</v>
      </c>
      <c r="G81" s="152">
        <v>1.0589999999999999</v>
      </c>
      <c r="H81" s="152">
        <v>1.0720000000000001</v>
      </c>
    </row>
    <row r="82" spans="1:8" s="58" customFormat="1" ht="27" customHeight="1" x14ac:dyDescent="0.35">
      <c r="A82" s="86">
        <v>818</v>
      </c>
      <c r="B82" s="252" t="s">
        <v>737</v>
      </c>
      <c r="C82" s="253"/>
      <c r="D82" s="152">
        <v>1.002</v>
      </c>
      <c r="E82" s="152">
        <v>1.002</v>
      </c>
      <c r="F82" s="152">
        <v>1.002</v>
      </c>
      <c r="G82" s="152">
        <v>1.002</v>
      </c>
      <c r="H82" s="152">
        <v>1.002</v>
      </c>
    </row>
    <row r="83" spans="1:8" s="58" customFormat="1" ht="27" customHeight="1" x14ac:dyDescent="0.35">
      <c r="A83" s="86">
        <v>819</v>
      </c>
      <c r="B83" s="252" t="s">
        <v>738</v>
      </c>
      <c r="C83" s="253"/>
      <c r="D83" s="152">
        <v>1.05</v>
      </c>
      <c r="E83" s="152">
        <v>1.0329999999999999</v>
      </c>
      <c r="F83" s="152">
        <v>1.04</v>
      </c>
      <c r="G83" s="152">
        <v>1.0309999999999999</v>
      </c>
      <c r="H83" s="152">
        <v>1.0389999999999999</v>
      </c>
    </row>
    <row r="84" spans="1:8" s="58" customFormat="1" ht="27" customHeight="1" x14ac:dyDescent="0.35">
      <c r="A84" s="86">
        <v>820</v>
      </c>
      <c r="B84" s="252" t="s">
        <v>739</v>
      </c>
      <c r="C84" s="253"/>
      <c r="D84" s="152">
        <v>1.016</v>
      </c>
      <c r="E84" s="152">
        <v>1.0129999999999999</v>
      </c>
      <c r="F84" s="152">
        <v>1.014</v>
      </c>
      <c r="G84" s="152">
        <v>1.0129999999999999</v>
      </c>
      <c r="H84" s="152">
        <v>1.0129999999999999</v>
      </c>
    </row>
    <row r="85" spans="1:8" s="58" customFormat="1" ht="27" customHeight="1" x14ac:dyDescent="0.35">
      <c r="A85" s="86">
        <v>821</v>
      </c>
      <c r="B85" s="252" t="s">
        <v>740</v>
      </c>
      <c r="C85" s="253"/>
      <c r="D85" s="152">
        <v>1.0409999999999999</v>
      </c>
      <c r="E85" s="152">
        <v>1.0309999999999999</v>
      </c>
      <c r="F85" s="152">
        <v>1.0369999999999999</v>
      </c>
      <c r="G85" s="152">
        <v>1.034</v>
      </c>
      <c r="H85" s="152">
        <v>1.0349999999999999</v>
      </c>
    </row>
    <row r="86" spans="1:8" s="58" customFormat="1" ht="27" customHeight="1" x14ac:dyDescent="0.35">
      <c r="A86" s="86">
        <v>822</v>
      </c>
      <c r="B86" s="252" t="s">
        <v>741</v>
      </c>
      <c r="C86" s="253"/>
      <c r="D86" s="152">
        <v>1.012</v>
      </c>
      <c r="E86" s="152">
        <v>1.0109999999999999</v>
      </c>
      <c r="F86" s="152">
        <v>1.012</v>
      </c>
      <c r="G86" s="152">
        <v>1.0109999999999999</v>
      </c>
      <c r="H86" s="152">
        <v>1.012</v>
      </c>
    </row>
    <row r="87" spans="1:8" s="58" customFormat="1" ht="27" customHeight="1" x14ac:dyDescent="0.35">
      <c r="A87" s="86">
        <v>823</v>
      </c>
      <c r="B87" s="252" t="s">
        <v>742</v>
      </c>
      <c r="C87" s="253"/>
      <c r="D87" s="152">
        <v>1.03</v>
      </c>
      <c r="E87" s="152">
        <v>1.028</v>
      </c>
      <c r="F87" s="152">
        <v>1.0309999999999999</v>
      </c>
      <c r="G87" s="152">
        <v>1.0269999999999999</v>
      </c>
      <c r="H87" s="152">
        <v>1.026</v>
      </c>
    </row>
    <row r="88" spans="1:8" s="58" customFormat="1" ht="27" customHeight="1" x14ac:dyDescent="0.35">
      <c r="A88" s="86">
        <v>824</v>
      </c>
      <c r="B88" s="252" t="s">
        <v>743</v>
      </c>
      <c r="C88" s="253"/>
      <c r="D88" s="152">
        <v>1.06</v>
      </c>
      <c r="E88" s="152">
        <v>1.0369999999999999</v>
      </c>
      <c r="F88" s="152">
        <v>1.0329999999999999</v>
      </c>
      <c r="G88" s="152">
        <v>1.036</v>
      </c>
      <c r="H88" s="152">
        <v>1.0369999999999999</v>
      </c>
    </row>
    <row r="89" spans="1:8" s="58" customFormat="1" ht="27" customHeight="1" x14ac:dyDescent="0.35">
      <c r="A89" s="86">
        <v>825</v>
      </c>
      <c r="B89" s="252" t="s">
        <v>744</v>
      </c>
      <c r="C89" s="253"/>
      <c r="D89" s="152">
        <v>1.0129999999999999</v>
      </c>
      <c r="E89" s="152">
        <v>1.014</v>
      </c>
      <c r="F89" s="152">
        <v>1.0149999999999999</v>
      </c>
      <c r="G89" s="152">
        <v>1.0129999999999999</v>
      </c>
      <c r="H89" s="152">
        <v>1.016</v>
      </c>
    </row>
    <row r="90" spans="1:8" s="58" customFormat="1" ht="27" customHeight="1" x14ac:dyDescent="0.35">
      <c r="A90" s="86">
        <v>826</v>
      </c>
      <c r="B90" s="252" t="s">
        <v>745</v>
      </c>
      <c r="C90" s="253"/>
      <c r="D90" s="152">
        <v>1.0169999999999999</v>
      </c>
      <c r="E90" s="152">
        <v>1.014</v>
      </c>
      <c r="F90" s="152">
        <v>1.016</v>
      </c>
      <c r="G90" s="152">
        <v>1.0129999999999999</v>
      </c>
      <c r="H90" s="152">
        <v>1.014</v>
      </c>
    </row>
    <row r="91" spans="1:8" s="58" customFormat="1" ht="27" customHeight="1" x14ac:dyDescent="0.35">
      <c r="A91" s="86">
        <v>827</v>
      </c>
      <c r="B91" s="252" t="s">
        <v>746</v>
      </c>
      <c r="C91" s="253"/>
      <c r="D91" s="152">
        <v>1.05</v>
      </c>
      <c r="E91" s="152">
        <v>1.0369999999999999</v>
      </c>
      <c r="F91" s="152">
        <v>1.0469999999999999</v>
      </c>
      <c r="G91" s="152">
        <v>1.01</v>
      </c>
      <c r="H91" s="152">
        <v>1.0349999999999999</v>
      </c>
    </row>
    <row r="92" spans="1:8" s="58" customFormat="1" ht="27" customHeight="1" x14ac:dyDescent="0.35">
      <c r="A92" s="86">
        <v>828</v>
      </c>
      <c r="B92" s="252" t="s">
        <v>747</v>
      </c>
      <c r="C92" s="253"/>
      <c r="D92" s="152">
        <v>1.022</v>
      </c>
      <c r="E92" s="152">
        <v>1.0169999999999999</v>
      </c>
      <c r="F92" s="152">
        <v>1.0209999999999999</v>
      </c>
      <c r="G92" s="152">
        <v>1.014</v>
      </c>
      <c r="H92" s="152">
        <v>1.018</v>
      </c>
    </row>
    <row r="93" spans="1:8" s="58" customFormat="1" ht="27" customHeight="1" x14ac:dyDescent="0.35">
      <c r="A93" s="86">
        <v>829</v>
      </c>
      <c r="B93" s="252" t="s">
        <v>748</v>
      </c>
      <c r="C93" s="253"/>
      <c r="D93" s="152">
        <v>1.0129999999999999</v>
      </c>
      <c r="E93" s="152">
        <v>1.0109999999999999</v>
      </c>
      <c r="F93" s="152">
        <v>1.0109999999999999</v>
      </c>
      <c r="G93" s="152">
        <v>1.0129999999999999</v>
      </c>
      <c r="H93" s="152">
        <v>1.0109999999999999</v>
      </c>
    </row>
    <row r="94" spans="1:8" s="58" customFormat="1" ht="27" customHeight="1" x14ac:dyDescent="0.35">
      <c r="A94" s="86">
        <v>830</v>
      </c>
      <c r="B94" s="252" t="s">
        <v>749</v>
      </c>
      <c r="C94" s="253"/>
      <c r="D94" s="152">
        <v>1.04</v>
      </c>
      <c r="E94" s="152">
        <v>1.038</v>
      </c>
      <c r="F94" s="152">
        <v>1.038</v>
      </c>
      <c r="G94" s="152">
        <v>1.0369999999999999</v>
      </c>
      <c r="H94" s="152">
        <v>1.0389999999999999</v>
      </c>
    </row>
    <row r="95" spans="1:8" s="58" customFormat="1" ht="27" customHeight="1" x14ac:dyDescent="0.35">
      <c r="A95" s="86">
        <v>831</v>
      </c>
      <c r="B95" s="252" t="s">
        <v>750</v>
      </c>
      <c r="C95" s="253"/>
      <c r="D95" s="152">
        <v>1</v>
      </c>
      <c r="E95" s="152">
        <v>1</v>
      </c>
      <c r="F95" s="152">
        <v>1</v>
      </c>
      <c r="G95" s="152">
        <v>1</v>
      </c>
      <c r="H95" s="152">
        <v>1.0009999999999999</v>
      </c>
    </row>
    <row r="96" spans="1:8" s="58" customFormat="1" ht="27" customHeight="1" x14ac:dyDescent="0.35">
      <c r="A96" s="86">
        <v>832</v>
      </c>
      <c r="B96" s="252" t="s">
        <v>751</v>
      </c>
      <c r="C96" s="253"/>
      <c r="D96" s="152">
        <v>1.014</v>
      </c>
      <c r="E96" s="152">
        <v>1.0109999999999999</v>
      </c>
      <c r="F96" s="152">
        <v>1.012</v>
      </c>
      <c r="G96" s="152">
        <v>1.0109999999999999</v>
      </c>
      <c r="H96" s="152">
        <v>1.012</v>
      </c>
    </row>
    <row r="97" spans="1:8" s="58" customFormat="1" ht="27" customHeight="1" x14ac:dyDescent="0.35">
      <c r="A97" s="86">
        <v>833</v>
      </c>
      <c r="B97" s="252" t="s">
        <v>752</v>
      </c>
      <c r="C97" s="253"/>
      <c r="D97" s="152">
        <v>1.016</v>
      </c>
      <c r="E97" s="152">
        <v>1.014</v>
      </c>
      <c r="F97" s="152">
        <v>1.0149999999999999</v>
      </c>
      <c r="G97" s="152">
        <v>1.014</v>
      </c>
      <c r="H97" s="152">
        <v>1.0149999999999999</v>
      </c>
    </row>
    <row r="98" spans="1:8" s="58" customFormat="1" ht="27" customHeight="1" x14ac:dyDescent="0.35">
      <c r="A98" s="86">
        <v>834</v>
      </c>
      <c r="B98" s="252" t="s">
        <v>753</v>
      </c>
      <c r="C98" s="253"/>
      <c r="D98" s="152">
        <v>1.0409999999999999</v>
      </c>
      <c r="E98" s="152">
        <v>1.0309999999999999</v>
      </c>
      <c r="F98" s="152">
        <v>1.036</v>
      </c>
      <c r="G98" s="152">
        <v>1.0309999999999999</v>
      </c>
      <c r="H98" s="152">
        <v>1.0329999999999999</v>
      </c>
    </row>
    <row r="99" spans="1:8" s="58" customFormat="1" ht="27" customHeight="1" x14ac:dyDescent="0.35">
      <c r="A99" s="86">
        <v>835</v>
      </c>
      <c r="B99" s="252" t="s">
        <v>754</v>
      </c>
      <c r="C99" s="253"/>
      <c r="D99" s="152">
        <v>1.077</v>
      </c>
      <c r="E99" s="152">
        <v>1.0649999999999999</v>
      </c>
      <c r="F99" s="152">
        <v>1.071</v>
      </c>
      <c r="G99" s="152">
        <v>1.0629999999999999</v>
      </c>
      <c r="H99" s="152">
        <v>1.0669999999999999</v>
      </c>
    </row>
    <row r="100" spans="1:8" s="58" customFormat="1" ht="27" customHeight="1" x14ac:dyDescent="0.35">
      <c r="A100" s="86">
        <v>836</v>
      </c>
      <c r="B100" s="252" t="s">
        <v>755</v>
      </c>
      <c r="C100" s="253"/>
      <c r="D100" s="152">
        <v>1.0189999999999999</v>
      </c>
      <c r="E100" s="152">
        <v>1.0209999999999999</v>
      </c>
      <c r="F100" s="152">
        <v>1.0189999999999999</v>
      </c>
      <c r="G100" s="152">
        <v>1.022</v>
      </c>
      <c r="H100" s="152">
        <v>1.022</v>
      </c>
    </row>
    <row r="101" spans="1:8" s="58" customFormat="1" ht="27" customHeight="1" x14ac:dyDescent="0.35">
      <c r="A101" s="86">
        <v>837</v>
      </c>
      <c r="B101" s="252" t="s">
        <v>756</v>
      </c>
      <c r="C101" s="253"/>
      <c r="D101" s="152">
        <v>1.022</v>
      </c>
      <c r="E101" s="152">
        <v>1.02</v>
      </c>
      <c r="F101" s="152">
        <v>1.0209999999999999</v>
      </c>
      <c r="G101" s="152">
        <v>1.02</v>
      </c>
      <c r="H101" s="152">
        <v>1.0209999999999999</v>
      </c>
    </row>
    <row r="102" spans="1:8" s="58" customFormat="1" ht="27" customHeight="1" x14ac:dyDescent="0.35">
      <c r="A102" s="86">
        <v>838</v>
      </c>
      <c r="B102" s="252" t="s">
        <v>757</v>
      </c>
      <c r="C102" s="253"/>
      <c r="D102" s="152">
        <v>1.0980000000000001</v>
      </c>
      <c r="E102" s="152">
        <v>1.093</v>
      </c>
      <c r="F102" s="152">
        <v>1.0940000000000001</v>
      </c>
      <c r="G102" s="152">
        <v>1.0940000000000001</v>
      </c>
      <c r="H102" s="152">
        <v>1.095</v>
      </c>
    </row>
    <row r="103" spans="1:8" s="58" customFormat="1" ht="27" customHeight="1" x14ac:dyDescent="0.35">
      <c r="A103" s="86">
        <v>839</v>
      </c>
      <c r="B103" s="252" t="s">
        <v>758</v>
      </c>
      <c r="C103" s="253"/>
      <c r="D103" s="152">
        <v>1.0840000000000001</v>
      </c>
      <c r="E103" s="152">
        <v>1.073</v>
      </c>
      <c r="F103" s="152">
        <v>1.0760000000000001</v>
      </c>
      <c r="G103" s="152">
        <v>1.0760000000000001</v>
      </c>
      <c r="H103" s="152">
        <v>1.0449999999999999</v>
      </c>
    </row>
    <row r="104" spans="1:8" s="58" customFormat="1" ht="27" customHeight="1" x14ac:dyDescent="0.35">
      <c r="A104" s="86">
        <v>840</v>
      </c>
      <c r="B104" s="252" t="s">
        <v>759</v>
      </c>
      <c r="C104" s="253"/>
      <c r="D104" s="152">
        <v>1.016</v>
      </c>
      <c r="E104" s="152">
        <v>1.0149999999999999</v>
      </c>
      <c r="F104" s="152">
        <v>1.016</v>
      </c>
      <c r="G104" s="152">
        <v>1.0149999999999999</v>
      </c>
      <c r="H104" s="152">
        <v>1.016</v>
      </c>
    </row>
    <row r="105" spans="1:8" s="58" customFormat="1" ht="27" customHeight="1" x14ac:dyDescent="0.35">
      <c r="A105" s="86">
        <v>841</v>
      </c>
      <c r="B105" s="252" t="s">
        <v>760</v>
      </c>
      <c r="C105" s="253"/>
      <c r="D105" s="152">
        <v>1.101</v>
      </c>
      <c r="E105" s="152">
        <v>1.085</v>
      </c>
      <c r="F105" s="152">
        <v>1.1000000000000001</v>
      </c>
      <c r="G105" s="152">
        <v>1.085</v>
      </c>
      <c r="H105" s="152">
        <v>1.0940000000000001</v>
      </c>
    </row>
    <row r="106" spans="1:8" s="58" customFormat="1" ht="27" customHeight="1" x14ac:dyDescent="0.35">
      <c r="A106" s="86">
        <v>842</v>
      </c>
      <c r="B106" s="252" t="s">
        <v>761</v>
      </c>
      <c r="C106" s="253"/>
      <c r="D106" s="152">
        <v>1.026</v>
      </c>
      <c r="E106" s="152">
        <v>1.0149999999999999</v>
      </c>
      <c r="F106" s="152">
        <v>1.016</v>
      </c>
      <c r="G106" s="152">
        <v>1.0089999999999999</v>
      </c>
      <c r="H106" s="152">
        <v>1.014</v>
      </c>
    </row>
    <row r="107" spans="1:8" s="58" customFormat="1" ht="27" customHeight="1" x14ac:dyDescent="0.35">
      <c r="A107" s="86">
        <v>843</v>
      </c>
      <c r="B107" s="252" t="s">
        <v>762</v>
      </c>
      <c r="C107" s="253"/>
      <c r="D107" s="152">
        <v>1.0089999999999999</v>
      </c>
      <c r="E107" s="152">
        <v>1.008</v>
      </c>
      <c r="F107" s="152">
        <v>1.008</v>
      </c>
      <c r="G107" s="152">
        <v>1.0069999999999999</v>
      </c>
      <c r="H107" s="152">
        <v>1.008</v>
      </c>
    </row>
    <row r="108" spans="1:8" s="58" customFormat="1" ht="27" customHeight="1" x14ac:dyDescent="0.35">
      <c r="A108" s="86">
        <v>844</v>
      </c>
      <c r="B108" s="252" t="s">
        <v>763</v>
      </c>
      <c r="C108" s="253"/>
      <c r="D108" s="152">
        <v>1.0169999999999999</v>
      </c>
      <c r="E108" s="152">
        <v>1.014</v>
      </c>
      <c r="F108" s="152">
        <v>1.016</v>
      </c>
      <c r="G108" s="152">
        <v>1.0129999999999999</v>
      </c>
      <c r="H108" s="152">
        <v>1.014</v>
      </c>
    </row>
    <row r="109" spans="1:8" s="58" customFormat="1" ht="27" customHeight="1" x14ac:dyDescent="0.35">
      <c r="A109" s="86">
        <v>845</v>
      </c>
      <c r="B109" s="252" t="s">
        <v>764</v>
      </c>
      <c r="C109" s="253"/>
      <c r="D109" s="152">
        <v>1.006</v>
      </c>
      <c r="E109" s="152">
        <v>1.0049999999999999</v>
      </c>
      <c r="F109" s="152">
        <v>1.0049999999999999</v>
      </c>
      <c r="G109" s="152">
        <v>1.004</v>
      </c>
      <c r="H109" s="152">
        <v>1.0049999999999999</v>
      </c>
    </row>
    <row r="110" spans="1:8" s="58" customFormat="1" ht="27" customHeight="1" x14ac:dyDescent="0.35">
      <c r="A110" s="86">
        <v>846</v>
      </c>
      <c r="B110" s="252" t="s">
        <v>765</v>
      </c>
      <c r="C110" s="253"/>
      <c r="D110" s="152">
        <v>1.0129999999999999</v>
      </c>
      <c r="E110" s="152">
        <v>1.012</v>
      </c>
      <c r="F110" s="152">
        <v>1.014</v>
      </c>
      <c r="G110" s="152">
        <v>1.0129999999999999</v>
      </c>
      <c r="H110" s="152">
        <v>1.0089999999999999</v>
      </c>
    </row>
    <row r="111" spans="1:8" s="58" customFormat="1" ht="27" customHeight="1" x14ac:dyDescent="0.35">
      <c r="A111" s="86">
        <v>847</v>
      </c>
      <c r="B111" s="252" t="s">
        <v>766</v>
      </c>
      <c r="C111" s="253"/>
      <c r="D111" s="152">
        <v>1.006</v>
      </c>
      <c r="E111" s="152">
        <v>1.0049999999999999</v>
      </c>
      <c r="F111" s="152">
        <v>1.006</v>
      </c>
      <c r="G111" s="152">
        <v>1.0049999999999999</v>
      </c>
      <c r="H111" s="152">
        <v>1.0049999999999999</v>
      </c>
    </row>
    <row r="112" spans="1:8" s="58" customFormat="1" ht="27" customHeight="1" x14ac:dyDescent="0.35">
      <c r="A112" s="86">
        <v>848</v>
      </c>
      <c r="B112" s="252" t="s">
        <v>767</v>
      </c>
      <c r="C112" s="253"/>
      <c r="D112" s="152">
        <v>1.024</v>
      </c>
      <c r="E112" s="152">
        <v>1.0169999999999999</v>
      </c>
      <c r="F112" s="152">
        <v>1.016</v>
      </c>
      <c r="G112" s="152">
        <v>1.0109999999999999</v>
      </c>
      <c r="H112" s="152">
        <v>1.0169999999999999</v>
      </c>
    </row>
    <row r="113" spans="1:8" s="58" customFormat="1" ht="27" customHeight="1" x14ac:dyDescent="0.35">
      <c r="A113" s="86">
        <v>849</v>
      </c>
      <c r="B113" s="252" t="s">
        <v>768</v>
      </c>
      <c r="C113" s="253"/>
      <c r="D113" s="152">
        <v>1.0069999999999999</v>
      </c>
      <c r="E113" s="152">
        <v>1.0069999999999999</v>
      </c>
      <c r="F113" s="152">
        <v>1.0109999999999999</v>
      </c>
      <c r="G113" s="152">
        <v>1.0089999999999999</v>
      </c>
      <c r="H113" s="152">
        <v>1.012</v>
      </c>
    </row>
    <row r="114" spans="1:8" s="58" customFormat="1" ht="27" customHeight="1" x14ac:dyDescent="0.35">
      <c r="A114" s="86">
        <v>850</v>
      </c>
      <c r="B114" s="252" t="s">
        <v>769</v>
      </c>
      <c r="C114" s="253"/>
      <c r="D114" s="152">
        <v>1.006</v>
      </c>
      <c r="E114" s="152">
        <v>1.0049999999999999</v>
      </c>
      <c r="F114" s="152">
        <v>1.006</v>
      </c>
      <c r="G114" s="152">
        <v>1.0049999999999999</v>
      </c>
      <c r="H114" s="152">
        <v>1.006</v>
      </c>
    </row>
    <row r="115" spans="1:8" s="58" customFormat="1" ht="27" customHeight="1" x14ac:dyDescent="0.35">
      <c r="A115" s="86">
        <v>851</v>
      </c>
      <c r="B115" s="252" t="s">
        <v>770</v>
      </c>
      <c r="C115" s="253"/>
      <c r="D115" s="152">
        <v>1.02</v>
      </c>
      <c r="E115" s="152">
        <v>1.0109999999999999</v>
      </c>
      <c r="F115" s="152">
        <v>1.016</v>
      </c>
      <c r="G115" s="152">
        <v>1.01</v>
      </c>
      <c r="H115" s="152">
        <v>1.012</v>
      </c>
    </row>
    <row r="116" spans="1:8" s="58" customFormat="1" ht="27" customHeight="1" x14ac:dyDescent="0.35">
      <c r="A116" s="86">
        <v>852</v>
      </c>
      <c r="B116" s="252" t="s">
        <v>771</v>
      </c>
      <c r="C116" s="253"/>
      <c r="D116" s="152">
        <v>1.01</v>
      </c>
      <c r="E116" s="152">
        <v>1.008</v>
      </c>
      <c r="F116" s="152">
        <v>1.0069999999999999</v>
      </c>
      <c r="G116" s="152">
        <v>1.008</v>
      </c>
      <c r="H116" s="152">
        <v>1.0089999999999999</v>
      </c>
    </row>
    <row r="117" spans="1:8" s="58" customFormat="1" ht="27" customHeight="1" x14ac:dyDescent="0.35">
      <c r="A117" s="86">
        <v>853</v>
      </c>
      <c r="B117" s="252" t="s">
        <v>772</v>
      </c>
      <c r="C117" s="253"/>
      <c r="D117" s="152">
        <v>1.0069999999999999</v>
      </c>
      <c r="E117" s="152">
        <v>1.0069999999999999</v>
      </c>
      <c r="F117" s="152">
        <v>1.008</v>
      </c>
      <c r="G117" s="152">
        <v>1.006</v>
      </c>
      <c r="H117" s="152">
        <v>1.008</v>
      </c>
    </row>
    <row r="118" spans="1:8" s="58" customFormat="1" ht="27" customHeight="1" x14ac:dyDescent="0.35">
      <c r="A118" s="86">
        <v>854</v>
      </c>
      <c r="B118" s="252" t="s">
        <v>773</v>
      </c>
      <c r="C118" s="253"/>
      <c r="D118" s="152">
        <v>1.01</v>
      </c>
      <c r="E118" s="152">
        <v>1.0069999999999999</v>
      </c>
      <c r="F118" s="152">
        <v>1.008</v>
      </c>
      <c r="G118" s="152">
        <v>1.0069999999999999</v>
      </c>
      <c r="H118" s="152">
        <v>1.0069999999999999</v>
      </c>
    </row>
    <row r="119" spans="1:8" s="58" customFormat="1" ht="27" customHeight="1" x14ac:dyDescent="0.35">
      <c r="A119" s="86">
        <v>855</v>
      </c>
      <c r="B119" s="252" t="s">
        <v>774</v>
      </c>
      <c r="C119" s="253"/>
      <c r="D119" s="152">
        <v>1.014</v>
      </c>
      <c r="E119" s="152">
        <v>1.0109999999999999</v>
      </c>
      <c r="F119" s="152">
        <v>1.012</v>
      </c>
      <c r="G119" s="152">
        <v>1.01</v>
      </c>
      <c r="H119" s="152">
        <v>1.0129999999999999</v>
      </c>
    </row>
    <row r="120" spans="1:8" s="58" customFormat="1" ht="27" customHeight="1" x14ac:dyDescent="0.35">
      <c r="A120" s="86">
        <v>856</v>
      </c>
      <c r="B120" s="252" t="s">
        <v>775</v>
      </c>
      <c r="C120" s="253"/>
      <c r="D120" s="152">
        <v>1.008</v>
      </c>
      <c r="E120" s="152">
        <v>1.0109999999999999</v>
      </c>
      <c r="F120" s="152">
        <v>1.0109999999999999</v>
      </c>
      <c r="G120" s="152">
        <v>1.01</v>
      </c>
      <c r="H120" s="152">
        <v>1.0109999999999999</v>
      </c>
    </row>
    <row r="121" spans="1:8" s="58" customFormat="1" ht="27" customHeight="1" x14ac:dyDescent="0.35">
      <c r="A121" s="86">
        <v>857</v>
      </c>
      <c r="B121" s="252" t="s">
        <v>776</v>
      </c>
      <c r="C121" s="253"/>
      <c r="D121" s="152">
        <v>1.016</v>
      </c>
      <c r="E121" s="152">
        <v>1.008</v>
      </c>
      <c r="F121" s="152">
        <v>1.012</v>
      </c>
      <c r="G121" s="152">
        <v>1.004</v>
      </c>
      <c r="H121" s="152">
        <v>1.0109999999999999</v>
      </c>
    </row>
    <row r="122" spans="1:8" s="58" customFormat="1" ht="27" customHeight="1" x14ac:dyDescent="0.35">
      <c r="A122" s="86">
        <v>858</v>
      </c>
      <c r="B122" s="252" t="s">
        <v>777</v>
      </c>
      <c r="C122" s="253"/>
      <c r="D122" s="152">
        <v>1.0109999999999999</v>
      </c>
      <c r="E122" s="152">
        <v>1.008</v>
      </c>
      <c r="F122" s="152">
        <v>1.01</v>
      </c>
      <c r="G122" s="152">
        <v>1.008</v>
      </c>
      <c r="H122" s="152">
        <v>1.008</v>
      </c>
    </row>
    <row r="123" spans="1:8" s="58" customFormat="1" ht="27" customHeight="1" x14ac:dyDescent="0.35">
      <c r="A123" s="86">
        <v>859</v>
      </c>
      <c r="B123" s="252" t="s">
        <v>778</v>
      </c>
      <c r="C123" s="253"/>
      <c r="D123" s="152">
        <v>1.0089999999999999</v>
      </c>
      <c r="E123" s="152">
        <v>1.008</v>
      </c>
      <c r="F123" s="152">
        <v>1.008</v>
      </c>
      <c r="G123" s="152">
        <v>1.0069999999999999</v>
      </c>
      <c r="H123" s="152">
        <v>1.0069999999999999</v>
      </c>
    </row>
    <row r="124" spans="1:8" s="58" customFormat="1" ht="27" customHeight="1" x14ac:dyDescent="0.35">
      <c r="A124" s="86">
        <v>860</v>
      </c>
      <c r="B124" s="252" t="s">
        <v>779</v>
      </c>
      <c r="C124" s="253"/>
      <c r="D124" s="152">
        <v>1.0129999999999999</v>
      </c>
      <c r="E124" s="152">
        <v>1.01</v>
      </c>
      <c r="F124" s="152">
        <v>1.0109999999999999</v>
      </c>
      <c r="G124" s="152">
        <v>1.01</v>
      </c>
      <c r="H124" s="152">
        <v>1.0109999999999999</v>
      </c>
    </row>
    <row r="125" spans="1:8" s="58" customFormat="1" ht="27" customHeight="1" x14ac:dyDescent="0.35">
      <c r="A125" s="86">
        <v>861</v>
      </c>
      <c r="B125" s="252" t="s">
        <v>780</v>
      </c>
      <c r="C125" s="253"/>
      <c r="D125" s="152">
        <v>1.016</v>
      </c>
      <c r="E125" s="152">
        <v>1.012</v>
      </c>
      <c r="F125" s="152">
        <v>1.014</v>
      </c>
      <c r="G125" s="152">
        <v>1.008</v>
      </c>
      <c r="H125" s="152">
        <v>1.0089999999999999</v>
      </c>
    </row>
    <row r="126" spans="1:8" s="58" customFormat="1" ht="27" customHeight="1" x14ac:dyDescent="0.35">
      <c r="A126" s="86">
        <v>862</v>
      </c>
      <c r="B126" s="252" t="s">
        <v>781</v>
      </c>
      <c r="C126" s="253"/>
      <c r="D126" s="152">
        <v>1.042</v>
      </c>
      <c r="E126" s="152">
        <v>1.05</v>
      </c>
      <c r="F126" s="152">
        <v>1.054</v>
      </c>
      <c r="G126" s="152">
        <v>1.04</v>
      </c>
      <c r="H126" s="152">
        <v>1.044</v>
      </c>
    </row>
    <row r="127" spans="1:8" s="58" customFormat="1" ht="27" customHeight="1" x14ac:dyDescent="0.35">
      <c r="A127" s="86">
        <v>863</v>
      </c>
      <c r="B127" s="252" t="s">
        <v>782</v>
      </c>
      <c r="C127" s="253"/>
      <c r="D127" s="152">
        <v>1.0149999999999999</v>
      </c>
      <c r="E127" s="152">
        <v>1.008</v>
      </c>
      <c r="F127" s="152">
        <v>1.0129999999999999</v>
      </c>
      <c r="G127" s="152">
        <v>1.0109999999999999</v>
      </c>
      <c r="H127" s="152">
        <v>1.012</v>
      </c>
    </row>
    <row r="128" spans="1:8" s="58" customFormat="1" ht="27" customHeight="1" x14ac:dyDescent="0.35">
      <c r="A128" s="86">
        <v>864</v>
      </c>
      <c r="B128" s="252" t="s">
        <v>783</v>
      </c>
      <c r="C128" s="253"/>
      <c r="D128" s="152">
        <v>1.012</v>
      </c>
      <c r="E128" s="152">
        <v>1.0109999999999999</v>
      </c>
      <c r="F128" s="152">
        <v>1.0109999999999999</v>
      </c>
      <c r="G128" s="152">
        <v>1.01</v>
      </c>
      <c r="H128" s="152">
        <v>1.0109999999999999</v>
      </c>
    </row>
    <row r="129" spans="1:8" s="58" customFormat="1" ht="27" customHeight="1" x14ac:dyDescent="0.35">
      <c r="A129" s="86">
        <v>865</v>
      </c>
      <c r="B129" s="252" t="s">
        <v>784</v>
      </c>
      <c r="C129" s="253"/>
      <c r="D129" s="152">
        <v>1.0640000000000001</v>
      </c>
      <c r="E129" s="152">
        <v>1.054</v>
      </c>
      <c r="F129" s="152">
        <v>1.056</v>
      </c>
      <c r="G129" s="152">
        <v>1.05</v>
      </c>
      <c r="H129" s="152">
        <v>1.0529999999999999</v>
      </c>
    </row>
    <row r="130" spans="1:8" s="58" customFormat="1" ht="27" customHeight="1" x14ac:dyDescent="0.35">
      <c r="A130" s="86">
        <v>866</v>
      </c>
      <c r="B130" s="252" t="s">
        <v>785</v>
      </c>
      <c r="C130" s="253"/>
      <c r="D130" s="152">
        <v>1.002</v>
      </c>
      <c r="E130" s="152">
        <v>1.0009999999999999</v>
      </c>
      <c r="F130" s="152">
        <v>1.002</v>
      </c>
      <c r="G130" s="152">
        <v>1.0009999999999999</v>
      </c>
      <c r="H130" s="152">
        <v>1.002</v>
      </c>
    </row>
    <row r="131" spans="1:8" s="58" customFormat="1" ht="27" customHeight="1" x14ac:dyDescent="0.35">
      <c r="A131" s="86">
        <v>867</v>
      </c>
      <c r="B131" s="252" t="s">
        <v>786</v>
      </c>
      <c r="C131" s="253"/>
      <c r="D131" s="152">
        <v>1.038</v>
      </c>
      <c r="E131" s="152">
        <v>1.026</v>
      </c>
      <c r="F131" s="152">
        <v>1.0309999999999999</v>
      </c>
      <c r="G131" s="152">
        <v>1.0289999999999999</v>
      </c>
      <c r="H131" s="152">
        <v>1.0329999999999999</v>
      </c>
    </row>
    <row r="132" spans="1:8" s="58" customFormat="1" ht="27" customHeight="1" x14ac:dyDescent="0.35">
      <c r="A132" s="86">
        <v>868</v>
      </c>
      <c r="B132" s="252" t="s">
        <v>787</v>
      </c>
      <c r="C132" s="253"/>
      <c r="D132" s="152">
        <v>1.0489999999999999</v>
      </c>
      <c r="E132" s="152">
        <v>1.0369999999999999</v>
      </c>
      <c r="F132" s="152">
        <v>1.0389999999999999</v>
      </c>
      <c r="G132" s="152">
        <v>1.038</v>
      </c>
      <c r="H132" s="152">
        <v>1.0389999999999999</v>
      </c>
    </row>
    <row r="133" spans="1:8" s="58" customFormat="1" ht="27" customHeight="1" x14ac:dyDescent="0.35">
      <c r="A133" s="86">
        <v>869</v>
      </c>
      <c r="B133" s="252" t="s">
        <v>788</v>
      </c>
      <c r="C133" s="253"/>
      <c r="D133" s="152">
        <v>1.0189999999999999</v>
      </c>
      <c r="E133" s="152">
        <v>1.0109999999999999</v>
      </c>
      <c r="F133" s="152">
        <v>1.0169999999999999</v>
      </c>
      <c r="G133" s="152">
        <v>1.014</v>
      </c>
      <c r="H133" s="152">
        <v>1.0189999999999999</v>
      </c>
    </row>
    <row r="134" spans="1:8" s="58" customFormat="1" ht="27" customHeight="1" x14ac:dyDescent="0.35">
      <c r="A134" s="86">
        <v>870</v>
      </c>
      <c r="B134" s="252" t="s">
        <v>789</v>
      </c>
      <c r="C134" s="253"/>
      <c r="D134" s="152">
        <v>1.0780000000000001</v>
      </c>
      <c r="E134" s="152">
        <v>1.0409999999999999</v>
      </c>
      <c r="F134" s="152">
        <v>1.0629999999999999</v>
      </c>
      <c r="G134" s="152">
        <v>1.0640000000000001</v>
      </c>
      <c r="H134" s="152">
        <v>1.07</v>
      </c>
    </row>
    <row r="135" spans="1:8" s="58" customFormat="1" ht="27" customHeight="1" x14ac:dyDescent="0.35">
      <c r="A135" s="86">
        <v>871</v>
      </c>
      <c r="B135" s="252" t="s">
        <v>790</v>
      </c>
      <c r="C135" s="253"/>
      <c r="D135" s="152">
        <v>1.052</v>
      </c>
      <c r="E135" s="152">
        <v>1.0269999999999999</v>
      </c>
      <c r="F135" s="152">
        <v>1.042</v>
      </c>
      <c r="G135" s="152">
        <v>1.032</v>
      </c>
      <c r="H135" s="152">
        <v>1.0369999999999999</v>
      </c>
    </row>
    <row r="136" spans="1:8" s="58" customFormat="1" ht="27" customHeight="1" x14ac:dyDescent="0.35">
      <c r="A136" s="86">
        <v>872</v>
      </c>
      <c r="B136" s="252" t="s">
        <v>791</v>
      </c>
      <c r="C136" s="253"/>
      <c r="D136" s="152">
        <v>1.0640000000000001</v>
      </c>
      <c r="E136" s="152">
        <v>1.032</v>
      </c>
      <c r="F136" s="152">
        <v>1.05</v>
      </c>
      <c r="G136" s="152">
        <v>1.0489999999999999</v>
      </c>
      <c r="H136" s="152">
        <v>1.0469999999999999</v>
      </c>
    </row>
    <row r="137" spans="1:8" s="58" customFormat="1" ht="27" customHeight="1" x14ac:dyDescent="0.35">
      <c r="A137" s="86">
        <v>873</v>
      </c>
      <c r="B137" s="252" t="s">
        <v>792</v>
      </c>
      <c r="C137" s="253"/>
      <c r="D137" s="152">
        <v>1.0449999999999999</v>
      </c>
      <c r="E137" s="152">
        <v>1.0329999999999999</v>
      </c>
      <c r="F137" s="152">
        <v>1.04</v>
      </c>
      <c r="G137" s="152">
        <v>1.0349999999999999</v>
      </c>
      <c r="H137" s="152">
        <v>1.034</v>
      </c>
    </row>
    <row r="138" spans="1:8" s="58" customFormat="1" ht="27" customHeight="1" x14ac:dyDescent="0.35">
      <c r="A138" s="86">
        <v>874</v>
      </c>
      <c r="B138" s="252" t="s">
        <v>793</v>
      </c>
      <c r="C138" s="253"/>
      <c r="D138" s="152">
        <v>1.079</v>
      </c>
      <c r="E138" s="152">
        <v>1.071</v>
      </c>
      <c r="F138" s="152">
        <v>1.077</v>
      </c>
      <c r="G138" s="152">
        <v>1.073</v>
      </c>
      <c r="H138" s="152">
        <v>1.073</v>
      </c>
    </row>
    <row r="139" spans="1:8" s="58" customFormat="1" ht="27" customHeight="1" x14ac:dyDescent="0.35">
      <c r="A139" s="86">
        <v>875</v>
      </c>
      <c r="B139" s="252" t="s">
        <v>794</v>
      </c>
      <c r="C139" s="253"/>
      <c r="D139" s="152">
        <v>1.044</v>
      </c>
      <c r="E139" s="152">
        <v>1.0329999999999999</v>
      </c>
      <c r="F139" s="152">
        <v>1.0409999999999999</v>
      </c>
      <c r="G139" s="152">
        <v>1.042</v>
      </c>
      <c r="H139" s="152">
        <v>1.042</v>
      </c>
    </row>
    <row r="140" spans="1:8" s="58" customFormat="1" ht="27" customHeight="1" x14ac:dyDescent="0.35">
      <c r="A140" s="86">
        <v>876</v>
      </c>
      <c r="B140" s="252" t="s">
        <v>795</v>
      </c>
      <c r="C140" s="253"/>
      <c r="D140" s="152">
        <v>1.034</v>
      </c>
      <c r="E140" s="152">
        <v>1.0269999999999999</v>
      </c>
      <c r="F140" s="152">
        <v>1.032</v>
      </c>
      <c r="G140" s="152">
        <v>1.034</v>
      </c>
      <c r="H140" s="152">
        <v>1.022</v>
      </c>
    </row>
    <row r="141" spans="1:8" s="58" customFormat="1" ht="27" customHeight="1" x14ac:dyDescent="0.35">
      <c r="A141" s="86">
        <v>877</v>
      </c>
      <c r="B141" s="252" t="s">
        <v>796</v>
      </c>
      <c r="C141" s="253"/>
      <c r="D141" s="152">
        <v>1.0449999999999999</v>
      </c>
      <c r="E141" s="152">
        <v>1.03</v>
      </c>
      <c r="F141" s="152">
        <v>1.04</v>
      </c>
      <c r="G141" s="152">
        <v>1.0349999999999999</v>
      </c>
      <c r="H141" s="152">
        <v>1.0620000000000001</v>
      </c>
    </row>
    <row r="142" spans="1:8" s="58" customFormat="1" ht="27" customHeight="1" x14ac:dyDescent="0.35">
      <c r="A142" s="86">
        <v>878</v>
      </c>
      <c r="B142" s="252" t="s">
        <v>797</v>
      </c>
      <c r="C142" s="253"/>
      <c r="D142" s="152">
        <v>1.028</v>
      </c>
      <c r="E142" s="152">
        <v>1.022</v>
      </c>
      <c r="F142" s="152">
        <v>1.026</v>
      </c>
      <c r="G142" s="152">
        <v>1.026</v>
      </c>
      <c r="H142" s="152">
        <v>1.022</v>
      </c>
    </row>
    <row r="143" spans="1:8" s="58" customFormat="1" ht="27" customHeight="1" x14ac:dyDescent="0.35">
      <c r="A143" s="86">
        <v>879</v>
      </c>
      <c r="B143" s="252" t="s">
        <v>798</v>
      </c>
      <c r="C143" s="253"/>
      <c r="D143" s="152">
        <v>1.04</v>
      </c>
      <c r="E143" s="152">
        <v>1.04</v>
      </c>
      <c r="F143" s="152">
        <v>1.0389999999999999</v>
      </c>
      <c r="G143" s="152">
        <v>1.038</v>
      </c>
      <c r="H143" s="152">
        <v>1.0389999999999999</v>
      </c>
    </row>
    <row r="144" spans="1:8" s="58" customFormat="1" ht="27" customHeight="1" x14ac:dyDescent="0.35">
      <c r="A144" s="86">
        <v>880</v>
      </c>
      <c r="B144" s="252" t="s">
        <v>799</v>
      </c>
      <c r="C144" s="253"/>
      <c r="D144" s="152">
        <v>1.0389999999999999</v>
      </c>
      <c r="E144" s="152">
        <v>1.0229999999999999</v>
      </c>
      <c r="F144" s="152">
        <v>1.034</v>
      </c>
      <c r="G144" s="152">
        <v>1.0269999999999999</v>
      </c>
      <c r="H144" s="152">
        <v>1.032</v>
      </c>
    </row>
    <row r="145" spans="1:8" s="58" customFormat="1" ht="27" customHeight="1" x14ac:dyDescent="0.35">
      <c r="A145" s="86">
        <v>881</v>
      </c>
      <c r="B145" s="252" t="s">
        <v>800</v>
      </c>
      <c r="C145" s="253"/>
      <c r="D145" s="152">
        <v>1.0369999999999999</v>
      </c>
      <c r="E145" s="152">
        <v>1.018</v>
      </c>
      <c r="F145" s="152">
        <v>1.034</v>
      </c>
      <c r="G145" s="152">
        <v>1.0289999999999999</v>
      </c>
      <c r="H145" s="152">
        <v>1.0329999999999999</v>
      </c>
    </row>
    <row r="146" spans="1:8" s="58" customFormat="1" ht="27" customHeight="1" x14ac:dyDescent="0.35">
      <c r="A146" s="86">
        <v>882</v>
      </c>
      <c r="B146" s="252" t="s">
        <v>801</v>
      </c>
      <c r="C146" s="253"/>
      <c r="D146" s="152">
        <v>1.109</v>
      </c>
      <c r="E146" s="152">
        <v>1.0860000000000001</v>
      </c>
      <c r="F146" s="152">
        <v>1.097</v>
      </c>
      <c r="G146" s="152">
        <v>1.097</v>
      </c>
      <c r="H146" s="152">
        <v>1.109</v>
      </c>
    </row>
    <row r="147" spans="1:8" s="58" customFormat="1" ht="27" customHeight="1" x14ac:dyDescent="0.35">
      <c r="A147" s="86">
        <v>883</v>
      </c>
      <c r="B147" s="252" t="s">
        <v>802</v>
      </c>
      <c r="C147" s="253"/>
      <c r="D147" s="152">
        <v>1.0760000000000001</v>
      </c>
      <c r="E147" s="152">
        <v>1.0640000000000001</v>
      </c>
      <c r="F147" s="152">
        <v>1.0529999999999999</v>
      </c>
      <c r="G147" s="152">
        <v>1.0549999999999999</v>
      </c>
      <c r="H147" s="152">
        <v>1.083</v>
      </c>
    </row>
    <row r="148" spans="1:8" s="58" customFormat="1" ht="27" customHeight="1" x14ac:dyDescent="0.35">
      <c r="A148" s="86">
        <v>884</v>
      </c>
      <c r="B148" s="252" t="s">
        <v>803</v>
      </c>
      <c r="C148" s="253"/>
      <c r="D148" s="152">
        <v>1.0509999999999999</v>
      </c>
      <c r="E148" s="152">
        <v>1.0409999999999999</v>
      </c>
      <c r="F148" s="152">
        <v>1.0609999999999999</v>
      </c>
      <c r="G148" s="152">
        <v>1.036</v>
      </c>
      <c r="H148" s="152">
        <v>1.044</v>
      </c>
    </row>
    <row r="149" spans="1:8" s="58" customFormat="1" ht="27" customHeight="1" x14ac:dyDescent="0.35">
      <c r="A149" s="86">
        <v>885</v>
      </c>
      <c r="B149" s="252" t="s">
        <v>804</v>
      </c>
      <c r="C149" s="253"/>
      <c r="D149" s="152">
        <v>1.0589999999999999</v>
      </c>
      <c r="E149" s="152">
        <v>1.0249999999999999</v>
      </c>
      <c r="F149" s="152">
        <v>1.052</v>
      </c>
      <c r="G149" s="152">
        <v>1.034</v>
      </c>
      <c r="H149" s="152">
        <v>1.046</v>
      </c>
    </row>
    <row r="150" spans="1:8" s="58" customFormat="1" ht="27" customHeight="1" x14ac:dyDescent="0.35">
      <c r="A150" s="86">
        <v>886</v>
      </c>
      <c r="B150" s="252" t="s">
        <v>805</v>
      </c>
      <c r="C150" s="253"/>
      <c r="D150" s="152">
        <v>1.079</v>
      </c>
      <c r="E150" s="152">
        <v>1.036</v>
      </c>
      <c r="F150" s="152">
        <v>1.0720000000000001</v>
      </c>
      <c r="G150" s="152">
        <v>1.054</v>
      </c>
      <c r="H150" s="152">
        <v>1.071</v>
      </c>
    </row>
    <row r="151" spans="1:8" s="58" customFormat="1" ht="27" customHeight="1" x14ac:dyDescent="0.35">
      <c r="A151" s="86">
        <v>887</v>
      </c>
      <c r="B151" s="252" t="s">
        <v>806</v>
      </c>
      <c r="C151" s="253"/>
      <c r="D151" s="152">
        <v>1.0189999999999999</v>
      </c>
      <c r="E151" s="152">
        <v>1.014</v>
      </c>
      <c r="F151" s="152">
        <v>1.0249999999999999</v>
      </c>
      <c r="G151" s="152">
        <v>1.0149999999999999</v>
      </c>
      <c r="H151" s="152">
        <v>1.0169999999999999</v>
      </c>
    </row>
    <row r="152" spans="1:8" s="58" customFormat="1" ht="27" customHeight="1" x14ac:dyDescent="0.35">
      <c r="A152" s="86">
        <v>888</v>
      </c>
      <c r="B152" s="252" t="s">
        <v>807</v>
      </c>
      <c r="C152" s="253"/>
      <c r="D152" s="152">
        <v>1.0389999999999999</v>
      </c>
      <c r="E152" s="152">
        <v>1.026</v>
      </c>
      <c r="F152" s="152">
        <v>1.032</v>
      </c>
      <c r="G152" s="152">
        <v>1.032</v>
      </c>
      <c r="H152" s="152">
        <v>1.073</v>
      </c>
    </row>
    <row r="153" spans="1:8" s="58" customFormat="1" ht="27" customHeight="1" x14ac:dyDescent="0.35">
      <c r="A153" s="86">
        <v>889</v>
      </c>
      <c r="B153" s="252" t="s">
        <v>808</v>
      </c>
      <c r="C153" s="253"/>
      <c r="D153" s="152">
        <v>1.0069999999999999</v>
      </c>
      <c r="E153" s="152">
        <v>1.02</v>
      </c>
      <c r="F153" s="152">
        <v>1.0089999999999999</v>
      </c>
      <c r="G153" s="152">
        <v>1.006</v>
      </c>
      <c r="H153" s="152">
        <v>1.008</v>
      </c>
    </row>
    <row r="154" spans="1:8" s="58" customFormat="1" ht="27" customHeight="1" x14ac:dyDescent="0.35">
      <c r="A154" s="86">
        <v>890</v>
      </c>
      <c r="B154" s="252" t="s">
        <v>809</v>
      </c>
      <c r="C154" s="253"/>
      <c r="D154" s="152">
        <v>1.0109999999999999</v>
      </c>
      <c r="E154" s="152">
        <v>1.006</v>
      </c>
      <c r="F154" s="152">
        <v>1.0109999999999999</v>
      </c>
      <c r="G154" s="152">
        <v>1.006</v>
      </c>
      <c r="H154" s="152">
        <v>1.0129999999999999</v>
      </c>
    </row>
    <row r="155" spans="1:8" s="58" customFormat="1" ht="27" customHeight="1" x14ac:dyDescent="0.35">
      <c r="A155" s="86">
        <v>891</v>
      </c>
      <c r="B155" s="252" t="s">
        <v>810</v>
      </c>
      <c r="C155" s="253"/>
      <c r="D155" s="152">
        <v>1.032</v>
      </c>
      <c r="E155" s="152">
        <v>1.03</v>
      </c>
      <c r="F155" s="152">
        <v>1.0329999999999999</v>
      </c>
      <c r="G155" s="152">
        <v>1.0309999999999999</v>
      </c>
      <c r="H155" s="152">
        <v>1.0229999999999999</v>
      </c>
    </row>
    <row r="156" spans="1:8" s="58" customFormat="1" ht="27" customHeight="1" x14ac:dyDescent="0.35">
      <c r="A156" s="86">
        <v>892</v>
      </c>
      <c r="B156" s="252" t="s">
        <v>811</v>
      </c>
      <c r="C156" s="253"/>
      <c r="D156" s="152">
        <v>1.0580000000000001</v>
      </c>
      <c r="E156" s="152">
        <v>1.028</v>
      </c>
      <c r="F156" s="152">
        <v>1.05</v>
      </c>
      <c r="G156" s="152">
        <v>1.04</v>
      </c>
      <c r="H156" s="152">
        <v>1.024</v>
      </c>
    </row>
    <row r="157" spans="1:8" s="58" customFormat="1" ht="27" customHeight="1" x14ac:dyDescent="0.35">
      <c r="A157" s="86">
        <v>893</v>
      </c>
      <c r="B157" s="252" t="s">
        <v>812</v>
      </c>
      <c r="C157" s="253"/>
      <c r="D157" s="152">
        <v>1.0249999999999999</v>
      </c>
      <c r="E157" s="152">
        <v>1.024</v>
      </c>
      <c r="F157" s="152">
        <v>1.034</v>
      </c>
      <c r="G157" s="152">
        <v>1.0309999999999999</v>
      </c>
      <c r="H157" s="152">
        <v>1.03</v>
      </c>
    </row>
    <row r="158" spans="1:8" s="58" customFormat="1" ht="27" customHeight="1" x14ac:dyDescent="0.35">
      <c r="A158" s="86">
        <v>894</v>
      </c>
      <c r="B158" s="252" t="s">
        <v>813</v>
      </c>
      <c r="C158" s="253"/>
      <c r="D158" s="152">
        <v>1.109</v>
      </c>
      <c r="E158" s="152">
        <v>1.0649999999999999</v>
      </c>
      <c r="F158" s="152">
        <v>1.087</v>
      </c>
      <c r="G158" s="152">
        <v>1.0740000000000001</v>
      </c>
      <c r="H158" s="152">
        <v>1.101</v>
      </c>
    </row>
    <row r="159" spans="1:8" s="58" customFormat="1" ht="27" customHeight="1" x14ac:dyDescent="0.35">
      <c r="A159" s="86">
        <v>895</v>
      </c>
      <c r="B159" s="252" t="s">
        <v>814</v>
      </c>
      <c r="C159" s="253"/>
      <c r="D159" s="152">
        <v>1.0640000000000001</v>
      </c>
      <c r="E159" s="152">
        <v>1.026</v>
      </c>
      <c r="F159" s="152">
        <v>1.05</v>
      </c>
      <c r="G159" s="152">
        <v>1.0409999999999999</v>
      </c>
      <c r="H159" s="152">
        <v>1.046</v>
      </c>
    </row>
    <row r="160" spans="1:8" s="58" customFormat="1" ht="27" customHeight="1" x14ac:dyDescent="0.35">
      <c r="A160" s="86">
        <v>896</v>
      </c>
      <c r="B160" s="252" t="s">
        <v>815</v>
      </c>
      <c r="C160" s="253"/>
      <c r="D160" s="152">
        <v>1.0980000000000001</v>
      </c>
      <c r="E160" s="152">
        <v>1.099</v>
      </c>
      <c r="F160" s="152">
        <v>1.0980000000000001</v>
      </c>
      <c r="G160" s="152">
        <v>1.0980000000000001</v>
      </c>
      <c r="H160" s="152">
        <v>1.0960000000000001</v>
      </c>
    </row>
    <row r="161" spans="1:8" s="58" customFormat="1" ht="27" customHeight="1" x14ac:dyDescent="0.35">
      <c r="A161" s="86">
        <v>897</v>
      </c>
      <c r="B161" s="252" t="s">
        <v>816</v>
      </c>
      <c r="C161" s="253"/>
      <c r="D161" s="152">
        <v>1.018</v>
      </c>
      <c r="E161" s="152">
        <v>1.0089999999999999</v>
      </c>
      <c r="F161" s="152">
        <v>1.012</v>
      </c>
      <c r="G161" s="152">
        <v>1.0109999999999999</v>
      </c>
      <c r="H161" s="152">
        <v>1.01</v>
      </c>
    </row>
    <row r="162" spans="1:8" s="58" customFormat="1" ht="27" customHeight="1" x14ac:dyDescent="0.35">
      <c r="A162" s="86">
        <v>898</v>
      </c>
      <c r="B162" s="252" t="s">
        <v>817</v>
      </c>
      <c r="C162" s="253"/>
      <c r="D162" s="152">
        <v>1.0209999999999999</v>
      </c>
      <c r="E162" s="152">
        <v>1.016</v>
      </c>
      <c r="F162" s="152">
        <v>1.0189999999999999</v>
      </c>
      <c r="G162" s="152">
        <v>1.02</v>
      </c>
      <c r="H162" s="152">
        <v>1.02</v>
      </c>
    </row>
    <row r="163" spans="1:8" s="58" customFormat="1" ht="27" customHeight="1" x14ac:dyDescent="0.35"/>
    <row r="164" spans="1:8" s="58" customFormat="1" ht="27" customHeight="1" x14ac:dyDescent="0.35">
      <c r="A164" s="255" t="s">
        <v>486</v>
      </c>
      <c r="B164" s="255"/>
      <c r="C164" s="255"/>
      <c r="D164" s="255"/>
      <c r="E164" s="255"/>
      <c r="F164" s="255"/>
      <c r="G164" s="255"/>
      <c r="H164" s="255"/>
    </row>
    <row r="165" spans="1:8" s="58" customFormat="1" ht="27" customHeight="1" x14ac:dyDescent="0.35">
      <c r="A165" s="255" t="s">
        <v>61</v>
      </c>
      <c r="B165" s="255"/>
      <c r="C165" s="255"/>
      <c r="D165" s="255"/>
      <c r="E165" s="255"/>
      <c r="F165" s="255"/>
      <c r="G165" s="255"/>
      <c r="H165" s="255"/>
    </row>
    <row r="166" spans="1:8" s="58" customFormat="1" ht="27" customHeight="1" x14ac:dyDescent="0.35">
      <c r="A166" s="17" t="s">
        <v>469</v>
      </c>
      <c r="B166" s="255" t="s">
        <v>59</v>
      </c>
      <c r="C166" s="255"/>
      <c r="D166" s="17" t="s">
        <v>54</v>
      </c>
      <c r="E166" s="17" t="s">
        <v>55</v>
      </c>
      <c r="F166" s="17" t="s">
        <v>56</v>
      </c>
      <c r="G166" s="17" t="s">
        <v>57</v>
      </c>
      <c r="H166" s="17" t="s">
        <v>697</v>
      </c>
    </row>
    <row r="167" spans="1:8" s="58" customFormat="1" ht="27" customHeight="1" x14ac:dyDescent="0.35">
      <c r="A167" s="86">
        <v>450</v>
      </c>
      <c r="B167" s="252" t="s">
        <v>2079</v>
      </c>
      <c r="C167" s="253"/>
      <c r="D167" s="152">
        <v>1.008</v>
      </c>
      <c r="E167" s="152">
        <v>0.996</v>
      </c>
      <c r="F167" s="152">
        <v>1.0029999999999999</v>
      </c>
      <c r="G167" s="152">
        <v>1.004</v>
      </c>
      <c r="H167" s="152">
        <v>1</v>
      </c>
    </row>
    <row r="168" spans="1:8" s="58" customFormat="1" ht="27" customHeight="1" x14ac:dyDescent="0.35">
      <c r="A168" s="86">
        <v>451</v>
      </c>
      <c r="B168" s="252" t="s">
        <v>2080</v>
      </c>
      <c r="C168" s="253"/>
      <c r="D168" s="152">
        <v>1.004</v>
      </c>
      <c r="E168" s="152">
        <v>0.99399999999999999</v>
      </c>
      <c r="F168" s="152">
        <v>1.0069999999999999</v>
      </c>
      <c r="G168" s="152">
        <v>0.99399999999999999</v>
      </c>
      <c r="H168" s="152">
        <v>1.0029999999999999</v>
      </c>
    </row>
    <row r="169" spans="1:8" s="58" customFormat="1" ht="27" customHeight="1" x14ac:dyDescent="0.35">
      <c r="A169" s="86">
        <v>452</v>
      </c>
      <c r="B169" s="252" t="s">
        <v>2081</v>
      </c>
      <c r="C169" s="253"/>
      <c r="D169" s="152">
        <v>1.012</v>
      </c>
      <c r="E169" s="152">
        <v>1.012</v>
      </c>
      <c r="F169" s="152">
        <v>1.0329999999999999</v>
      </c>
      <c r="G169" s="152">
        <v>1.0189999999999999</v>
      </c>
      <c r="H169" s="152">
        <v>1.034</v>
      </c>
    </row>
    <row r="170" spans="1:8" s="58" customFormat="1" ht="27" customHeight="1" x14ac:dyDescent="0.35">
      <c r="A170" s="86">
        <v>453</v>
      </c>
      <c r="B170" s="252" t="s">
        <v>2082</v>
      </c>
      <c r="C170" s="253"/>
      <c r="D170" s="152">
        <v>1.0229999999999999</v>
      </c>
      <c r="E170" s="152">
        <v>1.01</v>
      </c>
      <c r="F170" s="152">
        <v>1.016</v>
      </c>
      <c r="G170" s="152">
        <v>1.0149999999999999</v>
      </c>
      <c r="H170" s="152">
        <v>1.0169999999999999</v>
      </c>
    </row>
    <row r="171" spans="1:8" s="58" customFormat="1" ht="27" customHeight="1" x14ac:dyDescent="0.35">
      <c r="A171" s="86">
        <v>454</v>
      </c>
      <c r="B171" s="252" t="s">
        <v>2083</v>
      </c>
      <c r="C171" s="253"/>
      <c r="D171" s="152">
        <v>1.01</v>
      </c>
      <c r="E171" s="152">
        <v>0.997</v>
      </c>
      <c r="F171" s="152">
        <v>1.0029999999999999</v>
      </c>
      <c r="G171" s="152">
        <v>1.0029999999999999</v>
      </c>
      <c r="H171" s="152">
        <v>1</v>
      </c>
    </row>
    <row r="172" spans="1:8" s="58" customFormat="1" ht="27" customHeight="1" x14ac:dyDescent="0.35">
      <c r="A172" s="86">
        <v>455</v>
      </c>
      <c r="B172" s="252" t="s">
        <v>2084</v>
      </c>
      <c r="C172" s="253"/>
      <c r="D172" s="152">
        <v>1.022</v>
      </c>
      <c r="E172" s="152">
        <v>1.0109999999999999</v>
      </c>
      <c r="F172" s="152">
        <v>1.0189999999999999</v>
      </c>
      <c r="G172" s="152">
        <v>1.0129999999999999</v>
      </c>
      <c r="H172" s="152">
        <v>1.02</v>
      </c>
    </row>
    <row r="173" spans="1:8" s="58" customFormat="1" ht="27" customHeight="1" x14ac:dyDescent="0.35">
      <c r="A173" s="86">
        <v>456</v>
      </c>
      <c r="B173" s="252" t="s">
        <v>2085</v>
      </c>
      <c r="C173" s="253"/>
      <c r="D173" s="152">
        <v>1.0269999999999999</v>
      </c>
      <c r="E173" s="152">
        <v>1.0149999999999999</v>
      </c>
      <c r="F173" s="152">
        <v>1.0229999999999999</v>
      </c>
      <c r="G173" s="152">
        <v>1.0129999999999999</v>
      </c>
      <c r="H173" s="152">
        <v>1.024</v>
      </c>
    </row>
    <row r="174" spans="1:8" s="58" customFormat="1" ht="27" customHeight="1" x14ac:dyDescent="0.35">
      <c r="A174" s="86">
        <v>457</v>
      </c>
      <c r="B174" s="252" t="s">
        <v>2086</v>
      </c>
      <c r="C174" s="253"/>
      <c r="D174" s="152">
        <v>1.028</v>
      </c>
      <c r="E174" s="152">
        <v>1.0129999999999999</v>
      </c>
      <c r="F174" s="152">
        <v>1.0189999999999999</v>
      </c>
      <c r="G174" s="152">
        <v>1.0149999999999999</v>
      </c>
      <c r="H174" s="152">
        <v>1.0229999999999999</v>
      </c>
    </row>
    <row r="175" spans="1:8" s="58" customFormat="1" ht="27" customHeight="1" x14ac:dyDescent="0.35">
      <c r="A175" s="86">
        <v>458</v>
      </c>
      <c r="B175" s="252" t="s">
        <v>2087</v>
      </c>
      <c r="C175" s="253"/>
      <c r="D175" s="152">
        <v>1.0549999999999999</v>
      </c>
      <c r="E175" s="152">
        <v>1.022</v>
      </c>
      <c r="F175" s="152">
        <v>1.046</v>
      </c>
      <c r="G175" s="152">
        <v>1.0249999999999999</v>
      </c>
      <c r="H175" s="152">
        <v>1.0289999999999999</v>
      </c>
    </row>
    <row r="176" spans="1:8" s="58" customFormat="1" ht="27" customHeight="1" x14ac:dyDescent="0.35">
      <c r="A176" s="86">
        <v>459</v>
      </c>
      <c r="B176" s="252" t="s">
        <v>2088</v>
      </c>
      <c r="C176" s="253"/>
      <c r="D176" s="152">
        <v>1.0209999999999999</v>
      </c>
      <c r="E176" s="152">
        <v>1.0149999999999999</v>
      </c>
      <c r="F176" s="152">
        <v>1.018</v>
      </c>
      <c r="G176" s="152">
        <v>1.0169999999999999</v>
      </c>
      <c r="H176" s="152">
        <v>1.0209999999999999</v>
      </c>
    </row>
    <row r="177" spans="1:8" s="58" customFormat="1" ht="27" customHeight="1" x14ac:dyDescent="0.35">
      <c r="A177" s="86">
        <v>460</v>
      </c>
      <c r="B177" s="252" t="s">
        <v>2089</v>
      </c>
      <c r="C177" s="253"/>
      <c r="D177" s="152">
        <v>1.0109999999999999</v>
      </c>
      <c r="E177" s="152">
        <v>0.99</v>
      </c>
      <c r="F177" s="152">
        <v>0.995</v>
      </c>
      <c r="G177" s="152">
        <v>1.0069999999999999</v>
      </c>
      <c r="H177" s="152">
        <v>0.995</v>
      </c>
    </row>
    <row r="178" spans="1:8" s="58" customFormat="1" ht="27" customHeight="1" x14ac:dyDescent="0.35">
      <c r="A178" s="86">
        <v>461</v>
      </c>
      <c r="B178" s="252" t="s">
        <v>2090</v>
      </c>
      <c r="C178" s="253"/>
      <c r="D178" s="152">
        <v>1.014</v>
      </c>
      <c r="E178" s="152">
        <v>1.0049999999999999</v>
      </c>
      <c r="F178" s="152">
        <v>1.0089999999999999</v>
      </c>
      <c r="G178" s="152">
        <v>1.0049999999999999</v>
      </c>
      <c r="H178" s="152">
        <v>1.0089999999999999</v>
      </c>
    </row>
    <row r="179" spans="1:8" s="58" customFormat="1" ht="27" customHeight="1" x14ac:dyDescent="0.35">
      <c r="A179" s="86">
        <v>462</v>
      </c>
      <c r="B179" s="252" t="s">
        <v>2091</v>
      </c>
      <c r="C179" s="253"/>
      <c r="D179" s="152">
        <v>1.002</v>
      </c>
      <c r="E179" s="152">
        <v>0.98899999999999999</v>
      </c>
      <c r="F179" s="152">
        <v>0.99399999999999999</v>
      </c>
      <c r="G179" s="152">
        <v>1.0009999999999999</v>
      </c>
      <c r="H179" s="152">
        <v>0.99099999999999999</v>
      </c>
    </row>
    <row r="180" spans="1:8" s="58" customFormat="1" ht="27" customHeight="1" x14ac:dyDescent="0.35">
      <c r="A180" s="86">
        <v>463</v>
      </c>
      <c r="B180" s="252" t="s">
        <v>2092</v>
      </c>
      <c r="C180" s="253"/>
      <c r="D180" s="152">
        <v>1.04</v>
      </c>
      <c r="E180" s="152">
        <v>1.014</v>
      </c>
      <c r="F180" s="152">
        <v>1.0229999999999999</v>
      </c>
      <c r="G180" s="152">
        <v>1.0249999999999999</v>
      </c>
      <c r="H180" s="152">
        <v>1.0249999999999999</v>
      </c>
    </row>
    <row r="181" spans="1:8" s="58" customFormat="1" ht="27" customHeight="1" x14ac:dyDescent="0.35">
      <c r="A181" s="86">
        <v>464</v>
      </c>
      <c r="B181" s="252" t="s">
        <v>2093</v>
      </c>
      <c r="C181" s="253"/>
      <c r="D181" s="152">
        <v>0.999</v>
      </c>
      <c r="E181" s="152">
        <v>0.995</v>
      </c>
      <c r="F181" s="152">
        <v>0.998</v>
      </c>
      <c r="G181" s="152">
        <v>0.995</v>
      </c>
      <c r="H181" s="152">
        <v>0.99399999999999999</v>
      </c>
    </row>
    <row r="182" spans="1:8" s="58" customFormat="1" ht="27" customHeight="1" x14ac:dyDescent="0.35">
      <c r="A182" s="86">
        <v>465</v>
      </c>
      <c r="B182" s="252" t="s">
        <v>2094</v>
      </c>
      <c r="C182" s="253"/>
      <c r="D182" s="152">
        <v>1.014</v>
      </c>
      <c r="E182" s="152">
        <v>0.99399999999999999</v>
      </c>
      <c r="F182" s="152">
        <v>1.0029999999999999</v>
      </c>
      <c r="G182" s="152">
        <v>1.006</v>
      </c>
      <c r="H182" s="152">
        <v>1.002</v>
      </c>
    </row>
    <row r="183" spans="1:8" s="58" customFormat="1" ht="27" customHeight="1" x14ac:dyDescent="0.35">
      <c r="A183" s="86">
        <v>466</v>
      </c>
      <c r="B183" s="252" t="s">
        <v>2095</v>
      </c>
      <c r="C183" s="253"/>
      <c r="D183" s="152">
        <v>1</v>
      </c>
      <c r="E183" s="152">
        <v>1.006</v>
      </c>
      <c r="F183" s="152">
        <v>1.032</v>
      </c>
      <c r="G183" s="152">
        <v>1.016</v>
      </c>
      <c r="H183" s="152">
        <v>1.0369999999999999</v>
      </c>
    </row>
    <row r="184" spans="1:8" s="58" customFormat="1" ht="27" customHeight="1" x14ac:dyDescent="0.35">
      <c r="A184" s="86">
        <v>467</v>
      </c>
      <c r="B184" s="252" t="s">
        <v>2096</v>
      </c>
      <c r="C184" s="253"/>
      <c r="D184" s="152">
        <v>1.03</v>
      </c>
      <c r="E184" s="152">
        <v>1.012</v>
      </c>
      <c r="F184" s="152">
        <v>1.0129999999999999</v>
      </c>
      <c r="G184" s="152">
        <v>1.0249999999999999</v>
      </c>
      <c r="H184" s="152">
        <v>1.0209999999999999</v>
      </c>
    </row>
    <row r="185" spans="1:8" s="58" customFormat="1" ht="27" customHeight="1" x14ac:dyDescent="0.35">
      <c r="A185" s="86">
        <v>468</v>
      </c>
      <c r="B185" s="252" t="s">
        <v>2097</v>
      </c>
      <c r="C185" s="253"/>
      <c r="D185" s="152">
        <v>1.02</v>
      </c>
      <c r="E185" s="152">
        <v>1.0149999999999999</v>
      </c>
      <c r="F185" s="152">
        <v>1.0169999999999999</v>
      </c>
      <c r="G185" s="152">
        <v>1.0169999999999999</v>
      </c>
      <c r="H185" s="152">
        <v>1.008</v>
      </c>
    </row>
    <row r="186" spans="1:8" s="58" customFormat="1" ht="27" customHeight="1" x14ac:dyDescent="0.35">
      <c r="A186" s="86">
        <v>469</v>
      </c>
      <c r="B186" s="252" t="s">
        <v>2098</v>
      </c>
      <c r="C186" s="253"/>
      <c r="D186" s="152">
        <v>1.0089999999999999</v>
      </c>
      <c r="E186" s="152">
        <v>0.999</v>
      </c>
      <c r="F186" s="152">
        <v>1.0029999999999999</v>
      </c>
      <c r="G186" s="152">
        <v>1.004</v>
      </c>
      <c r="H186" s="152">
        <v>1.004</v>
      </c>
    </row>
    <row r="187" spans="1:8" s="58" customFormat="1" ht="27" customHeight="1" x14ac:dyDescent="0.35">
      <c r="A187" s="86">
        <v>470</v>
      </c>
      <c r="B187" s="252" t="s">
        <v>2099</v>
      </c>
      <c r="C187" s="253"/>
      <c r="D187" s="152">
        <v>0.98699999999999999</v>
      </c>
      <c r="E187" s="152">
        <v>0.98899999999999999</v>
      </c>
      <c r="F187" s="152">
        <v>1.012</v>
      </c>
      <c r="G187" s="152">
        <v>0.99199999999999999</v>
      </c>
      <c r="H187" s="152">
        <v>1.0009999999999999</v>
      </c>
    </row>
    <row r="188" spans="1:8" s="58" customFormat="1" ht="27" customHeight="1" x14ac:dyDescent="0.35">
      <c r="A188" s="86">
        <v>471</v>
      </c>
      <c r="B188" s="252" t="s">
        <v>2100</v>
      </c>
      <c r="C188" s="253"/>
      <c r="D188" s="152">
        <v>1.0269999999999999</v>
      </c>
      <c r="E188" s="152">
        <v>1.0189999999999999</v>
      </c>
      <c r="F188" s="152">
        <v>1.0449999999999999</v>
      </c>
      <c r="G188" s="152">
        <v>1.014</v>
      </c>
      <c r="H188" s="152">
        <v>1.02</v>
      </c>
    </row>
    <row r="189" spans="1:8" s="58" customFormat="1" ht="27" customHeight="1" x14ac:dyDescent="0.35">
      <c r="A189" s="86">
        <v>472</v>
      </c>
      <c r="B189" s="252" t="s">
        <v>2101</v>
      </c>
      <c r="C189" s="253"/>
      <c r="D189" s="152">
        <v>0.84299999999999997</v>
      </c>
      <c r="E189" s="152">
        <v>0.84299999999999997</v>
      </c>
      <c r="F189" s="152">
        <v>0.84299999999999997</v>
      </c>
      <c r="G189" s="152">
        <v>0.84299999999999997</v>
      </c>
      <c r="H189" s="152">
        <v>0.84299999999999997</v>
      </c>
    </row>
    <row r="190" spans="1:8" s="58" customFormat="1" ht="27" customHeight="1" x14ac:dyDescent="0.35">
      <c r="A190" s="86">
        <v>473</v>
      </c>
      <c r="B190" s="252" t="s">
        <v>2102</v>
      </c>
      <c r="C190" s="253"/>
      <c r="D190" s="152">
        <v>0.96899999999999997</v>
      </c>
      <c r="E190" s="152">
        <v>0.96599999999999997</v>
      </c>
      <c r="F190" s="152">
        <v>0.96899999999999997</v>
      </c>
      <c r="G190" s="152">
        <v>0.96699999999999997</v>
      </c>
      <c r="H190" s="152">
        <v>0.96699999999999997</v>
      </c>
    </row>
    <row r="191" spans="1:8" s="58" customFormat="1" ht="27" customHeight="1" x14ac:dyDescent="0.35">
      <c r="A191" s="86">
        <v>700</v>
      </c>
      <c r="B191" s="252" t="s">
        <v>818</v>
      </c>
      <c r="C191" s="253"/>
      <c r="D191" s="152">
        <v>1.034</v>
      </c>
      <c r="E191" s="152">
        <v>1.0189999999999999</v>
      </c>
      <c r="F191" s="152">
        <v>1.03</v>
      </c>
      <c r="G191" s="152">
        <v>1.0169999999999999</v>
      </c>
      <c r="H191" s="152">
        <v>1.0269999999999999</v>
      </c>
    </row>
    <row r="192" spans="1:8" s="58" customFormat="1" ht="27" customHeight="1" x14ac:dyDescent="0.35">
      <c r="A192" s="86">
        <v>701</v>
      </c>
      <c r="B192" s="252" t="s">
        <v>819</v>
      </c>
      <c r="C192" s="253"/>
      <c r="D192" s="152">
        <v>1.006</v>
      </c>
      <c r="E192" s="152">
        <v>1.0029999999999999</v>
      </c>
      <c r="F192" s="152">
        <v>1.0089999999999999</v>
      </c>
      <c r="G192" s="152">
        <v>1.0049999999999999</v>
      </c>
      <c r="H192" s="152">
        <v>1.006</v>
      </c>
    </row>
    <row r="193" spans="1:8" s="58" customFormat="1" ht="27" customHeight="1" x14ac:dyDescent="0.35">
      <c r="A193" s="86">
        <v>702</v>
      </c>
      <c r="B193" s="252" t="s">
        <v>820</v>
      </c>
      <c r="C193" s="253"/>
      <c r="D193" s="152">
        <v>1.01</v>
      </c>
      <c r="E193" s="152">
        <v>1.0049999999999999</v>
      </c>
      <c r="F193" s="152">
        <v>1.008</v>
      </c>
      <c r="G193" s="152">
        <v>1.006</v>
      </c>
      <c r="H193" s="152">
        <v>1.008</v>
      </c>
    </row>
    <row r="194" spans="1:8" s="58" customFormat="1" ht="27" customHeight="1" x14ac:dyDescent="0.35">
      <c r="A194" s="86">
        <v>703</v>
      </c>
      <c r="B194" s="252" t="s">
        <v>821</v>
      </c>
      <c r="C194" s="253"/>
      <c r="D194" s="152">
        <v>1.0129999999999999</v>
      </c>
      <c r="E194" s="152">
        <v>1.0049999999999999</v>
      </c>
      <c r="F194" s="152">
        <v>1.0089999999999999</v>
      </c>
      <c r="G194" s="152">
        <v>1.0049999999999999</v>
      </c>
      <c r="H194" s="152">
        <v>1.0089999999999999</v>
      </c>
    </row>
    <row r="195" spans="1:8" s="58" customFormat="1" ht="27" customHeight="1" x14ac:dyDescent="0.35">
      <c r="A195" s="86">
        <v>704</v>
      </c>
      <c r="B195" s="252" t="s">
        <v>822</v>
      </c>
      <c r="C195" s="253"/>
      <c r="D195" s="152">
        <v>0.999</v>
      </c>
      <c r="E195" s="152">
        <v>0.998</v>
      </c>
      <c r="F195" s="152">
        <v>1</v>
      </c>
      <c r="G195" s="152">
        <v>0.999</v>
      </c>
      <c r="H195" s="152">
        <v>0.999</v>
      </c>
    </row>
    <row r="196" spans="1:8" s="58" customFormat="1" ht="27" customHeight="1" x14ac:dyDescent="0.35">
      <c r="A196" s="86">
        <v>705</v>
      </c>
      <c r="B196" s="252" t="s">
        <v>823</v>
      </c>
      <c r="C196" s="253"/>
      <c r="D196" s="152">
        <v>1.052</v>
      </c>
      <c r="E196" s="152">
        <v>1.0229999999999999</v>
      </c>
      <c r="F196" s="152">
        <v>1.04</v>
      </c>
      <c r="G196" s="152">
        <v>1.0229999999999999</v>
      </c>
      <c r="H196" s="152">
        <v>1.04</v>
      </c>
    </row>
    <row r="197" spans="1:8" s="58" customFormat="1" ht="27" customHeight="1" x14ac:dyDescent="0.35">
      <c r="A197" s="86">
        <v>706</v>
      </c>
      <c r="B197" s="252" t="s">
        <v>824</v>
      </c>
      <c r="C197" s="253"/>
      <c r="D197" s="152">
        <v>1.006</v>
      </c>
      <c r="E197" s="152">
        <v>1.002</v>
      </c>
      <c r="F197" s="152">
        <v>1.008</v>
      </c>
      <c r="G197" s="152">
        <v>1.0029999999999999</v>
      </c>
      <c r="H197" s="152">
        <v>1.0069999999999999</v>
      </c>
    </row>
    <row r="198" spans="1:8" s="58" customFormat="1" ht="27" customHeight="1" x14ac:dyDescent="0.35">
      <c r="A198" s="86">
        <v>707</v>
      </c>
      <c r="B198" s="252" t="s">
        <v>825</v>
      </c>
      <c r="C198" s="253"/>
      <c r="D198" s="152">
        <v>1.0229999999999999</v>
      </c>
      <c r="E198" s="152">
        <v>1.0089999999999999</v>
      </c>
      <c r="F198" s="152">
        <v>1.02</v>
      </c>
      <c r="G198" s="152">
        <v>1.0069999999999999</v>
      </c>
      <c r="H198" s="152">
        <v>1.018</v>
      </c>
    </row>
    <row r="199" spans="1:8" s="58" customFormat="1" ht="27" customHeight="1" x14ac:dyDescent="0.35">
      <c r="A199" s="86">
        <v>708</v>
      </c>
      <c r="B199" s="252" t="s">
        <v>826</v>
      </c>
      <c r="C199" s="253"/>
      <c r="D199" s="152">
        <v>1.014</v>
      </c>
      <c r="E199" s="152">
        <v>1</v>
      </c>
      <c r="F199" s="152">
        <v>1.0109999999999999</v>
      </c>
      <c r="G199" s="152">
        <v>1.002</v>
      </c>
      <c r="H199" s="152">
        <v>1.0089999999999999</v>
      </c>
    </row>
    <row r="200" spans="1:8" s="58" customFormat="1" ht="27" customHeight="1" x14ac:dyDescent="0.35">
      <c r="A200" s="86">
        <v>709</v>
      </c>
      <c r="B200" s="252" t="s">
        <v>827</v>
      </c>
      <c r="C200" s="253"/>
      <c r="D200" s="152">
        <v>1</v>
      </c>
      <c r="E200" s="152">
        <v>0.997</v>
      </c>
      <c r="F200" s="152">
        <v>1.0009999999999999</v>
      </c>
      <c r="G200" s="152">
        <v>0.996</v>
      </c>
      <c r="H200" s="152">
        <v>1.0009999999999999</v>
      </c>
    </row>
    <row r="201" spans="1:8" s="58" customFormat="1" ht="27" customHeight="1" x14ac:dyDescent="0.35">
      <c r="A201" s="86">
        <v>710</v>
      </c>
      <c r="B201" s="252" t="s">
        <v>828</v>
      </c>
      <c r="C201" s="253"/>
      <c r="D201" s="152">
        <v>1.004</v>
      </c>
      <c r="E201" s="152">
        <v>1.002</v>
      </c>
      <c r="F201" s="152">
        <v>1.004</v>
      </c>
      <c r="G201" s="152">
        <v>1.0029999999999999</v>
      </c>
      <c r="H201" s="152">
        <v>1.004</v>
      </c>
    </row>
    <row r="202" spans="1:8" s="58" customFormat="1" ht="27" customHeight="1" x14ac:dyDescent="0.35">
      <c r="A202" s="86">
        <v>711</v>
      </c>
      <c r="B202" s="252" t="s">
        <v>829</v>
      </c>
      <c r="C202" s="253"/>
      <c r="D202" s="152">
        <v>1.0089999999999999</v>
      </c>
      <c r="E202" s="152">
        <v>1.0009999999999999</v>
      </c>
      <c r="F202" s="152">
        <v>1.008</v>
      </c>
      <c r="G202" s="152">
        <v>1.0009999999999999</v>
      </c>
      <c r="H202" s="152">
        <v>1.0069999999999999</v>
      </c>
    </row>
    <row r="203" spans="1:8" s="58" customFormat="1" ht="27" customHeight="1" x14ac:dyDescent="0.35">
      <c r="A203" s="86">
        <v>712</v>
      </c>
      <c r="B203" s="252" t="s">
        <v>830</v>
      </c>
      <c r="C203" s="253"/>
      <c r="D203" s="152">
        <v>1.022</v>
      </c>
      <c r="E203" s="152">
        <v>1.0129999999999999</v>
      </c>
      <c r="F203" s="152">
        <v>1.018</v>
      </c>
      <c r="G203" s="152">
        <v>1.0149999999999999</v>
      </c>
      <c r="H203" s="152">
        <v>1.0269999999999999</v>
      </c>
    </row>
    <row r="204" spans="1:8" s="58" customFormat="1" ht="27" customHeight="1" x14ac:dyDescent="0.35">
      <c r="A204" s="86">
        <v>713</v>
      </c>
      <c r="B204" s="252" t="s">
        <v>831</v>
      </c>
      <c r="C204" s="253"/>
      <c r="D204" s="152">
        <v>1.0149999999999999</v>
      </c>
      <c r="E204" s="152">
        <v>1.006</v>
      </c>
      <c r="F204" s="152">
        <v>1.0109999999999999</v>
      </c>
      <c r="G204" s="152">
        <v>1.0069999999999999</v>
      </c>
      <c r="H204" s="152">
        <v>1.012</v>
      </c>
    </row>
    <row r="205" spans="1:8" s="58" customFormat="1" ht="27" customHeight="1" x14ac:dyDescent="0.35">
      <c r="A205" s="86">
        <v>714</v>
      </c>
      <c r="B205" s="252" t="s">
        <v>832</v>
      </c>
      <c r="C205" s="253"/>
      <c r="D205" s="152">
        <v>1.0129999999999999</v>
      </c>
      <c r="E205" s="152">
        <v>1.0049999999999999</v>
      </c>
      <c r="F205" s="152">
        <v>1.0149999999999999</v>
      </c>
      <c r="G205" s="152">
        <v>1.0069999999999999</v>
      </c>
      <c r="H205" s="152">
        <v>1.0129999999999999</v>
      </c>
    </row>
    <row r="206" spans="1:8" s="58" customFormat="1" ht="27" customHeight="1" x14ac:dyDescent="0.35">
      <c r="A206" s="86">
        <v>715</v>
      </c>
      <c r="B206" s="252" t="s">
        <v>833</v>
      </c>
      <c r="C206" s="253"/>
      <c r="D206" s="152">
        <v>0.996</v>
      </c>
      <c r="E206" s="152">
        <v>0.995</v>
      </c>
      <c r="F206" s="152">
        <v>0.997</v>
      </c>
      <c r="G206" s="152">
        <v>0.995</v>
      </c>
      <c r="H206" s="152">
        <v>0.998</v>
      </c>
    </row>
    <row r="207" spans="1:8" s="58" customFormat="1" ht="27" customHeight="1" x14ac:dyDescent="0.35">
      <c r="A207" s="86">
        <v>716</v>
      </c>
      <c r="B207" s="252" t="s">
        <v>834</v>
      </c>
      <c r="C207" s="253"/>
      <c r="D207" s="152">
        <v>1</v>
      </c>
      <c r="E207" s="152">
        <v>1</v>
      </c>
      <c r="F207" s="152">
        <v>1</v>
      </c>
      <c r="G207" s="152">
        <v>1</v>
      </c>
      <c r="H207" s="152">
        <v>1</v>
      </c>
    </row>
    <row r="208" spans="1:8" s="58" customFormat="1" ht="27" customHeight="1" x14ac:dyDescent="0.35">
      <c r="A208" s="86">
        <v>717</v>
      </c>
      <c r="B208" s="252" t="s">
        <v>835</v>
      </c>
      <c r="C208" s="253"/>
      <c r="D208" s="152">
        <v>1.0009999999999999</v>
      </c>
      <c r="E208" s="152">
        <v>0.999</v>
      </c>
      <c r="F208" s="152">
        <v>1.002</v>
      </c>
      <c r="G208" s="152">
        <v>0.999</v>
      </c>
      <c r="H208" s="152">
        <v>1.002</v>
      </c>
    </row>
    <row r="209" spans="1:8" s="58" customFormat="1" ht="27" customHeight="1" x14ac:dyDescent="0.35">
      <c r="A209" s="86">
        <v>718</v>
      </c>
      <c r="B209" s="252" t="s">
        <v>836</v>
      </c>
      <c r="C209" s="253"/>
      <c r="D209" s="152">
        <v>1.04</v>
      </c>
      <c r="E209" s="152">
        <v>1.0129999999999999</v>
      </c>
      <c r="F209" s="152">
        <v>1.032</v>
      </c>
      <c r="G209" s="152">
        <v>1.016</v>
      </c>
      <c r="H209" s="152">
        <v>1.0289999999999999</v>
      </c>
    </row>
    <row r="210" spans="1:8" s="58" customFormat="1" ht="27" customHeight="1" x14ac:dyDescent="0.35">
      <c r="A210" s="86">
        <v>719</v>
      </c>
      <c r="B210" s="252" t="s">
        <v>837</v>
      </c>
      <c r="C210" s="253"/>
      <c r="D210" s="152">
        <v>1.0029999999999999</v>
      </c>
      <c r="E210" s="152">
        <v>0.995</v>
      </c>
      <c r="F210" s="152">
        <v>1.002</v>
      </c>
      <c r="G210" s="152">
        <v>0.996</v>
      </c>
      <c r="H210" s="152">
        <v>1.0049999999999999</v>
      </c>
    </row>
    <row r="211" spans="1:8" s="58" customFormat="1" ht="27" customHeight="1" x14ac:dyDescent="0.35">
      <c r="A211" s="86">
        <v>720</v>
      </c>
      <c r="B211" s="252" t="s">
        <v>838</v>
      </c>
      <c r="C211" s="253"/>
      <c r="D211" s="152">
        <v>1.032</v>
      </c>
      <c r="E211" s="152">
        <v>1.006</v>
      </c>
      <c r="F211" s="152">
        <v>1.0089999999999999</v>
      </c>
      <c r="G211" s="152">
        <v>1.0089999999999999</v>
      </c>
      <c r="H211" s="152">
        <v>1.006</v>
      </c>
    </row>
    <row r="212" spans="1:8" s="58" customFormat="1" ht="27" customHeight="1" x14ac:dyDescent="0.35">
      <c r="A212" s="86">
        <v>721</v>
      </c>
      <c r="B212" s="252" t="s">
        <v>839</v>
      </c>
      <c r="C212" s="253"/>
      <c r="D212" s="152">
        <v>1</v>
      </c>
      <c r="E212" s="152">
        <v>1.002</v>
      </c>
      <c r="F212" s="152">
        <v>1.0009999999999999</v>
      </c>
      <c r="G212" s="152">
        <v>1.0009999999999999</v>
      </c>
      <c r="H212" s="152">
        <v>1.0009999999999999</v>
      </c>
    </row>
    <row r="213" spans="1:8" s="58" customFormat="1" ht="27" customHeight="1" x14ac:dyDescent="0.35">
      <c r="A213" s="86">
        <v>722</v>
      </c>
      <c r="B213" s="252" t="s">
        <v>840</v>
      </c>
      <c r="C213" s="253"/>
      <c r="D213" s="152">
        <v>1.004</v>
      </c>
      <c r="E213" s="152">
        <v>1.002</v>
      </c>
      <c r="F213" s="152">
        <v>1.0029999999999999</v>
      </c>
      <c r="G213" s="152">
        <v>1.002</v>
      </c>
      <c r="H213" s="152">
        <v>1.0009999999999999</v>
      </c>
    </row>
    <row r="214" spans="1:8" s="58" customFormat="1" ht="27" customHeight="1" x14ac:dyDescent="0.35">
      <c r="A214" s="86">
        <v>723</v>
      </c>
      <c r="B214" s="252" t="s">
        <v>841</v>
      </c>
      <c r="C214" s="253"/>
      <c r="D214" s="152">
        <v>1.0229999999999999</v>
      </c>
      <c r="E214" s="152">
        <v>1.006</v>
      </c>
      <c r="F214" s="152">
        <v>1.008</v>
      </c>
      <c r="G214" s="152">
        <v>1.006</v>
      </c>
      <c r="H214" s="152">
        <v>1.0109999999999999</v>
      </c>
    </row>
    <row r="215" spans="1:8" s="58" customFormat="1" ht="27" customHeight="1" x14ac:dyDescent="0.35">
      <c r="A215" s="86">
        <v>724</v>
      </c>
      <c r="B215" s="252" t="s">
        <v>842</v>
      </c>
      <c r="C215" s="253"/>
      <c r="D215" s="152">
        <v>1.0169999999999999</v>
      </c>
      <c r="E215" s="152">
        <v>1.014</v>
      </c>
      <c r="F215" s="152">
        <v>1.016</v>
      </c>
      <c r="G215" s="152">
        <v>1.0129999999999999</v>
      </c>
      <c r="H215" s="152">
        <v>1.014</v>
      </c>
    </row>
    <row r="216" spans="1:8" s="58" customFormat="1" ht="27" customHeight="1" x14ac:dyDescent="0.35">
      <c r="A216" s="86">
        <v>725</v>
      </c>
      <c r="B216" s="252" t="s">
        <v>843</v>
      </c>
      <c r="C216" s="253"/>
      <c r="D216" s="152">
        <v>1.0169999999999999</v>
      </c>
      <c r="E216" s="152">
        <v>1.014</v>
      </c>
      <c r="F216" s="152">
        <v>1.016</v>
      </c>
      <c r="G216" s="152">
        <v>1.0129999999999999</v>
      </c>
      <c r="H216" s="152">
        <v>1.014</v>
      </c>
    </row>
    <row r="217" spans="1:8" s="58" customFormat="1" ht="27" customHeight="1" x14ac:dyDescent="0.35">
      <c r="A217" s="86">
        <v>726</v>
      </c>
      <c r="B217" s="252" t="s">
        <v>844</v>
      </c>
      <c r="C217" s="253"/>
      <c r="D217" s="152">
        <v>1.004</v>
      </c>
      <c r="E217" s="152">
        <v>1.0009999999999999</v>
      </c>
      <c r="F217" s="152">
        <v>1.002</v>
      </c>
      <c r="G217" s="152">
        <v>1.002</v>
      </c>
      <c r="H217" s="152">
        <v>1.0029999999999999</v>
      </c>
    </row>
    <row r="218" spans="1:8" s="58" customFormat="1" ht="27" customHeight="1" x14ac:dyDescent="0.35">
      <c r="A218" s="86">
        <v>727</v>
      </c>
      <c r="B218" s="252" t="s">
        <v>845</v>
      </c>
      <c r="C218" s="253"/>
      <c r="D218" s="152">
        <v>1.0089999999999999</v>
      </c>
      <c r="E218" s="152">
        <v>1.004</v>
      </c>
      <c r="F218" s="152">
        <v>1.006</v>
      </c>
      <c r="G218" s="152">
        <v>1.004</v>
      </c>
      <c r="H218" s="152">
        <v>1.004</v>
      </c>
    </row>
    <row r="219" spans="1:8" s="58" customFormat="1" ht="27" customHeight="1" x14ac:dyDescent="0.35">
      <c r="A219" s="86">
        <v>728</v>
      </c>
      <c r="B219" s="252" t="s">
        <v>846</v>
      </c>
      <c r="C219" s="253"/>
      <c r="D219" s="152">
        <v>1.002</v>
      </c>
      <c r="E219" s="152">
        <v>1.0009999999999999</v>
      </c>
      <c r="F219" s="152">
        <v>1.0009999999999999</v>
      </c>
      <c r="G219" s="152">
        <v>1</v>
      </c>
      <c r="H219" s="152">
        <v>1.0009999999999999</v>
      </c>
    </row>
    <row r="220" spans="1:8" s="58" customFormat="1" ht="27" customHeight="1" x14ac:dyDescent="0.35">
      <c r="A220" s="86">
        <v>729</v>
      </c>
      <c r="B220" s="252" t="s">
        <v>847</v>
      </c>
      <c r="C220" s="253"/>
      <c r="D220" s="152">
        <v>1.0049999999999999</v>
      </c>
      <c r="E220" s="152">
        <v>1.006</v>
      </c>
      <c r="F220" s="152">
        <v>1.002</v>
      </c>
      <c r="G220" s="152">
        <v>1.0009999999999999</v>
      </c>
      <c r="H220" s="152">
        <v>1.0049999999999999</v>
      </c>
    </row>
    <row r="221" spans="1:8" s="58" customFormat="1" ht="27" customHeight="1" x14ac:dyDescent="0.35">
      <c r="A221" s="86">
        <v>730</v>
      </c>
      <c r="B221" s="252" t="s">
        <v>848</v>
      </c>
      <c r="C221" s="253"/>
      <c r="D221" s="152">
        <v>1.012</v>
      </c>
      <c r="E221" s="152">
        <v>1.0029999999999999</v>
      </c>
      <c r="F221" s="152">
        <v>1.0049999999999999</v>
      </c>
      <c r="G221" s="152">
        <v>1.006</v>
      </c>
      <c r="H221" s="152">
        <v>1.006</v>
      </c>
    </row>
    <row r="222" spans="1:8" s="58" customFormat="1" ht="27" customHeight="1" x14ac:dyDescent="0.35">
      <c r="A222" s="86">
        <v>731</v>
      </c>
      <c r="B222" s="252" t="s">
        <v>849</v>
      </c>
      <c r="C222" s="253"/>
      <c r="D222" s="152">
        <v>1.0660000000000001</v>
      </c>
      <c r="E222" s="152">
        <v>1.0389999999999999</v>
      </c>
      <c r="F222" s="152">
        <v>1.0549999999999999</v>
      </c>
      <c r="G222" s="152">
        <v>1.0349999999999999</v>
      </c>
      <c r="H222" s="152">
        <v>1.0529999999999999</v>
      </c>
    </row>
    <row r="223" spans="1:8" s="58" customFormat="1" ht="27" customHeight="1" x14ac:dyDescent="0.35">
      <c r="A223" s="86">
        <v>732</v>
      </c>
      <c r="B223" s="252" t="s">
        <v>850</v>
      </c>
      <c r="C223" s="253"/>
      <c r="D223" s="152">
        <v>1.0629999999999999</v>
      </c>
      <c r="E223" s="152">
        <v>1.0009999999999999</v>
      </c>
      <c r="F223" s="152">
        <v>1.0029999999999999</v>
      </c>
      <c r="G223" s="152">
        <v>1.006</v>
      </c>
      <c r="H223" s="152">
        <v>1.0029999999999999</v>
      </c>
    </row>
    <row r="224" spans="1:8" s="58" customFormat="1" ht="27" customHeight="1" x14ac:dyDescent="0.35">
      <c r="A224" s="86">
        <v>733</v>
      </c>
      <c r="B224" s="252" t="s">
        <v>851</v>
      </c>
      <c r="C224" s="253"/>
      <c r="D224" s="152">
        <v>1.002</v>
      </c>
      <c r="E224" s="152">
        <v>1.0009999999999999</v>
      </c>
      <c r="F224" s="152">
        <v>1.0009999999999999</v>
      </c>
      <c r="G224" s="152">
        <v>1.0009999999999999</v>
      </c>
      <c r="H224" s="152">
        <v>1.002</v>
      </c>
    </row>
    <row r="225" spans="1:8" s="58" customFormat="1" ht="27" customHeight="1" x14ac:dyDescent="0.35">
      <c r="A225" s="86">
        <v>734</v>
      </c>
      <c r="B225" s="252" t="s">
        <v>852</v>
      </c>
      <c r="C225" s="253"/>
      <c r="D225" s="152">
        <v>1.0049999999999999</v>
      </c>
      <c r="E225" s="152">
        <v>0.99399999999999999</v>
      </c>
      <c r="F225" s="152">
        <v>1</v>
      </c>
      <c r="G225" s="152">
        <v>0.99299999999999999</v>
      </c>
      <c r="H225" s="152">
        <v>1</v>
      </c>
    </row>
    <row r="226" spans="1:8" s="58" customFormat="1" ht="27" customHeight="1" x14ac:dyDescent="0.35">
      <c r="A226" s="86">
        <v>735</v>
      </c>
      <c r="B226" s="252" t="s">
        <v>853</v>
      </c>
      <c r="C226" s="253"/>
      <c r="D226" s="152">
        <v>1.018</v>
      </c>
      <c r="E226" s="152">
        <v>1.0089999999999999</v>
      </c>
      <c r="F226" s="152">
        <v>1.012</v>
      </c>
      <c r="G226" s="152">
        <v>1.0089999999999999</v>
      </c>
      <c r="H226" s="152">
        <v>1.012</v>
      </c>
    </row>
    <row r="227" spans="1:8" s="58" customFormat="1" ht="27" customHeight="1" x14ac:dyDescent="0.35">
      <c r="A227" s="86">
        <v>736</v>
      </c>
      <c r="B227" s="252" t="s">
        <v>854</v>
      </c>
      <c r="C227" s="253"/>
      <c r="D227" s="152">
        <v>1.01</v>
      </c>
      <c r="E227" s="152">
        <v>1</v>
      </c>
      <c r="F227" s="152">
        <v>1.006</v>
      </c>
      <c r="G227" s="152">
        <v>1.0009999999999999</v>
      </c>
      <c r="H227" s="152">
        <v>1.0049999999999999</v>
      </c>
    </row>
    <row r="228" spans="1:8" s="58" customFormat="1" ht="27" customHeight="1" x14ac:dyDescent="0.35">
      <c r="A228" s="86">
        <v>737</v>
      </c>
      <c r="B228" s="252" t="s">
        <v>855</v>
      </c>
      <c r="C228" s="253"/>
      <c r="D228" s="152">
        <v>1.0389999999999999</v>
      </c>
      <c r="E228" s="152">
        <v>1.012</v>
      </c>
      <c r="F228" s="152">
        <v>1.0289999999999999</v>
      </c>
      <c r="G228" s="152">
        <v>1.0149999999999999</v>
      </c>
      <c r="H228" s="152">
        <v>1.0269999999999999</v>
      </c>
    </row>
    <row r="229" spans="1:8" s="58" customFormat="1" ht="27" customHeight="1" x14ac:dyDescent="0.35">
      <c r="A229" s="86">
        <v>738</v>
      </c>
      <c r="B229" s="252" t="s">
        <v>856</v>
      </c>
      <c r="C229" s="253"/>
      <c r="D229" s="152">
        <v>1.016</v>
      </c>
      <c r="E229" s="152">
        <v>1.006</v>
      </c>
      <c r="F229" s="152">
        <v>1.0169999999999999</v>
      </c>
      <c r="G229" s="152">
        <v>1.008</v>
      </c>
      <c r="H229" s="152">
        <v>1.0149999999999999</v>
      </c>
    </row>
    <row r="230" spans="1:8" s="58" customFormat="1" ht="27" customHeight="1" x14ac:dyDescent="0.35">
      <c r="A230" s="86">
        <v>739</v>
      </c>
      <c r="B230" s="252" t="s">
        <v>889</v>
      </c>
      <c r="C230" s="253"/>
      <c r="D230" s="152">
        <v>1.004</v>
      </c>
      <c r="E230" s="152">
        <v>1.002</v>
      </c>
      <c r="F230" s="152">
        <v>1.0029999999999999</v>
      </c>
      <c r="G230" s="152">
        <v>1.0009999999999999</v>
      </c>
      <c r="H230" s="152">
        <v>1.002</v>
      </c>
    </row>
    <row r="231" spans="1:8" s="58" customFormat="1" ht="27" customHeight="1" x14ac:dyDescent="0.35">
      <c r="A231" s="86">
        <v>740</v>
      </c>
      <c r="B231" s="252" t="s">
        <v>890</v>
      </c>
      <c r="C231" s="253"/>
      <c r="D231" s="152">
        <v>0.998</v>
      </c>
      <c r="E231" s="152">
        <v>0.997</v>
      </c>
      <c r="F231" s="152">
        <v>0.998</v>
      </c>
      <c r="G231" s="152">
        <v>0.997</v>
      </c>
      <c r="H231" s="152">
        <v>0.997</v>
      </c>
    </row>
    <row r="232" spans="1:8" s="58" customFormat="1" ht="27" customHeight="1" x14ac:dyDescent="0.35">
      <c r="A232" s="86">
        <v>741</v>
      </c>
      <c r="B232" s="252" t="s">
        <v>891</v>
      </c>
      <c r="C232" s="253"/>
      <c r="D232" s="152">
        <v>0.99199999999999999</v>
      </c>
      <c r="E232" s="152">
        <v>0.99099999999999999</v>
      </c>
      <c r="F232" s="152">
        <v>0.99199999999999999</v>
      </c>
      <c r="G232" s="152">
        <v>0.99199999999999999</v>
      </c>
      <c r="H232" s="152">
        <v>0.99199999999999999</v>
      </c>
    </row>
    <row r="233" spans="1:8" s="58" customFormat="1" ht="27" customHeight="1" x14ac:dyDescent="0.35">
      <c r="A233" s="86">
        <v>742</v>
      </c>
      <c r="B233" s="252" t="s">
        <v>857</v>
      </c>
      <c r="C233" s="253"/>
      <c r="D233" s="152">
        <v>0.996</v>
      </c>
      <c r="E233" s="152">
        <v>0.99299999999999999</v>
      </c>
      <c r="F233" s="152">
        <v>0.99399999999999999</v>
      </c>
      <c r="G233" s="152">
        <v>0.99099999999999999</v>
      </c>
      <c r="H233" s="152">
        <v>0.99399999999999999</v>
      </c>
    </row>
    <row r="234" spans="1:8" s="58" customFormat="1" ht="27" customHeight="1" x14ac:dyDescent="0.35">
      <c r="A234" s="86">
        <v>743</v>
      </c>
      <c r="B234" s="252" t="s">
        <v>858</v>
      </c>
      <c r="C234" s="253"/>
      <c r="D234" s="152">
        <v>1.0009999999999999</v>
      </c>
      <c r="E234" s="152">
        <v>0.998</v>
      </c>
      <c r="F234" s="152">
        <v>1.002</v>
      </c>
      <c r="G234" s="152">
        <v>0.998</v>
      </c>
      <c r="H234" s="152">
        <v>1.002</v>
      </c>
    </row>
    <row r="235" spans="1:8" s="58" customFormat="1" ht="27" customHeight="1" x14ac:dyDescent="0.35">
      <c r="A235" s="86">
        <v>744</v>
      </c>
      <c r="B235" s="252" t="s">
        <v>859</v>
      </c>
      <c r="C235" s="253"/>
      <c r="D235" s="152">
        <v>1.0109999999999999</v>
      </c>
      <c r="E235" s="152">
        <v>1.0069999999999999</v>
      </c>
      <c r="F235" s="152">
        <v>1.008</v>
      </c>
      <c r="G235" s="152">
        <v>1.006</v>
      </c>
      <c r="H235" s="152">
        <v>1.008</v>
      </c>
    </row>
    <row r="236" spans="1:8" s="58" customFormat="1" ht="27" customHeight="1" x14ac:dyDescent="0.35">
      <c r="A236" s="86">
        <v>745</v>
      </c>
      <c r="B236" s="252" t="s">
        <v>860</v>
      </c>
      <c r="C236" s="253"/>
      <c r="D236" s="152">
        <v>1.0489999999999999</v>
      </c>
      <c r="E236" s="152">
        <v>1.0269999999999999</v>
      </c>
      <c r="F236" s="152">
        <v>1.0349999999999999</v>
      </c>
      <c r="G236" s="152">
        <v>1.026</v>
      </c>
      <c r="H236" s="152">
        <v>1.036</v>
      </c>
    </row>
    <row r="237" spans="1:8" s="58" customFormat="1" ht="27" customHeight="1" x14ac:dyDescent="0.35">
      <c r="A237" s="86">
        <v>746</v>
      </c>
      <c r="B237" s="252" t="s">
        <v>861</v>
      </c>
      <c r="C237" s="253"/>
      <c r="D237" s="152">
        <v>1.014</v>
      </c>
      <c r="E237" s="152">
        <v>1.002</v>
      </c>
      <c r="F237" s="152">
        <v>1.0089999999999999</v>
      </c>
      <c r="G237" s="152">
        <v>0.999</v>
      </c>
      <c r="H237" s="152">
        <v>1.008</v>
      </c>
    </row>
    <row r="238" spans="1:8" s="58" customFormat="1" ht="27" customHeight="1" x14ac:dyDescent="0.35">
      <c r="A238" s="86">
        <v>747</v>
      </c>
      <c r="B238" s="252" t="s">
        <v>862</v>
      </c>
      <c r="C238" s="253"/>
      <c r="D238" s="152">
        <v>1.034</v>
      </c>
      <c r="E238" s="152">
        <v>1.0109999999999999</v>
      </c>
      <c r="F238" s="152">
        <v>1.0169999999999999</v>
      </c>
      <c r="G238" s="152">
        <v>1.0149999999999999</v>
      </c>
      <c r="H238" s="152">
        <v>1.0169999999999999</v>
      </c>
    </row>
    <row r="239" spans="1:8" s="58" customFormat="1" ht="27" customHeight="1" x14ac:dyDescent="0.35">
      <c r="A239" s="86">
        <v>748</v>
      </c>
      <c r="B239" s="252" t="s">
        <v>863</v>
      </c>
      <c r="C239" s="253"/>
      <c r="D239" s="152">
        <v>1.01</v>
      </c>
      <c r="E239" s="152">
        <v>0.999</v>
      </c>
      <c r="F239" s="152">
        <v>1.008</v>
      </c>
      <c r="G239" s="152">
        <v>1.002</v>
      </c>
      <c r="H239" s="152">
        <v>1.006</v>
      </c>
    </row>
    <row r="240" spans="1:8" s="58" customFormat="1" ht="27" customHeight="1" x14ac:dyDescent="0.35">
      <c r="A240" s="86">
        <v>749</v>
      </c>
      <c r="B240" s="252" t="s">
        <v>864</v>
      </c>
      <c r="C240" s="253"/>
      <c r="D240" s="152">
        <v>1.0149999999999999</v>
      </c>
      <c r="E240" s="152">
        <v>1.008</v>
      </c>
      <c r="F240" s="152">
        <v>1.0089999999999999</v>
      </c>
      <c r="G240" s="152">
        <v>1.0089999999999999</v>
      </c>
      <c r="H240" s="152">
        <v>1.0109999999999999</v>
      </c>
    </row>
    <row r="241" spans="1:8" s="58" customFormat="1" ht="27" customHeight="1" x14ac:dyDescent="0.35">
      <c r="A241" s="86">
        <v>750</v>
      </c>
      <c r="B241" s="252" t="s">
        <v>865</v>
      </c>
      <c r="C241" s="253"/>
      <c r="D241" s="152">
        <v>1.014</v>
      </c>
      <c r="E241" s="152">
        <v>1.0089999999999999</v>
      </c>
      <c r="F241" s="152">
        <v>1.0129999999999999</v>
      </c>
      <c r="G241" s="152">
        <v>1.0029999999999999</v>
      </c>
      <c r="H241" s="152">
        <v>1.014</v>
      </c>
    </row>
    <row r="242" spans="1:8" s="58" customFormat="1" ht="27" customHeight="1" x14ac:dyDescent="0.35">
      <c r="A242" s="86">
        <v>751</v>
      </c>
      <c r="B242" s="252" t="s">
        <v>866</v>
      </c>
      <c r="C242" s="253"/>
      <c r="D242" s="152">
        <v>1.032</v>
      </c>
      <c r="E242" s="152">
        <v>1.0109999999999999</v>
      </c>
      <c r="F242" s="152">
        <v>1.0169999999999999</v>
      </c>
      <c r="G242" s="152">
        <v>1.008</v>
      </c>
      <c r="H242" s="152">
        <v>1.0209999999999999</v>
      </c>
    </row>
    <row r="243" spans="1:8" s="58" customFormat="1" ht="27" customHeight="1" x14ac:dyDescent="0.35">
      <c r="A243" s="86">
        <v>752</v>
      </c>
      <c r="B243" s="252" t="s">
        <v>867</v>
      </c>
      <c r="C243" s="253"/>
      <c r="D243" s="152">
        <v>1.0169999999999999</v>
      </c>
      <c r="E243" s="152">
        <v>1.0109999999999999</v>
      </c>
      <c r="F243" s="152">
        <v>1.0129999999999999</v>
      </c>
      <c r="G243" s="152">
        <v>1.0129999999999999</v>
      </c>
      <c r="H243" s="152">
        <v>1.014</v>
      </c>
    </row>
    <row r="244" spans="1:8" s="58" customFormat="1" ht="27" customHeight="1" x14ac:dyDescent="0.35">
      <c r="A244" s="86">
        <v>753</v>
      </c>
      <c r="B244" s="252" t="s">
        <v>868</v>
      </c>
      <c r="C244" s="253"/>
      <c r="D244" s="152">
        <v>1.006</v>
      </c>
      <c r="E244" s="152">
        <v>1.002</v>
      </c>
      <c r="F244" s="152">
        <v>1.004</v>
      </c>
      <c r="G244" s="152">
        <v>1.0029999999999999</v>
      </c>
      <c r="H244" s="152">
        <v>1.004</v>
      </c>
    </row>
    <row r="245" spans="1:8" s="58" customFormat="1" ht="27" customHeight="1" x14ac:dyDescent="0.35">
      <c r="A245" s="86">
        <v>754</v>
      </c>
      <c r="B245" s="252" t="s">
        <v>869</v>
      </c>
      <c r="C245" s="253"/>
      <c r="D245" s="152">
        <v>1.0189999999999999</v>
      </c>
      <c r="E245" s="152">
        <v>1.0009999999999999</v>
      </c>
      <c r="F245" s="152">
        <v>1.0069999999999999</v>
      </c>
      <c r="G245" s="152">
        <v>1.008</v>
      </c>
      <c r="H245" s="152">
        <v>1.008</v>
      </c>
    </row>
    <row r="246" spans="1:8" s="58" customFormat="1" ht="27" customHeight="1" x14ac:dyDescent="0.35">
      <c r="A246" s="86">
        <v>755</v>
      </c>
      <c r="B246" s="252" t="s">
        <v>870</v>
      </c>
      <c r="C246" s="253"/>
      <c r="D246" s="152">
        <v>1.0229999999999999</v>
      </c>
      <c r="E246" s="152">
        <v>1.0069999999999999</v>
      </c>
      <c r="F246" s="152">
        <v>1.0109999999999999</v>
      </c>
      <c r="G246" s="152">
        <v>1.01</v>
      </c>
      <c r="H246" s="152">
        <v>1.0109999999999999</v>
      </c>
    </row>
    <row r="247" spans="1:8" s="58" customFormat="1" ht="27" customHeight="1" x14ac:dyDescent="0.35">
      <c r="A247" s="86">
        <v>756</v>
      </c>
      <c r="B247" s="252" t="s">
        <v>871</v>
      </c>
      <c r="C247" s="253"/>
      <c r="D247" s="152">
        <v>1.0249999999999999</v>
      </c>
      <c r="E247" s="152">
        <v>1.018</v>
      </c>
      <c r="F247" s="152">
        <v>1.022</v>
      </c>
      <c r="G247" s="152">
        <v>1.01</v>
      </c>
      <c r="H247" s="152">
        <v>1.0249999999999999</v>
      </c>
    </row>
    <row r="248" spans="1:8" s="58" customFormat="1" ht="27" customHeight="1" x14ac:dyDescent="0.35">
      <c r="A248" s="86">
        <v>757</v>
      </c>
      <c r="B248" s="252" t="s">
        <v>872</v>
      </c>
      <c r="C248" s="253"/>
      <c r="D248" s="152">
        <v>1.0249999999999999</v>
      </c>
      <c r="E248" s="152">
        <v>1.0069999999999999</v>
      </c>
      <c r="F248" s="152">
        <v>1.0069999999999999</v>
      </c>
      <c r="G248" s="152">
        <v>1.008</v>
      </c>
      <c r="H248" s="152">
        <v>1.0169999999999999</v>
      </c>
    </row>
    <row r="249" spans="1:8" s="58" customFormat="1" ht="27" customHeight="1" x14ac:dyDescent="0.35">
      <c r="A249" s="86">
        <v>758</v>
      </c>
      <c r="B249" s="252" t="s">
        <v>873</v>
      </c>
      <c r="C249" s="253"/>
      <c r="D249" s="152">
        <v>1.04</v>
      </c>
      <c r="E249" s="152">
        <v>1.0249999999999999</v>
      </c>
      <c r="F249" s="152">
        <v>1.026</v>
      </c>
      <c r="G249" s="152">
        <v>1.0229999999999999</v>
      </c>
      <c r="H249" s="152">
        <v>1.026</v>
      </c>
    </row>
    <row r="250" spans="1:8" s="58" customFormat="1" ht="27" customHeight="1" x14ac:dyDescent="0.35">
      <c r="A250" s="86">
        <v>759</v>
      </c>
      <c r="B250" s="252" t="s">
        <v>874</v>
      </c>
      <c r="C250" s="253"/>
      <c r="D250" s="152">
        <v>1.038</v>
      </c>
      <c r="E250" s="152">
        <v>1.024</v>
      </c>
      <c r="F250" s="152">
        <v>1.032</v>
      </c>
      <c r="G250" s="152">
        <v>1.0229999999999999</v>
      </c>
      <c r="H250" s="152">
        <v>1.036</v>
      </c>
    </row>
    <row r="251" spans="1:8" s="58" customFormat="1" ht="27" customHeight="1" x14ac:dyDescent="0.35">
      <c r="A251" s="86">
        <v>760</v>
      </c>
      <c r="B251" s="252" t="s">
        <v>875</v>
      </c>
      <c r="C251" s="253"/>
      <c r="D251" s="152">
        <v>1.0449999999999999</v>
      </c>
      <c r="E251" s="152">
        <v>1</v>
      </c>
      <c r="F251" s="152">
        <v>1.03</v>
      </c>
      <c r="G251" s="152">
        <v>1.02</v>
      </c>
      <c r="H251" s="152">
        <v>1.028</v>
      </c>
    </row>
    <row r="252" spans="1:8" s="58" customFormat="1" ht="27" customHeight="1" x14ac:dyDescent="0.35">
      <c r="A252" s="86">
        <v>761</v>
      </c>
      <c r="B252" s="252" t="s">
        <v>876</v>
      </c>
      <c r="C252" s="253"/>
      <c r="D252" s="152">
        <v>1.0109999999999999</v>
      </c>
      <c r="E252" s="152">
        <v>1.0049999999999999</v>
      </c>
      <c r="F252" s="152">
        <v>1.004</v>
      </c>
      <c r="G252" s="152">
        <v>1.004</v>
      </c>
      <c r="H252" s="152">
        <v>1.0089999999999999</v>
      </c>
    </row>
    <row r="253" spans="1:8" s="58" customFormat="1" ht="27" customHeight="1" x14ac:dyDescent="0.35">
      <c r="A253" s="86">
        <v>762</v>
      </c>
      <c r="B253" s="252" t="s">
        <v>877</v>
      </c>
      <c r="C253" s="253"/>
      <c r="D253" s="152">
        <v>1.014</v>
      </c>
      <c r="E253" s="152">
        <v>1.004</v>
      </c>
      <c r="F253" s="152">
        <v>1.0089999999999999</v>
      </c>
      <c r="G253" s="152">
        <v>1.008</v>
      </c>
      <c r="H253" s="152">
        <v>1.0049999999999999</v>
      </c>
    </row>
    <row r="254" spans="1:8" s="58" customFormat="1" ht="27" customHeight="1" x14ac:dyDescent="0.35">
      <c r="A254" s="86">
        <v>763</v>
      </c>
      <c r="B254" s="252" t="s">
        <v>878</v>
      </c>
      <c r="C254" s="253"/>
      <c r="D254" s="152">
        <v>1.014</v>
      </c>
      <c r="E254" s="152">
        <v>1.002</v>
      </c>
      <c r="F254" s="152">
        <v>1.006</v>
      </c>
      <c r="G254" s="152">
        <v>1.0069999999999999</v>
      </c>
      <c r="H254" s="152">
        <v>1.006</v>
      </c>
    </row>
    <row r="255" spans="1:8" s="58" customFormat="1" ht="27" customHeight="1" x14ac:dyDescent="0.35">
      <c r="A255" s="86">
        <v>764</v>
      </c>
      <c r="B255" s="252" t="s">
        <v>879</v>
      </c>
      <c r="C255" s="253"/>
      <c r="D255" s="152">
        <v>1.0009999999999999</v>
      </c>
      <c r="E255" s="152">
        <v>0.996</v>
      </c>
      <c r="F255" s="152">
        <v>0.997</v>
      </c>
      <c r="G255" s="152">
        <v>1</v>
      </c>
      <c r="H255" s="152">
        <v>0.997</v>
      </c>
    </row>
    <row r="256" spans="1:8" s="58" customFormat="1" ht="27" customHeight="1" x14ac:dyDescent="0.35">
      <c r="A256" s="86">
        <v>765</v>
      </c>
      <c r="B256" s="252" t="s">
        <v>880</v>
      </c>
      <c r="C256" s="253"/>
      <c r="D256" s="152">
        <v>1.0109999999999999</v>
      </c>
      <c r="E256" s="152">
        <v>1.006</v>
      </c>
      <c r="F256" s="152">
        <v>1.0089999999999999</v>
      </c>
      <c r="G256" s="152">
        <v>1.0069999999999999</v>
      </c>
      <c r="H256" s="152">
        <v>1.0089999999999999</v>
      </c>
    </row>
    <row r="257" spans="1:8" s="58" customFormat="1" ht="27" customHeight="1" x14ac:dyDescent="0.35">
      <c r="A257" s="86">
        <v>766</v>
      </c>
      <c r="B257" s="252" t="s">
        <v>2036</v>
      </c>
      <c r="C257" s="253"/>
      <c r="D257" s="152">
        <v>1.004</v>
      </c>
      <c r="E257" s="152">
        <v>1.0029999999999999</v>
      </c>
      <c r="F257" s="152">
        <v>1.0029999999999999</v>
      </c>
      <c r="G257" s="152">
        <v>1.002</v>
      </c>
      <c r="H257" s="152">
        <v>1.0029999999999999</v>
      </c>
    </row>
    <row r="258" spans="1:8" s="58" customFormat="1" ht="27" customHeight="1" x14ac:dyDescent="0.35">
      <c r="A258" s="86">
        <v>767</v>
      </c>
      <c r="B258" s="252" t="s">
        <v>2037</v>
      </c>
      <c r="C258" s="253"/>
      <c r="D258" s="152">
        <v>1.0009999999999999</v>
      </c>
      <c r="E258" s="152">
        <v>0.995</v>
      </c>
      <c r="F258" s="152">
        <v>1.0009999999999999</v>
      </c>
      <c r="G258" s="152">
        <v>1.002</v>
      </c>
      <c r="H258" s="152">
        <v>0.999</v>
      </c>
    </row>
    <row r="259" spans="1:8" s="58" customFormat="1" ht="27" customHeight="1" x14ac:dyDescent="0.35">
      <c r="A259" s="86">
        <v>768</v>
      </c>
      <c r="B259" s="252" t="s">
        <v>2038</v>
      </c>
      <c r="C259" s="253"/>
      <c r="D259" s="152">
        <v>1.008</v>
      </c>
      <c r="E259" s="152">
        <v>0.996</v>
      </c>
      <c r="F259" s="152">
        <v>1.002</v>
      </c>
      <c r="G259" s="152">
        <v>1.002</v>
      </c>
      <c r="H259" s="152">
        <v>0.999</v>
      </c>
    </row>
    <row r="260" spans="1:8" s="58" customFormat="1" ht="27" customHeight="1" x14ac:dyDescent="0.35">
      <c r="A260" s="86">
        <v>769</v>
      </c>
      <c r="B260" s="252" t="s">
        <v>2039</v>
      </c>
      <c r="C260" s="253"/>
      <c r="D260" s="152">
        <v>1.0049999999999999</v>
      </c>
      <c r="E260" s="152">
        <v>0.995</v>
      </c>
      <c r="F260" s="152">
        <v>0.999</v>
      </c>
      <c r="G260" s="152">
        <v>1.004</v>
      </c>
      <c r="H260" s="152">
        <v>0.999</v>
      </c>
    </row>
    <row r="261" spans="1:8" s="58" customFormat="1" ht="27" customHeight="1" x14ac:dyDescent="0.35">
      <c r="A261" s="86">
        <v>770</v>
      </c>
      <c r="B261" s="252" t="s">
        <v>2040</v>
      </c>
      <c r="C261" s="253"/>
      <c r="D261" s="152">
        <v>1.008</v>
      </c>
      <c r="E261" s="152">
        <v>0.996</v>
      </c>
      <c r="F261" s="152">
        <v>0.999</v>
      </c>
      <c r="G261" s="152">
        <v>1.0029999999999999</v>
      </c>
      <c r="H261" s="152">
        <v>0.997</v>
      </c>
    </row>
    <row r="262" spans="1:8" s="58" customFormat="1" ht="27" customHeight="1" x14ac:dyDescent="0.35">
      <c r="A262" s="86">
        <v>775</v>
      </c>
      <c r="B262" s="252" t="s">
        <v>881</v>
      </c>
      <c r="C262" s="253"/>
      <c r="D262" s="152">
        <v>1.0409999999999999</v>
      </c>
      <c r="E262" s="152">
        <v>1.022</v>
      </c>
      <c r="F262" s="152">
        <v>1.0269999999999999</v>
      </c>
      <c r="G262" s="152">
        <v>1.0089999999999999</v>
      </c>
      <c r="H262" s="152">
        <v>1.03</v>
      </c>
    </row>
    <row r="263" spans="1:8" s="58" customFormat="1" ht="27" customHeight="1" x14ac:dyDescent="0.35">
      <c r="A263" s="86">
        <v>776</v>
      </c>
      <c r="B263" s="252" t="s">
        <v>882</v>
      </c>
      <c r="C263" s="253"/>
      <c r="D263" s="152">
        <v>1.002</v>
      </c>
      <c r="E263" s="152">
        <v>1.002</v>
      </c>
      <c r="F263" s="152">
        <v>1.002</v>
      </c>
      <c r="G263" s="152">
        <v>1.0009999999999999</v>
      </c>
      <c r="H263" s="152">
        <v>1.002</v>
      </c>
    </row>
    <row r="264" spans="1:8" s="58" customFormat="1" ht="27" customHeight="1" x14ac:dyDescent="0.35">
      <c r="A264" s="86">
        <v>777</v>
      </c>
      <c r="B264" s="252" t="s">
        <v>883</v>
      </c>
      <c r="C264" s="253"/>
      <c r="D264" s="152">
        <v>1.028</v>
      </c>
      <c r="E264" s="152">
        <v>1.0109999999999999</v>
      </c>
      <c r="F264" s="152">
        <v>1.0189999999999999</v>
      </c>
      <c r="G264" s="152">
        <v>1.008</v>
      </c>
      <c r="H264" s="152">
        <v>1.022</v>
      </c>
    </row>
    <row r="265" spans="1:8" s="58" customFormat="1" ht="27" customHeight="1" x14ac:dyDescent="0.35">
      <c r="A265" s="86">
        <v>778</v>
      </c>
      <c r="B265" s="252" t="s">
        <v>884</v>
      </c>
      <c r="C265" s="253"/>
      <c r="D265" s="152">
        <v>1.012</v>
      </c>
      <c r="E265" s="152">
        <v>1.0069999999999999</v>
      </c>
      <c r="F265" s="152">
        <v>1.0089999999999999</v>
      </c>
      <c r="G265" s="152">
        <v>1.006</v>
      </c>
      <c r="H265" s="152">
        <v>1.008</v>
      </c>
    </row>
    <row r="266" spans="1:8" s="58" customFormat="1" ht="27" customHeight="1" x14ac:dyDescent="0.35">
      <c r="A266" s="86">
        <v>779</v>
      </c>
      <c r="B266" s="252" t="s">
        <v>885</v>
      </c>
      <c r="C266" s="253"/>
      <c r="D266" s="152">
        <v>1.0529999999999999</v>
      </c>
      <c r="E266" s="152">
        <v>1.022</v>
      </c>
      <c r="F266" s="152">
        <v>1.046</v>
      </c>
      <c r="G266" s="152">
        <v>1.0269999999999999</v>
      </c>
      <c r="H266" s="152">
        <v>1.0389999999999999</v>
      </c>
    </row>
    <row r="267" spans="1:8" s="58" customFormat="1" ht="27" customHeight="1" x14ac:dyDescent="0.35">
      <c r="A267" s="86">
        <v>780</v>
      </c>
      <c r="B267" s="252" t="s">
        <v>2104</v>
      </c>
      <c r="C267" s="253"/>
      <c r="D267" s="152">
        <v>1.0269999999999999</v>
      </c>
      <c r="E267" s="152">
        <v>1.0089999999999999</v>
      </c>
      <c r="F267" s="152">
        <v>1.016</v>
      </c>
      <c r="G267" s="152">
        <v>1.0109999999999999</v>
      </c>
      <c r="H267" s="152">
        <v>1.014</v>
      </c>
    </row>
    <row r="268" spans="1:8" s="58" customFormat="1" ht="27" customHeight="1" x14ac:dyDescent="0.35">
      <c r="A268" s="86">
        <v>781</v>
      </c>
      <c r="B268" s="252" t="s">
        <v>2105</v>
      </c>
      <c r="C268" s="253"/>
      <c r="D268" s="152">
        <v>1.006</v>
      </c>
      <c r="E268" s="152">
        <v>1.0029999999999999</v>
      </c>
      <c r="F268" s="152">
        <v>1.0069999999999999</v>
      </c>
      <c r="G268" s="152">
        <v>1.006</v>
      </c>
      <c r="H268" s="152">
        <v>1.0069999999999999</v>
      </c>
    </row>
    <row r="269" spans="1:8" s="58" customFormat="1" ht="27" customHeight="1" x14ac:dyDescent="0.35">
      <c r="A269" s="86">
        <v>782</v>
      </c>
      <c r="B269" s="252" t="s">
        <v>2106</v>
      </c>
      <c r="C269" s="253"/>
      <c r="D269" s="152">
        <v>1.012</v>
      </c>
      <c r="E269" s="152">
        <v>1.0049999999999999</v>
      </c>
      <c r="F269" s="152">
        <v>1.022</v>
      </c>
      <c r="G269" s="152">
        <v>1.008</v>
      </c>
      <c r="H269" s="152">
        <v>1.0129999999999999</v>
      </c>
    </row>
    <row r="270" spans="1:8" s="58" customFormat="1" ht="27" customHeight="1" x14ac:dyDescent="0.35">
      <c r="A270" s="86">
        <v>783</v>
      </c>
      <c r="B270" s="252" t="s">
        <v>2107</v>
      </c>
      <c r="C270" s="253"/>
      <c r="D270" s="152">
        <v>1.032</v>
      </c>
      <c r="E270" s="152">
        <v>1.006</v>
      </c>
      <c r="F270" s="152">
        <v>1.0089999999999999</v>
      </c>
      <c r="G270" s="152">
        <v>1.0109999999999999</v>
      </c>
      <c r="H270" s="152">
        <v>1.0149999999999999</v>
      </c>
    </row>
    <row r="271" spans="1:8" s="58" customFormat="1" ht="27" customHeight="1" x14ac:dyDescent="0.35">
      <c r="A271" s="86">
        <v>784</v>
      </c>
      <c r="B271" s="252" t="s">
        <v>2108</v>
      </c>
      <c r="C271" s="253"/>
      <c r="D271" s="152">
        <v>1.0009999999999999</v>
      </c>
      <c r="E271" s="152">
        <v>0.99099999999999999</v>
      </c>
      <c r="F271" s="152">
        <v>0.99399999999999999</v>
      </c>
      <c r="G271" s="152">
        <v>0.999</v>
      </c>
      <c r="H271" s="152">
        <v>0.99199999999999999</v>
      </c>
    </row>
    <row r="272" spans="1:8" s="58" customFormat="1" ht="27" customHeight="1" x14ac:dyDescent="0.35">
      <c r="A272" s="86">
        <v>785</v>
      </c>
      <c r="B272" s="252" t="s">
        <v>2109</v>
      </c>
      <c r="C272" s="253"/>
      <c r="D272" s="152">
        <v>0.98499999999999999</v>
      </c>
      <c r="E272" s="152">
        <v>1.0069999999999999</v>
      </c>
      <c r="F272" s="152">
        <v>1.02</v>
      </c>
      <c r="G272" s="152">
        <v>1.0089999999999999</v>
      </c>
      <c r="H272" s="152">
        <v>1.008</v>
      </c>
    </row>
    <row r="273" spans="1:8" s="58" customFormat="1" ht="27" customHeight="1" x14ac:dyDescent="0.35">
      <c r="A273" s="86">
        <v>786</v>
      </c>
      <c r="B273" s="252" t="s">
        <v>2110</v>
      </c>
      <c r="C273" s="253"/>
      <c r="D273" s="152">
        <v>1.0129999999999999</v>
      </c>
      <c r="E273" s="152">
        <v>1.004</v>
      </c>
      <c r="F273" s="152">
        <v>1.0049999999999999</v>
      </c>
      <c r="G273" s="152">
        <v>1.004</v>
      </c>
      <c r="H273" s="152">
        <v>1.006</v>
      </c>
    </row>
    <row r="274" spans="1:8" s="58" customFormat="1" ht="27" customHeight="1" x14ac:dyDescent="0.35">
      <c r="A274" s="86">
        <v>787</v>
      </c>
      <c r="B274" s="252" t="s">
        <v>2111</v>
      </c>
      <c r="C274" s="253"/>
      <c r="D274" s="152">
        <v>0.996</v>
      </c>
      <c r="E274" s="152">
        <v>0.98799999999999999</v>
      </c>
      <c r="F274" s="152">
        <v>0.99199999999999999</v>
      </c>
      <c r="G274" s="152">
        <v>0.996</v>
      </c>
      <c r="H274" s="152">
        <v>0.98599999999999999</v>
      </c>
    </row>
    <row r="275" spans="1:8" s="58" customFormat="1" ht="27" customHeight="1" x14ac:dyDescent="0.35">
      <c r="A275" s="86">
        <v>788</v>
      </c>
      <c r="B275" s="252" t="s">
        <v>2112</v>
      </c>
      <c r="C275" s="253"/>
      <c r="D275" s="152">
        <v>1.008</v>
      </c>
      <c r="E275" s="152">
        <v>0.98599999999999999</v>
      </c>
      <c r="F275" s="152">
        <v>0.995</v>
      </c>
      <c r="G275" s="152">
        <v>1.0029999999999999</v>
      </c>
      <c r="H275" s="152">
        <v>0.99199999999999999</v>
      </c>
    </row>
    <row r="276" spans="1:8" s="58" customFormat="1" ht="27" customHeight="1" x14ac:dyDescent="0.35">
      <c r="A276" s="86">
        <v>789</v>
      </c>
      <c r="B276" s="252" t="s">
        <v>2113</v>
      </c>
      <c r="C276" s="253"/>
      <c r="D276" s="152">
        <v>1.0049999999999999</v>
      </c>
      <c r="E276" s="152">
        <v>0.998</v>
      </c>
      <c r="F276" s="152">
        <v>1.002</v>
      </c>
      <c r="G276" s="152">
        <v>1.004</v>
      </c>
      <c r="H276" s="152">
        <v>1.002</v>
      </c>
    </row>
    <row r="277" spans="1:8" s="58" customFormat="1" ht="27" customHeight="1" x14ac:dyDescent="0.35">
      <c r="A277" s="86">
        <v>790</v>
      </c>
      <c r="B277" s="252" t="s">
        <v>2114</v>
      </c>
      <c r="C277" s="253"/>
      <c r="D277" s="152">
        <v>1.028</v>
      </c>
      <c r="E277" s="152">
        <v>1.012</v>
      </c>
      <c r="F277" s="152">
        <v>1.018</v>
      </c>
      <c r="G277" s="152">
        <v>1.01</v>
      </c>
      <c r="H277" s="152">
        <v>1.012</v>
      </c>
    </row>
    <row r="278" spans="1:8" s="58" customFormat="1" ht="27" customHeight="1" x14ac:dyDescent="0.35"/>
    <row r="279" spans="1:8" s="58" customFormat="1" ht="27" customHeight="1" x14ac:dyDescent="0.35">
      <c r="A279" s="254" t="s">
        <v>892</v>
      </c>
      <c r="B279" s="255"/>
      <c r="C279" s="255"/>
      <c r="D279" s="255"/>
      <c r="E279" s="255"/>
      <c r="F279" s="255"/>
      <c r="G279" s="255"/>
      <c r="H279" s="255"/>
    </row>
    <row r="280" spans="1:8" s="58" customFormat="1" ht="27" customHeight="1" x14ac:dyDescent="0.35">
      <c r="A280" s="17" t="s">
        <v>893</v>
      </c>
      <c r="B280" s="255" t="s">
        <v>59</v>
      </c>
      <c r="C280" s="255"/>
      <c r="D280" s="17" t="s">
        <v>54</v>
      </c>
      <c r="E280" s="17" t="s">
        <v>55</v>
      </c>
      <c r="F280" s="17" t="s">
        <v>56</v>
      </c>
      <c r="G280" s="17" t="s">
        <v>57</v>
      </c>
      <c r="H280" s="17" t="s">
        <v>697</v>
      </c>
    </row>
    <row r="281" spans="1:8" s="58" customFormat="1" ht="27" customHeight="1" x14ac:dyDescent="0.35">
      <c r="A281" s="86">
        <v>1413</v>
      </c>
      <c r="B281" s="252" t="s">
        <v>894</v>
      </c>
      <c r="C281" s="253"/>
      <c r="D281" s="152">
        <v>0.999</v>
      </c>
      <c r="E281" s="152">
        <v>1</v>
      </c>
      <c r="F281" s="152">
        <v>1</v>
      </c>
      <c r="G281" s="152">
        <v>1</v>
      </c>
      <c r="H281" s="152">
        <v>1</v>
      </c>
    </row>
    <row r="282" spans="1:8" s="58" customFormat="1" ht="27" customHeight="1" x14ac:dyDescent="0.35">
      <c r="A282" s="86">
        <v>1414</v>
      </c>
      <c r="B282" s="252" t="s">
        <v>895</v>
      </c>
      <c r="C282" s="253"/>
      <c r="D282" s="152">
        <v>0.999</v>
      </c>
      <c r="E282" s="152">
        <v>1</v>
      </c>
      <c r="F282" s="152">
        <v>0.999</v>
      </c>
      <c r="G282" s="152">
        <v>1</v>
      </c>
      <c r="H282" s="152">
        <v>1</v>
      </c>
    </row>
    <row r="283" spans="1:8" s="58" customFormat="1" ht="27" customHeight="1" x14ac:dyDescent="0.35">
      <c r="A283" s="86">
        <v>1440</v>
      </c>
      <c r="B283" s="252" t="s">
        <v>896</v>
      </c>
      <c r="C283" s="253"/>
      <c r="D283" s="152">
        <v>1.0049999999999999</v>
      </c>
      <c r="E283" s="152">
        <v>1.0029999999999999</v>
      </c>
      <c r="F283" s="152">
        <v>1.004</v>
      </c>
      <c r="G283" s="152">
        <v>1.0029999999999999</v>
      </c>
      <c r="H283" s="152">
        <v>1.004</v>
      </c>
    </row>
    <row r="284" spans="1:8" s="58" customFormat="1" ht="27" customHeight="1" x14ac:dyDescent="0.35">
      <c r="A284" s="86">
        <v>7006</v>
      </c>
      <c r="B284" s="252" t="s">
        <v>897</v>
      </c>
      <c r="C284" s="253"/>
      <c r="D284" s="152">
        <v>1.014</v>
      </c>
      <c r="E284" s="152">
        <v>1.0049999999999999</v>
      </c>
      <c r="F284" s="152">
        <v>1.0109999999999999</v>
      </c>
      <c r="G284" s="152">
        <v>1.0109999999999999</v>
      </c>
      <c r="H284" s="152">
        <v>1.01</v>
      </c>
    </row>
    <row r="285" spans="1:8" s="58" customFormat="1" ht="27" customHeight="1" x14ac:dyDescent="0.35">
      <c r="A285" s="86">
        <v>2035</v>
      </c>
      <c r="B285" s="252" t="s">
        <v>898</v>
      </c>
      <c r="C285" s="253"/>
      <c r="D285" s="152">
        <v>1.012</v>
      </c>
      <c r="E285" s="152">
        <v>1.0069999999999999</v>
      </c>
      <c r="F285" s="152">
        <v>1.0089999999999999</v>
      </c>
      <c r="G285" s="152">
        <v>1.008</v>
      </c>
      <c r="H285" s="152">
        <v>1.0089999999999999</v>
      </c>
    </row>
    <row r="286" spans="1:8" s="58" customFormat="1" ht="27" customHeight="1" x14ac:dyDescent="0.35">
      <c r="A286" s="86">
        <v>1419</v>
      </c>
      <c r="B286" s="252" t="s">
        <v>899</v>
      </c>
      <c r="C286" s="253"/>
      <c r="D286" s="152">
        <v>1</v>
      </c>
      <c r="E286" s="152">
        <v>1</v>
      </c>
      <c r="F286" s="152">
        <v>1</v>
      </c>
      <c r="G286" s="152">
        <v>1</v>
      </c>
      <c r="H286" s="152">
        <v>1</v>
      </c>
    </row>
    <row r="287" spans="1:8" s="58" customFormat="1" ht="27" customHeight="1" x14ac:dyDescent="0.35">
      <c r="A287" s="86">
        <v>7044</v>
      </c>
      <c r="B287" s="252" t="s">
        <v>900</v>
      </c>
      <c r="C287" s="253"/>
      <c r="D287" s="152">
        <v>1.008</v>
      </c>
      <c r="E287" s="152">
        <v>1</v>
      </c>
      <c r="F287" s="152">
        <v>1.0029999999999999</v>
      </c>
      <c r="G287" s="152">
        <v>1.0049999999999999</v>
      </c>
      <c r="H287" s="152">
        <v>1.006</v>
      </c>
    </row>
    <row r="288" spans="1:8" s="58" customFormat="1" ht="27" customHeight="1" x14ac:dyDescent="0.35">
      <c r="A288" s="86">
        <v>7074</v>
      </c>
      <c r="B288" s="252" t="s">
        <v>901</v>
      </c>
      <c r="C288" s="253"/>
      <c r="D288" s="152">
        <v>1.0529999999999999</v>
      </c>
      <c r="E288" s="152">
        <v>1.04</v>
      </c>
      <c r="F288" s="152">
        <v>1.046</v>
      </c>
      <c r="G288" s="152">
        <v>1.0349999999999999</v>
      </c>
      <c r="H288" s="152">
        <v>1.0409999999999999</v>
      </c>
    </row>
    <row r="289" spans="1:8" s="58" customFormat="1" ht="27" customHeight="1" x14ac:dyDescent="0.35">
      <c r="A289" s="86">
        <v>7111</v>
      </c>
      <c r="B289" s="252" t="s">
        <v>902</v>
      </c>
      <c r="C289" s="253"/>
      <c r="D289" s="152">
        <v>1</v>
      </c>
      <c r="E289" s="152">
        <v>1</v>
      </c>
      <c r="F289" s="152">
        <v>0.997</v>
      </c>
      <c r="G289" s="152">
        <v>0.995</v>
      </c>
      <c r="H289" s="152">
        <v>0.998</v>
      </c>
    </row>
    <row r="290" spans="1:8" s="58" customFormat="1" ht="27" customHeight="1" x14ac:dyDescent="0.35">
      <c r="A290" s="86">
        <v>7277</v>
      </c>
      <c r="B290" s="252" t="s">
        <v>903</v>
      </c>
      <c r="C290" s="253"/>
      <c r="D290" s="152">
        <v>0.94599999999999995</v>
      </c>
      <c r="E290" s="152">
        <v>0.97599999999999998</v>
      </c>
      <c r="F290" s="152">
        <v>0.95199999999999996</v>
      </c>
      <c r="G290" s="152">
        <v>0.96499999999999997</v>
      </c>
      <c r="H290" s="152">
        <v>0.95599999999999996</v>
      </c>
    </row>
    <row r="291" spans="1:8" s="58" customFormat="1" ht="27" customHeight="1" x14ac:dyDescent="0.35">
      <c r="A291" s="86" t="s">
        <v>2041</v>
      </c>
      <c r="B291" s="252" t="s">
        <v>2042</v>
      </c>
      <c r="C291" s="253"/>
      <c r="D291" s="152">
        <v>1.0169999999999999</v>
      </c>
      <c r="E291" s="152">
        <v>1.014</v>
      </c>
      <c r="F291" s="152">
        <v>1.016</v>
      </c>
      <c r="G291" s="152">
        <v>1.0129999999999999</v>
      </c>
      <c r="H291" s="152">
        <v>1.014</v>
      </c>
    </row>
    <row r="292" spans="1:8" s="58" customFormat="1" x14ac:dyDescent="0.35"/>
    <row r="293" spans="1:8" s="58" customFormat="1" x14ac:dyDescent="0.35"/>
    <row r="294" spans="1:8" s="58" customFormat="1" x14ac:dyDescent="0.35"/>
    <row r="295" spans="1:8" s="58" customFormat="1" x14ac:dyDescent="0.35"/>
    <row r="296" spans="1:8" s="58" customFormat="1" x14ac:dyDescent="0.35"/>
    <row r="297" spans="1:8" s="58" customFormat="1" x14ac:dyDescent="0.35"/>
    <row r="298" spans="1:8" s="58" customFormat="1" x14ac:dyDescent="0.35"/>
    <row r="299" spans="1:8" s="58" customFormat="1" x14ac:dyDescent="0.35"/>
    <row r="300" spans="1:8" s="58" customFormat="1" x14ac:dyDescent="0.35"/>
    <row r="301" spans="1:8" s="58" customFormat="1" x14ac:dyDescent="0.35"/>
    <row r="302" spans="1:8" s="58" customFormat="1" x14ac:dyDescent="0.35"/>
    <row r="303" spans="1:8" s="58" customFormat="1" x14ac:dyDescent="0.35"/>
    <row r="304" spans="1:8" s="58" customFormat="1" x14ac:dyDescent="0.35"/>
    <row r="305" spans="1:8" s="58" customFormat="1" x14ac:dyDescent="0.35"/>
    <row r="306" spans="1:8" s="58" customFormat="1" x14ac:dyDescent="0.35"/>
    <row r="307" spans="1:8" s="58" customFormat="1" x14ac:dyDescent="0.35"/>
    <row r="308" spans="1:8" s="58" customFormat="1" x14ac:dyDescent="0.35"/>
    <row r="309" spans="1:8" s="58" customFormat="1" x14ac:dyDescent="0.35"/>
    <row r="310" spans="1:8" s="58" customFormat="1" x14ac:dyDescent="0.35"/>
    <row r="311" spans="1:8" s="58" customFormat="1" x14ac:dyDescent="0.35"/>
    <row r="312" spans="1:8" x14ac:dyDescent="0.35">
      <c r="A312" s="58"/>
      <c r="B312" s="58"/>
      <c r="C312" s="58"/>
      <c r="D312" s="58"/>
      <c r="E312" s="58"/>
      <c r="F312" s="58"/>
      <c r="G312" s="58"/>
      <c r="H312" s="58"/>
    </row>
    <row r="314" spans="1:8" s="58" customFormat="1" ht="30" customHeight="1" x14ac:dyDescent="0.35"/>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286">
    <mergeCell ref="B183:C183"/>
    <mergeCell ref="B184:C184"/>
    <mergeCell ref="B185:C185"/>
    <mergeCell ref="B186:C186"/>
    <mergeCell ref="B56:C56"/>
    <mergeCell ref="B57:C57"/>
    <mergeCell ref="B58:C58"/>
    <mergeCell ref="B59:C59"/>
    <mergeCell ref="B60:C60"/>
    <mergeCell ref="B178:C178"/>
    <mergeCell ref="B179:C179"/>
    <mergeCell ref="B180:C180"/>
    <mergeCell ref="B181:C181"/>
    <mergeCell ref="B167:C167"/>
    <mergeCell ref="B156:C156"/>
    <mergeCell ref="B157:C157"/>
    <mergeCell ref="B158:C158"/>
    <mergeCell ref="B159:C159"/>
    <mergeCell ref="B160:C160"/>
    <mergeCell ref="B151:C151"/>
    <mergeCell ref="B152:C152"/>
    <mergeCell ref="B153:C153"/>
    <mergeCell ref="B154:C154"/>
    <mergeCell ref="B155:C155"/>
    <mergeCell ref="B253:C253"/>
    <mergeCell ref="B254:C254"/>
    <mergeCell ref="B255:C255"/>
    <mergeCell ref="B256:C256"/>
    <mergeCell ref="B262:C262"/>
    <mergeCell ref="B248:C248"/>
    <mergeCell ref="B249:C249"/>
    <mergeCell ref="B250:C250"/>
    <mergeCell ref="B251:C251"/>
    <mergeCell ref="B252:C252"/>
    <mergeCell ref="B257:C257"/>
    <mergeCell ref="B258:C258"/>
    <mergeCell ref="B259:C259"/>
    <mergeCell ref="B260:C260"/>
    <mergeCell ref="B261:C261"/>
    <mergeCell ref="B243:C243"/>
    <mergeCell ref="B244:C244"/>
    <mergeCell ref="B245:C245"/>
    <mergeCell ref="B246:C246"/>
    <mergeCell ref="B247:C247"/>
    <mergeCell ref="B238:C238"/>
    <mergeCell ref="B239:C239"/>
    <mergeCell ref="B240:C240"/>
    <mergeCell ref="B241:C241"/>
    <mergeCell ref="B242:C242"/>
    <mergeCell ref="B235:C235"/>
    <mergeCell ref="B236:C236"/>
    <mergeCell ref="B237:C237"/>
    <mergeCell ref="B231:C231"/>
    <mergeCell ref="B232:C232"/>
    <mergeCell ref="B233:C233"/>
    <mergeCell ref="B234:C234"/>
    <mergeCell ref="B226:C226"/>
    <mergeCell ref="B227:C227"/>
    <mergeCell ref="B228:C228"/>
    <mergeCell ref="B229:C229"/>
    <mergeCell ref="B230:C230"/>
    <mergeCell ref="B221:C221"/>
    <mergeCell ref="B222:C222"/>
    <mergeCell ref="B223:C223"/>
    <mergeCell ref="B224:C224"/>
    <mergeCell ref="B225:C225"/>
    <mergeCell ref="B216:C216"/>
    <mergeCell ref="B217:C217"/>
    <mergeCell ref="B218:C218"/>
    <mergeCell ref="B219:C219"/>
    <mergeCell ref="B220:C220"/>
    <mergeCell ref="B211:C211"/>
    <mergeCell ref="B212:C212"/>
    <mergeCell ref="B213:C213"/>
    <mergeCell ref="B214:C214"/>
    <mergeCell ref="B215:C215"/>
    <mergeCell ref="B206:C206"/>
    <mergeCell ref="B207:C207"/>
    <mergeCell ref="B208:C208"/>
    <mergeCell ref="B209:C209"/>
    <mergeCell ref="B210:C210"/>
    <mergeCell ref="B202:C202"/>
    <mergeCell ref="B203:C203"/>
    <mergeCell ref="B204:C204"/>
    <mergeCell ref="B205:C205"/>
    <mergeCell ref="B196:C196"/>
    <mergeCell ref="B197:C197"/>
    <mergeCell ref="B198:C198"/>
    <mergeCell ref="B199:C199"/>
    <mergeCell ref="B200:C200"/>
    <mergeCell ref="B192:C192"/>
    <mergeCell ref="B193:C193"/>
    <mergeCell ref="B194:C194"/>
    <mergeCell ref="B195:C195"/>
    <mergeCell ref="B161:C161"/>
    <mergeCell ref="A164:H164"/>
    <mergeCell ref="B166:C166"/>
    <mergeCell ref="B201:C201"/>
    <mergeCell ref="B187:C187"/>
    <mergeCell ref="B188:C188"/>
    <mergeCell ref="B189:C189"/>
    <mergeCell ref="B190:C190"/>
    <mergeCell ref="B191:C191"/>
    <mergeCell ref="B168:C168"/>
    <mergeCell ref="B169:C169"/>
    <mergeCell ref="B170:C170"/>
    <mergeCell ref="B171:C171"/>
    <mergeCell ref="B172:C172"/>
    <mergeCell ref="B173:C173"/>
    <mergeCell ref="B174:C174"/>
    <mergeCell ref="B175:C175"/>
    <mergeCell ref="B176:C176"/>
    <mergeCell ref="B177:C177"/>
    <mergeCell ref="B182:C182"/>
    <mergeCell ref="B146:C146"/>
    <mergeCell ref="B147:C147"/>
    <mergeCell ref="B148:C148"/>
    <mergeCell ref="B149:C149"/>
    <mergeCell ref="B150:C150"/>
    <mergeCell ref="B141:C141"/>
    <mergeCell ref="B142:C142"/>
    <mergeCell ref="B143:C143"/>
    <mergeCell ref="B144:C144"/>
    <mergeCell ref="B145:C145"/>
    <mergeCell ref="B136:C136"/>
    <mergeCell ref="B137:C137"/>
    <mergeCell ref="B138:C138"/>
    <mergeCell ref="B139:C139"/>
    <mergeCell ref="B140:C140"/>
    <mergeCell ref="B131:C131"/>
    <mergeCell ref="B132:C132"/>
    <mergeCell ref="B133:C133"/>
    <mergeCell ref="B134:C134"/>
    <mergeCell ref="B135:C135"/>
    <mergeCell ref="B126:C126"/>
    <mergeCell ref="B127:C127"/>
    <mergeCell ref="B128:C128"/>
    <mergeCell ref="B129:C129"/>
    <mergeCell ref="B130:C130"/>
    <mergeCell ref="B124:C124"/>
    <mergeCell ref="B125:C125"/>
    <mergeCell ref="B119:C119"/>
    <mergeCell ref="B120:C120"/>
    <mergeCell ref="B121:C121"/>
    <mergeCell ref="B122:C122"/>
    <mergeCell ref="B123:C123"/>
    <mergeCell ref="B114:C114"/>
    <mergeCell ref="B115:C115"/>
    <mergeCell ref="B116:C116"/>
    <mergeCell ref="B117:C117"/>
    <mergeCell ref="B118:C118"/>
    <mergeCell ref="B109:C109"/>
    <mergeCell ref="B110:C110"/>
    <mergeCell ref="B111:C111"/>
    <mergeCell ref="B112:C112"/>
    <mergeCell ref="B113:C113"/>
    <mergeCell ref="B104:C104"/>
    <mergeCell ref="B105:C105"/>
    <mergeCell ref="B106:C106"/>
    <mergeCell ref="B107:C107"/>
    <mergeCell ref="B108:C108"/>
    <mergeCell ref="B99:C99"/>
    <mergeCell ref="B100:C100"/>
    <mergeCell ref="B101:C101"/>
    <mergeCell ref="B102:C102"/>
    <mergeCell ref="B103:C103"/>
    <mergeCell ref="B45:C45"/>
    <mergeCell ref="B46:C46"/>
    <mergeCell ref="B47:C47"/>
    <mergeCell ref="B94:C94"/>
    <mergeCell ref="B95:C95"/>
    <mergeCell ref="B96:C96"/>
    <mergeCell ref="B97:C97"/>
    <mergeCell ref="B98:C98"/>
    <mergeCell ref="B89:C89"/>
    <mergeCell ref="B90:C90"/>
    <mergeCell ref="B91:C91"/>
    <mergeCell ref="B92:C92"/>
    <mergeCell ref="B93:C93"/>
    <mergeCell ref="B48:C48"/>
    <mergeCell ref="B49:C49"/>
    <mergeCell ref="B50:C50"/>
    <mergeCell ref="B51:C51"/>
    <mergeCell ref="B61:C61"/>
    <mergeCell ref="B62:C62"/>
    <mergeCell ref="B63:C63"/>
    <mergeCell ref="B52:C52"/>
    <mergeCell ref="B53:C53"/>
    <mergeCell ref="B54:C54"/>
    <mergeCell ref="B55:C55"/>
    <mergeCell ref="B30:C30"/>
    <mergeCell ref="B31:C31"/>
    <mergeCell ref="B32:C32"/>
    <mergeCell ref="B33:C33"/>
    <mergeCell ref="B84:C84"/>
    <mergeCell ref="B85:C85"/>
    <mergeCell ref="B86:C86"/>
    <mergeCell ref="B87:C87"/>
    <mergeCell ref="B88:C88"/>
    <mergeCell ref="B80:C80"/>
    <mergeCell ref="B81:C81"/>
    <mergeCell ref="B82:C82"/>
    <mergeCell ref="B83:C83"/>
    <mergeCell ref="B34:C34"/>
    <mergeCell ref="B35:C35"/>
    <mergeCell ref="B36:C36"/>
    <mergeCell ref="B37:C37"/>
    <mergeCell ref="B38:C38"/>
    <mergeCell ref="B39:C39"/>
    <mergeCell ref="B40:C40"/>
    <mergeCell ref="B41:C41"/>
    <mergeCell ref="B42:C42"/>
    <mergeCell ref="B43:C43"/>
    <mergeCell ref="B44:C44"/>
    <mergeCell ref="A3:G3"/>
    <mergeCell ref="A2:G2"/>
    <mergeCell ref="B162:C162"/>
    <mergeCell ref="A165:H165"/>
    <mergeCell ref="A15:B15"/>
    <mergeCell ref="A16:B16"/>
    <mergeCell ref="A17:B17"/>
    <mergeCell ref="A18:B18"/>
    <mergeCell ref="A19:B19"/>
    <mergeCell ref="A10:B10"/>
    <mergeCell ref="C10:G10"/>
    <mergeCell ref="A12:H12"/>
    <mergeCell ref="A13:H13"/>
    <mergeCell ref="A14:B14"/>
    <mergeCell ref="B26:C26"/>
    <mergeCell ref="B27:C27"/>
    <mergeCell ref="B64:C64"/>
    <mergeCell ref="B65:C65"/>
    <mergeCell ref="B66:C66"/>
    <mergeCell ref="A20:B20"/>
    <mergeCell ref="A22:H22"/>
    <mergeCell ref="A23:H23"/>
    <mergeCell ref="B24:C24"/>
    <mergeCell ref="B25:C25"/>
    <mergeCell ref="B284:C284"/>
    <mergeCell ref="B285:C285"/>
    <mergeCell ref="B286:C286"/>
    <mergeCell ref="B291:C291"/>
    <mergeCell ref="A4:B5"/>
    <mergeCell ref="A6:B6"/>
    <mergeCell ref="A7:B7"/>
    <mergeCell ref="A8:B8"/>
    <mergeCell ref="A9:B9"/>
    <mergeCell ref="B77:C77"/>
    <mergeCell ref="B78:C78"/>
    <mergeCell ref="B79:C79"/>
    <mergeCell ref="B72:C72"/>
    <mergeCell ref="B73:C73"/>
    <mergeCell ref="B74:C74"/>
    <mergeCell ref="B75:C75"/>
    <mergeCell ref="B76:C76"/>
    <mergeCell ref="B67:C67"/>
    <mergeCell ref="B68:C68"/>
    <mergeCell ref="B69:C69"/>
    <mergeCell ref="B70:C70"/>
    <mergeCell ref="B71:C71"/>
    <mergeCell ref="B28:C28"/>
    <mergeCell ref="B29:C29"/>
    <mergeCell ref="B287:C287"/>
    <mergeCell ref="B288:C288"/>
    <mergeCell ref="B289:C289"/>
    <mergeCell ref="B290:C290"/>
    <mergeCell ref="B263:C263"/>
    <mergeCell ref="B264:C264"/>
    <mergeCell ref="B265:C265"/>
    <mergeCell ref="B266:C266"/>
    <mergeCell ref="A279:H279"/>
    <mergeCell ref="B280:C280"/>
    <mergeCell ref="B281:C281"/>
    <mergeCell ref="B282:C282"/>
    <mergeCell ref="B283:C283"/>
    <mergeCell ref="B267:C267"/>
    <mergeCell ref="B268:C268"/>
    <mergeCell ref="B269:C269"/>
    <mergeCell ref="B270:C270"/>
    <mergeCell ref="B271:C271"/>
    <mergeCell ref="B272:C272"/>
    <mergeCell ref="B273:C273"/>
    <mergeCell ref="B274:C274"/>
    <mergeCell ref="B275:C275"/>
    <mergeCell ref="B276:C276"/>
    <mergeCell ref="B277:C277"/>
  </mergeCells>
  <phoneticPr fontId="9" type="noConversion"/>
  <hyperlinks>
    <hyperlink ref="A1" location="Overview!A1" display="Back to Overview" xr:uid="{00000000-0004-0000-0700-000000000000}"/>
  </hyperlinks>
  <pageMargins left="0.39370078740157483" right="0.35433070866141736" top="0.9055118110236221" bottom="0.55118110236220474" header="0.31496062992125984" footer="0.31496062992125984"/>
  <pageSetup paperSize="9" scale="10" fitToHeight="0" orientation="portrait" r:id="rId2"/>
  <headerFooter differentFirst="1" scaleWithDoc="0">
    <oddFooter>&amp;C&amp;P of &amp;N</oddFooter>
    <firstHeader>&amp;L
Annex 5 –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96"/>
  <sheetViews>
    <sheetView zoomScale="80" zoomScaleNormal="80" zoomScaleSheetLayoutView="100" workbookViewId="0">
      <pane ySplit="5" topLeftCell="A6" activePane="bottomLeft" state="frozen"/>
      <selection pane="bottomLeft"/>
    </sheetView>
  </sheetViews>
  <sheetFormatPr defaultColWidth="9.1328125" defaultRowHeight="27.75" customHeight="1" x14ac:dyDescent="0.35"/>
  <cols>
    <col min="1" max="1" width="16" style="1" customWidth="1"/>
    <col min="2" max="2" width="9.265625" style="1" customWidth="1"/>
    <col min="3" max="3" width="20.73046875" style="1" customWidth="1"/>
    <col min="4" max="4" width="16.3984375" style="2" customWidth="1"/>
    <col min="5" max="5" width="9.73046875" style="2" customWidth="1"/>
    <col min="6" max="6" width="20.73046875" style="1" customWidth="1"/>
    <col min="7" max="7" width="50.59765625" style="2" customWidth="1"/>
    <col min="8" max="9" width="15.59765625" style="2" customWidth="1"/>
    <col min="10" max="10" width="15.59765625" style="8" customWidth="1"/>
    <col min="11" max="12" width="15.59765625" style="3" customWidth="1"/>
    <col min="13" max="15" width="15.59765625" style="1" customWidth="1"/>
    <col min="16" max="17" width="13.73046875" style="1" customWidth="1"/>
    <col min="18" max="18" width="15.59765625" style="1" customWidth="1"/>
    <col min="19" max="16384" width="9.1328125" style="1"/>
  </cols>
  <sheetData>
    <row r="1" spans="1:15" ht="56.25" customHeight="1" x14ac:dyDescent="0.35">
      <c r="A1" s="59" t="s">
        <v>86</v>
      </c>
      <c r="B1" s="59"/>
      <c r="C1" s="59"/>
      <c r="F1" s="19"/>
      <c r="G1" s="262" t="s">
        <v>488</v>
      </c>
      <c r="H1" s="262"/>
    </row>
    <row r="2" spans="1:15" ht="27.75" customHeight="1" x14ac:dyDescent="0.35">
      <c r="A2" s="258" t="s">
        <v>487</v>
      </c>
      <c r="B2" s="259"/>
      <c r="C2" s="259"/>
      <c r="D2" s="260"/>
      <c r="E2" s="260"/>
      <c r="F2" s="260"/>
      <c r="G2" s="260"/>
      <c r="H2" s="260"/>
      <c r="I2" s="260"/>
      <c r="J2" s="260"/>
      <c r="K2" s="260"/>
      <c r="L2" s="260"/>
      <c r="M2" s="260"/>
      <c r="N2" s="260"/>
      <c r="O2" s="261"/>
    </row>
    <row r="3" spans="1:15" ht="17.25" customHeight="1" x14ac:dyDescent="0.35">
      <c r="A3" s="59"/>
      <c r="B3" s="59"/>
      <c r="C3" s="59"/>
      <c r="F3" s="19"/>
    </row>
    <row r="4" spans="1:15" s="9" customFormat="1" ht="25.5" customHeight="1" x14ac:dyDescent="0.35">
      <c r="A4" s="227" t="str">
        <f>Overview!B4&amp; " - Effective from "&amp;Overview!D4&amp;" - "&amp;Overview!E4&amp;" new designated EHV charges"</f>
        <v>Eastern Power Networks - Effective from 01/04/2017 - Final new designated EHV charges</v>
      </c>
      <c r="B4" s="228"/>
      <c r="C4" s="228"/>
      <c r="D4" s="228"/>
      <c r="E4" s="228"/>
      <c r="F4" s="228"/>
      <c r="G4" s="228"/>
      <c r="H4" s="228"/>
      <c r="I4" s="228"/>
      <c r="J4" s="228"/>
      <c r="K4" s="228"/>
      <c r="L4" s="228"/>
      <c r="M4" s="228"/>
      <c r="N4" s="228"/>
      <c r="O4" s="229"/>
    </row>
    <row r="5" spans="1:15" ht="69.75" customHeight="1" x14ac:dyDescent="0.35">
      <c r="A5" s="26" t="s">
        <v>489</v>
      </c>
      <c r="B5" s="26" t="s">
        <v>469</v>
      </c>
      <c r="C5" s="26" t="s">
        <v>470</v>
      </c>
      <c r="D5" s="26" t="s">
        <v>490</v>
      </c>
      <c r="E5" s="26" t="s">
        <v>469</v>
      </c>
      <c r="F5" s="26" t="s">
        <v>471</v>
      </c>
      <c r="G5" s="78" t="s">
        <v>180</v>
      </c>
      <c r="H5" s="78" t="str">
        <f>'Annex 2 EHV charges'!H10</f>
        <v>Import
Super Red
unit charge
(p/kWh)</v>
      </c>
      <c r="I5" s="78" t="str">
        <f>'Annex 2 EHV charges'!I10</f>
        <v>Import
fixed charge
(p/day)</v>
      </c>
      <c r="J5" s="78" t="str">
        <f>'Annex 2 EHV charges'!J10</f>
        <v>Import
capacity charge
(p/kVA/day)</v>
      </c>
      <c r="K5" s="78" t="str">
        <f>'Annex 2 EHV charges'!K10</f>
        <v>Import
exceeded capacity charge
(p/kVA/day)</v>
      </c>
      <c r="L5" s="78" t="str">
        <f>'Annex 2 EHV charges'!L10</f>
        <v>Export
Super Red
unit charge
(p/kWh)</v>
      </c>
      <c r="M5" s="78" t="str">
        <f>'Annex 2 EHV charges'!M10</f>
        <v>Export
fixed charge
(p/day)</v>
      </c>
      <c r="N5" s="78" t="str">
        <f>'Annex 2 EHV charges'!N10</f>
        <v>Export
capacity charge
(p/kVA/day)</v>
      </c>
      <c r="O5" s="78" t="str">
        <f>'Annex 2 EHV charges'!O10</f>
        <v>Export
exceeded capacity charge
(p/kVA/day)</v>
      </c>
    </row>
    <row r="6" spans="1:15" ht="26.25" customHeight="1" x14ac:dyDescent="0.35">
      <c r="A6" s="158" t="s">
        <v>1981</v>
      </c>
      <c r="B6" s="171">
        <v>796</v>
      </c>
      <c r="C6" s="101">
        <v>1050001015545</v>
      </c>
      <c r="D6" s="187" t="str">
        <f>A6</f>
        <v>ALCORG</v>
      </c>
      <c r="E6" s="171">
        <v>797</v>
      </c>
      <c r="F6" s="101">
        <v>1050000998050</v>
      </c>
      <c r="G6" s="165" t="s">
        <v>1982</v>
      </c>
      <c r="H6" s="160">
        <v>4.1130000000000004</v>
      </c>
      <c r="I6" s="161">
        <v>5.0599999999999996</v>
      </c>
      <c r="J6" s="161">
        <v>3.81</v>
      </c>
      <c r="K6" s="161">
        <f>J6</f>
        <v>3.81</v>
      </c>
      <c r="L6" s="162">
        <v>0</v>
      </c>
      <c r="M6" s="163">
        <v>506.26</v>
      </c>
      <c r="N6" s="164">
        <v>0.05</v>
      </c>
      <c r="O6" s="164">
        <v>0.05</v>
      </c>
    </row>
    <row r="7" spans="1:15" ht="26.25" customHeight="1" x14ac:dyDescent="0.35">
      <c r="A7" s="158" t="s">
        <v>1983</v>
      </c>
      <c r="B7" s="171">
        <v>796</v>
      </c>
      <c r="C7" s="101">
        <v>1050001061597</v>
      </c>
      <c r="D7" s="187" t="str">
        <f>A7</f>
        <v>ARDLGH</v>
      </c>
      <c r="E7" s="171">
        <v>797</v>
      </c>
      <c r="F7" s="101">
        <v>1050001061602</v>
      </c>
      <c r="G7" s="165" t="s">
        <v>1984</v>
      </c>
      <c r="H7" s="160">
        <v>3.9830000000000001</v>
      </c>
      <c r="I7" s="161">
        <v>1.33</v>
      </c>
      <c r="J7" s="161">
        <v>4.9800000000000004</v>
      </c>
      <c r="K7" s="161">
        <f>J7</f>
        <v>4.9800000000000004</v>
      </c>
      <c r="L7" s="162">
        <v>0</v>
      </c>
      <c r="M7" s="163">
        <v>533.30999999999995</v>
      </c>
      <c r="N7" s="164">
        <v>0.05</v>
      </c>
      <c r="O7" s="164">
        <v>0.05</v>
      </c>
    </row>
    <row r="8" spans="1:15" ht="26.25" customHeight="1" x14ac:dyDescent="0.35">
      <c r="A8" s="158" t="s">
        <v>2154</v>
      </c>
      <c r="B8" s="171">
        <v>798</v>
      </c>
      <c r="C8" s="101">
        <v>1050001382522</v>
      </c>
      <c r="D8" s="187" t="s">
        <v>2154</v>
      </c>
      <c r="E8" s="171">
        <v>799</v>
      </c>
      <c r="F8" s="101">
        <v>1050001382531</v>
      </c>
      <c r="G8" s="165" t="s">
        <v>2155</v>
      </c>
      <c r="H8" s="160">
        <v>0</v>
      </c>
      <c r="I8" s="161">
        <v>1308.5899999999999</v>
      </c>
      <c r="J8" s="161">
        <v>1.1499999999999999</v>
      </c>
      <c r="K8" s="161">
        <v>1.1499999999999999</v>
      </c>
      <c r="L8" s="162">
        <v>0</v>
      </c>
      <c r="M8" s="163">
        <v>1308.5899999999999</v>
      </c>
      <c r="N8" s="164">
        <v>0.05</v>
      </c>
      <c r="O8" s="164">
        <v>0.05</v>
      </c>
    </row>
    <row r="9" spans="1:15" ht="26.25" customHeight="1" x14ac:dyDescent="0.35">
      <c r="A9" s="158" t="s">
        <v>1985</v>
      </c>
      <c r="B9" s="171">
        <v>796</v>
      </c>
      <c r="C9" s="101">
        <v>1050001036615</v>
      </c>
      <c r="D9" s="187" t="str">
        <f>A9</f>
        <v>BLCAMB</v>
      </c>
      <c r="E9" s="171">
        <v>797</v>
      </c>
      <c r="F9" s="101">
        <v>1050001036624</v>
      </c>
      <c r="G9" s="165" t="s">
        <v>1986</v>
      </c>
      <c r="H9" s="160">
        <v>0.46300000000000002</v>
      </c>
      <c r="I9" s="161">
        <v>5.01</v>
      </c>
      <c r="J9" s="161">
        <v>1.9</v>
      </c>
      <c r="K9" s="161">
        <f>J9</f>
        <v>1.9</v>
      </c>
      <c r="L9" s="162"/>
      <c r="M9" s="163">
        <v>250.7</v>
      </c>
      <c r="N9" s="164">
        <v>0.05</v>
      </c>
      <c r="O9" s="164">
        <v>0.05</v>
      </c>
    </row>
    <row r="10" spans="1:15" ht="26.25" customHeight="1" x14ac:dyDescent="0.35">
      <c r="A10" s="158" t="s">
        <v>1987</v>
      </c>
      <c r="B10" s="171" t="s">
        <v>1988</v>
      </c>
      <c r="C10" s="101">
        <v>1097000000183</v>
      </c>
      <c r="D10" s="187" t="str">
        <f>A10</f>
        <v>BLDOCK</v>
      </c>
      <c r="E10" s="171" t="s">
        <v>1989</v>
      </c>
      <c r="F10" s="101">
        <v>1097000000192</v>
      </c>
      <c r="G10" s="165" t="s">
        <v>1990</v>
      </c>
      <c r="H10" s="160">
        <v>1.095</v>
      </c>
      <c r="I10" s="161">
        <v>5.22</v>
      </c>
      <c r="J10" s="161">
        <v>1.42</v>
      </c>
      <c r="K10" s="161">
        <f>J10</f>
        <v>1.42</v>
      </c>
      <c r="L10" s="162">
        <v>-1.5529999999999999</v>
      </c>
      <c r="M10" s="163">
        <v>521.85</v>
      </c>
      <c r="N10" s="164">
        <v>0.05</v>
      </c>
      <c r="O10" s="164">
        <v>0.05</v>
      </c>
    </row>
    <row r="11" spans="1:15" ht="26.25" customHeight="1" x14ac:dyDescent="0.35">
      <c r="A11" s="158" t="s">
        <v>2136</v>
      </c>
      <c r="B11" s="171">
        <v>796</v>
      </c>
      <c r="C11" s="101">
        <v>1050001021414</v>
      </c>
      <c r="D11" s="187" t="str">
        <f>A11</f>
        <v>BNNSHL</v>
      </c>
      <c r="E11" s="171">
        <v>797</v>
      </c>
      <c r="F11" s="101">
        <v>1050001021423</v>
      </c>
      <c r="G11" s="165" t="s">
        <v>1991</v>
      </c>
      <c r="H11" s="160">
        <v>0.311</v>
      </c>
      <c r="I11" s="161">
        <v>35.24</v>
      </c>
      <c r="J11" s="161">
        <v>5.59</v>
      </c>
      <c r="K11" s="161">
        <f>J11</f>
        <v>5.59</v>
      </c>
      <c r="L11" s="162">
        <v>0</v>
      </c>
      <c r="M11" s="163">
        <v>1507.7</v>
      </c>
      <c r="N11" s="164">
        <v>0.05</v>
      </c>
      <c r="O11" s="164">
        <v>0.05</v>
      </c>
    </row>
    <row r="12" spans="1:15" ht="26.25" customHeight="1" x14ac:dyDescent="0.35">
      <c r="A12" s="158" t="s">
        <v>2146</v>
      </c>
      <c r="B12" s="188">
        <v>796</v>
      </c>
      <c r="C12" s="101">
        <v>1050001382364</v>
      </c>
      <c r="D12" s="187" t="s">
        <v>2146</v>
      </c>
      <c r="E12" s="188">
        <v>797</v>
      </c>
      <c r="F12" s="101">
        <v>1050001382373</v>
      </c>
      <c r="G12" s="165" t="s">
        <v>2152</v>
      </c>
      <c r="H12" s="160">
        <v>0.24399999999999999</v>
      </c>
      <c r="I12" s="161">
        <v>0</v>
      </c>
      <c r="J12" s="161">
        <v>1.49</v>
      </c>
      <c r="K12" s="161">
        <v>1.49</v>
      </c>
      <c r="L12" s="162">
        <v>-0.28799999999999998</v>
      </c>
      <c r="M12" s="163">
        <v>0</v>
      </c>
      <c r="N12" s="164">
        <v>0.05</v>
      </c>
      <c r="O12" s="164">
        <v>0.05</v>
      </c>
    </row>
    <row r="13" spans="1:15" ht="26.25" customHeight="1" x14ac:dyDescent="0.35">
      <c r="A13" s="158" t="s">
        <v>2147</v>
      </c>
      <c r="B13" s="188">
        <v>796</v>
      </c>
      <c r="C13" s="101">
        <v>1050001382337</v>
      </c>
      <c r="D13" s="187" t="s">
        <v>2147</v>
      </c>
      <c r="E13" s="188">
        <v>797</v>
      </c>
      <c r="F13" s="101">
        <v>1050001382355</v>
      </c>
      <c r="G13" s="165" t="s">
        <v>2152</v>
      </c>
      <c r="H13" s="160">
        <v>0.24399999999999999</v>
      </c>
      <c r="I13" s="161">
        <v>0</v>
      </c>
      <c r="J13" s="161">
        <v>1.49</v>
      </c>
      <c r="K13" s="161">
        <v>1.49</v>
      </c>
      <c r="L13" s="162">
        <v>0</v>
      </c>
      <c r="M13" s="163">
        <v>0</v>
      </c>
      <c r="N13" s="164">
        <v>0.05</v>
      </c>
      <c r="O13" s="164">
        <v>0.05</v>
      </c>
    </row>
    <row r="14" spans="1:15" ht="26.25" customHeight="1" x14ac:dyDescent="0.35">
      <c r="A14" s="158" t="s">
        <v>1992</v>
      </c>
      <c r="B14" s="171">
        <v>796</v>
      </c>
      <c r="C14" s="101">
        <v>1050000714173</v>
      </c>
      <c r="D14" s="187" t="str">
        <f>A14</f>
        <v>CLDECT</v>
      </c>
      <c r="E14" s="171">
        <v>797</v>
      </c>
      <c r="F14" s="101">
        <v>1050000714182</v>
      </c>
      <c r="G14" s="165" t="s">
        <v>1993</v>
      </c>
      <c r="H14" s="160">
        <v>0.21</v>
      </c>
      <c r="I14" s="161">
        <v>11.66</v>
      </c>
      <c r="J14" s="161">
        <v>1.42</v>
      </c>
      <c r="K14" s="161">
        <f>J14</f>
        <v>1.42</v>
      </c>
      <c r="L14" s="162">
        <v>0</v>
      </c>
      <c r="M14" s="163">
        <v>2565.2199999999998</v>
      </c>
      <c r="N14" s="164">
        <v>0.05</v>
      </c>
      <c r="O14" s="164">
        <v>0.05</v>
      </c>
    </row>
    <row r="15" spans="1:15" ht="26.25" customHeight="1" x14ac:dyDescent="0.35">
      <c r="A15" s="158" t="s">
        <v>2158</v>
      </c>
      <c r="B15" s="171">
        <v>796</v>
      </c>
      <c r="C15" s="101">
        <v>1050001495174</v>
      </c>
      <c r="D15" s="187" t="s">
        <v>2158</v>
      </c>
      <c r="E15" s="171">
        <v>797</v>
      </c>
      <c r="F15" s="101">
        <v>1050001495183</v>
      </c>
      <c r="G15" s="165" t="s">
        <v>2159</v>
      </c>
      <c r="H15" s="160">
        <v>5.3860000000000001</v>
      </c>
      <c r="I15" s="161">
        <v>484.99</v>
      </c>
      <c r="J15" s="161">
        <v>1</v>
      </c>
      <c r="K15" s="161">
        <v>1</v>
      </c>
      <c r="L15" s="162">
        <v>-5.3860000000000001</v>
      </c>
      <c r="M15" s="163">
        <v>484.99</v>
      </c>
      <c r="N15" s="164">
        <v>0.05</v>
      </c>
      <c r="O15" s="164">
        <v>0.05</v>
      </c>
    </row>
    <row r="16" spans="1:15" ht="26.25" customHeight="1" x14ac:dyDescent="0.35">
      <c r="A16" s="158" t="s">
        <v>2026</v>
      </c>
      <c r="B16" s="188">
        <v>796</v>
      </c>
      <c r="C16" s="101">
        <v>1050001191792</v>
      </c>
      <c r="D16" s="187" t="str">
        <f>A16</f>
        <v>CRANHM</v>
      </c>
      <c r="E16" s="188">
        <v>797</v>
      </c>
      <c r="F16" s="101">
        <v>1050001191808</v>
      </c>
      <c r="G16" s="165" t="s">
        <v>2031</v>
      </c>
      <c r="H16" s="160">
        <v>0.61899999999999999</v>
      </c>
      <c r="I16" s="161">
        <v>10.06</v>
      </c>
      <c r="J16" s="161">
        <v>1.98</v>
      </c>
      <c r="K16" s="161">
        <v>1.98</v>
      </c>
      <c r="L16" s="162"/>
      <c r="M16" s="163">
        <v>551.09</v>
      </c>
      <c r="N16" s="164">
        <v>0.05</v>
      </c>
      <c r="O16" s="164">
        <v>0.05</v>
      </c>
    </row>
    <row r="17" spans="1:18" ht="26.25" customHeight="1" x14ac:dyDescent="0.35">
      <c r="A17" s="158" t="s">
        <v>2024</v>
      </c>
      <c r="B17" s="188">
        <v>796</v>
      </c>
      <c r="C17" s="101">
        <v>1050001047087</v>
      </c>
      <c r="D17" s="187" t="str">
        <f>A17</f>
        <v>CRSSNG</v>
      </c>
      <c r="E17" s="188">
        <v>797</v>
      </c>
      <c r="F17" s="101">
        <v>1050001047078</v>
      </c>
      <c r="G17" s="165" t="s">
        <v>2029</v>
      </c>
      <c r="H17" s="160"/>
      <c r="I17" s="161">
        <v>0.97</v>
      </c>
      <c r="J17" s="161">
        <v>1.98</v>
      </c>
      <c r="K17" s="161">
        <v>1.98</v>
      </c>
      <c r="L17" s="162"/>
      <c r="M17" s="163">
        <v>486.04</v>
      </c>
      <c r="N17" s="164">
        <v>0.05</v>
      </c>
      <c r="O17" s="164">
        <v>0.05</v>
      </c>
      <c r="P17" s="61"/>
      <c r="Q17" s="61"/>
      <c r="R17" s="61"/>
    </row>
    <row r="18" spans="1:18" ht="26.25" customHeight="1" x14ac:dyDescent="0.35">
      <c r="A18" s="158" t="s">
        <v>1994</v>
      </c>
      <c r="B18" s="171">
        <v>796</v>
      </c>
      <c r="C18" s="101">
        <v>1050001047272</v>
      </c>
      <c r="D18" s="187" t="str">
        <f>A18</f>
        <v>DRAYTN</v>
      </c>
      <c r="E18" s="171">
        <v>797</v>
      </c>
      <c r="F18" s="101">
        <v>1050001047263</v>
      </c>
      <c r="G18" s="165" t="s">
        <v>1995</v>
      </c>
      <c r="H18" s="160">
        <v>5.9809999999999999</v>
      </c>
      <c r="I18" s="161">
        <v>11.68</v>
      </c>
      <c r="J18" s="161">
        <v>2.11</v>
      </c>
      <c r="K18" s="161">
        <f>J18</f>
        <v>2.11</v>
      </c>
      <c r="L18" s="162">
        <v>0</v>
      </c>
      <c r="M18" s="163">
        <v>525.42999999999995</v>
      </c>
      <c r="N18" s="164">
        <v>0.05</v>
      </c>
      <c r="O18" s="164">
        <v>0.05</v>
      </c>
    </row>
    <row r="19" spans="1:18" ht="26.25" customHeight="1" x14ac:dyDescent="0.35">
      <c r="A19" s="158" t="s">
        <v>2149</v>
      </c>
      <c r="B19" s="188">
        <v>798</v>
      </c>
      <c r="C19" s="101">
        <v>1050001440510</v>
      </c>
      <c r="D19" s="187" t="s">
        <v>2149</v>
      </c>
      <c r="E19" s="188">
        <v>799</v>
      </c>
      <c r="F19" s="101">
        <v>1050001440529</v>
      </c>
      <c r="G19" s="165" t="s">
        <v>2150</v>
      </c>
      <c r="H19" s="160">
        <v>0</v>
      </c>
      <c r="I19" s="161">
        <v>18.73</v>
      </c>
      <c r="J19" s="161">
        <v>2.2200000000000002</v>
      </c>
      <c r="K19" s="161">
        <v>2.2200000000000002</v>
      </c>
      <c r="L19" s="162">
        <v>-0.61499999999999999</v>
      </c>
      <c r="M19" s="163">
        <v>1440.53</v>
      </c>
      <c r="N19" s="164">
        <v>0.05</v>
      </c>
      <c r="O19" s="164">
        <v>0.05</v>
      </c>
    </row>
    <row r="20" spans="1:18" ht="26.25" customHeight="1" x14ac:dyDescent="0.35">
      <c r="A20" s="158" t="s">
        <v>2148</v>
      </c>
      <c r="B20" s="188">
        <v>796</v>
      </c>
      <c r="C20" s="101">
        <v>1050001391466</v>
      </c>
      <c r="D20" s="187" t="s">
        <v>2148</v>
      </c>
      <c r="E20" s="188">
        <v>797</v>
      </c>
      <c r="F20" s="101">
        <v>1050001391475</v>
      </c>
      <c r="G20" s="165" t="s">
        <v>2151</v>
      </c>
      <c r="H20" s="160">
        <v>11.997</v>
      </c>
      <c r="I20" s="161">
        <v>100.18</v>
      </c>
      <c r="J20" s="161">
        <v>2.17</v>
      </c>
      <c r="K20" s="161">
        <v>2.17</v>
      </c>
      <c r="L20" s="162">
        <v>-11.532</v>
      </c>
      <c r="M20" s="163">
        <v>1953.53</v>
      </c>
      <c r="N20" s="164">
        <v>0.05</v>
      </c>
      <c r="O20" s="164">
        <v>0.05</v>
      </c>
    </row>
    <row r="21" spans="1:18" s="61" customFormat="1" ht="26.25" customHeight="1" x14ac:dyDescent="0.35">
      <c r="A21" s="190" t="s">
        <v>2034</v>
      </c>
      <c r="B21" s="191">
        <v>796</v>
      </c>
      <c r="C21" s="101">
        <v>1050001197873</v>
      </c>
      <c r="D21" s="192" t="str">
        <f>A21</f>
        <v>HDATTP</v>
      </c>
      <c r="E21" s="191">
        <v>797</v>
      </c>
      <c r="F21" s="101">
        <v>1050001197864</v>
      </c>
      <c r="G21" s="165" t="s">
        <v>2033</v>
      </c>
      <c r="H21" s="160">
        <v>2E-3</v>
      </c>
      <c r="I21" s="161">
        <v>110.21</v>
      </c>
      <c r="J21" s="161">
        <v>1.74</v>
      </c>
      <c r="K21" s="161">
        <v>1.74</v>
      </c>
      <c r="L21" s="162">
        <v>-0.72099999999999997</v>
      </c>
      <c r="M21" s="163">
        <v>734.74</v>
      </c>
      <c r="N21" s="164">
        <v>0.05</v>
      </c>
      <c r="O21" s="164">
        <v>0.05</v>
      </c>
      <c r="P21" s="1"/>
      <c r="Q21" s="1"/>
      <c r="R21" s="1"/>
    </row>
    <row r="22" spans="1:18" ht="26.25" customHeight="1" x14ac:dyDescent="0.35">
      <c r="A22" s="158" t="s">
        <v>2118</v>
      </c>
      <c r="B22" s="171">
        <v>796</v>
      </c>
      <c r="C22" s="101">
        <v>1050001231451</v>
      </c>
      <c r="D22" s="187" t="str">
        <f>A22</f>
        <v>HHFARM</v>
      </c>
      <c r="E22" s="171">
        <v>797</v>
      </c>
      <c r="F22" s="101">
        <v>1050001231460</v>
      </c>
      <c r="G22" s="165" t="s">
        <v>2119</v>
      </c>
      <c r="H22" s="160">
        <v>1.5269999999999999</v>
      </c>
      <c r="I22" s="161">
        <v>18.43</v>
      </c>
      <c r="J22" s="161">
        <v>1.51</v>
      </c>
      <c r="K22" s="161">
        <v>1.51</v>
      </c>
      <c r="L22" s="162">
        <v>0</v>
      </c>
      <c r="M22" s="163">
        <v>552.98</v>
      </c>
      <c r="N22" s="164">
        <v>0.05</v>
      </c>
      <c r="O22" s="164">
        <v>0.05</v>
      </c>
      <c r="P22" s="61"/>
      <c r="Q22" s="61"/>
      <c r="R22" s="61"/>
    </row>
    <row r="23" spans="1:18" ht="26.25" customHeight="1" x14ac:dyDescent="0.35">
      <c r="A23" s="158" t="s">
        <v>1996</v>
      </c>
      <c r="B23" s="188">
        <v>796</v>
      </c>
      <c r="C23" s="101">
        <v>1050001036670</v>
      </c>
      <c r="D23" s="187" t="str">
        <f>A23</f>
        <v>HONYSM</v>
      </c>
      <c r="E23" s="188">
        <v>797</v>
      </c>
      <c r="F23" s="101">
        <v>1050001036689</v>
      </c>
      <c r="G23" s="165" t="s">
        <v>1997</v>
      </c>
      <c r="H23" s="160">
        <v>0.54100000000000004</v>
      </c>
      <c r="I23" s="161">
        <v>11.24</v>
      </c>
      <c r="J23" s="161">
        <v>4.71</v>
      </c>
      <c r="K23" s="161">
        <f>J23</f>
        <v>4.71</v>
      </c>
      <c r="L23" s="162">
        <v>0</v>
      </c>
      <c r="M23" s="163">
        <v>562.19000000000005</v>
      </c>
      <c r="N23" s="164">
        <v>0.05</v>
      </c>
      <c r="O23" s="164">
        <v>0.05</v>
      </c>
    </row>
    <row r="24" spans="1:18" ht="26.25" customHeight="1" x14ac:dyDescent="0.35">
      <c r="A24" s="158" t="s">
        <v>2142</v>
      </c>
      <c r="B24" s="188">
        <v>771</v>
      </c>
      <c r="C24" s="101" t="s">
        <v>2153</v>
      </c>
      <c r="D24" s="187"/>
      <c r="E24" s="188"/>
      <c r="F24" s="101"/>
      <c r="G24" s="165" t="s">
        <v>2143</v>
      </c>
      <c r="H24" s="160">
        <v>0.23300000000000001</v>
      </c>
      <c r="I24" s="161">
        <v>6998.05</v>
      </c>
      <c r="J24" s="161">
        <v>1.33</v>
      </c>
      <c r="K24" s="161">
        <v>1.33</v>
      </c>
      <c r="L24" s="162"/>
      <c r="M24" s="163"/>
      <c r="N24" s="164"/>
      <c r="O24" s="164"/>
    </row>
    <row r="25" spans="1:18" ht="26.25" customHeight="1" x14ac:dyDescent="0.35">
      <c r="A25" s="158" t="s">
        <v>2023</v>
      </c>
      <c r="B25" s="188">
        <v>796</v>
      </c>
      <c r="C25" s="101">
        <v>1050001129980</v>
      </c>
      <c r="D25" s="187" t="str">
        <f>A25</f>
        <v>HRMTGE</v>
      </c>
      <c r="E25" s="188">
        <v>797</v>
      </c>
      <c r="F25" s="101">
        <v>1050001129999</v>
      </c>
      <c r="G25" s="165" t="s">
        <v>2028</v>
      </c>
      <c r="H25" s="160">
        <v>0.24399999999999999</v>
      </c>
      <c r="I25" s="161">
        <v>11.52</v>
      </c>
      <c r="J25" s="161">
        <v>1.48</v>
      </c>
      <c r="K25" s="161">
        <v>1.48</v>
      </c>
      <c r="L25" s="162"/>
      <c r="M25" s="163">
        <v>576.07000000000005</v>
      </c>
      <c r="N25" s="164">
        <v>0.05</v>
      </c>
      <c r="O25" s="164">
        <v>0.05</v>
      </c>
    </row>
    <row r="26" spans="1:18" ht="26.25" customHeight="1" x14ac:dyDescent="0.35">
      <c r="A26" s="190" t="s">
        <v>2139</v>
      </c>
      <c r="B26" s="191">
        <v>796</v>
      </c>
      <c r="C26" s="101">
        <v>1050001041642</v>
      </c>
      <c r="D26" s="192" t="str">
        <f>A26</f>
        <v>HRSFEN</v>
      </c>
      <c r="E26" s="191">
        <v>797</v>
      </c>
      <c r="F26" s="101">
        <v>1050001041651</v>
      </c>
      <c r="G26" s="165" t="s">
        <v>2032</v>
      </c>
      <c r="H26" s="160">
        <v>0.53300000000000003</v>
      </c>
      <c r="I26" s="161">
        <v>637.41</v>
      </c>
      <c r="J26" s="161">
        <v>3.16</v>
      </c>
      <c r="K26" s="161">
        <v>3.16</v>
      </c>
      <c r="L26" s="162">
        <v>-2.5419999999999998</v>
      </c>
      <c r="M26" s="163">
        <v>3187.07</v>
      </c>
      <c r="N26" s="164">
        <v>0.05</v>
      </c>
      <c r="O26" s="164">
        <v>0.05</v>
      </c>
    </row>
    <row r="27" spans="1:18" ht="26.25" customHeight="1" x14ac:dyDescent="0.35">
      <c r="A27" s="158" t="s">
        <v>1016</v>
      </c>
      <c r="B27" s="101">
        <v>771</v>
      </c>
      <c r="C27" s="101">
        <v>1050000687486</v>
      </c>
      <c r="D27" s="159" t="s">
        <v>1016</v>
      </c>
      <c r="E27" s="101">
        <v>792</v>
      </c>
      <c r="F27" s="101">
        <v>1050000687495</v>
      </c>
      <c r="G27" s="165" t="s">
        <v>1357</v>
      </c>
      <c r="H27" s="160">
        <v>5.4269999999999996</v>
      </c>
      <c r="I27" s="161">
        <v>133.74</v>
      </c>
      <c r="J27" s="161">
        <v>1.32</v>
      </c>
      <c r="K27" s="161">
        <v>1.32</v>
      </c>
      <c r="L27" s="162">
        <v>-5.5640000000000001</v>
      </c>
      <c r="M27" s="163">
        <v>133.74</v>
      </c>
      <c r="N27" s="164">
        <v>0.05</v>
      </c>
      <c r="O27" s="164">
        <v>0.05</v>
      </c>
    </row>
    <row r="28" spans="1:18" ht="26.25" customHeight="1" x14ac:dyDescent="0.35">
      <c r="A28" s="158" t="s">
        <v>1998</v>
      </c>
      <c r="B28" s="188">
        <v>798</v>
      </c>
      <c r="C28" s="101">
        <v>1050001008681</v>
      </c>
      <c r="D28" s="187" t="str">
        <f t="shared" ref="D28:D44" si="0">A28</f>
        <v>LEICSQ</v>
      </c>
      <c r="E28" s="189">
        <v>799</v>
      </c>
      <c r="F28" s="101">
        <v>1050001008690</v>
      </c>
      <c r="G28" s="165" t="s">
        <v>1999</v>
      </c>
      <c r="H28" s="160">
        <v>4.5999999999999999E-2</v>
      </c>
      <c r="I28" s="161">
        <v>6.15</v>
      </c>
      <c r="J28" s="161">
        <v>2.04</v>
      </c>
      <c r="K28" s="161">
        <f>J28</f>
        <v>2.04</v>
      </c>
      <c r="L28" s="162">
        <v>0</v>
      </c>
      <c r="M28" s="163">
        <v>2621.06</v>
      </c>
      <c r="N28" s="164">
        <v>0.05</v>
      </c>
      <c r="O28" s="164">
        <v>0.05</v>
      </c>
    </row>
    <row r="29" spans="1:18" ht="26.25" customHeight="1" x14ac:dyDescent="0.35">
      <c r="A29" s="158" t="s">
        <v>2000</v>
      </c>
      <c r="B29" s="188">
        <v>796</v>
      </c>
      <c r="C29" s="101">
        <v>1050001008645</v>
      </c>
      <c r="D29" s="187" t="str">
        <f t="shared" si="0"/>
        <v>LWRNCE</v>
      </c>
      <c r="E29" s="188">
        <v>797</v>
      </c>
      <c r="F29" s="101">
        <v>1050001008636</v>
      </c>
      <c r="G29" s="165" t="s">
        <v>2001</v>
      </c>
      <c r="H29" s="160">
        <v>0.26800000000000002</v>
      </c>
      <c r="I29" s="161">
        <v>20.74</v>
      </c>
      <c r="J29" s="161">
        <v>1.6</v>
      </c>
      <c r="K29" s="161">
        <f>J29</f>
        <v>1.6</v>
      </c>
      <c r="L29" s="162">
        <v>0</v>
      </c>
      <c r="M29" s="163">
        <v>1783.35</v>
      </c>
      <c r="N29" s="164">
        <v>0.05</v>
      </c>
      <c r="O29" s="164">
        <v>0.05</v>
      </c>
    </row>
    <row r="30" spans="1:18" ht="26.25" customHeight="1" x14ac:dyDescent="0.35">
      <c r="A30" s="158" t="s">
        <v>2116</v>
      </c>
      <c r="B30" s="188">
        <v>796</v>
      </c>
      <c r="C30" s="101">
        <v>1050001205345</v>
      </c>
      <c r="D30" s="187" t="str">
        <f t="shared" si="0"/>
        <v>LYONSH</v>
      </c>
      <c r="E30" s="188">
        <v>797</v>
      </c>
      <c r="F30" s="101">
        <v>1050001205354</v>
      </c>
      <c r="G30" s="165" t="s">
        <v>2117</v>
      </c>
      <c r="H30" s="160">
        <v>1.3240000000000001</v>
      </c>
      <c r="I30" s="161">
        <v>5.31</v>
      </c>
      <c r="J30" s="161">
        <v>5.49</v>
      </c>
      <c r="K30" s="161">
        <v>5.49</v>
      </c>
      <c r="L30" s="162">
        <v>0</v>
      </c>
      <c r="M30" s="163">
        <v>578.99</v>
      </c>
      <c r="N30" s="164">
        <v>0.05</v>
      </c>
      <c r="O30" s="164">
        <v>0.05</v>
      </c>
    </row>
    <row r="31" spans="1:18" ht="26.25" customHeight="1" x14ac:dyDescent="0.35">
      <c r="A31" s="158" t="s">
        <v>2138</v>
      </c>
      <c r="B31" s="188">
        <v>796</v>
      </c>
      <c r="C31" s="101">
        <v>1050001197855</v>
      </c>
      <c r="D31" s="187" t="str">
        <f t="shared" si="0"/>
        <v>MILLDR</v>
      </c>
      <c r="E31" s="188">
        <v>797</v>
      </c>
      <c r="F31" s="101">
        <v>1050001197846</v>
      </c>
      <c r="G31" s="165" t="s">
        <v>2137</v>
      </c>
      <c r="H31" s="160">
        <v>2.9000000000000001E-2</v>
      </c>
      <c r="I31" s="161">
        <v>12.1</v>
      </c>
      <c r="J31" s="161">
        <v>1.47</v>
      </c>
      <c r="K31" s="161">
        <v>1.47</v>
      </c>
      <c r="L31" s="162">
        <v>0</v>
      </c>
      <c r="M31" s="163">
        <v>756.18</v>
      </c>
      <c r="N31" s="164">
        <v>0.05</v>
      </c>
      <c r="O31" s="164">
        <v>0.05</v>
      </c>
    </row>
    <row r="32" spans="1:18" ht="26.25" customHeight="1" x14ac:dyDescent="0.35">
      <c r="A32" s="158" t="s">
        <v>2120</v>
      </c>
      <c r="B32" s="188">
        <v>796</v>
      </c>
      <c r="C32" s="101">
        <v>1050001261465</v>
      </c>
      <c r="D32" s="187" t="str">
        <f t="shared" si="0"/>
        <v>MILLFM</v>
      </c>
      <c r="E32" s="188">
        <v>797</v>
      </c>
      <c r="F32" s="101">
        <v>1050001261429</v>
      </c>
      <c r="G32" s="165" t="s">
        <v>2121</v>
      </c>
      <c r="H32" s="160">
        <v>2.5510000000000002</v>
      </c>
      <c r="I32" s="161">
        <v>13.14</v>
      </c>
      <c r="J32" s="161">
        <v>2.5499999999999998</v>
      </c>
      <c r="K32" s="161">
        <v>2.5499999999999998</v>
      </c>
      <c r="L32" s="162"/>
      <c r="M32" s="163">
        <v>1051.23</v>
      </c>
      <c r="N32" s="164">
        <v>0.05</v>
      </c>
      <c r="O32" s="164">
        <v>0.05</v>
      </c>
    </row>
    <row r="33" spans="1:18" ht="26.25" customHeight="1" x14ac:dyDescent="0.35">
      <c r="A33" s="158" t="s">
        <v>2002</v>
      </c>
      <c r="B33" s="188">
        <v>796</v>
      </c>
      <c r="C33" s="101">
        <v>1050001060050</v>
      </c>
      <c r="D33" s="187" t="str">
        <f t="shared" si="0"/>
        <v>MLLFLD</v>
      </c>
      <c r="E33" s="188">
        <v>797</v>
      </c>
      <c r="F33" s="101">
        <v>1050001060060</v>
      </c>
      <c r="G33" s="165" t="s">
        <v>2003</v>
      </c>
      <c r="H33" s="160">
        <v>0.308</v>
      </c>
      <c r="I33" s="161">
        <v>17.12</v>
      </c>
      <c r="J33" s="161">
        <v>4.59</v>
      </c>
      <c r="K33" s="161">
        <f>J33</f>
        <v>4.59</v>
      </c>
      <c r="L33" s="162">
        <v>0</v>
      </c>
      <c r="M33" s="163">
        <v>854.46</v>
      </c>
      <c r="N33" s="164">
        <v>0.05</v>
      </c>
      <c r="O33" s="164">
        <v>0.05</v>
      </c>
    </row>
    <row r="34" spans="1:18" ht="26.25" customHeight="1" x14ac:dyDescent="0.35">
      <c r="A34" s="158" t="s">
        <v>2144</v>
      </c>
      <c r="B34" s="188">
        <v>796</v>
      </c>
      <c r="C34" s="101">
        <v>1050001054233</v>
      </c>
      <c r="D34" s="187" t="str">
        <f t="shared" si="0"/>
        <v>MOWLEM</v>
      </c>
      <c r="E34" s="188">
        <v>797</v>
      </c>
      <c r="F34" s="101">
        <v>1050001054242</v>
      </c>
      <c r="G34" s="165" t="s">
        <v>2145</v>
      </c>
      <c r="H34" s="160">
        <v>4.0000000000000001E-3</v>
      </c>
      <c r="I34" s="161">
        <v>23.03</v>
      </c>
      <c r="J34" s="161">
        <v>1.1200000000000001</v>
      </c>
      <c r="K34" s="161">
        <v>1.1200000000000001</v>
      </c>
      <c r="L34" s="162">
        <v>-4.7E-2</v>
      </c>
      <c r="M34" s="163">
        <v>921.24</v>
      </c>
      <c r="N34" s="164">
        <v>0.05</v>
      </c>
      <c r="O34" s="164">
        <v>0.05</v>
      </c>
    </row>
    <row r="35" spans="1:18" ht="26.25" customHeight="1" x14ac:dyDescent="0.35">
      <c r="A35" s="158" t="s">
        <v>2004</v>
      </c>
      <c r="B35" s="188">
        <v>796</v>
      </c>
      <c r="C35" s="101">
        <v>1050001042238</v>
      </c>
      <c r="D35" s="187" t="str">
        <f t="shared" si="0"/>
        <v>NEWTON</v>
      </c>
      <c r="E35" s="188">
        <v>797</v>
      </c>
      <c r="F35" s="101">
        <v>1050001042229</v>
      </c>
      <c r="G35" s="165" t="s">
        <v>2005</v>
      </c>
      <c r="H35" s="160">
        <v>6.4000000000000001E-2</v>
      </c>
      <c r="I35" s="161">
        <v>1.48</v>
      </c>
      <c r="J35" s="161">
        <v>3.08</v>
      </c>
      <c r="K35" s="161">
        <f>J35</f>
        <v>3.08</v>
      </c>
      <c r="L35" s="162">
        <v>0</v>
      </c>
      <c r="M35" s="163">
        <v>591.84</v>
      </c>
      <c r="N35" s="164">
        <v>0.05</v>
      </c>
      <c r="O35" s="164">
        <v>0.05</v>
      </c>
    </row>
    <row r="36" spans="1:18" s="199" customFormat="1" ht="26.25" customHeight="1" x14ac:dyDescent="0.35">
      <c r="A36" s="158" t="s">
        <v>2006</v>
      </c>
      <c r="B36" s="188">
        <v>796</v>
      </c>
      <c r="C36" s="101">
        <v>1050001028544</v>
      </c>
      <c r="D36" s="187" t="str">
        <f t="shared" si="0"/>
        <v>OULTON</v>
      </c>
      <c r="E36" s="188">
        <v>797</v>
      </c>
      <c r="F36" s="101">
        <v>1050001028553</v>
      </c>
      <c r="G36" s="165" t="s">
        <v>2007</v>
      </c>
      <c r="H36" s="160">
        <v>8.1000000000000003E-2</v>
      </c>
      <c r="I36" s="161">
        <v>2.2799999999999998</v>
      </c>
      <c r="J36" s="161">
        <v>3.49</v>
      </c>
      <c r="K36" s="161">
        <f>J36</f>
        <v>3.49</v>
      </c>
      <c r="L36" s="162">
        <v>0</v>
      </c>
      <c r="M36" s="163">
        <v>253.43</v>
      </c>
      <c r="N36" s="164">
        <v>0.05</v>
      </c>
      <c r="O36" s="164">
        <v>0.05</v>
      </c>
      <c r="P36" s="1"/>
      <c r="Q36" s="1"/>
      <c r="R36" s="1"/>
    </row>
    <row r="37" spans="1:18" s="199" customFormat="1" ht="26.25" customHeight="1" x14ac:dyDescent="0.35">
      <c r="A37" s="158" t="s">
        <v>2008</v>
      </c>
      <c r="B37" s="188">
        <v>796</v>
      </c>
      <c r="C37" s="101">
        <v>1050001054190</v>
      </c>
      <c r="D37" s="187" t="str">
        <f t="shared" si="0"/>
        <v>OUTWDS</v>
      </c>
      <c r="E37" s="188">
        <v>797</v>
      </c>
      <c r="F37" s="101">
        <v>1050001054206</v>
      </c>
      <c r="G37" s="165" t="s">
        <v>2009</v>
      </c>
      <c r="H37" s="160">
        <v>1.014</v>
      </c>
      <c r="I37" s="161">
        <v>5.29</v>
      </c>
      <c r="J37" s="161">
        <v>1.66</v>
      </c>
      <c r="K37" s="161">
        <f>J37</f>
        <v>1.66</v>
      </c>
      <c r="L37" s="162">
        <v>0</v>
      </c>
      <c r="M37" s="163">
        <v>953</v>
      </c>
      <c r="N37" s="164">
        <v>0.05</v>
      </c>
      <c r="O37" s="164">
        <v>0.05</v>
      </c>
      <c r="P37" s="1"/>
      <c r="Q37" s="1"/>
      <c r="R37" s="1"/>
    </row>
    <row r="38" spans="1:18" s="199" customFormat="1" ht="26.25" customHeight="1" x14ac:dyDescent="0.35">
      <c r="A38" s="158" t="s">
        <v>2122</v>
      </c>
      <c r="B38" s="188">
        <v>796</v>
      </c>
      <c r="C38" s="101">
        <v>1050001118598</v>
      </c>
      <c r="D38" s="187" t="str">
        <f t="shared" si="0"/>
        <v>POBAIL</v>
      </c>
      <c r="E38" s="188">
        <v>797</v>
      </c>
      <c r="F38" s="101">
        <v>1050001118490</v>
      </c>
      <c r="G38" s="165" t="s">
        <v>2123</v>
      </c>
      <c r="H38" s="160">
        <v>4.1130000000000004</v>
      </c>
      <c r="I38" s="161">
        <v>5.0599999999999996</v>
      </c>
      <c r="J38" s="161">
        <v>3.81</v>
      </c>
      <c r="K38" s="161">
        <v>3.81</v>
      </c>
      <c r="L38" s="162">
        <v>0</v>
      </c>
      <c r="M38" s="163">
        <v>506.26</v>
      </c>
      <c r="N38" s="164">
        <v>0.05</v>
      </c>
      <c r="O38" s="164">
        <v>0.05</v>
      </c>
      <c r="P38" s="1"/>
      <c r="Q38" s="1"/>
      <c r="R38" s="1"/>
    </row>
    <row r="39" spans="1:18" s="199" customFormat="1" ht="26.25" customHeight="1" x14ac:dyDescent="0.35">
      <c r="A39" s="158" t="s">
        <v>2035</v>
      </c>
      <c r="B39" s="188">
        <v>796</v>
      </c>
      <c r="C39" s="101">
        <v>1050001041962</v>
      </c>
      <c r="D39" s="187" t="str">
        <f t="shared" si="0"/>
        <v>RANDCS</v>
      </c>
      <c r="E39" s="188">
        <v>797</v>
      </c>
      <c r="F39" s="101">
        <v>1050001041935</v>
      </c>
      <c r="G39" s="165" t="s">
        <v>2027</v>
      </c>
      <c r="H39" s="160">
        <v>1.0980000000000001</v>
      </c>
      <c r="I39" s="161">
        <v>3.34</v>
      </c>
      <c r="J39" s="161">
        <v>3.01</v>
      </c>
      <c r="K39" s="161">
        <v>3.01</v>
      </c>
      <c r="L39" s="162"/>
      <c r="M39" s="163">
        <v>1280.5899999999999</v>
      </c>
      <c r="N39" s="164">
        <v>0.05</v>
      </c>
      <c r="O39" s="164">
        <v>0.05</v>
      </c>
      <c r="P39" s="1"/>
      <c r="Q39" s="1"/>
      <c r="R39" s="1"/>
    </row>
    <row r="40" spans="1:18" s="199" customFormat="1" ht="26.25" customHeight="1" x14ac:dyDescent="0.35">
      <c r="A40" s="158" t="s">
        <v>2010</v>
      </c>
      <c r="B40" s="188">
        <v>796</v>
      </c>
      <c r="C40" s="101">
        <v>1050001036651</v>
      </c>
      <c r="D40" s="187" t="str">
        <f t="shared" si="0"/>
        <v>RMSYSF</v>
      </c>
      <c r="E40" s="188">
        <v>797</v>
      </c>
      <c r="F40" s="101">
        <v>1050001036660</v>
      </c>
      <c r="G40" s="165" t="s">
        <v>2011</v>
      </c>
      <c r="H40" s="160">
        <v>0.46300000000000002</v>
      </c>
      <c r="I40" s="161">
        <v>185.09</v>
      </c>
      <c r="J40" s="161">
        <v>1.9</v>
      </c>
      <c r="K40" s="161">
        <f>J40</f>
        <v>1.9</v>
      </c>
      <c r="L40" s="162">
        <v>0</v>
      </c>
      <c r="M40" s="163">
        <v>2290.5300000000002</v>
      </c>
      <c r="N40" s="164">
        <v>0.05</v>
      </c>
      <c r="O40" s="164">
        <v>0.05</v>
      </c>
      <c r="P40" s="1"/>
      <c r="Q40" s="1"/>
      <c r="R40" s="1"/>
    </row>
    <row r="41" spans="1:18" s="199" customFormat="1" ht="26.25" customHeight="1" x14ac:dyDescent="0.35">
      <c r="A41" s="158" t="s">
        <v>2012</v>
      </c>
      <c r="B41" s="188">
        <v>796</v>
      </c>
      <c r="C41" s="101">
        <v>1050001028465</v>
      </c>
      <c r="D41" s="187" t="str">
        <f t="shared" si="0"/>
        <v>ROOKRY</v>
      </c>
      <c r="E41" s="188">
        <v>797</v>
      </c>
      <c r="F41" s="101">
        <v>1050001028474</v>
      </c>
      <c r="G41" s="165" t="s">
        <v>2013</v>
      </c>
      <c r="H41" s="160">
        <v>2.5449999999999999</v>
      </c>
      <c r="I41" s="161">
        <v>11.24</v>
      </c>
      <c r="J41" s="161">
        <v>1.47</v>
      </c>
      <c r="K41" s="161">
        <f>J41</f>
        <v>1.47</v>
      </c>
      <c r="L41" s="162">
        <v>0</v>
      </c>
      <c r="M41" s="163">
        <v>244.41</v>
      </c>
      <c r="N41" s="164">
        <v>0.05</v>
      </c>
      <c r="O41" s="164">
        <v>0.05</v>
      </c>
      <c r="P41" s="1"/>
      <c r="Q41" s="1"/>
      <c r="R41" s="1"/>
    </row>
    <row r="42" spans="1:18" ht="26.25" customHeight="1" x14ac:dyDescent="0.35">
      <c r="A42" s="158" t="s">
        <v>2014</v>
      </c>
      <c r="B42" s="188">
        <v>796</v>
      </c>
      <c r="C42" s="101">
        <v>1050001073468</v>
      </c>
      <c r="D42" s="187" t="str">
        <f t="shared" si="0"/>
        <v>SCMOOR</v>
      </c>
      <c r="E42" s="188">
        <v>797</v>
      </c>
      <c r="F42" s="101">
        <v>1050001073500</v>
      </c>
      <c r="G42" s="165" t="s">
        <v>1158</v>
      </c>
      <c r="H42" s="160">
        <v>5.4039999999999999</v>
      </c>
      <c r="I42" s="161">
        <v>55.12</v>
      </c>
      <c r="J42" s="161">
        <v>2.19</v>
      </c>
      <c r="K42" s="161">
        <f>J42</f>
        <v>2.19</v>
      </c>
      <c r="L42" s="162">
        <v>0</v>
      </c>
      <c r="M42" s="163">
        <v>2756.18</v>
      </c>
      <c r="N42" s="164">
        <v>0.05</v>
      </c>
      <c r="O42" s="164">
        <v>0.05</v>
      </c>
    </row>
    <row r="43" spans="1:18" ht="26.25" customHeight="1" x14ac:dyDescent="0.35">
      <c r="A43" s="158" t="s">
        <v>2015</v>
      </c>
      <c r="B43" s="188">
        <v>796</v>
      </c>
      <c r="C43" s="101">
        <v>1050001084200</v>
      </c>
      <c r="D43" s="187" t="str">
        <f t="shared" si="0"/>
        <v>SNTBRE</v>
      </c>
      <c r="E43" s="188">
        <v>797</v>
      </c>
      <c r="F43" s="101">
        <v>1050001084229</v>
      </c>
      <c r="G43" s="165" t="s">
        <v>2021</v>
      </c>
      <c r="H43" s="160">
        <v>1.173</v>
      </c>
      <c r="I43" s="161">
        <v>1130.79</v>
      </c>
      <c r="J43" s="161">
        <v>1.82</v>
      </c>
      <c r="K43" s="161">
        <f>J43</f>
        <v>1.82</v>
      </c>
      <c r="L43" s="162">
        <v>-1.173</v>
      </c>
      <c r="M43" s="163">
        <v>12721.43</v>
      </c>
      <c r="N43" s="164">
        <v>0.05</v>
      </c>
      <c r="O43" s="164">
        <v>0.05</v>
      </c>
    </row>
    <row r="44" spans="1:18" ht="26.25" customHeight="1" x14ac:dyDescent="0.35">
      <c r="A44" s="158" t="s">
        <v>2025</v>
      </c>
      <c r="B44" s="188">
        <v>796</v>
      </c>
      <c r="C44" s="101">
        <v>1050001232428</v>
      </c>
      <c r="D44" s="187" t="str">
        <f t="shared" si="0"/>
        <v>STNPTS</v>
      </c>
      <c r="E44" s="188">
        <v>797</v>
      </c>
      <c r="F44" s="101">
        <v>1050001232437</v>
      </c>
      <c r="G44" s="165" t="s">
        <v>2030</v>
      </c>
      <c r="H44" s="160">
        <v>2.91</v>
      </c>
      <c r="I44" s="161">
        <v>6.58</v>
      </c>
      <c r="J44" s="161">
        <v>1.47</v>
      </c>
      <c r="K44" s="161">
        <v>1.47</v>
      </c>
      <c r="L44" s="162"/>
      <c r="M44" s="163">
        <v>658.49</v>
      </c>
      <c r="N44" s="164">
        <v>0.05</v>
      </c>
      <c r="O44" s="164">
        <v>0.05</v>
      </c>
    </row>
    <row r="45" spans="1:18" ht="26.25" customHeight="1" x14ac:dyDescent="0.35">
      <c r="A45" s="158" t="s">
        <v>2140</v>
      </c>
      <c r="B45" s="188">
        <v>796</v>
      </c>
      <c r="C45" s="101">
        <v>1050001290011</v>
      </c>
      <c r="D45" s="187" t="s">
        <v>2140</v>
      </c>
      <c r="E45" s="188">
        <v>797</v>
      </c>
      <c r="F45" s="101">
        <v>1050001290020</v>
      </c>
      <c r="G45" s="165" t="s">
        <v>2141</v>
      </c>
      <c r="H45" s="160">
        <v>0</v>
      </c>
      <c r="I45" s="161">
        <v>66.12</v>
      </c>
      <c r="J45" s="161">
        <v>2.2200000000000002</v>
      </c>
      <c r="K45" s="161">
        <v>2.2200000000000002</v>
      </c>
      <c r="L45" s="162">
        <v>0</v>
      </c>
      <c r="M45" s="163">
        <v>541.11</v>
      </c>
      <c r="N45" s="164">
        <v>0.05</v>
      </c>
      <c r="O45" s="164">
        <v>0.05</v>
      </c>
    </row>
    <row r="46" spans="1:18" ht="26.25" customHeight="1" x14ac:dyDescent="0.35">
      <c r="A46" s="158" t="s">
        <v>2019</v>
      </c>
      <c r="B46" s="188">
        <v>798</v>
      </c>
      <c r="C46" s="101">
        <v>1050001109352</v>
      </c>
      <c r="D46" s="187" t="str">
        <f>A46</f>
        <v>TILGRN</v>
      </c>
      <c r="E46" s="188">
        <v>799</v>
      </c>
      <c r="F46" s="101">
        <v>1050001109361</v>
      </c>
      <c r="G46" s="165" t="s">
        <v>2020</v>
      </c>
      <c r="H46" s="160">
        <v>0.27800000000000002</v>
      </c>
      <c r="I46" s="161">
        <v>2908</v>
      </c>
      <c r="J46" s="161">
        <v>1.1399999999999999</v>
      </c>
      <c r="K46" s="161">
        <v>1.1399999999999999</v>
      </c>
      <c r="L46" s="162">
        <v>-0.26700000000000002</v>
      </c>
      <c r="M46" s="163">
        <v>14216.89</v>
      </c>
      <c r="N46" s="164">
        <v>0.05</v>
      </c>
      <c r="O46" s="164">
        <v>0.05</v>
      </c>
    </row>
    <row r="47" spans="1:18" ht="26.25" customHeight="1" x14ac:dyDescent="0.35">
      <c r="A47" s="158" t="s">
        <v>2016</v>
      </c>
      <c r="B47" s="188">
        <v>796</v>
      </c>
      <c r="C47" s="101">
        <v>1050001059393</v>
      </c>
      <c r="D47" s="187" t="str">
        <f>A47</f>
        <v>TOGGAM</v>
      </c>
      <c r="E47" s="188">
        <v>797</v>
      </c>
      <c r="F47" s="101">
        <v>1050001059384</v>
      </c>
      <c r="G47" s="165" t="s">
        <v>2017</v>
      </c>
      <c r="H47" s="160">
        <v>11.698</v>
      </c>
      <c r="I47" s="161">
        <v>40.08</v>
      </c>
      <c r="J47" s="161">
        <v>2.77</v>
      </c>
      <c r="K47" s="161">
        <f>J47</f>
        <v>2.77</v>
      </c>
      <c r="L47" s="162">
        <v>0</v>
      </c>
      <c r="M47" s="163">
        <v>3823.81</v>
      </c>
      <c r="N47" s="164">
        <v>0.05</v>
      </c>
      <c r="O47" s="164">
        <v>0.05</v>
      </c>
    </row>
    <row r="48" spans="1:18" ht="26.25" customHeight="1" x14ac:dyDescent="0.35">
      <c r="A48" s="158" t="s">
        <v>2124</v>
      </c>
      <c r="B48" s="188">
        <v>796</v>
      </c>
      <c r="C48" s="101">
        <v>1050001078642</v>
      </c>
      <c r="D48" s="187" t="str">
        <f>A48</f>
        <v>TRNCLE</v>
      </c>
      <c r="E48" s="188">
        <v>797</v>
      </c>
      <c r="F48" s="101">
        <v>1050001078651</v>
      </c>
      <c r="G48" s="165" t="s">
        <v>2125</v>
      </c>
      <c r="H48" s="160">
        <v>2.371</v>
      </c>
      <c r="I48" s="161">
        <v>95.33</v>
      </c>
      <c r="J48" s="161">
        <v>1.0900000000000001</v>
      </c>
      <c r="K48" s="161">
        <v>1.0900000000000001</v>
      </c>
      <c r="L48" s="162">
        <v>0</v>
      </c>
      <c r="M48" s="163">
        <v>8859.11</v>
      </c>
      <c r="N48" s="164">
        <v>0.05</v>
      </c>
      <c r="O48" s="164">
        <v>0.05</v>
      </c>
    </row>
    <row r="49" spans="1:17" ht="26.25" customHeight="1" x14ac:dyDescent="0.35">
      <c r="A49" s="158" t="s">
        <v>2018</v>
      </c>
      <c r="B49" s="188">
        <v>796</v>
      </c>
      <c r="C49" s="101">
        <v>1050001052193</v>
      </c>
      <c r="D49" s="187" t="str">
        <f>A49</f>
        <v>UKPRST</v>
      </c>
      <c r="E49" s="188">
        <v>797</v>
      </c>
      <c r="F49" s="101">
        <v>1050001052184</v>
      </c>
      <c r="G49" s="165" t="s">
        <v>2022</v>
      </c>
      <c r="H49" s="160">
        <v>0.52500000000000002</v>
      </c>
      <c r="I49" s="161">
        <v>3.16</v>
      </c>
      <c r="J49" s="161">
        <v>1.54</v>
      </c>
      <c r="K49" s="161">
        <f>J49</f>
        <v>1.54</v>
      </c>
      <c r="L49" s="162">
        <v>-0.624</v>
      </c>
      <c r="M49" s="163">
        <v>252.48</v>
      </c>
      <c r="N49" s="164">
        <v>0.05</v>
      </c>
      <c r="O49" s="164">
        <v>0.05</v>
      </c>
    </row>
    <row r="51" spans="1:17" ht="43.5" customHeight="1" x14ac:dyDescent="0.35">
      <c r="A51" s="227" t="str">
        <f>Overview!B4&amp; " - Effective from "&amp;Overview!D4&amp;" - "&amp;Overview!F4&amp;" new designated EHV line loss factors"</f>
        <v>Eastern Power Networks - Effective from 01/04/2017 -  new designated EHV line loss factors</v>
      </c>
      <c r="B51" s="228"/>
      <c r="C51" s="228"/>
      <c r="D51" s="228"/>
      <c r="E51" s="228"/>
      <c r="F51" s="228"/>
      <c r="G51" s="228"/>
      <c r="H51" s="228"/>
      <c r="I51" s="228"/>
      <c r="J51" s="228"/>
      <c r="K51" s="228"/>
      <c r="L51" s="228"/>
      <c r="M51" s="228"/>
      <c r="N51" s="228"/>
      <c r="O51" s="228"/>
      <c r="P51" s="228"/>
      <c r="Q51" s="229"/>
    </row>
    <row r="52" spans="1:17" ht="43.5" customHeight="1" x14ac:dyDescent="0.35">
      <c r="A52" s="26" t="s">
        <v>489</v>
      </c>
      <c r="B52" s="26" t="s">
        <v>469</v>
      </c>
      <c r="C52" s="26" t="s">
        <v>470</v>
      </c>
      <c r="D52" s="26" t="s">
        <v>490</v>
      </c>
      <c r="E52" s="26" t="s">
        <v>469</v>
      </c>
      <c r="F52" s="26" t="s">
        <v>471</v>
      </c>
      <c r="G52" s="78" t="s">
        <v>180</v>
      </c>
      <c r="H52" s="193" t="s">
        <v>2126</v>
      </c>
      <c r="I52" s="193" t="s">
        <v>2127</v>
      </c>
      <c r="J52" s="193" t="s">
        <v>2128</v>
      </c>
      <c r="K52" s="193" t="s">
        <v>2129</v>
      </c>
      <c r="L52" s="193" t="s">
        <v>2130</v>
      </c>
      <c r="M52" s="194" t="s">
        <v>2131</v>
      </c>
      <c r="N52" s="194" t="s">
        <v>2132</v>
      </c>
      <c r="O52" s="194" t="s">
        <v>2133</v>
      </c>
      <c r="P52" s="194" t="s">
        <v>2134</v>
      </c>
      <c r="Q52" s="194" t="s">
        <v>2135</v>
      </c>
    </row>
    <row r="53" spans="1:17" ht="26.25" customHeight="1" x14ac:dyDescent="0.35">
      <c r="A53" s="195" t="s">
        <v>1981</v>
      </c>
      <c r="B53" s="195">
        <v>796</v>
      </c>
      <c r="C53" s="198">
        <v>1050001015545</v>
      </c>
      <c r="D53" s="195" t="s">
        <v>1981</v>
      </c>
      <c r="E53" s="195">
        <v>797</v>
      </c>
      <c r="F53" s="198">
        <v>1050000998050</v>
      </c>
      <c r="G53" s="195" t="s">
        <v>1982</v>
      </c>
      <c r="H53" s="196">
        <v>1.0169999999999999</v>
      </c>
      <c r="I53" s="196">
        <v>1.014</v>
      </c>
      <c r="J53" s="197">
        <v>1.016</v>
      </c>
      <c r="K53" s="197">
        <v>1.0129999999999999</v>
      </c>
      <c r="L53" s="197">
        <v>1.014</v>
      </c>
      <c r="M53" s="196">
        <v>1.0169999999999999</v>
      </c>
      <c r="N53" s="196">
        <v>1.014</v>
      </c>
      <c r="O53" s="197">
        <v>1.016</v>
      </c>
      <c r="P53" s="197">
        <v>1.0129999999999999</v>
      </c>
      <c r="Q53" s="197">
        <v>1.014</v>
      </c>
    </row>
    <row r="54" spans="1:17" ht="26.25" customHeight="1" x14ac:dyDescent="0.35">
      <c r="A54" s="195" t="s">
        <v>1983</v>
      </c>
      <c r="B54" s="195">
        <v>796</v>
      </c>
      <c r="C54" s="198">
        <v>1050001061597</v>
      </c>
      <c r="D54" s="195" t="s">
        <v>1983</v>
      </c>
      <c r="E54" s="195">
        <v>797</v>
      </c>
      <c r="F54" s="198">
        <v>1050001061602</v>
      </c>
      <c r="G54" s="195" t="s">
        <v>1984</v>
      </c>
      <c r="H54" s="196">
        <v>1.0169999999999999</v>
      </c>
      <c r="I54" s="196">
        <v>1.014</v>
      </c>
      <c r="J54" s="197">
        <v>1.016</v>
      </c>
      <c r="K54" s="197">
        <v>1.0129999999999999</v>
      </c>
      <c r="L54" s="197">
        <v>1.014</v>
      </c>
      <c r="M54" s="196">
        <v>1.0169999999999999</v>
      </c>
      <c r="N54" s="196">
        <v>1.014</v>
      </c>
      <c r="O54" s="197">
        <v>1.016</v>
      </c>
      <c r="P54" s="197">
        <v>1.0129999999999999</v>
      </c>
      <c r="Q54" s="197">
        <v>1.014</v>
      </c>
    </row>
    <row r="55" spans="1:17" ht="26.25" customHeight="1" x14ac:dyDescent="0.35">
      <c r="A55" s="195" t="s">
        <v>2154</v>
      </c>
      <c r="B55" s="195">
        <v>798</v>
      </c>
      <c r="C55" s="198">
        <v>1050001382522</v>
      </c>
      <c r="D55" s="195" t="s">
        <v>2154</v>
      </c>
      <c r="E55" s="195">
        <v>799</v>
      </c>
      <c r="F55" s="198">
        <v>1050001382531</v>
      </c>
      <c r="G55" s="195" t="s">
        <v>2155</v>
      </c>
      <c r="H55" s="196">
        <v>1.004</v>
      </c>
      <c r="I55" s="196">
        <v>1.0029999999999999</v>
      </c>
      <c r="J55" s="197">
        <v>1.0029999999999999</v>
      </c>
      <c r="K55" s="197">
        <v>1.002</v>
      </c>
      <c r="L55" s="197">
        <v>1.0029999999999999</v>
      </c>
      <c r="M55" s="196">
        <v>1.004</v>
      </c>
      <c r="N55" s="196">
        <v>1.0029999999999999</v>
      </c>
      <c r="O55" s="197">
        <v>1.0029999999999999</v>
      </c>
      <c r="P55" s="197">
        <v>1.002</v>
      </c>
      <c r="Q55" s="197">
        <v>1.0029999999999999</v>
      </c>
    </row>
    <row r="56" spans="1:17" ht="26.25" customHeight="1" x14ac:dyDescent="0.35">
      <c r="A56" s="195" t="s">
        <v>1985</v>
      </c>
      <c r="B56" s="195">
        <v>796</v>
      </c>
      <c r="C56" s="198">
        <v>1050001036615</v>
      </c>
      <c r="D56" s="195" t="s">
        <v>1985</v>
      </c>
      <c r="E56" s="195">
        <v>797</v>
      </c>
      <c r="F56" s="198">
        <v>1050001036624</v>
      </c>
      <c r="G56" s="195" t="s">
        <v>1986</v>
      </c>
      <c r="H56" s="196">
        <v>1.0169999999999999</v>
      </c>
      <c r="I56" s="196">
        <v>1.014</v>
      </c>
      <c r="J56" s="197">
        <v>1.016</v>
      </c>
      <c r="K56" s="197">
        <v>1.0129999999999999</v>
      </c>
      <c r="L56" s="197">
        <v>1.014</v>
      </c>
      <c r="M56" s="196">
        <v>1.0169999999999999</v>
      </c>
      <c r="N56" s="196">
        <v>1.014</v>
      </c>
      <c r="O56" s="197">
        <v>1.016</v>
      </c>
      <c r="P56" s="197">
        <v>1.0129999999999999</v>
      </c>
      <c r="Q56" s="197">
        <v>1.014</v>
      </c>
    </row>
    <row r="57" spans="1:17" ht="26.25" customHeight="1" x14ac:dyDescent="0.35">
      <c r="A57" s="195" t="s">
        <v>1987</v>
      </c>
      <c r="B57" s="195" t="s">
        <v>1988</v>
      </c>
      <c r="C57" s="198">
        <v>1097000000183</v>
      </c>
      <c r="D57" s="195" t="s">
        <v>1987</v>
      </c>
      <c r="E57" s="195" t="s">
        <v>1989</v>
      </c>
      <c r="F57" s="198">
        <v>1097000000192</v>
      </c>
      <c r="G57" s="195" t="s">
        <v>1990</v>
      </c>
      <c r="H57" s="196">
        <v>1.0169999999999999</v>
      </c>
      <c r="I57" s="196">
        <v>1.014</v>
      </c>
      <c r="J57" s="197">
        <v>1.016</v>
      </c>
      <c r="K57" s="197">
        <v>1.0129999999999999</v>
      </c>
      <c r="L57" s="197">
        <v>1.014</v>
      </c>
      <c r="M57" s="196">
        <v>1.0169999999999999</v>
      </c>
      <c r="N57" s="196">
        <v>1.014</v>
      </c>
      <c r="O57" s="197">
        <v>1.016</v>
      </c>
      <c r="P57" s="197">
        <v>1.0129999999999999</v>
      </c>
      <c r="Q57" s="197">
        <v>1.014</v>
      </c>
    </row>
    <row r="58" spans="1:17" ht="26.25" customHeight="1" x14ac:dyDescent="0.35">
      <c r="A58" s="195" t="s">
        <v>2136</v>
      </c>
      <c r="B58" s="195">
        <v>796</v>
      </c>
      <c r="C58" s="198">
        <v>1050001021414</v>
      </c>
      <c r="D58" s="195" t="s">
        <v>2136</v>
      </c>
      <c r="E58" s="195">
        <v>797</v>
      </c>
      <c r="F58" s="198">
        <v>1050001021423</v>
      </c>
      <c r="G58" s="195" t="s">
        <v>1991</v>
      </c>
      <c r="H58" s="196">
        <v>1.0169999999999999</v>
      </c>
      <c r="I58" s="196">
        <v>1.014</v>
      </c>
      <c r="J58" s="197">
        <v>1.016</v>
      </c>
      <c r="K58" s="197">
        <v>1.0129999999999999</v>
      </c>
      <c r="L58" s="197">
        <v>1.014</v>
      </c>
      <c r="M58" s="196">
        <v>1.0169999999999999</v>
      </c>
      <c r="N58" s="196">
        <v>1.014</v>
      </c>
      <c r="O58" s="197">
        <v>1.016</v>
      </c>
      <c r="P58" s="197">
        <v>1.0129999999999999</v>
      </c>
      <c r="Q58" s="197">
        <v>1.014</v>
      </c>
    </row>
    <row r="59" spans="1:17" ht="26.25" customHeight="1" x14ac:dyDescent="0.35">
      <c r="A59" s="195" t="s">
        <v>2146</v>
      </c>
      <c r="B59" s="195">
        <v>796</v>
      </c>
      <c r="C59" s="198">
        <v>1050001382364</v>
      </c>
      <c r="D59" s="195" t="s">
        <v>2146</v>
      </c>
      <c r="E59" s="195">
        <v>797</v>
      </c>
      <c r="F59" s="198">
        <v>1050001382373</v>
      </c>
      <c r="G59" s="195" t="s">
        <v>2152</v>
      </c>
      <c r="H59" s="196">
        <v>1.0169999999999999</v>
      </c>
      <c r="I59" s="196">
        <v>1.014</v>
      </c>
      <c r="J59" s="197">
        <v>1.016</v>
      </c>
      <c r="K59" s="197">
        <v>1.0129999999999999</v>
      </c>
      <c r="L59" s="197">
        <v>1.014</v>
      </c>
      <c r="M59" s="196">
        <v>1.0169999999999999</v>
      </c>
      <c r="N59" s="196">
        <v>1.014</v>
      </c>
      <c r="O59" s="197">
        <v>1.016</v>
      </c>
      <c r="P59" s="197">
        <v>1.0129999999999999</v>
      </c>
      <c r="Q59" s="197">
        <v>1.014</v>
      </c>
    </row>
    <row r="60" spans="1:17" ht="26.25" customHeight="1" x14ac:dyDescent="0.35">
      <c r="A60" s="195" t="s">
        <v>2147</v>
      </c>
      <c r="B60" s="195">
        <v>796</v>
      </c>
      <c r="C60" s="198">
        <v>1050001382337</v>
      </c>
      <c r="D60" s="195" t="s">
        <v>2147</v>
      </c>
      <c r="E60" s="195">
        <v>797</v>
      </c>
      <c r="F60" s="198">
        <v>1050001382355</v>
      </c>
      <c r="G60" s="195" t="s">
        <v>2152</v>
      </c>
      <c r="H60" s="196">
        <v>1.0169999999999999</v>
      </c>
      <c r="I60" s="196">
        <v>1.014</v>
      </c>
      <c r="J60" s="197">
        <v>1.016</v>
      </c>
      <c r="K60" s="197">
        <v>1.0129999999999999</v>
      </c>
      <c r="L60" s="197">
        <v>1.014</v>
      </c>
      <c r="M60" s="196">
        <v>1.0169999999999999</v>
      </c>
      <c r="N60" s="196">
        <v>1.014</v>
      </c>
      <c r="O60" s="197">
        <v>1.016</v>
      </c>
      <c r="P60" s="197">
        <v>1.0129999999999999</v>
      </c>
      <c r="Q60" s="197">
        <v>1.014</v>
      </c>
    </row>
    <row r="61" spans="1:17" ht="26.25" customHeight="1" x14ac:dyDescent="0.35">
      <c r="A61" s="195" t="s">
        <v>1992</v>
      </c>
      <c r="B61" s="195">
        <v>796</v>
      </c>
      <c r="C61" s="198">
        <v>1050000714173</v>
      </c>
      <c r="D61" s="195" t="s">
        <v>1992</v>
      </c>
      <c r="E61" s="195">
        <v>797</v>
      </c>
      <c r="F61" s="198">
        <v>1050000714182</v>
      </c>
      <c r="G61" s="195" t="s">
        <v>1993</v>
      </c>
      <c r="H61" s="196">
        <v>1.0169999999999999</v>
      </c>
      <c r="I61" s="196">
        <v>1.014</v>
      </c>
      <c r="J61" s="197">
        <v>1.016</v>
      </c>
      <c r="K61" s="197">
        <v>1.0129999999999999</v>
      </c>
      <c r="L61" s="197">
        <v>1.014</v>
      </c>
      <c r="M61" s="196">
        <v>1.0169999999999999</v>
      </c>
      <c r="N61" s="196">
        <v>1.014</v>
      </c>
      <c r="O61" s="197">
        <v>1.016</v>
      </c>
      <c r="P61" s="197">
        <v>1.0129999999999999</v>
      </c>
      <c r="Q61" s="197">
        <v>1.014</v>
      </c>
    </row>
    <row r="62" spans="1:17" ht="26.25" customHeight="1" x14ac:dyDescent="0.35">
      <c r="A62" s="195" t="s">
        <v>2158</v>
      </c>
      <c r="B62" s="195">
        <v>796</v>
      </c>
      <c r="C62" s="198">
        <v>1050001495174</v>
      </c>
      <c r="D62" s="195" t="s">
        <v>2158</v>
      </c>
      <c r="E62" s="195">
        <v>797</v>
      </c>
      <c r="F62" s="198">
        <v>1050001495183</v>
      </c>
      <c r="G62" s="195" t="s">
        <v>2159</v>
      </c>
      <c r="H62" s="196">
        <v>1.0169999999999999</v>
      </c>
      <c r="I62" s="196">
        <v>1.014</v>
      </c>
      <c r="J62" s="197">
        <v>1.016</v>
      </c>
      <c r="K62" s="197">
        <v>1.0129999999999999</v>
      </c>
      <c r="L62" s="197">
        <v>1.014</v>
      </c>
      <c r="M62" s="196">
        <v>1.0169999999999999</v>
      </c>
      <c r="N62" s="196">
        <v>1.014</v>
      </c>
      <c r="O62" s="197">
        <v>1.016</v>
      </c>
      <c r="P62" s="197">
        <v>1.0129999999999999</v>
      </c>
      <c r="Q62" s="197">
        <v>1.014</v>
      </c>
    </row>
    <row r="63" spans="1:17" ht="26.25" customHeight="1" x14ac:dyDescent="0.35">
      <c r="A63" s="195" t="s">
        <v>2026</v>
      </c>
      <c r="B63" s="195">
        <v>796</v>
      </c>
      <c r="C63" s="198">
        <v>1050001191792</v>
      </c>
      <c r="D63" s="195" t="s">
        <v>2026</v>
      </c>
      <c r="E63" s="195">
        <v>797</v>
      </c>
      <c r="F63" s="198">
        <v>1050001191808</v>
      </c>
      <c r="G63" s="195" t="s">
        <v>2031</v>
      </c>
      <c r="H63" s="196">
        <v>1.0169999999999999</v>
      </c>
      <c r="I63" s="196">
        <v>1.014</v>
      </c>
      <c r="J63" s="197">
        <v>1.016</v>
      </c>
      <c r="K63" s="197">
        <v>1.0129999999999999</v>
      </c>
      <c r="L63" s="197">
        <v>1.014</v>
      </c>
      <c r="M63" s="196">
        <v>1.0169999999999999</v>
      </c>
      <c r="N63" s="196">
        <v>1.014</v>
      </c>
      <c r="O63" s="197">
        <v>1.016</v>
      </c>
      <c r="P63" s="197">
        <v>1.0129999999999999</v>
      </c>
      <c r="Q63" s="197">
        <v>1.014</v>
      </c>
    </row>
    <row r="64" spans="1:17" ht="26.25" customHeight="1" x14ac:dyDescent="0.35">
      <c r="A64" s="195" t="s">
        <v>2024</v>
      </c>
      <c r="B64" s="195">
        <v>796</v>
      </c>
      <c r="C64" s="198">
        <v>1050001047087</v>
      </c>
      <c r="D64" s="195" t="s">
        <v>2024</v>
      </c>
      <c r="E64" s="195">
        <v>797</v>
      </c>
      <c r="F64" s="198">
        <v>1050001047078</v>
      </c>
      <c r="G64" s="195" t="s">
        <v>2029</v>
      </c>
      <c r="H64" s="196">
        <v>1.0169999999999999</v>
      </c>
      <c r="I64" s="196">
        <v>1.014</v>
      </c>
      <c r="J64" s="197">
        <v>1.016</v>
      </c>
      <c r="K64" s="197">
        <v>1.0129999999999999</v>
      </c>
      <c r="L64" s="197">
        <v>1.014</v>
      </c>
      <c r="M64" s="196">
        <v>1.0169999999999999</v>
      </c>
      <c r="N64" s="196">
        <v>1.014</v>
      </c>
      <c r="O64" s="197">
        <v>1.016</v>
      </c>
      <c r="P64" s="197">
        <v>1.0129999999999999</v>
      </c>
      <c r="Q64" s="197">
        <v>1.014</v>
      </c>
    </row>
    <row r="65" spans="1:17" ht="26.25" customHeight="1" x14ac:dyDescent="0.35">
      <c r="A65" s="195" t="s">
        <v>1994</v>
      </c>
      <c r="B65" s="195">
        <v>796</v>
      </c>
      <c r="C65" s="198">
        <v>1050001047272</v>
      </c>
      <c r="D65" s="195" t="s">
        <v>1994</v>
      </c>
      <c r="E65" s="195">
        <v>797</v>
      </c>
      <c r="F65" s="198">
        <v>1050001047263</v>
      </c>
      <c r="G65" s="195" t="s">
        <v>1995</v>
      </c>
      <c r="H65" s="196">
        <v>1.0169999999999999</v>
      </c>
      <c r="I65" s="196">
        <v>1.014</v>
      </c>
      <c r="J65" s="197">
        <v>1.016</v>
      </c>
      <c r="K65" s="197">
        <v>1.0129999999999999</v>
      </c>
      <c r="L65" s="197">
        <v>1.014</v>
      </c>
      <c r="M65" s="196">
        <v>1.0169999999999999</v>
      </c>
      <c r="N65" s="196">
        <v>1.014</v>
      </c>
      <c r="O65" s="197">
        <v>1.016</v>
      </c>
      <c r="P65" s="197">
        <v>1.0129999999999999</v>
      </c>
      <c r="Q65" s="197">
        <v>1.014</v>
      </c>
    </row>
    <row r="66" spans="1:17" ht="26.25" customHeight="1" x14ac:dyDescent="0.35">
      <c r="A66" s="195" t="s">
        <v>2149</v>
      </c>
      <c r="B66" s="195">
        <v>798</v>
      </c>
      <c r="C66" s="198">
        <v>1050001440510</v>
      </c>
      <c r="D66" s="195" t="s">
        <v>2149</v>
      </c>
      <c r="E66" s="195">
        <v>799</v>
      </c>
      <c r="F66" s="198">
        <v>1050001440529</v>
      </c>
      <c r="G66" s="195" t="s">
        <v>2150</v>
      </c>
      <c r="H66" s="196">
        <v>1.004</v>
      </c>
      <c r="I66" s="196">
        <v>1.0029999999999999</v>
      </c>
      <c r="J66" s="197">
        <v>1.0029999999999999</v>
      </c>
      <c r="K66" s="197">
        <v>1.002</v>
      </c>
      <c r="L66" s="197">
        <v>1.0029999999999999</v>
      </c>
      <c r="M66" s="196">
        <v>1.004</v>
      </c>
      <c r="N66" s="196">
        <v>1.0029999999999999</v>
      </c>
      <c r="O66" s="197">
        <v>1.0029999999999999</v>
      </c>
      <c r="P66" s="197">
        <v>1.002</v>
      </c>
      <c r="Q66" s="197">
        <v>1.0029999999999999</v>
      </c>
    </row>
    <row r="67" spans="1:17" ht="26.25" customHeight="1" x14ac:dyDescent="0.35">
      <c r="A67" s="195" t="s">
        <v>2148</v>
      </c>
      <c r="B67" s="195">
        <v>796</v>
      </c>
      <c r="C67" s="198">
        <v>1050001391466</v>
      </c>
      <c r="D67" s="195" t="s">
        <v>2148</v>
      </c>
      <c r="E67" s="195">
        <v>797</v>
      </c>
      <c r="F67" s="198">
        <v>1050001391475</v>
      </c>
      <c r="G67" s="195" t="s">
        <v>2151</v>
      </c>
      <c r="H67" s="196">
        <v>1.0169999999999999</v>
      </c>
      <c r="I67" s="196">
        <v>1.014</v>
      </c>
      <c r="J67" s="197">
        <v>1.016</v>
      </c>
      <c r="K67" s="197">
        <v>1.0129999999999999</v>
      </c>
      <c r="L67" s="197">
        <v>1.014</v>
      </c>
      <c r="M67" s="196">
        <v>1.0169999999999999</v>
      </c>
      <c r="N67" s="196">
        <v>1.014</v>
      </c>
      <c r="O67" s="197">
        <v>1.016</v>
      </c>
      <c r="P67" s="197">
        <v>1.0129999999999999</v>
      </c>
      <c r="Q67" s="197">
        <v>1.014</v>
      </c>
    </row>
    <row r="68" spans="1:17" ht="26.25" customHeight="1" x14ac:dyDescent="0.35">
      <c r="A68" s="195" t="s">
        <v>2034</v>
      </c>
      <c r="B68" s="195">
        <v>796</v>
      </c>
      <c r="C68" s="198">
        <v>1050001197873</v>
      </c>
      <c r="D68" s="195" t="s">
        <v>2034</v>
      </c>
      <c r="E68" s="195">
        <v>797</v>
      </c>
      <c r="F68" s="198">
        <v>1050001197864</v>
      </c>
      <c r="G68" s="195" t="s">
        <v>2033</v>
      </c>
      <c r="H68" s="196">
        <v>1.0169999999999999</v>
      </c>
      <c r="I68" s="196">
        <v>1.014</v>
      </c>
      <c r="J68" s="197">
        <v>1.016</v>
      </c>
      <c r="K68" s="197">
        <v>1.0129999999999999</v>
      </c>
      <c r="L68" s="197">
        <v>1.014</v>
      </c>
      <c r="M68" s="196">
        <v>1.0169999999999999</v>
      </c>
      <c r="N68" s="196">
        <v>1.014</v>
      </c>
      <c r="O68" s="197">
        <v>1.016</v>
      </c>
      <c r="P68" s="197">
        <v>1.0129999999999999</v>
      </c>
      <c r="Q68" s="197">
        <v>1.014</v>
      </c>
    </row>
    <row r="69" spans="1:17" ht="26.25" customHeight="1" x14ac:dyDescent="0.35">
      <c r="A69" s="195" t="s">
        <v>2118</v>
      </c>
      <c r="B69" s="195">
        <v>796</v>
      </c>
      <c r="C69" s="198">
        <v>1050001231451</v>
      </c>
      <c r="D69" s="195" t="s">
        <v>2118</v>
      </c>
      <c r="E69" s="195">
        <v>797</v>
      </c>
      <c r="F69" s="198">
        <v>1050001231460</v>
      </c>
      <c r="G69" s="195" t="s">
        <v>2119</v>
      </c>
      <c r="H69" s="196">
        <v>1.0169999999999999</v>
      </c>
      <c r="I69" s="196">
        <v>1.014</v>
      </c>
      <c r="J69" s="197">
        <v>1.016</v>
      </c>
      <c r="K69" s="197">
        <v>1.0129999999999999</v>
      </c>
      <c r="L69" s="197">
        <v>1.014</v>
      </c>
      <c r="M69" s="196">
        <v>1.0169999999999999</v>
      </c>
      <c r="N69" s="196">
        <v>1.014</v>
      </c>
      <c r="O69" s="197">
        <v>1.016</v>
      </c>
      <c r="P69" s="197">
        <v>1.0129999999999999</v>
      </c>
      <c r="Q69" s="197">
        <v>1.014</v>
      </c>
    </row>
    <row r="70" spans="1:17" ht="26.25" customHeight="1" x14ac:dyDescent="0.35">
      <c r="A70" s="195" t="s">
        <v>1996</v>
      </c>
      <c r="B70" s="195">
        <v>796</v>
      </c>
      <c r="C70" s="198">
        <v>1050001036670</v>
      </c>
      <c r="D70" s="195" t="s">
        <v>1996</v>
      </c>
      <c r="E70" s="195">
        <v>797</v>
      </c>
      <c r="F70" s="198">
        <v>1050001036689</v>
      </c>
      <c r="G70" s="195" t="s">
        <v>1997</v>
      </c>
      <c r="H70" s="196">
        <v>1.0169999999999999</v>
      </c>
      <c r="I70" s="196">
        <v>1.014</v>
      </c>
      <c r="J70" s="197">
        <v>1.016</v>
      </c>
      <c r="K70" s="197">
        <v>1.0129999999999999</v>
      </c>
      <c r="L70" s="197">
        <v>1.014</v>
      </c>
      <c r="M70" s="196">
        <v>1.0169999999999999</v>
      </c>
      <c r="N70" s="196">
        <v>1.014</v>
      </c>
      <c r="O70" s="197">
        <v>1.016</v>
      </c>
      <c r="P70" s="197">
        <v>1.0129999999999999</v>
      </c>
      <c r="Q70" s="197">
        <v>1.014</v>
      </c>
    </row>
    <row r="71" spans="1:17" ht="26.25" customHeight="1" x14ac:dyDescent="0.35">
      <c r="A71" s="195" t="s">
        <v>2142</v>
      </c>
      <c r="B71" s="195">
        <v>771</v>
      </c>
      <c r="C71" s="198" t="s">
        <v>2153</v>
      </c>
      <c r="D71" s="195"/>
      <c r="E71" s="195"/>
      <c r="F71" s="198"/>
      <c r="G71" s="195" t="s">
        <v>2143</v>
      </c>
      <c r="H71" s="196">
        <v>1.052</v>
      </c>
      <c r="I71" s="196">
        <v>1.0389999999999999</v>
      </c>
      <c r="J71" s="197">
        <v>1.046</v>
      </c>
      <c r="K71" s="197">
        <v>1.0349999999999999</v>
      </c>
      <c r="L71" s="197">
        <v>1.04</v>
      </c>
      <c r="M71" s="196"/>
      <c r="N71" s="196"/>
      <c r="O71" s="197"/>
      <c r="P71" s="197"/>
      <c r="Q71" s="197"/>
    </row>
    <row r="72" spans="1:17" ht="26.25" customHeight="1" x14ac:dyDescent="0.35">
      <c r="A72" s="195" t="s">
        <v>2023</v>
      </c>
      <c r="B72" s="195">
        <v>796</v>
      </c>
      <c r="C72" s="198">
        <v>1050001129980</v>
      </c>
      <c r="D72" s="195" t="s">
        <v>2023</v>
      </c>
      <c r="E72" s="195">
        <v>797</v>
      </c>
      <c r="F72" s="198">
        <v>1050001129999</v>
      </c>
      <c r="G72" s="195" t="s">
        <v>2028</v>
      </c>
      <c r="H72" s="196">
        <v>1.0169999999999999</v>
      </c>
      <c r="I72" s="196">
        <v>1.014</v>
      </c>
      <c r="J72" s="197">
        <v>1.016</v>
      </c>
      <c r="K72" s="197">
        <v>1.0129999999999999</v>
      </c>
      <c r="L72" s="197">
        <v>1.014</v>
      </c>
      <c r="M72" s="196">
        <v>1.0169999999999999</v>
      </c>
      <c r="N72" s="196">
        <v>1.014</v>
      </c>
      <c r="O72" s="197">
        <v>1.016</v>
      </c>
      <c r="P72" s="197">
        <v>1.0129999999999999</v>
      </c>
      <c r="Q72" s="197">
        <v>1.014</v>
      </c>
    </row>
    <row r="73" spans="1:17" ht="26.25" customHeight="1" x14ac:dyDescent="0.35">
      <c r="A73" s="195" t="s">
        <v>2139</v>
      </c>
      <c r="B73" s="195">
        <v>796</v>
      </c>
      <c r="C73" s="198">
        <v>1050001041642</v>
      </c>
      <c r="D73" s="195" t="s">
        <v>2139</v>
      </c>
      <c r="E73" s="195">
        <v>797</v>
      </c>
      <c r="F73" s="198">
        <v>1050001041651</v>
      </c>
      <c r="G73" s="195" t="s">
        <v>2032</v>
      </c>
      <c r="H73" s="196">
        <v>1.0169999999999999</v>
      </c>
      <c r="I73" s="196">
        <v>1.014</v>
      </c>
      <c r="J73" s="197">
        <v>1.016</v>
      </c>
      <c r="K73" s="197">
        <v>1.0129999999999999</v>
      </c>
      <c r="L73" s="197">
        <v>1.014</v>
      </c>
      <c r="M73" s="196">
        <v>1.0169999999999999</v>
      </c>
      <c r="N73" s="196">
        <v>1.014</v>
      </c>
      <c r="O73" s="197">
        <v>1.016</v>
      </c>
      <c r="P73" s="197">
        <v>1.0129999999999999</v>
      </c>
      <c r="Q73" s="197">
        <v>1.014</v>
      </c>
    </row>
    <row r="74" spans="1:17" ht="26.25" customHeight="1" x14ac:dyDescent="0.35">
      <c r="A74" s="195" t="s">
        <v>1016</v>
      </c>
      <c r="B74" s="195">
        <v>771</v>
      </c>
      <c r="C74" s="198">
        <v>1050000687486</v>
      </c>
      <c r="D74" s="195" t="s">
        <v>1016</v>
      </c>
      <c r="E74" s="195">
        <v>792</v>
      </c>
      <c r="F74" s="198">
        <v>1050000687495</v>
      </c>
      <c r="G74" s="195" t="s">
        <v>1357</v>
      </c>
      <c r="H74" s="196">
        <v>1.052</v>
      </c>
      <c r="I74" s="196">
        <v>1.0389999999999999</v>
      </c>
      <c r="J74" s="197">
        <v>1.046</v>
      </c>
      <c r="K74" s="197">
        <v>1.0349999999999999</v>
      </c>
      <c r="L74" s="197">
        <v>1.04</v>
      </c>
      <c r="M74" s="196">
        <v>1.052</v>
      </c>
      <c r="N74" s="196">
        <v>1.0389999999999999</v>
      </c>
      <c r="O74" s="197">
        <v>1.046</v>
      </c>
      <c r="P74" s="197">
        <v>1.0349999999999999</v>
      </c>
      <c r="Q74" s="197">
        <v>1.04</v>
      </c>
    </row>
    <row r="75" spans="1:17" ht="26.25" customHeight="1" x14ac:dyDescent="0.35">
      <c r="A75" s="195" t="s">
        <v>1998</v>
      </c>
      <c r="B75" s="195">
        <v>798</v>
      </c>
      <c r="C75" s="198">
        <v>1050001008681</v>
      </c>
      <c r="D75" s="195" t="s">
        <v>1998</v>
      </c>
      <c r="E75" s="195">
        <v>799</v>
      </c>
      <c r="F75" s="198">
        <v>1050001008690</v>
      </c>
      <c r="G75" s="195" t="s">
        <v>1999</v>
      </c>
      <c r="H75" s="196">
        <v>1.004</v>
      </c>
      <c r="I75" s="196">
        <v>1.0029999999999999</v>
      </c>
      <c r="J75" s="197">
        <v>1.0029999999999999</v>
      </c>
      <c r="K75" s="197">
        <v>1.002</v>
      </c>
      <c r="L75" s="197">
        <v>1.0029999999999999</v>
      </c>
      <c r="M75" s="196">
        <v>1.004</v>
      </c>
      <c r="N75" s="196">
        <v>1.0029999999999999</v>
      </c>
      <c r="O75" s="197">
        <v>1.0029999999999999</v>
      </c>
      <c r="P75" s="197">
        <v>1.002</v>
      </c>
      <c r="Q75" s="197">
        <v>1.0029999999999999</v>
      </c>
    </row>
    <row r="76" spans="1:17" ht="26.25" customHeight="1" x14ac:dyDescent="0.35">
      <c r="A76" s="195" t="s">
        <v>2000</v>
      </c>
      <c r="B76" s="195">
        <v>796</v>
      </c>
      <c r="C76" s="198">
        <v>1050001008645</v>
      </c>
      <c r="D76" s="195" t="s">
        <v>2000</v>
      </c>
      <c r="E76" s="195">
        <v>797</v>
      </c>
      <c r="F76" s="198">
        <v>1050001008636</v>
      </c>
      <c r="G76" s="195" t="s">
        <v>2001</v>
      </c>
      <c r="H76" s="196">
        <v>1.0169999999999999</v>
      </c>
      <c r="I76" s="196">
        <v>1.014</v>
      </c>
      <c r="J76" s="197">
        <v>1.016</v>
      </c>
      <c r="K76" s="197">
        <v>1.0129999999999999</v>
      </c>
      <c r="L76" s="197">
        <v>1.014</v>
      </c>
      <c r="M76" s="196">
        <v>1.0169999999999999</v>
      </c>
      <c r="N76" s="196">
        <v>1.014</v>
      </c>
      <c r="O76" s="197">
        <v>1.016</v>
      </c>
      <c r="P76" s="197">
        <v>1.0129999999999999</v>
      </c>
      <c r="Q76" s="197">
        <v>1.014</v>
      </c>
    </row>
    <row r="77" spans="1:17" ht="26.25" customHeight="1" x14ac:dyDescent="0.35">
      <c r="A77" s="195" t="s">
        <v>2116</v>
      </c>
      <c r="B77" s="195">
        <v>796</v>
      </c>
      <c r="C77" s="198">
        <v>1050001205345</v>
      </c>
      <c r="D77" s="195" t="s">
        <v>2116</v>
      </c>
      <c r="E77" s="195">
        <v>797</v>
      </c>
      <c r="F77" s="198">
        <v>1050001205354</v>
      </c>
      <c r="G77" s="195" t="s">
        <v>2117</v>
      </c>
      <c r="H77" s="196">
        <v>1.0169999999999999</v>
      </c>
      <c r="I77" s="196">
        <v>1.014</v>
      </c>
      <c r="J77" s="197">
        <v>1.016</v>
      </c>
      <c r="K77" s="197">
        <v>1.0129999999999999</v>
      </c>
      <c r="L77" s="197">
        <v>1.014</v>
      </c>
      <c r="M77" s="196">
        <v>1.0169999999999999</v>
      </c>
      <c r="N77" s="196">
        <v>1.014</v>
      </c>
      <c r="O77" s="197">
        <v>1.016</v>
      </c>
      <c r="P77" s="197">
        <v>1.0129999999999999</v>
      </c>
      <c r="Q77" s="197">
        <v>1.014</v>
      </c>
    </row>
    <row r="78" spans="1:17" ht="26.25" customHeight="1" x14ac:dyDescent="0.35">
      <c r="A78" s="195" t="s">
        <v>2138</v>
      </c>
      <c r="B78" s="195">
        <v>796</v>
      </c>
      <c r="C78" s="198">
        <v>1050001197855</v>
      </c>
      <c r="D78" s="195" t="s">
        <v>2138</v>
      </c>
      <c r="E78" s="195">
        <v>797</v>
      </c>
      <c r="F78" s="198">
        <v>1050001197846</v>
      </c>
      <c r="G78" s="195" t="s">
        <v>2137</v>
      </c>
      <c r="H78" s="196">
        <v>1.0169999999999999</v>
      </c>
      <c r="I78" s="196">
        <v>1.014</v>
      </c>
      <c r="J78" s="197">
        <v>1.016</v>
      </c>
      <c r="K78" s="197">
        <v>1.0129999999999999</v>
      </c>
      <c r="L78" s="197">
        <v>1.014</v>
      </c>
      <c r="M78" s="196">
        <v>1.0169999999999999</v>
      </c>
      <c r="N78" s="196">
        <v>1.014</v>
      </c>
      <c r="O78" s="197">
        <v>1.016</v>
      </c>
      <c r="P78" s="197">
        <v>1.0129999999999999</v>
      </c>
      <c r="Q78" s="197">
        <v>1.014</v>
      </c>
    </row>
    <row r="79" spans="1:17" ht="26.25" customHeight="1" x14ac:dyDescent="0.35">
      <c r="A79" s="195" t="s">
        <v>2120</v>
      </c>
      <c r="B79" s="195">
        <v>796</v>
      </c>
      <c r="C79" s="198">
        <v>1050001261465</v>
      </c>
      <c r="D79" s="195" t="s">
        <v>2120</v>
      </c>
      <c r="E79" s="195">
        <v>797</v>
      </c>
      <c r="F79" s="198">
        <v>1050001261429</v>
      </c>
      <c r="G79" s="195" t="s">
        <v>2121</v>
      </c>
      <c r="H79" s="196">
        <v>1.0169999999999999</v>
      </c>
      <c r="I79" s="196">
        <v>1.014</v>
      </c>
      <c r="J79" s="197">
        <v>1.016</v>
      </c>
      <c r="K79" s="197">
        <v>1.0129999999999999</v>
      </c>
      <c r="L79" s="197">
        <v>1.014</v>
      </c>
      <c r="M79" s="196">
        <v>1.0169999999999999</v>
      </c>
      <c r="N79" s="196">
        <v>1.014</v>
      </c>
      <c r="O79" s="197">
        <v>1.016</v>
      </c>
      <c r="P79" s="197">
        <v>1.0129999999999999</v>
      </c>
      <c r="Q79" s="197">
        <v>1.014</v>
      </c>
    </row>
    <row r="80" spans="1:17" ht="26.25" customHeight="1" x14ac:dyDescent="0.35">
      <c r="A80" s="195" t="s">
        <v>2002</v>
      </c>
      <c r="B80" s="195">
        <v>796</v>
      </c>
      <c r="C80" s="198">
        <v>1050001060050</v>
      </c>
      <c r="D80" s="195" t="s">
        <v>2002</v>
      </c>
      <c r="E80" s="195">
        <v>797</v>
      </c>
      <c r="F80" s="198">
        <v>1050001060060</v>
      </c>
      <c r="G80" s="195" t="s">
        <v>2003</v>
      </c>
      <c r="H80" s="196">
        <v>1.0169999999999999</v>
      </c>
      <c r="I80" s="196">
        <v>1.014</v>
      </c>
      <c r="J80" s="197">
        <v>1.016</v>
      </c>
      <c r="K80" s="197">
        <v>1.0129999999999999</v>
      </c>
      <c r="L80" s="197">
        <v>1.014</v>
      </c>
      <c r="M80" s="196">
        <v>1.0169999999999999</v>
      </c>
      <c r="N80" s="196">
        <v>1.014</v>
      </c>
      <c r="O80" s="197">
        <v>1.016</v>
      </c>
      <c r="P80" s="197">
        <v>1.0129999999999999</v>
      </c>
      <c r="Q80" s="197">
        <v>1.014</v>
      </c>
    </row>
    <row r="81" spans="1:17" ht="26.25" customHeight="1" x14ac:dyDescent="0.35">
      <c r="A81" s="195" t="s">
        <v>2144</v>
      </c>
      <c r="B81" s="195">
        <v>796</v>
      </c>
      <c r="C81" s="198">
        <v>1050001054233</v>
      </c>
      <c r="D81" s="195" t="s">
        <v>2144</v>
      </c>
      <c r="E81" s="195">
        <v>797</v>
      </c>
      <c r="F81" s="198">
        <v>1050001054242</v>
      </c>
      <c r="G81" s="195" t="s">
        <v>2145</v>
      </c>
      <c r="H81" s="196">
        <v>1.0169999999999999</v>
      </c>
      <c r="I81" s="196">
        <v>1.014</v>
      </c>
      <c r="J81" s="197">
        <v>1.016</v>
      </c>
      <c r="K81" s="197">
        <v>1.0129999999999999</v>
      </c>
      <c r="L81" s="197">
        <v>1.014</v>
      </c>
      <c r="M81" s="196">
        <v>1.0169999999999999</v>
      </c>
      <c r="N81" s="196">
        <v>1.014</v>
      </c>
      <c r="O81" s="197">
        <v>1.016</v>
      </c>
      <c r="P81" s="197">
        <v>1.0129999999999999</v>
      </c>
      <c r="Q81" s="197">
        <v>1.014</v>
      </c>
    </row>
    <row r="82" spans="1:17" ht="26.25" customHeight="1" x14ac:dyDescent="0.35">
      <c r="A82" s="195" t="s">
        <v>2004</v>
      </c>
      <c r="B82" s="195">
        <v>796</v>
      </c>
      <c r="C82" s="198">
        <v>1050001042238</v>
      </c>
      <c r="D82" s="195" t="s">
        <v>2004</v>
      </c>
      <c r="E82" s="195">
        <v>797</v>
      </c>
      <c r="F82" s="198">
        <v>1050001042229</v>
      </c>
      <c r="G82" s="195" t="s">
        <v>2005</v>
      </c>
      <c r="H82" s="196">
        <v>1.0169999999999999</v>
      </c>
      <c r="I82" s="196">
        <v>1.014</v>
      </c>
      <c r="J82" s="197">
        <v>1.016</v>
      </c>
      <c r="K82" s="197">
        <v>1.0129999999999999</v>
      </c>
      <c r="L82" s="197">
        <v>1.014</v>
      </c>
      <c r="M82" s="196">
        <v>1.0169999999999999</v>
      </c>
      <c r="N82" s="196">
        <v>1.014</v>
      </c>
      <c r="O82" s="197">
        <v>1.016</v>
      </c>
      <c r="P82" s="197">
        <v>1.0129999999999999</v>
      </c>
      <c r="Q82" s="197">
        <v>1.014</v>
      </c>
    </row>
    <row r="83" spans="1:17" ht="26.25" customHeight="1" x14ac:dyDescent="0.35">
      <c r="A83" s="195" t="s">
        <v>2006</v>
      </c>
      <c r="B83" s="195">
        <v>796</v>
      </c>
      <c r="C83" s="198">
        <v>1050001028544</v>
      </c>
      <c r="D83" s="195" t="s">
        <v>2006</v>
      </c>
      <c r="E83" s="195">
        <v>797</v>
      </c>
      <c r="F83" s="198">
        <v>1050001028553</v>
      </c>
      <c r="G83" s="195" t="s">
        <v>2007</v>
      </c>
      <c r="H83" s="196">
        <v>1.0169999999999999</v>
      </c>
      <c r="I83" s="196">
        <v>1.014</v>
      </c>
      <c r="J83" s="197">
        <v>1.016</v>
      </c>
      <c r="K83" s="197">
        <v>1.0129999999999999</v>
      </c>
      <c r="L83" s="197">
        <v>1.014</v>
      </c>
      <c r="M83" s="196">
        <v>1.0169999999999999</v>
      </c>
      <c r="N83" s="196">
        <v>1.014</v>
      </c>
      <c r="O83" s="197">
        <v>1.016</v>
      </c>
      <c r="P83" s="197">
        <v>1.0129999999999999</v>
      </c>
      <c r="Q83" s="197">
        <v>1.014</v>
      </c>
    </row>
    <row r="84" spans="1:17" ht="26.25" customHeight="1" x14ac:dyDescent="0.35">
      <c r="A84" s="195" t="s">
        <v>2008</v>
      </c>
      <c r="B84" s="195">
        <v>796</v>
      </c>
      <c r="C84" s="198">
        <v>1050001054190</v>
      </c>
      <c r="D84" s="195" t="s">
        <v>2008</v>
      </c>
      <c r="E84" s="195">
        <v>797</v>
      </c>
      <c r="F84" s="198">
        <v>1050001054206</v>
      </c>
      <c r="G84" s="195" t="s">
        <v>2009</v>
      </c>
      <c r="H84" s="196">
        <v>1.0169999999999999</v>
      </c>
      <c r="I84" s="196">
        <v>1.014</v>
      </c>
      <c r="J84" s="197">
        <v>1.016</v>
      </c>
      <c r="K84" s="197">
        <v>1.0129999999999999</v>
      </c>
      <c r="L84" s="197">
        <v>1.014</v>
      </c>
      <c r="M84" s="196">
        <v>1.0169999999999999</v>
      </c>
      <c r="N84" s="196">
        <v>1.014</v>
      </c>
      <c r="O84" s="197">
        <v>1.016</v>
      </c>
      <c r="P84" s="197">
        <v>1.0129999999999999</v>
      </c>
      <c r="Q84" s="197">
        <v>1.014</v>
      </c>
    </row>
    <row r="85" spans="1:17" ht="26.25" customHeight="1" x14ac:dyDescent="0.35">
      <c r="A85" s="195" t="s">
        <v>2122</v>
      </c>
      <c r="B85" s="195">
        <v>796</v>
      </c>
      <c r="C85" s="198">
        <v>1050001118598</v>
      </c>
      <c r="D85" s="195" t="s">
        <v>2122</v>
      </c>
      <c r="E85" s="195">
        <v>797</v>
      </c>
      <c r="F85" s="198">
        <v>1050001118490</v>
      </c>
      <c r="G85" s="195" t="s">
        <v>2123</v>
      </c>
      <c r="H85" s="196">
        <v>1.0169999999999999</v>
      </c>
      <c r="I85" s="196">
        <v>1.014</v>
      </c>
      <c r="J85" s="197">
        <v>1.016</v>
      </c>
      <c r="K85" s="197">
        <v>1.0129999999999999</v>
      </c>
      <c r="L85" s="197">
        <v>1.014</v>
      </c>
      <c r="M85" s="196">
        <v>1.0169999999999999</v>
      </c>
      <c r="N85" s="196">
        <v>1.014</v>
      </c>
      <c r="O85" s="197">
        <v>1.016</v>
      </c>
      <c r="P85" s="197">
        <v>1.0129999999999999</v>
      </c>
      <c r="Q85" s="197">
        <v>1.014</v>
      </c>
    </row>
    <row r="86" spans="1:17" ht="26.25" customHeight="1" x14ac:dyDescent="0.35">
      <c r="A86" s="195" t="s">
        <v>2035</v>
      </c>
      <c r="B86" s="195">
        <v>796</v>
      </c>
      <c r="C86" s="198">
        <v>1050001041962</v>
      </c>
      <c r="D86" s="195" t="s">
        <v>2035</v>
      </c>
      <c r="E86" s="195">
        <v>797</v>
      </c>
      <c r="F86" s="198">
        <v>1050001041935</v>
      </c>
      <c r="G86" s="195" t="s">
        <v>2027</v>
      </c>
      <c r="H86" s="196">
        <v>1.0169999999999999</v>
      </c>
      <c r="I86" s="196">
        <v>1.014</v>
      </c>
      <c r="J86" s="197">
        <v>1.016</v>
      </c>
      <c r="K86" s="197">
        <v>1.0129999999999999</v>
      </c>
      <c r="L86" s="197">
        <v>1.014</v>
      </c>
      <c r="M86" s="196">
        <v>1.0169999999999999</v>
      </c>
      <c r="N86" s="196">
        <v>1.014</v>
      </c>
      <c r="O86" s="197">
        <v>1.016</v>
      </c>
      <c r="P86" s="197">
        <v>1.0129999999999999</v>
      </c>
      <c r="Q86" s="197">
        <v>1.014</v>
      </c>
    </row>
    <row r="87" spans="1:17" ht="26.25" customHeight="1" x14ac:dyDescent="0.35">
      <c r="A87" s="195" t="s">
        <v>2010</v>
      </c>
      <c r="B87" s="195">
        <v>796</v>
      </c>
      <c r="C87" s="198">
        <v>1050001036651</v>
      </c>
      <c r="D87" s="195" t="s">
        <v>2010</v>
      </c>
      <c r="E87" s="195">
        <v>797</v>
      </c>
      <c r="F87" s="198">
        <v>1050001036660</v>
      </c>
      <c r="G87" s="195" t="s">
        <v>2011</v>
      </c>
      <c r="H87" s="196">
        <v>1.0169999999999999</v>
      </c>
      <c r="I87" s="196">
        <v>1.014</v>
      </c>
      <c r="J87" s="197">
        <v>1.016</v>
      </c>
      <c r="K87" s="197">
        <v>1.0129999999999999</v>
      </c>
      <c r="L87" s="197">
        <v>1.014</v>
      </c>
      <c r="M87" s="196">
        <v>1.0169999999999999</v>
      </c>
      <c r="N87" s="196">
        <v>1.014</v>
      </c>
      <c r="O87" s="197">
        <v>1.016</v>
      </c>
      <c r="P87" s="197">
        <v>1.0129999999999999</v>
      </c>
      <c r="Q87" s="197">
        <v>1.014</v>
      </c>
    </row>
    <row r="88" spans="1:17" ht="26.25" customHeight="1" x14ac:dyDescent="0.35">
      <c r="A88" s="195" t="s">
        <v>2012</v>
      </c>
      <c r="B88" s="195">
        <v>796</v>
      </c>
      <c r="C88" s="198">
        <v>1050001028465</v>
      </c>
      <c r="D88" s="195" t="s">
        <v>2012</v>
      </c>
      <c r="E88" s="195">
        <v>797</v>
      </c>
      <c r="F88" s="198">
        <v>1050001028474</v>
      </c>
      <c r="G88" s="195" t="s">
        <v>2013</v>
      </c>
      <c r="H88" s="196">
        <v>1.0169999999999999</v>
      </c>
      <c r="I88" s="196">
        <v>1.014</v>
      </c>
      <c r="J88" s="197">
        <v>1.016</v>
      </c>
      <c r="K88" s="197">
        <v>1.0129999999999999</v>
      </c>
      <c r="L88" s="197">
        <v>1.014</v>
      </c>
      <c r="M88" s="196">
        <v>1.0169999999999999</v>
      </c>
      <c r="N88" s="196">
        <v>1.014</v>
      </c>
      <c r="O88" s="197">
        <v>1.016</v>
      </c>
      <c r="P88" s="197">
        <v>1.0129999999999999</v>
      </c>
      <c r="Q88" s="197">
        <v>1.014</v>
      </c>
    </row>
    <row r="89" spans="1:17" ht="26.25" customHeight="1" x14ac:dyDescent="0.35">
      <c r="A89" s="195" t="s">
        <v>2014</v>
      </c>
      <c r="B89" s="195">
        <v>796</v>
      </c>
      <c r="C89" s="198">
        <v>1050001073468</v>
      </c>
      <c r="D89" s="195" t="s">
        <v>2014</v>
      </c>
      <c r="E89" s="195">
        <v>797</v>
      </c>
      <c r="F89" s="198">
        <v>1050001073500</v>
      </c>
      <c r="G89" s="195" t="s">
        <v>1158</v>
      </c>
      <c r="H89" s="196">
        <v>1.0169999999999999</v>
      </c>
      <c r="I89" s="196">
        <v>1.014</v>
      </c>
      <c r="J89" s="197">
        <v>1.016</v>
      </c>
      <c r="K89" s="197">
        <v>1.0129999999999999</v>
      </c>
      <c r="L89" s="197">
        <v>1.014</v>
      </c>
      <c r="M89" s="196">
        <v>1.0169999999999999</v>
      </c>
      <c r="N89" s="196">
        <v>1.014</v>
      </c>
      <c r="O89" s="197">
        <v>1.016</v>
      </c>
      <c r="P89" s="197">
        <v>1.0129999999999999</v>
      </c>
      <c r="Q89" s="197">
        <v>1.014</v>
      </c>
    </row>
    <row r="90" spans="1:17" ht="27.75" customHeight="1" x14ac:dyDescent="0.35">
      <c r="A90" s="195" t="s">
        <v>2015</v>
      </c>
      <c r="B90" s="195">
        <v>796</v>
      </c>
      <c r="C90" s="198">
        <v>1050001084200</v>
      </c>
      <c r="D90" s="195" t="s">
        <v>2015</v>
      </c>
      <c r="E90" s="195">
        <v>797</v>
      </c>
      <c r="F90" s="198">
        <v>1050001084229</v>
      </c>
      <c r="G90" s="195" t="s">
        <v>2021</v>
      </c>
      <c r="H90" s="196">
        <v>1.0169999999999999</v>
      </c>
      <c r="I90" s="196">
        <v>1.014</v>
      </c>
      <c r="J90" s="197">
        <v>1.016</v>
      </c>
      <c r="K90" s="197">
        <v>1.0129999999999999</v>
      </c>
      <c r="L90" s="197">
        <v>1.014</v>
      </c>
      <c r="M90" s="196">
        <v>1.0169999999999999</v>
      </c>
      <c r="N90" s="196">
        <v>1.014</v>
      </c>
      <c r="O90" s="197">
        <v>1.016</v>
      </c>
      <c r="P90" s="197">
        <v>1.0129999999999999</v>
      </c>
      <c r="Q90" s="197">
        <v>1.014</v>
      </c>
    </row>
    <row r="91" spans="1:17" ht="27.75" customHeight="1" x14ac:dyDescent="0.35">
      <c r="A91" s="195" t="s">
        <v>2025</v>
      </c>
      <c r="B91" s="195">
        <v>796</v>
      </c>
      <c r="C91" s="198">
        <v>1050001232428</v>
      </c>
      <c r="D91" s="195" t="s">
        <v>2025</v>
      </c>
      <c r="E91" s="195">
        <v>797</v>
      </c>
      <c r="F91" s="198">
        <v>1050001232437</v>
      </c>
      <c r="G91" s="195" t="s">
        <v>2030</v>
      </c>
      <c r="H91" s="196">
        <v>1.0169999999999999</v>
      </c>
      <c r="I91" s="196">
        <v>1.014</v>
      </c>
      <c r="J91" s="197">
        <v>1.016</v>
      </c>
      <c r="K91" s="197">
        <v>1.0129999999999999</v>
      </c>
      <c r="L91" s="197">
        <v>1.014</v>
      </c>
      <c r="M91" s="196">
        <v>1.0169999999999999</v>
      </c>
      <c r="N91" s="196">
        <v>1.014</v>
      </c>
      <c r="O91" s="197">
        <v>1.016</v>
      </c>
      <c r="P91" s="197">
        <v>1.0129999999999999</v>
      </c>
      <c r="Q91" s="197">
        <v>1.014</v>
      </c>
    </row>
    <row r="92" spans="1:17" ht="27.75" customHeight="1" x14ac:dyDescent="0.35">
      <c r="A92" s="195" t="s">
        <v>2140</v>
      </c>
      <c r="B92" s="195">
        <v>796</v>
      </c>
      <c r="C92" s="198">
        <v>1050001290011</v>
      </c>
      <c r="D92" s="195" t="s">
        <v>2140</v>
      </c>
      <c r="E92" s="195">
        <v>797</v>
      </c>
      <c r="F92" s="198">
        <v>1050001290020</v>
      </c>
      <c r="G92" s="195" t="s">
        <v>2141</v>
      </c>
      <c r="H92" s="196">
        <v>1.0169999999999999</v>
      </c>
      <c r="I92" s="196">
        <v>1.014</v>
      </c>
      <c r="J92" s="197">
        <v>1.016</v>
      </c>
      <c r="K92" s="197">
        <v>1.0129999999999999</v>
      </c>
      <c r="L92" s="197">
        <v>1.014</v>
      </c>
      <c r="M92" s="196">
        <v>1.0169999999999999</v>
      </c>
      <c r="N92" s="196">
        <v>1.014</v>
      </c>
      <c r="O92" s="197">
        <v>1.016</v>
      </c>
      <c r="P92" s="197">
        <v>1.0129999999999999</v>
      </c>
      <c r="Q92" s="197">
        <v>1.014</v>
      </c>
    </row>
    <row r="93" spans="1:17" ht="27.75" customHeight="1" x14ac:dyDescent="0.35">
      <c r="A93" s="195" t="s">
        <v>2019</v>
      </c>
      <c r="B93" s="195">
        <v>798</v>
      </c>
      <c r="C93" s="198">
        <v>1050001109352</v>
      </c>
      <c r="D93" s="195" t="s">
        <v>2019</v>
      </c>
      <c r="E93" s="195">
        <v>799</v>
      </c>
      <c r="F93" s="198">
        <v>1050001109361</v>
      </c>
      <c r="G93" s="195" t="s">
        <v>2020</v>
      </c>
      <c r="H93" s="196">
        <v>1.004</v>
      </c>
      <c r="I93" s="196">
        <v>1.0029999999999999</v>
      </c>
      <c r="J93" s="197">
        <v>1.0029999999999999</v>
      </c>
      <c r="K93" s="197">
        <v>1.002</v>
      </c>
      <c r="L93" s="197">
        <v>1.0029999999999999</v>
      </c>
      <c r="M93" s="196">
        <v>1.004</v>
      </c>
      <c r="N93" s="196">
        <v>1.0029999999999999</v>
      </c>
      <c r="O93" s="197">
        <v>1.0029999999999999</v>
      </c>
      <c r="P93" s="197">
        <v>1.002</v>
      </c>
      <c r="Q93" s="197">
        <v>1.0029999999999999</v>
      </c>
    </row>
    <row r="94" spans="1:17" ht="27.75" customHeight="1" x14ac:dyDescent="0.35">
      <c r="A94" s="195" t="s">
        <v>2016</v>
      </c>
      <c r="B94" s="195">
        <v>796</v>
      </c>
      <c r="C94" s="198">
        <v>1050001059393</v>
      </c>
      <c r="D94" s="195" t="s">
        <v>2016</v>
      </c>
      <c r="E94" s="195">
        <v>797</v>
      </c>
      <c r="F94" s="198">
        <v>1050001059384</v>
      </c>
      <c r="G94" s="195" t="s">
        <v>2017</v>
      </c>
      <c r="H94" s="196">
        <v>1.0169999999999999</v>
      </c>
      <c r="I94" s="196">
        <v>1.014</v>
      </c>
      <c r="J94" s="197">
        <v>1.016</v>
      </c>
      <c r="K94" s="197">
        <v>1.0129999999999999</v>
      </c>
      <c r="L94" s="197">
        <v>1.014</v>
      </c>
      <c r="M94" s="196">
        <v>1.0169999999999999</v>
      </c>
      <c r="N94" s="196">
        <v>1.014</v>
      </c>
      <c r="O94" s="197">
        <v>1.016</v>
      </c>
      <c r="P94" s="197">
        <v>1.0129999999999999</v>
      </c>
      <c r="Q94" s="197">
        <v>1.014</v>
      </c>
    </row>
    <row r="95" spans="1:17" ht="27.75" customHeight="1" x14ac:dyDescent="0.35">
      <c r="A95" s="195" t="s">
        <v>2124</v>
      </c>
      <c r="B95" s="195">
        <v>796</v>
      </c>
      <c r="C95" s="198">
        <v>1050001078642</v>
      </c>
      <c r="D95" s="195" t="s">
        <v>2124</v>
      </c>
      <c r="E95" s="195">
        <v>797</v>
      </c>
      <c r="F95" s="198">
        <v>1050001078651</v>
      </c>
      <c r="G95" s="195" t="s">
        <v>2125</v>
      </c>
      <c r="H95" s="196">
        <v>1.0169999999999999</v>
      </c>
      <c r="I95" s="196">
        <v>1.014</v>
      </c>
      <c r="J95" s="197">
        <v>1.016</v>
      </c>
      <c r="K95" s="197">
        <v>1.0129999999999999</v>
      </c>
      <c r="L95" s="197">
        <v>1.014</v>
      </c>
      <c r="M95" s="196">
        <v>1.0169999999999999</v>
      </c>
      <c r="N95" s="196">
        <v>1.014</v>
      </c>
      <c r="O95" s="197">
        <v>1.016</v>
      </c>
      <c r="P95" s="197">
        <v>1.0129999999999999</v>
      </c>
      <c r="Q95" s="197">
        <v>1.014</v>
      </c>
    </row>
    <row r="96" spans="1:17" ht="27.75" customHeight="1" x14ac:dyDescent="0.35">
      <c r="A96" s="195" t="s">
        <v>2018</v>
      </c>
      <c r="B96" s="195">
        <v>796</v>
      </c>
      <c r="C96" s="198">
        <v>1050001052193</v>
      </c>
      <c r="D96" s="195" t="s">
        <v>2018</v>
      </c>
      <c r="E96" s="195">
        <v>797</v>
      </c>
      <c r="F96" s="198">
        <v>1050001052184</v>
      </c>
      <c r="G96" s="195" t="s">
        <v>2022</v>
      </c>
      <c r="H96" s="196">
        <v>1.0169999999999999</v>
      </c>
      <c r="I96" s="196">
        <v>1.014</v>
      </c>
      <c r="J96" s="197">
        <v>1.016</v>
      </c>
      <c r="K96" s="197">
        <v>1.0129999999999999</v>
      </c>
      <c r="L96" s="197">
        <v>1.014</v>
      </c>
      <c r="M96" s="196">
        <v>1.0169999999999999</v>
      </c>
      <c r="N96" s="196">
        <v>1.014</v>
      </c>
      <c r="O96" s="197">
        <v>1.016</v>
      </c>
      <c r="P96" s="197">
        <v>1.0129999999999999</v>
      </c>
      <c r="Q96" s="197">
        <v>1.014</v>
      </c>
    </row>
  </sheetData>
  <sortState xmlns:xlrd2="http://schemas.microsoft.com/office/spreadsheetml/2017/richdata2" ref="A6:O47">
    <sortCondition ref="A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G1:H1"/>
    <mergeCell ref="A51:Q51"/>
  </mergeCells>
  <hyperlinks>
    <hyperlink ref="A1" location="Overview!A1" display="Back to Overview" xr:uid="{00000000-0004-0000-0800-000000000000}"/>
  </hyperlinks>
  <pageMargins left="0.39370078740157483" right="0.35433070866141736" top="0.9055118110236221" bottom="0.55118110236220474" header="0.31496062992125984" footer="0.31496062992125984"/>
  <pageSetup paperSize="9" scale="48"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rowBreaks count="1" manualBreakCount="1">
    <brk id="49" max="1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735"/>
  <sheetViews>
    <sheetView zoomScale="85" zoomScaleNormal="85" zoomScaleSheetLayoutView="100" workbookViewId="0"/>
  </sheetViews>
  <sheetFormatPr defaultColWidth="9.1328125" defaultRowHeight="27.75" customHeight="1" x14ac:dyDescent="0.35"/>
  <cols>
    <col min="1" max="1" width="16" style="1" bestFit="1" customWidth="1"/>
    <col min="2" max="2" width="32.265625" style="1" bestFit="1" customWidth="1"/>
    <col min="3" max="3" width="14.59765625" style="2" bestFit="1" customWidth="1"/>
    <col min="4" max="4" width="17" style="2" bestFit="1" customWidth="1"/>
    <col min="5" max="5" width="15.59765625" style="1" customWidth="1"/>
    <col min="6" max="16384" width="9.1328125" style="1"/>
  </cols>
  <sheetData>
    <row r="1" spans="1:7" ht="27.75" customHeight="1" x14ac:dyDescent="0.35">
      <c r="A1" s="10" t="s">
        <v>86</v>
      </c>
      <c r="B1" s="2"/>
      <c r="C1" s="1"/>
      <c r="E1" s="8"/>
      <c r="F1" s="3"/>
      <c r="G1" s="3"/>
    </row>
    <row r="2" spans="1:7" s="9" customFormat="1" ht="36.75" customHeight="1" x14ac:dyDescent="0.35">
      <c r="A2" s="227" t="str">
        <f>Overview!B4&amp; " - Effective from "&amp;Overview!D4&amp;" - "&amp;Overview!E4&amp;" Nodal charges"</f>
        <v>Eastern Power Networks - Effective from 01/04/2017 - Final Nodal charges</v>
      </c>
      <c r="B2" s="228"/>
      <c r="C2" s="228"/>
      <c r="D2" s="229"/>
    </row>
    <row r="3" spans="1:7" ht="60.75" customHeight="1" x14ac:dyDescent="0.35">
      <c r="A3" s="155" t="s">
        <v>886</v>
      </c>
      <c r="B3" s="17" t="s">
        <v>51</v>
      </c>
      <c r="C3" s="17" t="s">
        <v>456</v>
      </c>
      <c r="D3" s="17" t="s">
        <v>457</v>
      </c>
    </row>
    <row r="4" spans="1:7" ht="21.75" customHeight="1" x14ac:dyDescent="0.35">
      <c r="A4" s="6">
        <v>1005</v>
      </c>
      <c r="B4" s="176" t="s">
        <v>1370</v>
      </c>
      <c r="C4" s="177">
        <v>7.1599148305932198E-2</v>
      </c>
      <c r="D4" s="177">
        <v>6.4339919702626771</v>
      </c>
    </row>
    <row r="5" spans="1:7" ht="21.75" customHeight="1" x14ac:dyDescent="0.35">
      <c r="A5" s="6">
        <v>1040</v>
      </c>
      <c r="B5" s="176" t="s">
        <v>1371</v>
      </c>
      <c r="C5" s="177">
        <v>1.7304464052612538</v>
      </c>
      <c r="D5" s="177">
        <v>9.0928291063925997</v>
      </c>
    </row>
    <row r="6" spans="1:7" ht="21.75" customHeight="1" x14ac:dyDescent="0.35">
      <c r="A6" s="6">
        <v>1055</v>
      </c>
      <c r="B6" s="176" t="s">
        <v>1372</v>
      </c>
      <c r="C6" s="177">
        <v>0.66217691989785288</v>
      </c>
      <c r="D6" s="177">
        <v>9.461857856664647</v>
      </c>
    </row>
    <row r="7" spans="1:7" ht="21.75" customHeight="1" x14ac:dyDescent="0.35">
      <c r="A7" s="6">
        <v>1091</v>
      </c>
      <c r="B7" s="176" t="s">
        <v>1373</v>
      </c>
      <c r="C7" s="177">
        <v>1.1788294583243939</v>
      </c>
      <c r="D7" s="177">
        <v>9.2796388518289046</v>
      </c>
    </row>
    <row r="8" spans="1:7" ht="21.75" customHeight="1" x14ac:dyDescent="0.35">
      <c r="A8" s="6">
        <v>1120</v>
      </c>
      <c r="B8" s="176" t="s">
        <v>1374</v>
      </c>
      <c r="C8" s="177">
        <v>4.1966791737602227</v>
      </c>
      <c r="D8" s="177">
        <v>16.808294155991625</v>
      </c>
    </row>
    <row r="9" spans="1:7" ht="21.75" customHeight="1" x14ac:dyDescent="0.35">
      <c r="A9" s="6">
        <v>1125</v>
      </c>
      <c r="B9" s="176" t="s">
        <v>1373</v>
      </c>
      <c r="C9" s="177">
        <v>27.717083591308072</v>
      </c>
      <c r="D9" s="177">
        <v>10.600300344457292</v>
      </c>
    </row>
    <row r="10" spans="1:7" ht="21.75" customHeight="1" x14ac:dyDescent="0.35">
      <c r="A10" s="6">
        <v>1130</v>
      </c>
      <c r="B10" s="176" t="s">
        <v>1373</v>
      </c>
      <c r="C10" s="177">
        <v>28.29957753515729</v>
      </c>
      <c r="D10" s="177">
        <v>10.588647877216786</v>
      </c>
    </row>
    <row r="11" spans="1:7" ht="21.75" customHeight="1" x14ac:dyDescent="0.35">
      <c r="A11" s="6">
        <v>1135</v>
      </c>
      <c r="B11" s="176" t="s">
        <v>1375</v>
      </c>
      <c r="C11" s="177">
        <v>7.0205334349491208E-2</v>
      </c>
      <c r="D11" s="177">
        <v>8.3613155276262248</v>
      </c>
    </row>
    <row r="12" spans="1:7" ht="21.75" customHeight="1" x14ac:dyDescent="0.35">
      <c r="A12" s="6">
        <v>1150</v>
      </c>
      <c r="B12" s="176" t="s">
        <v>1376</v>
      </c>
      <c r="C12" s="177">
        <v>0.4404670002700562</v>
      </c>
      <c r="D12" s="177">
        <v>9.1159580963762181</v>
      </c>
    </row>
    <row r="13" spans="1:7" ht="21.75" customHeight="1" x14ac:dyDescent="0.35">
      <c r="A13" s="6">
        <v>1160</v>
      </c>
      <c r="B13" s="176" t="s">
        <v>1373</v>
      </c>
      <c r="C13" s="177">
        <v>1.8397151945082126</v>
      </c>
      <c r="D13" s="177">
        <v>9.0768548469931876</v>
      </c>
    </row>
    <row r="14" spans="1:7" ht="21.75" customHeight="1" x14ac:dyDescent="0.35">
      <c r="A14" s="6">
        <v>1185</v>
      </c>
      <c r="B14" s="176" t="s">
        <v>1377</v>
      </c>
      <c r="C14" s="177">
        <v>1.3510563916755924</v>
      </c>
      <c r="D14" s="177">
        <v>3.445821488323781</v>
      </c>
    </row>
    <row r="15" spans="1:7" ht="21.75" customHeight="1" x14ac:dyDescent="0.35">
      <c r="A15" s="6">
        <v>1215</v>
      </c>
      <c r="B15" s="176" t="s">
        <v>1378</v>
      </c>
      <c r="C15" s="177">
        <v>2.1850819107832598E-2</v>
      </c>
      <c r="D15" s="177">
        <v>3.6479320533714414</v>
      </c>
    </row>
    <row r="16" spans="1:7" ht="21.75" customHeight="1" x14ac:dyDescent="0.35">
      <c r="A16" s="6">
        <v>1235</v>
      </c>
      <c r="B16" s="176" t="s">
        <v>1379</v>
      </c>
      <c r="C16" s="177">
        <v>2.2895382852422621</v>
      </c>
      <c r="D16" s="177">
        <v>6.7241924050419204</v>
      </c>
    </row>
    <row r="17" spans="1:4" ht="21.75" customHeight="1" x14ac:dyDescent="0.35">
      <c r="A17" s="6">
        <v>1250</v>
      </c>
      <c r="B17" s="176" t="s">
        <v>1380</v>
      </c>
      <c r="C17" s="177">
        <v>3.8195925590206099</v>
      </c>
      <c r="D17" s="177">
        <v>0.13740724607555377</v>
      </c>
    </row>
    <row r="18" spans="1:4" ht="21.75" customHeight="1" x14ac:dyDescent="0.35">
      <c r="A18" s="6">
        <v>1255</v>
      </c>
      <c r="B18" s="176" t="s">
        <v>1381</v>
      </c>
      <c r="C18" s="177">
        <v>3.1953912259182799E-3</v>
      </c>
      <c r="D18" s="177">
        <v>0.13056633531060752</v>
      </c>
    </row>
    <row r="19" spans="1:4" ht="21.75" customHeight="1" x14ac:dyDescent="0.35">
      <c r="A19" s="6">
        <v>1260</v>
      </c>
      <c r="B19" s="176" t="s">
        <v>1382</v>
      </c>
      <c r="C19" s="177">
        <v>3.1953912259182799E-3</v>
      </c>
      <c r="D19" s="177">
        <v>0.13056633531060752</v>
      </c>
    </row>
    <row r="20" spans="1:4" ht="21.75" customHeight="1" x14ac:dyDescent="0.35">
      <c r="A20" s="6">
        <v>1265</v>
      </c>
      <c r="B20" s="176" t="s">
        <v>1383</v>
      </c>
      <c r="C20" s="177">
        <v>2.9021436497372118E-3</v>
      </c>
      <c r="D20" s="177">
        <v>0.11937474074868459</v>
      </c>
    </row>
    <row r="21" spans="1:4" ht="21.75" customHeight="1" x14ac:dyDescent="0.35">
      <c r="A21" s="6">
        <v>1275</v>
      </c>
      <c r="B21" s="176" t="s">
        <v>1384</v>
      </c>
      <c r="C21" s="177">
        <v>2.0251504732589218</v>
      </c>
      <c r="D21" s="177">
        <v>6.0821807511235129</v>
      </c>
    </row>
    <row r="22" spans="1:4" ht="21.75" customHeight="1" x14ac:dyDescent="0.35">
      <c r="A22" s="6">
        <v>1280</v>
      </c>
      <c r="B22" s="176" t="s">
        <v>1385</v>
      </c>
      <c r="C22" s="177">
        <v>1.9772171854308229</v>
      </c>
      <c r="D22" s="177">
        <v>6.0325535874421723</v>
      </c>
    </row>
    <row r="23" spans="1:4" ht="21.75" customHeight="1" x14ac:dyDescent="0.35">
      <c r="A23" s="6">
        <v>1285</v>
      </c>
      <c r="B23" s="176" t="s">
        <v>1386</v>
      </c>
      <c r="C23" s="177">
        <v>1.9772171854308229</v>
      </c>
      <c r="D23" s="177">
        <v>6.0325535874421723</v>
      </c>
    </row>
    <row r="24" spans="1:4" ht="21.75" customHeight="1" x14ac:dyDescent="0.35">
      <c r="A24" s="6">
        <v>1325</v>
      </c>
      <c r="B24" s="176" t="s">
        <v>1387</v>
      </c>
      <c r="C24" s="177">
        <v>2.1331755664522998</v>
      </c>
      <c r="D24" s="177">
        <v>10.3327827594174</v>
      </c>
    </row>
    <row r="25" spans="1:4" ht="21.75" customHeight="1" x14ac:dyDescent="0.35">
      <c r="A25" s="6">
        <v>1330</v>
      </c>
      <c r="B25" s="176" t="s">
        <v>1388</v>
      </c>
      <c r="C25" s="177">
        <v>1.34459156939095</v>
      </c>
      <c r="D25" s="177">
        <v>18.51382219610252</v>
      </c>
    </row>
    <row r="26" spans="1:4" ht="21.75" customHeight="1" x14ac:dyDescent="0.35">
      <c r="A26" s="6">
        <v>1345</v>
      </c>
      <c r="B26" s="176" t="s">
        <v>1389</v>
      </c>
      <c r="C26" s="177">
        <v>2.3598858721010707</v>
      </c>
      <c r="D26" s="177">
        <v>17.737876375608689</v>
      </c>
    </row>
    <row r="27" spans="1:4" ht="27.75" customHeight="1" x14ac:dyDescent="0.35">
      <c r="A27" s="6">
        <v>1375</v>
      </c>
      <c r="B27" s="176" t="s">
        <v>1390</v>
      </c>
      <c r="C27" s="177">
        <v>0.32569833210483201</v>
      </c>
      <c r="D27" s="177">
        <v>14.726115202628996</v>
      </c>
    </row>
    <row r="28" spans="1:4" ht="27.75" customHeight="1" x14ac:dyDescent="0.35">
      <c r="A28" s="6">
        <v>1395</v>
      </c>
      <c r="B28" s="176" t="s">
        <v>1373</v>
      </c>
      <c r="C28" s="177">
        <v>5.9428643498744486E-2</v>
      </c>
      <c r="D28" s="177">
        <v>4.8445841792089084</v>
      </c>
    </row>
    <row r="29" spans="1:4" ht="27.75" customHeight="1" x14ac:dyDescent="0.35">
      <c r="A29" s="6">
        <v>1430</v>
      </c>
      <c r="B29" s="176" t="s">
        <v>1373</v>
      </c>
      <c r="C29" s="177">
        <v>6.8904748490507544</v>
      </c>
      <c r="D29" s="177">
        <v>15.703027897426047</v>
      </c>
    </row>
    <row r="30" spans="1:4" ht="27.75" customHeight="1" x14ac:dyDescent="0.35">
      <c r="A30" s="6">
        <v>1450</v>
      </c>
      <c r="B30" s="176" t="s">
        <v>1391</v>
      </c>
      <c r="C30" s="177">
        <v>0.78231322928338809</v>
      </c>
      <c r="D30" s="177">
        <v>28.487521343031617</v>
      </c>
    </row>
    <row r="31" spans="1:4" ht="27.75" customHeight="1" x14ac:dyDescent="0.35">
      <c r="A31" s="6">
        <v>1476</v>
      </c>
      <c r="B31" s="176" t="s">
        <v>1373</v>
      </c>
      <c r="C31" s="177">
        <v>2.3344130160974284</v>
      </c>
      <c r="D31" s="177">
        <v>15.430903954050994</v>
      </c>
    </row>
    <row r="32" spans="1:4" ht="27.75" customHeight="1" x14ac:dyDescent="0.35">
      <c r="A32" s="6">
        <v>1491</v>
      </c>
      <c r="B32" s="176" t="s">
        <v>1373</v>
      </c>
      <c r="C32" s="177">
        <v>3.950053322770958</v>
      </c>
      <c r="D32" s="177">
        <v>15.564875486694717</v>
      </c>
    </row>
    <row r="33" spans="1:4" ht="27.75" customHeight="1" x14ac:dyDescent="0.35">
      <c r="A33" s="6">
        <v>1495</v>
      </c>
      <c r="B33" s="176" t="s">
        <v>1392</v>
      </c>
      <c r="C33" s="177">
        <v>2.487608691470784</v>
      </c>
      <c r="D33" s="177">
        <v>22.782812323982508</v>
      </c>
    </row>
    <row r="34" spans="1:4" ht="27.75" customHeight="1" x14ac:dyDescent="0.35">
      <c r="A34" s="6">
        <v>1510</v>
      </c>
      <c r="B34" s="176" t="s">
        <v>1393</v>
      </c>
      <c r="C34" s="177">
        <v>1.37610535746749</v>
      </c>
      <c r="D34" s="177">
        <v>6.4229524786565477</v>
      </c>
    </row>
    <row r="35" spans="1:4" ht="27.75" customHeight="1" x14ac:dyDescent="0.35">
      <c r="A35" s="6">
        <v>1535</v>
      </c>
      <c r="B35" s="176" t="s">
        <v>1394</v>
      </c>
      <c r="C35" s="177">
        <v>1.9159137180791999</v>
      </c>
      <c r="D35" s="177">
        <v>6.9803395145665608</v>
      </c>
    </row>
    <row r="36" spans="1:4" ht="27.75" customHeight="1" x14ac:dyDescent="0.35">
      <c r="A36" s="6">
        <v>1550</v>
      </c>
      <c r="B36" s="176" t="s">
        <v>1395</v>
      </c>
      <c r="C36" s="177">
        <v>3.3024852653910899</v>
      </c>
      <c r="D36" s="177">
        <v>-3.235013221884353E-2</v>
      </c>
    </row>
    <row r="37" spans="1:4" ht="27.75" customHeight="1" x14ac:dyDescent="0.35">
      <c r="A37" s="6">
        <v>1555</v>
      </c>
      <c r="B37" s="176" t="s">
        <v>1396</v>
      </c>
      <c r="C37" s="177">
        <v>3.304409914744463</v>
      </c>
      <c r="D37" s="177">
        <v>-5.7539991061917206E-2</v>
      </c>
    </row>
    <row r="38" spans="1:4" ht="27.75" customHeight="1" x14ac:dyDescent="0.35">
      <c r="A38" s="6">
        <v>1565</v>
      </c>
      <c r="B38" s="176" t="s">
        <v>1397</v>
      </c>
      <c r="C38" s="177">
        <v>0</v>
      </c>
      <c r="D38" s="177">
        <v>-6.6790730882143497E-3</v>
      </c>
    </row>
    <row r="39" spans="1:4" ht="27.75" customHeight="1" x14ac:dyDescent="0.35">
      <c r="A39" s="6">
        <v>1570</v>
      </c>
      <c r="B39" s="176" t="s">
        <v>1398</v>
      </c>
      <c r="C39" s="177">
        <v>0.11895268026234379</v>
      </c>
      <c r="D39" s="177">
        <v>1.6734536613107303</v>
      </c>
    </row>
    <row r="40" spans="1:4" ht="27.75" customHeight="1" x14ac:dyDescent="0.35">
      <c r="A40" s="6">
        <v>1605</v>
      </c>
      <c r="B40" s="176" t="s">
        <v>1399</v>
      </c>
      <c r="C40" s="177">
        <v>2.2634464349040999</v>
      </c>
      <c r="D40" s="177">
        <v>0.28150777611262656</v>
      </c>
    </row>
    <row r="41" spans="1:4" ht="27.75" customHeight="1" x14ac:dyDescent="0.35">
      <c r="A41" s="6">
        <v>1625</v>
      </c>
      <c r="B41" s="176" t="s">
        <v>1400</v>
      </c>
      <c r="C41" s="177">
        <v>3.6630322419578301</v>
      </c>
      <c r="D41" s="177">
        <v>0</v>
      </c>
    </row>
    <row r="42" spans="1:4" ht="27.75" customHeight="1" x14ac:dyDescent="0.35">
      <c r="A42" s="6">
        <v>1640</v>
      </c>
      <c r="B42" s="176" t="s">
        <v>1401</v>
      </c>
      <c r="C42" s="177">
        <v>0.12274169141948771</v>
      </c>
      <c r="D42" s="177">
        <v>1.8808311256780861</v>
      </c>
    </row>
    <row r="43" spans="1:4" ht="27.75" customHeight="1" x14ac:dyDescent="0.35">
      <c r="A43" s="6">
        <v>1660</v>
      </c>
      <c r="B43" s="176" t="s">
        <v>1402</v>
      </c>
      <c r="C43" s="177">
        <v>1.0662487132832701</v>
      </c>
      <c r="D43" s="177">
        <v>14.760278633221743</v>
      </c>
    </row>
    <row r="44" spans="1:4" ht="27.75" customHeight="1" x14ac:dyDescent="0.35">
      <c r="A44" s="6">
        <v>1670</v>
      </c>
      <c r="B44" s="176" t="s">
        <v>1403</v>
      </c>
      <c r="C44" s="177">
        <v>2.3509926388029196</v>
      </c>
      <c r="D44" s="177">
        <v>13.156276491178579</v>
      </c>
    </row>
    <row r="45" spans="1:4" ht="27.75" customHeight="1" x14ac:dyDescent="0.35">
      <c r="A45" s="6">
        <v>1685</v>
      </c>
      <c r="B45" s="176" t="s">
        <v>1404</v>
      </c>
      <c r="C45" s="177">
        <v>1.64947020249871</v>
      </c>
      <c r="D45" s="177">
        <v>20.605295768261037</v>
      </c>
    </row>
    <row r="46" spans="1:4" ht="27.75" customHeight="1" x14ac:dyDescent="0.35">
      <c r="A46" s="6">
        <v>1690</v>
      </c>
      <c r="B46" s="176" t="s">
        <v>1404</v>
      </c>
      <c r="C46" s="177">
        <v>4.2160923144559409E-2</v>
      </c>
      <c r="D46" s="177">
        <v>8.5779510005149131</v>
      </c>
    </row>
    <row r="47" spans="1:4" ht="27.75" customHeight="1" x14ac:dyDescent="0.35">
      <c r="A47" s="6">
        <v>1715</v>
      </c>
      <c r="B47" s="176" t="s">
        <v>1405</v>
      </c>
      <c r="C47" s="177">
        <v>0.1161461472729845</v>
      </c>
      <c r="D47" s="177">
        <v>9.6746044026833022</v>
      </c>
    </row>
    <row r="48" spans="1:4" ht="27.75" customHeight="1" x14ac:dyDescent="0.35">
      <c r="A48" s="6">
        <v>1730</v>
      </c>
      <c r="B48" s="176" t="s">
        <v>1406</v>
      </c>
      <c r="C48" s="177">
        <v>-0.10099721245938809</v>
      </c>
      <c r="D48" s="177">
        <v>2.8990723061486046</v>
      </c>
    </row>
    <row r="49" spans="1:4" ht="27.75" customHeight="1" x14ac:dyDescent="0.35">
      <c r="A49" s="6">
        <v>1735</v>
      </c>
      <c r="B49" s="176" t="s">
        <v>1407</v>
      </c>
      <c r="C49" s="177">
        <v>0.34763647737122205</v>
      </c>
      <c r="D49" s="177">
        <v>10.018082425466172</v>
      </c>
    </row>
    <row r="50" spans="1:4" ht="27.75" customHeight="1" x14ac:dyDescent="0.35">
      <c r="A50" s="6">
        <v>1755</v>
      </c>
      <c r="B50" s="176" t="s">
        <v>1408</v>
      </c>
      <c r="C50" s="177">
        <v>1.5222079160113169</v>
      </c>
      <c r="D50" s="177">
        <v>15.707662820930038</v>
      </c>
    </row>
    <row r="51" spans="1:4" ht="27.75" customHeight="1" x14ac:dyDescent="0.35">
      <c r="A51" s="6">
        <v>1770</v>
      </c>
      <c r="B51" s="176" t="s">
        <v>1409</v>
      </c>
      <c r="C51" s="177">
        <v>0.45430645518128238</v>
      </c>
      <c r="D51" s="177">
        <v>0.27485455871525316</v>
      </c>
    </row>
    <row r="52" spans="1:4" ht="27.75" customHeight="1" x14ac:dyDescent="0.35">
      <c r="A52" s="6">
        <v>1775</v>
      </c>
      <c r="B52" s="176" t="s">
        <v>1410</v>
      </c>
      <c r="C52" s="177">
        <v>2.0346746537784766</v>
      </c>
      <c r="D52" s="177">
        <v>1.5319694915426818</v>
      </c>
    </row>
    <row r="53" spans="1:4" ht="27.75" customHeight="1" x14ac:dyDescent="0.35">
      <c r="A53" s="6">
        <v>1790</v>
      </c>
      <c r="B53" s="176" t="s">
        <v>1411</v>
      </c>
      <c r="C53" s="177">
        <v>0.66846057082802046</v>
      </c>
      <c r="D53" s="177">
        <v>0.90991058174677719</v>
      </c>
    </row>
    <row r="54" spans="1:4" ht="27.75" customHeight="1" x14ac:dyDescent="0.35">
      <c r="A54" s="6">
        <v>1791</v>
      </c>
      <c r="B54" s="176" t="s">
        <v>1412</v>
      </c>
      <c r="C54" s="177">
        <v>0.11438123233747541</v>
      </c>
      <c r="D54" s="177">
        <v>0.52678890092896635</v>
      </c>
    </row>
    <row r="55" spans="1:4" ht="27.75" customHeight="1" x14ac:dyDescent="0.35">
      <c r="A55" s="6">
        <v>1855</v>
      </c>
      <c r="B55" s="176" t="s">
        <v>1413</v>
      </c>
      <c r="C55" s="177">
        <v>-9.196213657676304E-3</v>
      </c>
      <c r="D55" s="177">
        <v>0.86707788697374155</v>
      </c>
    </row>
    <row r="56" spans="1:4" ht="27.75" customHeight="1" x14ac:dyDescent="0.35">
      <c r="A56" s="6">
        <v>1860</v>
      </c>
      <c r="B56" s="176" t="s">
        <v>1373</v>
      </c>
      <c r="C56" s="177">
        <v>7.5455675782640084</v>
      </c>
      <c r="D56" s="177">
        <v>13.614510473348592</v>
      </c>
    </row>
    <row r="57" spans="1:4" ht="27.75" customHeight="1" x14ac:dyDescent="0.35">
      <c r="A57" s="6">
        <v>1870</v>
      </c>
      <c r="B57" s="176" t="s">
        <v>1414</v>
      </c>
      <c r="C57" s="177">
        <v>5.6005375891327471</v>
      </c>
      <c r="D57" s="177">
        <v>17.52730175872049</v>
      </c>
    </row>
    <row r="58" spans="1:4" ht="27.75" customHeight="1" x14ac:dyDescent="0.35">
      <c r="A58" s="6">
        <v>1895</v>
      </c>
      <c r="B58" s="176" t="s">
        <v>1415</v>
      </c>
      <c r="C58" s="177">
        <v>0.19958294308921412</v>
      </c>
      <c r="D58" s="177">
        <v>10.95244740117864</v>
      </c>
    </row>
    <row r="59" spans="1:4" ht="27.75" customHeight="1" x14ac:dyDescent="0.35">
      <c r="A59" s="6">
        <v>1910</v>
      </c>
      <c r="B59" s="176" t="s">
        <v>1373</v>
      </c>
      <c r="C59" s="177">
        <v>2.6570840016612438</v>
      </c>
      <c r="D59" s="177">
        <v>12.376028933910174</v>
      </c>
    </row>
    <row r="60" spans="1:4" ht="27.75" customHeight="1" x14ac:dyDescent="0.35">
      <c r="A60" s="6">
        <v>1920</v>
      </c>
      <c r="B60" s="176" t="s">
        <v>1416</v>
      </c>
      <c r="C60" s="177">
        <v>3.7447088303307327E-2</v>
      </c>
      <c r="D60" s="177">
        <v>29.715124299994937</v>
      </c>
    </row>
    <row r="61" spans="1:4" ht="27.75" customHeight="1" x14ac:dyDescent="0.35">
      <c r="A61" s="6">
        <v>1935</v>
      </c>
      <c r="B61" s="176" t="s">
        <v>1417</v>
      </c>
      <c r="C61" s="177">
        <v>1.4344455804647587</v>
      </c>
      <c r="D61" s="177">
        <v>24.606847933574741</v>
      </c>
    </row>
    <row r="62" spans="1:4" ht="27.75" customHeight="1" x14ac:dyDescent="0.35">
      <c r="A62" s="6">
        <v>1950</v>
      </c>
      <c r="B62" s="176" t="s">
        <v>1418</v>
      </c>
      <c r="C62" s="177">
        <v>1.789497555472477</v>
      </c>
      <c r="D62" s="177">
        <v>30.094993852555326</v>
      </c>
    </row>
    <row r="63" spans="1:4" ht="27.75" customHeight="1" x14ac:dyDescent="0.35">
      <c r="A63" s="6">
        <v>1975</v>
      </c>
      <c r="B63" s="176" t="s">
        <v>1419</v>
      </c>
      <c r="C63" s="177">
        <v>0.46122311484982315</v>
      </c>
      <c r="D63" s="177">
        <v>19.726203774995341</v>
      </c>
    </row>
    <row r="64" spans="1:4" ht="27.75" customHeight="1" x14ac:dyDescent="0.35">
      <c r="A64" s="6">
        <v>1990</v>
      </c>
      <c r="B64" s="176" t="s">
        <v>1420</v>
      </c>
      <c r="C64" s="177">
        <v>1.1994692876366067</v>
      </c>
      <c r="D64" s="177">
        <v>19.802853042798073</v>
      </c>
    </row>
    <row r="65" spans="1:4" ht="27.75" customHeight="1" x14ac:dyDescent="0.35">
      <c r="A65" s="6">
        <v>2045</v>
      </c>
      <c r="B65" s="176" t="s">
        <v>1421</v>
      </c>
      <c r="C65" s="177">
        <v>7.4523893080312549</v>
      </c>
      <c r="D65" s="177">
        <v>14.190757595895157</v>
      </c>
    </row>
    <row r="66" spans="1:4" ht="27.75" customHeight="1" x14ac:dyDescent="0.35">
      <c r="A66" s="6">
        <v>2050</v>
      </c>
      <c r="B66" s="176" t="s">
        <v>1422</v>
      </c>
      <c r="C66" s="177">
        <v>7.3081149813965514</v>
      </c>
      <c r="D66" s="177">
        <v>13.886915671504324</v>
      </c>
    </row>
    <row r="67" spans="1:4" ht="27.75" customHeight="1" x14ac:dyDescent="0.35">
      <c r="A67" s="6">
        <v>2060</v>
      </c>
      <c r="B67" s="176" t="s">
        <v>1423</v>
      </c>
      <c r="C67" s="177">
        <v>2.1769291408508318</v>
      </c>
      <c r="D67" s="177">
        <v>32.179520360996584</v>
      </c>
    </row>
    <row r="68" spans="1:4" ht="27.75" customHeight="1" x14ac:dyDescent="0.35">
      <c r="A68" s="6">
        <v>2085</v>
      </c>
      <c r="B68" s="176" t="s">
        <v>1373</v>
      </c>
      <c r="C68" s="177">
        <v>1.1143782680410423</v>
      </c>
      <c r="D68" s="177">
        <v>0.27971129376166459</v>
      </c>
    </row>
    <row r="69" spans="1:4" ht="27.75" customHeight="1" x14ac:dyDescent="0.35">
      <c r="A69" s="6">
        <v>2090</v>
      </c>
      <c r="B69" s="176" t="s">
        <v>1424</v>
      </c>
      <c r="C69" s="177">
        <v>1.0248601982614789</v>
      </c>
      <c r="D69" s="177">
        <v>2.8052544146657565</v>
      </c>
    </row>
    <row r="70" spans="1:4" ht="27.75" customHeight="1" x14ac:dyDescent="0.35">
      <c r="A70" s="6">
        <v>2110</v>
      </c>
      <c r="B70" s="176" t="s">
        <v>1425</v>
      </c>
      <c r="C70" s="177">
        <v>1.242432341113695</v>
      </c>
      <c r="D70" s="177">
        <v>2.7491500683437979</v>
      </c>
    </row>
    <row r="71" spans="1:4" ht="27.75" customHeight="1" x14ac:dyDescent="0.35">
      <c r="A71" s="6">
        <v>2145</v>
      </c>
      <c r="B71" s="176" t="s">
        <v>1373</v>
      </c>
      <c r="C71" s="177">
        <v>0.11667239159593992</v>
      </c>
      <c r="D71" s="177">
        <v>1.4781359332136959</v>
      </c>
    </row>
    <row r="72" spans="1:4" ht="27.75" customHeight="1" x14ac:dyDescent="0.35">
      <c r="A72" s="6">
        <v>2160</v>
      </c>
      <c r="B72" s="176" t="s">
        <v>1426</v>
      </c>
      <c r="C72" s="177">
        <v>1.5586551074140729</v>
      </c>
      <c r="D72" s="177">
        <v>3.8424060341697759</v>
      </c>
    </row>
    <row r="73" spans="1:4" ht="27.75" customHeight="1" x14ac:dyDescent="0.35">
      <c r="A73" s="6">
        <v>2230</v>
      </c>
      <c r="B73" s="176" t="s">
        <v>1373</v>
      </c>
      <c r="C73" s="177">
        <v>0.67785396795225006</v>
      </c>
      <c r="D73" s="177">
        <v>-7.4788759411918315E-2</v>
      </c>
    </row>
    <row r="74" spans="1:4" ht="27.75" customHeight="1" x14ac:dyDescent="0.35">
      <c r="A74" s="6">
        <v>2235</v>
      </c>
      <c r="B74" s="176" t="s">
        <v>1427</v>
      </c>
      <c r="C74" s="177">
        <v>1.0212307215600187</v>
      </c>
      <c r="D74" s="177">
        <v>-2.6176711569915079E-2</v>
      </c>
    </row>
    <row r="75" spans="1:4" ht="27.75" customHeight="1" x14ac:dyDescent="0.35">
      <c r="A75" s="6">
        <v>2255</v>
      </c>
      <c r="B75" s="176" t="s">
        <v>1428</v>
      </c>
      <c r="C75" s="177">
        <v>1.2440629472053619</v>
      </c>
      <c r="D75" s="177">
        <v>3.5467727278359495</v>
      </c>
    </row>
    <row r="76" spans="1:4" ht="27.75" customHeight="1" x14ac:dyDescent="0.35">
      <c r="A76" s="6">
        <v>2260</v>
      </c>
      <c r="B76" s="176" t="s">
        <v>1429</v>
      </c>
      <c r="C76" s="177">
        <v>1.2481213859877172</v>
      </c>
      <c r="D76" s="177">
        <v>3.5512345062944815</v>
      </c>
    </row>
    <row r="77" spans="1:4" ht="27.75" customHeight="1" x14ac:dyDescent="0.35">
      <c r="A77" s="6">
        <v>2290</v>
      </c>
      <c r="B77" s="176" t="s">
        <v>1430</v>
      </c>
      <c r="C77" s="177">
        <v>2.3228012834948299</v>
      </c>
      <c r="D77" s="177">
        <v>1.8367061328058729</v>
      </c>
    </row>
    <row r="78" spans="1:4" ht="27.75" customHeight="1" x14ac:dyDescent="0.35">
      <c r="A78" s="6">
        <v>2295</v>
      </c>
      <c r="B78" s="176" t="s">
        <v>1431</v>
      </c>
      <c r="C78" s="177">
        <v>2.3228012834948299</v>
      </c>
      <c r="D78" s="177">
        <v>1.8367061328058729</v>
      </c>
    </row>
    <row r="79" spans="1:4" ht="27.75" customHeight="1" x14ac:dyDescent="0.35">
      <c r="A79" s="6">
        <v>2300</v>
      </c>
      <c r="B79" s="176" t="s">
        <v>1432</v>
      </c>
      <c r="C79" s="177">
        <v>2.3228012834948299</v>
      </c>
      <c r="D79" s="177">
        <v>1.8367061328058729</v>
      </c>
    </row>
    <row r="80" spans="1:4" ht="27.75" customHeight="1" x14ac:dyDescent="0.35">
      <c r="A80" s="6">
        <v>2315</v>
      </c>
      <c r="B80" s="176" t="s">
        <v>1433</v>
      </c>
      <c r="C80" s="177">
        <v>1.1146523448272034</v>
      </c>
      <c r="D80" s="177">
        <v>9.4709734162929209</v>
      </c>
    </row>
    <row r="81" spans="1:4" ht="27.75" customHeight="1" x14ac:dyDescent="0.35">
      <c r="A81" s="6">
        <v>2345</v>
      </c>
      <c r="B81" s="176" t="s">
        <v>1434</v>
      </c>
      <c r="C81" s="177">
        <v>0.53940829473830398</v>
      </c>
      <c r="D81" s="177">
        <v>12.389469693753755</v>
      </c>
    </row>
    <row r="82" spans="1:4" ht="27.75" customHeight="1" x14ac:dyDescent="0.35">
      <c r="A82" s="6">
        <v>2370</v>
      </c>
      <c r="B82" s="176" t="s">
        <v>1435</v>
      </c>
      <c r="C82" s="177">
        <v>3.8211483512681848</v>
      </c>
      <c r="D82" s="177">
        <v>-1.2505111640295903</v>
      </c>
    </row>
    <row r="83" spans="1:4" ht="27.75" customHeight="1" x14ac:dyDescent="0.35">
      <c r="A83" s="6">
        <v>2385</v>
      </c>
      <c r="B83" s="176" t="s">
        <v>1373</v>
      </c>
      <c r="C83" s="177">
        <v>2.0028134698427844</v>
      </c>
      <c r="D83" s="177">
        <v>-1.38651582392553</v>
      </c>
    </row>
    <row r="84" spans="1:4" ht="27.75" customHeight="1" x14ac:dyDescent="0.35">
      <c r="A84" s="6">
        <v>2470</v>
      </c>
      <c r="B84" s="176" t="s">
        <v>1436</v>
      </c>
      <c r="C84" s="177">
        <v>0.56081661039411301</v>
      </c>
      <c r="D84" s="177">
        <v>-0.31660781403232319</v>
      </c>
    </row>
    <row r="85" spans="1:4" ht="27.75" customHeight="1" x14ac:dyDescent="0.35">
      <c r="A85" s="6">
        <v>2490</v>
      </c>
      <c r="B85" s="176" t="s">
        <v>1437</v>
      </c>
      <c r="C85" s="177">
        <v>1.372731414592181</v>
      </c>
      <c r="D85" s="177">
        <v>10.372619650744317</v>
      </c>
    </row>
    <row r="86" spans="1:4" ht="27.75" customHeight="1" x14ac:dyDescent="0.35">
      <c r="A86" s="6">
        <v>2495</v>
      </c>
      <c r="B86" s="176" t="s">
        <v>1438</v>
      </c>
      <c r="C86" s="177">
        <v>1.372731414592181</v>
      </c>
      <c r="D86" s="177">
        <v>10.372619650744317</v>
      </c>
    </row>
    <row r="87" spans="1:4" ht="27.75" customHeight="1" x14ac:dyDescent="0.35">
      <c r="A87" s="6">
        <v>2500</v>
      </c>
      <c r="B87" s="176" t="s">
        <v>1439</v>
      </c>
      <c r="C87" s="177">
        <v>1.372731414592181</v>
      </c>
      <c r="D87" s="177">
        <v>10.372619650744317</v>
      </c>
    </row>
    <row r="88" spans="1:4" ht="27.75" customHeight="1" x14ac:dyDescent="0.35">
      <c r="A88" s="6">
        <v>2505</v>
      </c>
      <c r="B88" s="176" t="s">
        <v>1440</v>
      </c>
      <c r="C88" s="177">
        <v>1.372731414592181</v>
      </c>
      <c r="D88" s="177">
        <v>10.372619650744317</v>
      </c>
    </row>
    <row r="89" spans="1:4" ht="27.75" customHeight="1" x14ac:dyDescent="0.35">
      <c r="A89" s="6">
        <v>2585</v>
      </c>
      <c r="B89" s="176" t="s">
        <v>1373</v>
      </c>
      <c r="C89" s="177">
        <v>0</v>
      </c>
      <c r="D89" s="177">
        <v>3.0258639500594939</v>
      </c>
    </row>
    <row r="90" spans="1:4" ht="27.75" customHeight="1" x14ac:dyDescent="0.35">
      <c r="A90" s="6">
        <v>2675</v>
      </c>
      <c r="B90" s="176" t="s">
        <v>1373</v>
      </c>
      <c r="C90" s="177">
        <v>1.6628502336815074</v>
      </c>
      <c r="D90" s="177">
        <v>-0.17401522313753404</v>
      </c>
    </row>
    <row r="91" spans="1:4" ht="27.75" customHeight="1" x14ac:dyDescent="0.35">
      <c r="A91" s="6">
        <v>2700</v>
      </c>
      <c r="B91" s="176" t="s">
        <v>1441</v>
      </c>
      <c r="C91" s="177">
        <v>1.5088611041176245</v>
      </c>
      <c r="D91" s="177">
        <v>-3.1314918279926607E-2</v>
      </c>
    </row>
    <row r="92" spans="1:4" ht="27.75" customHeight="1" x14ac:dyDescent="0.35">
      <c r="A92" s="6">
        <v>2735</v>
      </c>
      <c r="B92" s="176" t="s">
        <v>1373</v>
      </c>
      <c r="C92" s="177">
        <v>4.4757502501083941</v>
      </c>
      <c r="D92" s="177">
        <v>-4.5912282378335334E-4</v>
      </c>
    </row>
    <row r="93" spans="1:4" ht="27.75" customHeight="1" x14ac:dyDescent="0.35">
      <c r="A93" s="6">
        <v>2740</v>
      </c>
      <c r="B93" s="176" t="s">
        <v>1373</v>
      </c>
      <c r="C93" s="177">
        <v>0.67762857228151674</v>
      </c>
      <c r="D93" s="177">
        <v>3.3687685015134083E-2</v>
      </c>
    </row>
    <row r="94" spans="1:4" ht="27.75" customHeight="1" x14ac:dyDescent="0.35">
      <c r="A94" s="6">
        <v>2783</v>
      </c>
      <c r="B94" s="176" t="s">
        <v>1373</v>
      </c>
      <c r="C94" s="177">
        <v>9.9855605560245912</v>
      </c>
      <c r="D94" s="177">
        <v>4.3651919986425369E-2</v>
      </c>
    </row>
    <row r="95" spans="1:4" ht="27.75" customHeight="1" x14ac:dyDescent="0.35">
      <c r="A95" s="6">
        <v>2835</v>
      </c>
      <c r="B95" s="176" t="s">
        <v>1442</v>
      </c>
      <c r="C95" s="177">
        <v>4.3968040103945887</v>
      </c>
      <c r="D95" s="177">
        <v>3.0099929819646931E-3</v>
      </c>
    </row>
    <row r="96" spans="1:4" ht="27.75" customHeight="1" x14ac:dyDescent="0.35">
      <c r="A96" s="6">
        <v>3000</v>
      </c>
      <c r="B96" s="176" t="s">
        <v>1443</v>
      </c>
      <c r="C96" s="177">
        <v>2.6869133519623798</v>
      </c>
      <c r="D96" s="177">
        <v>0</v>
      </c>
    </row>
    <row r="97" spans="1:4" ht="27.75" customHeight="1" x14ac:dyDescent="0.35">
      <c r="A97" s="6">
        <v>3065</v>
      </c>
      <c r="B97" s="176" t="s">
        <v>1444</v>
      </c>
      <c r="C97" s="177">
        <v>4.2671159334979922</v>
      </c>
      <c r="D97" s="177">
        <v>1.0466630697610668E-2</v>
      </c>
    </row>
    <row r="98" spans="1:4" ht="27.75" customHeight="1" x14ac:dyDescent="0.35">
      <c r="A98" s="6">
        <v>3100</v>
      </c>
      <c r="B98" s="176" t="s">
        <v>1445</v>
      </c>
      <c r="C98" s="177">
        <v>0.19288568699640471</v>
      </c>
      <c r="D98" s="177">
        <v>1.8243905697904184E-3</v>
      </c>
    </row>
    <row r="99" spans="1:4" ht="27.75" customHeight="1" x14ac:dyDescent="0.35">
      <c r="A99" s="6">
        <v>3105</v>
      </c>
      <c r="B99" s="176" t="s">
        <v>1446</v>
      </c>
      <c r="C99" s="177">
        <v>0.19288568699640471</v>
      </c>
      <c r="D99" s="177">
        <v>1.8243905697904184E-3</v>
      </c>
    </row>
    <row r="100" spans="1:4" ht="27.75" customHeight="1" x14ac:dyDescent="0.35">
      <c r="A100" s="6">
        <v>3120</v>
      </c>
      <c r="B100" s="176" t="s">
        <v>1447</v>
      </c>
      <c r="C100" s="177">
        <v>3.1905924620433499</v>
      </c>
      <c r="D100" s="177">
        <v>14.454649546893117</v>
      </c>
    </row>
    <row r="101" spans="1:4" ht="27.75" customHeight="1" x14ac:dyDescent="0.35">
      <c r="A101" s="6">
        <v>3135</v>
      </c>
      <c r="B101" s="176" t="s">
        <v>1448</v>
      </c>
      <c r="C101" s="177">
        <v>0.373870207700774</v>
      </c>
      <c r="D101" s="177">
        <v>1.3199325341927231</v>
      </c>
    </row>
    <row r="102" spans="1:4" ht="27.75" customHeight="1" x14ac:dyDescent="0.35">
      <c r="A102" s="6">
        <v>3150</v>
      </c>
      <c r="B102" s="176" t="s">
        <v>1449</v>
      </c>
      <c r="C102" s="177">
        <v>3.2451028671979296</v>
      </c>
      <c r="D102" s="177">
        <v>12.165970731588093</v>
      </c>
    </row>
    <row r="103" spans="1:4" ht="27.75" customHeight="1" x14ac:dyDescent="0.35">
      <c r="A103" s="6">
        <v>3175</v>
      </c>
      <c r="B103" s="176" t="s">
        <v>1450</v>
      </c>
      <c r="C103" s="177">
        <v>1.780188763703038</v>
      </c>
      <c r="D103" s="177">
        <v>7.3088067568343327</v>
      </c>
    </row>
    <row r="104" spans="1:4" ht="27.75" customHeight="1" x14ac:dyDescent="0.35">
      <c r="A104" s="6">
        <v>3195</v>
      </c>
      <c r="B104" s="176" t="s">
        <v>1451</v>
      </c>
      <c r="C104" s="177">
        <v>2.500766900855786</v>
      </c>
      <c r="D104" s="177">
        <v>10.46038295933327</v>
      </c>
    </row>
    <row r="105" spans="1:4" ht="27.75" customHeight="1" x14ac:dyDescent="0.35">
      <c r="A105" s="6">
        <v>3205</v>
      </c>
      <c r="B105" s="176" t="s">
        <v>1452</v>
      </c>
      <c r="C105" s="177">
        <v>3.7138875844436301</v>
      </c>
      <c r="D105" s="177">
        <v>5.0069487641569941</v>
      </c>
    </row>
    <row r="106" spans="1:4" ht="27.75" customHeight="1" x14ac:dyDescent="0.35">
      <c r="A106" s="6">
        <v>3210</v>
      </c>
      <c r="B106" s="176" t="s">
        <v>1453</v>
      </c>
      <c r="C106" s="177">
        <v>1.821266677972377</v>
      </c>
      <c r="D106" s="177">
        <v>10.86050581235134</v>
      </c>
    </row>
    <row r="107" spans="1:4" ht="27.75" customHeight="1" x14ac:dyDescent="0.35">
      <c r="A107" s="6">
        <v>3230</v>
      </c>
      <c r="B107" s="176" t="s">
        <v>1454</v>
      </c>
      <c r="C107" s="177">
        <v>1.4914845746974819</v>
      </c>
      <c r="D107" s="177">
        <v>4.5715041764763651</v>
      </c>
    </row>
    <row r="108" spans="1:4" ht="27.75" customHeight="1" x14ac:dyDescent="0.35">
      <c r="A108" s="6">
        <v>3300</v>
      </c>
      <c r="B108" s="176" t="s">
        <v>1373</v>
      </c>
      <c r="C108" s="177">
        <v>0</v>
      </c>
      <c r="D108" s="177">
        <v>7.49563970840465E-2</v>
      </c>
    </row>
    <row r="109" spans="1:4" ht="27.75" customHeight="1" x14ac:dyDescent="0.35">
      <c r="A109" s="6">
        <v>3340</v>
      </c>
      <c r="B109" s="176" t="s">
        <v>1373</v>
      </c>
      <c r="C109" s="177">
        <v>1.2765708781297975</v>
      </c>
      <c r="D109" s="177">
        <v>1.0625020820189901E-2</v>
      </c>
    </row>
    <row r="110" spans="1:4" ht="27.75" customHeight="1" x14ac:dyDescent="0.35">
      <c r="A110" s="6">
        <v>3345</v>
      </c>
      <c r="B110" s="176" t="s">
        <v>1455</v>
      </c>
      <c r="C110" s="177">
        <v>1.283133160724085</v>
      </c>
      <c r="D110" s="177">
        <v>1.0560147715158008E-2</v>
      </c>
    </row>
    <row r="111" spans="1:4" ht="27.75" customHeight="1" x14ac:dyDescent="0.35">
      <c r="A111" s="6">
        <v>3351</v>
      </c>
      <c r="B111" s="176" t="s">
        <v>1456</v>
      </c>
      <c r="C111" s="177">
        <v>0.34567946249075898</v>
      </c>
      <c r="D111" s="177">
        <v>4.3714642523577369</v>
      </c>
    </row>
    <row r="112" spans="1:4" ht="27.75" customHeight="1" x14ac:dyDescent="0.35">
      <c r="A112" s="6">
        <v>3395</v>
      </c>
      <c r="B112" s="176" t="s">
        <v>1457</v>
      </c>
      <c r="C112" s="177">
        <v>0.30096173211244759</v>
      </c>
      <c r="D112" s="177">
        <v>3.427876066874723</v>
      </c>
    </row>
    <row r="113" spans="1:4" ht="27.75" customHeight="1" x14ac:dyDescent="0.35">
      <c r="A113" s="6">
        <v>3401</v>
      </c>
      <c r="B113" s="176" t="s">
        <v>1373</v>
      </c>
      <c r="C113" s="177">
        <v>3.0984820898814172</v>
      </c>
      <c r="D113" s="177">
        <v>3.3023410921731595</v>
      </c>
    </row>
    <row r="114" spans="1:4" ht="27.75" customHeight="1" x14ac:dyDescent="0.35">
      <c r="A114" s="6">
        <v>3406</v>
      </c>
      <c r="B114" s="176" t="s">
        <v>1373</v>
      </c>
      <c r="C114" s="177">
        <v>5.3319377483871158</v>
      </c>
      <c r="D114" s="177">
        <v>0.97995943721575784</v>
      </c>
    </row>
    <row r="115" spans="1:4" ht="27.75" customHeight="1" x14ac:dyDescent="0.35">
      <c r="A115" s="6">
        <v>3410</v>
      </c>
      <c r="B115" s="176" t="s">
        <v>1458</v>
      </c>
      <c r="C115" s="177">
        <v>0.64487004932618763</v>
      </c>
      <c r="D115" s="177">
        <v>23.555268948934998</v>
      </c>
    </row>
    <row r="116" spans="1:4" ht="27.75" customHeight="1" x14ac:dyDescent="0.35">
      <c r="A116" s="6">
        <v>3425</v>
      </c>
      <c r="B116" s="176" t="s">
        <v>1459</v>
      </c>
      <c r="C116" s="177">
        <v>3.5414716512757183</v>
      </c>
      <c r="D116" s="177">
        <v>9.1144185309620838</v>
      </c>
    </row>
    <row r="117" spans="1:4" ht="27.75" customHeight="1" x14ac:dyDescent="0.35">
      <c r="A117" s="6">
        <v>3440</v>
      </c>
      <c r="B117" s="176" t="s">
        <v>1460</v>
      </c>
      <c r="C117" s="177">
        <v>0.80736788115593927</v>
      </c>
      <c r="D117" s="177">
        <v>6.5609800656516795</v>
      </c>
    </row>
    <row r="118" spans="1:4" ht="27.75" customHeight="1" x14ac:dyDescent="0.35">
      <c r="A118" s="6">
        <v>3455</v>
      </c>
      <c r="B118" s="176" t="s">
        <v>1461</v>
      </c>
      <c r="C118" s="177">
        <v>1.8579151969706185</v>
      </c>
      <c r="D118" s="177">
        <v>16.785530407506307</v>
      </c>
    </row>
    <row r="119" spans="1:4" ht="27.75" customHeight="1" x14ac:dyDescent="0.35">
      <c r="A119" s="6">
        <v>3486</v>
      </c>
      <c r="B119" s="176" t="s">
        <v>1373</v>
      </c>
      <c r="C119" s="177">
        <v>7.0365861351345922</v>
      </c>
      <c r="D119" s="177">
        <v>0.16661910683294234</v>
      </c>
    </row>
    <row r="120" spans="1:4" ht="27.75" customHeight="1" x14ac:dyDescent="0.35">
      <c r="A120" s="6">
        <v>3488</v>
      </c>
      <c r="B120" s="176" t="s">
        <v>1373</v>
      </c>
      <c r="C120" s="177">
        <v>7.0366492896669053</v>
      </c>
      <c r="D120" s="177">
        <v>0.16662207574948251</v>
      </c>
    </row>
    <row r="121" spans="1:4" ht="27.75" customHeight="1" x14ac:dyDescent="0.35">
      <c r="A121" s="6">
        <v>3490</v>
      </c>
      <c r="B121" s="176" t="s">
        <v>1462</v>
      </c>
      <c r="C121" s="177">
        <v>1.8703216766941879</v>
      </c>
      <c r="D121" s="177">
        <v>8.5178638857123623</v>
      </c>
    </row>
    <row r="122" spans="1:4" ht="27.75" customHeight="1" x14ac:dyDescent="0.35">
      <c r="A122" s="6">
        <v>3505</v>
      </c>
      <c r="B122" s="176" t="s">
        <v>1463</v>
      </c>
      <c r="C122" s="177">
        <v>2.7524980102313972</v>
      </c>
      <c r="D122" s="177">
        <v>15.567628520885636</v>
      </c>
    </row>
    <row r="123" spans="1:4" ht="27.75" customHeight="1" x14ac:dyDescent="0.35">
      <c r="A123" s="6">
        <v>3525</v>
      </c>
      <c r="B123" s="176" t="s">
        <v>1464</v>
      </c>
      <c r="C123" s="177">
        <v>6.4228327897041831E-2</v>
      </c>
      <c r="D123" s="177">
        <v>6.5462130672940155</v>
      </c>
    </row>
    <row r="124" spans="1:4" ht="27.75" customHeight="1" x14ac:dyDescent="0.35">
      <c r="A124" s="6">
        <v>3530</v>
      </c>
      <c r="B124" s="176" t="s">
        <v>1465</v>
      </c>
      <c r="C124" s="177">
        <v>6.4929868451855319E-2</v>
      </c>
      <c r="D124" s="177">
        <v>6.5426038552048214</v>
      </c>
    </row>
    <row r="125" spans="1:4" ht="27.75" customHeight="1" x14ac:dyDescent="0.35">
      <c r="A125" s="6">
        <v>3535</v>
      </c>
      <c r="B125" s="176" t="s">
        <v>1466</v>
      </c>
      <c r="C125" s="177">
        <v>0.46688788398009973</v>
      </c>
      <c r="D125" s="177">
        <v>4.9840502731155869</v>
      </c>
    </row>
    <row r="126" spans="1:4" ht="27.75" customHeight="1" x14ac:dyDescent="0.35">
      <c r="A126" s="6">
        <v>3555</v>
      </c>
      <c r="B126" s="176" t="s">
        <v>1467</v>
      </c>
      <c r="C126" s="177">
        <v>0.13194673774533114</v>
      </c>
      <c r="D126" s="177">
        <v>13.101576405182335</v>
      </c>
    </row>
    <row r="127" spans="1:4" ht="27.75" customHeight="1" x14ac:dyDescent="0.35">
      <c r="A127" s="6">
        <v>3580</v>
      </c>
      <c r="B127" s="176" t="s">
        <v>1468</v>
      </c>
      <c r="C127" s="177">
        <v>0.97969993717379833</v>
      </c>
      <c r="D127" s="177">
        <v>8.7683674609045674</v>
      </c>
    </row>
    <row r="128" spans="1:4" ht="27.75" customHeight="1" x14ac:dyDescent="0.35">
      <c r="A128" s="6">
        <v>3600</v>
      </c>
      <c r="B128" s="176" t="s">
        <v>1469</v>
      </c>
      <c r="C128" s="177">
        <v>2.1246814817179218</v>
      </c>
      <c r="D128" s="177">
        <v>19.722388653295525</v>
      </c>
    </row>
    <row r="129" spans="1:4" ht="27.75" customHeight="1" x14ac:dyDescent="0.35">
      <c r="A129" s="6">
        <v>3620</v>
      </c>
      <c r="B129" s="176" t="s">
        <v>1470</v>
      </c>
      <c r="C129" s="177">
        <v>0.34185764303694838</v>
      </c>
      <c r="D129" s="177">
        <v>17.874623010428326</v>
      </c>
    </row>
    <row r="130" spans="1:4" ht="27.75" customHeight="1" x14ac:dyDescent="0.35">
      <c r="A130" s="6">
        <v>3630</v>
      </c>
      <c r="B130" s="176" t="s">
        <v>1471</v>
      </c>
      <c r="C130" s="177">
        <v>12.074024958310037</v>
      </c>
      <c r="D130" s="177">
        <v>6.3427561054118478</v>
      </c>
    </row>
    <row r="131" spans="1:4" ht="27.75" customHeight="1" x14ac:dyDescent="0.35">
      <c r="A131" s="6">
        <v>3635</v>
      </c>
      <c r="B131" s="176" t="s">
        <v>1472</v>
      </c>
      <c r="C131" s="177">
        <v>1.2066378733320622</v>
      </c>
      <c r="D131" s="177">
        <v>26.774752226713311</v>
      </c>
    </row>
    <row r="132" spans="1:4" ht="27.75" customHeight="1" x14ac:dyDescent="0.35">
      <c r="A132" s="6">
        <v>3675</v>
      </c>
      <c r="B132" s="176" t="s">
        <v>1373</v>
      </c>
      <c r="C132" s="177">
        <v>8.4400767809896955</v>
      </c>
      <c r="D132" s="177">
        <v>5.9134557412933066</v>
      </c>
    </row>
    <row r="133" spans="1:4" ht="27.75" customHeight="1" x14ac:dyDescent="0.35">
      <c r="A133" s="6">
        <v>3700</v>
      </c>
      <c r="B133" s="176" t="s">
        <v>1473</v>
      </c>
      <c r="C133" s="177">
        <v>3.2879866320071551</v>
      </c>
      <c r="D133" s="177">
        <v>6.9712540635689733</v>
      </c>
    </row>
    <row r="134" spans="1:4" ht="27.75" customHeight="1" x14ac:dyDescent="0.35">
      <c r="A134" s="6">
        <v>3725</v>
      </c>
      <c r="B134" s="176" t="s">
        <v>1474</v>
      </c>
      <c r="C134" s="177">
        <v>4.8796591969794605</v>
      </c>
      <c r="D134" s="177">
        <v>3.4960350567890366</v>
      </c>
    </row>
    <row r="135" spans="1:4" ht="27.75" customHeight="1" x14ac:dyDescent="0.35">
      <c r="A135" s="6">
        <v>3745</v>
      </c>
      <c r="B135" s="176" t="s">
        <v>1475</v>
      </c>
      <c r="C135" s="177">
        <v>2.6839315781272899</v>
      </c>
      <c r="D135" s="177">
        <v>3.7991947642474231</v>
      </c>
    </row>
    <row r="136" spans="1:4" ht="27.75" customHeight="1" x14ac:dyDescent="0.35">
      <c r="A136" s="6">
        <v>3746</v>
      </c>
      <c r="B136" s="176" t="s">
        <v>1373</v>
      </c>
      <c r="C136" s="177">
        <v>3.3484554645313729</v>
      </c>
      <c r="D136" s="177">
        <v>1.2658868250846496</v>
      </c>
    </row>
    <row r="137" spans="1:4" ht="27.75" customHeight="1" x14ac:dyDescent="0.35">
      <c r="A137" s="6">
        <v>3760</v>
      </c>
      <c r="B137" s="176" t="s">
        <v>1476</v>
      </c>
      <c r="C137" s="177">
        <v>0</v>
      </c>
      <c r="D137" s="177">
        <v>1.7765695304810054</v>
      </c>
    </row>
    <row r="138" spans="1:4" ht="27.75" customHeight="1" x14ac:dyDescent="0.35">
      <c r="A138" s="6">
        <v>3770</v>
      </c>
      <c r="B138" s="176" t="s">
        <v>1477</v>
      </c>
      <c r="C138" s="177">
        <v>1.093200869062029</v>
      </c>
      <c r="D138" s="177">
        <v>2.721891622010093</v>
      </c>
    </row>
    <row r="139" spans="1:4" ht="27.75" customHeight="1" x14ac:dyDescent="0.35">
      <c r="A139" s="6">
        <v>3785</v>
      </c>
      <c r="B139" s="176" t="s">
        <v>1478</v>
      </c>
      <c r="C139" s="177">
        <v>2.3945969978817203</v>
      </c>
      <c r="D139" s="177">
        <v>9.4148128101915471</v>
      </c>
    </row>
    <row r="140" spans="1:4" ht="27.75" customHeight="1" x14ac:dyDescent="0.35">
      <c r="A140" s="6">
        <v>3820</v>
      </c>
      <c r="B140" s="176" t="s">
        <v>1479</v>
      </c>
      <c r="C140" s="177">
        <v>2.44002969896037</v>
      </c>
      <c r="D140" s="177">
        <v>4.4249011992635108</v>
      </c>
    </row>
    <row r="141" spans="1:4" ht="27.75" customHeight="1" x14ac:dyDescent="0.35">
      <c r="A141" s="6">
        <v>3840</v>
      </c>
      <c r="B141" s="176" t="s">
        <v>1480</v>
      </c>
      <c r="C141" s="177">
        <v>0.42383534543018397</v>
      </c>
      <c r="D141" s="177">
        <v>4.0906848918112022</v>
      </c>
    </row>
    <row r="142" spans="1:4" ht="27.75" customHeight="1" x14ac:dyDescent="0.35">
      <c r="A142" s="6">
        <v>3860</v>
      </c>
      <c r="B142" s="176" t="s">
        <v>1481</v>
      </c>
      <c r="C142" s="177">
        <v>0.42444085872014503</v>
      </c>
      <c r="D142" s="177">
        <v>5.396077656215085</v>
      </c>
    </row>
    <row r="143" spans="1:4" ht="27.75" customHeight="1" x14ac:dyDescent="0.35">
      <c r="A143" s="6">
        <v>3875</v>
      </c>
      <c r="B143" s="176" t="s">
        <v>1482</v>
      </c>
      <c r="C143" s="177">
        <v>0.50554151727830099</v>
      </c>
      <c r="D143" s="177">
        <v>4.6833309379084511</v>
      </c>
    </row>
    <row r="144" spans="1:4" ht="27.75" customHeight="1" x14ac:dyDescent="0.35">
      <c r="A144" s="6">
        <v>3895</v>
      </c>
      <c r="B144" s="176" t="s">
        <v>1483</v>
      </c>
      <c r="C144" s="177">
        <v>4.3172209444250313</v>
      </c>
      <c r="D144" s="177">
        <v>6.0519033504937738</v>
      </c>
    </row>
    <row r="145" spans="1:4" ht="27.75" customHeight="1" x14ac:dyDescent="0.35">
      <c r="A145" s="6">
        <v>3920</v>
      </c>
      <c r="B145" s="176" t="s">
        <v>1484</v>
      </c>
      <c r="C145" s="177">
        <v>2.0697938225663535</v>
      </c>
      <c r="D145" s="177">
        <v>5.9795279513685937</v>
      </c>
    </row>
    <row r="146" spans="1:4" ht="27.75" customHeight="1" x14ac:dyDescent="0.35">
      <c r="A146" s="6">
        <v>3990</v>
      </c>
      <c r="B146" s="176" t="s">
        <v>1485</v>
      </c>
      <c r="C146" s="177">
        <v>1.1077526186460693</v>
      </c>
      <c r="D146" s="177">
        <v>11.428963540579677</v>
      </c>
    </row>
    <row r="147" spans="1:4" ht="27.75" customHeight="1" x14ac:dyDescent="0.35">
      <c r="A147" s="6">
        <v>3995</v>
      </c>
      <c r="B147" s="176" t="s">
        <v>1486</v>
      </c>
      <c r="C147" s="177">
        <v>0.78035811940600419</v>
      </c>
      <c r="D147" s="177">
        <v>11.50252794499413</v>
      </c>
    </row>
    <row r="148" spans="1:4" ht="27.75" customHeight="1" x14ac:dyDescent="0.35">
      <c r="A148" s="6">
        <v>4010</v>
      </c>
      <c r="B148" s="176" t="s">
        <v>1487</v>
      </c>
      <c r="C148" s="177">
        <v>0.7123146281881102</v>
      </c>
      <c r="D148" s="177">
        <v>16.669096441508955</v>
      </c>
    </row>
    <row r="149" spans="1:4" ht="27.75" customHeight="1" x14ac:dyDescent="0.35">
      <c r="A149" s="6">
        <v>4045</v>
      </c>
      <c r="B149" s="176" t="s">
        <v>1488</v>
      </c>
      <c r="C149" s="177">
        <v>1.2864441437317422</v>
      </c>
      <c r="D149" s="177">
        <v>10.709401562740995</v>
      </c>
    </row>
    <row r="150" spans="1:4" ht="27.75" customHeight="1" x14ac:dyDescent="0.35">
      <c r="A150" s="6">
        <v>4060</v>
      </c>
      <c r="B150" s="176" t="s">
        <v>1489</v>
      </c>
      <c r="C150" s="177">
        <v>4.0052650068172886</v>
      </c>
      <c r="D150" s="177">
        <v>8.8817418650844289</v>
      </c>
    </row>
    <row r="151" spans="1:4" ht="27.75" customHeight="1" x14ac:dyDescent="0.35">
      <c r="A151" s="6">
        <v>4080</v>
      </c>
      <c r="B151" s="176" t="s">
        <v>1490</v>
      </c>
      <c r="C151" s="177">
        <v>0.54116869169153636</v>
      </c>
      <c r="D151" s="177">
        <v>5.1792345359159437</v>
      </c>
    </row>
    <row r="152" spans="1:4" ht="27.75" customHeight="1" x14ac:dyDescent="0.35">
      <c r="A152" s="6">
        <v>4095</v>
      </c>
      <c r="B152" s="176" t="s">
        <v>1491</v>
      </c>
      <c r="C152" s="177">
        <v>3.4561174865997533</v>
      </c>
      <c r="D152" s="177">
        <v>18.71251622062529</v>
      </c>
    </row>
    <row r="153" spans="1:4" ht="27.75" customHeight="1" x14ac:dyDescent="0.35">
      <c r="A153" s="6">
        <v>4110</v>
      </c>
      <c r="B153" s="176" t="s">
        <v>1492</v>
      </c>
      <c r="C153" s="177">
        <v>2.1885954850038769</v>
      </c>
      <c r="D153" s="177">
        <v>10.577552746156607</v>
      </c>
    </row>
    <row r="154" spans="1:4" ht="27.75" customHeight="1" x14ac:dyDescent="0.35">
      <c r="A154" s="6">
        <v>4116</v>
      </c>
      <c r="B154" s="176" t="s">
        <v>1373</v>
      </c>
      <c r="C154" s="177">
        <v>5.0715881470759818</v>
      </c>
      <c r="D154" s="177">
        <v>10.432151379962535</v>
      </c>
    </row>
    <row r="155" spans="1:4" ht="27.75" customHeight="1" x14ac:dyDescent="0.35">
      <c r="A155" s="6">
        <v>4152</v>
      </c>
      <c r="B155" s="176" t="s">
        <v>1373</v>
      </c>
      <c r="C155" s="177">
        <v>2.0481730394337596</v>
      </c>
      <c r="D155" s="177">
        <v>10.461753936975244</v>
      </c>
    </row>
    <row r="156" spans="1:4" ht="27.75" customHeight="1" x14ac:dyDescent="0.35">
      <c r="A156" s="6">
        <v>4160</v>
      </c>
      <c r="B156" s="176" t="s">
        <v>1493</v>
      </c>
      <c r="C156" s="177">
        <v>1.3405352098978516</v>
      </c>
      <c r="D156" s="177">
        <v>8.9364045509881169</v>
      </c>
    </row>
    <row r="157" spans="1:4" ht="27.75" customHeight="1" x14ac:dyDescent="0.35">
      <c r="A157" s="6">
        <v>4230</v>
      </c>
      <c r="B157" s="176" t="s">
        <v>1494</v>
      </c>
      <c r="C157" s="177">
        <v>0.17664247393768298</v>
      </c>
      <c r="D157" s="177">
        <v>1.5865928138891734</v>
      </c>
    </row>
    <row r="158" spans="1:4" ht="27.75" customHeight="1" x14ac:dyDescent="0.35">
      <c r="A158" s="6">
        <v>4247</v>
      </c>
      <c r="B158" s="176" t="s">
        <v>1495</v>
      </c>
      <c r="C158" s="177">
        <v>-1.8955504417135002E-2</v>
      </c>
      <c r="D158" s="177">
        <v>1.3504731723999872</v>
      </c>
    </row>
    <row r="159" spans="1:4" ht="27.75" customHeight="1" x14ac:dyDescent="0.35">
      <c r="A159" s="6">
        <v>4255</v>
      </c>
      <c r="B159" s="176" t="s">
        <v>1496</v>
      </c>
      <c r="C159" s="177">
        <v>0.14953558328431432</v>
      </c>
      <c r="D159" s="177">
        <v>3.1086697662052423</v>
      </c>
    </row>
    <row r="160" spans="1:4" ht="27.75" customHeight="1" x14ac:dyDescent="0.35">
      <c r="A160" s="6">
        <v>4265</v>
      </c>
      <c r="B160" s="176" t="s">
        <v>1497</v>
      </c>
      <c r="C160" s="177">
        <v>0.95963163332690682</v>
      </c>
      <c r="D160" s="177">
        <v>3.219831873294932</v>
      </c>
    </row>
    <row r="161" spans="1:4" ht="27.75" customHeight="1" x14ac:dyDescent="0.35">
      <c r="A161" s="6">
        <v>4280</v>
      </c>
      <c r="B161" s="176" t="s">
        <v>1498</v>
      </c>
      <c r="C161" s="177">
        <v>1.3702597546657276</v>
      </c>
      <c r="D161" s="177">
        <v>3.5909146758268</v>
      </c>
    </row>
    <row r="162" spans="1:4" ht="27.75" customHeight="1" x14ac:dyDescent="0.35">
      <c r="A162" s="6">
        <v>4295</v>
      </c>
      <c r="B162" s="176" t="s">
        <v>1499</v>
      </c>
      <c r="C162" s="177">
        <v>1.2986984997076105</v>
      </c>
      <c r="D162" s="177">
        <v>11.947405156013545</v>
      </c>
    </row>
    <row r="163" spans="1:4" ht="27.75" customHeight="1" x14ac:dyDescent="0.35">
      <c r="A163" s="6">
        <v>4335</v>
      </c>
      <c r="B163" s="176" t="s">
        <v>1500</v>
      </c>
      <c r="C163" s="177">
        <v>0.46376884088644549</v>
      </c>
      <c r="D163" s="177">
        <v>2.0563298455546142</v>
      </c>
    </row>
    <row r="164" spans="1:4" ht="27.75" customHeight="1" x14ac:dyDescent="0.35">
      <c r="A164" s="6">
        <v>4345</v>
      </c>
      <c r="B164" s="176" t="s">
        <v>1501</v>
      </c>
      <c r="C164" s="177">
        <v>-1.9205896061938201E-2</v>
      </c>
      <c r="D164" s="177">
        <v>1.3504767923879115</v>
      </c>
    </row>
    <row r="165" spans="1:4" ht="27.75" customHeight="1" x14ac:dyDescent="0.35">
      <c r="A165" s="6">
        <v>4380</v>
      </c>
      <c r="B165" s="176" t="s">
        <v>1373</v>
      </c>
      <c r="C165" s="177">
        <v>1.7062482047410703</v>
      </c>
      <c r="D165" s="177">
        <v>1.2456004762028914</v>
      </c>
    </row>
    <row r="166" spans="1:4" ht="27.75" customHeight="1" x14ac:dyDescent="0.35">
      <c r="A166" s="6">
        <v>4385</v>
      </c>
      <c r="B166" s="176" t="s">
        <v>1502</v>
      </c>
      <c r="C166" s="177">
        <v>-1.8170958291266137E-2</v>
      </c>
      <c r="D166" s="177">
        <v>1.3555835152503497</v>
      </c>
    </row>
    <row r="167" spans="1:4" ht="27.75" customHeight="1" x14ac:dyDescent="0.35">
      <c r="A167" s="6">
        <v>4400</v>
      </c>
      <c r="B167" s="176" t="s">
        <v>1503</v>
      </c>
      <c r="C167" s="177">
        <v>1.7240793227552571</v>
      </c>
      <c r="D167" s="177">
        <v>3.1492787063188308</v>
      </c>
    </row>
    <row r="168" spans="1:4" ht="27.75" customHeight="1" x14ac:dyDescent="0.35">
      <c r="A168" s="6">
        <v>4420</v>
      </c>
      <c r="B168" s="176" t="s">
        <v>1504</v>
      </c>
      <c r="C168" s="177">
        <v>1.4637986996218977</v>
      </c>
      <c r="D168" s="177">
        <v>8.8743235647018537</v>
      </c>
    </row>
    <row r="169" spans="1:4" ht="27.75" customHeight="1" x14ac:dyDescent="0.35">
      <c r="A169" s="6">
        <v>4435</v>
      </c>
      <c r="B169" s="176" t="s">
        <v>1505</v>
      </c>
      <c r="C169" s="177">
        <v>2.980754733045484</v>
      </c>
      <c r="D169" s="177">
        <v>13.283925998767756</v>
      </c>
    </row>
    <row r="170" spans="1:4" ht="27.75" customHeight="1" x14ac:dyDescent="0.35">
      <c r="A170" s="6">
        <v>4450</v>
      </c>
      <c r="B170" s="176" t="s">
        <v>1506</v>
      </c>
      <c r="C170" s="177">
        <v>1.5188775705571957</v>
      </c>
      <c r="D170" s="177">
        <v>6.6293016703863152</v>
      </c>
    </row>
    <row r="171" spans="1:4" ht="27.75" customHeight="1" x14ac:dyDescent="0.35">
      <c r="A171" s="6">
        <v>4490</v>
      </c>
      <c r="B171" s="176" t="s">
        <v>1507</v>
      </c>
      <c r="C171" s="177">
        <v>0.1872130232189595</v>
      </c>
      <c r="D171" s="177">
        <v>6.7241774090820865</v>
      </c>
    </row>
    <row r="172" spans="1:4" ht="27.75" customHeight="1" x14ac:dyDescent="0.35">
      <c r="A172" s="6">
        <v>4510</v>
      </c>
      <c r="B172" s="176" t="s">
        <v>1508</v>
      </c>
      <c r="C172" s="177">
        <v>0.66368780603375854</v>
      </c>
      <c r="D172" s="177">
        <v>8.0697134671633979</v>
      </c>
    </row>
    <row r="173" spans="1:4" ht="27.75" customHeight="1" x14ac:dyDescent="0.35">
      <c r="A173" s="6">
        <v>4535</v>
      </c>
      <c r="B173" s="176" t="s">
        <v>1373</v>
      </c>
      <c r="C173" s="177">
        <v>4.7264807031686535</v>
      </c>
      <c r="D173" s="177">
        <v>10.813566668769415</v>
      </c>
    </row>
    <row r="174" spans="1:4" ht="27.75" customHeight="1" x14ac:dyDescent="0.35">
      <c r="A174" s="6">
        <v>4540</v>
      </c>
      <c r="B174" s="176" t="s">
        <v>1373</v>
      </c>
      <c r="C174" s="177">
        <v>4.7270533615217936</v>
      </c>
      <c r="D174" s="177">
        <v>10.815962397091502</v>
      </c>
    </row>
    <row r="175" spans="1:4" ht="27.75" customHeight="1" x14ac:dyDescent="0.35">
      <c r="A175" s="6">
        <v>4550</v>
      </c>
      <c r="B175" s="176" t="s">
        <v>1509</v>
      </c>
      <c r="C175" s="177">
        <v>0.75158474397660502</v>
      </c>
      <c r="D175" s="177">
        <v>7.8015568348354032</v>
      </c>
    </row>
    <row r="176" spans="1:4" ht="27.75" customHeight="1" x14ac:dyDescent="0.35">
      <c r="A176" s="6">
        <v>4575</v>
      </c>
      <c r="B176" s="176" t="s">
        <v>1510</v>
      </c>
      <c r="C176" s="177">
        <v>0.82923138305496646</v>
      </c>
      <c r="D176" s="177">
        <v>-0.28456122825195229</v>
      </c>
    </row>
    <row r="177" spans="1:4" ht="27.75" customHeight="1" x14ac:dyDescent="0.35">
      <c r="A177" s="6">
        <v>4587</v>
      </c>
      <c r="B177" s="176" t="s">
        <v>1373</v>
      </c>
      <c r="C177" s="177">
        <v>-0.67650584107433975</v>
      </c>
      <c r="D177" s="177">
        <v>1.5512441543719584</v>
      </c>
    </row>
    <row r="178" spans="1:4" ht="27.75" customHeight="1" x14ac:dyDescent="0.35">
      <c r="A178" s="6">
        <v>4588</v>
      </c>
      <c r="B178" s="176" t="s">
        <v>1373</v>
      </c>
      <c r="C178" s="177">
        <v>-0.67476237407682482</v>
      </c>
      <c r="D178" s="177">
        <v>1.5512483786590292</v>
      </c>
    </row>
    <row r="179" spans="1:4" ht="27.75" customHeight="1" x14ac:dyDescent="0.35">
      <c r="A179" s="6">
        <v>4595</v>
      </c>
      <c r="B179" s="176" t="s">
        <v>1511</v>
      </c>
      <c r="C179" s="177">
        <v>3.0174769974796902</v>
      </c>
      <c r="D179" s="177">
        <v>16.497497107767931</v>
      </c>
    </row>
    <row r="180" spans="1:4" ht="27.75" customHeight="1" x14ac:dyDescent="0.35">
      <c r="A180" s="6">
        <v>4630</v>
      </c>
      <c r="B180" s="176" t="s">
        <v>1512</v>
      </c>
      <c r="C180" s="177">
        <v>2.0792246674913852</v>
      </c>
      <c r="D180" s="177">
        <v>10.112241506760281</v>
      </c>
    </row>
    <row r="181" spans="1:4" ht="27.75" customHeight="1" x14ac:dyDescent="0.35">
      <c r="A181" s="6">
        <v>4635</v>
      </c>
      <c r="B181" s="176" t="s">
        <v>1513</v>
      </c>
      <c r="C181" s="177">
        <v>1.360038201522539</v>
      </c>
      <c r="D181" s="177">
        <v>11.419629184087968</v>
      </c>
    </row>
    <row r="182" spans="1:4" ht="27.75" customHeight="1" x14ac:dyDescent="0.35">
      <c r="A182" s="6">
        <v>4690</v>
      </c>
      <c r="B182" s="176" t="s">
        <v>1514</v>
      </c>
      <c r="C182" s="177">
        <v>3.97879491299497</v>
      </c>
      <c r="D182" s="177">
        <v>9.8192235388795019</v>
      </c>
    </row>
    <row r="183" spans="1:4" ht="27.75" customHeight="1" x14ac:dyDescent="0.35">
      <c r="A183" s="6">
        <v>4720</v>
      </c>
      <c r="B183" s="176" t="s">
        <v>1515</v>
      </c>
      <c r="C183" s="177">
        <v>3.0808259196474785</v>
      </c>
      <c r="D183" s="177">
        <v>7.4512068854860587</v>
      </c>
    </row>
    <row r="184" spans="1:4" ht="27.75" customHeight="1" x14ac:dyDescent="0.35">
      <c r="A184" s="6">
        <v>4740</v>
      </c>
      <c r="B184" s="176" t="s">
        <v>1516</v>
      </c>
      <c r="C184" s="177">
        <v>2.7382029555656979</v>
      </c>
      <c r="D184" s="177">
        <v>6.5842082941775066</v>
      </c>
    </row>
    <row r="185" spans="1:4" ht="27.75" customHeight="1" x14ac:dyDescent="0.35">
      <c r="A185" s="6">
        <v>4760</v>
      </c>
      <c r="B185" s="176" t="s">
        <v>1517</v>
      </c>
      <c r="C185" s="177">
        <v>2.1429613064642354</v>
      </c>
      <c r="D185" s="177">
        <v>14.764705621976111</v>
      </c>
    </row>
    <row r="186" spans="1:4" ht="27.75" customHeight="1" x14ac:dyDescent="0.35">
      <c r="A186" s="6">
        <v>4766</v>
      </c>
      <c r="B186" s="176" t="s">
        <v>1373</v>
      </c>
      <c r="C186" s="177">
        <v>7.51019683352194</v>
      </c>
      <c r="D186" s="177">
        <v>6.6468544192614356</v>
      </c>
    </row>
    <row r="187" spans="1:4" ht="27.75" customHeight="1" x14ac:dyDescent="0.35">
      <c r="A187" s="6">
        <v>4805</v>
      </c>
      <c r="B187" s="176" t="s">
        <v>1373</v>
      </c>
      <c r="C187" s="177">
        <v>1.6608039817868436</v>
      </c>
      <c r="D187" s="177">
        <v>5.7484995159563601</v>
      </c>
    </row>
    <row r="188" spans="1:4" ht="27.75" customHeight="1" x14ac:dyDescent="0.35">
      <c r="A188" s="6">
        <v>4810</v>
      </c>
      <c r="B188" s="176" t="s">
        <v>1518</v>
      </c>
      <c r="C188" s="177">
        <v>0.23645676089112819</v>
      </c>
      <c r="D188" s="177">
        <v>11.964013277100863</v>
      </c>
    </row>
    <row r="189" spans="1:4" ht="27.75" customHeight="1" x14ac:dyDescent="0.35">
      <c r="A189" s="6">
        <v>4830</v>
      </c>
      <c r="B189" s="176" t="s">
        <v>1519</v>
      </c>
      <c r="C189" s="177">
        <v>0.83081871842542954</v>
      </c>
      <c r="D189" s="177">
        <v>10.982128631014465</v>
      </c>
    </row>
    <row r="190" spans="1:4" ht="27.75" customHeight="1" x14ac:dyDescent="0.35">
      <c r="A190" s="6">
        <v>4850</v>
      </c>
      <c r="B190" s="176" t="s">
        <v>1520</v>
      </c>
      <c r="C190" s="177">
        <v>0.68532619985952681</v>
      </c>
      <c r="D190" s="177">
        <v>17.134710975196615</v>
      </c>
    </row>
    <row r="191" spans="1:4" ht="27.75" customHeight="1" x14ac:dyDescent="0.35">
      <c r="A191" s="6">
        <v>4870</v>
      </c>
      <c r="B191" s="176" t="s">
        <v>1521</v>
      </c>
      <c r="C191" s="177">
        <v>1.4496486700322575</v>
      </c>
      <c r="D191" s="177">
        <v>5.0406301198267052</v>
      </c>
    </row>
    <row r="192" spans="1:4" ht="27.75" customHeight="1" x14ac:dyDescent="0.35">
      <c r="A192" s="6">
        <v>4885</v>
      </c>
      <c r="B192" s="176" t="s">
        <v>1522</v>
      </c>
      <c r="C192" s="177">
        <v>0.49471306041378732</v>
      </c>
      <c r="D192" s="177">
        <v>1.3158903549279795</v>
      </c>
    </row>
    <row r="193" spans="1:4" ht="27.75" customHeight="1" x14ac:dyDescent="0.35">
      <c r="A193" s="6">
        <v>4925</v>
      </c>
      <c r="B193" s="176" t="s">
        <v>1523</v>
      </c>
      <c r="C193" s="177">
        <v>1.0406226256634636</v>
      </c>
      <c r="D193" s="177">
        <v>4.7265848540526552</v>
      </c>
    </row>
    <row r="194" spans="1:4" ht="27.75" customHeight="1" x14ac:dyDescent="0.35">
      <c r="A194" s="6">
        <v>4950</v>
      </c>
      <c r="B194" s="176" t="s">
        <v>1524</v>
      </c>
      <c r="C194" s="177">
        <v>0.14089214969296476</v>
      </c>
      <c r="D194" s="177">
        <v>0.15091305135787059</v>
      </c>
    </row>
    <row r="195" spans="1:4" ht="27.75" customHeight="1" x14ac:dyDescent="0.35">
      <c r="A195" s="6">
        <v>4951</v>
      </c>
      <c r="B195" s="176" t="s">
        <v>1525</v>
      </c>
      <c r="C195" s="177">
        <v>0.19793610875938189</v>
      </c>
      <c r="D195" s="177">
        <v>0.14193788851644296</v>
      </c>
    </row>
    <row r="196" spans="1:4" ht="27.75" customHeight="1" x14ac:dyDescent="0.35">
      <c r="A196" s="6">
        <v>4952</v>
      </c>
      <c r="B196" s="176" t="s">
        <v>1526</v>
      </c>
      <c r="C196" s="177">
        <v>0.19793610875938189</v>
      </c>
      <c r="D196" s="177">
        <v>0.14193788851644296</v>
      </c>
    </row>
    <row r="197" spans="1:4" ht="27.75" customHeight="1" x14ac:dyDescent="0.35">
      <c r="A197" s="6">
        <v>4955</v>
      </c>
      <c r="B197" s="176" t="s">
        <v>1527</v>
      </c>
      <c r="C197" s="177">
        <v>0.28265303994640711</v>
      </c>
      <c r="D197" s="177">
        <v>10.253547173056706</v>
      </c>
    </row>
    <row r="198" spans="1:4" ht="27.75" customHeight="1" x14ac:dyDescent="0.35">
      <c r="A198" s="6">
        <v>4965</v>
      </c>
      <c r="B198" s="176" t="s">
        <v>1373</v>
      </c>
      <c r="C198" s="177">
        <v>18.312904025994804</v>
      </c>
      <c r="D198" s="177">
        <v>0.26249596699211963</v>
      </c>
    </row>
    <row r="199" spans="1:4" ht="27.75" customHeight="1" x14ac:dyDescent="0.35">
      <c r="A199" s="6">
        <v>4975</v>
      </c>
      <c r="B199" s="176" t="s">
        <v>1528</v>
      </c>
      <c r="C199" s="177">
        <v>1.2459311397390367</v>
      </c>
      <c r="D199" s="177">
        <v>14.635371373408207</v>
      </c>
    </row>
    <row r="200" spans="1:4" ht="27.75" customHeight="1" x14ac:dyDescent="0.35">
      <c r="A200" s="6">
        <v>5100</v>
      </c>
      <c r="B200" s="176" t="s">
        <v>1529</v>
      </c>
      <c r="C200" s="177">
        <v>6.0655831458764</v>
      </c>
      <c r="D200" s="177">
        <v>0.27794445683666158</v>
      </c>
    </row>
    <row r="201" spans="1:4" ht="27.75" customHeight="1" x14ac:dyDescent="0.35">
      <c r="A201" s="6">
        <v>5105</v>
      </c>
      <c r="B201" s="176" t="s">
        <v>1530</v>
      </c>
      <c r="C201" s="177">
        <v>6.0720506032756898</v>
      </c>
      <c r="D201" s="177">
        <v>0.27799443782789712</v>
      </c>
    </row>
    <row r="202" spans="1:4" ht="27.75" customHeight="1" x14ac:dyDescent="0.35">
      <c r="A202" s="6">
        <v>5160</v>
      </c>
      <c r="B202" s="176" t="s">
        <v>1531</v>
      </c>
      <c r="C202" s="177">
        <v>0.25964492900634228</v>
      </c>
      <c r="D202" s="177">
        <v>0</v>
      </c>
    </row>
    <row r="203" spans="1:4" ht="27.75" customHeight="1" x14ac:dyDescent="0.35">
      <c r="A203" s="6">
        <v>5170</v>
      </c>
      <c r="B203" s="176" t="s">
        <v>1532</v>
      </c>
      <c r="C203" s="177">
        <v>0.25964492900634228</v>
      </c>
      <c r="D203" s="177">
        <v>0</v>
      </c>
    </row>
    <row r="204" spans="1:4" ht="27.75" customHeight="1" x14ac:dyDescent="0.35">
      <c r="A204" s="6">
        <v>5280</v>
      </c>
      <c r="B204" s="176" t="s">
        <v>1533</v>
      </c>
      <c r="C204" s="177">
        <v>5.2264195927747696</v>
      </c>
      <c r="D204" s="177">
        <v>1.8293651176305241</v>
      </c>
    </row>
    <row r="205" spans="1:4" ht="27.75" customHeight="1" x14ac:dyDescent="0.35">
      <c r="A205" s="6">
        <v>5285</v>
      </c>
      <c r="B205" s="176" t="s">
        <v>1534</v>
      </c>
      <c r="C205" s="177">
        <v>5.24461116278205</v>
      </c>
      <c r="D205" s="177">
        <v>1.8328286199528279</v>
      </c>
    </row>
    <row r="206" spans="1:4" ht="27.75" customHeight="1" x14ac:dyDescent="0.35">
      <c r="A206" s="6">
        <v>5320</v>
      </c>
      <c r="B206" s="176" t="s">
        <v>1535</v>
      </c>
      <c r="C206" s="177">
        <v>2.280311169001584</v>
      </c>
      <c r="D206" s="177">
        <v>0</v>
      </c>
    </row>
    <row r="207" spans="1:4" ht="27.75" customHeight="1" x14ac:dyDescent="0.35">
      <c r="A207" s="6">
        <v>5325</v>
      </c>
      <c r="B207" s="176" t="s">
        <v>1536</v>
      </c>
      <c r="C207" s="177">
        <v>2.2770140128016543</v>
      </c>
      <c r="D207" s="177">
        <v>0</v>
      </c>
    </row>
    <row r="208" spans="1:4" ht="27.75" customHeight="1" x14ac:dyDescent="0.35">
      <c r="A208" s="6">
        <v>5330</v>
      </c>
      <c r="B208" s="176" t="s">
        <v>1537</v>
      </c>
      <c r="C208" s="177">
        <v>1.2360589751540429</v>
      </c>
      <c r="D208" s="177">
        <v>1.2526452111796409</v>
      </c>
    </row>
    <row r="209" spans="1:4" ht="27.75" customHeight="1" x14ac:dyDescent="0.35">
      <c r="A209" s="6">
        <v>5345</v>
      </c>
      <c r="B209" s="176" t="s">
        <v>1538</v>
      </c>
      <c r="C209" s="177">
        <v>1.238070679200602</v>
      </c>
      <c r="D209" s="177">
        <v>1.2518853692916441</v>
      </c>
    </row>
    <row r="210" spans="1:4" ht="27.75" customHeight="1" x14ac:dyDescent="0.35">
      <c r="A210" s="6">
        <v>5465</v>
      </c>
      <c r="B210" s="176" t="s">
        <v>1539</v>
      </c>
      <c r="C210" s="177">
        <v>1.5936389189112661</v>
      </c>
      <c r="D210" s="177">
        <v>1.2225658554595866</v>
      </c>
    </row>
    <row r="211" spans="1:4" ht="27.75" customHeight="1" x14ac:dyDescent="0.35">
      <c r="A211" s="6">
        <v>5485</v>
      </c>
      <c r="B211" s="176" t="s">
        <v>1540</v>
      </c>
      <c r="C211" s="177">
        <v>1.569905455387028</v>
      </c>
      <c r="D211" s="177">
        <v>29.052487195096766</v>
      </c>
    </row>
    <row r="212" spans="1:4" ht="27.75" customHeight="1" x14ac:dyDescent="0.35">
      <c r="A212" s="6">
        <v>5491</v>
      </c>
      <c r="B212" s="176" t="s">
        <v>1373</v>
      </c>
      <c r="C212" s="177">
        <v>3.6579000133905217</v>
      </c>
      <c r="D212" s="177">
        <v>0.38005585567121125</v>
      </c>
    </row>
    <row r="213" spans="1:4" ht="27.75" customHeight="1" x14ac:dyDescent="0.35">
      <c r="A213" s="6">
        <v>5515</v>
      </c>
      <c r="B213" s="176" t="s">
        <v>1541</v>
      </c>
      <c r="C213" s="177">
        <v>2.3812226210391301</v>
      </c>
      <c r="D213" s="177">
        <v>5.7491147363697479</v>
      </c>
    </row>
    <row r="214" spans="1:4" ht="27.75" customHeight="1" x14ac:dyDescent="0.35">
      <c r="A214" s="6">
        <v>5530</v>
      </c>
      <c r="B214" s="176" t="s">
        <v>1542</v>
      </c>
      <c r="C214" s="177">
        <v>0.28141999096236403</v>
      </c>
      <c r="D214" s="177">
        <v>7.2104817034728406</v>
      </c>
    </row>
    <row r="215" spans="1:4" ht="27.75" customHeight="1" x14ac:dyDescent="0.35">
      <c r="A215" s="6">
        <v>5545</v>
      </c>
      <c r="B215" s="176" t="s">
        <v>1543</v>
      </c>
      <c r="C215" s="177">
        <v>0.71597016981015804</v>
      </c>
      <c r="D215" s="177">
        <v>6.4950134888590725</v>
      </c>
    </row>
    <row r="216" spans="1:4" ht="27.75" customHeight="1" x14ac:dyDescent="0.35">
      <c r="A216" s="6">
        <v>5570</v>
      </c>
      <c r="B216" s="176" t="s">
        <v>1544</v>
      </c>
      <c r="C216" s="177">
        <v>3.2658665679116003</v>
      </c>
      <c r="D216" s="177">
        <v>6.1780496952746491</v>
      </c>
    </row>
    <row r="217" spans="1:4" ht="27.75" customHeight="1" x14ac:dyDescent="0.35">
      <c r="A217" s="6">
        <v>5585</v>
      </c>
      <c r="B217" s="176" t="s">
        <v>1545</v>
      </c>
      <c r="C217" s="177">
        <v>2.4165292952879298</v>
      </c>
      <c r="D217" s="177">
        <v>5.5674136719937684</v>
      </c>
    </row>
    <row r="218" spans="1:4" ht="27.75" customHeight="1" x14ac:dyDescent="0.35">
      <c r="A218" s="6">
        <v>5600</v>
      </c>
      <c r="B218" s="176" t="s">
        <v>1546</v>
      </c>
      <c r="C218" s="177">
        <v>1.985677442632507</v>
      </c>
      <c r="D218" s="177">
        <v>2.0188582525191401</v>
      </c>
    </row>
    <row r="219" spans="1:4" ht="27.75" customHeight="1" x14ac:dyDescent="0.35">
      <c r="A219" s="6">
        <v>5610</v>
      </c>
      <c r="B219" s="176" t="s">
        <v>1547</v>
      </c>
      <c r="C219" s="177">
        <v>0.75971868016515598</v>
      </c>
      <c r="D219" s="177">
        <v>6.6402049598563497</v>
      </c>
    </row>
    <row r="220" spans="1:4" ht="27.75" customHeight="1" x14ac:dyDescent="0.35">
      <c r="A220" s="6">
        <v>5640</v>
      </c>
      <c r="B220" s="176" t="s">
        <v>1548</v>
      </c>
      <c r="C220" s="177">
        <v>0.28558244828853296</v>
      </c>
      <c r="D220" s="177">
        <v>7.8453924238649595</v>
      </c>
    </row>
    <row r="221" spans="1:4" ht="27.75" customHeight="1" x14ac:dyDescent="0.35">
      <c r="A221" s="6">
        <v>5645</v>
      </c>
      <c r="B221" s="176" t="s">
        <v>1549</v>
      </c>
      <c r="C221" s="177">
        <v>3.4736928156414328</v>
      </c>
      <c r="D221" s="177">
        <v>6.6525873349215683</v>
      </c>
    </row>
    <row r="222" spans="1:4" ht="27.75" customHeight="1" x14ac:dyDescent="0.35">
      <c r="A222" s="6">
        <v>5650</v>
      </c>
      <c r="B222" s="176" t="s">
        <v>1550</v>
      </c>
      <c r="C222" s="177">
        <v>3.3498130763314071</v>
      </c>
      <c r="D222" s="177">
        <v>6.8638531774049332</v>
      </c>
    </row>
    <row r="223" spans="1:4" ht="27.75" customHeight="1" x14ac:dyDescent="0.35">
      <c r="A223" s="6">
        <v>5665</v>
      </c>
      <c r="B223" s="176" t="s">
        <v>1551</v>
      </c>
      <c r="C223" s="177">
        <v>0.1055067040992117</v>
      </c>
      <c r="D223" s="177">
        <v>5.871407331160043</v>
      </c>
    </row>
    <row r="224" spans="1:4" ht="27.75" customHeight="1" x14ac:dyDescent="0.35">
      <c r="A224" s="6">
        <v>5705</v>
      </c>
      <c r="B224" s="176" t="s">
        <v>1552</v>
      </c>
      <c r="C224" s="177">
        <v>1.1932150658834624</v>
      </c>
      <c r="D224" s="177">
        <v>15.055711692755535</v>
      </c>
    </row>
    <row r="225" spans="1:4" ht="27.75" customHeight="1" x14ac:dyDescent="0.35">
      <c r="A225" s="6">
        <v>5730</v>
      </c>
      <c r="B225" s="176" t="s">
        <v>1553</v>
      </c>
      <c r="C225" s="177">
        <v>2.0793104387882599</v>
      </c>
      <c r="D225" s="177">
        <v>4.4390036357186577</v>
      </c>
    </row>
    <row r="226" spans="1:4" ht="27.75" customHeight="1" x14ac:dyDescent="0.35">
      <c r="A226" s="6">
        <v>5740</v>
      </c>
      <c r="B226" s="176" t="s">
        <v>1554</v>
      </c>
      <c r="C226" s="177">
        <v>0</v>
      </c>
      <c r="D226" s="177">
        <v>3.6262167810555241</v>
      </c>
    </row>
    <row r="227" spans="1:4" ht="27.75" customHeight="1" x14ac:dyDescent="0.35">
      <c r="A227" s="6">
        <v>5745</v>
      </c>
      <c r="B227" s="176" t="s">
        <v>1555</v>
      </c>
      <c r="C227" s="177">
        <v>-1.0384803587360068E-2</v>
      </c>
      <c r="D227" s="177">
        <v>3.5018846336407705</v>
      </c>
    </row>
    <row r="228" spans="1:4" ht="27.75" customHeight="1" x14ac:dyDescent="0.35">
      <c r="A228" s="6">
        <v>5748</v>
      </c>
      <c r="B228" s="176" t="s">
        <v>1556</v>
      </c>
      <c r="C228" s="177">
        <v>1.7397571255590636</v>
      </c>
      <c r="D228" s="177">
        <v>2.0649354607786474</v>
      </c>
    </row>
    <row r="229" spans="1:4" ht="27.75" customHeight="1" x14ac:dyDescent="0.35">
      <c r="A229" s="6">
        <v>5750</v>
      </c>
      <c r="B229" s="176" t="s">
        <v>1556</v>
      </c>
      <c r="C229" s="177">
        <v>1.7398440485885742</v>
      </c>
      <c r="D229" s="177">
        <v>2.0649721565233441</v>
      </c>
    </row>
    <row r="230" spans="1:4" ht="27.75" customHeight="1" x14ac:dyDescent="0.35">
      <c r="A230" s="6">
        <v>5755</v>
      </c>
      <c r="B230" s="176" t="s">
        <v>1373</v>
      </c>
      <c r="C230" s="177">
        <v>1.9351303899805314</v>
      </c>
      <c r="D230" s="177">
        <v>4.075299711995565</v>
      </c>
    </row>
    <row r="231" spans="1:4" ht="27.75" customHeight="1" x14ac:dyDescent="0.35">
      <c r="A231" s="6">
        <v>5765</v>
      </c>
      <c r="B231" s="176" t="s">
        <v>1557</v>
      </c>
      <c r="C231" s="177">
        <v>0.58593073906672766</v>
      </c>
      <c r="D231" s="177">
        <v>4.6947167202070847</v>
      </c>
    </row>
    <row r="232" spans="1:4" ht="27.75" customHeight="1" x14ac:dyDescent="0.35">
      <c r="A232" s="6">
        <v>5785</v>
      </c>
      <c r="B232" s="176" t="s">
        <v>1558</v>
      </c>
      <c r="C232" s="177">
        <v>0.32093530051322261</v>
      </c>
      <c r="D232" s="177">
        <v>5.5411543953389115</v>
      </c>
    </row>
    <row r="233" spans="1:4" ht="27.75" customHeight="1" x14ac:dyDescent="0.35">
      <c r="A233" s="6">
        <v>5805</v>
      </c>
      <c r="B233" s="176" t="s">
        <v>1559</v>
      </c>
      <c r="C233" s="177">
        <v>0.44373862105802997</v>
      </c>
      <c r="D233" s="177">
        <v>5.4763561656248081</v>
      </c>
    </row>
    <row r="234" spans="1:4" ht="27.75" customHeight="1" x14ac:dyDescent="0.35">
      <c r="A234" s="6">
        <v>5820</v>
      </c>
      <c r="B234" s="176" t="s">
        <v>1560</v>
      </c>
      <c r="C234" s="177">
        <v>2.2512251805400711</v>
      </c>
      <c r="D234" s="177">
        <v>9.3829955705664201</v>
      </c>
    </row>
    <row r="235" spans="1:4" ht="27.75" customHeight="1" x14ac:dyDescent="0.35">
      <c r="A235" s="6">
        <v>5835</v>
      </c>
      <c r="B235" s="176" t="s">
        <v>1561</v>
      </c>
      <c r="C235" s="177">
        <v>0.75613384336977774</v>
      </c>
      <c r="D235" s="177">
        <v>-0.43634025519249309</v>
      </c>
    </row>
    <row r="236" spans="1:4" ht="27.75" customHeight="1" x14ac:dyDescent="0.35">
      <c r="A236" s="6">
        <v>5850</v>
      </c>
      <c r="B236" s="176" t="s">
        <v>1562</v>
      </c>
      <c r="C236" s="177">
        <v>3.4082223555843072</v>
      </c>
      <c r="D236" s="177">
        <v>6.7079542688216662</v>
      </c>
    </row>
    <row r="237" spans="1:4" ht="27.75" customHeight="1" x14ac:dyDescent="0.35">
      <c r="A237" s="6">
        <v>5880</v>
      </c>
      <c r="B237" s="176" t="s">
        <v>1563</v>
      </c>
      <c r="C237" s="177">
        <v>3.7196032589380006</v>
      </c>
      <c r="D237" s="177">
        <v>6.0521948208640985E-2</v>
      </c>
    </row>
    <row r="238" spans="1:4" ht="27.75" customHeight="1" x14ac:dyDescent="0.35">
      <c r="A238" s="6">
        <v>5890</v>
      </c>
      <c r="B238" s="176" t="s">
        <v>1564</v>
      </c>
      <c r="C238" s="177">
        <v>0.63248132309742955</v>
      </c>
      <c r="D238" s="177">
        <v>2.787855113969961</v>
      </c>
    </row>
    <row r="239" spans="1:4" ht="27.75" customHeight="1" x14ac:dyDescent="0.35">
      <c r="A239" s="6">
        <v>5900</v>
      </c>
      <c r="B239" s="176" t="s">
        <v>1565</v>
      </c>
      <c r="C239" s="177">
        <v>0.60006391949481785</v>
      </c>
      <c r="D239" s="177">
        <v>2.775929661355188</v>
      </c>
    </row>
    <row r="240" spans="1:4" ht="27.75" customHeight="1" x14ac:dyDescent="0.35">
      <c r="A240" s="6">
        <v>5915</v>
      </c>
      <c r="B240" s="176" t="s">
        <v>1566</v>
      </c>
      <c r="C240" s="177">
        <v>1.3192818067160466</v>
      </c>
      <c r="D240" s="177">
        <v>1.4343051092002446</v>
      </c>
    </row>
    <row r="241" spans="1:4" ht="27.75" customHeight="1" x14ac:dyDescent="0.35">
      <c r="A241" s="6">
        <v>5940</v>
      </c>
      <c r="B241" s="176" t="s">
        <v>1567</v>
      </c>
      <c r="C241" s="177">
        <v>3.4868814095569522</v>
      </c>
      <c r="D241" s="177">
        <v>11.301428228768508</v>
      </c>
    </row>
    <row r="242" spans="1:4" ht="27.75" customHeight="1" x14ac:dyDescent="0.35">
      <c r="A242" s="6">
        <v>5960</v>
      </c>
      <c r="B242" s="176" t="s">
        <v>1568</v>
      </c>
      <c r="C242" s="177">
        <v>0.88764683656642851</v>
      </c>
      <c r="D242" s="177">
        <v>13.206472675327275</v>
      </c>
    </row>
    <row r="243" spans="1:4" ht="27.75" customHeight="1" x14ac:dyDescent="0.35">
      <c r="A243" s="6">
        <v>6011</v>
      </c>
      <c r="B243" s="176" t="s">
        <v>1373</v>
      </c>
      <c r="C243" s="177">
        <v>0</v>
      </c>
      <c r="D243" s="177">
        <v>0.23077018708053501</v>
      </c>
    </row>
    <row r="244" spans="1:4" ht="27.75" customHeight="1" x14ac:dyDescent="0.35">
      <c r="A244" s="6">
        <v>6016</v>
      </c>
      <c r="B244" s="176" t="s">
        <v>1373</v>
      </c>
      <c r="C244" s="177">
        <v>0</v>
      </c>
      <c r="D244" s="177">
        <v>0.27404995404731664</v>
      </c>
    </row>
    <row r="245" spans="1:4" ht="27.75" customHeight="1" x14ac:dyDescent="0.35">
      <c r="A245" s="6">
        <v>6035</v>
      </c>
      <c r="B245" s="176" t="s">
        <v>1569</v>
      </c>
      <c r="C245" s="177">
        <v>1.1247045478367119</v>
      </c>
      <c r="D245" s="177">
        <v>2.1379285029728137</v>
      </c>
    </row>
    <row r="246" spans="1:4" ht="27.75" customHeight="1" x14ac:dyDescent="0.35">
      <c r="A246" s="6">
        <v>6055</v>
      </c>
      <c r="B246" s="176" t="s">
        <v>1570</v>
      </c>
      <c r="C246" s="177">
        <v>1.4435081673294692</v>
      </c>
      <c r="D246" s="177">
        <v>10.31645523883039</v>
      </c>
    </row>
    <row r="247" spans="1:4" ht="27.75" customHeight="1" x14ac:dyDescent="0.35">
      <c r="A247" s="6">
        <v>6066</v>
      </c>
      <c r="B247" s="176" t="s">
        <v>1373</v>
      </c>
      <c r="C247" s="177">
        <v>2.6545420915850926</v>
      </c>
      <c r="D247" s="177">
        <v>1.8619507396841595</v>
      </c>
    </row>
    <row r="248" spans="1:4" ht="27.75" customHeight="1" x14ac:dyDescent="0.35">
      <c r="A248" s="6">
        <v>6075</v>
      </c>
      <c r="B248" s="176" t="s">
        <v>1571</v>
      </c>
      <c r="C248" s="177">
        <v>5.3065814524679311</v>
      </c>
      <c r="D248" s="177">
        <v>4.8970623924415371</v>
      </c>
    </row>
    <row r="249" spans="1:4" ht="27.75" customHeight="1" x14ac:dyDescent="0.35">
      <c r="A249" s="6">
        <v>6090</v>
      </c>
      <c r="B249" s="176" t="s">
        <v>1373</v>
      </c>
      <c r="C249" s="177">
        <v>1.7955498936157466</v>
      </c>
      <c r="D249" s="177">
        <v>1.6528139902345709</v>
      </c>
    </row>
    <row r="250" spans="1:4" ht="27.75" customHeight="1" x14ac:dyDescent="0.35">
      <c r="A250" s="6">
        <v>6100</v>
      </c>
      <c r="B250" s="176" t="s">
        <v>1572</v>
      </c>
      <c r="C250" s="177">
        <v>2.1315914951414214</v>
      </c>
      <c r="D250" s="177">
        <v>1.5528046183869813</v>
      </c>
    </row>
    <row r="251" spans="1:4" ht="27.75" customHeight="1" x14ac:dyDescent="0.35">
      <c r="A251" s="6">
        <v>6115</v>
      </c>
      <c r="B251" s="176" t="s">
        <v>1573</v>
      </c>
      <c r="C251" s="177">
        <v>4.2007359821736099</v>
      </c>
      <c r="D251" s="177">
        <v>3.6996337247795346</v>
      </c>
    </row>
    <row r="252" spans="1:4" ht="27.75" customHeight="1" x14ac:dyDescent="0.35">
      <c r="A252" s="6">
        <v>6120</v>
      </c>
      <c r="B252" s="176" t="s">
        <v>1574</v>
      </c>
      <c r="C252" s="177">
        <v>0.33796166031208136</v>
      </c>
      <c r="D252" s="177">
        <v>0.578014456838988</v>
      </c>
    </row>
    <row r="253" spans="1:4" ht="27.75" customHeight="1" x14ac:dyDescent="0.35">
      <c r="A253" s="6">
        <v>6140</v>
      </c>
      <c r="B253" s="176" t="s">
        <v>1575</v>
      </c>
      <c r="C253" s="177">
        <v>0.82730147026872092</v>
      </c>
      <c r="D253" s="177">
        <v>0.72116052003097164</v>
      </c>
    </row>
    <row r="254" spans="1:4" ht="27.75" customHeight="1" x14ac:dyDescent="0.35">
      <c r="A254" s="6">
        <v>6145</v>
      </c>
      <c r="B254" s="176" t="s">
        <v>1576</v>
      </c>
      <c r="C254" s="177">
        <v>0</v>
      </c>
      <c r="D254" s="177">
        <v>0.34340568913600855</v>
      </c>
    </row>
    <row r="255" spans="1:4" ht="27.75" customHeight="1" x14ac:dyDescent="0.35">
      <c r="A255" s="6">
        <v>6150</v>
      </c>
      <c r="B255" s="176" t="s">
        <v>1577</v>
      </c>
      <c r="C255" s="177">
        <v>0.68371184321052403</v>
      </c>
      <c r="D255" s="177">
        <v>0.98883615180064499</v>
      </c>
    </row>
    <row r="256" spans="1:4" ht="27.75" customHeight="1" x14ac:dyDescent="0.35">
      <c r="A256" s="6">
        <v>6165</v>
      </c>
      <c r="B256" s="176" t="s">
        <v>1578</v>
      </c>
      <c r="C256" s="177">
        <v>0.19036564892452529</v>
      </c>
      <c r="D256" s="177">
        <v>1.791327646825065</v>
      </c>
    </row>
    <row r="257" spans="1:4" ht="27.75" customHeight="1" x14ac:dyDescent="0.35">
      <c r="A257" s="6">
        <v>6166</v>
      </c>
      <c r="B257" s="176" t="s">
        <v>1578</v>
      </c>
      <c r="C257" s="177">
        <v>0.17353546707110701</v>
      </c>
      <c r="D257" s="177">
        <v>6.2363206661663355</v>
      </c>
    </row>
    <row r="258" spans="1:4" ht="27.75" customHeight="1" x14ac:dyDescent="0.35">
      <c r="A258" s="6">
        <v>6220</v>
      </c>
      <c r="B258" s="176" t="s">
        <v>1579</v>
      </c>
      <c r="C258" s="177">
        <v>4.2218894596267202E-2</v>
      </c>
      <c r="D258" s="177">
        <v>0.73297737941361618</v>
      </c>
    </row>
    <row r="259" spans="1:4" ht="27.75" customHeight="1" x14ac:dyDescent="0.35">
      <c r="A259" s="6">
        <v>6240</v>
      </c>
      <c r="B259" s="176" t="s">
        <v>1580</v>
      </c>
      <c r="C259" s="177">
        <v>2.8350013364974798</v>
      </c>
      <c r="D259" s="177">
        <v>5.0701408977132818</v>
      </c>
    </row>
    <row r="260" spans="1:4" ht="27.75" customHeight="1" x14ac:dyDescent="0.35">
      <c r="A260" s="6">
        <v>6270</v>
      </c>
      <c r="B260" s="176" t="s">
        <v>1581</v>
      </c>
      <c r="C260" s="177">
        <v>1.7875097958983091</v>
      </c>
      <c r="D260" s="177">
        <v>2.9834266790401243</v>
      </c>
    </row>
    <row r="261" spans="1:4" ht="27.75" customHeight="1" x14ac:dyDescent="0.35">
      <c r="A261" s="6">
        <v>6285</v>
      </c>
      <c r="B261" s="176" t="s">
        <v>1582</v>
      </c>
      <c r="C261" s="177">
        <v>1.8202994399563299</v>
      </c>
      <c r="D261" s="177">
        <v>3.1503293886495523</v>
      </c>
    </row>
    <row r="262" spans="1:4" ht="27.75" customHeight="1" x14ac:dyDescent="0.35">
      <c r="A262" s="6">
        <v>6290</v>
      </c>
      <c r="B262" s="176" t="s">
        <v>1583</v>
      </c>
      <c r="C262" s="177">
        <v>3.1330984754053999</v>
      </c>
      <c r="D262" s="177">
        <v>6.8430974150512638</v>
      </c>
    </row>
    <row r="263" spans="1:4" ht="27.75" customHeight="1" x14ac:dyDescent="0.35">
      <c r="A263" s="6">
        <v>6305</v>
      </c>
      <c r="B263" s="176" t="s">
        <v>1584</v>
      </c>
      <c r="C263" s="177">
        <v>0.25412346795437302</v>
      </c>
      <c r="D263" s="177">
        <v>5.8999505578482605</v>
      </c>
    </row>
    <row r="264" spans="1:4" ht="27.75" customHeight="1" x14ac:dyDescent="0.35">
      <c r="A264" s="6">
        <v>6320</v>
      </c>
      <c r="B264" s="176" t="s">
        <v>1585</v>
      </c>
      <c r="C264" s="177">
        <v>2.39169575945462</v>
      </c>
      <c r="D264" s="177">
        <v>9.0871807354071201</v>
      </c>
    </row>
    <row r="265" spans="1:4" ht="27.75" customHeight="1" x14ac:dyDescent="0.35">
      <c r="A265" s="6">
        <v>6325</v>
      </c>
      <c r="B265" s="176" t="s">
        <v>1586</v>
      </c>
      <c r="C265" s="177">
        <v>3.2584400966947582</v>
      </c>
      <c r="D265" s="177">
        <v>8.8524185416360908</v>
      </c>
    </row>
    <row r="266" spans="1:4" ht="27.75" customHeight="1" x14ac:dyDescent="0.35">
      <c r="A266" s="6">
        <v>6350</v>
      </c>
      <c r="B266" s="176" t="s">
        <v>1587</v>
      </c>
      <c r="C266" s="177">
        <v>1.617660836712391</v>
      </c>
      <c r="D266" s="177">
        <v>11.56667402438393</v>
      </c>
    </row>
    <row r="267" spans="1:4" ht="27.75" customHeight="1" x14ac:dyDescent="0.35">
      <c r="A267" s="6">
        <v>6355</v>
      </c>
      <c r="B267" s="176" t="s">
        <v>1588</v>
      </c>
      <c r="C267" s="177">
        <v>1.617660836712391</v>
      </c>
      <c r="D267" s="177">
        <v>11.56667402438393</v>
      </c>
    </row>
    <row r="268" spans="1:4" ht="27.75" customHeight="1" x14ac:dyDescent="0.35">
      <c r="A268" s="6">
        <v>6395</v>
      </c>
      <c r="B268" s="176" t="s">
        <v>1589</v>
      </c>
      <c r="C268" s="177">
        <v>0.1647180299706186</v>
      </c>
      <c r="D268" s="177">
        <v>3.7006586755023907</v>
      </c>
    </row>
    <row r="269" spans="1:4" ht="27.75" customHeight="1" x14ac:dyDescent="0.35">
      <c r="A269" s="6">
        <v>6425</v>
      </c>
      <c r="B269" s="176" t="s">
        <v>1590</v>
      </c>
      <c r="C269" s="177">
        <v>1.1401090740127799</v>
      </c>
      <c r="D269" s="177">
        <v>3.9668106150868585</v>
      </c>
    </row>
    <row r="270" spans="1:4" ht="27.75" customHeight="1" x14ac:dyDescent="0.35">
      <c r="A270" s="6">
        <v>6435</v>
      </c>
      <c r="B270" s="176" t="s">
        <v>1591</v>
      </c>
      <c r="C270" s="177">
        <v>0.89416249554448302</v>
      </c>
      <c r="D270" s="177">
        <v>8.4254997625700785</v>
      </c>
    </row>
    <row r="271" spans="1:4" ht="27.75" customHeight="1" x14ac:dyDescent="0.35">
      <c r="A271" s="6">
        <v>6450</v>
      </c>
      <c r="B271" s="176" t="s">
        <v>1592</v>
      </c>
      <c r="C271" s="177">
        <v>0.63777728275996803</v>
      </c>
      <c r="D271" s="177">
        <v>4.5485664706387121</v>
      </c>
    </row>
    <row r="272" spans="1:4" ht="27.75" customHeight="1" x14ac:dyDescent="0.35">
      <c r="A272" s="6">
        <v>6455</v>
      </c>
      <c r="B272" s="176" t="s">
        <v>1593</v>
      </c>
      <c r="C272" s="177">
        <v>2.4264442386992702</v>
      </c>
      <c r="D272" s="177">
        <v>6.521368484925139</v>
      </c>
    </row>
    <row r="273" spans="1:4" ht="27.75" customHeight="1" x14ac:dyDescent="0.35">
      <c r="A273" s="6">
        <v>6490</v>
      </c>
      <c r="B273" s="176" t="s">
        <v>1594</v>
      </c>
      <c r="C273" s="177">
        <v>0.87519640252339204</v>
      </c>
      <c r="D273" s="177">
        <v>20.635625484506903</v>
      </c>
    </row>
    <row r="274" spans="1:4" ht="27.75" customHeight="1" x14ac:dyDescent="0.35">
      <c r="A274" s="6">
        <v>6500</v>
      </c>
      <c r="B274" s="176" t="s">
        <v>1595</v>
      </c>
      <c r="C274" s="177">
        <v>0.63088285547503808</v>
      </c>
      <c r="D274" s="177">
        <v>7.9390207367510701</v>
      </c>
    </row>
    <row r="275" spans="1:4" ht="27.75" customHeight="1" x14ac:dyDescent="0.35">
      <c r="A275" s="6">
        <v>6530</v>
      </c>
      <c r="B275" s="176" t="s">
        <v>1596</v>
      </c>
      <c r="C275" s="177">
        <v>1.1075383781384911</v>
      </c>
      <c r="D275" s="177">
        <v>9.7222672914535497</v>
      </c>
    </row>
    <row r="276" spans="1:4" ht="27.75" customHeight="1" x14ac:dyDescent="0.35">
      <c r="A276" s="6">
        <v>6550</v>
      </c>
      <c r="B276" s="176" t="s">
        <v>1597</v>
      </c>
      <c r="C276" s="177">
        <v>0.30682706323562925</v>
      </c>
      <c r="D276" s="177">
        <v>11.085311330855518</v>
      </c>
    </row>
    <row r="277" spans="1:4" ht="27.75" customHeight="1" x14ac:dyDescent="0.35">
      <c r="A277" s="6">
        <v>6560</v>
      </c>
      <c r="B277" s="176" t="s">
        <v>1373</v>
      </c>
      <c r="C277" s="177">
        <v>4.3087435828838894</v>
      </c>
      <c r="D277" s="177">
        <v>4.4316058440429726</v>
      </c>
    </row>
    <row r="278" spans="1:4" ht="27.75" customHeight="1" x14ac:dyDescent="0.35">
      <c r="A278" s="6">
        <v>6570</v>
      </c>
      <c r="B278" s="176" t="s">
        <v>1598</v>
      </c>
      <c r="C278" s="177">
        <v>11.013521098044805</v>
      </c>
      <c r="D278" s="177">
        <v>12.207401870555511</v>
      </c>
    </row>
    <row r="279" spans="1:4" ht="27.75" customHeight="1" x14ac:dyDescent="0.35">
      <c r="A279" s="6">
        <v>6595</v>
      </c>
      <c r="B279" s="176" t="s">
        <v>1599</v>
      </c>
      <c r="C279" s="177">
        <v>1.2685916793939949</v>
      </c>
      <c r="D279" s="177">
        <v>9.9505471805358301</v>
      </c>
    </row>
    <row r="280" spans="1:4" ht="27.75" customHeight="1" x14ac:dyDescent="0.35">
      <c r="A280" s="6">
        <v>6600</v>
      </c>
      <c r="B280" s="176" t="s">
        <v>1600</v>
      </c>
      <c r="C280" s="177">
        <v>4.3232242808266319</v>
      </c>
      <c r="D280" s="177">
        <v>4.4547543808119068</v>
      </c>
    </row>
    <row r="281" spans="1:4" ht="27.75" customHeight="1" x14ac:dyDescent="0.35">
      <c r="A281" s="6">
        <v>6610</v>
      </c>
      <c r="B281" s="176" t="s">
        <v>1601</v>
      </c>
      <c r="C281" s="177">
        <v>1.059116939076618</v>
      </c>
      <c r="D281" s="177">
        <v>10.316128537381587</v>
      </c>
    </row>
    <row r="282" spans="1:4" ht="27.75" customHeight="1" x14ac:dyDescent="0.35">
      <c r="A282" s="6">
        <v>6630</v>
      </c>
      <c r="B282" s="176" t="s">
        <v>1602</v>
      </c>
      <c r="C282" s="177">
        <v>0.14276040124312336</v>
      </c>
      <c r="D282" s="177">
        <v>16.591900561278209</v>
      </c>
    </row>
    <row r="283" spans="1:4" ht="27.75" customHeight="1" x14ac:dyDescent="0.35">
      <c r="A283" s="6">
        <v>6666</v>
      </c>
      <c r="B283" s="176" t="s">
        <v>1373</v>
      </c>
      <c r="C283" s="177">
        <v>2.5058260476895624</v>
      </c>
      <c r="D283" s="177">
        <v>4.5363040591873043</v>
      </c>
    </row>
    <row r="284" spans="1:4" ht="27.75" customHeight="1" x14ac:dyDescent="0.35">
      <c r="A284" s="6">
        <v>6670</v>
      </c>
      <c r="B284" s="176" t="s">
        <v>1603</v>
      </c>
      <c r="C284" s="177">
        <v>0.23648204616555901</v>
      </c>
      <c r="D284" s="177">
        <v>1.0255549323005981</v>
      </c>
    </row>
    <row r="285" spans="1:4" ht="27.75" customHeight="1" x14ac:dyDescent="0.35">
      <c r="A285" s="6">
        <v>6695</v>
      </c>
      <c r="B285" s="176" t="s">
        <v>1604</v>
      </c>
      <c r="C285" s="177">
        <v>2.8667962782828251</v>
      </c>
      <c r="D285" s="177">
        <v>4.7215340349042956</v>
      </c>
    </row>
    <row r="286" spans="1:4" ht="27.75" customHeight="1" x14ac:dyDescent="0.35">
      <c r="A286" s="6">
        <v>6705</v>
      </c>
      <c r="B286" s="176" t="s">
        <v>1605</v>
      </c>
      <c r="C286" s="177">
        <v>0.88097026745137519</v>
      </c>
      <c r="D286" s="177">
        <v>10.427045302017701</v>
      </c>
    </row>
    <row r="287" spans="1:4" ht="27.75" customHeight="1" x14ac:dyDescent="0.35">
      <c r="A287" s="6">
        <v>6725</v>
      </c>
      <c r="B287" s="176" t="s">
        <v>1606</v>
      </c>
      <c r="C287" s="177">
        <v>1.9193074545818118</v>
      </c>
      <c r="D287" s="177">
        <v>8.5048232653889144</v>
      </c>
    </row>
    <row r="288" spans="1:4" ht="27.75" customHeight="1" x14ac:dyDescent="0.35">
      <c r="A288" s="6">
        <v>6740</v>
      </c>
      <c r="B288" s="176" t="s">
        <v>1607</v>
      </c>
      <c r="C288" s="177">
        <v>0.80366203799016978</v>
      </c>
      <c r="D288" s="177">
        <v>1.357786617470627</v>
      </c>
    </row>
    <row r="289" spans="1:4" ht="27.75" customHeight="1" x14ac:dyDescent="0.35">
      <c r="A289" s="6">
        <v>6760</v>
      </c>
      <c r="B289" s="176" t="s">
        <v>1608</v>
      </c>
      <c r="C289" s="177">
        <v>2.8842764843918882</v>
      </c>
      <c r="D289" s="177">
        <v>4.9508848542598765</v>
      </c>
    </row>
    <row r="290" spans="1:4" ht="27.75" customHeight="1" x14ac:dyDescent="0.35">
      <c r="A290" s="6">
        <v>6780</v>
      </c>
      <c r="B290" s="176" t="s">
        <v>1609</v>
      </c>
      <c r="C290" s="177">
        <v>0.477361784861012</v>
      </c>
      <c r="D290" s="177">
        <v>2.6000749190744497</v>
      </c>
    </row>
    <row r="291" spans="1:4" ht="27.75" customHeight="1" x14ac:dyDescent="0.35">
      <c r="A291" s="6">
        <v>6785</v>
      </c>
      <c r="B291" s="176" t="s">
        <v>1610</v>
      </c>
      <c r="C291" s="177">
        <v>0</v>
      </c>
      <c r="D291" s="177">
        <v>3.6736114745642023</v>
      </c>
    </row>
    <row r="292" spans="1:4" ht="27.75" customHeight="1" x14ac:dyDescent="0.35">
      <c r="A292" s="6">
        <v>6791</v>
      </c>
      <c r="B292" s="176" t="s">
        <v>1373</v>
      </c>
      <c r="C292" s="177">
        <v>0</v>
      </c>
      <c r="D292" s="177">
        <v>2.5523580831550117</v>
      </c>
    </row>
    <row r="293" spans="1:4" ht="27.75" customHeight="1" x14ac:dyDescent="0.35">
      <c r="A293" s="6">
        <v>6805</v>
      </c>
      <c r="B293" s="176" t="s">
        <v>1611</v>
      </c>
      <c r="C293" s="177">
        <v>0.48369719673240902</v>
      </c>
      <c r="D293" s="177">
        <v>5.3629265629409275</v>
      </c>
    </row>
    <row r="294" spans="1:4" ht="27.75" customHeight="1" x14ac:dyDescent="0.35">
      <c r="A294" s="6">
        <v>6835</v>
      </c>
      <c r="B294" s="176" t="s">
        <v>1612</v>
      </c>
      <c r="C294" s="177">
        <v>0.14461174521380121</v>
      </c>
      <c r="D294" s="177">
        <v>2.3783927510316998</v>
      </c>
    </row>
    <row r="295" spans="1:4" ht="27.75" customHeight="1" x14ac:dyDescent="0.35">
      <c r="A295" s="6">
        <v>6840</v>
      </c>
      <c r="B295" s="176" t="s">
        <v>1373</v>
      </c>
      <c r="C295" s="177">
        <v>0</v>
      </c>
      <c r="D295" s="177">
        <v>3.469657952976954</v>
      </c>
    </row>
    <row r="296" spans="1:4" ht="27.75" customHeight="1" x14ac:dyDescent="0.35">
      <c r="A296" s="6">
        <v>6845</v>
      </c>
      <c r="B296" s="176" t="s">
        <v>1373</v>
      </c>
      <c r="C296" s="177">
        <v>0</v>
      </c>
      <c r="D296" s="177">
        <v>3.4701034331301379</v>
      </c>
    </row>
    <row r="297" spans="1:4" ht="27.75" customHeight="1" x14ac:dyDescent="0.35">
      <c r="A297" s="6">
        <v>6850</v>
      </c>
      <c r="B297" s="176" t="s">
        <v>1613</v>
      </c>
      <c r="C297" s="177">
        <v>0.59045632939903203</v>
      </c>
      <c r="D297" s="177">
        <v>12.738346852733324</v>
      </c>
    </row>
    <row r="298" spans="1:4" ht="27.75" customHeight="1" x14ac:dyDescent="0.35">
      <c r="A298" s="6">
        <v>6865</v>
      </c>
      <c r="B298" s="176" t="s">
        <v>1614</v>
      </c>
      <c r="C298" s="177">
        <v>0.1244236768603298</v>
      </c>
      <c r="D298" s="177">
        <v>4.3905188965134636</v>
      </c>
    </row>
    <row r="299" spans="1:4" ht="27.75" customHeight="1" x14ac:dyDescent="0.35">
      <c r="A299" s="6">
        <v>6885</v>
      </c>
      <c r="B299" s="176" t="s">
        <v>1615</v>
      </c>
      <c r="C299" s="177">
        <v>0.12400170159623791</v>
      </c>
      <c r="D299" s="177">
        <v>4.5773193725512789</v>
      </c>
    </row>
    <row r="300" spans="1:4" ht="27.75" customHeight="1" x14ac:dyDescent="0.35">
      <c r="A300" s="6">
        <v>6901</v>
      </c>
      <c r="B300" s="176" t="s">
        <v>1373</v>
      </c>
      <c r="C300" s="177">
        <v>2.4357564393300413</v>
      </c>
      <c r="D300" s="177">
        <v>0.26972356398554531</v>
      </c>
    </row>
    <row r="301" spans="1:4" ht="27.75" customHeight="1" x14ac:dyDescent="0.35">
      <c r="A301" s="6">
        <v>6910</v>
      </c>
      <c r="B301" s="176" t="s">
        <v>1616</v>
      </c>
      <c r="C301" s="177">
        <v>1.292937063519686</v>
      </c>
      <c r="D301" s="177">
        <v>3.543027935204508</v>
      </c>
    </row>
    <row r="302" spans="1:4" ht="27.75" customHeight="1" x14ac:dyDescent="0.35">
      <c r="A302" s="6">
        <v>6930</v>
      </c>
      <c r="B302" s="176" t="s">
        <v>1617</v>
      </c>
      <c r="C302" s="177">
        <v>0.1120708976441582</v>
      </c>
      <c r="D302" s="177">
        <v>4.6445914399384201</v>
      </c>
    </row>
    <row r="303" spans="1:4" ht="27.75" customHeight="1" x14ac:dyDescent="0.35">
      <c r="A303" s="6">
        <v>6950</v>
      </c>
      <c r="B303" s="176" t="s">
        <v>1618</v>
      </c>
      <c r="C303" s="177">
        <v>0.51867401560592297</v>
      </c>
      <c r="D303" s="177">
        <v>4.649955061861502</v>
      </c>
    </row>
    <row r="304" spans="1:4" ht="27.75" customHeight="1" x14ac:dyDescent="0.35">
      <c r="A304" s="6">
        <v>6985</v>
      </c>
      <c r="B304" s="176" t="s">
        <v>1619</v>
      </c>
      <c r="C304" s="177">
        <v>2.3652666674296503</v>
      </c>
      <c r="D304" s="177">
        <v>0.179709786598095</v>
      </c>
    </row>
    <row r="305" spans="1:4" ht="27.75" customHeight="1" x14ac:dyDescent="0.35">
      <c r="A305" s="6">
        <v>6990</v>
      </c>
      <c r="B305" s="176" t="s">
        <v>1620</v>
      </c>
      <c r="C305" s="177">
        <v>3.1884818797190198</v>
      </c>
      <c r="D305" s="177">
        <v>4.5503516824708168</v>
      </c>
    </row>
    <row r="306" spans="1:4" ht="27.75" customHeight="1" x14ac:dyDescent="0.35">
      <c r="A306" s="6">
        <v>7015</v>
      </c>
      <c r="B306" s="176" t="s">
        <v>1621</v>
      </c>
      <c r="C306" s="177">
        <v>0.1647934925134763</v>
      </c>
      <c r="D306" s="177">
        <v>2.3877153750295856</v>
      </c>
    </row>
    <row r="307" spans="1:4" ht="27.75" customHeight="1" x14ac:dyDescent="0.35">
      <c r="A307" s="6">
        <v>7025</v>
      </c>
      <c r="B307" s="176" t="s">
        <v>1622</v>
      </c>
      <c r="C307" s="177">
        <v>1.6983089198608101</v>
      </c>
      <c r="D307" s="177">
        <v>5.278909981489873</v>
      </c>
    </row>
    <row r="308" spans="1:4" ht="27.75" customHeight="1" x14ac:dyDescent="0.35">
      <c r="A308" s="6">
        <v>7040</v>
      </c>
      <c r="B308" s="176" t="s">
        <v>1623</v>
      </c>
      <c r="C308" s="177">
        <v>1.09942667910284</v>
      </c>
      <c r="D308" s="177">
        <v>4.6531236189582375</v>
      </c>
    </row>
    <row r="309" spans="1:4" ht="27.75" customHeight="1" x14ac:dyDescent="0.35">
      <c r="A309" s="6">
        <v>7065</v>
      </c>
      <c r="B309" s="176" t="s">
        <v>1624</v>
      </c>
      <c r="C309" s="177">
        <v>2.0525976349382162</v>
      </c>
      <c r="D309" s="177">
        <v>2.3415377351468667</v>
      </c>
    </row>
    <row r="310" spans="1:4" ht="27.75" customHeight="1" x14ac:dyDescent="0.35">
      <c r="A310" s="6">
        <v>7075</v>
      </c>
      <c r="B310" s="176" t="s">
        <v>1625</v>
      </c>
      <c r="C310" s="177">
        <v>1.7744145670426701</v>
      </c>
      <c r="D310" s="177">
        <v>3.0742447763778014</v>
      </c>
    </row>
    <row r="311" spans="1:4" ht="27.75" customHeight="1" x14ac:dyDescent="0.35">
      <c r="A311" s="6">
        <v>7085</v>
      </c>
      <c r="B311" s="176" t="s">
        <v>1626</v>
      </c>
      <c r="C311" s="177">
        <v>2.5685646068509298</v>
      </c>
      <c r="D311" s="177">
        <v>5.2362752765557268</v>
      </c>
    </row>
    <row r="312" spans="1:4" ht="27.75" customHeight="1" x14ac:dyDescent="0.35">
      <c r="A312" s="6">
        <v>7100</v>
      </c>
      <c r="B312" s="176" t="s">
        <v>1627</v>
      </c>
      <c r="C312" s="177">
        <v>2.7760055104802701</v>
      </c>
      <c r="D312" s="177">
        <v>4.147148369057656</v>
      </c>
    </row>
    <row r="313" spans="1:4" ht="27.75" customHeight="1" x14ac:dyDescent="0.35">
      <c r="A313" s="6">
        <v>7115</v>
      </c>
      <c r="B313" s="176" t="s">
        <v>1628</v>
      </c>
      <c r="C313" s="177">
        <v>4.8670253772653798</v>
      </c>
      <c r="D313" s="177">
        <v>11.701831402949258</v>
      </c>
    </row>
    <row r="314" spans="1:4" ht="27.75" customHeight="1" x14ac:dyDescent="0.35">
      <c r="A314" s="6">
        <v>7130</v>
      </c>
      <c r="B314" s="176" t="s">
        <v>1629</v>
      </c>
      <c r="C314" s="177">
        <v>6.4176774871537905</v>
      </c>
      <c r="D314" s="177">
        <v>10.150693874300627</v>
      </c>
    </row>
    <row r="315" spans="1:4" ht="27.75" customHeight="1" x14ac:dyDescent="0.35">
      <c r="A315" s="6">
        <v>7135</v>
      </c>
      <c r="B315" s="176" t="s">
        <v>1373</v>
      </c>
      <c r="C315" s="177">
        <v>11.391778749116117</v>
      </c>
      <c r="D315" s="177">
        <v>0.79400033972527595</v>
      </c>
    </row>
    <row r="316" spans="1:4" ht="27.75" customHeight="1" x14ac:dyDescent="0.35">
      <c r="A316" s="6">
        <v>7145</v>
      </c>
      <c r="B316" s="176" t="s">
        <v>1373</v>
      </c>
      <c r="C316" s="177">
        <v>10.911022458350638</v>
      </c>
      <c r="D316" s="177">
        <v>0.75214393615527797</v>
      </c>
    </row>
    <row r="317" spans="1:4" ht="27.75" customHeight="1" x14ac:dyDescent="0.35">
      <c r="A317" s="6">
        <v>7150</v>
      </c>
      <c r="B317" s="176" t="s">
        <v>1630</v>
      </c>
      <c r="C317" s="177">
        <v>1.7459833295611369</v>
      </c>
      <c r="D317" s="177">
        <v>1.5968302522584445</v>
      </c>
    </row>
    <row r="318" spans="1:4" ht="27.75" customHeight="1" x14ac:dyDescent="0.35">
      <c r="A318" s="6">
        <v>7175</v>
      </c>
      <c r="B318" s="176" t="s">
        <v>1631</v>
      </c>
      <c r="C318" s="177">
        <v>0.44428462690633502</v>
      </c>
      <c r="D318" s="177">
        <v>0.90686977128158808</v>
      </c>
    </row>
    <row r="319" spans="1:4" ht="27.75" customHeight="1" x14ac:dyDescent="0.35">
      <c r="A319" s="6">
        <v>7180</v>
      </c>
      <c r="B319" s="176" t="s">
        <v>1632</v>
      </c>
      <c r="C319" s="177">
        <v>0.49959570000333076</v>
      </c>
      <c r="D319" s="177">
        <v>0.58018152600126804</v>
      </c>
    </row>
    <row r="320" spans="1:4" ht="27.75" customHeight="1" x14ac:dyDescent="0.35">
      <c r="A320" s="6">
        <v>7195</v>
      </c>
      <c r="B320" s="176" t="s">
        <v>1633</v>
      </c>
      <c r="C320" s="177">
        <v>0</v>
      </c>
      <c r="D320" s="177">
        <v>10.567053153394108</v>
      </c>
    </row>
    <row r="321" spans="1:4" ht="27.75" customHeight="1" x14ac:dyDescent="0.35">
      <c r="A321" s="6">
        <v>7260</v>
      </c>
      <c r="B321" s="176" t="s">
        <v>1634</v>
      </c>
      <c r="C321" s="177">
        <v>5.3793600359212605E-3</v>
      </c>
      <c r="D321" s="177">
        <v>9.8963458800976536</v>
      </c>
    </row>
    <row r="322" spans="1:4" ht="27.75" customHeight="1" x14ac:dyDescent="0.35">
      <c r="A322" s="6">
        <v>7365</v>
      </c>
      <c r="B322" s="176" t="s">
        <v>1635</v>
      </c>
      <c r="C322" s="177">
        <v>2.260548016160365</v>
      </c>
      <c r="D322" s="177">
        <v>25.292709711651344</v>
      </c>
    </row>
    <row r="323" spans="1:4" ht="27.75" customHeight="1" x14ac:dyDescent="0.35">
      <c r="A323" s="6">
        <v>7375</v>
      </c>
      <c r="B323" s="176" t="s">
        <v>1636</v>
      </c>
      <c r="C323" s="177">
        <v>1.8112418296746509</v>
      </c>
      <c r="D323" s="177">
        <v>15.801719616102504</v>
      </c>
    </row>
    <row r="324" spans="1:4" ht="27.75" customHeight="1" x14ac:dyDescent="0.35">
      <c r="A324" s="6">
        <v>7385</v>
      </c>
      <c r="B324" s="176" t="s">
        <v>1637</v>
      </c>
      <c r="C324" s="177">
        <v>8.1539714410452024</v>
      </c>
      <c r="D324" s="177">
        <v>5.4498062000148391</v>
      </c>
    </row>
    <row r="325" spans="1:4" ht="27.75" customHeight="1" x14ac:dyDescent="0.35">
      <c r="A325" s="6">
        <v>7405</v>
      </c>
      <c r="B325" s="176" t="s">
        <v>1638</v>
      </c>
      <c r="C325" s="177">
        <v>0</v>
      </c>
      <c r="D325" s="177">
        <v>5.3198108530668637</v>
      </c>
    </row>
    <row r="326" spans="1:4" ht="27.75" customHeight="1" x14ac:dyDescent="0.35">
      <c r="A326" s="6">
        <v>7415</v>
      </c>
      <c r="B326" s="176" t="s">
        <v>1639</v>
      </c>
      <c r="C326" s="177">
        <v>1.2570219640236331</v>
      </c>
      <c r="D326" s="177">
        <v>5.5307796092698238</v>
      </c>
    </row>
    <row r="327" spans="1:4" ht="27.75" customHeight="1" x14ac:dyDescent="0.35">
      <c r="A327" s="6">
        <v>7416</v>
      </c>
      <c r="B327" s="176" t="s">
        <v>1639</v>
      </c>
      <c r="C327" s="177">
        <v>1.2570219640236331</v>
      </c>
      <c r="D327" s="177">
        <v>5.5307796092698238</v>
      </c>
    </row>
    <row r="328" spans="1:4" ht="27.75" customHeight="1" x14ac:dyDescent="0.35">
      <c r="A328" s="6">
        <v>7445</v>
      </c>
      <c r="B328" s="176" t="s">
        <v>1373</v>
      </c>
      <c r="C328" s="177">
        <v>4.4168380065811768</v>
      </c>
      <c r="D328" s="177">
        <v>5.0588750824537669</v>
      </c>
    </row>
    <row r="329" spans="1:4" ht="27.75" customHeight="1" x14ac:dyDescent="0.35">
      <c r="A329" s="6">
        <v>7456</v>
      </c>
      <c r="B329" s="176" t="s">
        <v>1373</v>
      </c>
      <c r="C329" s="177">
        <v>5.8233297316253472</v>
      </c>
      <c r="D329" s="177">
        <v>5.0838529715739904</v>
      </c>
    </row>
    <row r="330" spans="1:4" ht="27.75" customHeight="1" x14ac:dyDescent="0.35">
      <c r="A330" s="6">
        <v>7465</v>
      </c>
      <c r="B330" s="176" t="s">
        <v>1373</v>
      </c>
      <c r="C330" s="177">
        <v>1.50504985935093E-2</v>
      </c>
      <c r="D330" s="177">
        <v>11.541589446632893</v>
      </c>
    </row>
    <row r="331" spans="1:4" ht="27.75" customHeight="1" x14ac:dyDescent="0.35">
      <c r="A331" s="6">
        <v>7480</v>
      </c>
      <c r="B331" s="176" t="s">
        <v>1640</v>
      </c>
      <c r="C331" s="177">
        <v>0.29369169741786005</v>
      </c>
      <c r="D331" s="177">
        <v>14.924120256031715</v>
      </c>
    </row>
    <row r="332" spans="1:4" ht="27.75" customHeight="1" x14ac:dyDescent="0.35">
      <c r="A332" s="6">
        <v>7486</v>
      </c>
      <c r="B332" s="176" t="s">
        <v>1373</v>
      </c>
      <c r="C332" s="177">
        <v>0.55400532577665695</v>
      </c>
      <c r="D332" s="177">
        <v>4.921704392932587</v>
      </c>
    </row>
    <row r="333" spans="1:4" ht="27.75" customHeight="1" x14ac:dyDescent="0.35">
      <c r="A333" s="6">
        <v>7495</v>
      </c>
      <c r="B333" s="176" t="s">
        <v>1641</v>
      </c>
      <c r="C333" s="177">
        <v>0.77128223373624605</v>
      </c>
      <c r="D333" s="177">
        <v>13.946703774734013</v>
      </c>
    </row>
    <row r="334" spans="1:4" ht="27.75" customHeight="1" x14ac:dyDescent="0.35">
      <c r="A334" s="6">
        <v>7515</v>
      </c>
      <c r="B334" s="176" t="s">
        <v>1642</v>
      </c>
      <c r="C334" s="177">
        <v>3.4267123317604402</v>
      </c>
      <c r="D334" s="177">
        <v>3.9603915504100224</v>
      </c>
    </row>
    <row r="335" spans="1:4" ht="27.75" customHeight="1" x14ac:dyDescent="0.35">
      <c r="A335" s="6">
        <v>7530</v>
      </c>
      <c r="B335" s="176" t="s">
        <v>1373</v>
      </c>
      <c r="C335" s="177">
        <v>2.615155845751175</v>
      </c>
      <c r="D335" s="177">
        <v>1.3165994857991516</v>
      </c>
    </row>
    <row r="336" spans="1:4" ht="27.75" customHeight="1" x14ac:dyDescent="0.35">
      <c r="A336" s="6">
        <v>7535</v>
      </c>
      <c r="B336" s="176" t="s">
        <v>1643</v>
      </c>
      <c r="C336" s="177">
        <v>1.438409147766081</v>
      </c>
      <c r="D336" s="177">
        <v>4.544770849602215</v>
      </c>
    </row>
    <row r="337" spans="1:4" ht="27.75" customHeight="1" x14ac:dyDescent="0.35">
      <c r="A337" s="6">
        <v>7540</v>
      </c>
      <c r="B337" s="176" t="s">
        <v>1373</v>
      </c>
      <c r="C337" s="177">
        <v>3.0373780930488326</v>
      </c>
      <c r="D337" s="177">
        <v>1.2149735787391083</v>
      </c>
    </row>
    <row r="338" spans="1:4" ht="27.75" customHeight="1" x14ac:dyDescent="0.35">
      <c r="A338" s="6">
        <v>7550</v>
      </c>
      <c r="B338" s="176" t="s">
        <v>1644</v>
      </c>
      <c r="C338" s="177">
        <v>0.51156088414274592</v>
      </c>
      <c r="D338" s="177">
        <v>1.4868818715284629</v>
      </c>
    </row>
    <row r="339" spans="1:4" ht="27.75" customHeight="1" x14ac:dyDescent="0.35">
      <c r="A339" s="6">
        <v>7565</v>
      </c>
      <c r="B339" s="176" t="s">
        <v>1645</v>
      </c>
      <c r="C339" s="177">
        <v>3.3306092648730204E-2</v>
      </c>
      <c r="D339" s="177">
        <v>3.8824054284104115</v>
      </c>
    </row>
    <row r="340" spans="1:4" ht="27.75" customHeight="1" x14ac:dyDescent="0.35">
      <c r="A340" s="6">
        <v>7600</v>
      </c>
      <c r="B340" s="176" t="s">
        <v>1646</v>
      </c>
      <c r="C340" s="177">
        <v>0.32854680763184718</v>
      </c>
      <c r="D340" s="177">
        <v>4.6618007847270535</v>
      </c>
    </row>
    <row r="341" spans="1:4" ht="27.75" customHeight="1" x14ac:dyDescent="0.35">
      <c r="A341" s="6">
        <v>7615</v>
      </c>
      <c r="B341" s="176" t="s">
        <v>1647</v>
      </c>
      <c r="C341" s="177">
        <v>2.6110714907219199</v>
      </c>
      <c r="D341" s="177">
        <v>3.7698440533755164</v>
      </c>
    </row>
    <row r="342" spans="1:4" ht="27.75" customHeight="1" x14ac:dyDescent="0.35">
      <c r="A342" s="6">
        <v>7678</v>
      </c>
      <c r="B342" s="176" t="s">
        <v>1373</v>
      </c>
      <c r="C342" s="177">
        <v>-5.1890280100755776E-3</v>
      </c>
      <c r="D342" s="177">
        <v>7.2079137452709654</v>
      </c>
    </row>
    <row r="343" spans="1:4" ht="27.75" customHeight="1" x14ac:dyDescent="0.35">
      <c r="A343" s="6">
        <v>7685</v>
      </c>
      <c r="B343" s="176" t="s">
        <v>1648</v>
      </c>
      <c r="C343" s="177">
        <v>0.3551551860944242</v>
      </c>
      <c r="D343" s="177">
        <v>4.120243571556288</v>
      </c>
    </row>
    <row r="344" spans="1:4" ht="27.75" customHeight="1" x14ac:dyDescent="0.35">
      <c r="A344" s="6">
        <v>7700</v>
      </c>
      <c r="B344" s="176" t="s">
        <v>1649</v>
      </c>
      <c r="C344" s="177">
        <v>1.235333556953893</v>
      </c>
      <c r="D344" s="177">
        <v>8.0716827137421507</v>
      </c>
    </row>
    <row r="345" spans="1:4" ht="27.75" customHeight="1" x14ac:dyDescent="0.35">
      <c r="A345" s="6">
        <v>7730</v>
      </c>
      <c r="B345" s="176" t="s">
        <v>1650</v>
      </c>
      <c r="C345" s="177">
        <v>1.8240067909933124</v>
      </c>
      <c r="D345" s="177">
        <v>2.2941117928216608</v>
      </c>
    </row>
    <row r="346" spans="1:4" ht="27.75" customHeight="1" x14ac:dyDescent="0.35">
      <c r="A346" s="6">
        <v>7745</v>
      </c>
      <c r="B346" s="176" t="s">
        <v>1651</v>
      </c>
      <c r="C346" s="177">
        <v>0.79806631750592238</v>
      </c>
      <c r="D346" s="177">
        <v>0.22571395636256186</v>
      </c>
    </row>
    <row r="347" spans="1:4" ht="27.75" customHeight="1" x14ac:dyDescent="0.35">
      <c r="A347" s="6">
        <v>7750</v>
      </c>
      <c r="B347" s="176" t="s">
        <v>1652</v>
      </c>
      <c r="C347" s="177">
        <v>0.39107581743916631</v>
      </c>
      <c r="D347" s="177">
        <v>-0.34943755669238669</v>
      </c>
    </row>
    <row r="348" spans="1:4" ht="27.75" customHeight="1" x14ac:dyDescent="0.35">
      <c r="A348" s="6">
        <v>7765</v>
      </c>
      <c r="B348" s="176" t="s">
        <v>1653</v>
      </c>
      <c r="C348" s="177">
        <v>1.6539719337059824</v>
      </c>
      <c r="D348" s="177">
        <v>6.0957349434404708</v>
      </c>
    </row>
    <row r="349" spans="1:4" ht="27.75" customHeight="1" x14ac:dyDescent="0.35">
      <c r="A349" s="6">
        <v>7780</v>
      </c>
      <c r="B349" s="176" t="s">
        <v>1654</v>
      </c>
      <c r="C349" s="177">
        <v>1.8266485262513728</v>
      </c>
      <c r="D349" s="177">
        <v>2.991939204267136</v>
      </c>
    </row>
    <row r="350" spans="1:4" ht="27.75" customHeight="1" x14ac:dyDescent="0.35">
      <c r="A350" s="6">
        <v>7805</v>
      </c>
      <c r="B350" s="176" t="s">
        <v>1655</v>
      </c>
      <c r="C350" s="177">
        <v>0.95077829755247212</v>
      </c>
      <c r="D350" s="177">
        <v>4.3883748576439849</v>
      </c>
    </row>
    <row r="351" spans="1:4" ht="27.75" customHeight="1" x14ac:dyDescent="0.35">
      <c r="A351" s="6">
        <v>7815</v>
      </c>
      <c r="B351" s="176" t="s">
        <v>1656</v>
      </c>
      <c r="C351" s="177">
        <v>1.390925011023703</v>
      </c>
      <c r="D351" s="177">
        <v>6.4928424770777289</v>
      </c>
    </row>
    <row r="352" spans="1:4" ht="27.75" customHeight="1" x14ac:dyDescent="0.35">
      <c r="A352" s="6">
        <v>7840</v>
      </c>
      <c r="B352" s="176" t="s">
        <v>1657</v>
      </c>
      <c r="C352" s="177">
        <v>1.4991805419564643</v>
      </c>
      <c r="D352" s="177">
        <v>4.2913793456960949</v>
      </c>
    </row>
    <row r="353" spans="1:4" ht="27.75" customHeight="1" x14ac:dyDescent="0.35">
      <c r="A353" s="6">
        <v>7850</v>
      </c>
      <c r="B353" s="176" t="s">
        <v>1658</v>
      </c>
      <c r="C353" s="177">
        <v>0.41918444099450947</v>
      </c>
      <c r="D353" s="177">
        <v>3.8784879356725273</v>
      </c>
    </row>
    <row r="354" spans="1:4" ht="27.75" customHeight="1" x14ac:dyDescent="0.35">
      <c r="A354" s="6">
        <v>7875</v>
      </c>
      <c r="B354" s="176" t="s">
        <v>1659</v>
      </c>
      <c r="C354" s="177">
        <v>2.8942553884212997E-2</v>
      </c>
      <c r="D354" s="177">
        <v>9.3919696059322764</v>
      </c>
    </row>
    <row r="355" spans="1:4" ht="27.75" customHeight="1" x14ac:dyDescent="0.35">
      <c r="A355" s="6">
        <v>7895</v>
      </c>
      <c r="B355" s="176" t="s">
        <v>1660</v>
      </c>
      <c r="C355" s="177">
        <v>0.17334899264698661</v>
      </c>
      <c r="D355" s="177">
        <v>17.050803971247536</v>
      </c>
    </row>
    <row r="356" spans="1:4" ht="27.75" customHeight="1" x14ac:dyDescent="0.35">
      <c r="A356" s="6">
        <v>7920</v>
      </c>
      <c r="B356" s="176" t="s">
        <v>1661</v>
      </c>
      <c r="C356" s="177">
        <v>0.55099923617816526</v>
      </c>
      <c r="D356" s="177">
        <v>4.1513404417839537</v>
      </c>
    </row>
    <row r="357" spans="1:4" ht="27.75" customHeight="1" x14ac:dyDescent="0.35">
      <c r="A357" s="6">
        <v>7955</v>
      </c>
      <c r="B357" s="176" t="s">
        <v>1373</v>
      </c>
      <c r="C357" s="177">
        <v>0.20125873525675092</v>
      </c>
      <c r="D357" s="177">
        <v>1.1420465063349252</v>
      </c>
    </row>
    <row r="358" spans="1:4" ht="27.75" customHeight="1" x14ac:dyDescent="0.35">
      <c r="A358" s="6">
        <v>7985</v>
      </c>
      <c r="B358" s="176" t="s">
        <v>1662</v>
      </c>
      <c r="C358" s="177">
        <v>0.19901750085147918</v>
      </c>
      <c r="D358" s="177">
        <v>3.5612158931215578</v>
      </c>
    </row>
    <row r="359" spans="1:4" ht="27.75" customHeight="1" x14ac:dyDescent="0.35">
      <c r="A359" s="6">
        <v>8005</v>
      </c>
      <c r="B359" s="176" t="s">
        <v>1663</v>
      </c>
      <c r="C359" s="177">
        <v>4.2470853838823493E-2</v>
      </c>
      <c r="D359" s="177">
        <v>2.0527742136377691</v>
      </c>
    </row>
    <row r="360" spans="1:4" ht="27.75" customHeight="1" x14ac:dyDescent="0.35">
      <c r="A360" s="6">
        <v>8025</v>
      </c>
      <c r="B360" s="176" t="s">
        <v>1664</v>
      </c>
      <c r="C360" s="177">
        <v>0.1661706101350281</v>
      </c>
      <c r="D360" s="177">
        <v>5.9618251280599868</v>
      </c>
    </row>
    <row r="361" spans="1:4" ht="27.75" customHeight="1" x14ac:dyDescent="0.35">
      <c r="A361" s="6">
        <v>8040</v>
      </c>
      <c r="B361" s="176" t="s">
        <v>1665</v>
      </c>
      <c r="C361" s="177">
        <v>0.86383200261093562</v>
      </c>
      <c r="D361" s="177">
        <v>24.08610682696694</v>
      </c>
    </row>
    <row r="362" spans="1:4" ht="27.75" customHeight="1" x14ac:dyDescent="0.35">
      <c r="A362" s="6">
        <v>8060</v>
      </c>
      <c r="B362" s="176" t="s">
        <v>1666</v>
      </c>
      <c r="C362" s="177">
        <v>1.9767527058446981</v>
      </c>
      <c r="D362" s="177">
        <v>5.6174881773005314</v>
      </c>
    </row>
    <row r="363" spans="1:4" ht="27.75" customHeight="1" x14ac:dyDescent="0.35">
      <c r="A363" s="6">
        <v>8075</v>
      </c>
      <c r="B363" s="176" t="s">
        <v>1667</v>
      </c>
      <c r="C363" s="177">
        <v>0.46044581946699048</v>
      </c>
      <c r="D363" s="177">
        <v>6.7847514480020736</v>
      </c>
    </row>
    <row r="364" spans="1:4" ht="27.75" customHeight="1" x14ac:dyDescent="0.35">
      <c r="A364" s="6">
        <v>8115</v>
      </c>
      <c r="B364" s="176" t="s">
        <v>1668</v>
      </c>
      <c r="C364" s="177">
        <v>15.314494016504764</v>
      </c>
      <c r="D364" s="177">
        <v>10.323355498984725</v>
      </c>
    </row>
    <row r="365" spans="1:4" ht="27.75" customHeight="1" x14ac:dyDescent="0.35">
      <c r="A365" s="6">
        <v>8120</v>
      </c>
      <c r="B365" s="176" t="s">
        <v>1373</v>
      </c>
      <c r="C365" s="177">
        <v>12.815188460077529</v>
      </c>
      <c r="D365" s="177">
        <v>10.27728004474119</v>
      </c>
    </row>
    <row r="366" spans="1:4" ht="27.75" customHeight="1" x14ac:dyDescent="0.35">
      <c r="A366" s="6">
        <v>8135</v>
      </c>
      <c r="B366" s="176" t="s">
        <v>1669</v>
      </c>
      <c r="C366" s="177">
        <v>0.26111688307753511</v>
      </c>
      <c r="D366" s="177">
        <v>8.7144658681041776</v>
      </c>
    </row>
    <row r="367" spans="1:4" ht="27.75" customHeight="1" x14ac:dyDescent="0.35">
      <c r="A367" s="6">
        <v>8150</v>
      </c>
      <c r="B367" s="176" t="s">
        <v>1670</v>
      </c>
      <c r="C367" s="177">
        <v>0.47716312142392459</v>
      </c>
      <c r="D367" s="177">
        <v>18.605869385974771</v>
      </c>
    </row>
    <row r="368" spans="1:4" ht="27.75" customHeight="1" x14ac:dyDescent="0.35">
      <c r="A368" s="6">
        <v>8162</v>
      </c>
      <c r="B368" s="176" t="s">
        <v>1373</v>
      </c>
      <c r="C368" s="177">
        <v>0</v>
      </c>
      <c r="D368" s="177">
        <v>0</v>
      </c>
    </row>
    <row r="369" spans="1:4" ht="27.75" customHeight="1" x14ac:dyDescent="0.35">
      <c r="A369" s="6">
        <v>8170</v>
      </c>
      <c r="B369" s="176" t="s">
        <v>1671</v>
      </c>
      <c r="C369" s="177">
        <v>3.43276294572027</v>
      </c>
      <c r="D369" s="177">
        <v>3.9271559288465245</v>
      </c>
    </row>
    <row r="370" spans="1:4" ht="27.75" customHeight="1" x14ac:dyDescent="0.35">
      <c r="A370" s="6">
        <v>8185</v>
      </c>
      <c r="B370" s="176" t="s">
        <v>1672</v>
      </c>
      <c r="C370" s="177">
        <v>0.237391742486217</v>
      </c>
      <c r="D370" s="177">
        <v>4.7942590045623721</v>
      </c>
    </row>
    <row r="371" spans="1:4" ht="27.75" customHeight="1" x14ac:dyDescent="0.35">
      <c r="A371" s="6">
        <v>8186</v>
      </c>
      <c r="B371" s="176" t="s">
        <v>1673</v>
      </c>
      <c r="C371" s="177">
        <v>5.5832660003771101E-2</v>
      </c>
      <c r="D371" s="177">
        <v>0.48079372708495405</v>
      </c>
    </row>
    <row r="372" spans="1:4" ht="27.75" customHeight="1" x14ac:dyDescent="0.35">
      <c r="A372" s="6">
        <v>8205</v>
      </c>
      <c r="B372" s="176" t="s">
        <v>1674</v>
      </c>
      <c r="C372" s="177">
        <v>4.70609792065044E-2</v>
      </c>
      <c r="D372" s="177">
        <v>4.7490567510569033</v>
      </c>
    </row>
    <row r="373" spans="1:4" ht="27.75" customHeight="1" x14ac:dyDescent="0.35">
      <c r="A373" s="6">
        <v>8225</v>
      </c>
      <c r="B373" s="176" t="s">
        <v>1675</v>
      </c>
      <c r="C373" s="177">
        <v>0.10513382501261301</v>
      </c>
      <c r="D373" s="177">
        <v>5.4607935837983659</v>
      </c>
    </row>
    <row r="374" spans="1:4" ht="27.75" customHeight="1" x14ac:dyDescent="0.35">
      <c r="A374" s="6">
        <v>8240</v>
      </c>
      <c r="B374" s="176" t="s">
        <v>1373</v>
      </c>
      <c r="C374" s="177">
        <v>8.2329063184323559</v>
      </c>
      <c r="D374" s="177">
        <v>3.3309398225941518</v>
      </c>
    </row>
    <row r="375" spans="1:4" ht="27.75" customHeight="1" x14ac:dyDescent="0.35">
      <c r="A375" s="6">
        <v>8250</v>
      </c>
      <c r="B375" s="176" t="s">
        <v>1676</v>
      </c>
      <c r="C375" s="177">
        <v>10.041638459796346</v>
      </c>
      <c r="D375" s="177">
        <v>3.3596534170746803</v>
      </c>
    </row>
    <row r="376" spans="1:4" ht="27.75" customHeight="1" x14ac:dyDescent="0.35">
      <c r="A376" s="6">
        <v>8255</v>
      </c>
      <c r="B376" s="176" t="s">
        <v>1677</v>
      </c>
      <c r="C376" s="177">
        <v>0.41195672735769451</v>
      </c>
      <c r="D376" s="177">
        <v>16.717042466052419</v>
      </c>
    </row>
    <row r="377" spans="1:4" ht="27.75" customHeight="1" x14ac:dyDescent="0.35">
      <c r="A377" s="6">
        <v>8290</v>
      </c>
      <c r="B377" s="176" t="s">
        <v>1678</v>
      </c>
      <c r="C377" s="177">
        <v>1.1852343050759051</v>
      </c>
      <c r="D377" s="177">
        <v>10.909057734341239</v>
      </c>
    </row>
    <row r="378" spans="1:4" ht="27.75" customHeight="1" x14ac:dyDescent="0.35">
      <c r="A378" s="6">
        <v>8305</v>
      </c>
      <c r="B378" s="176" t="s">
        <v>1679</v>
      </c>
      <c r="C378" s="177">
        <v>1.4886339888735791</v>
      </c>
      <c r="D378" s="177">
        <v>22.874461199543802</v>
      </c>
    </row>
    <row r="379" spans="1:4" ht="27.75" customHeight="1" x14ac:dyDescent="0.35">
      <c r="A379" s="6">
        <v>8310</v>
      </c>
      <c r="B379" s="176" t="s">
        <v>1680</v>
      </c>
      <c r="C379" s="177">
        <v>1.317798142310117</v>
      </c>
      <c r="D379" s="177">
        <v>17.102555079644652</v>
      </c>
    </row>
    <row r="380" spans="1:4" ht="27.75" customHeight="1" x14ac:dyDescent="0.35">
      <c r="A380" s="6">
        <v>8325</v>
      </c>
      <c r="B380" s="176" t="s">
        <v>1681</v>
      </c>
      <c r="C380" s="177">
        <v>0.28655829906542402</v>
      </c>
      <c r="D380" s="177">
        <v>1.9856775162523725</v>
      </c>
    </row>
    <row r="381" spans="1:4" ht="27.75" customHeight="1" x14ac:dyDescent="0.35">
      <c r="A381" s="6">
        <v>8365</v>
      </c>
      <c r="B381" s="176" t="s">
        <v>1682</v>
      </c>
      <c r="C381" s="177">
        <v>6.4453623851633601</v>
      </c>
      <c r="D381" s="177">
        <v>2.5556995939260467</v>
      </c>
    </row>
    <row r="382" spans="1:4" ht="27.75" customHeight="1" x14ac:dyDescent="0.35">
      <c r="A382" s="6">
        <v>8370</v>
      </c>
      <c r="B382" s="176" t="s">
        <v>1683</v>
      </c>
      <c r="C382" s="177">
        <v>0.187574200623674</v>
      </c>
      <c r="D382" s="177">
        <v>8.1979803914575324</v>
      </c>
    </row>
    <row r="383" spans="1:4" ht="27.75" customHeight="1" x14ac:dyDescent="0.35">
      <c r="A383" s="6">
        <v>8375</v>
      </c>
      <c r="B383" s="176" t="s">
        <v>1373</v>
      </c>
      <c r="C383" s="177">
        <v>2.2007322654104517</v>
      </c>
      <c r="D383" s="177">
        <v>0.2689175107080426</v>
      </c>
    </row>
    <row r="384" spans="1:4" ht="27.75" customHeight="1" x14ac:dyDescent="0.35">
      <c r="A384" s="6">
        <v>8380</v>
      </c>
      <c r="B384" s="176" t="s">
        <v>1373</v>
      </c>
      <c r="C384" s="177">
        <v>1.7392605127165548</v>
      </c>
      <c r="D384" s="177">
        <v>0.26802040268081262</v>
      </c>
    </row>
    <row r="385" spans="1:4" ht="27.75" customHeight="1" x14ac:dyDescent="0.35">
      <c r="A385" s="6">
        <v>8385</v>
      </c>
      <c r="B385" s="176" t="s">
        <v>1684</v>
      </c>
      <c r="C385" s="177">
        <v>0.13686786014281541</v>
      </c>
      <c r="D385" s="177">
        <v>2.5196160186967655</v>
      </c>
    </row>
    <row r="386" spans="1:4" ht="27.75" customHeight="1" x14ac:dyDescent="0.35">
      <c r="A386" s="6">
        <v>8395</v>
      </c>
      <c r="B386" s="176" t="s">
        <v>1685</v>
      </c>
      <c r="C386" s="177">
        <v>-0.10722380679387933</v>
      </c>
      <c r="D386" s="177">
        <v>6.3044209454376876</v>
      </c>
    </row>
    <row r="387" spans="1:4" ht="27.75" customHeight="1" x14ac:dyDescent="0.35">
      <c r="A387" s="6">
        <v>8405</v>
      </c>
      <c r="B387" s="176" t="s">
        <v>1686</v>
      </c>
      <c r="C387" s="177">
        <v>1.1660575890043789</v>
      </c>
      <c r="D387" s="177">
        <v>0.51983455605679385</v>
      </c>
    </row>
    <row r="388" spans="1:4" ht="27.75" customHeight="1" x14ac:dyDescent="0.35">
      <c r="A388" s="6">
        <v>8410</v>
      </c>
      <c r="B388" s="176" t="s">
        <v>1687</v>
      </c>
      <c r="C388" s="177">
        <v>0.50443508096806489</v>
      </c>
      <c r="D388" s="177">
        <v>6.4519213562534681</v>
      </c>
    </row>
    <row r="389" spans="1:4" ht="27.75" customHeight="1" x14ac:dyDescent="0.35">
      <c r="A389" s="6">
        <v>8500</v>
      </c>
      <c r="B389" s="176" t="s">
        <v>1373</v>
      </c>
      <c r="C389" s="177">
        <v>2.4233523571244131</v>
      </c>
      <c r="D389" s="177">
        <v>0.33252767640482839</v>
      </c>
    </row>
    <row r="390" spans="1:4" ht="27.75" customHeight="1" x14ac:dyDescent="0.35">
      <c r="A390" s="6">
        <v>8525</v>
      </c>
      <c r="B390" s="176" t="s">
        <v>1688</v>
      </c>
      <c r="C390" s="177">
        <v>4.492506501923792</v>
      </c>
      <c r="D390" s="177">
        <v>5.991695245835654</v>
      </c>
    </row>
    <row r="391" spans="1:4" ht="27.75" customHeight="1" x14ac:dyDescent="0.35">
      <c r="A391" s="6">
        <v>8530</v>
      </c>
      <c r="B391" s="176" t="s">
        <v>1689</v>
      </c>
      <c r="C391" s="177">
        <v>-0.27683093754231752</v>
      </c>
      <c r="D391" s="177">
        <v>6.154394514088418</v>
      </c>
    </row>
    <row r="392" spans="1:4" ht="27.75" customHeight="1" x14ac:dyDescent="0.35">
      <c r="A392" s="6">
        <v>8540</v>
      </c>
      <c r="B392" s="176" t="s">
        <v>1373</v>
      </c>
      <c r="C392" s="177">
        <v>4.6563056347749923</v>
      </c>
      <c r="D392" s="177">
        <v>1.1374587590802578</v>
      </c>
    </row>
    <row r="393" spans="1:4" ht="27.75" customHeight="1" x14ac:dyDescent="0.35">
      <c r="A393" s="6">
        <v>8560</v>
      </c>
      <c r="B393" s="176" t="s">
        <v>1690</v>
      </c>
      <c r="C393" s="177">
        <v>2.0171993942871982</v>
      </c>
      <c r="D393" s="177">
        <v>10.878289883219395</v>
      </c>
    </row>
    <row r="394" spans="1:4" ht="27.75" customHeight="1" x14ac:dyDescent="0.35">
      <c r="A394" s="6">
        <v>8580</v>
      </c>
      <c r="B394" s="176" t="s">
        <v>1373</v>
      </c>
      <c r="C394" s="177">
        <v>7.5186844050946355</v>
      </c>
      <c r="D394" s="177">
        <v>0.46866120847158754</v>
      </c>
    </row>
    <row r="395" spans="1:4" ht="27.75" customHeight="1" x14ac:dyDescent="0.35">
      <c r="A395" s="6">
        <v>8600</v>
      </c>
      <c r="B395" s="176" t="s">
        <v>1691</v>
      </c>
      <c r="C395" s="177">
        <v>1.4654655660405855</v>
      </c>
      <c r="D395" s="177">
        <v>9.8987747693869981</v>
      </c>
    </row>
    <row r="396" spans="1:4" ht="27.75" customHeight="1" x14ac:dyDescent="0.35">
      <c r="A396" s="6">
        <v>8625</v>
      </c>
      <c r="B396" s="176" t="s">
        <v>1692</v>
      </c>
      <c r="C396" s="177">
        <v>0.73860764994775951</v>
      </c>
      <c r="D396" s="177">
        <v>2.2398233292092349</v>
      </c>
    </row>
    <row r="397" spans="1:4" ht="27.75" customHeight="1" x14ac:dyDescent="0.35">
      <c r="A397" s="6">
        <v>8640</v>
      </c>
      <c r="B397" s="176" t="s">
        <v>1693</v>
      </c>
      <c r="C397" s="177">
        <v>0.18911993679805922</v>
      </c>
      <c r="D397" s="177">
        <v>2.953832132089445</v>
      </c>
    </row>
    <row r="398" spans="1:4" ht="27.75" customHeight="1" x14ac:dyDescent="0.35">
      <c r="A398" s="6">
        <v>8660</v>
      </c>
      <c r="B398" s="176" t="s">
        <v>1694</v>
      </c>
      <c r="C398" s="177">
        <v>0.48769009628919902</v>
      </c>
      <c r="D398" s="177">
        <v>1.0274645020389437</v>
      </c>
    </row>
    <row r="399" spans="1:4" ht="27.75" customHeight="1" x14ac:dyDescent="0.35">
      <c r="A399" s="6">
        <v>8680</v>
      </c>
      <c r="B399" s="176" t="s">
        <v>1695</v>
      </c>
      <c r="C399" s="177">
        <v>2.0503847569077989</v>
      </c>
      <c r="D399" s="177">
        <v>14.538723687896809</v>
      </c>
    </row>
    <row r="400" spans="1:4" ht="27.75" customHeight="1" x14ac:dyDescent="0.35">
      <c r="A400" s="6">
        <v>8695</v>
      </c>
      <c r="B400" s="176" t="s">
        <v>1696</v>
      </c>
      <c r="C400" s="177">
        <v>2.0503847569077989</v>
      </c>
      <c r="D400" s="177">
        <v>14.538723687896809</v>
      </c>
    </row>
    <row r="401" spans="1:4" ht="27.75" customHeight="1" x14ac:dyDescent="0.35">
      <c r="A401" s="6">
        <v>8795</v>
      </c>
      <c r="B401" s="176" t="s">
        <v>1697</v>
      </c>
      <c r="C401" s="177">
        <v>0.1243954459409632</v>
      </c>
      <c r="D401" s="177">
        <v>4.0335057168940489</v>
      </c>
    </row>
    <row r="402" spans="1:4" ht="27.75" customHeight="1" x14ac:dyDescent="0.35">
      <c r="A402" s="6">
        <v>8800</v>
      </c>
      <c r="B402" s="176" t="s">
        <v>1698</v>
      </c>
      <c r="C402" s="177">
        <v>0</v>
      </c>
      <c r="D402" s="177">
        <v>0.81401744673542309</v>
      </c>
    </row>
    <row r="403" spans="1:4" ht="27.75" customHeight="1" x14ac:dyDescent="0.35">
      <c r="A403" s="6">
        <v>8815</v>
      </c>
      <c r="B403" s="176" t="s">
        <v>1699</v>
      </c>
      <c r="C403" s="177">
        <v>0.45050211285263597</v>
      </c>
      <c r="D403" s="177">
        <v>0.66339715208822791</v>
      </c>
    </row>
    <row r="404" spans="1:4" ht="27.75" customHeight="1" x14ac:dyDescent="0.35">
      <c r="A404" s="6">
        <v>8820</v>
      </c>
      <c r="B404" s="176" t="s">
        <v>1373</v>
      </c>
      <c r="C404" s="177">
        <v>0.450525131767402</v>
      </c>
      <c r="D404" s="177">
        <v>0.66343109690961888</v>
      </c>
    </row>
    <row r="405" spans="1:4" ht="27.75" customHeight="1" x14ac:dyDescent="0.35">
      <c r="A405" s="6">
        <v>8860</v>
      </c>
      <c r="B405" s="176" t="s">
        <v>1700</v>
      </c>
      <c r="C405" s="177">
        <v>8.5947179897398598E-2</v>
      </c>
      <c r="D405" s="177">
        <v>1.3458458870924692</v>
      </c>
    </row>
    <row r="406" spans="1:4" ht="27.75" customHeight="1" x14ac:dyDescent="0.35">
      <c r="A406" s="6">
        <v>8895</v>
      </c>
      <c r="B406" s="176" t="s">
        <v>1701</v>
      </c>
      <c r="C406" s="177">
        <v>0.224447188932068</v>
      </c>
      <c r="D406" s="177">
        <v>16.708204686686045</v>
      </c>
    </row>
    <row r="407" spans="1:4" ht="27.75" customHeight="1" x14ac:dyDescent="0.35">
      <c r="A407" s="6">
        <v>8910</v>
      </c>
      <c r="B407" s="176" t="s">
        <v>1702</v>
      </c>
      <c r="C407" s="177">
        <v>1.7672272824196011</v>
      </c>
      <c r="D407" s="177">
        <v>7.9577416015504046</v>
      </c>
    </row>
    <row r="408" spans="1:4" ht="27.75" customHeight="1" x14ac:dyDescent="0.35">
      <c r="A408" s="6">
        <v>8925</v>
      </c>
      <c r="B408" s="176" t="s">
        <v>1703</v>
      </c>
      <c r="C408" s="177">
        <v>3.1502873089446712</v>
      </c>
      <c r="D408" s="177">
        <v>2.8625915382142697</v>
      </c>
    </row>
    <row r="409" spans="1:4" ht="27.75" customHeight="1" x14ac:dyDescent="0.35">
      <c r="A409" s="6">
        <v>8945</v>
      </c>
      <c r="B409" s="176" t="s">
        <v>1704</v>
      </c>
      <c r="C409" s="177">
        <v>0.55472866266336429</v>
      </c>
      <c r="D409" s="177">
        <v>4.1338407062821334</v>
      </c>
    </row>
    <row r="410" spans="1:4" ht="27.75" customHeight="1" x14ac:dyDescent="0.35">
      <c r="A410" s="6">
        <v>8960</v>
      </c>
      <c r="B410" s="176" t="s">
        <v>1705</v>
      </c>
      <c r="C410" s="177">
        <v>0.90862761834569095</v>
      </c>
      <c r="D410" s="177">
        <v>0.77115740898394058</v>
      </c>
    </row>
    <row r="411" spans="1:4" ht="27.75" customHeight="1" x14ac:dyDescent="0.35">
      <c r="A411" s="6">
        <v>8985</v>
      </c>
      <c r="B411" s="176" t="s">
        <v>1373</v>
      </c>
      <c r="C411" s="177">
        <v>0.94118759050080891</v>
      </c>
      <c r="D411" s="177">
        <v>0.51508343036762372</v>
      </c>
    </row>
    <row r="412" spans="1:4" ht="27.75" customHeight="1" x14ac:dyDescent="0.35">
      <c r="A412" s="6">
        <v>8993</v>
      </c>
      <c r="B412" s="176" t="s">
        <v>1706</v>
      </c>
      <c r="C412" s="177">
        <v>0.23785540201553701</v>
      </c>
      <c r="D412" s="177">
        <v>0.51262128408037411</v>
      </c>
    </row>
    <row r="413" spans="1:4" ht="27.75" customHeight="1" x14ac:dyDescent="0.35">
      <c r="A413" s="6">
        <v>8995</v>
      </c>
      <c r="B413" s="176" t="s">
        <v>1707</v>
      </c>
      <c r="C413" s="177">
        <v>0.48534739380575009</v>
      </c>
      <c r="D413" s="177">
        <v>9.8551889736600291</v>
      </c>
    </row>
    <row r="414" spans="1:4" ht="27.75" customHeight="1" x14ac:dyDescent="0.35">
      <c r="A414" s="6">
        <v>9015</v>
      </c>
      <c r="B414" s="176" t="s">
        <v>1708</v>
      </c>
      <c r="C414" s="177">
        <v>1.1310376268000779</v>
      </c>
      <c r="D414" s="177">
        <v>7.4654456044905615</v>
      </c>
    </row>
    <row r="415" spans="1:4" ht="27.75" customHeight="1" x14ac:dyDescent="0.35">
      <c r="A415" s="6">
        <v>9051</v>
      </c>
      <c r="B415" s="176" t="s">
        <v>1373</v>
      </c>
      <c r="C415" s="177">
        <v>-2.7991992346782152E-2</v>
      </c>
      <c r="D415" s="177">
        <v>7.1754524230787426</v>
      </c>
    </row>
    <row r="416" spans="1:4" ht="27.75" customHeight="1" x14ac:dyDescent="0.35">
      <c r="A416" s="6">
        <v>9060</v>
      </c>
      <c r="B416" s="176" t="s">
        <v>1709</v>
      </c>
      <c r="C416" s="177">
        <v>8.6668762806198091E-3</v>
      </c>
      <c r="D416" s="177">
        <v>7.4736570814351948</v>
      </c>
    </row>
    <row r="417" spans="1:4" ht="27.75" customHeight="1" x14ac:dyDescent="0.35">
      <c r="A417" s="6">
        <v>9070</v>
      </c>
      <c r="B417" s="176" t="s">
        <v>1373</v>
      </c>
      <c r="C417" s="177">
        <v>3.9101968797680358</v>
      </c>
      <c r="D417" s="177">
        <v>7.3702455453699969</v>
      </c>
    </row>
    <row r="418" spans="1:4" ht="27.75" customHeight="1" x14ac:dyDescent="0.35">
      <c r="A418" s="6">
        <v>9080</v>
      </c>
      <c r="B418" s="176" t="s">
        <v>1710</v>
      </c>
      <c r="C418" s="177">
        <v>1.7021494035443339</v>
      </c>
      <c r="D418" s="177">
        <v>14.273542669674665</v>
      </c>
    </row>
    <row r="419" spans="1:4" ht="27.75" customHeight="1" x14ac:dyDescent="0.35">
      <c r="A419" s="6">
        <v>9095</v>
      </c>
      <c r="B419" s="176" t="s">
        <v>1711</v>
      </c>
      <c r="C419" s="177">
        <v>0.75027452263174932</v>
      </c>
      <c r="D419" s="177">
        <v>4.6759541934009086</v>
      </c>
    </row>
    <row r="420" spans="1:4" ht="27.75" customHeight="1" x14ac:dyDescent="0.35">
      <c r="A420" s="6">
        <v>9115</v>
      </c>
      <c r="B420" s="176" t="s">
        <v>1712</v>
      </c>
      <c r="C420" s="177">
        <v>0.92876711380077004</v>
      </c>
      <c r="D420" s="177">
        <v>2.2946168630306607</v>
      </c>
    </row>
    <row r="421" spans="1:4" ht="27.75" customHeight="1" x14ac:dyDescent="0.35">
      <c r="A421" s="6">
        <v>9135</v>
      </c>
      <c r="B421" s="176" t="s">
        <v>1373</v>
      </c>
      <c r="C421" s="177">
        <v>2.7559461351297894</v>
      </c>
      <c r="D421" s="177">
        <v>1.3457843731090766</v>
      </c>
    </row>
    <row r="422" spans="1:4" ht="27.75" customHeight="1" x14ac:dyDescent="0.35">
      <c r="A422" s="6">
        <v>9138</v>
      </c>
      <c r="B422" s="176" t="s">
        <v>1373</v>
      </c>
      <c r="C422" s="177">
        <v>5.1828605341510041</v>
      </c>
      <c r="D422" s="177">
        <v>1.3757299188299381</v>
      </c>
    </row>
    <row r="423" spans="1:4" ht="27.75" customHeight="1" x14ac:dyDescent="0.35">
      <c r="A423" s="6">
        <v>9140</v>
      </c>
      <c r="B423" s="176" t="s">
        <v>1713</v>
      </c>
      <c r="C423" s="177">
        <v>2.2725054046990909</v>
      </c>
      <c r="D423" s="177">
        <v>1.3442502310515509</v>
      </c>
    </row>
    <row r="424" spans="1:4" ht="27.75" customHeight="1" x14ac:dyDescent="0.35">
      <c r="A424" s="6">
        <v>9145</v>
      </c>
      <c r="B424" s="176" t="s">
        <v>1373</v>
      </c>
      <c r="C424" s="177">
        <v>0.8163118074122705</v>
      </c>
      <c r="D424" s="177">
        <v>1.3200212357300414</v>
      </c>
    </row>
    <row r="425" spans="1:4" ht="27.75" customHeight="1" x14ac:dyDescent="0.35">
      <c r="A425" s="6">
        <v>9150</v>
      </c>
      <c r="B425" s="176" t="s">
        <v>1714</v>
      </c>
      <c r="C425" s="177">
        <v>2.5946856412746642</v>
      </c>
      <c r="D425" s="177">
        <v>1.2008601312112273</v>
      </c>
    </row>
    <row r="426" spans="1:4" ht="27.75" customHeight="1" x14ac:dyDescent="0.35">
      <c r="A426" s="6">
        <v>9155</v>
      </c>
      <c r="B426" s="176" t="s">
        <v>1715</v>
      </c>
      <c r="C426" s="177">
        <v>3.837736447120613</v>
      </c>
      <c r="D426" s="177">
        <v>4.0599656856896633</v>
      </c>
    </row>
    <row r="427" spans="1:4" ht="27.75" customHeight="1" x14ac:dyDescent="0.35">
      <c r="A427" s="6">
        <v>9195</v>
      </c>
      <c r="B427" s="176" t="s">
        <v>1716</v>
      </c>
      <c r="C427" s="177">
        <v>2.6036188630992183</v>
      </c>
      <c r="D427" s="177">
        <v>7.2866301576388359</v>
      </c>
    </row>
    <row r="428" spans="1:4" ht="27.75" customHeight="1" x14ac:dyDescent="0.35">
      <c r="A428" s="6">
        <v>9220</v>
      </c>
      <c r="B428" s="176" t="s">
        <v>1717</v>
      </c>
      <c r="C428" s="177">
        <v>-1.0647523449033647</v>
      </c>
      <c r="D428" s="177">
        <v>2.571384433826359</v>
      </c>
    </row>
    <row r="429" spans="1:4" ht="27.75" customHeight="1" x14ac:dyDescent="0.35">
      <c r="A429" s="6">
        <v>9225</v>
      </c>
      <c r="B429" s="176" t="s">
        <v>1718</v>
      </c>
      <c r="C429" s="177">
        <v>0.78693043850428068</v>
      </c>
      <c r="D429" s="177">
        <v>4.8760633328808094</v>
      </c>
    </row>
    <row r="430" spans="1:4" ht="27.75" customHeight="1" x14ac:dyDescent="0.35">
      <c r="A430" s="6">
        <v>9240</v>
      </c>
      <c r="B430" s="176" t="s">
        <v>1719</v>
      </c>
      <c r="C430" s="177">
        <v>0.20340808008409758</v>
      </c>
      <c r="D430" s="177">
        <v>3.1807792263248782</v>
      </c>
    </row>
    <row r="431" spans="1:4" ht="27.75" customHeight="1" x14ac:dyDescent="0.35">
      <c r="A431" s="6">
        <v>9245</v>
      </c>
      <c r="B431" s="176" t="s">
        <v>1373</v>
      </c>
      <c r="C431" s="177">
        <v>1.5310483155834556</v>
      </c>
      <c r="D431" s="177">
        <v>2.2241054036570631</v>
      </c>
    </row>
    <row r="432" spans="1:4" ht="27.75" customHeight="1" x14ac:dyDescent="0.35">
      <c r="A432" s="6">
        <v>9260</v>
      </c>
      <c r="B432" s="176" t="s">
        <v>1720</v>
      </c>
      <c r="C432" s="177">
        <v>0.52394201176354993</v>
      </c>
      <c r="D432" s="177">
        <v>4.9164652441031409</v>
      </c>
    </row>
    <row r="433" spans="1:4" ht="27.75" customHeight="1" x14ac:dyDescent="0.35">
      <c r="A433" s="6">
        <v>9281</v>
      </c>
      <c r="B433" s="176" t="s">
        <v>1373</v>
      </c>
      <c r="C433" s="177">
        <v>1.9561610202700137</v>
      </c>
      <c r="D433" s="177">
        <v>2.4038329193859678</v>
      </c>
    </row>
    <row r="434" spans="1:4" ht="27.75" customHeight="1" x14ac:dyDescent="0.35">
      <c r="A434" s="6">
        <v>9285</v>
      </c>
      <c r="B434" s="176" t="s">
        <v>1721</v>
      </c>
      <c r="C434" s="177">
        <v>2.9249937478785704</v>
      </c>
      <c r="D434" s="177">
        <v>3.6323016384829501</v>
      </c>
    </row>
    <row r="435" spans="1:4" ht="27.75" customHeight="1" x14ac:dyDescent="0.35">
      <c r="A435" s="6">
        <v>9315</v>
      </c>
      <c r="B435" s="176" t="s">
        <v>1373</v>
      </c>
      <c r="C435" s="177">
        <v>0.12396996750123321</v>
      </c>
      <c r="D435" s="177">
        <v>-0.14796422860202069</v>
      </c>
    </row>
    <row r="436" spans="1:4" ht="27.75" customHeight="1" x14ac:dyDescent="0.35">
      <c r="A436" s="6">
        <v>9320</v>
      </c>
      <c r="B436" s="176" t="s">
        <v>1722</v>
      </c>
      <c r="C436" s="177">
        <v>0.95228956124873687</v>
      </c>
      <c r="D436" s="177">
        <v>0.2183910736696949</v>
      </c>
    </row>
    <row r="437" spans="1:4" ht="27.75" customHeight="1" x14ac:dyDescent="0.35">
      <c r="A437" s="6">
        <v>9321</v>
      </c>
      <c r="B437" s="176" t="s">
        <v>1722</v>
      </c>
      <c r="C437" s="177">
        <v>0.47522705737596205</v>
      </c>
      <c r="D437" s="177">
        <v>0.23058558030785303</v>
      </c>
    </row>
    <row r="438" spans="1:4" ht="27.75" customHeight="1" x14ac:dyDescent="0.35">
      <c r="A438" s="6">
        <v>9325</v>
      </c>
      <c r="B438" s="176" t="s">
        <v>1723</v>
      </c>
      <c r="C438" s="177">
        <v>0.95228956124873687</v>
      </c>
      <c r="D438" s="177">
        <v>0.2183910736696949</v>
      </c>
    </row>
    <row r="439" spans="1:4" ht="27.75" customHeight="1" x14ac:dyDescent="0.35">
      <c r="A439" s="6">
        <v>9326</v>
      </c>
      <c r="B439" s="176" t="s">
        <v>1723</v>
      </c>
      <c r="C439" s="177">
        <v>0.47522705737596205</v>
      </c>
      <c r="D439" s="177">
        <v>0.23058558030785303</v>
      </c>
    </row>
    <row r="440" spans="1:4" ht="27.75" customHeight="1" x14ac:dyDescent="0.35">
      <c r="A440" s="6">
        <v>9385</v>
      </c>
      <c r="B440" s="176" t="s">
        <v>1724</v>
      </c>
      <c r="C440" s="177">
        <v>0</v>
      </c>
      <c r="D440" s="177">
        <v>-0.30907483758967152</v>
      </c>
    </row>
    <row r="441" spans="1:4" ht="27.75" customHeight="1" x14ac:dyDescent="0.35">
      <c r="A441" s="6">
        <v>9390</v>
      </c>
      <c r="B441" s="176" t="s">
        <v>1725</v>
      </c>
      <c r="C441" s="177">
        <v>3.5061212283788747</v>
      </c>
      <c r="D441" s="177">
        <v>7.0180622749842492</v>
      </c>
    </row>
    <row r="442" spans="1:4" ht="27.75" customHeight="1" x14ac:dyDescent="0.35">
      <c r="A442" s="6">
        <v>9405</v>
      </c>
      <c r="B442" s="176" t="s">
        <v>1726</v>
      </c>
      <c r="C442" s="177">
        <v>1.1294463230639122</v>
      </c>
      <c r="D442" s="177">
        <v>7.3150011509262223</v>
      </c>
    </row>
    <row r="443" spans="1:4" ht="27.75" customHeight="1" x14ac:dyDescent="0.35">
      <c r="A443" s="6">
        <v>9430</v>
      </c>
      <c r="B443" s="176" t="s">
        <v>1373</v>
      </c>
      <c r="C443" s="177">
        <v>0.35562206879866243</v>
      </c>
      <c r="D443" s="177">
        <v>0.53265919775433912</v>
      </c>
    </row>
    <row r="444" spans="1:4" ht="27.75" customHeight="1" x14ac:dyDescent="0.35">
      <c r="A444" s="6">
        <v>9465</v>
      </c>
      <c r="B444" s="176" t="s">
        <v>1727</v>
      </c>
      <c r="C444" s="177">
        <v>0.31101013557465473</v>
      </c>
      <c r="D444" s="177">
        <v>3.0397260522982186</v>
      </c>
    </row>
    <row r="445" spans="1:4" ht="27.75" customHeight="1" x14ac:dyDescent="0.35">
      <c r="A445" s="6">
        <v>9470</v>
      </c>
      <c r="B445" s="176" t="s">
        <v>1728</v>
      </c>
      <c r="C445" s="177">
        <v>1.7334445629395083</v>
      </c>
      <c r="D445" s="177">
        <v>7.4836344708783376</v>
      </c>
    </row>
    <row r="446" spans="1:4" ht="27.75" customHeight="1" x14ac:dyDescent="0.35">
      <c r="A446" s="6">
        <v>9495</v>
      </c>
      <c r="B446" s="176" t="s">
        <v>1729</v>
      </c>
      <c r="C446" s="177">
        <v>0.68656088166761242</v>
      </c>
      <c r="D446" s="177">
        <v>2.5118724556147227</v>
      </c>
    </row>
    <row r="447" spans="1:4" ht="27.75" customHeight="1" x14ac:dyDescent="0.35">
      <c r="A447" s="6">
        <v>9521</v>
      </c>
      <c r="B447" s="176" t="s">
        <v>1373</v>
      </c>
      <c r="C447" s="177">
        <v>0.32099729525211956</v>
      </c>
      <c r="D447" s="177">
        <v>4.8804888173596694</v>
      </c>
    </row>
    <row r="448" spans="1:4" ht="27.75" customHeight="1" x14ac:dyDescent="0.35">
      <c r="A448" s="6">
        <v>9530</v>
      </c>
      <c r="B448" s="176" t="s">
        <v>1730</v>
      </c>
      <c r="C448" s="177">
        <v>1.5223516711611724</v>
      </c>
      <c r="D448" s="177">
        <v>2.6523586563348891</v>
      </c>
    </row>
    <row r="449" spans="1:4" ht="27.75" customHeight="1" x14ac:dyDescent="0.35">
      <c r="A449" s="6">
        <v>9585</v>
      </c>
      <c r="B449" s="176" t="s">
        <v>1373</v>
      </c>
      <c r="C449" s="177">
        <v>5.7337760241374977E-2</v>
      </c>
      <c r="D449" s="177">
        <v>-0.18152168996670481</v>
      </c>
    </row>
    <row r="450" spans="1:4" ht="27.75" customHeight="1" x14ac:dyDescent="0.35">
      <c r="A450" s="6">
        <v>9805</v>
      </c>
      <c r="B450" s="176" t="s">
        <v>1731</v>
      </c>
      <c r="C450" s="177">
        <v>0.68971909763408301</v>
      </c>
      <c r="D450" s="177">
        <v>0.31158306686378667</v>
      </c>
    </row>
    <row r="451" spans="1:4" ht="27.75" customHeight="1" x14ac:dyDescent="0.35">
      <c r="A451" s="6">
        <v>9815</v>
      </c>
      <c r="B451" s="176" t="s">
        <v>1732</v>
      </c>
      <c r="C451" s="177">
        <v>0.68995580489331809</v>
      </c>
      <c r="D451" s="177">
        <v>0.31163533017491707</v>
      </c>
    </row>
    <row r="452" spans="1:4" ht="27.75" customHeight="1" x14ac:dyDescent="0.35">
      <c r="A452" s="6">
        <v>9835</v>
      </c>
      <c r="B452" s="176" t="s">
        <v>1373</v>
      </c>
      <c r="C452" s="177">
        <v>0.34493101266274939</v>
      </c>
      <c r="D452" s="177">
        <v>-0.29035261906552007</v>
      </c>
    </row>
    <row r="453" spans="1:4" ht="27.75" customHeight="1" x14ac:dyDescent="0.35">
      <c r="A453" s="6">
        <v>9885</v>
      </c>
      <c r="B453" s="176" t="s">
        <v>1373</v>
      </c>
      <c r="C453" s="177">
        <v>2.1347223082602368E-2</v>
      </c>
      <c r="D453" s="177">
        <v>0.13606196732367379</v>
      </c>
    </row>
    <row r="454" spans="1:4" ht="27.75" customHeight="1" x14ac:dyDescent="0.35">
      <c r="A454" s="6">
        <v>9890</v>
      </c>
      <c r="B454" s="176" t="s">
        <v>1373</v>
      </c>
      <c r="C454" s="177">
        <v>2.1347541562949414E-2</v>
      </c>
      <c r="D454" s="177">
        <v>0.13597163077666449</v>
      </c>
    </row>
    <row r="455" spans="1:4" ht="27.75" customHeight="1" x14ac:dyDescent="0.35">
      <c r="A455" s="6">
        <v>9910</v>
      </c>
      <c r="B455" s="176" t="s">
        <v>1733</v>
      </c>
      <c r="C455" s="177">
        <v>0.21915439516578</v>
      </c>
      <c r="D455" s="177">
        <v>4.4797250444232741</v>
      </c>
    </row>
    <row r="456" spans="1:4" ht="27.75" customHeight="1" x14ac:dyDescent="0.35">
      <c r="A456" s="6">
        <v>9945</v>
      </c>
      <c r="B456" s="176" t="s">
        <v>1734</v>
      </c>
      <c r="C456" s="177">
        <v>0.71352261481796608</v>
      </c>
      <c r="D456" s="177">
        <v>6.0022306970714929</v>
      </c>
    </row>
    <row r="457" spans="1:4" ht="27.75" customHeight="1" x14ac:dyDescent="0.35">
      <c r="A457" s="6">
        <v>9970</v>
      </c>
      <c r="B457" s="176" t="s">
        <v>1735</v>
      </c>
      <c r="C457" s="177">
        <v>5.08604046164799E-2</v>
      </c>
      <c r="D457" s="177">
        <v>5.8244390332188223</v>
      </c>
    </row>
    <row r="458" spans="1:4" ht="27.75" customHeight="1" x14ac:dyDescent="0.35">
      <c r="A458" s="6">
        <v>9975</v>
      </c>
      <c r="B458" s="176" t="s">
        <v>1736</v>
      </c>
      <c r="C458" s="177">
        <v>5.08604046164799E-2</v>
      </c>
      <c r="D458" s="177">
        <v>5.8244390332188223</v>
      </c>
    </row>
    <row r="459" spans="1:4" ht="27.75" customHeight="1" x14ac:dyDescent="0.35">
      <c r="A459" s="6">
        <v>9990</v>
      </c>
      <c r="B459" s="176" t="s">
        <v>1737</v>
      </c>
      <c r="C459" s="177">
        <v>2.986395576359</v>
      </c>
      <c r="D459" s="177">
        <v>6.5691424440439601</v>
      </c>
    </row>
    <row r="460" spans="1:4" ht="27.75" customHeight="1" x14ac:dyDescent="0.35">
      <c r="A460" s="6">
        <v>10015</v>
      </c>
      <c r="B460" s="176" t="s">
        <v>1738</v>
      </c>
      <c r="C460" s="177">
        <v>0.4876170777901</v>
      </c>
      <c r="D460" s="177">
        <v>13.150153252101562</v>
      </c>
    </row>
    <row r="461" spans="1:4" ht="27.75" customHeight="1" x14ac:dyDescent="0.35">
      <c r="A461" s="6">
        <v>10035</v>
      </c>
      <c r="B461" s="176" t="s">
        <v>1739</v>
      </c>
      <c r="C461" s="177">
        <v>0.52859578567038201</v>
      </c>
      <c r="D461" s="177">
        <v>6.3132938531730582</v>
      </c>
    </row>
    <row r="462" spans="1:4" ht="27.75" customHeight="1" x14ac:dyDescent="0.35">
      <c r="A462" s="6">
        <v>10090</v>
      </c>
      <c r="B462" s="176" t="s">
        <v>1373</v>
      </c>
      <c r="C462" s="177">
        <v>0.54131941597034849</v>
      </c>
      <c r="D462" s="177">
        <v>-8.1210859665300505E-2</v>
      </c>
    </row>
    <row r="463" spans="1:4" ht="27.75" customHeight="1" x14ac:dyDescent="0.35">
      <c r="A463" s="6">
        <v>10105</v>
      </c>
      <c r="B463" s="176" t="s">
        <v>1373</v>
      </c>
      <c r="C463" s="177">
        <v>0.74436728822592002</v>
      </c>
      <c r="D463" s="177">
        <v>1.5822569758441318E-2</v>
      </c>
    </row>
    <row r="464" spans="1:4" ht="27.75" customHeight="1" x14ac:dyDescent="0.35">
      <c r="A464" s="6">
        <v>10175</v>
      </c>
      <c r="B464" s="176" t="s">
        <v>1740</v>
      </c>
      <c r="C464" s="177">
        <v>-7.9580817426774905E-2</v>
      </c>
      <c r="D464" s="177">
        <v>2.9183286862983207</v>
      </c>
    </row>
    <row r="465" spans="1:4" ht="27.75" customHeight="1" x14ac:dyDescent="0.35">
      <c r="A465" s="6">
        <v>10200</v>
      </c>
      <c r="B465" s="176" t="s">
        <v>1741</v>
      </c>
      <c r="C465" s="177">
        <v>0.12190271377725109</v>
      </c>
      <c r="D465" s="177">
        <v>5.1910673404794494</v>
      </c>
    </row>
    <row r="466" spans="1:4" ht="27.75" customHeight="1" x14ac:dyDescent="0.35">
      <c r="A466" s="6">
        <v>10215</v>
      </c>
      <c r="B466" s="176" t="s">
        <v>1742</v>
      </c>
      <c r="C466" s="177">
        <v>0.43911310204441151</v>
      </c>
      <c r="D466" s="177">
        <v>7.7869301378893292</v>
      </c>
    </row>
    <row r="467" spans="1:4" ht="27.75" customHeight="1" x14ac:dyDescent="0.35">
      <c r="A467" s="6">
        <v>10235</v>
      </c>
      <c r="B467" s="176" t="s">
        <v>1743</v>
      </c>
      <c r="C467" s="177">
        <v>1.554632434530556</v>
      </c>
      <c r="D467" s="177">
        <v>1.1941702235679681</v>
      </c>
    </row>
    <row r="468" spans="1:4" ht="27.75" customHeight="1" x14ac:dyDescent="0.35">
      <c r="A468" s="6">
        <v>10245</v>
      </c>
      <c r="B468" s="176" t="s">
        <v>1373</v>
      </c>
      <c r="C468" s="177">
        <v>1.554376160770679</v>
      </c>
      <c r="D468" s="177">
        <v>1.1938338617082529</v>
      </c>
    </row>
    <row r="469" spans="1:4" ht="27.75" customHeight="1" x14ac:dyDescent="0.35">
      <c r="A469" s="6">
        <v>10246</v>
      </c>
      <c r="B469" s="176" t="s">
        <v>1373</v>
      </c>
      <c r="C469" s="177">
        <v>1.554424027884334</v>
      </c>
      <c r="D469" s="177">
        <v>1.1938965494976506</v>
      </c>
    </row>
    <row r="470" spans="1:4" ht="27.75" customHeight="1" x14ac:dyDescent="0.35">
      <c r="A470" s="6">
        <v>10248</v>
      </c>
      <c r="B470" s="176" t="s">
        <v>1373</v>
      </c>
      <c r="C470" s="177">
        <v>1.602863047118311</v>
      </c>
      <c r="D470" s="177">
        <v>1.0519280450108235</v>
      </c>
    </row>
    <row r="471" spans="1:4" ht="27.75" customHeight="1" x14ac:dyDescent="0.35">
      <c r="A471" s="6">
        <v>10250</v>
      </c>
      <c r="B471" s="176" t="s">
        <v>1744</v>
      </c>
      <c r="C471" s="177">
        <v>0.20997336715796999</v>
      </c>
      <c r="D471" s="177">
        <v>2.6424892860245244</v>
      </c>
    </row>
    <row r="472" spans="1:4" ht="27.75" customHeight="1" x14ac:dyDescent="0.35">
      <c r="A472" s="6">
        <v>10295</v>
      </c>
      <c r="B472" s="176" t="s">
        <v>1745</v>
      </c>
      <c r="C472" s="177">
        <v>0</v>
      </c>
      <c r="D472" s="177">
        <v>1.1639816804653498</v>
      </c>
    </row>
    <row r="473" spans="1:4" ht="27.75" customHeight="1" x14ac:dyDescent="0.35">
      <c r="A473" s="6">
        <v>10300</v>
      </c>
      <c r="B473" s="176" t="s">
        <v>1746</v>
      </c>
      <c r="C473" s="177">
        <v>0</v>
      </c>
      <c r="D473" s="177">
        <v>1.1500951277102613</v>
      </c>
    </row>
    <row r="474" spans="1:4" ht="27.75" customHeight="1" x14ac:dyDescent="0.35">
      <c r="A474" s="6">
        <v>10305</v>
      </c>
      <c r="B474" s="176" t="s">
        <v>1747</v>
      </c>
      <c r="C474" s="177">
        <v>0.25893943743730002</v>
      </c>
      <c r="D474" s="177">
        <v>5.1757050124322461</v>
      </c>
    </row>
    <row r="475" spans="1:4" ht="27.75" customHeight="1" x14ac:dyDescent="0.35">
      <c r="A475" s="6">
        <v>10320</v>
      </c>
      <c r="B475" s="176" t="s">
        <v>1748</v>
      </c>
      <c r="C475" s="177">
        <v>0.81796530036403681</v>
      </c>
      <c r="D475" s="177">
        <v>5.0355374593894151</v>
      </c>
    </row>
    <row r="476" spans="1:4" ht="27.75" customHeight="1" x14ac:dyDescent="0.35">
      <c r="A476" s="6">
        <v>10335</v>
      </c>
      <c r="B476" s="176" t="s">
        <v>1749</v>
      </c>
      <c r="C476" s="177">
        <v>0.11602467234717911</v>
      </c>
      <c r="D476" s="177">
        <v>5.0442835473992149</v>
      </c>
    </row>
    <row r="477" spans="1:4" ht="27.75" customHeight="1" x14ac:dyDescent="0.35">
      <c r="A477" s="6">
        <v>10410</v>
      </c>
      <c r="B477" s="176" t="s">
        <v>1750</v>
      </c>
      <c r="C477" s="177">
        <v>1.32049216628777</v>
      </c>
      <c r="D477" s="177">
        <v>4.2061664427833563</v>
      </c>
    </row>
    <row r="478" spans="1:4" ht="27.75" customHeight="1" x14ac:dyDescent="0.35">
      <c r="A478" s="6">
        <v>10430</v>
      </c>
      <c r="B478" s="176" t="s">
        <v>1751</v>
      </c>
      <c r="C478" s="177">
        <v>0.76787189761670505</v>
      </c>
      <c r="D478" s="177">
        <v>4.17740714804021</v>
      </c>
    </row>
    <row r="479" spans="1:4" ht="27.75" customHeight="1" x14ac:dyDescent="0.35">
      <c r="A479" s="6">
        <v>10445</v>
      </c>
      <c r="B479" s="176" t="s">
        <v>1752</v>
      </c>
      <c r="C479" s="177">
        <v>4.7352903736649E-2</v>
      </c>
      <c r="D479" s="177">
        <v>6.5236556290696601</v>
      </c>
    </row>
    <row r="480" spans="1:4" ht="27.75" customHeight="1" x14ac:dyDescent="0.35">
      <c r="A480" s="6">
        <v>10465</v>
      </c>
      <c r="B480" s="176" t="s">
        <v>1753</v>
      </c>
      <c r="C480" s="177">
        <v>1.29627431758357</v>
      </c>
      <c r="D480" s="177">
        <v>8.8956221020915152</v>
      </c>
    </row>
    <row r="481" spans="1:4" ht="27.75" customHeight="1" x14ac:dyDescent="0.35">
      <c r="A481" s="6">
        <v>10480</v>
      </c>
      <c r="B481" s="176" t="s">
        <v>1754</v>
      </c>
      <c r="C481" s="177">
        <v>0.13460162042104351</v>
      </c>
      <c r="D481" s="177">
        <v>6.5948617663003288</v>
      </c>
    </row>
    <row r="482" spans="1:4" ht="27.75" customHeight="1" x14ac:dyDescent="0.35">
      <c r="A482" s="6">
        <v>10492</v>
      </c>
      <c r="B482" s="176" t="s">
        <v>1373</v>
      </c>
      <c r="C482" s="177">
        <v>0.97358588178636407</v>
      </c>
      <c r="D482" s="177">
        <v>10.642725474174149</v>
      </c>
    </row>
    <row r="483" spans="1:4" ht="27.75" customHeight="1" x14ac:dyDescent="0.35">
      <c r="A483" s="6">
        <v>10500</v>
      </c>
      <c r="B483" s="176" t="s">
        <v>1755</v>
      </c>
      <c r="C483" s="177">
        <v>0.68244465746167293</v>
      </c>
      <c r="D483" s="177">
        <v>6.5980283817024592</v>
      </c>
    </row>
    <row r="484" spans="1:4" ht="27.75" customHeight="1" x14ac:dyDescent="0.35">
      <c r="A484" s="6">
        <v>10505</v>
      </c>
      <c r="B484" s="176" t="s">
        <v>1756</v>
      </c>
      <c r="C484" s="177">
        <v>2.6653151743053902</v>
      </c>
      <c r="D484" s="177">
        <v>7.0281320573577704</v>
      </c>
    </row>
    <row r="485" spans="1:4" ht="27.75" customHeight="1" x14ac:dyDescent="0.35">
      <c r="A485" s="6">
        <v>10530</v>
      </c>
      <c r="B485" s="176" t="s">
        <v>1757</v>
      </c>
      <c r="C485" s="177">
        <v>3.7218134381552601</v>
      </c>
      <c r="D485" s="177">
        <v>8.9884292519112687</v>
      </c>
    </row>
    <row r="486" spans="1:4" ht="27.75" customHeight="1" x14ac:dyDescent="0.35">
      <c r="A486" s="6">
        <v>10551</v>
      </c>
      <c r="B486" s="176" t="s">
        <v>1373</v>
      </c>
      <c r="C486" s="177">
        <v>1.0495257617261013</v>
      </c>
      <c r="D486" s="177">
        <v>10.652566957380097</v>
      </c>
    </row>
    <row r="487" spans="1:4" ht="27.75" customHeight="1" x14ac:dyDescent="0.35">
      <c r="A487" s="6">
        <v>10570</v>
      </c>
      <c r="B487" s="176" t="s">
        <v>1758</v>
      </c>
      <c r="C487" s="177">
        <v>1.8000373840981234</v>
      </c>
      <c r="D487" s="177">
        <v>9.0478661629912001</v>
      </c>
    </row>
    <row r="488" spans="1:4" ht="27.75" customHeight="1" x14ac:dyDescent="0.35">
      <c r="A488" s="6">
        <v>10610</v>
      </c>
      <c r="B488" s="176" t="s">
        <v>1759</v>
      </c>
      <c r="C488" s="177">
        <v>1.198418946892333</v>
      </c>
      <c r="D488" s="177">
        <v>0.2505359807131764</v>
      </c>
    </row>
    <row r="489" spans="1:4" ht="27.75" customHeight="1" x14ac:dyDescent="0.35">
      <c r="A489" s="6">
        <v>10630</v>
      </c>
      <c r="B489" s="176" t="s">
        <v>1760</v>
      </c>
      <c r="C489" s="177">
        <v>1.5551058248110952</v>
      </c>
      <c r="D489" s="177">
        <v>16.276052393853178</v>
      </c>
    </row>
    <row r="490" spans="1:4" ht="27.75" customHeight="1" x14ac:dyDescent="0.35">
      <c r="A490" s="6">
        <v>10650</v>
      </c>
      <c r="B490" s="176" t="s">
        <v>1761</v>
      </c>
      <c r="C490" s="177">
        <v>8.3905822061042468E-2</v>
      </c>
      <c r="D490" s="177">
        <v>0.3171447083267524</v>
      </c>
    </row>
    <row r="491" spans="1:4" ht="27.75" customHeight="1" x14ac:dyDescent="0.35">
      <c r="A491" s="6">
        <v>10670</v>
      </c>
      <c r="B491" s="176" t="s">
        <v>1762</v>
      </c>
      <c r="C491" s="177">
        <v>2.7797451822206312</v>
      </c>
      <c r="D491" s="177">
        <v>9.8161033553781731</v>
      </c>
    </row>
    <row r="492" spans="1:4" ht="27.75" customHeight="1" x14ac:dyDescent="0.35">
      <c r="A492" s="6">
        <v>10710</v>
      </c>
      <c r="B492" s="176" t="s">
        <v>1763</v>
      </c>
      <c r="C492" s="177">
        <v>2.6373048086012902</v>
      </c>
      <c r="D492" s="177">
        <v>6.9946104309840793</v>
      </c>
    </row>
    <row r="493" spans="1:4" ht="27.75" customHeight="1" x14ac:dyDescent="0.35">
      <c r="A493" s="6">
        <v>10850</v>
      </c>
      <c r="B493" s="176" t="s">
        <v>1764</v>
      </c>
      <c r="C493" s="177">
        <v>5.159046375943281</v>
      </c>
      <c r="D493" s="177">
        <v>-4.3983217385859419E-2</v>
      </c>
    </row>
    <row r="494" spans="1:4" ht="27.75" customHeight="1" x14ac:dyDescent="0.35">
      <c r="A494" s="6">
        <v>10855</v>
      </c>
      <c r="B494" s="176" t="s">
        <v>1765</v>
      </c>
      <c r="C494" s="177">
        <v>5.4124126421448855</v>
      </c>
      <c r="D494" s="177">
        <v>-0.11304232011940485</v>
      </c>
    </row>
    <row r="495" spans="1:4" ht="27.75" customHeight="1" x14ac:dyDescent="0.35">
      <c r="A495" s="6">
        <v>10860</v>
      </c>
      <c r="B495" s="176" t="s">
        <v>1766</v>
      </c>
      <c r="C495" s="177">
        <v>1.0618465404390971</v>
      </c>
      <c r="D495" s="177">
        <v>8.8381019575464794</v>
      </c>
    </row>
    <row r="496" spans="1:4" ht="27.75" customHeight="1" x14ac:dyDescent="0.35">
      <c r="A496" s="6">
        <v>10905</v>
      </c>
      <c r="B496" s="176" t="s">
        <v>1767</v>
      </c>
      <c r="C496" s="177">
        <v>1.0646480295631151</v>
      </c>
      <c r="D496" s="177">
        <v>8.8330554559927528</v>
      </c>
    </row>
    <row r="497" spans="1:4" ht="27.75" customHeight="1" x14ac:dyDescent="0.35">
      <c r="A497" s="6">
        <v>10980</v>
      </c>
      <c r="B497" s="176" t="s">
        <v>1768</v>
      </c>
      <c r="C497" s="177">
        <v>0.51488179323825423</v>
      </c>
      <c r="D497" s="177">
        <v>5.2959976966502564E-2</v>
      </c>
    </row>
    <row r="498" spans="1:4" ht="27.75" customHeight="1" x14ac:dyDescent="0.35">
      <c r="A498" s="6">
        <v>10985</v>
      </c>
      <c r="B498" s="176" t="s">
        <v>1769</v>
      </c>
      <c r="C498" s="177">
        <v>1.3290066308479764</v>
      </c>
      <c r="D498" s="177">
        <v>-0.11261237905840704</v>
      </c>
    </row>
    <row r="499" spans="1:4" ht="27.75" customHeight="1" x14ac:dyDescent="0.35">
      <c r="A499" s="6">
        <v>11005</v>
      </c>
      <c r="B499" s="176" t="s">
        <v>1373</v>
      </c>
      <c r="C499" s="177">
        <v>2.1699752718643555</v>
      </c>
      <c r="D499" s="177">
        <v>-0.18602915838123479</v>
      </c>
    </row>
    <row r="500" spans="1:4" ht="27.75" customHeight="1" x14ac:dyDescent="0.35">
      <c r="A500" s="6">
        <v>11010</v>
      </c>
      <c r="B500" s="176" t="s">
        <v>1373</v>
      </c>
      <c r="C500" s="177">
        <v>2.1666915880936668</v>
      </c>
      <c r="D500" s="177">
        <v>0.19969400935782389</v>
      </c>
    </row>
    <row r="501" spans="1:4" ht="27.75" customHeight="1" x14ac:dyDescent="0.35">
      <c r="A501" s="6">
        <v>11095</v>
      </c>
      <c r="B501" s="176" t="s">
        <v>1373</v>
      </c>
      <c r="C501" s="177">
        <v>8.0312934955783892E-3</v>
      </c>
      <c r="D501" s="177">
        <v>0</v>
      </c>
    </row>
    <row r="502" spans="1:4" ht="27.75" customHeight="1" x14ac:dyDescent="0.35">
      <c r="A502" s="6">
        <v>11110</v>
      </c>
      <c r="B502" s="176" t="s">
        <v>1770</v>
      </c>
      <c r="C502" s="177">
        <v>1.552000256504392</v>
      </c>
      <c r="D502" s="177">
        <v>5.1535806895022169</v>
      </c>
    </row>
    <row r="503" spans="1:4" ht="27.75" customHeight="1" x14ac:dyDescent="0.35">
      <c r="A503" s="6">
        <v>11130</v>
      </c>
      <c r="B503" s="176" t="s">
        <v>1771</v>
      </c>
      <c r="C503" s="177">
        <v>1.9037055013557671</v>
      </c>
      <c r="D503" s="177">
        <v>11.698926116256192</v>
      </c>
    </row>
    <row r="504" spans="1:4" ht="27.75" customHeight="1" x14ac:dyDescent="0.35">
      <c r="A504" s="6">
        <v>11145</v>
      </c>
      <c r="B504" s="176" t="s">
        <v>1373</v>
      </c>
      <c r="C504" s="177">
        <v>0.28989937598504062</v>
      </c>
      <c r="D504" s="177">
        <v>6.4470830283524521</v>
      </c>
    </row>
    <row r="505" spans="1:4" ht="27.75" customHeight="1" x14ac:dyDescent="0.35">
      <c r="A505" s="6">
        <v>11160</v>
      </c>
      <c r="B505" s="176" t="s">
        <v>1772</v>
      </c>
      <c r="C505" s="177">
        <v>1.254896858554519</v>
      </c>
      <c r="D505" s="177">
        <v>2.4322791750251431</v>
      </c>
    </row>
    <row r="506" spans="1:4" ht="27.75" customHeight="1" x14ac:dyDescent="0.35">
      <c r="A506" s="6">
        <v>11185</v>
      </c>
      <c r="B506" s="176" t="s">
        <v>1773</v>
      </c>
      <c r="C506" s="177">
        <v>3.80014642996459</v>
      </c>
      <c r="D506" s="177">
        <v>19.718207411591486</v>
      </c>
    </row>
    <row r="507" spans="1:4" ht="27.75" customHeight="1" x14ac:dyDescent="0.35">
      <c r="A507" s="6">
        <v>11190</v>
      </c>
      <c r="B507" s="176" t="s">
        <v>1774</v>
      </c>
      <c r="C507" s="177">
        <v>3.802192387377203</v>
      </c>
      <c r="D507" s="177">
        <v>2.8540805624668986</v>
      </c>
    </row>
    <row r="508" spans="1:4" ht="27.75" customHeight="1" x14ac:dyDescent="0.35">
      <c r="A508" s="6">
        <v>11240</v>
      </c>
      <c r="B508" s="176" t="s">
        <v>1373</v>
      </c>
      <c r="C508" s="177">
        <v>6.4005779442042261</v>
      </c>
      <c r="D508" s="177">
        <v>5.0669133075373907E-3</v>
      </c>
    </row>
    <row r="509" spans="1:4" ht="27.75" customHeight="1" x14ac:dyDescent="0.35">
      <c r="A509" s="6">
        <v>11245</v>
      </c>
      <c r="B509" s="176" t="s">
        <v>1373</v>
      </c>
      <c r="C509" s="177">
        <v>1.5935511816034991</v>
      </c>
      <c r="D509" s="177">
        <v>4.5423727668745251E-3</v>
      </c>
    </row>
    <row r="510" spans="1:4" ht="27.75" customHeight="1" x14ac:dyDescent="0.35">
      <c r="A510" s="6">
        <v>11300</v>
      </c>
      <c r="B510" s="176" t="s">
        <v>1373</v>
      </c>
      <c r="C510" s="177">
        <v>5.4327774133642892</v>
      </c>
      <c r="D510" s="177">
        <v>5.0696292011016553E-3</v>
      </c>
    </row>
    <row r="511" spans="1:4" ht="27.75" customHeight="1" x14ac:dyDescent="0.35">
      <c r="A511" s="6">
        <v>11305</v>
      </c>
      <c r="B511" s="176" t="s">
        <v>1775</v>
      </c>
      <c r="C511" s="177">
        <v>2.0734734666654626</v>
      </c>
      <c r="D511" s="177">
        <v>4.9639627274777887E-3</v>
      </c>
    </row>
    <row r="512" spans="1:4" ht="27.75" customHeight="1" x14ac:dyDescent="0.35">
      <c r="A512" s="6">
        <v>11315</v>
      </c>
      <c r="B512" s="176" t="s">
        <v>1776</v>
      </c>
      <c r="C512" s="177">
        <v>0.16377985352291499</v>
      </c>
      <c r="D512" s="177">
        <v>1.9348190252747508</v>
      </c>
    </row>
    <row r="513" spans="1:4" ht="27.75" customHeight="1" x14ac:dyDescent="0.35">
      <c r="A513" s="6">
        <v>11335</v>
      </c>
      <c r="B513" s="176" t="s">
        <v>1373</v>
      </c>
      <c r="C513" s="177">
        <v>1.8554102831363131</v>
      </c>
      <c r="D513" s="177">
        <v>4.9552238498344892E-3</v>
      </c>
    </row>
    <row r="514" spans="1:4" ht="27.75" customHeight="1" x14ac:dyDescent="0.35">
      <c r="A514" s="6">
        <v>11336</v>
      </c>
      <c r="B514" s="176" t="s">
        <v>1373</v>
      </c>
      <c r="C514" s="177">
        <v>1.855410270963203</v>
      </c>
      <c r="D514" s="177">
        <v>4.9552238172336782E-3</v>
      </c>
    </row>
    <row r="515" spans="1:4" ht="27.75" customHeight="1" x14ac:dyDescent="0.35">
      <c r="A515" s="6">
        <v>11345</v>
      </c>
      <c r="B515" s="176" t="s">
        <v>1777</v>
      </c>
      <c r="C515" s="177">
        <v>1.1008628203144069</v>
      </c>
      <c r="D515" s="177">
        <v>10.165676354758038</v>
      </c>
    </row>
    <row r="516" spans="1:4" ht="27.75" customHeight="1" x14ac:dyDescent="0.35">
      <c r="A516" s="6">
        <v>11360</v>
      </c>
      <c r="B516" s="176" t="s">
        <v>1778</v>
      </c>
      <c r="C516" s="177">
        <v>2.3399932621454642</v>
      </c>
      <c r="D516" s="177">
        <v>5.8992365545732213</v>
      </c>
    </row>
    <row r="517" spans="1:4" ht="27.75" customHeight="1" x14ac:dyDescent="0.35">
      <c r="A517" s="6">
        <v>11375</v>
      </c>
      <c r="B517" s="176" t="s">
        <v>1779</v>
      </c>
      <c r="C517" s="177">
        <v>0.67603511377516168</v>
      </c>
      <c r="D517" s="177">
        <v>9.1817604552183845</v>
      </c>
    </row>
    <row r="518" spans="1:4" ht="27.75" customHeight="1" x14ac:dyDescent="0.35">
      <c r="A518" s="6">
        <v>11395</v>
      </c>
      <c r="B518" s="176" t="s">
        <v>1780</v>
      </c>
      <c r="C518" s="177">
        <v>0.39848769738096962</v>
      </c>
      <c r="D518" s="177">
        <v>21.932578587576824</v>
      </c>
    </row>
    <row r="519" spans="1:4" ht="27.75" customHeight="1" x14ac:dyDescent="0.35">
      <c r="A519" s="6">
        <v>11405</v>
      </c>
      <c r="B519" s="176" t="s">
        <v>1373</v>
      </c>
      <c r="C519" s="177">
        <v>26.642386252468658</v>
      </c>
      <c r="D519" s="177">
        <v>0.14115151908897516</v>
      </c>
    </row>
    <row r="520" spans="1:4" ht="27.75" customHeight="1" x14ac:dyDescent="0.35">
      <c r="A520" s="6">
        <v>11410</v>
      </c>
      <c r="B520" s="176" t="s">
        <v>1373</v>
      </c>
      <c r="C520" s="177">
        <v>18.135991175141761</v>
      </c>
      <c r="D520" s="177">
        <v>0.12089731755017397</v>
      </c>
    </row>
    <row r="521" spans="1:4" ht="27.75" customHeight="1" x14ac:dyDescent="0.35">
      <c r="A521" s="6">
        <v>11420</v>
      </c>
      <c r="B521" s="176" t="s">
        <v>1781</v>
      </c>
      <c r="C521" s="177">
        <v>0.51252552142655328</v>
      </c>
      <c r="D521" s="177">
        <v>21.193005748270117</v>
      </c>
    </row>
    <row r="522" spans="1:4" ht="27.75" customHeight="1" x14ac:dyDescent="0.35">
      <c r="A522" s="6">
        <v>11425</v>
      </c>
      <c r="B522" s="176" t="s">
        <v>1782</v>
      </c>
      <c r="C522" s="177">
        <v>0.51252552142655328</v>
      </c>
      <c r="D522" s="177">
        <v>21.193005748270117</v>
      </c>
    </row>
    <row r="523" spans="1:4" ht="27.75" customHeight="1" x14ac:dyDescent="0.35">
      <c r="A523" s="6">
        <v>11440</v>
      </c>
      <c r="B523" s="176" t="s">
        <v>1783</v>
      </c>
      <c r="C523" s="177">
        <v>1.7553850755509424</v>
      </c>
      <c r="D523" s="177">
        <v>1.1735268540981383</v>
      </c>
    </row>
    <row r="524" spans="1:4" ht="27.75" customHeight="1" x14ac:dyDescent="0.35">
      <c r="A524" s="6">
        <v>11450</v>
      </c>
      <c r="B524" s="176" t="s">
        <v>1784</v>
      </c>
      <c r="C524" s="177">
        <v>7.769983024757007</v>
      </c>
      <c r="D524" s="177">
        <v>18.20863790361069</v>
      </c>
    </row>
    <row r="525" spans="1:4" ht="27.75" customHeight="1" x14ac:dyDescent="0.35">
      <c r="A525" s="6">
        <v>11460</v>
      </c>
      <c r="B525" s="176" t="s">
        <v>1785</v>
      </c>
      <c r="C525" s="177">
        <v>1.453187717412852</v>
      </c>
      <c r="D525" s="177">
        <v>0.38235022577091504</v>
      </c>
    </row>
    <row r="526" spans="1:4" ht="27.75" customHeight="1" x14ac:dyDescent="0.35">
      <c r="A526" s="6">
        <v>11475</v>
      </c>
      <c r="B526" s="176" t="s">
        <v>1786</v>
      </c>
      <c r="C526" s="177">
        <v>0.75282478478849624</v>
      </c>
      <c r="D526" s="177">
        <v>20.054857448261775</v>
      </c>
    </row>
    <row r="527" spans="1:4" ht="27.75" customHeight="1" x14ac:dyDescent="0.35">
      <c r="A527" s="6">
        <v>11495</v>
      </c>
      <c r="B527" s="176" t="s">
        <v>1787</v>
      </c>
      <c r="C527" s="177">
        <v>-0.14111922933924784</v>
      </c>
      <c r="D527" s="177">
        <v>17.117425689012531</v>
      </c>
    </row>
    <row r="528" spans="1:4" ht="27.75" customHeight="1" x14ac:dyDescent="0.35">
      <c r="A528" s="6">
        <v>11531</v>
      </c>
      <c r="B528" s="176" t="s">
        <v>1373</v>
      </c>
      <c r="C528" s="177">
        <v>24.098725924353563</v>
      </c>
      <c r="D528" s="177">
        <v>0.25075550831856219</v>
      </c>
    </row>
    <row r="529" spans="1:4" ht="27.75" customHeight="1" x14ac:dyDescent="0.35">
      <c r="A529" s="6">
        <v>11535</v>
      </c>
      <c r="B529" s="176" t="s">
        <v>1788</v>
      </c>
      <c r="C529" s="177">
        <v>2.9666771113129327E-2</v>
      </c>
      <c r="D529" s="177">
        <v>0.95681790605416217</v>
      </c>
    </row>
    <row r="530" spans="1:4" ht="27.75" customHeight="1" x14ac:dyDescent="0.35">
      <c r="A530" s="6">
        <v>11555</v>
      </c>
      <c r="B530" s="176" t="s">
        <v>1789</v>
      </c>
      <c r="C530" s="177">
        <v>2.387392017176222</v>
      </c>
      <c r="D530" s="177">
        <v>18.862050708055762</v>
      </c>
    </row>
    <row r="531" spans="1:4" ht="27.75" customHeight="1" x14ac:dyDescent="0.35">
      <c r="A531" s="6">
        <v>11575</v>
      </c>
      <c r="B531" s="176" t="s">
        <v>1790</v>
      </c>
      <c r="C531" s="177">
        <v>1.9532117717652167</v>
      </c>
      <c r="D531" s="177">
        <v>13.561972139244528</v>
      </c>
    </row>
    <row r="532" spans="1:4" ht="27.75" customHeight="1" x14ac:dyDescent="0.35">
      <c r="A532" s="6">
        <v>11585</v>
      </c>
      <c r="B532" s="176" t="s">
        <v>1373</v>
      </c>
      <c r="C532" s="177">
        <v>17.541065910149143</v>
      </c>
      <c r="D532" s="177">
        <v>3.981330798972138E-2</v>
      </c>
    </row>
    <row r="533" spans="1:4" ht="27.75" customHeight="1" x14ac:dyDescent="0.35">
      <c r="A533" s="6">
        <v>11590</v>
      </c>
      <c r="B533" s="176" t="s">
        <v>1373</v>
      </c>
      <c r="C533" s="177">
        <v>19.336684872790286</v>
      </c>
      <c r="D533" s="177">
        <v>4.2359796482163148E-2</v>
      </c>
    </row>
    <row r="534" spans="1:4" ht="27.75" customHeight="1" x14ac:dyDescent="0.35">
      <c r="A534" s="6">
        <v>11600</v>
      </c>
      <c r="B534" s="176" t="s">
        <v>1791</v>
      </c>
      <c r="C534" s="177">
        <v>0.3092122444473448</v>
      </c>
      <c r="D534" s="177">
        <v>11.548280544386808</v>
      </c>
    </row>
    <row r="535" spans="1:4" ht="27.75" customHeight="1" x14ac:dyDescent="0.35">
      <c r="A535" s="6">
        <v>11610</v>
      </c>
      <c r="B535" s="176" t="s">
        <v>1373</v>
      </c>
      <c r="C535" s="177">
        <v>23.51499631736251</v>
      </c>
      <c r="D535" s="177">
        <v>0.18374257768636681</v>
      </c>
    </row>
    <row r="536" spans="1:4" ht="27.75" customHeight="1" x14ac:dyDescent="0.35">
      <c r="A536" s="6">
        <v>11620</v>
      </c>
      <c r="B536" s="176" t="s">
        <v>1792</v>
      </c>
      <c r="C536" s="177">
        <v>0.96617017423372442</v>
      </c>
      <c r="D536" s="177">
        <v>7.5209684528375238</v>
      </c>
    </row>
    <row r="537" spans="1:4" ht="27.75" customHeight="1" x14ac:dyDescent="0.35">
      <c r="A537" s="6">
        <v>11625</v>
      </c>
      <c r="B537" s="176" t="s">
        <v>1793</v>
      </c>
      <c r="C537" s="177">
        <v>0.96617017423372442</v>
      </c>
      <c r="D537" s="177">
        <v>7.5209684528375238</v>
      </c>
    </row>
    <row r="538" spans="1:4" ht="27.75" customHeight="1" x14ac:dyDescent="0.35">
      <c r="A538" s="6">
        <v>11640</v>
      </c>
      <c r="B538" s="176" t="s">
        <v>1373</v>
      </c>
      <c r="C538" s="177">
        <v>0.87202551899841874</v>
      </c>
      <c r="D538" s="177">
        <v>4.5645466452182166</v>
      </c>
    </row>
    <row r="539" spans="1:4" ht="27.75" customHeight="1" x14ac:dyDescent="0.35">
      <c r="A539" s="6">
        <v>11650</v>
      </c>
      <c r="B539" s="176" t="s">
        <v>1373</v>
      </c>
      <c r="C539" s="177">
        <v>1.7080689569678718</v>
      </c>
      <c r="D539" s="177">
        <v>3.1913616337580111</v>
      </c>
    </row>
    <row r="540" spans="1:4" ht="27.75" customHeight="1" x14ac:dyDescent="0.35">
      <c r="A540" s="6">
        <v>11655</v>
      </c>
      <c r="B540" s="176" t="s">
        <v>1794</v>
      </c>
      <c r="C540" s="177">
        <v>1.194281142107221</v>
      </c>
      <c r="D540" s="177">
        <v>6.1167134693176148</v>
      </c>
    </row>
    <row r="541" spans="1:4" ht="27.75" customHeight="1" x14ac:dyDescent="0.35">
      <c r="A541" s="6">
        <v>11685</v>
      </c>
      <c r="B541" s="176" t="s">
        <v>1795</v>
      </c>
      <c r="C541" s="177">
        <v>3.2527517369296999</v>
      </c>
      <c r="D541" s="177">
        <v>6.4603677693819215</v>
      </c>
    </row>
    <row r="542" spans="1:4" ht="27.75" customHeight="1" x14ac:dyDescent="0.35">
      <c r="A542" s="6">
        <v>11700</v>
      </c>
      <c r="B542" s="176" t="s">
        <v>1796</v>
      </c>
      <c r="C542" s="177">
        <v>1.9331341665410999</v>
      </c>
      <c r="D542" s="177">
        <v>6.4226578165494939</v>
      </c>
    </row>
    <row r="543" spans="1:4" ht="27.75" customHeight="1" x14ac:dyDescent="0.35">
      <c r="A543" s="6">
        <v>11725</v>
      </c>
      <c r="B543" s="176" t="s">
        <v>1797</v>
      </c>
      <c r="C543" s="177">
        <v>2.0828476127488811</v>
      </c>
      <c r="D543" s="177">
        <v>7.1390564602994067</v>
      </c>
    </row>
    <row r="544" spans="1:4" ht="27.75" customHeight="1" x14ac:dyDescent="0.35">
      <c r="A544" s="6">
        <v>11740</v>
      </c>
      <c r="B544" s="176" t="s">
        <v>1798</v>
      </c>
      <c r="C544" s="177">
        <v>3.6275929090618</v>
      </c>
      <c r="D544" s="177">
        <v>5.6605668865386711</v>
      </c>
    </row>
    <row r="545" spans="1:4" ht="27.75" customHeight="1" x14ac:dyDescent="0.35">
      <c r="A545" s="6">
        <v>11755</v>
      </c>
      <c r="B545" s="176" t="s">
        <v>1799</v>
      </c>
      <c r="C545" s="177">
        <v>5.9915467018467998</v>
      </c>
      <c r="D545" s="177">
        <v>5.017963863684261</v>
      </c>
    </row>
    <row r="546" spans="1:4" ht="27.75" customHeight="1" x14ac:dyDescent="0.35">
      <c r="A546" s="6">
        <v>11800</v>
      </c>
      <c r="B546" s="176" t="s">
        <v>1800</v>
      </c>
      <c r="C546" s="177">
        <v>1.4170376312395816</v>
      </c>
      <c r="D546" s="177">
        <v>3.7000183193525218</v>
      </c>
    </row>
    <row r="547" spans="1:4" ht="27.75" customHeight="1" x14ac:dyDescent="0.35">
      <c r="A547" s="6">
        <v>11805</v>
      </c>
      <c r="B547" s="176" t="s">
        <v>1801</v>
      </c>
      <c r="C547" s="177">
        <v>1.4170376312395816</v>
      </c>
      <c r="D547" s="177">
        <v>3.7000183193525218</v>
      </c>
    </row>
    <row r="548" spans="1:4" ht="27.75" customHeight="1" x14ac:dyDescent="0.35">
      <c r="A548" s="6">
        <v>11815</v>
      </c>
      <c r="B548" s="176" t="s">
        <v>1802</v>
      </c>
      <c r="C548" s="177">
        <v>0.86620779156001348</v>
      </c>
      <c r="D548" s="177">
        <v>2.332075128629743</v>
      </c>
    </row>
    <row r="549" spans="1:4" ht="27.75" customHeight="1" x14ac:dyDescent="0.35">
      <c r="A549" s="6">
        <v>11820</v>
      </c>
      <c r="B549" s="176" t="s">
        <v>1803</v>
      </c>
      <c r="C549" s="177">
        <v>1.8520190276501962</v>
      </c>
      <c r="D549" s="177">
        <v>4.1144150135167639</v>
      </c>
    </row>
    <row r="550" spans="1:4" ht="27.75" customHeight="1" x14ac:dyDescent="0.35">
      <c r="A550" s="6">
        <v>11840</v>
      </c>
      <c r="B550" s="176" t="s">
        <v>1804</v>
      </c>
      <c r="C550" s="177">
        <v>0.83940261241686565</v>
      </c>
      <c r="D550" s="177">
        <v>3.4570361389333861</v>
      </c>
    </row>
    <row r="551" spans="1:4" ht="27.75" customHeight="1" x14ac:dyDescent="0.35">
      <c r="A551" s="6">
        <v>11885</v>
      </c>
      <c r="B551" s="176" t="s">
        <v>1805</v>
      </c>
      <c r="C551" s="177">
        <v>0.1835616258094015</v>
      </c>
      <c r="D551" s="177">
        <v>3.1699339640351774</v>
      </c>
    </row>
    <row r="552" spans="1:4" ht="27.75" customHeight="1" x14ac:dyDescent="0.35">
      <c r="A552" s="6">
        <v>11905</v>
      </c>
      <c r="B552" s="176" t="s">
        <v>1806</v>
      </c>
      <c r="C552" s="177">
        <v>0.97682332493984914</v>
      </c>
      <c r="D552" s="177">
        <v>4.4194392565633134</v>
      </c>
    </row>
    <row r="553" spans="1:4" ht="27.75" customHeight="1" x14ac:dyDescent="0.35">
      <c r="A553" s="6">
        <v>11920</v>
      </c>
      <c r="B553" s="176" t="s">
        <v>1807</v>
      </c>
      <c r="C553" s="177">
        <v>2.9162292608001499</v>
      </c>
      <c r="D553" s="177">
        <v>20.686065564621728</v>
      </c>
    </row>
    <row r="554" spans="1:4" ht="27.75" customHeight="1" x14ac:dyDescent="0.35">
      <c r="A554" s="6">
        <v>11935</v>
      </c>
      <c r="B554" s="176" t="s">
        <v>1808</v>
      </c>
      <c r="C554" s="177">
        <v>2.5542425085426199</v>
      </c>
      <c r="D554" s="177">
        <v>11.553609573527011</v>
      </c>
    </row>
    <row r="555" spans="1:4" ht="27.75" customHeight="1" x14ac:dyDescent="0.35">
      <c r="A555" s="6">
        <v>11955</v>
      </c>
      <c r="B555" s="176" t="s">
        <v>1809</v>
      </c>
      <c r="C555" s="177">
        <v>0.23694493793787499</v>
      </c>
      <c r="D555" s="177">
        <v>14.972866483205213</v>
      </c>
    </row>
    <row r="556" spans="1:4" ht="27.75" customHeight="1" x14ac:dyDescent="0.35">
      <c r="A556" s="6">
        <v>11960</v>
      </c>
      <c r="B556" s="176" t="s">
        <v>1810</v>
      </c>
      <c r="C556" s="177">
        <v>0.235666901135799</v>
      </c>
      <c r="D556" s="177">
        <v>11.469064834375892</v>
      </c>
    </row>
    <row r="557" spans="1:4" ht="27.75" customHeight="1" x14ac:dyDescent="0.35">
      <c r="A557" s="6">
        <v>11975</v>
      </c>
      <c r="B557" s="176" t="s">
        <v>1811</v>
      </c>
      <c r="C557" s="177">
        <v>2.4087403327551731</v>
      </c>
      <c r="D557" s="177">
        <v>6.4742240144227914</v>
      </c>
    </row>
    <row r="558" spans="1:4" ht="27.75" customHeight="1" x14ac:dyDescent="0.35">
      <c r="A558" s="6">
        <v>12000</v>
      </c>
      <c r="B558" s="176" t="s">
        <v>1812</v>
      </c>
      <c r="C558" s="177">
        <v>1.9486928798913823</v>
      </c>
      <c r="D558" s="177">
        <v>8.936192840297652</v>
      </c>
    </row>
    <row r="559" spans="1:4" ht="27.75" customHeight="1" x14ac:dyDescent="0.35">
      <c r="A559" s="6">
        <v>12005</v>
      </c>
      <c r="B559" s="176" t="s">
        <v>1813</v>
      </c>
      <c r="C559" s="177">
        <v>1.9486928798913823</v>
      </c>
      <c r="D559" s="177">
        <v>8.936192840297652</v>
      </c>
    </row>
    <row r="560" spans="1:4" ht="27.75" customHeight="1" x14ac:dyDescent="0.35">
      <c r="A560" s="6">
        <v>12025</v>
      </c>
      <c r="B560" s="176" t="s">
        <v>1814</v>
      </c>
      <c r="C560" s="177">
        <v>1.842190942697721</v>
      </c>
      <c r="D560" s="177">
        <v>11.528554200424205</v>
      </c>
    </row>
    <row r="561" spans="1:4" ht="27.75" customHeight="1" x14ac:dyDescent="0.35">
      <c r="A561" s="6">
        <v>12047</v>
      </c>
      <c r="B561" s="176" t="s">
        <v>1373</v>
      </c>
      <c r="C561" s="177">
        <v>0.94438180219493706</v>
      </c>
      <c r="D561" s="177">
        <v>3.4017529248310394</v>
      </c>
    </row>
    <row r="562" spans="1:4" ht="27.75" customHeight="1" x14ac:dyDescent="0.35">
      <c r="A562" s="6">
        <v>12050</v>
      </c>
      <c r="B562" s="176" t="s">
        <v>1815</v>
      </c>
      <c r="C562" s="177">
        <v>2.0632807073577548</v>
      </c>
      <c r="D562" s="177">
        <v>9.0992285174135663</v>
      </c>
    </row>
    <row r="563" spans="1:4" ht="27.75" customHeight="1" x14ac:dyDescent="0.35">
      <c r="A563" s="6">
        <v>12070</v>
      </c>
      <c r="B563" s="176" t="s">
        <v>1816</v>
      </c>
      <c r="C563" s="177">
        <v>1.3404144024924669</v>
      </c>
      <c r="D563" s="177">
        <v>6.6885830971227609</v>
      </c>
    </row>
    <row r="564" spans="1:4" ht="27.75" customHeight="1" x14ac:dyDescent="0.35">
      <c r="A564" s="6">
        <v>12095</v>
      </c>
      <c r="B564" s="176" t="s">
        <v>1817</v>
      </c>
      <c r="C564" s="177">
        <v>1.8928714774070356E-2</v>
      </c>
      <c r="D564" s="177">
        <v>27.312107947440296</v>
      </c>
    </row>
    <row r="565" spans="1:4" ht="27.75" customHeight="1" x14ac:dyDescent="0.35">
      <c r="A565" s="6">
        <v>12125</v>
      </c>
      <c r="B565" s="176" t="s">
        <v>1818</v>
      </c>
      <c r="C565" s="177">
        <v>0.97655497153273108</v>
      </c>
      <c r="D565" s="177">
        <v>2.1273826291521765</v>
      </c>
    </row>
    <row r="566" spans="1:4" ht="27.75" customHeight="1" x14ac:dyDescent="0.35">
      <c r="A566" s="6">
        <v>12140</v>
      </c>
      <c r="B566" s="176" t="s">
        <v>1819</v>
      </c>
      <c r="C566" s="177">
        <v>4.1210594542312622</v>
      </c>
      <c r="D566" s="177">
        <v>6.3184402868956395</v>
      </c>
    </row>
    <row r="567" spans="1:4" ht="27.75" customHeight="1" x14ac:dyDescent="0.35">
      <c r="A567" s="6">
        <v>12165</v>
      </c>
      <c r="B567" s="176" t="s">
        <v>1820</v>
      </c>
      <c r="C567" s="177">
        <v>0.42439667574987699</v>
      </c>
      <c r="D567" s="177">
        <v>3.1992623216086411</v>
      </c>
    </row>
    <row r="568" spans="1:4" ht="27.75" customHeight="1" x14ac:dyDescent="0.35">
      <c r="A568" s="6">
        <v>12225</v>
      </c>
      <c r="B568" s="176" t="s">
        <v>1821</v>
      </c>
      <c r="C568" s="177">
        <v>4.5876332942490956</v>
      </c>
      <c r="D568" s="177">
        <v>29.608317544694216</v>
      </c>
    </row>
    <row r="569" spans="1:4" ht="27.75" customHeight="1" x14ac:dyDescent="0.35">
      <c r="A569" s="6">
        <v>12235</v>
      </c>
      <c r="B569" s="176" t="s">
        <v>1822</v>
      </c>
      <c r="C569" s="177">
        <v>0.10254843892653981</v>
      </c>
      <c r="D569" s="177">
        <v>0.65769637923430069</v>
      </c>
    </row>
    <row r="570" spans="1:4" ht="27.75" customHeight="1" x14ac:dyDescent="0.35">
      <c r="A570" s="6">
        <v>12250</v>
      </c>
      <c r="B570" s="176" t="s">
        <v>1823</v>
      </c>
      <c r="C570" s="177">
        <v>0.45554296761932722</v>
      </c>
      <c r="D570" s="177">
        <v>-0.12781759312261887</v>
      </c>
    </row>
    <row r="571" spans="1:4" ht="27.75" customHeight="1" x14ac:dyDescent="0.35">
      <c r="A571" s="6">
        <v>12275</v>
      </c>
      <c r="B571" s="176" t="s">
        <v>1373</v>
      </c>
      <c r="C571" s="177">
        <v>52.751902772505161</v>
      </c>
      <c r="D571" s="177">
        <v>0.70106328370084015</v>
      </c>
    </row>
    <row r="572" spans="1:4" ht="27.75" customHeight="1" x14ac:dyDescent="0.35">
      <c r="A572" s="6">
        <v>12280</v>
      </c>
      <c r="B572" s="176" t="s">
        <v>1824</v>
      </c>
      <c r="C572" s="177">
        <v>1.061881709752625</v>
      </c>
      <c r="D572" s="177">
        <v>2.6910477178344276</v>
      </c>
    </row>
    <row r="573" spans="1:4" ht="27.75" customHeight="1" x14ac:dyDescent="0.35">
      <c r="A573" s="6">
        <v>12295</v>
      </c>
      <c r="B573" s="176" t="s">
        <v>1825</v>
      </c>
      <c r="C573" s="177">
        <v>0.56124256962944452</v>
      </c>
      <c r="D573" s="177">
        <v>4.2514997579597278</v>
      </c>
    </row>
    <row r="574" spans="1:4" ht="27.75" customHeight="1" x14ac:dyDescent="0.35">
      <c r="A574" s="6">
        <v>12325</v>
      </c>
      <c r="B574" s="176" t="s">
        <v>1826</v>
      </c>
      <c r="C574" s="177">
        <v>0.47966514827417928</v>
      </c>
      <c r="D574" s="177">
        <v>17.158437592748029</v>
      </c>
    </row>
    <row r="575" spans="1:4" ht="27.75" customHeight="1" x14ac:dyDescent="0.35">
      <c r="A575" s="6">
        <v>12350</v>
      </c>
      <c r="B575" s="176" t="s">
        <v>1827</v>
      </c>
      <c r="C575" s="177">
        <v>3.1322872212467527</v>
      </c>
      <c r="D575" s="177">
        <v>6.3496128820575208</v>
      </c>
    </row>
    <row r="576" spans="1:4" ht="27.75" customHeight="1" x14ac:dyDescent="0.35">
      <c r="A576" s="6">
        <v>12370</v>
      </c>
      <c r="B576" s="176" t="s">
        <v>1828</v>
      </c>
      <c r="C576" s="177">
        <v>0.35507878199547777</v>
      </c>
      <c r="D576" s="177">
        <v>7.637763026584043</v>
      </c>
    </row>
    <row r="577" spans="1:4" ht="27.75" customHeight="1" x14ac:dyDescent="0.35">
      <c r="A577" s="6">
        <v>12390</v>
      </c>
      <c r="B577" s="176" t="s">
        <v>1829</v>
      </c>
      <c r="C577" s="177">
        <v>3.1802767527481981</v>
      </c>
      <c r="D577" s="177">
        <v>8.8076058937638741</v>
      </c>
    </row>
    <row r="578" spans="1:4" ht="27.75" customHeight="1" x14ac:dyDescent="0.35">
      <c r="A578" s="6">
        <v>12415</v>
      </c>
      <c r="B578" s="176" t="s">
        <v>1830</v>
      </c>
      <c r="C578" s="177">
        <v>0.30218469534518566</v>
      </c>
      <c r="D578" s="177">
        <v>24.916891222110255</v>
      </c>
    </row>
    <row r="579" spans="1:4" ht="27.75" customHeight="1" x14ac:dyDescent="0.35">
      <c r="A579" s="6">
        <v>12445</v>
      </c>
      <c r="B579" s="176" t="s">
        <v>1831</v>
      </c>
      <c r="C579" s="177">
        <v>0.15840347825823151</v>
      </c>
      <c r="D579" s="177">
        <v>19.328936224193754</v>
      </c>
    </row>
    <row r="580" spans="1:4" ht="27.75" customHeight="1" x14ac:dyDescent="0.35">
      <c r="A580" s="6">
        <v>12485</v>
      </c>
      <c r="B580" s="176" t="s">
        <v>1832</v>
      </c>
      <c r="C580" s="177">
        <v>0.98495903153009379</v>
      </c>
      <c r="D580" s="177">
        <v>4.544755662699461</v>
      </c>
    </row>
    <row r="581" spans="1:4" ht="27.75" customHeight="1" x14ac:dyDescent="0.35">
      <c r="A581" s="6">
        <v>12490</v>
      </c>
      <c r="B581" s="176" t="s">
        <v>1833</v>
      </c>
      <c r="C581" s="177">
        <v>2.7618128697245399</v>
      </c>
      <c r="D581" s="177">
        <v>2.4946306146175989</v>
      </c>
    </row>
    <row r="582" spans="1:4" ht="27.75" customHeight="1" x14ac:dyDescent="0.35">
      <c r="A582" s="6">
        <v>12555</v>
      </c>
      <c r="B582" s="176" t="s">
        <v>1834</v>
      </c>
      <c r="C582" s="177">
        <v>1.9642354454856099</v>
      </c>
      <c r="D582" s="177">
        <v>0.78080465184460457</v>
      </c>
    </row>
    <row r="583" spans="1:4" ht="27.75" customHeight="1" x14ac:dyDescent="0.35">
      <c r="A583" s="6">
        <v>12560</v>
      </c>
      <c r="B583" s="176" t="s">
        <v>1835</v>
      </c>
      <c r="C583" s="177">
        <v>1.9163217421457499</v>
      </c>
      <c r="D583" s="177">
        <v>0.29486740462628691</v>
      </c>
    </row>
    <row r="584" spans="1:4" ht="27.75" customHeight="1" x14ac:dyDescent="0.35">
      <c r="A584" s="6">
        <v>12605</v>
      </c>
      <c r="B584" s="176" t="s">
        <v>1836</v>
      </c>
      <c r="C584" s="177">
        <v>1.579759928226423</v>
      </c>
      <c r="D584" s="177">
        <v>0.78303623402125089</v>
      </c>
    </row>
    <row r="585" spans="1:4" ht="27.75" customHeight="1" x14ac:dyDescent="0.35">
      <c r="A585" s="6">
        <v>12690</v>
      </c>
      <c r="B585" s="176" t="s">
        <v>1373</v>
      </c>
      <c r="C585" s="177">
        <v>0</v>
      </c>
      <c r="D585" s="177">
        <v>0</v>
      </c>
    </row>
    <row r="586" spans="1:4" ht="27.75" customHeight="1" x14ac:dyDescent="0.35">
      <c r="A586" s="6">
        <v>12775</v>
      </c>
      <c r="B586" s="176" t="s">
        <v>1837</v>
      </c>
      <c r="C586" s="177">
        <v>1.9468248121573499</v>
      </c>
      <c r="D586" s="177">
        <v>9.1900526646349014</v>
      </c>
    </row>
    <row r="587" spans="1:4" ht="27.75" customHeight="1" x14ac:dyDescent="0.35">
      <c r="A587" s="6">
        <v>12777</v>
      </c>
      <c r="B587" s="176" t="s">
        <v>1837</v>
      </c>
      <c r="C587" s="177">
        <v>1.9468248121573499</v>
      </c>
      <c r="D587" s="177">
        <v>9.1900526646349014</v>
      </c>
    </row>
    <row r="588" spans="1:4" ht="27.75" customHeight="1" x14ac:dyDescent="0.35">
      <c r="A588" s="6">
        <v>12801</v>
      </c>
      <c r="B588" s="176" t="s">
        <v>1373</v>
      </c>
      <c r="C588" s="177">
        <v>14.804783804956999</v>
      </c>
      <c r="D588" s="177">
        <v>7.8964542759241141E-3</v>
      </c>
    </row>
    <row r="589" spans="1:4" ht="27.75" customHeight="1" x14ac:dyDescent="0.35">
      <c r="A589" s="6">
        <v>12805</v>
      </c>
      <c r="B589" s="176" t="s">
        <v>1838</v>
      </c>
      <c r="C589" s="177">
        <v>1.166403476668288</v>
      </c>
      <c r="D589" s="177">
        <v>13.188671100504521</v>
      </c>
    </row>
    <row r="590" spans="1:4" ht="27.75" customHeight="1" x14ac:dyDescent="0.35">
      <c r="A590" s="6">
        <v>12820</v>
      </c>
      <c r="B590" s="176" t="s">
        <v>1839</v>
      </c>
      <c r="C590" s="177">
        <v>2.3103038648924099</v>
      </c>
      <c r="D590" s="177">
        <v>6.987276379881413</v>
      </c>
    </row>
    <row r="591" spans="1:4" ht="27.75" customHeight="1" x14ac:dyDescent="0.35">
      <c r="A591" s="6">
        <v>12845</v>
      </c>
      <c r="B591" s="176" t="s">
        <v>1840</v>
      </c>
      <c r="C591" s="177">
        <v>1.579759928226423</v>
      </c>
      <c r="D591" s="177">
        <v>0.78303623402125089</v>
      </c>
    </row>
    <row r="592" spans="1:4" ht="27.75" customHeight="1" x14ac:dyDescent="0.35">
      <c r="A592" s="6">
        <v>12895</v>
      </c>
      <c r="B592" s="176" t="s">
        <v>1841</v>
      </c>
      <c r="C592" s="177">
        <v>0.64774754925760503</v>
      </c>
      <c r="D592" s="177">
        <v>2.6258123028769509</v>
      </c>
    </row>
    <row r="593" spans="1:4" ht="27.75" customHeight="1" x14ac:dyDescent="0.35">
      <c r="A593" s="6">
        <v>12930</v>
      </c>
      <c r="B593" s="176" t="s">
        <v>1842</v>
      </c>
      <c r="C593" s="177">
        <v>0.12146267011193999</v>
      </c>
      <c r="D593" s="177">
        <v>7.4522364862040851</v>
      </c>
    </row>
    <row r="594" spans="1:4" ht="27.75" customHeight="1" x14ac:dyDescent="0.35">
      <c r="A594" s="6">
        <v>12940</v>
      </c>
      <c r="B594" s="176" t="s">
        <v>1843</v>
      </c>
      <c r="C594" s="177">
        <v>0.71008947563604186</v>
      </c>
      <c r="D594" s="177">
        <v>10.559680718132523</v>
      </c>
    </row>
    <row r="595" spans="1:4" ht="27.75" customHeight="1" x14ac:dyDescent="0.35">
      <c r="A595" s="6">
        <v>12955</v>
      </c>
      <c r="B595" s="176" t="s">
        <v>1844</v>
      </c>
      <c r="C595" s="177">
        <v>0.2088605432512094</v>
      </c>
      <c r="D595" s="177">
        <v>8.810143176067589</v>
      </c>
    </row>
    <row r="596" spans="1:4" ht="27.75" customHeight="1" x14ac:dyDescent="0.35">
      <c r="A596" s="6">
        <v>12965</v>
      </c>
      <c r="B596" s="176" t="s">
        <v>1373</v>
      </c>
      <c r="C596" s="177">
        <v>4.281548713244578</v>
      </c>
      <c r="D596" s="177">
        <v>3.1493466306549802</v>
      </c>
    </row>
    <row r="597" spans="1:4" ht="27.75" customHeight="1" x14ac:dyDescent="0.35">
      <c r="A597" s="6">
        <v>12986</v>
      </c>
      <c r="B597" s="176" t="s">
        <v>1373</v>
      </c>
      <c r="C597" s="177">
        <v>5.3583078951180214</v>
      </c>
      <c r="D597" s="177">
        <v>3.8901610009427126</v>
      </c>
    </row>
    <row r="598" spans="1:4" ht="27.75" customHeight="1" x14ac:dyDescent="0.35">
      <c r="A598" s="6">
        <v>12987</v>
      </c>
      <c r="B598" s="176" t="s">
        <v>1373</v>
      </c>
      <c r="C598" s="177">
        <v>4.8821348818186934</v>
      </c>
      <c r="D598" s="177">
        <v>4.0373155359503041</v>
      </c>
    </row>
    <row r="599" spans="1:4" ht="27.75" customHeight="1" x14ac:dyDescent="0.35">
      <c r="A599" s="6">
        <v>12995</v>
      </c>
      <c r="B599" s="176" t="s">
        <v>1845</v>
      </c>
      <c r="C599" s="177">
        <v>6.8980393032734302</v>
      </c>
      <c r="D599" s="177">
        <v>6.6261850840655949</v>
      </c>
    </row>
    <row r="600" spans="1:4" ht="27.75" customHeight="1" x14ac:dyDescent="0.35">
      <c r="A600" s="6">
        <v>13000</v>
      </c>
      <c r="B600" s="176" t="s">
        <v>1846</v>
      </c>
      <c r="C600" s="177">
        <v>1.4662978659713999</v>
      </c>
      <c r="D600" s="177">
        <v>4.3357432921699246</v>
      </c>
    </row>
    <row r="601" spans="1:4" ht="27.75" customHeight="1" x14ac:dyDescent="0.35">
      <c r="A601" s="6">
        <v>13020</v>
      </c>
      <c r="B601" s="176" t="s">
        <v>1847</v>
      </c>
      <c r="C601" s="177">
        <v>1.0598368135121961</v>
      </c>
      <c r="D601" s="177">
        <v>11.886910415627</v>
      </c>
    </row>
    <row r="602" spans="1:4" ht="27.75" customHeight="1" x14ac:dyDescent="0.35">
      <c r="A602" s="6">
        <v>13030</v>
      </c>
      <c r="B602" s="176" t="s">
        <v>1373</v>
      </c>
      <c r="C602" s="177">
        <v>1.8067686196430999</v>
      </c>
      <c r="D602" s="177">
        <v>3.3633333718033627</v>
      </c>
    </row>
    <row r="603" spans="1:4" ht="27.75" customHeight="1" x14ac:dyDescent="0.35">
      <c r="A603" s="6">
        <v>13040</v>
      </c>
      <c r="B603" s="176" t="s">
        <v>1848</v>
      </c>
      <c r="C603" s="177">
        <v>9.8891245700828745E-2</v>
      </c>
      <c r="D603" s="177">
        <v>3.8869020151694751</v>
      </c>
    </row>
    <row r="604" spans="1:4" ht="27.75" customHeight="1" x14ac:dyDescent="0.35">
      <c r="A604" s="6">
        <v>13050</v>
      </c>
      <c r="B604" s="176" t="s">
        <v>1849</v>
      </c>
      <c r="C604" s="177">
        <v>0.50490181399153766</v>
      </c>
      <c r="D604" s="177">
        <v>5.9673986382136945</v>
      </c>
    </row>
    <row r="605" spans="1:4" ht="27.75" customHeight="1" x14ac:dyDescent="0.35">
      <c r="A605" s="6">
        <v>13085</v>
      </c>
      <c r="B605" s="176" t="s">
        <v>1373</v>
      </c>
      <c r="C605" s="177">
        <v>14.832499375574477</v>
      </c>
      <c r="D605" s="177">
        <v>3.4170497585368356</v>
      </c>
    </row>
    <row r="606" spans="1:4" ht="27.75" customHeight="1" x14ac:dyDescent="0.35">
      <c r="A606" s="6">
        <v>13090</v>
      </c>
      <c r="B606" s="176" t="s">
        <v>1373</v>
      </c>
      <c r="C606" s="177">
        <v>2.4297112527003351</v>
      </c>
      <c r="D606" s="177">
        <v>3.3931348591332484</v>
      </c>
    </row>
    <row r="607" spans="1:4" ht="27.75" customHeight="1" x14ac:dyDescent="0.35">
      <c r="A607" s="6">
        <v>13105</v>
      </c>
      <c r="B607" s="176" t="s">
        <v>1850</v>
      </c>
      <c r="C607" s="177">
        <v>1.0701080449056666</v>
      </c>
      <c r="D607" s="177">
        <v>6.1130813125896637</v>
      </c>
    </row>
    <row r="608" spans="1:4" ht="27.75" customHeight="1" x14ac:dyDescent="0.35">
      <c r="A608" s="6">
        <v>13120</v>
      </c>
      <c r="B608" s="176" t="s">
        <v>1851</v>
      </c>
      <c r="C608" s="177">
        <v>4.5259457664074301</v>
      </c>
      <c r="D608" s="177">
        <v>5.1239709642501818</v>
      </c>
    </row>
    <row r="609" spans="1:4" ht="27.75" customHeight="1" x14ac:dyDescent="0.35">
      <c r="A609" s="6">
        <v>13140</v>
      </c>
      <c r="B609" s="176" t="s">
        <v>1852</v>
      </c>
      <c r="C609" s="177">
        <v>0.30559131590963029</v>
      </c>
      <c r="D609" s="177">
        <v>3.9401154597280201</v>
      </c>
    </row>
    <row r="610" spans="1:4" ht="27.75" customHeight="1" x14ac:dyDescent="0.35">
      <c r="A610" s="6">
        <v>13145</v>
      </c>
      <c r="B610" s="176" t="s">
        <v>1853</v>
      </c>
      <c r="C610" s="177">
        <v>1.0532378568856595</v>
      </c>
      <c r="D610" s="177">
        <v>4.084888773631449</v>
      </c>
    </row>
    <row r="611" spans="1:4" ht="27.75" customHeight="1" x14ac:dyDescent="0.35">
      <c r="A611" s="6">
        <v>13160</v>
      </c>
      <c r="B611" s="176" t="s">
        <v>1854</v>
      </c>
      <c r="C611" s="177">
        <v>2.1161903835056659</v>
      </c>
      <c r="D611" s="177">
        <v>14.64284193794286</v>
      </c>
    </row>
    <row r="612" spans="1:4" ht="27.75" customHeight="1" x14ac:dyDescent="0.35">
      <c r="A612" s="6">
        <v>13175</v>
      </c>
      <c r="B612" s="176" t="s">
        <v>1855</v>
      </c>
      <c r="C612" s="177">
        <v>4.6638424195139372</v>
      </c>
      <c r="D612" s="177">
        <v>4.6394393376820684</v>
      </c>
    </row>
    <row r="613" spans="1:4" ht="27.75" customHeight="1" x14ac:dyDescent="0.35">
      <c r="A613" s="6">
        <v>13185</v>
      </c>
      <c r="B613" s="176" t="s">
        <v>1856</v>
      </c>
      <c r="C613" s="177">
        <v>2.0126108152142157</v>
      </c>
      <c r="D613" s="177">
        <v>25.014126812867538</v>
      </c>
    </row>
    <row r="614" spans="1:4" ht="27.75" customHeight="1" x14ac:dyDescent="0.35">
      <c r="A614" s="6">
        <v>13205</v>
      </c>
      <c r="B614" s="176" t="s">
        <v>1857</v>
      </c>
      <c r="C614" s="177">
        <v>1.5525757384223668</v>
      </c>
      <c r="D614" s="177">
        <v>24.9243099293871</v>
      </c>
    </row>
    <row r="615" spans="1:4" ht="27.75" customHeight="1" x14ac:dyDescent="0.35">
      <c r="A615" s="6">
        <v>13215</v>
      </c>
      <c r="B615" s="176" t="s">
        <v>1858</v>
      </c>
      <c r="C615" s="177">
        <v>3.3480836934921845</v>
      </c>
      <c r="D615" s="177">
        <v>8.7925736721787899</v>
      </c>
    </row>
    <row r="616" spans="1:4" ht="27.75" customHeight="1" x14ac:dyDescent="0.35">
      <c r="A616" s="6">
        <v>13230</v>
      </c>
      <c r="B616" s="176" t="s">
        <v>1859</v>
      </c>
      <c r="C616" s="177">
        <v>3.1875646985170425</v>
      </c>
      <c r="D616" s="177">
        <v>12.458356623055053</v>
      </c>
    </row>
    <row r="617" spans="1:4" ht="27.75" customHeight="1" x14ac:dyDescent="0.35">
      <c r="A617" s="6">
        <v>13235</v>
      </c>
      <c r="B617" s="176" t="s">
        <v>1860</v>
      </c>
      <c r="C617" s="177">
        <v>3.1706201646112278</v>
      </c>
      <c r="D617" s="177">
        <v>12.452681849017326</v>
      </c>
    </row>
    <row r="618" spans="1:4" ht="27.75" customHeight="1" x14ac:dyDescent="0.35">
      <c r="A618" s="6">
        <v>13240</v>
      </c>
      <c r="B618" s="176" t="s">
        <v>1861</v>
      </c>
      <c r="C618" s="177">
        <v>8.8619796605313106E-2</v>
      </c>
      <c r="D618" s="177">
        <v>15.134228504750665</v>
      </c>
    </row>
    <row r="619" spans="1:4" ht="27.75" customHeight="1" x14ac:dyDescent="0.35">
      <c r="A619" s="6">
        <v>13265</v>
      </c>
      <c r="B619" s="176" t="s">
        <v>1862</v>
      </c>
      <c r="C619" s="177">
        <v>4.7245270063230054</v>
      </c>
      <c r="D619" s="177">
        <v>28.97330867303042</v>
      </c>
    </row>
    <row r="620" spans="1:4" ht="27.75" customHeight="1" x14ac:dyDescent="0.35">
      <c r="A620" s="6">
        <v>13305</v>
      </c>
      <c r="B620" s="176" t="s">
        <v>1863</v>
      </c>
      <c r="C620" s="177">
        <v>8.544962280229032E-2</v>
      </c>
      <c r="D620" s="177">
        <v>12.554447747645295</v>
      </c>
    </row>
    <row r="621" spans="1:4" ht="27.75" customHeight="1" x14ac:dyDescent="0.35">
      <c r="A621" s="6">
        <v>13330</v>
      </c>
      <c r="B621" s="176" t="s">
        <v>1864</v>
      </c>
      <c r="C621" s="177">
        <v>1.2005443121414581</v>
      </c>
      <c r="D621" s="177">
        <v>10.16880446511697</v>
      </c>
    </row>
    <row r="622" spans="1:4" ht="27.75" customHeight="1" x14ac:dyDescent="0.35">
      <c r="A622" s="6">
        <v>13340</v>
      </c>
      <c r="B622" s="176" t="s">
        <v>1865</v>
      </c>
      <c r="C622" s="177">
        <v>5.8406707006822707</v>
      </c>
      <c r="D622" s="177">
        <v>9.6244056213856215</v>
      </c>
    </row>
    <row r="623" spans="1:4" ht="27.75" customHeight="1" x14ac:dyDescent="0.35">
      <c r="A623" s="6">
        <v>13370</v>
      </c>
      <c r="B623" s="176" t="s">
        <v>1866</v>
      </c>
      <c r="C623" s="177">
        <v>2.1737106313981944</v>
      </c>
      <c r="D623" s="177">
        <v>16.351482340998867</v>
      </c>
    </row>
    <row r="624" spans="1:4" ht="27.75" customHeight="1" x14ac:dyDescent="0.35">
      <c r="A624" s="6">
        <v>13400</v>
      </c>
      <c r="B624" s="176" t="s">
        <v>1867</v>
      </c>
      <c r="C624" s="177">
        <v>0.30138200427515849</v>
      </c>
      <c r="D624" s="177">
        <v>1.5810289595924536</v>
      </c>
    </row>
    <row r="625" spans="1:4" ht="27.75" customHeight="1" x14ac:dyDescent="0.35">
      <c r="A625" s="6">
        <v>13415</v>
      </c>
      <c r="B625" s="176" t="s">
        <v>1868</v>
      </c>
      <c r="C625" s="177">
        <v>0.28196890203120983</v>
      </c>
      <c r="D625" s="177">
        <v>10.382644988549819</v>
      </c>
    </row>
    <row r="626" spans="1:4" ht="27.75" customHeight="1" x14ac:dyDescent="0.35">
      <c r="A626" s="6">
        <v>13435</v>
      </c>
      <c r="B626" s="176" t="s">
        <v>1869</v>
      </c>
      <c r="C626" s="177">
        <v>1.5687386290935368</v>
      </c>
      <c r="D626" s="177">
        <v>-0.80906769481369811</v>
      </c>
    </row>
    <row r="627" spans="1:4" ht="27.75" customHeight="1" x14ac:dyDescent="0.35">
      <c r="A627" s="6">
        <v>13470</v>
      </c>
      <c r="B627" s="176" t="s">
        <v>1870</v>
      </c>
      <c r="C627" s="177">
        <v>1.3808231941582816</v>
      </c>
      <c r="D627" s="177">
        <v>0.91524059393188906</v>
      </c>
    </row>
    <row r="628" spans="1:4" ht="27.75" customHeight="1" x14ac:dyDescent="0.35">
      <c r="A628" s="6">
        <v>13510</v>
      </c>
      <c r="B628" s="176" t="s">
        <v>1871</v>
      </c>
      <c r="C628" s="177">
        <v>0.28127022050291622</v>
      </c>
      <c r="D628" s="177">
        <v>0.71755358181582252</v>
      </c>
    </row>
    <row r="629" spans="1:4" ht="27.75" customHeight="1" x14ac:dyDescent="0.35">
      <c r="A629" s="6">
        <v>13525</v>
      </c>
      <c r="B629" s="176" t="s">
        <v>1872</v>
      </c>
      <c r="C629" s="177">
        <v>0.11345530999595221</v>
      </c>
      <c r="D629" s="177">
        <v>11.556811489447094</v>
      </c>
    </row>
    <row r="630" spans="1:4" ht="27.75" customHeight="1" x14ac:dyDescent="0.35">
      <c r="A630" s="6">
        <v>13530</v>
      </c>
      <c r="B630" s="176" t="s">
        <v>1373</v>
      </c>
      <c r="C630" s="177">
        <v>19.466819228595099</v>
      </c>
      <c r="D630" s="177">
        <v>0.62302571933956941</v>
      </c>
    </row>
    <row r="631" spans="1:4" ht="27.75" customHeight="1" x14ac:dyDescent="0.35">
      <c r="A631" s="6">
        <v>13545</v>
      </c>
      <c r="B631" s="176" t="s">
        <v>1873</v>
      </c>
      <c r="C631" s="177">
        <v>1.7950023674519762</v>
      </c>
      <c r="D631" s="177">
        <v>0.99502429701645401</v>
      </c>
    </row>
    <row r="632" spans="1:4" ht="27.75" customHeight="1" x14ac:dyDescent="0.35">
      <c r="A632" s="6">
        <v>13575</v>
      </c>
      <c r="B632" s="176" t="s">
        <v>1874</v>
      </c>
      <c r="C632" s="177">
        <v>-0.17619215666466007</v>
      </c>
      <c r="D632" s="177">
        <v>0.15362923082209495</v>
      </c>
    </row>
    <row r="633" spans="1:4" ht="27.75" customHeight="1" x14ac:dyDescent="0.35">
      <c r="A633" s="6">
        <v>13580</v>
      </c>
      <c r="B633" s="176" t="s">
        <v>1875</v>
      </c>
      <c r="C633" s="177">
        <v>-1.6328549971062292</v>
      </c>
      <c r="D633" s="177">
        <v>0.19695574619560552</v>
      </c>
    </row>
    <row r="634" spans="1:4" ht="27.75" customHeight="1" x14ac:dyDescent="0.35">
      <c r="A634" s="6">
        <v>13590</v>
      </c>
      <c r="B634" s="176" t="s">
        <v>1876</v>
      </c>
      <c r="C634" s="177">
        <v>0.42252871462511138</v>
      </c>
      <c r="D634" s="177">
        <v>2.5366312605001369</v>
      </c>
    </row>
    <row r="635" spans="1:4" ht="27.75" customHeight="1" x14ac:dyDescent="0.35">
      <c r="A635" s="6">
        <v>13610</v>
      </c>
      <c r="B635" s="176" t="s">
        <v>1877</v>
      </c>
      <c r="C635" s="177">
        <v>-0.66244268258118733</v>
      </c>
      <c r="D635" s="177">
        <v>13.383720536915801</v>
      </c>
    </row>
    <row r="636" spans="1:4" ht="27.75" customHeight="1" x14ac:dyDescent="0.35">
      <c r="A636" s="6">
        <v>13615</v>
      </c>
      <c r="B636" s="176" t="s">
        <v>1373</v>
      </c>
      <c r="C636" s="177">
        <v>20.811799977412843</v>
      </c>
      <c r="D636" s="177">
        <v>-9.0843546016586174E-2</v>
      </c>
    </row>
    <row r="637" spans="1:4" ht="27.75" customHeight="1" x14ac:dyDescent="0.35">
      <c r="A637" s="6">
        <v>13625</v>
      </c>
      <c r="B637" s="176" t="s">
        <v>1878</v>
      </c>
      <c r="C637" s="177">
        <v>4.2869424806722343</v>
      </c>
      <c r="D637" s="177">
        <v>6.874121152362358</v>
      </c>
    </row>
    <row r="638" spans="1:4" ht="27.75" customHeight="1" x14ac:dyDescent="0.35">
      <c r="A638" s="6">
        <v>13640</v>
      </c>
      <c r="B638" s="176" t="s">
        <v>1373</v>
      </c>
      <c r="C638" s="177">
        <v>15.023031259300506</v>
      </c>
      <c r="D638" s="177">
        <v>0.80270559384448958</v>
      </c>
    </row>
    <row r="639" spans="1:4" ht="27.75" customHeight="1" x14ac:dyDescent="0.35">
      <c r="A639" s="6">
        <v>13645</v>
      </c>
      <c r="B639" s="176" t="s">
        <v>1373</v>
      </c>
      <c r="C639" s="177">
        <v>10.377477743334422</v>
      </c>
      <c r="D639" s="177">
        <v>-0.14714060310453014</v>
      </c>
    </row>
    <row r="640" spans="1:4" ht="27.75" customHeight="1" x14ac:dyDescent="0.35">
      <c r="A640" s="6">
        <v>13650</v>
      </c>
      <c r="B640" s="176" t="s">
        <v>1879</v>
      </c>
      <c r="C640" s="177">
        <v>0.1356772192659868</v>
      </c>
      <c r="D640" s="177">
        <v>0.83333971886776737</v>
      </c>
    </row>
    <row r="641" spans="1:4" ht="27.75" customHeight="1" x14ac:dyDescent="0.35">
      <c r="A641" s="6">
        <v>13665</v>
      </c>
      <c r="B641" s="176" t="s">
        <v>1880</v>
      </c>
      <c r="C641" s="177">
        <v>2.3483404423646701</v>
      </c>
      <c r="D641" s="177">
        <v>7.0589136155924237</v>
      </c>
    </row>
    <row r="642" spans="1:4" ht="27.75" customHeight="1" x14ac:dyDescent="0.35">
      <c r="A642" s="6">
        <v>13700</v>
      </c>
      <c r="B642" s="176" t="s">
        <v>1881</v>
      </c>
      <c r="C642" s="177">
        <v>0.39125096120497099</v>
      </c>
      <c r="D642" s="177">
        <v>0.89134561010067115</v>
      </c>
    </row>
    <row r="643" spans="1:4" ht="27.75" customHeight="1" x14ac:dyDescent="0.35">
      <c r="A643" s="6">
        <v>13705</v>
      </c>
      <c r="B643" s="176" t="s">
        <v>1373</v>
      </c>
      <c r="C643" s="177">
        <v>0.62334610628226561</v>
      </c>
      <c r="D643" s="177">
        <v>0.14888789229423949</v>
      </c>
    </row>
    <row r="644" spans="1:4" ht="27.75" customHeight="1" x14ac:dyDescent="0.35">
      <c r="A644" s="6">
        <v>13715</v>
      </c>
      <c r="B644" s="176" t="s">
        <v>1373</v>
      </c>
      <c r="C644" s="177">
        <v>3.0125591734519626</v>
      </c>
      <c r="D644" s="177">
        <v>0.11499162772581917</v>
      </c>
    </row>
    <row r="645" spans="1:4" ht="27.75" customHeight="1" x14ac:dyDescent="0.35">
      <c r="A645" s="6">
        <v>13720</v>
      </c>
      <c r="B645" s="176" t="s">
        <v>1373</v>
      </c>
      <c r="C645" s="177">
        <v>0.65367698312861644</v>
      </c>
      <c r="D645" s="177">
        <v>0.15760144828502198</v>
      </c>
    </row>
    <row r="646" spans="1:4" ht="27.75" customHeight="1" x14ac:dyDescent="0.35">
      <c r="A646" s="6">
        <v>13727</v>
      </c>
      <c r="B646" s="176" t="s">
        <v>1373</v>
      </c>
      <c r="C646" s="177">
        <v>0.78321324539165849</v>
      </c>
      <c r="D646" s="177">
        <v>0.11502404698452151</v>
      </c>
    </row>
    <row r="647" spans="1:4" ht="27.75" customHeight="1" x14ac:dyDescent="0.35">
      <c r="A647" s="6">
        <v>13728</v>
      </c>
      <c r="B647" s="176" t="s">
        <v>1373</v>
      </c>
      <c r="C647" s="177">
        <v>0.55394579669933008</v>
      </c>
      <c r="D647" s="177">
        <v>0.11486065533189393</v>
      </c>
    </row>
    <row r="648" spans="1:4" ht="27.75" customHeight="1" x14ac:dyDescent="0.35">
      <c r="A648" s="6">
        <v>13770</v>
      </c>
      <c r="B648" s="176" t="s">
        <v>1882</v>
      </c>
      <c r="C648" s="177">
        <v>5.507299714573513</v>
      </c>
      <c r="D648" s="177">
        <v>2.1049281846093315</v>
      </c>
    </row>
    <row r="649" spans="1:4" ht="27.75" customHeight="1" x14ac:dyDescent="0.35">
      <c r="A649" s="6">
        <v>13815</v>
      </c>
      <c r="B649" s="176" t="s">
        <v>1883</v>
      </c>
      <c r="C649" s="177">
        <v>-2.3577468496897527E-2</v>
      </c>
      <c r="D649" s="177">
        <v>0.68968060000695453</v>
      </c>
    </row>
    <row r="650" spans="1:4" ht="27.75" customHeight="1" x14ac:dyDescent="0.35">
      <c r="A650" s="6">
        <v>13850</v>
      </c>
      <c r="B650" s="176" t="s">
        <v>1373</v>
      </c>
      <c r="C650" s="177">
        <v>0.34180625812343507</v>
      </c>
      <c r="D650" s="177">
        <v>-0.24918159786145794</v>
      </c>
    </row>
    <row r="651" spans="1:4" ht="27.75" customHeight="1" x14ac:dyDescent="0.35">
      <c r="A651" s="6">
        <v>13855</v>
      </c>
      <c r="B651" s="176" t="s">
        <v>1373</v>
      </c>
      <c r="C651" s="177">
        <v>0.22962156162824718</v>
      </c>
      <c r="D651" s="177">
        <v>-0.24644956501363113</v>
      </c>
    </row>
    <row r="652" spans="1:4" ht="27.75" customHeight="1" x14ac:dyDescent="0.35">
      <c r="A652" s="6">
        <v>13920</v>
      </c>
      <c r="B652" s="176" t="s">
        <v>1884</v>
      </c>
      <c r="C652" s="177">
        <v>5.4330391507681801</v>
      </c>
      <c r="D652" s="177">
        <v>5.4471978011885005</v>
      </c>
    </row>
    <row r="653" spans="1:4" ht="27.75" customHeight="1" x14ac:dyDescent="0.35">
      <c r="A653" s="6">
        <v>13935</v>
      </c>
      <c r="B653" s="176" t="s">
        <v>1373</v>
      </c>
      <c r="C653" s="177">
        <v>2.9244150290548236</v>
      </c>
      <c r="D653" s="177">
        <v>1.9357184215622603E-3</v>
      </c>
    </row>
    <row r="654" spans="1:4" ht="27.75" customHeight="1" x14ac:dyDescent="0.35">
      <c r="A654" s="6">
        <v>13940</v>
      </c>
      <c r="B654" s="176" t="s">
        <v>1373</v>
      </c>
      <c r="C654" s="177">
        <v>2.9227503194819948</v>
      </c>
      <c r="D654" s="177">
        <v>1.950430747573062E-3</v>
      </c>
    </row>
    <row r="655" spans="1:4" ht="27.75" customHeight="1" x14ac:dyDescent="0.35">
      <c r="A655" s="6">
        <v>13975</v>
      </c>
      <c r="B655" s="176" t="s">
        <v>1885</v>
      </c>
      <c r="C655" s="177">
        <v>1.3265320102396201</v>
      </c>
      <c r="D655" s="177">
        <v>2.9810982733028775</v>
      </c>
    </row>
    <row r="656" spans="1:4" ht="27.75" customHeight="1" x14ac:dyDescent="0.35">
      <c r="A656" s="6">
        <v>13980</v>
      </c>
      <c r="B656" s="176" t="s">
        <v>1886</v>
      </c>
      <c r="C656" s="177">
        <v>1.3302378301388029</v>
      </c>
      <c r="D656" s="177">
        <v>2.9735820423758628</v>
      </c>
    </row>
    <row r="657" spans="1:4" ht="27.75" customHeight="1" x14ac:dyDescent="0.35">
      <c r="A657" s="6">
        <v>14000</v>
      </c>
      <c r="B657" s="176" t="s">
        <v>1373</v>
      </c>
      <c r="C657" s="177">
        <v>0</v>
      </c>
      <c r="D657" s="177">
        <v>0</v>
      </c>
    </row>
    <row r="658" spans="1:4" ht="27.75" customHeight="1" x14ac:dyDescent="0.35">
      <c r="A658" s="6">
        <v>14015</v>
      </c>
      <c r="B658" s="176" t="s">
        <v>1887</v>
      </c>
      <c r="C658" s="177">
        <v>0.66621277377001897</v>
      </c>
      <c r="D658" s="177">
        <v>6.5553957447986866E-3</v>
      </c>
    </row>
    <row r="659" spans="1:4" ht="27.75" customHeight="1" x14ac:dyDescent="0.35">
      <c r="A659" s="6">
        <v>14020</v>
      </c>
      <c r="B659" s="176" t="s">
        <v>1888</v>
      </c>
      <c r="C659" s="177">
        <v>0.66469966554987703</v>
      </c>
      <c r="D659" s="177">
        <v>1.3231167589262349E-2</v>
      </c>
    </row>
    <row r="660" spans="1:4" ht="27.75" customHeight="1" x14ac:dyDescent="0.35">
      <c r="A660" s="6">
        <v>14025</v>
      </c>
      <c r="B660" s="176" t="s">
        <v>1889</v>
      </c>
      <c r="C660" s="177">
        <v>0</v>
      </c>
      <c r="D660" s="177">
        <v>0</v>
      </c>
    </row>
    <row r="661" spans="1:4" ht="27.75" customHeight="1" x14ac:dyDescent="0.35">
      <c r="A661" s="6">
        <v>14030</v>
      </c>
      <c r="B661" s="176" t="s">
        <v>1890</v>
      </c>
      <c r="C661" s="177">
        <v>0</v>
      </c>
      <c r="D661" s="177">
        <v>0</v>
      </c>
    </row>
    <row r="662" spans="1:4" ht="27.75" customHeight="1" x14ac:dyDescent="0.35">
      <c r="A662" s="6">
        <v>14085</v>
      </c>
      <c r="B662" s="176" t="s">
        <v>1891</v>
      </c>
      <c r="C662" s="177">
        <v>9.2252549419621105E-2</v>
      </c>
      <c r="D662" s="177">
        <v>0.32832602049157622</v>
      </c>
    </row>
    <row r="663" spans="1:4" ht="27.75" customHeight="1" x14ac:dyDescent="0.35">
      <c r="A663" s="6">
        <v>14100</v>
      </c>
      <c r="B663" s="176" t="s">
        <v>1892</v>
      </c>
      <c r="C663" s="177">
        <v>1.2940160435154731</v>
      </c>
      <c r="D663" s="177">
        <v>2.6390641329316646</v>
      </c>
    </row>
    <row r="664" spans="1:4" ht="27.75" customHeight="1" x14ac:dyDescent="0.35">
      <c r="A664" s="6">
        <v>14120</v>
      </c>
      <c r="B664" s="176" t="s">
        <v>1893</v>
      </c>
      <c r="C664" s="177">
        <v>1.6773712579744879</v>
      </c>
      <c r="D664" s="177">
        <v>5.2170015061523456</v>
      </c>
    </row>
    <row r="665" spans="1:4" ht="27.75" customHeight="1" x14ac:dyDescent="0.35">
      <c r="A665" s="6">
        <v>14130</v>
      </c>
      <c r="B665" s="176" t="s">
        <v>1894</v>
      </c>
      <c r="C665" s="177">
        <v>0.10958656592473981</v>
      </c>
      <c r="D665" s="177">
        <v>1.1402238919623331E-2</v>
      </c>
    </row>
    <row r="666" spans="1:4" ht="27.75" customHeight="1" x14ac:dyDescent="0.35">
      <c r="A666" s="6">
        <v>14135</v>
      </c>
      <c r="B666" s="176" t="s">
        <v>1895</v>
      </c>
      <c r="C666" s="177">
        <v>0.10983443253681091</v>
      </c>
      <c r="D666" s="177">
        <v>1.1424526028718518E-2</v>
      </c>
    </row>
    <row r="667" spans="1:4" ht="27.75" customHeight="1" x14ac:dyDescent="0.35">
      <c r="A667" s="6">
        <v>14145</v>
      </c>
      <c r="B667" s="176" t="s">
        <v>1896</v>
      </c>
      <c r="C667" s="177">
        <v>2.1764505379731198</v>
      </c>
      <c r="D667" s="177">
        <v>8.0289159697799679</v>
      </c>
    </row>
    <row r="668" spans="1:4" ht="27.75" customHeight="1" x14ac:dyDescent="0.35">
      <c r="A668" s="6">
        <v>14180</v>
      </c>
      <c r="B668" s="176" t="s">
        <v>1897</v>
      </c>
      <c r="C668" s="177">
        <v>0.39854094376199789</v>
      </c>
      <c r="D668" s="177">
        <v>4.2557895028561434</v>
      </c>
    </row>
    <row r="669" spans="1:4" ht="27.75" customHeight="1" x14ac:dyDescent="0.35">
      <c r="A669" s="6">
        <v>14195</v>
      </c>
      <c r="B669" s="176" t="s">
        <v>1373</v>
      </c>
      <c r="C669" s="177">
        <v>5.88874469945267</v>
      </c>
      <c r="D669" s="177">
        <v>0.16419813311844322</v>
      </c>
    </row>
    <row r="670" spans="1:4" ht="27.75" customHeight="1" x14ac:dyDescent="0.35">
      <c r="A670" s="6">
        <v>14200</v>
      </c>
      <c r="B670" s="176" t="s">
        <v>1898</v>
      </c>
      <c r="C670" s="177">
        <v>1.1190111552971944</v>
      </c>
      <c r="D670" s="177">
        <v>13.504898155559079</v>
      </c>
    </row>
    <row r="671" spans="1:4" ht="27.75" customHeight="1" x14ac:dyDescent="0.35">
      <c r="A671" s="6">
        <v>14225</v>
      </c>
      <c r="B671" s="176" t="s">
        <v>1899</v>
      </c>
      <c r="C671" s="177">
        <v>1.2134297057589241</v>
      </c>
      <c r="D671" s="177">
        <v>5.3693099523662591</v>
      </c>
    </row>
    <row r="672" spans="1:4" ht="27.75" customHeight="1" x14ac:dyDescent="0.35">
      <c r="A672" s="6">
        <v>14255</v>
      </c>
      <c r="B672" s="176" t="s">
        <v>1900</v>
      </c>
      <c r="C672" s="177">
        <v>0.62859638084279168</v>
      </c>
      <c r="D672" s="177">
        <v>2.206402643596598</v>
      </c>
    </row>
    <row r="673" spans="1:4" ht="27.75" customHeight="1" x14ac:dyDescent="0.35">
      <c r="A673" s="6">
        <v>14260</v>
      </c>
      <c r="B673" s="176" t="s">
        <v>1901</v>
      </c>
      <c r="C673" s="177">
        <v>0.62859638084279168</v>
      </c>
      <c r="D673" s="177">
        <v>2.206402643596598</v>
      </c>
    </row>
    <row r="674" spans="1:4" ht="27.75" customHeight="1" x14ac:dyDescent="0.35">
      <c r="A674" s="6">
        <v>14280</v>
      </c>
      <c r="B674" s="176" t="s">
        <v>1902</v>
      </c>
      <c r="C674" s="177">
        <v>0.2075147695748418</v>
      </c>
      <c r="D674" s="177">
        <v>20.859790146879956</v>
      </c>
    </row>
    <row r="675" spans="1:4" ht="27.75" customHeight="1" x14ac:dyDescent="0.35">
      <c r="A675" s="6">
        <v>14285</v>
      </c>
      <c r="B675" s="176" t="s">
        <v>1903</v>
      </c>
      <c r="C675" s="177">
        <v>0.20783619110023882</v>
      </c>
      <c r="D675" s="177">
        <v>20.865600807574388</v>
      </c>
    </row>
    <row r="676" spans="1:4" ht="27.75" customHeight="1" x14ac:dyDescent="0.35">
      <c r="A676" s="6">
        <v>14310</v>
      </c>
      <c r="B676" s="176" t="s">
        <v>1373</v>
      </c>
      <c r="C676" s="177">
        <v>1.2211423784929483</v>
      </c>
      <c r="D676" s="177">
        <v>0.36797052100206717</v>
      </c>
    </row>
    <row r="677" spans="1:4" ht="27.75" customHeight="1" x14ac:dyDescent="0.35">
      <c r="A677" s="6">
        <v>14330</v>
      </c>
      <c r="B677" s="176" t="s">
        <v>1373</v>
      </c>
      <c r="C677" s="177">
        <v>-2.20303671061186E-3</v>
      </c>
      <c r="D677" s="177">
        <v>0</v>
      </c>
    </row>
    <row r="678" spans="1:4" ht="27.75" customHeight="1" x14ac:dyDescent="0.35">
      <c r="A678" s="6">
        <v>14332</v>
      </c>
      <c r="B678" s="176" t="s">
        <v>1373</v>
      </c>
      <c r="C678" s="177">
        <v>-2.1872614893081099E-3</v>
      </c>
      <c r="D678" s="177">
        <v>0</v>
      </c>
    </row>
    <row r="679" spans="1:4" ht="27.75" customHeight="1" x14ac:dyDescent="0.35">
      <c r="A679" s="6">
        <v>14333</v>
      </c>
      <c r="B679" s="176" t="s">
        <v>1373</v>
      </c>
      <c r="C679" s="177">
        <v>-2.1872614893081099E-3</v>
      </c>
      <c r="D679" s="177">
        <v>0</v>
      </c>
    </row>
    <row r="680" spans="1:4" ht="27.75" customHeight="1" x14ac:dyDescent="0.35">
      <c r="A680" s="6">
        <v>14360</v>
      </c>
      <c r="B680" s="176" t="s">
        <v>1373</v>
      </c>
      <c r="C680" s="177">
        <v>0.11273205669368763</v>
      </c>
      <c r="D680" s="177">
        <v>-6.1574928822691583E-2</v>
      </c>
    </row>
    <row r="681" spans="1:4" ht="27.75" customHeight="1" x14ac:dyDescent="0.35">
      <c r="A681" s="6">
        <v>14415</v>
      </c>
      <c r="B681" s="176" t="s">
        <v>1373</v>
      </c>
      <c r="C681" s="177">
        <v>6.9898595326973556</v>
      </c>
      <c r="D681" s="177">
        <v>0</v>
      </c>
    </row>
    <row r="682" spans="1:4" ht="27.75" customHeight="1" x14ac:dyDescent="0.35">
      <c r="A682" s="6">
        <v>14431</v>
      </c>
      <c r="B682" s="176" t="s">
        <v>1373</v>
      </c>
      <c r="C682" s="177">
        <v>0.35020015395041998</v>
      </c>
      <c r="D682" s="177">
        <v>0</v>
      </c>
    </row>
    <row r="683" spans="1:4" ht="27.75" customHeight="1" x14ac:dyDescent="0.35">
      <c r="A683" s="6">
        <v>14445</v>
      </c>
      <c r="B683" s="176" t="s">
        <v>1904</v>
      </c>
      <c r="C683" s="177">
        <v>0.83498778833635434</v>
      </c>
      <c r="D683" s="177">
        <v>2.6968322768960995E-4</v>
      </c>
    </row>
    <row r="684" spans="1:4" ht="27.75" customHeight="1" x14ac:dyDescent="0.35">
      <c r="A684" s="6">
        <v>14470</v>
      </c>
      <c r="B684" s="176" t="s">
        <v>1905</v>
      </c>
      <c r="C684" s="177">
        <v>1.8572561745419729</v>
      </c>
      <c r="D684" s="177">
        <v>0.59597433523827181</v>
      </c>
    </row>
    <row r="685" spans="1:4" ht="27.75" customHeight="1" x14ac:dyDescent="0.35">
      <c r="A685" s="6">
        <v>14475</v>
      </c>
      <c r="B685" s="176" t="s">
        <v>1906</v>
      </c>
      <c r="C685" s="177">
        <v>1.8572561745419729</v>
      </c>
      <c r="D685" s="177">
        <v>0.59597433523827181</v>
      </c>
    </row>
    <row r="686" spans="1:4" ht="27.75" customHeight="1" x14ac:dyDescent="0.35">
      <c r="A686" s="6">
        <v>14525</v>
      </c>
      <c r="B686" s="176" t="s">
        <v>1907</v>
      </c>
      <c r="C686" s="177">
        <v>1.178067830154824</v>
      </c>
      <c r="D686" s="177">
        <v>1.2923146510102379</v>
      </c>
    </row>
    <row r="687" spans="1:4" ht="27.75" customHeight="1" x14ac:dyDescent="0.35">
      <c r="A687" s="6">
        <v>14530</v>
      </c>
      <c r="B687" s="176" t="s">
        <v>1908</v>
      </c>
      <c r="C687" s="177">
        <v>1.2264409481516081</v>
      </c>
      <c r="D687" s="177">
        <v>4.6650263109978951</v>
      </c>
    </row>
    <row r="688" spans="1:4" ht="27.75" customHeight="1" x14ac:dyDescent="0.35">
      <c r="A688" s="6">
        <v>14535</v>
      </c>
      <c r="B688" s="176" t="s">
        <v>1373</v>
      </c>
      <c r="C688" s="177">
        <v>0.65133863786474699</v>
      </c>
      <c r="D688" s="177">
        <v>0</v>
      </c>
    </row>
    <row r="689" spans="1:4" ht="27.75" customHeight="1" x14ac:dyDescent="0.35">
      <c r="A689" s="6">
        <v>14587</v>
      </c>
      <c r="B689" s="176" t="s">
        <v>1373</v>
      </c>
      <c r="C689" s="177">
        <v>0.375666835914163</v>
      </c>
      <c r="D689" s="177">
        <v>0</v>
      </c>
    </row>
    <row r="690" spans="1:4" ht="27.75" customHeight="1" x14ac:dyDescent="0.35">
      <c r="A690" s="6">
        <v>14640</v>
      </c>
      <c r="B690" s="176" t="s">
        <v>1909</v>
      </c>
      <c r="C690" s="177">
        <v>3.2454237858238477E-2</v>
      </c>
      <c r="D690" s="177">
        <v>6.5298788277095481</v>
      </c>
    </row>
    <row r="691" spans="1:4" ht="27.75" customHeight="1" x14ac:dyDescent="0.35">
      <c r="A691" s="6">
        <v>14650</v>
      </c>
      <c r="B691" s="176" t="s">
        <v>1910</v>
      </c>
      <c r="C691" s="177">
        <v>1.7193861429368302</v>
      </c>
      <c r="D691" s="177">
        <v>11.662226374742469</v>
      </c>
    </row>
    <row r="692" spans="1:4" ht="27.75" customHeight="1" x14ac:dyDescent="0.35">
      <c r="A692" s="6">
        <v>14675</v>
      </c>
      <c r="B692" s="176" t="s">
        <v>1911</v>
      </c>
      <c r="C692" s="177">
        <v>1.7466736247420918</v>
      </c>
      <c r="D692" s="177">
        <v>4.7260656630074607</v>
      </c>
    </row>
    <row r="693" spans="1:4" ht="27.75" customHeight="1" x14ac:dyDescent="0.35">
      <c r="A693" s="6">
        <v>14705</v>
      </c>
      <c r="B693" s="176" t="s">
        <v>1912</v>
      </c>
      <c r="C693" s="177">
        <v>5.2002677144267011</v>
      </c>
      <c r="D693" s="177">
        <v>1.6052821937110835</v>
      </c>
    </row>
    <row r="694" spans="1:4" ht="27.75" customHeight="1" x14ac:dyDescent="0.35">
      <c r="A694" s="6">
        <v>14706</v>
      </c>
      <c r="B694" s="176" t="s">
        <v>1373</v>
      </c>
      <c r="C694" s="177">
        <v>4.4437628163499507</v>
      </c>
      <c r="D694" s="177">
        <v>1.5930017082908696</v>
      </c>
    </row>
    <row r="695" spans="1:4" ht="27.75" customHeight="1" x14ac:dyDescent="0.35">
      <c r="A695" s="6">
        <v>14715</v>
      </c>
      <c r="B695" s="176" t="s">
        <v>1913</v>
      </c>
      <c r="C695" s="177">
        <v>5.7063099449975576</v>
      </c>
      <c r="D695" s="177">
        <v>2.7204870666475527</v>
      </c>
    </row>
    <row r="696" spans="1:4" ht="27.75" customHeight="1" x14ac:dyDescent="0.35">
      <c r="A696" s="6">
        <v>14725</v>
      </c>
      <c r="B696" s="176" t="s">
        <v>1914</v>
      </c>
      <c r="C696" s="177">
        <v>0.2861100983675926</v>
      </c>
      <c r="D696" s="177">
        <v>2.7545607237065668</v>
      </c>
    </row>
    <row r="697" spans="1:4" ht="27.75" customHeight="1" x14ac:dyDescent="0.35">
      <c r="A697" s="6">
        <v>14740</v>
      </c>
      <c r="B697" s="176" t="s">
        <v>1915</v>
      </c>
      <c r="C697" s="177">
        <v>2.2261443929561806</v>
      </c>
      <c r="D697" s="177">
        <v>4.1432199806506453</v>
      </c>
    </row>
    <row r="698" spans="1:4" ht="27.75" customHeight="1" x14ac:dyDescent="0.35">
      <c r="A698" s="6">
        <v>14775</v>
      </c>
      <c r="B698" s="176" t="s">
        <v>1373</v>
      </c>
      <c r="C698" s="177">
        <v>1.878874885206836</v>
      </c>
      <c r="D698" s="177">
        <v>7.2777205745759854E-3</v>
      </c>
    </row>
    <row r="699" spans="1:4" ht="27.75" customHeight="1" x14ac:dyDescent="0.35">
      <c r="A699" s="6">
        <v>14780</v>
      </c>
      <c r="B699" s="176" t="s">
        <v>1373</v>
      </c>
      <c r="C699" s="177">
        <v>1.8767037383462399</v>
      </c>
      <c r="D699" s="177">
        <v>7.2979436279609899E-3</v>
      </c>
    </row>
    <row r="700" spans="1:4" ht="27.75" customHeight="1" x14ac:dyDescent="0.35">
      <c r="A700" s="6">
        <v>14845</v>
      </c>
      <c r="B700" s="176" t="s">
        <v>1916</v>
      </c>
      <c r="C700" s="177">
        <v>2.0615741110946599</v>
      </c>
      <c r="D700" s="177">
        <v>0.17994845801844672</v>
      </c>
    </row>
    <row r="701" spans="1:4" ht="27.75" customHeight="1" x14ac:dyDescent="0.35">
      <c r="A701" s="6">
        <v>14880</v>
      </c>
      <c r="B701" s="176" t="s">
        <v>1917</v>
      </c>
      <c r="C701" s="177">
        <v>2.0828843602713198</v>
      </c>
      <c r="D701" s="177">
        <v>0.17986675040842615</v>
      </c>
    </row>
    <row r="702" spans="1:4" ht="27.75" customHeight="1" x14ac:dyDescent="0.35">
      <c r="A702" s="6">
        <v>14945</v>
      </c>
      <c r="B702" s="176" t="s">
        <v>1918</v>
      </c>
      <c r="C702" s="177">
        <v>0.11248292182912301</v>
      </c>
      <c r="D702" s="177">
        <v>-4.1923816579282069E-3</v>
      </c>
    </row>
    <row r="703" spans="1:4" ht="27.75" customHeight="1" x14ac:dyDescent="0.35">
      <c r="A703" s="6">
        <v>14950</v>
      </c>
      <c r="B703" s="176" t="s">
        <v>1919</v>
      </c>
      <c r="C703" s="177">
        <v>0.11248292182912301</v>
      </c>
      <c r="D703" s="177">
        <v>-4.1923816579282069E-3</v>
      </c>
    </row>
    <row r="704" spans="1:4" ht="27.75" customHeight="1" x14ac:dyDescent="0.35">
      <c r="A704" s="6">
        <v>15000</v>
      </c>
      <c r="B704" s="176" t="s">
        <v>1920</v>
      </c>
      <c r="C704" s="177">
        <v>3.5645432704872198</v>
      </c>
      <c r="D704" s="177">
        <v>6.1887172013673153</v>
      </c>
    </row>
    <row r="705" spans="1:4" ht="27.75" customHeight="1" x14ac:dyDescent="0.35">
      <c r="A705" s="6">
        <v>15030</v>
      </c>
      <c r="B705" s="176" t="s">
        <v>1921</v>
      </c>
      <c r="C705" s="177">
        <v>2.2570517490483E-2</v>
      </c>
      <c r="D705" s="177">
        <v>7.8139193620381651</v>
      </c>
    </row>
    <row r="706" spans="1:4" ht="27.75" customHeight="1" x14ac:dyDescent="0.35">
      <c r="A706" s="6">
        <v>15040</v>
      </c>
      <c r="B706" s="176" t="s">
        <v>1922</v>
      </c>
      <c r="C706" s="177">
        <v>0.70162982397997209</v>
      </c>
      <c r="D706" s="177">
        <v>7.870008463806049</v>
      </c>
    </row>
    <row r="707" spans="1:4" ht="27.75" customHeight="1" x14ac:dyDescent="0.35">
      <c r="A707" s="6">
        <v>15065</v>
      </c>
      <c r="B707" s="176" t="s">
        <v>1923</v>
      </c>
      <c r="C707" s="177">
        <v>0.21543233707835124</v>
      </c>
      <c r="D707" s="177">
        <v>7.9892343126140037</v>
      </c>
    </row>
    <row r="708" spans="1:4" ht="27.75" customHeight="1" x14ac:dyDescent="0.35">
      <c r="A708" s="6">
        <v>15070</v>
      </c>
      <c r="B708" s="176" t="s">
        <v>1924</v>
      </c>
      <c r="C708" s="177">
        <v>0.19164859158499001</v>
      </c>
      <c r="D708" s="177">
        <v>5.1810130395247516</v>
      </c>
    </row>
    <row r="709" spans="1:4" ht="27.75" customHeight="1" x14ac:dyDescent="0.35">
      <c r="A709" s="6">
        <v>15100</v>
      </c>
      <c r="B709" s="176" t="s">
        <v>1925</v>
      </c>
      <c r="C709" s="177">
        <v>0.67609630596743397</v>
      </c>
      <c r="D709" s="177">
        <v>5.1674322089232447</v>
      </c>
    </row>
    <row r="710" spans="1:4" ht="27.75" customHeight="1" x14ac:dyDescent="0.35">
      <c r="A710" s="6">
        <v>15120</v>
      </c>
      <c r="B710" s="176" t="s">
        <v>1926</v>
      </c>
      <c r="C710" s="177">
        <v>0.28859507396609096</v>
      </c>
      <c r="D710" s="177">
        <v>5.4085514436894995</v>
      </c>
    </row>
    <row r="711" spans="1:4" ht="27.75" customHeight="1" x14ac:dyDescent="0.35">
      <c r="A711" s="6">
        <v>15133</v>
      </c>
      <c r="B711" s="176" t="s">
        <v>1373</v>
      </c>
      <c r="C711" s="177">
        <v>1.1710076193053849</v>
      </c>
      <c r="D711" s="177">
        <v>3.8434396528481836</v>
      </c>
    </row>
    <row r="712" spans="1:4" ht="27.75" customHeight="1" x14ac:dyDescent="0.35">
      <c r="A712" s="6">
        <v>15155</v>
      </c>
      <c r="B712" s="176" t="s">
        <v>1927</v>
      </c>
      <c r="C712" s="177">
        <v>0</v>
      </c>
      <c r="D712" s="177">
        <v>0</v>
      </c>
    </row>
    <row r="713" spans="1:4" ht="27.75" customHeight="1" x14ac:dyDescent="0.35">
      <c r="A713" s="6">
        <v>15180</v>
      </c>
      <c r="B713" s="176" t="s">
        <v>1928</v>
      </c>
      <c r="C713" s="177">
        <v>0</v>
      </c>
      <c r="D713" s="177">
        <v>1.390793003403402</v>
      </c>
    </row>
    <row r="714" spans="1:4" ht="27.75" customHeight="1" x14ac:dyDescent="0.35">
      <c r="A714" s="6">
        <v>15195</v>
      </c>
      <c r="B714" s="176" t="s">
        <v>1929</v>
      </c>
      <c r="C714" s="177">
        <v>0</v>
      </c>
      <c r="D714" s="177">
        <v>0</v>
      </c>
    </row>
    <row r="715" spans="1:4" ht="27.75" customHeight="1" x14ac:dyDescent="0.35">
      <c r="A715" s="6">
        <v>15210</v>
      </c>
      <c r="B715" s="176" t="s">
        <v>1930</v>
      </c>
      <c r="C715" s="177">
        <v>2.2551810667665704</v>
      </c>
      <c r="D715" s="177">
        <v>1.2915358763298834</v>
      </c>
    </row>
    <row r="716" spans="1:4" ht="27.75" customHeight="1" x14ac:dyDescent="0.35">
      <c r="A716" s="6">
        <v>15225</v>
      </c>
      <c r="B716" s="176" t="s">
        <v>1931</v>
      </c>
      <c r="C716" s="177">
        <v>0.1401760131337943</v>
      </c>
      <c r="D716" s="177">
        <v>0.60415307655164008</v>
      </c>
    </row>
    <row r="717" spans="1:4" ht="27.75" customHeight="1" x14ac:dyDescent="0.35">
      <c r="A717" s="6">
        <v>15252</v>
      </c>
      <c r="B717" s="176" t="s">
        <v>1373</v>
      </c>
      <c r="C717" s="177">
        <v>-1.5447770419704006</v>
      </c>
      <c r="D717" s="177">
        <v>7.680938932552217E-2</v>
      </c>
    </row>
    <row r="718" spans="1:4" ht="27.75" customHeight="1" x14ac:dyDescent="0.35">
      <c r="A718" s="6">
        <v>15253</v>
      </c>
      <c r="B718" s="176" t="s">
        <v>1373</v>
      </c>
      <c r="C718" s="177">
        <v>-1.540746196668896</v>
      </c>
      <c r="D718" s="177">
        <v>7.8808517328424088E-2</v>
      </c>
    </row>
    <row r="719" spans="1:4" ht="27.75" customHeight="1" x14ac:dyDescent="0.35">
      <c r="A719" s="6">
        <v>15255</v>
      </c>
      <c r="B719" s="176" t="s">
        <v>1932</v>
      </c>
      <c r="C719" s="177">
        <v>2.7486037588882599</v>
      </c>
      <c r="D719" s="177">
        <v>-16.97727532342963</v>
      </c>
    </row>
    <row r="720" spans="1:4" ht="27.75" customHeight="1" x14ac:dyDescent="0.35">
      <c r="A720" s="6">
        <v>15270</v>
      </c>
      <c r="B720" s="176" t="s">
        <v>1933</v>
      </c>
      <c r="C720" s="177">
        <v>0.61354472956123995</v>
      </c>
      <c r="D720" s="177">
        <v>3.2998924977426736E-2</v>
      </c>
    </row>
    <row r="721" spans="1:4" ht="27.75" customHeight="1" x14ac:dyDescent="0.35">
      <c r="A721" s="6">
        <v>15295</v>
      </c>
      <c r="B721" s="176" t="s">
        <v>1934</v>
      </c>
      <c r="C721" s="177">
        <v>0.87937233723930508</v>
      </c>
      <c r="D721" s="177">
        <v>18.397306720243048</v>
      </c>
    </row>
    <row r="722" spans="1:4" ht="27.75" customHeight="1" x14ac:dyDescent="0.35">
      <c r="A722" s="6">
        <v>15315</v>
      </c>
      <c r="B722" s="176" t="s">
        <v>1935</v>
      </c>
      <c r="C722" s="177">
        <v>4.7738187809607591E-2</v>
      </c>
      <c r="D722" s="177">
        <v>7.2910282213370996</v>
      </c>
    </row>
    <row r="723" spans="1:4" ht="27.75" customHeight="1" x14ac:dyDescent="0.35">
      <c r="A723" s="6">
        <v>15330</v>
      </c>
      <c r="B723" s="176" t="s">
        <v>1936</v>
      </c>
      <c r="C723" s="177">
        <v>7.374568972860863</v>
      </c>
      <c r="D723" s="177">
        <v>8.0466136539968858</v>
      </c>
    </row>
    <row r="724" spans="1:4" ht="27.75" customHeight="1" x14ac:dyDescent="0.35">
      <c r="A724" s="6">
        <v>15350</v>
      </c>
      <c r="B724" s="176" t="s">
        <v>1937</v>
      </c>
      <c r="C724" s="177">
        <v>0.82070699545215886</v>
      </c>
      <c r="D724" s="177">
        <v>8.6109742626791697</v>
      </c>
    </row>
    <row r="725" spans="1:4" ht="27.75" customHeight="1" x14ac:dyDescent="0.35">
      <c r="A725" s="6">
        <v>15370</v>
      </c>
      <c r="B725" s="176" t="s">
        <v>1938</v>
      </c>
      <c r="C725" s="177">
        <v>2.0193024406748274</v>
      </c>
      <c r="D725" s="177">
        <v>8.4685634635157179</v>
      </c>
    </row>
    <row r="726" spans="1:4" ht="27.75" customHeight="1" x14ac:dyDescent="0.35">
      <c r="A726" s="6">
        <v>15390</v>
      </c>
      <c r="B726" s="176" t="s">
        <v>1939</v>
      </c>
      <c r="C726" s="177">
        <v>1.8673996192477005</v>
      </c>
      <c r="D726" s="177">
        <v>24.061188902601952</v>
      </c>
    </row>
    <row r="727" spans="1:4" ht="27.75" customHeight="1" x14ac:dyDescent="0.35">
      <c r="A727" s="6">
        <v>15410</v>
      </c>
      <c r="B727" s="176" t="s">
        <v>1940</v>
      </c>
      <c r="C727" s="177">
        <v>2.5311658295883275</v>
      </c>
      <c r="D727" s="177">
        <v>10.682148699547056</v>
      </c>
    </row>
    <row r="728" spans="1:4" ht="27.75" customHeight="1" x14ac:dyDescent="0.35">
      <c r="A728" s="6">
        <v>15430</v>
      </c>
      <c r="B728" s="176" t="s">
        <v>1941</v>
      </c>
      <c r="C728" s="177">
        <v>3.2069152008224666</v>
      </c>
      <c r="D728" s="177">
        <v>9.7218093383918642</v>
      </c>
    </row>
    <row r="729" spans="1:4" ht="27.75" customHeight="1" x14ac:dyDescent="0.35">
      <c r="A729" s="6">
        <v>15450</v>
      </c>
      <c r="B729" s="176" t="s">
        <v>1942</v>
      </c>
      <c r="C729" s="177">
        <v>3.5468789987507829</v>
      </c>
      <c r="D729" s="177">
        <v>6.2010305726521953</v>
      </c>
    </row>
    <row r="730" spans="1:4" ht="27.75" customHeight="1" x14ac:dyDescent="0.35">
      <c r="A730" s="6">
        <v>15455</v>
      </c>
      <c r="B730" s="176" t="s">
        <v>1943</v>
      </c>
      <c r="C730" s="177">
        <v>3.542084232038055</v>
      </c>
      <c r="D730" s="177">
        <v>6.2830094683345781</v>
      </c>
    </row>
    <row r="731" spans="1:4" ht="27.75" customHeight="1" x14ac:dyDescent="0.35">
      <c r="A731" s="6">
        <v>15491</v>
      </c>
      <c r="B731" s="176" t="s">
        <v>1373</v>
      </c>
      <c r="C731" s="177">
        <v>20.088283341087095</v>
      </c>
      <c r="D731" s="177">
        <v>2.3902847007972632</v>
      </c>
    </row>
    <row r="732" spans="1:4" ht="27.75" customHeight="1" x14ac:dyDescent="0.35">
      <c r="A732" s="6">
        <v>15575</v>
      </c>
      <c r="B732" s="176" t="s">
        <v>1373</v>
      </c>
      <c r="C732" s="177">
        <v>14.643436932594174</v>
      </c>
      <c r="D732" s="177">
        <v>3.3289593483272917</v>
      </c>
    </row>
    <row r="733" spans="1:4" ht="27.75" customHeight="1" x14ac:dyDescent="0.35">
      <c r="A733" s="6">
        <v>15580</v>
      </c>
      <c r="B733" s="176" t="s">
        <v>1944</v>
      </c>
      <c r="C733" s="177">
        <v>1.445057804170633</v>
      </c>
      <c r="D733" s="177">
        <v>9.361557719769328</v>
      </c>
    </row>
    <row r="734" spans="1:4" ht="27.75" customHeight="1" x14ac:dyDescent="0.35">
      <c r="A734" s="6">
        <v>15640</v>
      </c>
      <c r="B734" s="176" t="s">
        <v>1945</v>
      </c>
      <c r="C734" s="177">
        <v>2.5932750590041502</v>
      </c>
      <c r="D734" s="177">
        <v>1.5091240781420536</v>
      </c>
    </row>
    <row r="735" spans="1:4" ht="27.75" customHeight="1" x14ac:dyDescent="0.35">
      <c r="A735" s="6">
        <v>15655</v>
      </c>
      <c r="B735" s="176" t="s">
        <v>1373</v>
      </c>
      <c r="C735" s="177">
        <v>0.75375903714795944</v>
      </c>
      <c r="D735" s="177">
        <v>0.24353804081486619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xr:uid="{00000000-0004-0000-0900-000000000000}"/>
  </hyperlinks>
  <pageMargins left="0.39370078740157483" right="0.35433070866141736" top="0.9055118110236221" bottom="0.55118110236220474" header="0.31496062992125984" footer="0.31496062992125984"/>
  <pageSetup paperSize="9" scale="77" fitToHeight="0" orientation="portrait" r:id="rId2"/>
  <headerFooter differentFirst="1" scaleWithDoc="0">
    <oddFooter>&amp;C&amp;P of &amp;N</oddFooter>
    <firstHeader>&amp;LUn-scaled nodel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1205"/>
  <sheetViews>
    <sheetView zoomScale="90" zoomScaleNormal="90" zoomScaleSheetLayoutView="100" workbookViewId="0">
      <selection sqref="A1:B1"/>
    </sheetView>
  </sheetViews>
  <sheetFormatPr defaultColWidth="11.59765625" defaultRowHeight="12.75" x14ac:dyDescent="0.35"/>
  <cols>
    <col min="1" max="1" width="13.86328125" style="28" customWidth="1"/>
    <col min="2" max="2" width="11.59765625" style="28" customWidth="1"/>
    <col min="3" max="3" width="37.3984375" style="28" bestFit="1" customWidth="1"/>
    <col min="4" max="4" width="40.59765625" style="29" bestFit="1" customWidth="1"/>
    <col min="5" max="6" width="4.73046875" style="28" customWidth="1"/>
    <col min="7" max="7" width="29.1328125" style="28" bestFit="1" customWidth="1"/>
    <col min="8" max="8" width="11.59765625" style="28"/>
    <col min="9" max="9" width="26.73046875" style="28" bestFit="1" customWidth="1"/>
    <col min="10" max="13" width="12.86328125" style="28" customWidth="1"/>
    <col min="14" max="16384" width="11.59765625" style="28"/>
  </cols>
  <sheetData>
    <row r="1" spans="1:13" ht="26.25" customHeight="1" x14ac:dyDescent="0.35">
      <c r="A1" s="264" t="s">
        <v>86</v>
      </c>
      <c r="B1" s="264"/>
    </row>
    <row r="2" spans="1:13" ht="13.15" x14ac:dyDescent="0.4">
      <c r="A2" s="137"/>
      <c r="B2" s="137"/>
      <c r="H2" s="265" t="s">
        <v>1946</v>
      </c>
      <c r="I2" s="265"/>
      <c r="J2" s="265"/>
      <c r="K2" s="265"/>
      <c r="L2" s="265"/>
      <c r="M2" s="265"/>
    </row>
    <row r="3" spans="1:13" x14ac:dyDescent="0.35">
      <c r="A3" s="137"/>
      <c r="B3" s="137"/>
    </row>
    <row r="4" spans="1:13" ht="25.5" x14ac:dyDescent="0.35">
      <c r="A4" s="137"/>
      <c r="B4" s="137"/>
      <c r="H4" s="178" t="s">
        <v>1947</v>
      </c>
      <c r="I4" s="179" t="s">
        <v>1948</v>
      </c>
      <c r="J4" s="180" t="s">
        <v>1949</v>
      </c>
      <c r="K4" s="181" t="s">
        <v>1950</v>
      </c>
      <c r="L4" s="178" t="s">
        <v>1951</v>
      </c>
      <c r="M4" s="178" t="s">
        <v>1952</v>
      </c>
    </row>
    <row r="5" spans="1:13" ht="12.75" customHeight="1" x14ac:dyDescent="0.35">
      <c r="A5" s="137"/>
      <c r="B5" s="137"/>
      <c r="H5" s="182" t="s">
        <v>1953</v>
      </c>
      <c r="I5" s="183" t="s">
        <v>1954</v>
      </c>
      <c r="J5" s="184">
        <v>9101</v>
      </c>
      <c r="K5" s="184">
        <v>91011</v>
      </c>
      <c r="L5" s="184">
        <v>91012</v>
      </c>
      <c r="M5" s="184">
        <v>91013</v>
      </c>
    </row>
    <row r="6" spans="1:13" ht="12.75" customHeight="1" x14ac:dyDescent="0.35">
      <c r="A6" s="137"/>
      <c r="B6" s="137"/>
      <c r="H6" s="182" t="s">
        <v>1955</v>
      </c>
      <c r="I6" s="183" t="s">
        <v>1956</v>
      </c>
      <c r="J6" s="184">
        <v>9111</v>
      </c>
      <c r="K6" s="184">
        <v>91111</v>
      </c>
      <c r="L6" s="184">
        <v>91112</v>
      </c>
      <c r="M6" s="184">
        <v>91113</v>
      </c>
    </row>
    <row r="7" spans="1:13" ht="12.75" customHeight="1" x14ac:dyDescent="0.35">
      <c r="A7" s="137"/>
      <c r="B7" s="137"/>
      <c r="H7" s="182" t="s">
        <v>1957</v>
      </c>
      <c r="I7" s="183" t="s">
        <v>1958</v>
      </c>
      <c r="J7" s="184">
        <v>9121</v>
      </c>
      <c r="K7" s="184">
        <v>91211</v>
      </c>
      <c r="L7" s="184">
        <v>91212</v>
      </c>
      <c r="M7" s="184">
        <v>91213</v>
      </c>
    </row>
    <row r="8" spans="1:13" ht="12.75" customHeight="1" x14ac:dyDescent="0.35">
      <c r="A8" s="137"/>
      <c r="B8" s="137"/>
      <c r="H8" s="182" t="s">
        <v>1959</v>
      </c>
      <c r="I8" s="183" t="s">
        <v>1960</v>
      </c>
      <c r="J8" s="184">
        <v>9131</v>
      </c>
      <c r="K8" s="184">
        <v>91311</v>
      </c>
      <c r="L8" s="184">
        <v>91312</v>
      </c>
      <c r="M8" s="184">
        <v>91313</v>
      </c>
    </row>
    <row r="9" spans="1:13" ht="12.75" customHeight="1" x14ac:dyDescent="0.35">
      <c r="A9" s="137"/>
      <c r="B9" s="137"/>
      <c r="H9" s="182" t="s">
        <v>1961</v>
      </c>
      <c r="I9" s="183" t="s">
        <v>1962</v>
      </c>
      <c r="J9" s="184">
        <v>9141</v>
      </c>
      <c r="K9" s="184">
        <v>91411</v>
      </c>
      <c r="L9" s="184">
        <v>91412</v>
      </c>
      <c r="M9" s="184">
        <v>91413</v>
      </c>
    </row>
    <row r="10" spans="1:13" ht="12.75" customHeight="1" x14ac:dyDescent="0.35">
      <c r="A10" s="137"/>
      <c r="B10" s="137"/>
      <c r="H10" s="182" t="s">
        <v>1963</v>
      </c>
      <c r="I10" s="183" t="s">
        <v>1964</v>
      </c>
      <c r="J10" s="184">
        <v>9151</v>
      </c>
      <c r="K10" s="184">
        <v>91511</v>
      </c>
      <c r="L10" s="184">
        <v>91512</v>
      </c>
      <c r="M10" s="184">
        <v>91513</v>
      </c>
    </row>
    <row r="11" spans="1:13" ht="12.75" customHeight="1" x14ac:dyDescent="0.35">
      <c r="A11" s="137"/>
      <c r="B11" s="137"/>
      <c r="H11" s="182" t="s">
        <v>1965</v>
      </c>
      <c r="I11" s="183" t="s">
        <v>1966</v>
      </c>
      <c r="J11" s="184">
        <v>9161</v>
      </c>
      <c r="K11" s="184">
        <v>91611</v>
      </c>
      <c r="L11" s="184">
        <v>91612</v>
      </c>
      <c r="M11" s="184">
        <v>91613</v>
      </c>
    </row>
    <row r="12" spans="1:13" ht="12.75" customHeight="1" x14ac:dyDescent="0.35">
      <c r="A12" s="137"/>
      <c r="B12" s="137"/>
      <c r="H12" s="182" t="s">
        <v>1967</v>
      </c>
      <c r="I12" s="183" t="s">
        <v>1968</v>
      </c>
      <c r="J12" s="184">
        <v>9201</v>
      </c>
      <c r="K12" s="184">
        <v>92011</v>
      </c>
      <c r="L12" s="184">
        <v>92012</v>
      </c>
      <c r="M12" s="184">
        <v>92013</v>
      </c>
    </row>
    <row r="13" spans="1:13" ht="12.75" customHeight="1" x14ac:dyDescent="0.35">
      <c r="A13" s="137"/>
      <c r="B13" s="137"/>
      <c r="H13" s="182" t="s">
        <v>1969</v>
      </c>
      <c r="I13" s="183" t="s">
        <v>1970</v>
      </c>
      <c r="J13" s="184">
        <v>9191</v>
      </c>
      <c r="K13" s="184">
        <v>91911</v>
      </c>
      <c r="L13" s="184">
        <v>91912</v>
      </c>
      <c r="M13" s="184">
        <v>91913</v>
      </c>
    </row>
    <row r="14" spans="1:13" ht="12.75" customHeight="1" x14ac:dyDescent="0.35">
      <c r="A14" s="137"/>
      <c r="B14" s="137"/>
      <c r="H14" s="182" t="s">
        <v>1971</v>
      </c>
      <c r="I14" s="183" t="s">
        <v>1972</v>
      </c>
      <c r="J14" s="184">
        <v>9211</v>
      </c>
      <c r="K14" s="184">
        <v>92111</v>
      </c>
      <c r="L14" s="184">
        <v>92112</v>
      </c>
      <c r="M14" s="184">
        <v>92113</v>
      </c>
    </row>
    <row r="15" spans="1:13" ht="12.75" customHeight="1" x14ac:dyDescent="0.35">
      <c r="A15" s="137"/>
      <c r="B15" s="137"/>
      <c r="H15" s="182" t="s">
        <v>1973</v>
      </c>
      <c r="I15" s="183" t="s">
        <v>1974</v>
      </c>
      <c r="J15" s="184">
        <v>9221</v>
      </c>
      <c r="K15" s="184">
        <v>92211</v>
      </c>
      <c r="L15" s="184">
        <v>92212</v>
      </c>
      <c r="M15" s="184">
        <v>92213</v>
      </c>
    </row>
    <row r="16" spans="1:13" ht="12.75" customHeight="1" x14ac:dyDescent="0.35">
      <c r="A16" s="137"/>
      <c r="B16" s="137"/>
      <c r="H16" s="182" t="s">
        <v>1975</v>
      </c>
      <c r="I16" s="183" t="s">
        <v>1976</v>
      </c>
      <c r="J16" s="184">
        <v>9231</v>
      </c>
      <c r="K16" s="184">
        <v>92311</v>
      </c>
      <c r="L16" s="184">
        <v>92312</v>
      </c>
      <c r="M16" s="184">
        <v>92313</v>
      </c>
    </row>
    <row r="17" spans="1:13" ht="12.75" customHeight="1" x14ac:dyDescent="0.35">
      <c r="A17" s="137"/>
      <c r="B17" s="137"/>
      <c r="H17" s="182" t="s">
        <v>1977</v>
      </c>
      <c r="I17" s="183" t="s">
        <v>1978</v>
      </c>
      <c r="J17" s="184">
        <v>9181</v>
      </c>
      <c r="K17" s="184">
        <v>91811</v>
      </c>
      <c r="L17" s="184">
        <v>91812</v>
      </c>
      <c r="M17" s="184">
        <v>91813</v>
      </c>
    </row>
    <row r="18" spans="1:13" ht="12.75" customHeight="1" x14ac:dyDescent="0.35">
      <c r="A18" s="137"/>
      <c r="B18" s="137"/>
      <c r="H18" s="185" t="s">
        <v>1979</v>
      </c>
      <c r="I18" s="186" t="s">
        <v>1980</v>
      </c>
      <c r="J18" s="184">
        <v>9171</v>
      </c>
      <c r="K18" s="184">
        <v>91711</v>
      </c>
      <c r="L18" s="184">
        <v>91712</v>
      </c>
      <c r="M18" s="184">
        <v>91713</v>
      </c>
    </row>
    <row r="19" spans="1:13" ht="12.75" customHeight="1" x14ac:dyDescent="0.35">
      <c r="A19" s="137"/>
      <c r="B19" s="137"/>
    </row>
    <row r="20" spans="1:13" ht="12.75" customHeight="1" x14ac:dyDescent="0.35">
      <c r="A20" s="137"/>
      <c r="B20" s="137"/>
    </row>
    <row r="21" spans="1:13" ht="12.75" customHeight="1" x14ac:dyDescent="0.35">
      <c r="A21" s="137"/>
      <c r="B21" s="137"/>
    </row>
    <row r="22" spans="1:13" ht="12.75" customHeight="1" x14ac:dyDescent="0.35">
      <c r="A22" s="137"/>
      <c r="B22" s="137"/>
    </row>
    <row r="23" spans="1:13" ht="12.75" customHeight="1" x14ac:dyDescent="0.35">
      <c r="A23" s="137"/>
      <c r="B23" s="137"/>
    </row>
    <row r="24" spans="1:13" ht="12.75" customHeight="1" x14ac:dyDescent="0.35">
      <c r="A24" s="137"/>
      <c r="B24" s="137"/>
    </row>
    <row r="25" spans="1:13" ht="12.75" customHeight="1" x14ac:dyDescent="0.35">
      <c r="A25" s="137"/>
      <c r="B25" s="137"/>
    </row>
    <row r="26" spans="1:13" ht="12.75" customHeight="1" x14ac:dyDescent="0.35">
      <c r="A26" s="137"/>
      <c r="B26" s="137"/>
    </row>
    <row r="27" spans="1:13" ht="12.75" customHeight="1" x14ac:dyDescent="0.35">
      <c r="A27" s="137"/>
      <c r="B27" s="137"/>
    </row>
    <row r="28" spans="1:13" s="27" customFormat="1" ht="52.5" x14ac:dyDescent="0.35">
      <c r="A28" s="64" t="s">
        <v>215</v>
      </c>
      <c r="B28" s="64" t="s">
        <v>216</v>
      </c>
      <c r="C28" s="64" t="s">
        <v>217</v>
      </c>
      <c r="D28" s="64" t="s">
        <v>218</v>
      </c>
      <c r="E28" s="30"/>
      <c r="F28" s="30"/>
      <c r="G28" s="64" t="s">
        <v>438</v>
      </c>
      <c r="H28" s="64" t="s">
        <v>439</v>
      </c>
      <c r="I28" s="266" t="s">
        <v>440</v>
      </c>
      <c r="J28" s="267"/>
      <c r="K28" s="267"/>
      <c r="L28" s="267"/>
      <c r="M28" s="268"/>
    </row>
    <row r="29" spans="1:13" x14ac:dyDescent="0.35">
      <c r="A29" s="102">
        <v>3</v>
      </c>
      <c r="B29" s="103">
        <v>166</v>
      </c>
      <c r="C29" s="104" t="s">
        <v>219</v>
      </c>
      <c r="D29" s="105" t="s">
        <v>220</v>
      </c>
      <c r="H29" s="97">
        <v>40057</v>
      </c>
      <c r="I29" s="263" t="s">
        <v>441</v>
      </c>
      <c r="J29" s="263"/>
      <c r="K29" s="263"/>
      <c r="L29" s="263"/>
      <c r="M29" s="263"/>
    </row>
    <row r="30" spans="1:13" x14ac:dyDescent="0.35">
      <c r="A30" s="102">
        <v>4</v>
      </c>
      <c r="B30" s="103">
        <v>168</v>
      </c>
      <c r="C30" s="104" t="s">
        <v>219</v>
      </c>
      <c r="D30" s="105" t="s">
        <v>220</v>
      </c>
      <c r="G30" s="98" t="s">
        <v>442</v>
      </c>
      <c r="H30" s="97">
        <v>40275</v>
      </c>
      <c r="I30" s="263" t="s">
        <v>446</v>
      </c>
      <c r="J30" s="263"/>
      <c r="K30" s="263"/>
      <c r="L30" s="263"/>
      <c r="M30" s="263"/>
    </row>
    <row r="31" spans="1:13" x14ac:dyDescent="0.35">
      <c r="A31" s="102">
        <v>5</v>
      </c>
      <c r="B31" s="103">
        <v>100</v>
      </c>
      <c r="C31" s="104" t="s">
        <v>221</v>
      </c>
      <c r="D31" s="105" t="s">
        <v>220</v>
      </c>
      <c r="G31" s="28" t="s">
        <v>449</v>
      </c>
      <c r="H31" s="97">
        <v>40347</v>
      </c>
      <c r="I31" s="263" t="s">
        <v>443</v>
      </c>
      <c r="J31" s="263"/>
      <c r="K31" s="263"/>
      <c r="L31" s="263"/>
      <c r="M31" s="263"/>
    </row>
    <row r="32" spans="1:13" x14ac:dyDescent="0.35">
      <c r="A32" s="102">
        <v>6</v>
      </c>
      <c r="B32" s="103">
        <v>257</v>
      </c>
      <c r="C32" s="104" t="s">
        <v>222</v>
      </c>
      <c r="D32" s="105" t="s">
        <v>220</v>
      </c>
      <c r="G32" s="98" t="s">
        <v>450</v>
      </c>
      <c r="H32" s="97">
        <v>41166</v>
      </c>
      <c r="I32" s="263" t="s">
        <v>451</v>
      </c>
      <c r="J32" s="263"/>
      <c r="K32" s="263"/>
      <c r="L32" s="263"/>
      <c r="M32" s="263"/>
    </row>
    <row r="33" spans="1:13" x14ac:dyDescent="0.35">
      <c r="A33" s="102">
        <v>7</v>
      </c>
      <c r="B33" s="103">
        <v>158</v>
      </c>
      <c r="C33" s="104" t="s">
        <v>222</v>
      </c>
      <c r="D33" s="105" t="s">
        <v>220</v>
      </c>
      <c r="G33" s="28" t="s">
        <v>444</v>
      </c>
      <c r="H33" s="97">
        <v>41178</v>
      </c>
      <c r="I33" s="263" t="s">
        <v>445</v>
      </c>
      <c r="J33" s="263"/>
      <c r="K33" s="263"/>
      <c r="L33" s="263"/>
      <c r="M33" s="263"/>
    </row>
    <row r="34" spans="1:13" x14ac:dyDescent="0.35">
      <c r="A34" s="102">
        <v>8</v>
      </c>
      <c r="B34" s="103">
        <v>159</v>
      </c>
      <c r="C34" s="104" t="s">
        <v>222</v>
      </c>
      <c r="D34" s="105" t="s">
        <v>220</v>
      </c>
      <c r="G34" s="98" t="s">
        <v>515</v>
      </c>
      <c r="H34" s="97">
        <v>41758</v>
      </c>
      <c r="I34" s="263" t="s">
        <v>516</v>
      </c>
      <c r="J34" s="263"/>
      <c r="K34" s="263"/>
      <c r="L34" s="263"/>
      <c r="M34" s="263"/>
    </row>
    <row r="35" spans="1:13" x14ac:dyDescent="0.35">
      <c r="A35" s="102">
        <v>9</v>
      </c>
      <c r="B35" s="103">
        <v>1111</v>
      </c>
      <c r="C35" s="104" t="s">
        <v>222</v>
      </c>
      <c r="D35" s="105" t="s">
        <v>220</v>
      </c>
      <c r="G35" s="28" t="s">
        <v>513</v>
      </c>
      <c r="H35" s="97">
        <v>41758</v>
      </c>
      <c r="I35" s="263" t="s">
        <v>514</v>
      </c>
      <c r="J35" s="263"/>
      <c r="K35" s="263"/>
      <c r="L35" s="263"/>
      <c r="M35" s="263"/>
    </row>
    <row r="36" spans="1:13" x14ac:dyDescent="0.35">
      <c r="A36" s="102">
        <v>10</v>
      </c>
      <c r="B36" s="103">
        <v>1104</v>
      </c>
      <c r="C36" s="104" t="s">
        <v>222</v>
      </c>
      <c r="D36" s="105" t="s">
        <v>220</v>
      </c>
      <c r="G36" s="28" t="s">
        <v>513</v>
      </c>
      <c r="H36" s="97">
        <v>41944</v>
      </c>
      <c r="I36" s="263" t="s">
        <v>565</v>
      </c>
      <c r="J36" s="263"/>
      <c r="K36" s="263"/>
      <c r="L36" s="263"/>
      <c r="M36" s="263"/>
    </row>
    <row r="37" spans="1:13" x14ac:dyDescent="0.35">
      <c r="A37" s="102">
        <v>11</v>
      </c>
      <c r="B37" s="103">
        <v>1112</v>
      </c>
      <c r="C37" s="104" t="s">
        <v>222</v>
      </c>
      <c r="D37" s="105" t="s">
        <v>220</v>
      </c>
      <c r="G37" s="28" t="s">
        <v>592</v>
      </c>
      <c r="H37" s="97">
        <v>42081</v>
      </c>
      <c r="I37" s="263" t="s">
        <v>593</v>
      </c>
      <c r="J37" s="263"/>
      <c r="K37" s="263"/>
      <c r="L37" s="263"/>
      <c r="M37" s="263"/>
    </row>
    <row r="38" spans="1:13" x14ac:dyDescent="0.35">
      <c r="A38" s="102">
        <v>12</v>
      </c>
      <c r="B38" s="103">
        <v>1116</v>
      </c>
      <c r="C38" s="104" t="s">
        <v>222</v>
      </c>
      <c r="D38" s="105" t="s">
        <v>220</v>
      </c>
      <c r="G38" s="28" t="s">
        <v>594</v>
      </c>
      <c r="H38" s="97">
        <v>42081</v>
      </c>
      <c r="I38" s="263" t="s">
        <v>595</v>
      </c>
      <c r="J38" s="263"/>
      <c r="K38" s="263"/>
      <c r="L38" s="263"/>
      <c r="M38" s="263"/>
    </row>
    <row r="39" spans="1:13" x14ac:dyDescent="0.35">
      <c r="A39" s="102">
        <v>13</v>
      </c>
      <c r="B39" s="103">
        <v>139</v>
      </c>
      <c r="C39" s="104" t="s">
        <v>223</v>
      </c>
      <c r="D39" s="105" t="s">
        <v>458</v>
      </c>
      <c r="G39" s="28" t="s">
        <v>596</v>
      </c>
      <c r="H39" s="97">
        <v>42081</v>
      </c>
      <c r="I39" s="263" t="s">
        <v>621</v>
      </c>
      <c r="J39" s="263"/>
      <c r="K39" s="263"/>
      <c r="L39" s="263"/>
      <c r="M39" s="263"/>
    </row>
    <row r="40" spans="1:13" x14ac:dyDescent="0.35">
      <c r="A40" s="102">
        <v>15</v>
      </c>
      <c r="B40" s="103">
        <v>152</v>
      </c>
      <c r="C40" s="104" t="s">
        <v>223</v>
      </c>
      <c r="D40" s="105" t="s">
        <v>458</v>
      </c>
      <c r="G40" s="98" t="s">
        <v>591</v>
      </c>
      <c r="H40" s="97">
        <v>42081</v>
      </c>
      <c r="I40" s="263" t="s">
        <v>620</v>
      </c>
      <c r="J40" s="263"/>
      <c r="K40" s="263"/>
      <c r="L40" s="263"/>
      <c r="M40" s="263"/>
    </row>
    <row r="41" spans="1:13" x14ac:dyDescent="0.35">
      <c r="A41" s="102">
        <v>16</v>
      </c>
      <c r="B41" s="103">
        <v>113</v>
      </c>
      <c r="C41" s="104" t="s">
        <v>224</v>
      </c>
      <c r="D41" s="105" t="s">
        <v>459</v>
      </c>
      <c r="G41" s="28" t="s">
        <v>597</v>
      </c>
      <c r="H41" s="97">
        <v>42081</v>
      </c>
      <c r="I41" s="263" t="s">
        <v>598</v>
      </c>
      <c r="J41" s="263"/>
      <c r="K41" s="263"/>
      <c r="L41" s="263"/>
      <c r="M41" s="263"/>
    </row>
    <row r="42" spans="1:13" x14ac:dyDescent="0.35">
      <c r="A42" s="102">
        <v>17</v>
      </c>
      <c r="B42" s="103">
        <v>125</v>
      </c>
      <c r="C42" s="104" t="s">
        <v>224</v>
      </c>
      <c r="D42" s="105" t="s">
        <v>459</v>
      </c>
      <c r="G42" s="28" t="s">
        <v>599</v>
      </c>
      <c r="H42" s="97">
        <v>42081</v>
      </c>
      <c r="I42" s="263" t="s">
        <v>600</v>
      </c>
      <c r="J42" s="263"/>
      <c r="K42" s="263"/>
      <c r="L42" s="263"/>
      <c r="M42" s="263"/>
    </row>
    <row r="43" spans="1:13" x14ac:dyDescent="0.35">
      <c r="A43" s="102">
        <v>18</v>
      </c>
      <c r="B43" s="103">
        <v>126</v>
      </c>
      <c r="C43" s="104" t="s">
        <v>224</v>
      </c>
      <c r="D43" s="105" t="s">
        <v>459</v>
      </c>
      <c r="G43" s="28" t="s">
        <v>599</v>
      </c>
      <c r="H43" s="97">
        <v>42081</v>
      </c>
      <c r="I43" s="263" t="s">
        <v>601</v>
      </c>
      <c r="J43" s="263"/>
      <c r="K43" s="263"/>
      <c r="L43" s="263"/>
      <c r="M43" s="263"/>
    </row>
    <row r="44" spans="1:13" x14ac:dyDescent="0.35">
      <c r="A44" s="102">
        <v>19</v>
      </c>
      <c r="B44" s="103">
        <v>127</v>
      </c>
      <c r="C44" s="104" t="s">
        <v>224</v>
      </c>
      <c r="D44" s="105" t="s">
        <v>459</v>
      </c>
      <c r="G44" s="28" t="s">
        <v>602</v>
      </c>
      <c r="H44" s="97">
        <v>42081</v>
      </c>
      <c r="I44" s="263" t="s">
        <v>603</v>
      </c>
      <c r="J44" s="263"/>
      <c r="K44" s="263"/>
      <c r="L44" s="263"/>
      <c r="M44" s="263"/>
    </row>
    <row r="45" spans="1:13" x14ac:dyDescent="0.35">
      <c r="A45" s="102">
        <v>20</v>
      </c>
      <c r="B45" s="103">
        <v>129</v>
      </c>
      <c r="C45" s="104" t="s">
        <v>224</v>
      </c>
      <c r="D45" s="105" t="s">
        <v>459</v>
      </c>
      <c r="G45" s="28" t="s">
        <v>604</v>
      </c>
      <c r="H45" s="97">
        <v>42081</v>
      </c>
      <c r="I45" s="263" t="s">
        <v>605</v>
      </c>
      <c r="J45" s="263"/>
      <c r="K45" s="263"/>
      <c r="L45" s="263"/>
      <c r="M45" s="263"/>
    </row>
    <row r="46" spans="1:13" x14ac:dyDescent="0.35">
      <c r="A46" s="102">
        <v>21</v>
      </c>
      <c r="B46" s="103">
        <v>130</v>
      </c>
      <c r="C46" s="104" t="s">
        <v>224</v>
      </c>
      <c r="D46" s="105" t="s">
        <v>459</v>
      </c>
      <c r="G46" s="28" t="s">
        <v>606</v>
      </c>
      <c r="H46" s="97">
        <v>42081</v>
      </c>
      <c r="I46" s="263" t="s">
        <v>603</v>
      </c>
      <c r="J46" s="263"/>
      <c r="K46" s="263"/>
      <c r="L46" s="263"/>
      <c r="M46" s="263"/>
    </row>
    <row r="47" spans="1:13" x14ac:dyDescent="0.35">
      <c r="A47" s="102">
        <v>22</v>
      </c>
      <c r="B47" s="103">
        <v>131</v>
      </c>
      <c r="C47" s="104" t="s">
        <v>224</v>
      </c>
      <c r="D47" s="105" t="s">
        <v>459</v>
      </c>
      <c r="G47" s="28" t="s">
        <v>606</v>
      </c>
      <c r="H47" s="97">
        <v>42081</v>
      </c>
      <c r="I47" s="263" t="s">
        <v>607</v>
      </c>
      <c r="J47" s="263"/>
      <c r="K47" s="263"/>
      <c r="L47" s="263"/>
      <c r="M47" s="263"/>
    </row>
    <row r="48" spans="1:13" x14ac:dyDescent="0.35">
      <c r="A48" s="102">
        <v>23</v>
      </c>
      <c r="B48" s="103">
        <v>136</v>
      </c>
      <c r="C48" s="104" t="s">
        <v>225</v>
      </c>
      <c r="D48" s="105" t="s">
        <v>460</v>
      </c>
      <c r="G48" s="28" t="s">
        <v>608</v>
      </c>
      <c r="H48" s="97">
        <v>42081</v>
      </c>
      <c r="I48" s="263" t="s">
        <v>605</v>
      </c>
      <c r="J48" s="263"/>
      <c r="K48" s="263"/>
      <c r="L48" s="263"/>
      <c r="M48" s="263"/>
    </row>
    <row r="49" spans="1:13" x14ac:dyDescent="0.35">
      <c r="A49" s="102">
        <v>24</v>
      </c>
      <c r="B49" s="103">
        <v>137</v>
      </c>
      <c r="C49" s="104" t="s">
        <v>225</v>
      </c>
      <c r="D49" s="105" t="s">
        <v>459</v>
      </c>
      <c r="G49" s="28" t="s">
        <v>609</v>
      </c>
      <c r="H49" s="97">
        <v>42081</v>
      </c>
      <c r="I49" s="263" t="s">
        <v>603</v>
      </c>
      <c r="J49" s="263"/>
      <c r="K49" s="263"/>
      <c r="L49" s="263"/>
      <c r="M49" s="263"/>
    </row>
    <row r="50" spans="1:13" x14ac:dyDescent="0.35">
      <c r="A50" s="102">
        <v>25</v>
      </c>
      <c r="B50" s="103">
        <v>138</v>
      </c>
      <c r="C50" s="104" t="s">
        <v>225</v>
      </c>
      <c r="D50" s="105" t="s">
        <v>459</v>
      </c>
      <c r="G50" s="28" t="s">
        <v>610</v>
      </c>
      <c r="H50" s="97">
        <v>42081</v>
      </c>
      <c r="I50" s="263" t="s">
        <v>611</v>
      </c>
      <c r="J50" s="263"/>
      <c r="K50" s="263"/>
      <c r="L50" s="263"/>
      <c r="M50" s="263"/>
    </row>
    <row r="51" spans="1:13" x14ac:dyDescent="0.35">
      <c r="A51" s="102">
        <v>26</v>
      </c>
      <c r="B51" s="103">
        <v>141</v>
      </c>
      <c r="C51" s="104" t="s">
        <v>225</v>
      </c>
      <c r="D51" s="105" t="s">
        <v>220</v>
      </c>
      <c r="G51" s="28" t="s">
        <v>612</v>
      </c>
      <c r="H51" s="97">
        <v>42081</v>
      </c>
      <c r="I51" s="263" t="s">
        <v>613</v>
      </c>
      <c r="J51" s="263"/>
      <c r="K51" s="263"/>
      <c r="L51" s="263"/>
      <c r="M51" s="263"/>
    </row>
    <row r="52" spans="1:13" x14ac:dyDescent="0.35">
      <c r="A52" s="102">
        <v>28</v>
      </c>
      <c r="B52" s="103">
        <v>143</v>
      </c>
      <c r="C52" s="104" t="s">
        <v>225</v>
      </c>
      <c r="D52" s="105" t="s">
        <v>220</v>
      </c>
      <c r="G52" s="28" t="s">
        <v>614</v>
      </c>
      <c r="H52" s="97">
        <v>42081</v>
      </c>
      <c r="I52" s="263" t="s">
        <v>615</v>
      </c>
      <c r="J52" s="263"/>
      <c r="K52" s="263"/>
      <c r="L52" s="263"/>
      <c r="M52" s="263"/>
    </row>
    <row r="53" spans="1:13" x14ac:dyDescent="0.35">
      <c r="A53" s="102">
        <v>29</v>
      </c>
      <c r="B53" s="103">
        <v>144</v>
      </c>
      <c r="C53" s="104" t="s">
        <v>225</v>
      </c>
      <c r="D53" s="105" t="s">
        <v>458</v>
      </c>
      <c r="G53" s="28" t="s">
        <v>614</v>
      </c>
      <c r="H53" s="97">
        <v>42081</v>
      </c>
      <c r="I53" s="263" t="s">
        <v>616</v>
      </c>
      <c r="J53" s="263"/>
      <c r="K53" s="263"/>
      <c r="L53" s="263"/>
      <c r="M53" s="263"/>
    </row>
    <row r="54" spans="1:13" x14ac:dyDescent="0.35">
      <c r="A54" s="102">
        <v>30</v>
      </c>
      <c r="B54" s="103">
        <v>145</v>
      </c>
      <c r="C54" s="104" t="s">
        <v>225</v>
      </c>
      <c r="D54" s="105" t="s">
        <v>220</v>
      </c>
      <c r="G54" s="28" t="s">
        <v>617</v>
      </c>
      <c r="H54" s="97">
        <v>42081</v>
      </c>
      <c r="I54" s="263" t="s">
        <v>618</v>
      </c>
      <c r="J54" s="263"/>
      <c r="K54" s="263"/>
      <c r="L54" s="263"/>
      <c r="M54" s="263"/>
    </row>
    <row r="55" spans="1:13" x14ac:dyDescent="0.35">
      <c r="A55" s="102">
        <v>31</v>
      </c>
      <c r="B55" s="103">
        <v>146</v>
      </c>
      <c r="C55" s="104" t="s">
        <v>225</v>
      </c>
      <c r="D55" s="105" t="s">
        <v>220</v>
      </c>
      <c r="G55" s="28" t="s">
        <v>617</v>
      </c>
      <c r="H55" s="97">
        <v>42081</v>
      </c>
      <c r="I55" s="263" t="s">
        <v>619</v>
      </c>
      <c r="J55" s="263"/>
      <c r="K55" s="263"/>
      <c r="L55" s="263"/>
      <c r="M55" s="263"/>
    </row>
    <row r="56" spans="1:13" x14ac:dyDescent="0.35">
      <c r="A56" s="102">
        <v>32</v>
      </c>
      <c r="B56" s="103">
        <v>147</v>
      </c>
      <c r="C56" s="104" t="s">
        <v>225</v>
      </c>
      <c r="D56" s="105" t="s">
        <v>220</v>
      </c>
      <c r="G56" s="98" t="s">
        <v>622</v>
      </c>
      <c r="H56" s="97">
        <v>42089</v>
      </c>
      <c r="I56" s="263" t="s">
        <v>623</v>
      </c>
      <c r="J56" s="263"/>
      <c r="K56" s="263"/>
      <c r="L56" s="263"/>
      <c r="M56" s="263"/>
    </row>
    <row r="57" spans="1:13" x14ac:dyDescent="0.35">
      <c r="A57" s="102">
        <v>33</v>
      </c>
      <c r="B57" s="103">
        <v>228</v>
      </c>
      <c r="C57" s="104" t="s">
        <v>225</v>
      </c>
      <c r="D57" s="105" t="s">
        <v>460</v>
      </c>
      <c r="G57" s="98" t="s">
        <v>604</v>
      </c>
      <c r="H57" s="97">
        <v>42166</v>
      </c>
      <c r="I57" s="263" t="s">
        <v>603</v>
      </c>
      <c r="J57" s="263"/>
      <c r="K57" s="263"/>
      <c r="L57" s="263"/>
      <c r="M57" s="263"/>
    </row>
    <row r="58" spans="1:13" x14ac:dyDescent="0.35">
      <c r="A58" s="102">
        <v>34</v>
      </c>
      <c r="B58" s="103">
        <v>149</v>
      </c>
      <c r="C58" s="104" t="s">
        <v>225</v>
      </c>
      <c r="D58" s="105" t="s">
        <v>460</v>
      </c>
      <c r="G58" s="98" t="s">
        <v>608</v>
      </c>
      <c r="H58" s="97">
        <v>42166</v>
      </c>
      <c r="I58" s="263" t="s">
        <v>603</v>
      </c>
      <c r="J58" s="263"/>
      <c r="K58" s="263"/>
      <c r="L58" s="263"/>
      <c r="M58" s="263"/>
    </row>
    <row r="59" spans="1:13" x14ac:dyDescent="0.35">
      <c r="A59" s="102">
        <v>35</v>
      </c>
      <c r="B59" s="103">
        <v>150</v>
      </c>
      <c r="C59" s="104" t="s">
        <v>225</v>
      </c>
      <c r="D59" s="105" t="s">
        <v>220</v>
      </c>
      <c r="G59" s="98" t="s">
        <v>643</v>
      </c>
      <c r="H59" s="97">
        <v>42166</v>
      </c>
      <c r="I59" s="263" t="s">
        <v>272</v>
      </c>
      <c r="J59" s="263"/>
      <c r="K59" s="263"/>
      <c r="L59" s="263"/>
      <c r="M59" s="263"/>
    </row>
    <row r="60" spans="1:13" x14ac:dyDescent="0.35">
      <c r="A60" s="102">
        <v>36</v>
      </c>
      <c r="B60" s="103">
        <v>151</v>
      </c>
      <c r="C60" s="104" t="s">
        <v>225</v>
      </c>
      <c r="D60" s="105" t="s">
        <v>459</v>
      </c>
      <c r="G60" s="98" t="s">
        <v>644</v>
      </c>
      <c r="H60" s="97">
        <v>42166</v>
      </c>
      <c r="I60" s="263" t="s">
        <v>258</v>
      </c>
      <c r="J60" s="263"/>
      <c r="K60" s="263"/>
      <c r="L60" s="263"/>
      <c r="M60" s="263"/>
    </row>
    <row r="61" spans="1:13" x14ac:dyDescent="0.35">
      <c r="A61" s="102">
        <v>37</v>
      </c>
      <c r="B61" s="103">
        <v>153</v>
      </c>
      <c r="C61" s="104" t="s">
        <v>225</v>
      </c>
      <c r="D61" s="105" t="s">
        <v>459</v>
      </c>
      <c r="G61" s="98" t="s">
        <v>645</v>
      </c>
      <c r="H61" s="97">
        <v>42166</v>
      </c>
      <c r="I61" s="263" t="s">
        <v>356</v>
      </c>
      <c r="J61" s="263"/>
      <c r="K61" s="263"/>
      <c r="L61" s="263"/>
      <c r="M61" s="263"/>
    </row>
    <row r="62" spans="1:13" x14ac:dyDescent="0.35">
      <c r="A62" s="102">
        <v>38</v>
      </c>
      <c r="B62" s="103">
        <v>154</v>
      </c>
      <c r="C62" s="104" t="s">
        <v>225</v>
      </c>
      <c r="D62" s="105" t="s">
        <v>220</v>
      </c>
      <c r="G62" s="98" t="s">
        <v>646</v>
      </c>
      <c r="H62" s="97">
        <v>42166</v>
      </c>
      <c r="I62" s="263" t="s">
        <v>355</v>
      </c>
      <c r="J62" s="263"/>
      <c r="K62" s="263"/>
      <c r="L62" s="263"/>
      <c r="M62" s="263"/>
    </row>
    <row r="63" spans="1:13" x14ac:dyDescent="0.35">
      <c r="A63" s="102">
        <v>39</v>
      </c>
      <c r="B63" s="103">
        <v>155</v>
      </c>
      <c r="C63" s="104" t="s">
        <v>225</v>
      </c>
      <c r="D63" s="105" t="s">
        <v>220</v>
      </c>
      <c r="G63" s="98" t="s">
        <v>647</v>
      </c>
      <c r="H63" s="97">
        <v>42166</v>
      </c>
      <c r="I63" s="263" t="s">
        <v>648</v>
      </c>
      <c r="J63" s="263"/>
      <c r="K63" s="263"/>
      <c r="L63" s="263"/>
      <c r="M63" s="263"/>
    </row>
    <row r="64" spans="1:13" x14ac:dyDescent="0.35">
      <c r="A64" s="102">
        <v>40</v>
      </c>
      <c r="B64" s="103">
        <v>157</v>
      </c>
      <c r="C64" s="104" t="s">
        <v>224</v>
      </c>
      <c r="D64" s="105" t="s">
        <v>459</v>
      </c>
      <c r="G64" s="98" t="s">
        <v>649</v>
      </c>
      <c r="H64" s="97">
        <v>42166</v>
      </c>
      <c r="I64" s="263" t="s">
        <v>650</v>
      </c>
      <c r="J64" s="263"/>
      <c r="K64" s="263"/>
      <c r="L64" s="263"/>
      <c r="M64" s="263"/>
    </row>
    <row r="65" spans="1:13" x14ac:dyDescent="0.35">
      <c r="A65" s="102">
        <v>41</v>
      </c>
      <c r="B65" s="103">
        <v>171</v>
      </c>
      <c r="C65" s="104" t="s">
        <v>226</v>
      </c>
      <c r="D65" s="105" t="s">
        <v>459</v>
      </c>
      <c r="G65" s="98" t="s">
        <v>651</v>
      </c>
      <c r="H65" s="97">
        <v>42166</v>
      </c>
      <c r="I65" s="263" t="s">
        <v>652</v>
      </c>
      <c r="J65" s="263"/>
      <c r="K65" s="263"/>
      <c r="L65" s="263"/>
      <c r="M65" s="263"/>
    </row>
    <row r="66" spans="1:13" x14ac:dyDescent="0.35">
      <c r="A66" s="102">
        <v>42</v>
      </c>
      <c r="B66" s="103">
        <v>173</v>
      </c>
      <c r="C66" s="104" t="s">
        <v>227</v>
      </c>
      <c r="D66" s="105" t="s">
        <v>459</v>
      </c>
      <c r="G66" s="98" t="s">
        <v>653</v>
      </c>
      <c r="H66" s="97">
        <v>42166</v>
      </c>
      <c r="I66" s="263" t="s">
        <v>654</v>
      </c>
      <c r="J66" s="263"/>
      <c r="K66" s="263"/>
      <c r="L66" s="263"/>
      <c r="M66" s="263"/>
    </row>
    <row r="67" spans="1:13" x14ac:dyDescent="0.35">
      <c r="A67" s="102">
        <v>43</v>
      </c>
      <c r="B67" s="103">
        <v>174</v>
      </c>
      <c r="C67" s="104" t="s">
        <v>227</v>
      </c>
      <c r="D67" s="105" t="s">
        <v>459</v>
      </c>
      <c r="G67" s="98" t="s">
        <v>655</v>
      </c>
      <c r="H67" s="97">
        <v>42166</v>
      </c>
      <c r="I67" s="263" t="s">
        <v>656</v>
      </c>
      <c r="J67" s="263"/>
      <c r="K67" s="263"/>
      <c r="L67" s="263"/>
      <c r="M67" s="263"/>
    </row>
    <row r="68" spans="1:13" x14ac:dyDescent="0.35">
      <c r="A68" s="102">
        <v>44</v>
      </c>
      <c r="B68" s="103">
        <v>185</v>
      </c>
      <c r="C68" s="104" t="s">
        <v>226</v>
      </c>
      <c r="D68" s="105" t="s">
        <v>459</v>
      </c>
      <c r="G68" s="98" t="s">
        <v>657</v>
      </c>
      <c r="H68" s="97">
        <v>42166</v>
      </c>
      <c r="I68" s="263" t="s">
        <v>658</v>
      </c>
      <c r="J68" s="263"/>
      <c r="K68" s="263"/>
      <c r="L68" s="263"/>
      <c r="M68" s="263"/>
    </row>
    <row r="69" spans="1:13" x14ac:dyDescent="0.35">
      <c r="A69" s="102">
        <v>45</v>
      </c>
      <c r="B69" s="103">
        <v>19</v>
      </c>
      <c r="C69" s="104" t="s">
        <v>228</v>
      </c>
      <c r="D69" s="105" t="s">
        <v>220</v>
      </c>
      <c r="G69" s="98" t="s">
        <v>659</v>
      </c>
      <c r="H69" s="97">
        <v>42166</v>
      </c>
      <c r="I69" s="263" t="s">
        <v>660</v>
      </c>
      <c r="J69" s="263"/>
      <c r="K69" s="263"/>
      <c r="L69" s="263"/>
      <c r="M69" s="263"/>
    </row>
    <row r="70" spans="1:13" x14ac:dyDescent="0.35">
      <c r="A70" s="102">
        <v>46</v>
      </c>
      <c r="B70" s="103">
        <v>78</v>
      </c>
      <c r="C70" s="104" t="s">
        <v>229</v>
      </c>
      <c r="D70" s="105" t="s">
        <v>220</v>
      </c>
      <c r="G70" s="98" t="s">
        <v>661</v>
      </c>
      <c r="H70" s="97">
        <v>42166</v>
      </c>
      <c r="I70" s="263" t="s">
        <v>662</v>
      </c>
      <c r="J70" s="263"/>
      <c r="K70" s="263"/>
      <c r="L70" s="263"/>
      <c r="M70" s="263"/>
    </row>
    <row r="71" spans="1:13" x14ac:dyDescent="0.35">
      <c r="A71" s="102">
        <v>47</v>
      </c>
      <c r="B71" s="103">
        <v>15</v>
      </c>
      <c r="C71" s="104" t="s">
        <v>230</v>
      </c>
      <c r="D71" s="105" t="s">
        <v>220</v>
      </c>
      <c r="G71" s="98" t="s">
        <v>661</v>
      </c>
      <c r="H71" s="97">
        <v>42166</v>
      </c>
      <c r="I71" s="263" t="s">
        <v>663</v>
      </c>
      <c r="J71" s="263"/>
      <c r="K71" s="263"/>
      <c r="L71" s="263"/>
      <c r="M71" s="263"/>
    </row>
    <row r="72" spans="1:13" x14ac:dyDescent="0.35">
      <c r="A72" s="102">
        <v>48</v>
      </c>
      <c r="B72" s="103">
        <v>79</v>
      </c>
      <c r="C72" s="104" t="s">
        <v>231</v>
      </c>
      <c r="D72" s="105" t="s">
        <v>458</v>
      </c>
      <c r="G72" s="98" t="s">
        <v>664</v>
      </c>
      <c r="H72" s="97">
        <v>42166</v>
      </c>
      <c r="I72" s="263" t="s">
        <v>665</v>
      </c>
      <c r="J72" s="263"/>
      <c r="K72" s="263"/>
      <c r="L72" s="263"/>
      <c r="M72" s="263"/>
    </row>
    <row r="73" spans="1:13" x14ac:dyDescent="0.35">
      <c r="A73" s="102">
        <v>49</v>
      </c>
      <c r="B73" s="103">
        <v>128</v>
      </c>
      <c r="C73" s="104" t="s">
        <v>224</v>
      </c>
      <c r="D73" s="105" t="s">
        <v>220</v>
      </c>
      <c r="G73" s="98" t="s">
        <v>664</v>
      </c>
      <c r="H73" s="97">
        <v>42166</v>
      </c>
      <c r="I73" s="263" t="s">
        <v>666</v>
      </c>
      <c r="J73" s="263"/>
      <c r="K73" s="263"/>
      <c r="L73" s="263"/>
      <c r="M73" s="263"/>
    </row>
    <row r="74" spans="1:13" x14ac:dyDescent="0.35">
      <c r="A74" s="102">
        <v>50</v>
      </c>
      <c r="B74" s="103">
        <v>14</v>
      </c>
      <c r="C74" s="104" t="s">
        <v>232</v>
      </c>
      <c r="D74" s="105" t="s">
        <v>220</v>
      </c>
      <c r="G74" s="98" t="s">
        <v>667</v>
      </c>
      <c r="H74" s="97">
        <v>42166</v>
      </c>
      <c r="I74" s="263" t="s">
        <v>668</v>
      </c>
      <c r="J74" s="263"/>
      <c r="K74" s="263"/>
      <c r="L74" s="263"/>
      <c r="M74" s="263"/>
    </row>
    <row r="75" spans="1:13" x14ac:dyDescent="0.35">
      <c r="A75" s="102">
        <v>51</v>
      </c>
      <c r="B75" s="103">
        <v>112</v>
      </c>
      <c r="C75" s="104" t="s">
        <v>233</v>
      </c>
      <c r="D75" s="105">
        <v>1</v>
      </c>
      <c r="G75" s="98" t="s">
        <v>669</v>
      </c>
      <c r="H75" s="97">
        <v>42166</v>
      </c>
      <c r="I75" s="263" t="s">
        <v>670</v>
      </c>
      <c r="J75" s="263"/>
      <c r="K75" s="263"/>
      <c r="L75" s="263"/>
      <c r="M75" s="263"/>
    </row>
    <row r="76" spans="1:13" x14ac:dyDescent="0.35">
      <c r="A76" s="102">
        <v>51</v>
      </c>
      <c r="B76" s="103">
        <v>120</v>
      </c>
      <c r="C76" s="104" t="s">
        <v>233</v>
      </c>
      <c r="D76" s="105">
        <v>2</v>
      </c>
      <c r="G76" s="98" t="s">
        <v>671</v>
      </c>
      <c r="H76" s="97">
        <v>42166</v>
      </c>
      <c r="I76" s="263" t="s">
        <v>672</v>
      </c>
      <c r="J76" s="263"/>
      <c r="K76" s="263"/>
      <c r="L76" s="263"/>
      <c r="M76" s="263"/>
    </row>
    <row r="77" spans="1:13" x14ac:dyDescent="0.35">
      <c r="A77" s="102">
        <v>52</v>
      </c>
      <c r="B77" s="103">
        <v>114</v>
      </c>
      <c r="C77" s="104" t="s">
        <v>234</v>
      </c>
      <c r="D77" s="105" t="s">
        <v>458</v>
      </c>
      <c r="G77" s="98" t="s">
        <v>673</v>
      </c>
      <c r="H77" s="97">
        <v>42166</v>
      </c>
      <c r="I77" s="263" t="s">
        <v>674</v>
      </c>
      <c r="J77" s="263"/>
      <c r="K77" s="263"/>
      <c r="L77" s="263"/>
      <c r="M77" s="263"/>
    </row>
    <row r="78" spans="1:13" x14ac:dyDescent="0.35">
      <c r="A78" s="102">
        <v>53</v>
      </c>
      <c r="B78" s="103">
        <v>115</v>
      </c>
      <c r="C78" s="104" t="s">
        <v>234</v>
      </c>
      <c r="D78" s="105" t="s">
        <v>458</v>
      </c>
      <c r="G78" s="98" t="s">
        <v>675</v>
      </c>
      <c r="H78" s="97">
        <v>42166</v>
      </c>
      <c r="I78" s="263" t="s">
        <v>676</v>
      </c>
      <c r="J78" s="263"/>
      <c r="K78" s="263"/>
      <c r="L78" s="263"/>
      <c r="M78" s="263"/>
    </row>
    <row r="79" spans="1:13" x14ac:dyDescent="0.35">
      <c r="A79" s="102">
        <v>55</v>
      </c>
      <c r="B79" s="103">
        <v>117</v>
      </c>
      <c r="C79" s="104" t="s">
        <v>234</v>
      </c>
      <c r="D79" s="105" t="s">
        <v>458</v>
      </c>
      <c r="G79" s="98" t="s">
        <v>677</v>
      </c>
      <c r="H79" s="97">
        <v>42166</v>
      </c>
      <c r="I79" s="263" t="s">
        <v>678</v>
      </c>
      <c r="J79" s="263"/>
      <c r="K79" s="263"/>
      <c r="L79" s="263"/>
      <c r="M79" s="263"/>
    </row>
    <row r="80" spans="1:13" x14ac:dyDescent="0.35">
      <c r="A80" s="102">
        <v>56</v>
      </c>
      <c r="B80" s="103">
        <v>118</v>
      </c>
      <c r="C80" s="104" t="s">
        <v>234</v>
      </c>
      <c r="D80" s="105" t="s">
        <v>458</v>
      </c>
      <c r="G80" s="98" t="s">
        <v>679</v>
      </c>
      <c r="H80" s="97">
        <v>42166</v>
      </c>
      <c r="I80" s="263" t="s">
        <v>680</v>
      </c>
      <c r="J80" s="263"/>
      <c r="K80" s="263"/>
      <c r="L80" s="263"/>
      <c r="M80" s="263"/>
    </row>
    <row r="81" spans="1:13" x14ac:dyDescent="0.35">
      <c r="A81" s="102">
        <v>57</v>
      </c>
      <c r="B81" s="103">
        <v>119</v>
      </c>
      <c r="C81" s="104" t="s">
        <v>234</v>
      </c>
      <c r="D81" s="105" t="s">
        <v>220</v>
      </c>
      <c r="G81" s="98" t="s">
        <v>681</v>
      </c>
      <c r="H81" s="97">
        <v>42166</v>
      </c>
      <c r="I81" s="263" t="s">
        <v>682</v>
      </c>
      <c r="J81" s="263"/>
      <c r="K81" s="263"/>
      <c r="L81" s="263"/>
      <c r="M81" s="263"/>
    </row>
    <row r="82" spans="1:13" x14ac:dyDescent="0.35">
      <c r="A82" s="102">
        <v>58</v>
      </c>
      <c r="B82" s="103">
        <v>21</v>
      </c>
      <c r="C82" s="104" t="s">
        <v>272</v>
      </c>
      <c r="D82" s="105">
        <v>1</v>
      </c>
      <c r="G82" s="98" t="s">
        <v>681</v>
      </c>
      <c r="H82" s="97">
        <v>42166</v>
      </c>
      <c r="I82" s="263" t="s">
        <v>683</v>
      </c>
      <c r="J82" s="263"/>
      <c r="K82" s="263"/>
      <c r="L82" s="263"/>
      <c r="M82" s="263"/>
    </row>
    <row r="83" spans="1:13" x14ac:dyDescent="0.35">
      <c r="A83" s="102">
        <v>58</v>
      </c>
      <c r="B83" s="103">
        <v>175</v>
      </c>
      <c r="C83" s="104" t="s">
        <v>272</v>
      </c>
      <c r="D83" s="105">
        <v>1</v>
      </c>
      <c r="G83" s="98" t="s">
        <v>684</v>
      </c>
      <c r="H83" s="97">
        <v>42166</v>
      </c>
      <c r="I83" s="263" t="s">
        <v>685</v>
      </c>
      <c r="J83" s="263"/>
      <c r="K83" s="263"/>
      <c r="L83" s="263"/>
      <c r="M83" s="263"/>
    </row>
    <row r="84" spans="1:13" x14ac:dyDescent="0.35">
      <c r="A84" s="102">
        <v>59</v>
      </c>
      <c r="B84" s="103">
        <v>121</v>
      </c>
      <c r="C84" s="104" t="s">
        <v>234</v>
      </c>
      <c r="D84" s="105" t="s">
        <v>458</v>
      </c>
    </row>
    <row r="85" spans="1:13" x14ac:dyDescent="0.35">
      <c r="A85" s="102">
        <v>60</v>
      </c>
      <c r="B85" s="103">
        <v>122</v>
      </c>
      <c r="C85" s="104" t="s">
        <v>234</v>
      </c>
      <c r="D85" s="105" t="s">
        <v>220</v>
      </c>
    </row>
    <row r="86" spans="1:13" x14ac:dyDescent="0.35">
      <c r="A86" s="102">
        <v>62</v>
      </c>
      <c r="B86" s="103">
        <v>1119</v>
      </c>
      <c r="C86" s="104" t="s">
        <v>235</v>
      </c>
      <c r="D86" s="105" t="s">
        <v>461</v>
      </c>
    </row>
    <row r="87" spans="1:13" x14ac:dyDescent="0.35">
      <c r="A87" s="102">
        <v>63</v>
      </c>
      <c r="B87" s="103">
        <v>172</v>
      </c>
      <c r="C87" s="104" t="s">
        <v>227</v>
      </c>
      <c r="D87" s="105" t="s">
        <v>458</v>
      </c>
    </row>
    <row r="88" spans="1:13" x14ac:dyDescent="0.35">
      <c r="A88" s="102">
        <v>64</v>
      </c>
      <c r="B88" s="103">
        <v>1105</v>
      </c>
      <c r="C88" s="104" t="s">
        <v>234</v>
      </c>
      <c r="D88" s="105" t="s">
        <v>220</v>
      </c>
    </row>
    <row r="89" spans="1:13" x14ac:dyDescent="0.35">
      <c r="A89" s="102">
        <v>65</v>
      </c>
      <c r="B89" s="103">
        <v>10</v>
      </c>
      <c r="C89" s="104" t="s">
        <v>236</v>
      </c>
      <c r="D89" s="105" t="s">
        <v>220</v>
      </c>
    </row>
    <row r="90" spans="1:13" x14ac:dyDescent="0.35">
      <c r="A90" s="102">
        <v>66</v>
      </c>
      <c r="B90" s="103">
        <v>1106</v>
      </c>
      <c r="C90" s="104" t="s">
        <v>236</v>
      </c>
      <c r="D90" s="105" t="s">
        <v>220</v>
      </c>
    </row>
    <row r="91" spans="1:13" x14ac:dyDescent="0.35">
      <c r="A91" s="102">
        <v>67</v>
      </c>
      <c r="B91" s="103">
        <v>102</v>
      </c>
      <c r="C91" s="104" t="s">
        <v>237</v>
      </c>
      <c r="D91" s="105" t="s">
        <v>459</v>
      </c>
    </row>
    <row r="92" spans="1:13" x14ac:dyDescent="0.35">
      <c r="A92" s="102">
        <v>71</v>
      </c>
      <c r="B92" s="103">
        <v>109</v>
      </c>
      <c r="C92" s="104" t="s">
        <v>237</v>
      </c>
      <c r="D92" s="105" t="s">
        <v>220</v>
      </c>
    </row>
    <row r="93" spans="1:13" x14ac:dyDescent="0.35">
      <c r="A93" s="102">
        <v>72</v>
      </c>
      <c r="B93" s="103">
        <v>111</v>
      </c>
      <c r="C93" s="104" t="s">
        <v>237</v>
      </c>
      <c r="D93" s="105" t="s">
        <v>220</v>
      </c>
    </row>
    <row r="94" spans="1:13" x14ac:dyDescent="0.35">
      <c r="A94" s="102">
        <v>73</v>
      </c>
      <c r="B94" s="103">
        <v>156</v>
      </c>
      <c r="C94" s="104" t="s">
        <v>237</v>
      </c>
      <c r="D94" s="105" t="s">
        <v>459</v>
      </c>
    </row>
    <row r="95" spans="1:13" x14ac:dyDescent="0.35">
      <c r="A95" s="102">
        <v>74</v>
      </c>
      <c r="B95" s="103">
        <v>17</v>
      </c>
      <c r="C95" s="104" t="s">
        <v>238</v>
      </c>
      <c r="D95" s="105" t="s">
        <v>220</v>
      </c>
    </row>
    <row r="96" spans="1:13" x14ac:dyDescent="0.35">
      <c r="A96" s="102">
        <v>75</v>
      </c>
      <c r="B96" s="103">
        <v>62</v>
      </c>
      <c r="C96" s="104" t="s">
        <v>239</v>
      </c>
      <c r="D96" s="105" t="s">
        <v>220</v>
      </c>
    </row>
    <row r="97" spans="1:4" x14ac:dyDescent="0.35">
      <c r="A97" s="102">
        <v>76</v>
      </c>
      <c r="B97" s="103">
        <v>63</v>
      </c>
      <c r="C97" s="104" t="s">
        <v>239</v>
      </c>
      <c r="D97" s="105" t="s">
        <v>220</v>
      </c>
    </row>
    <row r="98" spans="1:4" x14ac:dyDescent="0.35">
      <c r="A98" s="102">
        <v>77</v>
      </c>
      <c r="B98" s="103">
        <v>134</v>
      </c>
      <c r="C98" s="104" t="s">
        <v>239</v>
      </c>
      <c r="D98" s="105" t="s">
        <v>220</v>
      </c>
    </row>
    <row r="99" spans="1:4" x14ac:dyDescent="0.35">
      <c r="A99" s="102">
        <v>78</v>
      </c>
      <c r="B99" s="103">
        <v>13</v>
      </c>
      <c r="C99" s="104" t="s">
        <v>240</v>
      </c>
      <c r="D99" s="105" t="s">
        <v>220</v>
      </c>
    </row>
    <row r="100" spans="1:4" x14ac:dyDescent="0.35">
      <c r="A100" s="102">
        <v>79</v>
      </c>
      <c r="B100" s="103">
        <v>97</v>
      </c>
      <c r="C100" s="104" t="s">
        <v>241</v>
      </c>
      <c r="D100" s="105">
        <v>2</v>
      </c>
    </row>
    <row r="101" spans="1:4" x14ac:dyDescent="0.35">
      <c r="A101" s="102">
        <v>79</v>
      </c>
      <c r="B101" s="103">
        <v>164</v>
      </c>
      <c r="C101" s="104" t="s">
        <v>241</v>
      </c>
      <c r="D101" s="105">
        <v>1</v>
      </c>
    </row>
    <row r="102" spans="1:4" x14ac:dyDescent="0.35">
      <c r="A102" s="102">
        <v>80</v>
      </c>
      <c r="B102" s="103">
        <v>96</v>
      </c>
      <c r="C102" s="104" t="s">
        <v>242</v>
      </c>
      <c r="D102" s="105" t="s">
        <v>220</v>
      </c>
    </row>
    <row r="103" spans="1:4" x14ac:dyDescent="0.35">
      <c r="A103" s="102">
        <v>81</v>
      </c>
      <c r="B103" s="103">
        <v>60</v>
      </c>
      <c r="C103" s="104" t="s">
        <v>243</v>
      </c>
      <c r="D103" s="105" t="s">
        <v>220</v>
      </c>
    </row>
    <row r="104" spans="1:4" x14ac:dyDescent="0.35">
      <c r="A104" s="102">
        <v>82</v>
      </c>
      <c r="B104" s="103">
        <v>83</v>
      </c>
      <c r="C104" s="104" t="s">
        <v>244</v>
      </c>
      <c r="D104" s="105" t="s">
        <v>220</v>
      </c>
    </row>
    <row r="105" spans="1:4" x14ac:dyDescent="0.35">
      <c r="A105" s="102">
        <v>83</v>
      </c>
      <c r="B105" s="103">
        <v>84</v>
      </c>
      <c r="C105" s="104" t="s">
        <v>244</v>
      </c>
      <c r="D105" s="105" t="s">
        <v>220</v>
      </c>
    </row>
    <row r="106" spans="1:4" x14ac:dyDescent="0.35">
      <c r="A106" s="102">
        <v>84</v>
      </c>
      <c r="B106" s="103">
        <v>85</v>
      </c>
      <c r="C106" s="104" t="s">
        <v>244</v>
      </c>
      <c r="D106" s="105" t="s">
        <v>220</v>
      </c>
    </row>
    <row r="107" spans="1:4" x14ac:dyDescent="0.35">
      <c r="A107" s="102">
        <v>85</v>
      </c>
      <c r="B107" s="103">
        <v>86</v>
      </c>
      <c r="C107" s="104" t="s">
        <v>244</v>
      </c>
      <c r="D107" s="105" t="s">
        <v>220</v>
      </c>
    </row>
    <row r="108" spans="1:4" x14ac:dyDescent="0.35">
      <c r="A108" s="102">
        <v>86</v>
      </c>
      <c r="B108" s="103">
        <v>1107</v>
      </c>
      <c r="C108" s="104" t="s">
        <v>244</v>
      </c>
      <c r="D108" s="105" t="s">
        <v>220</v>
      </c>
    </row>
    <row r="109" spans="1:4" x14ac:dyDescent="0.35">
      <c r="A109" s="102">
        <v>87</v>
      </c>
      <c r="B109" s="103">
        <v>1109</v>
      </c>
      <c r="C109" s="104" t="s">
        <v>244</v>
      </c>
      <c r="D109" s="105" t="s">
        <v>220</v>
      </c>
    </row>
    <row r="110" spans="1:4" x14ac:dyDescent="0.35">
      <c r="A110" s="102">
        <v>88</v>
      </c>
      <c r="B110" s="103">
        <v>1113</v>
      </c>
      <c r="C110" s="104" t="s">
        <v>244</v>
      </c>
      <c r="D110" s="105" t="s">
        <v>220</v>
      </c>
    </row>
    <row r="111" spans="1:4" x14ac:dyDescent="0.35">
      <c r="A111" s="102">
        <v>91</v>
      </c>
      <c r="B111" s="103">
        <v>3</v>
      </c>
      <c r="C111" s="104" t="s">
        <v>245</v>
      </c>
      <c r="D111" s="105" t="s">
        <v>220</v>
      </c>
    </row>
    <row r="112" spans="1:4" x14ac:dyDescent="0.35">
      <c r="A112" s="102">
        <v>92</v>
      </c>
      <c r="B112" s="103">
        <v>4</v>
      </c>
      <c r="C112" s="104" t="s">
        <v>245</v>
      </c>
      <c r="D112" s="105" t="s">
        <v>220</v>
      </c>
    </row>
    <row r="113" spans="1:4" x14ac:dyDescent="0.35">
      <c r="A113" s="102">
        <v>93</v>
      </c>
      <c r="B113" s="103">
        <v>30</v>
      </c>
      <c r="C113" s="104" t="s">
        <v>246</v>
      </c>
      <c r="D113" s="105">
        <v>1</v>
      </c>
    </row>
    <row r="114" spans="1:4" x14ac:dyDescent="0.35">
      <c r="A114" s="102">
        <v>93</v>
      </c>
      <c r="B114" s="103">
        <v>214</v>
      </c>
      <c r="C114" s="104" t="s">
        <v>246</v>
      </c>
      <c r="D114" s="105">
        <v>2</v>
      </c>
    </row>
    <row r="115" spans="1:4" x14ac:dyDescent="0.35">
      <c r="A115" s="102">
        <v>94</v>
      </c>
      <c r="B115" s="103">
        <v>1108</v>
      </c>
      <c r="C115" s="104" t="s">
        <v>245</v>
      </c>
      <c r="D115" s="105" t="s">
        <v>220</v>
      </c>
    </row>
    <row r="116" spans="1:4" x14ac:dyDescent="0.35">
      <c r="A116" s="102">
        <v>95</v>
      </c>
      <c r="B116" s="103">
        <v>1110</v>
      </c>
      <c r="C116" s="104" t="s">
        <v>245</v>
      </c>
      <c r="D116" s="105" t="s">
        <v>220</v>
      </c>
    </row>
    <row r="117" spans="1:4" x14ac:dyDescent="0.35">
      <c r="A117" s="102">
        <v>96</v>
      </c>
      <c r="B117" s="103">
        <v>1114</v>
      </c>
      <c r="C117" s="104" t="s">
        <v>245</v>
      </c>
      <c r="D117" s="105" t="s">
        <v>220</v>
      </c>
    </row>
    <row r="118" spans="1:4" x14ac:dyDescent="0.35">
      <c r="A118" s="102">
        <v>97</v>
      </c>
      <c r="B118" s="103">
        <v>54</v>
      </c>
      <c r="C118" s="104" t="s">
        <v>247</v>
      </c>
      <c r="D118" s="105" t="s">
        <v>220</v>
      </c>
    </row>
    <row r="119" spans="1:4" x14ac:dyDescent="0.35">
      <c r="A119" s="102">
        <v>98</v>
      </c>
      <c r="B119" s="103">
        <v>12</v>
      </c>
      <c r="C119" s="104" t="s">
        <v>248</v>
      </c>
      <c r="D119" s="105" t="s">
        <v>220</v>
      </c>
    </row>
    <row r="120" spans="1:4" x14ac:dyDescent="0.35">
      <c r="A120" s="102">
        <v>99</v>
      </c>
      <c r="B120" s="103">
        <v>75</v>
      </c>
      <c r="C120" s="104" t="s">
        <v>249</v>
      </c>
      <c r="D120" s="105" t="s">
        <v>458</v>
      </c>
    </row>
    <row r="121" spans="1:4" x14ac:dyDescent="0.35">
      <c r="A121" s="102">
        <v>100</v>
      </c>
      <c r="B121" s="103">
        <v>76</v>
      </c>
      <c r="C121" s="104" t="s">
        <v>249</v>
      </c>
      <c r="D121" s="105" t="s">
        <v>458</v>
      </c>
    </row>
    <row r="122" spans="1:4" x14ac:dyDescent="0.35">
      <c r="A122" s="102">
        <v>101</v>
      </c>
      <c r="B122" s="103">
        <v>7</v>
      </c>
      <c r="C122" s="104" t="s">
        <v>250</v>
      </c>
      <c r="D122" s="105" t="s">
        <v>220</v>
      </c>
    </row>
    <row r="123" spans="1:4" x14ac:dyDescent="0.35">
      <c r="A123" s="102">
        <v>102</v>
      </c>
      <c r="B123" s="103">
        <v>8</v>
      </c>
      <c r="C123" s="104" t="s">
        <v>250</v>
      </c>
      <c r="D123" s="105" t="s">
        <v>220</v>
      </c>
    </row>
    <row r="124" spans="1:4" x14ac:dyDescent="0.35">
      <c r="A124" s="102">
        <v>103</v>
      </c>
      <c r="B124" s="103">
        <v>9</v>
      </c>
      <c r="C124" s="104" t="s">
        <v>250</v>
      </c>
      <c r="D124" s="105" t="s">
        <v>220</v>
      </c>
    </row>
    <row r="125" spans="1:4" x14ac:dyDescent="0.35">
      <c r="A125" s="102">
        <v>104</v>
      </c>
      <c r="B125" s="103">
        <v>61</v>
      </c>
      <c r="C125" s="104" t="s">
        <v>251</v>
      </c>
      <c r="D125" s="105" t="s">
        <v>459</v>
      </c>
    </row>
    <row r="126" spans="1:4" x14ac:dyDescent="0.35">
      <c r="A126" s="102">
        <v>105</v>
      </c>
      <c r="B126" s="103">
        <v>65</v>
      </c>
      <c r="C126" s="104" t="s">
        <v>251</v>
      </c>
      <c r="D126" s="105" t="s">
        <v>220</v>
      </c>
    </row>
    <row r="127" spans="1:4" x14ac:dyDescent="0.35">
      <c r="A127" s="102">
        <v>106</v>
      </c>
      <c r="B127" s="103">
        <v>66</v>
      </c>
      <c r="C127" s="104" t="s">
        <v>251</v>
      </c>
      <c r="D127" s="105" t="s">
        <v>459</v>
      </c>
    </row>
    <row r="128" spans="1:4" x14ac:dyDescent="0.35">
      <c r="A128" s="102">
        <v>107</v>
      </c>
      <c r="B128" s="103">
        <v>67</v>
      </c>
      <c r="C128" s="104" t="s">
        <v>251</v>
      </c>
      <c r="D128" s="105" t="s">
        <v>459</v>
      </c>
    </row>
    <row r="129" spans="1:4" x14ac:dyDescent="0.35">
      <c r="A129" s="102">
        <v>108</v>
      </c>
      <c r="B129" s="103">
        <v>68</v>
      </c>
      <c r="C129" s="104" t="s">
        <v>251</v>
      </c>
      <c r="D129" s="105" t="s">
        <v>459</v>
      </c>
    </row>
    <row r="130" spans="1:4" x14ac:dyDescent="0.35">
      <c r="A130" s="102">
        <v>109</v>
      </c>
      <c r="B130" s="103">
        <v>69</v>
      </c>
      <c r="C130" s="104" t="s">
        <v>251</v>
      </c>
      <c r="D130" s="105" t="s">
        <v>220</v>
      </c>
    </row>
    <row r="131" spans="1:4" x14ac:dyDescent="0.35">
      <c r="A131" s="102">
        <v>110</v>
      </c>
      <c r="B131" s="103">
        <v>1348</v>
      </c>
      <c r="C131" s="104" t="s">
        <v>251</v>
      </c>
      <c r="D131" s="105" t="s">
        <v>220</v>
      </c>
    </row>
    <row r="132" spans="1:4" x14ac:dyDescent="0.35">
      <c r="A132" s="102">
        <v>111</v>
      </c>
      <c r="B132" s="103">
        <v>91</v>
      </c>
      <c r="C132" s="104" t="s">
        <v>252</v>
      </c>
      <c r="D132" s="105" t="s">
        <v>220</v>
      </c>
    </row>
    <row r="133" spans="1:4" x14ac:dyDescent="0.35">
      <c r="A133" s="102">
        <v>112</v>
      </c>
      <c r="B133" s="103">
        <v>22</v>
      </c>
      <c r="C133" s="104" t="s">
        <v>253</v>
      </c>
      <c r="D133" s="105" t="s">
        <v>458</v>
      </c>
    </row>
    <row r="134" spans="1:4" x14ac:dyDescent="0.35">
      <c r="A134" s="102">
        <v>113</v>
      </c>
      <c r="B134" s="103">
        <v>23</v>
      </c>
      <c r="C134" s="104" t="s">
        <v>253</v>
      </c>
      <c r="D134" s="105" t="s">
        <v>458</v>
      </c>
    </row>
    <row r="135" spans="1:4" x14ac:dyDescent="0.35">
      <c r="A135" s="102">
        <v>115</v>
      </c>
      <c r="B135" s="103">
        <v>25</v>
      </c>
      <c r="C135" s="104" t="s">
        <v>253</v>
      </c>
      <c r="D135" s="105" t="s">
        <v>220</v>
      </c>
    </row>
    <row r="136" spans="1:4" x14ac:dyDescent="0.35">
      <c r="A136" s="102">
        <v>116</v>
      </c>
      <c r="B136" s="103">
        <v>26</v>
      </c>
      <c r="C136" s="104" t="s">
        <v>253</v>
      </c>
      <c r="D136" s="105" t="s">
        <v>220</v>
      </c>
    </row>
    <row r="137" spans="1:4" x14ac:dyDescent="0.35">
      <c r="A137" s="102">
        <v>117</v>
      </c>
      <c r="B137" s="103">
        <v>1349</v>
      </c>
      <c r="C137" s="104" t="s">
        <v>253</v>
      </c>
      <c r="D137" s="105" t="s">
        <v>220</v>
      </c>
    </row>
    <row r="138" spans="1:4" x14ac:dyDescent="0.35">
      <c r="A138" s="102">
        <v>118</v>
      </c>
      <c r="B138" s="103">
        <v>6</v>
      </c>
      <c r="C138" s="104" t="s">
        <v>254</v>
      </c>
      <c r="D138" s="105" t="s">
        <v>220</v>
      </c>
    </row>
    <row r="139" spans="1:4" x14ac:dyDescent="0.35">
      <c r="A139" s="102">
        <v>119</v>
      </c>
      <c r="B139" s="103">
        <v>1350</v>
      </c>
      <c r="C139" s="104" t="s">
        <v>254</v>
      </c>
      <c r="D139" s="105" t="s">
        <v>220</v>
      </c>
    </row>
    <row r="140" spans="1:4" x14ac:dyDescent="0.35">
      <c r="A140" s="102">
        <v>120</v>
      </c>
      <c r="B140" s="103">
        <v>11</v>
      </c>
      <c r="C140" s="104" t="s">
        <v>227</v>
      </c>
      <c r="D140" s="105" t="s">
        <v>220</v>
      </c>
    </row>
    <row r="141" spans="1:4" x14ac:dyDescent="0.35">
      <c r="A141" s="102">
        <v>121</v>
      </c>
      <c r="B141" s="103">
        <v>26</v>
      </c>
      <c r="C141" s="104" t="s">
        <v>255</v>
      </c>
      <c r="D141" s="105">
        <v>2</v>
      </c>
    </row>
    <row r="142" spans="1:4" x14ac:dyDescent="0.35">
      <c r="A142" s="102">
        <v>121</v>
      </c>
      <c r="B142" s="103">
        <v>224</v>
      </c>
      <c r="C142" s="104" t="s">
        <v>255</v>
      </c>
      <c r="D142" s="105">
        <v>1</v>
      </c>
    </row>
    <row r="143" spans="1:4" x14ac:dyDescent="0.35">
      <c r="A143" s="102">
        <v>122</v>
      </c>
      <c r="B143" s="103">
        <v>201</v>
      </c>
      <c r="C143" s="104" t="s">
        <v>256</v>
      </c>
      <c r="D143" s="105">
        <v>1</v>
      </c>
    </row>
    <row r="144" spans="1:4" x14ac:dyDescent="0.35">
      <c r="A144" s="102">
        <v>122</v>
      </c>
      <c r="B144" s="103">
        <v>245</v>
      </c>
      <c r="C144" s="104" t="s">
        <v>256</v>
      </c>
      <c r="D144" s="105">
        <v>2</v>
      </c>
    </row>
    <row r="145" spans="1:4" x14ac:dyDescent="0.35">
      <c r="A145" s="102">
        <v>123</v>
      </c>
      <c r="B145" s="103">
        <v>1307</v>
      </c>
      <c r="C145" s="104" t="s">
        <v>257</v>
      </c>
      <c r="D145" s="105">
        <v>1</v>
      </c>
    </row>
    <row r="146" spans="1:4" x14ac:dyDescent="0.35">
      <c r="A146" s="102">
        <v>124</v>
      </c>
      <c r="B146" s="103">
        <v>1319</v>
      </c>
      <c r="C146" s="104" t="s">
        <v>257</v>
      </c>
      <c r="D146" s="105">
        <v>1</v>
      </c>
    </row>
    <row r="147" spans="1:4" x14ac:dyDescent="0.35">
      <c r="A147" s="102">
        <v>125</v>
      </c>
      <c r="B147" s="103">
        <v>1315</v>
      </c>
      <c r="C147" s="104" t="s">
        <v>257</v>
      </c>
      <c r="D147" s="105">
        <v>1</v>
      </c>
    </row>
    <row r="148" spans="1:4" x14ac:dyDescent="0.35">
      <c r="A148" s="102">
        <v>126</v>
      </c>
      <c r="B148" s="103">
        <v>1193</v>
      </c>
      <c r="C148" s="104" t="s">
        <v>258</v>
      </c>
      <c r="D148" s="105">
        <v>1</v>
      </c>
    </row>
    <row r="149" spans="1:4" x14ac:dyDescent="0.35">
      <c r="A149" s="102">
        <v>126</v>
      </c>
      <c r="B149" s="103">
        <v>1194</v>
      </c>
      <c r="C149" s="104" t="s">
        <v>258</v>
      </c>
      <c r="D149" s="105">
        <v>2</v>
      </c>
    </row>
    <row r="150" spans="1:4" x14ac:dyDescent="0.35">
      <c r="A150" s="102">
        <v>127</v>
      </c>
      <c r="B150" s="103">
        <v>80</v>
      </c>
      <c r="C150" s="104" t="s">
        <v>259</v>
      </c>
      <c r="D150" s="105" t="s">
        <v>459</v>
      </c>
    </row>
    <row r="151" spans="1:4" x14ac:dyDescent="0.35">
      <c r="A151" s="102">
        <v>127</v>
      </c>
      <c r="B151" s="103">
        <v>148</v>
      </c>
      <c r="C151" s="104" t="s">
        <v>259</v>
      </c>
      <c r="D151" s="105">
        <v>1</v>
      </c>
    </row>
    <row r="152" spans="1:4" x14ac:dyDescent="0.35">
      <c r="A152" s="102">
        <v>127</v>
      </c>
      <c r="B152" s="103">
        <v>221</v>
      </c>
      <c r="C152" s="104" t="s">
        <v>259</v>
      </c>
      <c r="D152" s="105" t="s">
        <v>461</v>
      </c>
    </row>
    <row r="153" spans="1:4" x14ac:dyDescent="0.35">
      <c r="A153" s="102">
        <v>128</v>
      </c>
      <c r="B153" s="103">
        <v>1120</v>
      </c>
      <c r="C153" s="104" t="s">
        <v>260</v>
      </c>
      <c r="D153" s="105">
        <v>1</v>
      </c>
    </row>
    <row r="154" spans="1:4" x14ac:dyDescent="0.35">
      <c r="A154" s="102">
        <v>128</v>
      </c>
      <c r="B154" s="103">
        <v>1121</v>
      </c>
      <c r="C154" s="104" t="s">
        <v>260</v>
      </c>
      <c r="D154" s="105">
        <v>1</v>
      </c>
    </row>
    <row r="155" spans="1:4" x14ac:dyDescent="0.35">
      <c r="A155" s="102">
        <v>128</v>
      </c>
      <c r="B155" s="103">
        <v>1122</v>
      </c>
      <c r="C155" s="104" t="s">
        <v>260</v>
      </c>
      <c r="D155" s="105">
        <v>2</v>
      </c>
    </row>
    <row r="156" spans="1:4" x14ac:dyDescent="0.35">
      <c r="A156" s="102">
        <v>129</v>
      </c>
      <c r="B156" s="103">
        <v>169</v>
      </c>
      <c r="C156" s="104" t="s">
        <v>259</v>
      </c>
      <c r="D156" s="105">
        <v>1</v>
      </c>
    </row>
    <row r="157" spans="1:4" x14ac:dyDescent="0.35">
      <c r="A157" s="102">
        <v>129</v>
      </c>
      <c r="B157" s="103">
        <v>202</v>
      </c>
      <c r="C157" s="104" t="s">
        <v>259</v>
      </c>
      <c r="D157" s="105">
        <v>1</v>
      </c>
    </row>
    <row r="158" spans="1:4" x14ac:dyDescent="0.35">
      <c r="A158" s="102">
        <v>129</v>
      </c>
      <c r="B158" s="103">
        <v>222</v>
      </c>
      <c r="C158" s="104" t="s">
        <v>259</v>
      </c>
      <c r="D158" s="105">
        <v>2</v>
      </c>
    </row>
    <row r="159" spans="1:4" x14ac:dyDescent="0.35">
      <c r="A159" s="102">
        <v>130</v>
      </c>
      <c r="B159" s="103">
        <v>1308</v>
      </c>
      <c r="C159" s="104" t="s">
        <v>261</v>
      </c>
      <c r="D159" s="105">
        <v>1</v>
      </c>
    </row>
    <row r="160" spans="1:4" x14ac:dyDescent="0.35">
      <c r="A160" s="102">
        <v>130</v>
      </c>
      <c r="B160" s="103">
        <v>1309</v>
      </c>
      <c r="C160" s="104" t="s">
        <v>261</v>
      </c>
      <c r="D160" s="105">
        <v>1</v>
      </c>
    </row>
    <row r="161" spans="1:4" x14ac:dyDescent="0.35">
      <c r="A161" s="102">
        <v>130</v>
      </c>
      <c r="B161" s="103">
        <v>1310</v>
      </c>
      <c r="C161" s="104" t="s">
        <v>261</v>
      </c>
      <c r="D161" s="105">
        <v>2</v>
      </c>
    </row>
    <row r="162" spans="1:4" x14ac:dyDescent="0.35">
      <c r="A162" s="102">
        <v>131</v>
      </c>
      <c r="B162" s="103">
        <v>1311</v>
      </c>
      <c r="C162" s="104" t="s">
        <v>261</v>
      </c>
      <c r="D162" s="105">
        <v>1</v>
      </c>
    </row>
    <row r="163" spans="1:4" x14ac:dyDescent="0.35">
      <c r="A163" s="102">
        <v>131</v>
      </c>
      <c r="B163" s="103">
        <v>1312</v>
      </c>
      <c r="C163" s="104" t="s">
        <v>261</v>
      </c>
      <c r="D163" s="105">
        <v>1</v>
      </c>
    </row>
    <row r="164" spans="1:4" x14ac:dyDescent="0.35">
      <c r="A164" s="102">
        <v>131</v>
      </c>
      <c r="B164" s="103">
        <v>1313</v>
      </c>
      <c r="C164" s="104" t="s">
        <v>261</v>
      </c>
      <c r="D164" s="105">
        <v>2</v>
      </c>
    </row>
    <row r="165" spans="1:4" x14ac:dyDescent="0.35">
      <c r="A165" s="102">
        <v>132</v>
      </c>
      <c r="B165" s="103">
        <v>92</v>
      </c>
      <c r="C165" s="104" t="s">
        <v>262</v>
      </c>
      <c r="D165" s="105" t="s">
        <v>458</v>
      </c>
    </row>
    <row r="166" spans="1:4" x14ac:dyDescent="0.35">
      <c r="A166" s="102">
        <v>132</v>
      </c>
      <c r="B166" s="103">
        <v>210</v>
      </c>
      <c r="C166" s="104" t="s">
        <v>262</v>
      </c>
      <c r="D166" s="105">
        <v>2</v>
      </c>
    </row>
    <row r="167" spans="1:4" x14ac:dyDescent="0.35">
      <c r="A167" s="102">
        <v>132</v>
      </c>
      <c r="B167" s="103">
        <v>234</v>
      </c>
      <c r="C167" s="104" t="s">
        <v>262</v>
      </c>
      <c r="D167" s="105" t="s">
        <v>458</v>
      </c>
    </row>
    <row r="168" spans="1:4" x14ac:dyDescent="0.35">
      <c r="A168" s="102">
        <v>132</v>
      </c>
      <c r="B168" s="103">
        <v>236</v>
      </c>
      <c r="C168" s="104" t="s">
        <v>262</v>
      </c>
      <c r="D168" s="105" t="s">
        <v>458</v>
      </c>
    </row>
    <row r="169" spans="1:4" x14ac:dyDescent="0.35">
      <c r="A169" s="102">
        <v>133</v>
      </c>
      <c r="B169" s="103">
        <v>92</v>
      </c>
      <c r="C169" s="104" t="s">
        <v>262</v>
      </c>
      <c r="D169" s="105">
        <v>1</v>
      </c>
    </row>
    <row r="170" spans="1:4" x14ac:dyDescent="0.35">
      <c r="A170" s="102">
        <v>133</v>
      </c>
      <c r="B170" s="103">
        <v>210</v>
      </c>
      <c r="C170" s="104" t="s">
        <v>262</v>
      </c>
      <c r="D170" s="105">
        <v>2</v>
      </c>
    </row>
    <row r="171" spans="1:4" x14ac:dyDescent="0.35">
      <c r="A171" s="102">
        <v>133</v>
      </c>
      <c r="B171" s="103">
        <v>233</v>
      </c>
      <c r="C171" s="104" t="s">
        <v>262</v>
      </c>
      <c r="D171" s="105">
        <v>1</v>
      </c>
    </row>
    <row r="172" spans="1:4" x14ac:dyDescent="0.35">
      <c r="A172" s="102">
        <v>133</v>
      </c>
      <c r="B172" s="103">
        <v>246</v>
      </c>
      <c r="C172" s="104" t="s">
        <v>262</v>
      </c>
      <c r="D172" s="105">
        <v>1</v>
      </c>
    </row>
    <row r="173" spans="1:4" x14ac:dyDescent="0.35">
      <c r="A173" s="102">
        <v>134</v>
      </c>
      <c r="B173" s="103">
        <v>101</v>
      </c>
      <c r="C173" s="104" t="s">
        <v>262</v>
      </c>
      <c r="D173" s="105">
        <v>1</v>
      </c>
    </row>
    <row r="174" spans="1:4" x14ac:dyDescent="0.35">
      <c r="A174" s="102">
        <v>134</v>
      </c>
      <c r="B174" s="103">
        <v>210</v>
      </c>
      <c r="C174" s="104" t="s">
        <v>262</v>
      </c>
      <c r="D174" s="105">
        <v>2</v>
      </c>
    </row>
    <row r="175" spans="1:4" x14ac:dyDescent="0.35">
      <c r="A175" s="102">
        <v>134</v>
      </c>
      <c r="B175" s="103">
        <v>232</v>
      </c>
      <c r="C175" s="104" t="s">
        <v>262</v>
      </c>
      <c r="D175" s="105">
        <v>1</v>
      </c>
    </row>
    <row r="176" spans="1:4" x14ac:dyDescent="0.35">
      <c r="A176" s="102">
        <v>134</v>
      </c>
      <c r="B176" s="103">
        <v>250</v>
      </c>
      <c r="C176" s="104" t="s">
        <v>262</v>
      </c>
      <c r="D176" s="105">
        <v>1</v>
      </c>
    </row>
    <row r="177" spans="1:4" x14ac:dyDescent="0.35">
      <c r="A177" s="102">
        <v>135</v>
      </c>
      <c r="B177" s="103">
        <v>38</v>
      </c>
      <c r="C177" s="104" t="s">
        <v>262</v>
      </c>
      <c r="D177" s="105">
        <v>1</v>
      </c>
    </row>
    <row r="178" spans="1:4" x14ac:dyDescent="0.35">
      <c r="A178" s="102">
        <v>135</v>
      </c>
      <c r="B178" s="103">
        <v>80</v>
      </c>
      <c r="C178" s="104" t="s">
        <v>262</v>
      </c>
      <c r="D178" s="105">
        <v>1</v>
      </c>
    </row>
    <row r="179" spans="1:4" x14ac:dyDescent="0.35">
      <c r="A179" s="102">
        <v>135</v>
      </c>
      <c r="B179" s="103">
        <v>221</v>
      </c>
      <c r="C179" s="104" t="s">
        <v>262</v>
      </c>
      <c r="D179" s="105" t="s">
        <v>461</v>
      </c>
    </row>
    <row r="180" spans="1:4" x14ac:dyDescent="0.35">
      <c r="A180" s="102">
        <v>135</v>
      </c>
      <c r="B180" s="103">
        <v>247</v>
      </c>
      <c r="C180" s="104" t="s">
        <v>262</v>
      </c>
      <c r="D180" s="105">
        <v>1</v>
      </c>
    </row>
    <row r="181" spans="1:4" x14ac:dyDescent="0.35">
      <c r="A181" s="102">
        <v>136</v>
      </c>
      <c r="B181" s="103">
        <v>124</v>
      </c>
      <c r="C181" s="104" t="s">
        <v>262</v>
      </c>
      <c r="D181" s="105">
        <v>1</v>
      </c>
    </row>
    <row r="182" spans="1:4" x14ac:dyDescent="0.35">
      <c r="A182" s="102">
        <v>136</v>
      </c>
      <c r="B182" s="103">
        <v>202</v>
      </c>
      <c r="C182" s="104" t="s">
        <v>262</v>
      </c>
      <c r="D182" s="105">
        <v>1</v>
      </c>
    </row>
    <row r="183" spans="1:4" x14ac:dyDescent="0.35">
      <c r="A183" s="102">
        <v>136</v>
      </c>
      <c r="B183" s="103">
        <v>222</v>
      </c>
      <c r="C183" s="104" t="s">
        <v>262</v>
      </c>
      <c r="D183" s="105">
        <v>2</v>
      </c>
    </row>
    <row r="184" spans="1:4" x14ac:dyDescent="0.35">
      <c r="A184" s="102">
        <v>136</v>
      </c>
      <c r="B184" s="103">
        <v>246</v>
      </c>
      <c r="C184" s="104" t="s">
        <v>262</v>
      </c>
      <c r="D184" s="105">
        <v>1</v>
      </c>
    </row>
    <row r="185" spans="1:4" x14ac:dyDescent="0.35">
      <c r="A185" s="102">
        <v>137</v>
      </c>
      <c r="B185" s="103">
        <v>203</v>
      </c>
      <c r="C185" s="104" t="s">
        <v>262</v>
      </c>
      <c r="D185" s="105" t="s">
        <v>263</v>
      </c>
    </row>
    <row r="186" spans="1:4" x14ac:dyDescent="0.35">
      <c r="A186" s="102">
        <v>137</v>
      </c>
      <c r="B186" s="103">
        <v>222</v>
      </c>
      <c r="C186" s="104" t="s">
        <v>262</v>
      </c>
      <c r="D186" s="105" t="s">
        <v>263</v>
      </c>
    </row>
    <row r="187" spans="1:4" x14ac:dyDescent="0.35">
      <c r="A187" s="102">
        <v>137</v>
      </c>
      <c r="B187" s="103">
        <v>223</v>
      </c>
      <c r="C187" s="104" t="s">
        <v>262</v>
      </c>
      <c r="D187" s="105" t="s">
        <v>263</v>
      </c>
    </row>
    <row r="188" spans="1:4" x14ac:dyDescent="0.35">
      <c r="A188" s="102">
        <v>137</v>
      </c>
      <c r="B188" s="103">
        <v>229</v>
      </c>
      <c r="C188" s="104" t="s">
        <v>262</v>
      </c>
      <c r="D188" s="105" t="s">
        <v>263</v>
      </c>
    </row>
    <row r="189" spans="1:4" x14ac:dyDescent="0.35">
      <c r="A189" s="102">
        <v>138</v>
      </c>
      <c r="B189" s="103">
        <v>5</v>
      </c>
      <c r="C189" s="104" t="s">
        <v>262</v>
      </c>
      <c r="D189" s="105" t="s">
        <v>458</v>
      </c>
    </row>
    <row r="190" spans="1:4" x14ac:dyDescent="0.35">
      <c r="A190" s="102">
        <v>138</v>
      </c>
      <c r="B190" s="103">
        <v>88</v>
      </c>
      <c r="C190" s="104" t="s">
        <v>262</v>
      </c>
      <c r="D190" s="105" t="s">
        <v>458</v>
      </c>
    </row>
    <row r="191" spans="1:4" x14ac:dyDescent="0.35">
      <c r="A191" s="102">
        <v>138</v>
      </c>
      <c r="B191" s="103">
        <v>208</v>
      </c>
      <c r="C191" s="104" t="s">
        <v>262</v>
      </c>
      <c r="D191" s="105">
        <v>2</v>
      </c>
    </row>
    <row r="192" spans="1:4" x14ac:dyDescent="0.35">
      <c r="A192" s="102">
        <v>138</v>
      </c>
      <c r="B192" s="103">
        <v>235</v>
      </c>
      <c r="C192" s="104" t="s">
        <v>262</v>
      </c>
      <c r="D192" s="105" t="s">
        <v>458</v>
      </c>
    </row>
    <row r="193" spans="1:4" x14ac:dyDescent="0.35">
      <c r="A193" s="102">
        <v>140</v>
      </c>
      <c r="B193" s="103">
        <v>1395</v>
      </c>
      <c r="C193" s="104" t="s">
        <v>246</v>
      </c>
      <c r="D193" s="105">
        <v>2</v>
      </c>
    </row>
    <row r="194" spans="1:4" x14ac:dyDescent="0.35">
      <c r="A194" s="102">
        <v>140</v>
      </c>
      <c r="B194" s="103">
        <v>1396</v>
      </c>
      <c r="C194" s="104" t="s">
        <v>246</v>
      </c>
      <c r="D194" s="105">
        <v>1</v>
      </c>
    </row>
    <row r="195" spans="1:4" x14ac:dyDescent="0.35">
      <c r="A195" s="102">
        <v>141</v>
      </c>
      <c r="B195" s="103">
        <v>189</v>
      </c>
      <c r="C195" s="104" t="s">
        <v>264</v>
      </c>
      <c r="D195" s="105">
        <v>1</v>
      </c>
    </row>
    <row r="196" spans="1:4" x14ac:dyDescent="0.35">
      <c r="A196" s="102">
        <v>141</v>
      </c>
      <c r="B196" s="103">
        <v>210</v>
      </c>
      <c r="C196" s="104" t="s">
        <v>264</v>
      </c>
      <c r="D196" s="105">
        <v>2</v>
      </c>
    </row>
    <row r="197" spans="1:4" x14ac:dyDescent="0.35">
      <c r="A197" s="102">
        <v>141</v>
      </c>
      <c r="B197" s="103">
        <v>233</v>
      </c>
      <c r="C197" s="104" t="s">
        <v>264</v>
      </c>
      <c r="D197" s="105">
        <v>1</v>
      </c>
    </row>
    <row r="198" spans="1:4" x14ac:dyDescent="0.35">
      <c r="A198" s="102">
        <v>141</v>
      </c>
      <c r="B198" s="103">
        <v>249</v>
      </c>
      <c r="C198" s="104" t="s">
        <v>264</v>
      </c>
      <c r="D198" s="105">
        <v>1</v>
      </c>
    </row>
    <row r="199" spans="1:4" x14ac:dyDescent="0.35">
      <c r="A199" s="102">
        <v>141</v>
      </c>
      <c r="B199" s="103">
        <v>252</v>
      </c>
      <c r="C199" s="104" t="s">
        <v>264</v>
      </c>
      <c r="D199" s="105">
        <v>1</v>
      </c>
    </row>
    <row r="200" spans="1:4" x14ac:dyDescent="0.35">
      <c r="A200" s="102">
        <v>142</v>
      </c>
      <c r="B200" s="103">
        <v>132</v>
      </c>
      <c r="C200" s="104" t="s">
        <v>264</v>
      </c>
      <c r="D200" s="105">
        <v>1</v>
      </c>
    </row>
    <row r="201" spans="1:4" x14ac:dyDescent="0.35">
      <c r="A201" s="102">
        <v>142</v>
      </c>
      <c r="B201" s="103">
        <v>206</v>
      </c>
      <c r="C201" s="104" t="s">
        <v>264</v>
      </c>
      <c r="D201" s="105">
        <v>2</v>
      </c>
    </row>
    <row r="202" spans="1:4" x14ac:dyDescent="0.35">
      <c r="A202" s="102">
        <v>142</v>
      </c>
      <c r="B202" s="103">
        <v>230</v>
      </c>
      <c r="C202" s="104" t="s">
        <v>264</v>
      </c>
      <c r="D202" s="105">
        <v>1</v>
      </c>
    </row>
    <row r="203" spans="1:4" x14ac:dyDescent="0.35">
      <c r="A203" s="102">
        <v>142</v>
      </c>
      <c r="B203" s="103">
        <v>249</v>
      </c>
      <c r="C203" s="104" t="s">
        <v>264</v>
      </c>
      <c r="D203" s="105">
        <v>1</v>
      </c>
    </row>
    <row r="204" spans="1:4" x14ac:dyDescent="0.35">
      <c r="A204" s="102">
        <v>142</v>
      </c>
      <c r="B204" s="103">
        <v>252</v>
      </c>
      <c r="C204" s="104" t="s">
        <v>264</v>
      </c>
      <c r="D204" s="105">
        <v>1</v>
      </c>
    </row>
    <row r="205" spans="1:4" x14ac:dyDescent="0.35">
      <c r="A205" s="102">
        <v>143</v>
      </c>
      <c r="B205" s="103">
        <v>47</v>
      </c>
      <c r="C205" s="104" t="s">
        <v>249</v>
      </c>
      <c r="D205" s="105" t="s">
        <v>220</v>
      </c>
    </row>
    <row r="206" spans="1:4" x14ac:dyDescent="0.35">
      <c r="A206" s="102">
        <v>144</v>
      </c>
      <c r="B206" s="103">
        <v>93</v>
      </c>
      <c r="C206" s="104" t="s">
        <v>265</v>
      </c>
      <c r="D206" s="105">
        <v>1</v>
      </c>
    </row>
    <row r="207" spans="1:4" x14ac:dyDescent="0.35">
      <c r="A207" s="102">
        <v>144</v>
      </c>
      <c r="B207" s="103">
        <v>208</v>
      </c>
      <c r="C207" s="104" t="s">
        <v>265</v>
      </c>
      <c r="D207" s="105">
        <v>2</v>
      </c>
    </row>
    <row r="208" spans="1:4" x14ac:dyDescent="0.35">
      <c r="A208" s="102">
        <v>144</v>
      </c>
      <c r="B208" s="103">
        <v>239</v>
      </c>
      <c r="C208" s="104" t="s">
        <v>265</v>
      </c>
      <c r="D208" s="105">
        <v>1</v>
      </c>
    </row>
    <row r="209" spans="1:4" x14ac:dyDescent="0.35">
      <c r="A209" s="102">
        <v>144</v>
      </c>
      <c r="B209" s="103">
        <v>243</v>
      </c>
      <c r="C209" s="104" t="s">
        <v>265</v>
      </c>
      <c r="D209" s="105">
        <v>1</v>
      </c>
    </row>
    <row r="210" spans="1:4" x14ac:dyDescent="0.35">
      <c r="A210" s="102">
        <v>144</v>
      </c>
      <c r="B210" s="103">
        <v>248</v>
      </c>
      <c r="C210" s="104" t="s">
        <v>265</v>
      </c>
      <c r="D210" s="105">
        <v>1</v>
      </c>
    </row>
    <row r="211" spans="1:4" x14ac:dyDescent="0.35">
      <c r="A211" s="102">
        <v>144</v>
      </c>
      <c r="B211" s="103">
        <v>251</v>
      </c>
      <c r="C211" s="104" t="s">
        <v>265</v>
      </c>
      <c r="D211" s="105">
        <v>1</v>
      </c>
    </row>
    <row r="212" spans="1:4" x14ac:dyDescent="0.35">
      <c r="A212" s="102">
        <v>145</v>
      </c>
      <c r="B212" s="103">
        <v>210</v>
      </c>
      <c r="C212" s="104" t="s">
        <v>265</v>
      </c>
      <c r="D212" s="105">
        <v>2</v>
      </c>
    </row>
    <row r="213" spans="1:4" x14ac:dyDescent="0.35">
      <c r="A213" s="102">
        <v>145</v>
      </c>
      <c r="B213" s="103">
        <v>249</v>
      </c>
      <c r="C213" s="104" t="s">
        <v>265</v>
      </c>
      <c r="D213" s="105">
        <v>1</v>
      </c>
    </row>
    <row r="214" spans="1:4" x14ac:dyDescent="0.35">
      <c r="A214" s="102">
        <v>145</v>
      </c>
      <c r="B214" s="103">
        <v>92</v>
      </c>
      <c r="C214" s="104" t="s">
        <v>265</v>
      </c>
      <c r="D214" s="105" t="s">
        <v>458</v>
      </c>
    </row>
    <row r="215" spans="1:4" x14ac:dyDescent="0.35">
      <c r="A215" s="102">
        <v>145</v>
      </c>
      <c r="B215" s="103">
        <v>240</v>
      </c>
      <c r="C215" s="104" t="s">
        <v>265</v>
      </c>
      <c r="D215" s="105" t="s">
        <v>458</v>
      </c>
    </row>
    <row r="216" spans="1:4" x14ac:dyDescent="0.35">
      <c r="A216" s="102">
        <v>145</v>
      </c>
      <c r="B216" s="103">
        <v>244</v>
      </c>
      <c r="C216" s="104" t="s">
        <v>265</v>
      </c>
      <c r="D216" s="105" t="s">
        <v>458</v>
      </c>
    </row>
    <row r="217" spans="1:4" x14ac:dyDescent="0.35">
      <c r="A217" s="102">
        <v>145</v>
      </c>
      <c r="B217" s="103">
        <v>252</v>
      </c>
      <c r="C217" s="104" t="s">
        <v>265</v>
      </c>
      <c r="D217" s="105">
        <v>1</v>
      </c>
    </row>
    <row r="218" spans="1:4" x14ac:dyDescent="0.35">
      <c r="A218" s="102">
        <v>146</v>
      </c>
      <c r="B218" s="103">
        <v>73</v>
      </c>
      <c r="C218" s="104" t="s">
        <v>265</v>
      </c>
      <c r="D218" s="105">
        <v>1</v>
      </c>
    </row>
    <row r="219" spans="1:4" x14ac:dyDescent="0.35">
      <c r="A219" s="102">
        <v>146</v>
      </c>
      <c r="B219" s="103">
        <v>93</v>
      </c>
      <c r="C219" s="104" t="s">
        <v>265</v>
      </c>
      <c r="D219" s="105">
        <v>1</v>
      </c>
    </row>
    <row r="220" spans="1:4" x14ac:dyDescent="0.35">
      <c r="A220" s="102">
        <v>146</v>
      </c>
      <c r="B220" s="103">
        <v>208</v>
      </c>
      <c r="C220" s="104" t="s">
        <v>265</v>
      </c>
      <c r="D220" s="105">
        <v>2</v>
      </c>
    </row>
    <row r="221" spans="1:4" x14ac:dyDescent="0.35">
      <c r="A221" s="102">
        <v>146</v>
      </c>
      <c r="B221" s="103">
        <v>239</v>
      </c>
      <c r="C221" s="104" t="s">
        <v>265</v>
      </c>
      <c r="D221" s="105">
        <v>1</v>
      </c>
    </row>
    <row r="222" spans="1:4" x14ac:dyDescent="0.35">
      <c r="A222" s="102">
        <v>146</v>
      </c>
      <c r="B222" s="103">
        <v>248</v>
      </c>
      <c r="C222" s="104" t="s">
        <v>265</v>
      </c>
      <c r="D222" s="105">
        <v>1</v>
      </c>
    </row>
    <row r="223" spans="1:4" x14ac:dyDescent="0.35">
      <c r="A223" s="102">
        <v>146</v>
      </c>
      <c r="B223" s="103">
        <v>251</v>
      </c>
      <c r="C223" s="104" t="s">
        <v>265</v>
      </c>
      <c r="D223" s="105">
        <v>1</v>
      </c>
    </row>
    <row r="224" spans="1:4" x14ac:dyDescent="0.35">
      <c r="A224" s="102">
        <v>147</v>
      </c>
      <c r="B224" s="103">
        <v>99</v>
      </c>
      <c r="C224" s="104" t="s">
        <v>265</v>
      </c>
      <c r="D224" s="105">
        <v>1</v>
      </c>
    </row>
    <row r="225" spans="1:4" x14ac:dyDescent="0.35">
      <c r="A225" s="102">
        <v>147</v>
      </c>
      <c r="B225" s="103">
        <v>206</v>
      </c>
      <c r="C225" s="104" t="s">
        <v>265</v>
      </c>
      <c r="D225" s="105">
        <v>2</v>
      </c>
    </row>
    <row r="226" spans="1:4" x14ac:dyDescent="0.35">
      <c r="A226" s="102">
        <v>147</v>
      </c>
      <c r="B226" s="103">
        <v>238</v>
      </c>
      <c r="C226" s="104" t="s">
        <v>265</v>
      </c>
      <c r="D226" s="105">
        <v>1</v>
      </c>
    </row>
    <row r="227" spans="1:4" x14ac:dyDescent="0.35">
      <c r="A227" s="102">
        <v>147</v>
      </c>
      <c r="B227" s="103">
        <v>242</v>
      </c>
      <c r="C227" s="104" t="s">
        <v>265</v>
      </c>
      <c r="D227" s="105">
        <v>1</v>
      </c>
    </row>
    <row r="228" spans="1:4" x14ac:dyDescent="0.35">
      <c r="A228" s="102">
        <v>147</v>
      </c>
      <c r="B228" s="103">
        <v>249</v>
      </c>
      <c r="C228" s="104" t="s">
        <v>265</v>
      </c>
      <c r="D228" s="105">
        <v>1</v>
      </c>
    </row>
    <row r="229" spans="1:4" x14ac:dyDescent="0.35">
      <c r="A229" s="102">
        <v>147</v>
      </c>
      <c r="B229" s="103">
        <v>252</v>
      </c>
      <c r="C229" s="104" t="s">
        <v>265</v>
      </c>
      <c r="D229" s="105">
        <v>1</v>
      </c>
    </row>
    <row r="230" spans="1:4" x14ac:dyDescent="0.35">
      <c r="A230" s="102">
        <v>148</v>
      </c>
      <c r="B230" s="103">
        <v>1152</v>
      </c>
      <c r="C230" s="104" t="s">
        <v>266</v>
      </c>
      <c r="D230" s="105" t="s">
        <v>461</v>
      </c>
    </row>
    <row r="231" spans="1:4" x14ac:dyDescent="0.35">
      <c r="A231" s="102">
        <v>149</v>
      </c>
      <c r="B231" s="103">
        <v>1394</v>
      </c>
      <c r="C231" s="104" t="s">
        <v>267</v>
      </c>
      <c r="D231" s="105">
        <v>2</v>
      </c>
    </row>
    <row r="232" spans="1:4" x14ac:dyDescent="0.35">
      <c r="A232" s="102">
        <v>150</v>
      </c>
      <c r="B232" s="103">
        <v>42</v>
      </c>
      <c r="C232" s="104" t="s">
        <v>258</v>
      </c>
      <c r="D232" s="105">
        <v>1</v>
      </c>
    </row>
    <row r="233" spans="1:4" x14ac:dyDescent="0.35">
      <c r="A233" s="102">
        <v>150</v>
      </c>
      <c r="B233" s="103">
        <v>207</v>
      </c>
      <c r="C233" s="104" t="s">
        <v>258</v>
      </c>
      <c r="D233" s="105">
        <v>2</v>
      </c>
    </row>
    <row r="234" spans="1:4" x14ac:dyDescent="0.35">
      <c r="A234" s="102">
        <v>151</v>
      </c>
      <c r="B234" s="103">
        <v>43</v>
      </c>
      <c r="C234" s="104" t="s">
        <v>258</v>
      </c>
      <c r="D234" s="105">
        <v>1</v>
      </c>
    </row>
    <row r="235" spans="1:4" x14ac:dyDescent="0.35">
      <c r="A235" s="102">
        <v>151</v>
      </c>
      <c r="B235" s="103">
        <v>210</v>
      </c>
      <c r="C235" s="104" t="s">
        <v>258</v>
      </c>
      <c r="D235" s="105" t="s">
        <v>461</v>
      </c>
    </row>
    <row r="236" spans="1:4" x14ac:dyDescent="0.35">
      <c r="A236" s="102">
        <v>152</v>
      </c>
      <c r="B236" s="103">
        <v>45</v>
      </c>
      <c r="C236" s="104" t="s">
        <v>258</v>
      </c>
      <c r="D236" s="105">
        <v>1</v>
      </c>
    </row>
    <row r="237" spans="1:4" x14ac:dyDescent="0.35">
      <c r="A237" s="102">
        <v>152</v>
      </c>
      <c r="B237" s="103">
        <v>211</v>
      </c>
      <c r="C237" s="104" t="s">
        <v>258</v>
      </c>
      <c r="D237" s="105">
        <v>2</v>
      </c>
    </row>
    <row r="238" spans="1:4" x14ac:dyDescent="0.35">
      <c r="A238" s="102">
        <v>153</v>
      </c>
      <c r="B238" s="103">
        <v>46</v>
      </c>
      <c r="C238" s="104" t="s">
        <v>258</v>
      </c>
      <c r="D238" s="105">
        <v>1</v>
      </c>
    </row>
    <row r="239" spans="1:4" x14ac:dyDescent="0.35">
      <c r="A239" s="102">
        <v>153</v>
      </c>
      <c r="B239" s="103">
        <v>212</v>
      </c>
      <c r="C239" s="104" t="s">
        <v>258</v>
      </c>
      <c r="D239" s="105">
        <v>2</v>
      </c>
    </row>
    <row r="240" spans="1:4" x14ac:dyDescent="0.35">
      <c r="A240" s="102">
        <v>154</v>
      </c>
      <c r="B240" s="103">
        <v>39</v>
      </c>
      <c r="C240" s="104" t="s">
        <v>258</v>
      </c>
      <c r="D240" s="105">
        <v>1</v>
      </c>
    </row>
    <row r="241" spans="1:4" x14ac:dyDescent="0.35">
      <c r="A241" s="102">
        <v>154</v>
      </c>
      <c r="B241" s="103">
        <v>221</v>
      </c>
      <c r="C241" s="104" t="s">
        <v>258</v>
      </c>
      <c r="D241" s="105">
        <v>2</v>
      </c>
    </row>
    <row r="242" spans="1:4" x14ac:dyDescent="0.35">
      <c r="A242" s="102">
        <v>155</v>
      </c>
      <c r="B242" s="103">
        <v>51</v>
      </c>
      <c r="C242" s="104" t="s">
        <v>246</v>
      </c>
      <c r="D242" s="105" t="s">
        <v>458</v>
      </c>
    </row>
    <row r="243" spans="1:4" x14ac:dyDescent="0.35">
      <c r="A243" s="102">
        <v>155</v>
      </c>
      <c r="B243" s="103">
        <v>200</v>
      </c>
      <c r="C243" s="104" t="s">
        <v>246</v>
      </c>
      <c r="D243" s="105" t="s">
        <v>458</v>
      </c>
    </row>
    <row r="244" spans="1:4" x14ac:dyDescent="0.35">
      <c r="A244" s="102">
        <v>156</v>
      </c>
      <c r="B244" s="103">
        <v>1000</v>
      </c>
      <c r="C244" s="104" t="s">
        <v>258</v>
      </c>
      <c r="D244" s="105">
        <v>2</v>
      </c>
    </row>
    <row r="245" spans="1:4" x14ac:dyDescent="0.35">
      <c r="A245" s="102">
        <v>156</v>
      </c>
      <c r="B245" s="103">
        <v>1001</v>
      </c>
      <c r="C245" s="104" t="s">
        <v>258</v>
      </c>
      <c r="D245" s="105">
        <v>1</v>
      </c>
    </row>
    <row r="246" spans="1:4" x14ac:dyDescent="0.35">
      <c r="A246" s="102">
        <v>157</v>
      </c>
      <c r="B246" s="103">
        <v>1002</v>
      </c>
      <c r="C246" s="104" t="s">
        <v>258</v>
      </c>
      <c r="D246" s="105">
        <v>2</v>
      </c>
    </row>
    <row r="247" spans="1:4" x14ac:dyDescent="0.35">
      <c r="A247" s="102">
        <v>157</v>
      </c>
      <c r="B247" s="103">
        <v>1003</v>
      </c>
      <c r="C247" s="104" t="s">
        <v>258</v>
      </c>
      <c r="D247" s="105">
        <v>1</v>
      </c>
    </row>
    <row r="248" spans="1:4" x14ac:dyDescent="0.35">
      <c r="A248" s="102">
        <v>158</v>
      </c>
      <c r="B248" s="103">
        <v>1008</v>
      </c>
      <c r="C248" s="104" t="s">
        <v>258</v>
      </c>
      <c r="D248" s="105">
        <v>2</v>
      </c>
    </row>
    <row r="249" spans="1:4" x14ac:dyDescent="0.35">
      <c r="A249" s="102">
        <v>158</v>
      </c>
      <c r="B249" s="103">
        <v>1009</v>
      </c>
      <c r="C249" s="104" t="s">
        <v>258</v>
      </c>
      <c r="D249" s="105">
        <v>1</v>
      </c>
    </row>
    <row r="250" spans="1:4" x14ac:dyDescent="0.35">
      <c r="A250" s="102">
        <v>159</v>
      </c>
      <c r="B250" s="103">
        <v>28</v>
      </c>
      <c r="C250" s="104" t="s">
        <v>234</v>
      </c>
      <c r="D250" s="105" t="s">
        <v>460</v>
      </c>
    </row>
    <row r="251" spans="1:4" x14ac:dyDescent="0.35">
      <c r="A251" s="102">
        <v>160</v>
      </c>
      <c r="B251" s="103">
        <v>1014</v>
      </c>
      <c r="C251" s="104" t="s">
        <v>258</v>
      </c>
      <c r="D251" s="105">
        <v>2</v>
      </c>
    </row>
    <row r="252" spans="1:4" x14ac:dyDescent="0.35">
      <c r="A252" s="102">
        <v>160</v>
      </c>
      <c r="B252" s="103">
        <v>1015</v>
      </c>
      <c r="C252" s="104" t="s">
        <v>258</v>
      </c>
      <c r="D252" s="105">
        <v>1</v>
      </c>
    </row>
    <row r="253" spans="1:4" x14ac:dyDescent="0.35">
      <c r="A253" s="102">
        <v>161</v>
      </c>
      <c r="B253" s="103">
        <v>1018</v>
      </c>
      <c r="C253" s="104" t="s">
        <v>258</v>
      </c>
      <c r="D253" s="105">
        <v>2</v>
      </c>
    </row>
    <row r="254" spans="1:4" x14ac:dyDescent="0.35">
      <c r="A254" s="102">
        <v>161</v>
      </c>
      <c r="B254" s="103">
        <v>1019</v>
      </c>
      <c r="C254" s="104" t="s">
        <v>258</v>
      </c>
      <c r="D254" s="105">
        <v>1</v>
      </c>
    </row>
    <row r="255" spans="1:4" x14ac:dyDescent="0.35">
      <c r="A255" s="102">
        <v>162</v>
      </c>
      <c r="B255" s="103">
        <v>1020</v>
      </c>
      <c r="C255" s="104" t="s">
        <v>258</v>
      </c>
      <c r="D255" s="105">
        <v>2</v>
      </c>
    </row>
    <row r="256" spans="1:4" x14ac:dyDescent="0.35">
      <c r="A256" s="102">
        <v>162</v>
      </c>
      <c r="B256" s="103">
        <v>1021</v>
      </c>
      <c r="C256" s="104" t="s">
        <v>258</v>
      </c>
      <c r="D256" s="105">
        <v>1</v>
      </c>
    </row>
    <row r="257" spans="1:4" x14ac:dyDescent="0.35">
      <c r="A257" s="102">
        <v>163</v>
      </c>
      <c r="B257" s="103">
        <v>1034</v>
      </c>
      <c r="C257" s="104" t="s">
        <v>258</v>
      </c>
      <c r="D257" s="105">
        <v>2</v>
      </c>
    </row>
    <row r="258" spans="1:4" x14ac:dyDescent="0.35">
      <c r="A258" s="102">
        <v>163</v>
      </c>
      <c r="B258" s="103">
        <v>1035</v>
      </c>
      <c r="C258" s="104" t="s">
        <v>258</v>
      </c>
      <c r="D258" s="105">
        <v>1</v>
      </c>
    </row>
    <row r="259" spans="1:4" x14ac:dyDescent="0.35">
      <c r="A259" s="102">
        <v>164</v>
      </c>
      <c r="B259" s="103">
        <v>1037</v>
      </c>
      <c r="C259" s="104" t="s">
        <v>258</v>
      </c>
      <c r="D259" s="105">
        <v>2</v>
      </c>
    </row>
    <row r="260" spans="1:4" x14ac:dyDescent="0.35">
      <c r="A260" s="102">
        <v>164</v>
      </c>
      <c r="B260" s="103">
        <v>1038</v>
      </c>
      <c r="C260" s="104" t="s">
        <v>258</v>
      </c>
      <c r="D260" s="105">
        <v>1</v>
      </c>
    </row>
    <row r="261" spans="1:4" x14ac:dyDescent="0.35">
      <c r="A261" s="102">
        <v>165</v>
      </c>
      <c r="B261" s="103">
        <v>1039</v>
      </c>
      <c r="C261" s="104" t="s">
        <v>258</v>
      </c>
      <c r="D261" s="105">
        <v>2</v>
      </c>
    </row>
    <row r="262" spans="1:4" x14ac:dyDescent="0.35">
      <c r="A262" s="102">
        <v>165</v>
      </c>
      <c r="B262" s="103">
        <v>1040</v>
      </c>
      <c r="C262" s="104" t="s">
        <v>258</v>
      </c>
      <c r="D262" s="105">
        <v>1</v>
      </c>
    </row>
    <row r="263" spans="1:4" x14ac:dyDescent="0.35">
      <c r="A263" s="102">
        <v>166</v>
      </c>
      <c r="B263" s="103">
        <v>1048</v>
      </c>
      <c r="C263" s="104" t="s">
        <v>258</v>
      </c>
      <c r="D263" s="105">
        <v>2</v>
      </c>
    </row>
    <row r="264" spans="1:4" x14ac:dyDescent="0.35">
      <c r="A264" s="102">
        <v>166</v>
      </c>
      <c r="B264" s="103">
        <v>1049</v>
      </c>
      <c r="C264" s="104" t="s">
        <v>258</v>
      </c>
      <c r="D264" s="105">
        <v>1</v>
      </c>
    </row>
    <row r="265" spans="1:4" x14ac:dyDescent="0.35">
      <c r="A265" s="102">
        <v>167</v>
      </c>
      <c r="B265" s="103">
        <v>1055</v>
      </c>
      <c r="C265" s="104" t="s">
        <v>258</v>
      </c>
      <c r="D265" s="105">
        <v>1</v>
      </c>
    </row>
    <row r="266" spans="1:4" x14ac:dyDescent="0.35">
      <c r="A266" s="102">
        <v>167</v>
      </c>
      <c r="B266" s="103">
        <v>1056</v>
      </c>
      <c r="C266" s="104" t="s">
        <v>258</v>
      </c>
      <c r="D266" s="105">
        <v>2</v>
      </c>
    </row>
    <row r="267" spans="1:4" x14ac:dyDescent="0.35">
      <c r="A267" s="102">
        <v>168</v>
      </c>
      <c r="B267" s="103">
        <v>1057</v>
      </c>
      <c r="C267" s="104" t="s">
        <v>258</v>
      </c>
      <c r="D267" s="105">
        <v>1</v>
      </c>
    </row>
    <row r="268" spans="1:4" x14ac:dyDescent="0.35">
      <c r="A268" s="102">
        <v>168</v>
      </c>
      <c r="B268" s="103">
        <v>1058</v>
      </c>
      <c r="C268" s="104" t="s">
        <v>258</v>
      </c>
      <c r="D268" s="105">
        <v>2</v>
      </c>
    </row>
    <row r="269" spans="1:4" x14ac:dyDescent="0.35">
      <c r="A269" s="102">
        <v>169</v>
      </c>
      <c r="B269" s="103">
        <v>1059</v>
      </c>
      <c r="C269" s="104" t="s">
        <v>258</v>
      </c>
      <c r="D269" s="105">
        <v>1</v>
      </c>
    </row>
    <row r="270" spans="1:4" x14ac:dyDescent="0.35">
      <c r="A270" s="102">
        <v>169</v>
      </c>
      <c r="B270" s="103">
        <v>1060</v>
      </c>
      <c r="C270" s="104" t="s">
        <v>258</v>
      </c>
      <c r="D270" s="105">
        <v>2</v>
      </c>
    </row>
    <row r="271" spans="1:4" x14ac:dyDescent="0.35">
      <c r="A271" s="102">
        <v>170</v>
      </c>
      <c r="B271" s="103">
        <v>1061</v>
      </c>
      <c r="C271" s="104" t="s">
        <v>258</v>
      </c>
      <c r="D271" s="105">
        <v>1</v>
      </c>
    </row>
    <row r="272" spans="1:4" x14ac:dyDescent="0.35">
      <c r="A272" s="102">
        <v>170</v>
      </c>
      <c r="B272" s="103">
        <v>1062</v>
      </c>
      <c r="C272" s="104" t="s">
        <v>258</v>
      </c>
      <c r="D272" s="105">
        <v>2</v>
      </c>
    </row>
    <row r="273" spans="1:4" x14ac:dyDescent="0.35">
      <c r="A273" s="102">
        <v>171</v>
      </c>
      <c r="B273" s="103">
        <v>1063</v>
      </c>
      <c r="C273" s="104" t="s">
        <v>258</v>
      </c>
      <c r="D273" s="105">
        <v>1</v>
      </c>
    </row>
    <row r="274" spans="1:4" x14ac:dyDescent="0.35">
      <c r="A274" s="102">
        <v>171</v>
      </c>
      <c r="B274" s="103">
        <v>1064</v>
      </c>
      <c r="C274" s="104" t="s">
        <v>258</v>
      </c>
      <c r="D274" s="105">
        <v>2</v>
      </c>
    </row>
    <row r="275" spans="1:4" x14ac:dyDescent="0.35">
      <c r="A275" s="102">
        <v>172</v>
      </c>
      <c r="B275" s="103">
        <v>1065</v>
      </c>
      <c r="C275" s="104" t="s">
        <v>258</v>
      </c>
      <c r="D275" s="105">
        <v>1</v>
      </c>
    </row>
    <row r="276" spans="1:4" x14ac:dyDescent="0.35">
      <c r="A276" s="102">
        <v>172</v>
      </c>
      <c r="B276" s="103">
        <v>1066</v>
      </c>
      <c r="C276" s="104" t="s">
        <v>258</v>
      </c>
      <c r="D276" s="105">
        <v>2</v>
      </c>
    </row>
    <row r="277" spans="1:4" x14ac:dyDescent="0.35">
      <c r="A277" s="102">
        <v>173</v>
      </c>
      <c r="B277" s="103">
        <v>1067</v>
      </c>
      <c r="C277" s="104" t="s">
        <v>258</v>
      </c>
      <c r="D277" s="105">
        <v>1</v>
      </c>
    </row>
    <row r="278" spans="1:4" x14ac:dyDescent="0.35">
      <c r="A278" s="102">
        <v>173</v>
      </c>
      <c r="B278" s="103">
        <v>1068</v>
      </c>
      <c r="C278" s="104" t="s">
        <v>258</v>
      </c>
      <c r="D278" s="105">
        <v>2</v>
      </c>
    </row>
    <row r="279" spans="1:4" x14ac:dyDescent="0.35">
      <c r="A279" s="102">
        <v>174</v>
      </c>
      <c r="B279" s="103">
        <v>1071</v>
      </c>
      <c r="C279" s="104" t="s">
        <v>258</v>
      </c>
      <c r="D279" s="105">
        <v>1</v>
      </c>
    </row>
    <row r="280" spans="1:4" x14ac:dyDescent="0.35">
      <c r="A280" s="102">
        <v>174</v>
      </c>
      <c r="B280" s="103">
        <v>1072</v>
      </c>
      <c r="C280" s="104" t="s">
        <v>258</v>
      </c>
      <c r="D280" s="105">
        <v>2</v>
      </c>
    </row>
    <row r="281" spans="1:4" x14ac:dyDescent="0.35">
      <c r="A281" s="102">
        <v>175</v>
      </c>
      <c r="B281" s="103">
        <v>1078</v>
      </c>
      <c r="C281" s="104" t="s">
        <v>258</v>
      </c>
      <c r="D281" s="105">
        <v>1</v>
      </c>
    </row>
    <row r="282" spans="1:4" x14ac:dyDescent="0.35">
      <c r="A282" s="102">
        <v>175</v>
      </c>
      <c r="B282" s="103">
        <v>1079</v>
      </c>
      <c r="C282" s="104" t="s">
        <v>258</v>
      </c>
      <c r="D282" s="105">
        <v>2</v>
      </c>
    </row>
    <row r="283" spans="1:4" x14ac:dyDescent="0.35">
      <c r="A283" s="102">
        <v>176</v>
      </c>
      <c r="B283" s="103">
        <v>1124</v>
      </c>
      <c r="C283" s="104" t="s">
        <v>258</v>
      </c>
      <c r="D283" s="105">
        <v>1</v>
      </c>
    </row>
    <row r="284" spans="1:4" x14ac:dyDescent="0.35">
      <c r="A284" s="102">
        <v>176</v>
      </c>
      <c r="B284" s="103">
        <v>1125</v>
      </c>
      <c r="C284" s="104" t="s">
        <v>258</v>
      </c>
      <c r="D284" s="105">
        <v>2</v>
      </c>
    </row>
    <row r="285" spans="1:4" x14ac:dyDescent="0.35">
      <c r="A285" s="102">
        <v>177</v>
      </c>
      <c r="B285" s="103">
        <v>1126</v>
      </c>
      <c r="C285" s="104" t="s">
        <v>258</v>
      </c>
      <c r="D285" s="105">
        <v>1</v>
      </c>
    </row>
    <row r="286" spans="1:4" x14ac:dyDescent="0.35">
      <c r="A286" s="102">
        <v>177</v>
      </c>
      <c r="B286" s="103">
        <v>1127</v>
      </c>
      <c r="C286" s="104" t="s">
        <v>258</v>
      </c>
      <c r="D286" s="105">
        <v>2</v>
      </c>
    </row>
    <row r="287" spans="1:4" x14ac:dyDescent="0.35">
      <c r="A287" s="102">
        <v>178</v>
      </c>
      <c r="B287" s="103">
        <v>1128</v>
      </c>
      <c r="C287" s="104" t="s">
        <v>268</v>
      </c>
      <c r="D287" s="105">
        <v>1</v>
      </c>
    </row>
    <row r="288" spans="1:4" x14ac:dyDescent="0.35">
      <c r="A288" s="102">
        <v>178</v>
      </c>
      <c r="B288" s="103">
        <v>1129</v>
      </c>
      <c r="C288" s="104" t="s">
        <v>268</v>
      </c>
      <c r="D288" s="105">
        <v>2</v>
      </c>
    </row>
    <row r="289" spans="1:4" x14ac:dyDescent="0.35">
      <c r="A289" s="102">
        <v>179</v>
      </c>
      <c r="B289" s="103">
        <v>1139</v>
      </c>
      <c r="C289" s="104" t="s">
        <v>258</v>
      </c>
      <c r="D289" s="105">
        <v>1</v>
      </c>
    </row>
    <row r="290" spans="1:4" x14ac:dyDescent="0.35">
      <c r="A290" s="102">
        <v>179</v>
      </c>
      <c r="B290" s="103">
        <v>1140</v>
      </c>
      <c r="C290" s="104" t="s">
        <v>258</v>
      </c>
      <c r="D290" s="105">
        <v>2</v>
      </c>
    </row>
    <row r="291" spans="1:4" x14ac:dyDescent="0.35">
      <c r="A291" s="102">
        <v>180</v>
      </c>
      <c r="B291" s="103">
        <v>1141</v>
      </c>
      <c r="C291" s="104" t="s">
        <v>258</v>
      </c>
      <c r="D291" s="105">
        <v>1</v>
      </c>
    </row>
    <row r="292" spans="1:4" x14ac:dyDescent="0.35">
      <c r="A292" s="102">
        <v>180</v>
      </c>
      <c r="B292" s="103">
        <v>1142</v>
      </c>
      <c r="C292" s="104" t="s">
        <v>258</v>
      </c>
      <c r="D292" s="105">
        <v>2</v>
      </c>
    </row>
    <row r="293" spans="1:4" x14ac:dyDescent="0.35">
      <c r="A293" s="102">
        <v>181</v>
      </c>
      <c r="B293" s="103">
        <v>1143</v>
      </c>
      <c r="C293" s="104" t="s">
        <v>258</v>
      </c>
      <c r="D293" s="105">
        <v>1</v>
      </c>
    </row>
    <row r="294" spans="1:4" x14ac:dyDescent="0.35">
      <c r="A294" s="102">
        <v>181</v>
      </c>
      <c r="B294" s="103">
        <v>1144</v>
      </c>
      <c r="C294" s="104" t="s">
        <v>258</v>
      </c>
      <c r="D294" s="105">
        <v>2</v>
      </c>
    </row>
    <row r="295" spans="1:4" x14ac:dyDescent="0.35">
      <c r="A295" s="102">
        <v>182</v>
      </c>
      <c r="B295" s="103">
        <v>1145</v>
      </c>
      <c r="C295" s="104" t="s">
        <v>258</v>
      </c>
      <c r="D295" s="105">
        <v>1</v>
      </c>
    </row>
    <row r="296" spans="1:4" x14ac:dyDescent="0.35">
      <c r="A296" s="102">
        <v>182</v>
      </c>
      <c r="B296" s="103">
        <v>1146</v>
      </c>
      <c r="C296" s="104" t="s">
        <v>258</v>
      </c>
      <c r="D296" s="105">
        <v>2</v>
      </c>
    </row>
    <row r="297" spans="1:4" x14ac:dyDescent="0.35">
      <c r="A297" s="102">
        <v>183</v>
      </c>
      <c r="B297" s="103">
        <v>1147</v>
      </c>
      <c r="C297" s="104" t="s">
        <v>258</v>
      </c>
      <c r="D297" s="105">
        <v>1</v>
      </c>
    </row>
    <row r="298" spans="1:4" x14ac:dyDescent="0.35">
      <c r="A298" s="102">
        <v>183</v>
      </c>
      <c r="B298" s="103">
        <v>1148</v>
      </c>
      <c r="C298" s="104" t="s">
        <v>258</v>
      </c>
      <c r="D298" s="105">
        <v>2</v>
      </c>
    </row>
    <row r="299" spans="1:4" x14ac:dyDescent="0.35">
      <c r="A299" s="102">
        <v>184</v>
      </c>
      <c r="B299" s="103">
        <v>1149</v>
      </c>
      <c r="C299" s="104" t="s">
        <v>258</v>
      </c>
      <c r="D299" s="105">
        <v>1</v>
      </c>
    </row>
    <row r="300" spans="1:4" x14ac:dyDescent="0.35">
      <c r="A300" s="102">
        <v>184</v>
      </c>
      <c r="B300" s="103">
        <v>1150</v>
      </c>
      <c r="C300" s="104" t="s">
        <v>258</v>
      </c>
      <c r="D300" s="105">
        <v>2</v>
      </c>
    </row>
    <row r="301" spans="1:4" x14ac:dyDescent="0.35">
      <c r="A301" s="102">
        <v>185</v>
      </c>
      <c r="B301" s="103">
        <v>1151</v>
      </c>
      <c r="C301" s="104" t="s">
        <v>258</v>
      </c>
      <c r="D301" s="105">
        <v>1</v>
      </c>
    </row>
    <row r="302" spans="1:4" x14ac:dyDescent="0.35">
      <c r="A302" s="102">
        <v>185</v>
      </c>
      <c r="B302" s="103">
        <v>1152</v>
      </c>
      <c r="C302" s="104" t="s">
        <v>258</v>
      </c>
      <c r="D302" s="105">
        <v>2</v>
      </c>
    </row>
    <row r="303" spans="1:4" x14ac:dyDescent="0.35">
      <c r="A303" s="102">
        <v>186</v>
      </c>
      <c r="B303" s="103">
        <v>1153</v>
      </c>
      <c r="C303" s="104" t="s">
        <v>258</v>
      </c>
      <c r="D303" s="105">
        <v>1</v>
      </c>
    </row>
    <row r="304" spans="1:4" x14ac:dyDescent="0.35">
      <c r="A304" s="102">
        <v>186</v>
      </c>
      <c r="B304" s="103">
        <v>1154</v>
      </c>
      <c r="C304" s="104" t="s">
        <v>258</v>
      </c>
      <c r="D304" s="105">
        <v>2</v>
      </c>
    </row>
    <row r="305" spans="1:4" x14ac:dyDescent="0.35">
      <c r="A305" s="102">
        <v>187</v>
      </c>
      <c r="B305" s="103">
        <v>1324</v>
      </c>
      <c r="C305" s="104" t="s">
        <v>258</v>
      </c>
      <c r="D305" s="105">
        <v>2</v>
      </c>
    </row>
    <row r="306" spans="1:4" x14ac:dyDescent="0.35">
      <c r="A306" s="102">
        <v>187</v>
      </c>
      <c r="B306" s="103">
        <v>1325</v>
      </c>
      <c r="C306" s="104" t="s">
        <v>258</v>
      </c>
      <c r="D306" s="105">
        <v>1</v>
      </c>
    </row>
    <row r="307" spans="1:4" x14ac:dyDescent="0.35">
      <c r="A307" s="102">
        <v>188</v>
      </c>
      <c r="B307" s="103">
        <v>1191</v>
      </c>
      <c r="C307" s="104" t="s">
        <v>258</v>
      </c>
      <c r="D307" s="105">
        <v>2</v>
      </c>
    </row>
    <row r="308" spans="1:4" x14ac:dyDescent="0.35">
      <c r="A308" s="102">
        <v>188</v>
      </c>
      <c r="B308" s="103">
        <v>1192</v>
      </c>
      <c r="C308" s="104" t="s">
        <v>258</v>
      </c>
      <c r="D308" s="105">
        <v>1</v>
      </c>
    </row>
    <row r="309" spans="1:4" x14ac:dyDescent="0.35">
      <c r="A309" s="102">
        <v>189</v>
      </c>
      <c r="B309" s="103">
        <v>1233</v>
      </c>
      <c r="C309" s="104" t="s">
        <v>258</v>
      </c>
      <c r="D309" s="105" t="s">
        <v>458</v>
      </c>
    </row>
    <row r="310" spans="1:4" x14ac:dyDescent="0.35">
      <c r="A310" s="102">
        <v>189</v>
      </c>
      <c r="B310" s="103">
        <v>1234</v>
      </c>
      <c r="C310" s="104" t="s">
        <v>258</v>
      </c>
      <c r="D310" s="105" t="s">
        <v>458</v>
      </c>
    </row>
    <row r="311" spans="1:4" x14ac:dyDescent="0.35">
      <c r="A311" s="102">
        <v>190</v>
      </c>
      <c r="B311" s="103">
        <v>1238</v>
      </c>
      <c r="C311" s="104" t="s">
        <v>258</v>
      </c>
      <c r="D311" s="105" t="s">
        <v>458</v>
      </c>
    </row>
    <row r="312" spans="1:4" x14ac:dyDescent="0.35">
      <c r="A312" s="102">
        <v>190</v>
      </c>
      <c r="B312" s="103">
        <v>1239</v>
      </c>
      <c r="C312" s="104" t="s">
        <v>258</v>
      </c>
      <c r="D312" s="105" t="s">
        <v>458</v>
      </c>
    </row>
    <row r="313" spans="1:4" x14ac:dyDescent="0.35">
      <c r="A313" s="102">
        <v>191</v>
      </c>
      <c r="B313" s="103">
        <v>1240</v>
      </c>
      <c r="C313" s="104" t="s">
        <v>258</v>
      </c>
      <c r="D313" s="105" t="s">
        <v>458</v>
      </c>
    </row>
    <row r="314" spans="1:4" x14ac:dyDescent="0.35">
      <c r="A314" s="102">
        <v>191</v>
      </c>
      <c r="B314" s="103">
        <v>1241</v>
      </c>
      <c r="C314" s="104" t="s">
        <v>258</v>
      </c>
      <c r="D314" s="105" t="s">
        <v>458</v>
      </c>
    </row>
    <row r="315" spans="1:4" x14ac:dyDescent="0.35">
      <c r="A315" s="102">
        <v>192</v>
      </c>
      <c r="B315" s="103">
        <v>1242</v>
      </c>
      <c r="C315" s="104" t="s">
        <v>258</v>
      </c>
      <c r="D315" s="105" t="s">
        <v>458</v>
      </c>
    </row>
    <row r="316" spans="1:4" x14ac:dyDescent="0.35">
      <c r="A316" s="102">
        <v>192</v>
      </c>
      <c r="B316" s="103">
        <v>1243</v>
      </c>
      <c r="C316" s="104" t="s">
        <v>258</v>
      </c>
      <c r="D316" s="105" t="s">
        <v>458</v>
      </c>
    </row>
    <row r="317" spans="1:4" x14ac:dyDescent="0.35">
      <c r="A317" s="102">
        <v>193</v>
      </c>
      <c r="B317" s="103">
        <v>1244</v>
      </c>
      <c r="C317" s="104" t="s">
        <v>258</v>
      </c>
      <c r="D317" s="105" t="s">
        <v>458</v>
      </c>
    </row>
    <row r="318" spans="1:4" x14ac:dyDescent="0.35">
      <c r="A318" s="102">
        <v>193</v>
      </c>
      <c r="B318" s="103">
        <v>1245</v>
      </c>
      <c r="C318" s="104" t="s">
        <v>258</v>
      </c>
      <c r="D318" s="105" t="s">
        <v>458</v>
      </c>
    </row>
    <row r="319" spans="1:4" x14ac:dyDescent="0.35">
      <c r="A319" s="102">
        <v>194</v>
      </c>
      <c r="B319" s="103">
        <v>1246</v>
      </c>
      <c r="C319" s="104" t="s">
        <v>258</v>
      </c>
      <c r="D319" s="105" t="s">
        <v>458</v>
      </c>
    </row>
    <row r="320" spans="1:4" x14ac:dyDescent="0.35">
      <c r="A320" s="102">
        <v>194</v>
      </c>
      <c r="B320" s="103">
        <v>1247</v>
      </c>
      <c r="C320" s="104" t="s">
        <v>258</v>
      </c>
      <c r="D320" s="105" t="s">
        <v>458</v>
      </c>
    </row>
    <row r="321" spans="1:4" x14ac:dyDescent="0.35">
      <c r="A321" s="102">
        <v>195</v>
      </c>
      <c r="B321" s="103">
        <v>1248</v>
      </c>
      <c r="C321" s="104" t="s">
        <v>258</v>
      </c>
      <c r="D321" s="105" t="s">
        <v>458</v>
      </c>
    </row>
    <row r="322" spans="1:4" x14ac:dyDescent="0.35">
      <c r="A322" s="102">
        <v>195</v>
      </c>
      <c r="B322" s="103">
        <v>1249</v>
      </c>
      <c r="C322" s="104" t="s">
        <v>258</v>
      </c>
      <c r="D322" s="105" t="s">
        <v>458</v>
      </c>
    </row>
    <row r="323" spans="1:4" x14ac:dyDescent="0.35">
      <c r="A323" s="102">
        <v>196</v>
      </c>
      <c r="B323" s="103">
        <v>1250</v>
      </c>
      <c r="C323" s="104" t="s">
        <v>258</v>
      </c>
      <c r="D323" s="105" t="s">
        <v>458</v>
      </c>
    </row>
    <row r="324" spans="1:4" x14ac:dyDescent="0.35">
      <c r="A324" s="102">
        <v>196</v>
      </c>
      <c r="B324" s="103">
        <v>1251</v>
      </c>
      <c r="C324" s="104" t="s">
        <v>258</v>
      </c>
      <c r="D324" s="105" t="s">
        <v>458</v>
      </c>
    </row>
    <row r="325" spans="1:4" x14ac:dyDescent="0.35">
      <c r="A325" s="102">
        <v>197</v>
      </c>
      <c r="B325" s="103">
        <v>1252</v>
      </c>
      <c r="C325" s="104" t="s">
        <v>258</v>
      </c>
      <c r="D325" s="105" t="s">
        <v>458</v>
      </c>
    </row>
    <row r="326" spans="1:4" x14ac:dyDescent="0.35">
      <c r="A326" s="102">
        <v>197</v>
      </c>
      <c r="B326" s="103">
        <v>1253</v>
      </c>
      <c r="C326" s="104" t="s">
        <v>258</v>
      </c>
      <c r="D326" s="105" t="s">
        <v>458</v>
      </c>
    </row>
    <row r="327" spans="1:4" x14ac:dyDescent="0.35">
      <c r="A327" s="102">
        <v>198</v>
      </c>
      <c r="B327" s="103">
        <v>1254</v>
      </c>
      <c r="C327" s="104" t="s">
        <v>258</v>
      </c>
      <c r="D327" s="105" t="s">
        <v>458</v>
      </c>
    </row>
    <row r="328" spans="1:4" x14ac:dyDescent="0.35">
      <c r="A328" s="102">
        <v>198</v>
      </c>
      <c r="B328" s="103">
        <v>1255</v>
      </c>
      <c r="C328" s="104" t="s">
        <v>258</v>
      </c>
      <c r="D328" s="105" t="s">
        <v>458</v>
      </c>
    </row>
    <row r="329" spans="1:4" x14ac:dyDescent="0.35">
      <c r="A329" s="102">
        <v>199</v>
      </c>
      <c r="B329" s="103">
        <v>1256</v>
      </c>
      <c r="C329" s="104" t="s">
        <v>258</v>
      </c>
      <c r="D329" s="105" t="s">
        <v>458</v>
      </c>
    </row>
    <row r="330" spans="1:4" x14ac:dyDescent="0.35">
      <c r="A330" s="102">
        <v>199</v>
      </c>
      <c r="B330" s="103">
        <v>1257</v>
      </c>
      <c r="C330" s="104" t="s">
        <v>258</v>
      </c>
      <c r="D330" s="105" t="s">
        <v>458</v>
      </c>
    </row>
    <row r="331" spans="1:4" x14ac:dyDescent="0.35">
      <c r="A331" s="102">
        <v>201</v>
      </c>
      <c r="B331" s="103">
        <v>1265</v>
      </c>
      <c r="C331" s="104" t="s">
        <v>258</v>
      </c>
      <c r="D331" s="105" t="s">
        <v>458</v>
      </c>
    </row>
    <row r="332" spans="1:4" x14ac:dyDescent="0.35">
      <c r="A332" s="102">
        <v>201</v>
      </c>
      <c r="B332" s="103">
        <v>1266</v>
      </c>
      <c r="C332" s="104" t="s">
        <v>258</v>
      </c>
      <c r="D332" s="105" t="s">
        <v>458</v>
      </c>
    </row>
    <row r="333" spans="1:4" x14ac:dyDescent="0.35">
      <c r="A333" s="102">
        <v>202</v>
      </c>
      <c r="B333" s="103">
        <v>1267</v>
      </c>
      <c r="C333" s="104" t="s">
        <v>258</v>
      </c>
      <c r="D333" s="105" t="s">
        <v>458</v>
      </c>
    </row>
    <row r="334" spans="1:4" x14ac:dyDescent="0.35">
      <c r="A334" s="102">
        <v>202</v>
      </c>
      <c r="B334" s="103">
        <v>1268</v>
      </c>
      <c r="C334" s="104" t="s">
        <v>258</v>
      </c>
      <c r="D334" s="105" t="s">
        <v>458</v>
      </c>
    </row>
    <row r="335" spans="1:4" x14ac:dyDescent="0.35">
      <c r="A335" s="102">
        <v>203</v>
      </c>
      <c r="B335" s="103">
        <v>1269</v>
      </c>
      <c r="C335" s="104" t="s">
        <v>258</v>
      </c>
      <c r="D335" s="105" t="s">
        <v>458</v>
      </c>
    </row>
    <row r="336" spans="1:4" x14ac:dyDescent="0.35">
      <c r="A336" s="102">
        <v>203</v>
      </c>
      <c r="B336" s="103">
        <v>1270</v>
      </c>
      <c r="C336" s="104" t="s">
        <v>258</v>
      </c>
      <c r="D336" s="105" t="s">
        <v>458</v>
      </c>
    </row>
    <row r="337" spans="1:4" x14ac:dyDescent="0.35">
      <c r="A337" s="102">
        <v>204</v>
      </c>
      <c r="B337" s="103">
        <v>1271</v>
      </c>
      <c r="C337" s="104" t="s">
        <v>258</v>
      </c>
      <c r="D337" s="105" t="s">
        <v>458</v>
      </c>
    </row>
    <row r="338" spans="1:4" x14ac:dyDescent="0.35">
      <c r="A338" s="102">
        <v>204</v>
      </c>
      <c r="B338" s="103">
        <v>1272</v>
      </c>
      <c r="C338" s="104" t="s">
        <v>258</v>
      </c>
      <c r="D338" s="105" t="s">
        <v>458</v>
      </c>
    </row>
    <row r="339" spans="1:4" x14ac:dyDescent="0.35">
      <c r="A339" s="102">
        <v>205</v>
      </c>
      <c r="B339" s="103">
        <v>1273</v>
      </c>
      <c r="C339" s="104" t="s">
        <v>258</v>
      </c>
      <c r="D339" s="105" t="s">
        <v>458</v>
      </c>
    </row>
    <row r="340" spans="1:4" x14ac:dyDescent="0.35">
      <c r="A340" s="102">
        <v>205</v>
      </c>
      <c r="B340" s="103">
        <v>1274</v>
      </c>
      <c r="C340" s="104" t="s">
        <v>258</v>
      </c>
      <c r="D340" s="105" t="s">
        <v>458</v>
      </c>
    </row>
    <row r="341" spans="1:4" x14ac:dyDescent="0.35">
      <c r="A341" s="102">
        <v>206</v>
      </c>
      <c r="B341" s="103">
        <v>1275</v>
      </c>
      <c r="C341" s="104" t="s">
        <v>258</v>
      </c>
      <c r="D341" s="105" t="s">
        <v>458</v>
      </c>
    </row>
    <row r="342" spans="1:4" x14ac:dyDescent="0.35">
      <c r="A342" s="102">
        <v>206</v>
      </c>
      <c r="B342" s="103">
        <v>1276</v>
      </c>
      <c r="C342" s="104" t="s">
        <v>258</v>
      </c>
      <c r="D342" s="105" t="s">
        <v>458</v>
      </c>
    </row>
    <row r="343" spans="1:4" x14ac:dyDescent="0.35">
      <c r="A343" s="102">
        <v>207</v>
      </c>
      <c r="B343" s="103">
        <v>1277</v>
      </c>
      <c r="C343" s="104" t="s">
        <v>258</v>
      </c>
      <c r="D343" s="105" t="s">
        <v>458</v>
      </c>
    </row>
    <row r="344" spans="1:4" x14ac:dyDescent="0.35">
      <c r="A344" s="102">
        <v>207</v>
      </c>
      <c r="B344" s="103">
        <v>1278</v>
      </c>
      <c r="C344" s="104" t="s">
        <v>258</v>
      </c>
      <c r="D344" s="105" t="s">
        <v>458</v>
      </c>
    </row>
    <row r="345" spans="1:4" x14ac:dyDescent="0.35">
      <c r="A345" s="102">
        <v>208</v>
      </c>
      <c r="B345" s="103">
        <v>1279</v>
      </c>
      <c r="C345" s="104" t="s">
        <v>258</v>
      </c>
      <c r="D345" s="105" t="s">
        <v>458</v>
      </c>
    </row>
    <row r="346" spans="1:4" x14ac:dyDescent="0.35">
      <c r="A346" s="102">
        <v>208</v>
      </c>
      <c r="B346" s="103">
        <v>1280</v>
      </c>
      <c r="C346" s="104" t="s">
        <v>258</v>
      </c>
      <c r="D346" s="105" t="s">
        <v>458</v>
      </c>
    </row>
    <row r="347" spans="1:4" x14ac:dyDescent="0.35">
      <c r="A347" s="102">
        <v>209</v>
      </c>
      <c r="B347" s="103">
        <v>1286</v>
      </c>
      <c r="C347" s="104" t="s">
        <v>258</v>
      </c>
      <c r="D347" s="105">
        <v>2</v>
      </c>
    </row>
    <row r="348" spans="1:4" x14ac:dyDescent="0.35">
      <c r="A348" s="102">
        <v>209</v>
      </c>
      <c r="B348" s="103">
        <v>1287</v>
      </c>
      <c r="C348" s="104" t="s">
        <v>258</v>
      </c>
      <c r="D348" s="105">
        <v>1</v>
      </c>
    </row>
    <row r="349" spans="1:4" x14ac:dyDescent="0.35">
      <c r="A349" s="102">
        <v>210</v>
      </c>
      <c r="B349" s="103">
        <v>1293</v>
      </c>
      <c r="C349" s="104" t="s">
        <v>258</v>
      </c>
      <c r="D349" s="105">
        <v>2</v>
      </c>
    </row>
    <row r="350" spans="1:4" x14ac:dyDescent="0.35">
      <c r="A350" s="102">
        <v>210</v>
      </c>
      <c r="B350" s="103">
        <v>1294</v>
      </c>
      <c r="C350" s="104" t="s">
        <v>258</v>
      </c>
      <c r="D350" s="105">
        <v>1</v>
      </c>
    </row>
    <row r="351" spans="1:4" x14ac:dyDescent="0.35">
      <c r="A351" s="102">
        <v>211</v>
      </c>
      <c r="B351" s="103">
        <v>1295</v>
      </c>
      <c r="C351" s="104" t="s">
        <v>258</v>
      </c>
      <c r="D351" s="105">
        <v>2</v>
      </c>
    </row>
    <row r="352" spans="1:4" x14ac:dyDescent="0.35">
      <c r="A352" s="102">
        <v>211</v>
      </c>
      <c r="B352" s="103">
        <v>1296</v>
      </c>
      <c r="C352" s="104" t="s">
        <v>258</v>
      </c>
      <c r="D352" s="105">
        <v>1</v>
      </c>
    </row>
    <row r="353" spans="1:4" x14ac:dyDescent="0.35">
      <c r="A353" s="102">
        <v>212</v>
      </c>
      <c r="B353" s="103">
        <v>1297</v>
      </c>
      <c r="C353" s="104" t="s">
        <v>258</v>
      </c>
      <c r="D353" s="105">
        <v>2</v>
      </c>
    </row>
    <row r="354" spans="1:4" x14ac:dyDescent="0.35">
      <c r="A354" s="102">
        <v>212</v>
      </c>
      <c r="B354" s="103">
        <v>1298</v>
      </c>
      <c r="C354" s="104" t="s">
        <v>258</v>
      </c>
      <c r="D354" s="105">
        <v>1</v>
      </c>
    </row>
    <row r="355" spans="1:4" x14ac:dyDescent="0.35">
      <c r="A355" s="102">
        <v>213</v>
      </c>
      <c r="B355" s="103">
        <v>1299</v>
      </c>
      <c r="C355" s="104" t="s">
        <v>258</v>
      </c>
      <c r="D355" s="105">
        <v>2</v>
      </c>
    </row>
    <row r="356" spans="1:4" x14ac:dyDescent="0.35">
      <c r="A356" s="102">
        <v>213</v>
      </c>
      <c r="B356" s="103">
        <v>1300</v>
      </c>
      <c r="C356" s="104" t="s">
        <v>258</v>
      </c>
      <c r="D356" s="105">
        <v>1</v>
      </c>
    </row>
    <row r="357" spans="1:4" x14ac:dyDescent="0.35">
      <c r="A357" s="102">
        <v>214</v>
      </c>
      <c r="B357" s="103">
        <v>1326</v>
      </c>
      <c r="C357" s="104" t="s">
        <v>258</v>
      </c>
      <c r="D357" s="105">
        <v>2</v>
      </c>
    </row>
    <row r="358" spans="1:4" x14ac:dyDescent="0.35">
      <c r="A358" s="102">
        <v>214</v>
      </c>
      <c r="B358" s="103">
        <v>1327</v>
      </c>
      <c r="C358" s="104" t="s">
        <v>258</v>
      </c>
      <c r="D358" s="105">
        <v>1</v>
      </c>
    </row>
    <row r="359" spans="1:4" x14ac:dyDescent="0.35">
      <c r="A359" s="102">
        <v>215</v>
      </c>
      <c r="B359" s="103">
        <v>1328</v>
      </c>
      <c r="C359" s="104" t="s">
        <v>258</v>
      </c>
      <c r="D359" s="105">
        <v>2</v>
      </c>
    </row>
    <row r="360" spans="1:4" x14ac:dyDescent="0.35">
      <c r="A360" s="102">
        <v>215</v>
      </c>
      <c r="B360" s="103">
        <v>1329</v>
      </c>
      <c r="C360" s="104" t="s">
        <v>258</v>
      </c>
      <c r="D360" s="105">
        <v>1</v>
      </c>
    </row>
    <row r="361" spans="1:4" x14ac:dyDescent="0.35">
      <c r="A361" s="102">
        <v>216</v>
      </c>
      <c r="B361" s="103">
        <v>1330</v>
      </c>
      <c r="C361" s="104" t="s">
        <v>258</v>
      </c>
      <c r="D361" s="105">
        <v>2</v>
      </c>
    </row>
    <row r="362" spans="1:4" x14ac:dyDescent="0.35">
      <c r="A362" s="102">
        <v>216</v>
      </c>
      <c r="B362" s="103">
        <v>1331</v>
      </c>
      <c r="C362" s="104" t="s">
        <v>258</v>
      </c>
      <c r="D362" s="105">
        <v>1</v>
      </c>
    </row>
    <row r="363" spans="1:4" x14ac:dyDescent="0.35">
      <c r="A363" s="102">
        <v>217</v>
      </c>
      <c r="B363" s="103">
        <v>1332</v>
      </c>
      <c r="C363" s="104" t="s">
        <v>258</v>
      </c>
      <c r="D363" s="105">
        <v>2</v>
      </c>
    </row>
    <row r="364" spans="1:4" x14ac:dyDescent="0.35">
      <c r="A364" s="102">
        <v>217</v>
      </c>
      <c r="B364" s="103">
        <v>1333</v>
      </c>
      <c r="C364" s="104" t="s">
        <v>258</v>
      </c>
      <c r="D364" s="105">
        <v>1</v>
      </c>
    </row>
    <row r="365" spans="1:4" x14ac:dyDescent="0.35">
      <c r="A365" s="102">
        <v>218</v>
      </c>
      <c r="B365" s="103">
        <v>1334</v>
      </c>
      <c r="C365" s="104" t="s">
        <v>258</v>
      </c>
      <c r="D365" s="105">
        <v>2</v>
      </c>
    </row>
    <row r="366" spans="1:4" x14ac:dyDescent="0.35">
      <c r="A366" s="102">
        <v>218</v>
      </c>
      <c r="B366" s="103">
        <v>1335</v>
      </c>
      <c r="C366" s="104" t="s">
        <v>258</v>
      </c>
      <c r="D366" s="105">
        <v>1</v>
      </c>
    </row>
    <row r="367" spans="1:4" x14ac:dyDescent="0.35">
      <c r="A367" s="102">
        <v>219</v>
      </c>
      <c r="B367" s="103">
        <v>1336</v>
      </c>
      <c r="C367" s="104" t="s">
        <v>258</v>
      </c>
      <c r="D367" s="105">
        <v>2</v>
      </c>
    </row>
    <row r="368" spans="1:4" x14ac:dyDescent="0.35">
      <c r="A368" s="102">
        <v>219</v>
      </c>
      <c r="B368" s="103">
        <v>1337</v>
      </c>
      <c r="C368" s="104" t="s">
        <v>258</v>
      </c>
      <c r="D368" s="105">
        <v>1</v>
      </c>
    </row>
    <row r="369" spans="1:4" x14ac:dyDescent="0.35">
      <c r="A369" s="102">
        <v>220</v>
      </c>
      <c r="B369" s="103">
        <v>1338</v>
      </c>
      <c r="C369" s="104" t="s">
        <v>258</v>
      </c>
      <c r="D369" s="105">
        <v>2</v>
      </c>
    </row>
    <row r="370" spans="1:4" x14ac:dyDescent="0.35">
      <c r="A370" s="102">
        <v>220</v>
      </c>
      <c r="B370" s="103">
        <v>1339</v>
      </c>
      <c r="C370" s="104" t="s">
        <v>258</v>
      </c>
      <c r="D370" s="105">
        <v>1</v>
      </c>
    </row>
    <row r="371" spans="1:4" x14ac:dyDescent="0.35">
      <c r="A371" s="102">
        <v>221</v>
      </c>
      <c r="B371" s="103">
        <v>1340</v>
      </c>
      <c r="C371" s="104" t="s">
        <v>258</v>
      </c>
      <c r="D371" s="105">
        <v>2</v>
      </c>
    </row>
    <row r="372" spans="1:4" x14ac:dyDescent="0.35">
      <c r="A372" s="102">
        <v>221</v>
      </c>
      <c r="B372" s="103">
        <v>1341</v>
      </c>
      <c r="C372" s="104" t="s">
        <v>258</v>
      </c>
      <c r="D372" s="105">
        <v>1</v>
      </c>
    </row>
    <row r="373" spans="1:4" x14ac:dyDescent="0.35">
      <c r="A373" s="102">
        <v>222</v>
      </c>
      <c r="B373" s="103">
        <v>1342</v>
      </c>
      <c r="C373" s="104" t="s">
        <v>258</v>
      </c>
      <c r="D373" s="105">
        <v>2</v>
      </c>
    </row>
    <row r="374" spans="1:4" x14ac:dyDescent="0.35">
      <c r="A374" s="102">
        <v>222</v>
      </c>
      <c r="B374" s="103">
        <v>1343</v>
      </c>
      <c r="C374" s="104" t="s">
        <v>258</v>
      </c>
      <c r="D374" s="105">
        <v>1</v>
      </c>
    </row>
    <row r="375" spans="1:4" x14ac:dyDescent="0.35">
      <c r="A375" s="102">
        <v>223</v>
      </c>
      <c r="B375" s="103">
        <v>1344</v>
      </c>
      <c r="C375" s="104" t="s">
        <v>258</v>
      </c>
      <c r="D375" s="105">
        <v>2</v>
      </c>
    </row>
    <row r="376" spans="1:4" x14ac:dyDescent="0.35">
      <c r="A376" s="102">
        <v>223</v>
      </c>
      <c r="B376" s="103">
        <v>1345</v>
      </c>
      <c r="C376" s="104" t="s">
        <v>258</v>
      </c>
      <c r="D376" s="105">
        <v>1</v>
      </c>
    </row>
    <row r="377" spans="1:4" x14ac:dyDescent="0.35">
      <c r="A377" s="102">
        <v>224</v>
      </c>
      <c r="B377" s="103">
        <v>1353</v>
      </c>
      <c r="C377" s="104" t="s">
        <v>258</v>
      </c>
      <c r="D377" s="105">
        <v>2</v>
      </c>
    </row>
    <row r="378" spans="1:4" x14ac:dyDescent="0.35">
      <c r="A378" s="102">
        <v>224</v>
      </c>
      <c r="B378" s="103">
        <v>1354</v>
      </c>
      <c r="C378" s="104" t="s">
        <v>258</v>
      </c>
      <c r="D378" s="105">
        <v>1</v>
      </c>
    </row>
    <row r="379" spans="1:4" x14ac:dyDescent="0.35">
      <c r="A379" s="102">
        <v>225</v>
      </c>
      <c r="B379" s="103">
        <v>1355</v>
      </c>
      <c r="C379" s="104" t="s">
        <v>258</v>
      </c>
      <c r="D379" s="105">
        <v>2</v>
      </c>
    </row>
    <row r="380" spans="1:4" x14ac:dyDescent="0.35">
      <c r="A380" s="102">
        <v>225</v>
      </c>
      <c r="B380" s="103">
        <v>1356</v>
      </c>
      <c r="C380" s="104" t="s">
        <v>258</v>
      </c>
      <c r="D380" s="105">
        <v>1</v>
      </c>
    </row>
    <row r="381" spans="1:4" x14ac:dyDescent="0.35">
      <c r="A381" s="102">
        <v>226</v>
      </c>
      <c r="B381" s="103">
        <v>1357</v>
      </c>
      <c r="C381" s="104" t="s">
        <v>258</v>
      </c>
      <c r="D381" s="105">
        <v>2</v>
      </c>
    </row>
    <row r="382" spans="1:4" x14ac:dyDescent="0.35">
      <c r="A382" s="102">
        <v>226</v>
      </c>
      <c r="B382" s="103">
        <v>1358</v>
      </c>
      <c r="C382" s="104" t="s">
        <v>258</v>
      </c>
      <c r="D382" s="105">
        <v>1</v>
      </c>
    </row>
    <row r="383" spans="1:4" x14ac:dyDescent="0.35">
      <c r="A383" s="102">
        <v>227</v>
      </c>
      <c r="B383" s="103">
        <v>1359</v>
      </c>
      <c r="C383" s="104" t="s">
        <v>258</v>
      </c>
      <c r="D383" s="105">
        <v>2</v>
      </c>
    </row>
    <row r="384" spans="1:4" x14ac:dyDescent="0.35">
      <c r="A384" s="102">
        <v>227</v>
      </c>
      <c r="B384" s="103">
        <v>1360</v>
      </c>
      <c r="C384" s="104" t="s">
        <v>258</v>
      </c>
      <c r="D384" s="105">
        <v>1</v>
      </c>
    </row>
    <row r="385" spans="1:4" x14ac:dyDescent="0.35">
      <c r="A385" s="102">
        <v>228</v>
      </c>
      <c r="B385" s="103">
        <v>1361</v>
      </c>
      <c r="C385" s="104" t="s">
        <v>269</v>
      </c>
      <c r="D385" s="105" t="s">
        <v>220</v>
      </c>
    </row>
    <row r="386" spans="1:4" x14ac:dyDescent="0.35">
      <c r="A386" s="102">
        <v>228</v>
      </c>
      <c r="B386" s="103">
        <v>1399</v>
      </c>
      <c r="C386" s="104" t="s">
        <v>269</v>
      </c>
      <c r="D386" s="105" t="s">
        <v>220</v>
      </c>
    </row>
    <row r="387" spans="1:4" x14ac:dyDescent="0.35">
      <c r="A387" s="102">
        <v>229</v>
      </c>
      <c r="B387" s="103">
        <v>1362</v>
      </c>
      <c r="C387" s="104" t="s">
        <v>269</v>
      </c>
      <c r="D387" s="105" t="s">
        <v>220</v>
      </c>
    </row>
    <row r="388" spans="1:4" x14ac:dyDescent="0.35">
      <c r="A388" s="102">
        <v>229</v>
      </c>
      <c r="B388" s="103">
        <v>1400</v>
      </c>
      <c r="C388" s="104" t="s">
        <v>269</v>
      </c>
      <c r="D388" s="105" t="s">
        <v>220</v>
      </c>
    </row>
    <row r="389" spans="1:4" x14ac:dyDescent="0.35">
      <c r="A389" s="102">
        <v>230</v>
      </c>
      <c r="B389" s="103">
        <v>1363</v>
      </c>
      <c r="C389" s="104" t="s">
        <v>258</v>
      </c>
      <c r="D389" s="105" t="s">
        <v>220</v>
      </c>
    </row>
    <row r="390" spans="1:4" x14ac:dyDescent="0.35">
      <c r="A390" s="102">
        <v>230</v>
      </c>
      <c r="B390" s="103">
        <v>1401</v>
      </c>
      <c r="C390" s="104" t="s">
        <v>258</v>
      </c>
      <c r="D390" s="105" t="s">
        <v>220</v>
      </c>
    </row>
    <row r="391" spans="1:4" x14ac:dyDescent="0.35">
      <c r="A391" s="102">
        <v>231</v>
      </c>
      <c r="B391" s="103">
        <v>1371</v>
      </c>
      <c r="C391" s="104" t="s">
        <v>246</v>
      </c>
      <c r="D391" s="105">
        <v>2</v>
      </c>
    </row>
    <row r="392" spans="1:4" x14ac:dyDescent="0.35">
      <c r="A392" s="102">
        <v>231</v>
      </c>
      <c r="B392" s="103">
        <v>1372</v>
      </c>
      <c r="C392" s="104" t="s">
        <v>246</v>
      </c>
      <c r="D392" s="105">
        <v>1</v>
      </c>
    </row>
    <row r="393" spans="1:4" x14ac:dyDescent="0.35">
      <c r="A393" s="102">
        <v>233</v>
      </c>
      <c r="B393" s="103">
        <v>1375</v>
      </c>
      <c r="C393" s="104" t="s">
        <v>246</v>
      </c>
      <c r="D393" s="105">
        <v>2</v>
      </c>
    </row>
    <row r="394" spans="1:4" x14ac:dyDescent="0.35">
      <c r="A394" s="102">
        <v>233</v>
      </c>
      <c r="B394" s="103">
        <v>1376</v>
      </c>
      <c r="C394" s="104" t="s">
        <v>246</v>
      </c>
      <c r="D394" s="105">
        <v>1</v>
      </c>
    </row>
    <row r="395" spans="1:4" x14ac:dyDescent="0.35">
      <c r="A395" s="102">
        <v>234</v>
      </c>
      <c r="B395" s="103">
        <v>1377</v>
      </c>
      <c r="C395" s="104" t="s">
        <v>246</v>
      </c>
      <c r="D395" s="105">
        <v>2</v>
      </c>
    </row>
    <row r="396" spans="1:4" x14ac:dyDescent="0.35">
      <c r="A396" s="102">
        <v>234</v>
      </c>
      <c r="B396" s="103">
        <v>1378</v>
      </c>
      <c r="C396" s="104" t="s">
        <v>246</v>
      </c>
      <c r="D396" s="105">
        <v>1</v>
      </c>
    </row>
    <row r="397" spans="1:4" x14ac:dyDescent="0.35">
      <c r="A397" s="102">
        <v>235</v>
      </c>
      <c r="B397" s="103">
        <v>1379</v>
      </c>
      <c r="C397" s="104" t="s">
        <v>246</v>
      </c>
      <c r="D397" s="105">
        <v>2</v>
      </c>
    </row>
    <row r="398" spans="1:4" x14ac:dyDescent="0.35">
      <c r="A398" s="102">
        <v>235</v>
      </c>
      <c r="B398" s="103">
        <v>1380</v>
      </c>
      <c r="C398" s="104" t="s">
        <v>246</v>
      </c>
      <c r="D398" s="105">
        <v>1</v>
      </c>
    </row>
    <row r="399" spans="1:4" x14ac:dyDescent="0.35">
      <c r="A399" s="102">
        <v>236</v>
      </c>
      <c r="B399" s="103">
        <v>1381</v>
      </c>
      <c r="C399" s="104" t="s">
        <v>246</v>
      </c>
      <c r="D399" s="105">
        <v>2</v>
      </c>
    </row>
    <row r="400" spans="1:4" x14ac:dyDescent="0.35">
      <c r="A400" s="102">
        <v>236</v>
      </c>
      <c r="B400" s="103">
        <v>1382</v>
      </c>
      <c r="C400" s="104" t="s">
        <v>246</v>
      </c>
      <c r="D400" s="105">
        <v>1</v>
      </c>
    </row>
    <row r="401" spans="1:4" x14ac:dyDescent="0.35">
      <c r="A401" s="102">
        <v>237</v>
      </c>
      <c r="B401" s="103">
        <v>1383</v>
      </c>
      <c r="C401" s="104" t="s">
        <v>246</v>
      </c>
      <c r="D401" s="105">
        <v>2</v>
      </c>
    </row>
    <row r="402" spans="1:4" x14ac:dyDescent="0.35">
      <c r="A402" s="102">
        <v>237</v>
      </c>
      <c r="B402" s="103">
        <v>1384</v>
      </c>
      <c r="C402" s="104" t="s">
        <v>246</v>
      </c>
      <c r="D402" s="105">
        <v>1</v>
      </c>
    </row>
    <row r="403" spans="1:4" x14ac:dyDescent="0.35">
      <c r="A403" s="102">
        <v>238</v>
      </c>
      <c r="B403" s="103">
        <v>1385</v>
      </c>
      <c r="C403" s="104" t="s">
        <v>258</v>
      </c>
      <c r="D403" s="105">
        <v>2</v>
      </c>
    </row>
    <row r="404" spans="1:4" x14ac:dyDescent="0.35">
      <c r="A404" s="102">
        <v>238</v>
      </c>
      <c r="B404" s="103">
        <v>1386</v>
      </c>
      <c r="C404" s="104" t="s">
        <v>258</v>
      </c>
      <c r="D404" s="105">
        <v>1</v>
      </c>
    </row>
    <row r="405" spans="1:4" x14ac:dyDescent="0.35">
      <c r="A405" s="102">
        <v>241</v>
      </c>
      <c r="B405" s="103">
        <v>1042</v>
      </c>
      <c r="C405" s="104" t="s">
        <v>270</v>
      </c>
      <c r="D405" s="105">
        <v>2</v>
      </c>
    </row>
    <row r="406" spans="1:4" x14ac:dyDescent="0.35">
      <c r="A406" s="102">
        <v>241</v>
      </c>
      <c r="B406" s="103">
        <v>1043</v>
      </c>
      <c r="C406" s="104" t="s">
        <v>270</v>
      </c>
      <c r="D406" s="105">
        <v>1</v>
      </c>
    </row>
    <row r="407" spans="1:4" x14ac:dyDescent="0.35">
      <c r="A407" s="102">
        <v>242</v>
      </c>
      <c r="B407" s="103">
        <v>44</v>
      </c>
      <c r="C407" s="104" t="s">
        <v>271</v>
      </c>
      <c r="D407" s="105">
        <v>1</v>
      </c>
    </row>
    <row r="408" spans="1:4" x14ac:dyDescent="0.35">
      <c r="A408" s="102">
        <v>242</v>
      </c>
      <c r="B408" s="103">
        <v>208</v>
      </c>
      <c r="C408" s="104" t="s">
        <v>271</v>
      </c>
      <c r="D408" s="105">
        <v>2</v>
      </c>
    </row>
    <row r="409" spans="1:4" x14ac:dyDescent="0.35">
      <c r="A409" s="102">
        <v>243</v>
      </c>
      <c r="B409" s="103">
        <v>21</v>
      </c>
      <c r="C409" s="104" t="s">
        <v>272</v>
      </c>
      <c r="D409" s="105">
        <v>1</v>
      </c>
    </row>
    <row r="410" spans="1:4" x14ac:dyDescent="0.35">
      <c r="A410" s="102">
        <v>243</v>
      </c>
      <c r="B410" s="103">
        <v>231</v>
      </c>
      <c r="C410" s="104" t="s">
        <v>272</v>
      </c>
      <c r="D410" s="105" t="s">
        <v>462</v>
      </c>
    </row>
    <row r="411" spans="1:4" x14ac:dyDescent="0.35">
      <c r="A411" s="102">
        <v>244</v>
      </c>
      <c r="B411" s="103">
        <v>40</v>
      </c>
      <c r="C411" s="104" t="s">
        <v>258</v>
      </c>
      <c r="D411" s="105">
        <v>1</v>
      </c>
    </row>
    <row r="412" spans="1:4" x14ac:dyDescent="0.35">
      <c r="A412" s="102">
        <v>244</v>
      </c>
      <c r="B412" s="103">
        <v>206</v>
      </c>
      <c r="C412" s="104" t="s">
        <v>258</v>
      </c>
      <c r="D412" s="105">
        <v>2</v>
      </c>
    </row>
    <row r="413" spans="1:4" x14ac:dyDescent="0.35">
      <c r="A413" s="102">
        <v>245</v>
      </c>
      <c r="B413" s="103">
        <v>1012</v>
      </c>
      <c r="C413" s="104" t="s">
        <v>271</v>
      </c>
      <c r="D413" s="105">
        <v>2</v>
      </c>
    </row>
    <row r="414" spans="1:4" x14ac:dyDescent="0.35">
      <c r="A414" s="102">
        <v>245</v>
      </c>
      <c r="B414" s="103">
        <v>1013</v>
      </c>
      <c r="C414" s="104" t="s">
        <v>271</v>
      </c>
      <c r="D414" s="105">
        <v>1</v>
      </c>
    </row>
    <row r="415" spans="1:4" x14ac:dyDescent="0.35">
      <c r="A415" s="102">
        <v>246</v>
      </c>
      <c r="B415" s="103">
        <v>160</v>
      </c>
      <c r="C415" s="104" t="s">
        <v>273</v>
      </c>
      <c r="D415" s="105">
        <v>2</v>
      </c>
    </row>
    <row r="416" spans="1:4" x14ac:dyDescent="0.35">
      <c r="A416" s="102">
        <v>246</v>
      </c>
      <c r="B416" s="103">
        <v>276</v>
      </c>
      <c r="C416" s="104" t="s">
        <v>273</v>
      </c>
      <c r="D416" s="105">
        <v>1</v>
      </c>
    </row>
    <row r="417" spans="1:4" x14ac:dyDescent="0.35">
      <c r="A417" s="102">
        <v>246</v>
      </c>
      <c r="B417" s="103">
        <v>277</v>
      </c>
      <c r="C417" s="104" t="s">
        <v>273</v>
      </c>
      <c r="D417" s="105">
        <v>1</v>
      </c>
    </row>
    <row r="418" spans="1:4" x14ac:dyDescent="0.35">
      <c r="A418" s="102">
        <v>247</v>
      </c>
      <c r="B418" s="103">
        <v>1288</v>
      </c>
      <c r="C418" s="104" t="s">
        <v>271</v>
      </c>
      <c r="D418" s="105">
        <v>1</v>
      </c>
    </row>
    <row r="419" spans="1:4" x14ac:dyDescent="0.35">
      <c r="A419" s="102">
        <v>247</v>
      </c>
      <c r="B419" s="103">
        <v>1289</v>
      </c>
      <c r="C419" s="104" t="s">
        <v>271</v>
      </c>
      <c r="D419" s="105">
        <v>2</v>
      </c>
    </row>
    <row r="420" spans="1:4" x14ac:dyDescent="0.35">
      <c r="A420" s="102">
        <v>248</v>
      </c>
      <c r="B420" s="103">
        <v>1174</v>
      </c>
      <c r="C420" s="104" t="s">
        <v>258</v>
      </c>
      <c r="D420" s="105">
        <v>1</v>
      </c>
    </row>
    <row r="421" spans="1:4" x14ac:dyDescent="0.35">
      <c r="A421" s="102">
        <v>248</v>
      </c>
      <c r="B421" s="103">
        <v>1175</v>
      </c>
      <c r="C421" s="104" t="s">
        <v>258</v>
      </c>
      <c r="D421" s="105">
        <v>2</v>
      </c>
    </row>
    <row r="422" spans="1:4" x14ac:dyDescent="0.35">
      <c r="A422" s="102">
        <v>249</v>
      </c>
      <c r="B422" s="103">
        <v>1351</v>
      </c>
      <c r="C422" s="104" t="s">
        <v>271</v>
      </c>
      <c r="D422" s="105">
        <v>2</v>
      </c>
    </row>
    <row r="423" spans="1:4" x14ac:dyDescent="0.35">
      <c r="A423" s="102">
        <v>249</v>
      </c>
      <c r="B423" s="103">
        <v>1352</v>
      </c>
      <c r="C423" s="104" t="s">
        <v>271</v>
      </c>
      <c r="D423" s="105">
        <v>1</v>
      </c>
    </row>
    <row r="424" spans="1:4" x14ac:dyDescent="0.35">
      <c r="A424" s="102">
        <v>250</v>
      </c>
      <c r="B424" s="103">
        <v>206</v>
      </c>
      <c r="C424" s="104" t="s">
        <v>274</v>
      </c>
      <c r="D424" s="105" t="s">
        <v>220</v>
      </c>
    </row>
    <row r="425" spans="1:4" x14ac:dyDescent="0.35">
      <c r="A425" s="102">
        <v>251</v>
      </c>
      <c r="B425" s="103">
        <v>210</v>
      </c>
      <c r="C425" s="104" t="s">
        <v>274</v>
      </c>
      <c r="D425" s="105" t="s">
        <v>220</v>
      </c>
    </row>
    <row r="426" spans="1:4" x14ac:dyDescent="0.35">
      <c r="A426" s="102">
        <v>252</v>
      </c>
      <c r="B426" s="103">
        <v>212</v>
      </c>
      <c r="C426" s="104" t="s">
        <v>274</v>
      </c>
      <c r="D426" s="105" t="s">
        <v>220</v>
      </c>
    </row>
    <row r="427" spans="1:4" x14ac:dyDescent="0.35">
      <c r="A427" s="102">
        <v>253</v>
      </c>
      <c r="B427" s="103">
        <v>1290</v>
      </c>
      <c r="C427" s="104" t="s">
        <v>274</v>
      </c>
      <c r="D427" s="105" t="s">
        <v>220</v>
      </c>
    </row>
    <row r="428" spans="1:4" x14ac:dyDescent="0.35">
      <c r="A428" s="102">
        <v>254</v>
      </c>
      <c r="B428" s="103">
        <v>1316</v>
      </c>
      <c r="C428" s="104" t="s">
        <v>275</v>
      </c>
      <c r="D428" s="105">
        <v>2</v>
      </c>
    </row>
    <row r="429" spans="1:4" x14ac:dyDescent="0.35">
      <c r="A429" s="102">
        <v>254</v>
      </c>
      <c r="B429" s="103">
        <v>1317</v>
      </c>
      <c r="C429" s="104" t="s">
        <v>275</v>
      </c>
      <c r="D429" s="105">
        <v>1</v>
      </c>
    </row>
    <row r="430" spans="1:4" x14ac:dyDescent="0.35">
      <c r="A430" s="102">
        <v>255</v>
      </c>
      <c r="B430" s="103">
        <v>1320</v>
      </c>
      <c r="C430" s="104" t="s">
        <v>276</v>
      </c>
      <c r="D430" s="105">
        <v>2</v>
      </c>
    </row>
    <row r="431" spans="1:4" x14ac:dyDescent="0.35">
      <c r="A431" s="102">
        <v>255</v>
      </c>
      <c r="B431" s="103">
        <v>1321</v>
      </c>
      <c r="C431" s="104" t="s">
        <v>276</v>
      </c>
      <c r="D431" s="105">
        <v>1</v>
      </c>
    </row>
    <row r="432" spans="1:4" x14ac:dyDescent="0.35">
      <c r="A432" s="102">
        <v>257</v>
      </c>
      <c r="B432" s="103">
        <v>57</v>
      </c>
      <c r="C432" s="104" t="s">
        <v>277</v>
      </c>
      <c r="D432" s="105">
        <v>1</v>
      </c>
    </row>
    <row r="433" spans="1:4" x14ac:dyDescent="0.35">
      <c r="A433" s="102">
        <v>257</v>
      </c>
      <c r="B433" s="103">
        <v>196</v>
      </c>
      <c r="C433" s="104" t="s">
        <v>277</v>
      </c>
      <c r="D433" s="105">
        <v>2</v>
      </c>
    </row>
    <row r="434" spans="1:4" x14ac:dyDescent="0.35">
      <c r="A434" s="102">
        <v>258</v>
      </c>
      <c r="B434" s="103">
        <v>56</v>
      </c>
      <c r="C434" s="104" t="s">
        <v>278</v>
      </c>
      <c r="D434" s="105">
        <v>1</v>
      </c>
    </row>
    <row r="435" spans="1:4" x14ac:dyDescent="0.35">
      <c r="A435" s="102">
        <v>258</v>
      </c>
      <c r="B435" s="103">
        <v>195</v>
      </c>
      <c r="C435" s="104" t="s">
        <v>278</v>
      </c>
      <c r="D435" s="105">
        <v>2</v>
      </c>
    </row>
    <row r="436" spans="1:4" x14ac:dyDescent="0.35">
      <c r="A436" s="102">
        <v>259</v>
      </c>
      <c r="B436" s="103">
        <v>94</v>
      </c>
      <c r="C436" s="104" t="s">
        <v>279</v>
      </c>
      <c r="D436" s="105">
        <v>1</v>
      </c>
    </row>
    <row r="437" spans="1:4" x14ac:dyDescent="0.35">
      <c r="A437" s="102">
        <v>259</v>
      </c>
      <c r="B437" s="103">
        <v>167</v>
      </c>
      <c r="C437" s="104" t="s">
        <v>279</v>
      </c>
      <c r="D437" s="105">
        <v>2</v>
      </c>
    </row>
    <row r="438" spans="1:4" x14ac:dyDescent="0.35">
      <c r="A438" s="102">
        <v>260</v>
      </c>
      <c r="B438" s="103">
        <v>59</v>
      </c>
      <c r="C438" s="104" t="s">
        <v>278</v>
      </c>
      <c r="D438" s="105" t="s">
        <v>458</v>
      </c>
    </row>
    <row r="439" spans="1:4" x14ac:dyDescent="0.35">
      <c r="A439" s="102">
        <v>260</v>
      </c>
      <c r="B439" s="103">
        <v>191</v>
      </c>
      <c r="C439" s="104" t="s">
        <v>278</v>
      </c>
      <c r="D439" s="105" t="s">
        <v>458</v>
      </c>
    </row>
    <row r="440" spans="1:4" x14ac:dyDescent="0.35">
      <c r="A440" s="102">
        <v>261</v>
      </c>
      <c r="B440" s="103">
        <v>55</v>
      </c>
      <c r="C440" s="104" t="s">
        <v>278</v>
      </c>
      <c r="D440" s="105">
        <v>1</v>
      </c>
    </row>
    <row r="441" spans="1:4" x14ac:dyDescent="0.35">
      <c r="A441" s="102">
        <v>261</v>
      </c>
      <c r="B441" s="103">
        <v>194</v>
      </c>
      <c r="C441" s="104" t="s">
        <v>278</v>
      </c>
      <c r="D441" s="105" t="s">
        <v>461</v>
      </c>
    </row>
    <row r="442" spans="1:4" x14ac:dyDescent="0.35">
      <c r="A442" s="102">
        <v>262</v>
      </c>
      <c r="B442" s="103">
        <v>57</v>
      </c>
      <c r="C442" s="104" t="s">
        <v>278</v>
      </c>
      <c r="D442" s="105">
        <v>1</v>
      </c>
    </row>
    <row r="443" spans="1:4" x14ac:dyDescent="0.35">
      <c r="A443" s="102">
        <v>262</v>
      </c>
      <c r="B443" s="103">
        <v>196</v>
      </c>
      <c r="C443" s="104" t="s">
        <v>278</v>
      </c>
      <c r="D443" s="105" t="s">
        <v>463</v>
      </c>
    </row>
    <row r="444" spans="1:4" x14ac:dyDescent="0.35">
      <c r="A444" s="102">
        <v>263</v>
      </c>
      <c r="B444" s="103">
        <v>1010</v>
      </c>
      <c r="C444" s="104" t="s">
        <v>278</v>
      </c>
      <c r="D444" s="105">
        <v>2</v>
      </c>
    </row>
    <row r="445" spans="1:4" x14ac:dyDescent="0.35">
      <c r="A445" s="102">
        <v>263</v>
      </c>
      <c r="B445" s="103">
        <v>1011</v>
      </c>
      <c r="C445" s="104" t="s">
        <v>278</v>
      </c>
      <c r="D445" s="105">
        <v>1</v>
      </c>
    </row>
    <row r="446" spans="1:4" x14ac:dyDescent="0.35">
      <c r="A446" s="102">
        <v>264</v>
      </c>
      <c r="B446" s="103">
        <v>1069</v>
      </c>
      <c r="C446" s="104" t="s">
        <v>278</v>
      </c>
      <c r="D446" s="105">
        <v>1</v>
      </c>
    </row>
    <row r="447" spans="1:4" x14ac:dyDescent="0.35">
      <c r="A447" s="102">
        <v>264</v>
      </c>
      <c r="B447" s="103">
        <v>1070</v>
      </c>
      <c r="C447" s="104" t="s">
        <v>278</v>
      </c>
      <c r="D447" s="105">
        <v>2</v>
      </c>
    </row>
    <row r="448" spans="1:4" x14ac:dyDescent="0.35">
      <c r="A448" s="102">
        <v>265</v>
      </c>
      <c r="B448" s="103">
        <v>190</v>
      </c>
      <c r="C448" s="104" t="s">
        <v>280</v>
      </c>
      <c r="D448" s="105" t="s">
        <v>460</v>
      </c>
    </row>
    <row r="449" spans="1:4" x14ac:dyDescent="0.35">
      <c r="A449" s="102">
        <v>266</v>
      </c>
      <c r="B449" s="103">
        <v>191</v>
      </c>
      <c r="C449" s="104" t="s">
        <v>280</v>
      </c>
      <c r="D449" s="105" t="s">
        <v>220</v>
      </c>
    </row>
    <row r="450" spans="1:4" x14ac:dyDescent="0.35">
      <c r="A450" s="102">
        <v>267</v>
      </c>
      <c r="B450" s="103">
        <v>192</v>
      </c>
      <c r="C450" s="104" t="s">
        <v>280</v>
      </c>
      <c r="D450" s="105" t="s">
        <v>220</v>
      </c>
    </row>
    <row r="451" spans="1:4" x14ac:dyDescent="0.35">
      <c r="A451" s="102">
        <v>268</v>
      </c>
      <c r="B451" s="103">
        <v>193</v>
      </c>
      <c r="C451" s="104" t="s">
        <v>280</v>
      </c>
      <c r="D451" s="105" t="s">
        <v>460</v>
      </c>
    </row>
    <row r="452" spans="1:4" x14ac:dyDescent="0.35">
      <c r="A452" s="102">
        <v>269</v>
      </c>
      <c r="B452" s="103">
        <v>194</v>
      </c>
      <c r="C452" s="104" t="s">
        <v>280</v>
      </c>
      <c r="D452" s="105" t="s">
        <v>220</v>
      </c>
    </row>
    <row r="453" spans="1:4" x14ac:dyDescent="0.35">
      <c r="A453" s="102">
        <v>270</v>
      </c>
      <c r="B453" s="103">
        <v>196</v>
      </c>
      <c r="C453" s="104" t="s">
        <v>280</v>
      </c>
      <c r="D453" s="105" t="s">
        <v>460</v>
      </c>
    </row>
    <row r="454" spans="1:4" x14ac:dyDescent="0.35">
      <c r="A454" s="102">
        <v>271</v>
      </c>
      <c r="B454" s="103">
        <v>1088</v>
      </c>
      <c r="C454" s="104" t="s">
        <v>280</v>
      </c>
      <c r="D454" s="105" t="s">
        <v>220</v>
      </c>
    </row>
    <row r="455" spans="1:4" x14ac:dyDescent="0.35">
      <c r="A455" s="102">
        <v>272</v>
      </c>
      <c r="B455" s="103">
        <v>1089</v>
      </c>
      <c r="C455" s="104" t="s">
        <v>280</v>
      </c>
      <c r="D455" s="105" t="s">
        <v>220</v>
      </c>
    </row>
    <row r="456" spans="1:4" x14ac:dyDescent="0.35">
      <c r="A456" s="102">
        <v>273</v>
      </c>
      <c r="B456" s="103">
        <v>1090</v>
      </c>
      <c r="C456" s="104" t="s">
        <v>280</v>
      </c>
      <c r="D456" s="105" t="s">
        <v>220</v>
      </c>
    </row>
    <row r="457" spans="1:4" x14ac:dyDescent="0.35">
      <c r="A457" s="102">
        <v>274</v>
      </c>
      <c r="B457" s="103">
        <v>1115</v>
      </c>
      <c r="C457" s="104" t="s">
        <v>280</v>
      </c>
      <c r="D457" s="105" t="s">
        <v>220</v>
      </c>
    </row>
    <row r="458" spans="1:4" x14ac:dyDescent="0.35">
      <c r="A458" s="102">
        <v>276</v>
      </c>
      <c r="B458" s="103">
        <v>1347</v>
      </c>
      <c r="C458" s="104" t="s">
        <v>280</v>
      </c>
      <c r="D458" s="105" t="s">
        <v>220</v>
      </c>
    </row>
    <row r="459" spans="1:4" x14ac:dyDescent="0.35">
      <c r="A459" s="102">
        <v>277</v>
      </c>
      <c r="B459" s="103">
        <v>52</v>
      </c>
      <c r="C459" s="104" t="s">
        <v>281</v>
      </c>
      <c r="D459" s="105" t="s">
        <v>220</v>
      </c>
    </row>
    <row r="460" spans="1:4" x14ac:dyDescent="0.35">
      <c r="A460" s="102">
        <v>278</v>
      </c>
      <c r="B460" s="103">
        <v>105</v>
      </c>
      <c r="C460" s="104" t="s">
        <v>282</v>
      </c>
      <c r="D460" s="105" t="s">
        <v>220</v>
      </c>
    </row>
    <row r="461" spans="1:4" x14ac:dyDescent="0.35">
      <c r="A461" s="102">
        <v>279</v>
      </c>
      <c r="B461" s="103">
        <v>16</v>
      </c>
      <c r="C461" s="104" t="s">
        <v>283</v>
      </c>
      <c r="D461" s="105" t="s">
        <v>220</v>
      </c>
    </row>
    <row r="462" spans="1:4" x14ac:dyDescent="0.35">
      <c r="A462" s="102">
        <v>280</v>
      </c>
      <c r="B462" s="103">
        <v>170</v>
      </c>
      <c r="C462" s="104" t="s">
        <v>284</v>
      </c>
      <c r="D462" s="105" t="s">
        <v>458</v>
      </c>
    </row>
    <row r="463" spans="1:4" x14ac:dyDescent="0.35">
      <c r="A463" s="102">
        <v>281</v>
      </c>
      <c r="B463" s="103">
        <v>11</v>
      </c>
      <c r="C463" s="104" t="s">
        <v>285</v>
      </c>
      <c r="D463" s="105">
        <v>2</v>
      </c>
    </row>
    <row r="464" spans="1:4" x14ac:dyDescent="0.35">
      <c r="A464" s="102">
        <v>281</v>
      </c>
      <c r="B464" s="103">
        <v>95</v>
      </c>
      <c r="C464" s="104" t="s">
        <v>285</v>
      </c>
      <c r="D464" s="105">
        <v>1</v>
      </c>
    </row>
    <row r="465" spans="1:4" x14ac:dyDescent="0.35">
      <c r="A465" s="102">
        <v>283</v>
      </c>
      <c r="B465" s="103">
        <v>1016</v>
      </c>
      <c r="C465" s="104" t="s">
        <v>286</v>
      </c>
      <c r="D465" s="105">
        <v>1</v>
      </c>
    </row>
    <row r="466" spans="1:4" x14ac:dyDescent="0.35">
      <c r="A466" s="102">
        <v>283</v>
      </c>
      <c r="B466" s="103">
        <v>1017</v>
      </c>
      <c r="C466" s="104" t="s">
        <v>286</v>
      </c>
      <c r="D466" s="105">
        <v>2</v>
      </c>
    </row>
    <row r="467" spans="1:4" x14ac:dyDescent="0.35">
      <c r="A467" s="102">
        <v>284</v>
      </c>
      <c r="B467" s="103">
        <v>177</v>
      </c>
      <c r="C467" s="104" t="s">
        <v>227</v>
      </c>
      <c r="D467" s="105" t="s">
        <v>220</v>
      </c>
    </row>
    <row r="468" spans="1:4" x14ac:dyDescent="0.35">
      <c r="A468" s="102">
        <v>285</v>
      </c>
      <c r="B468" s="103">
        <v>178</v>
      </c>
      <c r="C468" s="104" t="s">
        <v>227</v>
      </c>
      <c r="D468" s="105" t="s">
        <v>458</v>
      </c>
    </row>
    <row r="469" spans="1:4" x14ac:dyDescent="0.35">
      <c r="A469" s="102">
        <v>286</v>
      </c>
      <c r="B469" s="103">
        <v>103</v>
      </c>
      <c r="C469" s="104" t="s">
        <v>287</v>
      </c>
      <c r="D469" s="105" t="s">
        <v>220</v>
      </c>
    </row>
    <row r="470" spans="1:4" x14ac:dyDescent="0.35">
      <c r="A470" s="102">
        <v>287</v>
      </c>
      <c r="B470" s="103">
        <v>1364</v>
      </c>
      <c r="C470" s="104" t="s">
        <v>288</v>
      </c>
      <c r="D470" s="105" t="s">
        <v>220</v>
      </c>
    </row>
    <row r="471" spans="1:4" x14ac:dyDescent="0.35">
      <c r="A471" s="102">
        <v>287</v>
      </c>
      <c r="B471" s="103">
        <v>1402</v>
      </c>
      <c r="C471" s="104" t="s">
        <v>288</v>
      </c>
      <c r="D471" s="105" t="s">
        <v>220</v>
      </c>
    </row>
    <row r="472" spans="1:4" x14ac:dyDescent="0.35">
      <c r="A472" s="102">
        <v>288</v>
      </c>
      <c r="B472" s="103">
        <v>1036</v>
      </c>
      <c r="C472" s="104" t="s">
        <v>289</v>
      </c>
      <c r="D472" s="105" t="s">
        <v>220</v>
      </c>
    </row>
    <row r="473" spans="1:4" x14ac:dyDescent="0.35">
      <c r="A473" s="102">
        <v>289</v>
      </c>
      <c r="B473" s="103">
        <v>1041</v>
      </c>
      <c r="C473" s="104" t="s">
        <v>289</v>
      </c>
      <c r="D473" s="105" t="s">
        <v>220</v>
      </c>
    </row>
    <row r="474" spans="1:4" x14ac:dyDescent="0.35">
      <c r="A474" s="102">
        <v>290</v>
      </c>
      <c r="B474" s="103">
        <v>1050</v>
      </c>
      <c r="C474" s="104" t="s">
        <v>289</v>
      </c>
      <c r="D474" s="105" t="s">
        <v>220</v>
      </c>
    </row>
    <row r="475" spans="1:4" x14ac:dyDescent="0.35">
      <c r="A475" s="102">
        <v>291</v>
      </c>
      <c r="B475" s="103">
        <v>1051</v>
      </c>
      <c r="C475" s="104" t="s">
        <v>289</v>
      </c>
      <c r="D475" s="105" t="s">
        <v>220</v>
      </c>
    </row>
    <row r="476" spans="1:4" x14ac:dyDescent="0.35">
      <c r="A476" s="102">
        <v>292</v>
      </c>
      <c r="B476" s="103">
        <v>1052</v>
      </c>
      <c r="C476" s="104" t="s">
        <v>289</v>
      </c>
      <c r="D476" s="105" t="s">
        <v>220</v>
      </c>
    </row>
    <row r="477" spans="1:4" x14ac:dyDescent="0.35">
      <c r="A477" s="102">
        <v>297</v>
      </c>
      <c r="B477" s="103">
        <v>1367</v>
      </c>
      <c r="C477" s="104" t="s">
        <v>289</v>
      </c>
      <c r="D477" s="105" t="s">
        <v>220</v>
      </c>
    </row>
    <row r="478" spans="1:4" x14ac:dyDescent="0.35">
      <c r="A478" s="102">
        <v>298</v>
      </c>
      <c r="B478" s="103">
        <v>1368</v>
      </c>
      <c r="C478" s="104" t="s">
        <v>289</v>
      </c>
      <c r="D478" s="105" t="s">
        <v>220</v>
      </c>
    </row>
    <row r="479" spans="1:4" x14ac:dyDescent="0.35">
      <c r="A479" s="102">
        <v>299</v>
      </c>
      <c r="B479" s="103">
        <v>1053</v>
      </c>
      <c r="C479" s="104" t="s">
        <v>289</v>
      </c>
      <c r="D479" s="105" t="s">
        <v>220</v>
      </c>
    </row>
    <row r="480" spans="1:4" x14ac:dyDescent="0.35">
      <c r="A480" s="102">
        <v>300</v>
      </c>
      <c r="B480" s="103">
        <v>1080</v>
      </c>
      <c r="C480" s="104" t="s">
        <v>290</v>
      </c>
      <c r="D480" s="105">
        <v>1</v>
      </c>
    </row>
    <row r="481" spans="1:4" x14ac:dyDescent="0.35">
      <c r="A481" s="102">
        <v>300</v>
      </c>
      <c r="B481" s="103">
        <v>1081</v>
      </c>
      <c r="C481" s="104" t="s">
        <v>290</v>
      </c>
      <c r="D481" s="105">
        <v>1</v>
      </c>
    </row>
    <row r="482" spans="1:4" x14ac:dyDescent="0.35">
      <c r="A482" s="102">
        <v>301</v>
      </c>
      <c r="B482" s="103">
        <v>1095</v>
      </c>
      <c r="C482" s="104" t="s">
        <v>291</v>
      </c>
      <c r="D482" s="105">
        <v>1</v>
      </c>
    </row>
    <row r="483" spans="1:4" x14ac:dyDescent="0.35">
      <c r="A483" s="102">
        <v>301</v>
      </c>
      <c r="B483" s="103">
        <v>1096</v>
      </c>
      <c r="C483" s="104" t="s">
        <v>291</v>
      </c>
      <c r="D483" s="105">
        <v>1</v>
      </c>
    </row>
    <row r="484" spans="1:4" x14ac:dyDescent="0.35">
      <c r="A484" s="102">
        <v>302</v>
      </c>
      <c r="B484" s="103">
        <v>1101</v>
      </c>
      <c r="C484" s="104" t="s">
        <v>292</v>
      </c>
      <c r="D484" s="105">
        <v>1</v>
      </c>
    </row>
    <row r="485" spans="1:4" x14ac:dyDescent="0.35">
      <c r="A485" s="102">
        <v>302</v>
      </c>
      <c r="B485" s="103">
        <v>1102</v>
      </c>
      <c r="C485" s="104" t="s">
        <v>292</v>
      </c>
      <c r="D485" s="105">
        <v>1</v>
      </c>
    </row>
    <row r="486" spans="1:4" x14ac:dyDescent="0.35">
      <c r="A486" s="102">
        <v>303</v>
      </c>
      <c r="B486" s="103">
        <v>1054</v>
      </c>
      <c r="C486" s="104" t="s">
        <v>289</v>
      </c>
      <c r="D486" s="105" t="s">
        <v>220</v>
      </c>
    </row>
    <row r="487" spans="1:4" x14ac:dyDescent="0.35">
      <c r="A487" s="102">
        <v>304</v>
      </c>
      <c r="B487" s="103">
        <v>1083</v>
      </c>
      <c r="C487" s="104" t="s">
        <v>289</v>
      </c>
      <c r="D487" s="105" t="s">
        <v>220</v>
      </c>
    </row>
    <row r="488" spans="1:4" x14ac:dyDescent="0.35">
      <c r="A488" s="102">
        <v>305</v>
      </c>
      <c r="B488" s="103">
        <v>1084</v>
      </c>
      <c r="C488" s="104" t="s">
        <v>293</v>
      </c>
      <c r="D488" s="105">
        <v>1</v>
      </c>
    </row>
    <row r="489" spans="1:4" x14ac:dyDescent="0.35">
      <c r="A489" s="102">
        <v>305</v>
      </c>
      <c r="B489" s="103">
        <v>1085</v>
      </c>
      <c r="C489" s="104" t="s">
        <v>293</v>
      </c>
      <c r="D489" s="105">
        <v>2</v>
      </c>
    </row>
    <row r="490" spans="1:4" x14ac:dyDescent="0.35">
      <c r="A490" s="102">
        <v>306</v>
      </c>
      <c r="B490" s="103">
        <v>1086</v>
      </c>
      <c r="C490" s="104" t="s">
        <v>293</v>
      </c>
      <c r="D490" s="105">
        <v>1</v>
      </c>
    </row>
    <row r="491" spans="1:4" x14ac:dyDescent="0.35">
      <c r="A491" s="102">
        <v>306</v>
      </c>
      <c r="B491" s="103">
        <v>1087</v>
      </c>
      <c r="C491" s="104" t="s">
        <v>293</v>
      </c>
      <c r="D491" s="105">
        <v>2</v>
      </c>
    </row>
    <row r="492" spans="1:4" x14ac:dyDescent="0.35">
      <c r="A492" s="102">
        <v>307</v>
      </c>
      <c r="B492" s="103">
        <v>1091</v>
      </c>
      <c r="C492" s="104" t="s">
        <v>293</v>
      </c>
      <c r="D492" s="105">
        <v>1</v>
      </c>
    </row>
    <row r="493" spans="1:4" x14ac:dyDescent="0.35">
      <c r="A493" s="102">
        <v>307</v>
      </c>
      <c r="B493" s="103">
        <v>1092</v>
      </c>
      <c r="C493" s="104" t="s">
        <v>293</v>
      </c>
      <c r="D493" s="105">
        <v>2</v>
      </c>
    </row>
    <row r="494" spans="1:4" x14ac:dyDescent="0.35">
      <c r="A494" s="102">
        <v>308</v>
      </c>
      <c r="B494" s="103">
        <v>1093</v>
      </c>
      <c r="C494" s="104" t="s">
        <v>293</v>
      </c>
      <c r="D494" s="105">
        <v>1</v>
      </c>
    </row>
    <row r="495" spans="1:4" x14ac:dyDescent="0.35">
      <c r="A495" s="102">
        <v>308</v>
      </c>
      <c r="B495" s="103">
        <v>1094</v>
      </c>
      <c r="C495" s="104" t="s">
        <v>293</v>
      </c>
      <c r="D495" s="105">
        <v>2</v>
      </c>
    </row>
    <row r="496" spans="1:4" x14ac:dyDescent="0.35">
      <c r="A496" s="102">
        <v>309</v>
      </c>
      <c r="B496" s="103">
        <v>1098</v>
      </c>
      <c r="C496" s="104" t="s">
        <v>294</v>
      </c>
      <c r="D496" s="105">
        <v>1</v>
      </c>
    </row>
    <row r="497" spans="1:4" x14ac:dyDescent="0.35">
      <c r="A497" s="102">
        <v>309</v>
      </c>
      <c r="B497" s="103">
        <v>1099</v>
      </c>
      <c r="C497" s="104" t="s">
        <v>294</v>
      </c>
      <c r="D497" s="105">
        <v>1</v>
      </c>
    </row>
    <row r="498" spans="1:4" x14ac:dyDescent="0.35">
      <c r="A498" s="102">
        <v>310</v>
      </c>
      <c r="B498" s="103">
        <v>1155</v>
      </c>
      <c r="C498" s="104" t="s">
        <v>295</v>
      </c>
      <c r="D498" s="105">
        <v>2</v>
      </c>
    </row>
    <row r="499" spans="1:4" x14ac:dyDescent="0.35">
      <c r="A499" s="102">
        <v>310</v>
      </c>
      <c r="B499" s="103">
        <v>1156</v>
      </c>
      <c r="C499" s="104" t="s">
        <v>295</v>
      </c>
      <c r="D499" s="105">
        <v>1</v>
      </c>
    </row>
    <row r="500" spans="1:4" x14ac:dyDescent="0.35">
      <c r="A500" s="102">
        <v>312</v>
      </c>
      <c r="B500" s="103">
        <v>1154</v>
      </c>
      <c r="C500" s="104" t="s">
        <v>296</v>
      </c>
      <c r="D500" s="105">
        <v>2</v>
      </c>
    </row>
    <row r="501" spans="1:4" x14ac:dyDescent="0.35">
      <c r="A501" s="102">
        <v>313</v>
      </c>
      <c r="B501" s="103">
        <v>1006</v>
      </c>
      <c r="C501" s="104" t="s">
        <v>297</v>
      </c>
      <c r="D501" s="105" t="s">
        <v>220</v>
      </c>
    </row>
    <row r="502" spans="1:4" x14ac:dyDescent="0.35">
      <c r="A502" s="102">
        <v>314</v>
      </c>
      <c r="B502" s="103">
        <v>104</v>
      </c>
      <c r="C502" s="104" t="s">
        <v>298</v>
      </c>
      <c r="D502" s="105" t="s">
        <v>458</v>
      </c>
    </row>
    <row r="503" spans="1:4" x14ac:dyDescent="0.35">
      <c r="A503" s="102">
        <v>315</v>
      </c>
      <c r="B503" s="103">
        <v>178</v>
      </c>
      <c r="C503" s="104" t="s">
        <v>299</v>
      </c>
      <c r="D503" s="105" t="s">
        <v>458</v>
      </c>
    </row>
    <row r="504" spans="1:4" x14ac:dyDescent="0.35">
      <c r="A504" s="102">
        <v>315</v>
      </c>
      <c r="B504" s="103">
        <v>227</v>
      </c>
      <c r="C504" s="104" t="s">
        <v>299</v>
      </c>
      <c r="D504" s="105" t="s">
        <v>458</v>
      </c>
    </row>
    <row r="505" spans="1:4" x14ac:dyDescent="0.35">
      <c r="A505" s="102">
        <v>316</v>
      </c>
      <c r="B505" s="103">
        <v>53</v>
      </c>
      <c r="C505" s="104" t="s">
        <v>300</v>
      </c>
      <c r="D505" s="105">
        <v>2</v>
      </c>
    </row>
    <row r="506" spans="1:4" x14ac:dyDescent="0.35">
      <c r="A506" s="102">
        <v>316</v>
      </c>
      <c r="B506" s="103">
        <v>198</v>
      </c>
      <c r="C506" s="104" t="s">
        <v>300</v>
      </c>
      <c r="D506" s="105">
        <v>1</v>
      </c>
    </row>
    <row r="507" spans="1:4" x14ac:dyDescent="0.35">
      <c r="A507" s="102">
        <v>317</v>
      </c>
      <c r="B507" s="103">
        <v>70</v>
      </c>
      <c r="C507" s="104" t="s">
        <v>300</v>
      </c>
      <c r="D507" s="105" t="s">
        <v>463</v>
      </c>
    </row>
    <row r="508" spans="1:4" x14ac:dyDescent="0.35">
      <c r="A508" s="102">
        <v>317</v>
      </c>
      <c r="B508" s="103">
        <v>183</v>
      </c>
      <c r="C508" s="104" t="s">
        <v>300</v>
      </c>
      <c r="D508" s="105" t="s">
        <v>464</v>
      </c>
    </row>
    <row r="509" spans="1:4" x14ac:dyDescent="0.35">
      <c r="A509" s="102">
        <v>318</v>
      </c>
      <c r="B509" s="103">
        <v>74</v>
      </c>
      <c r="C509" s="104" t="s">
        <v>300</v>
      </c>
      <c r="D509" s="105">
        <v>1</v>
      </c>
    </row>
    <row r="510" spans="1:4" x14ac:dyDescent="0.35">
      <c r="A510" s="102">
        <v>318</v>
      </c>
      <c r="B510" s="103">
        <v>180</v>
      </c>
      <c r="C510" s="104" t="s">
        <v>300</v>
      </c>
      <c r="D510" s="105">
        <v>1</v>
      </c>
    </row>
    <row r="511" spans="1:4" x14ac:dyDescent="0.35">
      <c r="A511" s="102">
        <v>319</v>
      </c>
      <c r="B511" s="103">
        <v>71</v>
      </c>
      <c r="C511" s="104" t="s">
        <v>301</v>
      </c>
      <c r="D511" s="105" t="s">
        <v>467</v>
      </c>
    </row>
    <row r="512" spans="1:4" x14ac:dyDescent="0.35">
      <c r="A512" s="102">
        <v>319</v>
      </c>
      <c r="B512" s="103">
        <v>183</v>
      </c>
      <c r="C512" s="104" t="s">
        <v>301</v>
      </c>
      <c r="D512" s="105" t="s">
        <v>465</v>
      </c>
    </row>
    <row r="513" spans="1:4" x14ac:dyDescent="0.35">
      <c r="A513" s="102">
        <v>320</v>
      </c>
      <c r="B513" s="103">
        <v>72</v>
      </c>
      <c r="C513" s="104" t="s">
        <v>300</v>
      </c>
      <c r="D513" s="105">
        <v>2</v>
      </c>
    </row>
    <row r="514" spans="1:4" x14ac:dyDescent="0.35">
      <c r="A514" s="102">
        <v>320</v>
      </c>
      <c r="B514" s="103">
        <v>184</v>
      </c>
      <c r="C514" s="104" t="s">
        <v>300</v>
      </c>
      <c r="D514" s="105">
        <v>1</v>
      </c>
    </row>
    <row r="515" spans="1:4" x14ac:dyDescent="0.35">
      <c r="A515" s="102">
        <v>321</v>
      </c>
      <c r="B515" s="103">
        <v>1004</v>
      </c>
      <c r="C515" s="104" t="s">
        <v>300</v>
      </c>
      <c r="D515" s="105">
        <v>1</v>
      </c>
    </row>
    <row r="516" spans="1:4" x14ac:dyDescent="0.35">
      <c r="A516" s="102">
        <v>321</v>
      </c>
      <c r="B516" s="103">
        <v>1005</v>
      </c>
      <c r="C516" s="104" t="s">
        <v>300</v>
      </c>
      <c r="D516" s="105">
        <v>1</v>
      </c>
    </row>
    <row r="517" spans="1:4" x14ac:dyDescent="0.35">
      <c r="A517" s="102">
        <v>322</v>
      </c>
      <c r="B517" s="103">
        <v>1073</v>
      </c>
      <c r="C517" s="104" t="s">
        <v>300</v>
      </c>
      <c r="D517" s="105">
        <v>1</v>
      </c>
    </row>
    <row r="518" spans="1:4" x14ac:dyDescent="0.35">
      <c r="A518" s="102">
        <v>322</v>
      </c>
      <c r="B518" s="103">
        <v>1074</v>
      </c>
      <c r="C518" s="104" t="s">
        <v>300</v>
      </c>
      <c r="D518" s="105">
        <v>1</v>
      </c>
    </row>
    <row r="519" spans="1:4" x14ac:dyDescent="0.35">
      <c r="A519" s="102">
        <v>323</v>
      </c>
      <c r="B519" s="103">
        <v>1284</v>
      </c>
      <c r="C519" s="104" t="s">
        <v>300</v>
      </c>
      <c r="D519" s="105">
        <v>1</v>
      </c>
    </row>
    <row r="520" spans="1:4" x14ac:dyDescent="0.35">
      <c r="A520" s="102">
        <v>323</v>
      </c>
      <c r="B520" s="103">
        <v>1285</v>
      </c>
      <c r="C520" s="104" t="s">
        <v>300</v>
      </c>
      <c r="D520" s="105" t="s">
        <v>466</v>
      </c>
    </row>
    <row r="521" spans="1:4" x14ac:dyDescent="0.35">
      <c r="A521" s="102">
        <v>324</v>
      </c>
      <c r="B521" s="103">
        <v>1007</v>
      </c>
      <c r="C521" s="104" t="s">
        <v>302</v>
      </c>
      <c r="D521" s="105">
        <v>1</v>
      </c>
    </row>
    <row r="522" spans="1:4" x14ac:dyDescent="0.35">
      <c r="A522" s="102">
        <v>325</v>
      </c>
      <c r="B522" s="103">
        <v>183</v>
      </c>
      <c r="C522" s="104" t="s">
        <v>303</v>
      </c>
      <c r="D522" s="105">
        <v>1</v>
      </c>
    </row>
    <row r="523" spans="1:4" x14ac:dyDescent="0.35">
      <c r="A523" s="102">
        <v>325</v>
      </c>
      <c r="B523" s="103">
        <v>186</v>
      </c>
      <c r="C523" s="104" t="s">
        <v>303</v>
      </c>
      <c r="D523" s="105">
        <v>1</v>
      </c>
    </row>
    <row r="524" spans="1:4" x14ac:dyDescent="0.35">
      <c r="A524" s="102">
        <v>325</v>
      </c>
      <c r="B524" s="103">
        <v>206</v>
      </c>
      <c r="C524" s="104" t="s">
        <v>303</v>
      </c>
      <c r="D524" s="105">
        <v>2</v>
      </c>
    </row>
    <row r="525" spans="1:4" x14ac:dyDescent="0.35">
      <c r="A525" s="102">
        <v>326</v>
      </c>
      <c r="B525" s="103">
        <v>184</v>
      </c>
      <c r="C525" s="104" t="s">
        <v>303</v>
      </c>
      <c r="D525" s="105">
        <v>1</v>
      </c>
    </row>
    <row r="526" spans="1:4" x14ac:dyDescent="0.35">
      <c r="A526" s="102">
        <v>326</v>
      </c>
      <c r="B526" s="103">
        <v>187</v>
      </c>
      <c r="C526" s="104" t="s">
        <v>303</v>
      </c>
      <c r="D526" s="105" t="s">
        <v>463</v>
      </c>
    </row>
    <row r="527" spans="1:4" x14ac:dyDescent="0.35">
      <c r="A527" s="102">
        <v>326</v>
      </c>
      <c r="B527" s="103">
        <v>210</v>
      </c>
      <c r="C527" s="104" t="s">
        <v>303</v>
      </c>
      <c r="D527" s="105" t="s">
        <v>463</v>
      </c>
    </row>
    <row r="528" spans="1:4" x14ac:dyDescent="0.35">
      <c r="A528" s="102">
        <v>327</v>
      </c>
      <c r="B528" s="103">
        <v>135</v>
      </c>
      <c r="C528" s="104" t="s">
        <v>303</v>
      </c>
      <c r="D528" s="105">
        <v>1</v>
      </c>
    </row>
    <row r="529" spans="1:4" x14ac:dyDescent="0.35">
      <c r="A529" s="102">
        <v>327</v>
      </c>
      <c r="B529" s="103">
        <v>198</v>
      </c>
      <c r="C529" s="104" t="s">
        <v>303</v>
      </c>
      <c r="D529" s="105">
        <v>1</v>
      </c>
    </row>
    <row r="530" spans="1:4" x14ac:dyDescent="0.35">
      <c r="A530" s="102">
        <v>327</v>
      </c>
      <c r="B530" s="103">
        <v>222</v>
      </c>
      <c r="C530" s="104" t="s">
        <v>303</v>
      </c>
      <c r="D530" s="105">
        <v>2</v>
      </c>
    </row>
    <row r="531" spans="1:4" x14ac:dyDescent="0.35">
      <c r="A531" s="102">
        <v>328</v>
      </c>
      <c r="B531" s="103">
        <v>1022</v>
      </c>
      <c r="C531" s="104" t="s">
        <v>303</v>
      </c>
      <c r="D531" s="105">
        <v>1</v>
      </c>
    </row>
    <row r="532" spans="1:4" x14ac:dyDescent="0.35">
      <c r="A532" s="102">
        <v>328</v>
      </c>
      <c r="B532" s="103">
        <v>1023</v>
      </c>
      <c r="C532" s="104" t="s">
        <v>303</v>
      </c>
      <c r="D532" s="105">
        <v>2</v>
      </c>
    </row>
    <row r="533" spans="1:4" x14ac:dyDescent="0.35">
      <c r="A533" s="102">
        <v>328</v>
      </c>
      <c r="B533" s="103">
        <v>1024</v>
      </c>
      <c r="C533" s="104" t="s">
        <v>303</v>
      </c>
      <c r="D533" s="105">
        <v>1</v>
      </c>
    </row>
    <row r="534" spans="1:4" x14ac:dyDescent="0.35">
      <c r="A534" s="102">
        <v>329</v>
      </c>
      <c r="B534" s="103">
        <v>1027</v>
      </c>
      <c r="C534" s="104" t="s">
        <v>303</v>
      </c>
      <c r="D534" s="105">
        <v>1</v>
      </c>
    </row>
    <row r="535" spans="1:4" x14ac:dyDescent="0.35">
      <c r="A535" s="102">
        <v>329</v>
      </c>
      <c r="B535" s="103">
        <v>1028</v>
      </c>
      <c r="C535" s="104" t="s">
        <v>303</v>
      </c>
      <c r="D535" s="105">
        <v>2</v>
      </c>
    </row>
    <row r="536" spans="1:4" x14ac:dyDescent="0.35">
      <c r="A536" s="102">
        <v>329</v>
      </c>
      <c r="B536" s="103">
        <v>1029</v>
      </c>
      <c r="C536" s="104" t="s">
        <v>303</v>
      </c>
      <c r="D536" s="105">
        <v>1</v>
      </c>
    </row>
    <row r="537" spans="1:4" x14ac:dyDescent="0.35">
      <c r="A537" s="102">
        <v>330</v>
      </c>
      <c r="B537" s="103">
        <v>1075</v>
      </c>
      <c r="C537" s="104" t="s">
        <v>303</v>
      </c>
      <c r="D537" s="105">
        <v>2</v>
      </c>
    </row>
    <row r="538" spans="1:4" x14ac:dyDescent="0.35">
      <c r="A538" s="102">
        <v>330</v>
      </c>
      <c r="B538" s="103">
        <v>1076</v>
      </c>
      <c r="C538" s="104" t="s">
        <v>303</v>
      </c>
      <c r="D538" s="105">
        <v>1</v>
      </c>
    </row>
    <row r="539" spans="1:4" x14ac:dyDescent="0.35">
      <c r="A539" s="102">
        <v>330</v>
      </c>
      <c r="B539" s="103">
        <v>1077</v>
      </c>
      <c r="C539" s="104" t="s">
        <v>303</v>
      </c>
      <c r="D539" s="105">
        <v>2</v>
      </c>
    </row>
    <row r="540" spans="1:4" x14ac:dyDescent="0.35">
      <c r="A540" s="102">
        <v>331</v>
      </c>
      <c r="B540" s="103">
        <v>1167</v>
      </c>
      <c r="C540" s="104" t="s">
        <v>303</v>
      </c>
      <c r="D540" s="105">
        <v>1</v>
      </c>
    </row>
    <row r="541" spans="1:4" x14ac:dyDescent="0.35">
      <c r="A541" s="102">
        <v>331</v>
      </c>
      <c r="B541" s="103">
        <v>1168</v>
      </c>
      <c r="C541" s="104" t="s">
        <v>303</v>
      </c>
      <c r="D541" s="105">
        <v>1</v>
      </c>
    </row>
    <row r="542" spans="1:4" x14ac:dyDescent="0.35">
      <c r="A542" s="102">
        <v>331</v>
      </c>
      <c r="B542" s="103">
        <v>1169</v>
      </c>
      <c r="C542" s="104" t="s">
        <v>303</v>
      </c>
      <c r="D542" s="105">
        <v>2</v>
      </c>
    </row>
    <row r="543" spans="1:4" x14ac:dyDescent="0.35">
      <c r="A543" s="102">
        <v>332</v>
      </c>
      <c r="B543" s="103">
        <v>1235</v>
      </c>
      <c r="C543" s="104" t="s">
        <v>303</v>
      </c>
      <c r="D543" s="105" t="s">
        <v>458</v>
      </c>
    </row>
    <row r="544" spans="1:4" x14ac:dyDescent="0.35">
      <c r="A544" s="102">
        <v>332</v>
      </c>
      <c r="B544" s="103">
        <v>1236</v>
      </c>
      <c r="C544" s="104" t="s">
        <v>303</v>
      </c>
      <c r="D544" s="105" t="s">
        <v>458</v>
      </c>
    </row>
    <row r="545" spans="1:4" x14ac:dyDescent="0.35">
      <c r="A545" s="102">
        <v>332</v>
      </c>
      <c r="B545" s="103">
        <v>1237</v>
      </c>
      <c r="C545" s="104" t="s">
        <v>303</v>
      </c>
      <c r="D545" s="105" t="s">
        <v>458</v>
      </c>
    </row>
    <row r="546" spans="1:4" x14ac:dyDescent="0.35">
      <c r="A546" s="102">
        <v>334</v>
      </c>
      <c r="B546" s="103">
        <v>1131</v>
      </c>
      <c r="C546" s="104" t="s">
        <v>304</v>
      </c>
      <c r="D546" s="105">
        <v>1</v>
      </c>
    </row>
    <row r="547" spans="1:4" x14ac:dyDescent="0.35">
      <c r="A547" s="102">
        <v>334</v>
      </c>
      <c r="B547" s="103">
        <v>1132</v>
      </c>
      <c r="C547" s="104" t="s">
        <v>304</v>
      </c>
      <c r="D547" s="105">
        <v>1</v>
      </c>
    </row>
    <row r="548" spans="1:4" x14ac:dyDescent="0.35">
      <c r="A548" s="102">
        <v>334</v>
      </c>
      <c r="B548" s="103">
        <v>1133</v>
      </c>
      <c r="C548" s="104" t="s">
        <v>304</v>
      </c>
      <c r="D548" s="105">
        <v>2</v>
      </c>
    </row>
    <row r="549" spans="1:4" x14ac:dyDescent="0.35">
      <c r="A549" s="102">
        <v>335</v>
      </c>
      <c r="B549" s="103">
        <v>18</v>
      </c>
      <c r="C549" s="104" t="s">
        <v>305</v>
      </c>
      <c r="D549" s="105">
        <v>1</v>
      </c>
    </row>
    <row r="550" spans="1:4" x14ac:dyDescent="0.35">
      <c r="A550" s="102">
        <v>336</v>
      </c>
      <c r="B550" s="103">
        <v>20</v>
      </c>
      <c r="C550" s="104" t="s">
        <v>306</v>
      </c>
      <c r="D550" s="105" t="s">
        <v>220</v>
      </c>
    </row>
    <row r="551" spans="1:4" x14ac:dyDescent="0.35">
      <c r="A551" s="102">
        <v>337</v>
      </c>
      <c r="B551" s="103">
        <v>82</v>
      </c>
      <c r="C551" s="104" t="s">
        <v>306</v>
      </c>
      <c r="D551" s="105" t="s">
        <v>220</v>
      </c>
    </row>
    <row r="552" spans="1:4" x14ac:dyDescent="0.35">
      <c r="A552" s="102">
        <v>338</v>
      </c>
      <c r="B552" s="103">
        <v>1365</v>
      </c>
      <c r="C552" s="104" t="s">
        <v>307</v>
      </c>
      <c r="D552" s="105">
        <v>2</v>
      </c>
    </row>
    <row r="553" spans="1:4" x14ac:dyDescent="0.35">
      <c r="A553" s="102">
        <v>338</v>
      </c>
      <c r="B553" s="103">
        <v>1366</v>
      </c>
      <c r="C553" s="104" t="s">
        <v>307</v>
      </c>
      <c r="D553" s="105">
        <v>1</v>
      </c>
    </row>
    <row r="554" spans="1:4" x14ac:dyDescent="0.35">
      <c r="A554" s="102">
        <v>339</v>
      </c>
      <c r="B554" s="103">
        <v>1025</v>
      </c>
      <c r="C554" s="104" t="s">
        <v>308</v>
      </c>
      <c r="D554" s="105" t="s">
        <v>220</v>
      </c>
    </row>
    <row r="555" spans="1:4" x14ac:dyDescent="0.35">
      <c r="A555" s="102">
        <v>340</v>
      </c>
      <c r="B555" s="103">
        <v>1030</v>
      </c>
      <c r="C555" s="104" t="s">
        <v>308</v>
      </c>
      <c r="D555" s="105" t="s">
        <v>220</v>
      </c>
    </row>
    <row r="556" spans="1:4" x14ac:dyDescent="0.35">
      <c r="A556" s="102">
        <v>341</v>
      </c>
      <c r="B556" s="103">
        <v>1032</v>
      </c>
      <c r="C556" s="104" t="s">
        <v>308</v>
      </c>
      <c r="D556" s="105" t="s">
        <v>220</v>
      </c>
    </row>
    <row r="557" spans="1:4" x14ac:dyDescent="0.35">
      <c r="A557" s="102">
        <v>342</v>
      </c>
      <c r="B557" s="103">
        <v>1123</v>
      </c>
      <c r="C557" s="104" t="s">
        <v>309</v>
      </c>
      <c r="D557" s="105">
        <v>2</v>
      </c>
    </row>
    <row r="558" spans="1:4" x14ac:dyDescent="0.35">
      <c r="A558" s="102">
        <v>343</v>
      </c>
      <c r="B558" s="103">
        <v>1134</v>
      </c>
      <c r="C558" s="104" t="s">
        <v>310</v>
      </c>
      <c r="D558" s="105">
        <v>2</v>
      </c>
    </row>
    <row r="559" spans="1:4" x14ac:dyDescent="0.35">
      <c r="A559" s="102">
        <v>344</v>
      </c>
      <c r="B559" s="103">
        <v>1135</v>
      </c>
      <c r="C559" s="104" t="s">
        <v>311</v>
      </c>
      <c r="D559" s="105">
        <v>1</v>
      </c>
    </row>
    <row r="560" spans="1:4" x14ac:dyDescent="0.35">
      <c r="A560" s="102">
        <v>344</v>
      </c>
      <c r="B560" s="103">
        <v>1136</v>
      </c>
      <c r="C560" s="104" t="s">
        <v>311</v>
      </c>
      <c r="D560" s="105" t="s">
        <v>220</v>
      </c>
    </row>
    <row r="561" spans="1:4" x14ac:dyDescent="0.35">
      <c r="A561" s="102">
        <v>344</v>
      </c>
      <c r="B561" s="103">
        <v>1137</v>
      </c>
      <c r="C561" s="104" t="s">
        <v>311</v>
      </c>
      <c r="D561" s="105">
        <v>2</v>
      </c>
    </row>
    <row r="562" spans="1:4" x14ac:dyDescent="0.35">
      <c r="A562" s="102">
        <v>345</v>
      </c>
      <c r="B562" s="103">
        <v>1138</v>
      </c>
      <c r="C562" s="104" t="s">
        <v>312</v>
      </c>
      <c r="D562" s="105">
        <v>2</v>
      </c>
    </row>
    <row r="563" spans="1:4" x14ac:dyDescent="0.35">
      <c r="A563" s="102">
        <v>346</v>
      </c>
      <c r="B563" s="103">
        <v>1130</v>
      </c>
      <c r="C563" s="104" t="s">
        <v>313</v>
      </c>
      <c r="D563" s="105" t="s">
        <v>460</v>
      </c>
    </row>
    <row r="564" spans="1:4" x14ac:dyDescent="0.35">
      <c r="A564" s="102">
        <v>347</v>
      </c>
      <c r="B564" s="103">
        <v>48</v>
      </c>
      <c r="C564" s="104" t="s">
        <v>314</v>
      </c>
      <c r="D564" s="105" t="s">
        <v>220</v>
      </c>
    </row>
    <row r="565" spans="1:4" x14ac:dyDescent="0.35">
      <c r="A565" s="102">
        <v>348</v>
      </c>
      <c r="B565" s="103">
        <v>49</v>
      </c>
      <c r="C565" s="104" t="s">
        <v>314</v>
      </c>
      <c r="D565" s="105" t="s">
        <v>220</v>
      </c>
    </row>
    <row r="566" spans="1:4" x14ac:dyDescent="0.35">
      <c r="A566" s="102">
        <v>349</v>
      </c>
      <c r="B566" s="103">
        <v>50</v>
      </c>
      <c r="C566" s="104" t="s">
        <v>258</v>
      </c>
      <c r="D566" s="105">
        <v>1</v>
      </c>
    </row>
    <row r="567" spans="1:4" x14ac:dyDescent="0.35">
      <c r="A567" s="102">
        <v>349</v>
      </c>
      <c r="B567" s="103">
        <v>222</v>
      </c>
      <c r="C567" s="104" t="s">
        <v>258</v>
      </c>
      <c r="D567" s="105">
        <v>2</v>
      </c>
    </row>
    <row r="568" spans="1:4" x14ac:dyDescent="0.35">
      <c r="A568" s="102">
        <v>350</v>
      </c>
      <c r="B568" s="103">
        <v>1047</v>
      </c>
      <c r="C568" s="104" t="s">
        <v>315</v>
      </c>
      <c r="D568" s="105" t="s">
        <v>220</v>
      </c>
    </row>
    <row r="569" spans="1:4" x14ac:dyDescent="0.35">
      <c r="A569" s="102">
        <v>351</v>
      </c>
      <c r="B569" s="103">
        <v>1082</v>
      </c>
      <c r="C569" s="104" t="s">
        <v>316</v>
      </c>
      <c r="D569" s="105">
        <v>1</v>
      </c>
    </row>
    <row r="570" spans="1:4" x14ac:dyDescent="0.35">
      <c r="A570" s="102">
        <v>352</v>
      </c>
      <c r="B570" s="103">
        <v>1097</v>
      </c>
      <c r="C570" s="104" t="s">
        <v>317</v>
      </c>
      <c r="D570" s="105">
        <v>1</v>
      </c>
    </row>
    <row r="571" spans="1:4" x14ac:dyDescent="0.35">
      <c r="A571" s="102">
        <v>353</v>
      </c>
      <c r="B571" s="103">
        <v>1103</v>
      </c>
      <c r="C571" s="104" t="s">
        <v>318</v>
      </c>
      <c r="D571" s="105">
        <v>1</v>
      </c>
    </row>
    <row r="572" spans="1:4" x14ac:dyDescent="0.35">
      <c r="A572" s="102">
        <v>354</v>
      </c>
      <c r="B572" s="103">
        <v>64</v>
      </c>
      <c r="C572" s="104" t="s">
        <v>234</v>
      </c>
      <c r="D572" s="105" t="s">
        <v>458</v>
      </c>
    </row>
    <row r="573" spans="1:4" x14ac:dyDescent="0.35">
      <c r="A573" s="102">
        <v>355</v>
      </c>
      <c r="B573" s="103">
        <v>1392</v>
      </c>
      <c r="C573" s="104" t="s">
        <v>319</v>
      </c>
      <c r="D573" s="105">
        <v>1</v>
      </c>
    </row>
    <row r="574" spans="1:4" x14ac:dyDescent="0.35">
      <c r="A574" s="102">
        <v>355</v>
      </c>
      <c r="B574" s="103">
        <v>1393</v>
      </c>
      <c r="C574" s="104" t="s">
        <v>319</v>
      </c>
      <c r="D574" s="105">
        <v>1</v>
      </c>
    </row>
    <row r="575" spans="1:4" x14ac:dyDescent="0.35">
      <c r="A575" s="102">
        <v>357</v>
      </c>
      <c r="B575" s="103">
        <v>1200</v>
      </c>
      <c r="C575" s="104" t="s">
        <v>320</v>
      </c>
      <c r="D575" s="105" t="s">
        <v>458</v>
      </c>
    </row>
    <row r="576" spans="1:4" x14ac:dyDescent="0.35">
      <c r="A576" s="102">
        <v>357</v>
      </c>
      <c r="B576" s="103">
        <v>1201</v>
      </c>
      <c r="C576" s="104" t="s">
        <v>320</v>
      </c>
      <c r="D576" s="105" t="s">
        <v>458</v>
      </c>
    </row>
    <row r="577" spans="1:4" x14ac:dyDescent="0.35">
      <c r="A577" s="102">
        <v>358</v>
      </c>
      <c r="B577" s="103">
        <v>1202</v>
      </c>
      <c r="C577" s="104" t="s">
        <v>320</v>
      </c>
      <c r="D577" s="105" t="s">
        <v>458</v>
      </c>
    </row>
    <row r="578" spans="1:4" x14ac:dyDescent="0.35">
      <c r="A578" s="102">
        <v>358</v>
      </c>
      <c r="B578" s="103">
        <v>1203</v>
      </c>
      <c r="C578" s="104" t="s">
        <v>320</v>
      </c>
      <c r="D578" s="105" t="s">
        <v>458</v>
      </c>
    </row>
    <row r="579" spans="1:4" x14ac:dyDescent="0.35">
      <c r="A579" s="102">
        <v>359</v>
      </c>
      <c r="B579" s="103">
        <v>1204</v>
      </c>
      <c r="C579" s="104" t="s">
        <v>320</v>
      </c>
      <c r="D579" s="105" t="s">
        <v>458</v>
      </c>
    </row>
    <row r="580" spans="1:4" x14ac:dyDescent="0.35">
      <c r="A580" s="102">
        <v>359</v>
      </c>
      <c r="B580" s="103">
        <v>1205</v>
      </c>
      <c r="C580" s="104" t="s">
        <v>320</v>
      </c>
      <c r="D580" s="105" t="s">
        <v>458</v>
      </c>
    </row>
    <row r="581" spans="1:4" x14ac:dyDescent="0.35">
      <c r="A581" s="102">
        <v>360</v>
      </c>
      <c r="B581" s="103">
        <v>1206</v>
      </c>
      <c r="C581" s="104" t="s">
        <v>320</v>
      </c>
      <c r="D581" s="105" t="s">
        <v>458</v>
      </c>
    </row>
    <row r="582" spans="1:4" x14ac:dyDescent="0.35">
      <c r="A582" s="102">
        <v>360</v>
      </c>
      <c r="B582" s="103">
        <v>1207</v>
      </c>
      <c r="C582" s="104" t="s">
        <v>320</v>
      </c>
      <c r="D582" s="105" t="s">
        <v>458</v>
      </c>
    </row>
    <row r="583" spans="1:4" x14ac:dyDescent="0.35">
      <c r="A583" s="102">
        <v>361</v>
      </c>
      <c r="B583" s="103">
        <v>1208</v>
      </c>
      <c r="C583" s="104" t="s">
        <v>320</v>
      </c>
      <c r="D583" s="105" t="s">
        <v>458</v>
      </c>
    </row>
    <row r="584" spans="1:4" x14ac:dyDescent="0.35">
      <c r="A584" s="102">
        <v>361</v>
      </c>
      <c r="B584" s="103">
        <v>1209</v>
      </c>
      <c r="C584" s="104" t="s">
        <v>320</v>
      </c>
      <c r="D584" s="105" t="s">
        <v>458</v>
      </c>
    </row>
    <row r="585" spans="1:4" x14ac:dyDescent="0.35">
      <c r="A585" s="102">
        <v>362</v>
      </c>
      <c r="B585" s="103">
        <v>1210</v>
      </c>
      <c r="C585" s="104" t="s">
        <v>320</v>
      </c>
      <c r="D585" s="105" t="s">
        <v>458</v>
      </c>
    </row>
    <row r="586" spans="1:4" x14ac:dyDescent="0.35">
      <c r="A586" s="102">
        <v>362</v>
      </c>
      <c r="B586" s="103">
        <v>1211</v>
      </c>
      <c r="C586" s="104" t="s">
        <v>320</v>
      </c>
      <c r="D586" s="105" t="s">
        <v>458</v>
      </c>
    </row>
    <row r="587" spans="1:4" x14ac:dyDescent="0.35">
      <c r="A587" s="102">
        <v>363</v>
      </c>
      <c r="B587" s="103">
        <v>1212</v>
      </c>
      <c r="C587" s="104" t="s">
        <v>320</v>
      </c>
      <c r="D587" s="105" t="s">
        <v>458</v>
      </c>
    </row>
    <row r="588" spans="1:4" x14ac:dyDescent="0.35">
      <c r="A588" s="102">
        <v>363</v>
      </c>
      <c r="B588" s="103">
        <v>1213</v>
      </c>
      <c r="C588" s="104" t="s">
        <v>320</v>
      </c>
      <c r="D588" s="105" t="s">
        <v>458</v>
      </c>
    </row>
    <row r="589" spans="1:4" x14ac:dyDescent="0.35">
      <c r="A589" s="102">
        <v>364</v>
      </c>
      <c r="B589" s="103">
        <v>1214</v>
      </c>
      <c r="C589" s="104" t="s">
        <v>320</v>
      </c>
      <c r="D589" s="105" t="s">
        <v>458</v>
      </c>
    </row>
    <row r="590" spans="1:4" x14ac:dyDescent="0.35">
      <c r="A590" s="102">
        <v>364</v>
      </c>
      <c r="B590" s="103">
        <v>1215</v>
      </c>
      <c r="C590" s="104" t="s">
        <v>320</v>
      </c>
      <c r="D590" s="105" t="s">
        <v>458</v>
      </c>
    </row>
    <row r="591" spans="1:4" x14ac:dyDescent="0.35">
      <c r="A591" s="102">
        <v>365</v>
      </c>
      <c r="B591" s="103">
        <v>1216</v>
      </c>
      <c r="C591" s="104" t="s">
        <v>320</v>
      </c>
      <c r="D591" s="105" t="s">
        <v>458</v>
      </c>
    </row>
    <row r="592" spans="1:4" x14ac:dyDescent="0.35">
      <c r="A592" s="102">
        <v>365</v>
      </c>
      <c r="B592" s="103">
        <v>1217</v>
      </c>
      <c r="C592" s="104" t="s">
        <v>320</v>
      </c>
      <c r="D592" s="105" t="s">
        <v>458</v>
      </c>
    </row>
    <row r="593" spans="1:4" x14ac:dyDescent="0.35">
      <c r="A593" s="102">
        <v>366</v>
      </c>
      <c r="B593" s="103">
        <v>1218</v>
      </c>
      <c r="C593" s="104" t="s">
        <v>320</v>
      </c>
      <c r="D593" s="105" t="s">
        <v>458</v>
      </c>
    </row>
    <row r="594" spans="1:4" x14ac:dyDescent="0.35">
      <c r="A594" s="102">
        <v>366</v>
      </c>
      <c r="B594" s="103">
        <v>1219</v>
      </c>
      <c r="C594" s="104" t="s">
        <v>320</v>
      </c>
      <c r="D594" s="105" t="s">
        <v>458</v>
      </c>
    </row>
    <row r="595" spans="1:4" x14ac:dyDescent="0.35">
      <c r="A595" s="102">
        <v>367</v>
      </c>
      <c r="B595" s="103">
        <v>1220</v>
      </c>
      <c r="C595" s="104" t="s">
        <v>320</v>
      </c>
      <c r="D595" s="105" t="s">
        <v>458</v>
      </c>
    </row>
    <row r="596" spans="1:4" x14ac:dyDescent="0.35">
      <c r="A596" s="102">
        <v>367</v>
      </c>
      <c r="B596" s="103">
        <v>1221</v>
      </c>
      <c r="C596" s="104" t="s">
        <v>320</v>
      </c>
      <c r="D596" s="105" t="s">
        <v>458</v>
      </c>
    </row>
    <row r="597" spans="1:4" x14ac:dyDescent="0.35">
      <c r="A597" s="102">
        <v>368</v>
      </c>
      <c r="B597" s="103">
        <v>1222</v>
      </c>
      <c r="C597" s="104" t="s">
        <v>320</v>
      </c>
      <c r="D597" s="105" t="s">
        <v>458</v>
      </c>
    </row>
    <row r="598" spans="1:4" x14ac:dyDescent="0.35">
      <c r="A598" s="102">
        <v>368</v>
      </c>
      <c r="B598" s="103">
        <v>1223</v>
      </c>
      <c r="C598" s="104" t="s">
        <v>320</v>
      </c>
      <c r="D598" s="105" t="s">
        <v>458</v>
      </c>
    </row>
    <row r="599" spans="1:4" x14ac:dyDescent="0.35">
      <c r="A599" s="102">
        <v>369</v>
      </c>
      <c r="B599" s="103">
        <v>1224</v>
      </c>
      <c r="C599" s="104" t="s">
        <v>320</v>
      </c>
      <c r="D599" s="105" t="s">
        <v>458</v>
      </c>
    </row>
    <row r="600" spans="1:4" x14ac:dyDescent="0.35">
      <c r="A600" s="102">
        <v>369</v>
      </c>
      <c r="B600" s="103">
        <v>1225</v>
      </c>
      <c r="C600" s="104" t="s">
        <v>320</v>
      </c>
      <c r="D600" s="105" t="s">
        <v>458</v>
      </c>
    </row>
    <row r="601" spans="1:4" x14ac:dyDescent="0.35">
      <c r="A601" s="102">
        <v>370</v>
      </c>
      <c r="B601" s="103">
        <v>1226</v>
      </c>
      <c r="C601" s="104" t="s">
        <v>320</v>
      </c>
      <c r="D601" s="105" t="s">
        <v>458</v>
      </c>
    </row>
    <row r="602" spans="1:4" x14ac:dyDescent="0.35">
      <c r="A602" s="102">
        <v>370</v>
      </c>
      <c r="B602" s="103">
        <v>1227</v>
      </c>
      <c r="C602" s="104" t="s">
        <v>320</v>
      </c>
      <c r="D602" s="105" t="s">
        <v>458</v>
      </c>
    </row>
    <row r="603" spans="1:4" x14ac:dyDescent="0.35">
      <c r="A603" s="102">
        <v>371</v>
      </c>
      <c r="B603" s="103">
        <v>1228</v>
      </c>
      <c r="C603" s="104" t="s">
        <v>320</v>
      </c>
      <c r="D603" s="105" t="s">
        <v>458</v>
      </c>
    </row>
    <row r="604" spans="1:4" x14ac:dyDescent="0.35">
      <c r="A604" s="102">
        <v>371</v>
      </c>
      <c r="B604" s="103">
        <v>1229</v>
      </c>
      <c r="C604" s="104" t="s">
        <v>320</v>
      </c>
      <c r="D604" s="105" t="s">
        <v>458</v>
      </c>
    </row>
    <row r="605" spans="1:4" x14ac:dyDescent="0.35">
      <c r="A605" s="102">
        <v>372</v>
      </c>
      <c r="B605" s="103">
        <v>1180</v>
      </c>
      <c r="C605" s="104" t="s">
        <v>300</v>
      </c>
      <c r="D605" s="105">
        <v>1</v>
      </c>
    </row>
    <row r="606" spans="1:4" x14ac:dyDescent="0.35">
      <c r="A606" s="102">
        <v>372</v>
      </c>
      <c r="B606" s="103">
        <v>1181</v>
      </c>
      <c r="C606" s="104" t="s">
        <v>300</v>
      </c>
      <c r="D606" s="105">
        <v>1</v>
      </c>
    </row>
    <row r="607" spans="1:4" x14ac:dyDescent="0.35">
      <c r="A607" s="102">
        <v>373</v>
      </c>
      <c r="B607" s="103">
        <v>31</v>
      </c>
      <c r="C607" s="104" t="s">
        <v>246</v>
      </c>
      <c r="D607" s="105">
        <v>1</v>
      </c>
    </row>
    <row r="608" spans="1:4" x14ac:dyDescent="0.35">
      <c r="A608" s="102">
        <v>373</v>
      </c>
      <c r="B608" s="103">
        <v>213</v>
      </c>
      <c r="C608" s="104" t="s">
        <v>246</v>
      </c>
      <c r="D608" s="105">
        <v>2</v>
      </c>
    </row>
    <row r="609" spans="1:4" x14ac:dyDescent="0.35">
      <c r="A609" s="102">
        <v>374</v>
      </c>
      <c r="B609" s="103">
        <v>30</v>
      </c>
      <c r="C609" s="104" t="s">
        <v>246</v>
      </c>
      <c r="D609" s="105">
        <v>1</v>
      </c>
    </row>
    <row r="610" spans="1:4" x14ac:dyDescent="0.35">
      <c r="A610" s="102">
        <v>374</v>
      </c>
      <c r="B610" s="103">
        <v>214</v>
      </c>
      <c r="C610" s="104" t="s">
        <v>246</v>
      </c>
      <c r="D610" s="105">
        <v>2</v>
      </c>
    </row>
    <row r="611" spans="1:4" x14ac:dyDescent="0.35">
      <c r="A611" s="102">
        <v>375</v>
      </c>
      <c r="B611" s="103">
        <v>32</v>
      </c>
      <c r="C611" s="104" t="s">
        <v>246</v>
      </c>
      <c r="D611" s="105">
        <v>1</v>
      </c>
    </row>
    <row r="612" spans="1:4" x14ac:dyDescent="0.35">
      <c r="A612" s="102">
        <v>375</v>
      </c>
      <c r="B612" s="103">
        <v>215</v>
      </c>
      <c r="C612" s="104" t="s">
        <v>246</v>
      </c>
      <c r="D612" s="105">
        <v>2</v>
      </c>
    </row>
    <row r="613" spans="1:4" x14ac:dyDescent="0.35">
      <c r="A613" s="102">
        <v>376</v>
      </c>
      <c r="B613" s="103">
        <v>34</v>
      </c>
      <c r="C613" s="104" t="s">
        <v>246</v>
      </c>
      <c r="D613" s="105">
        <v>1</v>
      </c>
    </row>
    <row r="614" spans="1:4" x14ac:dyDescent="0.35">
      <c r="A614" s="102">
        <v>376</v>
      </c>
      <c r="B614" s="103">
        <v>216</v>
      </c>
      <c r="C614" s="104" t="s">
        <v>246</v>
      </c>
      <c r="D614" s="105">
        <v>2</v>
      </c>
    </row>
    <row r="615" spans="1:4" x14ac:dyDescent="0.35">
      <c r="A615" s="102">
        <v>377</v>
      </c>
      <c r="B615" s="103">
        <v>35</v>
      </c>
      <c r="C615" s="104" t="s">
        <v>246</v>
      </c>
      <c r="D615" s="105">
        <v>1</v>
      </c>
    </row>
    <row r="616" spans="1:4" x14ac:dyDescent="0.35">
      <c r="A616" s="102">
        <v>377</v>
      </c>
      <c r="B616" s="103">
        <v>217</v>
      </c>
      <c r="C616" s="104" t="s">
        <v>246</v>
      </c>
      <c r="D616" s="105">
        <v>2</v>
      </c>
    </row>
    <row r="617" spans="1:4" x14ac:dyDescent="0.35">
      <c r="A617" s="102">
        <v>378</v>
      </c>
      <c r="B617" s="103">
        <v>36</v>
      </c>
      <c r="C617" s="104" t="s">
        <v>246</v>
      </c>
      <c r="D617" s="105">
        <v>1</v>
      </c>
    </row>
    <row r="618" spans="1:4" x14ac:dyDescent="0.35">
      <c r="A618" s="102">
        <v>378</v>
      </c>
      <c r="B618" s="103">
        <v>218</v>
      </c>
      <c r="C618" s="104" t="s">
        <v>246</v>
      </c>
      <c r="D618" s="105">
        <v>2</v>
      </c>
    </row>
    <row r="619" spans="1:4" x14ac:dyDescent="0.35">
      <c r="A619" s="102">
        <v>380</v>
      </c>
      <c r="B619" s="103">
        <v>37</v>
      </c>
      <c r="C619" s="104" t="s">
        <v>246</v>
      </c>
      <c r="D619" s="105">
        <v>1</v>
      </c>
    </row>
    <row r="620" spans="1:4" x14ac:dyDescent="0.35">
      <c r="A620" s="102">
        <v>380</v>
      </c>
      <c r="B620" s="103">
        <v>220</v>
      </c>
      <c r="C620" s="104" t="s">
        <v>246</v>
      </c>
      <c r="D620" s="105">
        <v>2</v>
      </c>
    </row>
    <row r="621" spans="1:4" x14ac:dyDescent="0.35">
      <c r="A621" s="102">
        <v>381</v>
      </c>
      <c r="B621" s="103">
        <v>1170</v>
      </c>
      <c r="C621" s="104" t="s">
        <v>246</v>
      </c>
      <c r="D621" s="105">
        <v>2</v>
      </c>
    </row>
    <row r="622" spans="1:4" x14ac:dyDescent="0.35">
      <c r="A622" s="102">
        <v>381</v>
      </c>
      <c r="B622" s="103">
        <v>1171</v>
      </c>
      <c r="C622" s="104" t="s">
        <v>246</v>
      </c>
      <c r="D622" s="105">
        <v>1</v>
      </c>
    </row>
    <row r="623" spans="1:4" x14ac:dyDescent="0.35">
      <c r="A623" s="102">
        <v>382</v>
      </c>
      <c r="B623" s="103">
        <v>1172</v>
      </c>
      <c r="C623" s="104" t="s">
        <v>246</v>
      </c>
      <c r="D623" s="105">
        <v>2</v>
      </c>
    </row>
    <row r="624" spans="1:4" x14ac:dyDescent="0.35">
      <c r="A624" s="102">
        <v>382</v>
      </c>
      <c r="B624" s="103">
        <v>1173</v>
      </c>
      <c r="C624" s="104" t="s">
        <v>246</v>
      </c>
      <c r="D624" s="105">
        <v>1</v>
      </c>
    </row>
    <row r="625" spans="1:4" x14ac:dyDescent="0.35">
      <c r="A625" s="102">
        <v>384</v>
      </c>
      <c r="B625" s="103">
        <v>1185</v>
      </c>
      <c r="C625" s="104" t="s">
        <v>258</v>
      </c>
      <c r="D625" s="105">
        <v>1</v>
      </c>
    </row>
    <row r="626" spans="1:4" x14ac:dyDescent="0.35">
      <c r="A626" s="102">
        <v>384</v>
      </c>
      <c r="B626" s="103">
        <v>1186</v>
      </c>
      <c r="C626" s="104" t="s">
        <v>258</v>
      </c>
      <c r="D626" s="105">
        <v>2</v>
      </c>
    </row>
    <row r="627" spans="1:4" x14ac:dyDescent="0.35">
      <c r="A627" s="102">
        <v>385</v>
      </c>
      <c r="B627" s="103">
        <v>1260</v>
      </c>
      <c r="C627" s="104" t="s">
        <v>246</v>
      </c>
      <c r="D627" s="105" t="s">
        <v>458</v>
      </c>
    </row>
    <row r="628" spans="1:4" x14ac:dyDescent="0.35">
      <c r="A628" s="102">
        <v>385</v>
      </c>
      <c r="B628" s="103">
        <v>1261</v>
      </c>
      <c r="C628" s="104" t="s">
        <v>246</v>
      </c>
      <c r="D628" s="105" t="s">
        <v>458</v>
      </c>
    </row>
    <row r="629" spans="1:4" x14ac:dyDescent="0.35">
      <c r="A629" s="102">
        <v>386</v>
      </c>
      <c r="B629" s="103">
        <v>1184</v>
      </c>
      <c r="C629" s="104" t="s">
        <v>227</v>
      </c>
      <c r="D629" s="105" t="s">
        <v>220</v>
      </c>
    </row>
    <row r="630" spans="1:4" x14ac:dyDescent="0.35">
      <c r="A630" s="102">
        <v>387</v>
      </c>
      <c r="B630" s="103">
        <v>1183</v>
      </c>
      <c r="C630" s="104" t="s">
        <v>251</v>
      </c>
      <c r="D630" s="105" t="s">
        <v>220</v>
      </c>
    </row>
    <row r="631" spans="1:4" x14ac:dyDescent="0.35">
      <c r="A631" s="102">
        <v>388</v>
      </c>
      <c r="B631" s="103">
        <v>1262</v>
      </c>
      <c r="C631" s="104" t="s">
        <v>246</v>
      </c>
      <c r="D631" s="105" t="s">
        <v>458</v>
      </c>
    </row>
    <row r="632" spans="1:4" x14ac:dyDescent="0.35">
      <c r="A632" s="102">
        <v>388</v>
      </c>
      <c r="B632" s="103">
        <v>1263</v>
      </c>
      <c r="C632" s="104" t="s">
        <v>246</v>
      </c>
      <c r="D632" s="105" t="s">
        <v>458</v>
      </c>
    </row>
    <row r="633" spans="1:4" x14ac:dyDescent="0.35">
      <c r="A633" s="102">
        <v>389</v>
      </c>
      <c r="B633" s="103">
        <v>1182</v>
      </c>
      <c r="C633" s="104" t="s">
        <v>237</v>
      </c>
      <c r="D633" s="105" t="s">
        <v>220</v>
      </c>
    </row>
    <row r="634" spans="1:4" x14ac:dyDescent="0.35">
      <c r="A634" s="102">
        <v>390</v>
      </c>
      <c r="B634" s="103">
        <v>1291</v>
      </c>
      <c r="C634" s="104" t="s">
        <v>246</v>
      </c>
      <c r="D634" s="105">
        <v>2</v>
      </c>
    </row>
    <row r="635" spans="1:4" x14ac:dyDescent="0.35">
      <c r="A635" s="102">
        <v>390</v>
      </c>
      <c r="B635" s="103">
        <v>1292</v>
      </c>
      <c r="C635" s="104" t="s">
        <v>246</v>
      </c>
      <c r="D635" s="105">
        <v>1</v>
      </c>
    </row>
    <row r="636" spans="1:4" x14ac:dyDescent="0.35">
      <c r="A636" s="102">
        <v>391</v>
      </c>
      <c r="B636" s="103">
        <v>29</v>
      </c>
      <c r="C636" s="104" t="s">
        <v>321</v>
      </c>
      <c r="D636" s="105" t="s">
        <v>220</v>
      </c>
    </row>
    <row r="637" spans="1:4" x14ac:dyDescent="0.35">
      <c r="A637" s="102">
        <v>392</v>
      </c>
      <c r="B637" s="103">
        <v>90</v>
      </c>
      <c r="C637" s="104" t="s">
        <v>322</v>
      </c>
      <c r="D637" s="105">
        <v>1</v>
      </c>
    </row>
    <row r="638" spans="1:4" x14ac:dyDescent="0.35">
      <c r="A638" s="102">
        <v>393</v>
      </c>
      <c r="B638" s="103">
        <v>1</v>
      </c>
      <c r="C638" s="104" t="s">
        <v>323</v>
      </c>
      <c r="D638" s="105">
        <v>1</v>
      </c>
    </row>
    <row r="639" spans="1:4" x14ac:dyDescent="0.35">
      <c r="A639" s="102">
        <v>394</v>
      </c>
      <c r="B639" s="103">
        <v>1176</v>
      </c>
      <c r="C639" s="104" t="s">
        <v>279</v>
      </c>
      <c r="D639" s="105">
        <v>1</v>
      </c>
    </row>
    <row r="640" spans="1:4" x14ac:dyDescent="0.35">
      <c r="A640" s="102">
        <v>394</v>
      </c>
      <c r="B640" s="103">
        <v>1177</v>
      </c>
      <c r="C640" s="104" t="s">
        <v>279</v>
      </c>
      <c r="D640" s="105">
        <v>2</v>
      </c>
    </row>
    <row r="641" spans="1:4" x14ac:dyDescent="0.35">
      <c r="A641" s="102">
        <v>395</v>
      </c>
      <c r="B641" s="103">
        <v>1044</v>
      </c>
      <c r="C641" s="104" t="s">
        <v>324</v>
      </c>
      <c r="D641" s="105">
        <v>2</v>
      </c>
    </row>
    <row r="642" spans="1:4" x14ac:dyDescent="0.35">
      <c r="A642" s="102">
        <v>395</v>
      </c>
      <c r="B642" s="103">
        <v>1045</v>
      </c>
      <c r="C642" s="104" t="s">
        <v>324</v>
      </c>
      <c r="D642" s="105">
        <v>1</v>
      </c>
    </row>
    <row r="643" spans="1:4" x14ac:dyDescent="0.35">
      <c r="A643" s="102">
        <v>395</v>
      </c>
      <c r="B643" s="103">
        <v>1046</v>
      </c>
      <c r="C643" s="104" t="s">
        <v>324</v>
      </c>
      <c r="D643" s="105">
        <v>1</v>
      </c>
    </row>
    <row r="644" spans="1:4" x14ac:dyDescent="0.35">
      <c r="A644" s="102">
        <v>396</v>
      </c>
      <c r="B644" s="103">
        <v>1323</v>
      </c>
      <c r="C644" s="104" t="s">
        <v>256</v>
      </c>
      <c r="D644" s="105">
        <v>1</v>
      </c>
    </row>
    <row r="645" spans="1:4" x14ac:dyDescent="0.35">
      <c r="A645" s="102">
        <v>397</v>
      </c>
      <c r="B645" s="103">
        <v>1346</v>
      </c>
      <c r="C645" s="104" t="s">
        <v>325</v>
      </c>
      <c r="D645" s="105">
        <v>1</v>
      </c>
    </row>
    <row r="646" spans="1:4" x14ac:dyDescent="0.35">
      <c r="A646" s="102">
        <v>398</v>
      </c>
      <c r="B646" s="103">
        <v>72</v>
      </c>
      <c r="C646" s="104" t="s">
        <v>326</v>
      </c>
      <c r="D646" s="105">
        <v>2</v>
      </c>
    </row>
    <row r="647" spans="1:4" x14ac:dyDescent="0.35">
      <c r="A647" s="102">
        <v>399</v>
      </c>
      <c r="B647" s="103">
        <v>27</v>
      </c>
      <c r="C647" s="104" t="s">
        <v>327</v>
      </c>
      <c r="D647" s="105" t="s">
        <v>466</v>
      </c>
    </row>
    <row r="648" spans="1:4" x14ac:dyDescent="0.35">
      <c r="A648" s="102">
        <v>400</v>
      </c>
      <c r="B648" s="103">
        <v>58</v>
      </c>
      <c r="C648" s="104" t="s">
        <v>278</v>
      </c>
      <c r="D648" s="105">
        <v>1</v>
      </c>
    </row>
    <row r="649" spans="1:4" x14ac:dyDescent="0.35">
      <c r="A649" s="102">
        <v>400</v>
      </c>
      <c r="B649" s="103">
        <v>190</v>
      </c>
      <c r="C649" s="104" t="s">
        <v>278</v>
      </c>
      <c r="D649" s="105" t="s">
        <v>463</v>
      </c>
    </row>
    <row r="650" spans="1:4" x14ac:dyDescent="0.35">
      <c r="A650" s="102">
        <v>401</v>
      </c>
      <c r="B650" s="103">
        <v>1157</v>
      </c>
      <c r="C650" s="104" t="s">
        <v>328</v>
      </c>
      <c r="D650" s="105" t="s">
        <v>220</v>
      </c>
    </row>
    <row r="651" spans="1:4" x14ac:dyDescent="0.35">
      <c r="A651" s="102">
        <v>403</v>
      </c>
      <c r="B651" s="103">
        <v>1178</v>
      </c>
      <c r="C651" s="104" t="s">
        <v>233</v>
      </c>
      <c r="D651" s="105">
        <v>1</v>
      </c>
    </row>
    <row r="652" spans="1:4" x14ac:dyDescent="0.35">
      <c r="A652" s="102">
        <v>403</v>
      </c>
      <c r="B652" s="103">
        <v>1179</v>
      </c>
      <c r="C652" s="104" t="s">
        <v>233</v>
      </c>
      <c r="D652" s="105">
        <v>2</v>
      </c>
    </row>
    <row r="653" spans="1:4" x14ac:dyDescent="0.35">
      <c r="A653" s="102">
        <v>404</v>
      </c>
      <c r="B653" s="103">
        <v>1161</v>
      </c>
      <c r="C653" s="104" t="s">
        <v>329</v>
      </c>
      <c r="D653" s="105">
        <v>2</v>
      </c>
    </row>
    <row r="654" spans="1:4" x14ac:dyDescent="0.35">
      <c r="A654" s="102">
        <v>404</v>
      </c>
      <c r="B654" s="103">
        <v>1162</v>
      </c>
      <c r="C654" s="104" t="s">
        <v>329</v>
      </c>
      <c r="D654" s="105">
        <v>1</v>
      </c>
    </row>
    <row r="655" spans="1:4" x14ac:dyDescent="0.35">
      <c r="A655" s="102">
        <v>405</v>
      </c>
      <c r="B655" s="103">
        <v>1163</v>
      </c>
      <c r="C655" s="104" t="s">
        <v>330</v>
      </c>
      <c r="D655" s="105" t="s">
        <v>220</v>
      </c>
    </row>
    <row r="656" spans="1:4" x14ac:dyDescent="0.35">
      <c r="A656" s="102">
        <v>406</v>
      </c>
      <c r="B656" s="103">
        <v>77</v>
      </c>
      <c r="C656" s="104" t="s">
        <v>331</v>
      </c>
      <c r="D656" s="105" t="s">
        <v>220</v>
      </c>
    </row>
    <row r="657" spans="1:4" x14ac:dyDescent="0.35">
      <c r="A657" s="102">
        <v>407</v>
      </c>
      <c r="B657" s="103">
        <v>81</v>
      </c>
      <c r="C657" s="104" t="s">
        <v>332</v>
      </c>
      <c r="D657" s="105" t="s">
        <v>220</v>
      </c>
    </row>
    <row r="658" spans="1:4" x14ac:dyDescent="0.35">
      <c r="A658" s="102">
        <v>408</v>
      </c>
      <c r="B658" s="103">
        <v>87</v>
      </c>
      <c r="C658" s="104" t="s">
        <v>333</v>
      </c>
      <c r="D658" s="105" t="s">
        <v>220</v>
      </c>
    </row>
    <row r="659" spans="1:4" x14ac:dyDescent="0.35">
      <c r="A659" s="102">
        <v>409</v>
      </c>
      <c r="B659" s="103">
        <v>89</v>
      </c>
      <c r="C659" s="104" t="s">
        <v>334</v>
      </c>
      <c r="D659" s="105" t="s">
        <v>220</v>
      </c>
    </row>
    <row r="660" spans="1:4" x14ac:dyDescent="0.35">
      <c r="A660" s="102">
        <v>410</v>
      </c>
      <c r="B660" s="103">
        <v>98</v>
      </c>
      <c r="C660" s="104" t="s">
        <v>335</v>
      </c>
      <c r="D660" s="105" t="s">
        <v>220</v>
      </c>
    </row>
    <row r="661" spans="1:4" x14ac:dyDescent="0.35">
      <c r="A661" s="102">
        <v>411</v>
      </c>
      <c r="B661" s="103">
        <v>106</v>
      </c>
      <c r="C661" s="104" t="s">
        <v>336</v>
      </c>
      <c r="D661" s="105" t="s">
        <v>220</v>
      </c>
    </row>
    <row r="662" spans="1:4" x14ac:dyDescent="0.35">
      <c r="A662" s="102">
        <v>412</v>
      </c>
      <c r="B662" s="103">
        <v>107</v>
      </c>
      <c r="C662" s="104" t="s">
        <v>337</v>
      </c>
      <c r="D662" s="105" t="s">
        <v>220</v>
      </c>
    </row>
    <row r="663" spans="1:4" x14ac:dyDescent="0.35">
      <c r="A663" s="102">
        <v>413</v>
      </c>
      <c r="B663" s="103">
        <v>108</v>
      </c>
      <c r="C663" s="104" t="s">
        <v>338</v>
      </c>
      <c r="D663" s="105" t="s">
        <v>220</v>
      </c>
    </row>
    <row r="664" spans="1:4" x14ac:dyDescent="0.35">
      <c r="A664" s="102">
        <v>414</v>
      </c>
      <c r="B664" s="103">
        <v>110</v>
      </c>
      <c r="C664" s="104" t="s">
        <v>339</v>
      </c>
      <c r="D664" s="105" t="s">
        <v>220</v>
      </c>
    </row>
    <row r="665" spans="1:4" x14ac:dyDescent="0.35">
      <c r="A665" s="102">
        <v>415</v>
      </c>
      <c r="B665" s="103">
        <v>165</v>
      </c>
      <c r="C665" s="104" t="s">
        <v>340</v>
      </c>
      <c r="D665" s="105" t="s">
        <v>220</v>
      </c>
    </row>
    <row r="666" spans="1:4" x14ac:dyDescent="0.35">
      <c r="A666" s="102">
        <v>416</v>
      </c>
      <c r="B666" s="103">
        <v>179</v>
      </c>
      <c r="C666" s="104" t="s">
        <v>341</v>
      </c>
      <c r="D666" s="105" t="s">
        <v>220</v>
      </c>
    </row>
    <row r="667" spans="1:4" x14ac:dyDescent="0.35">
      <c r="A667" s="102">
        <v>417</v>
      </c>
      <c r="B667" s="103">
        <v>209</v>
      </c>
      <c r="C667" s="104" t="s">
        <v>342</v>
      </c>
      <c r="D667" s="105" t="s">
        <v>220</v>
      </c>
    </row>
    <row r="668" spans="1:4" x14ac:dyDescent="0.35">
      <c r="A668" s="102">
        <v>418</v>
      </c>
      <c r="B668" s="103">
        <v>188</v>
      </c>
      <c r="C668" s="104" t="s">
        <v>343</v>
      </c>
      <c r="D668" s="105" t="s">
        <v>220</v>
      </c>
    </row>
    <row r="669" spans="1:4" x14ac:dyDescent="0.35">
      <c r="A669" s="102">
        <v>419</v>
      </c>
      <c r="B669" s="103">
        <v>176</v>
      </c>
      <c r="C669" s="104" t="s">
        <v>344</v>
      </c>
      <c r="D669" s="105" t="s">
        <v>220</v>
      </c>
    </row>
    <row r="670" spans="1:4" x14ac:dyDescent="0.35">
      <c r="A670" s="102">
        <v>420</v>
      </c>
      <c r="B670" s="103">
        <v>253</v>
      </c>
      <c r="C670" s="104" t="s">
        <v>345</v>
      </c>
      <c r="D670" s="105" t="s">
        <v>220</v>
      </c>
    </row>
    <row r="671" spans="1:4" x14ac:dyDescent="0.35">
      <c r="A671" s="102">
        <v>421</v>
      </c>
      <c r="B671" s="103">
        <v>222</v>
      </c>
      <c r="C671" s="104" t="s">
        <v>346</v>
      </c>
      <c r="D671" s="105" t="s">
        <v>220</v>
      </c>
    </row>
    <row r="672" spans="1:4" x14ac:dyDescent="0.35">
      <c r="A672" s="102">
        <v>422</v>
      </c>
      <c r="B672" s="103">
        <v>254</v>
      </c>
      <c r="C672" s="104" t="s">
        <v>347</v>
      </c>
      <c r="D672" s="105" t="s">
        <v>220</v>
      </c>
    </row>
    <row r="673" spans="1:4" x14ac:dyDescent="0.35">
      <c r="A673" s="102">
        <v>423</v>
      </c>
      <c r="B673" s="103">
        <v>255</v>
      </c>
      <c r="C673" s="104" t="s">
        <v>348</v>
      </c>
      <c r="D673" s="105" t="s">
        <v>220</v>
      </c>
    </row>
    <row r="674" spans="1:4" x14ac:dyDescent="0.35">
      <c r="A674" s="102">
        <v>424</v>
      </c>
      <c r="B674" s="103">
        <v>256</v>
      </c>
      <c r="C674" s="104" t="s">
        <v>349</v>
      </c>
      <c r="D674" s="105" t="s">
        <v>220</v>
      </c>
    </row>
    <row r="675" spans="1:4" x14ac:dyDescent="0.35">
      <c r="A675" s="102">
        <v>425</v>
      </c>
      <c r="B675" s="103">
        <v>1100</v>
      </c>
      <c r="C675" s="104" t="s">
        <v>350</v>
      </c>
      <c r="D675" s="105">
        <v>2</v>
      </c>
    </row>
    <row r="676" spans="1:4" x14ac:dyDescent="0.35">
      <c r="A676" s="102">
        <v>426</v>
      </c>
      <c r="B676" s="103">
        <v>1189</v>
      </c>
      <c r="C676" s="104" t="s">
        <v>258</v>
      </c>
      <c r="D676" s="105">
        <v>1</v>
      </c>
    </row>
    <row r="677" spans="1:4" x14ac:dyDescent="0.35">
      <c r="A677" s="102">
        <v>426</v>
      </c>
      <c r="B677" s="103">
        <v>1190</v>
      </c>
      <c r="C677" s="104" t="s">
        <v>258</v>
      </c>
      <c r="D677" s="105">
        <v>2</v>
      </c>
    </row>
    <row r="678" spans="1:4" x14ac:dyDescent="0.35">
      <c r="A678" s="102">
        <v>427</v>
      </c>
      <c r="B678" s="103">
        <v>1118</v>
      </c>
      <c r="C678" s="104" t="s">
        <v>351</v>
      </c>
      <c r="D678" s="105">
        <v>1</v>
      </c>
    </row>
    <row r="679" spans="1:4" x14ac:dyDescent="0.35">
      <c r="A679" s="102">
        <v>427</v>
      </c>
      <c r="B679" s="103">
        <v>1119</v>
      </c>
      <c r="C679" s="104" t="s">
        <v>351</v>
      </c>
      <c r="D679" s="105" t="s">
        <v>461</v>
      </c>
    </row>
    <row r="680" spans="1:4" x14ac:dyDescent="0.35">
      <c r="A680" s="102">
        <v>428</v>
      </c>
      <c r="B680" s="103">
        <v>258</v>
      </c>
      <c r="C680" s="104" t="s">
        <v>352</v>
      </c>
      <c r="D680" s="105" t="s">
        <v>353</v>
      </c>
    </row>
    <row r="681" spans="1:4" x14ac:dyDescent="0.35">
      <c r="A681" s="102">
        <v>428</v>
      </c>
      <c r="B681" s="103">
        <v>259</v>
      </c>
      <c r="C681" s="104" t="s">
        <v>352</v>
      </c>
      <c r="D681" s="105" t="s">
        <v>353</v>
      </c>
    </row>
    <row r="682" spans="1:4" x14ac:dyDescent="0.35">
      <c r="A682" s="102">
        <v>429</v>
      </c>
      <c r="B682" s="103">
        <v>260</v>
      </c>
      <c r="C682" s="104" t="s">
        <v>354</v>
      </c>
      <c r="D682" s="105" t="s">
        <v>353</v>
      </c>
    </row>
    <row r="683" spans="1:4" x14ac:dyDescent="0.35">
      <c r="A683" s="102">
        <v>429</v>
      </c>
      <c r="B683" s="103">
        <v>261</v>
      </c>
      <c r="C683" s="104" t="s">
        <v>354</v>
      </c>
      <c r="D683" s="105" t="s">
        <v>353</v>
      </c>
    </row>
    <row r="684" spans="1:4" x14ac:dyDescent="0.35">
      <c r="A684" s="102">
        <v>430</v>
      </c>
      <c r="B684" s="103">
        <v>264</v>
      </c>
      <c r="C684" s="104" t="s">
        <v>355</v>
      </c>
      <c r="D684" s="105" t="s">
        <v>353</v>
      </c>
    </row>
    <row r="685" spans="1:4" x14ac:dyDescent="0.35">
      <c r="A685" s="102">
        <v>430</v>
      </c>
      <c r="B685" s="103">
        <v>265</v>
      </c>
      <c r="C685" s="104" t="s">
        <v>355</v>
      </c>
      <c r="D685" s="105" t="s">
        <v>353</v>
      </c>
    </row>
    <row r="686" spans="1:4" x14ac:dyDescent="0.35">
      <c r="A686" s="102">
        <v>431</v>
      </c>
      <c r="B686" s="103">
        <v>262</v>
      </c>
      <c r="C686" s="104" t="s">
        <v>356</v>
      </c>
      <c r="D686" s="105" t="s">
        <v>353</v>
      </c>
    </row>
    <row r="687" spans="1:4" x14ac:dyDescent="0.35">
      <c r="A687" s="102">
        <v>431</v>
      </c>
      <c r="B687" s="103">
        <v>263</v>
      </c>
      <c r="C687" s="104" t="s">
        <v>356</v>
      </c>
      <c r="D687" s="105" t="s">
        <v>353</v>
      </c>
    </row>
    <row r="688" spans="1:4" x14ac:dyDescent="0.35">
      <c r="A688" s="102">
        <v>432</v>
      </c>
      <c r="B688" s="103">
        <v>1397</v>
      </c>
      <c r="C688" s="104" t="s">
        <v>258</v>
      </c>
      <c r="D688" s="105">
        <v>1</v>
      </c>
    </row>
    <row r="689" spans="1:4" x14ac:dyDescent="0.35">
      <c r="A689" s="102">
        <v>432</v>
      </c>
      <c r="B689" s="103">
        <v>1398</v>
      </c>
      <c r="C689" s="104" t="s">
        <v>258</v>
      </c>
      <c r="D689" s="105">
        <v>2</v>
      </c>
    </row>
    <row r="690" spans="1:4" x14ac:dyDescent="0.35">
      <c r="A690" s="102">
        <v>434</v>
      </c>
      <c r="B690" s="103">
        <v>269</v>
      </c>
      <c r="C690" s="104" t="s">
        <v>357</v>
      </c>
      <c r="D690" s="105" t="s">
        <v>458</v>
      </c>
    </row>
    <row r="691" spans="1:4" x14ac:dyDescent="0.35">
      <c r="A691" s="102">
        <v>435</v>
      </c>
      <c r="B691" s="103">
        <v>270</v>
      </c>
      <c r="C691" s="104" t="s">
        <v>358</v>
      </c>
      <c r="D691" s="105">
        <v>1</v>
      </c>
    </row>
    <row r="692" spans="1:4" x14ac:dyDescent="0.35">
      <c r="A692" s="102">
        <v>435</v>
      </c>
      <c r="B692" s="103">
        <v>271</v>
      </c>
      <c r="C692" s="104" t="s">
        <v>358</v>
      </c>
      <c r="D692" s="105">
        <v>1</v>
      </c>
    </row>
    <row r="693" spans="1:4" x14ac:dyDescent="0.35">
      <c r="A693" s="102">
        <v>435</v>
      </c>
      <c r="B693" s="103">
        <v>272</v>
      </c>
      <c r="C693" s="104" t="s">
        <v>358</v>
      </c>
      <c r="D693" s="105">
        <v>2</v>
      </c>
    </row>
    <row r="694" spans="1:4" x14ac:dyDescent="0.35">
      <c r="A694" s="102">
        <v>436</v>
      </c>
      <c r="B694" s="103">
        <v>273</v>
      </c>
      <c r="C694" s="104" t="s">
        <v>359</v>
      </c>
      <c r="D694" s="105">
        <v>1</v>
      </c>
    </row>
    <row r="695" spans="1:4" x14ac:dyDescent="0.35">
      <c r="A695" s="102">
        <v>436</v>
      </c>
      <c r="B695" s="103">
        <v>274</v>
      </c>
      <c r="C695" s="104" t="s">
        <v>359</v>
      </c>
      <c r="D695" s="105">
        <v>1</v>
      </c>
    </row>
    <row r="696" spans="1:4" x14ac:dyDescent="0.35">
      <c r="A696" s="102">
        <v>436</v>
      </c>
      <c r="B696" s="103">
        <v>275</v>
      </c>
      <c r="C696" s="104" t="s">
        <v>359</v>
      </c>
      <c r="D696" s="105">
        <v>2</v>
      </c>
    </row>
    <row r="697" spans="1:4" x14ac:dyDescent="0.35">
      <c r="A697" s="102">
        <v>437</v>
      </c>
      <c r="B697" s="103">
        <v>1403</v>
      </c>
      <c r="C697" s="104" t="s">
        <v>360</v>
      </c>
      <c r="D697" s="105">
        <v>2</v>
      </c>
    </row>
    <row r="698" spans="1:4" x14ac:dyDescent="0.35">
      <c r="A698" s="102">
        <v>437</v>
      </c>
      <c r="B698" s="103">
        <v>1404</v>
      </c>
      <c r="C698" s="104" t="s">
        <v>360</v>
      </c>
      <c r="D698" s="105">
        <v>1</v>
      </c>
    </row>
    <row r="699" spans="1:4" x14ac:dyDescent="0.35">
      <c r="A699" s="102">
        <v>437</v>
      </c>
      <c r="B699" s="103">
        <v>1405</v>
      </c>
      <c r="C699" s="104" t="s">
        <v>360</v>
      </c>
      <c r="D699" s="105">
        <v>1</v>
      </c>
    </row>
    <row r="700" spans="1:4" x14ac:dyDescent="0.35">
      <c r="A700" s="102">
        <v>439</v>
      </c>
      <c r="B700" s="103">
        <v>346</v>
      </c>
      <c r="C700" s="104" t="s">
        <v>361</v>
      </c>
      <c r="D700" s="105">
        <v>2</v>
      </c>
    </row>
    <row r="701" spans="1:4" x14ac:dyDescent="0.35">
      <c r="A701" s="102">
        <v>439</v>
      </c>
      <c r="B701" s="103">
        <v>349</v>
      </c>
      <c r="C701" s="104" t="s">
        <v>361</v>
      </c>
      <c r="D701" s="105">
        <v>1</v>
      </c>
    </row>
    <row r="702" spans="1:4" x14ac:dyDescent="0.35">
      <c r="A702" s="102">
        <v>440</v>
      </c>
      <c r="B702" s="103">
        <v>210</v>
      </c>
      <c r="C702" s="104" t="s">
        <v>362</v>
      </c>
      <c r="D702" s="105">
        <v>2</v>
      </c>
    </row>
    <row r="703" spans="1:4" x14ac:dyDescent="0.35">
      <c r="A703" s="102">
        <v>440</v>
      </c>
      <c r="B703" s="103">
        <v>347</v>
      </c>
      <c r="C703" s="104" t="s">
        <v>362</v>
      </c>
      <c r="D703" s="105" t="s">
        <v>458</v>
      </c>
    </row>
    <row r="704" spans="1:4" x14ac:dyDescent="0.35">
      <c r="A704" s="102">
        <v>440</v>
      </c>
      <c r="B704" s="103">
        <v>348</v>
      </c>
      <c r="C704" s="104" t="s">
        <v>362</v>
      </c>
      <c r="D704" s="105" t="s">
        <v>458</v>
      </c>
    </row>
    <row r="705" spans="1:4" x14ac:dyDescent="0.35">
      <c r="A705" s="102">
        <v>441</v>
      </c>
      <c r="B705" s="103">
        <v>206</v>
      </c>
      <c r="C705" s="104" t="s">
        <v>262</v>
      </c>
      <c r="D705" s="105">
        <v>2</v>
      </c>
    </row>
    <row r="706" spans="1:4" x14ac:dyDescent="0.35">
      <c r="A706" s="102">
        <v>441</v>
      </c>
      <c r="B706" s="103">
        <v>350</v>
      </c>
      <c r="C706" s="104" t="s">
        <v>262</v>
      </c>
      <c r="D706" s="105">
        <v>1</v>
      </c>
    </row>
    <row r="707" spans="1:4" x14ac:dyDescent="0.35">
      <c r="A707" s="102">
        <v>441</v>
      </c>
      <c r="B707" s="103">
        <v>351</v>
      </c>
      <c r="C707" s="104" t="s">
        <v>262</v>
      </c>
      <c r="D707" s="105">
        <v>1</v>
      </c>
    </row>
    <row r="708" spans="1:4" x14ac:dyDescent="0.35">
      <c r="A708" s="102">
        <v>441</v>
      </c>
      <c r="B708" s="103">
        <v>352</v>
      </c>
      <c r="C708" s="104" t="s">
        <v>262</v>
      </c>
      <c r="D708" s="105">
        <v>1</v>
      </c>
    </row>
    <row r="709" spans="1:4" x14ac:dyDescent="0.35">
      <c r="A709" s="102">
        <v>442</v>
      </c>
      <c r="B709" s="103">
        <v>356</v>
      </c>
      <c r="C709" s="104" t="s">
        <v>258</v>
      </c>
      <c r="D709" s="105" t="s">
        <v>458</v>
      </c>
    </row>
    <row r="710" spans="1:4" x14ac:dyDescent="0.35">
      <c r="A710" s="102">
        <v>442</v>
      </c>
      <c r="B710" s="103">
        <v>357</v>
      </c>
      <c r="C710" s="104" t="s">
        <v>258</v>
      </c>
      <c r="D710" s="105" t="s">
        <v>458</v>
      </c>
    </row>
    <row r="711" spans="1:4" x14ac:dyDescent="0.35">
      <c r="A711" s="102">
        <v>443</v>
      </c>
      <c r="B711" s="103">
        <v>358</v>
      </c>
      <c r="C711" s="104" t="s">
        <v>300</v>
      </c>
      <c r="D711" s="105">
        <v>1</v>
      </c>
    </row>
    <row r="712" spans="1:4" x14ac:dyDescent="0.35">
      <c r="A712" s="102">
        <v>443</v>
      </c>
      <c r="B712" s="103">
        <v>359</v>
      </c>
      <c r="C712" s="104" t="s">
        <v>300</v>
      </c>
      <c r="D712" s="105" t="s">
        <v>463</v>
      </c>
    </row>
    <row r="713" spans="1:4" x14ac:dyDescent="0.35">
      <c r="A713" s="102">
        <v>444</v>
      </c>
      <c r="B713" s="103">
        <v>208</v>
      </c>
      <c r="C713" s="104" t="s">
        <v>303</v>
      </c>
      <c r="D713" s="105">
        <v>2</v>
      </c>
    </row>
    <row r="714" spans="1:4" x14ac:dyDescent="0.35">
      <c r="A714" s="102">
        <v>444</v>
      </c>
      <c r="B714" s="103">
        <v>358</v>
      </c>
      <c r="C714" s="104" t="s">
        <v>303</v>
      </c>
      <c r="D714" s="105" t="s">
        <v>466</v>
      </c>
    </row>
    <row r="715" spans="1:4" x14ac:dyDescent="0.35">
      <c r="A715" s="102">
        <v>444</v>
      </c>
      <c r="B715" s="103">
        <v>360</v>
      </c>
      <c r="C715" s="104" t="s">
        <v>303</v>
      </c>
      <c r="D715" s="105" t="s">
        <v>466</v>
      </c>
    </row>
    <row r="716" spans="1:4" x14ac:dyDescent="0.35">
      <c r="A716" s="102">
        <v>445</v>
      </c>
      <c r="B716" s="103">
        <v>1406</v>
      </c>
      <c r="C716" s="104" t="s">
        <v>363</v>
      </c>
      <c r="D716" s="105">
        <v>1</v>
      </c>
    </row>
    <row r="717" spans="1:4" x14ac:dyDescent="0.35">
      <c r="A717" s="102">
        <v>445</v>
      </c>
      <c r="B717" s="103">
        <v>1407</v>
      </c>
      <c r="C717" s="104" t="s">
        <v>363</v>
      </c>
      <c r="D717" s="105">
        <v>2</v>
      </c>
    </row>
    <row r="718" spans="1:4" x14ac:dyDescent="0.35">
      <c r="A718" s="102">
        <v>446</v>
      </c>
      <c r="B718" s="103">
        <v>1408</v>
      </c>
      <c r="C718" s="104" t="s">
        <v>363</v>
      </c>
      <c r="D718" s="105">
        <v>1</v>
      </c>
    </row>
    <row r="719" spans="1:4" x14ac:dyDescent="0.35">
      <c r="A719" s="102">
        <v>446</v>
      </c>
      <c r="B719" s="103">
        <v>1409</v>
      </c>
      <c r="C719" s="104" t="s">
        <v>363</v>
      </c>
      <c r="D719" s="105">
        <v>2</v>
      </c>
    </row>
    <row r="720" spans="1:4" x14ac:dyDescent="0.35">
      <c r="A720" s="102">
        <v>447</v>
      </c>
      <c r="B720" s="103">
        <v>206</v>
      </c>
      <c r="C720" s="104" t="s">
        <v>274</v>
      </c>
      <c r="D720" s="105">
        <v>2</v>
      </c>
    </row>
    <row r="721" spans="1:4" x14ac:dyDescent="0.35">
      <c r="A721" s="102">
        <v>448</v>
      </c>
      <c r="B721" s="103">
        <v>1125</v>
      </c>
      <c r="C721" s="104" t="s">
        <v>274</v>
      </c>
      <c r="D721" s="105">
        <v>2</v>
      </c>
    </row>
    <row r="722" spans="1:4" x14ac:dyDescent="0.35">
      <c r="A722" s="102">
        <v>449</v>
      </c>
      <c r="B722" s="103">
        <v>1127</v>
      </c>
      <c r="C722" s="104" t="s">
        <v>274</v>
      </c>
      <c r="D722" s="105">
        <v>2</v>
      </c>
    </row>
    <row r="723" spans="1:4" x14ac:dyDescent="0.35">
      <c r="A723" s="102">
        <v>450</v>
      </c>
      <c r="B723" s="103">
        <v>1129</v>
      </c>
      <c r="C723" s="104" t="s">
        <v>274</v>
      </c>
      <c r="D723" s="105">
        <v>2</v>
      </c>
    </row>
    <row r="724" spans="1:4" x14ac:dyDescent="0.35">
      <c r="A724" s="102">
        <v>451</v>
      </c>
      <c r="B724" s="103">
        <v>1140</v>
      </c>
      <c r="C724" s="104" t="s">
        <v>274</v>
      </c>
      <c r="D724" s="105">
        <v>2</v>
      </c>
    </row>
    <row r="725" spans="1:4" x14ac:dyDescent="0.35">
      <c r="A725" s="102">
        <v>452</v>
      </c>
      <c r="B725" s="103">
        <v>1142</v>
      </c>
      <c r="C725" s="104" t="s">
        <v>274</v>
      </c>
      <c r="D725" s="105">
        <v>2</v>
      </c>
    </row>
    <row r="726" spans="1:4" x14ac:dyDescent="0.35">
      <c r="A726" s="102">
        <v>453</v>
      </c>
      <c r="B726" s="103">
        <v>1144</v>
      </c>
      <c r="C726" s="104" t="s">
        <v>274</v>
      </c>
      <c r="D726" s="105">
        <v>2</v>
      </c>
    </row>
    <row r="727" spans="1:4" x14ac:dyDescent="0.35">
      <c r="A727" s="102">
        <v>454</v>
      </c>
      <c r="B727" s="103">
        <v>1146</v>
      </c>
      <c r="C727" s="104" t="s">
        <v>274</v>
      </c>
      <c r="D727" s="105">
        <v>2</v>
      </c>
    </row>
    <row r="728" spans="1:4" x14ac:dyDescent="0.35">
      <c r="A728" s="102">
        <v>455</v>
      </c>
      <c r="B728" s="103">
        <v>1148</v>
      </c>
      <c r="C728" s="104" t="s">
        <v>274</v>
      </c>
      <c r="D728" s="105">
        <v>2</v>
      </c>
    </row>
    <row r="729" spans="1:4" x14ac:dyDescent="0.35">
      <c r="A729" s="102">
        <v>456</v>
      </c>
      <c r="B729" s="103">
        <v>1150</v>
      </c>
      <c r="C729" s="104" t="s">
        <v>274</v>
      </c>
      <c r="D729" s="105">
        <v>2</v>
      </c>
    </row>
    <row r="730" spans="1:4" x14ac:dyDescent="0.35">
      <c r="A730" s="102">
        <v>459</v>
      </c>
      <c r="B730" s="103">
        <v>1398</v>
      </c>
      <c r="C730" s="104" t="s">
        <v>274</v>
      </c>
      <c r="D730" s="105">
        <v>2</v>
      </c>
    </row>
    <row r="731" spans="1:4" x14ac:dyDescent="0.35">
      <c r="A731" s="102">
        <v>460</v>
      </c>
      <c r="B731" s="103">
        <v>361</v>
      </c>
      <c r="C731" s="104" t="s">
        <v>364</v>
      </c>
      <c r="D731" s="105" t="s">
        <v>220</v>
      </c>
    </row>
    <row r="732" spans="1:4" x14ac:dyDescent="0.35">
      <c r="A732" s="102">
        <v>461</v>
      </c>
      <c r="B732" s="103">
        <v>361</v>
      </c>
      <c r="C732" s="104" t="s">
        <v>364</v>
      </c>
      <c r="D732" s="105" t="s">
        <v>220</v>
      </c>
    </row>
    <row r="733" spans="1:4" x14ac:dyDescent="0.35">
      <c r="A733" s="102">
        <v>462</v>
      </c>
      <c r="B733" s="103">
        <v>362</v>
      </c>
      <c r="C733" s="104" t="s">
        <v>365</v>
      </c>
      <c r="D733" s="105" t="s">
        <v>220</v>
      </c>
    </row>
    <row r="734" spans="1:4" x14ac:dyDescent="0.35">
      <c r="A734" s="102">
        <v>463</v>
      </c>
      <c r="B734" s="103">
        <v>363</v>
      </c>
      <c r="C734" s="104" t="s">
        <v>366</v>
      </c>
      <c r="D734" s="105" t="s">
        <v>220</v>
      </c>
    </row>
    <row r="735" spans="1:4" x14ac:dyDescent="0.35">
      <c r="A735" s="102">
        <v>464</v>
      </c>
      <c r="B735" s="103">
        <v>364</v>
      </c>
      <c r="C735" s="104" t="s">
        <v>367</v>
      </c>
      <c r="D735" s="105">
        <v>1</v>
      </c>
    </row>
    <row r="736" spans="1:4" x14ac:dyDescent="0.35">
      <c r="A736" s="102">
        <v>464</v>
      </c>
      <c r="B736" s="103">
        <v>365</v>
      </c>
      <c r="C736" s="104" t="s">
        <v>367</v>
      </c>
      <c r="D736" s="105">
        <v>1</v>
      </c>
    </row>
    <row r="737" spans="1:4" x14ac:dyDescent="0.35">
      <c r="A737" s="102">
        <v>465</v>
      </c>
      <c r="B737" s="103">
        <v>1410</v>
      </c>
      <c r="C737" s="104" t="s">
        <v>368</v>
      </c>
      <c r="D737" s="105">
        <v>1</v>
      </c>
    </row>
    <row r="738" spans="1:4" x14ac:dyDescent="0.35">
      <c r="A738" s="102">
        <v>465</v>
      </c>
      <c r="B738" s="103">
        <v>1411</v>
      </c>
      <c r="C738" s="104" t="s">
        <v>368</v>
      </c>
      <c r="D738" s="105">
        <v>1</v>
      </c>
    </row>
    <row r="739" spans="1:4" x14ac:dyDescent="0.35">
      <c r="A739" s="102">
        <v>466</v>
      </c>
      <c r="B739" s="103">
        <v>366</v>
      </c>
      <c r="C739" s="104" t="s">
        <v>369</v>
      </c>
      <c r="D739" s="105" t="s">
        <v>458</v>
      </c>
    </row>
    <row r="740" spans="1:4" x14ac:dyDescent="0.35">
      <c r="A740" s="102">
        <v>467</v>
      </c>
      <c r="B740" s="103">
        <v>367</v>
      </c>
      <c r="C740" s="104" t="s">
        <v>369</v>
      </c>
      <c r="D740" s="105" t="s">
        <v>458</v>
      </c>
    </row>
    <row r="741" spans="1:4" x14ac:dyDescent="0.35">
      <c r="A741" s="102">
        <v>468</v>
      </c>
      <c r="B741" s="103">
        <v>368</v>
      </c>
      <c r="C741" s="104" t="s">
        <v>369</v>
      </c>
      <c r="D741" s="105" t="s">
        <v>458</v>
      </c>
    </row>
    <row r="742" spans="1:4" x14ac:dyDescent="0.35">
      <c r="A742" s="102">
        <v>469</v>
      </c>
      <c r="B742" s="103">
        <v>369</v>
      </c>
      <c r="C742" s="104" t="s">
        <v>369</v>
      </c>
      <c r="D742" s="105" t="s">
        <v>458</v>
      </c>
    </row>
    <row r="743" spans="1:4" x14ac:dyDescent="0.35">
      <c r="A743" s="102">
        <v>470</v>
      </c>
      <c r="B743" s="103">
        <v>370</v>
      </c>
      <c r="C743" s="104" t="s">
        <v>369</v>
      </c>
      <c r="D743" s="105" t="s">
        <v>458</v>
      </c>
    </row>
    <row r="744" spans="1:4" x14ac:dyDescent="0.35">
      <c r="A744" s="102">
        <v>473</v>
      </c>
      <c r="B744" s="103">
        <v>1412</v>
      </c>
      <c r="C744" s="104" t="s">
        <v>370</v>
      </c>
      <c r="D744" s="105">
        <v>1</v>
      </c>
    </row>
    <row r="745" spans="1:4" x14ac:dyDescent="0.35">
      <c r="A745" s="102">
        <v>473</v>
      </c>
      <c r="B745" s="103">
        <v>1413</v>
      </c>
      <c r="C745" s="104" t="s">
        <v>370</v>
      </c>
      <c r="D745" s="105">
        <v>2</v>
      </c>
    </row>
    <row r="746" spans="1:4" x14ac:dyDescent="0.35">
      <c r="A746" s="102">
        <v>474</v>
      </c>
      <c r="B746" s="103">
        <v>1414</v>
      </c>
      <c r="C746" s="104" t="s">
        <v>371</v>
      </c>
      <c r="D746" s="105" t="s">
        <v>220</v>
      </c>
    </row>
    <row r="747" spans="1:4" x14ac:dyDescent="0.35">
      <c r="A747" s="102">
        <v>475</v>
      </c>
      <c r="B747" s="103">
        <v>1415</v>
      </c>
      <c r="C747" s="104" t="s">
        <v>372</v>
      </c>
      <c r="D747" s="105">
        <v>1</v>
      </c>
    </row>
    <row r="748" spans="1:4" x14ac:dyDescent="0.35">
      <c r="A748" s="102">
        <v>475</v>
      </c>
      <c r="B748" s="103">
        <v>1416</v>
      </c>
      <c r="C748" s="104" t="s">
        <v>372</v>
      </c>
      <c r="D748" s="105">
        <v>2</v>
      </c>
    </row>
    <row r="749" spans="1:4" x14ac:dyDescent="0.35">
      <c r="A749" s="102">
        <v>476</v>
      </c>
      <c r="B749" s="103">
        <v>1417</v>
      </c>
      <c r="C749" s="104" t="s">
        <v>373</v>
      </c>
      <c r="D749" s="105" t="s">
        <v>220</v>
      </c>
    </row>
    <row r="750" spans="1:4" x14ac:dyDescent="0.35">
      <c r="A750" s="102">
        <v>477</v>
      </c>
      <c r="B750" s="103">
        <v>1418</v>
      </c>
      <c r="C750" s="104" t="s">
        <v>373</v>
      </c>
      <c r="D750" s="105" t="s">
        <v>220</v>
      </c>
    </row>
    <row r="751" spans="1:4" x14ac:dyDescent="0.35">
      <c r="A751" s="102">
        <v>478</v>
      </c>
      <c r="B751" s="103">
        <v>1419</v>
      </c>
      <c r="C751" s="104" t="s">
        <v>303</v>
      </c>
      <c r="D751" s="105">
        <v>1</v>
      </c>
    </row>
    <row r="752" spans="1:4" x14ac:dyDescent="0.35">
      <c r="A752" s="102">
        <v>478</v>
      </c>
      <c r="B752" s="103">
        <v>1420</v>
      </c>
      <c r="C752" s="104" t="s">
        <v>303</v>
      </c>
      <c r="D752" s="105">
        <v>1</v>
      </c>
    </row>
    <row r="753" spans="1:4" x14ac:dyDescent="0.35">
      <c r="A753" s="102">
        <v>478</v>
      </c>
      <c r="B753" s="103">
        <v>1421</v>
      </c>
      <c r="C753" s="104" t="s">
        <v>303</v>
      </c>
      <c r="D753" s="105">
        <v>2</v>
      </c>
    </row>
    <row r="754" spans="1:4" x14ac:dyDescent="0.35">
      <c r="A754" s="102">
        <v>479</v>
      </c>
      <c r="B754" s="103">
        <v>1424</v>
      </c>
      <c r="C754" s="104" t="s">
        <v>361</v>
      </c>
      <c r="D754" s="105">
        <v>2</v>
      </c>
    </row>
    <row r="755" spans="1:4" x14ac:dyDescent="0.35">
      <c r="A755" s="102">
        <v>479</v>
      </c>
      <c r="B755" s="103">
        <v>1425</v>
      </c>
      <c r="C755" s="104" t="s">
        <v>361</v>
      </c>
      <c r="D755" s="105">
        <v>1</v>
      </c>
    </row>
    <row r="756" spans="1:4" x14ac:dyDescent="0.35">
      <c r="A756" s="102">
        <v>480</v>
      </c>
      <c r="B756" s="103">
        <v>1426</v>
      </c>
      <c r="C756" s="104" t="s">
        <v>361</v>
      </c>
      <c r="D756" s="105">
        <v>2</v>
      </c>
    </row>
    <row r="757" spans="1:4" x14ac:dyDescent="0.35">
      <c r="A757" s="102">
        <v>480</v>
      </c>
      <c r="B757" s="103">
        <v>1427</v>
      </c>
      <c r="C757" s="104" t="s">
        <v>361</v>
      </c>
      <c r="D757" s="105">
        <v>1</v>
      </c>
    </row>
    <row r="758" spans="1:4" x14ac:dyDescent="0.35">
      <c r="A758" s="102">
        <v>481</v>
      </c>
      <c r="B758" s="103">
        <v>1428</v>
      </c>
      <c r="C758" s="104" t="s">
        <v>361</v>
      </c>
      <c r="D758" s="105">
        <v>2</v>
      </c>
    </row>
    <row r="759" spans="1:4" x14ac:dyDescent="0.35">
      <c r="A759" s="102">
        <v>481</v>
      </c>
      <c r="B759" s="103">
        <v>1429</v>
      </c>
      <c r="C759" s="104" t="s">
        <v>361</v>
      </c>
      <c r="D759" s="105">
        <v>1</v>
      </c>
    </row>
    <row r="760" spans="1:4" x14ac:dyDescent="0.35">
      <c r="A760" s="102">
        <v>482</v>
      </c>
      <c r="B760" s="103">
        <v>378</v>
      </c>
      <c r="C760" s="104" t="s">
        <v>374</v>
      </c>
      <c r="D760" s="105" t="s">
        <v>375</v>
      </c>
    </row>
    <row r="761" spans="1:4" x14ac:dyDescent="0.35">
      <c r="A761" s="102">
        <v>483</v>
      </c>
      <c r="B761" s="103">
        <v>379</v>
      </c>
      <c r="C761" s="104" t="s">
        <v>376</v>
      </c>
      <c r="D761" s="105" t="s">
        <v>375</v>
      </c>
    </row>
    <row r="762" spans="1:4" x14ac:dyDescent="0.35">
      <c r="A762" s="102">
        <v>484</v>
      </c>
      <c r="B762" s="103">
        <v>380</v>
      </c>
      <c r="C762" s="104" t="s">
        <v>377</v>
      </c>
      <c r="D762" s="105" t="s">
        <v>375</v>
      </c>
    </row>
    <row r="763" spans="1:4" x14ac:dyDescent="0.35">
      <c r="A763" s="102">
        <v>485</v>
      </c>
      <c r="B763" s="103">
        <v>381</v>
      </c>
      <c r="C763" s="104" t="s">
        <v>378</v>
      </c>
      <c r="D763" s="105" t="s">
        <v>375</v>
      </c>
    </row>
    <row r="764" spans="1:4" x14ac:dyDescent="0.35">
      <c r="A764" s="102">
        <v>486</v>
      </c>
      <c r="B764" s="103">
        <v>382</v>
      </c>
      <c r="C764" s="104" t="s">
        <v>379</v>
      </c>
      <c r="D764" s="105" t="s">
        <v>375</v>
      </c>
    </row>
    <row r="765" spans="1:4" x14ac:dyDescent="0.35">
      <c r="A765" s="102">
        <v>487</v>
      </c>
      <c r="B765" s="103">
        <v>383</v>
      </c>
      <c r="C765" s="104" t="s">
        <v>380</v>
      </c>
      <c r="D765" s="105" t="s">
        <v>375</v>
      </c>
    </row>
    <row r="766" spans="1:4" x14ac:dyDescent="0.35">
      <c r="A766" s="102">
        <v>488</v>
      </c>
      <c r="B766" s="103">
        <v>384</v>
      </c>
      <c r="C766" s="104" t="s">
        <v>381</v>
      </c>
      <c r="D766" s="105" t="s">
        <v>375</v>
      </c>
    </row>
    <row r="767" spans="1:4" x14ac:dyDescent="0.35">
      <c r="A767" s="102">
        <v>489</v>
      </c>
      <c r="B767" s="103">
        <v>385</v>
      </c>
      <c r="C767" s="104" t="s">
        <v>382</v>
      </c>
      <c r="D767" s="105" t="s">
        <v>375</v>
      </c>
    </row>
    <row r="768" spans="1:4" x14ac:dyDescent="0.35">
      <c r="A768" s="102">
        <v>490</v>
      </c>
      <c r="B768" s="103">
        <v>386</v>
      </c>
      <c r="C768" s="104" t="s">
        <v>383</v>
      </c>
      <c r="D768" s="105" t="s">
        <v>375</v>
      </c>
    </row>
    <row r="769" spans="1:4" x14ac:dyDescent="0.35">
      <c r="A769" s="102">
        <v>491</v>
      </c>
      <c r="B769" s="103">
        <v>387</v>
      </c>
      <c r="C769" s="104" t="s">
        <v>384</v>
      </c>
      <c r="D769" s="105" t="s">
        <v>375</v>
      </c>
    </row>
    <row r="770" spans="1:4" x14ac:dyDescent="0.35">
      <c r="A770" s="102">
        <v>492</v>
      </c>
      <c r="B770" s="103">
        <v>388</v>
      </c>
      <c r="C770" s="104" t="s">
        <v>385</v>
      </c>
      <c r="D770" s="105" t="s">
        <v>375</v>
      </c>
    </row>
    <row r="771" spans="1:4" x14ac:dyDescent="0.35">
      <c r="A771" s="102">
        <v>493</v>
      </c>
      <c r="B771" s="103">
        <v>389</v>
      </c>
      <c r="C771" s="104" t="s">
        <v>386</v>
      </c>
      <c r="D771" s="105" t="s">
        <v>375</v>
      </c>
    </row>
    <row r="772" spans="1:4" x14ac:dyDescent="0.35">
      <c r="A772" s="102">
        <v>494</v>
      </c>
      <c r="B772" s="103">
        <v>390</v>
      </c>
      <c r="C772" s="104" t="s">
        <v>387</v>
      </c>
      <c r="D772" s="105" t="s">
        <v>375</v>
      </c>
    </row>
    <row r="773" spans="1:4" x14ac:dyDescent="0.35">
      <c r="A773" s="102">
        <v>495</v>
      </c>
      <c r="B773" s="103">
        <v>391</v>
      </c>
      <c r="C773" s="104" t="s">
        <v>388</v>
      </c>
      <c r="D773" s="105" t="s">
        <v>375</v>
      </c>
    </row>
    <row r="774" spans="1:4" x14ac:dyDescent="0.35">
      <c r="A774" s="102">
        <v>496</v>
      </c>
      <c r="B774" s="103">
        <v>392</v>
      </c>
      <c r="C774" s="104" t="s">
        <v>389</v>
      </c>
      <c r="D774" s="105" t="s">
        <v>375</v>
      </c>
    </row>
    <row r="775" spans="1:4" x14ac:dyDescent="0.35">
      <c r="A775" s="102">
        <v>497</v>
      </c>
      <c r="B775" s="103">
        <v>393</v>
      </c>
      <c r="C775" s="104" t="s">
        <v>390</v>
      </c>
      <c r="D775" s="105" t="s">
        <v>375</v>
      </c>
    </row>
    <row r="776" spans="1:4" x14ac:dyDescent="0.35">
      <c r="A776" s="102">
        <v>498</v>
      </c>
      <c r="B776" s="103">
        <v>394</v>
      </c>
      <c r="C776" s="104" t="s">
        <v>391</v>
      </c>
      <c r="D776" s="105" t="s">
        <v>375</v>
      </c>
    </row>
    <row r="777" spans="1:4" x14ac:dyDescent="0.35">
      <c r="A777" s="102">
        <v>701</v>
      </c>
      <c r="B777" s="103">
        <v>343</v>
      </c>
      <c r="C777" s="104" t="s">
        <v>392</v>
      </c>
      <c r="D777" s="105" t="s">
        <v>220</v>
      </c>
    </row>
    <row r="778" spans="1:4" x14ac:dyDescent="0.35">
      <c r="A778" s="102">
        <v>702</v>
      </c>
      <c r="B778" s="103">
        <v>344</v>
      </c>
      <c r="C778" s="104" t="s">
        <v>392</v>
      </c>
      <c r="D778" s="105" t="s">
        <v>220</v>
      </c>
    </row>
    <row r="779" spans="1:4" x14ac:dyDescent="0.35">
      <c r="A779" s="102">
        <v>703</v>
      </c>
      <c r="B779" s="103">
        <v>317</v>
      </c>
      <c r="C779" s="104" t="s">
        <v>326</v>
      </c>
      <c r="D779" s="105" t="s">
        <v>220</v>
      </c>
    </row>
    <row r="780" spans="1:4" x14ac:dyDescent="0.35">
      <c r="A780" s="102">
        <v>704</v>
      </c>
      <c r="B780" s="103">
        <v>318</v>
      </c>
      <c r="C780" s="104" t="s">
        <v>326</v>
      </c>
      <c r="D780" s="105" t="s">
        <v>220</v>
      </c>
    </row>
    <row r="781" spans="1:4" x14ac:dyDescent="0.35">
      <c r="A781" s="102">
        <v>705</v>
      </c>
      <c r="B781" s="103">
        <v>319</v>
      </c>
      <c r="C781" s="104" t="s">
        <v>326</v>
      </c>
      <c r="D781" s="105" t="s">
        <v>220</v>
      </c>
    </row>
    <row r="782" spans="1:4" x14ac:dyDescent="0.35">
      <c r="A782" s="102">
        <v>706</v>
      </c>
      <c r="B782" s="103">
        <v>320</v>
      </c>
      <c r="C782" s="104" t="s">
        <v>326</v>
      </c>
      <c r="D782" s="105" t="s">
        <v>220</v>
      </c>
    </row>
    <row r="783" spans="1:4" x14ac:dyDescent="0.35">
      <c r="A783" s="102">
        <v>707</v>
      </c>
      <c r="B783" s="103">
        <v>321</v>
      </c>
      <c r="C783" s="104" t="s">
        <v>326</v>
      </c>
      <c r="D783" s="105" t="s">
        <v>220</v>
      </c>
    </row>
    <row r="784" spans="1:4" x14ac:dyDescent="0.35">
      <c r="A784" s="102">
        <v>708</v>
      </c>
      <c r="B784" s="103">
        <v>322</v>
      </c>
      <c r="C784" s="104" t="s">
        <v>326</v>
      </c>
      <c r="D784" s="105" t="s">
        <v>220</v>
      </c>
    </row>
    <row r="785" spans="1:4" x14ac:dyDescent="0.35">
      <c r="A785" s="102">
        <v>709</v>
      </c>
      <c r="B785" s="103">
        <v>323</v>
      </c>
      <c r="C785" s="104" t="s">
        <v>326</v>
      </c>
      <c r="D785" s="105" t="s">
        <v>220</v>
      </c>
    </row>
    <row r="786" spans="1:4" x14ac:dyDescent="0.35">
      <c r="A786" s="102">
        <v>710</v>
      </c>
      <c r="B786" s="103">
        <v>324</v>
      </c>
      <c r="C786" s="104" t="s">
        <v>326</v>
      </c>
      <c r="D786" s="105" t="s">
        <v>220</v>
      </c>
    </row>
    <row r="787" spans="1:4" x14ac:dyDescent="0.35">
      <c r="A787" s="102">
        <v>711</v>
      </c>
      <c r="B787" s="103">
        <v>325</v>
      </c>
      <c r="C787" s="104" t="s">
        <v>326</v>
      </c>
      <c r="D787" s="105" t="s">
        <v>220</v>
      </c>
    </row>
    <row r="788" spans="1:4" x14ac:dyDescent="0.35">
      <c r="A788" s="102">
        <v>712</v>
      </c>
      <c r="B788" s="103">
        <v>326</v>
      </c>
      <c r="C788" s="104" t="s">
        <v>393</v>
      </c>
      <c r="D788" s="105" t="s">
        <v>220</v>
      </c>
    </row>
    <row r="789" spans="1:4" x14ac:dyDescent="0.35">
      <c r="A789" s="102">
        <v>713</v>
      </c>
      <c r="B789" s="103">
        <v>328</v>
      </c>
      <c r="C789" s="104" t="s">
        <v>393</v>
      </c>
      <c r="D789" s="105" t="s">
        <v>220</v>
      </c>
    </row>
    <row r="790" spans="1:4" x14ac:dyDescent="0.35">
      <c r="A790" s="102">
        <v>714</v>
      </c>
      <c r="B790" s="103">
        <v>329</v>
      </c>
      <c r="C790" s="104" t="s">
        <v>393</v>
      </c>
      <c r="D790" s="105" t="s">
        <v>220</v>
      </c>
    </row>
    <row r="791" spans="1:4" x14ac:dyDescent="0.35">
      <c r="A791" s="102">
        <v>715</v>
      </c>
      <c r="B791" s="103">
        <v>330</v>
      </c>
      <c r="C791" s="104" t="s">
        <v>393</v>
      </c>
      <c r="D791" s="105" t="s">
        <v>220</v>
      </c>
    </row>
    <row r="792" spans="1:4" x14ac:dyDescent="0.35">
      <c r="A792" s="102">
        <v>716</v>
      </c>
      <c r="B792" s="103">
        <v>339</v>
      </c>
      <c r="C792" s="104" t="s">
        <v>394</v>
      </c>
      <c r="D792" s="105" t="s">
        <v>220</v>
      </c>
    </row>
    <row r="793" spans="1:4" x14ac:dyDescent="0.35">
      <c r="A793" s="102">
        <v>717</v>
      </c>
      <c r="B793" s="103">
        <v>340</v>
      </c>
      <c r="C793" s="104" t="s">
        <v>394</v>
      </c>
      <c r="D793" s="105" t="s">
        <v>220</v>
      </c>
    </row>
    <row r="794" spans="1:4" x14ac:dyDescent="0.35">
      <c r="A794" s="102">
        <v>718</v>
      </c>
      <c r="B794" s="103">
        <v>341</v>
      </c>
      <c r="C794" s="104" t="s">
        <v>395</v>
      </c>
      <c r="D794" s="105" t="s">
        <v>220</v>
      </c>
    </row>
    <row r="795" spans="1:4" x14ac:dyDescent="0.35">
      <c r="A795" s="102">
        <v>719</v>
      </c>
      <c r="B795" s="103">
        <v>342</v>
      </c>
      <c r="C795" s="104" t="s">
        <v>395</v>
      </c>
      <c r="D795" s="105" t="s">
        <v>220</v>
      </c>
    </row>
    <row r="796" spans="1:4" x14ac:dyDescent="0.35">
      <c r="A796" s="102">
        <v>720</v>
      </c>
      <c r="B796" s="103">
        <v>331</v>
      </c>
      <c r="C796" s="104" t="s">
        <v>259</v>
      </c>
      <c r="D796" s="105">
        <v>1</v>
      </c>
    </row>
    <row r="797" spans="1:4" x14ac:dyDescent="0.35">
      <c r="A797" s="102">
        <v>720</v>
      </c>
      <c r="B797" s="103">
        <v>332</v>
      </c>
      <c r="C797" s="104" t="s">
        <v>259</v>
      </c>
      <c r="D797" s="105">
        <v>1</v>
      </c>
    </row>
    <row r="798" spans="1:4" x14ac:dyDescent="0.35">
      <c r="A798" s="102">
        <v>720</v>
      </c>
      <c r="B798" s="103">
        <v>333</v>
      </c>
      <c r="C798" s="104" t="s">
        <v>259</v>
      </c>
      <c r="D798" s="105">
        <v>2</v>
      </c>
    </row>
    <row r="799" spans="1:4" x14ac:dyDescent="0.35">
      <c r="A799" s="102">
        <v>721</v>
      </c>
      <c r="B799" s="103">
        <v>327</v>
      </c>
      <c r="C799" s="104" t="s">
        <v>396</v>
      </c>
      <c r="D799" s="105">
        <v>2</v>
      </c>
    </row>
    <row r="800" spans="1:4" x14ac:dyDescent="0.35">
      <c r="A800" s="102">
        <v>721</v>
      </c>
      <c r="B800" s="103">
        <v>336</v>
      </c>
      <c r="C800" s="104" t="s">
        <v>396</v>
      </c>
      <c r="D800" s="105">
        <v>1</v>
      </c>
    </row>
    <row r="801" spans="1:4" x14ac:dyDescent="0.35">
      <c r="A801" s="102">
        <v>722</v>
      </c>
      <c r="B801" s="103">
        <v>13067</v>
      </c>
      <c r="C801" s="104" t="s">
        <v>396</v>
      </c>
      <c r="D801" s="105">
        <v>2</v>
      </c>
    </row>
    <row r="802" spans="1:4" x14ac:dyDescent="0.35">
      <c r="A802" s="102">
        <v>722</v>
      </c>
      <c r="B802" s="103">
        <v>13068</v>
      </c>
      <c r="C802" s="104" t="s">
        <v>396</v>
      </c>
      <c r="D802" s="105">
        <v>1</v>
      </c>
    </row>
    <row r="803" spans="1:4" x14ac:dyDescent="0.35">
      <c r="A803" s="102">
        <v>723</v>
      </c>
      <c r="B803" s="103">
        <v>13070</v>
      </c>
      <c r="C803" s="104" t="s">
        <v>396</v>
      </c>
      <c r="D803" s="105">
        <v>2</v>
      </c>
    </row>
    <row r="804" spans="1:4" x14ac:dyDescent="0.35">
      <c r="A804" s="102">
        <v>723</v>
      </c>
      <c r="B804" s="103">
        <v>13071</v>
      </c>
      <c r="C804" s="104" t="s">
        <v>396</v>
      </c>
      <c r="D804" s="105">
        <v>1</v>
      </c>
    </row>
    <row r="805" spans="1:4" x14ac:dyDescent="0.35">
      <c r="A805" s="102">
        <v>724</v>
      </c>
      <c r="B805" s="103">
        <v>13073</v>
      </c>
      <c r="C805" s="104" t="s">
        <v>396</v>
      </c>
      <c r="D805" s="105">
        <v>2</v>
      </c>
    </row>
    <row r="806" spans="1:4" x14ac:dyDescent="0.35">
      <c r="A806" s="102">
        <v>724</v>
      </c>
      <c r="B806" s="103">
        <v>13074</v>
      </c>
      <c r="C806" s="104" t="s">
        <v>396</v>
      </c>
      <c r="D806" s="105">
        <v>1</v>
      </c>
    </row>
    <row r="807" spans="1:4" x14ac:dyDescent="0.35">
      <c r="A807" s="102">
        <v>725</v>
      </c>
      <c r="B807" s="103">
        <v>13076</v>
      </c>
      <c r="C807" s="104" t="s">
        <v>396</v>
      </c>
      <c r="D807" s="105">
        <v>2</v>
      </c>
    </row>
    <row r="808" spans="1:4" x14ac:dyDescent="0.35">
      <c r="A808" s="102">
        <v>725</v>
      </c>
      <c r="B808" s="103">
        <v>13077</v>
      </c>
      <c r="C808" s="104" t="s">
        <v>396</v>
      </c>
      <c r="D808" s="105">
        <v>1</v>
      </c>
    </row>
    <row r="809" spans="1:4" x14ac:dyDescent="0.35">
      <c r="A809" s="102">
        <v>726</v>
      </c>
      <c r="B809" s="103">
        <v>13079</v>
      </c>
      <c r="C809" s="104" t="s">
        <v>396</v>
      </c>
      <c r="D809" s="105">
        <v>2</v>
      </c>
    </row>
    <row r="810" spans="1:4" x14ac:dyDescent="0.35">
      <c r="A810" s="102">
        <v>726</v>
      </c>
      <c r="B810" s="103">
        <v>13080</v>
      </c>
      <c r="C810" s="104" t="s">
        <v>396</v>
      </c>
      <c r="D810" s="105">
        <v>1</v>
      </c>
    </row>
    <row r="811" spans="1:4" x14ac:dyDescent="0.35">
      <c r="A811" s="102">
        <v>727</v>
      </c>
      <c r="B811" s="103">
        <v>13032</v>
      </c>
      <c r="C811" s="104" t="s">
        <v>396</v>
      </c>
      <c r="D811" s="105">
        <v>2</v>
      </c>
    </row>
    <row r="812" spans="1:4" x14ac:dyDescent="0.35">
      <c r="A812" s="102">
        <v>727</v>
      </c>
      <c r="B812" s="103">
        <v>13033</v>
      </c>
      <c r="C812" s="104" t="s">
        <v>396</v>
      </c>
      <c r="D812" s="105">
        <v>1</v>
      </c>
    </row>
    <row r="813" spans="1:4" x14ac:dyDescent="0.35">
      <c r="A813" s="102">
        <v>728</v>
      </c>
      <c r="B813" s="103">
        <v>13034</v>
      </c>
      <c r="C813" s="104" t="s">
        <v>397</v>
      </c>
      <c r="D813" s="105">
        <v>2</v>
      </c>
    </row>
    <row r="814" spans="1:4" x14ac:dyDescent="0.35">
      <c r="A814" s="102">
        <v>729</v>
      </c>
      <c r="B814" s="103">
        <v>13035</v>
      </c>
      <c r="C814" s="104" t="s">
        <v>396</v>
      </c>
      <c r="D814" s="105">
        <v>2</v>
      </c>
    </row>
    <row r="815" spans="1:4" x14ac:dyDescent="0.35">
      <c r="A815" s="102">
        <v>729</v>
      </c>
      <c r="B815" s="103">
        <v>13036</v>
      </c>
      <c r="C815" s="104" t="s">
        <v>396</v>
      </c>
      <c r="D815" s="105">
        <v>1</v>
      </c>
    </row>
    <row r="816" spans="1:4" x14ac:dyDescent="0.35">
      <c r="A816" s="102">
        <v>730</v>
      </c>
      <c r="B816" s="103">
        <v>13037</v>
      </c>
      <c r="C816" s="104" t="s">
        <v>397</v>
      </c>
      <c r="D816" s="105">
        <v>2</v>
      </c>
    </row>
    <row r="817" spans="1:4" x14ac:dyDescent="0.35">
      <c r="A817" s="102">
        <v>731</v>
      </c>
      <c r="B817" s="103">
        <v>13038</v>
      </c>
      <c r="C817" s="104" t="s">
        <v>396</v>
      </c>
      <c r="D817" s="105">
        <v>2</v>
      </c>
    </row>
    <row r="818" spans="1:4" x14ac:dyDescent="0.35">
      <c r="A818" s="102">
        <v>731</v>
      </c>
      <c r="B818" s="103">
        <v>13039</v>
      </c>
      <c r="C818" s="104" t="s">
        <v>396</v>
      </c>
      <c r="D818" s="105">
        <v>1</v>
      </c>
    </row>
    <row r="819" spans="1:4" x14ac:dyDescent="0.35">
      <c r="A819" s="102">
        <v>732</v>
      </c>
      <c r="B819" s="103">
        <v>13040</v>
      </c>
      <c r="C819" s="104" t="s">
        <v>397</v>
      </c>
      <c r="D819" s="105">
        <v>2</v>
      </c>
    </row>
    <row r="820" spans="1:4" x14ac:dyDescent="0.35">
      <c r="A820" s="102">
        <v>733</v>
      </c>
      <c r="B820" s="103">
        <v>13041</v>
      </c>
      <c r="C820" s="104" t="s">
        <v>396</v>
      </c>
      <c r="D820" s="105">
        <v>2</v>
      </c>
    </row>
    <row r="821" spans="1:4" x14ac:dyDescent="0.35">
      <c r="A821" s="102">
        <v>733</v>
      </c>
      <c r="B821" s="103">
        <v>13042</v>
      </c>
      <c r="C821" s="104" t="s">
        <v>396</v>
      </c>
      <c r="D821" s="105">
        <v>1</v>
      </c>
    </row>
    <row r="822" spans="1:4" x14ac:dyDescent="0.35">
      <c r="A822" s="102">
        <v>734</v>
      </c>
      <c r="B822" s="103">
        <v>13043</v>
      </c>
      <c r="C822" s="104" t="s">
        <v>397</v>
      </c>
      <c r="D822" s="105">
        <v>2</v>
      </c>
    </row>
    <row r="823" spans="1:4" x14ac:dyDescent="0.35">
      <c r="A823" s="102">
        <v>735</v>
      </c>
      <c r="B823" s="103">
        <v>13044</v>
      </c>
      <c r="C823" s="104" t="s">
        <v>396</v>
      </c>
      <c r="D823" s="105">
        <v>2</v>
      </c>
    </row>
    <row r="824" spans="1:4" x14ac:dyDescent="0.35">
      <c r="A824" s="102">
        <v>735</v>
      </c>
      <c r="B824" s="103">
        <v>13045</v>
      </c>
      <c r="C824" s="104" t="s">
        <v>396</v>
      </c>
      <c r="D824" s="105">
        <v>1</v>
      </c>
    </row>
    <row r="825" spans="1:4" x14ac:dyDescent="0.35">
      <c r="A825" s="102">
        <v>736</v>
      </c>
      <c r="B825" s="103">
        <v>13046</v>
      </c>
      <c r="C825" s="104" t="s">
        <v>397</v>
      </c>
      <c r="D825" s="105">
        <v>2</v>
      </c>
    </row>
    <row r="826" spans="1:4" x14ac:dyDescent="0.35">
      <c r="A826" s="102">
        <v>737</v>
      </c>
      <c r="B826" s="103">
        <v>13047</v>
      </c>
      <c r="C826" s="104" t="s">
        <v>396</v>
      </c>
      <c r="D826" s="105">
        <v>2</v>
      </c>
    </row>
    <row r="827" spans="1:4" x14ac:dyDescent="0.35">
      <c r="A827" s="102">
        <v>737</v>
      </c>
      <c r="B827" s="103">
        <v>13048</v>
      </c>
      <c r="C827" s="104" t="s">
        <v>396</v>
      </c>
      <c r="D827" s="105">
        <v>1</v>
      </c>
    </row>
    <row r="828" spans="1:4" x14ac:dyDescent="0.35">
      <c r="A828" s="102">
        <v>738</v>
      </c>
      <c r="B828" s="103">
        <v>13049</v>
      </c>
      <c r="C828" s="104" t="s">
        <v>397</v>
      </c>
      <c r="D828" s="105">
        <v>2</v>
      </c>
    </row>
    <row r="829" spans="1:4" x14ac:dyDescent="0.35">
      <c r="A829" s="102">
        <v>739</v>
      </c>
      <c r="B829" s="103">
        <v>13050</v>
      </c>
      <c r="C829" s="104" t="s">
        <v>396</v>
      </c>
      <c r="D829" s="105">
        <v>2</v>
      </c>
    </row>
    <row r="830" spans="1:4" x14ac:dyDescent="0.35">
      <c r="A830" s="102">
        <v>739</v>
      </c>
      <c r="B830" s="103">
        <v>13051</v>
      </c>
      <c r="C830" s="104" t="s">
        <v>396</v>
      </c>
      <c r="D830" s="105">
        <v>1</v>
      </c>
    </row>
    <row r="831" spans="1:4" x14ac:dyDescent="0.35">
      <c r="A831" s="102">
        <v>740</v>
      </c>
      <c r="B831" s="103">
        <v>13052</v>
      </c>
      <c r="C831" s="104" t="s">
        <v>397</v>
      </c>
      <c r="D831" s="105">
        <v>2</v>
      </c>
    </row>
    <row r="832" spans="1:4" x14ac:dyDescent="0.35">
      <c r="A832" s="102">
        <v>741</v>
      </c>
      <c r="B832" s="103">
        <v>13053</v>
      </c>
      <c r="C832" s="104" t="s">
        <v>396</v>
      </c>
      <c r="D832" s="105">
        <v>2</v>
      </c>
    </row>
    <row r="833" spans="1:4" x14ac:dyDescent="0.35">
      <c r="A833" s="102">
        <v>741</v>
      </c>
      <c r="B833" s="103">
        <v>13054</v>
      </c>
      <c r="C833" s="104" t="s">
        <v>396</v>
      </c>
      <c r="D833" s="105">
        <v>1</v>
      </c>
    </row>
    <row r="834" spans="1:4" x14ac:dyDescent="0.35">
      <c r="A834" s="102">
        <v>742</v>
      </c>
      <c r="B834" s="103">
        <v>13055</v>
      </c>
      <c r="C834" s="104" t="s">
        <v>397</v>
      </c>
      <c r="D834" s="105">
        <v>2</v>
      </c>
    </row>
    <row r="835" spans="1:4" x14ac:dyDescent="0.35">
      <c r="A835" s="102">
        <v>743</v>
      </c>
      <c r="B835" s="103">
        <v>13056</v>
      </c>
      <c r="C835" s="104" t="s">
        <v>396</v>
      </c>
      <c r="D835" s="105">
        <v>2</v>
      </c>
    </row>
    <row r="836" spans="1:4" x14ac:dyDescent="0.35">
      <c r="A836" s="102">
        <v>743</v>
      </c>
      <c r="B836" s="103">
        <v>13057</v>
      </c>
      <c r="C836" s="104" t="s">
        <v>396</v>
      </c>
      <c r="D836" s="105">
        <v>1</v>
      </c>
    </row>
    <row r="837" spans="1:4" x14ac:dyDescent="0.35">
      <c r="A837" s="102">
        <v>744</v>
      </c>
      <c r="B837" s="103">
        <v>13058</v>
      </c>
      <c r="C837" s="104" t="s">
        <v>397</v>
      </c>
      <c r="D837" s="105">
        <v>2</v>
      </c>
    </row>
    <row r="838" spans="1:4" x14ac:dyDescent="0.35">
      <c r="A838" s="102">
        <v>745</v>
      </c>
      <c r="B838" s="103">
        <v>13059</v>
      </c>
      <c r="C838" s="104" t="s">
        <v>396</v>
      </c>
      <c r="D838" s="105">
        <v>2</v>
      </c>
    </row>
    <row r="839" spans="1:4" x14ac:dyDescent="0.35">
      <c r="A839" s="102">
        <v>745</v>
      </c>
      <c r="B839" s="103">
        <v>13060</v>
      </c>
      <c r="C839" s="104" t="s">
        <v>396</v>
      </c>
      <c r="D839" s="105">
        <v>1</v>
      </c>
    </row>
    <row r="840" spans="1:4" x14ac:dyDescent="0.35">
      <c r="A840" s="102">
        <v>746</v>
      </c>
      <c r="B840" s="103">
        <v>13061</v>
      </c>
      <c r="C840" s="104" t="s">
        <v>397</v>
      </c>
      <c r="D840" s="105">
        <v>2</v>
      </c>
    </row>
    <row r="841" spans="1:4" x14ac:dyDescent="0.35">
      <c r="A841" s="102">
        <v>747</v>
      </c>
      <c r="B841" s="103">
        <v>13062</v>
      </c>
      <c r="C841" s="104" t="s">
        <v>396</v>
      </c>
      <c r="D841" s="105">
        <v>2</v>
      </c>
    </row>
    <row r="842" spans="1:4" x14ac:dyDescent="0.35">
      <c r="A842" s="102">
        <v>747</v>
      </c>
      <c r="B842" s="103">
        <v>13063</v>
      </c>
      <c r="C842" s="104" t="s">
        <v>396</v>
      </c>
      <c r="D842" s="105">
        <v>1</v>
      </c>
    </row>
    <row r="843" spans="1:4" x14ac:dyDescent="0.35">
      <c r="A843" s="102">
        <v>748</v>
      </c>
      <c r="B843" s="103">
        <v>13064</v>
      </c>
      <c r="C843" s="104" t="s">
        <v>396</v>
      </c>
      <c r="D843" s="105">
        <v>2</v>
      </c>
    </row>
    <row r="844" spans="1:4" x14ac:dyDescent="0.35">
      <c r="A844" s="102">
        <v>748</v>
      </c>
      <c r="B844" s="103">
        <v>13065</v>
      </c>
      <c r="C844" s="104" t="s">
        <v>396</v>
      </c>
      <c r="D844" s="105">
        <v>1</v>
      </c>
    </row>
    <row r="845" spans="1:4" x14ac:dyDescent="0.35">
      <c r="A845" s="102">
        <v>749</v>
      </c>
      <c r="B845" s="103">
        <v>13066</v>
      </c>
      <c r="C845" s="104" t="s">
        <v>397</v>
      </c>
      <c r="D845" s="105">
        <v>2</v>
      </c>
    </row>
    <row r="846" spans="1:4" x14ac:dyDescent="0.35">
      <c r="A846" s="102">
        <v>752</v>
      </c>
      <c r="B846" s="103">
        <v>13011</v>
      </c>
      <c r="C846" s="104" t="s">
        <v>396</v>
      </c>
      <c r="D846" s="105">
        <v>2</v>
      </c>
    </row>
    <row r="847" spans="1:4" x14ac:dyDescent="0.35">
      <c r="A847" s="102">
        <v>752</v>
      </c>
      <c r="B847" s="103">
        <v>13012</v>
      </c>
      <c r="C847" s="104" t="s">
        <v>396</v>
      </c>
      <c r="D847" s="105">
        <v>1</v>
      </c>
    </row>
    <row r="848" spans="1:4" x14ac:dyDescent="0.35">
      <c r="A848" s="102">
        <v>753</v>
      </c>
      <c r="B848" s="103">
        <v>13013</v>
      </c>
      <c r="C848" s="104" t="s">
        <v>398</v>
      </c>
      <c r="D848" s="105">
        <v>2</v>
      </c>
    </row>
    <row r="849" spans="1:4" x14ac:dyDescent="0.35">
      <c r="A849" s="102">
        <v>754</v>
      </c>
      <c r="B849" s="103">
        <v>13014</v>
      </c>
      <c r="C849" s="104" t="s">
        <v>396</v>
      </c>
      <c r="D849" s="105">
        <v>2</v>
      </c>
    </row>
    <row r="850" spans="1:4" x14ac:dyDescent="0.35">
      <c r="A850" s="102">
        <v>754</v>
      </c>
      <c r="B850" s="103">
        <v>13015</v>
      </c>
      <c r="C850" s="104" t="s">
        <v>396</v>
      </c>
      <c r="D850" s="105">
        <v>1</v>
      </c>
    </row>
    <row r="851" spans="1:4" x14ac:dyDescent="0.35">
      <c r="A851" s="102">
        <v>755</v>
      </c>
      <c r="B851" s="103">
        <v>13016</v>
      </c>
      <c r="C851" s="104" t="s">
        <v>398</v>
      </c>
      <c r="D851" s="105">
        <v>2</v>
      </c>
    </row>
    <row r="852" spans="1:4" x14ac:dyDescent="0.35">
      <c r="A852" s="102">
        <v>756</v>
      </c>
      <c r="B852" s="103">
        <v>13017</v>
      </c>
      <c r="C852" s="104" t="s">
        <v>396</v>
      </c>
      <c r="D852" s="105">
        <v>2</v>
      </c>
    </row>
    <row r="853" spans="1:4" x14ac:dyDescent="0.35">
      <c r="A853" s="102">
        <v>756</v>
      </c>
      <c r="B853" s="103">
        <v>13018</v>
      </c>
      <c r="C853" s="104" t="s">
        <v>396</v>
      </c>
      <c r="D853" s="105">
        <v>1</v>
      </c>
    </row>
    <row r="854" spans="1:4" x14ac:dyDescent="0.35">
      <c r="A854" s="102">
        <v>757</v>
      </c>
      <c r="B854" s="103">
        <v>13019</v>
      </c>
      <c r="C854" s="104" t="s">
        <v>398</v>
      </c>
      <c r="D854" s="105">
        <v>2</v>
      </c>
    </row>
    <row r="855" spans="1:4" x14ac:dyDescent="0.35">
      <c r="A855" s="102">
        <v>758</v>
      </c>
      <c r="B855" s="103">
        <v>13020</v>
      </c>
      <c r="C855" s="104" t="s">
        <v>396</v>
      </c>
      <c r="D855" s="105">
        <v>2</v>
      </c>
    </row>
    <row r="856" spans="1:4" x14ac:dyDescent="0.35">
      <c r="A856" s="102">
        <v>758</v>
      </c>
      <c r="B856" s="103">
        <v>13021</v>
      </c>
      <c r="C856" s="104" t="s">
        <v>396</v>
      </c>
      <c r="D856" s="105">
        <v>1</v>
      </c>
    </row>
    <row r="857" spans="1:4" x14ac:dyDescent="0.35">
      <c r="A857" s="102">
        <v>759</v>
      </c>
      <c r="B857" s="103">
        <v>13022</v>
      </c>
      <c r="C857" s="104" t="s">
        <v>398</v>
      </c>
      <c r="D857" s="105">
        <v>2</v>
      </c>
    </row>
    <row r="858" spans="1:4" x14ac:dyDescent="0.35">
      <c r="A858" s="102">
        <v>760</v>
      </c>
      <c r="B858" s="103">
        <v>13023</v>
      </c>
      <c r="C858" s="104" t="s">
        <v>396</v>
      </c>
      <c r="D858" s="105">
        <v>2</v>
      </c>
    </row>
    <row r="859" spans="1:4" x14ac:dyDescent="0.35">
      <c r="A859" s="102">
        <v>760</v>
      </c>
      <c r="B859" s="103">
        <v>13024</v>
      </c>
      <c r="C859" s="104" t="s">
        <v>396</v>
      </c>
      <c r="D859" s="105">
        <v>1</v>
      </c>
    </row>
    <row r="860" spans="1:4" x14ac:dyDescent="0.35">
      <c r="A860" s="102">
        <v>761</v>
      </c>
      <c r="B860" s="103">
        <v>13025</v>
      </c>
      <c r="C860" s="104" t="s">
        <v>398</v>
      </c>
      <c r="D860" s="105">
        <v>2</v>
      </c>
    </row>
    <row r="861" spans="1:4" x14ac:dyDescent="0.35">
      <c r="A861" s="102">
        <v>762</v>
      </c>
      <c r="B861" s="103">
        <v>13026</v>
      </c>
      <c r="C861" s="104" t="s">
        <v>396</v>
      </c>
      <c r="D861" s="105">
        <v>2</v>
      </c>
    </row>
    <row r="862" spans="1:4" x14ac:dyDescent="0.35">
      <c r="A862" s="102">
        <v>762</v>
      </c>
      <c r="B862" s="103">
        <v>13027</v>
      </c>
      <c r="C862" s="104" t="s">
        <v>396</v>
      </c>
      <c r="D862" s="105">
        <v>1</v>
      </c>
    </row>
    <row r="863" spans="1:4" x14ac:dyDescent="0.35">
      <c r="A863" s="102">
        <v>763</v>
      </c>
      <c r="B863" s="103">
        <v>13028</v>
      </c>
      <c r="C863" s="104" t="s">
        <v>398</v>
      </c>
      <c r="D863" s="105">
        <v>2</v>
      </c>
    </row>
    <row r="864" spans="1:4" x14ac:dyDescent="0.35">
      <c r="A864" s="102">
        <v>764</v>
      </c>
      <c r="B864" s="103">
        <v>13002</v>
      </c>
      <c r="C864" s="104" t="s">
        <v>396</v>
      </c>
      <c r="D864" s="105">
        <v>2</v>
      </c>
    </row>
    <row r="865" spans="1:4" x14ac:dyDescent="0.35">
      <c r="A865" s="102">
        <v>764</v>
      </c>
      <c r="B865" s="103">
        <v>13003</v>
      </c>
      <c r="C865" s="104" t="s">
        <v>396</v>
      </c>
      <c r="D865" s="105">
        <v>1</v>
      </c>
    </row>
    <row r="866" spans="1:4" x14ac:dyDescent="0.35">
      <c r="A866" s="102">
        <v>765</v>
      </c>
      <c r="B866" s="103">
        <v>13004</v>
      </c>
      <c r="C866" s="104" t="s">
        <v>398</v>
      </c>
      <c r="D866" s="105">
        <v>2</v>
      </c>
    </row>
    <row r="867" spans="1:4" x14ac:dyDescent="0.35">
      <c r="A867" s="102">
        <v>766</v>
      </c>
      <c r="B867" s="103">
        <v>13005</v>
      </c>
      <c r="C867" s="104" t="s">
        <v>396</v>
      </c>
      <c r="D867" s="105">
        <v>2</v>
      </c>
    </row>
    <row r="868" spans="1:4" x14ac:dyDescent="0.35">
      <c r="A868" s="102">
        <v>766</v>
      </c>
      <c r="B868" s="103">
        <v>13006</v>
      </c>
      <c r="C868" s="104" t="s">
        <v>396</v>
      </c>
      <c r="D868" s="105">
        <v>1</v>
      </c>
    </row>
    <row r="869" spans="1:4" x14ac:dyDescent="0.35">
      <c r="A869" s="102">
        <v>767</v>
      </c>
      <c r="B869" s="103">
        <v>13007</v>
      </c>
      <c r="C869" s="104" t="s">
        <v>398</v>
      </c>
      <c r="D869" s="105">
        <v>2</v>
      </c>
    </row>
    <row r="870" spans="1:4" x14ac:dyDescent="0.35">
      <c r="A870" s="102">
        <v>768</v>
      </c>
      <c r="B870" s="103">
        <v>13008</v>
      </c>
      <c r="C870" s="104" t="s">
        <v>396</v>
      </c>
      <c r="D870" s="105">
        <v>2</v>
      </c>
    </row>
    <row r="871" spans="1:4" x14ac:dyDescent="0.35">
      <c r="A871" s="102">
        <v>768</v>
      </c>
      <c r="B871" s="103">
        <v>13009</v>
      </c>
      <c r="C871" s="104" t="s">
        <v>396</v>
      </c>
      <c r="D871" s="105">
        <v>1</v>
      </c>
    </row>
    <row r="872" spans="1:4" x14ac:dyDescent="0.35">
      <c r="A872" s="102">
        <v>769</v>
      </c>
      <c r="B872" s="103">
        <v>13010</v>
      </c>
      <c r="C872" s="104" t="s">
        <v>398</v>
      </c>
      <c r="D872" s="105">
        <v>2</v>
      </c>
    </row>
    <row r="873" spans="1:4" x14ac:dyDescent="0.35">
      <c r="A873" s="102">
        <v>770</v>
      </c>
      <c r="B873" s="103">
        <v>13001</v>
      </c>
      <c r="C873" s="104" t="s">
        <v>399</v>
      </c>
      <c r="D873" s="105">
        <v>2</v>
      </c>
    </row>
    <row r="874" spans="1:4" x14ac:dyDescent="0.35">
      <c r="A874" s="102">
        <v>775</v>
      </c>
      <c r="B874" s="103">
        <v>334</v>
      </c>
      <c r="C874" s="104" t="s">
        <v>400</v>
      </c>
      <c r="D874" s="105" t="s">
        <v>220</v>
      </c>
    </row>
    <row r="875" spans="1:4" x14ac:dyDescent="0.35">
      <c r="A875" s="102">
        <v>776</v>
      </c>
      <c r="B875" s="103">
        <v>335</v>
      </c>
      <c r="C875" s="104" t="s">
        <v>400</v>
      </c>
      <c r="D875" s="105" t="s">
        <v>220</v>
      </c>
    </row>
    <row r="876" spans="1:4" x14ac:dyDescent="0.35">
      <c r="A876" s="102">
        <v>781</v>
      </c>
      <c r="B876" s="103">
        <v>327</v>
      </c>
      <c r="C876" s="104" t="s">
        <v>396</v>
      </c>
      <c r="D876" s="105" t="s">
        <v>220</v>
      </c>
    </row>
    <row r="877" spans="1:4" x14ac:dyDescent="0.35">
      <c r="A877" s="102">
        <v>782</v>
      </c>
      <c r="B877" s="103">
        <v>13069</v>
      </c>
      <c r="C877" s="104" t="s">
        <v>396</v>
      </c>
      <c r="D877" s="105">
        <v>1</v>
      </c>
    </row>
    <row r="878" spans="1:4" x14ac:dyDescent="0.35">
      <c r="A878" s="102">
        <v>783</v>
      </c>
      <c r="B878" s="103">
        <v>13072</v>
      </c>
      <c r="C878" s="104" t="s">
        <v>396</v>
      </c>
      <c r="D878" s="105">
        <v>1</v>
      </c>
    </row>
    <row r="879" spans="1:4" x14ac:dyDescent="0.35">
      <c r="A879" s="102">
        <v>784</v>
      </c>
      <c r="B879" s="103">
        <v>13075</v>
      </c>
      <c r="C879" s="104" t="s">
        <v>396</v>
      </c>
      <c r="D879" s="105">
        <v>1</v>
      </c>
    </row>
    <row r="880" spans="1:4" x14ac:dyDescent="0.35">
      <c r="A880" s="102">
        <v>785</v>
      </c>
      <c r="B880" s="103">
        <v>13078</v>
      </c>
      <c r="C880" s="104" t="s">
        <v>396</v>
      </c>
      <c r="D880" s="105">
        <v>1</v>
      </c>
    </row>
    <row r="881" spans="1:4" x14ac:dyDescent="0.35">
      <c r="A881" s="102">
        <v>786</v>
      </c>
      <c r="B881" s="103">
        <v>13081</v>
      </c>
      <c r="C881" s="104" t="s">
        <v>396</v>
      </c>
      <c r="D881" s="105">
        <v>1</v>
      </c>
    </row>
    <row r="882" spans="1:4" x14ac:dyDescent="0.35">
      <c r="A882" s="102">
        <v>787</v>
      </c>
      <c r="B882" s="103">
        <v>13082</v>
      </c>
      <c r="C882" s="104" t="s">
        <v>401</v>
      </c>
      <c r="D882" s="105">
        <v>2</v>
      </c>
    </row>
    <row r="883" spans="1:4" x14ac:dyDescent="0.35">
      <c r="A883" s="102">
        <v>787</v>
      </c>
      <c r="B883" s="103">
        <v>13083</v>
      </c>
      <c r="C883" s="104" t="s">
        <v>401</v>
      </c>
      <c r="D883" s="105">
        <v>1</v>
      </c>
    </row>
    <row r="884" spans="1:4" x14ac:dyDescent="0.35">
      <c r="A884" s="102">
        <v>788</v>
      </c>
      <c r="B884" s="103">
        <v>13084</v>
      </c>
      <c r="C884" s="104" t="s">
        <v>402</v>
      </c>
      <c r="D884" s="105">
        <v>1</v>
      </c>
    </row>
    <row r="885" spans="1:4" x14ac:dyDescent="0.35">
      <c r="A885" s="102">
        <v>789</v>
      </c>
      <c r="B885" s="103">
        <v>13085</v>
      </c>
      <c r="C885" s="104" t="s">
        <v>403</v>
      </c>
      <c r="D885" s="105">
        <v>2</v>
      </c>
    </row>
    <row r="886" spans="1:4" x14ac:dyDescent="0.35">
      <c r="A886" s="102">
        <v>789</v>
      </c>
      <c r="B886" s="103">
        <v>13086</v>
      </c>
      <c r="C886" s="104" t="s">
        <v>403</v>
      </c>
      <c r="D886" s="105">
        <v>1</v>
      </c>
    </row>
    <row r="887" spans="1:4" x14ac:dyDescent="0.35">
      <c r="A887" s="102">
        <v>790</v>
      </c>
      <c r="B887" s="103">
        <v>13087</v>
      </c>
      <c r="C887" s="104" t="s">
        <v>404</v>
      </c>
      <c r="D887" s="105">
        <v>1</v>
      </c>
    </row>
    <row r="888" spans="1:4" x14ac:dyDescent="0.35">
      <c r="A888" s="102">
        <v>791</v>
      </c>
      <c r="B888" s="103">
        <v>13088</v>
      </c>
      <c r="C888" s="104" t="s">
        <v>405</v>
      </c>
      <c r="D888" s="105">
        <v>2</v>
      </c>
    </row>
    <row r="889" spans="1:4" x14ac:dyDescent="0.35">
      <c r="A889" s="102">
        <v>791</v>
      </c>
      <c r="B889" s="103">
        <v>13089</v>
      </c>
      <c r="C889" s="104" t="s">
        <v>405</v>
      </c>
      <c r="D889" s="105">
        <v>1</v>
      </c>
    </row>
    <row r="890" spans="1:4" x14ac:dyDescent="0.35">
      <c r="A890" s="102">
        <v>792</v>
      </c>
      <c r="B890" s="103">
        <v>13090</v>
      </c>
      <c r="C890" s="104" t="s">
        <v>406</v>
      </c>
      <c r="D890" s="105">
        <v>1</v>
      </c>
    </row>
    <row r="891" spans="1:4" x14ac:dyDescent="0.35">
      <c r="A891" s="102">
        <v>793</v>
      </c>
      <c r="B891" s="103">
        <v>13091</v>
      </c>
      <c r="C891" s="104" t="s">
        <v>396</v>
      </c>
      <c r="D891" s="105">
        <v>2</v>
      </c>
    </row>
    <row r="892" spans="1:4" x14ac:dyDescent="0.35">
      <c r="A892" s="102">
        <v>793</v>
      </c>
      <c r="B892" s="103">
        <v>13092</v>
      </c>
      <c r="C892" s="104" t="s">
        <v>396</v>
      </c>
      <c r="D892" s="105">
        <v>1</v>
      </c>
    </row>
    <row r="893" spans="1:4" x14ac:dyDescent="0.35">
      <c r="A893" s="102">
        <v>794</v>
      </c>
      <c r="B893" s="103">
        <v>13093</v>
      </c>
      <c r="C893" s="104" t="s">
        <v>397</v>
      </c>
      <c r="D893" s="105">
        <v>2</v>
      </c>
    </row>
    <row r="894" spans="1:4" x14ac:dyDescent="0.35">
      <c r="A894" s="102">
        <v>801</v>
      </c>
      <c r="B894" s="103">
        <v>306</v>
      </c>
      <c r="C894" s="104" t="s">
        <v>323</v>
      </c>
      <c r="D894" s="105">
        <v>1</v>
      </c>
    </row>
    <row r="895" spans="1:4" x14ac:dyDescent="0.35">
      <c r="A895" s="102">
        <v>802</v>
      </c>
      <c r="B895" s="103">
        <v>14005</v>
      </c>
      <c r="C895" s="104" t="s">
        <v>407</v>
      </c>
      <c r="D895" s="105">
        <v>2</v>
      </c>
    </row>
    <row r="896" spans="1:4" x14ac:dyDescent="0.35">
      <c r="A896" s="102">
        <v>802</v>
      </c>
      <c r="B896" s="103">
        <v>14006</v>
      </c>
      <c r="C896" s="104" t="s">
        <v>407</v>
      </c>
      <c r="D896" s="105">
        <v>1</v>
      </c>
    </row>
    <row r="897" spans="1:4" x14ac:dyDescent="0.35">
      <c r="A897" s="102">
        <v>803</v>
      </c>
      <c r="B897" s="103">
        <v>14007</v>
      </c>
      <c r="C897" s="104" t="s">
        <v>408</v>
      </c>
      <c r="D897" s="105" t="s">
        <v>220</v>
      </c>
    </row>
    <row r="898" spans="1:4" x14ac:dyDescent="0.35">
      <c r="A898" s="102">
        <v>804</v>
      </c>
      <c r="B898" s="103">
        <v>14008</v>
      </c>
      <c r="C898" s="104" t="s">
        <v>407</v>
      </c>
      <c r="D898" s="105">
        <v>2</v>
      </c>
    </row>
    <row r="899" spans="1:4" x14ac:dyDescent="0.35">
      <c r="A899" s="102">
        <v>804</v>
      </c>
      <c r="B899" s="103">
        <v>14009</v>
      </c>
      <c r="C899" s="104" t="s">
        <v>407</v>
      </c>
      <c r="D899" s="105">
        <v>1</v>
      </c>
    </row>
    <row r="900" spans="1:4" x14ac:dyDescent="0.35">
      <c r="A900" s="102">
        <v>805</v>
      </c>
      <c r="B900" s="103">
        <v>14010</v>
      </c>
      <c r="C900" s="104" t="s">
        <v>408</v>
      </c>
      <c r="D900" s="105" t="s">
        <v>220</v>
      </c>
    </row>
    <row r="901" spans="1:4" x14ac:dyDescent="0.35">
      <c r="A901" s="102">
        <v>806</v>
      </c>
      <c r="B901" s="103">
        <v>14011</v>
      </c>
      <c r="C901" s="104" t="s">
        <v>407</v>
      </c>
      <c r="D901" s="105">
        <v>2</v>
      </c>
    </row>
    <row r="902" spans="1:4" x14ac:dyDescent="0.35">
      <c r="A902" s="102">
        <v>806</v>
      </c>
      <c r="B902" s="103">
        <v>14012</v>
      </c>
      <c r="C902" s="104" t="s">
        <v>407</v>
      </c>
      <c r="D902" s="105">
        <v>1</v>
      </c>
    </row>
    <row r="903" spans="1:4" x14ac:dyDescent="0.35">
      <c r="A903" s="102">
        <v>807</v>
      </c>
      <c r="B903" s="103">
        <v>14013</v>
      </c>
      <c r="C903" s="104" t="s">
        <v>408</v>
      </c>
      <c r="D903" s="105" t="s">
        <v>220</v>
      </c>
    </row>
    <row r="904" spans="1:4" x14ac:dyDescent="0.35">
      <c r="A904" s="102">
        <v>808</v>
      </c>
      <c r="B904" s="103">
        <v>14017</v>
      </c>
      <c r="C904" s="104" t="s">
        <v>407</v>
      </c>
      <c r="D904" s="105">
        <v>2</v>
      </c>
    </row>
    <row r="905" spans="1:4" x14ac:dyDescent="0.35">
      <c r="A905" s="102">
        <v>808</v>
      </c>
      <c r="B905" s="103">
        <v>14018</v>
      </c>
      <c r="C905" s="104" t="s">
        <v>407</v>
      </c>
      <c r="D905" s="105">
        <v>1</v>
      </c>
    </row>
    <row r="906" spans="1:4" x14ac:dyDescent="0.35">
      <c r="A906" s="102">
        <v>809</v>
      </c>
      <c r="B906" s="103">
        <v>14019</v>
      </c>
      <c r="C906" s="104" t="s">
        <v>408</v>
      </c>
      <c r="D906" s="105" t="s">
        <v>220</v>
      </c>
    </row>
    <row r="907" spans="1:4" x14ac:dyDescent="0.35">
      <c r="A907" s="102">
        <v>810</v>
      </c>
      <c r="B907" s="103">
        <v>14020</v>
      </c>
      <c r="C907" s="104" t="s">
        <v>407</v>
      </c>
      <c r="D907" s="105">
        <v>2</v>
      </c>
    </row>
    <row r="908" spans="1:4" x14ac:dyDescent="0.35">
      <c r="A908" s="102">
        <v>810</v>
      </c>
      <c r="B908" s="103">
        <v>14021</v>
      </c>
      <c r="C908" s="104" t="s">
        <v>407</v>
      </c>
      <c r="D908" s="105">
        <v>1</v>
      </c>
    </row>
    <row r="909" spans="1:4" x14ac:dyDescent="0.35">
      <c r="A909" s="102">
        <v>811</v>
      </c>
      <c r="B909" s="103">
        <v>14022</v>
      </c>
      <c r="C909" s="104" t="s">
        <v>408</v>
      </c>
      <c r="D909" s="105" t="s">
        <v>220</v>
      </c>
    </row>
    <row r="910" spans="1:4" x14ac:dyDescent="0.35">
      <c r="A910" s="102">
        <v>812</v>
      </c>
      <c r="B910" s="103">
        <v>14023</v>
      </c>
      <c r="C910" s="104" t="s">
        <v>407</v>
      </c>
      <c r="D910" s="105">
        <v>2</v>
      </c>
    </row>
    <row r="911" spans="1:4" x14ac:dyDescent="0.35">
      <c r="A911" s="102">
        <v>812</v>
      </c>
      <c r="B911" s="103">
        <v>14024</v>
      </c>
      <c r="C911" s="104" t="s">
        <v>407</v>
      </c>
      <c r="D911" s="105">
        <v>1</v>
      </c>
    </row>
    <row r="912" spans="1:4" x14ac:dyDescent="0.35">
      <c r="A912" s="102">
        <v>813</v>
      </c>
      <c r="B912" s="103">
        <v>14025</v>
      </c>
      <c r="C912" s="104" t="s">
        <v>408</v>
      </c>
      <c r="D912" s="105" t="s">
        <v>220</v>
      </c>
    </row>
    <row r="913" spans="1:4" x14ac:dyDescent="0.35">
      <c r="A913" s="102">
        <v>814</v>
      </c>
      <c r="B913" s="103">
        <v>14029</v>
      </c>
      <c r="C913" s="104" t="s">
        <v>407</v>
      </c>
      <c r="D913" s="105">
        <v>2</v>
      </c>
    </row>
    <row r="914" spans="1:4" x14ac:dyDescent="0.35">
      <c r="A914" s="102">
        <v>814</v>
      </c>
      <c r="B914" s="103">
        <v>14030</v>
      </c>
      <c r="C914" s="104" t="s">
        <v>407</v>
      </c>
      <c r="D914" s="105">
        <v>1</v>
      </c>
    </row>
    <row r="915" spans="1:4" x14ac:dyDescent="0.35">
      <c r="A915" s="102">
        <v>815</v>
      </c>
      <c r="B915" s="103">
        <v>14031</v>
      </c>
      <c r="C915" s="104" t="s">
        <v>408</v>
      </c>
      <c r="D915" s="105" t="s">
        <v>220</v>
      </c>
    </row>
    <row r="916" spans="1:4" x14ac:dyDescent="0.35">
      <c r="A916" s="102">
        <v>816</v>
      </c>
      <c r="B916" s="103">
        <v>14032</v>
      </c>
      <c r="C916" s="104" t="s">
        <v>407</v>
      </c>
      <c r="D916" s="105">
        <v>2</v>
      </c>
    </row>
    <row r="917" spans="1:4" x14ac:dyDescent="0.35">
      <c r="A917" s="102">
        <v>816</v>
      </c>
      <c r="B917" s="103">
        <v>14033</v>
      </c>
      <c r="C917" s="104" t="s">
        <v>407</v>
      </c>
      <c r="D917" s="105">
        <v>1</v>
      </c>
    </row>
    <row r="918" spans="1:4" x14ac:dyDescent="0.35">
      <c r="A918" s="102">
        <v>817</v>
      </c>
      <c r="B918" s="103">
        <v>14034</v>
      </c>
      <c r="C918" s="104" t="s">
        <v>408</v>
      </c>
      <c r="D918" s="105" t="s">
        <v>220</v>
      </c>
    </row>
    <row r="919" spans="1:4" x14ac:dyDescent="0.35">
      <c r="A919" s="102">
        <v>818</v>
      </c>
      <c r="B919" s="103">
        <v>14035</v>
      </c>
      <c r="C919" s="104" t="s">
        <v>407</v>
      </c>
      <c r="D919" s="105">
        <v>2</v>
      </c>
    </row>
    <row r="920" spans="1:4" x14ac:dyDescent="0.35">
      <c r="A920" s="102">
        <v>818</v>
      </c>
      <c r="B920" s="103">
        <v>14036</v>
      </c>
      <c r="C920" s="104" t="s">
        <v>407</v>
      </c>
      <c r="D920" s="105">
        <v>1</v>
      </c>
    </row>
    <row r="921" spans="1:4" x14ac:dyDescent="0.35">
      <c r="A921" s="102">
        <v>819</v>
      </c>
      <c r="B921" s="103">
        <v>14037</v>
      </c>
      <c r="C921" s="104" t="s">
        <v>408</v>
      </c>
      <c r="D921" s="105" t="s">
        <v>220</v>
      </c>
    </row>
    <row r="922" spans="1:4" x14ac:dyDescent="0.35">
      <c r="A922" s="102">
        <v>820</v>
      </c>
      <c r="B922" s="103">
        <v>14042</v>
      </c>
      <c r="C922" s="104" t="s">
        <v>407</v>
      </c>
      <c r="D922" s="105">
        <v>2</v>
      </c>
    </row>
    <row r="923" spans="1:4" x14ac:dyDescent="0.35">
      <c r="A923" s="102">
        <v>820</v>
      </c>
      <c r="B923" s="103">
        <v>14043</v>
      </c>
      <c r="C923" s="104" t="s">
        <v>407</v>
      </c>
      <c r="D923" s="105">
        <v>1</v>
      </c>
    </row>
    <row r="924" spans="1:4" x14ac:dyDescent="0.35">
      <c r="A924" s="102">
        <v>821</v>
      </c>
      <c r="B924" s="103">
        <v>14044</v>
      </c>
      <c r="C924" s="104" t="s">
        <v>408</v>
      </c>
      <c r="D924" s="105" t="s">
        <v>220</v>
      </c>
    </row>
    <row r="925" spans="1:4" x14ac:dyDescent="0.35">
      <c r="A925" s="102">
        <v>822</v>
      </c>
      <c r="B925" s="103">
        <v>14045</v>
      </c>
      <c r="C925" s="104" t="s">
        <v>407</v>
      </c>
      <c r="D925" s="105">
        <v>2</v>
      </c>
    </row>
    <row r="926" spans="1:4" x14ac:dyDescent="0.35">
      <c r="A926" s="102">
        <v>822</v>
      </c>
      <c r="B926" s="103">
        <v>14046</v>
      </c>
      <c r="C926" s="104" t="s">
        <v>407</v>
      </c>
      <c r="D926" s="105">
        <v>1</v>
      </c>
    </row>
    <row r="927" spans="1:4" x14ac:dyDescent="0.35">
      <c r="A927" s="102">
        <v>823</v>
      </c>
      <c r="B927" s="103">
        <v>14047</v>
      </c>
      <c r="C927" s="104" t="s">
        <v>408</v>
      </c>
      <c r="D927" s="105" t="s">
        <v>220</v>
      </c>
    </row>
    <row r="928" spans="1:4" x14ac:dyDescent="0.35">
      <c r="A928" s="102">
        <v>824</v>
      </c>
      <c r="B928" s="103">
        <v>14048</v>
      </c>
      <c r="C928" s="104" t="s">
        <v>407</v>
      </c>
      <c r="D928" s="105">
        <v>2</v>
      </c>
    </row>
    <row r="929" spans="1:4" x14ac:dyDescent="0.35">
      <c r="A929" s="102">
        <v>824</v>
      </c>
      <c r="B929" s="103">
        <v>14049</v>
      </c>
      <c r="C929" s="104" t="s">
        <v>407</v>
      </c>
      <c r="D929" s="105">
        <v>1</v>
      </c>
    </row>
    <row r="930" spans="1:4" x14ac:dyDescent="0.35">
      <c r="A930" s="102">
        <v>825</v>
      </c>
      <c r="B930" s="103">
        <v>14050</v>
      </c>
      <c r="C930" s="104" t="s">
        <v>408</v>
      </c>
      <c r="D930" s="105" t="s">
        <v>220</v>
      </c>
    </row>
    <row r="931" spans="1:4" x14ac:dyDescent="0.35">
      <c r="A931" s="102">
        <v>826</v>
      </c>
      <c r="B931" s="103">
        <v>14069</v>
      </c>
      <c r="C931" s="104" t="s">
        <v>407</v>
      </c>
      <c r="D931" s="105">
        <v>2</v>
      </c>
    </row>
    <row r="932" spans="1:4" x14ac:dyDescent="0.35">
      <c r="A932" s="102">
        <v>826</v>
      </c>
      <c r="B932" s="103">
        <v>14070</v>
      </c>
      <c r="C932" s="104" t="s">
        <v>407</v>
      </c>
      <c r="D932" s="105">
        <v>1</v>
      </c>
    </row>
    <row r="933" spans="1:4" x14ac:dyDescent="0.35">
      <c r="A933" s="102">
        <v>827</v>
      </c>
      <c r="B933" s="103">
        <v>14071</v>
      </c>
      <c r="C933" s="104" t="s">
        <v>408</v>
      </c>
      <c r="D933" s="105" t="s">
        <v>220</v>
      </c>
    </row>
    <row r="934" spans="1:4" x14ac:dyDescent="0.35">
      <c r="A934" s="102">
        <v>828</v>
      </c>
      <c r="B934" s="103">
        <v>14072</v>
      </c>
      <c r="C934" s="104" t="s">
        <v>407</v>
      </c>
      <c r="D934" s="105">
        <v>2</v>
      </c>
    </row>
    <row r="935" spans="1:4" x14ac:dyDescent="0.35">
      <c r="A935" s="102">
        <v>828</v>
      </c>
      <c r="B935" s="103">
        <v>14073</v>
      </c>
      <c r="C935" s="104" t="s">
        <v>407</v>
      </c>
      <c r="D935" s="105">
        <v>1</v>
      </c>
    </row>
    <row r="936" spans="1:4" x14ac:dyDescent="0.35">
      <c r="A936" s="102">
        <v>829</v>
      </c>
      <c r="B936" s="103">
        <v>14074</v>
      </c>
      <c r="C936" s="104" t="s">
        <v>408</v>
      </c>
      <c r="D936" s="105" t="s">
        <v>220</v>
      </c>
    </row>
    <row r="937" spans="1:4" x14ac:dyDescent="0.35">
      <c r="A937" s="102">
        <v>830</v>
      </c>
      <c r="B937" s="103">
        <v>14075</v>
      </c>
      <c r="C937" s="104" t="s">
        <v>407</v>
      </c>
      <c r="D937" s="105">
        <v>2</v>
      </c>
    </row>
    <row r="938" spans="1:4" x14ac:dyDescent="0.35">
      <c r="A938" s="102">
        <v>830</v>
      </c>
      <c r="B938" s="103">
        <v>14076</v>
      </c>
      <c r="C938" s="104" t="s">
        <v>407</v>
      </c>
      <c r="D938" s="105">
        <v>1</v>
      </c>
    </row>
    <row r="939" spans="1:4" x14ac:dyDescent="0.35">
      <c r="A939" s="102">
        <v>831</v>
      </c>
      <c r="B939" s="103">
        <v>14077</v>
      </c>
      <c r="C939" s="104" t="s">
        <v>408</v>
      </c>
      <c r="D939" s="105" t="s">
        <v>220</v>
      </c>
    </row>
    <row r="940" spans="1:4" x14ac:dyDescent="0.35">
      <c r="A940" s="102">
        <v>832</v>
      </c>
      <c r="B940" s="103">
        <v>14085</v>
      </c>
      <c r="C940" s="104" t="s">
        <v>407</v>
      </c>
      <c r="D940" s="105">
        <v>2</v>
      </c>
    </row>
    <row r="941" spans="1:4" x14ac:dyDescent="0.35">
      <c r="A941" s="102">
        <v>832</v>
      </c>
      <c r="B941" s="103">
        <v>14086</v>
      </c>
      <c r="C941" s="104" t="s">
        <v>407</v>
      </c>
      <c r="D941" s="105">
        <v>1</v>
      </c>
    </row>
    <row r="942" spans="1:4" x14ac:dyDescent="0.35">
      <c r="A942" s="102">
        <v>833</v>
      </c>
      <c r="B942" s="103">
        <v>14087</v>
      </c>
      <c r="C942" s="104" t="s">
        <v>408</v>
      </c>
      <c r="D942" s="105" t="s">
        <v>220</v>
      </c>
    </row>
    <row r="943" spans="1:4" x14ac:dyDescent="0.35">
      <c r="A943" s="102">
        <v>834</v>
      </c>
      <c r="B943" s="103">
        <v>14088</v>
      </c>
      <c r="C943" s="104" t="s">
        <v>407</v>
      </c>
      <c r="D943" s="105">
        <v>2</v>
      </c>
    </row>
    <row r="944" spans="1:4" x14ac:dyDescent="0.35">
      <c r="A944" s="102">
        <v>834</v>
      </c>
      <c r="B944" s="103">
        <v>14089</v>
      </c>
      <c r="C944" s="104" t="s">
        <v>407</v>
      </c>
      <c r="D944" s="105">
        <v>1</v>
      </c>
    </row>
    <row r="945" spans="1:4" x14ac:dyDescent="0.35">
      <c r="A945" s="102">
        <v>835</v>
      </c>
      <c r="B945" s="103">
        <v>14090</v>
      </c>
      <c r="C945" s="104" t="s">
        <v>408</v>
      </c>
      <c r="D945" s="105" t="s">
        <v>220</v>
      </c>
    </row>
    <row r="946" spans="1:4" x14ac:dyDescent="0.35">
      <c r="A946" s="102">
        <v>836</v>
      </c>
      <c r="B946" s="103">
        <v>14091</v>
      </c>
      <c r="C946" s="104" t="s">
        <v>407</v>
      </c>
      <c r="D946" s="105">
        <v>2</v>
      </c>
    </row>
    <row r="947" spans="1:4" x14ac:dyDescent="0.35">
      <c r="A947" s="102">
        <v>836</v>
      </c>
      <c r="B947" s="103">
        <v>14092</v>
      </c>
      <c r="C947" s="104" t="s">
        <v>407</v>
      </c>
      <c r="D947" s="105">
        <v>1</v>
      </c>
    </row>
    <row r="948" spans="1:4" x14ac:dyDescent="0.35">
      <c r="A948" s="102">
        <v>837</v>
      </c>
      <c r="B948" s="103">
        <v>14093</v>
      </c>
      <c r="C948" s="104" t="s">
        <v>408</v>
      </c>
      <c r="D948" s="105" t="s">
        <v>220</v>
      </c>
    </row>
    <row r="949" spans="1:4" x14ac:dyDescent="0.35">
      <c r="A949" s="102">
        <v>838</v>
      </c>
      <c r="B949" s="103">
        <v>14094</v>
      </c>
      <c r="C949" s="104" t="s">
        <v>407</v>
      </c>
      <c r="D949" s="105">
        <v>2</v>
      </c>
    </row>
    <row r="950" spans="1:4" x14ac:dyDescent="0.35">
      <c r="A950" s="102">
        <v>838</v>
      </c>
      <c r="B950" s="103">
        <v>14095</v>
      </c>
      <c r="C950" s="104" t="s">
        <v>407</v>
      </c>
      <c r="D950" s="105">
        <v>1</v>
      </c>
    </row>
    <row r="951" spans="1:4" x14ac:dyDescent="0.35">
      <c r="A951" s="102">
        <v>839</v>
      </c>
      <c r="B951" s="103">
        <v>14096</v>
      </c>
      <c r="C951" s="104" t="s">
        <v>408</v>
      </c>
      <c r="D951" s="105" t="s">
        <v>220</v>
      </c>
    </row>
    <row r="952" spans="1:4" x14ac:dyDescent="0.35">
      <c r="A952" s="102">
        <v>840</v>
      </c>
      <c r="B952" s="103">
        <v>14110</v>
      </c>
      <c r="C952" s="104" t="s">
        <v>407</v>
      </c>
      <c r="D952" s="105">
        <v>2</v>
      </c>
    </row>
    <row r="953" spans="1:4" x14ac:dyDescent="0.35">
      <c r="A953" s="102">
        <v>840</v>
      </c>
      <c r="B953" s="103">
        <v>14111</v>
      </c>
      <c r="C953" s="104" t="s">
        <v>407</v>
      </c>
      <c r="D953" s="105">
        <v>1</v>
      </c>
    </row>
    <row r="954" spans="1:4" x14ac:dyDescent="0.35">
      <c r="A954" s="102">
        <v>841</v>
      </c>
      <c r="B954" s="103">
        <v>14112</v>
      </c>
      <c r="C954" s="104" t="s">
        <v>408</v>
      </c>
      <c r="D954" s="105" t="s">
        <v>220</v>
      </c>
    </row>
    <row r="955" spans="1:4" x14ac:dyDescent="0.35">
      <c r="A955" s="102">
        <v>842</v>
      </c>
      <c r="B955" s="103">
        <v>14113</v>
      </c>
      <c r="C955" s="104" t="s">
        <v>407</v>
      </c>
      <c r="D955" s="105">
        <v>2</v>
      </c>
    </row>
    <row r="956" spans="1:4" x14ac:dyDescent="0.35">
      <c r="A956" s="102">
        <v>842</v>
      </c>
      <c r="B956" s="103">
        <v>14114</v>
      </c>
      <c r="C956" s="104" t="s">
        <v>407</v>
      </c>
      <c r="D956" s="105">
        <v>1</v>
      </c>
    </row>
    <row r="957" spans="1:4" x14ac:dyDescent="0.35">
      <c r="A957" s="102">
        <v>843</v>
      </c>
      <c r="B957" s="103">
        <v>14115</v>
      </c>
      <c r="C957" s="104" t="s">
        <v>408</v>
      </c>
      <c r="D957" s="105" t="s">
        <v>220</v>
      </c>
    </row>
    <row r="958" spans="1:4" x14ac:dyDescent="0.35">
      <c r="A958" s="102">
        <v>844</v>
      </c>
      <c r="B958" s="103">
        <v>14116</v>
      </c>
      <c r="C958" s="104" t="s">
        <v>407</v>
      </c>
      <c r="D958" s="105">
        <v>2</v>
      </c>
    </row>
    <row r="959" spans="1:4" x14ac:dyDescent="0.35">
      <c r="A959" s="102">
        <v>844</v>
      </c>
      <c r="B959" s="103">
        <v>14117</v>
      </c>
      <c r="C959" s="104" t="s">
        <v>407</v>
      </c>
      <c r="D959" s="105">
        <v>1</v>
      </c>
    </row>
    <row r="960" spans="1:4" x14ac:dyDescent="0.35">
      <c r="A960" s="102">
        <v>845</v>
      </c>
      <c r="B960" s="103">
        <v>14118</v>
      </c>
      <c r="C960" s="104" t="s">
        <v>408</v>
      </c>
      <c r="D960" s="105" t="s">
        <v>220</v>
      </c>
    </row>
    <row r="961" spans="1:4" x14ac:dyDescent="0.35">
      <c r="A961" s="102">
        <v>846</v>
      </c>
      <c r="B961" s="103">
        <v>14138</v>
      </c>
      <c r="C961" s="104" t="s">
        <v>407</v>
      </c>
      <c r="D961" s="105">
        <v>2</v>
      </c>
    </row>
    <row r="962" spans="1:4" x14ac:dyDescent="0.35">
      <c r="A962" s="102">
        <v>846</v>
      </c>
      <c r="B962" s="103">
        <v>14139</v>
      </c>
      <c r="C962" s="104" t="s">
        <v>407</v>
      </c>
      <c r="D962" s="105">
        <v>1</v>
      </c>
    </row>
    <row r="963" spans="1:4" x14ac:dyDescent="0.35">
      <c r="A963" s="102">
        <v>847</v>
      </c>
      <c r="B963" s="103">
        <v>14140</v>
      </c>
      <c r="C963" s="104" t="s">
        <v>408</v>
      </c>
      <c r="D963" s="105" t="s">
        <v>220</v>
      </c>
    </row>
    <row r="964" spans="1:4" x14ac:dyDescent="0.35">
      <c r="A964" s="102">
        <v>848</v>
      </c>
      <c r="B964" s="103">
        <v>14141</v>
      </c>
      <c r="C964" s="104" t="s">
        <v>407</v>
      </c>
      <c r="D964" s="105">
        <v>2</v>
      </c>
    </row>
    <row r="965" spans="1:4" x14ac:dyDescent="0.35">
      <c r="A965" s="102">
        <v>848</v>
      </c>
      <c r="B965" s="103">
        <v>14142</v>
      </c>
      <c r="C965" s="104" t="s">
        <v>407</v>
      </c>
      <c r="D965" s="105">
        <v>1</v>
      </c>
    </row>
    <row r="966" spans="1:4" x14ac:dyDescent="0.35">
      <c r="A966" s="102">
        <v>849</v>
      </c>
      <c r="B966" s="103">
        <v>14143</v>
      </c>
      <c r="C966" s="104" t="s">
        <v>408</v>
      </c>
      <c r="D966" s="105" t="s">
        <v>220</v>
      </c>
    </row>
    <row r="967" spans="1:4" x14ac:dyDescent="0.35">
      <c r="A967" s="102">
        <v>850</v>
      </c>
      <c r="B967" s="103">
        <v>14014</v>
      </c>
      <c r="C967" s="104" t="s">
        <v>408</v>
      </c>
      <c r="D967" s="105" t="s">
        <v>220</v>
      </c>
    </row>
    <row r="968" spans="1:4" x14ac:dyDescent="0.35">
      <c r="A968" s="102">
        <v>851</v>
      </c>
      <c r="B968" s="103">
        <v>14038</v>
      </c>
      <c r="C968" s="104" t="s">
        <v>408</v>
      </c>
      <c r="D968" s="105" t="s">
        <v>220</v>
      </c>
    </row>
    <row r="969" spans="1:4" x14ac:dyDescent="0.35">
      <c r="A969" s="102">
        <v>852</v>
      </c>
      <c r="B969" s="103">
        <v>14001</v>
      </c>
      <c r="C969" s="104" t="s">
        <v>407</v>
      </c>
      <c r="D969" s="105">
        <v>2</v>
      </c>
    </row>
    <row r="970" spans="1:4" x14ac:dyDescent="0.35">
      <c r="A970" s="102">
        <v>852</v>
      </c>
      <c r="B970" s="103">
        <v>14002</v>
      </c>
      <c r="C970" s="104" t="s">
        <v>407</v>
      </c>
      <c r="D970" s="105">
        <v>1</v>
      </c>
    </row>
    <row r="971" spans="1:4" x14ac:dyDescent="0.35">
      <c r="A971" s="102">
        <v>853</v>
      </c>
      <c r="B971" s="103">
        <v>14081</v>
      </c>
      <c r="C971" s="104" t="s">
        <v>407</v>
      </c>
      <c r="D971" s="105">
        <v>2</v>
      </c>
    </row>
    <row r="972" spans="1:4" x14ac:dyDescent="0.35">
      <c r="A972" s="102">
        <v>853</v>
      </c>
      <c r="B972" s="103">
        <v>14082</v>
      </c>
      <c r="C972" s="104" t="s">
        <v>407</v>
      </c>
      <c r="D972" s="105">
        <v>1</v>
      </c>
    </row>
    <row r="973" spans="1:4" x14ac:dyDescent="0.35">
      <c r="A973" s="102">
        <v>854</v>
      </c>
      <c r="B973" s="103">
        <v>14083</v>
      </c>
      <c r="C973" s="104" t="s">
        <v>407</v>
      </c>
      <c r="D973" s="105">
        <v>2</v>
      </c>
    </row>
    <row r="974" spans="1:4" x14ac:dyDescent="0.35">
      <c r="A974" s="102">
        <v>854</v>
      </c>
      <c r="B974" s="103">
        <v>14084</v>
      </c>
      <c r="C974" s="104" t="s">
        <v>407</v>
      </c>
      <c r="D974" s="105">
        <v>1</v>
      </c>
    </row>
    <row r="975" spans="1:4" x14ac:dyDescent="0.35">
      <c r="A975" s="102">
        <v>855</v>
      </c>
      <c r="B975" s="103">
        <v>14103</v>
      </c>
      <c r="C975" s="104" t="s">
        <v>407</v>
      </c>
      <c r="D975" s="105">
        <v>2</v>
      </c>
    </row>
    <row r="976" spans="1:4" x14ac:dyDescent="0.35">
      <c r="A976" s="102">
        <v>855</v>
      </c>
      <c r="B976" s="103">
        <v>14104</v>
      </c>
      <c r="C976" s="104" t="s">
        <v>407</v>
      </c>
      <c r="D976" s="105">
        <v>1</v>
      </c>
    </row>
    <row r="977" spans="1:4" x14ac:dyDescent="0.35">
      <c r="A977" s="102">
        <v>856</v>
      </c>
      <c r="B977" s="103">
        <v>14105</v>
      </c>
      <c r="C977" s="104" t="s">
        <v>407</v>
      </c>
      <c r="D977" s="105">
        <v>2</v>
      </c>
    </row>
    <row r="978" spans="1:4" x14ac:dyDescent="0.35">
      <c r="A978" s="102">
        <v>856</v>
      </c>
      <c r="B978" s="103">
        <v>14106</v>
      </c>
      <c r="C978" s="104" t="s">
        <v>407</v>
      </c>
      <c r="D978" s="105">
        <v>1</v>
      </c>
    </row>
    <row r="979" spans="1:4" x14ac:dyDescent="0.35">
      <c r="A979" s="102">
        <v>857</v>
      </c>
      <c r="B979" s="103">
        <v>14015</v>
      </c>
      <c r="C979" s="104" t="s">
        <v>407</v>
      </c>
      <c r="D979" s="105">
        <v>2</v>
      </c>
    </row>
    <row r="980" spans="1:4" x14ac:dyDescent="0.35">
      <c r="A980" s="102">
        <v>857</v>
      </c>
      <c r="B980" s="103">
        <v>14016</v>
      </c>
      <c r="C980" s="104" t="s">
        <v>407</v>
      </c>
      <c r="D980" s="105">
        <v>1</v>
      </c>
    </row>
    <row r="981" spans="1:4" x14ac:dyDescent="0.35">
      <c r="A981" s="102">
        <v>858</v>
      </c>
      <c r="B981" s="103">
        <v>14039</v>
      </c>
      <c r="C981" s="104" t="s">
        <v>407</v>
      </c>
      <c r="D981" s="105">
        <v>2</v>
      </c>
    </row>
    <row r="982" spans="1:4" x14ac:dyDescent="0.35">
      <c r="A982" s="102">
        <v>858</v>
      </c>
      <c r="B982" s="103">
        <v>14040</v>
      </c>
      <c r="C982" s="104" t="s">
        <v>407</v>
      </c>
      <c r="D982" s="105">
        <v>1</v>
      </c>
    </row>
    <row r="983" spans="1:4" x14ac:dyDescent="0.35">
      <c r="A983" s="102">
        <v>859</v>
      </c>
      <c r="B983" s="103">
        <v>14003</v>
      </c>
      <c r="C983" s="104" t="s">
        <v>407</v>
      </c>
      <c r="D983" s="105">
        <v>2</v>
      </c>
    </row>
    <row r="984" spans="1:4" x14ac:dyDescent="0.35">
      <c r="A984" s="102">
        <v>859</v>
      </c>
      <c r="B984" s="103">
        <v>14004</v>
      </c>
      <c r="C984" s="104" t="s">
        <v>407</v>
      </c>
      <c r="D984" s="105">
        <v>1</v>
      </c>
    </row>
    <row r="985" spans="1:4" x14ac:dyDescent="0.35">
      <c r="A985" s="102">
        <v>860</v>
      </c>
      <c r="B985" s="103">
        <v>14026</v>
      </c>
      <c r="C985" s="104" t="s">
        <v>407</v>
      </c>
      <c r="D985" s="105">
        <v>2</v>
      </c>
    </row>
    <row r="986" spans="1:4" x14ac:dyDescent="0.35">
      <c r="A986" s="102">
        <v>860</v>
      </c>
      <c r="B986" s="103">
        <v>14027</v>
      </c>
      <c r="C986" s="104" t="s">
        <v>407</v>
      </c>
      <c r="D986" s="105">
        <v>1</v>
      </c>
    </row>
    <row r="987" spans="1:4" x14ac:dyDescent="0.35">
      <c r="A987" s="102">
        <v>861</v>
      </c>
      <c r="B987" s="103">
        <v>14051</v>
      </c>
      <c r="C987" s="104" t="s">
        <v>407</v>
      </c>
      <c r="D987" s="105">
        <v>2</v>
      </c>
    </row>
    <row r="988" spans="1:4" x14ac:dyDescent="0.35">
      <c r="A988" s="102">
        <v>861</v>
      </c>
      <c r="B988" s="103">
        <v>14052</v>
      </c>
      <c r="C988" s="104" t="s">
        <v>407</v>
      </c>
      <c r="D988" s="105">
        <v>1</v>
      </c>
    </row>
    <row r="989" spans="1:4" x14ac:dyDescent="0.35">
      <c r="A989" s="102">
        <v>862</v>
      </c>
      <c r="B989" s="103">
        <v>14107</v>
      </c>
      <c r="C989" s="104" t="s">
        <v>407</v>
      </c>
      <c r="D989" s="105">
        <v>2</v>
      </c>
    </row>
    <row r="990" spans="1:4" x14ac:dyDescent="0.35">
      <c r="A990" s="102">
        <v>862</v>
      </c>
      <c r="B990" s="103">
        <v>14108</v>
      </c>
      <c r="C990" s="104" t="s">
        <v>407</v>
      </c>
      <c r="D990" s="105">
        <v>1</v>
      </c>
    </row>
    <row r="991" spans="1:4" x14ac:dyDescent="0.35">
      <c r="A991" s="102">
        <v>863</v>
      </c>
      <c r="B991" s="103">
        <v>14054</v>
      </c>
      <c r="C991" s="104" t="s">
        <v>407</v>
      </c>
      <c r="D991" s="105">
        <v>2</v>
      </c>
    </row>
    <row r="992" spans="1:4" x14ac:dyDescent="0.35">
      <c r="A992" s="102">
        <v>863</v>
      </c>
      <c r="B992" s="103">
        <v>14055</v>
      </c>
      <c r="C992" s="104" t="s">
        <v>407</v>
      </c>
      <c r="D992" s="105">
        <v>1</v>
      </c>
    </row>
    <row r="993" spans="1:4" x14ac:dyDescent="0.35">
      <c r="A993" s="102">
        <v>864</v>
      </c>
      <c r="B993" s="103">
        <v>14121</v>
      </c>
      <c r="C993" s="104" t="s">
        <v>407</v>
      </c>
      <c r="D993" s="105">
        <v>2</v>
      </c>
    </row>
    <row r="994" spans="1:4" x14ac:dyDescent="0.35">
      <c r="A994" s="102">
        <v>864</v>
      </c>
      <c r="B994" s="103">
        <v>14122</v>
      </c>
      <c r="C994" s="104" t="s">
        <v>407</v>
      </c>
      <c r="D994" s="105">
        <v>1</v>
      </c>
    </row>
    <row r="995" spans="1:4" x14ac:dyDescent="0.35">
      <c r="A995" s="102">
        <v>865</v>
      </c>
      <c r="B995" s="103">
        <v>14057</v>
      </c>
      <c r="C995" s="104" t="s">
        <v>407</v>
      </c>
      <c r="D995" s="105">
        <v>2</v>
      </c>
    </row>
    <row r="996" spans="1:4" x14ac:dyDescent="0.35">
      <c r="A996" s="102">
        <v>865</v>
      </c>
      <c r="B996" s="103">
        <v>14058</v>
      </c>
      <c r="C996" s="104" t="s">
        <v>407</v>
      </c>
      <c r="D996" s="105">
        <v>1</v>
      </c>
    </row>
    <row r="997" spans="1:4" x14ac:dyDescent="0.35">
      <c r="A997" s="102">
        <v>866</v>
      </c>
      <c r="B997" s="103">
        <v>14059</v>
      </c>
      <c r="C997" s="104" t="s">
        <v>408</v>
      </c>
      <c r="D997" s="105" t="s">
        <v>220</v>
      </c>
    </row>
    <row r="998" spans="1:4" x14ac:dyDescent="0.35">
      <c r="A998" s="102">
        <v>867</v>
      </c>
      <c r="B998" s="103">
        <v>14060</v>
      </c>
      <c r="C998" s="104" t="s">
        <v>407</v>
      </c>
      <c r="D998" s="105">
        <v>2</v>
      </c>
    </row>
    <row r="999" spans="1:4" x14ac:dyDescent="0.35">
      <c r="A999" s="102">
        <v>867</v>
      </c>
      <c r="B999" s="103">
        <v>14061</v>
      </c>
      <c r="C999" s="104" t="s">
        <v>407</v>
      </c>
      <c r="D999" s="105">
        <v>1</v>
      </c>
    </row>
    <row r="1000" spans="1:4" x14ac:dyDescent="0.35">
      <c r="A1000" s="102">
        <v>868</v>
      </c>
      <c r="B1000" s="103">
        <v>14062</v>
      </c>
      <c r="C1000" s="104" t="s">
        <v>408</v>
      </c>
      <c r="D1000" s="105" t="s">
        <v>220</v>
      </c>
    </row>
    <row r="1001" spans="1:4" x14ac:dyDescent="0.35">
      <c r="A1001" s="102">
        <v>869</v>
      </c>
      <c r="B1001" s="103">
        <v>14063</v>
      </c>
      <c r="C1001" s="104" t="s">
        <v>407</v>
      </c>
      <c r="D1001" s="105">
        <v>2</v>
      </c>
    </row>
    <row r="1002" spans="1:4" x14ac:dyDescent="0.35">
      <c r="A1002" s="102">
        <v>869</v>
      </c>
      <c r="B1002" s="103">
        <v>14064</v>
      </c>
      <c r="C1002" s="104" t="s">
        <v>407</v>
      </c>
      <c r="D1002" s="105">
        <v>1</v>
      </c>
    </row>
    <row r="1003" spans="1:4" x14ac:dyDescent="0.35">
      <c r="A1003" s="102">
        <v>870</v>
      </c>
      <c r="B1003" s="103">
        <v>14065</v>
      </c>
      <c r="C1003" s="104" t="s">
        <v>408</v>
      </c>
      <c r="D1003" s="105" t="s">
        <v>220</v>
      </c>
    </row>
    <row r="1004" spans="1:4" x14ac:dyDescent="0.35">
      <c r="A1004" s="102">
        <v>871</v>
      </c>
      <c r="B1004" s="103">
        <v>14066</v>
      </c>
      <c r="C1004" s="104" t="s">
        <v>407</v>
      </c>
      <c r="D1004" s="105">
        <v>2</v>
      </c>
    </row>
    <row r="1005" spans="1:4" x14ac:dyDescent="0.35">
      <c r="A1005" s="102">
        <v>871</v>
      </c>
      <c r="B1005" s="103">
        <v>14067</v>
      </c>
      <c r="C1005" s="104" t="s">
        <v>407</v>
      </c>
      <c r="D1005" s="105">
        <v>1</v>
      </c>
    </row>
    <row r="1006" spans="1:4" x14ac:dyDescent="0.35">
      <c r="A1006" s="102">
        <v>872</v>
      </c>
      <c r="B1006" s="103">
        <v>14068</v>
      </c>
      <c r="C1006" s="104" t="s">
        <v>408</v>
      </c>
      <c r="D1006" s="105" t="s">
        <v>220</v>
      </c>
    </row>
    <row r="1007" spans="1:4" x14ac:dyDescent="0.35">
      <c r="A1007" s="102">
        <v>873</v>
      </c>
      <c r="B1007" s="103">
        <v>14078</v>
      </c>
      <c r="C1007" s="104" t="s">
        <v>407</v>
      </c>
      <c r="D1007" s="105">
        <v>2</v>
      </c>
    </row>
    <row r="1008" spans="1:4" x14ac:dyDescent="0.35">
      <c r="A1008" s="102">
        <v>873</v>
      </c>
      <c r="B1008" s="103">
        <v>14079</v>
      </c>
      <c r="C1008" s="104" t="s">
        <v>407</v>
      </c>
      <c r="D1008" s="105">
        <v>1</v>
      </c>
    </row>
    <row r="1009" spans="1:4" x14ac:dyDescent="0.35">
      <c r="A1009" s="102">
        <v>874</v>
      </c>
      <c r="B1009" s="103">
        <v>14080</v>
      </c>
      <c r="C1009" s="104" t="s">
        <v>408</v>
      </c>
      <c r="D1009" s="105" t="s">
        <v>220</v>
      </c>
    </row>
    <row r="1010" spans="1:4" x14ac:dyDescent="0.35">
      <c r="A1010" s="102">
        <v>875</v>
      </c>
      <c r="B1010" s="103">
        <v>14100</v>
      </c>
      <c r="C1010" s="104" t="s">
        <v>407</v>
      </c>
      <c r="D1010" s="105">
        <v>2</v>
      </c>
    </row>
    <row r="1011" spans="1:4" x14ac:dyDescent="0.35">
      <c r="A1011" s="102">
        <v>875</v>
      </c>
      <c r="B1011" s="103">
        <v>14101</v>
      </c>
      <c r="C1011" s="104" t="s">
        <v>407</v>
      </c>
      <c r="D1011" s="105">
        <v>1</v>
      </c>
    </row>
    <row r="1012" spans="1:4" x14ac:dyDescent="0.35">
      <c r="A1012" s="102">
        <v>876</v>
      </c>
      <c r="B1012" s="103">
        <v>14102</v>
      </c>
      <c r="C1012" s="104" t="s">
        <v>408</v>
      </c>
      <c r="D1012" s="105" t="s">
        <v>220</v>
      </c>
    </row>
    <row r="1013" spans="1:4" x14ac:dyDescent="0.35">
      <c r="A1013" s="102">
        <v>877</v>
      </c>
      <c r="B1013" s="103">
        <v>14123</v>
      </c>
      <c r="C1013" s="104" t="s">
        <v>407</v>
      </c>
      <c r="D1013" s="105">
        <v>2</v>
      </c>
    </row>
    <row r="1014" spans="1:4" x14ac:dyDescent="0.35">
      <c r="A1014" s="102">
        <v>877</v>
      </c>
      <c r="B1014" s="103">
        <v>14124</v>
      </c>
      <c r="C1014" s="104" t="s">
        <v>407</v>
      </c>
      <c r="D1014" s="105">
        <v>1</v>
      </c>
    </row>
    <row r="1015" spans="1:4" x14ac:dyDescent="0.35">
      <c r="A1015" s="102">
        <v>878</v>
      </c>
      <c r="B1015" s="103">
        <v>14125</v>
      </c>
      <c r="C1015" s="104" t="s">
        <v>408</v>
      </c>
      <c r="D1015" s="105" t="s">
        <v>220</v>
      </c>
    </row>
    <row r="1016" spans="1:4" x14ac:dyDescent="0.35">
      <c r="A1016" s="102">
        <v>879</v>
      </c>
      <c r="B1016" s="103">
        <v>14126</v>
      </c>
      <c r="C1016" s="104" t="s">
        <v>407</v>
      </c>
      <c r="D1016" s="105">
        <v>2</v>
      </c>
    </row>
    <row r="1017" spans="1:4" x14ac:dyDescent="0.35">
      <c r="A1017" s="102">
        <v>879</v>
      </c>
      <c r="B1017" s="103">
        <v>14127</v>
      </c>
      <c r="C1017" s="104" t="s">
        <v>407</v>
      </c>
      <c r="D1017" s="105">
        <v>1</v>
      </c>
    </row>
    <row r="1018" spans="1:4" x14ac:dyDescent="0.35">
      <c r="A1018" s="102">
        <v>880</v>
      </c>
      <c r="B1018" s="103">
        <v>14128</v>
      </c>
      <c r="C1018" s="104" t="s">
        <v>408</v>
      </c>
      <c r="D1018" s="105" t="s">
        <v>220</v>
      </c>
    </row>
    <row r="1019" spans="1:4" x14ac:dyDescent="0.35">
      <c r="A1019" s="102">
        <v>881</v>
      </c>
      <c r="B1019" s="103">
        <v>14129</v>
      </c>
      <c r="C1019" s="104" t="s">
        <v>407</v>
      </c>
      <c r="D1019" s="105">
        <v>2</v>
      </c>
    </row>
    <row r="1020" spans="1:4" x14ac:dyDescent="0.35">
      <c r="A1020" s="102">
        <v>881</v>
      </c>
      <c r="B1020" s="103">
        <v>14130</v>
      </c>
      <c r="C1020" s="104" t="s">
        <v>407</v>
      </c>
      <c r="D1020" s="105">
        <v>1</v>
      </c>
    </row>
    <row r="1021" spans="1:4" x14ac:dyDescent="0.35">
      <c r="A1021" s="102">
        <v>882</v>
      </c>
      <c r="B1021" s="103">
        <v>14131</v>
      </c>
      <c r="C1021" s="104" t="s">
        <v>408</v>
      </c>
      <c r="D1021" s="105" t="s">
        <v>220</v>
      </c>
    </row>
    <row r="1022" spans="1:4" x14ac:dyDescent="0.35">
      <c r="A1022" s="102">
        <v>883</v>
      </c>
      <c r="B1022" s="103">
        <v>14132</v>
      </c>
      <c r="C1022" s="104" t="s">
        <v>407</v>
      </c>
      <c r="D1022" s="105">
        <v>2</v>
      </c>
    </row>
    <row r="1023" spans="1:4" x14ac:dyDescent="0.35">
      <c r="A1023" s="102">
        <v>883</v>
      </c>
      <c r="B1023" s="103">
        <v>14133</v>
      </c>
      <c r="C1023" s="104" t="s">
        <v>407</v>
      </c>
      <c r="D1023" s="105">
        <v>1</v>
      </c>
    </row>
    <row r="1024" spans="1:4" x14ac:dyDescent="0.35">
      <c r="A1024" s="102">
        <v>884</v>
      </c>
      <c r="B1024" s="103">
        <v>14134</v>
      </c>
      <c r="C1024" s="104" t="s">
        <v>408</v>
      </c>
      <c r="D1024" s="105" t="s">
        <v>220</v>
      </c>
    </row>
    <row r="1025" spans="1:4" x14ac:dyDescent="0.35">
      <c r="A1025" s="102">
        <v>885</v>
      </c>
      <c r="B1025" s="103">
        <v>14135</v>
      </c>
      <c r="C1025" s="104" t="s">
        <v>407</v>
      </c>
      <c r="D1025" s="105">
        <v>2</v>
      </c>
    </row>
    <row r="1026" spans="1:4" x14ac:dyDescent="0.35">
      <c r="A1026" s="102">
        <v>885</v>
      </c>
      <c r="B1026" s="103">
        <v>14136</v>
      </c>
      <c r="C1026" s="104" t="s">
        <v>407</v>
      </c>
      <c r="D1026" s="105">
        <v>1</v>
      </c>
    </row>
    <row r="1027" spans="1:4" x14ac:dyDescent="0.35">
      <c r="A1027" s="102">
        <v>886</v>
      </c>
      <c r="B1027" s="103">
        <v>14137</v>
      </c>
      <c r="C1027" s="104" t="s">
        <v>408</v>
      </c>
      <c r="D1027" s="105" t="s">
        <v>220</v>
      </c>
    </row>
    <row r="1028" spans="1:4" x14ac:dyDescent="0.35">
      <c r="A1028" s="102">
        <v>887</v>
      </c>
      <c r="B1028" s="103">
        <v>14144</v>
      </c>
      <c r="C1028" s="104" t="s">
        <v>407</v>
      </c>
      <c r="D1028" s="105">
        <v>2</v>
      </c>
    </row>
    <row r="1029" spans="1:4" x14ac:dyDescent="0.35">
      <c r="A1029" s="102">
        <v>887</v>
      </c>
      <c r="B1029" s="103">
        <v>14145</v>
      </c>
      <c r="C1029" s="104" t="s">
        <v>407</v>
      </c>
      <c r="D1029" s="105">
        <v>1</v>
      </c>
    </row>
    <row r="1030" spans="1:4" x14ac:dyDescent="0.35">
      <c r="A1030" s="102">
        <v>888</v>
      </c>
      <c r="B1030" s="103">
        <v>14146</v>
      </c>
      <c r="C1030" s="104" t="s">
        <v>408</v>
      </c>
      <c r="D1030" s="105" t="s">
        <v>220</v>
      </c>
    </row>
    <row r="1031" spans="1:4" x14ac:dyDescent="0.35">
      <c r="A1031" s="102">
        <v>889</v>
      </c>
      <c r="B1031" s="103">
        <v>278</v>
      </c>
      <c r="C1031" s="104" t="s">
        <v>407</v>
      </c>
      <c r="D1031" s="105">
        <v>2</v>
      </c>
    </row>
    <row r="1032" spans="1:4" x14ac:dyDescent="0.35">
      <c r="A1032" s="102">
        <v>889</v>
      </c>
      <c r="B1032" s="103">
        <v>289</v>
      </c>
      <c r="C1032" s="104" t="s">
        <v>407</v>
      </c>
      <c r="D1032" s="105">
        <v>1</v>
      </c>
    </row>
    <row r="1033" spans="1:4" x14ac:dyDescent="0.35">
      <c r="A1033" s="102">
        <v>890</v>
      </c>
      <c r="B1033" s="103">
        <v>14028</v>
      </c>
      <c r="C1033" s="104" t="s">
        <v>408</v>
      </c>
      <c r="D1033" s="105" t="s">
        <v>220</v>
      </c>
    </row>
    <row r="1034" spans="1:4" x14ac:dyDescent="0.35">
      <c r="A1034" s="102">
        <v>891</v>
      </c>
      <c r="B1034" s="103">
        <v>14099</v>
      </c>
      <c r="C1034" s="104" t="s">
        <v>408</v>
      </c>
      <c r="D1034" s="105" t="s">
        <v>220</v>
      </c>
    </row>
    <row r="1035" spans="1:4" x14ac:dyDescent="0.35">
      <c r="A1035" s="102">
        <v>892</v>
      </c>
      <c r="B1035" s="103">
        <v>14119</v>
      </c>
      <c r="C1035" s="104" t="s">
        <v>408</v>
      </c>
      <c r="D1035" s="105" t="s">
        <v>220</v>
      </c>
    </row>
    <row r="1036" spans="1:4" x14ac:dyDescent="0.35">
      <c r="A1036" s="102">
        <v>893</v>
      </c>
      <c r="B1036" s="103">
        <v>14120</v>
      </c>
      <c r="C1036" s="104" t="s">
        <v>408</v>
      </c>
      <c r="D1036" s="105" t="s">
        <v>220</v>
      </c>
    </row>
    <row r="1037" spans="1:4" x14ac:dyDescent="0.35">
      <c r="A1037" s="102">
        <v>894</v>
      </c>
      <c r="B1037" s="103">
        <v>300</v>
      </c>
      <c r="C1037" s="104" t="s">
        <v>365</v>
      </c>
      <c r="D1037" s="105" t="s">
        <v>220</v>
      </c>
    </row>
    <row r="1038" spans="1:4" x14ac:dyDescent="0.35">
      <c r="A1038" s="102">
        <v>895</v>
      </c>
      <c r="B1038" s="103">
        <v>311</v>
      </c>
      <c r="C1038" s="104" t="s">
        <v>365</v>
      </c>
      <c r="D1038" s="105" t="s">
        <v>220</v>
      </c>
    </row>
    <row r="1039" spans="1:4" x14ac:dyDescent="0.35">
      <c r="A1039" s="102">
        <v>896</v>
      </c>
      <c r="B1039" s="103">
        <v>312</v>
      </c>
      <c r="C1039" s="104" t="s">
        <v>365</v>
      </c>
      <c r="D1039" s="105" t="s">
        <v>220</v>
      </c>
    </row>
    <row r="1040" spans="1:4" x14ac:dyDescent="0.35">
      <c r="A1040" s="102">
        <v>897</v>
      </c>
      <c r="B1040" s="103">
        <v>14097</v>
      </c>
      <c r="C1040" s="104" t="s">
        <v>408</v>
      </c>
      <c r="D1040" s="105" t="s">
        <v>220</v>
      </c>
    </row>
    <row r="1041" spans="1:4" x14ac:dyDescent="0.35">
      <c r="A1041" s="102">
        <v>898</v>
      </c>
      <c r="B1041" s="103">
        <v>14098</v>
      </c>
      <c r="C1041" s="104" t="s">
        <v>408</v>
      </c>
      <c r="D1041" s="105" t="s">
        <v>220</v>
      </c>
    </row>
    <row r="1042" spans="1:4" x14ac:dyDescent="0.35">
      <c r="A1042" s="102">
        <v>899</v>
      </c>
      <c r="B1042" s="103">
        <v>281</v>
      </c>
      <c r="C1042" s="104" t="s">
        <v>409</v>
      </c>
      <c r="D1042" s="105" t="s">
        <v>220</v>
      </c>
    </row>
    <row r="1043" spans="1:4" x14ac:dyDescent="0.35">
      <c r="A1043" s="102">
        <v>900</v>
      </c>
      <c r="B1043" s="103">
        <v>282</v>
      </c>
      <c r="C1043" s="104" t="s">
        <v>409</v>
      </c>
      <c r="D1043" s="105" t="s">
        <v>220</v>
      </c>
    </row>
    <row r="1044" spans="1:4" x14ac:dyDescent="0.35">
      <c r="A1044" s="102">
        <v>901</v>
      </c>
      <c r="B1044" s="103">
        <v>283</v>
      </c>
      <c r="C1044" s="104" t="s">
        <v>409</v>
      </c>
      <c r="D1044" s="105" t="s">
        <v>220</v>
      </c>
    </row>
    <row r="1045" spans="1:4" x14ac:dyDescent="0.35">
      <c r="A1045" s="102">
        <v>902</v>
      </c>
      <c r="B1045" s="103">
        <v>284</v>
      </c>
      <c r="C1045" s="104" t="s">
        <v>409</v>
      </c>
      <c r="D1045" s="105" t="s">
        <v>220</v>
      </c>
    </row>
    <row r="1046" spans="1:4" x14ac:dyDescent="0.35">
      <c r="A1046" s="102">
        <v>903</v>
      </c>
      <c r="B1046" s="103">
        <v>285</v>
      </c>
      <c r="C1046" s="104" t="s">
        <v>409</v>
      </c>
      <c r="D1046" s="105" t="s">
        <v>220</v>
      </c>
    </row>
    <row r="1047" spans="1:4" x14ac:dyDescent="0.35">
      <c r="A1047" s="102">
        <v>904</v>
      </c>
      <c r="B1047" s="103">
        <v>286</v>
      </c>
      <c r="C1047" s="104" t="s">
        <v>410</v>
      </c>
      <c r="D1047" s="105" t="s">
        <v>220</v>
      </c>
    </row>
    <row r="1048" spans="1:4" x14ac:dyDescent="0.35">
      <c r="A1048" s="102">
        <v>905</v>
      </c>
      <c r="B1048" s="103">
        <v>287</v>
      </c>
      <c r="C1048" s="104" t="s">
        <v>410</v>
      </c>
      <c r="D1048" s="105" t="s">
        <v>220</v>
      </c>
    </row>
    <row r="1049" spans="1:4" x14ac:dyDescent="0.35">
      <c r="A1049" s="102">
        <v>906</v>
      </c>
      <c r="B1049" s="103">
        <v>288</v>
      </c>
      <c r="C1049" s="104" t="s">
        <v>410</v>
      </c>
      <c r="D1049" s="105" t="s">
        <v>220</v>
      </c>
    </row>
    <row r="1050" spans="1:4" x14ac:dyDescent="0.35">
      <c r="A1050" s="102">
        <v>907</v>
      </c>
      <c r="B1050" s="103">
        <v>292</v>
      </c>
      <c r="C1050" s="104" t="s">
        <v>411</v>
      </c>
      <c r="D1050" s="105" t="s">
        <v>220</v>
      </c>
    </row>
    <row r="1051" spans="1:4" x14ac:dyDescent="0.35">
      <c r="A1051" s="102">
        <v>908</v>
      </c>
      <c r="B1051" s="103">
        <v>293</v>
      </c>
      <c r="C1051" s="104" t="s">
        <v>411</v>
      </c>
      <c r="D1051" s="105" t="s">
        <v>220</v>
      </c>
    </row>
    <row r="1052" spans="1:4" x14ac:dyDescent="0.35">
      <c r="A1052" s="102">
        <v>909</v>
      </c>
      <c r="B1052" s="103">
        <v>294</v>
      </c>
      <c r="C1052" s="104" t="s">
        <v>411</v>
      </c>
      <c r="D1052" s="105" t="s">
        <v>220</v>
      </c>
    </row>
    <row r="1053" spans="1:4" x14ac:dyDescent="0.35">
      <c r="A1053" s="102">
        <v>910</v>
      </c>
      <c r="B1053" s="103">
        <v>295</v>
      </c>
      <c r="C1053" s="104" t="s">
        <v>411</v>
      </c>
      <c r="D1053" s="105" t="s">
        <v>220</v>
      </c>
    </row>
    <row r="1054" spans="1:4" x14ac:dyDescent="0.35">
      <c r="A1054" s="102">
        <v>911</v>
      </c>
      <c r="B1054" s="103">
        <v>296</v>
      </c>
      <c r="C1054" s="104" t="s">
        <v>411</v>
      </c>
      <c r="D1054" s="105" t="s">
        <v>220</v>
      </c>
    </row>
    <row r="1055" spans="1:4" x14ac:dyDescent="0.35">
      <c r="A1055" s="102">
        <v>912</v>
      </c>
      <c r="B1055" s="103">
        <v>297</v>
      </c>
      <c r="C1055" s="104" t="s">
        <v>411</v>
      </c>
      <c r="D1055" s="105" t="s">
        <v>220</v>
      </c>
    </row>
    <row r="1056" spans="1:4" x14ac:dyDescent="0.35">
      <c r="A1056" s="102">
        <v>913</v>
      </c>
      <c r="B1056" s="103">
        <v>298</v>
      </c>
      <c r="C1056" s="104" t="s">
        <v>411</v>
      </c>
      <c r="D1056" s="105" t="s">
        <v>220</v>
      </c>
    </row>
    <row r="1057" spans="1:4" x14ac:dyDescent="0.35">
      <c r="A1057" s="102">
        <v>914</v>
      </c>
      <c r="B1057" s="103">
        <v>299</v>
      </c>
      <c r="C1057" s="104" t="s">
        <v>412</v>
      </c>
      <c r="D1057" s="105">
        <v>1</v>
      </c>
    </row>
    <row r="1058" spans="1:4" x14ac:dyDescent="0.35">
      <c r="A1058" s="102">
        <v>915</v>
      </c>
      <c r="B1058" s="103">
        <v>313</v>
      </c>
      <c r="C1058" s="104" t="s">
        <v>365</v>
      </c>
      <c r="D1058" s="105">
        <v>2</v>
      </c>
    </row>
    <row r="1059" spans="1:4" x14ac:dyDescent="0.35">
      <c r="A1059" s="102">
        <v>915</v>
      </c>
      <c r="B1059" s="103">
        <v>314</v>
      </c>
      <c r="C1059" s="104" t="s">
        <v>365</v>
      </c>
      <c r="D1059" s="105">
        <v>1</v>
      </c>
    </row>
    <row r="1060" spans="1:4" x14ac:dyDescent="0.35">
      <c r="A1060" s="102">
        <v>916</v>
      </c>
      <c r="B1060" s="103">
        <v>315</v>
      </c>
      <c r="C1060" s="104" t="s">
        <v>365</v>
      </c>
      <c r="D1060" s="105">
        <v>2</v>
      </c>
    </row>
    <row r="1061" spans="1:4" x14ac:dyDescent="0.35">
      <c r="A1061" s="102">
        <v>916</v>
      </c>
      <c r="B1061" s="103">
        <v>316</v>
      </c>
      <c r="C1061" s="104" t="s">
        <v>365</v>
      </c>
      <c r="D1061" s="105">
        <v>1</v>
      </c>
    </row>
    <row r="1062" spans="1:4" x14ac:dyDescent="0.35">
      <c r="A1062" s="102">
        <v>917</v>
      </c>
      <c r="B1062" s="103">
        <v>279</v>
      </c>
      <c r="C1062" s="104" t="s">
        <v>365</v>
      </c>
      <c r="D1062" s="105">
        <v>2</v>
      </c>
    </row>
    <row r="1063" spans="1:4" x14ac:dyDescent="0.35">
      <c r="A1063" s="102">
        <v>917</v>
      </c>
      <c r="B1063" s="103">
        <v>280</v>
      </c>
      <c r="C1063" s="104" t="s">
        <v>365</v>
      </c>
      <c r="D1063" s="105">
        <v>1</v>
      </c>
    </row>
    <row r="1064" spans="1:4" x14ac:dyDescent="0.35">
      <c r="A1064" s="102">
        <v>918</v>
      </c>
      <c r="B1064" s="103">
        <v>290</v>
      </c>
      <c r="C1064" s="104" t="s">
        <v>300</v>
      </c>
      <c r="D1064" s="105">
        <v>1</v>
      </c>
    </row>
    <row r="1065" spans="1:4" x14ac:dyDescent="0.35">
      <c r="A1065" s="102">
        <v>918</v>
      </c>
      <c r="B1065" s="103">
        <v>291</v>
      </c>
      <c r="C1065" s="104" t="s">
        <v>300</v>
      </c>
      <c r="D1065" s="105">
        <v>1</v>
      </c>
    </row>
    <row r="1066" spans="1:4" x14ac:dyDescent="0.35">
      <c r="A1066" s="102">
        <v>919</v>
      </c>
      <c r="B1066" s="103">
        <v>57</v>
      </c>
      <c r="C1066" s="104" t="s">
        <v>413</v>
      </c>
      <c r="D1066" s="105">
        <v>1</v>
      </c>
    </row>
    <row r="1067" spans="1:4" x14ac:dyDescent="0.35">
      <c r="A1067" s="102">
        <v>919</v>
      </c>
      <c r="B1067" s="103">
        <v>278</v>
      </c>
      <c r="C1067" s="104" t="s">
        <v>413</v>
      </c>
      <c r="D1067" s="105">
        <v>2</v>
      </c>
    </row>
    <row r="1068" spans="1:4" x14ac:dyDescent="0.35">
      <c r="A1068" s="102">
        <v>920</v>
      </c>
      <c r="B1068" s="103">
        <v>57</v>
      </c>
      <c r="C1068" s="104" t="s">
        <v>413</v>
      </c>
      <c r="D1068" s="105">
        <v>1</v>
      </c>
    </row>
    <row r="1069" spans="1:4" x14ac:dyDescent="0.35">
      <c r="A1069" s="102">
        <v>920</v>
      </c>
      <c r="B1069" s="103">
        <v>278</v>
      </c>
      <c r="C1069" s="104" t="s">
        <v>413</v>
      </c>
      <c r="D1069" s="105">
        <v>2</v>
      </c>
    </row>
    <row r="1070" spans="1:4" x14ac:dyDescent="0.35">
      <c r="A1070" s="102">
        <v>922</v>
      </c>
      <c r="B1070" s="103">
        <v>301</v>
      </c>
      <c r="C1070" s="104" t="s">
        <v>323</v>
      </c>
      <c r="D1070" s="105">
        <v>1</v>
      </c>
    </row>
    <row r="1071" spans="1:4" x14ac:dyDescent="0.35">
      <c r="A1071" s="102">
        <v>923</v>
      </c>
      <c r="B1071" s="103">
        <v>302</v>
      </c>
      <c r="C1071" s="104" t="s">
        <v>323</v>
      </c>
      <c r="D1071" s="105">
        <v>1</v>
      </c>
    </row>
    <row r="1072" spans="1:4" x14ac:dyDescent="0.35">
      <c r="A1072" s="102">
        <v>924</v>
      </c>
      <c r="B1072" s="103">
        <v>303</v>
      </c>
      <c r="C1072" s="104" t="s">
        <v>323</v>
      </c>
      <c r="D1072" s="105">
        <v>1</v>
      </c>
    </row>
    <row r="1073" spans="1:4" x14ac:dyDescent="0.35">
      <c r="A1073" s="102">
        <v>925</v>
      </c>
      <c r="B1073" s="103">
        <v>259</v>
      </c>
      <c r="C1073" s="104" t="s">
        <v>414</v>
      </c>
      <c r="D1073" s="105" t="s">
        <v>353</v>
      </c>
    </row>
    <row r="1074" spans="1:4" x14ac:dyDescent="0.35">
      <c r="A1074" s="102">
        <v>925</v>
      </c>
      <c r="B1074" s="103">
        <v>307</v>
      </c>
      <c r="C1074" s="104" t="s">
        <v>414</v>
      </c>
      <c r="D1074" s="105" t="s">
        <v>353</v>
      </c>
    </row>
    <row r="1075" spans="1:4" x14ac:dyDescent="0.35">
      <c r="A1075" s="102">
        <v>926</v>
      </c>
      <c r="B1075" s="103">
        <v>261</v>
      </c>
      <c r="C1075" s="104" t="s">
        <v>354</v>
      </c>
      <c r="D1075" s="105" t="s">
        <v>353</v>
      </c>
    </row>
    <row r="1076" spans="1:4" x14ac:dyDescent="0.35">
      <c r="A1076" s="102">
        <v>926</v>
      </c>
      <c r="B1076" s="103">
        <v>308</v>
      </c>
      <c r="C1076" s="104" t="s">
        <v>354</v>
      </c>
      <c r="D1076" s="105" t="s">
        <v>353</v>
      </c>
    </row>
    <row r="1077" spans="1:4" x14ac:dyDescent="0.35">
      <c r="A1077" s="102">
        <v>927</v>
      </c>
      <c r="B1077" s="103">
        <v>263</v>
      </c>
      <c r="C1077" s="104" t="s">
        <v>356</v>
      </c>
      <c r="D1077" s="105" t="s">
        <v>353</v>
      </c>
    </row>
    <row r="1078" spans="1:4" x14ac:dyDescent="0.35">
      <c r="A1078" s="102">
        <v>927</v>
      </c>
      <c r="B1078" s="103">
        <v>309</v>
      </c>
      <c r="C1078" s="104" t="s">
        <v>356</v>
      </c>
      <c r="D1078" s="105" t="s">
        <v>353</v>
      </c>
    </row>
    <row r="1079" spans="1:4" x14ac:dyDescent="0.35">
      <c r="A1079" s="102">
        <v>928</v>
      </c>
      <c r="B1079" s="103">
        <v>265</v>
      </c>
      <c r="C1079" s="104" t="s">
        <v>355</v>
      </c>
      <c r="D1079" s="105" t="s">
        <v>353</v>
      </c>
    </row>
    <row r="1080" spans="1:4" x14ac:dyDescent="0.35">
      <c r="A1080" s="102">
        <v>928</v>
      </c>
      <c r="B1080" s="103">
        <v>310</v>
      </c>
      <c r="C1080" s="104" t="s">
        <v>355</v>
      </c>
      <c r="D1080" s="105" t="s">
        <v>353</v>
      </c>
    </row>
    <row r="1081" spans="1:4" x14ac:dyDescent="0.35">
      <c r="A1081" s="102">
        <v>929</v>
      </c>
      <c r="B1081" s="103">
        <v>14041</v>
      </c>
      <c r="C1081" s="104" t="s">
        <v>409</v>
      </c>
      <c r="D1081" s="105" t="s">
        <v>220</v>
      </c>
    </row>
    <row r="1082" spans="1:4" x14ac:dyDescent="0.35">
      <c r="A1082" s="102">
        <v>930</v>
      </c>
      <c r="B1082" s="103">
        <v>14053</v>
      </c>
      <c r="C1082" s="104" t="s">
        <v>409</v>
      </c>
      <c r="D1082" s="105" t="s">
        <v>220</v>
      </c>
    </row>
    <row r="1083" spans="1:4" x14ac:dyDescent="0.35">
      <c r="A1083" s="102">
        <v>931</v>
      </c>
      <c r="B1083" s="103">
        <v>14056</v>
      </c>
      <c r="C1083" s="104" t="s">
        <v>409</v>
      </c>
      <c r="D1083" s="105" t="s">
        <v>220</v>
      </c>
    </row>
    <row r="1084" spans="1:4" x14ac:dyDescent="0.35">
      <c r="A1084" s="102">
        <v>932</v>
      </c>
      <c r="B1084" s="103">
        <v>191</v>
      </c>
      <c r="C1084" s="104" t="s">
        <v>415</v>
      </c>
      <c r="D1084" s="105">
        <v>2</v>
      </c>
    </row>
    <row r="1085" spans="1:4" x14ac:dyDescent="0.35">
      <c r="A1085" s="102">
        <v>932</v>
      </c>
      <c r="B1085" s="103">
        <v>353</v>
      </c>
      <c r="C1085" s="104" t="s">
        <v>415</v>
      </c>
      <c r="D1085" s="105">
        <v>1</v>
      </c>
    </row>
    <row r="1086" spans="1:4" x14ac:dyDescent="0.35">
      <c r="A1086" s="102">
        <v>932</v>
      </c>
      <c r="B1086" s="103">
        <v>354</v>
      </c>
      <c r="C1086" s="104" t="s">
        <v>415</v>
      </c>
      <c r="D1086" s="105">
        <v>1</v>
      </c>
    </row>
    <row r="1087" spans="1:4" x14ac:dyDescent="0.35">
      <c r="A1087" s="102">
        <v>932</v>
      </c>
      <c r="B1087" s="103">
        <v>355</v>
      </c>
      <c r="C1087" s="104" t="s">
        <v>415</v>
      </c>
      <c r="D1087" s="105">
        <v>1</v>
      </c>
    </row>
    <row r="1088" spans="1:4" x14ac:dyDescent="0.35">
      <c r="A1088" s="102">
        <v>933</v>
      </c>
      <c r="B1088" s="103">
        <v>14147</v>
      </c>
      <c r="C1088" s="104" t="s">
        <v>407</v>
      </c>
      <c r="D1088" s="105">
        <v>2</v>
      </c>
    </row>
    <row r="1089" spans="1:4" x14ac:dyDescent="0.35">
      <c r="A1089" s="102">
        <v>933</v>
      </c>
      <c r="B1089" s="103">
        <v>14148</v>
      </c>
      <c r="C1089" s="104" t="s">
        <v>407</v>
      </c>
      <c r="D1089" s="105">
        <v>1</v>
      </c>
    </row>
    <row r="1090" spans="1:4" x14ac:dyDescent="0.35">
      <c r="A1090" s="102">
        <v>934</v>
      </c>
      <c r="B1090" s="103">
        <v>14149</v>
      </c>
      <c r="C1090" s="104" t="s">
        <v>408</v>
      </c>
      <c r="D1090" s="105" t="s">
        <v>220</v>
      </c>
    </row>
    <row r="1091" spans="1:4" x14ac:dyDescent="0.35">
      <c r="A1091" s="102">
        <v>935</v>
      </c>
      <c r="B1091" s="103">
        <v>374</v>
      </c>
      <c r="C1091" s="104" t="s">
        <v>416</v>
      </c>
      <c r="D1091" s="105" t="s">
        <v>467</v>
      </c>
    </row>
    <row r="1092" spans="1:4" x14ac:dyDescent="0.35">
      <c r="A1092" s="102">
        <v>935</v>
      </c>
      <c r="B1092" s="103">
        <v>375</v>
      </c>
      <c r="C1092" s="104" t="s">
        <v>416</v>
      </c>
      <c r="D1092" s="105" t="s">
        <v>465</v>
      </c>
    </row>
    <row r="1093" spans="1:4" x14ac:dyDescent="0.35">
      <c r="A1093" s="102">
        <v>936</v>
      </c>
      <c r="B1093" s="103">
        <v>1422</v>
      </c>
      <c r="C1093" s="104" t="s">
        <v>416</v>
      </c>
      <c r="D1093" s="105">
        <v>1</v>
      </c>
    </row>
    <row r="1094" spans="1:4" x14ac:dyDescent="0.35">
      <c r="A1094" s="102">
        <v>936</v>
      </c>
      <c r="B1094" s="103">
        <v>1423</v>
      </c>
      <c r="C1094" s="104" t="s">
        <v>416</v>
      </c>
      <c r="D1094" s="105">
        <v>2</v>
      </c>
    </row>
    <row r="1095" spans="1:4" x14ac:dyDescent="0.35">
      <c r="A1095" s="102">
        <v>937</v>
      </c>
      <c r="B1095" s="103">
        <v>14150</v>
      </c>
      <c r="C1095" s="104" t="s">
        <v>416</v>
      </c>
      <c r="D1095" s="105">
        <v>2</v>
      </c>
    </row>
    <row r="1096" spans="1:4" x14ac:dyDescent="0.35">
      <c r="A1096" s="102">
        <v>937</v>
      </c>
      <c r="B1096" s="103">
        <v>14151</v>
      </c>
      <c r="C1096" s="104" t="s">
        <v>416</v>
      </c>
      <c r="D1096" s="105">
        <v>1</v>
      </c>
    </row>
    <row r="1097" spans="1:4" x14ac:dyDescent="0.35">
      <c r="A1097" s="102">
        <v>938</v>
      </c>
      <c r="B1097" s="103">
        <v>376</v>
      </c>
      <c r="C1097" s="104" t="s">
        <v>416</v>
      </c>
      <c r="D1097" s="105">
        <v>2</v>
      </c>
    </row>
    <row r="1098" spans="1:4" x14ac:dyDescent="0.35">
      <c r="A1098" s="102">
        <v>938</v>
      </c>
      <c r="B1098" s="103">
        <v>377</v>
      </c>
      <c r="C1098" s="104" t="s">
        <v>416</v>
      </c>
      <c r="D1098" s="105">
        <v>1</v>
      </c>
    </row>
    <row r="1099" spans="1:4" x14ac:dyDescent="0.35">
      <c r="A1099" s="102">
        <v>939</v>
      </c>
      <c r="B1099" s="103">
        <v>395</v>
      </c>
      <c r="C1099" s="104" t="s">
        <v>416</v>
      </c>
      <c r="D1099" s="105">
        <v>2</v>
      </c>
    </row>
    <row r="1100" spans="1:4" x14ac:dyDescent="0.35">
      <c r="A1100" s="102">
        <v>939</v>
      </c>
      <c r="B1100" s="103">
        <v>396</v>
      </c>
      <c r="C1100" s="104" t="s">
        <v>416</v>
      </c>
      <c r="D1100" s="105">
        <v>1</v>
      </c>
    </row>
    <row r="1101" spans="1:4" x14ac:dyDescent="0.35">
      <c r="A1101" s="102">
        <v>940</v>
      </c>
      <c r="B1101" s="103">
        <v>397</v>
      </c>
      <c r="C1101" s="104" t="s">
        <v>417</v>
      </c>
      <c r="D1101" s="105" t="s">
        <v>375</v>
      </c>
    </row>
    <row r="1102" spans="1:4" x14ac:dyDescent="0.35">
      <c r="A1102" s="102">
        <v>941</v>
      </c>
      <c r="B1102" s="103">
        <v>398</v>
      </c>
      <c r="C1102" s="104" t="s">
        <v>418</v>
      </c>
      <c r="D1102" s="105" t="s">
        <v>375</v>
      </c>
    </row>
    <row r="1103" spans="1:4" x14ac:dyDescent="0.35">
      <c r="A1103" s="102">
        <v>942</v>
      </c>
      <c r="B1103" s="103">
        <v>400</v>
      </c>
      <c r="C1103" s="104" t="s">
        <v>268</v>
      </c>
      <c r="D1103" s="105">
        <v>1</v>
      </c>
    </row>
    <row r="1104" spans="1:4" x14ac:dyDescent="0.35">
      <c r="A1104" s="102">
        <v>942</v>
      </c>
      <c r="B1104" s="103">
        <v>401</v>
      </c>
      <c r="C1104" s="104" t="s">
        <v>268</v>
      </c>
      <c r="D1104" s="105">
        <v>2</v>
      </c>
    </row>
    <row r="1105" spans="1:4" x14ac:dyDescent="0.35">
      <c r="A1105" s="102">
        <v>943</v>
      </c>
      <c r="B1105" s="103">
        <v>404</v>
      </c>
      <c r="C1105" s="104" t="s">
        <v>258</v>
      </c>
      <c r="D1105" s="105">
        <v>1</v>
      </c>
    </row>
    <row r="1106" spans="1:4" x14ac:dyDescent="0.35">
      <c r="A1106" s="102">
        <v>943</v>
      </c>
      <c r="B1106" s="103">
        <v>405</v>
      </c>
      <c r="C1106" s="104" t="s">
        <v>258</v>
      </c>
      <c r="D1106" s="105">
        <v>2</v>
      </c>
    </row>
    <row r="1107" spans="1:4" x14ac:dyDescent="0.35">
      <c r="A1107" s="102">
        <v>944</v>
      </c>
      <c r="B1107" s="103">
        <v>406</v>
      </c>
      <c r="C1107" s="104" t="s">
        <v>258</v>
      </c>
      <c r="D1107" s="105">
        <v>1</v>
      </c>
    </row>
    <row r="1108" spans="1:4" x14ac:dyDescent="0.35">
      <c r="A1108" s="102">
        <v>944</v>
      </c>
      <c r="B1108" s="103">
        <v>407</v>
      </c>
      <c r="C1108" s="104" t="s">
        <v>258</v>
      </c>
      <c r="D1108" s="105">
        <v>2</v>
      </c>
    </row>
    <row r="1109" spans="1:4" x14ac:dyDescent="0.35">
      <c r="A1109" s="102">
        <v>945</v>
      </c>
      <c r="B1109" s="103">
        <v>408</v>
      </c>
      <c r="C1109" s="104" t="s">
        <v>258</v>
      </c>
      <c r="D1109" s="105">
        <v>1</v>
      </c>
    </row>
    <row r="1110" spans="1:4" x14ac:dyDescent="0.35">
      <c r="A1110" s="102">
        <v>945</v>
      </c>
      <c r="B1110" s="103">
        <v>409</v>
      </c>
      <c r="C1110" s="104" t="s">
        <v>258</v>
      </c>
      <c r="D1110" s="105">
        <v>2</v>
      </c>
    </row>
    <row r="1111" spans="1:4" x14ac:dyDescent="0.35">
      <c r="A1111" s="102">
        <v>946</v>
      </c>
      <c r="B1111" s="103">
        <v>410</v>
      </c>
      <c r="C1111" s="104" t="s">
        <v>258</v>
      </c>
      <c r="D1111" s="105">
        <v>1</v>
      </c>
    </row>
    <row r="1112" spans="1:4" x14ac:dyDescent="0.35">
      <c r="A1112" s="102">
        <v>946</v>
      </c>
      <c r="B1112" s="103">
        <v>411</v>
      </c>
      <c r="C1112" s="104" t="s">
        <v>258</v>
      </c>
      <c r="D1112" s="105">
        <v>2</v>
      </c>
    </row>
    <row r="1113" spans="1:4" x14ac:dyDescent="0.35">
      <c r="A1113" s="102">
        <v>947</v>
      </c>
      <c r="B1113" s="103">
        <v>412</v>
      </c>
      <c r="C1113" s="104" t="s">
        <v>419</v>
      </c>
      <c r="D1113" s="105">
        <v>2</v>
      </c>
    </row>
    <row r="1114" spans="1:4" x14ac:dyDescent="0.35">
      <c r="A1114" s="102">
        <v>947</v>
      </c>
      <c r="B1114" s="103">
        <v>413</v>
      </c>
      <c r="C1114" s="104" t="s">
        <v>419</v>
      </c>
      <c r="D1114" s="105">
        <v>1</v>
      </c>
    </row>
    <row r="1115" spans="1:4" x14ac:dyDescent="0.35">
      <c r="A1115" s="102">
        <v>947</v>
      </c>
      <c r="B1115" s="103">
        <v>414</v>
      </c>
      <c r="C1115" s="104" t="s">
        <v>419</v>
      </c>
      <c r="D1115" s="105">
        <v>1</v>
      </c>
    </row>
    <row r="1116" spans="1:4" x14ac:dyDescent="0.35">
      <c r="A1116" s="102">
        <v>948</v>
      </c>
      <c r="B1116" s="103">
        <v>415</v>
      </c>
      <c r="C1116" s="104" t="s">
        <v>420</v>
      </c>
      <c r="D1116" s="105" t="s">
        <v>467</v>
      </c>
    </row>
    <row r="1117" spans="1:4" x14ac:dyDescent="0.35">
      <c r="A1117" s="102">
        <v>948</v>
      </c>
      <c r="B1117" s="103">
        <v>416</v>
      </c>
      <c r="C1117" s="104" t="s">
        <v>420</v>
      </c>
      <c r="D1117" s="105">
        <v>1</v>
      </c>
    </row>
    <row r="1118" spans="1:4" x14ac:dyDescent="0.35">
      <c r="A1118" s="102">
        <v>949</v>
      </c>
      <c r="B1118" s="103">
        <v>417</v>
      </c>
      <c r="C1118" s="104" t="s">
        <v>504</v>
      </c>
      <c r="D1118" s="105">
        <v>1</v>
      </c>
    </row>
    <row r="1119" spans="1:4" x14ac:dyDescent="0.35">
      <c r="A1119" s="102">
        <v>949</v>
      </c>
      <c r="B1119" s="103">
        <v>418</v>
      </c>
      <c r="C1119" s="104" t="s">
        <v>504</v>
      </c>
      <c r="D1119" s="105">
        <v>2</v>
      </c>
    </row>
    <row r="1120" spans="1:4" x14ac:dyDescent="0.35">
      <c r="A1120" s="102">
        <v>950</v>
      </c>
      <c r="B1120" s="103">
        <v>419</v>
      </c>
      <c r="C1120" s="104" t="s">
        <v>505</v>
      </c>
      <c r="D1120" s="105" t="s">
        <v>220</v>
      </c>
    </row>
    <row r="1121" spans="1:4" x14ac:dyDescent="0.35">
      <c r="A1121" s="102">
        <v>951</v>
      </c>
      <c r="B1121" s="103">
        <v>420</v>
      </c>
      <c r="C1121" s="104" t="s">
        <v>506</v>
      </c>
      <c r="D1121" s="105" t="s">
        <v>220</v>
      </c>
    </row>
    <row r="1122" spans="1:4" x14ac:dyDescent="0.35">
      <c r="A1122" s="102">
        <v>952</v>
      </c>
      <c r="B1122" s="103">
        <v>421</v>
      </c>
      <c r="C1122" s="104" t="s">
        <v>507</v>
      </c>
      <c r="D1122" s="105">
        <v>1</v>
      </c>
    </row>
    <row r="1123" spans="1:4" x14ac:dyDescent="0.35">
      <c r="A1123" s="102">
        <v>952</v>
      </c>
      <c r="B1123" s="103">
        <v>422</v>
      </c>
      <c r="C1123" s="104" t="s">
        <v>507</v>
      </c>
      <c r="D1123" s="105">
        <v>2</v>
      </c>
    </row>
    <row r="1124" spans="1:4" x14ac:dyDescent="0.35">
      <c r="A1124" s="102">
        <v>953</v>
      </c>
      <c r="B1124" s="103">
        <v>423</v>
      </c>
      <c r="C1124" s="104" t="s">
        <v>421</v>
      </c>
      <c r="D1124" s="105">
        <v>1</v>
      </c>
    </row>
    <row r="1125" spans="1:4" x14ac:dyDescent="0.35">
      <c r="A1125" s="102">
        <v>953</v>
      </c>
      <c r="B1125" s="103">
        <v>424</v>
      </c>
      <c r="C1125" s="104" t="s">
        <v>421</v>
      </c>
      <c r="D1125" s="105" t="s">
        <v>465</v>
      </c>
    </row>
    <row r="1126" spans="1:4" x14ac:dyDescent="0.35">
      <c r="A1126" s="102">
        <v>954</v>
      </c>
      <c r="B1126" s="103">
        <v>425</v>
      </c>
      <c r="C1126" s="104" t="s">
        <v>422</v>
      </c>
      <c r="D1126" s="105" t="s">
        <v>467</v>
      </c>
    </row>
    <row r="1127" spans="1:4" x14ac:dyDescent="0.35">
      <c r="A1127" s="102">
        <v>954</v>
      </c>
      <c r="B1127" s="103">
        <v>426</v>
      </c>
      <c r="C1127" s="104" t="s">
        <v>422</v>
      </c>
      <c r="D1127" s="105" t="s">
        <v>465</v>
      </c>
    </row>
    <row r="1128" spans="1:4" x14ac:dyDescent="0.35">
      <c r="A1128" s="102">
        <v>954</v>
      </c>
      <c r="B1128" s="103">
        <v>427</v>
      </c>
      <c r="C1128" s="104" t="s">
        <v>422</v>
      </c>
      <c r="D1128" s="105" t="s">
        <v>465</v>
      </c>
    </row>
    <row r="1129" spans="1:4" x14ac:dyDescent="0.35">
      <c r="A1129" s="102">
        <v>955</v>
      </c>
      <c r="B1129" s="103">
        <v>206</v>
      </c>
      <c r="C1129" s="104" t="s">
        <v>423</v>
      </c>
      <c r="D1129" s="105">
        <v>2</v>
      </c>
    </row>
    <row r="1130" spans="1:4" x14ac:dyDescent="0.35">
      <c r="A1130" s="102">
        <v>955</v>
      </c>
      <c r="B1130" s="103">
        <v>428</v>
      </c>
      <c r="C1130" s="104" t="s">
        <v>423</v>
      </c>
      <c r="D1130" s="105">
        <v>1</v>
      </c>
    </row>
    <row r="1131" spans="1:4" x14ac:dyDescent="0.35">
      <c r="A1131" s="102">
        <v>955</v>
      </c>
      <c r="B1131" s="103">
        <v>429</v>
      </c>
      <c r="C1131" s="104" t="s">
        <v>423</v>
      </c>
      <c r="D1131" s="105">
        <v>2</v>
      </c>
    </row>
    <row r="1132" spans="1:4" x14ac:dyDescent="0.35">
      <c r="A1132" s="102">
        <v>955</v>
      </c>
      <c r="B1132" s="103">
        <v>430</v>
      </c>
      <c r="C1132" s="104" t="s">
        <v>423</v>
      </c>
      <c r="D1132" s="105">
        <v>1</v>
      </c>
    </row>
    <row r="1133" spans="1:4" x14ac:dyDescent="0.35">
      <c r="A1133" s="102">
        <v>956</v>
      </c>
      <c r="B1133" s="103">
        <v>160</v>
      </c>
      <c r="C1133" s="104" t="s">
        <v>424</v>
      </c>
      <c r="D1133" s="105">
        <v>2</v>
      </c>
    </row>
    <row r="1134" spans="1:4" x14ac:dyDescent="0.35">
      <c r="A1134" s="102">
        <v>956</v>
      </c>
      <c r="B1134" s="103">
        <v>427</v>
      </c>
      <c r="C1134" s="104" t="s">
        <v>424</v>
      </c>
      <c r="D1134" s="105">
        <v>1</v>
      </c>
    </row>
    <row r="1135" spans="1:4" x14ac:dyDescent="0.35">
      <c r="A1135" s="102">
        <v>956</v>
      </c>
      <c r="B1135" s="103">
        <v>431</v>
      </c>
      <c r="C1135" s="104" t="s">
        <v>424</v>
      </c>
      <c r="D1135" s="105">
        <v>2</v>
      </c>
    </row>
    <row r="1136" spans="1:4" x14ac:dyDescent="0.35">
      <c r="A1136" s="102">
        <v>956</v>
      </c>
      <c r="B1136" s="103">
        <v>432</v>
      </c>
      <c r="C1136" s="104" t="s">
        <v>424</v>
      </c>
      <c r="D1136" s="105">
        <v>1</v>
      </c>
    </row>
    <row r="1137" spans="1:4" x14ac:dyDescent="0.35">
      <c r="A1137" s="102">
        <v>957</v>
      </c>
      <c r="B1137" s="103">
        <v>432</v>
      </c>
      <c r="C1137" s="104" t="s">
        <v>425</v>
      </c>
      <c r="D1137" s="105">
        <v>1</v>
      </c>
    </row>
    <row r="1138" spans="1:4" x14ac:dyDescent="0.35">
      <c r="A1138" s="102">
        <v>957</v>
      </c>
      <c r="B1138" s="103">
        <v>433</v>
      </c>
      <c r="C1138" s="104" t="s">
        <v>425</v>
      </c>
      <c r="D1138" s="105">
        <v>2</v>
      </c>
    </row>
    <row r="1139" spans="1:4" x14ac:dyDescent="0.35">
      <c r="A1139" s="102">
        <v>958</v>
      </c>
      <c r="B1139" s="103">
        <v>434</v>
      </c>
      <c r="C1139" s="104" t="s">
        <v>426</v>
      </c>
      <c r="D1139" s="105">
        <v>2</v>
      </c>
    </row>
    <row r="1140" spans="1:4" x14ac:dyDescent="0.35">
      <c r="A1140" s="102">
        <v>958</v>
      </c>
      <c r="B1140" s="103">
        <v>435</v>
      </c>
      <c r="C1140" s="104" t="s">
        <v>426</v>
      </c>
      <c r="D1140" s="105">
        <v>1</v>
      </c>
    </row>
    <row r="1141" spans="1:4" x14ac:dyDescent="0.35">
      <c r="A1141" s="102">
        <v>959</v>
      </c>
      <c r="B1141" s="103">
        <v>160</v>
      </c>
      <c r="C1141" s="104" t="s">
        <v>427</v>
      </c>
      <c r="D1141" s="105">
        <v>2</v>
      </c>
    </row>
    <row r="1142" spans="1:4" x14ac:dyDescent="0.35">
      <c r="A1142" s="102">
        <v>959</v>
      </c>
      <c r="B1142" s="103">
        <v>432</v>
      </c>
      <c r="C1142" s="104" t="s">
        <v>427</v>
      </c>
      <c r="D1142" s="105">
        <v>1</v>
      </c>
    </row>
    <row r="1143" spans="1:4" x14ac:dyDescent="0.35">
      <c r="A1143" s="102">
        <v>959</v>
      </c>
      <c r="B1143" s="103">
        <v>436</v>
      </c>
      <c r="C1143" s="104" t="s">
        <v>427</v>
      </c>
      <c r="D1143" s="105">
        <v>2</v>
      </c>
    </row>
    <row r="1144" spans="1:4" x14ac:dyDescent="0.35">
      <c r="A1144" s="102">
        <v>960</v>
      </c>
      <c r="B1144" s="103">
        <v>160</v>
      </c>
      <c r="C1144" s="104" t="s">
        <v>428</v>
      </c>
      <c r="D1144" s="105">
        <v>2</v>
      </c>
    </row>
    <row r="1145" spans="1:4" x14ac:dyDescent="0.35">
      <c r="A1145" s="102">
        <v>960</v>
      </c>
      <c r="B1145" s="103">
        <v>435</v>
      </c>
      <c r="C1145" s="104" t="s">
        <v>428</v>
      </c>
      <c r="D1145" s="105">
        <v>1</v>
      </c>
    </row>
    <row r="1146" spans="1:4" x14ac:dyDescent="0.35">
      <c r="A1146" s="102">
        <v>960</v>
      </c>
      <c r="B1146" s="103">
        <v>441</v>
      </c>
      <c r="C1146" s="104" t="s">
        <v>428</v>
      </c>
      <c r="D1146" s="105">
        <v>1</v>
      </c>
    </row>
    <row r="1147" spans="1:4" x14ac:dyDescent="0.35">
      <c r="A1147" s="102">
        <v>961</v>
      </c>
      <c r="B1147" s="103">
        <v>427</v>
      </c>
      <c r="C1147" s="104" t="s">
        <v>429</v>
      </c>
      <c r="D1147" s="105">
        <v>1</v>
      </c>
    </row>
    <row r="1148" spans="1:4" x14ac:dyDescent="0.35">
      <c r="A1148" s="102">
        <v>961</v>
      </c>
      <c r="B1148" s="103">
        <v>432</v>
      </c>
      <c r="C1148" s="104" t="s">
        <v>429</v>
      </c>
      <c r="D1148" s="105">
        <v>1</v>
      </c>
    </row>
    <row r="1149" spans="1:4" x14ac:dyDescent="0.35">
      <c r="A1149" s="102">
        <v>961</v>
      </c>
      <c r="B1149" s="103">
        <v>437</v>
      </c>
      <c r="C1149" s="104" t="s">
        <v>429</v>
      </c>
      <c r="D1149" s="105">
        <v>2</v>
      </c>
    </row>
    <row r="1150" spans="1:4" x14ac:dyDescent="0.35">
      <c r="A1150" s="102">
        <v>962</v>
      </c>
      <c r="B1150" s="103">
        <v>427</v>
      </c>
      <c r="C1150" s="104" t="s">
        <v>430</v>
      </c>
      <c r="D1150" s="105">
        <v>1</v>
      </c>
    </row>
    <row r="1151" spans="1:4" x14ac:dyDescent="0.35">
      <c r="A1151" s="102">
        <v>962</v>
      </c>
      <c r="B1151" s="103">
        <v>435</v>
      </c>
      <c r="C1151" s="104" t="s">
        <v>430</v>
      </c>
      <c r="D1151" s="105">
        <v>1</v>
      </c>
    </row>
    <row r="1152" spans="1:4" x14ac:dyDescent="0.35">
      <c r="A1152" s="102">
        <v>962</v>
      </c>
      <c r="B1152" s="103">
        <v>438</v>
      </c>
      <c r="C1152" s="104" t="s">
        <v>430</v>
      </c>
      <c r="D1152" s="105">
        <v>2</v>
      </c>
    </row>
    <row r="1153" spans="1:4" x14ac:dyDescent="0.35">
      <c r="A1153" s="102">
        <v>963</v>
      </c>
      <c r="B1153" s="103">
        <v>160</v>
      </c>
      <c r="C1153" s="104" t="s">
        <v>431</v>
      </c>
      <c r="D1153" s="105">
        <v>2</v>
      </c>
    </row>
    <row r="1154" spans="1:4" x14ac:dyDescent="0.35">
      <c r="A1154" s="102">
        <v>963</v>
      </c>
      <c r="B1154" s="103">
        <v>427</v>
      </c>
      <c r="C1154" s="104" t="s">
        <v>431</v>
      </c>
      <c r="D1154" s="105">
        <v>1</v>
      </c>
    </row>
    <row r="1155" spans="1:4" x14ac:dyDescent="0.35">
      <c r="A1155" s="102">
        <v>963</v>
      </c>
      <c r="B1155" s="103">
        <v>435</v>
      </c>
      <c r="C1155" s="104" t="s">
        <v>431</v>
      </c>
      <c r="D1155" s="105">
        <v>1</v>
      </c>
    </row>
    <row r="1156" spans="1:4" x14ac:dyDescent="0.35">
      <c r="A1156" s="102">
        <v>963</v>
      </c>
      <c r="B1156" s="103">
        <v>439</v>
      </c>
      <c r="C1156" s="104" t="s">
        <v>431</v>
      </c>
      <c r="D1156" s="105">
        <v>2</v>
      </c>
    </row>
    <row r="1157" spans="1:4" x14ac:dyDescent="0.35">
      <c r="A1157" s="102">
        <v>964</v>
      </c>
      <c r="B1157" s="103">
        <v>160</v>
      </c>
      <c r="C1157" s="104" t="s">
        <v>432</v>
      </c>
      <c r="D1157" s="105">
        <v>2</v>
      </c>
    </row>
    <row r="1158" spans="1:4" x14ac:dyDescent="0.35">
      <c r="A1158" s="102">
        <v>964</v>
      </c>
      <c r="B1158" s="103">
        <v>431</v>
      </c>
      <c r="C1158" s="104" t="s">
        <v>432</v>
      </c>
      <c r="D1158" s="105">
        <v>2</v>
      </c>
    </row>
    <row r="1159" spans="1:4" x14ac:dyDescent="0.35">
      <c r="A1159" s="102">
        <v>964</v>
      </c>
      <c r="B1159" s="103">
        <v>440</v>
      </c>
      <c r="C1159" s="104" t="s">
        <v>432</v>
      </c>
      <c r="D1159" s="105">
        <v>1</v>
      </c>
    </row>
    <row r="1160" spans="1:4" x14ac:dyDescent="0.35">
      <c r="A1160" s="102">
        <v>965</v>
      </c>
      <c r="B1160" s="103">
        <v>194</v>
      </c>
      <c r="C1160" s="104" t="s">
        <v>433</v>
      </c>
      <c r="D1160" s="105">
        <v>2</v>
      </c>
    </row>
    <row r="1161" spans="1:4" x14ac:dyDescent="0.35">
      <c r="A1161" s="102">
        <v>965</v>
      </c>
      <c r="B1161" s="103">
        <v>489</v>
      </c>
      <c r="C1161" s="104" t="s">
        <v>433</v>
      </c>
      <c r="D1161" s="105">
        <v>1</v>
      </c>
    </row>
    <row r="1162" spans="1:4" x14ac:dyDescent="0.35">
      <c r="A1162" s="102">
        <v>965</v>
      </c>
      <c r="B1162" s="103">
        <v>500</v>
      </c>
      <c r="C1162" s="104" t="s">
        <v>433</v>
      </c>
      <c r="D1162" s="105">
        <v>2</v>
      </c>
    </row>
    <row r="1163" spans="1:4" x14ac:dyDescent="0.35">
      <c r="A1163" s="102">
        <v>966</v>
      </c>
      <c r="B1163" s="103">
        <v>488</v>
      </c>
      <c r="C1163" s="104" t="s">
        <v>280</v>
      </c>
      <c r="D1163" s="105" t="s">
        <v>220</v>
      </c>
    </row>
    <row r="1164" spans="1:4" x14ac:dyDescent="0.35">
      <c r="A1164" s="102">
        <v>967</v>
      </c>
      <c r="B1164" s="103">
        <v>442</v>
      </c>
      <c r="C1164" s="104" t="s">
        <v>292</v>
      </c>
      <c r="D1164" s="105">
        <v>1</v>
      </c>
    </row>
    <row r="1165" spans="1:4" x14ac:dyDescent="0.35">
      <c r="A1165" s="102">
        <v>967</v>
      </c>
      <c r="B1165" s="103">
        <v>443</v>
      </c>
      <c r="C1165" s="104" t="s">
        <v>292</v>
      </c>
      <c r="D1165" s="105">
        <v>2</v>
      </c>
    </row>
    <row r="1166" spans="1:4" x14ac:dyDescent="0.35">
      <c r="A1166" s="102">
        <v>968</v>
      </c>
      <c r="B1166" s="103">
        <v>444</v>
      </c>
      <c r="C1166" s="104" t="s">
        <v>292</v>
      </c>
      <c r="D1166" s="105">
        <v>1</v>
      </c>
    </row>
    <row r="1167" spans="1:4" x14ac:dyDescent="0.35">
      <c r="A1167" s="102">
        <v>969</v>
      </c>
      <c r="B1167" s="103">
        <v>443</v>
      </c>
      <c r="C1167" s="104" t="s">
        <v>433</v>
      </c>
      <c r="D1167" s="105">
        <v>2</v>
      </c>
    </row>
    <row r="1168" spans="1:4" x14ac:dyDescent="0.35">
      <c r="A1168" s="102">
        <v>969</v>
      </c>
      <c r="B1168" s="103">
        <v>489</v>
      </c>
      <c r="C1168" s="104" t="s">
        <v>433</v>
      </c>
      <c r="D1168" s="105">
        <v>1</v>
      </c>
    </row>
    <row r="1169" spans="1:4" x14ac:dyDescent="0.35">
      <c r="A1169" s="102">
        <v>969</v>
      </c>
      <c r="B1169" s="103">
        <v>501</v>
      </c>
      <c r="C1169" s="104" t="s">
        <v>433</v>
      </c>
      <c r="D1169" s="105">
        <v>1</v>
      </c>
    </row>
    <row r="1170" spans="1:4" x14ac:dyDescent="0.35">
      <c r="A1170" s="102">
        <v>970</v>
      </c>
      <c r="B1170" s="103">
        <v>447</v>
      </c>
      <c r="C1170" s="104" t="s">
        <v>246</v>
      </c>
      <c r="D1170" s="105">
        <v>2</v>
      </c>
    </row>
    <row r="1171" spans="1:4" x14ac:dyDescent="0.35">
      <c r="A1171" s="102">
        <v>970</v>
      </c>
      <c r="B1171" s="103">
        <v>448</v>
      </c>
      <c r="C1171" s="104" t="s">
        <v>246</v>
      </c>
      <c r="D1171" s="105">
        <v>1</v>
      </c>
    </row>
    <row r="1172" spans="1:4" x14ac:dyDescent="0.35">
      <c r="A1172" s="102">
        <v>971</v>
      </c>
      <c r="B1172" s="103">
        <v>492</v>
      </c>
      <c r="C1172" s="104" t="s">
        <v>434</v>
      </c>
      <c r="D1172" s="105">
        <v>2</v>
      </c>
    </row>
    <row r="1173" spans="1:4" x14ac:dyDescent="0.35">
      <c r="A1173" s="102">
        <v>971</v>
      </c>
      <c r="B1173" s="103">
        <v>493</v>
      </c>
      <c r="C1173" s="104" t="s">
        <v>434</v>
      </c>
      <c r="D1173" s="105">
        <v>1</v>
      </c>
    </row>
    <row r="1174" spans="1:4" x14ac:dyDescent="0.35">
      <c r="A1174" s="102">
        <v>971</v>
      </c>
      <c r="B1174" s="103">
        <v>494</v>
      </c>
      <c r="C1174" s="104" t="s">
        <v>434</v>
      </c>
      <c r="D1174" s="105">
        <v>1</v>
      </c>
    </row>
    <row r="1175" spans="1:4" x14ac:dyDescent="0.35">
      <c r="A1175" s="102">
        <v>972</v>
      </c>
      <c r="B1175" s="103">
        <v>502</v>
      </c>
      <c r="C1175" s="104" t="s">
        <v>468</v>
      </c>
      <c r="D1175" s="105">
        <v>1</v>
      </c>
    </row>
    <row r="1176" spans="1:4" x14ac:dyDescent="0.35">
      <c r="A1176" s="102">
        <v>972</v>
      </c>
      <c r="B1176" s="103">
        <v>503</v>
      </c>
      <c r="C1176" s="104" t="s">
        <v>468</v>
      </c>
      <c r="D1176" s="105" t="s">
        <v>467</v>
      </c>
    </row>
    <row r="1177" spans="1:4" x14ac:dyDescent="0.35">
      <c r="A1177" s="102">
        <v>973</v>
      </c>
      <c r="B1177" s="103">
        <v>453</v>
      </c>
      <c r="C1177" s="104" t="s">
        <v>290</v>
      </c>
      <c r="D1177" s="105">
        <v>1</v>
      </c>
    </row>
    <row r="1178" spans="1:4" x14ac:dyDescent="0.35">
      <c r="A1178" s="102">
        <v>973</v>
      </c>
      <c r="B1178" s="103">
        <v>454</v>
      </c>
      <c r="C1178" s="104" t="s">
        <v>290</v>
      </c>
      <c r="D1178" s="105">
        <v>2</v>
      </c>
    </row>
    <row r="1179" spans="1:4" x14ac:dyDescent="0.35">
      <c r="A1179" s="102">
        <v>974</v>
      </c>
      <c r="B1179" s="103">
        <v>455</v>
      </c>
      <c r="C1179" s="104" t="s">
        <v>316</v>
      </c>
      <c r="D1179" s="105">
        <v>2</v>
      </c>
    </row>
    <row r="1180" spans="1:4" x14ac:dyDescent="0.35">
      <c r="A1180" s="102">
        <v>975</v>
      </c>
      <c r="B1180" s="103">
        <v>504</v>
      </c>
      <c r="C1180" s="104" t="s">
        <v>508</v>
      </c>
      <c r="D1180" s="105">
        <v>1</v>
      </c>
    </row>
    <row r="1181" spans="1:4" x14ac:dyDescent="0.35">
      <c r="A1181" s="102">
        <v>975</v>
      </c>
      <c r="B1181" s="103">
        <v>505</v>
      </c>
      <c r="C1181" s="104" t="s">
        <v>508</v>
      </c>
      <c r="D1181" s="105">
        <v>2</v>
      </c>
    </row>
    <row r="1182" spans="1:4" x14ac:dyDescent="0.35">
      <c r="A1182" s="102">
        <v>976</v>
      </c>
      <c r="B1182" s="103">
        <v>506</v>
      </c>
      <c r="C1182" s="104" t="s">
        <v>509</v>
      </c>
      <c r="D1182" s="105">
        <v>1</v>
      </c>
    </row>
    <row r="1183" spans="1:4" x14ac:dyDescent="0.35">
      <c r="A1183" s="102">
        <v>976</v>
      </c>
      <c r="B1183" s="103">
        <v>507</v>
      </c>
      <c r="C1183" s="104" t="s">
        <v>509</v>
      </c>
      <c r="D1183" s="105">
        <v>2</v>
      </c>
    </row>
    <row r="1184" spans="1:4" x14ac:dyDescent="0.35">
      <c r="A1184" s="102">
        <v>978</v>
      </c>
      <c r="B1184" s="103">
        <v>462</v>
      </c>
      <c r="C1184" s="104" t="s">
        <v>274</v>
      </c>
      <c r="D1184" s="105" t="s">
        <v>220</v>
      </c>
    </row>
    <row r="1185" spans="1:4" x14ac:dyDescent="0.35">
      <c r="A1185" s="102">
        <v>979</v>
      </c>
      <c r="B1185" s="103">
        <v>463</v>
      </c>
      <c r="C1185" s="104" t="s">
        <v>313</v>
      </c>
      <c r="D1185" s="105" t="s">
        <v>460</v>
      </c>
    </row>
    <row r="1186" spans="1:4" x14ac:dyDescent="0.35">
      <c r="A1186" s="102">
        <v>980</v>
      </c>
      <c r="B1186" s="103">
        <v>466</v>
      </c>
      <c r="C1186" s="104" t="s">
        <v>435</v>
      </c>
      <c r="D1186" s="105">
        <v>2</v>
      </c>
    </row>
    <row r="1187" spans="1:4" x14ac:dyDescent="0.35">
      <c r="A1187" s="102">
        <v>980</v>
      </c>
      <c r="B1187" s="103">
        <v>467</v>
      </c>
      <c r="C1187" s="104" t="s">
        <v>435</v>
      </c>
      <c r="D1187" s="105">
        <v>1</v>
      </c>
    </row>
    <row r="1188" spans="1:4" x14ac:dyDescent="0.35">
      <c r="A1188" s="102">
        <v>981</v>
      </c>
      <c r="B1188" s="103">
        <v>468</v>
      </c>
      <c r="C1188" s="104" t="s">
        <v>436</v>
      </c>
      <c r="D1188" s="105" t="s">
        <v>220</v>
      </c>
    </row>
    <row r="1189" spans="1:4" x14ac:dyDescent="0.35">
      <c r="A1189" s="102">
        <v>982</v>
      </c>
      <c r="B1189" s="103">
        <v>508</v>
      </c>
      <c r="C1189" s="104" t="s">
        <v>510</v>
      </c>
      <c r="D1189" s="105">
        <v>2</v>
      </c>
    </row>
    <row r="1190" spans="1:4" x14ac:dyDescent="0.35">
      <c r="A1190" s="102">
        <v>982</v>
      </c>
      <c r="B1190" s="103">
        <v>509</v>
      </c>
      <c r="C1190" s="104" t="s">
        <v>510</v>
      </c>
      <c r="D1190" s="105">
        <v>1</v>
      </c>
    </row>
    <row r="1191" spans="1:4" x14ac:dyDescent="0.35">
      <c r="A1191" s="102">
        <v>983</v>
      </c>
      <c r="B1191" s="103">
        <v>510</v>
      </c>
      <c r="C1191" s="104" t="s">
        <v>511</v>
      </c>
      <c r="D1191" s="105">
        <v>2</v>
      </c>
    </row>
    <row r="1192" spans="1:4" x14ac:dyDescent="0.35">
      <c r="A1192" s="102">
        <v>983</v>
      </c>
      <c r="B1192" s="103">
        <v>511</v>
      </c>
      <c r="C1192" s="104" t="s">
        <v>511</v>
      </c>
      <c r="D1192" s="105">
        <v>1</v>
      </c>
    </row>
    <row r="1193" spans="1:4" s="132" customFormat="1" ht="13.15" x14ac:dyDescent="0.4">
      <c r="A1193" s="102">
        <v>984</v>
      </c>
      <c r="B1193" s="103">
        <v>512</v>
      </c>
      <c r="C1193" s="104" t="s">
        <v>563</v>
      </c>
      <c r="D1193" s="105">
        <v>1</v>
      </c>
    </row>
    <row r="1194" spans="1:4" s="132" customFormat="1" ht="13.15" x14ac:dyDescent="0.4">
      <c r="A1194" s="102">
        <v>984</v>
      </c>
      <c r="B1194" s="103">
        <v>513</v>
      </c>
      <c r="C1194" s="104" t="s">
        <v>563</v>
      </c>
      <c r="D1194" s="105">
        <v>2</v>
      </c>
    </row>
    <row r="1195" spans="1:4" s="132" customFormat="1" ht="13.15" x14ac:dyDescent="0.4">
      <c r="A1195" s="102">
        <v>985</v>
      </c>
      <c r="B1195" s="103">
        <v>514</v>
      </c>
      <c r="C1195" s="104" t="s">
        <v>564</v>
      </c>
      <c r="D1195" s="105">
        <v>1</v>
      </c>
    </row>
    <row r="1196" spans="1:4" s="132" customFormat="1" ht="13.15" x14ac:dyDescent="0.4">
      <c r="A1196" s="102">
        <v>985</v>
      </c>
      <c r="B1196" s="103">
        <v>515</v>
      </c>
      <c r="C1196" s="104" t="s">
        <v>564</v>
      </c>
      <c r="D1196" s="105">
        <v>2</v>
      </c>
    </row>
    <row r="1197" spans="1:4" x14ac:dyDescent="0.35">
      <c r="A1197" s="102">
        <v>989</v>
      </c>
      <c r="B1197" s="103">
        <v>475</v>
      </c>
      <c r="C1197" s="104" t="s">
        <v>329</v>
      </c>
      <c r="D1197" s="105">
        <v>2</v>
      </c>
    </row>
    <row r="1198" spans="1:4" x14ac:dyDescent="0.35">
      <c r="A1198" s="102">
        <v>989</v>
      </c>
      <c r="B1198" s="103">
        <v>476</v>
      </c>
      <c r="C1198" s="104" t="s">
        <v>329</v>
      </c>
      <c r="D1198" s="105">
        <v>1</v>
      </c>
    </row>
    <row r="1199" spans="1:4" x14ac:dyDescent="0.35">
      <c r="A1199" s="102">
        <v>990</v>
      </c>
      <c r="B1199" s="103">
        <v>477</v>
      </c>
      <c r="C1199" s="104" t="s">
        <v>330</v>
      </c>
      <c r="D1199" s="105" t="s">
        <v>220</v>
      </c>
    </row>
    <row r="1200" spans="1:4" x14ac:dyDescent="0.35">
      <c r="A1200" s="102">
        <v>991</v>
      </c>
      <c r="B1200" s="103">
        <v>478</v>
      </c>
      <c r="C1200" s="104" t="s">
        <v>280</v>
      </c>
      <c r="D1200" s="105" t="s">
        <v>220</v>
      </c>
    </row>
    <row r="1201" spans="1:4" x14ac:dyDescent="0.35">
      <c r="A1201" s="102">
        <v>996</v>
      </c>
      <c r="B1201" s="103">
        <v>485</v>
      </c>
      <c r="C1201" s="104" t="s">
        <v>360</v>
      </c>
      <c r="D1201" s="105">
        <v>2</v>
      </c>
    </row>
    <row r="1202" spans="1:4" x14ac:dyDescent="0.35">
      <c r="A1202" s="102">
        <v>996</v>
      </c>
      <c r="B1202" s="103">
        <v>486</v>
      </c>
      <c r="C1202" s="104" t="s">
        <v>360</v>
      </c>
      <c r="D1202" s="105">
        <v>1</v>
      </c>
    </row>
    <row r="1203" spans="1:4" x14ac:dyDescent="0.35">
      <c r="A1203" s="102">
        <v>996</v>
      </c>
      <c r="B1203" s="103">
        <v>487</v>
      </c>
      <c r="C1203" s="104" t="s">
        <v>360</v>
      </c>
      <c r="D1203" s="105">
        <v>2</v>
      </c>
    </row>
    <row r="1204" spans="1:4" x14ac:dyDescent="0.35">
      <c r="A1204" s="102">
        <v>997</v>
      </c>
      <c r="B1204" s="103">
        <v>490</v>
      </c>
      <c r="C1204" s="104" t="s">
        <v>437</v>
      </c>
      <c r="D1204" s="105" t="s">
        <v>467</v>
      </c>
    </row>
    <row r="1205" spans="1:4" x14ac:dyDescent="0.35">
      <c r="A1205" s="102">
        <v>997</v>
      </c>
      <c r="B1205" s="103">
        <v>491</v>
      </c>
      <c r="C1205" s="104" t="s">
        <v>437</v>
      </c>
      <c r="D1205" s="105">
        <v>1</v>
      </c>
    </row>
  </sheetData>
  <autoFilter ref="A28:D1205" xr:uid="{00000000-0009-0000-0000-00000A000000}"/>
  <mergeCells count="58">
    <mergeCell ref="I80:M80"/>
    <mergeCell ref="I81:M81"/>
    <mergeCell ref="I82:M82"/>
    <mergeCell ref="I83:M83"/>
    <mergeCell ref="I74:M74"/>
    <mergeCell ref="I75:M75"/>
    <mergeCell ref="I76:M76"/>
    <mergeCell ref="I77:M77"/>
    <mergeCell ref="I78:M78"/>
    <mergeCell ref="I79:M79"/>
    <mergeCell ref="I73:M73"/>
    <mergeCell ref="I62:M62"/>
    <mergeCell ref="I63:M63"/>
    <mergeCell ref="I64:M64"/>
    <mergeCell ref="I65:M65"/>
    <mergeCell ref="I66:M66"/>
    <mergeCell ref="I67:M67"/>
    <mergeCell ref="I68:M68"/>
    <mergeCell ref="I69:M69"/>
    <mergeCell ref="I70:M70"/>
    <mergeCell ref="I71:M71"/>
    <mergeCell ref="I72:M72"/>
    <mergeCell ref="I61:M61"/>
    <mergeCell ref="I50:M50"/>
    <mergeCell ref="I51:M51"/>
    <mergeCell ref="I52:M52"/>
    <mergeCell ref="I53:M53"/>
    <mergeCell ref="I54:M54"/>
    <mergeCell ref="I55:M55"/>
    <mergeCell ref="I56:M56"/>
    <mergeCell ref="I57:M57"/>
    <mergeCell ref="I58:M58"/>
    <mergeCell ref="I59:M59"/>
    <mergeCell ref="I60:M60"/>
    <mergeCell ref="I49:M49"/>
    <mergeCell ref="I38:M38"/>
    <mergeCell ref="I39:M39"/>
    <mergeCell ref="I40:M40"/>
    <mergeCell ref="I41:M41"/>
    <mergeCell ref="I42:M42"/>
    <mergeCell ref="I43:M43"/>
    <mergeCell ref="I44:M44"/>
    <mergeCell ref="I45:M45"/>
    <mergeCell ref="I46:M46"/>
    <mergeCell ref="I47:M47"/>
    <mergeCell ref="I48:M48"/>
    <mergeCell ref="I37:M37"/>
    <mergeCell ref="A1:B1"/>
    <mergeCell ref="H2:M2"/>
    <mergeCell ref="I28:M28"/>
    <mergeCell ref="I29:M29"/>
    <mergeCell ref="I30:M30"/>
    <mergeCell ref="I31:M31"/>
    <mergeCell ref="I32:M32"/>
    <mergeCell ref="I33:M33"/>
    <mergeCell ref="I34:M34"/>
    <mergeCell ref="I35:M35"/>
    <mergeCell ref="I36:M36"/>
  </mergeCells>
  <hyperlinks>
    <hyperlink ref="A1" location="Overview!A1" display="Back to Overview" xr:uid="{00000000-0004-0000-0A00-000000000000}"/>
    <hyperlink ref="A1:B1" location="Overview!A1" display="Back to Overview" xr:uid="{00000000-0004-0000-0A00-000001000000}"/>
  </hyperlinks>
  <pageMargins left="0.39370078740157483" right="0.35433070866141736" top="0.9055118110236221" bottom="0.55118110236220474" header="0.31496062992125984" footer="0.31496062992125984"/>
  <pageSetup paperSize="9" scale="94"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Z24"/>
  <sheetViews>
    <sheetView workbookViewId="0">
      <selection activeCell="B1" sqref="B1"/>
    </sheetView>
  </sheetViews>
  <sheetFormatPr defaultColWidth="9.1328125"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s>
  <sheetData>
    <row r="1" spans="1:156" x14ac:dyDescent="0.35">
      <c r="B1" s="99" t="s">
        <v>86</v>
      </c>
    </row>
    <row r="2" spans="1:156" s="1" customFormat="1" ht="21.75" customHeight="1" x14ac:dyDescent="0.35">
      <c r="B2" s="269" t="str">
        <f>Overview!B4&amp; " - Effective from "&amp;Overview!D4&amp;" - "&amp;Overview!E4</f>
        <v>Eastern Power Networks - Effective from 01/04/2017 - Final</v>
      </c>
      <c r="C2" s="270"/>
      <c r="D2" s="270"/>
      <c r="E2" s="270"/>
      <c r="F2" s="270"/>
      <c r="G2" s="270"/>
      <c r="H2" s="270"/>
      <c r="I2" s="270"/>
      <c r="J2" s="270"/>
      <c r="K2" s="270"/>
      <c r="L2" s="270"/>
      <c r="M2" s="270"/>
      <c r="N2" s="270"/>
      <c r="O2" s="270"/>
      <c r="P2" s="270"/>
      <c r="Q2" s="270"/>
      <c r="R2" s="270"/>
      <c r="S2" s="270"/>
      <c r="T2" s="271"/>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row>
    <row r="3" spans="1:156" s="113" customFormat="1" ht="9" customHeight="1" x14ac:dyDescent="0.35">
      <c r="A3" s="112"/>
      <c r="B3" s="112"/>
      <c r="C3" s="112"/>
      <c r="D3" s="112"/>
      <c r="E3" s="112"/>
      <c r="F3" s="112"/>
      <c r="G3" s="112"/>
      <c r="H3" s="112"/>
      <c r="I3" s="112"/>
      <c r="J3" s="112"/>
      <c r="K3" s="112"/>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row>
    <row r="4" spans="1:156" ht="26.25" customHeight="1" x14ac:dyDescent="0.35">
      <c r="B4" s="275" t="s">
        <v>518</v>
      </c>
      <c r="C4" s="276"/>
      <c r="D4" s="276"/>
      <c r="E4" s="276"/>
      <c r="F4" s="276"/>
      <c r="G4" s="276"/>
      <c r="H4" s="276"/>
      <c r="I4" s="277"/>
      <c r="L4" s="275" t="s">
        <v>534</v>
      </c>
      <c r="M4" s="276"/>
      <c r="N4" s="276"/>
      <c r="O4" s="276"/>
      <c r="P4" s="276"/>
      <c r="Q4" s="276"/>
      <c r="R4" s="276"/>
      <c r="S4" s="276"/>
      <c r="T4" s="277"/>
    </row>
    <row r="5" spans="1:156" ht="18" customHeight="1" x14ac:dyDescent="0.35">
      <c r="B5" s="279" t="s">
        <v>555</v>
      </c>
      <c r="C5" s="279"/>
      <c r="D5" s="279"/>
      <c r="E5" s="279"/>
      <c r="F5" s="279"/>
      <c r="G5" s="279"/>
      <c r="H5" s="279"/>
      <c r="I5" s="279"/>
      <c r="L5" s="279" t="s">
        <v>557</v>
      </c>
      <c r="M5" s="279"/>
      <c r="N5" s="279"/>
      <c r="O5" s="279"/>
      <c r="P5" s="279"/>
      <c r="Q5" s="279"/>
      <c r="R5" s="279"/>
      <c r="S5" s="279"/>
      <c r="T5" s="279"/>
    </row>
    <row r="6" spans="1:156" s="114" customFormat="1" ht="27.75" customHeight="1" x14ac:dyDescent="0.35">
      <c r="B6" s="278" t="s">
        <v>561</v>
      </c>
      <c r="C6" s="278"/>
      <c r="D6" s="278"/>
      <c r="E6" s="278"/>
      <c r="F6" s="278"/>
      <c r="G6" s="278"/>
      <c r="H6" s="278"/>
      <c r="I6" s="278"/>
      <c r="L6" s="278" t="s">
        <v>562</v>
      </c>
      <c r="M6" s="278"/>
      <c r="N6" s="278"/>
      <c r="O6" s="278"/>
      <c r="P6" s="278"/>
      <c r="Q6" s="278"/>
      <c r="R6" s="278"/>
      <c r="S6" s="278"/>
      <c r="T6" s="278"/>
    </row>
    <row r="7" spans="1:156" ht="18" customHeight="1" x14ac:dyDescent="0.35">
      <c r="B7" s="279" t="s">
        <v>556</v>
      </c>
      <c r="C7" s="279"/>
      <c r="D7" s="279"/>
      <c r="E7" s="279"/>
      <c r="F7" s="279"/>
      <c r="G7" s="279"/>
      <c r="H7" s="279"/>
      <c r="I7" s="279"/>
      <c r="L7" s="279" t="s">
        <v>558</v>
      </c>
      <c r="M7" s="279"/>
      <c r="N7" s="279"/>
      <c r="O7" s="279"/>
      <c r="P7" s="279"/>
      <c r="Q7" s="279"/>
      <c r="R7" s="279"/>
      <c r="S7" s="279"/>
      <c r="T7" s="279"/>
    </row>
    <row r="8" spans="1:156" ht="8.25" customHeight="1" x14ac:dyDescent="0.35"/>
    <row r="9" spans="1:156" ht="72" customHeight="1" x14ac:dyDescent="0.35">
      <c r="B9" s="115" t="s">
        <v>559</v>
      </c>
      <c r="C9" s="116" t="str">
        <f>'Annex 1 LV and HV charges'!D13</f>
        <v>Unit charge 1 (NHH)
or red/black charge (HH)
p/kWh</v>
      </c>
      <c r="D9" s="116" t="str">
        <f>'Annex 1 LV and HV charges'!E13</f>
        <v>Unit charge 2 (NHH)
or amber/yellow charge (HH)
p/kWh</v>
      </c>
      <c r="E9" s="116" t="str">
        <f>'Annex 1 LV and HV charges'!F13</f>
        <v>Green charge(HH)
p/kWh</v>
      </c>
      <c r="F9" s="116" t="str">
        <f>'Annex 1 LV and HV charges'!G13</f>
        <v>Fixed charge p/MPAN/day</v>
      </c>
      <c r="G9" s="116" t="str">
        <f>'Annex 1 LV and HV charges'!H13</f>
        <v>Capacity charge p/kVA/day</v>
      </c>
      <c r="H9" s="116" t="str">
        <f>'Annex 1 LV and HV charges'!I13</f>
        <v>Reactive power charge
p/kVArh</v>
      </c>
      <c r="I9" s="116" t="str">
        <f>'Annex 1 LV and HV charges'!J13</f>
        <v>Exceeded capacity charge
p/kVA/day</v>
      </c>
      <c r="L9" s="115" t="s">
        <v>560</v>
      </c>
      <c r="M9" s="134" t="str">
        <f>'Annex 2 EHV charges'!H10</f>
        <v>Import
Super Red
unit charge
(p/kWh)</v>
      </c>
      <c r="N9" s="134" t="str">
        <f>'Annex 2 EHV charges'!I10</f>
        <v>Import
fixed charge
(p/day)</v>
      </c>
      <c r="O9" s="134" t="str">
        <f>'Annex 2 EHV charges'!J10</f>
        <v>Import
capacity charge
(p/kVA/day)</v>
      </c>
      <c r="P9" s="134" t="str">
        <f>'Annex 2 EHV charges'!K10</f>
        <v>Import
exceeded capacity charge
(p/kVA/day)</v>
      </c>
      <c r="Q9" s="135" t="str">
        <f>'Annex 2 EHV charges'!L10</f>
        <v>Export
Super Red
unit charge
(p/kWh)</v>
      </c>
      <c r="R9" s="135" t="str">
        <f>'Annex 2 EHV charges'!M10</f>
        <v>Export
fixed charge
(p/day)</v>
      </c>
      <c r="S9" s="135" t="str">
        <f>'Annex 2 EHV charges'!N10</f>
        <v>Export
capacity charge
(p/kVA/day)</v>
      </c>
      <c r="T9" s="135" t="str">
        <f>'Annex 2 EHV charges'!O10</f>
        <v>Export
exceeded capacity charge
(p/kVA/day)</v>
      </c>
    </row>
    <row r="10" spans="1:156" ht="30" customHeight="1" x14ac:dyDescent="0.35">
      <c r="B10" s="106"/>
      <c r="C10" s="130" t="str">
        <f>IFERROR(VLOOKUP($B$10,'Annex 1 LV and HV charges'!$A:$K,4,FALSE),"")</f>
        <v/>
      </c>
      <c r="D10" s="131" t="str">
        <f>IFERROR(VLOOKUP($B$10,'Annex 1 LV and HV charges'!$A:$K,5,FALSE),"")</f>
        <v/>
      </c>
      <c r="E10" s="131" t="str">
        <f>IFERROR(VLOOKUP($B$10,'Annex 1 LV and HV charges'!$A:$K,6,FALSE),"")</f>
        <v/>
      </c>
      <c r="F10" s="108" t="str">
        <f>IFERROR(VLOOKUP($B$10,'Annex 1 LV and HV charges'!$A:$K,7,FALSE),"")</f>
        <v/>
      </c>
      <c r="G10" s="108" t="str">
        <f>IFERROR(VLOOKUP($B$10,'Annex 1 LV and HV charges'!$A:$K,8,FALSE),"")</f>
        <v/>
      </c>
      <c r="H10" s="108" t="str">
        <f>IFERROR(VLOOKUP($B$10,'Annex 1 LV and HV charges'!$A:$K,9,FALSE),"")</f>
        <v/>
      </c>
      <c r="I10" s="108" t="str">
        <f>IFERROR(VLOOKUP($B$10,'Annex 1 LV and HV charges'!$A:$K,10,FALSE),"")</f>
        <v/>
      </c>
      <c r="L10" s="106"/>
      <c r="M10" s="108" t="str">
        <f>IFERROR(VLOOKUP($L$10,'Annex 2 EHV charges'!$G:$O,2,FALSE),"")</f>
        <v/>
      </c>
      <c r="N10" s="108" t="str">
        <f>IFERROR(VLOOKUP($L$10,'Annex 2 EHV charges'!$G:$O,3,FALSE),"")</f>
        <v/>
      </c>
      <c r="O10" s="108" t="str">
        <f>IFERROR(VLOOKUP($L$10,'Annex 2 EHV charges'!$G:$O,4,FALSE),"")</f>
        <v/>
      </c>
      <c r="P10" s="108" t="str">
        <f>IFERROR(VLOOKUP($L$10,'Annex 2 EHV charges'!$G:$O,5,FALSE),"")</f>
        <v/>
      </c>
      <c r="Q10" s="118" t="str">
        <f>IFERROR(VLOOKUP($L$10,'Annex 2 EHV charges'!$G:$O,6,FALSE),"")</f>
        <v/>
      </c>
      <c r="R10" s="118" t="str">
        <f>IFERROR(VLOOKUP($L$10,'Annex 2 EHV charges'!$G:$O,7,FALSE),"")</f>
        <v/>
      </c>
      <c r="S10" s="118" t="str">
        <f>IFERROR(VLOOKUP($L$10,'Annex 2 EHV charges'!$G:$O,8,FALSE),"")</f>
        <v/>
      </c>
      <c r="T10" s="118" t="str">
        <f>IFERROR(VLOOKUP($L$10,'Annex 2 EHV charges'!$G:$O,9,FALSE),"")</f>
        <v/>
      </c>
    </row>
    <row r="11" spans="1:156" ht="7.5" customHeight="1" x14ac:dyDescent="0.35"/>
    <row r="12" spans="1:156" ht="88.5" customHeight="1" x14ac:dyDescent="0.35">
      <c r="B12" s="119" t="s">
        <v>521</v>
      </c>
      <c r="C12" s="116" t="s">
        <v>535</v>
      </c>
      <c r="D12" s="116" t="s">
        <v>536</v>
      </c>
      <c r="E12" s="116" t="s">
        <v>537</v>
      </c>
      <c r="F12" s="116" t="s">
        <v>522</v>
      </c>
      <c r="G12" s="116" t="s">
        <v>519</v>
      </c>
      <c r="H12" s="116" t="s">
        <v>520</v>
      </c>
      <c r="I12" s="116" t="s">
        <v>1347</v>
      </c>
      <c r="L12" s="119" t="s">
        <v>521</v>
      </c>
      <c r="M12" s="116" t="s">
        <v>545</v>
      </c>
      <c r="N12" s="116" t="s">
        <v>522</v>
      </c>
      <c r="O12" s="116" t="s">
        <v>541</v>
      </c>
      <c r="P12" s="116" t="s">
        <v>1349</v>
      </c>
      <c r="Q12" s="117" t="s">
        <v>543</v>
      </c>
      <c r="R12" s="117" t="s">
        <v>522</v>
      </c>
      <c r="S12" s="117" t="s">
        <v>542</v>
      </c>
      <c r="T12" s="117" t="s">
        <v>1349</v>
      </c>
    </row>
    <row r="13" spans="1:156" ht="30" customHeight="1" x14ac:dyDescent="0.35">
      <c r="B13" s="120" t="s">
        <v>523</v>
      </c>
      <c r="C13" s="125"/>
      <c r="D13" s="125"/>
      <c r="E13" s="125"/>
      <c r="F13" s="125"/>
      <c r="G13" s="125"/>
      <c r="H13" s="125"/>
      <c r="I13" s="125"/>
      <c r="L13" s="120" t="s">
        <v>523</v>
      </c>
      <c r="M13" s="109"/>
      <c r="N13" s="109"/>
      <c r="O13" s="109"/>
      <c r="P13" s="109"/>
      <c r="Q13" s="110"/>
      <c r="R13" s="110">
        <f>N13</f>
        <v>0</v>
      </c>
      <c r="S13" s="110"/>
      <c r="T13" s="110"/>
    </row>
    <row r="14" spans="1:156" ht="30" customHeight="1" x14ac:dyDescent="0.35">
      <c r="B14" s="121" t="s">
        <v>525</v>
      </c>
      <c r="C14" s="107">
        <f>C13</f>
        <v>0</v>
      </c>
      <c r="D14" s="107">
        <f t="shared" ref="D14:G14" si="0">D13</f>
        <v>0</v>
      </c>
      <c r="E14" s="107">
        <f t="shared" si="0"/>
        <v>0</v>
      </c>
      <c r="F14" s="107">
        <f t="shared" si="0"/>
        <v>0</v>
      </c>
      <c r="G14" s="107">
        <f t="shared" si="0"/>
        <v>0</v>
      </c>
      <c r="H14" s="107">
        <f>H13</f>
        <v>0</v>
      </c>
      <c r="I14" s="107">
        <f>I13</f>
        <v>0</v>
      </c>
      <c r="L14" s="121" t="s">
        <v>525</v>
      </c>
      <c r="M14" s="107">
        <f>M13</f>
        <v>0</v>
      </c>
      <c r="N14" s="107">
        <f t="shared" ref="N14:T14" si="1">N13</f>
        <v>0</v>
      </c>
      <c r="O14" s="107">
        <f t="shared" si="1"/>
        <v>0</v>
      </c>
      <c r="P14" s="107">
        <f t="shared" si="1"/>
        <v>0</v>
      </c>
      <c r="Q14" s="111">
        <f t="shared" si="1"/>
        <v>0</v>
      </c>
      <c r="R14" s="111">
        <f t="shared" si="1"/>
        <v>0</v>
      </c>
      <c r="S14" s="111">
        <f t="shared" si="1"/>
        <v>0</v>
      </c>
      <c r="T14" s="111">
        <f t="shared" si="1"/>
        <v>0</v>
      </c>
    </row>
    <row r="15" spans="1:156" ht="7.5" customHeight="1" x14ac:dyDescent="0.35"/>
    <row r="16" spans="1:156" ht="63.75" customHeight="1" x14ac:dyDescent="0.35">
      <c r="B16" s="119" t="s">
        <v>524</v>
      </c>
      <c r="C16" s="116" t="s">
        <v>538</v>
      </c>
      <c r="D16" s="116" t="s">
        <v>539</v>
      </c>
      <c r="E16" s="116" t="s">
        <v>540</v>
      </c>
      <c r="F16" s="116" t="s">
        <v>530</v>
      </c>
      <c r="G16" s="116" t="s">
        <v>529</v>
      </c>
      <c r="H16" s="116" t="s">
        <v>528</v>
      </c>
      <c r="I16" s="116" t="s">
        <v>1348</v>
      </c>
      <c r="L16" s="119" t="s">
        <v>524</v>
      </c>
      <c r="M16" s="116" t="s">
        <v>546</v>
      </c>
      <c r="N16" s="116" t="s">
        <v>544</v>
      </c>
      <c r="O16" s="116" t="s">
        <v>549</v>
      </c>
      <c r="P16" s="116" t="s">
        <v>1350</v>
      </c>
      <c r="Q16" s="117" t="s">
        <v>547</v>
      </c>
      <c r="R16" s="117" t="s">
        <v>548</v>
      </c>
      <c r="S16" s="117" t="s">
        <v>550</v>
      </c>
      <c r="T16" s="117" t="s">
        <v>1351</v>
      </c>
    </row>
    <row r="17" spans="2:20" ht="30" customHeight="1" x14ac:dyDescent="0.35">
      <c r="B17" s="120" t="s">
        <v>526</v>
      </c>
      <c r="C17" s="126" t="str">
        <f>IFERROR(C10*C13/100,"")</f>
        <v/>
      </c>
      <c r="D17" s="126" t="str">
        <f t="shared" ref="D17:H17" si="2">IFERROR(D10*D13/100,"")</f>
        <v/>
      </c>
      <c r="E17" s="126" t="str">
        <f t="shared" si="2"/>
        <v/>
      </c>
      <c r="F17" s="126" t="str">
        <f t="shared" si="2"/>
        <v/>
      </c>
      <c r="G17" s="126" t="str">
        <f>IFERROR(G10*G13*F13/100,"")</f>
        <v/>
      </c>
      <c r="H17" s="126" t="str">
        <f t="shared" si="2"/>
        <v/>
      </c>
      <c r="I17" s="126" t="str">
        <f>IFERROR(I10*I13*F13/100,"")</f>
        <v/>
      </c>
      <c r="L17" s="122" t="s">
        <v>526</v>
      </c>
      <c r="M17" s="126" t="str">
        <f>IFERROR(M10*M13/100,"")</f>
        <v/>
      </c>
      <c r="N17" s="126" t="str">
        <f>IFERROR(N10*N13/100,"")</f>
        <v/>
      </c>
      <c r="O17" s="126" t="str">
        <f>IFERROR(O10*O13*N13/100,"")</f>
        <v/>
      </c>
      <c r="P17" s="126" t="str">
        <f>IFERROR(P10*P13*N13/100,"")</f>
        <v/>
      </c>
      <c r="Q17" s="127" t="str">
        <f>IFERROR(Q10*Q13/100,"")</f>
        <v/>
      </c>
      <c r="R17" s="127" t="str">
        <f>IFERROR(R10*R13/100,"")</f>
        <v/>
      </c>
      <c r="S17" s="127" t="str">
        <f>IFERROR(S10*S13*R13/100,"")</f>
        <v/>
      </c>
      <c r="T17" s="127" t="str">
        <f>IFERROR(T10*T13*R13/100,"")</f>
        <v/>
      </c>
    </row>
    <row r="18" spans="2:20" ht="30" customHeight="1" x14ac:dyDescent="0.35">
      <c r="B18" s="121" t="s">
        <v>527</v>
      </c>
      <c r="C18" s="128" t="str">
        <f>IFERROR(C10*C14/100,"")</f>
        <v/>
      </c>
      <c r="D18" s="128" t="str">
        <f t="shared" ref="D18:H18" si="3">IFERROR(D10*D14/100,"")</f>
        <v/>
      </c>
      <c r="E18" s="128" t="str">
        <f t="shared" si="3"/>
        <v/>
      </c>
      <c r="F18" s="128" t="str">
        <f t="shared" si="3"/>
        <v/>
      </c>
      <c r="G18" s="128" t="str">
        <f>IFERROR(G10*G14*F14/100,"")</f>
        <v/>
      </c>
      <c r="H18" s="128" t="str">
        <f t="shared" si="3"/>
        <v/>
      </c>
      <c r="I18" s="128" t="str">
        <f>IFERROR(I10*I14*F14/100,"")</f>
        <v/>
      </c>
      <c r="L18" s="123" t="s">
        <v>527</v>
      </c>
      <c r="M18" s="128" t="str">
        <f>IFERROR(M10*M14/100,"")</f>
        <v/>
      </c>
      <c r="N18" s="128" t="str">
        <f t="shared" ref="N18" si="4">IFERROR(N10*N14/100,"")</f>
        <v/>
      </c>
      <c r="O18" s="128" t="str">
        <f>IFERROR(O10*O14*N14/100,"")</f>
        <v/>
      </c>
      <c r="P18" s="128" t="str">
        <f>IFERROR(P10*P14*N14/100,"")</f>
        <v/>
      </c>
      <c r="Q18" s="129" t="str">
        <f>IFERROR(Q10*Q14/100,"")</f>
        <v/>
      </c>
      <c r="R18" s="129" t="str">
        <f t="shared" ref="R18" si="5">IFERROR(R10*R14/100,"")</f>
        <v/>
      </c>
      <c r="S18" s="129" t="str">
        <f>IFERROR(S10*S14*R14/100,"")</f>
        <v/>
      </c>
      <c r="T18" s="129" t="str">
        <f>IFERROR(T10*T14*R14/100,"")</f>
        <v/>
      </c>
    </row>
    <row r="19" spans="2:20" ht="7.5" customHeight="1" x14ac:dyDescent="0.35"/>
    <row r="20" spans="2:20" ht="39.75" customHeight="1" x14ac:dyDescent="0.35">
      <c r="C20" s="124" t="s">
        <v>531</v>
      </c>
      <c r="M20" s="116" t="s">
        <v>551</v>
      </c>
      <c r="N20" s="117" t="s">
        <v>552</v>
      </c>
    </row>
    <row r="21" spans="2:20" ht="30" customHeight="1" x14ac:dyDescent="0.35">
      <c r="B21" s="120" t="s">
        <v>526</v>
      </c>
      <c r="C21" s="126">
        <f>SUM(C17:I17)</f>
        <v>0</v>
      </c>
      <c r="L21" s="120" t="s">
        <v>526</v>
      </c>
      <c r="M21" s="126">
        <f>SUM(M17:P17)</f>
        <v>0</v>
      </c>
      <c r="N21" s="127">
        <f>SUM(Q17:T17)</f>
        <v>0</v>
      </c>
    </row>
    <row r="22" spans="2:20" ht="30" customHeight="1" x14ac:dyDescent="0.35">
      <c r="B22" s="121" t="s">
        <v>527</v>
      </c>
      <c r="C22" s="128">
        <f>SUM(C18:I18)</f>
        <v>0</v>
      </c>
      <c r="L22" s="121" t="s">
        <v>527</v>
      </c>
      <c r="M22" s="128">
        <f>SUM(M18:P18)</f>
        <v>0</v>
      </c>
      <c r="N22" s="129">
        <f>SUM(Q18:T18)</f>
        <v>0</v>
      </c>
    </row>
    <row r="24" spans="2:20" ht="30.75" customHeight="1" x14ac:dyDescent="0.35">
      <c r="B24" s="272" t="s">
        <v>553</v>
      </c>
      <c r="C24" s="273"/>
      <c r="D24" s="274"/>
      <c r="L24" s="272" t="s">
        <v>554</v>
      </c>
      <c r="M24" s="273"/>
      <c r="N24" s="27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expression" dxfId="8" priority="12">
      <formula>OR(C10="",C10=0)</formula>
    </cfRule>
  </conditionalFormatting>
  <conditionalFormatting sqref="C12:I12">
    <cfRule type="expression" dxfId="7" priority="16">
      <formula>OR(C10="",C10=0)</formula>
    </cfRule>
  </conditionalFormatting>
  <conditionalFormatting sqref="C16:I16">
    <cfRule type="expression" dxfId="6" priority="14">
      <formula>OR(C10="",C10=0)</formula>
    </cfRule>
  </conditionalFormatting>
  <conditionalFormatting sqref="M9:P9">
    <cfRule type="expression" dxfId="5" priority="11">
      <formula>OR(M10="",M10=0)</formula>
    </cfRule>
  </conditionalFormatting>
  <conditionalFormatting sqref="M12:P12">
    <cfRule type="expression" dxfId="4" priority="7">
      <formula>OR(M10="",M10=0)</formula>
    </cfRule>
  </conditionalFormatting>
  <conditionalFormatting sqref="M16:P16">
    <cfRule type="expression" dxfId="3" priority="9">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39370078740157483" right="0.35433070866141736" top="0.9055118110236221" bottom="0.55118110236220474" header="0.31496062992125984" footer="0.31496062992125984"/>
  <pageSetup paperSize="9" scale="53" orientation="landscape" r:id="rId1"/>
  <headerFooter>
    <oddHeader>&amp;LCharge calculator</oddHeader>
  </headerFooter>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charges'!$G$11:$G$218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'Charge Calculator'!Print_Area</vt:lpstr>
      <vt:lpstr>'Nodal prices'!Print_Area</vt:lpstr>
      <vt:lpstr>'SSC TPR unit rate lookup'!Print_Area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2017-07-19T08:52:32Z</cp:lastPrinted>
  <dcterms:created xsi:type="dcterms:W3CDTF">2009-11-12T11:38:00Z</dcterms:created>
  <dcterms:modified xsi:type="dcterms:W3CDTF">2026-06-07T14:01:50Z</dcterms:modified>
</cp:coreProperties>
</file>