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filterPrivacy="1" codeName="ThisWorkbook" defaultThemeVersion="124226"/>
  <xr:revisionPtr revIDLastSave="0" documentId="10_ncr:100000_{E74BEE09-0318-4DA3-B637-A628F550EE30}" xr6:coauthVersionLast="31" xr6:coauthVersionMax="31" xr10:uidLastSave="{00000000-0000-0000-0000-000000000000}"/>
  <bookViews>
    <workbookView xWindow="-75" yWindow="5460" windowWidth="25080" windowHeight="6720" tabRatio="916" firstSheet="2" activeTab="8"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Designated EHV Prop" sheetId="8" r:id="rId9"/>
    <sheet name="Nodal prices" sheetId="7" r:id="rId10"/>
    <sheet name="SSC TPR unit rate lookup" sheetId="16" r:id="rId11"/>
    <sheet name="Charge Calculator" sheetId="15" r:id="rId12"/>
  </sheets>
  <definedNames>
    <definedName name="_xlnm._FilterDatabase" localSheetId="2" hidden="1">'Annex 2 EHV charges'!$A$10:$O$157</definedName>
    <definedName name="_xlnm._FilterDatabase" localSheetId="10" hidden="1">'SSC TPR unit rate lookup'!$A$28:$D$1205</definedName>
    <definedName name="OLE_LINK1" localSheetId="5">'Annex 3 Preserved charges'!#REF!</definedName>
    <definedName name="_xlnm.Print_Area" localSheetId="1">'Annex 1 LV and HV charges'!$A$2:$K$46</definedName>
    <definedName name="_xlnm.Print_Area" localSheetId="2">'Annex 2 EHV charges'!$A$2:$O$160</definedName>
    <definedName name="_xlnm.Print_Area" localSheetId="3">'Annex 2a Import'!$A$2:$H$150</definedName>
    <definedName name="_xlnm.Print_Area" localSheetId="4">'Annex 2b Export'!$A$2:$H$140</definedName>
    <definedName name="_xlnm.Print_Area" localSheetId="5">'Annex 3 Preserved charges'!$A$2:$J$13</definedName>
    <definedName name="_xlnm.Print_Area" localSheetId="6">'Annex 4 LDNO charges'!$A$2:$J$191</definedName>
    <definedName name="_xlnm.Print_Area" localSheetId="7">'Annex 5 LLFs'!$A$2:$F$198</definedName>
    <definedName name="_xlnm.Print_Area" localSheetId="8">'Annex 6 New Designated EHV Prop'!$A$4:$Q$28</definedName>
    <definedName name="_xlnm.Print_Area" localSheetId="9">'Nodal prices'!$A$2:$D$22</definedName>
    <definedName name="_xlnm.Print_Titles" localSheetId="1">'Annex 1 LV and HV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charges'!$13:$13</definedName>
    <definedName name="_xlnm.Print_Titles" localSheetId="8">'Annex 6 New Designated EHV Prop'!$4:$5</definedName>
    <definedName name="_xlnm.Print_Titles" localSheetId="9">'Nodal prices'!$2:$3</definedName>
    <definedName name="_xlnm.Print_Titles" localSheetId="10">'SSC TPR unit rate lookup'!$28:$28</definedName>
    <definedName name="Z_5032A364_B81A_48DA_88DA_AB3B86B47EE9_.wvu.PrintArea" localSheetId="2" hidden="1">'Annex 2 EHV charges'!$A$2:$I$20</definedName>
    <definedName name="Z_5032A364_B81A_48DA_88DA_AB3B86B47EE9_.wvu.PrintTitles" localSheetId="2" hidden="1">'Annex 2 EHV charges'!$2:$10</definedName>
  </definedNames>
  <calcPr calcId="179017"/>
</workbook>
</file>

<file path=xl/calcChain.xml><?xml version="1.0" encoding="utf-8"?>
<calcChain xmlns="http://schemas.openxmlformats.org/spreadsheetml/2006/main">
  <c r="A3" i="6" l="1"/>
  <c r="A2" i="5"/>
  <c r="A2" i="4"/>
  <c r="A2" i="14"/>
  <c r="A2" i="13"/>
  <c r="A2" i="12"/>
  <c r="A2" i="2"/>
  <c r="I14" i="15" l="1"/>
  <c r="H14" i="15"/>
  <c r="B2" i="15" l="1"/>
  <c r="A2" i="7"/>
  <c r="A17" i="8"/>
  <c r="A4" i="8"/>
  <c r="I10" i="15" l="1"/>
  <c r="H10" i="15"/>
  <c r="B13" i="1"/>
  <c r="B11" i="1"/>
  <c r="B9" i="1"/>
  <c r="H17" i="15" l="1"/>
  <c r="R9" i="15"/>
  <c r="S9" i="15"/>
  <c r="T9" i="15"/>
  <c r="Q9" i="15"/>
  <c r="N9" i="15"/>
  <c r="O9" i="15"/>
  <c r="P9" i="15"/>
  <c r="M9" i="15"/>
  <c r="D9" i="15"/>
  <c r="E9" i="15"/>
  <c r="F9" i="15"/>
  <c r="G9" i="15"/>
  <c r="I9" i="15"/>
  <c r="H9" i="15"/>
  <c r="C9" i="15"/>
  <c r="O5" i="8" l="1"/>
  <c r="I5" i="8"/>
  <c r="J5" i="8"/>
  <c r="K5" i="8"/>
  <c r="L5" i="8"/>
  <c r="M5" i="8"/>
  <c r="N5" i="8"/>
  <c r="H5" i="8"/>
  <c r="F4" i="14"/>
  <c r="G4" i="14"/>
  <c r="H4" i="14"/>
  <c r="E4" i="14"/>
  <c r="F4" i="13"/>
  <c r="G4" i="13"/>
  <c r="H4" i="13"/>
  <c r="E4" i="13"/>
  <c r="H13" i="5"/>
  <c r="J13" i="5"/>
  <c r="I13" i="5"/>
  <c r="G13" i="5"/>
  <c r="F13" i="5"/>
  <c r="E13" i="5"/>
  <c r="D13" i="5"/>
  <c r="N10" i="15" l="1"/>
  <c r="C14" i="15" l="1"/>
  <c r="A5" i="14" a="1"/>
  <c r="A5" i="14" s="1"/>
  <c r="A5" i="13" a="1"/>
  <c r="A5" i="13" s="1"/>
  <c r="G5" i="14" l="1"/>
  <c r="D5" i="14"/>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G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A87" i="14" l="1" a="1"/>
  <c r="A87" i="14" s="1"/>
  <c r="C86" i="14"/>
  <c r="G86" i="14"/>
  <c r="B86" i="14"/>
  <c r="H86" i="14"/>
  <c r="D86" i="14"/>
  <c r="E86" i="14"/>
  <c r="F86" i="14"/>
  <c r="E88" i="13"/>
  <c r="C88" i="13"/>
  <c r="B88" i="13"/>
  <c r="H88" i="13"/>
  <c r="A89" i="13" a="1"/>
  <c r="A89" i="13" s="1"/>
  <c r="D89" i="13" s="1"/>
  <c r="D88" i="13"/>
  <c r="F88" i="13"/>
  <c r="A88" i="14" l="1" a="1"/>
  <c r="A88" i="14" s="1"/>
  <c r="D87" i="14"/>
  <c r="H87" i="14"/>
  <c r="F87" i="14"/>
  <c r="B87" i="14"/>
  <c r="G87" i="14"/>
  <c r="C87" i="14"/>
  <c r="E87" i="14"/>
  <c r="H89" i="13"/>
  <c r="F89" i="13"/>
  <c r="G89" i="13"/>
  <c r="C89" i="13"/>
  <c r="B89" i="13"/>
  <c r="E89" i="13"/>
  <c r="A90" i="13" a="1"/>
  <c r="A90" i="13" s="1"/>
  <c r="E90" i="13" s="1"/>
  <c r="A89" i="14" l="1" a="1"/>
  <c r="A89" i="14" s="1"/>
  <c r="E88" i="14"/>
  <c r="D88" i="14"/>
  <c r="F88" i="14"/>
  <c r="B88" i="14"/>
  <c r="C88" i="14"/>
  <c r="G88" i="14"/>
  <c r="H88" i="14"/>
  <c r="F90" i="13"/>
  <c r="C90" i="13"/>
  <c r="B90" i="13"/>
  <c r="G90" i="13"/>
  <c r="A91" i="13" a="1"/>
  <c r="A91" i="13" s="1"/>
  <c r="C91" i="13" s="1"/>
  <c r="D90" i="13"/>
  <c r="H90" i="13"/>
  <c r="A90" i="14" l="1" a="1"/>
  <c r="A90" i="14" s="1"/>
  <c r="B89" i="14"/>
  <c r="F89" i="14"/>
  <c r="C89" i="14"/>
  <c r="H89" i="14"/>
  <c r="D89" i="14"/>
  <c r="E89" i="14"/>
  <c r="G89" i="14"/>
  <c r="F91" i="13"/>
  <c r="H91" i="13"/>
  <c r="G91" i="13"/>
  <c r="D91" i="13"/>
  <c r="B91" i="13"/>
  <c r="E91" i="13"/>
  <c r="A92" i="13" a="1"/>
  <c r="A92" i="13" s="1"/>
  <c r="C92" i="13" s="1"/>
  <c r="A91" i="14" l="1" a="1"/>
  <c r="A91" i="14" s="1"/>
  <c r="A92" i="14" s="1" a="1"/>
  <c r="A92" i="14" s="1"/>
  <c r="C90" i="14"/>
  <c r="G90" i="14"/>
  <c r="F90" i="14"/>
  <c r="B90" i="14"/>
  <c r="H90" i="14"/>
  <c r="D90" i="14"/>
  <c r="E90" i="14"/>
  <c r="F92" i="13"/>
  <c r="G92" i="13"/>
  <c r="B92" i="13"/>
  <c r="D92" i="13"/>
  <c r="A93" i="13" a="1"/>
  <c r="A93" i="13" s="1"/>
  <c r="F93" i="13" s="1"/>
  <c r="E92" i="13"/>
  <c r="H92" i="13"/>
  <c r="D92" i="14" l="1"/>
  <c r="B92" i="14"/>
  <c r="C92" i="14"/>
  <c r="G92" i="14"/>
  <c r="H92" i="14"/>
  <c r="F92" i="14"/>
  <c r="E92" i="14"/>
  <c r="A93" i="14" a="1"/>
  <c r="A93" i="14" s="1"/>
  <c r="D91" i="14"/>
  <c r="H91" i="14"/>
  <c r="E91" i="14"/>
  <c r="F91" i="14"/>
  <c r="B91" i="14"/>
  <c r="C91" i="14"/>
  <c r="G91" i="14"/>
  <c r="D93" i="13"/>
  <c r="C93" i="13"/>
  <c r="B93" i="13"/>
  <c r="G93" i="13"/>
  <c r="A94" i="13" a="1"/>
  <c r="A94" i="13" s="1"/>
  <c r="F94" i="13" s="1"/>
  <c r="E93" i="13"/>
  <c r="H93" i="13"/>
  <c r="C93" i="14" l="1"/>
  <c r="E93" i="14"/>
  <c r="G93" i="14"/>
  <c r="D93" i="14"/>
  <c r="F93" i="14"/>
  <c r="B93" i="14"/>
  <c r="H93" i="14"/>
  <c r="A94" i="14" a="1"/>
  <c r="A94" i="14" s="1"/>
  <c r="D94" i="13"/>
  <c r="E94" i="13"/>
  <c r="G94" i="13"/>
  <c r="C94" i="13"/>
  <c r="B94" i="13"/>
  <c r="H94" i="13"/>
  <c r="A95" i="13" a="1"/>
  <c r="A95" i="13" s="1"/>
  <c r="D95" i="13" s="1"/>
  <c r="D94" i="14" l="1"/>
  <c r="E94" i="14"/>
  <c r="H94" i="14"/>
  <c r="B94" i="14"/>
  <c r="C94" i="14"/>
  <c r="F94" i="14"/>
  <c r="G94" i="14"/>
  <c r="A95" i="14" a="1"/>
  <c r="A95" i="14" s="1"/>
  <c r="E95" i="13"/>
  <c r="C95" i="13"/>
  <c r="B95" i="13"/>
  <c r="F95" i="13"/>
  <c r="A96" i="13" a="1"/>
  <c r="A96" i="13" s="1"/>
  <c r="F96" i="13" s="1"/>
  <c r="H95" i="13"/>
  <c r="G95" i="13"/>
  <c r="C95" i="14" l="1"/>
  <c r="B95" i="14"/>
  <c r="F95" i="14"/>
  <c r="G95" i="14"/>
  <c r="D95" i="14"/>
  <c r="E95" i="14"/>
  <c r="H95" i="14"/>
  <c r="A96" i="14" a="1"/>
  <c r="A96" i="14" s="1"/>
  <c r="D96" i="13"/>
  <c r="G96" i="13"/>
  <c r="B96" i="13"/>
  <c r="C96" i="13"/>
  <c r="A97" i="13" a="1"/>
  <c r="A97" i="13" s="1"/>
  <c r="C97" i="13" s="1"/>
  <c r="E96" i="13"/>
  <c r="H96" i="13"/>
  <c r="D96" i="14" l="1"/>
  <c r="C96" i="14"/>
  <c r="H96" i="14"/>
  <c r="G96" i="14"/>
  <c r="B96" i="14"/>
  <c r="E96" i="14"/>
  <c r="F96" i="14"/>
  <c r="A97" i="14" a="1"/>
  <c r="A97" i="14" s="1"/>
  <c r="D97" i="13"/>
  <c r="G97" i="13"/>
  <c r="E97" i="13"/>
  <c r="F97" i="13"/>
  <c r="B97" i="13"/>
  <c r="H97" i="13"/>
  <c r="A98" i="13" a="1"/>
  <c r="A98" i="13" s="1"/>
  <c r="E98" i="13" s="1"/>
  <c r="G97" i="14" l="1"/>
  <c r="D97" i="14"/>
  <c r="H97" i="14"/>
  <c r="B97" i="14"/>
  <c r="E97" i="14"/>
  <c r="C97" i="14"/>
  <c r="F97" i="14"/>
  <c r="A98" i="14" a="1"/>
  <c r="A98" i="14" s="1"/>
  <c r="D98" i="13"/>
  <c r="C98" i="13"/>
  <c r="B98" i="13"/>
  <c r="H98" i="13"/>
  <c r="A99" i="13" a="1"/>
  <c r="A99" i="13" s="1"/>
  <c r="D99" i="13" s="1"/>
  <c r="G98" i="13"/>
  <c r="F98" i="13"/>
  <c r="B98" i="14" l="1"/>
  <c r="G98" i="14"/>
  <c r="F98" i="14"/>
  <c r="D98" i="14"/>
  <c r="E98" i="14"/>
  <c r="H98" i="14"/>
  <c r="C98" i="14"/>
  <c r="A99" i="14" a="1"/>
  <c r="A99" i="14" s="1"/>
  <c r="E99" i="13"/>
  <c r="C99" i="13"/>
  <c r="B99" i="13"/>
  <c r="G99" i="13"/>
  <c r="A100" i="13" a="1"/>
  <c r="A100" i="13" s="1"/>
  <c r="F100" i="13" s="1"/>
  <c r="H99" i="13"/>
  <c r="F99" i="13"/>
  <c r="E99" i="14" l="1"/>
  <c r="G99" i="14"/>
  <c r="B99" i="14"/>
  <c r="D99" i="14"/>
  <c r="F99" i="14"/>
  <c r="H99" i="14"/>
  <c r="C99" i="14"/>
  <c r="A100" i="14" a="1"/>
  <c r="A100" i="14" s="1"/>
  <c r="A101" i="13" a="1"/>
  <c r="A101" i="13" s="1"/>
  <c r="G101" i="13" s="1"/>
  <c r="H100" i="13"/>
  <c r="D100" i="13"/>
  <c r="G100" i="13"/>
  <c r="E100" i="13"/>
  <c r="C100" i="13"/>
  <c r="B100" i="13"/>
  <c r="D100" i="14" l="1"/>
  <c r="H100" i="14"/>
  <c r="C100" i="14"/>
  <c r="E100" i="14"/>
  <c r="G100" i="14"/>
  <c r="B100" i="14"/>
  <c r="F100" i="14"/>
  <c r="A102" i="13" a="1"/>
  <c r="A102" i="13" s="1"/>
  <c r="H102" i="13" s="1"/>
  <c r="H101" i="13"/>
  <c r="E101" i="13"/>
  <c r="C101" i="13"/>
  <c r="D101" i="13"/>
  <c r="F101" i="13"/>
  <c r="B101" i="13"/>
  <c r="A101" i="14" l="1" a="1"/>
  <c r="A101" i="14" s="1"/>
  <c r="G102" i="13"/>
  <c r="E102" i="13"/>
  <c r="F102" i="13"/>
  <c r="C102" i="13"/>
  <c r="B102" i="13"/>
  <c r="D102" i="13"/>
  <c r="A103" i="13" a="1"/>
  <c r="A103" i="13" s="1"/>
  <c r="H103" i="13" s="1"/>
  <c r="A102" i="14" l="1" a="1"/>
  <c r="A102" i="14" s="1"/>
  <c r="B101" i="14"/>
  <c r="F101" i="14"/>
  <c r="E101" i="14"/>
  <c r="D101" i="14"/>
  <c r="G101" i="14"/>
  <c r="H101" i="14"/>
  <c r="C101" i="14"/>
  <c r="B103" i="13"/>
  <c r="F103" i="13"/>
  <c r="E103" i="13"/>
  <c r="D103" i="13"/>
  <c r="A104" i="13" a="1"/>
  <c r="A104" i="13" s="1"/>
  <c r="D104" i="13" s="1"/>
  <c r="C103" i="13"/>
  <c r="G103" i="13"/>
  <c r="A103" i="14" l="1" a="1"/>
  <c r="A103" i="14" s="1"/>
  <c r="C102" i="14"/>
  <c r="G102" i="14"/>
  <c r="D102" i="14"/>
  <c r="E102" i="14"/>
  <c r="F102" i="14"/>
  <c r="H102" i="14"/>
  <c r="B102" i="14"/>
  <c r="E104" i="13"/>
  <c r="G104" i="13"/>
  <c r="F104" i="13"/>
  <c r="C104" i="13"/>
  <c r="B104" i="13"/>
  <c r="H104" i="13"/>
  <c r="A105" i="13" a="1"/>
  <c r="A105" i="13" s="1"/>
  <c r="F105" i="13" s="1"/>
  <c r="A104" i="14" l="1" a="1"/>
  <c r="A104" i="14" s="1"/>
  <c r="D103" i="14"/>
  <c r="H103" i="14"/>
  <c r="B103" i="14"/>
  <c r="G103" i="14"/>
  <c r="E103" i="14"/>
  <c r="F103" i="14"/>
  <c r="C103" i="14"/>
  <c r="A106" i="13" a="1"/>
  <c r="A106" i="13" s="1"/>
  <c r="D106" i="13" s="1"/>
  <c r="D105" i="13"/>
  <c r="E105" i="13"/>
  <c r="C105" i="13"/>
  <c r="B105" i="13"/>
  <c r="H105" i="13"/>
  <c r="G105" i="13"/>
  <c r="A105" i="14" l="1" a="1"/>
  <c r="A105" i="14" s="1"/>
  <c r="E104" i="14"/>
  <c r="F104" i="14"/>
  <c r="D104" i="14"/>
  <c r="G104" i="14"/>
  <c r="B104" i="14"/>
  <c r="H104" i="14"/>
  <c r="C104" i="14"/>
  <c r="H106" i="13"/>
  <c r="E106" i="13"/>
  <c r="G106" i="13"/>
  <c r="C106" i="13"/>
  <c r="B106" i="13"/>
  <c r="F106" i="13"/>
  <c r="A107" i="13" a="1"/>
  <c r="A107" i="13" s="1"/>
  <c r="H107" i="13" s="1"/>
  <c r="A106" i="14" l="1" a="1"/>
  <c r="A106" i="14" s="1"/>
  <c r="B105" i="14"/>
  <c r="F105" i="14"/>
  <c r="D105" i="14"/>
  <c r="E105" i="14"/>
  <c r="G105" i="14"/>
  <c r="H105" i="14"/>
  <c r="C105" i="14"/>
  <c r="A108" i="13" a="1"/>
  <c r="A108" i="13" s="1"/>
  <c r="H108" i="13" s="1"/>
  <c r="E107" i="13"/>
  <c r="F107" i="13"/>
  <c r="D107" i="13"/>
  <c r="B107" i="13"/>
  <c r="G107" i="13"/>
  <c r="C107" i="13"/>
  <c r="A107" i="14" l="1" a="1"/>
  <c r="A107" i="14" s="1"/>
  <c r="C106" i="14"/>
  <c r="G106" i="14"/>
  <c r="B106" i="14"/>
  <c r="H106" i="14"/>
  <c r="E106" i="14"/>
  <c r="F106" i="14"/>
  <c r="D106" i="14"/>
  <c r="C108" i="13"/>
  <c r="E108" i="13"/>
  <c r="D108" i="13"/>
  <c r="G108" i="13"/>
  <c r="B108" i="13"/>
  <c r="F108" i="13"/>
  <c r="A109" i="13" a="1"/>
  <c r="A109" i="13" s="1"/>
  <c r="F109" i="13" s="1"/>
  <c r="A108" i="14" l="1" a="1"/>
  <c r="A108" i="14" s="1"/>
  <c r="D107" i="14"/>
  <c r="H107" i="14"/>
  <c r="F107" i="14"/>
  <c r="E107" i="14"/>
  <c r="G107" i="14"/>
  <c r="B107" i="14"/>
  <c r="C107" i="14"/>
  <c r="G109" i="13"/>
  <c r="C109" i="13"/>
  <c r="B109" i="13"/>
  <c r="D109" i="13"/>
  <c r="A110" i="13" a="1"/>
  <c r="A110" i="13" s="1"/>
  <c r="E110" i="13" s="1"/>
  <c r="E109" i="13"/>
  <c r="H109" i="13"/>
  <c r="A109" i="14" l="1" a="1"/>
  <c r="A109" i="14" s="1"/>
  <c r="E108" i="14"/>
  <c r="D108" i="14"/>
  <c r="F108" i="14"/>
  <c r="G108" i="14"/>
  <c r="B108" i="14"/>
  <c r="H108" i="14"/>
  <c r="C108" i="14"/>
  <c r="D110" i="13"/>
  <c r="C110" i="13"/>
  <c r="B110" i="13"/>
  <c r="G110" i="13"/>
  <c r="A111" i="13" a="1"/>
  <c r="A111" i="13" s="1"/>
  <c r="D111" i="13" s="1"/>
  <c r="F110" i="13"/>
  <c r="H110" i="13"/>
  <c r="A110" i="14" l="1" a="1"/>
  <c r="A110" i="14" s="1"/>
  <c r="B109" i="14"/>
  <c r="F109" i="14"/>
  <c r="C109" i="14"/>
  <c r="H109" i="14"/>
  <c r="E109" i="14"/>
  <c r="G109" i="14"/>
  <c r="D109" i="14"/>
  <c r="G111" i="13"/>
  <c r="C111" i="13"/>
  <c r="B111" i="13"/>
  <c r="H111" i="13"/>
  <c r="A112" i="13" a="1"/>
  <c r="A112" i="13" s="1"/>
  <c r="H112" i="13" s="1"/>
  <c r="F111" i="13"/>
  <c r="E111" i="13"/>
  <c r="A111" i="14" l="1" a="1"/>
  <c r="A111" i="14" s="1"/>
  <c r="C110" i="14"/>
  <c r="G110" i="14"/>
  <c r="F110" i="14"/>
  <c r="E110" i="14"/>
  <c r="H110" i="14"/>
  <c r="B110" i="14"/>
  <c r="D110" i="14"/>
  <c r="F112" i="13"/>
  <c r="E112" i="13"/>
  <c r="D112" i="13"/>
  <c r="C112" i="13"/>
  <c r="B112" i="13"/>
  <c r="G112" i="13"/>
  <c r="A113" i="13" a="1"/>
  <c r="A113" i="13" s="1"/>
  <c r="D113" i="13" s="1"/>
  <c r="A112" i="14" l="1" a="1"/>
  <c r="A112" i="14" s="1"/>
  <c r="D111" i="14"/>
  <c r="H111" i="14"/>
  <c r="E111" i="14"/>
  <c r="F111" i="14"/>
  <c r="G111" i="14"/>
  <c r="B111" i="14"/>
  <c r="C111" i="14"/>
  <c r="E113" i="13"/>
  <c r="C113" i="13"/>
  <c r="B113" i="13"/>
  <c r="G113" i="13"/>
  <c r="A114" i="13" a="1"/>
  <c r="A114" i="13" s="1"/>
  <c r="D114" i="13" s="1"/>
  <c r="H113" i="13"/>
  <c r="F113" i="13"/>
  <c r="A113" i="14" l="1" a="1"/>
  <c r="A113" i="14" s="1"/>
  <c r="E112" i="14"/>
  <c r="C112" i="14"/>
  <c r="H112" i="14"/>
  <c r="F112" i="14"/>
  <c r="G112" i="14"/>
  <c r="B112" i="14"/>
  <c r="D112" i="14"/>
  <c r="F114" i="13"/>
  <c r="G114" i="13"/>
  <c r="E114" i="13"/>
  <c r="C114" i="13"/>
  <c r="B114" i="13"/>
  <c r="H114" i="13"/>
  <c r="A115" i="13" a="1"/>
  <c r="A115" i="13" s="1"/>
  <c r="F115" i="13" s="1"/>
  <c r="A114" i="14" l="1" a="1"/>
  <c r="A114" i="14" s="1"/>
  <c r="B113" i="14"/>
  <c r="F113" i="14"/>
  <c r="G113" i="14"/>
  <c r="E113" i="14"/>
  <c r="H113" i="14"/>
  <c r="C113" i="14"/>
  <c r="D113" i="14"/>
  <c r="E115" i="13"/>
  <c r="C115" i="13"/>
  <c r="B115" i="13"/>
  <c r="H115" i="13"/>
  <c r="D115" i="13"/>
  <c r="A116" i="13" a="1"/>
  <c r="A116" i="13" s="1"/>
  <c r="H116" i="13" s="1"/>
  <c r="G115" i="13"/>
  <c r="A115" i="14" l="1" a="1"/>
  <c r="A115" i="14" s="1"/>
  <c r="C114" i="14"/>
  <c r="G114" i="14"/>
  <c r="E114" i="14"/>
  <c r="F114" i="14"/>
  <c r="H114" i="14"/>
  <c r="B114" i="14"/>
  <c r="D114" i="14"/>
  <c r="A117" i="13" a="1"/>
  <c r="A117" i="13" s="1"/>
  <c r="E117" i="13" s="1"/>
  <c r="D116" i="13"/>
  <c r="G116" i="13"/>
  <c r="E116" i="13"/>
  <c r="F116" i="13"/>
  <c r="C116" i="13"/>
  <c r="B116" i="13"/>
  <c r="A116" i="14" l="1" a="1"/>
  <c r="A116" i="14" s="1"/>
  <c r="D115" i="14"/>
  <c r="H115" i="14"/>
  <c r="C115" i="14"/>
  <c r="F115" i="14"/>
  <c r="G115" i="14"/>
  <c r="B115" i="14"/>
  <c r="E115" i="14"/>
  <c r="F117" i="13"/>
  <c r="H117" i="13"/>
  <c r="G117" i="13"/>
  <c r="D117" i="13"/>
  <c r="B117" i="13"/>
  <c r="C117" i="13"/>
  <c r="A118" i="13" a="1"/>
  <c r="A118" i="13" s="1"/>
  <c r="G118" i="13" s="1"/>
  <c r="A117" i="14" l="1" a="1"/>
  <c r="A117" i="14" s="1"/>
  <c r="E116" i="14"/>
  <c r="B116" i="14"/>
  <c r="G116" i="14"/>
  <c r="F116" i="14"/>
  <c r="H116" i="14"/>
  <c r="C116" i="14"/>
  <c r="D116" i="14"/>
  <c r="A119" i="13" a="1"/>
  <c r="A119" i="13" s="1"/>
  <c r="A120" i="13" s="1" a="1"/>
  <c r="A120" i="13" s="1"/>
  <c r="E118" i="13"/>
  <c r="F118" i="13"/>
  <c r="C118" i="13"/>
  <c r="B118" i="13"/>
  <c r="D118" i="13"/>
  <c r="H118" i="13"/>
  <c r="D120" i="13" l="1"/>
  <c r="F120" i="13"/>
  <c r="H120" i="13"/>
  <c r="C120" i="13"/>
  <c r="E120" i="13"/>
  <c r="G120" i="13"/>
  <c r="B120" i="13"/>
  <c r="A118" i="14" a="1"/>
  <c r="A118" i="14" s="1"/>
  <c r="B117" i="14"/>
  <c r="F117" i="14"/>
  <c r="E117" i="14"/>
  <c r="G117" i="14"/>
  <c r="H117" i="14"/>
  <c r="C117" i="14"/>
  <c r="D117" i="14"/>
  <c r="E119" i="13"/>
  <c r="G119" i="13"/>
  <c r="C119" i="13"/>
  <c r="H119" i="13"/>
  <c r="F119" i="13"/>
  <c r="B119" i="13"/>
  <c r="D119" i="13"/>
  <c r="A121" i="13" a="1"/>
  <c r="A121" i="13" s="1"/>
  <c r="A119" i="14" l="1" a="1"/>
  <c r="A119" i="14" s="1"/>
  <c r="C118" i="14"/>
  <c r="G118" i="14"/>
  <c r="E118" i="14"/>
  <c r="F118" i="14"/>
  <c r="B118" i="14"/>
  <c r="H118" i="14"/>
  <c r="D118" i="14"/>
  <c r="C121" i="13"/>
  <c r="D121" i="13"/>
  <c r="H121" i="13"/>
  <c r="F121" i="13"/>
  <c r="E121" i="13"/>
  <c r="G121" i="13"/>
  <c r="A122" i="13" a="1"/>
  <c r="A122" i="13" s="1"/>
  <c r="B121" i="13"/>
  <c r="A120" i="14" l="1" a="1"/>
  <c r="A120" i="14" s="1"/>
  <c r="D119" i="14"/>
  <c r="H119" i="14"/>
  <c r="C119" i="14"/>
  <c r="E119" i="14"/>
  <c r="F119" i="14"/>
  <c r="G119" i="14"/>
  <c r="B119" i="14"/>
  <c r="C122" i="13"/>
  <c r="G122" i="13"/>
  <c r="F122" i="13"/>
  <c r="E122" i="13"/>
  <c r="H122" i="13"/>
  <c r="D122" i="13"/>
  <c r="A123" i="13" a="1"/>
  <c r="A123" i="13" s="1"/>
  <c r="B122" i="13"/>
  <c r="A121" i="14" l="1" a="1"/>
  <c r="A121" i="14" s="1"/>
  <c r="E120" i="14"/>
  <c r="B120" i="14"/>
  <c r="G120" i="14"/>
  <c r="C120" i="14"/>
  <c r="H120" i="14"/>
  <c r="D120" i="14"/>
  <c r="F120" i="14"/>
  <c r="C123" i="13"/>
  <c r="F123" i="13"/>
  <c r="G123" i="13"/>
  <c r="E123" i="13"/>
  <c r="H123" i="13"/>
  <c r="D123" i="13"/>
  <c r="A124" i="13" a="1"/>
  <c r="A124" i="13" s="1"/>
  <c r="B123" i="13"/>
  <c r="A122" i="14" l="1" a="1"/>
  <c r="A122" i="14" s="1"/>
  <c r="B121" i="14"/>
  <c r="F121" i="14"/>
  <c r="E121" i="14"/>
  <c r="G121" i="14"/>
  <c r="C121" i="14"/>
  <c r="H121" i="14"/>
  <c r="D121" i="14"/>
  <c r="C124" i="13"/>
  <c r="E124" i="13"/>
  <c r="G124" i="13"/>
  <c r="F124" i="13"/>
  <c r="H124" i="13"/>
  <c r="D124" i="13"/>
  <c r="A125" i="13" a="1"/>
  <c r="A125" i="13" s="1"/>
  <c r="B124" i="13"/>
  <c r="A123" i="14" l="1" a="1"/>
  <c r="A123" i="14" s="1"/>
  <c r="C122" i="14"/>
  <c r="G122" i="14"/>
  <c r="D122" i="14"/>
  <c r="E122" i="14"/>
  <c r="F122" i="14"/>
  <c r="H122" i="14"/>
  <c r="B122" i="14"/>
  <c r="C125" i="13"/>
  <c r="D125" i="13"/>
  <c r="H125" i="13"/>
  <c r="G125" i="13"/>
  <c r="F125" i="13"/>
  <c r="E125" i="13"/>
  <c r="A126" i="13" a="1"/>
  <c r="A126" i="13" s="1"/>
  <c r="B125" i="13"/>
  <c r="A124" i="14" l="1" a="1"/>
  <c r="A124" i="14" s="1"/>
  <c r="D123" i="14"/>
  <c r="H123" i="14"/>
  <c r="B123" i="14"/>
  <c r="G123" i="14"/>
  <c r="C123" i="14"/>
  <c r="E123" i="14"/>
  <c r="F123" i="14"/>
  <c r="C126" i="13"/>
  <c r="G126" i="13"/>
  <c r="H126" i="13"/>
  <c r="F126" i="13"/>
  <c r="E126" i="13"/>
  <c r="D126" i="13"/>
  <c r="A127" i="13" a="1"/>
  <c r="A127" i="13" s="1"/>
  <c r="B126" i="13"/>
  <c r="A125" i="14" l="1" a="1"/>
  <c r="A125" i="14" s="1"/>
  <c r="E124" i="14"/>
  <c r="F124" i="14"/>
  <c r="B124" i="14"/>
  <c r="G124" i="14"/>
  <c r="C124" i="14"/>
  <c r="H124" i="14"/>
  <c r="D124" i="14"/>
  <c r="C127" i="13"/>
  <c r="F127" i="13"/>
  <c r="H127" i="13"/>
  <c r="G127" i="13"/>
  <c r="D127" i="13"/>
  <c r="E127" i="13"/>
  <c r="A128" i="13" a="1"/>
  <c r="A128" i="13" s="1"/>
  <c r="B127" i="13"/>
  <c r="A126" i="14" l="1" a="1"/>
  <c r="A126" i="14" s="1"/>
  <c r="B125" i="14"/>
  <c r="F125" i="14"/>
  <c r="D125" i="14"/>
  <c r="E125" i="14"/>
  <c r="G125" i="14"/>
  <c r="H125" i="14"/>
  <c r="C125" i="14"/>
  <c r="E128" i="13"/>
  <c r="H128" i="13"/>
  <c r="G128" i="13"/>
  <c r="C128" i="13"/>
  <c r="F128" i="13"/>
  <c r="D128" i="13"/>
  <c r="A129" i="13" a="1"/>
  <c r="A129" i="13" s="1"/>
  <c r="B128" i="13"/>
  <c r="A127" i="14" l="1" a="1"/>
  <c r="A127" i="14" s="1"/>
  <c r="C126" i="14"/>
  <c r="G126" i="14"/>
  <c r="B126" i="14"/>
  <c r="H126" i="14"/>
  <c r="D126" i="14"/>
  <c r="E126" i="14"/>
  <c r="F126" i="14"/>
  <c r="D129" i="13"/>
  <c r="H129" i="13"/>
  <c r="G129" i="13"/>
  <c r="C129" i="13"/>
  <c r="E129" i="13"/>
  <c r="F129" i="13"/>
  <c r="A130" i="13" a="1"/>
  <c r="A130" i="13" s="1"/>
  <c r="B129" i="13"/>
  <c r="A128" i="14" l="1" a="1"/>
  <c r="A128" i="14" s="1"/>
  <c r="D127" i="14"/>
  <c r="H127" i="14"/>
  <c r="F127" i="14"/>
  <c r="B127" i="14"/>
  <c r="G127" i="14"/>
  <c r="C127" i="14"/>
  <c r="E127" i="14"/>
  <c r="C130" i="13"/>
  <c r="G130" i="13"/>
  <c r="D130" i="13"/>
  <c r="H130" i="13"/>
  <c r="E130" i="13"/>
  <c r="F130" i="13"/>
  <c r="A131" i="13" a="1"/>
  <c r="A131" i="13" s="1"/>
  <c r="B130" i="13"/>
  <c r="A129" i="14" l="1" a="1"/>
  <c r="A129" i="14" s="1"/>
  <c r="E128" i="14"/>
  <c r="D128" i="14"/>
  <c r="F128" i="14"/>
  <c r="G128" i="14"/>
  <c r="B128" i="14"/>
  <c r="H128" i="14"/>
  <c r="C128" i="14"/>
  <c r="C131" i="13"/>
  <c r="F131" i="13"/>
  <c r="D131" i="13"/>
  <c r="H131" i="13"/>
  <c r="E131" i="13"/>
  <c r="G131" i="13"/>
  <c r="A132" i="13" a="1"/>
  <c r="A132" i="13" s="1"/>
  <c r="B131" i="13"/>
  <c r="A130" i="14" l="1" a="1"/>
  <c r="A130" i="14" s="1"/>
  <c r="B129" i="14"/>
  <c r="F129" i="14"/>
  <c r="C129" i="14"/>
  <c r="H129" i="14"/>
  <c r="D129" i="14"/>
  <c r="E129" i="14"/>
  <c r="G129" i="14"/>
  <c r="C132" i="13"/>
  <c r="E132" i="13"/>
  <c r="D132" i="13"/>
  <c r="H132" i="13"/>
  <c r="F132" i="13"/>
  <c r="G132" i="13"/>
  <c r="A133" i="13" a="1"/>
  <c r="A133" i="13" s="1"/>
  <c r="B132" i="13"/>
  <c r="A131" i="14" l="1" a="1"/>
  <c r="A131" i="14" s="1"/>
  <c r="C130" i="14"/>
  <c r="G130" i="14"/>
  <c r="F130" i="14"/>
  <c r="B130" i="14"/>
  <c r="H130" i="14"/>
  <c r="D130" i="14"/>
  <c r="E130" i="14"/>
  <c r="C133" i="13"/>
  <c r="D133" i="13"/>
  <c r="H133" i="13"/>
  <c r="E133" i="13"/>
  <c r="F133" i="13"/>
  <c r="G133" i="13"/>
  <c r="A134" i="13" a="1"/>
  <c r="A134" i="13" s="1"/>
  <c r="B133" i="13"/>
  <c r="A132" i="14" l="1" a="1"/>
  <c r="A132" i="14" s="1"/>
  <c r="D131" i="14"/>
  <c r="H131" i="14"/>
  <c r="E131" i="14"/>
  <c r="F131" i="14"/>
  <c r="G131" i="14"/>
  <c r="B131" i="14"/>
  <c r="C131" i="14"/>
  <c r="C134" i="13"/>
  <c r="G134" i="13"/>
  <c r="E134" i="13"/>
  <c r="D134" i="13"/>
  <c r="H134" i="13"/>
  <c r="F134" i="13"/>
  <c r="A135" i="13" a="1"/>
  <c r="A135" i="13" s="1"/>
  <c r="B134" i="13"/>
  <c r="A133" i="14" l="1" a="1"/>
  <c r="A133" i="14" s="1"/>
  <c r="E132" i="14"/>
  <c r="C132" i="14"/>
  <c r="H132" i="14"/>
  <c r="D132" i="14"/>
  <c r="F132" i="14"/>
  <c r="B132" i="14"/>
  <c r="G132" i="14"/>
  <c r="C135" i="13"/>
  <c r="F135" i="13"/>
  <c r="E135" i="13"/>
  <c r="D135" i="13"/>
  <c r="G135" i="13"/>
  <c r="H135" i="13"/>
  <c r="A136" i="13" a="1"/>
  <c r="A136" i="13" s="1"/>
  <c r="B135" i="13"/>
  <c r="A134" i="14" l="1" a="1"/>
  <c r="A134" i="14" s="1"/>
  <c r="B133" i="14"/>
  <c r="F133" i="14"/>
  <c r="G133" i="14"/>
  <c r="C133" i="14"/>
  <c r="H133" i="14"/>
  <c r="D133" i="14"/>
  <c r="E133" i="14"/>
  <c r="C136" i="13"/>
  <c r="E136" i="13"/>
  <c r="F136" i="13"/>
  <c r="D136" i="13"/>
  <c r="G136" i="13"/>
  <c r="H136" i="13"/>
  <c r="A137" i="13" a="1"/>
  <c r="A137" i="13" s="1"/>
  <c r="B136" i="13"/>
  <c r="A135" i="14" l="1" a="1"/>
  <c r="A135" i="14" s="1"/>
  <c r="C134" i="14"/>
  <c r="G134" i="14"/>
  <c r="E134" i="14"/>
  <c r="F134" i="14"/>
  <c r="H134" i="14"/>
  <c r="B134" i="14"/>
  <c r="D134" i="14"/>
  <c r="C137" i="13"/>
  <c r="D137" i="13"/>
  <c r="H137" i="13"/>
  <c r="F137" i="13"/>
  <c r="E137" i="13"/>
  <c r="G137" i="13"/>
  <c r="A138" i="13" a="1"/>
  <c r="A138" i="13" s="1"/>
  <c r="B137" i="13"/>
  <c r="A136" i="14" l="1" a="1"/>
  <c r="A136" i="14" s="1"/>
  <c r="D135" i="14"/>
  <c r="H135" i="14"/>
  <c r="C135" i="14"/>
  <c r="E135" i="14"/>
  <c r="F135" i="14"/>
  <c r="B135" i="14"/>
  <c r="G135" i="14"/>
  <c r="C138" i="13"/>
  <c r="G138" i="13"/>
  <c r="F138" i="13"/>
  <c r="E138" i="13"/>
  <c r="D138" i="13"/>
  <c r="H138" i="13"/>
  <c r="A139" i="13" a="1"/>
  <c r="A139" i="13" s="1"/>
  <c r="B138" i="13"/>
  <c r="A137" i="14" l="1" a="1"/>
  <c r="A137" i="14" s="1"/>
  <c r="E136" i="14"/>
  <c r="B136" i="14"/>
  <c r="G136" i="14"/>
  <c r="C136" i="14"/>
  <c r="H136" i="14"/>
  <c r="D136" i="14"/>
  <c r="F136" i="14"/>
  <c r="F139" i="13"/>
  <c r="G139" i="13"/>
  <c r="C139" i="13"/>
  <c r="E139" i="13"/>
  <c r="H139" i="13"/>
  <c r="D139" i="13"/>
  <c r="A140" i="13" a="1"/>
  <c r="A140" i="13" s="1"/>
  <c r="B139" i="13"/>
  <c r="A138" i="14" l="1" a="1"/>
  <c r="A138" i="14" s="1"/>
  <c r="B137" i="14"/>
  <c r="F137" i="14"/>
  <c r="E137" i="14"/>
  <c r="G137" i="14"/>
  <c r="H137" i="14"/>
  <c r="C137" i="14"/>
  <c r="D137" i="14"/>
  <c r="E140" i="13"/>
  <c r="C140" i="13"/>
  <c r="G140" i="13"/>
  <c r="F140" i="13"/>
  <c r="H140" i="13"/>
  <c r="D140" i="13"/>
  <c r="B140" i="13"/>
  <c r="A141" i="13" a="1"/>
  <c r="A141" i="13" s="1"/>
  <c r="A139" i="14" l="1" a="1"/>
  <c r="A139" i="14" s="1"/>
  <c r="C138" i="14"/>
  <c r="G138" i="14"/>
  <c r="D138" i="14"/>
  <c r="E138" i="14"/>
  <c r="F138" i="14"/>
  <c r="B138" i="14"/>
  <c r="H138" i="14"/>
  <c r="C141" i="13"/>
  <c r="D141" i="13"/>
  <c r="H141" i="13"/>
  <c r="G141" i="13"/>
  <c r="F141" i="13"/>
  <c r="E141" i="13"/>
  <c r="A142" i="13" a="1"/>
  <c r="A142" i="13" s="1"/>
  <c r="B141" i="13"/>
  <c r="A140" i="14" l="1" a="1"/>
  <c r="A140" i="14" s="1"/>
  <c r="D139" i="14"/>
  <c r="H139" i="14"/>
  <c r="B139" i="14"/>
  <c r="G139" i="14"/>
  <c r="C139" i="14"/>
  <c r="E139" i="14"/>
  <c r="F139" i="14"/>
  <c r="C142" i="13"/>
  <c r="G142" i="13"/>
  <c r="H142" i="13"/>
  <c r="F142" i="13"/>
  <c r="D142" i="13"/>
  <c r="E142" i="13"/>
  <c r="A143" i="13" a="1"/>
  <c r="A143" i="13" s="1"/>
  <c r="B142" i="13"/>
  <c r="A141" i="14" l="1" a="1"/>
  <c r="A141" i="14" s="1"/>
  <c r="E140" i="14"/>
  <c r="F140" i="14"/>
  <c r="B140" i="14"/>
  <c r="G140" i="14"/>
  <c r="H140" i="14"/>
  <c r="C140" i="14"/>
  <c r="D140" i="14"/>
  <c r="C143" i="13"/>
  <c r="F143" i="13"/>
  <c r="H143" i="13"/>
  <c r="G143" i="13"/>
  <c r="E143" i="13"/>
  <c r="D143" i="13"/>
  <c r="A144" i="13" a="1"/>
  <c r="A144" i="13" s="1"/>
  <c r="B143" i="13"/>
  <c r="A142" i="14" l="1" a="1"/>
  <c r="A142" i="14" s="1"/>
  <c r="B141" i="14"/>
  <c r="F141" i="14"/>
  <c r="D141" i="14"/>
  <c r="E141" i="14"/>
  <c r="G141" i="14"/>
  <c r="C141" i="14"/>
  <c r="H141" i="14"/>
  <c r="C144" i="13"/>
  <c r="E144" i="13"/>
  <c r="H144" i="13"/>
  <c r="G144" i="13"/>
  <c r="D144" i="13"/>
  <c r="F144" i="13"/>
  <c r="A145" i="13" a="1"/>
  <c r="A145" i="13" s="1"/>
  <c r="B144" i="13"/>
  <c r="A143" i="14" l="1" a="1"/>
  <c r="A143" i="14" s="1"/>
  <c r="C142" i="14"/>
  <c r="G142" i="14"/>
  <c r="B142" i="14"/>
  <c r="H142" i="14"/>
  <c r="D142" i="14"/>
  <c r="E142" i="14"/>
  <c r="F142" i="14"/>
  <c r="C145" i="13"/>
  <c r="D145" i="13"/>
  <c r="H145" i="13"/>
  <c r="G145" i="13"/>
  <c r="F145" i="13"/>
  <c r="E145" i="13"/>
  <c r="A146" i="13" a="1"/>
  <c r="A146" i="13" s="1"/>
  <c r="B145" i="13"/>
  <c r="A144" i="14" l="1" a="1"/>
  <c r="A144" i="14" s="1"/>
  <c r="D143" i="14"/>
  <c r="H143" i="14"/>
  <c r="F143" i="14"/>
  <c r="B143" i="14"/>
  <c r="G143" i="14"/>
  <c r="C143" i="14"/>
  <c r="E143" i="14"/>
  <c r="C146" i="13"/>
  <c r="G146" i="13"/>
  <c r="D146" i="13"/>
  <c r="H146" i="13"/>
  <c r="E146" i="13"/>
  <c r="F146" i="13"/>
  <c r="A147" i="13" a="1"/>
  <c r="A147" i="13" s="1"/>
  <c r="B146" i="13"/>
  <c r="A145" i="14" l="1" a="1"/>
  <c r="A145" i="14" s="1"/>
  <c r="E144" i="14"/>
  <c r="D144" i="14"/>
  <c r="F144" i="14"/>
  <c r="B144" i="14"/>
  <c r="G144" i="14"/>
  <c r="C144" i="14"/>
  <c r="H144" i="14"/>
  <c r="C147" i="13"/>
  <c r="F147" i="13"/>
  <c r="D147" i="13"/>
  <c r="H147" i="13"/>
  <c r="E147" i="13"/>
  <c r="G147" i="13"/>
  <c r="A148" i="13" a="1"/>
  <c r="A148" i="13" s="1"/>
  <c r="B147" i="13"/>
  <c r="A146" i="14" l="1" a="1"/>
  <c r="A146" i="14" s="1"/>
  <c r="B145" i="14"/>
  <c r="F145" i="14"/>
  <c r="C145" i="14"/>
  <c r="H145" i="14"/>
  <c r="D145" i="14"/>
  <c r="E145" i="14"/>
  <c r="G145" i="14"/>
  <c r="C148" i="13"/>
  <c r="E148" i="13"/>
  <c r="D148" i="13"/>
  <c r="H148" i="13"/>
  <c r="F148" i="13"/>
  <c r="G148" i="13"/>
  <c r="A149" i="13" a="1"/>
  <c r="A149" i="13" s="1"/>
  <c r="B148" i="13"/>
  <c r="A147" i="14" l="1" a="1"/>
  <c r="A147" i="14" s="1"/>
  <c r="C146" i="14"/>
  <c r="G146" i="14"/>
  <c r="F146" i="14"/>
  <c r="B146" i="14"/>
  <c r="H146" i="14"/>
  <c r="D146" i="14"/>
  <c r="E146" i="14"/>
  <c r="D149" i="13"/>
  <c r="H149" i="13"/>
  <c r="E149" i="13"/>
  <c r="C149" i="13"/>
  <c r="F149" i="13"/>
  <c r="G149" i="13"/>
  <c r="A150" i="13" a="1"/>
  <c r="A150" i="13" s="1"/>
  <c r="B149" i="13"/>
  <c r="A148" i="14" l="1" a="1"/>
  <c r="A148" i="14" s="1"/>
  <c r="D147" i="14"/>
  <c r="H147" i="14"/>
  <c r="E147" i="14"/>
  <c r="F147" i="14"/>
  <c r="B147" i="14"/>
  <c r="G147" i="14"/>
  <c r="C147" i="14"/>
  <c r="C150" i="13"/>
  <c r="G150" i="13"/>
  <c r="E150" i="13"/>
  <c r="D150" i="13"/>
  <c r="F150" i="13"/>
  <c r="H150" i="13"/>
  <c r="A151" i="13" a="1"/>
  <c r="A151" i="13" s="1"/>
  <c r="B150" i="13"/>
  <c r="A149" i="14" l="1" a="1"/>
  <c r="A149" i="14" s="1"/>
  <c r="E148" i="14"/>
  <c r="C148" i="14"/>
  <c r="H148" i="14"/>
  <c r="D148" i="14"/>
  <c r="F148" i="14"/>
  <c r="G148" i="14"/>
  <c r="B148" i="14"/>
  <c r="F151" i="13"/>
  <c r="E151" i="13"/>
  <c r="D151" i="13"/>
  <c r="C151" i="13"/>
  <c r="H151" i="13"/>
  <c r="G151" i="13"/>
  <c r="A152" i="13" a="1"/>
  <c r="A152" i="13" s="1"/>
  <c r="B151" i="13"/>
  <c r="A150" i="14" l="1" a="1"/>
  <c r="A150" i="14" s="1"/>
  <c r="B149" i="14"/>
  <c r="F149" i="14"/>
  <c r="G149" i="14"/>
  <c r="C149" i="14"/>
  <c r="H149" i="14"/>
  <c r="D149" i="14"/>
  <c r="E149" i="14"/>
  <c r="C152" i="13"/>
  <c r="E152" i="13"/>
  <c r="F152" i="13"/>
  <c r="D152" i="13"/>
  <c r="G152" i="13"/>
  <c r="H152" i="13"/>
  <c r="A153" i="13" a="1"/>
  <c r="A153" i="13" s="1"/>
  <c r="B152" i="13"/>
  <c r="A151" i="14" l="1" a="1"/>
  <c r="A151" i="14" s="1"/>
  <c r="C150" i="14"/>
  <c r="G150" i="14"/>
  <c r="E150" i="14"/>
  <c r="F150" i="14"/>
  <c r="B150" i="14"/>
  <c r="H150" i="14"/>
  <c r="D150" i="14"/>
  <c r="C153" i="13"/>
  <c r="D153" i="13"/>
  <c r="H153" i="13"/>
  <c r="F153" i="13"/>
  <c r="E153" i="13"/>
  <c r="G153" i="13"/>
  <c r="A154" i="13" a="1"/>
  <c r="A154" i="13" s="1"/>
  <c r="B153" i="13"/>
  <c r="A152" i="14" l="1" a="1"/>
  <c r="A152" i="14" s="1"/>
  <c r="D151" i="14"/>
  <c r="H151" i="14"/>
  <c r="C151" i="14"/>
  <c r="E151" i="14"/>
  <c r="F151" i="14"/>
  <c r="G151" i="14"/>
  <c r="B151" i="14"/>
  <c r="C154" i="13"/>
  <c r="G154" i="13"/>
  <c r="F154" i="13"/>
  <c r="E154" i="13"/>
  <c r="H154" i="13"/>
  <c r="D154" i="13"/>
  <c r="A155" i="13" a="1"/>
  <c r="A155" i="13" s="1"/>
  <c r="B154" i="13"/>
  <c r="A153" i="14" l="1" a="1"/>
  <c r="A153" i="14" s="1"/>
  <c r="E152" i="14"/>
  <c r="B152" i="14"/>
  <c r="G152" i="14"/>
  <c r="C152" i="14"/>
  <c r="H152" i="14"/>
  <c r="D152" i="14"/>
  <c r="F152" i="14"/>
  <c r="C155" i="13"/>
  <c r="F155" i="13"/>
  <c r="G155" i="13"/>
  <c r="E155" i="13"/>
  <c r="D155" i="13"/>
  <c r="H155" i="13"/>
  <c r="A156" i="13" a="1"/>
  <c r="A156" i="13" s="1"/>
  <c r="B155" i="13"/>
  <c r="A154" i="14" l="1" a="1"/>
  <c r="A154" i="14" s="1"/>
  <c r="B153" i="14"/>
  <c r="F153" i="14"/>
  <c r="E153" i="14"/>
  <c r="G153" i="14"/>
  <c r="C153" i="14"/>
  <c r="H153" i="14"/>
  <c r="D153" i="14"/>
  <c r="C156" i="13"/>
  <c r="E156" i="13"/>
  <c r="G156" i="13"/>
  <c r="F156" i="13"/>
  <c r="H156" i="13"/>
  <c r="D156" i="13"/>
  <c r="A157" i="13" a="1"/>
  <c r="A157" i="13" s="1"/>
  <c r="B156" i="13"/>
  <c r="A155" i="14" l="1" a="1"/>
  <c r="A155" i="14" s="1"/>
  <c r="C154" i="14"/>
  <c r="G154" i="14"/>
  <c r="D154" i="14"/>
  <c r="E154" i="14"/>
  <c r="F154" i="14"/>
  <c r="H154" i="14"/>
  <c r="B154" i="14"/>
  <c r="C157" i="13"/>
  <c r="D157" i="13"/>
  <c r="H157" i="13"/>
  <c r="G157" i="13"/>
  <c r="F157" i="13"/>
  <c r="E157" i="13"/>
  <c r="A158" i="13" a="1"/>
  <c r="A158" i="13" s="1"/>
  <c r="B157" i="13"/>
  <c r="A156" i="14" l="1" a="1"/>
  <c r="A156" i="14" s="1"/>
  <c r="D155" i="14"/>
  <c r="H155" i="14"/>
  <c r="B155" i="14"/>
  <c r="G155" i="14"/>
  <c r="C155" i="14"/>
  <c r="E155" i="14"/>
  <c r="F155" i="14"/>
  <c r="C158" i="13"/>
  <c r="G158" i="13"/>
  <c r="H158" i="13"/>
  <c r="F158" i="13"/>
  <c r="D158" i="13"/>
  <c r="E158" i="13"/>
  <c r="A159" i="13" a="1"/>
  <c r="A159" i="13" s="1"/>
  <c r="B158" i="13"/>
  <c r="A157" i="14" l="1" a="1"/>
  <c r="A157" i="14" s="1"/>
  <c r="E156" i="14"/>
  <c r="F156" i="14"/>
  <c r="B156" i="14"/>
  <c r="G156" i="14"/>
  <c r="C156" i="14"/>
  <c r="H156" i="14"/>
  <c r="D156" i="14"/>
  <c r="C159" i="13"/>
  <c r="F159" i="13"/>
  <c r="H159" i="13"/>
  <c r="G159" i="13"/>
  <c r="D159" i="13"/>
  <c r="E159" i="13"/>
  <c r="A160" i="13" a="1"/>
  <c r="A160" i="13" s="1"/>
  <c r="B159" i="13"/>
  <c r="A158" i="14" l="1" a="1"/>
  <c r="A158" i="14" s="1"/>
  <c r="B157" i="14"/>
  <c r="F157" i="14"/>
  <c r="D157" i="14"/>
  <c r="E157" i="14"/>
  <c r="G157" i="14"/>
  <c r="H157" i="14"/>
  <c r="C157" i="14"/>
  <c r="E160" i="13"/>
  <c r="H160" i="13"/>
  <c r="C160" i="13"/>
  <c r="G160" i="13"/>
  <c r="F160" i="13"/>
  <c r="D160" i="13"/>
  <c r="A161" i="13" a="1"/>
  <c r="A161" i="13" s="1"/>
  <c r="B160" i="13"/>
  <c r="A159" i="14" l="1" a="1"/>
  <c r="A159" i="14" s="1"/>
  <c r="C158" i="14"/>
  <c r="G158" i="14"/>
  <c r="B158" i="14"/>
  <c r="H158" i="14"/>
  <c r="D158" i="14"/>
  <c r="E158" i="14"/>
  <c r="F158" i="14"/>
  <c r="D161" i="13"/>
  <c r="H161" i="13"/>
  <c r="C161" i="13"/>
  <c r="G161" i="13"/>
  <c r="E161" i="13"/>
  <c r="F161" i="13"/>
  <c r="A162" i="13" a="1"/>
  <c r="A162" i="13" s="1"/>
  <c r="B161" i="13"/>
  <c r="A160" i="14" l="1" a="1"/>
  <c r="A160" i="14" s="1"/>
  <c r="E159" i="14"/>
  <c r="B159" i="14"/>
  <c r="F159" i="14"/>
  <c r="C159" i="14"/>
  <c r="G159" i="14"/>
  <c r="D159" i="14"/>
  <c r="H159" i="14"/>
  <c r="C162" i="13"/>
  <c r="G162" i="13"/>
  <c r="D162" i="13"/>
  <c r="H162" i="13"/>
  <c r="E162" i="13"/>
  <c r="F162" i="13"/>
  <c r="A163" i="13" a="1"/>
  <c r="A163" i="13" s="1"/>
  <c r="B162" i="13"/>
  <c r="A161" i="14" l="1" a="1"/>
  <c r="A161" i="14" s="1"/>
  <c r="B160" i="14"/>
  <c r="F160" i="14"/>
  <c r="C160" i="14"/>
  <c r="G160" i="14"/>
  <c r="D160" i="14"/>
  <c r="H160" i="14"/>
  <c r="E160" i="14"/>
  <c r="C163" i="13"/>
  <c r="F163" i="13"/>
  <c r="D163" i="13"/>
  <c r="H163" i="13"/>
  <c r="E163" i="13"/>
  <c r="G163" i="13"/>
  <c r="A164" i="13" a="1"/>
  <c r="A164" i="13" s="1"/>
  <c r="B163" i="13"/>
  <c r="A162" i="14" l="1" a="1"/>
  <c r="A162" i="14" s="1"/>
  <c r="C161" i="14"/>
  <c r="G161" i="14"/>
  <c r="D161" i="14"/>
  <c r="H161" i="14"/>
  <c r="E161" i="14"/>
  <c r="F161" i="14"/>
  <c r="B161" i="14"/>
  <c r="C164" i="13"/>
  <c r="E164" i="13"/>
  <c r="D164" i="13"/>
  <c r="H164" i="13"/>
  <c r="F164" i="13"/>
  <c r="G164" i="13"/>
  <c r="A165" i="13" a="1"/>
  <c r="A165" i="13" s="1"/>
  <c r="B164" i="13"/>
  <c r="A163" i="14" l="1" a="1"/>
  <c r="A163" i="14" s="1"/>
  <c r="D162" i="14"/>
  <c r="H162" i="14"/>
  <c r="E162" i="14"/>
  <c r="F162" i="14"/>
  <c r="B162" i="14"/>
  <c r="G162" i="14"/>
  <c r="C162" i="14"/>
  <c r="C165" i="13"/>
  <c r="D165" i="13"/>
  <c r="H165" i="13"/>
  <c r="E165" i="13"/>
  <c r="F165" i="13"/>
  <c r="G165" i="13"/>
  <c r="A166" i="13" a="1"/>
  <c r="A166" i="13" s="1"/>
  <c r="B165" i="13"/>
  <c r="A164" i="14" l="1" a="1"/>
  <c r="A164" i="14" s="1"/>
  <c r="E163" i="14"/>
  <c r="B163" i="14"/>
  <c r="F163" i="14"/>
  <c r="G163" i="14"/>
  <c r="C163" i="14"/>
  <c r="H163" i="14"/>
  <c r="D163" i="14"/>
  <c r="C166" i="13"/>
  <c r="G166" i="13"/>
  <c r="E166" i="13"/>
  <c r="D166" i="13"/>
  <c r="F166" i="13"/>
  <c r="H166" i="13"/>
  <c r="A167" i="13" a="1"/>
  <c r="A167" i="13" s="1"/>
  <c r="B166" i="13"/>
  <c r="A165" i="14" l="1" a="1"/>
  <c r="A165" i="14" s="1"/>
  <c r="B164" i="14"/>
  <c r="F164" i="14"/>
  <c r="C164" i="14"/>
  <c r="G164" i="14"/>
  <c r="H164" i="14"/>
  <c r="D164" i="14"/>
  <c r="E164" i="14"/>
  <c r="C167" i="13"/>
  <c r="F167" i="13"/>
  <c r="E167" i="13"/>
  <c r="D167" i="13"/>
  <c r="G167" i="13"/>
  <c r="H167" i="13"/>
  <c r="A168" i="13" a="1"/>
  <c r="A168" i="13" s="1"/>
  <c r="B167" i="13"/>
  <c r="A166" i="14" l="1" a="1"/>
  <c r="A166" i="14" s="1"/>
  <c r="C165" i="14"/>
  <c r="G165" i="14"/>
  <c r="D165" i="14"/>
  <c r="H165" i="14"/>
  <c r="E165" i="14"/>
  <c r="B165" i="14"/>
  <c r="F165" i="14"/>
  <c r="C168" i="13"/>
  <c r="E168" i="13"/>
  <c r="F168" i="13"/>
  <c r="D168" i="13"/>
  <c r="H168" i="13"/>
  <c r="G168" i="13"/>
  <c r="A169" i="13" a="1"/>
  <c r="A169" i="13" s="1"/>
  <c r="B168" i="13"/>
  <c r="A167" i="14" l="1" a="1"/>
  <c r="A167" i="14" s="1"/>
  <c r="D166" i="14"/>
  <c r="H166" i="14"/>
  <c r="E166" i="14"/>
  <c r="B166" i="14"/>
  <c r="F166" i="14"/>
  <c r="C166" i="14"/>
  <c r="G166" i="14"/>
  <c r="C169" i="13"/>
  <c r="D169" i="13"/>
  <c r="H169" i="13"/>
  <c r="F169" i="13"/>
  <c r="E169" i="13"/>
  <c r="G169" i="13"/>
  <c r="A170" i="13" a="1"/>
  <c r="A170" i="13" s="1"/>
  <c r="B169" i="13"/>
  <c r="A168" i="14" l="1" a="1"/>
  <c r="A168" i="14" s="1"/>
  <c r="E167" i="14"/>
  <c r="B167" i="14"/>
  <c r="F167" i="14"/>
  <c r="C167" i="14"/>
  <c r="G167" i="14"/>
  <c r="D167" i="14"/>
  <c r="H167" i="14"/>
  <c r="C170" i="13"/>
  <c r="G170" i="13"/>
  <c r="F170" i="13"/>
  <c r="E170" i="13"/>
  <c r="H170" i="13"/>
  <c r="D170" i="13"/>
  <c r="A171" i="13" a="1"/>
  <c r="A171" i="13" s="1"/>
  <c r="B170" i="13"/>
  <c r="A169" i="14" l="1" a="1"/>
  <c r="A169" i="14" s="1"/>
  <c r="B168" i="14"/>
  <c r="F168" i="14"/>
  <c r="C168" i="14"/>
  <c r="G168" i="14"/>
  <c r="D168" i="14"/>
  <c r="H168" i="14"/>
  <c r="E168" i="14"/>
  <c r="F171" i="13"/>
  <c r="G171" i="13"/>
  <c r="E171" i="13"/>
  <c r="H171" i="13"/>
  <c r="D171" i="13"/>
  <c r="C171" i="13"/>
  <c r="A172" i="13" a="1"/>
  <c r="A172" i="13" s="1"/>
  <c r="B171" i="13"/>
  <c r="A170" i="14" l="1" a="1"/>
  <c r="A170" i="14" s="1"/>
  <c r="C169" i="14"/>
  <c r="G169" i="14"/>
  <c r="D169" i="14"/>
  <c r="H169" i="14"/>
  <c r="E169" i="14"/>
  <c r="F169" i="14"/>
  <c r="B169" i="14"/>
  <c r="E172" i="13"/>
  <c r="G172" i="13"/>
  <c r="F172" i="13"/>
  <c r="C172" i="13"/>
  <c r="D172" i="13"/>
  <c r="H172" i="13"/>
  <c r="A173" i="13" a="1"/>
  <c r="A173" i="13" s="1"/>
  <c r="B172" i="13"/>
  <c r="A171" i="14" l="1" a="1"/>
  <c r="A171" i="14" s="1"/>
  <c r="D170" i="14"/>
  <c r="H170" i="14"/>
  <c r="E170" i="14"/>
  <c r="F170" i="14"/>
  <c r="B170" i="14"/>
  <c r="G170" i="14"/>
  <c r="C170" i="14"/>
  <c r="C173" i="13"/>
  <c r="D173" i="13"/>
  <c r="H173" i="13"/>
  <c r="G173" i="13"/>
  <c r="F173" i="13"/>
  <c r="E173" i="13"/>
  <c r="A174" i="13" a="1"/>
  <c r="A174" i="13" s="1"/>
  <c r="B173" i="13"/>
  <c r="A172" i="14" l="1" a="1"/>
  <c r="A172" i="14" s="1"/>
  <c r="E171" i="14"/>
  <c r="B171" i="14"/>
  <c r="F171" i="14"/>
  <c r="G171" i="14"/>
  <c r="C171" i="14"/>
  <c r="H171" i="14"/>
  <c r="D171" i="14"/>
  <c r="C174" i="13"/>
  <c r="G174" i="13"/>
  <c r="H174" i="13"/>
  <c r="F174" i="13"/>
  <c r="D174" i="13"/>
  <c r="E174" i="13"/>
  <c r="A175" i="13" a="1"/>
  <c r="A175" i="13" s="1"/>
  <c r="B174" i="13"/>
  <c r="A173" i="14" l="1" a="1"/>
  <c r="A173" i="14" s="1"/>
  <c r="B172" i="14"/>
  <c r="F172" i="14"/>
  <c r="C172" i="14"/>
  <c r="G172" i="14"/>
  <c r="H172" i="14"/>
  <c r="D172" i="14"/>
  <c r="E172" i="14"/>
  <c r="C175" i="13"/>
  <c r="F175" i="13"/>
  <c r="H175" i="13"/>
  <c r="G175" i="13"/>
  <c r="D175" i="13"/>
  <c r="E175" i="13"/>
  <c r="A176" i="13" a="1"/>
  <c r="A176" i="13" s="1"/>
  <c r="B175" i="13"/>
  <c r="A174" i="14" l="1" a="1"/>
  <c r="A174" i="14" s="1"/>
  <c r="C173" i="14"/>
  <c r="G173" i="14"/>
  <c r="D173" i="14"/>
  <c r="H173" i="14"/>
  <c r="E173" i="14"/>
  <c r="B173" i="14"/>
  <c r="F173" i="14"/>
  <c r="C176" i="13"/>
  <c r="E176" i="13"/>
  <c r="H176" i="13"/>
  <c r="G176" i="13"/>
  <c r="D176" i="13"/>
  <c r="F176" i="13"/>
  <c r="A177" i="13" a="1"/>
  <c r="A177" i="13" s="1"/>
  <c r="B176" i="13"/>
  <c r="A175" i="14" l="1" a="1"/>
  <c r="A175" i="14" s="1"/>
  <c r="D174" i="14"/>
  <c r="H174" i="14"/>
  <c r="E174" i="14"/>
  <c r="B174" i="14"/>
  <c r="F174" i="14"/>
  <c r="C174" i="14"/>
  <c r="G174" i="14"/>
  <c r="C177" i="13"/>
  <c r="D177" i="13"/>
  <c r="H177" i="13"/>
  <c r="G177" i="13"/>
  <c r="F177" i="13"/>
  <c r="E177" i="13"/>
  <c r="A178" i="13" a="1"/>
  <c r="A178" i="13" s="1"/>
  <c r="B177" i="13"/>
  <c r="A176" i="14" l="1" a="1"/>
  <c r="A176" i="14" s="1"/>
  <c r="E175" i="14"/>
  <c r="B175" i="14"/>
  <c r="F175" i="14"/>
  <c r="C175" i="14"/>
  <c r="G175" i="14"/>
  <c r="D175" i="14"/>
  <c r="H175" i="14"/>
  <c r="C178" i="13"/>
  <c r="G178" i="13"/>
  <c r="D178" i="13"/>
  <c r="H178" i="13"/>
  <c r="E178" i="13"/>
  <c r="F178" i="13"/>
  <c r="A179" i="13" a="1"/>
  <c r="A179" i="13" s="1"/>
  <c r="B178" i="13"/>
  <c r="A177" i="14" l="1" a="1"/>
  <c r="A177" i="14" s="1"/>
  <c r="B176" i="14"/>
  <c r="F176" i="14"/>
  <c r="C176" i="14"/>
  <c r="G176" i="14"/>
  <c r="D176" i="14"/>
  <c r="H176" i="14"/>
  <c r="E176" i="14"/>
  <c r="C179" i="13"/>
  <c r="F179" i="13"/>
  <c r="D179" i="13"/>
  <c r="H179" i="13"/>
  <c r="E179" i="13"/>
  <c r="G179" i="13"/>
  <c r="A180" i="13" a="1"/>
  <c r="A180" i="13" s="1"/>
  <c r="B179" i="13"/>
  <c r="A178" i="14" l="1" a="1"/>
  <c r="A178" i="14" s="1"/>
  <c r="C177" i="14"/>
  <c r="G177" i="14"/>
  <c r="D177" i="14"/>
  <c r="H177" i="14"/>
  <c r="E177" i="14"/>
  <c r="F177" i="14"/>
  <c r="B177" i="14"/>
  <c r="C180" i="13"/>
  <c r="E180" i="13"/>
  <c r="D180" i="13"/>
  <c r="H180" i="13"/>
  <c r="F180" i="13"/>
  <c r="G180" i="13"/>
  <c r="A181" i="13" a="1"/>
  <c r="A181" i="13" s="1"/>
  <c r="B180" i="13"/>
  <c r="A179" i="14" l="1" a="1"/>
  <c r="A179" i="14" s="1"/>
  <c r="D178" i="14"/>
  <c r="H178" i="14"/>
  <c r="E178" i="14"/>
  <c r="F178" i="14"/>
  <c r="B178" i="14"/>
  <c r="G178" i="14"/>
  <c r="C178" i="14"/>
  <c r="D181" i="13"/>
  <c r="H181" i="13"/>
  <c r="E181" i="13"/>
  <c r="C181" i="13"/>
  <c r="G181" i="13"/>
  <c r="F181" i="13"/>
  <c r="A182" i="13" a="1"/>
  <c r="A182" i="13" s="1"/>
  <c r="B181" i="13"/>
  <c r="A180" i="14" l="1" a="1"/>
  <c r="A180" i="14" s="1"/>
  <c r="E179" i="14"/>
  <c r="B179" i="14"/>
  <c r="F179" i="14"/>
  <c r="G179" i="14"/>
  <c r="C179" i="14"/>
  <c r="H179" i="14"/>
  <c r="D179" i="14"/>
  <c r="C182" i="13"/>
  <c r="G182" i="13"/>
  <c r="E182" i="13"/>
  <c r="D182" i="13"/>
  <c r="F182" i="13"/>
  <c r="H182" i="13"/>
  <c r="A183" i="13" a="1"/>
  <c r="A183" i="13" s="1"/>
  <c r="B182" i="13"/>
  <c r="A181" i="14" l="1" a="1"/>
  <c r="A181" i="14" s="1"/>
  <c r="B180" i="14"/>
  <c r="F180" i="14"/>
  <c r="C180" i="14"/>
  <c r="G180" i="14"/>
  <c r="H180" i="14"/>
  <c r="D180" i="14"/>
  <c r="E180" i="14"/>
  <c r="F183" i="13"/>
  <c r="C183" i="13"/>
  <c r="E183" i="13"/>
  <c r="D183" i="13"/>
  <c r="G183" i="13"/>
  <c r="H183" i="13"/>
  <c r="A184" i="13" a="1"/>
  <c r="A184" i="13" s="1"/>
  <c r="B183" i="13"/>
  <c r="A182" i="14" l="1" a="1"/>
  <c r="A182" i="14" s="1"/>
  <c r="C181" i="14"/>
  <c r="G181" i="14"/>
  <c r="D181" i="14"/>
  <c r="H181" i="14"/>
  <c r="E181" i="14"/>
  <c r="B181" i="14"/>
  <c r="F181" i="14"/>
  <c r="C184" i="13"/>
  <c r="E184" i="13"/>
  <c r="F184" i="13"/>
  <c r="D184" i="13"/>
  <c r="G184" i="13"/>
  <c r="H184" i="13"/>
  <c r="A185" i="13" a="1"/>
  <c r="A185" i="13" s="1"/>
  <c r="B184" i="13"/>
  <c r="A183" i="14" l="1" a="1"/>
  <c r="A183" i="14" s="1"/>
  <c r="D182" i="14"/>
  <c r="H182" i="14"/>
  <c r="E182" i="14"/>
  <c r="B182" i="14"/>
  <c r="F182" i="14"/>
  <c r="C182" i="14"/>
  <c r="G182" i="14"/>
  <c r="C185" i="13"/>
  <c r="D185" i="13"/>
  <c r="H185" i="13"/>
  <c r="F185" i="13"/>
  <c r="E185" i="13"/>
  <c r="G185" i="13"/>
  <c r="A186" i="13" a="1"/>
  <c r="A186" i="13" s="1"/>
  <c r="B185" i="13"/>
  <c r="A184" i="14" l="1" a="1"/>
  <c r="A184" i="14" s="1"/>
  <c r="E183" i="14"/>
  <c r="B183" i="14"/>
  <c r="F183" i="14"/>
  <c r="C183" i="14"/>
  <c r="G183" i="14"/>
  <c r="D183" i="14"/>
  <c r="H183" i="14"/>
  <c r="C186" i="13"/>
  <c r="G186" i="13"/>
  <c r="F186" i="13"/>
  <c r="E186" i="13"/>
  <c r="H186" i="13"/>
  <c r="D186" i="13"/>
  <c r="A187" i="13" a="1"/>
  <c r="A187" i="13" s="1"/>
  <c r="B186" i="13"/>
  <c r="A185" i="14" l="1" a="1"/>
  <c r="A185" i="14" s="1"/>
  <c r="B184" i="14"/>
  <c r="F184" i="14"/>
  <c r="C184" i="14"/>
  <c r="G184" i="14"/>
  <c r="D184" i="14"/>
  <c r="H184" i="14"/>
  <c r="E184" i="14"/>
  <c r="C187" i="13"/>
  <c r="F187" i="13"/>
  <c r="G187" i="13"/>
  <c r="E187" i="13"/>
  <c r="H187" i="13"/>
  <c r="D187" i="13"/>
  <c r="A188" i="13" a="1"/>
  <c r="A188" i="13" s="1"/>
  <c r="B187" i="13"/>
  <c r="A186" i="14" l="1" a="1"/>
  <c r="A186" i="14" s="1"/>
  <c r="C185" i="14"/>
  <c r="G185" i="14"/>
  <c r="D185" i="14"/>
  <c r="H185" i="14"/>
  <c r="E185" i="14"/>
  <c r="F185" i="14"/>
  <c r="B185" i="14"/>
  <c r="C188" i="13"/>
  <c r="E188" i="13"/>
  <c r="G188" i="13"/>
  <c r="F188" i="13"/>
  <c r="H188" i="13"/>
  <c r="D188" i="13"/>
  <c r="A189" i="13" a="1"/>
  <c r="A189" i="13" s="1"/>
  <c r="B188" i="13"/>
  <c r="A187" i="14" l="1" a="1"/>
  <c r="A187" i="14" s="1"/>
  <c r="D186" i="14"/>
  <c r="H186" i="14"/>
  <c r="E186" i="14"/>
  <c r="F186" i="14"/>
  <c r="B186" i="14"/>
  <c r="G186" i="14"/>
  <c r="C186" i="14"/>
  <c r="C189" i="13"/>
  <c r="D189" i="13"/>
  <c r="H189" i="13"/>
  <c r="G189" i="13"/>
  <c r="F189" i="13"/>
  <c r="E189" i="13"/>
  <c r="A190" i="13" a="1"/>
  <c r="A190" i="13" s="1"/>
  <c r="B189" i="13"/>
  <c r="A188" i="14" l="1" a="1"/>
  <c r="A188" i="14" s="1"/>
  <c r="E187" i="14"/>
  <c r="B187" i="14"/>
  <c r="F187" i="14"/>
  <c r="G187" i="14"/>
  <c r="C187" i="14"/>
  <c r="H187" i="14"/>
  <c r="D187" i="14"/>
  <c r="C190" i="13"/>
  <c r="G190" i="13"/>
  <c r="H190" i="13"/>
  <c r="F190" i="13"/>
  <c r="D190" i="13"/>
  <c r="E190" i="13"/>
  <c r="A191" i="13" a="1"/>
  <c r="A191" i="13" s="1"/>
  <c r="B190" i="13"/>
  <c r="A189" i="14" l="1" a="1"/>
  <c r="A189" i="14" s="1"/>
  <c r="B188" i="14"/>
  <c r="F188" i="14"/>
  <c r="C188" i="14"/>
  <c r="G188" i="14"/>
  <c r="H188" i="14"/>
  <c r="D188" i="14"/>
  <c r="E188" i="14"/>
  <c r="C191" i="13"/>
  <c r="F191" i="13"/>
  <c r="H191" i="13"/>
  <c r="G191" i="13"/>
  <c r="D191" i="13"/>
  <c r="E191" i="13"/>
  <c r="A192" i="13" a="1"/>
  <c r="A192" i="13" s="1"/>
  <c r="B191" i="13"/>
  <c r="A190" i="14" l="1" a="1"/>
  <c r="A190" i="14" s="1"/>
  <c r="C189" i="14"/>
  <c r="G189" i="14"/>
  <c r="D189" i="14"/>
  <c r="H189" i="14"/>
  <c r="E189" i="14"/>
  <c r="B189" i="14"/>
  <c r="F189" i="14"/>
  <c r="E192" i="13"/>
  <c r="H192" i="13"/>
  <c r="G192" i="13"/>
  <c r="C192" i="13"/>
  <c r="D192" i="13"/>
  <c r="F192" i="13"/>
  <c r="A193" i="13" a="1"/>
  <c r="A193" i="13" s="1"/>
  <c r="B192" i="13"/>
  <c r="A191" i="14" l="1" a="1"/>
  <c r="A191" i="14" s="1"/>
  <c r="D190" i="14"/>
  <c r="H190" i="14"/>
  <c r="E190" i="14"/>
  <c r="B190" i="14"/>
  <c r="F190" i="14"/>
  <c r="C190" i="14"/>
  <c r="G190" i="14"/>
  <c r="D193" i="13"/>
  <c r="H193" i="13"/>
  <c r="G193" i="13"/>
  <c r="E193" i="13"/>
  <c r="F193" i="13"/>
  <c r="C193" i="13"/>
  <c r="A194" i="13" a="1"/>
  <c r="A194" i="13" s="1"/>
  <c r="B193" i="13"/>
  <c r="A192" i="14" l="1" a="1"/>
  <c r="A192" i="14" s="1"/>
  <c r="E191" i="14"/>
  <c r="B191" i="14"/>
  <c r="F191" i="14"/>
  <c r="C191" i="14"/>
  <c r="G191" i="14"/>
  <c r="D191" i="14"/>
  <c r="H191" i="14"/>
  <c r="C194" i="13"/>
  <c r="G194" i="13"/>
  <c r="D194" i="13"/>
  <c r="H194" i="13"/>
  <c r="F194" i="13"/>
  <c r="E194" i="13"/>
  <c r="A195" i="13" a="1"/>
  <c r="A195" i="13" s="1"/>
  <c r="B194" i="13"/>
  <c r="A193" i="14" l="1" a="1"/>
  <c r="A193" i="14" s="1"/>
  <c r="B192" i="14"/>
  <c r="F192" i="14"/>
  <c r="C192" i="14"/>
  <c r="G192" i="14"/>
  <c r="D192" i="14"/>
  <c r="H192" i="14"/>
  <c r="E192" i="14"/>
  <c r="C195" i="13"/>
  <c r="F195" i="13"/>
  <c r="D195" i="13"/>
  <c r="H195" i="13"/>
  <c r="E195" i="13"/>
  <c r="G195" i="13"/>
  <c r="A196" i="13" a="1"/>
  <c r="A196" i="13" s="1"/>
  <c r="B195" i="13"/>
  <c r="A194" i="14" l="1" a="1"/>
  <c r="A194" i="14" s="1"/>
  <c r="D193" i="14"/>
  <c r="H193" i="14"/>
  <c r="C193" i="14"/>
  <c r="F193" i="14"/>
  <c r="E193" i="14"/>
  <c r="B193" i="14"/>
  <c r="G193" i="14"/>
  <c r="C196" i="13"/>
  <c r="E196" i="13"/>
  <c r="D196" i="13"/>
  <c r="H196" i="13"/>
  <c r="F196" i="13"/>
  <c r="G196" i="13"/>
  <c r="A197" i="13" a="1"/>
  <c r="A197" i="13" s="1"/>
  <c r="B196" i="13"/>
  <c r="A195" i="14" l="1" a="1"/>
  <c r="A195" i="14" s="1"/>
  <c r="E194" i="14"/>
  <c r="B194" i="14"/>
  <c r="G194" i="14"/>
  <c r="D194" i="14"/>
  <c r="C194" i="14"/>
  <c r="H194" i="14"/>
  <c r="F194" i="14"/>
  <c r="C197" i="13"/>
  <c r="D197" i="13"/>
  <c r="H197" i="13"/>
  <c r="E197" i="13"/>
  <c r="F197" i="13"/>
  <c r="G197" i="13"/>
  <c r="A198" i="13" a="1"/>
  <c r="A198" i="13" s="1"/>
  <c r="B197" i="13"/>
  <c r="A196" i="14" l="1" a="1"/>
  <c r="A196" i="14" s="1"/>
  <c r="B195" i="14"/>
  <c r="F195" i="14"/>
  <c r="E195" i="14"/>
  <c r="C195" i="14"/>
  <c r="H195" i="14"/>
  <c r="G195" i="14"/>
  <c r="D195" i="14"/>
  <c r="C198" i="13"/>
  <c r="G198" i="13"/>
  <c r="E198" i="13"/>
  <c r="D198" i="13"/>
  <c r="H198" i="13"/>
  <c r="F198" i="13"/>
  <c r="A199" i="13" a="1"/>
  <c r="A199" i="13" s="1"/>
  <c r="B198" i="13"/>
  <c r="A197" i="14" l="1" a="1"/>
  <c r="A197" i="14" s="1"/>
  <c r="C196" i="14"/>
  <c r="G196" i="14"/>
  <c r="D196" i="14"/>
  <c r="F196" i="14"/>
  <c r="E196" i="14"/>
  <c r="B196" i="14"/>
  <c r="H196" i="14"/>
  <c r="C199" i="13"/>
  <c r="F199" i="13"/>
  <c r="E199" i="13"/>
  <c r="D199" i="13"/>
  <c r="G199" i="13"/>
  <c r="H199" i="13"/>
  <c r="A200" i="13" a="1"/>
  <c r="A200" i="13" s="1"/>
  <c r="B199" i="13"/>
  <c r="A198" i="14" l="1" a="1"/>
  <c r="A198" i="14" s="1"/>
  <c r="D197" i="14"/>
  <c r="H197" i="14"/>
  <c r="B197" i="14"/>
  <c r="G197" i="14"/>
  <c r="E197" i="14"/>
  <c r="C197" i="14"/>
  <c r="F197" i="14"/>
  <c r="C200" i="13"/>
  <c r="E200" i="13"/>
  <c r="F200" i="13"/>
  <c r="D200" i="13"/>
  <c r="G200" i="13"/>
  <c r="H200" i="13"/>
  <c r="A201" i="13" a="1"/>
  <c r="A201" i="13" s="1"/>
  <c r="B200" i="13"/>
  <c r="A199" i="14" l="1" a="1"/>
  <c r="A199" i="14" s="1"/>
  <c r="E198" i="14"/>
  <c r="F198" i="14"/>
  <c r="C198" i="14"/>
  <c r="H198" i="14"/>
  <c r="B198" i="14"/>
  <c r="G198" i="14"/>
  <c r="D198" i="14"/>
  <c r="C201" i="13"/>
  <c r="D201" i="13"/>
  <c r="H201" i="13"/>
  <c r="F201" i="13"/>
  <c r="E201" i="13"/>
  <c r="G201" i="13"/>
  <c r="A202" i="13" a="1"/>
  <c r="A202" i="13" s="1"/>
  <c r="B201" i="13"/>
  <c r="A200" i="14" l="1" a="1"/>
  <c r="A200" i="14" s="1"/>
  <c r="B199" i="14"/>
  <c r="F199" i="14"/>
  <c r="D199" i="14"/>
  <c r="G199" i="14"/>
  <c r="E199" i="14"/>
  <c r="C199" i="14"/>
  <c r="H199" i="14"/>
  <c r="C202" i="13"/>
  <c r="G202" i="13"/>
  <c r="F202" i="13"/>
  <c r="E202" i="13"/>
  <c r="D202" i="13"/>
  <c r="H202" i="13"/>
  <c r="A203" i="13" a="1"/>
  <c r="A203" i="13" s="1"/>
  <c r="B202" i="13"/>
  <c r="A201" i="14" l="1" a="1"/>
  <c r="A201" i="14" s="1"/>
  <c r="C200" i="14"/>
  <c r="G200" i="14"/>
  <c r="B200" i="14"/>
  <c r="H200" i="14"/>
  <c r="E200" i="14"/>
  <c r="D200" i="14"/>
  <c r="F200" i="14"/>
  <c r="F203" i="13"/>
  <c r="G203" i="13"/>
  <c r="C203" i="13"/>
  <c r="E203" i="13"/>
  <c r="H203" i="13"/>
  <c r="D203" i="13"/>
  <c r="A204" i="13" a="1"/>
  <c r="A204" i="13" s="1"/>
  <c r="B203" i="13"/>
  <c r="A202" i="14" l="1" a="1"/>
  <c r="A202" i="14" s="1"/>
  <c r="D201" i="14"/>
  <c r="H201" i="14"/>
  <c r="F201" i="14"/>
  <c r="C201" i="14"/>
  <c r="B201" i="14"/>
  <c r="G201" i="14"/>
  <c r="E201" i="14"/>
  <c r="E204" i="13"/>
  <c r="C204" i="13"/>
  <c r="G204" i="13"/>
  <c r="F204" i="13"/>
  <c r="H204" i="13"/>
  <c r="D204" i="13"/>
  <c r="A205" i="13" a="1"/>
  <c r="A205" i="13" s="1"/>
  <c r="B204" i="13"/>
  <c r="A203" i="14" l="1" a="1"/>
  <c r="A203" i="14" s="1"/>
  <c r="E202" i="14"/>
  <c r="D202" i="14"/>
  <c r="B202" i="14"/>
  <c r="G202" i="14"/>
  <c r="F202" i="14"/>
  <c r="C202" i="14"/>
  <c r="H202" i="14"/>
  <c r="C205" i="13"/>
  <c r="D205" i="13"/>
  <c r="H205" i="13"/>
  <c r="G205" i="13"/>
  <c r="F205" i="13"/>
  <c r="E205" i="13"/>
  <c r="A206" i="13" a="1"/>
  <c r="A206" i="13" s="1"/>
  <c r="B205" i="13"/>
  <c r="A204" i="14" l="1" a="1"/>
  <c r="A204" i="14" s="1"/>
  <c r="B203" i="14"/>
  <c r="F203" i="14"/>
  <c r="C203" i="14"/>
  <c r="H203" i="14"/>
  <c r="E203" i="14"/>
  <c r="D203" i="14"/>
  <c r="G203" i="14"/>
  <c r="C206" i="13"/>
  <c r="G206" i="13"/>
  <c r="H206" i="13"/>
  <c r="F206" i="13"/>
  <c r="D206" i="13"/>
  <c r="E206" i="13"/>
  <c r="A207" i="13" a="1"/>
  <c r="A207" i="13" s="1"/>
  <c r="B206" i="13"/>
  <c r="A205" i="14" l="1" a="1"/>
  <c r="A205" i="14" s="1"/>
  <c r="C204" i="14"/>
  <c r="G204" i="14"/>
  <c r="F204" i="14"/>
  <c r="D204" i="14"/>
  <c r="B204" i="14"/>
  <c r="H204" i="14"/>
  <c r="E204" i="14"/>
  <c r="C207" i="13"/>
  <c r="F207" i="13"/>
  <c r="H207" i="13"/>
  <c r="G207" i="13"/>
  <c r="D207" i="13"/>
  <c r="E207" i="13"/>
  <c r="A208" i="13" a="1"/>
  <c r="A208" i="13" s="1"/>
  <c r="B207" i="13"/>
  <c r="A206" i="14" l="1" a="1"/>
  <c r="A206" i="14" s="1"/>
  <c r="D205" i="14"/>
  <c r="H205" i="14"/>
  <c r="E205" i="14"/>
  <c r="B205" i="14"/>
  <c r="G205" i="14"/>
  <c r="F205" i="14"/>
  <c r="C205" i="14"/>
  <c r="C208" i="13"/>
  <c r="E208" i="13"/>
  <c r="H208" i="13"/>
  <c r="G208" i="13"/>
  <c r="D208" i="13"/>
  <c r="F208" i="13"/>
  <c r="A209" i="13" a="1"/>
  <c r="A209" i="13" s="1"/>
  <c r="B208" i="13"/>
  <c r="A207" i="14" l="1" a="1"/>
  <c r="A207" i="14" s="1"/>
  <c r="E206" i="14"/>
  <c r="C206" i="14"/>
  <c r="H206" i="14"/>
  <c r="F206" i="14"/>
  <c r="D206" i="14"/>
  <c r="B206" i="14"/>
  <c r="G206" i="14"/>
  <c r="C209" i="13"/>
  <c r="D209" i="13"/>
  <c r="H209" i="13"/>
  <c r="G209" i="13"/>
  <c r="E209" i="13"/>
  <c r="F209" i="13"/>
  <c r="A210" i="13" a="1"/>
  <c r="A210" i="13" s="1"/>
  <c r="B209" i="13"/>
  <c r="A208" i="14" l="1" a="1"/>
  <c r="A208" i="14" s="1"/>
  <c r="B207" i="14"/>
  <c r="F207" i="14"/>
  <c r="G207" i="14"/>
  <c r="D207" i="14"/>
  <c r="C207" i="14"/>
  <c r="H207" i="14"/>
  <c r="E207" i="14"/>
  <c r="C210" i="13"/>
  <c r="G210" i="13"/>
  <c r="D210" i="13"/>
  <c r="H210" i="13"/>
  <c r="E210" i="13"/>
  <c r="F210" i="13"/>
  <c r="A211" i="13" a="1"/>
  <c r="A211" i="13" s="1"/>
  <c r="B210" i="13"/>
  <c r="A209" i="14" l="1" a="1"/>
  <c r="A209" i="14" s="1"/>
  <c r="C208" i="14"/>
  <c r="G208" i="14"/>
  <c r="E208" i="14"/>
  <c r="B208" i="14"/>
  <c r="H208" i="14"/>
  <c r="F208" i="14"/>
  <c r="D208" i="14"/>
  <c r="C211" i="13"/>
  <c r="F211" i="13"/>
  <c r="D211" i="13"/>
  <c r="H211" i="13"/>
  <c r="G211" i="13"/>
  <c r="E211" i="13"/>
  <c r="A212" i="13" a="1"/>
  <c r="A212" i="13" s="1"/>
  <c r="B211" i="13"/>
  <c r="A210" i="14" l="1" a="1"/>
  <c r="A210" i="14" s="1"/>
  <c r="D209" i="14"/>
  <c r="H209" i="14"/>
  <c r="C209" i="14"/>
  <c r="F209" i="14"/>
  <c r="E209" i="14"/>
  <c r="B209" i="14"/>
  <c r="G209" i="14"/>
  <c r="C212" i="13"/>
  <c r="E212" i="13"/>
  <c r="D212" i="13"/>
  <c r="H212" i="13"/>
  <c r="F212" i="13"/>
  <c r="G212" i="13"/>
  <c r="A213" i="13" a="1"/>
  <c r="A213" i="13" s="1"/>
  <c r="B212" i="13"/>
  <c r="A211" i="14" l="1" a="1"/>
  <c r="A211" i="14" s="1"/>
  <c r="E210" i="14"/>
  <c r="B210" i="14"/>
  <c r="G210" i="14"/>
  <c r="D210" i="14"/>
  <c r="C210" i="14"/>
  <c r="H210" i="14"/>
  <c r="F210" i="14"/>
  <c r="D213" i="13"/>
  <c r="H213" i="13"/>
  <c r="E213" i="13"/>
  <c r="C213" i="13"/>
  <c r="F213" i="13"/>
  <c r="G213" i="13"/>
  <c r="A214" i="13" a="1"/>
  <c r="A214" i="13" s="1"/>
  <c r="B213" i="13"/>
  <c r="A212" i="14" l="1" a="1"/>
  <c r="A212" i="14" s="1"/>
  <c r="B211" i="14"/>
  <c r="F211" i="14"/>
  <c r="E211" i="14"/>
  <c r="C211" i="14"/>
  <c r="H211" i="14"/>
  <c r="G211" i="14"/>
  <c r="D211" i="14"/>
  <c r="C214" i="13"/>
  <c r="G214" i="13"/>
  <c r="E214" i="13"/>
  <c r="D214" i="13"/>
  <c r="F214" i="13"/>
  <c r="H214" i="13"/>
  <c r="A215" i="13" a="1"/>
  <c r="A215" i="13" s="1"/>
  <c r="B214" i="13"/>
  <c r="A213" i="14" l="1" a="1"/>
  <c r="A213" i="14" s="1"/>
  <c r="C212" i="14"/>
  <c r="G212" i="14"/>
  <c r="D212" i="14"/>
  <c r="F212" i="14"/>
  <c r="E212" i="14"/>
  <c r="B212" i="14"/>
  <c r="H212" i="14"/>
  <c r="F215" i="13"/>
  <c r="E215" i="13"/>
  <c r="D215" i="13"/>
  <c r="C215" i="13"/>
  <c r="H215" i="13"/>
  <c r="G215" i="13"/>
  <c r="A216" i="13" a="1"/>
  <c r="A216" i="13" s="1"/>
  <c r="B215" i="13"/>
  <c r="A214" i="14" l="1" a="1"/>
  <c r="A214" i="14" s="1"/>
  <c r="D213" i="14"/>
  <c r="H213" i="14"/>
  <c r="B213" i="14"/>
  <c r="G213" i="14"/>
  <c r="E213" i="14"/>
  <c r="C213" i="14"/>
  <c r="F213" i="14"/>
  <c r="C216" i="13"/>
  <c r="E216" i="13"/>
  <c r="F216" i="13"/>
  <c r="D216" i="13"/>
  <c r="G216" i="13"/>
  <c r="H216" i="13"/>
  <c r="A217" i="13" a="1"/>
  <c r="A217" i="13" s="1"/>
  <c r="B216" i="13"/>
  <c r="A215" i="14" l="1" a="1"/>
  <c r="A215" i="14" s="1"/>
  <c r="E214" i="14"/>
  <c r="F214" i="14"/>
  <c r="C214" i="14"/>
  <c r="H214" i="14"/>
  <c r="B214" i="14"/>
  <c r="G214" i="14"/>
  <c r="D214" i="14"/>
  <c r="C217" i="13"/>
  <c r="D217" i="13"/>
  <c r="H217" i="13"/>
  <c r="F217" i="13"/>
  <c r="E217" i="13"/>
  <c r="G217" i="13"/>
  <c r="A218" i="13" a="1"/>
  <c r="A218" i="13" s="1"/>
  <c r="B217" i="13"/>
  <c r="A216" i="14" l="1" a="1"/>
  <c r="A216" i="14" s="1"/>
  <c r="B215" i="14"/>
  <c r="F215" i="14"/>
  <c r="D215" i="14"/>
  <c r="G215" i="14"/>
  <c r="E215" i="14"/>
  <c r="C215" i="14"/>
  <c r="H215" i="14"/>
  <c r="C218" i="13"/>
  <c r="G218" i="13"/>
  <c r="F218" i="13"/>
  <c r="E218" i="13"/>
  <c r="H218" i="13"/>
  <c r="D218" i="13"/>
  <c r="A219" i="13" a="1"/>
  <c r="A219" i="13" s="1"/>
  <c r="B218" i="13"/>
  <c r="A217" i="14" l="1" a="1"/>
  <c r="A217" i="14" s="1"/>
  <c r="C216" i="14"/>
  <c r="G216" i="14"/>
  <c r="B216" i="14"/>
  <c r="H216" i="14"/>
  <c r="E216" i="14"/>
  <c r="D216" i="14"/>
  <c r="F216" i="14"/>
  <c r="C219" i="13"/>
  <c r="F219" i="13"/>
  <c r="G219" i="13"/>
  <c r="E219" i="13"/>
  <c r="D219" i="13"/>
  <c r="H219" i="13"/>
  <c r="A220" i="13" a="1"/>
  <c r="A220" i="13" s="1"/>
  <c r="B219" i="13"/>
  <c r="A218" i="14" l="1" a="1"/>
  <c r="A218" i="14" s="1"/>
  <c r="D217" i="14"/>
  <c r="H217" i="14"/>
  <c r="F217" i="14"/>
  <c r="C217" i="14"/>
  <c r="B217" i="14"/>
  <c r="G217" i="14"/>
  <c r="E217" i="14"/>
  <c r="C220" i="13"/>
  <c r="E220" i="13"/>
  <c r="G220" i="13"/>
  <c r="F220" i="13"/>
  <c r="H220" i="13"/>
  <c r="D220" i="13"/>
  <c r="A221" i="13" a="1"/>
  <c r="A221" i="13" s="1"/>
  <c r="B220" i="13"/>
  <c r="A219" i="14" l="1" a="1"/>
  <c r="A219" i="14" s="1"/>
  <c r="E218" i="14"/>
  <c r="D218" i="14"/>
  <c r="B218" i="14"/>
  <c r="G218" i="14"/>
  <c r="F218" i="14"/>
  <c r="C218" i="14"/>
  <c r="H218" i="14"/>
  <c r="C221" i="13"/>
  <c r="D221" i="13"/>
  <c r="H221" i="13"/>
  <c r="G221" i="13"/>
  <c r="F221" i="13"/>
  <c r="E221" i="13"/>
  <c r="A222" i="13" a="1"/>
  <c r="A222" i="13" s="1"/>
  <c r="B221" i="13"/>
  <c r="A220" i="14" l="1" a="1"/>
  <c r="A220" i="14" s="1"/>
  <c r="B219" i="14"/>
  <c r="F219" i="14"/>
  <c r="C219" i="14"/>
  <c r="H219" i="14"/>
  <c r="E219" i="14"/>
  <c r="D219" i="14"/>
  <c r="G219" i="14"/>
  <c r="C222" i="13"/>
  <c r="G222" i="13"/>
  <c r="H222" i="13"/>
  <c r="F222" i="13"/>
  <c r="D222" i="13"/>
  <c r="E222" i="13"/>
  <c r="A223" i="13" a="1"/>
  <c r="A223" i="13" s="1"/>
  <c r="B222" i="13"/>
  <c r="A221" i="14" l="1" a="1"/>
  <c r="A221" i="14" s="1"/>
  <c r="C220" i="14"/>
  <c r="G220" i="14"/>
  <c r="F220" i="14"/>
  <c r="D220" i="14"/>
  <c r="B220" i="14"/>
  <c r="H220" i="14"/>
  <c r="E220" i="14"/>
  <c r="C223" i="13"/>
  <c r="F223" i="13"/>
  <c r="G223" i="13"/>
  <c r="D223" i="13"/>
  <c r="E223" i="13"/>
  <c r="H223" i="13"/>
  <c r="A224" i="13" a="1"/>
  <c r="A224" i="13" s="1"/>
  <c r="B223" i="13"/>
  <c r="A222" i="14" l="1" a="1"/>
  <c r="A222" i="14" s="1"/>
  <c r="D221" i="14"/>
  <c r="H221" i="14"/>
  <c r="E221" i="14"/>
  <c r="B221" i="14"/>
  <c r="G221" i="14"/>
  <c r="F221" i="14"/>
  <c r="C221" i="14"/>
  <c r="E224" i="13"/>
  <c r="C224" i="13"/>
  <c r="G224" i="13"/>
  <c r="H224" i="13"/>
  <c r="D224" i="13"/>
  <c r="F224" i="13"/>
  <c r="A225" i="13" a="1"/>
  <c r="A225" i="13" s="1"/>
  <c r="B224" i="13"/>
  <c r="A223" i="14" l="1" a="1"/>
  <c r="A223" i="14" s="1"/>
  <c r="E222" i="14"/>
  <c r="C222" i="14"/>
  <c r="H222" i="14"/>
  <c r="F222" i="14"/>
  <c r="D222" i="14"/>
  <c r="B222" i="14"/>
  <c r="G222" i="14"/>
  <c r="D225" i="13"/>
  <c r="H225" i="13"/>
  <c r="C225" i="13"/>
  <c r="G225" i="13"/>
  <c r="F225" i="13"/>
  <c r="E225" i="13"/>
  <c r="A226" i="13" a="1"/>
  <c r="A226" i="13" s="1"/>
  <c r="B225" i="13"/>
  <c r="A224" i="14" l="1" a="1"/>
  <c r="A224" i="14" s="1"/>
  <c r="B223" i="14"/>
  <c r="F223" i="14"/>
  <c r="G223" i="14"/>
  <c r="D223" i="14"/>
  <c r="C223" i="14"/>
  <c r="H223" i="14"/>
  <c r="E223" i="14"/>
  <c r="C226" i="13"/>
  <c r="G226" i="13"/>
  <c r="H226" i="13"/>
  <c r="E226" i="13"/>
  <c r="F226" i="13"/>
  <c r="D226" i="13"/>
  <c r="A227" i="13" a="1"/>
  <c r="A227" i="13" s="1"/>
  <c r="B226" i="13"/>
  <c r="A225" i="14" l="1" a="1"/>
  <c r="A225" i="14" s="1"/>
  <c r="C224" i="14"/>
  <c r="G224" i="14"/>
  <c r="E224" i="14"/>
  <c r="B224" i="14"/>
  <c r="H224" i="14"/>
  <c r="F224" i="14"/>
  <c r="D224" i="14"/>
  <c r="C227" i="13"/>
  <c r="F227" i="13"/>
  <c r="H227" i="13"/>
  <c r="G227" i="13"/>
  <c r="D227" i="13"/>
  <c r="E227" i="13"/>
  <c r="A228" i="13" a="1"/>
  <c r="A228" i="13" s="1"/>
  <c r="B227" i="13"/>
  <c r="A226" i="14" l="1" a="1"/>
  <c r="A226" i="14" s="1"/>
  <c r="D225" i="14"/>
  <c r="H225" i="14"/>
  <c r="C225" i="14"/>
  <c r="F225" i="14"/>
  <c r="E225" i="14"/>
  <c r="B225" i="14"/>
  <c r="G225" i="14"/>
  <c r="C228" i="13"/>
  <c r="E228" i="13"/>
  <c r="H228" i="13"/>
  <c r="F228" i="13"/>
  <c r="D228" i="13"/>
  <c r="G228" i="13"/>
  <c r="A229" i="13" a="1"/>
  <c r="A229" i="13" s="1"/>
  <c r="B228" i="13"/>
  <c r="A227" i="14" l="1" a="1"/>
  <c r="A227" i="14" s="1"/>
  <c r="E226" i="14"/>
  <c r="B226" i="14"/>
  <c r="G226" i="14"/>
  <c r="D226" i="14"/>
  <c r="C226" i="14"/>
  <c r="H226" i="14"/>
  <c r="F226" i="14"/>
  <c r="C229" i="13"/>
  <c r="D229" i="13"/>
  <c r="H229" i="13"/>
  <c r="E229" i="13"/>
  <c r="F229" i="13"/>
  <c r="G229" i="13"/>
  <c r="A230" i="13" a="1"/>
  <c r="A230" i="13" s="1"/>
  <c r="B229" i="13"/>
  <c r="A228" i="14" l="1" a="1"/>
  <c r="A228" i="14" s="1"/>
  <c r="B227" i="14"/>
  <c r="F227" i="14"/>
  <c r="E227" i="14"/>
  <c r="C227" i="14"/>
  <c r="H227" i="14"/>
  <c r="G227" i="14"/>
  <c r="D227" i="14"/>
  <c r="C230" i="13"/>
  <c r="G230" i="13"/>
  <c r="D230" i="13"/>
  <c r="F230" i="13"/>
  <c r="H230" i="13"/>
  <c r="E230" i="13"/>
  <c r="A231" i="13" a="1"/>
  <c r="A231" i="13" s="1"/>
  <c r="B230" i="13"/>
  <c r="A229" i="14" l="1" a="1"/>
  <c r="A229" i="14" s="1"/>
  <c r="C228" i="14"/>
  <c r="G228" i="14"/>
  <c r="D228" i="14"/>
  <c r="F228" i="14"/>
  <c r="E228" i="14"/>
  <c r="B228" i="14"/>
  <c r="H228" i="14"/>
  <c r="C231" i="13"/>
  <c r="F231" i="13"/>
  <c r="D231" i="13"/>
  <c r="H231" i="13"/>
  <c r="E231" i="13"/>
  <c r="G231" i="13"/>
  <c r="A232" i="13" a="1"/>
  <c r="A232" i="13" s="1"/>
  <c r="B231" i="13"/>
  <c r="A230" i="14" l="1" a="1"/>
  <c r="A230" i="14" s="1"/>
  <c r="D229" i="14"/>
  <c r="H229" i="14"/>
  <c r="B229" i="14"/>
  <c r="G229" i="14"/>
  <c r="E229" i="14"/>
  <c r="C229" i="14"/>
  <c r="F229" i="14"/>
  <c r="C232" i="13"/>
  <c r="E232" i="13"/>
  <c r="D232" i="13"/>
  <c r="F232" i="13"/>
  <c r="G232" i="13"/>
  <c r="H232" i="13"/>
  <c r="A233" i="13" a="1"/>
  <c r="A233" i="13" s="1"/>
  <c r="B232" i="13"/>
  <c r="A231" i="14" l="1" a="1"/>
  <c r="A231" i="14" s="1"/>
  <c r="E230" i="14"/>
  <c r="F230" i="14"/>
  <c r="C230" i="14"/>
  <c r="H230" i="14"/>
  <c r="B230" i="14"/>
  <c r="G230" i="14"/>
  <c r="D230" i="14"/>
  <c r="C233" i="13"/>
  <c r="D233" i="13"/>
  <c r="H233" i="13"/>
  <c r="E233" i="13"/>
  <c r="G233" i="13"/>
  <c r="F233" i="13"/>
  <c r="A234" i="13" a="1"/>
  <c r="A234" i="13" s="1"/>
  <c r="B233" i="13"/>
  <c r="A232" i="14" l="1" a="1"/>
  <c r="A232" i="14" s="1"/>
  <c r="B231" i="14"/>
  <c r="F231" i="14"/>
  <c r="D231" i="14"/>
  <c r="G231" i="14"/>
  <c r="E231" i="14"/>
  <c r="C231" i="14"/>
  <c r="H231" i="14"/>
  <c r="C234" i="13"/>
  <c r="G234" i="13"/>
  <c r="E234" i="13"/>
  <c r="F234" i="13"/>
  <c r="H234" i="13"/>
  <c r="D234" i="13"/>
  <c r="A235" i="13" a="1"/>
  <c r="A235" i="13" s="1"/>
  <c r="B234" i="13"/>
  <c r="A233" i="14" l="1" a="1"/>
  <c r="A233" i="14" s="1"/>
  <c r="C232" i="14"/>
  <c r="G232" i="14"/>
  <c r="B232" i="14"/>
  <c r="H232" i="14"/>
  <c r="E232" i="14"/>
  <c r="D232" i="14"/>
  <c r="F232" i="14"/>
  <c r="F235" i="13"/>
  <c r="C235" i="13"/>
  <c r="E235" i="13"/>
  <c r="H235" i="13"/>
  <c r="G235" i="13"/>
  <c r="D235" i="13"/>
  <c r="A236" i="13" a="1"/>
  <c r="A236" i="13" s="1"/>
  <c r="B235" i="13"/>
  <c r="A234" i="14" l="1" a="1"/>
  <c r="A234" i="14" s="1"/>
  <c r="D233" i="14"/>
  <c r="H233" i="14"/>
  <c r="F233" i="14"/>
  <c r="C233" i="14"/>
  <c r="B233" i="14"/>
  <c r="G233" i="14"/>
  <c r="E233" i="14"/>
  <c r="E236" i="13"/>
  <c r="C236" i="13"/>
  <c r="F236" i="13"/>
  <c r="G236" i="13"/>
  <c r="H236" i="13"/>
  <c r="D236" i="13"/>
  <c r="A237" i="13" a="1"/>
  <c r="A237" i="13" s="1"/>
  <c r="B236" i="13"/>
  <c r="A235" i="14" l="1" a="1"/>
  <c r="A235" i="14" s="1"/>
  <c r="E234" i="14"/>
  <c r="D234" i="14"/>
  <c r="B234" i="14"/>
  <c r="G234" i="14"/>
  <c r="F234" i="14"/>
  <c r="C234" i="14"/>
  <c r="H234" i="14"/>
  <c r="C237" i="13"/>
  <c r="D237" i="13"/>
  <c r="H237" i="13"/>
  <c r="F237" i="13"/>
  <c r="G237" i="13"/>
  <c r="E237" i="13"/>
  <c r="A238" i="13" a="1"/>
  <c r="A238" i="13" s="1"/>
  <c r="B237" i="13"/>
  <c r="A236" i="14" l="1" a="1"/>
  <c r="A236" i="14" s="1"/>
  <c r="B235" i="14"/>
  <c r="F235" i="14"/>
  <c r="C235" i="14"/>
  <c r="H235" i="14"/>
  <c r="E235" i="14"/>
  <c r="D235" i="14"/>
  <c r="G235" i="14"/>
  <c r="C238" i="13"/>
  <c r="G238" i="13"/>
  <c r="F238" i="13"/>
  <c r="D238" i="13"/>
  <c r="H238" i="13"/>
  <c r="E238" i="13"/>
  <c r="A239" i="13" a="1"/>
  <c r="A239" i="13" s="1"/>
  <c r="B238" i="13"/>
  <c r="A237" i="14" l="1" a="1"/>
  <c r="A237" i="14" s="1"/>
  <c r="C236" i="14"/>
  <c r="G236" i="14"/>
  <c r="F236" i="14"/>
  <c r="D236" i="14"/>
  <c r="B236" i="14"/>
  <c r="H236" i="14"/>
  <c r="E236" i="14"/>
  <c r="C239" i="13"/>
  <c r="F239" i="13"/>
  <c r="G239" i="13"/>
  <c r="H239" i="13"/>
  <c r="D239" i="13"/>
  <c r="E239" i="13"/>
  <c r="A240" i="13" a="1"/>
  <c r="A240" i="13" s="1"/>
  <c r="B239" i="13"/>
  <c r="A238" i="14" l="1" a="1"/>
  <c r="A238" i="14" s="1"/>
  <c r="D237" i="14"/>
  <c r="H237" i="14"/>
  <c r="E237" i="14"/>
  <c r="B237" i="14"/>
  <c r="G237" i="14"/>
  <c r="F237" i="14"/>
  <c r="C237" i="14"/>
  <c r="C240" i="13"/>
  <c r="E240" i="13"/>
  <c r="G240" i="13"/>
  <c r="D240" i="13"/>
  <c r="H240" i="13"/>
  <c r="F240" i="13"/>
  <c r="A241" i="13" a="1"/>
  <c r="A241" i="13" s="1"/>
  <c r="B240" i="13"/>
  <c r="A239" i="14" l="1" a="1"/>
  <c r="A239" i="14" s="1"/>
  <c r="E238" i="14"/>
  <c r="C238" i="14"/>
  <c r="H238" i="14"/>
  <c r="F238" i="14"/>
  <c r="D238" i="14"/>
  <c r="G238" i="14"/>
  <c r="B238" i="14"/>
  <c r="C241" i="13"/>
  <c r="D241" i="13"/>
  <c r="H241" i="13"/>
  <c r="G241" i="13"/>
  <c r="E241" i="13"/>
  <c r="F241" i="13"/>
  <c r="A242" i="13" a="1"/>
  <c r="A242" i="13" s="1"/>
  <c r="B241" i="13"/>
  <c r="A240" i="14" l="1" a="1"/>
  <c r="A240" i="14" s="1"/>
  <c r="B239" i="14"/>
  <c r="F239" i="14"/>
  <c r="G239" i="14"/>
  <c r="D239" i="14"/>
  <c r="C239" i="14"/>
  <c r="H239" i="14"/>
  <c r="E239" i="14"/>
  <c r="C242" i="13"/>
  <c r="G242" i="13"/>
  <c r="H242" i="13"/>
  <c r="E242" i="13"/>
  <c r="D242" i="13"/>
  <c r="F242" i="13"/>
  <c r="A243" i="13" a="1"/>
  <c r="A243" i="13" s="1"/>
  <c r="B242" i="13"/>
  <c r="A241" i="14" l="1" a="1"/>
  <c r="A241" i="14" s="1"/>
  <c r="C240" i="14"/>
  <c r="E240" i="14"/>
  <c r="B240" i="14"/>
  <c r="G240" i="14"/>
  <c r="F240" i="14"/>
  <c r="D240" i="14"/>
  <c r="H240" i="14"/>
  <c r="C243" i="13"/>
  <c r="F243" i="13"/>
  <c r="H243" i="13"/>
  <c r="D243" i="13"/>
  <c r="E243" i="13"/>
  <c r="G243" i="13"/>
  <c r="A244" i="13" a="1"/>
  <c r="A244" i="13" s="1"/>
  <c r="B243" i="13"/>
  <c r="A242" i="14" l="1" a="1"/>
  <c r="A242" i="14" s="1"/>
  <c r="B241" i="14"/>
  <c r="F241" i="14"/>
  <c r="D241" i="14"/>
  <c r="H241" i="14"/>
  <c r="C241" i="14"/>
  <c r="G241" i="14"/>
  <c r="E241" i="14"/>
  <c r="C244" i="13"/>
  <c r="E244" i="13"/>
  <c r="H244" i="13"/>
  <c r="F244" i="13"/>
  <c r="D244" i="13"/>
  <c r="G244" i="13"/>
  <c r="A245" i="13" a="1"/>
  <c r="A245" i="13" s="1"/>
  <c r="B244" i="13"/>
  <c r="A243" i="14" l="1" a="1"/>
  <c r="A243" i="14" s="1"/>
  <c r="C242" i="14"/>
  <c r="G242" i="14"/>
  <c r="E242" i="14"/>
  <c r="D242" i="14"/>
  <c r="H242" i="14"/>
  <c r="B242" i="14"/>
  <c r="F242" i="14"/>
  <c r="C245" i="13"/>
  <c r="D245" i="13"/>
  <c r="H245" i="13"/>
  <c r="E245" i="13"/>
  <c r="F245" i="13"/>
  <c r="G245" i="13"/>
  <c r="A246" i="13" a="1"/>
  <c r="A246" i="13" s="1"/>
  <c r="B245" i="13"/>
  <c r="A244" i="14" l="1" a="1"/>
  <c r="A244" i="14" s="1"/>
  <c r="D243" i="14"/>
  <c r="H243" i="14"/>
  <c r="B243" i="14"/>
  <c r="F243" i="14"/>
  <c r="E243" i="14"/>
  <c r="G243" i="14"/>
  <c r="C243" i="14"/>
  <c r="C246" i="13"/>
  <c r="G246" i="13"/>
  <c r="D246" i="13"/>
  <c r="F246" i="13"/>
  <c r="E246" i="13"/>
  <c r="H246" i="13"/>
  <c r="A247" i="13" a="1"/>
  <c r="A247" i="13" s="1"/>
  <c r="B246" i="13"/>
  <c r="A245" i="14" l="1" a="1"/>
  <c r="A245" i="14" s="1"/>
  <c r="E244" i="14"/>
  <c r="C244" i="14"/>
  <c r="G244" i="14"/>
  <c r="B244" i="14"/>
  <c r="F244" i="14"/>
  <c r="D244" i="14"/>
  <c r="H244" i="14"/>
  <c r="C247" i="13"/>
  <c r="F247" i="13"/>
  <c r="D247" i="13"/>
  <c r="E247" i="13"/>
  <c r="G247" i="13"/>
  <c r="H247" i="13"/>
  <c r="A248" i="13" a="1"/>
  <c r="A248" i="13" s="1"/>
  <c r="B247" i="13"/>
  <c r="A246" i="14" l="1" a="1"/>
  <c r="A246" i="14" s="1"/>
  <c r="B245" i="14"/>
  <c r="F245" i="14"/>
  <c r="D245" i="14"/>
  <c r="H245" i="14"/>
  <c r="C245" i="14"/>
  <c r="G245" i="14"/>
  <c r="E245" i="14"/>
  <c r="C248" i="13"/>
  <c r="E248" i="13"/>
  <c r="D248" i="13"/>
  <c r="G248" i="13"/>
  <c r="F248" i="13"/>
  <c r="H248" i="13"/>
  <c r="A249" i="13" a="1"/>
  <c r="A249" i="13" s="1"/>
  <c r="B248" i="13"/>
  <c r="A247" i="14" l="1" a="1"/>
  <c r="A247" i="14" s="1"/>
  <c r="C246" i="14"/>
  <c r="G246" i="14"/>
  <c r="E246" i="14"/>
  <c r="D246" i="14"/>
  <c r="H246" i="14"/>
  <c r="B246" i="14"/>
  <c r="F246" i="14"/>
  <c r="C249" i="13"/>
  <c r="D249" i="13"/>
  <c r="H249" i="13"/>
  <c r="E249" i="13"/>
  <c r="F249" i="13"/>
  <c r="G249" i="13"/>
  <c r="A250" i="13" a="1"/>
  <c r="A250" i="13" s="1"/>
  <c r="B249" i="13"/>
  <c r="A248" i="14" l="1" a="1"/>
  <c r="A248" i="14" s="1"/>
  <c r="D247" i="14"/>
  <c r="H247" i="14"/>
  <c r="B247" i="14"/>
  <c r="F247" i="14"/>
  <c r="E247" i="14"/>
  <c r="C247" i="14"/>
  <c r="G247" i="14"/>
  <c r="C250" i="13"/>
  <c r="G250" i="13"/>
  <c r="E250" i="13"/>
  <c r="H250" i="13"/>
  <c r="F250" i="13"/>
  <c r="D250" i="13"/>
  <c r="A251" i="13" a="1"/>
  <c r="A251" i="13" s="1"/>
  <c r="B250" i="13"/>
  <c r="A249" i="14" l="1" a="1"/>
  <c r="A249" i="14" s="1"/>
  <c r="E248" i="14"/>
  <c r="C248" i="14"/>
  <c r="G248" i="14"/>
  <c r="B248" i="14"/>
  <c r="F248" i="14"/>
  <c r="D248" i="14"/>
  <c r="H248" i="14"/>
  <c r="C251" i="13"/>
  <c r="F251" i="13"/>
  <c r="E251" i="13"/>
  <c r="G251" i="13"/>
  <c r="H251" i="13"/>
  <c r="D251" i="13"/>
  <c r="A252" i="13" a="1"/>
  <c r="A252" i="13" s="1"/>
  <c r="B251" i="13"/>
  <c r="A250" i="14" l="1" a="1"/>
  <c r="A250" i="14" s="1"/>
  <c r="B249" i="14"/>
  <c r="F249" i="14"/>
  <c r="D249" i="14"/>
  <c r="H249" i="14"/>
  <c r="C249" i="14"/>
  <c r="G249" i="14"/>
  <c r="E249" i="14"/>
  <c r="C252" i="13"/>
  <c r="E252" i="13"/>
  <c r="F252" i="13"/>
  <c r="H252" i="13"/>
  <c r="G252" i="13"/>
  <c r="D252" i="13"/>
  <c r="A253" i="13" a="1"/>
  <c r="A253" i="13" s="1"/>
  <c r="B252" i="13"/>
  <c r="A251" i="14" l="1" a="1"/>
  <c r="A251" i="14" s="1"/>
  <c r="C250" i="14"/>
  <c r="G250" i="14"/>
  <c r="E250" i="14"/>
  <c r="D250" i="14"/>
  <c r="H250" i="14"/>
  <c r="F250" i="14"/>
  <c r="B250" i="14"/>
  <c r="C253" i="13"/>
  <c r="D253" i="13"/>
  <c r="H253" i="13"/>
  <c r="F253" i="13"/>
  <c r="G253" i="13"/>
  <c r="E253" i="13"/>
  <c r="A254" i="13" a="1"/>
  <c r="A254" i="13" s="1"/>
  <c r="B253" i="13"/>
  <c r="A252" i="14" l="1" a="1"/>
  <c r="A252" i="14" s="1"/>
  <c r="D251" i="14"/>
  <c r="H251" i="14"/>
  <c r="B251" i="14"/>
  <c r="E251" i="14"/>
  <c r="C251" i="14"/>
  <c r="F251" i="14"/>
  <c r="G251" i="14"/>
  <c r="C254" i="13"/>
  <c r="G254" i="13"/>
  <c r="F254" i="13"/>
  <c r="H254" i="13"/>
  <c r="D254" i="13"/>
  <c r="E254" i="13"/>
  <c r="B254" i="13"/>
  <c r="A253" i="14" l="1" a="1"/>
  <c r="A253" i="14" s="1"/>
  <c r="E252" i="14"/>
  <c r="B252" i="14"/>
  <c r="F252" i="14"/>
  <c r="C252" i="14"/>
  <c r="D252" i="14"/>
  <c r="G252" i="14"/>
  <c r="H252" i="14"/>
  <c r="A254" i="14" l="1" a="1"/>
  <c r="A254" i="14" s="1"/>
  <c r="B253" i="14"/>
  <c r="F253" i="14"/>
  <c r="C253" i="14"/>
  <c r="G253" i="14"/>
  <c r="D253" i="14"/>
  <c r="E253" i="14"/>
  <c r="H253" i="14"/>
  <c r="C254" i="14" l="1"/>
  <c r="G254" i="14"/>
  <c r="D254" i="14"/>
  <c r="H254" i="14"/>
  <c r="E254" i="14"/>
  <c r="F254" i="14"/>
  <c r="B254" i="14"/>
</calcChain>
</file>

<file path=xl/sharedStrings.xml><?xml version="1.0" encoding="utf-8"?>
<sst xmlns="http://schemas.openxmlformats.org/spreadsheetml/2006/main" count="3588" uniqueCount="1519">
  <si>
    <t>Domestic Unrestricted</t>
  </si>
  <si>
    <t>Domestic Two Rate</t>
  </si>
  <si>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</si>
  <si>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</si>
  <si>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</si>
  <si>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</si>
  <si>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</si>
  <si>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</si>
  <si>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</si>
  <si>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</si>
  <si>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</si>
  <si>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</si>
  <si>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</si>
  <si>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</si>
  <si>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</si>
  <si>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</si>
  <si>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</si>
  <si>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</si>
  <si>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</si>
  <si>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</si>
  <si>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</si>
  <si>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</si>
  <si>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</si>
  <si>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</si>
  <si>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</si>
  <si>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</si>
  <si>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</si>
  <si>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</si>
  <si>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</si>
  <si>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</si>
  <si>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</si>
  <si>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</si>
  <si>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</si>
  <si>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</si>
  <si>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</si>
  <si>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</si>
  <si>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</si>
  <si>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</si>
  <si>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</si>
  <si>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</si>
  <si>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</si>
  <si>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</si>
  <si>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</si>
  <si>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</si>
  <si>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</si>
  <si>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</si>
  <si>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</si>
  <si>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</si>
  <si>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</si>
  <si>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</si>
  <si>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</si>
  <si>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</si>
  <si>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</si>
  <si>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</si>
  <si>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</si>
  <si>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</si>
  <si>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</si>
  <si>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</si>
  <si>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</si>
  <si>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</si>
  <si>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</si>
  <si>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</si>
  <si>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</si>
  <si>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</si>
  <si>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</si>
  <si>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</si>
  <si>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</si>
  <si>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</si>
  <si>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</si>
  <si>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</si>
  <si>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</si>
  <si>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</si>
  <si>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</si>
  <si>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</si>
  <si>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</si>
  <si>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</si>
  <si>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</si>
  <si>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</si>
  <si>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</si>
  <si>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</si>
  <si>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</si>
  <si>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</si>
  <si>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</si>
  <si>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</si>
  <si>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</si>
  <si>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</si>
  <si>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</si>
  <si>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</si>
  <si>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Annex 1 contains charges to LV and HV Designated Properties.</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</si>
  <si>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</si>
  <si>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</si>
  <si>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</si>
  <si>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</si>
  <si>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</si>
  <si>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</si>
  <si>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</si>
  <si>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</si>
  <si>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</si>
  <si>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</si>
  <si>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</si>
  <si>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</si>
  <si>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</si>
  <si>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</si>
  <si>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</si>
  <si>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</si>
  <si>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</si>
  <si>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</si>
  <si>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</si>
  <si>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</si>
  <si>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</si>
  <si>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</si>
  <si>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</si>
  <si>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</si>
  <si>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</si>
  <si>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</si>
  <si>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</si>
  <si>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</si>
  <si>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</si>
  <si>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</si>
  <si>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</si>
  <si>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</si>
  <si>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</si>
  <si>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</si>
  <si>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</si>
  <si>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</si>
  <si>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</si>
  <si>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</si>
  <si>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</si>
  <si>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</si>
  <si>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</si>
  <si>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</si>
  <si>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</si>
  <si>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</si>
  <si>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</si>
  <si>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</si>
  <si>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</si>
  <si>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</si>
  <si>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</si>
  <si>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</si>
  <si>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</si>
  <si>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</si>
  <si>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</si>
  <si>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</si>
  <si>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</si>
  <si>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</si>
  <si>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</si>
  <si>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</si>
  <si>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</si>
  <si>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</si>
  <si>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</si>
  <si>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</si>
  <si>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</si>
  <si>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</si>
  <si>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</si>
  <si>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</si>
  <si>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</si>
  <si>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</si>
  <si>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</si>
  <si>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</si>
  <si>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</si>
  <si>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</si>
  <si>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</si>
  <si>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</si>
  <si>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</si>
  <si>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</si>
  <si>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</si>
  <si>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</si>
  <si>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</si>
  <si>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</si>
  <si>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</si>
  <si>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</si>
  <si>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</si>
  <si>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</si>
  <si>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</si>
  <si>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</si>
  <si>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</si>
  <si>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</si>
  <si>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</si>
  <si>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</si>
  <si>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</si>
  <si>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EDCM Import 1</t>
  </si>
  <si>
    <t>EDCM Import 2</t>
  </si>
  <si>
    <t>EDCM Import 3</t>
  </si>
  <si>
    <t>EDCM Import 4</t>
  </si>
  <si>
    <t>EDCM Import 5</t>
  </si>
  <si>
    <t>EDCM Import 6</t>
  </si>
  <si>
    <t>EDCM Import 7</t>
  </si>
  <si>
    <t>EDCM Import 8</t>
  </si>
  <si>
    <t>EDCM Import 9</t>
  </si>
  <si>
    <t>EDCM Import 10</t>
  </si>
  <si>
    <t>Annex 5 LLFs</t>
  </si>
  <si>
    <t>EDCM Export 3</t>
  </si>
  <si>
    <t>EDCM Export 4</t>
  </si>
  <si>
    <t>EDCM Export 5</t>
  </si>
  <si>
    <t>EDCM Export 6</t>
  </si>
  <si>
    <t>EDCM Export 7</t>
  </si>
  <si>
    <t>EDCM Export 8</t>
  </si>
  <si>
    <t>EDCM Export 9</t>
  </si>
  <si>
    <t>EDCM Export 10</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</si>
  <si>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</si>
  <si>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</si>
  <si>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</si>
  <si>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</si>
  <si>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</si>
  <si>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</si>
  <si>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</si>
  <si>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</si>
  <si>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</si>
  <si>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</si>
  <si>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</si>
  <si>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</si>
  <si>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</si>
  <si>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</si>
  <si>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</si>
  <si>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</si>
  <si>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</si>
  <si>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</si>
  <si>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</si>
  <si>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</si>
  <si>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</si>
  <si>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</si>
  <si>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</si>
  <si>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</si>
  <si>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</si>
  <si>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</si>
  <si>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</si>
  <si>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</si>
  <si>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</si>
  <si>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</si>
  <si>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</si>
  <si>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</si>
  <si>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</si>
  <si>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</si>
  <si>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</si>
  <si>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</si>
  <si>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</si>
  <si>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</si>
  <si>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</si>
  <si>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</si>
  <si>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</si>
  <si>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</si>
  <si>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</si>
  <si>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</si>
  <si>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</si>
  <si>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</si>
  <si>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</si>
  <si>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</si>
  <si>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</si>
  <si>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</si>
  <si>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</si>
  <si>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</si>
  <si>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</si>
  <si>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</si>
  <si>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</si>
  <si>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</si>
  <si>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</si>
  <si>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</si>
  <si>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</si>
  <si>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</si>
  <si>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</si>
  <si>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</si>
  <si>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</si>
  <si>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</si>
  <si>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</si>
  <si>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</si>
  <si>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</si>
  <si>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</si>
  <si>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</si>
  <si>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</si>
  <si>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</si>
  <si>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</si>
  <si>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</si>
  <si>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</si>
  <si>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</si>
  <si>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</si>
  <si>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</si>
  <si>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</si>
  <si>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</si>
  <si>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</si>
  <si>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</si>
  <si>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</si>
  <si>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</si>
  <si>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</si>
  <si>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</si>
  <si>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</si>
  <si>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</si>
  <si>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</si>
  <si>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</si>
  <si>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</si>
  <si>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</si>
  <si>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</si>
  <si>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</si>
  <si>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</si>
  <si>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</si>
  <si>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</si>
  <si>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</si>
  <si>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</si>
  <si>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</si>
  <si>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</si>
  <si>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</si>
  <si>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</si>
  <si>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</si>
  <si>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</si>
  <si>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</si>
  <si>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</si>
  <si>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</si>
  <si>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</si>
  <si>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</si>
  <si>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</si>
  <si>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</si>
  <si>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</si>
  <si>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</si>
  <si>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</si>
  <si>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</si>
  <si>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</si>
  <si>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</si>
  <si>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</si>
  <si>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</si>
  <si>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</si>
  <si>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</si>
  <si>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</si>
  <si>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</si>
  <si>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</si>
  <si>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</si>
  <si>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</si>
  <si>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</si>
  <si>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</si>
  <si>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</si>
  <si>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</si>
  <si>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</si>
  <si>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</si>
  <si>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</si>
  <si>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</si>
  <si>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</si>
  <si>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</si>
  <si>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</si>
  <si>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</si>
  <si>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</si>
  <si>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</si>
  <si>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</si>
  <si>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</si>
  <si>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</si>
  <si>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</si>
  <si>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</si>
  <si>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</si>
  <si>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</si>
  <si>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</si>
  <si>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</si>
  <si>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</si>
  <si>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</si>
  <si>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</si>
  <si>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</si>
  <si>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</si>
  <si>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</si>
  <si>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</si>
  <si>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</si>
  <si>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</si>
  <si>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</si>
  <si>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</si>
  <si>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</si>
  <si>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</si>
  <si>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</si>
  <si>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</si>
  <si>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</si>
  <si>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</si>
  <si>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</si>
  <si>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</si>
  <si>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</si>
  <si>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</si>
  <si>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</si>
  <si>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</si>
  <si>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</si>
  <si>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</si>
  <si>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</si>
  <si>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</si>
  <si>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</si>
  <si>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</si>
  <si>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</si>
  <si>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</si>
  <si>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</si>
  <si>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</si>
  <si>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</si>
  <si>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</si>
  <si>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</si>
  <si>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</si>
  <si>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</si>
  <si>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</si>
  <si>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</si>
  <si>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</si>
  <si>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</si>
  <si>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</si>
  <si>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</si>
  <si>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</si>
  <si>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</si>
  <si>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</si>
  <si>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</si>
  <si>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</si>
  <si>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</si>
  <si>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</si>
  <si>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</si>
  <si>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</si>
  <si>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</si>
  <si>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</si>
  <si>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</si>
  <si>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</si>
  <si>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</si>
  <si>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</si>
  <si>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</si>
  <si>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</si>
  <si>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</si>
  <si>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</si>
  <si>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</si>
  <si>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</si>
  <si>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</si>
  <si>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</si>
  <si>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</si>
  <si>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</si>
  <si>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</si>
  <si>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</si>
  <si>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</si>
  <si>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</si>
  <si>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</si>
  <si>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</si>
  <si>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</si>
  <si>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</si>
  <si>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</si>
  <si>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</si>
  <si>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</si>
  <si>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</si>
  <si>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</si>
  <si>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</si>
  <si>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</si>
  <si>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</si>
  <si>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</si>
  <si>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</si>
  <si>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</si>
  <si>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</si>
  <si>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</si>
  <si>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</si>
  <si>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</si>
  <si>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</si>
  <si>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</si>
  <si>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</si>
  <si>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</si>
  <si>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</si>
  <si>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</si>
  <si>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</si>
  <si>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</si>
  <si>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</si>
  <si>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</si>
  <si>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</si>
  <si>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</si>
  <si>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</si>
  <si>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</si>
  <si>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</si>
  <si>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</si>
  <si>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</si>
  <si>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</si>
  <si>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</si>
  <si>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</si>
  <si>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</si>
  <si>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</si>
  <si>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</si>
  <si>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</si>
  <si>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</si>
  <si>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</si>
  <si>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</si>
  <si>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</si>
  <si>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</si>
  <si>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</si>
  <si>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</si>
  <si>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</si>
  <si>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</si>
  <si>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</si>
  <si>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</si>
  <si>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</si>
  <si>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</si>
  <si>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</si>
  <si>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</si>
  <si>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</si>
  <si>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</si>
  <si>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</si>
  <si>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</si>
  <si>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</si>
  <si>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</si>
  <si>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</si>
  <si>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</si>
  <si>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</si>
  <si>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</si>
  <si>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</si>
  <si>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6 new Designated EHV Properties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</si>
  <si>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</si>
  <si>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</si>
  <si>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</si>
  <si>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</si>
  <si>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</si>
  <si>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</si>
  <si>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</si>
  <si>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</si>
  <si>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Annex 6 - Addendum to Annex 2 EHV charges</t>
  </si>
  <si>
    <t>EDCM import 1</t>
  </si>
  <si>
    <t>EDCM export 1</t>
  </si>
  <si>
    <t>EDCM import 2</t>
  </si>
  <si>
    <t>EDCM import 3</t>
  </si>
  <si>
    <t>EDCM import 4</t>
  </si>
  <si>
    <t>EDCM import 5</t>
  </si>
  <si>
    <t>EDCM import 6</t>
  </si>
  <si>
    <t>EDCM import 7</t>
  </si>
  <si>
    <t>EDCM import 8</t>
  </si>
  <si>
    <t>EDCM import 9</t>
  </si>
  <si>
    <t>EDCM import 10</t>
  </si>
  <si>
    <t>EDCM export 2</t>
  </si>
  <si>
    <t>EDCM export 3</t>
  </si>
  <si>
    <t>EDCM export 4</t>
  </si>
  <si>
    <t>EDCM export 5</t>
  </si>
  <si>
    <t>EDCM export 6</t>
  </si>
  <si>
    <t>EDCM export 7</t>
  </si>
  <si>
    <t>EDCM export 8</t>
  </si>
  <si>
    <t>EDCM export 9</t>
  </si>
  <si>
    <t>EDCM export 10</t>
  </si>
  <si>
    <t>Note: The list of MPANs/MSIDs provided may be incomplete; the DNO reserves the right to apply the listed charges to any other MPANs/MSIDs associated with the site.</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</si>
  <si>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</si>
  <si>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</si>
  <si>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</si>
  <si>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</si>
  <si>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</si>
  <si>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</si>
  <si>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</si>
  <si>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</si>
  <si>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</si>
  <si>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</si>
  <si>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June to August Inclusive</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</si>
  <si>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</si>
  <si>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</si>
  <si>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</si>
  <si>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</si>
  <si>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</si>
  <si>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</si>
  <si>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</si>
  <si>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</si>
  <si>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</si>
  <si>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</si>
  <si>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</si>
  <si>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</si>
  <si>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</si>
  <si>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</si>
  <si>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</si>
  <si>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</si>
  <si>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</si>
  <si>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</si>
  <si>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</si>
  <si>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</si>
  <si>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</si>
  <si>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</si>
  <si>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</si>
  <si>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</si>
  <si>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</si>
  <si>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</si>
  <si>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</si>
  <si>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</si>
  <si>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</si>
  <si>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</si>
  <si>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</si>
  <si>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</si>
  <si>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</si>
  <si>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</si>
  <si>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</si>
  <si>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</si>
  <si>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</si>
  <si>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</si>
  <si>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</si>
  <si>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</si>
  <si>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</si>
  <si>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</si>
  <si>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</si>
  <si>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</si>
  <si>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</si>
  <si>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</si>
  <si>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</si>
  <si>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</si>
  <si>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</si>
  <si>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</si>
  <si>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</si>
  <si>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</si>
  <si>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</si>
  <si>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</si>
  <si>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</si>
  <si>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</si>
  <si>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</si>
  <si>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</si>
  <si>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</si>
  <si>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</si>
  <si>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</si>
  <si>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</si>
  <si>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</si>
  <si>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</si>
  <si>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</si>
  <si>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</si>
  <si>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</si>
  <si>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</si>
  <si>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</si>
  <si>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</si>
  <si>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Domestic</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</si>
  <si>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</si>
  <si>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</si>
  <si>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</si>
  <si>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</si>
  <si>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</si>
  <si>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</si>
  <si>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</si>
  <si>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</si>
  <si>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</si>
  <si>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</si>
  <si>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</si>
  <si>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</si>
  <si>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</si>
  <si>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</si>
  <si>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</si>
  <si>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</si>
  <si>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</si>
  <si>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</si>
  <si>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</si>
  <si>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</si>
  <si>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</si>
  <si>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</si>
  <si>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</si>
  <si>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r>
      <t>Contains the underlying [</t>
    </r>
    <r>
      <rPr>
        <sz val="11"/>
        <color theme="3"/>
        <rFont val="Arial"/>
        <family val="2"/>
      </rPr>
      <t>nodal/network group</t>
    </r>
    <r>
      <rPr>
        <sz val="11"/>
        <rFont val="Arial"/>
        <family val="2"/>
      </rPr>
      <t xml:space="preserve">] costs used to calculate the current EDCM charges. </t>
    </r>
  </si>
  <si>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</si>
  <si>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</si>
  <si>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</si>
  <si>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</si>
  <si>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</si>
  <si>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</si>
  <si>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</si>
  <si>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</si>
  <si>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</si>
  <si>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</si>
  <si>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</si>
  <si>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</si>
  <si>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</si>
  <si>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</si>
  <si>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</si>
  <si>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</si>
  <si>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</si>
  <si>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</si>
  <si>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</si>
  <si>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</si>
  <si>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</si>
  <si>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</si>
  <si>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</si>
  <si>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</si>
  <si>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</si>
  <si>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</si>
  <si>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</si>
  <si>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</si>
  <si>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</si>
  <si>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</si>
  <si>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</si>
  <si>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</si>
  <si>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</si>
  <si>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</si>
  <si>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</si>
  <si>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</si>
  <si>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</si>
  <si>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</si>
  <si>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</si>
  <si>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</si>
  <si>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</si>
  <si>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</si>
  <si>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</si>
  <si>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</si>
  <si>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</si>
  <si>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</si>
  <si>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</si>
  <si>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</si>
  <si>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</si>
  <si>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</si>
  <si>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</si>
  <si>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</si>
  <si>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</si>
  <si>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</si>
  <si>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</si>
  <si>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r>
      <t xml:space="preserve">Annex 5 contains illustrative LLFs. LLFs are used in Settlement to adjust the metering system volumes to take account of losses on the distribution network.
</t>
    </r>
    <r>
      <rPr>
        <sz val="9.9"/>
        <rFont val="Arial"/>
        <family val="2"/>
      </rPr>
      <t>Illustrative LLFs are provided with reference to the metered voltage or associated LLFC for generic LLFs and by reference to the LLFCs for site specific LLFs. Each LLF is applicable to a defined time period.  The LLFs used in Settlement are published on the Elexon portal website, www.elexonportal.co.uk. The website contains the LLFs in standard industry data formats and in a summary form.  A user guide with details on registering and using the portal is also available.</t>
    </r>
  </si>
  <si>
    <t>Company and Licence name</t>
  </si>
  <si>
    <t>Copy EDCM table 5001 range starting B101 and paste into G11.  Extend or reduce print area as required.</t>
  </si>
  <si>
    <t>Copy from CDCM table 3701 "Tariffs!A42:I84" and paste values into A14</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</si>
  <si>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</si>
  <si>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</si>
  <si>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</si>
  <si>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</si>
  <si>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</si>
  <si>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</si>
  <si>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</si>
  <si>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</si>
  <si>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</si>
  <si>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</si>
  <si>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</si>
  <si>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</si>
  <si>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</si>
  <si>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</si>
  <si>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</si>
  <si>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</si>
  <si>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</si>
  <si>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</si>
  <si>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</si>
  <si>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</si>
  <si>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</si>
  <si>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</si>
  <si>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</si>
  <si>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</si>
  <si>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</si>
  <si>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</si>
  <si>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</si>
  <si>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</si>
  <si>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</si>
  <si>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</si>
  <si>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</si>
  <si>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</si>
  <si>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</si>
  <si>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</si>
  <si>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</si>
  <si>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</si>
  <si>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</si>
  <si>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</si>
  <si>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</si>
  <si>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</si>
  <si>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</si>
  <si>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</si>
  <si>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</si>
  <si>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</si>
  <si>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</si>
  <si>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These line loss factors are illustrative based on the latest calculated values and are published in good faith.  However, the line loss factors that are approved by the BSC Panel for the applicable year and consequently published on the Elexon website will take precedence and be used in Settlement if they differ from these values.</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</si>
  <si>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</si>
  <si>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</si>
  <si>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</si>
  <si>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</si>
  <si>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</si>
  <si>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</si>
  <si>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</si>
  <si>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</si>
  <si>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</si>
  <si>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</si>
  <si>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</si>
  <si>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</si>
  <si>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</si>
  <si>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</si>
  <si>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'DNOs paste value cells A15:J47 from CDCM 3701 into cells A14:J46</t>
  </si>
  <si>
    <t>Note: Where a tariff only has a p/kWh unit rate in Unit Charge 1 then this unit rate applies at all times.</t>
  </si>
  <si>
    <t>16.30 - 19.30</t>
  </si>
  <si>
    <t>180</t>
  </si>
  <si>
    <t>280</t>
  </si>
  <si>
    <t>900</t>
  </si>
  <si>
    <t>901</t>
  </si>
  <si>
    <t>902</t>
  </si>
  <si>
    <t>903</t>
  </si>
  <si>
    <t>910</t>
  </si>
  <si>
    <t>TBA</t>
  </si>
  <si>
    <t>905</t>
  </si>
  <si>
    <t>906</t>
  </si>
  <si>
    <t>907</t>
  </si>
  <si>
    <t>100, 101, 110, 111, 160, 161</t>
  </si>
  <si>
    <t>114, 115, 118, 119, 120, 121, 162, 163</t>
  </si>
  <si>
    <t>112, 113, 116, 117, 132, 133, 136, 137, 164, 165, 166</t>
  </si>
  <si>
    <t>201, 204</t>
  </si>
  <si>
    <t>221, 224, 260</t>
  </si>
  <si>
    <t>225, 240, 241, 301, 302</t>
  </si>
  <si>
    <t>400, 402</t>
  </si>
  <si>
    <t>500, 504</t>
  </si>
  <si>
    <t>506, 507</t>
  </si>
  <si>
    <t>501, 505</t>
  </si>
  <si>
    <t>781, 782, 783, 784, 785</t>
  </si>
  <si>
    <t>603, 608</t>
  </si>
  <si>
    <t>604, 607</t>
  </si>
  <si>
    <t>611, 612</t>
  </si>
  <si>
    <t>605, 606</t>
  </si>
  <si>
    <t>130, 134, 135</t>
  </si>
  <si>
    <t>200, 202, 203, 205</t>
  </si>
  <si>
    <t>220, 222</t>
  </si>
  <si>
    <t>223, 242, 243, 244, 245, 246</t>
  </si>
  <si>
    <t>904, 908, 909</t>
  </si>
  <si>
    <t>SP Distribution</t>
  </si>
  <si>
    <t>2018/19</t>
  </si>
  <si>
    <t>1 April 2018</t>
  </si>
  <si>
    <t>08.00 - 16.30
19.30 - 22.30</t>
  </si>
  <si>
    <t>00.00 - 08.00
22.30 - 00.00</t>
  </si>
  <si>
    <t>16.00 - 20.00</t>
  </si>
  <si>
    <t>00.00 - 16.00
20.00 - 00.00</t>
  </si>
  <si>
    <t>08.00 - 22.30</t>
  </si>
  <si>
    <t>Monday to Friday 
(Including Bank Holidays)
March, April, May and September, October</t>
  </si>
  <si>
    <t>00:00-16:00
20:00-00:00</t>
  </si>
  <si>
    <t>Monday to Friday 
(Including Bank Holidays)
March to May, &amp; September to October, Inclusive</t>
  </si>
  <si>
    <t>Saturday and Sunday</t>
  </si>
  <si>
    <t>Monday to Friday 
March to October</t>
  </si>
  <si>
    <t>23:30 – 07:30</t>
  </si>
  <si>
    <t>07:30 – 23:30</t>
  </si>
  <si>
    <t>Monday to Friday 
November to February</t>
  </si>
  <si>
    <t>20:00 – 23:30</t>
  </si>
  <si>
    <t>07:30 – 16:00
19:00 – 20:00</t>
  </si>
  <si>
    <t>16:00 – 19:00</t>
  </si>
  <si>
    <t>130, 134,135</t>
  </si>
  <si>
    <t>200, 202,203, 205</t>
  </si>
  <si>
    <t>401</t>
  </si>
  <si>
    <t>Low-voltage network</t>
  </si>
  <si>
    <t>100,101,110,111,112,113,114,115,116,117,118,119,120,121,130,132,133,134,135,136,137,160,161,162,163,164,165,166,180,200,201,202,203,204,205,220,221,222,223,224,225,240,241,242,243,244,245,246,260,280,400,402,500,504,603,604,607,608,781,782,783,784,785,900,901,902,903,910</t>
  </si>
  <si>
    <t>Low-voltage substation</t>
  </si>
  <si>
    <t>404,506,507,602,609,610</t>
  </si>
  <si>
    <t>High-voltage network</t>
  </si>
  <si>
    <t>301,302,401,501,505,599,600,601,605,606,611,612,615,616,617</t>
  </si>
  <si>
    <t>High-voltage substation</t>
  </si>
  <si>
    <t>310,311,312,313,314,315,316,317,318,319,320,321,322,323,324,325,326,327,328,329,330,331,332,333,334,335,336,337,338,339,340,750,751,752,753,754,755,756,757,758,759,760,761,762,763,764,765,862,866,867</t>
  </si>
  <si>
    <t>33kV generic (demand)</t>
  </si>
  <si>
    <t>33kV generic (generation)</t>
  </si>
  <si>
    <t>132kV generic</t>
  </si>
  <si>
    <t>Rhodders</t>
  </si>
  <si>
    <t>Minsca</t>
  </si>
  <si>
    <t>Bankend Rig</t>
  </si>
  <si>
    <t>Barlockhart Moor</t>
  </si>
  <si>
    <t>Blantyre Muir</t>
  </si>
  <si>
    <t>Hunteston WF</t>
  </si>
  <si>
    <t>Middleton Farm</t>
  </si>
  <si>
    <t>Neilston Community</t>
  </si>
  <si>
    <t>Garlaff Landfill</t>
  </si>
  <si>
    <t>Hagshaw Hill Extension</t>
  </si>
  <si>
    <t>Muirhall</t>
  </si>
  <si>
    <t>Burnfoot</t>
  </si>
  <si>
    <t>Westfield WF</t>
  </si>
  <si>
    <t>Barmour</t>
  </si>
  <si>
    <t>Nutberry Windfarm</t>
  </si>
  <si>
    <t>Carcreugh WF</t>
  </si>
  <si>
    <t>Magnox</t>
  </si>
  <si>
    <t>West Browncastle</t>
  </si>
  <si>
    <t>Viridor Energy Import</t>
  </si>
  <si>
    <t>Craigengelt Windfarm Import</t>
  </si>
  <si>
    <t>Greenknowes Windfarm Import</t>
  </si>
  <si>
    <t>Ewe Hill WF</t>
  </si>
  <si>
    <t>Langhope Rig WF</t>
  </si>
  <si>
    <t>Muirhall Ext WF</t>
  </si>
  <si>
    <t>Aikengall Community WF Import</t>
  </si>
  <si>
    <t>Hagshaw Hill Windfarm Import</t>
  </si>
  <si>
    <t>Gallow Rig Windfarm Import</t>
  </si>
  <si>
    <t>Polwhat Rig Windfarm Import</t>
  </si>
  <si>
    <t>Greendykeside Windfarm Import</t>
  </si>
  <si>
    <t>Dun Law - Import</t>
  </si>
  <si>
    <t>EPR Scotland Ltd</t>
  </si>
  <si>
    <t>Bowbeat (Emly Bank) Import</t>
  </si>
  <si>
    <t>Bowbeat (Roughsidehill)</t>
  </si>
  <si>
    <t>Harehill Windfarm</t>
  </si>
  <si>
    <t>Shanks 3 &amp; 4 Import</t>
  </si>
  <si>
    <t>Shanks &amp; McEwan 5</t>
  </si>
  <si>
    <t>Crystal Rig - Import</t>
  </si>
  <si>
    <t>Haupland Muir Import</t>
  </si>
  <si>
    <t>Wetherhill Windfarm Import</t>
  </si>
  <si>
    <t>Artfield Fell Import</t>
  </si>
  <si>
    <t>Wardlaw Wood - Import</t>
  </si>
  <si>
    <t>Earlsburn - Import</t>
  </si>
  <si>
    <t>Black Hill Windfarm - Import</t>
  </si>
  <si>
    <t>Dalswinton - Import</t>
  </si>
  <si>
    <t>Stevens Croft Import</t>
  </si>
  <si>
    <t>Sorbie Windfarm</t>
  </si>
  <si>
    <t>Longpark Windfarm</t>
  </si>
  <si>
    <t>BOC Carfin</t>
  </si>
  <si>
    <t>Calder Water WF</t>
  </si>
  <si>
    <t>Babcock Thorn</t>
  </si>
  <si>
    <t>Lafarge UK</t>
  </si>
  <si>
    <t>Pates Hill Windfarm Windfarm</t>
  </si>
  <si>
    <t>Clydeport</t>
  </si>
  <si>
    <t>Freescale/Motorola</t>
  </si>
  <si>
    <t>Tesco Livingston (NEC)</t>
  </si>
  <si>
    <t>GlaxoSmithKline</t>
  </si>
  <si>
    <t>Geven Windfarm</t>
  </si>
  <si>
    <t>Weir Pumps</t>
  </si>
  <si>
    <t>DuPont (UK) Ltd</t>
  </si>
  <si>
    <t>North Rhinns Windfarm</t>
  </si>
  <si>
    <t>Tod Hills WF Imp</t>
  </si>
  <si>
    <t>Hoprigshiels Windfarm Import</t>
  </si>
  <si>
    <t>Calachem</t>
  </si>
  <si>
    <t>Norbord</t>
  </si>
  <si>
    <t>MuirHall Extension II WF</t>
  </si>
  <si>
    <t>Polmadie (Waste Energy B)</t>
  </si>
  <si>
    <t>Millour Hill Windfarm Import</t>
  </si>
  <si>
    <t>Glenkerrie Windfarm Import</t>
  </si>
  <si>
    <t>Kelburn A Windfarm Import</t>
  </si>
  <si>
    <t>Kelburn B Windfarm Import</t>
  </si>
  <si>
    <t>Little Raith Windfarm Import</t>
  </si>
  <si>
    <t>Drone Hill Import</t>
  </si>
  <si>
    <t>Pearie Law Windfarm Import</t>
  </si>
  <si>
    <t>Earlseat WF</t>
  </si>
  <si>
    <t>Dungavel WF</t>
  </si>
  <si>
    <t>Burnhead Bathgate WF</t>
  </si>
  <si>
    <t>Shanks 6 Import</t>
  </si>
  <si>
    <t>Ardoch &amp; Over Enoch WF</t>
  </si>
  <si>
    <t>Muirpark Windfarm</t>
  </si>
  <si>
    <t>Sneddon Law WF Imp</t>
  </si>
  <si>
    <t>Polmadie (Waste energy A)</t>
  </si>
  <si>
    <t>Glenchamber</t>
  </si>
  <si>
    <t>Pemansheill</t>
  </si>
  <si>
    <t>Tormywheel Windfarm</t>
  </si>
  <si>
    <t>Quixwood Windfarm</t>
  </si>
  <si>
    <t>Millerhill Windfarm</t>
  </si>
  <si>
    <t>TBC</t>
  </si>
  <si>
    <t>Drymen</t>
  </si>
  <si>
    <t>MSID 8083</t>
  </si>
  <si>
    <t>Killearn</t>
  </si>
  <si>
    <t>MSID 8085</t>
  </si>
  <si>
    <t>Markinch</t>
  </si>
  <si>
    <t>MSID 8334</t>
  </si>
  <si>
    <t>Auchrobert</t>
  </si>
  <si>
    <t>MSID 8348</t>
  </si>
  <si>
    <t>Andershaw WF</t>
  </si>
  <si>
    <t>MSID 8341</t>
  </si>
  <si>
    <t>HareHill Extension</t>
  </si>
  <si>
    <t>MSID 8339</t>
  </si>
  <si>
    <t>Assel Valley</t>
  </si>
  <si>
    <t>MSID 8347</t>
  </si>
  <si>
    <t>Aries</t>
  </si>
  <si>
    <t>MSID 8340</t>
  </si>
  <si>
    <t>Harburnhead</t>
  </si>
  <si>
    <t>MSID 8349</t>
  </si>
  <si>
    <t>Twenty Shilling Hill</t>
  </si>
  <si>
    <t>MSID TBC</t>
  </si>
  <si>
    <t>Craigengelt Windfarm Export</t>
  </si>
  <si>
    <t>Greenknowes Windfarm Export</t>
  </si>
  <si>
    <t>Greendykeside Windfarm Export</t>
  </si>
  <si>
    <t>Aikengall Community WF Export</t>
  </si>
  <si>
    <t>Hagshaw Hill Windfarm Export</t>
  </si>
  <si>
    <t>Gallow Rig Windfarm Export</t>
  </si>
  <si>
    <t>Polwhat Rig Windfarm Export</t>
  </si>
  <si>
    <t>Hagshaw Hill Extension Export</t>
  </si>
  <si>
    <t>Dun Law - Export</t>
  </si>
  <si>
    <t>Bowbeat (Emly Bank) Export</t>
  </si>
  <si>
    <t>Bowbeat (Roughsidehill) Export</t>
  </si>
  <si>
    <t>Harehill Export</t>
  </si>
  <si>
    <t>Shanks 3 &amp; 4 Export</t>
  </si>
  <si>
    <t>Shanks 5 &amp; 6 Export</t>
  </si>
  <si>
    <t>Crystal Rig - Export</t>
  </si>
  <si>
    <t>Haupland Muir Export</t>
  </si>
  <si>
    <t>Wetherhill Windfarm Export</t>
  </si>
  <si>
    <t>Artfield Fell Export</t>
  </si>
  <si>
    <t>Wardlaw Wood - Export</t>
  </si>
  <si>
    <t>Earlsburn - Export</t>
  </si>
  <si>
    <t>Black Hill Windfarm- Export</t>
  </si>
  <si>
    <t>Stevens Croft Export</t>
  </si>
  <si>
    <t>Longpark Windfarm Export</t>
  </si>
  <si>
    <t>Lafarge (UK) Ltd</t>
  </si>
  <si>
    <t>Pateshill Windfarm Export</t>
  </si>
  <si>
    <t>North Rhinns Windfarm Export</t>
  </si>
  <si>
    <t>Geven Windfarm Export</t>
  </si>
  <si>
    <t>Tormywheel Windfarm Export</t>
  </si>
  <si>
    <t>Quixwood Windfarm Export</t>
  </si>
  <si>
    <t>Hoprigshiels Windfarm Export</t>
  </si>
  <si>
    <t>Muirhall Windfarm Export</t>
  </si>
  <si>
    <t>Burnfoot  Windfarm Export</t>
  </si>
  <si>
    <t>Millour Hill Windfarm Export</t>
  </si>
  <si>
    <t>Glenkerrie Windfarm Export</t>
  </si>
  <si>
    <t>Kelburn A Windfarm Export</t>
  </si>
  <si>
    <t>Kelburn B Windfarm Export</t>
  </si>
  <si>
    <t>Little Raith Windfarm Export</t>
  </si>
  <si>
    <t>Drone Hill Export</t>
  </si>
  <si>
    <t>Pearie Law Windfarm Export</t>
  </si>
  <si>
    <t>Sneddon Law WF Exp</t>
  </si>
  <si>
    <t>Burnhead Bathgate WF Export</t>
  </si>
  <si>
    <t>Nutberry WF Export</t>
  </si>
  <si>
    <t>Hunterston WF Export</t>
  </si>
  <si>
    <t>Carcreugh WF Export</t>
  </si>
  <si>
    <t>Calder Water WF Export</t>
  </si>
  <si>
    <t>GlaxoSmithKline Export</t>
  </si>
  <si>
    <t>Tod Hills WF</t>
  </si>
  <si>
    <t>Viridor Energy Export</t>
  </si>
  <si>
    <t>West Browncastle WF Export</t>
  </si>
  <si>
    <t>Earlseat WF Export</t>
  </si>
  <si>
    <t>Dungavel WF Export</t>
  </si>
  <si>
    <t>Ewe Hill WF Export</t>
  </si>
  <si>
    <t>Langhope Rig WF Export</t>
  </si>
  <si>
    <t>Muirhall Ext WF Export</t>
  </si>
  <si>
    <t>Polmadie (Waste Energy A)</t>
  </si>
  <si>
    <t>Penmansheill</t>
  </si>
  <si>
    <t>Millerhill Windfarm Export</t>
  </si>
  <si>
    <t>Minsca Windfarm</t>
  </si>
  <si>
    <t>MSID 8182</t>
  </si>
  <si>
    <t>Dalswinton Windfarm</t>
  </si>
  <si>
    <t>MSID 8183</t>
  </si>
  <si>
    <t>Assel Valley Windfarm</t>
  </si>
  <si>
    <t>Glenchamber Windfarm</t>
  </si>
  <si>
    <t>MSID 8732</t>
  </si>
  <si>
    <t>Harehill Extension</t>
  </si>
  <si>
    <t>Andershaw Windfarm</t>
  </si>
  <si>
    <t>Aries Windfarm</t>
  </si>
  <si>
    <t>Auchrobert Windfarm</t>
  </si>
  <si>
    <t>Harburnhead Windfarm</t>
  </si>
  <si>
    <t>Hunterston WF</t>
  </si>
  <si>
    <t>Barmoor WF</t>
  </si>
  <si>
    <t>Nutberry WF</t>
  </si>
  <si>
    <t>West Browncastle WF</t>
  </si>
  <si>
    <t>Viridor (Waste energy)</t>
  </si>
  <si>
    <t>Craigengelt</t>
  </si>
  <si>
    <t>Greenknowes</t>
  </si>
  <si>
    <t>Ewe Hill Dumfries WF</t>
  </si>
  <si>
    <t>Langhope Rig (D) WF</t>
  </si>
  <si>
    <t>Muirhall Extention WF</t>
  </si>
  <si>
    <t>Aikengall</t>
  </si>
  <si>
    <t>Hagshaw Hill</t>
  </si>
  <si>
    <t>Gallow Rig</t>
  </si>
  <si>
    <t>Polwhat Rig</t>
  </si>
  <si>
    <t>Greendykeside</t>
  </si>
  <si>
    <t>Dun Law</t>
  </si>
  <si>
    <t>Bowbeat (Emly Bank)</t>
  </si>
  <si>
    <t>Harehill</t>
  </si>
  <si>
    <t>Shanks &amp; McEwan 3&amp;4</t>
  </si>
  <si>
    <t>Crystal Rig</t>
  </si>
  <si>
    <t>Haupland Muir (Ardrossan)</t>
  </si>
  <si>
    <t>Wetherhill</t>
  </si>
  <si>
    <t>Artfield WF</t>
  </si>
  <si>
    <t>Wardlaw Wood</t>
  </si>
  <si>
    <t>Earlsburn</t>
  </si>
  <si>
    <t>Blackhill</t>
  </si>
  <si>
    <t>Dalswinton</t>
  </si>
  <si>
    <t>Steven's Croft Biomass</t>
  </si>
  <si>
    <t>Longpark</t>
  </si>
  <si>
    <t>BOC</t>
  </si>
  <si>
    <t>Pateshill</t>
  </si>
  <si>
    <t>Freescale</t>
  </si>
  <si>
    <t>Tesco</t>
  </si>
  <si>
    <t>Gevens Wind Farm</t>
  </si>
  <si>
    <t>Dupont (UK) Ltd</t>
  </si>
  <si>
    <t>North Rhins</t>
  </si>
  <si>
    <t>Tod Hills Windfarm</t>
  </si>
  <si>
    <t xml:space="preserve">Hoprigshiels </t>
  </si>
  <si>
    <t>Polmadie (Waste energy B)</t>
  </si>
  <si>
    <t>Sneddon Law WF</t>
  </si>
  <si>
    <t>Millour Hill</t>
  </si>
  <si>
    <t>Glenkerie</t>
  </si>
  <si>
    <t>Kelburn (A)</t>
  </si>
  <si>
    <t>Kelburn (B)</t>
  </si>
  <si>
    <t>Little Raith</t>
  </si>
  <si>
    <t>Drone Hill</t>
  </si>
  <si>
    <t>Pearie Law Wind Farm</t>
  </si>
  <si>
    <t>Shanks &amp; McEwan 6</t>
  </si>
  <si>
    <t>Muirpark Wind Farm</t>
  </si>
  <si>
    <t>Tormywheel</t>
  </si>
  <si>
    <t>Quixwood Wind Farm</t>
  </si>
  <si>
    <t>Dumbarton</t>
  </si>
  <si>
    <t>Stirling Road</t>
  </si>
  <si>
    <t>Magco</t>
  </si>
  <si>
    <t>Stirling University</t>
  </si>
  <si>
    <t>Glenochil Distillery</t>
  </si>
  <si>
    <t>Longannet Power Station</t>
  </si>
  <si>
    <t>Cameron Ironworks</t>
  </si>
  <si>
    <t>Shin-Etsu</t>
  </si>
  <si>
    <t>United Biscuits</t>
  </si>
  <si>
    <t>Balfours</t>
  </si>
  <si>
    <t>NB Distillery</t>
  </si>
  <si>
    <t>Finnart BP</t>
  </si>
  <si>
    <t>Texas Instruments</t>
  </si>
  <si>
    <t>Glasgow Airport</t>
  </si>
  <si>
    <t>BP Dalmeny</t>
  </si>
  <si>
    <t>Edinburgh Dock North</t>
  </si>
  <si>
    <t>Bonnington Power Station</t>
  </si>
  <si>
    <t>Cathkin Braes Wind Farm</t>
  </si>
  <si>
    <t>New Glasgow South Hospital</t>
  </si>
  <si>
    <t>Torrance WF</t>
  </si>
  <si>
    <t>Scottish Enterprise (Samsung WTTF)</t>
  </si>
  <si>
    <t>Torrance Windfarm Extension</t>
  </si>
  <si>
    <t>Millerhill WF</t>
  </si>
  <si>
    <t>16:30 - 19:30</t>
  </si>
  <si>
    <t>5-8</t>
  </si>
  <si>
    <t>8&amp;0</t>
  </si>
  <si>
    <t xml:space="preserve">SP Distribution  uses a default tariff for invalid settlement combinations these will be charged at the Domestic Unrestricted Rates.
The Domestic and Non-Domestic Off Peak (related MPAN) tariffs are supplementary to a standard published tariff and therefore only available under these conditions.
Preserved tariffs are only available to existing supplies, subject to certain conditions:
a)  Suppliers may not normally transfer a meter point from one preserved tariff to another preserved tariff;
b)  If a supply under a preserved tariff should cease, other than on change of tenancy, the preserved tariff may not normally be restored;
c)  Any additional load requried to be supplied on the preserved tariff must be within the existing supply capacity.
</t>
  </si>
  <si>
    <t>3&amp;4</t>
  </si>
  <si>
    <t>KILBOWIE 33kV</t>
  </si>
  <si>
    <t>STRATHLEVEN</t>
  </si>
  <si>
    <t>CUMBERNAULD</t>
  </si>
  <si>
    <t>ST ANDREWS CROSS</t>
  </si>
  <si>
    <t>DUNBAR</t>
  </si>
  <si>
    <t>COATBRIDGE</t>
  </si>
  <si>
    <t>GLENLUCE</t>
  </si>
  <si>
    <t>NEWARTHILL</t>
  </si>
  <si>
    <t>DEVONSIDE</t>
  </si>
  <si>
    <t>LIVINGSTON EAST</t>
  </si>
  <si>
    <t>CHAPELCROSS</t>
  </si>
  <si>
    <t>LINMILL</t>
  </si>
  <si>
    <t>DEWAR PLACE &amp; SHRUBHILL</t>
  </si>
  <si>
    <t>LEVEN</t>
  </si>
  <si>
    <t>DRUMCHAPEL</t>
  </si>
  <si>
    <t>JOHNSTONE</t>
  </si>
  <si>
    <t>E KILBRIDE SOUTH</t>
  </si>
  <si>
    <t>BATHGATE</t>
  </si>
  <si>
    <t>DALMARNOCK</t>
  </si>
  <si>
    <t>MAYBOLE</t>
  </si>
  <si>
    <t>CUPAR</t>
  </si>
  <si>
    <t>CROOKSTON A</t>
  </si>
  <si>
    <t>GRANGEMOUTH A</t>
  </si>
  <si>
    <t>EASTERHOUSE</t>
  </si>
  <si>
    <t>AYR</t>
  </si>
  <si>
    <t>COYLTON</t>
  </si>
  <si>
    <t>BERWICK &amp; ECCLES &amp; GALASHIELDS</t>
  </si>
  <si>
    <t>SIGHTHILL</t>
  </si>
  <si>
    <t>WESTBURN ROAD</t>
  </si>
  <si>
    <t>BAINSFORD</t>
  </si>
  <si>
    <t>DEVOL MOOR</t>
  </si>
  <si>
    <t>KILLERMONT</t>
  </si>
  <si>
    <t>DUNFERMLINE</t>
  </si>
  <si>
    <t>KILMARNOCK SOUTH</t>
  </si>
  <si>
    <t>PAISLEY</t>
  </si>
  <si>
    <t>KILMARNOCK TOWN</t>
  </si>
  <si>
    <t>WISHAW</t>
  </si>
  <si>
    <t>GIFFNOCK</t>
  </si>
  <si>
    <t>REDHOUSE</t>
  </si>
  <si>
    <t>STRATHAVEN</t>
  </si>
  <si>
    <t>RAVENSCRAIG</t>
  </si>
  <si>
    <t>BONNYBRIDGE</t>
  </si>
  <si>
    <t>KAIMES</t>
  </si>
  <si>
    <t>WESTFIELD</t>
  </si>
  <si>
    <t>HELENSBURGH</t>
  </si>
  <si>
    <t>BRAEHEAD PARK</t>
  </si>
  <si>
    <t>BROXBURN</t>
  </si>
  <si>
    <t>HUNTERSTON FARM</t>
  </si>
  <si>
    <t>GLENNISTON</t>
  </si>
  <si>
    <t>HAGGS ROAD</t>
  </si>
  <si>
    <t>INVERKEITHING</t>
  </si>
  <si>
    <t>SALTCOATS A&amp;B</t>
  </si>
  <si>
    <t>SPANGO VALLEY</t>
  </si>
  <si>
    <t>TONGLAND</t>
  </si>
  <si>
    <t>GOVAN</t>
  </si>
  <si>
    <t>DUMFRIES</t>
  </si>
  <si>
    <t>CHARLOTTE STREET</t>
  </si>
  <si>
    <t>CARNTYNE</t>
  </si>
  <si>
    <t>PORT DUNDAS</t>
  </si>
  <si>
    <t>COCKENZIE</t>
  </si>
  <si>
    <t>GLENROTHES</t>
  </si>
  <si>
    <t>EAST KILBRIDE</t>
  </si>
  <si>
    <t>STIRLING</t>
  </si>
  <si>
    <t>HAWICK</t>
  </si>
  <si>
    <t>WHISTLFIELD</t>
  </si>
  <si>
    <t>CROOKSTON B</t>
  </si>
  <si>
    <t>KILWINNING</t>
  </si>
  <si>
    <t>DRUMCROSS</t>
  </si>
  <si>
    <t>DUMFRIES ICI</t>
  </si>
  <si>
    <t>ELDERSLIE</t>
  </si>
  <si>
    <t>WEST GEORGE ST</t>
  </si>
  <si>
    <t>ERSKINE</t>
  </si>
  <si>
    <t>PARTICK</t>
  </si>
  <si>
    <t>WHITEHOUSE</t>
  </si>
  <si>
    <t>GORGIE</t>
  </si>
  <si>
    <t>PORTOBELLO</t>
  </si>
  <si>
    <t>TELFORD ROAD</t>
  </si>
  <si>
    <t>ABBE5-      11.000</t>
  </si>
  <si>
    <t>ABERFO1A    11.000</t>
  </si>
  <si>
    <t>ABRL5-      11.000</t>
  </si>
  <si>
    <t>AIRD5-      11.000</t>
  </si>
  <si>
    <t>ALBK5-      11.000</t>
  </si>
  <si>
    <t>ALGA5-      11.000</t>
  </si>
  <si>
    <t>ALMV5-      11.000</t>
  </si>
  <si>
    <t>ANAN5-      11.000</t>
  </si>
  <si>
    <t>ANST5-      11.000</t>
  </si>
  <si>
    <t>ARCR5-      11.000</t>
  </si>
  <si>
    <t>ARDD5-      11.000</t>
  </si>
  <si>
    <t>ARMA5-      11.000</t>
  </si>
  <si>
    <t>ASHS5-      11.000</t>
  </si>
  <si>
    <t>AUCHEN1A    11.000</t>
  </si>
  <si>
    <t>AUCM5-      11.000</t>
  </si>
  <si>
    <t>AUCN5-      11.000</t>
  </si>
  <si>
    <t>AURR5-      11.000</t>
  </si>
  <si>
    <t>AVEC5-      11.000</t>
  </si>
  <si>
    <t>AVEE5-      11.000</t>
  </si>
  <si>
    <t>AYTO5-      11.000</t>
  </si>
  <si>
    <t>BAGR5-      11.000</t>
  </si>
  <si>
    <t>BAKS5-      11.000</t>
  </si>
  <si>
    <t>BALG5-      11.000</t>
  </si>
  <si>
    <t>BALL5-      11.000</t>
  </si>
  <si>
    <t>BAMO5-      11.000</t>
  </si>
  <si>
    <t>BAQU6-      6.6000</t>
  </si>
  <si>
    <t>BARH5-      11.000</t>
  </si>
  <si>
    <t>BARR5-      11.000</t>
  </si>
  <si>
    <t>BART5-      11.000</t>
  </si>
  <si>
    <t>BELH5-      11.000</t>
  </si>
  <si>
    <t>BELS5-      11.000</t>
  </si>
  <si>
    <t>BELW5-      11.000</t>
  </si>
  <si>
    <t>BERR5-      11.000</t>
  </si>
  <si>
    <t>BGAR5-      11.000</t>
  </si>
  <si>
    <t>BIBR5-      11.000</t>
  </si>
  <si>
    <t>BISH5-      11.000</t>
  </si>
  <si>
    <t>BIWY5-      11.000</t>
  </si>
  <si>
    <t>BLAIRL1A    11.000</t>
  </si>
  <si>
    <t>BLAS5-      11.000</t>
  </si>
  <si>
    <t>BLBU5-      11.000</t>
  </si>
  <si>
    <t>BONG5-      11.000</t>
  </si>
  <si>
    <t>BONS5-      11.000</t>
  </si>
  <si>
    <t>BORO5-      11.000</t>
  </si>
  <si>
    <t>BOUS5-      11.000</t>
  </si>
  <si>
    <t>BOWH5-      11.000</t>
  </si>
  <si>
    <t>BPFI5-      11.000</t>
  </si>
  <si>
    <t>BRAD5-      11.000</t>
  </si>
  <si>
    <t>BROX5-      11.000</t>
  </si>
  <si>
    <t>BUIS5-      11.000</t>
  </si>
  <si>
    <t>BUNK5-      11.000</t>
  </si>
  <si>
    <t>BURG5-      11.000</t>
  </si>
  <si>
    <t>BURN5-      11.000</t>
  </si>
  <si>
    <t>BUSH5-      11.000</t>
  </si>
  <si>
    <t>BUSI5-      11.000</t>
  </si>
  <si>
    <t>BYRE5-      11.000</t>
  </si>
  <si>
    <t>CADA5-      11.000</t>
  </si>
  <si>
    <t>CADD5-      11.000</t>
  </si>
  <si>
    <t>CALA5A      11.000</t>
  </si>
  <si>
    <t>CALA5B      11.000</t>
  </si>
  <si>
    <t>CALE5-      11.000</t>
  </si>
  <si>
    <t>CALO5-      11.000</t>
  </si>
  <si>
    <t>CALT5-      11.000</t>
  </si>
  <si>
    <t>CAME5-      11.000</t>
  </si>
  <si>
    <t>CAML5-      11.000</t>
  </si>
  <si>
    <t>CAND5A      11.000</t>
  </si>
  <si>
    <t>CAND5B      11.000</t>
  </si>
  <si>
    <t>CARD5-      11.000</t>
  </si>
  <si>
    <t>CARF5-      11.000</t>
  </si>
  <si>
    <t>CARG5-      11.000</t>
  </si>
  <si>
    <t>CARM5-      11.000</t>
  </si>
  <si>
    <t>CARN5-      11.000</t>
  </si>
  <si>
    <t>CARU5-      11.000</t>
  </si>
  <si>
    <t>CASM5-      11.000</t>
  </si>
  <si>
    <t>CATH01      11.000</t>
  </si>
  <si>
    <t>CATK01      11.000</t>
  </si>
  <si>
    <t>CHAL5-      11.000</t>
  </si>
  <si>
    <t>CHEL5-      11.000</t>
  </si>
  <si>
    <t>CHIR5-      11.000</t>
  </si>
  <si>
    <t>CHLS5-      11.000</t>
  </si>
  <si>
    <t>CLAR5-      11.000</t>
  </si>
  <si>
    <t>CLUN5-      11.000</t>
  </si>
  <si>
    <t>CLWA5-      11.000</t>
  </si>
  <si>
    <t>CLYB5-      11.000</t>
  </si>
  <si>
    <t>CNOK5-      11.000</t>
  </si>
  <si>
    <t>CNUK5-      11.000</t>
  </si>
  <si>
    <t>CODC5-      11.000</t>
  </si>
  <si>
    <t>COLD5-      11.000</t>
  </si>
  <si>
    <t>COLI5-      11.000</t>
  </si>
  <si>
    <t>COLL5-      11.000</t>
  </si>
  <si>
    <t>COMI5-      11.000</t>
  </si>
  <si>
    <t>CONS5-      11.000</t>
  </si>
  <si>
    <t>COQU5-      11.000</t>
  </si>
  <si>
    <t>CORO5-      11.000</t>
  </si>
  <si>
    <t>COUL5-      11.000</t>
  </si>
  <si>
    <t>COWD5-      11.000</t>
  </si>
  <si>
    <t>COWG5-      11.000</t>
  </si>
  <si>
    <t>COWI5-      11.000</t>
  </si>
  <si>
    <t>CRAR5-      11.000</t>
  </si>
  <si>
    <t>CRDO5-      11.000</t>
  </si>
  <si>
    <t>CRON5-      11.000</t>
  </si>
  <si>
    <t>CROO5-      11.000</t>
  </si>
  <si>
    <t>CRTO5-      11.000</t>
  </si>
  <si>
    <t>CSLA5-      11.000</t>
  </si>
  <si>
    <t>DADR5-      11.000</t>
  </si>
  <si>
    <t>DALG5-      11.000</t>
  </si>
  <si>
    <t>DARV5-      11.000</t>
  </si>
  <si>
    <t>DAVS5-      11.000</t>
  </si>
  <si>
    <t>DEAS5-      11.000</t>
  </si>
  <si>
    <t>DECL5-      11.000</t>
  </si>
  <si>
    <t>DENH5-      11.000</t>
  </si>
  <si>
    <t>DERI5-      11.000</t>
  </si>
  <si>
    <t>DEWP5-      11.000</t>
  </si>
  <si>
    <t>DIGI5-      11.000</t>
  </si>
  <si>
    <t>DNDS5-      11.000</t>
  </si>
  <si>
    <t>DOLR5-      11.000</t>
  </si>
  <si>
    <t>DOWE5-      11.000</t>
  </si>
  <si>
    <t>DRUR5-      11.000</t>
  </si>
  <si>
    <t>DRUY5-      11.000</t>
  </si>
  <si>
    <t>DRYMEN1A    11.000</t>
  </si>
  <si>
    <t>DUCO5-      11.000</t>
  </si>
  <si>
    <t>DUDY5-      11.000</t>
  </si>
  <si>
    <t>DUHO5-      11.000</t>
  </si>
  <si>
    <t>DUMB5-      11.000</t>
  </si>
  <si>
    <t>DUNS5-      11.000</t>
  </si>
  <si>
    <t>EAER5-      11.000</t>
  </si>
  <si>
    <t>EALA00      11.000</t>
  </si>
  <si>
    <t>EALI5-      11.000</t>
  </si>
  <si>
    <t>EAMA5-      11.000</t>
  </si>
  <si>
    <t>EARD5-      11.000</t>
  </si>
  <si>
    <t>EARL5-      11.000</t>
  </si>
  <si>
    <t>EATR5-      11.000</t>
  </si>
  <si>
    <t>EDDN5-      11.000</t>
  </si>
  <si>
    <t>ELIS6-      6.6000</t>
  </si>
  <si>
    <t>ELLS5-      11.000</t>
  </si>
  <si>
    <t>ELRO5-      11.000</t>
  </si>
  <si>
    <t>ERSK5-      11.000</t>
  </si>
  <si>
    <t>EYEM5-      11.000</t>
  </si>
  <si>
    <t>FAIR5-      11.000</t>
  </si>
  <si>
    <t>FASL5-      11.000</t>
  </si>
  <si>
    <t>FINN5-      11.000</t>
  </si>
  <si>
    <t>FIRR5-      11.000</t>
  </si>
  <si>
    <t>FLES5-      11.000</t>
  </si>
  <si>
    <t>FORG5-      11.000</t>
  </si>
  <si>
    <t>FOST5-      11.000</t>
  </si>
  <si>
    <t>FOXB5-      11.000</t>
  </si>
  <si>
    <t>FRAN5-      11.000</t>
  </si>
  <si>
    <t>FROG5-      11.000</t>
  </si>
  <si>
    <t>FRTH5-      11.000</t>
  </si>
  <si>
    <t>GAHO5-      11.000</t>
  </si>
  <si>
    <t>GARE5-      11.000</t>
  </si>
  <si>
    <t>GARO5-      11.000</t>
  </si>
  <si>
    <t>GASH5-      11.000</t>
  </si>
  <si>
    <t>GATA5-      11.000</t>
  </si>
  <si>
    <t>GESL5-      11.000</t>
  </si>
  <si>
    <t>GIRT5-      11.000</t>
  </si>
  <si>
    <t>GLAA5-      11.000</t>
  </si>
  <si>
    <t>GLGA5-      11.000</t>
  </si>
  <si>
    <t>GLLU5-      11.000</t>
  </si>
  <si>
    <t>GLMA5-      11.000</t>
  </si>
  <si>
    <t>GLNB5-      11.000</t>
  </si>
  <si>
    <t>GLTE10      11.000</t>
  </si>
  <si>
    <t>GLWO5-      11.000</t>
  </si>
  <si>
    <t>GORD5-      11.000</t>
  </si>
  <si>
    <t>GORG5-      11.000</t>
  </si>
  <si>
    <t>GRAS5-      11.000</t>
  </si>
  <si>
    <t>GRLA5-      11.000</t>
  </si>
  <si>
    <t>GRNA5-      11.000</t>
  </si>
  <si>
    <t>GRPA5-      11.000</t>
  </si>
  <si>
    <t>GRYA5-      11.000</t>
  </si>
  <si>
    <t>HAGR5-      11.000</t>
  </si>
  <si>
    <t>HAMN5-      11.000</t>
  </si>
  <si>
    <t>HECA5-      11.000</t>
  </si>
  <si>
    <t>HEFI5-      11.000</t>
  </si>
  <si>
    <t>HELS6-      6.6000</t>
  </si>
  <si>
    <t>HERO5-      11.000</t>
  </si>
  <si>
    <t>HIBL5-      11.000</t>
  </si>
  <si>
    <t>HIMA5-      11.000</t>
  </si>
  <si>
    <t>HORN5-      11.000</t>
  </si>
  <si>
    <t>HUNS5-      11.000</t>
  </si>
  <si>
    <t>HUNT5-      11.000</t>
  </si>
  <si>
    <t>HUST5-      11.000</t>
  </si>
  <si>
    <t>ICID5-      11.000</t>
  </si>
  <si>
    <t>INRO5-      11.000</t>
  </si>
  <si>
    <t>IRVI5-      11.000</t>
  </si>
  <si>
    <t>JOST5-      11.000</t>
  </si>
  <si>
    <t>KEBA5-      11.000</t>
  </si>
  <si>
    <t>KELT5-      11.000</t>
  </si>
  <si>
    <t>KELV5-      11.000</t>
  </si>
  <si>
    <t>KENA5-      11.000</t>
  </si>
  <si>
    <t>KEPCUL1A    11.000</t>
  </si>
  <si>
    <t>KEVS5-      11.000</t>
  </si>
  <si>
    <t>KIAR5-      11.000</t>
  </si>
  <si>
    <t>KIBA5-      11.000</t>
  </si>
  <si>
    <t>KIBL5-      11.000</t>
  </si>
  <si>
    <t>KICM5-      11.000</t>
  </si>
  <si>
    <t>KICO5-      11.000</t>
  </si>
  <si>
    <t>KIDR5-      11.000</t>
  </si>
  <si>
    <t>KIIR5-      11.000</t>
  </si>
  <si>
    <t>KILLEA1A    11.000</t>
  </si>
  <si>
    <t>KIMA5-      11.000</t>
  </si>
  <si>
    <t>KIRN5-      11.000</t>
  </si>
  <si>
    <t>KIRT5-      11.000</t>
  </si>
  <si>
    <t>KISL5-      11.000</t>
  </si>
  <si>
    <t>KISY5-      11.000</t>
  </si>
  <si>
    <t>KITO5-      11.000</t>
  </si>
  <si>
    <t>LABE5-      11.000</t>
  </si>
  <si>
    <t>LANG5-      11.000</t>
  </si>
  <si>
    <t>LANK5-      11.000</t>
  </si>
  <si>
    <t>LANS5-      11.000</t>
  </si>
  <si>
    <t>LARG5-      11.000</t>
  </si>
  <si>
    <t>LARK5-      11.000</t>
  </si>
  <si>
    <t>LATO5-      11.000</t>
  </si>
  <si>
    <t>LAUD5-      11.000</t>
  </si>
  <si>
    <t>LEBA5-      11.000</t>
  </si>
  <si>
    <t>LECH5-      11.000</t>
  </si>
  <si>
    <t>LEGO5-      11.000</t>
  </si>
  <si>
    <t>LEHI5-      11.000</t>
  </si>
  <si>
    <t>LESS5-      11.000</t>
  </si>
  <si>
    <t>LEUC5-      11.000</t>
  </si>
  <si>
    <t>LEVS5-      11.000</t>
  </si>
  <si>
    <t>LIFR5-      11.000</t>
  </si>
  <si>
    <t>LILA5-      11.000</t>
  </si>
  <si>
    <t>LINL5-      11.000</t>
  </si>
  <si>
    <t>LINR5-      11.000</t>
  </si>
  <si>
    <t>LINT5-      11.000</t>
  </si>
  <si>
    <t>LLRO5-      11.000</t>
  </si>
  <si>
    <t>LOAN5P      11.000</t>
  </si>
  <si>
    <t>LOBI5-      11.000</t>
  </si>
  <si>
    <t>LOCW5-      11.000</t>
  </si>
  <si>
    <t>LONI5-      11.000</t>
  </si>
  <si>
    <t>LOQU5-      11.000</t>
  </si>
  <si>
    <t>LOSI5-      11.000</t>
  </si>
  <si>
    <t>LOST5-      11.000</t>
  </si>
  <si>
    <t>LUGT5-      11.000</t>
  </si>
  <si>
    <t>MABO5-      11.000</t>
  </si>
  <si>
    <t>MAHI5-      11.000</t>
  </si>
  <si>
    <t>MALI5-      11.000</t>
  </si>
  <si>
    <t>MART5-      11.000</t>
  </si>
  <si>
    <t>MAUR5-      11.000</t>
  </si>
  <si>
    <t>MAXS5-      11.000</t>
  </si>
  <si>
    <t>MAXT5-      11.000</t>
  </si>
  <si>
    <t>MEAR6-      6.6000</t>
  </si>
  <si>
    <t>MEHI5-      11.000</t>
  </si>
  <si>
    <t>MENS5-      11.000</t>
  </si>
  <si>
    <t>MIBI5-      11.000</t>
  </si>
  <si>
    <t>MIDB00      11.000</t>
  </si>
  <si>
    <t>MILL5-      11.000</t>
  </si>
  <si>
    <t>MIST5-      11.000</t>
  </si>
  <si>
    <t>MITS5-      11.000</t>
  </si>
  <si>
    <t>MOFT5-      11.000</t>
  </si>
  <si>
    <t>MOHA5-      11.000</t>
  </si>
  <si>
    <t>MONK5-      11.000</t>
  </si>
  <si>
    <t>MORE5-      11.000</t>
  </si>
  <si>
    <t>MORT5-      11.000</t>
  </si>
  <si>
    <t>MUBA5-      11.000</t>
  </si>
  <si>
    <t>MUCK5-      11.000</t>
  </si>
  <si>
    <t>MUHO5-      11.000</t>
  </si>
  <si>
    <t>MYOT5-      11.000</t>
  </si>
  <si>
    <t>MYRT5-      11.000</t>
  </si>
  <si>
    <t>NBDI5-      11.000</t>
  </si>
  <si>
    <t>NBST5-      11.000</t>
  </si>
  <si>
    <t>NEBU5-      11.000</t>
  </si>
  <si>
    <t>NECU5-      11.000</t>
  </si>
  <si>
    <t>NEHO5-      11.000</t>
  </si>
  <si>
    <t>NELA5-      11.000</t>
  </si>
  <si>
    <t>NEMI5-      11.000</t>
  </si>
  <si>
    <t>NETH5-      11.000</t>
  </si>
  <si>
    <t>NETS5-      11.000</t>
  </si>
  <si>
    <t>NEWB5-      11.000</t>
  </si>
  <si>
    <t>NEWC5-      11.000</t>
  </si>
  <si>
    <t>NEWL5-      11.000</t>
  </si>
  <si>
    <t>NIDD5-      11.000</t>
  </si>
  <si>
    <t>NOBE5-      11.000</t>
  </si>
  <si>
    <t>NORH5-      11.000</t>
  </si>
  <si>
    <t>NORO5-      11.000</t>
  </si>
  <si>
    <t>OAKD5-      11.000</t>
  </si>
  <si>
    <t>OBRI5-      11.000</t>
  </si>
  <si>
    <t>OCEA5-      11.000</t>
  </si>
  <si>
    <t>OLDD6-      6.6000</t>
  </si>
  <si>
    <t>OVTO5-      11.000</t>
  </si>
  <si>
    <t>OXRO5-      11.000</t>
  </si>
  <si>
    <t>PARO5-      11.000</t>
  </si>
  <si>
    <t>PAVI5-      11.000</t>
  </si>
  <si>
    <t>PECU5-      11.000</t>
  </si>
  <si>
    <t>PENC5-      11.000</t>
  </si>
  <si>
    <t>PEPO5-      11.000</t>
  </si>
  <si>
    <t>PEPP5-      11.000</t>
  </si>
  <si>
    <t>PERO5-      11.000</t>
  </si>
  <si>
    <t>PETR5-      11.000</t>
  </si>
  <si>
    <t>PICH5-      11.000</t>
  </si>
  <si>
    <t>PIDR5-      11.000</t>
  </si>
  <si>
    <t>PIWH5-      11.000</t>
  </si>
  <si>
    <t>POOB5-      11.000</t>
  </si>
  <si>
    <t>PRES5-      11.000</t>
  </si>
  <si>
    <t>PYRA5-      11.000</t>
  </si>
  <si>
    <t>QUDR5-      11.000</t>
  </si>
  <si>
    <t>QUWA5-      11.000</t>
  </si>
  <si>
    <t>RAIT5-      11.000</t>
  </si>
  <si>
    <t>RALA5-      11.000</t>
  </si>
  <si>
    <t>RALS5-      11.000</t>
  </si>
  <si>
    <t>RANR5-      11.000</t>
  </si>
  <si>
    <t>RAPA5-      11.000</t>
  </si>
  <si>
    <t>RENF5-      11.000</t>
  </si>
  <si>
    <t>ROBP5-      11.000</t>
  </si>
  <si>
    <t>ROSSPR1A    11.000</t>
  </si>
  <si>
    <t>ROTB5-      11.000</t>
  </si>
  <si>
    <t>ROTT5-      11.000</t>
  </si>
  <si>
    <t>RTPG5-      11.000</t>
  </si>
  <si>
    <t>SACO5-      11.000</t>
  </si>
  <si>
    <t>SAUC5-      11.000</t>
  </si>
  <si>
    <t>SCNB5-      11.000</t>
  </si>
  <si>
    <t>SELK5-      11.000</t>
  </si>
  <si>
    <t>SGLU5-      11.000</t>
  </si>
  <si>
    <t>SHAS5-      11.000</t>
  </si>
  <si>
    <t>SHER5-      11.000</t>
  </si>
  <si>
    <t>SHSU5-      11.000</t>
  </si>
  <si>
    <t>SHTT5-      11.000</t>
  </si>
  <si>
    <t>SOFI5-      11.000</t>
  </si>
  <si>
    <t>SOGE5-      11.000</t>
  </si>
  <si>
    <t>SOQU5-      11.000</t>
  </si>
  <si>
    <t>SORB5-      11.000</t>
  </si>
  <si>
    <t>SPOT5-      11.000</t>
  </si>
  <si>
    <t>STBO5-      11.000</t>
  </si>
  <si>
    <t>STCR5-      11.000</t>
  </si>
  <si>
    <t>STEL5-      11.000</t>
  </si>
  <si>
    <t>STEP5-      11.000</t>
  </si>
  <si>
    <t>STEV5-      11.000</t>
  </si>
  <si>
    <t>STHA5-      11.000</t>
  </si>
  <si>
    <t>STHO5-      11.000</t>
  </si>
  <si>
    <t>STJC5-      11.000</t>
  </si>
  <si>
    <t>STNI5-      11.000</t>
  </si>
  <si>
    <t>STRA5-      11.000</t>
  </si>
  <si>
    <t>STRP5-      11.000</t>
  </si>
  <si>
    <t>STUN5-      11.000</t>
  </si>
  <si>
    <t>SYMT5-      11.000</t>
  </si>
  <si>
    <t>TELR5-      11.000</t>
  </si>
  <si>
    <t>THCO5-      11.000</t>
  </si>
  <si>
    <t>TORN5-      11.000</t>
  </si>
  <si>
    <t>TOWR5-      11.000</t>
  </si>
  <si>
    <t>TRAN5-      11.000</t>
  </si>
  <si>
    <t>TROO5-      11.000</t>
  </si>
  <si>
    <t>UDDS5-      11.000</t>
  </si>
  <si>
    <t>UNDE5-      11.000</t>
  </si>
  <si>
    <t>VIRS5-      11.000</t>
  </si>
  <si>
    <t>WADS5-      11.000</t>
  </si>
  <si>
    <t>WARO5-      11.000</t>
  </si>
  <si>
    <t>WATS5-      11.000</t>
  </si>
  <si>
    <t>WEAV5-      11.000</t>
  </si>
  <si>
    <t>WECL5-      11.000</t>
  </si>
  <si>
    <t>WELI5-      11.000</t>
  </si>
  <si>
    <t>WESR5-      11.000</t>
  </si>
  <si>
    <t>WEST5-      11.000</t>
  </si>
  <si>
    <t>WEWO5-      11.000</t>
  </si>
  <si>
    <t>WGEO5-      11.000</t>
  </si>
  <si>
    <t>WHCH5-      11.000</t>
  </si>
  <si>
    <t>WHFL5-      11.000</t>
  </si>
  <si>
    <t>WLST5-      11.000</t>
  </si>
  <si>
    <t>WOID5-      11.000</t>
  </si>
  <si>
    <t>WOOD5-      11.000</t>
  </si>
  <si>
    <t>WOSL5-      11.000</t>
  </si>
  <si>
    <t>YETH5-      11.000</t>
  </si>
  <si>
    <t>YOKF5-      11.000</t>
  </si>
  <si>
    <t>ZEPK5-      11.000</t>
  </si>
  <si>
    <t>Unit charge 3
(NHH)
p/kWh</t>
  </si>
  <si>
    <t>1&amp;8</t>
  </si>
  <si>
    <t>0&amp;8</t>
  </si>
  <si>
    <t>848</t>
  </si>
  <si>
    <t>1800060904910</t>
  </si>
  <si>
    <t>648</t>
  </si>
  <si>
    <t>1800060904929</t>
  </si>
  <si>
    <t>Craigannet</t>
  </si>
  <si>
    <t>1800060954752</t>
  </si>
  <si>
    <t>Broxburn ESS</t>
  </si>
  <si>
    <t>Company and Licence name, charging year, effective from,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</si>
</sst>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 #,##0.00_-;_-* &quot;-&quot;??_-;_-@_-"/>
    <numFmt numFmtId="164" formatCode="0.00_ ;[Red]\-0.00\ "/>
    <numFmt numFmtId="165" formatCode="0.000"/>
    <numFmt numFmtId="166" formatCode="#,##0.000"/>
    <numFmt numFmtId="167" formatCode="_(?,???,??0.000_);[Red]\(?,???,??0.000\);_(?,???,???.???_)"/>
    <numFmt numFmtId="168" formatCode="#"/>
    <numFmt numFmtId="169" formatCode="\ _(???,???,??0.000_);[Red]\ \(???,???,??0.000\);"/>
    <numFmt numFmtId="170" formatCode="\ _(???,???,??0.00_);[Red]\ \(???,???,??0.00\);"/>
    <numFmt numFmtId="171" formatCode="0000"/>
    <numFmt numFmtId="172" formatCode="00000"/>
    <numFmt numFmtId="173" formatCode="0.000_ ;[Red]\-0.000\ "/>
    <numFmt numFmtId="174" formatCode="0.00;[Red]\-0.00;?;"/>
    <numFmt numFmtId="175" formatCode="#,##0;\-#,##0;;"/>
    <numFmt numFmtId="176" formatCode="000"/>
    <numFmt numFmtId="177" formatCode="#,##0;[Red]\-#,##0;;"/>
    <numFmt numFmtId="178" formatCode="0.000;[Red]\-0.000;?;"/>
    <numFmt numFmtId="179" formatCode="0.000_ ;\-0.000\ "/>
    <numFmt numFmtId="180" formatCode="_-* #,##0.000_-;\-* #,##0.000_-;_-* &quot;-&quot;??_-;_-@_-"/>
  </numFmts>
  <fonts count="38"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1"/>
      <color theme="3"/>
      <name val="Arial"/>
      <family val="2"/>
    </font>
    <font>
      <sz val="9.9"/>
      <name val="Arial"/>
      <family val="2"/>
    </font>
    <font>
      <sz val="10"/>
      <color rgb="FF9C6500"/>
      <name val="Arial"/>
      <family val="2"/>
    </font>
    <font>
      <u/>
      <sz val="10"/>
      <color indexed="12"/>
      <name val="Arial"/>
      <family val="2"/>
    </font>
    <font>
      <u/>
      <sz val="11"/>
      <color theme="10"/>
      <name val="Calibri"/>
      <family val="2"/>
      <scheme val="minor"/>
    </font>
    <font>
      <sz val="11"/>
      <color rgb="FF006100"/>
      <name val="Calibri"/>
      <family val="2"/>
      <scheme val="minor"/>
    </font>
    <font>
      <sz val="10"/>
      <name val="Arial"/>
    </font>
  </fonts>
  <fills count="40">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FFEB9C"/>
      </patternFill>
    </fill>
    <fill>
      <patternFill patternType="solid">
        <fgColor theme="0" tint="-0.249977111117893"/>
        <bgColor indexed="64"/>
      </patternFill>
    </fill>
    <fill>
      <patternFill patternType="solid">
        <fgColor theme="0" tint="-0.249977111117893"/>
        <bgColor indexed="55"/>
      </patternFill>
    </fill>
    <fill>
      <patternFill patternType="solid">
        <fgColor rgb="FFC6EFCE"/>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4">
    <xf numFmtId="0" fontId="0" fillId="0" borderId="0"/>
    <xf numFmtId="0" fontId="4"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5" fillId="24" borderId="0" applyNumberFormat="0" applyBorder="0" applyAlignment="0" applyProtection="0"/>
    <xf numFmtId="0" fontId="3"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0" fillId="0" borderId="0"/>
    <xf numFmtId="0" fontId="33" fillId="36" borderId="0" applyNumberFormat="0" applyBorder="0" applyAlignment="0" applyProtection="0"/>
    <xf numFmtId="0" fontId="1" fillId="6" borderId="0" applyNumberFormat="0" applyBorder="0" applyAlignment="0" applyProtection="0"/>
    <xf numFmtId="0" fontId="1" fillId="27" borderId="0" applyNumberFormat="0" applyBorder="0" applyAlignment="0" applyProtection="0"/>
    <xf numFmtId="0" fontId="1" fillId="0" borderId="0"/>
    <xf numFmtId="0" fontId="35" fillId="0" borderId="0" applyNumberFormat="0" applyFill="0" applyBorder="0" applyAlignment="0" applyProtection="0"/>
    <xf numFmtId="0" fontId="34" fillId="0" borderId="0" applyNumberFormat="0" applyFill="0" applyBorder="0" applyAlignment="0" applyProtection="0">
      <alignment vertical="top"/>
      <protection locked="0"/>
    </xf>
    <xf numFmtId="0" fontId="36" fillId="39" borderId="0" applyNumberFormat="0" applyBorder="0" applyAlignment="0" applyProtection="0"/>
    <xf numFmtId="43" fontId="37" fillId="0" borderId="0" applyFont="0" applyFill="0" applyBorder="0" applyAlignment="0" applyProtection="0"/>
  </cellStyleXfs>
  <cellXfs count="298">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0" fillId="0" borderId="1" xfId="0" applyBorder="1" applyAlignment="1">
      <alignment vertical="center"/>
    </xf>
    <xf numFmtId="0" fontId="6" fillId="0" borderId="0" xfId="0" applyFont="1" applyBorder="1" applyAlignment="1">
      <alignment wrapText="1"/>
    </xf>
    <xf numFmtId="0" fontId="7" fillId="0" borderId="0" xfId="0" applyFont="1" applyBorder="1" applyAlignment="1">
      <alignment vertical="top" wrapText="1"/>
    </xf>
    <xf numFmtId="0" fontId="0" fillId="0" borderId="0" xfId="0" applyBorder="1"/>
    <xf numFmtId="0" fontId="14" fillId="2" borderId="0" xfId="4"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7" fillId="7" borderId="1" xfId="0" applyFont="1" applyFill="1" applyBorder="1" applyAlignment="1" applyProtection="1">
      <alignment horizontal="center" vertical="center" wrapText="1"/>
      <protection locked="0"/>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0" fontId="7" fillId="7" borderId="1" xfId="0" applyFont="1" applyFill="1" applyBorder="1" applyAlignment="1" applyProtection="1">
      <alignment horizontal="center" vertical="center" wrapText="1"/>
    </xf>
    <xf numFmtId="0" fontId="7" fillId="7" borderId="1" xfId="0" applyFont="1" applyFill="1" applyBorder="1" applyAlignment="1" applyProtection="1">
      <alignment vertical="center" wrapText="1"/>
    </xf>
    <xf numFmtId="168"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3" applyNumberFormat="1" applyFont="1" applyAlignment="1" applyProtection="1">
      <alignment horizontal="center" vertical="center" wrapText="1"/>
      <protection locked="0"/>
    </xf>
    <xf numFmtId="169" fontId="18" fillId="12" borderId="1" xfId="0" applyNumberFormat="1" applyFont="1" applyFill="1" applyBorder="1" applyAlignment="1" applyProtection="1">
      <alignment horizontal="center" vertical="center"/>
      <protection locked="0"/>
    </xf>
    <xf numFmtId="170" fontId="18" fillId="12" borderId="1" xfId="0" applyNumberFormat="1" applyFont="1" applyFill="1" applyBorder="1" applyAlignment="1" applyProtection="1">
      <alignment horizontal="center" vertical="center"/>
      <protection locked="0"/>
    </xf>
    <xf numFmtId="169" fontId="18" fillId="14"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170" fontId="18" fillId="15" borderId="1" xfId="0" applyNumberFormat="1" applyFont="1" applyFill="1" applyBorder="1" applyAlignment="1" applyProtection="1">
      <alignment horizontal="center" vertical="center"/>
      <protection locked="0"/>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69" fontId="18" fillId="9" borderId="1" xfId="0" applyNumberFormat="1" applyFont="1" applyFill="1" applyBorder="1" applyAlignment="1" applyProtection="1">
      <alignment horizontal="center" vertical="center"/>
      <protection locked="0"/>
    </xf>
    <xf numFmtId="170" fontId="18"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7" fillId="7" borderId="1" xfId="0" quotePrefix="1" applyFont="1" applyFill="1" applyBorder="1" applyAlignment="1" applyProtection="1">
      <alignment horizontal="center" vertical="center" wrapText="1"/>
    </xf>
    <xf numFmtId="0" fontId="6" fillId="0" borderId="0" xfId="7" applyAlignment="1">
      <alignment horizontal="center" vertical="top" wrapText="1"/>
    </xf>
    <xf numFmtId="0" fontId="6" fillId="0" borderId="0" xfId="7"/>
    <xf numFmtId="0" fontId="6" fillId="0" borderId="0" xfId="7" applyAlignment="1">
      <alignment horizontal="left"/>
    </xf>
    <xf numFmtId="0" fontId="6" fillId="0" borderId="0" xfId="7" applyAlignment="1">
      <alignment horizontal="center" vertical="center" wrapText="1"/>
    </xf>
    <xf numFmtId="49" fontId="21" fillId="8" borderId="1" xfId="0" applyNumberFormat="1" applyFont="1" applyFill="1" applyBorder="1" applyAlignment="1" applyProtection="1">
      <alignment horizontal="center" vertical="center" wrapText="1"/>
      <protection locked="0"/>
    </xf>
    <xf numFmtId="173" fontId="21" fillId="9" borderId="1" xfId="0" applyNumberFormat="1" applyFont="1" applyFill="1" applyBorder="1" applyAlignment="1" applyProtection="1">
      <alignment horizontal="center" vertical="center"/>
      <protection locked="0"/>
    </xf>
    <xf numFmtId="173" fontId="21" fillId="3" borderId="1" xfId="0" applyNumberFormat="1" applyFont="1" applyFill="1" applyBorder="1" applyAlignment="1" applyProtection="1">
      <alignment horizontal="center" vertical="center"/>
      <protection locked="0"/>
    </xf>
    <xf numFmtId="2" fontId="21" fillId="10"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73" fontId="21" fillId="19" borderId="1" xfId="0" applyNumberFormat="1" applyFont="1" applyFill="1" applyBorder="1" applyAlignment="1" applyProtection="1">
      <alignment horizontal="center" vertical="center"/>
      <protection locked="0"/>
    </xf>
    <xf numFmtId="173" fontId="21" fillId="22" borderId="1" xfId="0" applyNumberFormat="1" applyFont="1" applyFill="1" applyBorder="1" applyAlignment="1" applyProtection="1">
      <alignment horizontal="center" vertical="center"/>
      <protection locked="0"/>
    </xf>
    <xf numFmtId="173" fontId="22" fillId="19" borderId="1" xfId="0" applyNumberFormat="1" applyFont="1" applyFill="1" applyBorder="1" applyAlignment="1" applyProtection="1">
      <alignment horizontal="center" vertical="center"/>
      <protection locked="0"/>
    </xf>
    <xf numFmtId="0" fontId="23" fillId="0" borderId="1" xfId="1" applyFont="1" applyFill="1" applyBorder="1" applyAlignment="1" applyProtection="1">
      <alignment horizontal="center" vertical="center" wrapText="1"/>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173" fontId="22" fillId="20" borderId="1" xfId="0" applyNumberFormat="1" applyFont="1" applyFill="1" applyBorder="1" applyAlignment="1" applyProtection="1">
      <alignment horizontal="center" vertical="center"/>
      <protection locked="0"/>
    </xf>
    <xf numFmtId="0" fontId="21" fillId="0" borderId="1" xfId="0" applyFont="1" applyBorder="1" applyAlignment="1" applyProtection="1">
      <alignment horizontal="center" vertical="center" wrapText="1"/>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4" applyFont="1" applyFill="1" applyAlignment="1" applyProtection="1">
      <alignment vertical="center"/>
    </xf>
    <xf numFmtId="0" fontId="6" fillId="2" borderId="8" xfId="7" quotePrefix="1" applyFont="1" applyFill="1" applyBorder="1" applyAlignment="1">
      <alignment vertical="center" wrapText="1"/>
    </xf>
    <xf numFmtId="0" fontId="6" fillId="2" borderId="0" xfId="7" applyFont="1" applyFill="1" applyAlignment="1">
      <alignment vertical="center"/>
    </xf>
    <xf numFmtId="0" fontId="8" fillId="2" borderId="0" xfId="7" applyFont="1" applyFill="1" applyAlignment="1">
      <alignment vertical="center"/>
    </xf>
    <xf numFmtId="0" fontId="7" fillId="7" borderId="1" xfId="7" quotePrefix="1" applyFont="1" applyFill="1" applyBorder="1" applyAlignment="1">
      <alignment horizontal="center" vertical="center" wrapText="1"/>
    </xf>
    <xf numFmtId="0" fontId="7" fillId="7" borderId="1" xfId="7" applyFont="1" applyFill="1" applyBorder="1" applyAlignment="1">
      <alignment horizontal="center" vertical="center" wrapText="1"/>
    </xf>
    <xf numFmtId="49" fontId="24" fillId="7" borderId="1" xfId="7" applyNumberFormat="1" applyFont="1" applyFill="1" applyBorder="1" applyAlignment="1">
      <alignment horizontal="center" vertical="center" wrapText="1"/>
    </xf>
    <xf numFmtId="49" fontId="7" fillId="7" borderId="1" xfId="7" applyNumberFormat="1" applyFont="1" applyFill="1" applyBorder="1" applyAlignment="1">
      <alignment horizontal="center" vertical="center" wrapText="1"/>
    </xf>
    <xf numFmtId="1" fontId="6" fillId="9" borderId="1" xfId="7" applyNumberFormat="1" applyFont="1" applyFill="1" applyBorder="1" applyAlignment="1" applyProtection="1">
      <alignment horizontal="left" vertical="center" wrapText="1"/>
      <protection locked="0"/>
    </xf>
    <xf numFmtId="0" fontId="6" fillId="9" borderId="1" xfId="7" applyNumberFormat="1" applyFont="1" applyFill="1" applyBorder="1" applyAlignment="1" applyProtection="1">
      <alignment horizontal="left" vertical="center" wrapText="1"/>
      <protection locked="0"/>
    </xf>
    <xf numFmtId="0" fontId="6" fillId="2" borderId="0" xfId="7" applyFont="1" applyFill="1" applyAlignment="1">
      <alignment horizontal="center" vertical="center"/>
    </xf>
    <xf numFmtId="166" fontId="6" fillId="2" borderId="0" xfId="7" applyNumberFormat="1" applyFont="1" applyFill="1" applyAlignment="1">
      <alignment horizontal="center" vertical="center"/>
    </xf>
    <xf numFmtId="0" fontId="6" fillId="2" borderId="0" xfId="7" applyFont="1" applyFill="1"/>
    <xf numFmtId="173" fontId="4" fillId="12" borderId="1" xfId="7" applyNumberFormat="1" applyFont="1" applyFill="1" applyBorder="1" applyAlignment="1" applyProtection="1">
      <alignment horizontal="center" vertical="center"/>
      <protection locked="0"/>
    </xf>
    <xf numFmtId="164" fontId="4" fillId="12" borderId="1" xfId="7" applyNumberFormat="1" applyFont="1" applyFill="1" applyBorder="1" applyAlignment="1" applyProtection="1">
      <alignment horizontal="center" vertical="center"/>
      <protection locked="0"/>
    </xf>
    <xf numFmtId="173" fontId="4" fillId="9" borderId="1" xfId="7" applyNumberFormat="1" applyFont="1" applyFill="1" applyBorder="1" applyAlignment="1" applyProtection="1">
      <alignment horizontal="center" vertical="center"/>
      <protection locked="0"/>
    </xf>
    <xf numFmtId="164" fontId="4" fillId="9" borderId="1" xfId="7" applyNumberFormat="1" applyFont="1" applyFill="1" applyBorder="1" applyAlignment="1" applyProtection="1">
      <alignment horizontal="center" vertical="center"/>
      <protection locked="0"/>
    </xf>
    <xf numFmtId="0" fontId="21" fillId="17" borderId="1" xfId="0" applyNumberFormat="1" applyFont="1" applyFill="1" applyBorder="1" applyAlignment="1" applyProtection="1">
      <alignment horizontal="center" vertical="center" wrapText="1"/>
      <protection locked="0"/>
    </xf>
    <xf numFmtId="0" fontId="6" fillId="0" borderId="0" xfId="0" applyFont="1" applyProtection="1">
      <protection locked="0"/>
    </xf>
    <xf numFmtId="49" fontId="11" fillId="6" borderId="0" xfId="2" quotePrefix="1" applyNumberFormat="1" applyFont="1" applyFill="1" applyAlignment="1" applyProtection="1">
      <alignment horizontal="left" vertical="center" wrapText="1"/>
      <protection locked="0"/>
    </xf>
    <xf numFmtId="49" fontId="11" fillId="6" borderId="0" xfId="2" applyNumberFormat="1" applyFont="1" applyFill="1" applyAlignment="1" applyProtection="1">
      <alignment vertical="center" wrapText="1"/>
      <protection locked="0"/>
    </xf>
    <xf numFmtId="49" fontId="19" fillId="0" borderId="0" xfId="5" applyNumberFormat="1" applyFont="1" applyBorder="1" applyAlignment="1" applyProtection="1">
      <alignment vertical="center"/>
      <protection locked="0"/>
    </xf>
    <xf numFmtId="0" fontId="6" fillId="0" borderId="0" xfId="0" applyFont="1" applyBorder="1" applyProtection="1">
      <protection locked="0"/>
    </xf>
    <xf numFmtId="49" fontId="11" fillId="6" borderId="0" xfId="2" applyNumberFormat="1" applyFont="1" applyFill="1" applyBorder="1" applyAlignment="1" applyProtection="1">
      <alignment vertical="center" wrapText="1"/>
      <protection locked="0"/>
    </xf>
    <xf numFmtId="49" fontId="11" fillId="0" borderId="0" xfId="6" applyNumberFormat="1" applyFont="1" applyBorder="1" applyAlignment="1" applyProtection="1">
      <alignment vertical="center"/>
      <protection locked="0"/>
    </xf>
    <xf numFmtId="49" fontId="11" fillId="0" borderId="0" xfId="6" quotePrefix="1" applyNumberFormat="1" applyFon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7" fillId="7" borderId="1" xfId="0" applyFont="1" applyFill="1" applyBorder="1" applyAlignment="1">
      <alignment horizontal="center" vertical="center" wrapText="1"/>
    </xf>
    <xf numFmtId="0" fontId="13" fillId="0" borderId="0" xfId="4"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6" fillId="18"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Fill="1" applyBorder="1" applyAlignment="1">
      <alignment horizontal="center" vertical="center" wrapText="1"/>
    </xf>
    <xf numFmtId="0" fontId="17"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8" fillId="17" borderId="0" xfId="7" applyFont="1" applyFill="1" applyBorder="1" applyAlignment="1">
      <alignment vertical="center"/>
    </xf>
    <xf numFmtId="0" fontId="17" fillId="17" borderId="0" xfId="2" applyNumberFormat="1" applyFont="1" applyFill="1" applyBorder="1" applyAlignment="1" applyProtection="1">
      <alignment horizontal="center" vertical="center" wrapText="1"/>
    </xf>
    <xf numFmtId="0" fontId="17" fillId="17" borderId="12" xfId="2" applyNumberFormat="1" applyFont="1" applyFill="1" applyBorder="1" applyAlignment="1">
      <alignment horizontal="center" vertical="center" wrapText="1"/>
    </xf>
    <xf numFmtId="0" fontId="6" fillId="0" borderId="12" xfId="0" applyFont="1" applyBorder="1" applyAlignment="1">
      <alignment vertical="center" wrapText="1"/>
    </xf>
    <xf numFmtId="0" fontId="7" fillId="17" borderId="0" xfId="0" applyFont="1" applyFill="1" applyBorder="1" applyAlignment="1">
      <alignment horizontal="left" vertical="center" wrapText="1"/>
    </xf>
    <xf numFmtId="0" fontId="6" fillId="17" borderId="0" xfId="0" applyFont="1" applyFill="1" applyBorder="1" applyAlignment="1">
      <alignment horizontal="left" vertical="center" wrapText="1"/>
    </xf>
    <xf numFmtId="0" fontId="17" fillId="17" borderId="0" xfId="2"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2" applyNumberFormat="1" applyFont="1" applyFill="1" applyBorder="1" applyAlignment="1">
      <alignment horizontal="center" vertical="center" wrapText="1"/>
    </xf>
    <xf numFmtId="14" fontId="6" fillId="0" borderId="0" xfId="7" applyNumberFormat="1"/>
    <xf numFmtId="0" fontId="6" fillId="0" borderId="0" xfId="7" quotePrefix="1" applyAlignment="1">
      <alignment horizontal="left"/>
    </xf>
    <xf numFmtId="173" fontId="21" fillId="19" borderId="3" xfId="0" applyNumberFormat="1" applyFont="1" applyFill="1" applyBorder="1" applyAlignment="1" applyProtection="1">
      <alignment horizontal="center" vertical="center" wrapText="1"/>
      <protection locked="0"/>
    </xf>
    <xf numFmtId="0" fontId="13" fillId="0" borderId="0" xfId="4" applyAlignment="1" applyProtection="1"/>
    <xf numFmtId="0" fontId="13" fillId="2" borderId="0" xfId="4" applyFont="1" applyFill="1" applyAlignment="1" applyProtection="1">
      <alignment vertical="center"/>
      <protection hidden="1"/>
    </xf>
    <xf numFmtId="176" fontId="6" fillId="9" borderId="1" xfId="7" applyNumberFormat="1" applyFont="1" applyFill="1" applyBorder="1" applyAlignment="1">
      <alignment horizontal="center" vertical="center" wrapText="1"/>
    </xf>
    <xf numFmtId="0" fontId="6" fillId="9" borderId="1" xfId="7" applyNumberFormat="1" applyFont="1" applyFill="1" applyBorder="1" applyAlignment="1" applyProtection="1">
      <alignment horizontal="left" vertical="center" wrapText="1"/>
    </xf>
    <xf numFmtId="1" fontId="6" fillId="9" borderId="1" xfId="7" applyNumberFormat="1" applyFont="1" applyFill="1" applyBorder="1" applyAlignment="1" applyProtection="1">
      <alignment horizontal="left" vertical="center" wrapText="1"/>
    </xf>
    <xf numFmtId="173" fontId="4" fillId="23" borderId="1" xfId="7" applyNumberFormat="1" applyFont="1" applyFill="1" applyBorder="1" applyAlignment="1" applyProtection="1">
      <alignment horizontal="center" vertical="center"/>
    </xf>
    <xf numFmtId="43" fontId="4" fillId="23" borderId="1" xfId="8" applyFont="1" applyFill="1" applyBorder="1" applyAlignment="1" applyProtection="1">
      <alignment horizontal="center" vertical="center"/>
    </xf>
    <xf numFmtId="164" fontId="4" fillId="23" borderId="1" xfId="7" applyNumberFormat="1" applyFont="1" applyFill="1" applyBorder="1" applyAlignment="1" applyProtection="1">
      <alignment horizontal="center" vertical="center"/>
    </xf>
    <xf numFmtId="165" fontId="4" fillId="12" borderId="1" xfId="7" applyNumberFormat="1" applyFont="1" applyFill="1" applyBorder="1" applyAlignment="1" applyProtection="1">
      <alignment horizontal="center" vertical="center"/>
    </xf>
    <xf numFmtId="43" fontId="4" fillId="12" borderId="1" xfId="8" applyFont="1" applyFill="1" applyBorder="1" applyAlignment="1" applyProtection="1">
      <alignment horizontal="center" vertical="center"/>
    </xf>
    <xf numFmtId="164" fontId="4" fillId="12" borderId="1" xfId="7" applyNumberFormat="1" applyFont="1" applyFill="1" applyBorder="1" applyAlignment="1" applyProtection="1">
      <alignment horizontal="center" vertical="center"/>
    </xf>
    <xf numFmtId="171" fontId="6" fillId="30" borderId="0" xfId="7" applyNumberFormat="1" applyFill="1"/>
    <xf numFmtId="172" fontId="6" fillId="30" borderId="0" xfId="7" applyNumberFormat="1" applyFill="1"/>
    <xf numFmtId="0" fontId="6" fillId="30" borderId="0" xfId="7" applyFill="1"/>
    <xf numFmtId="0" fontId="6" fillId="30" borderId="0" xfId="7" applyFill="1" applyAlignment="1">
      <alignment horizontal="left"/>
    </xf>
    <xf numFmtId="0" fontId="6" fillId="11" borderId="1" xfId="14" applyFont="1" applyFill="1" applyBorder="1" applyAlignment="1" applyProtection="1">
      <alignment vertical="center"/>
      <protection locked="0"/>
    </xf>
    <xf numFmtId="175" fontId="6" fillId="32" borderId="1" xfId="11" applyNumberFormat="1" applyFont="1" applyFill="1" applyBorder="1" applyAlignment="1" applyProtection="1">
      <alignment vertical="center"/>
      <protection locked="0"/>
    </xf>
    <xf numFmtId="174" fontId="3" fillId="31" borderId="1" xfId="10" applyNumberFormat="1" applyFill="1" applyBorder="1" applyAlignment="1" applyProtection="1">
      <alignment vertical="center"/>
    </xf>
    <xf numFmtId="175" fontId="6" fillId="31" borderId="1" xfId="10" applyNumberFormat="1" applyFont="1" applyFill="1" applyBorder="1" applyAlignment="1" applyProtection="1">
      <alignment vertical="center"/>
      <protection locked="0"/>
    </xf>
    <xf numFmtId="175" fontId="6" fillId="34" borderId="1" xfId="10" applyNumberFormat="1" applyFont="1" applyFill="1" applyBorder="1" applyAlignment="1" applyProtection="1">
      <alignment vertical="center"/>
      <protection locked="0"/>
    </xf>
    <xf numFmtId="175" fontId="6"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7"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7" fillId="7" borderId="6" xfId="0" applyFont="1" applyFill="1" applyBorder="1" applyAlignment="1" applyProtection="1">
      <alignment horizontal="left" vertical="center" wrapText="1"/>
    </xf>
    <xf numFmtId="0" fontId="6" fillId="11" borderId="1" xfId="9" quotePrefix="1" applyFont="1" applyFill="1" applyBorder="1" applyAlignment="1" applyProtection="1">
      <alignment horizontal="center" vertical="center" wrapText="1"/>
    </xf>
    <xf numFmtId="0" fontId="6" fillId="33" borderId="1" xfId="12" quotePrefix="1" applyFont="1" applyFill="1" applyBorder="1" applyAlignment="1" applyProtection="1">
      <alignment horizontal="center" vertical="center" wrapText="1"/>
    </xf>
    <xf numFmtId="174" fontId="3" fillId="34" borderId="1" xfId="13" applyNumberFormat="1" applyFill="1" applyBorder="1" applyAlignment="1" applyProtection="1">
      <alignment vertical="center"/>
    </xf>
    <xf numFmtId="0" fontId="7" fillId="7" borderId="1" xfId="0" applyFont="1" applyFill="1" applyBorder="1" applyAlignment="1" applyProtection="1">
      <alignment horizontal="left" vertical="center" wrapText="1"/>
    </xf>
    <xf numFmtId="0" fontId="6" fillId="11" borderId="1" xfId="14" applyFont="1" applyFill="1" applyBorder="1" applyAlignment="1" applyProtection="1">
      <alignment vertical="center" wrapText="1"/>
    </xf>
    <xf numFmtId="0" fontId="6" fillId="29" borderId="1" xfId="14" applyFont="1" applyFill="1" applyBorder="1" applyAlignment="1" applyProtection="1">
      <alignment vertical="center" wrapText="1"/>
    </xf>
    <xf numFmtId="0" fontId="2" fillId="11" borderId="1" xfId="14" applyFont="1" applyFill="1" applyBorder="1" applyAlignment="1" applyProtection="1">
      <alignment vertical="center" wrapText="1"/>
    </xf>
    <xf numFmtId="0" fontId="2" fillId="29" borderId="1" xfId="14" applyFont="1" applyFill="1" applyBorder="1" applyAlignment="1" applyProtection="1">
      <alignment vertical="center" wrapText="1"/>
    </xf>
    <xf numFmtId="0" fontId="6" fillId="7" borderId="1" xfId="0" applyFont="1" applyFill="1" applyBorder="1" applyAlignment="1" applyProtection="1">
      <alignment horizontal="center" vertical="center" wrapText="1"/>
    </xf>
    <xf numFmtId="175" fontId="3" fillId="31" borderId="1" xfId="10" applyNumberFormat="1" applyFill="1" applyBorder="1" applyAlignment="1" applyProtection="1">
      <alignment vertical="center"/>
      <protection locked="0"/>
    </xf>
    <xf numFmtId="177" fontId="3" fillId="31" borderId="1" xfId="10" applyNumberFormat="1" applyFill="1" applyBorder="1" applyAlignment="1" applyProtection="1">
      <alignment vertical="center"/>
    </xf>
    <xf numFmtId="177" fontId="3" fillId="34" borderId="1" xfId="10" applyNumberFormat="1" applyFill="1" applyBorder="1" applyAlignment="1" applyProtection="1">
      <alignment vertical="center"/>
    </xf>
    <xf numFmtId="177" fontId="6" fillId="32" borderId="1" xfId="11" applyNumberFormat="1" applyFont="1" applyFill="1" applyBorder="1" applyAlignment="1" applyProtection="1">
      <alignment vertical="center"/>
    </xf>
    <xf numFmtId="177" fontId="6" fillId="35" borderId="1" xfId="11" applyNumberFormat="1" applyFont="1" applyFill="1" applyBorder="1" applyAlignment="1" applyProtection="1">
      <alignment vertical="center"/>
    </xf>
    <xf numFmtId="178" fontId="3" fillId="31" borderId="5" xfId="10" applyNumberFormat="1" applyFill="1" applyBorder="1" applyAlignment="1" applyProtection="1">
      <alignment vertical="center"/>
    </xf>
    <xf numFmtId="178" fontId="3" fillId="31" borderId="1" xfId="10" applyNumberFormat="1" applyFill="1" applyBorder="1" applyAlignment="1" applyProtection="1">
      <alignment vertical="center"/>
    </xf>
    <xf numFmtId="0" fontId="29" fillId="0" borderId="0" xfId="7" applyFont="1"/>
    <xf numFmtId="0" fontId="7" fillId="7" borderId="1" xfId="0" applyFont="1" applyFill="1" applyBorder="1" applyAlignment="1">
      <alignment horizontal="center" vertical="center" wrapText="1"/>
    </xf>
    <xf numFmtId="2" fontId="7" fillId="7" borderId="1" xfId="7" applyNumberFormat="1" applyFont="1" applyFill="1" applyBorder="1" applyAlignment="1">
      <alignment horizontal="center" vertical="center" wrapText="1"/>
    </xf>
    <xf numFmtId="49" fontId="6" fillId="11" borderId="1" xfId="9" quotePrefix="1" applyNumberFormat="1" applyFont="1" applyFill="1" applyBorder="1" applyAlignment="1" applyProtection="1">
      <alignment horizontal="center" vertical="center" wrapText="1"/>
    </xf>
    <xf numFmtId="49" fontId="6" fillId="33" borderId="1" xfId="12" quotePrefix="1" applyNumberFormat="1" applyFont="1" applyFill="1" applyBorder="1" applyAlignment="1" applyProtection="1">
      <alignment horizontal="center" vertical="center" wrapText="1"/>
    </xf>
    <xf numFmtId="49" fontId="11" fillId="6" borderId="0" xfId="2" applyNumberFormat="1" applyFont="1" applyFill="1" applyAlignment="1" applyProtection="1">
      <alignment horizontal="center" vertical="center" wrapText="1"/>
      <protection locked="0"/>
    </xf>
    <xf numFmtId="49" fontId="11" fillId="6" borderId="0" xfId="2" quotePrefix="1" applyNumberFormat="1" applyFont="1" applyFill="1" applyAlignment="1" applyProtection="1">
      <alignment horizontal="center" vertical="center" wrapText="1"/>
      <protection locked="0"/>
    </xf>
    <xf numFmtId="49" fontId="24" fillId="7" borderId="1" xfId="7" quotePrefix="1" applyNumberFormat="1" applyFont="1" applyFill="1" applyBorder="1" applyAlignment="1">
      <alignment horizontal="center" vertical="center" wrapText="1"/>
    </xf>
    <xf numFmtId="0" fontId="0" fillId="0" borderId="0" xfId="0" applyFill="1"/>
    <xf numFmtId="0" fontId="14" fillId="0" borderId="0" xfId="4" applyFont="1" applyFill="1" applyBorder="1" applyAlignment="1" applyProtection="1">
      <alignment vertical="center"/>
    </xf>
    <xf numFmtId="0" fontId="13" fillId="0" borderId="0" xfId="4" applyFont="1" applyFill="1" applyAlignment="1" applyProtection="1">
      <alignment horizontal="left" vertical="center"/>
    </xf>
    <xf numFmtId="0" fontId="6" fillId="0" borderId="0" xfId="7" quotePrefix="1" applyFont="1" applyAlignment="1">
      <alignment horizontal="left"/>
    </xf>
    <xf numFmtId="0" fontId="6" fillId="0" borderId="0" xfId="7" applyFont="1"/>
    <xf numFmtId="49" fontId="19" fillId="0" borderId="0" xfId="5" quotePrefix="1" applyNumberFormat="1" applyFont="1" applyBorder="1" applyAlignment="1" applyProtection="1">
      <alignment horizontal="left" vertical="center"/>
      <protection locked="0"/>
    </xf>
    <xf numFmtId="173" fontId="22" fillId="18" borderId="1" xfId="0" applyNumberFormat="1" applyFont="1" applyFill="1" applyBorder="1" applyAlignment="1" applyProtection="1">
      <alignment horizontal="center" vertical="center"/>
      <protection locked="0"/>
    </xf>
    <xf numFmtId="173" fontId="22" fillId="21"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xf>
    <xf numFmtId="2" fontId="21" fillId="10" borderId="1" xfId="0" applyNumberFormat="1" applyFont="1" applyFill="1" applyBorder="1" applyAlignment="1" applyProtection="1">
      <alignment horizontal="center" vertical="center"/>
    </xf>
    <xf numFmtId="2" fontId="21" fillId="4" borderId="1" xfId="0" applyNumberFormat="1" applyFont="1" applyFill="1" applyBorder="1" applyAlignment="1" applyProtection="1">
      <alignment horizontal="center" vertical="center"/>
    </xf>
    <xf numFmtId="164" fontId="21" fillId="10" borderId="1" xfId="0" applyNumberFormat="1" applyFont="1" applyFill="1" applyBorder="1" applyAlignment="1" applyProtection="1">
      <alignment horizontal="center" vertical="center"/>
    </xf>
    <xf numFmtId="0" fontId="6" fillId="4" borderId="1"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37" borderId="1" xfId="0" applyFont="1" applyFill="1" applyBorder="1" applyAlignment="1">
      <alignment horizontal="center" vertical="center" wrapText="1"/>
    </xf>
    <xf numFmtId="0" fontId="6" fillId="37" borderId="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7" fillId="0" borderId="6" xfId="7" applyFont="1" applyBorder="1" applyAlignment="1">
      <alignment vertical="center" wrapText="1"/>
    </xf>
    <xf numFmtId="0" fontId="6" fillId="0" borderId="6" xfId="7" applyFont="1" applyBorder="1" applyAlignment="1">
      <alignment horizontal="center" vertical="center" wrapText="1"/>
    </xf>
    <xf numFmtId="0" fontId="6" fillId="4" borderId="1" xfId="7" applyFont="1" applyFill="1" applyBorder="1" applyAlignment="1">
      <alignment horizontal="center" vertical="center" wrapText="1"/>
    </xf>
    <xf numFmtId="0" fontId="6" fillId="0" borderId="1" xfId="7" quotePrefix="1" applyFont="1" applyBorder="1" applyAlignment="1">
      <alignment horizontal="center" vertical="center" wrapText="1"/>
    </xf>
    <xf numFmtId="0" fontId="7" fillId="0" borderId="1" xfId="7" applyFont="1" applyBorder="1" applyAlignment="1">
      <alignment horizontal="left" vertical="center" wrapText="1"/>
    </xf>
    <xf numFmtId="167" fontId="0" fillId="37" borderId="1" xfId="0" applyNumberFormat="1" applyFill="1" applyBorder="1" applyAlignment="1" applyProtection="1">
      <alignment horizontal="center" vertical="center"/>
      <protection locked="0"/>
    </xf>
    <xf numFmtId="168" fontId="6" fillId="38" borderId="1" xfId="0" applyNumberFormat="1" applyFont="1" applyFill="1" applyBorder="1" applyAlignment="1" applyProtection="1">
      <alignment horizontal="center" vertical="center"/>
      <protection locked="0"/>
    </xf>
    <xf numFmtId="179" fontId="22" fillId="18" borderId="1" xfId="0" applyNumberFormat="1" applyFont="1" applyFill="1" applyBorder="1" applyAlignment="1" applyProtection="1">
      <alignment horizontal="center" vertical="center"/>
      <protection locked="0"/>
    </xf>
    <xf numFmtId="0" fontId="0" fillId="0" borderId="1" xfId="0" applyBorder="1" applyAlignment="1">
      <alignment horizontal="center" vertical="center"/>
    </xf>
    <xf numFmtId="165" fontId="0" fillId="0" borderId="1" xfId="0" applyNumberFormat="1" applyBorder="1" applyAlignment="1">
      <alignment horizontal="center" vertical="center"/>
    </xf>
    <xf numFmtId="165" fontId="0" fillId="37" borderId="1" xfId="0" applyNumberFormat="1" applyFill="1" applyBorder="1" applyAlignment="1">
      <alignment horizontal="center" vertical="center"/>
    </xf>
    <xf numFmtId="0" fontId="0" fillId="37" borderId="1" xfId="0" applyFill="1" applyBorder="1" applyAlignment="1">
      <alignment vertical="center"/>
    </xf>
    <xf numFmtId="0" fontId="0" fillId="0" borderId="1" xfId="0" applyBorder="1" applyAlignment="1">
      <alignment horizontal="center" vertical="center" wrapText="1"/>
    </xf>
    <xf numFmtId="2" fontId="0" fillId="2" borderId="1" xfId="0" applyNumberFormat="1" applyFill="1" applyBorder="1" applyAlignment="1">
      <alignment horizontal="center" vertical="center"/>
    </xf>
    <xf numFmtId="0" fontId="7" fillId="7" borderId="1" xfId="0" applyFont="1" applyFill="1" applyBorder="1" applyAlignment="1">
      <alignment horizontal="center" vertical="center" wrapText="1"/>
    </xf>
    <xf numFmtId="49" fontId="6" fillId="9" borderId="1" xfId="0" quotePrefix="1" applyNumberFormat="1" applyFont="1" applyFill="1" applyBorder="1" applyAlignment="1" applyProtection="1">
      <alignment wrapText="1"/>
      <protection locked="0"/>
    </xf>
    <xf numFmtId="49" fontId="6" fillId="9" borderId="1" xfId="0" applyNumberFormat="1" applyFont="1" applyFill="1" applyBorder="1" applyAlignment="1" applyProtection="1">
      <alignment wrapText="1"/>
      <protection locked="0"/>
    </xf>
    <xf numFmtId="49" fontId="0" fillId="9" borderId="1" xfId="0" applyNumberFormat="1" applyFill="1" applyBorder="1" applyAlignment="1" applyProtection="1">
      <alignment wrapText="1"/>
      <protection locked="0"/>
    </xf>
    <xf numFmtId="0" fontId="0" fillId="2" borderId="0" xfId="0" applyFill="1" applyAlignment="1"/>
    <xf numFmtId="176" fontId="6" fillId="2" borderId="0" xfId="7" applyNumberFormat="1" applyFont="1" applyFill="1" applyAlignment="1">
      <alignment vertical="center"/>
    </xf>
    <xf numFmtId="165" fontId="0" fillId="0" borderId="0" xfId="0" applyNumberFormat="1"/>
    <xf numFmtId="180" fontId="0" fillId="0" borderId="0" xfId="23" applyNumberFormat="1" applyFont="1"/>
    <xf numFmtId="180" fontId="0" fillId="0" borderId="0" xfId="0" applyNumberFormat="1"/>
    <xf numFmtId="180" fontId="0" fillId="0" borderId="0" xfId="0" applyNumberFormat="1" applyBorder="1"/>
    <xf numFmtId="180" fontId="0" fillId="14" borderId="1" xfId="23" applyNumberFormat="1" applyFont="1" applyFill="1" applyBorder="1" applyAlignment="1" applyProtection="1">
      <alignment wrapText="1"/>
      <protection locked="0"/>
    </xf>
    <xf numFmtId="180" fontId="18" fillId="14" borderId="1" xfId="23" applyNumberFormat="1" applyFont="1" applyFill="1" applyBorder="1" applyAlignment="1" applyProtection="1">
      <protection locked="0"/>
    </xf>
    <xf numFmtId="180" fontId="18" fillId="15" borderId="1" xfId="23" applyNumberFormat="1" applyFont="1" applyFill="1" applyBorder="1" applyAlignment="1" applyProtection="1">
      <protection locked="0"/>
    </xf>
    <xf numFmtId="0" fontId="15" fillId="0" borderId="0" xfId="0" quotePrefix="1" applyNumberFormat="1" applyFont="1" applyAlignment="1" applyProtection="1">
      <alignment horizontal="left" vertical="top" wrapText="1"/>
    </xf>
    <xf numFmtId="49" fontId="11" fillId="6" borderId="0" xfId="2" applyNumberFormat="1" applyFon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NumberFormat="1" applyFont="1" applyAlignment="1" applyProtection="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2" applyNumberFormat="1" applyFont="1" applyFill="1" applyAlignment="1" applyProtection="1">
      <alignment horizontal="center" vertical="center" wrapText="1"/>
      <protection locked="0"/>
    </xf>
    <xf numFmtId="0" fontId="6" fillId="2" borderId="8" xfId="7" quotePrefix="1" applyFont="1" applyFill="1" applyBorder="1" applyAlignment="1">
      <alignment horizontal="center" vertical="center" wrapText="1"/>
    </xf>
    <xf numFmtId="0" fontId="33" fillId="36" borderId="13" xfId="16" quotePrefix="1" applyBorder="1" applyAlignment="1">
      <alignment horizontal="left" vertical="top" wrapText="1"/>
    </xf>
    <xf numFmtId="0" fontId="33" fillId="36" borderId="8" xfId="16" quotePrefix="1" applyBorder="1" applyAlignment="1">
      <alignment horizontal="left" vertical="top" wrapText="1"/>
    </xf>
    <xf numFmtId="0" fontId="7" fillId="0" borderId="1" xfId="0" applyFont="1" applyBorder="1" applyAlignment="1">
      <alignment horizontal="left"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indent="1"/>
    </xf>
    <xf numFmtId="0" fontId="17" fillId="6" borderId="1" xfId="2" applyNumberFormat="1" applyFont="1" applyFill="1" applyBorder="1" applyAlignment="1">
      <alignment horizontal="center" vertical="center" wrapText="1"/>
    </xf>
    <xf numFmtId="173" fontId="21" fillId="19" borderId="3" xfId="0" applyNumberFormat="1" applyFont="1" applyFill="1" applyBorder="1" applyAlignment="1" applyProtection="1">
      <alignment horizontal="center" vertical="center"/>
      <protection locked="0"/>
    </xf>
    <xf numFmtId="173" fontId="21" fillId="19" borderId="5"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7" borderId="11" xfId="0" applyFont="1" applyFill="1" applyBorder="1" applyAlignment="1" applyProtection="1">
      <alignment horizontal="center" vertical="center" wrapText="1"/>
      <protection locked="0"/>
    </xf>
    <xf numFmtId="0" fontId="7" fillId="7" borderId="0" xfId="0" applyFont="1" applyFill="1" applyBorder="1" applyAlignment="1" applyProtection="1">
      <alignment horizontal="center" vertical="center" wrapText="1"/>
      <protection locked="0"/>
    </xf>
    <xf numFmtId="0" fontId="26" fillId="18" borderId="1" xfId="0" applyFont="1" applyFill="1" applyBorder="1" applyAlignment="1" applyProtection="1">
      <alignment horizontal="center" vertical="center" wrapText="1"/>
      <protection locked="0"/>
    </xf>
    <xf numFmtId="0" fontId="6" fillId="37" borderId="1" xfId="0" applyFont="1" applyFill="1" applyBorder="1" applyAlignment="1">
      <alignment horizontal="center" vertical="center" wrapText="1"/>
    </xf>
    <xf numFmtId="0" fontId="6" fillId="2" borderId="8" xfId="7" quotePrefix="1" applyFont="1" applyFill="1" applyBorder="1" applyAlignment="1">
      <alignment horizontal="left" vertical="center" wrapText="1"/>
    </xf>
    <xf numFmtId="0" fontId="6" fillId="2" borderId="8" xfId="0" quotePrefix="1" applyFont="1" applyFill="1" applyBorder="1" applyAlignment="1">
      <alignment horizontal="left" vertical="center" wrapText="1"/>
    </xf>
    <xf numFmtId="0" fontId="17" fillId="6" borderId="3" xfId="2" applyNumberFormat="1" applyFont="1" applyFill="1" applyBorder="1" applyAlignment="1">
      <alignment horizontal="center" vertical="center" wrapText="1"/>
    </xf>
    <xf numFmtId="0" fontId="17" fillId="6" borderId="4" xfId="2" applyNumberFormat="1" applyFont="1" applyFill="1" applyBorder="1" applyAlignment="1">
      <alignment horizontal="center" vertical="center" wrapText="1"/>
    </xf>
    <xf numFmtId="0" fontId="17" fillId="6" borderId="5" xfId="2" applyNumberFormat="1" applyFont="1" applyFill="1" applyBorder="1" applyAlignment="1">
      <alignment horizontal="center" vertical="center" wrapText="1"/>
    </xf>
    <xf numFmtId="0" fontId="5" fillId="0" borderId="3" xfId="7" applyFont="1" applyBorder="1" applyAlignment="1">
      <alignment vertical="center" wrapText="1"/>
    </xf>
    <xf numFmtId="0" fontId="5" fillId="0" borderId="4" xfId="7" applyFont="1" applyBorder="1" applyAlignment="1">
      <alignment vertical="center" wrapText="1"/>
    </xf>
    <xf numFmtId="0" fontId="6" fillId="0" borderId="4" xfId="7" applyBorder="1" applyAlignment="1">
      <alignment vertical="center"/>
    </xf>
    <xf numFmtId="0" fontId="6" fillId="0" borderId="5" xfId="7" applyBorder="1" applyAlignment="1">
      <alignment vertical="center"/>
    </xf>
    <xf numFmtId="0" fontId="7" fillId="7" borderId="1" xfId="0" applyFont="1" applyFill="1" applyBorder="1" applyAlignment="1">
      <alignment horizontal="center" vertical="center" wrapText="1"/>
    </xf>
    <xf numFmtId="0" fontId="5" fillId="0" borderId="3" xfId="0" applyFont="1" applyBorder="1" applyAlignment="1">
      <alignment vertical="center" wrapText="1"/>
    </xf>
    <xf numFmtId="0" fontId="5" fillId="0" borderId="4" xfId="0" applyFont="1"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5" fillId="0" borderId="1" xfId="0" applyFont="1" applyBorder="1" applyAlignment="1">
      <alignment wrapText="1"/>
    </xf>
    <xf numFmtId="0" fontId="0" fillId="0" borderId="1" xfId="0" applyBorder="1" applyAlignment="1"/>
    <xf numFmtId="0" fontId="9" fillId="0" borderId="1" xfId="0" applyFont="1" applyBorder="1" applyAlignment="1">
      <alignment vertical="top" wrapText="1"/>
    </xf>
    <xf numFmtId="0" fontId="7" fillId="0" borderId="3" xfId="0" applyFont="1" applyBorder="1" applyAlignment="1">
      <alignment vertical="center" wrapText="1"/>
    </xf>
    <xf numFmtId="0" fontId="7" fillId="0" borderId="5" xfId="0" applyFont="1" applyBorder="1" applyAlignment="1">
      <alignment vertical="center" wrapText="1"/>
    </xf>
    <xf numFmtId="0" fontId="6" fillId="0" borderId="1" xfId="0" applyFont="1" applyBorder="1" applyAlignment="1">
      <alignment horizontal="left" vertical="center" wrapText="1"/>
    </xf>
    <xf numFmtId="0" fontId="33" fillId="36" borderId="13" xfId="16" quotePrefix="1" applyBorder="1" applyAlignment="1" applyProtection="1">
      <alignment horizontal="left" vertical="center" wrapText="1"/>
    </xf>
    <xf numFmtId="0" fontId="33" fillId="36" borderId="8" xfId="16" quotePrefix="1" applyBorder="1" applyAlignment="1" applyProtection="1">
      <alignment horizontal="left" vertical="center" wrapText="1"/>
    </xf>
    <xf numFmtId="0" fontId="33" fillId="36" borderId="13" xfId="16" quotePrefix="1" applyBorder="1" applyAlignment="1" applyProtection="1">
      <alignment horizontal="center" vertical="center" wrapText="1"/>
    </xf>
    <xf numFmtId="0" fontId="33" fillId="36" borderId="8" xfId="16" quotePrefix="1" applyBorder="1" applyAlignment="1" applyProtection="1">
      <alignment horizontal="center" vertical="center" wrapText="1"/>
    </xf>
    <xf numFmtId="0" fontId="33" fillId="36" borderId="14" xfId="16" quotePrefix="1" applyBorder="1" applyAlignment="1" applyProtection="1">
      <alignment horizontal="center" vertical="center" wrapText="1"/>
    </xf>
    <xf numFmtId="0" fontId="17" fillId="6" borderId="1" xfId="2" applyNumberFormat="1" applyFont="1" applyFill="1" applyBorder="1" applyAlignment="1" applyProtection="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 xfId="0" applyFont="1" applyBorder="1" applyAlignment="1">
      <alignment vertical="center" wrapText="1"/>
    </xf>
    <xf numFmtId="0" fontId="0" fillId="0" borderId="8" xfId="0" applyBorder="1" applyAlignment="1">
      <alignment horizontal="left" vertical="center" wrapText="1"/>
    </xf>
    <xf numFmtId="0" fontId="6" fillId="0" borderId="3" xfId="7" applyFont="1" applyBorder="1" applyAlignment="1">
      <alignment horizontal="left" vertical="center" wrapText="1"/>
    </xf>
    <xf numFmtId="0" fontId="6" fillId="0" borderId="4" xfId="7" applyFont="1" applyBorder="1" applyAlignment="1">
      <alignment horizontal="left" vertical="center" wrapText="1"/>
    </xf>
    <xf numFmtId="0" fontId="6" fillId="0" borderId="5" xfId="7" applyFont="1"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17" fillId="6" borderId="3" xfId="2" quotePrefix="1" applyNumberFormat="1" applyFont="1" applyFill="1" applyBorder="1" applyAlignment="1">
      <alignment horizontal="left" vertical="center" wrapText="1"/>
    </xf>
    <xf numFmtId="0" fontId="17" fillId="6" borderId="4" xfId="2" quotePrefix="1" applyNumberFormat="1" applyFont="1" applyFill="1" applyBorder="1" applyAlignment="1">
      <alignment horizontal="left" vertical="center" wrapText="1"/>
    </xf>
    <xf numFmtId="0" fontId="17" fillId="6" borderId="4" xfId="2" applyNumberFormat="1" applyFont="1" applyFill="1" applyBorder="1" applyAlignment="1">
      <alignment horizontal="left" vertical="center" wrapText="1"/>
    </xf>
    <xf numFmtId="0" fontId="17" fillId="6" borderId="5" xfId="2" applyNumberFormat="1" applyFont="1" applyFill="1" applyBorder="1" applyAlignment="1">
      <alignment horizontal="left" vertical="center" wrapText="1"/>
    </xf>
    <xf numFmtId="0" fontId="0" fillId="2" borderId="0" xfId="0" quotePrefix="1" applyFill="1" applyBorder="1" applyAlignment="1">
      <alignment horizontal="center" vertical="center" wrapText="1"/>
    </xf>
    <xf numFmtId="0" fontId="13" fillId="0" borderId="0" xfId="4" applyFill="1" applyAlignment="1" applyProtection="1">
      <alignment horizontal="left" vertical="center"/>
    </xf>
    <xf numFmtId="0" fontId="27" fillId="6" borderId="3" xfId="2" applyNumberFormat="1" applyFont="1" applyFill="1" applyBorder="1" applyAlignment="1" applyProtection="1">
      <alignment horizontal="center" vertical="center" wrapText="1"/>
    </xf>
    <xf numFmtId="0" fontId="27" fillId="6" borderId="4" xfId="2" applyNumberFormat="1" applyFont="1" applyFill="1" applyBorder="1" applyAlignment="1" applyProtection="1">
      <alignment horizontal="center" vertical="center" wrapText="1"/>
    </xf>
    <xf numFmtId="0" fontId="27" fillId="6" borderId="5" xfId="2" applyNumberFormat="1" applyFont="1" applyFill="1" applyBorder="1" applyAlignment="1" applyProtection="1">
      <alignment horizontal="center" vertical="center" wrapText="1"/>
    </xf>
    <xf numFmtId="0" fontId="7" fillId="7" borderId="3" xfId="0" applyFont="1" applyFill="1" applyBorder="1" applyAlignment="1" applyProtection="1">
      <alignment horizontal="left" vertical="center" wrapText="1"/>
    </xf>
    <xf numFmtId="0" fontId="7" fillId="7" borderId="4" xfId="0" applyFont="1" applyFill="1" applyBorder="1" applyAlignment="1" applyProtection="1">
      <alignment horizontal="left" vertical="center" wrapText="1"/>
    </xf>
    <xf numFmtId="0" fontId="7" fillId="7" borderId="5" xfId="0" applyFont="1" applyFill="1" applyBorder="1" applyAlignment="1" applyProtection="1">
      <alignment horizontal="left" vertical="center" wrapText="1"/>
    </xf>
    <xf numFmtId="0" fontId="27" fillId="6" borderId="3" xfId="2" applyNumberFormat="1" applyFont="1" applyFill="1" applyBorder="1" applyAlignment="1" applyProtection="1">
      <alignment horizontal="left" vertical="center" wrapText="1"/>
    </xf>
    <xf numFmtId="0" fontId="27" fillId="6" borderId="4" xfId="2" applyNumberFormat="1" applyFont="1" applyFill="1" applyBorder="1" applyAlignment="1" applyProtection="1">
      <alignment horizontal="left" vertical="center" wrapText="1"/>
    </xf>
    <xf numFmtId="0" fontId="27" fillId="6" borderId="5" xfId="2" applyNumberFormat="1" applyFont="1" applyFill="1" applyBorder="1" applyAlignment="1" applyProtection="1">
      <alignment horizontal="left" vertical="center" wrapText="1"/>
    </xf>
    <xf numFmtId="0" fontId="6" fillId="0" borderId="0" xfId="0" quotePrefix="1" applyFont="1" applyAlignment="1" applyProtection="1">
      <alignment horizontal="left" vertical="top" wrapText="1"/>
    </xf>
    <xf numFmtId="0" fontId="6" fillId="0" borderId="0" xfId="0" quotePrefix="1" applyFont="1" applyAlignment="1" applyProtection="1">
      <alignment horizontal="left"/>
    </xf>
  </cellXfs>
  <cellStyles count="24">
    <cellStyle name="40% - Accent1" xfId="10" builtinId="31"/>
    <cellStyle name="40% - Accent1 2" xfId="17" xr:uid="{00000000-0005-0000-0000-000001000000}"/>
    <cellStyle name="40% - Accent4" xfId="13" builtinId="43"/>
    <cellStyle name="40% - Accent4 2" xfId="18" xr:uid="{00000000-0005-0000-0000-000003000000}"/>
    <cellStyle name="60% - Accent2" xfId="11" builtinId="36"/>
    <cellStyle name="Accent1" xfId="9" builtinId="29"/>
    <cellStyle name="Accent4" xfId="12" builtinId="41"/>
    <cellStyle name="Accent6" xfId="14" builtinId="49"/>
    <cellStyle name="Comma" xfId="23" builtinId="3"/>
    <cellStyle name="Comma 2" xfId="8" xr:uid="{00000000-0005-0000-0000-000009000000}"/>
    <cellStyle name="Good 2" xfId="22" xr:uid="{00000000-0005-0000-0000-00000A000000}"/>
    <cellStyle name="Heading 2" xfId="5" builtinId="17"/>
    <cellStyle name="Heading 3" xfId="6" builtinId="18"/>
    <cellStyle name="Heading 4" xfId="2" builtinId="19"/>
    <cellStyle name="Hyperlink" xfId="4" builtinId="8"/>
    <cellStyle name="Hyperlink 2" xfId="21" xr:uid="{00000000-0005-0000-0000-00000F000000}"/>
    <cellStyle name="Hyperlink 3" xfId="20" xr:uid="{00000000-0005-0000-0000-000010000000}"/>
    <cellStyle name="Input" xfId="3" builtinId="20"/>
    <cellStyle name="Neutral" xfId="16" builtinId="28"/>
    <cellStyle name="Normal" xfId="0" builtinId="0"/>
    <cellStyle name="Normal 11" xfId="19" xr:uid="{00000000-0005-0000-0000-000014000000}"/>
    <cellStyle name="Normal 2" xfId="7" xr:uid="{00000000-0005-0000-0000-000015000000}"/>
    <cellStyle name="Normal 3" xfId="15" xr:uid="{00000000-0005-0000-0000-000016000000}"/>
    <cellStyle name="Normal_Sheet1" xfId="1" xr:uid="{00000000-0005-0000-0000-000017000000}"/>
  </cellStyles>
  <dxfs count="9">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election activeCell="L15" sqref="L15"/>
    </sheetView>
  </sheetViews>
  <sheetFormatPr defaultRowHeight="12.75" x14ac:dyDescent="0.2"/>
  <cols>
    <col min="1" max="1" width="54.7109375" customWidth="1"/>
    <col min="2" max="2" width="42.140625" customWidth="1"/>
    <col min="3" max="3" width="28" customWidth="1"/>
    <col min="4" max="4" width="18.140625" customWidth="1"/>
    <col min="5" max="5" width="21.5703125" customWidth="1"/>
  </cols>
  <sheetData>
    <row r="1" spans="1:8" x14ac:dyDescent="0.2">
      <c r="A1" s="23"/>
      <c r="B1" s="23"/>
      <c r="C1" s="23"/>
      <c r="D1" s="23"/>
      <c r="E1" s="23"/>
    </row>
    <row r="2" spans="1:8" ht="16.5" x14ac:dyDescent="0.2">
      <c r="A2" s="177" t="s">
        <v>1518</v>
      </c>
      <c r="B2" s="83"/>
      <c r="C2" s="83"/>
      <c r="D2" s="83"/>
      <c r="E2" s="83"/>
    </row>
    <row r="3" spans="1:8" ht="15" x14ac:dyDescent="0.2">
      <c r="A3" s="87"/>
      <c r="B3" s="170" t="s">
        <v>683</v>
      </c>
      <c r="C3" s="169" t="s">
        <v>729</v>
      </c>
      <c r="D3" s="169" t="s">
        <v>91</v>
      </c>
      <c r="E3" s="169" t="s">
        <v>90</v>
      </c>
    </row>
    <row r="4" spans="1:8" ht="30" x14ac:dyDescent="0.2">
      <c r="A4" s="84" t="s">
        <v>681</v>
      </c>
      <c r="B4" s="29" t="s">
        <v>780</v>
      </c>
      <c r="C4" s="29" t="s">
        <v>781</v>
      </c>
      <c r="D4" s="29" t="s">
        <v>782</v>
      </c>
      <c r="E4" s="29" t="s">
        <v>680</v>
      </c>
    </row>
    <row r="5" spans="1:8" x14ac:dyDescent="0.2">
      <c r="A5" s="83"/>
      <c r="B5" s="83"/>
      <c r="C5" s="83"/>
      <c r="D5" s="83"/>
      <c r="E5" s="83"/>
    </row>
    <row r="6" spans="1:8" ht="16.5" x14ac:dyDescent="0.2">
      <c r="A6" s="86" t="s">
        <v>84</v>
      </c>
      <c r="B6" s="83"/>
      <c r="C6" s="83"/>
      <c r="D6" s="83"/>
      <c r="E6" s="83"/>
    </row>
    <row r="7" spans="1:8" ht="15" x14ac:dyDescent="0.2">
      <c r="A7" s="88" t="s">
        <v>85</v>
      </c>
      <c r="B7" s="220" t="s">
        <v>86</v>
      </c>
      <c r="C7" s="220"/>
      <c r="D7" s="220"/>
      <c r="E7" s="220"/>
    </row>
    <row r="8" spans="1:8" ht="30" customHeight="1" x14ac:dyDescent="0.2">
      <c r="A8" s="93" t="s">
        <v>491</v>
      </c>
      <c r="B8" s="219" t="s">
        <v>88</v>
      </c>
      <c r="C8" s="219"/>
      <c r="D8" s="219"/>
      <c r="E8" s="219"/>
    </row>
    <row r="9" spans="1:8" ht="30" customHeight="1" x14ac:dyDescent="0.2">
      <c r="A9" s="93" t="s">
        <v>492</v>
      </c>
      <c r="B9" s="219"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SP Distribution Licence area.</v>
      </c>
      <c r="C9" s="219"/>
      <c r="D9" s="219"/>
      <c r="E9" s="219"/>
    </row>
    <row r="10" spans="1:8" ht="30" customHeight="1" x14ac:dyDescent="0.2">
      <c r="A10" s="93" t="s">
        <v>493</v>
      </c>
      <c r="B10" s="219" t="s">
        <v>89</v>
      </c>
      <c r="C10" s="219"/>
      <c r="D10" s="219"/>
      <c r="E10" s="219"/>
    </row>
    <row r="11" spans="1:8" ht="61.5" customHeight="1" x14ac:dyDescent="0.2">
      <c r="A11" s="93" t="s">
        <v>494</v>
      </c>
      <c r="B11" s="219"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SP Distribution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19"/>
      <c r="D11" s="219"/>
      <c r="E11" s="219"/>
      <c r="F11" s="222"/>
      <c r="G11" s="222"/>
      <c r="H11" s="222"/>
    </row>
    <row r="12" spans="1:8" ht="86.25" customHeight="1" x14ac:dyDescent="0.2">
      <c r="A12" s="93" t="s">
        <v>190</v>
      </c>
      <c r="B12" s="219" t="s">
        <v>682</v>
      </c>
      <c r="C12" s="219"/>
      <c r="D12" s="219"/>
      <c r="E12" s="219"/>
    </row>
    <row r="13" spans="1:8" ht="33.75" customHeight="1" x14ac:dyDescent="0.2">
      <c r="A13" s="93" t="s">
        <v>490</v>
      </c>
      <c r="B13" s="219" t="str">
        <f>"Annex 6 contains the charges to new Designated EHV Properties and charges applied to LDNOs with new Designated EHV Properties/end-users embedded in networks within the " &amp;B4 &amp;" Licence area."</f>
        <v>Annex 6 contains the charges to new Designated EHV Properties and charges applied to LDNOs with new Designated EHV Properties/end-users embedded in networks within the SP Distribution Licence area.</v>
      </c>
      <c r="C13" s="219"/>
      <c r="D13" s="219"/>
      <c r="E13" s="219"/>
    </row>
    <row r="14" spans="1:8" ht="29.25" customHeight="1" x14ac:dyDescent="0.2">
      <c r="A14" s="93" t="s">
        <v>471</v>
      </c>
      <c r="B14" s="219" t="s">
        <v>626</v>
      </c>
      <c r="C14" s="219"/>
      <c r="D14" s="219"/>
      <c r="E14" s="219"/>
    </row>
    <row r="15" spans="1:8" ht="30" customHeight="1" x14ac:dyDescent="0.2">
      <c r="A15" s="93" t="s">
        <v>466</v>
      </c>
      <c r="B15" s="219" t="s">
        <v>467</v>
      </c>
      <c r="C15" s="219"/>
      <c r="D15" s="219"/>
      <c r="E15" s="219"/>
    </row>
    <row r="16" spans="1:8" ht="30" customHeight="1" x14ac:dyDescent="0.2">
      <c r="A16" s="93" t="s">
        <v>569</v>
      </c>
      <c r="B16" s="219" t="s">
        <v>568</v>
      </c>
      <c r="C16" s="219"/>
      <c r="D16" s="219"/>
      <c r="E16" s="219"/>
    </row>
    <row r="17" spans="1:5" x14ac:dyDescent="0.2">
      <c r="A17" s="83"/>
      <c r="B17" s="83"/>
      <c r="C17" s="83"/>
      <c r="D17" s="83"/>
      <c r="E17" s="83"/>
    </row>
    <row r="18" spans="1:5" ht="15" x14ac:dyDescent="0.2">
      <c r="A18" s="89" t="s">
        <v>96</v>
      </c>
      <c r="B18" s="83"/>
      <c r="C18" s="83"/>
      <c r="D18" s="83"/>
      <c r="E18" s="83"/>
    </row>
    <row r="19" spans="1:5" ht="15" x14ac:dyDescent="0.2">
      <c r="A19" s="88"/>
      <c r="B19" s="225"/>
      <c r="C19" s="225"/>
      <c r="D19" s="225"/>
      <c r="E19" s="225"/>
    </row>
    <row r="20" spans="1:5" ht="32.25" customHeight="1" x14ac:dyDescent="0.2">
      <c r="A20" s="223" t="s">
        <v>547</v>
      </c>
      <c r="B20" s="224"/>
      <c r="C20" s="224"/>
      <c r="D20" s="224"/>
      <c r="E20" s="224"/>
    </row>
    <row r="21" spans="1:5" x14ac:dyDescent="0.2">
      <c r="A21" s="83"/>
      <c r="B21" s="83"/>
      <c r="C21" s="83"/>
      <c r="D21" s="83"/>
      <c r="E21" s="83"/>
    </row>
    <row r="22" spans="1:5" ht="15" x14ac:dyDescent="0.2">
      <c r="A22" s="90" t="s">
        <v>97</v>
      </c>
      <c r="B22" s="83"/>
      <c r="C22" s="83"/>
      <c r="D22" s="83"/>
      <c r="E22" s="83"/>
    </row>
    <row r="23" spans="1:5" ht="15" x14ac:dyDescent="0.2">
      <c r="A23" s="85"/>
      <c r="B23" s="225"/>
      <c r="C23" s="225"/>
      <c r="D23" s="225"/>
      <c r="E23" s="225"/>
    </row>
    <row r="24" spans="1:5" ht="28.5" customHeight="1" x14ac:dyDescent="0.2">
      <c r="A24" s="223" t="s">
        <v>495</v>
      </c>
      <c r="B24" s="224"/>
      <c r="C24" s="224"/>
      <c r="D24" s="224"/>
      <c r="E24" s="224"/>
    </row>
    <row r="25" spans="1:5" ht="28.5" customHeight="1" x14ac:dyDescent="0.2">
      <c r="A25" s="221" t="s">
        <v>679</v>
      </c>
      <c r="B25" s="221"/>
      <c r="C25" s="221"/>
      <c r="D25" s="221"/>
      <c r="E25" s="221"/>
    </row>
  </sheetData>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Designated EHV Prop'!A1" display="Annex 6 new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9" orientation="landscape" r:id="rId1"/>
  <headerFooter>
    <oddFooter>&amp;C&amp;1#&amp;"Calibri"&amp;12&amp;K008000Internal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46"/>
  <sheetViews>
    <sheetView zoomScale="85" zoomScaleNormal="85" zoomScaleSheetLayoutView="100" workbookViewId="0">
      <selection activeCell="C19" sqref="C19"/>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3" width="15.5703125" style="4" customWidth="1"/>
    <col min="14" max="19" width="15.5703125" style="2" customWidth="1"/>
    <col min="20" max="16384" width="9.140625" style="2"/>
  </cols>
  <sheetData>
    <row r="1" spans="1:15" ht="27.75" customHeight="1" x14ac:dyDescent="0.2">
      <c r="A1" s="121" t="s">
        <v>87</v>
      </c>
      <c r="B1" s="227" t="s">
        <v>746</v>
      </c>
      <c r="C1" s="228"/>
      <c r="D1" s="228"/>
      <c r="E1" s="226" t="s">
        <v>747</v>
      </c>
      <c r="F1" s="226"/>
      <c r="G1" s="226"/>
      <c r="H1" s="226"/>
      <c r="I1" s="226"/>
      <c r="J1" s="226"/>
      <c r="K1" s="226"/>
      <c r="L1" s="66"/>
      <c r="M1" s="66"/>
      <c r="N1" s="66"/>
      <c r="O1" s="66"/>
    </row>
    <row r="2" spans="1:15" ht="27" customHeight="1" x14ac:dyDescent="0.2">
      <c r="A2" s="235" t="str">
        <f>Overview!B4&amp; " - Effective from "&amp;Overview!D4&amp;" - "&amp;Overview!E4&amp;" LV and HV charges"</f>
        <v>SP Distribution - Effective from 1 April 2018 - Final LV and HV charges</v>
      </c>
      <c r="B2" s="235"/>
      <c r="C2" s="235"/>
      <c r="D2" s="235"/>
      <c r="E2" s="235"/>
      <c r="F2" s="235"/>
      <c r="G2" s="235"/>
      <c r="H2" s="235"/>
      <c r="I2" s="235"/>
      <c r="J2" s="235"/>
      <c r="K2" s="235"/>
    </row>
    <row r="3" spans="1:15" s="105" customFormat="1" ht="15" customHeight="1" x14ac:dyDescent="0.2">
      <c r="A3" s="103"/>
      <c r="B3" s="103"/>
      <c r="C3" s="103"/>
      <c r="D3" s="103"/>
      <c r="E3" s="103"/>
      <c r="F3" s="103"/>
      <c r="G3" s="103"/>
      <c r="H3" s="103"/>
      <c r="I3" s="103"/>
      <c r="J3" s="103"/>
      <c r="K3" s="103"/>
      <c r="L3" s="104"/>
      <c r="M3" s="104"/>
    </row>
    <row r="4" spans="1:15" ht="27" customHeight="1" x14ac:dyDescent="0.2">
      <c r="A4" s="235" t="s">
        <v>537</v>
      </c>
      <c r="B4" s="235"/>
      <c r="C4" s="235"/>
      <c r="D4" s="235"/>
      <c r="E4" s="235"/>
      <c r="F4" s="103"/>
      <c r="G4" s="235" t="s">
        <v>536</v>
      </c>
      <c r="H4" s="235"/>
      <c r="I4" s="235"/>
      <c r="J4" s="235"/>
      <c r="K4" s="235"/>
    </row>
    <row r="5" spans="1:15" ht="28.5" customHeight="1" x14ac:dyDescent="0.2">
      <c r="A5" s="94" t="s">
        <v>80</v>
      </c>
      <c r="B5" s="99" t="s">
        <v>527</v>
      </c>
      <c r="C5" s="236" t="s">
        <v>528</v>
      </c>
      <c r="D5" s="237"/>
      <c r="E5" s="96" t="s">
        <v>529</v>
      </c>
      <c r="F5" s="103"/>
      <c r="G5" s="238"/>
      <c r="H5" s="239"/>
      <c r="I5" s="100" t="s">
        <v>534</v>
      </c>
      <c r="J5" s="101" t="s">
        <v>535</v>
      </c>
      <c r="K5" s="96" t="s">
        <v>529</v>
      </c>
      <c r="L5" s="103"/>
      <c r="N5" s="4"/>
    </row>
    <row r="6" spans="1:15" ht="65.25" customHeight="1" x14ac:dyDescent="0.2">
      <c r="A6" s="97" t="s">
        <v>530</v>
      </c>
      <c r="B6" s="21" t="s">
        <v>748</v>
      </c>
      <c r="C6" s="230" t="s">
        <v>783</v>
      </c>
      <c r="D6" s="230"/>
      <c r="E6" s="21" t="s">
        <v>784</v>
      </c>
      <c r="F6" s="103"/>
      <c r="G6" s="234" t="s">
        <v>531</v>
      </c>
      <c r="H6" s="234"/>
      <c r="I6" s="188"/>
      <c r="J6" s="189" t="s">
        <v>787</v>
      </c>
      <c r="K6" s="102" t="s">
        <v>784</v>
      </c>
      <c r="L6" s="103"/>
      <c r="N6" s="4"/>
    </row>
    <row r="7" spans="1:15" ht="65.25" customHeight="1" x14ac:dyDescent="0.2">
      <c r="A7" s="97" t="s">
        <v>83</v>
      </c>
      <c r="B7" s="185"/>
      <c r="C7" s="230" t="s">
        <v>785</v>
      </c>
      <c r="D7" s="230"/>
      <c r="E7" s="21" t="s">
        <v>786</v>
      </c>
      <c r="F7" s="103"/>
      <c r="G7" s="234" t="s">
        <v>532</v>
      </c>
      <c r="H7" s="234"/>
      <c r="I7" s="21" t="s">
        <v>748</v>
      </c>
      <c r="J7" s="102" t="s">
        <v>783</v>
      </c>
      <c r="K7" s="190" t="s">
        <v>784</v>
      </c>
      <c r="L7" s="103"/>
      <c r="N7" s="4"/>
    </row>
    <row r="8" spans="1:15" ht="65.25" customHeight="1" x14ac:dyDescent="0.2">
      <c r="A8" s="98" t="s">
        <v>81</v>
      </c>
      <c r="B8" s="231" t="s">
        <v>82</v>
      </c>
      <c r="C8" s="232"/>
      <c r="D8" s="232"/>
      <c r="E8" s="233"/>
      <c r="F8" s="103"/>
      <c r="G8" s="234" t="s">
        <v>788</v>
      </c>
      <c r="H8" s="234"/>
      <c r="I8" s="187"/>
      <c r="J8" s="102" t="s">
        <v>787</v>
      </c>
      <c r="K8" s="190" t="s">
        <v>784</v>
      </c>
      <c r="L8" s="103"/>
      <c r="N8" s="4"/>
    </row>
    <row r="9" spans="1:15" s="95" customFormat="1" ht="65.25" customHeight="1" x14ac:dyDescent="0.2">
      <c r="A9" s="105"/>
      <c r="F9" s="103"/>
      <c r="G9" s="234" t="s">
        <v>552</v>
      </c>
      <c r="H9" s="234"/>
      <c r="I9" s="185"/>
      <c r="J9" s="190" t="s">
        <v>785</v>
      </c>
      <c r="K9" s="21" t="s">
        <v>789</v>
      </c>
      <c r="L9" s="103"/>
      <c r="M9" s="64"/>
      <c r="N9" s="64"/>
    </row>
    <row r="10" spans="1:15" s="105" customFormat="1" ht="36" customHeight="1" x14ac:dyDescent="0.2">
      <c r="F10" s="103"/>
      <c r="G10" s="229" t="s">
        <v>81</v>
      </c>
      <c r="H10" s="229"/>
      <c r="I10" s="231" t="s">
        <v>82</v>
      </c>
      <c r="J10" s="232"/>
      <c r="K10" s="233"/>
      <c r="L10" s="103"/>
      <c r="M10" s="104"/>
      <c r="N10" s="104"/>
    </row>
    <row r="11" spans="1:15" s="105" customFormat="1" ht="27" customHeight="1" x14ac:dyDescent="0.2">
      <c r="A11" s="103"/>
      <c r="B11" s="103"/>
      <c r="C11" s="103"/>
      <c r="D11" s="103"/>
      <c r="E11" s="103"/>
      <c r="F11" s="103"/>
      <c r="G11" s="103"/>
      <c r="H11" s="103"/>
      <c r="I11" s="103"/>
      <c r="J11" s="103"/>
      <c r="K11" s="103"/>
      <c r="L11" s="104"/>
      <c r="M11" s="104"/>
    </row>
    <row r="12" spans="1:15" s="105" customFormat="1" ht="12.75" customHeight="1" x14ac:dyDescent="0.2">
      <c r="A12" s="103"/>
      <c r="B12" s="103"/>
      <c r="C12" s="103"/>
      <c r="D12" s="103"/>
      <c r="E12" s="103"/>
      <c r="F12" s="103"/>
      <c r="G12" s="103"/>
      <c r="H12" s="103"/>
      <c r="I12" s="103"/>
      <c r="J12" s="103"/>
      <c r="K12" s="103"/>
      <c r="L12" s="104"/>
      <c r="M12" s="104"/>
    </row>
    <row r="13" spans="1:15" ht="78.75" customHeight="1" x14ac:dyDescent="0.2">
      <c r="A13" s="28" t="s">
        <v>730</v>
      </c>
      <c r="B13" s="92" t="s">
        <v>92</v>
      </c>
      <c r="C13" s="92" t="s">
        <v>93</v>
      </c>
      <c r="D13" s="28" t="s">
        <v>676</v>
      </c>
      <c r="E13" s="28" t="s">
        <v>677</v>
      </c>
      <c r="F13" s="28" t="s">
        <v>678</v>
      </c>
      <c r="G13" s="92" t="s">
        <v>94</v>
      </c>
      <c r="H13" s="92" t="s">
        <v>95</v>
      </c>
      <c r="I13" s="28" t="s">
        <v>733</v>
      </c>
      <c r="J13" s="92" t="s">
        <v>472</v>
      </c>
      <c r="K13" s="92" t="s">
        <v>49</v>
      </c>
    </row>
    <row r="14" spans="1:15" ht="32.25" customHeight="1" x14ac:dyDescent="0.2">
      <c r="A14" s="19" t="s">
        <v>0</v>
      </c>
      <c r="B14" s="47" t="s">
        <v>760</v>
      </c>
      <c r="C14" s="82">
        <v>1</v>
      </c>
      <c r="D14" s="48">
        <v>2.4159999999999999</v>
      </c>
      <c r="E14" s="49"/>
      <c r="F14" s="49"/>
      <c r="G14" s="57">
        <v>5.0199999999999996</v>
      </c>
      <c r="H14" s="58"/>
      <c r="I14" s="58"/>
      <c r="J14" s="49"/>
      <c r="K14" s="51"/>
    </row>
    <row r="15" spans="1:15" ht="45" x14ac:dyDescent="0.2">
      <c r="A15" s="19" t="s">
        <v>1</v>
      </c>
      <c r="B15" s="47" t="s">
        <v>761</v>
      </c>
      <c r="C15" s="82">
        <v>2</v>
      </c>
      <c r="D15" s="48">
        <v>2.8540000000000001</v>
      </c>
      <c r="E15" s="48">
        <v>1.117</v>
      </c>
      <c r="F15" s="49"/>
      <c r="G15" s="57">
        <v>5.0199999999999996</v>
      </c>
      <c r="H15" s="58"/>
      <c r="I15" s="58"/>
      <c r="J15" s="49"/>
      <c r="K15" s="51"/>
    </row>
    <row r="16" spans="1:15" ht="60" x14ac:dyDescent="0.2">
      <c r="A16" s="19" t="s">
        <v>11</v>
      </c>
      <c r="B16" s="47" t="s">
        <v>762</v>
      </c>
      <c r="C16" s="82">
        <v>2</v>
      </c>
      <c r="D16" s="48">
        <v>1.097</v>
      </c>
      <c r="E16" s="49"/>
      <c r="F16" s="49"/>
      <c r="G16" s="58"/>
      <c r="H16" s="58"/>
      <c r="I16" s="58"/>
      <c r="J16" s="49"/>
      <c r="K16" s="51" t="s">
        <v>775</v>
      </c>
    </row>
    <row r="17" spans="1:11" ht="32.25" customHeight="1" x14ac:dyDescent="0.2">
      <c r="A17" s="19" t="s">
        <v>12</v>
      </c>
      <c r="B17" s="52" t="s">
        <v>763</v>
      </c>
      <c r="C17" s="82">
        <v>3</v>
      </c>
      <c r="D17" s="48">
        <v>2.4460000000000002</v>
      </c>
      <c r="E17" s="49"/>
      <c r="F17" s="49"/>
      <c r="G17" s="57">
        <v>6.43</v>
      </c>
      <c r="H17" s="58"/>
      <c r="I17" s="58"/>
      <c r="J17" s="49"/>
      <c r="K17" s="51" t="s">
        <v>776</v>
      </c>
    </row>
    <row r="18" spans="1:11" ht="32.25" customHeight="1" x14ac:dyDescent="0.2">
      <c r="A18" s="19" t="s">
        <v>13</v>
      </c>
      <c r="B18" s="47" t="s">
        <v>764</v>
      </c>
      <c r="C18" s="82" t="s">
        <v>1067</v>
      </c>
      <c r="D18" s="48">
        <v>2.9510000000000001</v>
      </c>
      <c r="E18" s="48">
        <v>1.1839999999999999</v>
      </c>
      <c r="F18" s="49"/>
      <c r="G18" s="57">
        <v>6.43</v>
      </c>
      <c r="H18" s="58"/>
      <c r="I18" s="58"/>
      <c r="J18" s="49"/>
      <c r="K18" s="51" t="s">
        <v>777</v>
      </c>
    </row>
    <row r="19" spans="1:11" ht="32.25" customHeight="1" x14ac:dyDescent="0.2">
      <c r="A19" s="19" t="s">
        <v>14</v>
      </c>
      <c r="B19" s="47" t="s">
        <v>765</v>
      </c>
      <c r="C19" s="82" t="s">
        <v>1067</v>
      </c>
      <c r="D19" s="48">
        <v>1.472</v>
      </c>
      <c r="E19" s="49"/>
      <c r="F19" s="49"/>
      <c r="G19" s="58"/>
      <c r="H19" s="58"/>
      <c r="I19" s="58"/>
      <c r="J19" s="49"/>
      <c r="K19" s="51" t="s">
        <v>778</v>
      </c>
    </row>
    <row r="20" spans="1:11" ht="32.25" customHeight="1" x14ac:dyDescent="0.2">
      <c r="A20" s="19" t="s">
        <v>2</v>
      </c>
      <c r="B20" s="52" t="s">
        <v>766</v>
      </c>
      <c r="C20" s="82" t="s">
        <v>1064</v>
      </c>
      <c r="D20" s="48">
        <v>2.2160000000000002</v>
      </c>
      <c r="E20" s="48">
        <v>1.105</v>
      </c>
      <c r="F20" s="49"/>
      <c r="G20" s="57">
        <v>30.02</v>
      </c>
      <c r="H20" s="58"/>
      <c r="I20" s="58"/>
      <c r="J20" s="49"/>
      <c r="K20" s="51"/>
    </row>
    <row r="21" spans="1:11" ht="32.25" customHeight="1" x14ac:dyDescent="0.2">
      <c r="A21" s="19" t="s">
        <v>15</v>
      </c>
      <c r="B21" s="47">
        <v>404</v>
      </c>
      <c r="C21" s="82" t="s">
        <v>1064</v>
      </c>
      <c r="D21" s="48">
        <v>1.829</v>
      </c>
      <c r="E21" s="48">
        <v>1.0660000000000001</v>
      </c>
      <c r="F21" s="49"/>
      <c r="G21" s="57">
        <v>0</v>
      </c>
      <c r="H21" s="58"/>
      <c r="I21" s="58"/>
      <c r="J21" s="49"/>
      <c r="K21" s="51"/>
    </row>
    <row r="22" spans="1:11" ht="32.25" customHeight="1" x14ac:dyDescent="0.2">
      <c r="A22" s="19" t="s">
        <v>16</v>
      </c>
      <c r="B22" s="47"/>
      <c r="C22" s="82" t="s">
        <v>1064</v>
      </c>
      <c r="D22" s="48">
        <v>1.4650000000000001</v>
      </c>
      <c r="E22" s="48">
        <v>1.016</v>
      </c>
      <c r="F22" s="49"/>
      <c r="G22" s="57">
        <v>318.77999999999997</v>
      </c>
      <c r="H22" s="58"/>
      <c r="I22" s="58"/>
      <c r="J22" s="49"/>
      <c r="K22" s="51">
        <v>401</v>
      </c>
    </row>
    <row r="23" spans="1:11" ht="32.25" customHeight="1" x14ac:dyDescent="0.2">
      <c r="A23" s="19" t="s">
        <v>602</v>
      </c>
      <c r="B23" s="47" t="s">
        <v>749</v>
      </c>
      <c r="C23" s="82">
        <v>0</v>
      </c>
      <c r="D23" s="178">
        <v>8.9060000000000006</v>
      </c>
      <c r="E23" s="53">
        <v>1.8560000000000001</v>
      </c>
      <c r="F23" s="59">
        <v>1.056</v>
      </c>
      <c r="G23" s="57">
        <v>5.0199999999999996</v>
      </c>
      <c r="H23" s="58"/>
      <c r="I23" s="58"/>
      <c r="J23" s="49"/>
      <c r="K23" s="51"/>
    </row>
    <row r="24" spans="1:11" ht="32.25" customHeight="1" x14ac:dyDescent="0.2">
      <c r="A24" s="19" t="s">
        <v>603</v>
      </c>
      <c r="B24" s="47" t="s">
        <v>750</v>
      </c>
      <c r="C24" s="82">
        <v>0</v>
      </c>
      <c r="D24" s="178">
        <v>9.3360000000000003</v>
      </c>
      <c r="E24" s="53">
        <v>1.903</v>
      </c>
      <c r="F24" s="59">
        <v>1.06</v>
      </c>
      <c r="G24" s="57">
        <v>6.43</v>
      </c>
      <c r="H24" s="58"/>
      <c r="I24" s="58"/>
      <c r="J24" s="49"/>
      <c r="K24" s="51"/>
    </row>
    <row r="25" spans="1:11" ht="32.25" customHeight="1" x14ac:dyDescent="0.2">
      <c r="A25" s="19" t="s">
        <v>17</v>
      </c>
      <c r="B25" s="51" t="s">
        <v>767</v>
      </c>
      <c r="C25" s="82">
        <v>0</v>
      </c>
      <c r="D25" s="178">
        <v>7.0460000000000003</v>
      </c>
      <c r="E25" s="53">
        <v>1.6080000000000001</v>
      </c>
      <c r="F25" s="59">
        <v>1.0349999999999999</v>
      </c>
      <c r="G25" s="57">
        <v>25.48</v>
      </c>
      <c r="H25" s="57">
        <v>2.4500000000000002</v>
      </c>
      <c r="I25" s="184">
        <v>3.59</v>
      </c>
      <c r="J25" s="48">
        <v>0.186</v>
      </c>
      <c r="K25" s="51"/>
    </row>
    <row r="26" spans="1:11" ht="32.25" customHeight="1" x14ac:dyDescent="0.2">
      <c r="A26" s="19" t="s">
        <v>18</v>
      </c>
      <c r="B26" s="51" t="s">
        <v>768</v>
      </c>
      <c r="C26" s="82">
        <v>0</v>
      </c>
      <c r="D26" s="178">
        <v>5.1180000000000003</v>
      </c>
      <c r="E26" s="53">
        <v>1.325</v>
      </c>
      <c r="F26" s="59">
        <v>1.0089999999999999</v>
      </c>
      <c r="G26" s="57">
        <v>8.99</v>
      </c>
      <c r="H26" s="57">
        <v>4.46</v>
      </c>
      <c r="I26" s="184">
        <v>5.08</v>
      </c>
      <c r="J26" s="48">
        <v>9.8000000000000004E-2</v>
      </c>
      <c r="K26" s="51"/>
    </row>
    <row r="27" spans="1:11" ht="32.25" customHeight="1" x14ac:dyDescent="0.2">
      <c r="A27" s="19" t="s">
        <v>19</v>
      </c>
      <c r="B27" s="51" t="s">
        <v>769</v>
      </c>
      <c r="C27" s="82">
        <v>0</v>
      </c>
      <c r="D27" s="178">
        <v>3.835</v>
      </c>
      <c r="E27" s="53">
        <v>1.1910000000000001</v>
      </c>
      <c r="F27" s="59">
        <v>0.999</v>
      </c>
      <c r="G27" s="57">
        <v>136.13999999999999</v>
      </c>
      <c r="H27" s="57">
        <v>4.92</v>
      </c>
      <c r="I27" s="184">
        <v>6.05</v>
      </c>
      <c r="J27" s="48">
        <v>5.7000000000000002E-2</v>
      </c>
      <c r="K27" s="51"/>
    </row>
    <row r="28" spans="1:11" ht="32.25" customHeight="1" x14ac:dyDescent="0.2">
      <c r="A28" s="19" t="s">
        <v>201</v>
      </c>
      <c r="B28" s="51" t="s">
        <v>751</v>
      </c>
      <c r="C28" s="82" t="s">
        <v>1509</v>
      </c>
      <c r="D28" s="48">
        <v>2.1469999999999998</v>
      </c>
      <c r="E28" s="49"/>
      <c r="F28" s="49"/>
      <c r="G28" s="58"/>
      <c r="H28" s="58"/>
      <c r="I28" s="58"/>
      <c r="J28" s="49"/>
      <c r="K28" s="51" t="s">
        <v>779</v>
      </c>
    </row>
    <row r="29" spans="1:11" ht="32.25" customHeight="1" x14ac:dyDescent="0.2">
      <c r="A29" s="19" t="s">
        <v>202</v>
      </c>
      <c r="B29" s="51" t="s">
        <v>752</v>
      </c>
      <c r="C29" s="82">
        <v>1</v>
      </c>
      <c r="D29" s="48">
        <v>2.371</v>
      </c>
      <c r="E29" s="49"/>
      <c r="F29" s="49"/>
      <c r="G29" s="58"/>
      <c r="H29" s="58"/>
      <c r="I29" s="58"/>
      <c r="J29" s="49"/>
      <c r="K29" s="51" t="s">
        <v>757</v>
      </c>
    </row>
    <row r="30" spans="1:11" ht="32.25" customHeight="1" x14ac:dyDescent="0.2">
      <c r="A30" s="19" t="s">
        <v>203</v>
      </c>
      <c r="B30" s="51" t="s">
        <v>753</v>
      </c>
      <c r="C30" s="82">
        <v>1</v>
      </c>
      <c r="D30" s="48">
        <v>3.1589999999999998</v>
      </c>
      <c r="E30" s="49"/>
      <c r="F30" s="49"/>
      <c r="G30" s="58"/>
      <c r="H30" s="58"/>
      <c r="I30" s="58"/>
      <c r="J30" s="49"/>
      <c r="K30" s="51" t="s">
        <v>758</v>
      </c>
    </row>
    <row r="31" spans="1:11" ht="32.25" customHeight="1" x14ac:dyDescent="0.2">
      <c r="A31" s="19" t="s">
        <v>204</v>
      </c>
      <c r="B31" s="51" t="s">
        <v>754</v>
      </c>
      <c r="C31" s="82">
        <v>1</v>
      </c>
      <c r="D31" s="48">
        <v>1.986</v>
      </c>
      <c r="E31" s="49"/>
      <c r="F31" s="49"/>
      <c r="G31" s="58"/>
      <c r="H31" s="58"/>
      <c r="I31" s="58"/>
      <c r="J31" s="49"/>
      <c r="K31" s="51" t="s">
        <v>759</v>
      </c>
    </row>
    <row r="32" spans="1:11" ht="32.25" customHeight="1" x14ac:dyDescent="0.2">
      <c r="A32" s="19" t="s">
        <v>3</v>
      </c>
      <c r="B32" s="51" t="s">
        <v>755</v>
      </c>
      <c r="C32" s="82">
        <v>0</v>
      </c>
      <c r="D32" s="179">
        <v>15.24</v>
      </c>
      <c r="E32" s="54">
        <v>2.032</v>
      </c>
      <c r="F32" s="59">
        <v>1.506</v>
      </c>
      <c r="G32" s="58"/>
      <c r="H32" s="58"/>
      <c r="I32" s="58"/>
      <c r="J32" s="49"/>
      <c r="K32" s="51"/>
    </row>
    <row r="33" spans="1:11" ht="32.25" customHeight="1" x14ac:dyDescent="0.2">
      <c r="A33" s="19" t="s">
        <v>604</v>
      </c>
      <c r="B33" s="52" t="s">
        <v>770</v>
      </c>
      <c r="C33" s="82" t="s">
        <v>1510</v>
      </c>
      <c r="D33" s="48">
        <v>-0.76200000000000001</v>
      </c>
      <c r="E33" s="49"/>
      <c r="F33" s="49"/>
      <c r="G33" s="57">
        <v>0</v>
      </c>
      <c r="H33" s="58"/>
      <c r="I33" s="58"/>
      <c r="J33" s="49"/>
      <c r="K33" s="51"/>
    </row>
    <row r="34" spans="1:11" ht="32.25" customHeight="1" x14ac:dyDescent="0.2">
      <c r="A34" s="19" t="s">
        <v>10</v>
      </c>
      <c r="B34" s="47">
        <v>602</v>
      </c>
      <c r="C34" s="82">
        <v>8</v>
      </c>
      <c r="D34" s="48">
        <v>-0.67300000000000004</v>
      </c>
      <c r="E34" s="49"/>
      <c r="F34" s="49"/>
      <c r="G34" s="57">
        <v>0</v>
      </c>
      <c r="H34" s="58"/>
      <c r="I34" s="58"/>
      <c r="J34" s="49"/>
      <c r="K34" s="51"/>
    </row>
    <row r="35" spans="1:11" ht="32.25" customHeight="1" x14ac:dyDescent="0.2">
      <c r="A35" s="19" t="s">
        <v>4</v>
      </c>
      <c r="B35" s="51" t="s">
        <v>771</v>
      </c>
      <c r="C35" s="82">
        <v>0</v>
      </c>
      <c r="D35" s="48">
        <v>-0.76200000000000001</v>
      </c>
      <c r="E35" s="49"/>
      <c r="F35" s="49"/>
      <c r="G35" s="57">
        <v>0</v>
      </c>
      <c r="H35" s="58"/>
      <c r="I35" s="58"/>
      <c r="J35" s="48">
        <v>0.17599999999999999</v>
      </c>
      <c r="K35" s="51"/>
    </row>
    <row r="36" spans="1:11" ht="32.25" customHeight="1" x14ac:dyDescent="0.2">
      <c r="A36" s="19" t="s">
        <v>740</v>
      </c>
      <c r="B36" s="51" t="s">
        <v>756</v>
      </c>
      <c r="C36" s="82">
        <v>0</v>
      </c>
      <c r="D36" s="48">
        <v>-0.76200000000000001</v>
      </c>
      <c r="E36" s="49"/>
      <c r="F36" s="49"/>
      <c r="G36" s="57">
        <v>0</v>
      </c>
      <c r="H36" s="58"/>
      <c r="I36" s="58"/>
      <c r="J36" s="49"/>
      <c r="K36" s="51"/>
    </row>
    <row r="37" spans="1:11" ht="32.25" customHeight="1" x14ac:dyDescent="0.2">
      <c r="A37" s="19" t="s">
        <v>5</v>
      </c>
      <c r="B37" s="51" t="s">
        <v>772</v>
      </c>
      <c r="C37" s="82">
        <v>0</v>
      </c>
      <c r="D37" s="199">
        <v>-5.617</v>
      </c>
      <c r="E37" s="55">
        <v>-0.61299999999999999</v>
      </c>
      <c r="F37" s="59">
        <v>-4.4999999999999998E-2</v>
      </c>
      <c r="G37" s="57">
        <v>0</v>
      </c>
      <c r="H37" s="58"/>
      <c r="I37" s="58"/>
      <c r="J37" s="48">
        <v>0.17599999999999999</v>
      </c>
      <c r="K37" s="51"/>
    </row>
    <row r="38" spans="1:11" ht="32.25" customHeight="1" x14ac:dyDescent="0.2">
      <c r="A38" s="19" t="s">
        <v>741</v>
      </c>
      <c r="B38" s="51" t="s">
        <v>756</v>
      </c>
      <c r="C38" s="82">
        <v>0</v>
      </c>
      <c r="D38" s="199">
        <v>-5.617</v>
      </c>
      <c r="E38" s="55">
        <v>-0.61299999999999999</v>
      </c>
      <c r="F38" s="59">
        <v>-4.4999999999999998E-2</v>
      </c>
      <c r="G38" s="57">
        <v>0</v>
      </c>
      <c r="H38" s="58"/>
      <c r="I38" s="58"/>
      <c r="J38" s="49"/>
      <c r="K38" s="51"/>
    </row>
    <row r="39" spans="1:11" ht="32.25" customHeight="1" x14ac:dyDescent="0.2">
      <c r="A39" s="19" t="s">
        <v>6</v>
      </c>
      <c r="B39" s="51">
        <v>609</v>
      </c>
      <c r="C39" s="82">
        <v>0</v>
      </c>
      <c r="D39" s="48">
        <v>-0.67300000000000004</v>
      </c>
      <c r="E39" s="49"/>
      <c r="F39" s="49"/>
      <c r="G39" s="57">
        <v>0</v>
      </c>
      <c r="H39" s="58"/>
      <c r="I39" s="58"/>
      <c r="J39" s="48">
        <v>0.155</v>
      </c>
      <c r="K39" s="51"/>
    </row>
    <row r="40" spans="1:11" ht="32.25" customHeight="1" x14ac:dyDescent="0.2">
      <c r="A40" s="19" t="s">
        <v>742</v>
      </c>
      <c r="B40" s="51" t="s">
        <v>756</v>
      </c>
      <c r="C40" s="82">
        <v>0</v>
      </c>
      <c r="D40" s="48">
        <v>-0.67300000000000004</v>
      </c>
      <c r="E40" s="49"/>
      <c r="F40" s="49"/>
      <c r="G40" s="57">
        <v>0</v>
      </c>
      <c r="H40" s="58"/>
      <c r="I40" s="58"/>
      <c r="J40" s="49"/>
      <c r="K40" s="51"/>
    </row>
    <row r="41" spans="1:11" ht="32.25" customHeight="1" x14ac:dyDescent="0.2">
      <c r="A41" s="19" t="s">
        <v>7</v>
      </c>
      <c r="B41" s="51">
        <v>610</v>
      </c>
      <c r="C41" s="82">
        <v>0</v>
      </c>
      <c r="D41" s="199">
        <v>-5.0250000000000004</v>
      </c>
      <c r="E41" s="53">
        <v>-0.52900000000000003</v>
      </c>
      <c r="F41" s="59">
        <v>-3.7999999999999999E-2</v>
      </c>
      <c r="G41" s="57">
        <v>0</v>
      </c>
      <c r="H41" s="58"/>
      <c r="I41" s="58"/>
      <c r="J41" s="48">
        <v>0.155</v>
      </c>
      <c r="K41" s="51"/>
    </row>
    <row r="42" spans="1:11" ht="32.25" customHeight="1" x14ac:dyDescent="0.2">
      <c r="A42" s="19" t="s">
        <v>743</v>
      </c>
      <c r="B42" s="51" t="s">
        <v>756</v>
      </c>
      <c r="C42" s="82">
        <v>0</v>
      </c>
      <c r="D42" s="199">
        <v>-5.0250000000000004</v>
      </c>
      <c r="E42" s="53">
        <v>-0.52900000000000003</v>
      </c>
      <c r="F42" s="59">
        <v>-3.7999999999999999E-2</v>
      </c>
      <c r="G42" s="57">
        <v>0</v>
      </c>
      <c r="H42" s="58"/>
      <c r="I42" s="58"/>
      <c r="J42" s="49"/>
      <c r="K42" s="51"/>
    </row>
    <row r="43" spans="1:11" ht="32.25" customHeight="1" x14ac:dyDescent="0.2">
      <c r="A43" s="19" t="s">
        <v>8</v>
      </c>
      <c r="B43" s="51" t="s">
        <v>773</v>
      </c>
      <c r="C43" s="82">
        <v>0</v>
      </c>
      <c r="D43" s="48">
        <v>-0.40699999999999997</v>
      </c>
      <c r="E43" s="49"/>
      <c r="F43" s="49"/>
      <c r="G43" s="57">
        <v>99.41</v>
      </c>
      <c r="H43" s="58"/>
      <c r="I43" s="58"/>
      <c r="J43" s="48">
        <v>0.124</v>
      </c>
      <c r="K43" s="51"/>
    </row>
    <row r="44" spans="1:11" ht="32.25" customHeight="1" x14ac:dyDescent="0.2">
      <c r="A44" s="19" t="s">
        <v>744</v>
      </c>
      <c r="B44" s="51" t="s">
        <v>756</v>
      </c>
      <c r="C44" s="82">
        <v>0</v>
      </c>
      <c r="D44" s="48">
        <v>-0.40699999999999997</v>
      </c>
      <c r="E44" s="49"/>
      <c r="F44" s="49"/>
      <c r="G44" s="57">
        <v>99.41</v>
      </c>
      <c r="H44" s="58"/>
      <c r="I44" s="58"/>
      <c r="J44" s="49"/>
      <c r="K44" s="51"/>
    </row>
    <row r="45" spans="1:11" ht="32.25" customHeight="1" x14ac:dyDescent="0.2">
      <c r="A45" s="19" t="s">
        <v>9</v>
      </c>
      <c r="B45" s="51" t="s">
        <v>774</v>
      </c>
      <c r="C45" s="82">
        <v>0</v>
      </c>
      <c r="D45" s="199">
        <v>-3.3330000000000002</v>
      </c>
      <c r="E45" s="53">
        <v>-0.26600000000000001</v>
      </c>
      <c r="F45" s="59">
        <v>-1.2999999999999999E-2</v>
      </c>
      <c r="G45" s="57">
        <v>99.41</v>
      </c>
      <c r="H45" s="58"/>
      <c r="I45" s="58"/>
      <c r="J45" s="48">
        <v>0.124</v>
      </c>
      <c r="K45" s="51"/>
    </row>
    <row r="46" spans="1:11" ht="32.25" customHeight="1" x14ac:dyDescent="0.2">
      <c r="A46" s="19" t="s">
        <v>745</v>
      </c>
      <c r="B46" s="51" t="s">
        <v>756</v>
      </c>
      <c r="C46" s="82">
        <v>0</v>
      </c>
      <c r="D46" s="199">
        <v>-3.3330000000000002</v>
      </c>
      <c r="E46" s="53">
        <v>-0.26600000000000001</v>
      </c>
      <c r="F46" s="59">
        <v>-1.2999999999999999E-2</v>
      </c>
      <c r="G46" s="57">
        <v>99.41</v>
      </c>
      <c r="H46" s="58"/>
      <c r="I46" s="58"/>
      <c r="J46" s="49"/>
      <c r="K46" s="51"/>
    </row>
  </sheetData>
  <mergeCells count="16">
    <mergeCell ref="E1:K1"/>
    <mergeCell ref="B1:D1"/>
    <mergeCell ref="G10:H10"/>
    <mergeCell ref="C7:D7"/>
    <mergeCell ref="B8:E8"/>
    <mergeCell ref="G9:H9"/>
    <mergeCell ref="I10:K10"/>
    <mergeCell ref="G7:H7"/>
    <mergeCell ref="G8:H8"/>
    <mergeCell ref="A2:K2"/>
    <mergeCell ref="C5:D5"/>
    <mergeCell ref="C6:D6"/>
    <mergeCell ref="G5:H5"/>
    <mergeCell ref="G6:H6"/>
    <mergeCell ref="G4:K4"/>
    <mergeCell ref="A4:E4"/>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8" scale="44" fitToHeight="0" orientation="portrait" r:id="rId1"/>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&amp;N&amp;C&amp;1#&amp;"Calibri"&amp;12&amp;K008000Internal Use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Q260"/>
  <sheetViews>
    <sheetView topLeftCell="C1" zoomScale="85" zoomScaleNormal="85" zoomScaleSheetLayoutView="100" workbookViewId="0">
      <selection activeCell="G6" sqref="G6"/>
    </sheetView>
  </sheetViews>
  <sheetFormatPr defaultRowHeight="27.75" customHeight="1" x14ac:dyDescent="0.2"/>
  <cols>
    <col min="1" max="1" width="14.5703125" style="67" customWidth="1"/>
    <col min="2" max="2" width="11.7109375" style="67" customWidth="1"/>
    <col min="3" max="3" width="17.140625" style="67" customWidth="1"/>
    <col min="4" max="4" width="14.7109375" style="75" customWidth="1"/>
    <col min="5" max="5" width="11.28515625" style="75" customWidth="1"/>
    <col min="6" max="6" width="17.28515625" style="75" customWidth="1"/>
    <col min="7" max="7" width="50.7109375" style="75" customWidth="1"/>
    <col min="8" max="8" width="14.7109375" style="75" customWidth="1"/>
    <col min="9" max="9" width="14.7109375" style="76" customWidth="1"/>
    <col min="10" max="11" width="14.7109375" style="77" customWidth="1"/>
    <col min="12" max="15" width="14.7109375" style="67" customWidth="1"/>
    <col min="16" max="17" width="15.5703125" style="67" customWidth="1"/>
    <col min="18" max="16384" width="9.140625" style="67"/>
  </cols>
  <sheetData>
    <row r="1" spans="1:17" ht="66.75" customHeight="1" x14ac:dyDescent="0.2">
      <c r="A1" s="65" t="s">
        <v>87</v>
      </c>
      <c r="B1" s="65"/>
      <c r="C1" s="245" t="s">
        <v>684</v>
      </c>
      <c r="D1" s="245"/>
      <c r="E1" s="66"/>
      <c r="F1" s="244" t="s">
        <v>200</v>
      </c>
      <c r="G1" s="244"/>
      <c r="H1" s="244"/>
      <c r="I1" s="244"/>
      <c r="J1" s="244"/>
      <c r="K1" s="244"/>
      <c r="L1" s="244"/>
      <c r="M1" s="244"/>
      <c r="N1" s="244"/>
      <c r="O1" s="244"/>
    </row>
    <row r="2" spans="1:17" s="68" customFormat="1" ht="25.5" customHeight="1" x14ac:dyDescent="0.2">
      <c r="A2" s="235" t="str">
        <f>Overview!B4&amp; " - Effective from "&amp;Overview!D4&amp;" - "&amp;Overview!E4&amp;" EDCM charges"</f>
        <v>SP Distribution - Effective from 1 April 2018 - Final EDCM charges</v>
      </c>
      <c r="B2" s="235"/>
      <c r="C2" s="235"/>
      <c r="D2" s="235"/>
      <c r="E2" s="235"/>
      <c r="F2" s="235"/>
      <c r="G2" s="235"/>
      <c r="H2" s="235"/>
      <c r="I2" s="235"/>
      <c r="J2" s="235"/>
      <c r="K2" s="235"/>
      <c r="L2" s="235"/>
      <c r="M2" s="235"/>
      <c r="N2" s="235"/>
      <c r="O2" s="235"/>
    </row>
    <row r="3" spans="1:17" s="106" customFormat="1" ht="10.5" customHeight="1" x14ac:dyDescent="0.2">
      <c r="A3" s="103"/>
      <c r="B3" s="103"/>
      <c r="C3" s="103"/>
      <c r="D3" s="103"/>
      <c r="E3" s="103"/>
      <c r="F3" s="103"/>
      <c r="G3" s="103"/>
      <c r="H3" s="103"/>
      <c r="I3" s="103"/>
      <c r="J3" s="103"/>
      <c r="K3" s="103"/>
      <c r="L3" s="103"/>
      <c r="M3" s="103"/>
      <c r="N3" s="103"/>
      <c r="O3" s="103"/>
    </row>
    <row r="4" spans="1:17" s="106" customFormat="1" ht="25.5" customHeight="1" x14ac:dyDescent="0.2">
      <c r="A4" s="235" t="s">
        <v>538</v>
      </c>
      <c r="B4" s="235"/>
      <c r="C4" s="235"/>
      <c r="D4" s="235"/>
      <c r="E4" s="235"/>
      <c r="F4" s="235"/>
      <c r="G4" s="103"/>
      <c r="H4" s="103"/>
      <c r="I4" s="103"/>
      <c r="J4" s="103"/>
      <c r="K4" s="103"/>
      <c r="L4" s="103"/>
      <c r="M4" s="103"/>
      <c r="N4" s="103"/>
      <c r="O4" s="103"/>
    </row>
    <row r="5" spans="1:17" s="106" customFormat="1" ht="25.5" customHeight="1" x14ac:dyDescent="0.2">
      <c r="A5" s="240" t="s">
        <v>80</v>
      </c>
      <c r="B5" s="241"/>
      <c r="C5" s="241"/>
      <c r="D5" s="242" t="s">
        <v>533</v>
      </c>
      <c r="E5" s="242"/>
      <c r="F5" s="242"/>
      <c r="G5" s="103"/>
      <c r="H5" s="103"/>
      <c r="I5" s="103"/>
      <c r="J5" s="103"/>
      <c r="K5" s="103"/>
      <c r="L5" s="103"/>
      <c r="M5" s="103"/>
      <c r="N5" s="103"/>
      <c r="O5" s="103"/>
    </row>
    <row r="6" spans="1:17" s="106" customFormat="1" ht="48" customHeight="1" x14ac:dyDescent="0.2">
      <c r="A6" s="229" t="s">
        <v>531</v>
      </c>
      <c r="B6" s="229"/>
      <c r="C6" s="229"/>
      <c r="D6" s="243"/>
      <c r="E6" s="243"/>
      <c r="F6" s="243"/>
      <c r="G6" s="103"/>
      <c r="H6" s="103"/>
      <c r="I6" s="103"/>
      <c r="J6" s="103"/>
      <c r="K6" s="103"/>
      <c r="L6" s="103"/>
      <c r="M6" s="103"/>
      <c r="N6" s="103"/>
      <c r="O6" s="103"/>
    </row>
    <row r="7" spans="1:17" s="106" customFormat="1" ht="53.25" customHeight="1" x14ac:dyDescent="0.2">
      <c r="A7" s="229" t="s">
        <v>532</v>
      </c>
      <c r="B7" s="229"/>
      <c r="C7" s="229"/>
      <c r="D7" s="230" t="s">
        <v>1063</v>
      </c>
      <c r="E7" s="230"/>
      <c r="F7" s="230"/>
      <c r="G7" s="103"/>
      <c r="H7" s="103"/>
      <c r="I7" s="103"/>
      <c r="J7" s="103"/>
      <c r="K7" s="103"/>
      <c r="L7" s="103"/>
      <c r="M7" s="103"/>
      <c r="N7" s="103"/>
      <c r="O7" s="103"/>
    </row>
    <row r="8" spans="1:17" s="106" customFormat="1" ht="25.5" customHeight="1" x14ac:dyDescent="0.2">
      <c r="A8" s="229" t="s">
        <v>81</v>
      </c>
      <c r="B8" s="229"/>
      <c r="C8" s="229"/>
      <c r="D8" s="230" t="s">
        <v>82</v>
      </c>
      <c r="E8" s="230"/>
      <c r="F8" s="230"/>
      <c r="G8" s="103"/>
      <c r="H8" s="103"/>
      <c r="I8" s="103"/>
      <c r="J8" s="103"/>
      <c r="K8" s="103"/>
      <c r="L8" s="103"/>
      <c r="M8" s="103"/>
      <c r="N8" s="103"/>
      <c r="O8" s="103"/>
    </row>
    <row r="9" spans="1:17" s="106" customFormat="1" ht="10.5" customHeight="1" x14ac:dyDescent="0.2">
      <c r="A9" s="103"/>
      <c r="B9" s="103"/>
      <c r="C9" s="103"/>
      <c r="D9" s="103"/>
      <c r="E9" s="103"/>
      <c r="F9" s="103"/>
      <c r="G9" s="103"/>
      <c r="H9" s="103"/>
      <c r="I9" s="103"/>
      <c r="J9" s="103"/>
      <c r="K9" s="103"/>
      <c r="L9" s="103"/>
      <c r="M9" s="103"/>
      <c r="N9" s="103"/>
      <c r="O9" s="103"/>
    </row>
    <row r="10" spans="1:17" ht="63.75" customHeight="1" x14ac:dyDescent="0.2">
      <c r="A10" s="69" t="s">
        <v>522</v>
      </c>
      <c r="B10" s="70" t="s">
        <v>487</v>
      </c>
      <c r="C10" s="69" t="s">
        <v>488</v>
      </c>
      <c r="D10" s="69" t="s">
        <v>524</v>
      </c>
      <c r="E10" s="70" t="s">
        <v>487</v>
      </c>
      <c r="F10" s="69" t="s">
        <v>489</v>
      </c>
      <c r="G10" s="71" t="s">
        <v>199</v>
      </c>
      <c r="H10" s="72" t="s">
        <v>674</v>
      </c>
      <c r="I10" s="71" t="s">
        <v>525</v>
      </c>
      <c r="J10" s="71" t="s">
        <v>670</v>
      </c>
      <c r="K10" s="171" t="s">
        <v>734</v>
      </c>
      <c r="L10" s="72" t="s">
        <v>675</v>
      </c>
      <c r="M10" s="71" t="s">
        <v>526</v>
      </c>
      <c r="N10" s="71" t="s">
        <v>671</v>
      </c>
      <c r="O10" s="171" t="s">
        <v>735</v>
      </c>
    </row>
    <row r="11" spans="1:17" ht="12.75" x14ac:dyDescent="0.2">
      <c r="A11" s="122">
        <v>800</v>
      </c>
      <c r="B11" s="122">
        <v>800</v>
      </c>
      <c r="C11" s="73">
        <v>1800060775972</v>
      </c>
      <c r="D11" s="122">
        <v>644</v>
      </c>
      <c r="E11" s="122">
        <v>644</v>
      </c>
      <c r="F11" s="73">
        <v>1800060775990</v>
      </c>
      <c r="G11" s="74" t="s">
        <v>813</v>
      </c>
      <c r="H11" s="78"/>
      <c r="I11" s="79">
        <v>352.11</v>
      </c>
      <c r="J11" s="79">
        <v>1.77</v>
      </c>
      <c r="K11" s="79">
        <v>1.77</v>
      </c>
      <c r="L11" s="80"/>
      <c r="M11" s="81">
        <v>5861.03</v>
      </c>
      <c r="N11" s="81">
        <v>0.05</v>
      </c>
      <c r="O11" s="81">
        <v>0.05</v>
      </c>
      <c r="P11" s="211"/>
      <c r="Q11" s="211"/>
    </row>
    <row r="12" spans="1:17" ht="15" customHeight="1" x14ac:dyDescent="0.2">
      <c r="A12" s="122">
        <v>801</v>
      </c>
      <c r="B12" s="122">
        <v>801</v>
      </c>
      <c r="C12" s="73">
        <v>1800060004220</v>
      </c>
      <c r="D12" s="122" t="s">
        <v>978</v>
      </c>
      <c r="E12" s="122" t="s">
        <v>978</v>
      </c>
      <c r="F12" s="73" t="s">
        <v>978</v>
      </c>
      <c r="G12" s="74" t="s">
        <v>814</v>
      </c>
      <c r="H12" s="78"/>
      <c r="I12" s="79">
        <v>504.96</v>
      </c>
      <c r="J12" s="79"/>
      <c r="K12" s="79"/>
      <c r="L12" s="80"/>
      <c r="M12" s="81"/>
      <c r="N12" s="81"/>
      <c r="O12" s="81"/>
      <c r="P12" s="211"/>
    </row>
    <row r="13" spans="1:17" ht="15" customHeight="1" x14ac:dyDescent="0.2">
      <c r="A13" s="122">
        <v>802</v>
      </c>
      <c r="B13" s="122">
        <v>802</v>
      </c>
      <c r="C13" s="73">
        <v>1800060539962</v>
      </c>
      <c r="D13" s="122">
        <v>683</v>
      </c>
      <c r="E13" s="122">
        <v>683</v>
      </c>
      <c r="F13" s="73">
        <v>1800060539971</v>
      </c>
      <c r="G13" s="74" t="s">
        <v>815</v>
      </c>
      <c r="H13" s="78"/>
      <c r="I13" s="79">
        <v>144.80000000000001</v>
      </c>
      <c r="J13" s="79">
        <v>4.3099999999999996</v>
      </c>
      <c r="K13" s="79">
        <v>4.3099999999999996</v>
      </c>
      <c r="L13" s="80"/>
      <c r="M13" s="81">
        <v>5449.73</v>
      </c>
      <c r="N13" s="81">
        <v>0.05</v>
      </c>
      <c r="O13" s="81">
        <v>0.05</v>
      </c>
      <c r="P13" s="211"/>
    </row>
    <row r="14" spans="1:17" ht="15" customHeight="1" x14ac:dyDescent="0.2">
      <c r="A14" s="122">
        <v>803</v>
      </c>
      <c r="B14" s="122">
        <v>803</v>
      </c>
      <c r="C14" s="73">
        <v>1800060532708</v>
      </c>
      <c r="D14" s="122">
        <v>684</v>
      </c>
      <c r="E14" s="122">
        <v>684</v>
      </c>
      <c r="F14" s="73">
        <v>1800060532717</v>
      </c>
      <c r="G14" s="74" t="s">
        <v>816</v>
      </c>
      <c r="H14" s="78"/>
      <c r="I14" s="79">
        <v>176.83</v>
      </c>
      <c r="J14" s="79">
        <v>2.57</v>
      </c>
      <c r="K14" s="79">
        <v>2.57</v>
      </c>
      <c r="L14" s="80"/>
      <c r="M14" s="81">
        <v>9901.7000000000007</v>
      </c>
      <c r="N14" s="81">
        <v>0.05</v>
      </c>
      <c r="O14" s="81">
        <v>0.05</v>
      </c>
      <c r="P14" s="211"/>
    </row>
    <row r="15" spans="1:17" ht="15" customHeight="1" x14ac:dyDescent="0.2">
      <c r="A15" s="122">
        <v>804</v>
      </c>
      <c r="B15" s="122">
        <v>804</v>
      </c>
      <c r="C15" s="73">
        <v>1800060532726</v>
      </c>
      <c r="D15" s="122">
        <v>685</v>
      </c>
      <c r="E15" s="122">
        <v>685</v>
      </c>
      <c r="F15" s="73">
        <v>1800060532735</v>
      </c>
      <c r="G15" s="74" t="s">
        <v>817</v>
      </c>
      <c r="H15" s="78"/>
      <c r="I15" s="79">
        <v>408.53</v>
      </c>
      <c r="J15" s="79">
        <v>0.82</v>
      </c>
      <c r="K15" s="79">
        <v>0.82</v>
      </c>
      <c r="L15" s="80"/>
      <c r="M15" s="81">
        <v>6437.57</v>
      </c>
      <c r="N15" s="81">
        <v>0.05</v>
      </c>
      <c r="O15" s="81">
        <v>0.05</v>
      </c>
      <c r="P15" s="211"/>
    </row>
    <row r="16" spans="1:17" ht="15" customHeight="1" x14ac:dyDescent="0.2">
      <c r="A16" s="122">
        <v>805</v>
      </c>
      <c r="B16" s="122">
        <v>805</v>
      </c>
      <c r="C16" s="73">
        <v>1800060587850</v>
      </c>
      <c r="D16" s="122">
        <v>693</v>
      </c>
      <c r="E16" s="122">
        <v>693</v>
      </c>
      <c r="F16" s="73">
        <v>1800060587869</v>
      </c>
      <c r="G16" s="74" t="s">
        <v>989</v>
      </c>
      <c r="H16" s="78"/>
      <c r="I16" s="79">
        <v>117.17</v>
      </c>
      <c r="J16" s="79">
        <v>0.95</v>
      </c>
      <c r="K16" s="79">
        <v>0.95</v>
      </c>
      <c r="L16" s="80"/>
      <c r="M16" s="81">
        <v>8746.35</v>
      </c>
      <c r="N16" s="81">
        <v>0.05</v>
      </c>
      <c r="O16" s="81">
        <v>0.05</v>
      </c>
      <c r="P16" s="211"/>
    </row>
    <row r="17" spans="1:16" ht="15" customHeight="1" x14ac:dyDescent="0.2">
      <c r="A17" s="122">
        <v>806</v>
      </c>
      <c r="B17" s="122">
        <v>806</v>
      </c>
      <c r="C17" s="73">
        <v>1800060532647</v>
      </c>
      <c r="D17" s="122">
        <v>688</v>
      </c>
      <c r="E17" s="122">
        <v>688</v>
      </c>
      <c r="F17" s="73">
        <v>1800060532656</v>
      </c>
      <c r="G17" s="74" t="s">
        <v>819</v>
      </c>
      <c r="H17" s="78"/>
      <c r="I17" s="79">
        <v>253.36</v>
      </c>
      <c r="J17" s="79">
        <v>2.5499999999999998</v>
      </c>
      <c r="K17" s="79">
        <v>2.5499999999999998</v>
      </c>
      <c r="L17" s="80"/>
      <c r="M17" s="81">
        <v>5756.23</v>
      </c>
      <c r="N17" s="81">
        <v>0.05</v>
      </c>
      <c r="O17" s="81">
        <v>0.05</v>
      </c>
      <c r="P17" s="211"/>
    </row>
    <row r="18" spans="1:16" ht="15" customHeight="1" x14ac:dyDescent="0.2">
      <c r="A18" s="122">
        <v>807</v>
      </c>
      <c r="B18" s="122">
        <v>807</v>
      </c>
      <c r="C18" s="73">
        <v>1800060532665</v>
      </c>
      <c r="D18" s="122">
        <v>689</v>
      </c>
      <c r="E18" s="122">
        <v>689</v>
      </c>
      <c r="F18" s="73">
        <v>1800060532674</v>
      </c>
      <c r="G18" s="74" t="s">
        <v>820</v>
      </c>
      <c r="H18" s="78"/>
      <c r="I18" s="79">
        <v>149.6</v>
      </c>
      <c r="J18" s="79">
        <v>2.65</v>
      </c>
      <c r="K18" s="79">
        <v>2.65</v>
      </c>
      <c r="L18" s="80"/>
      <c r="M18" s="81">
        <v>7061.91</v>
      </c>
      <c r="N18" s="81">
        <v>0.05</v>
      </c>
      <c r="O18" s="81">
        <v>0.05</v>
      </c>
      <c r="P18" s="211"/>
    </row>
    <row r="19" spans="1:16" ht="15" customHeight="1" x14ac:dyDescent="0.2">
      <c r="A19" s="122">
        <v>808</v>
      </c>
      <c r="B19" s="122">
        <v>808</v>
      </c>
      <c r="C19" s="73">
        <v>1800053653870</v>
      </c>
      <c r="D19" s="122">
        <v>681</v>
      </c>
      <c r="E19" s="122">
        <v>681</v>
      </c>
      <c r="F19" s="73">
        <v>1800053653880</v>
      </c>
      <c r="G19" s="74" t="s">
        <v>821</v>
      </c>
      <c r="H19" s="78"/>
      <c r="I19" s="79">
        <v>121.27</v>
      </c>
      <c r="J19" s="79">
        <v>0.8</v>
      </c>
      <c r="K19" s="79">
        <v>0.8</v>
      </c>
      <c r="L19" s="80"/>
      <c r="M19" s="81"/>
      <c r="N19" s="81"/>
      <c r="O19" s="81"/>
      <c r="P19" s="211"/>
    </row>
    <row r="20" spans="1:16" ht="15" customHeight="1" x14ac:dyDescent="0.2">
      <c r="A20" s="122">
        <v>809</v>
      </c>
      <c r="B20" s="122">
        <v>809</v>
      </c>
      <c r="C20" s="73">
        <v>1800054992968</v>
      </c>
      <c r="D20" s="122">
        <v>629</v>
      </c>
      <c r="E20" s="122">
        <v>629</v>
      </c>
      <c r="F20" s="73">
        <v>1800054992977</v>
      </c>
      <c r="G20" s="74" t="s">
        <v>822</v>
      </c>
      <c r="H20" s="78"/>
      <c r="I20" s="79">
        <v>792.43</v>
      </c>
      <c r="J20" s="79">
        <v>0.83</v>
      </c>
      <c r="K20" s="79">
        <v>0.83</v>
      </c>
      <c r="L20" s="80"/>
      <c r="M20" s="81">
        <v>20011.689999999999</v>
      </c>
      <c r="N20" s="81">
        <v>0.05</v>
      </c>
      <c r="O20" s="81">
        <v>0.05</v>
      </c>
      <c r="P20" s="211"/>
    </row>
    <row r="21" spans="1:16" ht="15" customHeight="1" x14ac:dyDescent="0.2">
      <c r="A21" s="122">
        <v>811</v>
      </c>
      <c r="B21" s="122">
        <v>811</v>
      </c>
      <c r="C21" s="73">
        <v>1800060328035</v>
      </c>
      <c r="D21" s="122">
        <v>671</v>
      </c>
      <c r="E21" s="122">
        <v>671</v>
      </c>
      <c r="F21" s="73">
        <v>1800060328044</v>
      </c>
      <c r="G21" s="74" t="s">
        <v>823</v>
      </c>
      <c r="H21" s="78"/>
      <c r="I21" s="79">
        <v>376.81</v>
      </c>
      <c r="J21" s="79">
        <v>2.54</v>
      </c>
      <c r="K21" s="79">
        <v>2.54</v>
      </c>
      <c r="L21" s="80"/>
      <c r="M21" s="81">
        <v>9043.5300000000007</v>
      </c>
      <c r="N21" s="81">
        <v>0.05</v>
      </c>
      <c r="O21" s="81">
        <v>0.05</v>
      </c>
      <c r="P21" s="211"/>
    </row>
    <row r="22" spans="1:16" ht="15" customHeight="1" x14ac:dyDescent="0.2">
      <c r="A22" s="122">
        <v>812</v>
      </c>
      <c r="B22" s="122">
        <v>812</v>
      </c>
      <c r="C22" s="73">
        <v>1800060372113</v>
      </c>
      <c r="D22" s="122">
        <v>672</v>
      </c>
      <c r="E22" s="122">
        <v>672</v>
      </c>
      <c r="F22" s="73">
        <v>1800060372122</v>
      </c>
      <c r="G22" s="74" t="s">
        <v>824</v>
      </c>
      <c r="H22" s="78"/>
      <c r="I22" s="79">
        <v>126.65</v>
      </c>
      <c r="J22" s="79">
        <v>0.88</v>
      </c>
      <c r="K22" s="79">
        <v>0.88</v>
      </c>
      <c r="L22" s="80"/>
      <c r="M22" s="81">
        <v>8837.86</v>
      </c>
      <c r="N22" s="81">
        <v>0.05</v>
      </c>
      <c r="O22" s="81">
        <v>0.05</v>
      </c>
      <c r="P22" s="211"/>
    </row>
    <row r="23" spans="1:16" ht="15" customHeight="1" x14ac:dyDescent="0.2">
      <c r="A23" s="122">
        <v>813</v>
      </c>
      <c r="B23" s="122">
        <v>813</v>
      </c>
      <c r="C23" s="73">
        <v>1800060532498</v>
      </c>
      <c r="D23" s="122">
        <v>690</v>
      </c>
      <c r="E23" s="122">
        <v>690</v>
      </c>
      <c r="F23" s="73">
        <v>1800060532503</v>
      </c>
      <c r="G23" s="74" t="s">
        <v>825</v>
      </c>
      <c r="H23" s="78"/>
      <c r="I23" s="79">
        <v>66.98</v>
      </c>
      <c r="J23" s="79">
        <v>1.17</v>
      </c>
      <c r="K23" s="79">
        <v>1.17</v>
      </c>
      <c r="L23" s="80"/>
      <c r="M23" s="81">
        <v>7868.41</v>
      </c>
      <c r="N23" s="81">
        <v>0.05</v>
      </c>
      <c r="O23" s="81">
        <v>0.05</v>
      </c>
      <c r="P23" s="211"/>
    </row>
    <row r="24" spans="1:16" ht="15" customHeight="1" x14ac:dyDescent="0.2">
      <c r="A24" s="122">
        <v>814</v>
      </c>
      <c r="B24" s="122">
        <v>814</v>
      </c>
      <c r="C24" s="73">
        <v>1800060532683</v>
      </c>
      <c r="D24" s="122">
        <v>691</v>
      </c>
      <c r="E24" s="122">
        <v>691</v>
      </c>
      <c r="F24" s="73">
        <v>1800060532692</v>
      </c>
      <c r="G24" s="74" t="s">
        <v>990</v>
      </c>
      <c r="H24" s="78"/>
      <c r="I24" s="79">
        <v>222.3</v>
      </c>
      <c r="J24" s="79">
        <v>2.78</v>
      </c>
      <c r="K24" s="79">
        <v>2.78</v>
      </c>
      <c r="L24" s="80"/>
      <c r="M24" s="81">
        <v>21017.15</v>
      </c>
      <c r="N24" s="81">
        <v>0.05</v>
      </c>
      <c r="O24" s="81">
        <v>0.05</v>
      </c>
      <c r="P24" s="211"/>
    </row>
    <row r="25" spans="1:16" ht="15" customHeight="1" x14ac:dyDescent="0.2">
      <c r="A25" s="122">
        <v>815</v>
      </c>
      <c r="B25" s="122">
        <v>815</v>
      </c>
      <c r="C25" s="73">
        <v>1800060566984</v>
      </c>
      <c r="D25" s="122">
        <v>692</v>
      </c>
      <c r="E25" s="122">
        <v>692</v>
      </c>
      <c r="F25" s="73">
        <v>1800060566993</v>
      </c>
      <c r="G25" s="74" t="s">
        <v>991</v>
      </c>
      <c r="H25" s="78"/>
      <c r="I25" s="79">
        <v>894.83</v>
      </c>
      <c r="J25" s="79">
        <v>2.5299999999999998</v>
      </c>
      <c r="K25" s="79">
        <v>2.5299999999999998</v>
      </c>
      <c r="L25" s="80"/>
      <c r="M25" s="81">
        <v>16940.53</v>
      </c>
      <c r="N25" s="81">
        <v>0.05</v>
      </c>
      <c r="O25" s="81">
        <v>0.05</v>
      </c>
      <c r="P25" s="211"/>
    </row>
    <row r="26" spans="1:16" ht="15" customHeight="1" x14ac:dyDescent="0.2">
      <c r="A26" s="122">
        <v>816</v>
      </c>
      <c r="B26" s="122">
        <v>816</v>
      </c>
      <c r="C26" s="73">
        <v>1800060652454</v>
      </c>
      <c r="D26" s="122">
        <v>695</v>
      </c>
      <c r="E26" s="122">
        <v>695</v>
      </c>
      <c r="F26" s="73">
        <v>1800060652463</v>
      </c>
      <c r="G26" s="74" t="s">
        <v>828</v>
      </c>
      <c r="H26" s="78"/>
      <c r="I26" s="79">
        <v>346.87</v>
      </c>
      <c r="J26" s="79">
        <v>0.84</v>
      </c>
      <c r="K26" s="79">
        <v>0.84</v>
      </c>
      <c r="L26" s="80"/>
      <c r="M26" s="81">
        <v>7080.28</v>
      </c>
      <c r="N26" s="81">
        <v>0.05</v>
      </c>
      <c r="O26" s="81">
        <v>0.05</v>
      </c>
      <c r="P26" s="211"/>
    </row>
    <row r="27" spans="1:16" ht="15" customHeight="1" x14ac:dyDescent="0.2">
      <c r="A27" s="122">
        <v>817</v>
      </c>
      <c r="B27" s="122">
        <v>817</v>
      </c>
      <c r="C27" s="73">
        <v>1800060567668</v>
      </c>
      <c r="D27" s="122"/>
      <c r="E27" s="122"/>
      <c r="F27" s="73"/>
      <c r="G27" s="74" t="s">
        <v>829</v>
      </c>
      <c r="H27" s="78"/>
      <c r="I27" s="79">
        <v>408.42</v>
      </c>
      <c r="J27" s="79">
        <v>1.22</v>
      </c>
      <c r="K27" s="79">
        <v>1.22</v>
      </c>
      <c r="L27" s="80"/>
      <c r="M27" s="81"/>
      <c r="N27" s="81"/>
      <c r="O27" s="81"/>
      <c r="P27" s="211"/>
    </row>
    <row r="28" spans="1:16" ht="15" customHeight="1" x14ac:dyDescent="0.2">
      <c r="A28" s="122">
        <v>818</v>
      </c>
      <c r="B28" s="122">
        <v>818</v>
      </c>
      <c r="C28" s="73">
        <v>1800060642767</v>
      </c>
      <c r="D28" s="122">
        <v>700</v>
      </c>
      <c r="E28" s="122">
        <v>700</v>
      </c>
      <c r="F28" s="73">
        <v>1800060642776</v>
      </c>
      <c r="G28" s="74" t="s">
        <v>992</v>
      </c>
      <c r="H28" s="78"/>
      <c r="I28" s="79">
        <v>559.70000000000005</v>
      </c>
      <c r="J28" s="79">
        <v>0.86</v>
      </c>
      <c r="K28" s="79">
        <v>0.86</v>
      </c>
      <c r="L28" s="80"/>
      <c r="M28" s="81">
        <v>31684.48</v>
      </c>
      <c r="N28" s="81">
        <v>0.05</v>
      </c>
      <c r="O28" s="81">
        <v>0.05</v>
      </c>
      <c r="P28" s="211"/>
    </row>
    <row r="29" spans="1:16" ht="15" customHeight="1" x14ac:dyDescent="0.2">
      <c r="A29" s="122">
        <v>819</v>
      </c>
      <c r="B29" s="122">
        <v>819</v>
      </c>
      <c r="C29" s="73">
        <v>1800060632661</v>
      </c>
      <c r="D29" s="122">
        <v>699</v>
      </c>
      <c r="E29" s="122">
        <v>699</v>
      </c>
      <c r="F29" s="73">
        <v>1800060632670</v>
      </c>
      <c r="G29" s="74" t="s">
        <v>993</v>
      </c>
      <c r="H29" s="78"/>
      <c r="I29" s="79">
        <v>1637.93</v>
      </c>
      <c r="J29" s="79">
        <v>2.63</v>
      </c>
      <c r="K29" s="79">
        <v>2.63</v>
      </c>
      <c r="L29" s="80"/>
      <c r="M29" s="81">
        <v>9813.91</v>
      </c>
      <c r="N29" s="81">
        <v>0.05</v>
      </c>
      <c r="O29" s="81">
        <v>0.05</v>
      </c>
      <c r="P29" s="211"/>
    </row>
    <row r="30" spans="1:16" ht="15" customHeight="1" x14ac:dyDescent="0.2">
      <c r="A30" s="122">
        <v>820</v>
      </c>
      <c r="B30" s="122">
        <v>820</v>
      </c>
      <c r="C30" s="73">
        <v>1800060289486</v>
      </c>
      <c r="D30" s="122">
        <v>620</v>
      </c>
      <c r="E30" s="122">
        <v>620</v>
      </c>
      <c r="F30" s="73">
        <v>1800060289510</v>
      </c>
      <c r="G30" s="74" t="s">
        <v>994</v>
      </c>
      <c r="H30" s="78"/>
      <c r="I30" s="79">
        <v>166.72</v>
      </c>
      <c r="J30" s="79">
        <v>0.94</v>
      </c>
      <c r="K30" s="79">
        <v>0.94</v>
      </c>
      <c r="L30" s="80"/>
      <c r="M30" s="81">
        <v>22773.33</v>
      </c>
      <c r="N30" s="81">
        <v>0.05</v>
      </c>
      <c r="O30" s="81">
        <v>0.05</v>
      </c>
      <c r="P30" s="211"/>
    </row>
    <row r="31" spans="1:16" ht="15" customHeight="1" x14ac:dyDescent="0.2">
      <c r="A31" s="122">
        <v>821</v>
      </c>
      <c r="B31" s="122">
        <v>821</v>
      </c>
      <c r="C31" s="73">
        <v>1800054865132</v>
      </c>
      <c r="D31" s="122">
        <v>621</v>
      </c>
      <c r="E31" s="122">
        <v>621</v>
      </c>
      <c r="F31" s="73">
        <v>1800054865141</v>
      </c>
      <c r="G31" s="74" t="s">
        <v>995</v>
      </c>
      <c r="H31" s="78"/>
      <c r="I31" s="79">
        <v>685.59</v>
      </c>
      <c r="J31" s="79">
        <v>0.91</v>
      </c>
      <c r="K31" s="79">
        <v>0.91</v>
      </c>
      <c r="L31" s="80"/>
      <c r="M31" s="81">
        <v>41135.660000000003</v>
      </c>
      <c r="N31" s="81">
        <v>0.05</v>
      </c>
      <c r="O31" s="81">
        <v>0.05</v>
      </c>
      <c r="P31" s="211"/>
    </row>
    <row r="32" spans="1:16" ht="15" customHeight="1" x14ac:dyDescent="0.2">
      <c r="A32" s="122">
        <v>822</v>
      </c>
      <c r="B32" s="122">
        <v>822</v>
      </c>
      <c r="C32" s="73">
        <v>1800060683754</v>
      </c>
      <c r="D32" s="122">
        <v>703</v>
      </c>
      <c r="E32" s="122">
        <v>703</v>
      </c>
      <c r="F32" s="73">
        <v>1800060683763</v>
      </c>
      <c r="G32" s="74" t="s">
        <v>996</v>
      </c>
      <c r="H32" s="78"/>
      <c r="I32" s="79">
        <v>522.91999999999996</v>
      </c>
      <c r="J32" s="79">
        <v>2.57</v>
      </c>
      <c r="K32" s="79">
        <v>2.57</v>
      </c>
      <c r="L32" s="80"/>
      <c r="M32" s="81">
        <v>23590.95</v>
      </c>
      <c r="N32" s="81">
        <v>0.05</v>
      </c>
      <c r="O32" s="81">
        <v>0.05</v>
      </c>
      <c r="P32" s="211"/>
    </row>
    <row r="33" spans="1:16" ht="15" customHeight="1" x14ac:dyDescent="0.2">
      <c r="A33" s="122">
        <v>823</v>
      </c>
      <c r="B33" s="122">
        <v>823</v>
      </c>
      <c r="C33" s="73">
        <v>1800060697223</v>
      </c>
      <c r="D33" s="122">
        <v>704</v>
      </c>
      <c r="E33" s="122">
        <v>704</v>
      </c>
      <c r="F33" s="73">
        <v>1800060697232</v>
      </c>
      <c r="G33" s="74" t="s">
        <v>997</v>
      </c>
      <c r="H33" s="78"/>
      <c r="I33" s="79">
        <v>47.06</v>
      </c>
      <c r="J33" s="79">
        <v>1.65</v>
      </c>
      <c r="K33" s="79">
        <v>1.65</v>
      </c>
      <c r="L33" s="80"/>
      <c r="M33" s="81">
        <v>1543.31</v>
      </c>
      <c r="N33" s="81">
        <v>0.05</v>
      </c>
      <c r="O33" s="81">
        <v>0.05</v>
      </c>
      <c r="P33" s="211"/>
    </row>
    <row r="34" spans="1:16" ht="15" customHeight="1" x14ac:dyDescent="0.2">
      <c r="A34" s="122">
        <v>824</v>
      </c>
      <c r="B34" s="122">
        <v>824</v>
      </c>
      <c r="C34" s="73">
        <v>1800060674253</v>
      </c>
      <c r="D34" s="122">
        <v>705</v>
      </c>
      <c r="E34" s="122">
        <v>705</v>
      </c>
      <c r="F34" s="73">
        <v>1800060674262</v>
      </c>
      <c r="G34" s="74" t="s">
        <v>998</v>
      </c>
      <c r="H34" s="78"/>
      <c r="I34" s="79">
        <v>60.32</v>
      </c>
      <c r="J34" s="79">
        <v>2.62</v>
      </c>
      <c r="K34" s="79">
        <v>2.62</v>
      </c>
      <c r="L34" s="80"/>
      <c r="M34" s="81">
        <v>3594.62</v>
      </c>
      <c r="N34" s="81">
        <v>0.05</v>
      </c>
      <c r="O34" s="81">
        <v>0.05</v>
      </c>
      <c r="P34" s="211"/>
    </row>
    <row r="35" spans="1:16" ht="15" customHeight="1" x14ac:dyDescent="0.2">
      <c r="A35" s="122">
        <v>825</v>
      </c>
      <c r="B35" s="122">
        <v>825</v>
      </c>
      <c r="C35" s="73">
        <v>1800060159192</v>
      </c>
      <c r="D35" s="122">
        <v>625</v>
      </c>
      <c r="E35" s="122">
        <v>625</v>
      </c>
      <c r="F35" s="73">
        <v>1800060159208</v>
      </c>
      <c r="G35" s="74" t="s">
        <v>999</v>
      </c>
      <c r="H35" s="78"/>
      <c r="I35" s="79">
        <v>1622.47</v>
      </c>
      <c r="J35" s="79"/>
      <c r="K35" s="79"/>
      <c r="L35" s="80"/>
      <c r="M35" s="81">
        <v>40970.78</v>
      </c>
      <c r="N35" s="81">
        <v>0.05</v>
      </c>
      <c r="O35" s="81">
        <v>0.05</v>
      </c>
      <c r="P35" s="211"/>
    </row>
    <row r="36" spans="1:16" ht="15" customHeight="1" x14ac:dyDescent="0.2">
      <c r="A36" s="122">
        <v>826</v>
      </c>
      <c r="B36" s="122">
        <v>826</v>
      </c>
      <c r="C36" s="73">
        <v>1800053646251</v>
      </c>
      <c r="D36" s="122">
        <v>626</v>
      </c>
      <c r="E36" s="122">
        <v>626</v>
      </c>
      <c r="F36" s="73">
        <v>1800053646260</v>
      </c>
      <c r="G36" s="74" t="s">
        <v>1000</v>
      </c>
      <c r="H36" s="78"/>
      <c r="I36" s="79">
        <v>44.62</v>
      </c>
      <c r="J36" s="79">
        <v>2.62</v>
      </c>
      <c r="K36" s="79">
        <v>2.62</v>
      </c>
      <c r="L36" s="80"/>
      <c r="M36" s="81"/>
      <c r="N36" s="81"/>
      <c r="O36" s="81"/>
      <c r="P36" s="211"/>
    </row>
    <row r="37" spans="1:16" ht="15" customHeight="1" x14ac:dyDescent="0.2">
      <c r="A37" s="122">
        <v>827</v>
      </c>
      <c r="B37" s="122">
        <v>827</v>
      </c>
      <c r="C37" s="73">
        <v>1800053646190</v>
      </c>
      <c r="D37" s="122">
        <v>627</v>
      </c>
      <c r="E37" s="122">
        <v>627</v>
      </c>
      <c r="F37" s="73">
        <v>1800053646206</v>
      </c>
      <c r="G37" s="74" t="s">
        <v>1001</v>
      </c>
      <c r="H37" s="78"/>
      <c r="I37" s="79">
        <v>155.6</v>
      </c>
      <c r="J37" s="79">
        <v>2.54</v>
      </c>
      <c r="K37" s="79">
        <v>2.54</v>
      </c>
      <c r="L37" s="80"/>
      <c r="M37" s="81"/>
      <c r="N37" s="81"/>
      <c r="O37" s="81"/>
      <c r="P37" s="211"/>
    </row>
    <row r="38" spans="1:16" ht="15" customHeight="1" x14ac:dyDescent="0.2">
      <c r="A38" s="122">
        <v>828</v>
      </c>
      <c r="B38" s="122">
        <v>828</v>
      </c>
      <c r="C38" s="73">
        <v>1800053646172</v>
      </c>
      <c r="D38" s="122">
        <v>628</v>
      </c>
      <c r="E38" s="122">
        <v>628</v>
      </c>
      <c r="F38" s="73">
        <v>1800053646181</v>
      </c>
      <c r="G38" s="74" t="s">
        <v>1002</v>
      </c>
      <c r="H38" s="78"/>
      <c r="I38" s="79">
        <v>185.09</v>
      </c>
      <c r="J38" s="79">
        <v>2.5299999999999998</v>
      </c>
      <c r="K38" s="79">
        <v>2.5299999999999998</v>
      </c>
      <c r="L38" s="80"/>
      <c r="M38" s="81"/>
      <c r="N38" s="81"/>
      <c r="O38" s="81"/>
      <c r="P38" s="211"/>
    </row>
    <row r="39" spans="1:16" ht="15" customHeight="1" x14ac:dyDescent="0.2">
      <c r="A39" s="122">
        <v>829</v>
      </c>
      <c r="B39" s="122">
        <v>829</v>
      </c>
      <c r="C39" s="73">
        <v>1800054738267</v>
      </c>
      <c r="D39" s="122">
        <v>624</v>
      </c>
      <c r="E39" s="122">
        <v>624</v>
      </c>
      <c r="F39" s="73">
        <v>1800054738276</v>
      </c>
      <c r="G39" s="74" t="s">
        <v>1003</v>
      </c>
      <c r="H39" s="78"/>
      <c r="I39" s="79">
        <v>58.62</v>
      </c>
      <c r="J39" s="79">
        <v>2.65</v>
      </c>
      <c r="K39" s="79">
        <v>2.65</v>
      </c>
      <c r="L39" s="80"/>
      <c r="M39" s="81">
        <v>4113.18</v>
      </c>
      <c r="N39" s="81">
        <v>0.05</v>
      </c>
      <c r="O39" s="81">
        <v>0.05</v>
      </c>
      <c r="P39" s="211"/>
    </row>
    <row r="40" spans="1:16" ht="15" customHeight="1" x14ac:dyDescent="0.2">
      <c r="A40" s="122">
        <v>830</v>
      </c>
      <c r="B40" s="122">
        <v>830</v>
      </c>
      <c r="C40" s="73">
        <v>1800053647237</v>
      </c>
      <c r="D40" s="122">
        <v>630</v>
      </c>
      <c r="E40" s="122">
        <v>630</v>
      </c>
      <c r="F40" s="73">
        <v>1800053647246</v>
      </c>
      <c r="G40" s="74" t="s">
        <v>1004</v>
      </c>
      <c r="H40" s="78"/>
      <c r="I40" s="79">
        <v>38.799999999999997</v>
      </c>
      <c r="J40" s="79">
        <v>2.61</v>
      </c>
      <c r="K40" s="79">
        <v>2.61</v>
      </c>
      <c r="L40" s="80"/>
      <c r="M40" s="81"/>
      <c r="N40" s="81"/>
      <c r="O40" s="81"/>
      <c r="P40" s="211"/>
    </row>
    <row r="41" spans="1:16" ht="15" customHeight="1" x14ac:dyDescent="0.2">
      <c r="A41" s="122">
        <v>831</v>
      </c>
      <c r="B41" s="122">
        <v>831</v>
      </c>
      <c r="C41" s="73">
        <v>1800053647194</v>
      </c>
      <c r="D41" s="122">
        <v>631</v>
      </c>
      <c r="E41" s="122">
        <v>631</v>
      </c>
      <c r="F41" s="73">
        <v>1800053647200</v>
      </c>
      <c r="G41" s="74" t="s">
        <v>843</v>
      </c>
      <c r="H41" s="78"/>
      <c r="I41" s="79">
        <v>310.10000000000002</v>
      </c>
      <c r="J41" s="79">
        <v>2.71</v>
      </c>
      <c r="K41" s="79">
        <v>2.71</v>
      </c>
      <c r="L41" s="80"/>
      <c r="M41" s="81"/>
      <c r="N41" s="81"/>
      <c r="O41" s="81"/>
      <c r="P41" s="211"/>
    </row>
    <row r="42" spans="1:16" ht="15" customHeight="1" x14ac:dyDescent="0.2">
      <c r="A42" s="122">
        <v>832</v>
      </c>
      <c r="B42" s="122">
        <v>832</v>
      </c>
      <c r="C42" s="73">
        <v>1800053648027</v>
      </c>
      <c r="D42" s="122">
        <v>632</v>
      </c>
      <c r="E42" s="122">
        <v>632</v>
      </c>
      <c r="F42" s="73">
        <v>1800053648036</v>
      </c>
      <c r="G42" s="74" t="s">
        <v>1005</v>
      </c>
      <c r="H42" s="78"/>
      <c r="I42" s="79">
        <v>200.95</v>
      </c>
      <c r="J42" s="79">
        <v>2.5499999999999998</v>
      </c>
      <c r="K42" s="79">
        <v>2.5499999999999998</v>
      </c>
      <c r="L42" s="80"/>
      <c r="M42" s="81"/>
      <c r="N42" s="81"/>
      <c r="O42" s="81"/>
      <c r="P42" s="211"/>
    </row>
    <row r="43" spans="1:16" ht="15" customHeight="1" x14ac:dyDescent="0.2">
      <c r="A43" s="122">
        <v>833</v>
      </c>
      <c r="B43" s="122">
        <v>833</v>
      </c>
      <c r="C43" s="73">
        <v>1800053648045</v>
      </c>
      <c r="D43" s="122">
        <v>633</v>
      </c>
      <c r="E43" s="122">
        <v>633</v>
      </c>
      <c r="F43" s="73">
        <v>1800053648054</v>
      </c>
      <c r="G43" s="74" t="s">
        <v>845</v>
      </c>
      <c r="H43" s="78"/>
      <c r="I43" s="79">
        <v>140.26</v>
      </c>
      <c r="J43" s="79">
        <v>2.58</v>
      </c>
      <c r="K43" s="79">
        <v>2.58</v>
      </c>
      <c r="L43" s="80"/>
      <c r="M43" s="81"/>
      <c r="N43" s="81"/>
      <c r="O43" s="81"/>
      <c r="P43" s="211"/>
    </row>
    <row r="44" spans="1:16" ht="15" customHeight="1" x14ac:dyDescent="0.2">
      <c r="A44" s="122">
        <v>834</v>
      </c>
      <c r="B44" s="122">
        <v>834</v>
      </c>
      <c r="C44" s="73">
        <v>1800053647380</v>
      </c>
      <c r="D44" s="122">
        <v>634</v>
      </c>
      <c r="E44" s="122">
        <v>634</v>
      </c>
      <c r="F44" s="73">
        <v>1800053647399</v>
      </c>
      <c r="G44" s="74" t="s">
        <v>1006</v>
      </c>
      <c r="H44" s="78"/>
      <c r="I44" s="79">
        <v>139.77000000000001</v>
      </c>
      <c r="J44" s="79">
        <v>2.57</v>
      </c>
      <c r="K44" s="79">
        <v>2.57</v>
      </c>
      <c r="L44" s="80"/>
      <c r="M44" s="81"/>
      <c r="N44" s="81"/>
      <c r="O44" s="81"/>
      <c r="P44" s="211"/>
    </row>
    <row r="45" spans="1:16" ht="15" customHeight="1" x14ac:dyDescent="0.2">
      <c r="A45" s="122">
        <v>835</v>
      </c>
      <c r="B45" s="122">
        <v>835</v>
      </c>
      <c r="C45" s="73">
        <v>1800053647618</v>
      </c>
      <c r="D45" s="122">
        <v>635</v>
      </c>
      <c r="E45" s="122">
        <v>635</v>
      </c>
      <c r="F45" s="73">
        <v>1800053647627</v>
      </c>
      <c r="G45" s="74" t="s">
        <v>1007</v>
      </c>
      <c r="H45" s="78"/>
      <c r="I45" s="79">
        <v>131.06</v>
      </c>
      <c r="J45" s="79">
        <v>2.68</v>
      </c>
      <c r="K45" s="79">
        <v>2.68</v>
      </c>
      <c r="L45" s="80"/>
      <c r="M45" s="81"/>
      <c r="N45" s="81"/>
      <c r="O45" s="81"/>
      <c r="P45" s="211"/>
    </row>
    <row r="46" spans="1:16" ht="15" customHeight="1" x14ac:dyDescent="0.2">
      <c r="A46" s="122">
        <v>836</v>
      </c>
      <c r="B46" s="122">
        <v>836</v>
      </c>
      <c r="C46" s="73">
        <v>1800053647636</v>
      </c>
      <c r="D46" s="122">
        <v>636</v>
      </c>
      <c r="E46" s="122">
        <v>636</v>
      </c>
      <c r="F46" s="73">
        <v>1800053647645</v>
      </c>
      <c r="G46" s="74" t="s">
        <v>848</v>
      </c>
      <c r="H46" s="78"/>
      <c r="I46" s="79">
        <v>30.76</v>
      </c>
      <c r="J46" s="79">
        <v>2.52</v>
      </c>
      <c r="K46" s="79">
        <v>2.52</v>
      </c>
      <c r="L46" s="80"/>
      <c r="M46" s="81"/>
      <c r="N46" s="81"/>
      <c r="O46" s="81"/>
      <c r="P46" s="211"/>
    </row>
    <row r="47" spans="1:16" ht="15" customHeight="1" x14ac:dyDescent="0.2">
      <c r="A47" s="122">
        <v>837</v>
      </c>
      <c r="B47" s="122">
        <v>837</v>
      </c>
      <c r="C47" s="73">
        <v>1800053653843</v>
      </c>
      <c r="D47" s="122">
        <v>637</v>
      </c>
      <c r="E47" s="122">
        <v>637</v>
      </c>
      <c r="F47" s="73">
        <v>1800053653852</v>
      </c>
      <c r="G47" s="74" t="s">
        <v>1008</v>
      </c>
      <c r="H47" s="78"/>
      <c r="I47" s="79">
        <v>717.25</v>
      </c>
      <c r="J47" s="79">
        <v>0.81</v>
      </c>
      <c r="K47" s="79">
        <v>0.81</v>
      </c>
      <c r="L47" s="80"/>
      <c r="M47" s="81"/>
      <c r="N47" s="81"/>
      <c r="O47" s="81"/>
      <c r="P47" s="211"/>
    </row>
    <row r="48" spans="1:16" ht="15" customHeight="1" x14ac:dyDescent="0.2">
      <c r="A48" s="122">
        <v>838</v>
      </c>
      <c r="B48" s="122">
        <v>838</v>
      </c>
      <c r="C48" s="73">
        <v>1800053694167</v>
      </c>
      <c r="D48" s="122">
        <v>638</v>
      </c>
      <c r="E48" s="122">
        <v>638</v>
      </c>
      <c r="F48" s="73">
        <v>1800053694440</v>
      </c>
      <c r="G48" s="74" t="s">
        <v>1009</v>
      </c>
      <c r="H48" s="78"/>
      <c r="I48" s="79">
        <v>8.1199999999999992</v>
      </c>
      <c r="J48" s="79">
        <v>0.9</v>
      </c>
      <c r="K48" s="79">
        <v>0.9</v>
      </c>
      <c r="L48" s="80"/>
      <c r="M48" s="81">
        <v>235.31</v>
      </c>
      <c r="N48" s="81">
        <v>0.05</v>
      </c>
      <c r="O48" s="81">
        <v>0.05</v>
      </c>
      <c r="P48" s="211"/>
    </row>
    <row r="49" spans="1:16" ht="15" customHeight="1" x14ac:dyDescent="0.2">
      <c r="A49" s="122">
        <v>839</v>
      </c>
      <c r="B49" s="122">
        <v>839</v>
      </c>
      <c r="C49" s="73">
        <v>1800053950949</v>
      </c>
      <c r="D49" s="122">
        <v>639</v>
      </c>
      <c r="E49" s="122">
        <v>639</v>
      </c>
      <c r="F49" s="73">
        <v>1800053950958</v>
      </c>
      <c r="G49" s="74" t="s">
        <v>1010</v>
      </c>
      <c r="H49" s="78"/>
      <c r="I49" s="79">
        <v>1409.51</v>
      </c>
      <c r="J49" s="79"/>
      <c r="K49" s="79"/>
      <c r="L49" s="80"/>
      <c r="M49" s="81"/>
      <c r="N49" s="81"/>
      <c r="O49" s="81"/>
      <c r="P49" s="211"/>
    </row>
    <row r="50" spans="1:16" ht="15" customHeight="1" x14ac:dyDescent="0.2">
      <c r="A50" s="122">
        <v>840</v>
      </c>
      <c r="B50" s="122">
        <v>840</v>
      </c>
      <c r="C50" s="73">
        <v>1800053434271</v>
      </c>
      <c r="D50" s="122">
        <v>640</v>
      </c>
      <c r="E50" s="122">
        <v>640</v>
      </c>
      <c r="F50" s="73">
        <v>1800053883993</v>
      </c>
      <c r="G50" s="74" t="s">
        <v>1011</v>
      </c>
      <c r="H50" s="78"/>
      <c r="I50" s="79">
        <v>912.25</v>
      </c>
      <c r="J50" s="79"/>
      <c r="K50" s="79"/>
      <c r="L50" s="80"/>
      <c r="M50" s="81"/>
      <c r="N50" s="81"/>
      <c r="O50" s="81"/>
      <c r="P50" s="211"/>
    </row>
    <row r="51" spans="1:16" ht="15" customHeight="1" x14ac:dyDescent="0.2">
      <c r="A51" s="122">
        <v>841</v>
      </c>
      <c r="B51" s="122">
        <v>841</v>
      </c>
      <c r="C51" s="73">
        <v>1800054152982</v>
      </c>
      <c r="D51" s="122">
        <v>641</v>
      </c>
      <c r="E51" s="122">
        <v>641</v>
      </c>
      <c r="F51" s="73">
        <v>1800054152991</v>
      </c>
      <c r="G51" s="74" t="s">
        <v>1012</v>
      </c>
      <c r="H51" s="78"/>
      <c r="I51" s="79">
        <v>93.58</v>
      </c>
      <c r="J51" s="79">
        <v>2.69</v>
      </c>
      <c r="K51" s="79">
        <v>2.69</v>
      </c>
      <c r="L51" s="80"/>
      <c r="M51" s="81"/>
      <c r="N51" s="81"/>
      <c r="O51" s="81"/>
      <c r="P51" s="211"/>
    </row>
    <row r="52" spans="1:16" ht="15" customHeight="1" x14ac:dyDescent="0.2">
      <c r="A52" s="122">
        <v>842</v>
      </c>
      <c r="B52" s="122">
        <v>842</v>
      </c>
      <c r="C52" s="73">
        <v>1800054198365</v>
      </c>
      <c r="D52" s="122">
        <v>642</v>
      </c>
      <c r="E52" s="122">
        <v>642</v>
      </c>
      <c r="F52" s="73">
        <v>1800054198374</v>
      </c>
      <c r="G52" s="74" t="s">
        <v>1013</v>
      </c>
      <c r="H52" s="78"/>
      <c r="I52" s="79">
        <v>764.48</v>
      </c>
      <c r="J52" s="79"/>
      <c r="K52" s="79"/>
      <c r="L52" s="80"/>
      <c r="M52" s="81"/>
      <c r="N52" s="81"/>
      <c r="O52" s="81"/>
      <c r="P52" s="211"/>
    </row>
    <row r="53" spans="1:16" ht="15" customHeight="1" x14ac:dyDescent="0.2">
      <c r="A53" s="122">
        <v>843</v>
      </c>
      <c r="B53" s="122">
        <v>843</v>
      </c>
      <c r="C53" s="73">
        <v>1800054244570</v>
      </c>
      <c r="D53" s="122">
        <v>643</v>
      </c>
      <c r="E53" s="122">
        <v>643</v>
      </c>
      <c r="F53" s="73">
        <v>1800054244598</v>
      </c>
      <c r="G53" s="74" t="s">
        <v>1014</v>
      </c>
      <c r="H53" s="78"/>
      <c r="I53" s="79">
        <v>2071.36</v>
      </c>
      <c r="J53" s="79"/>
      <c r="K53" s="79"/>
      <c r="L53" s="80"/>
      <c r="M53" s="81">
        <v>25005.71</v>
      </c>
      <c r="N53" s="81">
        <v>0.05</v>
      </c>
      <c r="O53" s="81">
        <v>0.05</v>
      </c>
      <c r="P53" s="211"/>
    </row>
    <row r="54" spans="1:16" ht="15" customHeight="1" x14ac:dyDescent="0.2">
      <c r="A54" s="122">
        <v>844</v>
      </c>
      <c r="B54" s="122">
        <v>844</v>
      </c>
      <c r="C54" s="73">
        <v>1800054451603</v>
      </c>
      <c r="D54" s="122" t="s">
        <v>980</v>
      </c>
      <c r="E54" s="122" t="s">
        <v>980</v>
      </c>
      <c r="F54" s="73" t="s">
        <v>980</v>
      </c>
      <c r="G54" s="74" t="s">
        <v>1015</v>
      </c>
      <c r="H54" s="78"/>
      <c r="I54" s="79">
        <v>521.04</v>
      </c>
      <c r="J54" s="79">
        <v>0.86</v>
      </c>
      <c r="K54" s="79">
        <v>0.86</v>
      </c>
      <c r="L54" s="80"/>
      <c r="M54" s="81"/>
      <c r="N54" s="81"/>
      <c r="O54" s="81"/>
      <c r="P54" s="211"/>
    </row>
    <row r="55" spans="1:16" ht="15" customHeight="1" x14ac:dyDescent="0.2">
      <c r="A55" s="122">
        <v>845</v>
      </c>
      <c r="B55" s="122">
        <v>845</v>
      </c>
      <c r="C55" s="73">
        <v>1800054498470</v>
      </c>
      <c r="D55" s="122">
        <v>645</v>
      </c>
      <c r="E55" s="122">
        <v>645</v>
      </c>
      <c r="F55" s="73">
        <v>1800054498480</v>
      </c>
      <c r="G55" s="74" t="s">
        <v>1016</v>
      </c>
      <c r="H55" s="78"/>
      <c r="I55" s="79">
        <v>5080.33</v>
      </c>
      <c r="J55" s="79">
        <v>0.83</v>
      </c>
      <c r="K55" s="79">
        <v>0.83</v>
      </c>
      <c r="L55" s="80"/>
      <c r="M55" s="81"/>
      <c r="N55" s="81"/>
      <c r="O55" s="81"/>
      <c r="P55" s="211"/>
    </row>
    <row r="56" spans="1:16" ht="15" customHeight="1" x14ac:dyDescent="0.2">
      <c r="A56" s="122">
        <v>849</v>
      </c>
      <c r="B56" s="122">
        <v>849</v>
      </c>
      <c r="C56" s="73" t="s">
        <v>756</v>
      </c>
      <c r="D56" s="122">
        <v>649</v>
      </c>
      <c r="E56" s="122">
        <v>649</v>
      </c>
      <c r="F56" s="73" t="s">
        <v>756</v>
      </c>
      <c r="G56" s="74" t="s">
        <v>858</v>
      </c>
      <c r="H56" s="78"/>
      <c r="I56" s="79">
        <v>146.63999999999999</v>
      </c>
      <c r="J56" s="79">
        <v>1.77</v>
      </c>
      <c r="K56" s="79">
        <v>1.77</v>
      </c>
      <c r="L56" s="80"/>
      <c r="M56" s="81">
        <v>7231.39</v>
      </c>
      <c r="N56" s="81">
        <v>0.05</v>
      </c>
      <c r="O56" s="81">
        <v>0.05</v>
      </c>
      <c r="P56" s="211"/>
    </row>
    <row r="57" spans="1:16" ht="15" customHeight="1" x14ac:dyDescent="0.2">
      <c r="A57" s="122">
        <v>850</v>
      </c>
      <c r="B57" s="122">
        <v>850</v>
      </c>
      <c r="C57" s="73">
        <v>1800060251872</v>
      </c>
      <c r="D57" s="122">
        <v>650</v>
      </c>
      <c r="E57" s="122">
        <v>650</v>
      </c>
      <c r="F57" s="73">
        <v>1800060251881</v>
      </c>
      <c r="G57" s="74" t="s">
        <v>1017</v>
      </c>
      <c r="H57" s="78"/>
      <c r="I57" s="79">
        <v>903.35</v>
      </c>
      <c r="J57" s="79"/>
      <c r="K57" s="79"/>
      <c r="L57" s="80"/>
      <c r="M57" s="81">
        <v>22623.64</v>
      </c>
      <c r="N57" s="81">
        <v>0.05</v>
      </c>
      <c r="O57" s="81">
        <v>0.05</v>
      </c>
      <c r="P57" s="211"/>
    </row>
    <row r="58" spans="1:16" ht="15" customHeight="1" x14ac:dyDescent="0.2">
      <c r="A58" s="122">
        <v>851</v>
      </c>
      <c r="B58" s="122">
        <v>851</v>
      </c>
      <c r="C58" s="73">
        <v>1800035140431</v>
      </c>
      <c r="D58" s="122"/>
      <c r="E58" s="122"/>
      <c r="F58" s="73"/>
      <c r="G58" s="74" t="s">
        <v>1018</v>
      </c>
      <c r="H58" s="78"/>
      <c r="I58" s="79">
        <v>8249.1200000000008</v>
      </c>
      <c r="J58" s="79">
        <v>2.5099999999999998</v>
      </c>
      <c r="K58" s="79">
        <v>2.5099999999999998</v>
      </c>
      <c r="L58" s="80"/>
      <c r="M58" s="81"/>
      <c r="N58" s="81"/>
      <c r="O58" s="81"/>
      <c r="P58" s="211"/>
    </row>
    <row r="59" spans="1:16" ht="15" customHeight="1" x14ac:dyDescent="0.2">
      <c r="A59" s="122">
        <v>852</v>
      </c>
      <c r="B59" s="122">
        <v>852</v>
      </c>
      <c r="C59" s="73">
        <v>1800060642702</v>
      </c>
      <c r="D59" s="122">
        <v>696</v>
      </c>
      <c r="E59" s="122">
        <v>696</v>
      </c>
      <c r="F59" s="73">
        <v>1800060642711</v>
      </c>
      <c r="G59" s="74" t="s">
        <v>861</v>
      </c>
      <c r="H59" s="78"/>
      <c r="I59" s="79">
        <v>248.41</v>
      </c>
      <c r="J59" s="79">
        <v>0.99</v>
      </c>
      <c r="K59" s="79">
        <v>0.99</v>
      </c>
      <c r="L59" s="80"/>
      <c r="M59" s="81">
        <v>30287.27</v>
      </c>
      <c r="N59" s="81">
        <v>0.05</v>
      </c>
      <c r="O59" s="81">
        <v>0.05</v>
      </c>
      <c r="P59" s="211"/>
    </row>
    <row r="60" spans="1:16" ht="15" customHeight="1" x14ac:dyDescent="0.2">
      <c r="A60" s="122">
        <v>853</v>
      </c>
      <c r="B60" s="122">
        <v>853</v>
      </c>
      <c r="C60" s="73">
        <v>1800035234188</v>
      </c>
      <c r="D60" s="122"/>
      <c r="E60" s="122"/>
      <c r="F60" s="73"/>
      <c r="G60" s="74" t="s">
        <v>862</v>
      </c>
      <c r="H60" s="78"/>
      <c r="I60" s="79">
        <v>22306.78</v>
      </c>
      <c r="J60" s="79">
        <v>4.3</v>
      </c>
      <c r="K60" s="79">
        <v>4.3</v>
      </c>
      <c r="L60" s="80"/>
      <c r="M60" s="81"/>
      <c r="N60" s="81"/>
      <c r="O60" s="81"/>
      <c r="P60" s="211"/>
    </row>
    <row r="61" spans="1:16" ht="15" customHeight="1" x14ac:dyDescent="0.2">
      <c r="A61" s="122">
        <v>854</v>
      </c>
      <c r="B61" s="122">
        <v>854</v>
      </c>
      <c r="C61" s="73">
        <v>1800035261359</v>
      </c>
      <c r="D61" s="122">
        <v>654</v>
      </c>
      <c r="E61" s="122">
        <v>654</v>
      </c>
      <c r="F61" s="73">
        <v>1800053946507</v>
      </c>
      <c r="G61" s="74" t="s">
        <v>863</v>
      </c>
      <c r="H61" s="78"/>
      <c r="I61" s="79">
        <v>11533.619999999999</v>
      </c>
      <c r="J61" s="79">
        <v>3.66</v>
      </c>
      <c r="K61" s="79">
        <v>3.66</v>
      </c>
      <c r="L61" s="80"/>
      <c r="M61" s="81"/>
      <c r="N61" s="81"/>
      <c r="O61" s="81"/>
      <c r="P61" s="211"/>
    </row>
    <row r="62" spans="1:16" ht="15" customHeight="1" x14ac:dyDescent="0.2">
      <c r="A62" s="122">
        <v>855</v>
      </c>
      <c r="B62" s="122">
        <v>855</v>
      </c>
      <c r="C62" s="73">
        <v>1800060241304</v>
      </c>
      <c r="D62" s="122">
        <v>655</v>
      </c>
      <c r="E62" s="122">
        <v>655</v>
      </c>
      <c r="F62" s="73">
        <v>1800060241313</v>
      </c>
      <c r="G62" s="74" t="s">
        <v>1019</v>
      </c>
      <c r="H62" s="78"/>
      <c r="I62" s="79">
        <v>25.05</v>
      </c>
      <c r="J62" s="79">
        <v>2.6</v>
      </c>
      <c r="K62" s="79">
        <v>2.6</v>
      </c>
      <c r="L62" s="80"/>
      <c r="M62" s="81">
        <v>1402.7</v>
      </c>
      <c r="N62" s="81">
        <v>0.05</v>
      </c>
      <c r="O62" s="81">
        <v>0.05</v>
      </c>
      <c r="P62" s="211"/>
    </row>
    <row r="63" spans="1:16" ht="15" customHeight="1" x14ac:dyDescent="0.2">
      <c r="A63" s="122">
        <v>856</v>
      </c>
      <c r="B63" s="122">
        <v>856</v>
      </c>
      <c r="C63" s="73">
        <v>1800035239460</v>
      </c>
      <c r="D63" s="122"/>
      <c r="E63" s="122"/>
      <c r="F63" s="73"/>
      <c r="G63" s="74" t="s">
        <v>865</v>
      </c>
      <c r="H63" s="78"/>
      <c r="I63" s="79">
        <v>30251.05</v>
      </c>
      <c r="J63" s="79">
        <v>1.39</v>
      </c>
      <c r="K63" s="79">
        <v>1.39</v>
      </c>
      <c r="L63" s="80"/>
      <c r="M63" s="81"/>
      <c r="N63" s="81"/>
      <c r="O63" s="81"/>
      <c r="P63" s="211"/>
    </row>
    <row r="64" spans="1:16" ht="15" customHeight="1" x14ac:dyDescent="0.2">
      <c r="A64" s="122">
        <v>857</v>
      </c>
      <c r="B64" s="122">
        <v>857</v>
      </c>
      <c r="C64" s="73">
        <v>1800035313389</v>
      </c>
      <c r="D64" s="122"/>
      <c r="E64" s="122"/>
      <c r="F64" s="73"/>
      <c r="G64" s="74" t="s">
        <v>1020</v>
      </c>
      <c r="H64" s="78"/>
      <c r="I64" s="79">
        <v>11781.84</v>
      </c>
      <c r="J64" s="79">
        <v>3.51</v>
      </c>
      <c r="K64" s="79">
        <v>3.51</v>
      </c>
      <c r="L64" s="80"/>
      <c r="M64" s="81"/>
      <c r="N64" s="81"/>
      <c r="O64" s="81"/>
      <c r="P64" s="211"/>
    </row>
    <row r="65" spans="1:16" ht="15" customHeight="1" x14ac:dyDescent="0.2">
      <c r="A65" s="122">
        <v>858</v>
      </c>
      <c r="B65" s="122">
        <v>858</v>
      </c>
      <c r="C65" s="73">
        <v>1800035327257</v>
      </c>
      <c r="D65" s="122"/>
      <c r="E65" s="122"/>
      <c r="F65" s="73"/>
      <c r="G65" s="74" t="s">
        <v>1021</v>
      </c>
      <c r="H65" s="78"/>
      <c r="I65" s="79">
        <v>1042.28</v>
      </c>
      <c r="J65" s="79">
        <v>2.96</v>
      </c>
      <c r="K65" s="79">
        <v>2.96</v>
      </c>
      <c r="L65" s="80"/>
      <c r="M65" s="81"/>
      <c r="N65" s="81"/>
      <c r="O65" s="81"/>
      <c r="P65" s="211"/>
    </row>
    <row r="66" spans="1:16" ht="15" customHeight="1" x14ac:dyDescent="0.2">
      <c r="A66" s="122">
        <v>859</v>
      </c>
      <c r="B66" s="122">
        <v>859</v>
      </c>
      <c r="C66" s="73">
        <v>1800035320127</v>
      </c>
      <c r="D66" s="122">
        <v>697</v>
      </c>
      <c r="E66" s="122">
        <v>697</v>
      </c>
      <c r="F66" s="73">
        <v>1800060630637</v>
      </c>
      <c r="G66" s="74" t="s">
        <v>868</v>
      </c>
      <c r="H66" s="78"/>
      <c r="I66" s="79">
        <v>28215.670000000002</v>
      </c>
      <c r="J66" s="79">
        <v>2.14</v>
      </c>
      <c r="K66" s="79">
        <v>2.14</v>
      </c>
      <c r="L66" s="80"/>
      <c r="M66" s="81">
        <v>2731.14</v>
      </c>
      <c r="N66" s="81">
        <v>0.05</v>
      </c>
      <c r="O66" s="81">
        <v>0.05</v>
      </c>
      <c r="P66" s="211"/>
    </row>
    <row r="67" spans="1:16" ht="15" customHeight="1" x14ac:dyDescent="0.2">
      <c r="A67" s="122">
        <v>860</v>
      </c>
      <c r="B67" s="122">
        <v>860</v>
      </c>
      <c r="C67" s="73">
        <v>1800060852030</v>
      </c>
      <c r="D67" s="122">
        <v>666</v>
      </c>
      <c r="E67" s="122">
        <v>666</v>
      </c>
      <c r="F67" s="73">
        <v>1800060852049</v>
      </c>
      <c r="G67" s="74" t="s">
        <v>1022</v>
      </c>
      <c r="H67" s="78"/>
      <c r="I67" s="79">
        <v>23.38</v>
      </c>
      <c r="J67" s="79">
        <v>1.77</v>
      </c>
      <c r="K67" s="79">
        <v>1.77</v>
      </c>
      <c r="L67" s="80"/>
      <c r="M67" s="81">
        <v>5660.98</v>
      </c>
      <c r="N67" s="81">
        <v>0.05</v>
      </c>
      <c r="O67" s="81">
        <v>0.05</v>
      </c>
      <c r="P67" s="211"/>
    </row>
    <row r="68" spans="1:16" ht="15" customHeight="1" x14ac:dyDescent="0.2">
      <c r="A68" s="122">
        <v>861</v>
      </c>
      <c r="B68" s="122">
        <v>861</v>
      </c>
      <c r="C68" s="73">
        <v>1800035324780</v>
      </c>
      <c r="D68" s="122"/>
      <c r="E68" s="122"/>
      <c r="F68" s="73"/>
      <c r="G68" s="74" t="s">
        <v>870</v>
      </c>
      <c r="H68" s="78"/>
      <c r="I68" s="79">
        <v>1880.08</v>
      </c>
      <c r="J68" s="79">
        <v>4.8</v>
      </c>
      <c r="K68" s="79">
        <v>4.8</v>
      </c>
      <c r="L68" s="80"/>
      <c r="M68" s="81"/>
      <c r="N68" s="81"/>
      <c r="O68" s="81"/>
      <c r="P68" s="211"/>
    </row>
    <row r="69" spans="1:16" ht="15" customHeight="1" x14ac:dyDescent="0.2">
      <c r="A69" s="122">
        <v>862</v>
      </c>
      <c r="B69" s="122">
        <v>862</v>
      </c>
      <c r="C69" s="73">
        <v>1800035317453</v>
      </c>
      <c r="D69" s="122"/>
      <c r="E69" s="122"/>
      <c r="F69" s="73"/>
      <c r="G69" s="74" t="s">
        <v>1023</v>
      </c>
      <c r="H69" s="78"/>
      <c r="I69" s="79">
        <v>78043.070000000007</v>
      </c>
      <c r="J69" s="79">
        <v>2.99</v>
      </c>
      <c r="K69" s="79">
        <v>2.99</v>
      </c>
      <c r="L69" s="80"/>
      <c r="M69" s="81"/>
      <c r="N69" s="81"/>
      <c r="O69" s="81"/>
      <c r="P69" s="211"/>
    </row>
    <row r="70" spans="1:16" ht="15" customHeight="1" x14ac:dyDescent="0.2">
      <c r="A70" s="122">
        <v>863</v>
      </c>
      <c r="B70" s="122">
        <v>863</v>
      </c>
      <c r="C70" s="73">
        <v>1800060207438</v>
      </c>
      <c r="D70" s="122">
        <v>663</v>
      </c>
      <c r="E70" s="122">
        <v>663</v>
      </c>
      <c r="F70" s="73">
        <v>1800060207447</v>
      </c>
      <c r="G70" s="74" t="s">
        <v>1024</v>
      </c>
      <c r="H70" s="78"/>
      <c r="I70" s="79">
        <v>326.72000000000003</v>
      </c>
      <c r="J70" s="79">
        <v>2.54</v>
      </c>
      <c r="K70" s="79">
        <v>2.54</v>
      </c>
      <c r="L70" s="80"/>
      <c r="M70" s="81">
        <v>9819.3799999999992</v>
      </c>
      <c r="N70" s="81">
        <v>0.05</v>
      </c>
      <c r="O70" s="81">
        <v>0.05</v>
      </c>
      <c r="P70" s="211"/>
    </row>
    <row r="71" spans="1:16" ht="15" customHeight="1" x14ac:dyDescent="0.2">
      <c r="A71" s="122">
        <v>864</v>
      </c>
      <c r="B71" s="122">
        <v>864</v>
      </c>
      <c r="C71" s="73">
        <v>1800060709038</v>
      </c>
      <c r="D71" s="122">
        <v>698</v>
      </c>
      <c r="E71" s="122">
        <v>698</v>
      </c>
      <c r="F71" s="73">
        <v>1800060709047</v>
      </c>
      <c r="G71" s="74" t="s">
        <v>1025</v>
      </c>
      <c r="H71" s="78"/>
      <c r="I71" s="79">
        <v>82.58</v>
      </c>
      <c r="J71" s="79">
        <v>2.19</v>
      </c>
      <c r="K71" s="79">
        <v>2.19</v>
      </c>
      <c r="L71" s="80"/>
      <c r="M71" s="81">
        <v>9072.76</v>
      </c>
      <c r="N71" s="81">
        <v>0.05</v>
      </c>
      <c r="O71" s="81">
        <v>0.05</v>
      </c>
      <c r="P71" s="211"/>
    </row>
    <row r="72" spans="1:16" ht="15" customHeight="1" x14ac:dyDescent="0.2">
      <c r="A72" s="122">
        <v>865</v>
      </c>
      <c r="B72" s="122">
        <v>865</v>
      </c>
      <c r="C72" s="73">
        <v>1800060877284</v>
      </c>
      <c r="D72" s="122">
        <v>670</v>
      </c>
      <c r="E72" s="122">
        <v>670</v>
      </c>
      <c r="F72" s="73">
        <v>1800060877293</v>
      </c>
      <c r="G72" s="74" t="s">
        <v>1026</v>
      </c>
      <c r="H72" s="78"/>
      <c r="I72" s="79">
        <v>656.53</v>
      </c>
      <c r="J72" s="79">
        <v>3.5</v>
      </c>
      <c r="K72" s="79">
        <v>3.5</v>
      </c>
      <c r="L72" s="80"/>
      <c r="M72" s="81">
        <v>14083.18</v>
      </c>
      <c r="N72" s="81">
        <v>0.05</v>
      </c>
      <c r="O72" s="81">
        <v>0.05</v>
      </c>
      <c r="P72" s="211"/>
    </row>
    <row r="73" spans="1:16" ht="15" customHeight="1" x14ac:dyDescent="0.2">
      <c r="A73" s="122">
        <v>866</v>
      </c>
      <c r="B73" s="122">
        <v>866</v>
      </c>
      <c r="C73" s="73">
        <v>1800051523646</v>
      </c>
      <c r="D73" s="122"/>
      <c r="E73" s="122"/>
      <c r="F73" s="73"/>
      <c r="G73" s="74" t="s">
        <v>875</v>
      </c>
      <c r="H73" s="78"/>
      <c r="I73" s="79">
        <v>10876.81</v>
      </c>
      <c r="J73" s="79">
        <v>10.46</v>
      </c>
      <c r="K73" s="79">
        <v>10.46</v>
      </c>
      <c r="L73" s="80"/>
      <c r="M73" s="81"/>
      <c r="N73" s="81"/>
      <c r="O73" s="81"/>
      <c r="P73" s="211"/>
    </row>
    <row r="74" spans="1:16" ht="15" customHeight="1" x14ac:dyDescent="0.2">
      <c r="A74" s="122">
        <v>867</v>
      </c>
      <c r="B74" s="122">
        <v>867</v>
      </c>
      <c r="C74" s="73">
        <v>1800035325436</v>
      </c>
      <c r="D74" s="122"/>
      <c r="E74" s="122"/>
      <c r="F74" s="73"/>
      <c r="G74" s="74" t="s">
        <v>876</v>
      </c>
      <c r="H74" s="78"/>
      <c r="I74" s="79">
        <v>21991.37</v>
      </c>
      <c r="J74" s="79">
        <v>1.33</v>
      </c>
      <c r="K74" s="79">
        <v>1.33</v>
      </c>
      <c r="L74" s="80"/>
      <c r="M74" s="81"/>
      <c r="N74" s="81"/>
      <c r="O74" s="81"/>
      <c r="P74" s="211"/>
    </row>
    <row r="75" spans="1:16" ht="15" customHeight="1" x14ac:dyDescent="0.2">
      <c r="A75" s="122">
        <v>868</v>
      </c>
      <c r="B75" s="122">
        <v>868</v>
      </c>
      <c r="C75" s="73">
        <v>1800060809025</v>
      </c>
      <c r="D75" s="122">
        <v>664</v>
      </c>
      <c r="E75" s="122">
        <v>664</v>
      </c>
      <c r="F75" s="73">
        <v>1800060809034</v>
      </c>
      <c r="G75" s="74" t="s">
        <v>877</v>
      </c>
      <c r="H75" s="78"/>
      <c r="I75" s="79">
        <v>58.37</v>
      </c>
      <c r="J75" s="79">
        <v>2.91</v>
      </c>
      <c r="K75" s="79">
        <v>2.91</v>
      </c>
      <c r="L75" s="80"/>
      <c r="M75" s="81">
        <v>5266.83</v>
      </c>
      <c r="N75" s="81">
        <v>0.05</v>
      </c>
      <c r="O75" s="81">
        <v>0.05</v>
      </c>
      <c r="P75" s="211"/>
    </row>
    <row r="76" spans="1:16" ht="15" customHeight="1" x14ac:dyDescent="0.2">
      <c r="A76" s="122">
        <v>872</v>
      </c>
      <c r="B76" s="122">
        <v>872</v>
      </c>
      <c r="C76" s="73">
        <v>1800060749680</v>
      </c>
      <c r="D76" s="122">
        <v>694</v>
      </c>
      <c r="E76" s="122">
        <v>694</v>
      </c>
      <c r="F76" s="73">
        <v>1800060749699</v>
      </c>
      <c r="G76" s="74" t="s">
        <v>1027</v>
      </c>
      <c r="H76" s="78"/>
      <c r="I76" s="79">
        <v>257.77999999999997</v>
      </c>
      <c r="J76" s="79">
        <v>2.9</v>
      </c>
      <c r="K76" s="79">
        <v>2.9</v>
      </c>
      <c r="L76" s="80">
        <v>-0.52200000000000002</v>
      </c>
      <c r="M76" s="81">
        <v>2637.22</v>
      </c>
      <c r="N76" s="81">
        <v>0.05</v>
      </c>
      <c r="O76" s="81">
        <v>0.05</v>
      </c>
      <c r="P76" s="211"/>
    </row>
    <row r="77" spans="1:16" ht="15" customHeight="1" x14ac:dyDescent="0.2">
      <c r="A77" s="122">
        <v>886</v>
      </c>
      <c r="B77" s="122">
        <v>886</v>
      </c>
      <c r="C77" s="73" t="s">
        <v>756</v>
      </c>
      <c r="D77" s="122">
        <v>686</v>
      </c>
      <c r="E77" s="122">
        <v>686</v>
      </c>
      <c r="F77" s="73" t="s">
        <v>756</v>
      </c>
      <c r="G77" s="74" t="s">
        <v>1028</v>
      </c>
      <c r="H77" s="78"/>
      <c r="I77" s="79">
        <v>536.96</v>
      </c>
      <c r="J77" s="79">
        <v>0.81</v>
      </c>
      <c r="K77" s="79">
        <v>0.81</v>
      </c>
      <c r="L77" s="80"/>
      <c r="M77" s="81">
        <v>32210.37</v>
      </c>
      <c r="N77" s="81">
        <v>0.05</v>
      </c>
      <c r="O77" s="81">
        <v>0.05</v>
      </c>
      <c r="P77" s="211"/>
    </row>
    <row r="78" spans="1:16" ht="15" customHeight="1" x14ac:dyDescent="0.2">
      <c r="A78" s="122">
        <v>887</v>
      </c>
      <c r="B78" s="122">
        <v>887</v>
      </c>
      <c r="C78" s="73">
        <v>1800060749661</v>
      </c>
      <c r="D78" s="122">
        <v>706</v>
      </c>
      <c r="E78" s="122">
        <v>706</v>
      </c>
      <c r="F78" s="73">
        <v>1800060749670</v>
      </c>
      <c r="G78" s="74" t="s">
        <v>893</v>
      </c>
      <c r="H78" s="78"/>
      <c r="I78" s="79">
        <v>1291.6099999999999</v>
      </c>
      <c r="J78" s="79">
        <v>2.99</v>
      </c>
      <c r="K78" s="79">
        <v>2.99</v>
      </c>
      <c r="L78" s="80">
        <v>-0.52200000000000002</v>
      </c>
      <c r="M78" s="81">
        <v>5463.38</v>
      </c>
      <c r="N78" s="81">
        <v>0.05</v>
      </c>
      <c r="O78" s="81">
        <v>0.05</v>
      </c>
      <c r="P78" s="211"/>
    </row>
    <row r="79" spans="1:16" ht="15" customHeight="1" x14ac:dyDescent="0.2">
      <c r="A79" s="122">
        <v>873</v>
      </c>
      <c r="B79" s="122">
        <v>873</v>
      </c>
      <c r="C79" s="73">
        <v>1800060450481</v>
      </c>
      <c r="D79" s="122">
        <v>673</v>
      </c>
      <c r="E79" s="122">
        <v>673</v>
      </c>
      <c r="F79" s="73">
        <v>1800060450490</v>
      </c>
      <c r="G79" s="74" t="s">
        <v>1029</v>
      </c>
      <c r="H79" s="78"/>
      <c r="I79" s="79">
        <v>238.51</v>
      </c>
      <c r="J79" s="79">
        <v>0.87</v>
      </c>
      <c r="K79" s="79">
        <v>0.87</v>
      </c>
      <c r="L79" s="80"/>
      <c r="M79" s="81">
        <v>16418.25</v>
      </c>
      <c r="N79" s="81">
        <v>0.05</v>
      </c>
      <c r="O79" s="81">
        <v>0.05</v>
      </c>
      <c r="P79" s="211"/>
    </row>
    <row r="80" spans="1:16" ht="15" customHeight="1" x14ac:dyDescent="0.2">
      <c r="A80" s="122">
        <v>874</v>
      </c>
      <c r="B80" s="122">
        <v>874</v>
      </c>
      <c r="C80" s="73">
        <v>1800060441380</v>
      </c>
      <c r="D80" s="122">
        <v>674</v>
      </c>
      <c r="E80" s="122">
        <v>674</v>
      </c>
      <c r="F80" s="73">
        <v>1800060441399</v>
      </c>
      <c r="G80" s="74" t="s">
        <v>1030</v>
      </c>
      <c r="H80" s="78"/>
      <c r="I80" s="79">
        <v>422.38</v>
      </c>
      <c r="J80" s="79">
        <v>2.6</v>
      </c>
      <c r="K80" s="79">
        <v>2.6</v>
      </c>
      <c r="L80" s="80"/>
      <c r="M80" s="81">
        <v>16362.26</v>
      </c>
      <c r="N80" s="81">
        <v>0.05</v>
      </c>
      <c r="O80" s="81">
        <v>0.05</v>
      </c>
      <c r="P80" s="211"/>
    </row>
    <row r="81" spans="1:16" ht="15" customHeight="1" x14ac:dyDescent="0.2">
      <c r="A81" s="122">
        <v>875</v>
      </c>
      <c r="B81" s="122">
        <v>875</v>
      </c>
      <c r="C81" s="73">
        <v>1800060450524</v>
      </c>
      <c r="D81" s="122">
        <v>675</v>
      </c>
      <c r="E81" s="122">
        <v>675</v>
      </c>
      <c r="F81" s="73">
        <v>1800060450533</v>
      </c>
      <c r="G81" s="74" t="s">
        <v>1031</v>
      </c>
      <c r="H81" s="78"/>
      <c r="I81" s="79">
        <v>194.8</v>
      </c>
      <c r="J81" s="79">
        <v>2.62</v>
      </c>
      <c r="K81" s="79">
        <v>2.62</v>
      </c>
      <c r="L81" s="80"/>
      <c r="M81" s="81">
        <v>9731.36</v>
      </c>
      <c r="N81" s="81">
        <v>0.05</v>
      </c>
      <c r="O81" s="81">
        <v>0.05</v>
      </c>
      <c r="P81" s="211"/>
    </row>
    <row r="82" spans="1:16" ht="15" customHeight="1" x14ac:dyDescent="0.2">
      <c r="A82" s="122">
        <v>876</v>
      </c>
      <c r="B82" s="122">
        <v>876</v>
      </c>
      <c r="C82" s="73">
        <v>1800060450542</v>
      </c>
      <c r="D82" s="122">
        <v>676</v>
      </c>
      <c r="E82" s="122">
        <v>676</v>
      </c>
      <c r="F82" s="73">
        <v>1800060450551</v>
      </c>
      <c r="G82" s="74" t="s">
        <v>1032</v>
      </c>
      <c r="H82" s="78"/>
      <c r="I82" s="79">
        <v>194.8</v>
      </c>
      <c r="J82" s="79">
        <v>2.64</v>
      </c>
      <c r="K82" s="79">
        <v>2.64</v>
      </c>
      <c r="L82" s="80"/>
      <c r="M82" s="81">
        <v>9731.36</v>
      </c>
      <c r="N82" s="81">
        <v>0.05</v>
      </c>
      <c r="O82" s="81">
        <v>0.05</v>
      </c>
      <c r="P82" s="211"/>
    </row>
    <row r="83" spans="1:16" ht="15" customHeight="1" x14ac:dyDescent="0.2">
      <c r="A83" s="122">
        <v>877</v>
      </c>
      <c r="B83" s="122">
        <v>877</v>
      </c>
      <c r="C83" s="73">
        <v>1800060450506</v>
      </c>
      <c r="D83" s="122">
        <v>677</v>
      </c>
      <c r="E83" s="122">
        <v>677</v>
      </c>
      <c r="F83" s="73">
        <v>1800060450515</v>
      </c>
      <c r="G83" s="74" t="s">
        <v>1033</v>
      </c>
      <c r="H83" s="78"/>
      <c r="I83" s="79">
        <v>213.81</v>
      </c>
      <c r="J83" s="79">
        <v>0.9</v>
      </c>
      <c r="K83" s="79">
        <v>0.9</v>
      </c>
      <c r="L83" s="80"/>
      <c r="M83" s="81">
        <v>5879.86</v>
      </c>
      <c r="N83" s="81">
        <v>0.05</v>
      </c>
      <c r="O83" s="81">
        <v>0.05</v>
      </c>
      <c r="P83" s="211"/>
    </row>
    <row r="84" spans="1:16" ht="15" customHeight="1" x14ac:dyDescent="0.2">
      <c r="A84" s="122">
        <v>878</v>
      </c>
      <c r="B84" s="122">
        <v>878</v>
      </c>
      <c r="C84" s="73">
        <v>1800060445640</v>
      </c>
      <c r="D84" s="122">
        <v>678</v>
      </c>
      <c r="E84" s="122">
        <v>678</v>
      </c>
      <c r="F84" s="73">
        <v>1800060445659</v>
      </c>
      <c r="G84" s="74" t="s">
        <v>1034</v>
      </c>
      <c r="H84" s="78"/>
      <c r="I84" s="79">
        <v>591</v>
      </c>
      <c r="J84" s="79">
        <v>1.02</v>
      </c>
      <c r="K84" s="79">
        <v>1.02</v>
      </c>
      <c r="L84" s="80"/>
      <c r="M84" s="81">
        <v>28985.11</v>
      </c>
      <c r="N84" s="81">
        <v>0.05</v>
      </c>
      <c r="O84" s="81">
        <v>0.05</v>
      </c>
      <c r="P84" s="211"/>
    </row>
    <row r="85" spans="1:16" ht="15" customHeight="1" x14ac:dyDescent="0.2">
      <c r="A85" s="122">
        <v>879</v>
      </c>
      <c r="B85" s="122">
        <v>879</v>
      </c>
      <c r="C85" s="73">
        <v>1800060845812</v>
      </c>
      <c r="D85" s="122">
        <v>680</v>
      </c>
      <c r="E85" s="122">
        <v>680</v>
      </c>
      <c r="F85" s="73">
        <v>1800060845821</v>
      </c>
      <c r="G85" s="74" t="s">
        <v>1035</v>
      </c>
      <c r="H85" s="78"/>
      <c r="I85" s="79">
        <v>309.23</v>
      </c>
      <c r="J85" s="79">
        <v>3.5</v>
      </c>
      <c r="K85" s="79">
        <v>3.5</v>
      </c>
      <c r="L85" s="80"/>
      <c r="M85" s="81">
        <v>17595.32</v>
      </c>
      <c r="N85" s="81">
        <v>0.05</v>
      </c>
      <c r="O85" s="81">
        <v>0.05</v>
      </c>
      <c r="P85" s="211"/>
    </row>
    <row r="86" spans="1:16" ht="15" customHeight="1" x14ac:dyDescent="0.2">
      <c r="A86" s="122">
        <v>880</v>
      </c>
      <c r="B86" s="122">
        <v>880</v>
      </c>
      <c r="C86" s="73">
        <v>1800060673222</v>
      </c>
      <c r="D86" s="122">
        <v>701</v>
      </c>
      <c r="E86" s="122">
        <v>701</v>
      </c>
      <c r="F86" s="73">
        <v>1800060673231</v>
      </c>
      <c r="G86" s="74" t="s">
        <v>886</v>
      </c>
      <c r="H86" s="78"/>
      <c r="I86" s="79">
        <v>174.85</v>
      </c>
      <c r="J86" s="79">
        <v>2.63</v>
      </c>
      <c r="K86" s="79">
        <v>2.63</v>
      </c>
      <c r="L86" s="80"/>
      <c r="M86" s="81">
        <v>13265.73</v>
      </c>
      <c r="N86" s="81">
        <v>0.05</v>
      </c>
      <c r="O86" s="81">
        <v>0.05</v>
      </c>
      <c r="P86" s="211"/>
    </row>
    <row r="87" spans="1:16" ht="15" customHeight="1" x14ac:dyDescent="0.2">
      <c r="A87" s="122">
        <v>881</v>
      </c>
      <c r="B87" s="122">
        <v>881</v>
      </c>
      <c r="C87" s="73">
        <v>1800060740288</v>
      </c>
      <c r="D87" s="122">
        <v>702</v>
      </c>
      <c r="E87" s="122">
        <v>702</v>
      </c>
      <c r="F87" s="73">
        <v>1800060740297</v>
      </c>
      <c r="G87" s="74" t="s">
        <v>887</v>
      </c>
      <c r="H87" s="78"/>
      <c r="I87" s="79">
        <v>583.72</v>
      </c>
      <c r="J87" s="79">
        <v>0.93</v>
      </c>
      <c r="K87" s="79">
        <v>0.93</v>
      </c>
      <c r="L87" s="80"/>
      <c r="M87" s="81">
        <v>34906.22</v>
      </c>
      <c r="N87" s="81">
        <v>0.05</v>
      </c>
      <c r="O87" s="81">
        <v>0.05</v>
      </c>
      <c r="P87" s="211"/>
    </row>
    <row r="88" spans="1:16" ht="15" customHeight="1" x14ac:dyDescent="0.2">
      <c r="A88" s="122">
        <v>882</v>
      </c>
      <c r="B88" s="122">
        <v>882</v>
      </c>
      <c r="C88" s="73">
        <v>1800060769738</v>
      </c>
      <c r="D88" s="122">
        <v>687</v>
      </c>
      <c r="E88" s="122">
        <v>687</v>
      </c>
      <c r="F88" s="73">
        <v>1800060769747</v>
      </c>
      <c r="G88" s="74" t="s">
        <v>888</v>
      </c>
      <c r="H88" s="78"/>
      <c r="I88" s="79">
        <v>69.92</v>
      </c>
      <c r="J88" s="79">
        <v>2.67</v>
      </c>
      <c r="K88" s="79">
        <v>2.67</v>
      </c>
      <c r="L88" s="80"/>
      <c r="M88" s="81">
        <v>4712.99</v>
      </c>
      <c r="N88" s="81">
        <v>0.05</v>
      </c>
      <c r="O88" s="81">
        <v>0.05</v>
      </c>
      <c r="P88" s="211"/>
    </row>
    <row r="89" spans="1:16" ht="15" customHeight="1" x14ac:dyDescent="0.2">
      <c r="A89" s="122">
        <v>883</v>
      </c>
      <c r="B89" s="122">
        <v>883</v>
      </c>
      <c r="C89" s="73">
        <v>1800053647742</v>
      </c>
      <c r="D89" s="122">
        <v>636</v>
      </c>
      <c r="E89" s="122">
        <v>636</v>
      </c>
      <c r="F89" s="73">
        <v>1800053647751</v>
      </c>
      <c r="G89" s="74" t="s">
        <v>1036</v>
      </c>
      <c r="H89" s="78"/>
      <c r="I89" s="79">
        <v>88.95</v>
      </c>
      <c r="J89" s="79">
        <v>2.52</v>
      </c>
      <c r="K89" s="79">
        <v>2.52</v>
      </c>
      <c r="L89" s="80"/>
      <c r="M89" s="81"/>
      <c r="N89" s="81"/>
      <c r="O89" s="81"/>
      <c r="P89" s="211"/>
    </row>
    <row r="90" spans="1:16" ht="15" customHeight="1" x14ac:dyDescent="0.2">
      <c r="A90" s="122">
        <v>884</v>
      </c>
      <c r="B90" s="122">
        <v>884</v>
      </c>
      <c r="C90" s="73">
        <v>1800060683693</v>
      </c>
      <c r="D90" s="122">
        <v>679</v>
      </c>
      <c r="E90" s="122">
        <v>679</v>
      </c>
      <c r="F90" s="73">
        <v>1800060683709</v>
      </c>
      <c r="G90" s="74" t="s">
        <v>890</v>
      </c>
      <c r="H90" s="78"/>
      <c r="I90" s="79">
        <v>122.44</v>
      </c>
      <c r="J90" s="79">
        <v>1.04</v>
      </c>
      <c r="K90" s="79">
        <v>1.04</v>
      </c>
      <c r="L90" s="80"/>
      <c r="M90" s="81">
        <v>13352.2</v>
      </c>
      <c r="N90" s="81">
        <v>0.05</v>
      </c>
      <c r="O90" s="81">
        <v>0.05</v>
      </c>
      <c r="P90" s="211"/>
    </row>
    <row r="91" spans="1:16" ht="15" customHeight="1" x14ac:dyDescent="0.2">
      <c r="A91" s="122">
        <v>885</v>
      </c>
      <c r="B91" s="122">
        <v>885</v>
      </c>
      <c r="C91" s="73" t="s">
        <v>756</v>
      </c>
      <c r="D91" s="122">
        <v>623</v>
      </c>
      <c r="E91" s="122">
        <v>623</v>
      </c>
      <c r="F91" s="73" t="s">
        <v>756</v>
      </c>
      <c r="G91" s="74" t="s">
        <v>1037</v>
      </c>
      <c r="H91" s="78"/>
      <c r="I91" s="79">
        <v>127.77</v>
      </c>
      <c r="J91" s="79">
        <v>1.77</v>
      </c>
      <c r="K91" s="79">
        <v>1.77</v>
      </c>
      <c r="L91" s="80"/>
      <c r="M91" s="81">
        <v>17419.689999999999</v>
      </c>
      <c r="N91" s="81">
        <v>0.05</v>
      </c>
      <c r="O91" s="81">
        <v>0.05</v>
      </c>
      <c r="P91" s="211"/>
    </row>
    <row r="92" spans="1:16" ht="12.75" x14ac:dyDescent="0.2">
      <c r="A92" s="122">
        <v>888</v>
      </c>
      <c r="B92" s="122">
        <v>888</v>
      </c>
      <c r="C92" s="73">
        <v>1800060817230</v>
      </c>
      <c r="D92" s="122" t="s">
        <v>983</v>
      </c>
      <c r="E92" s="122" t="s">
        <v>983</v>
      </c>
      <c r="F92" s="73" t="s">
        <v>983</v>
      </c>
      <c r="G92" s="74" t="s">
        <v>894</v>
      </c>
      <c r="H92" s="78"/>
      <c r="I92" s="79">
        <v>123.06</v>
      </c>
      <c r="J92" s="79">
        <v>0.84</v>
      </c>
      <c r="K92" s="79">
        <v>0.84</v>
      </c>
      <c r="L92" s="80"/>
      <c r="M92" s="81">
        <v>15974.55</v>
      </c>
      <c r="N92" s="81">
        <v>0.05</v>
      </c>
      <c r="O92" s="81">
        <v>0.05</v>
      </c>
      <c r="P92" s="211"/>
    </row>
    <row r="93" spans="1:16" ht="15" customHeight="1" x14ac:dyDescent="0.2">
      <c r="A93" s="122">
        <v>889</v>
      </c>
      <c r="B93" s="122">
        <v>889</v>
      </c>
      <c r="C93" s="73">
        <v>1800060819273</v>
      </c>
      <c r="D93" s="122">
        <v>708</v>
      </c>
      <c r="E93" s="122">
        <v>708</v>
      </c>
      <c r="F93" s="73">
        <v>1800060819282</v>
      </c>
      <c r="G93" s="74" t="s">
        <v>975</v>
      </c>
      <c r="H93" s="78"/>
      <c r="I93" s="79">
        <v>261.83</v>
      </c>
      <c r="J93" s="79">
        <v>0.85</v>
      </c>
      <c r="K93" s="79">
        <v>0.85</v>
      </c>
      <c r="L93" s="80"/>
      <c r="M93" s="81">
        <v>39549.89</v>
      </c>
      <c r="N93" s="81">
        <v>0.05</v>
      </c>
      <c r="O93" s="81">
        <v>0.05</v>
      </c>
      <c r="P93" s="211"/>
    </row>
    <row r="94" spans="1:16" ht="15" customHeight="1" x14ac:dyDescent="0.2">
      <c r="A94" s="122">
        <v>891</v>
      </c>
      <c r="B94" s="122">
        <v>891</v>
      </c>
      <c r="C94" s="73">
        <v>1800060863723</v>
      </c>
      <c r="D94" s="122">
        <v>668</v>
      </c>
      <c r="E94" s="122">
        <v>668</v>
      </c>
      <c r="F94" s="73">
        <v>1800060863732</v>
      </c>
      <c r="G94" s="74" t="s">
        <v>1038</v>
      </c>
      <c r="H94" s="78"/>
      <c r="I94" s="79">
        <v>64.28</v>
      </c>
      <c r="J94" s="79">
        <v>3.5</v>
      </c>
      <c r="K94" s="79">
        <v>3.5</v>
      </c>
      <c r="L94" s="80"/>
      <c r="M94" s="81">
        <v>11413.87</v>
      </c>
      <c r="N94" s="81">
        <v>0.05</v>
      </c>
      <c r="O94" s="81">
        <v>0.05</v>
      </c>
      <c r="P94" s="211"/>
    </row>
    <row r="95" spans="1:16" ht="15" customHeight="1" x14ac:dyDescent="0.2">
      <c r="A95" s="122">
        <v>892</v>
      </c>
      <c r="B95" s="122">
        <v>892</v>
      </c>
      <c r="C95" s="73">
        <v>1800060872755</v>
      </c>
      <c r="D95" s="122">
        <v>669</v>
      </c>
      <c r="E95" s="122">
        <v>669</v>
      </c>
      <c r="F95" s="73">
        <v>1800060872764</v>
      </c>
      <c r="G95" s="74" t="s">
        <v>1039</v>
      </c>
      <c r="H95" s="78"/>
      <c r="I95" s="79">
        <v>330.61</v>
      </c>
      <c r="J95" s="79">
        <v>1.77</v>
      </c>
      <c r="K95" s="79">
        <v>1.77</v>
      </c>
      <c r="L95" s="80"/>
      <c r="M95" s="81">
        <v>29825.51</v>
      </c>
      <c r="N95" s="81">
        <v>0.05</v>
      </c>
      <c r="O95" s="81">
        <v>0.05</v>
      </c>
      <c r="P95" s="211"/>
    </row>
    <row r="96" spans="1:16" ht="12.75" x14ac:dyDescent="0.2">
      <c r="A96" s="122" t="s">
        <v>901</v>
      </c>
      <c r="B96" s="122" t="s">
        <v>901</v>
      </c>
      <c r="C96" s="73" t="s">
        <v>901</v>
      </c>
      <c r="D96" s="122"/>
      <c r="E96" s="122"/>
      <c r="F96" s="73"/>
      <c r="G96" s="74" t="s">
        <v>1040</v>
      </c>
      <c r="H96" s="78"/>
      <c r="I96" s="79">
        <v>0</v>
      </c>
      <c r="J96" s="79">
        <v>2.63</v>
      </c>
      <c r="K96" s="79">
        <v>2.63</v>
      </c>
      <c r="L96" s="80"/>
      <c r="M96" s="81"/>
      <c r="N96" s="81"/>
      <c r="O96" s="81"/>
      <c r="P96" s="211"/>
    </row>
    <row r="97" spans="1:16" ht="12.75" x14ac:dyDescent="0.2">
      <c r="A97" s="122" t="s">
        <v>903</v>
      </c>
      <c r="B97" s="122" t="s">
        <v>903</v>
      </c>
      <c r="C97" s="73" t="s">
        <v>903</v>
      </c>
      <c r="D97" s="122"/>
      <c r="E97" s="122"/>
      <c r="F97" s="73"/>
      <c r="G97" s="74" t="s">
        <v>1041</v>
      </c>
      <c r="H97" s="78"/>
      <c r="I97" s="79">
        <v>0</v>
      </c>
      <c r="J97" s="79">
        <v>3.13</v>
      </c>
      <c r="K97" s="79">
        <v>3.13</v>
      </c>
      <c r="L97" s="80"/>
      <c r="M97" s="81"/>
      <c r="N97" s="81"/>
      <c r="O97" s="81"/>
      <c r="P97" s="211"/>
    </row>
    <row r="98" spans="1:16" ht="15" customHeight="1" x14ac:dyDescent="0.2">
      <c r="A98" s="122" t="s">
        <v>905</v>
      </c>
      <c r="B98" s="122" t="s">
        <v>905</v>
      </c>
      <c r="C98" s="73" t="s">
        <v>905</v>
      </c>
      <c r="D98" s="122" t="s">
        <v>905</v>
      </c>
      <c r="E98" s="122" t="s">
        <v>905</v>
      </c>
      <c r="F98" s="73" t="s">
        <v>905</v>
      </c>
      <c r="G98" s="74" t="s">
        <v>904</v>
      </c>
      <c r="H98" s="78"/>
      <c r="I98" s="79">
        <v>3248.25</v>
      </c>
      <c r="J98" s="79">
        <v>1.02</v>
      </c>
      <c r="K98" s="79">
        <v>1.02</v>
      </c>
      <c r="L98" s="80"/>
      <c r="M98" s="81">
        <v>24767.93</v>
      </c>
      <c r="N98" s="81">
        <v>0.05</v>
      </c>
      <c r="O98" s="81">
        <v>0.05</v>
      </c>
      <c r="P98" s="211"/>
    </row>
    <row r="99" spans="1:16" ht="15" customHeight="1" x14ac:dyDescent="0.2">
      <c r="A99" s="122" t="s">
        <v>911</v>
      </c>
      <c r="B99" s="122" t="s">
        <v>911</v>
      </c>
      <c r="C99" s="73" t="s">
        <v>911</v>
      </c>
      <c r="D99" s="122" t="s">
        <v>911</v>
      </c>
      <c r="E99" s="122" t="s">
        <v>911</v>
      </c>
      <c r="F99" s="73" t="s">
        <v>911</v>
      </c>
      <c r="G99" s="74" t="s">
        <v>984</v>
      </c>
      <c r="H99" s="78"/>
      <c r="I99" s="79">
        <v>63.71</v>
      </c>
      <c r="J99" s="79">
        <v>3.5</v>
      </c>
      <c r="K99" s="79">
        <v>3.5</v>
      </c>
      <c r="L99" s="80"/>
      <c r="M99" s="81">
        <v>9500.4699999999993</v>
      </c>
      <c r="N99" s="81">
        <v>0.05</v>
      </c>
      <c r="O99" s="81">
        <v>0.05</v>
      </c>
      <c r="P99" s="211"/>
    </row>
    <row r="100" spans="1:16" ht="15" customHeight="1" x14ac:dyDescent="0.2">
      <c r="A100" s="122" t="s">
        <v>915</v>
      </c>
      <c r="B100" s="122" t="s">
        <v>915</v>
      </c>
      <c r="C100" s="73" t="s">
        <v>915</v>
      </c>
      <c r="D100" s="122" t="s">
        <v>915</v>
      </c>
      <c r="E100" s="122" t="s">
        <v>915</v>
      </c>
      <c r="F100" s="73" t="s">
        <v>915</v>
      </c>
      <c r="G100" s="74" t="s">
        <v>914</v>
      </c>
      <c r="H100" s="78"/>
      <c r="I100" s="79">
        <v>77.8</v>
      </c>
      <c r="J100" s="79">
        <v>1.77</v>
      </c>
      <c r="K100" s="79">
        <v>1.77</v>
      </c>
      <c r="L100" s="80"/>
      <c r="M100" s="81">
        <v>14699.78</v>
      </c>
      <c r="N100" s="81">
        <v>0.05</v>
      </c>
      <c r="O100" s="81">
        <v>0.05</v>
      </c>
      <c r="P100" s="211"/>
    </row>
    <row r="101" spans="1:16" ht="15" customHeight="1" x14ac:dyDescent="0.2">
      <c r="A101" s="122" t="s">
        <v>909</v>
      </c>
      <c r="B101" s="122" t="s">
        <v>909</v>
      </c>
      <c r="C101" s="73" t="s">
        <v>909</v>
      </c>
      <c r="D101" s="122" t="s">
        <v>909</v>
      </c>
      <c r="E101" s="122" t="s">
        <v>909</v>
      </c>
      <c r="F101" s="73" t="s">
        <v>909</v>
      </c>
      <c r="G101" s="74" t="s">
        <v>908</v>
      </c>
      <c r="H101" s="78"/>
      <c r="I101" s="79">
        <v>211.67</v>
      </c>
      <c r="J101" s="79">
        <v>2.57</v>
      </c>
      <c r="K101" s="79">
        <v>2.57</v>
      </c>
      <c r="L101" s="80"/>
      <c r="M101" s="81">
        <v>28882.65</v>
      </c>
      <c r="N101" s="81">
        <v>0.05</v>
      </c>
      <c r="O101" s="81">
        <v>0.05</v>
      </c>
      <c r="P101" s="211"/>
    </row>
    <row r="102" spans="1:16" ht="15" customHeight="1" x14ac:dyDescent="0.2">
      <c r="A102" s="122" t="s">
        <v>913</v>
      </c>
      <c r="B102" s="122" t="s">
        <v>913</v>
      </c>
      <c r="C102" s="73" t="s">
        <v>913</v>
      </c>
      <c r="D102" s="122" t="s">
        <v>913</v>
      </c>
      <c r="E102" s="122" t="s">
        <v>913</v>
      </c>
      <c r="F102" s="73" t="s">
        <v>913</v>
      </c>
      <c r="G102" s="74" t="s">
        <v>912</v>
      </c>
      <c r="H102" s="78"/>
      <c r="I102" s="79">
        <v>1707.41</v>
      </c>
      <c r="J102" s="79">
        <v>0.85</v>
      </c>
      <c r="K102" s="79">
        <v>0.85</v>
      </c>
      <c r="L102" s="80"/>
      <c r="M102" s="81">
        <v>52955.71</v>
      </c>
      <c r="N102" s="81">
        <v>0.05</v>
      </c>
      <c r="O102" s="81">
        <v>0.05</v>
      </c>
      <c r="P102" s="211"/>
    </row>
    <row r="103" spans="1:16" ht="15" customHeight="1" x14ac:dyDescent="0.2">
      <c r="A103" s="122" t="s">
        <v>907</v>
      </c>
      <c r="B103" s="122" t="s">
        <v>907</v>
      </c>
      <c r="C103" s="73" t="s">
        <v>907</v>
      </c>
      <c r="D103" s="122" t="s">
        <v>907</v>
      </c>
      <c r="E103" s="122" t="s">
        <v>907</v>
      </c>
      <c r="F103" s="73" t="s">
        <v>907</v>
      </c>
      <c r="G103" s="74" t="s">
        <v>906</v>
      </c>
      <c r="H103" s="78"/>
      <c r="I103" s="79">
        <v>357.93</v>
      </c>
      <c r="J103" s="79">
        <v>1.77</v>
      </c>
      <c r="K103" s="79">
        <v>1.77</v>
      </c>
      <c r="L103" s="80"/>
      <c r="M103" s="81">
        <v>17434.009999999998</v>
      </c>
      <c r="N103" s="81">
        <v>0.05</v>
      </c>
      <c r="O103" s="81">
        <v>0.05</v>
      </c>
      <c r="P103" s="211"/>
    </row>
    <row r="104" spans="1:16" ht="15" customHeight="1" x14ac:dyDescent="0.2">
      <c r="A104" s="122" t="s">
        <v>917</v>
      </c>
      <c r="B104" s="122" t="s">
        <v>917</v>
      </c>
      <c r="C104" s="73" t="s">
        <v>917</v>
      </c>
      <c r="D104" s="122" t="s">
        <v>917</v>
      </c>
      <c r="E104" s="122" t="s">
        <v>917</v>
      </c>
      <c r="F104" s="73" t="s">
        <v>917</v>
      </c>
      <c r="G104" s="74" t="s">
        <v>916</v>
      </c>
      <c r="H104" s="78"/>
      <c r="I104" s="79">
        <v>49.44</v>
      </c>
      <c r="J104" s="79">
        <v>3.5</v>
      </c>
      <c r="K104" s="79">
        <v>3.5</v>
      </c>
      <c r="L104" s="80"/>
      <c r="M104" s="81">
        <v>11937.51</v>
      </c>
      <c r="N104" s="81">
        <v>0.05</v>
      </c>
      <c r="O104" s="81">
        <v>0.05</v>
      </c>
      <c r="P104" s="211"/>
    </row>
    <row r="105" spans="1:16" ht="15" customHeight="1" x14ac:dyDescent="0.2">
      <c r="A105" s="122" t="s">
        <v>756</v>
      </c>
      <c r="B105" s="122" t="s">
        <v>756</v>
      </c>
      <c r="C105" s="73" t="s">
        <v>756</v>
      </c>
      <c r="D105" s="122" t="s">
        <v>756</v>
      </c>
      <c r="E105" s="122" t="s">
        <v>756</v>
      </c>
      <c r="F105" s="73" t="s">
        <v>756</v>
      </c>
      <c r="G105" s="74" t="s">
        <v>918</v>
      </c>
      <c r="H105" s="78"/>
      <c r="I105" s="79">
        <v>369.45</v>
      </c>
      <c r="J105" s="79">
        <v>3.5</v>
      </c>
      <c r="K105" s="79">
        <v>3.5</v>
      </c>
      <c r="L105" s="80"/>
      <c r="M105" s="81">
        <v>42852.31</v>
      </c>
      <c r="N105" s="81">
        <v>0.05</v>
      </c>
      <c r="O105" s="81">
        <v>0.05</v>
      </c>
      <c r="P105" s="211"/>
    </row>
    <row r="106" spans="1:16" ht="15" customHeight="1" x14ac:dyDescent="0.2">
      <c r="A106" s="122">
        <v>310</v>
      </c>
      <c r="B106" s="122">
        <v>310</v>
      </c>
      <c r="C106" s="73">
        <v>1800036579036</v>
      </c>
      <c r="D106" s="122"/>
      <c r="E106" s="122"/>
      <c r="F106" s="73"/>
      <c r="G106" s="74" t="s">
        <v>1042</v>
      </c>
      <c r="H106" s="78"/>
      <c r="I106" s="79">
        <v>436.64</v>
      </c>
      <c r="J106" s="79">
        <v>7.53</v>
      </c>
      <c r="K106" s="79">
        <v>7.53</v>
      </c>
      <c r="L106" s="80"/>
      <c r="M106" s="81"/>
      <c r="N106" s="81"/>
      <c r="O106" s="81"/>
      <c r="P106" s="211"/>
    </row>
    <row r="107" spans="1:16" ht="15" customHeight="1" x14ac:dyDescent="0.2">
      <c r="A107" s="122">
        <v>311</v>
      </c>
      <c r="B107" s="122">
        <v>311</v>
      </c>
      <c r="C107" s="73">
        <v>1800035324497</v>
      </c>
      <c r="D107" s="122"/>
      <c r="E107" s="122"/>
      <c r="F107" s="73"/>
      <c r="G107" s="74" t="s">
        <v>1043</v>
      </c>
      <c r="H107" s="78"/>
      <c r="I107" s="79">
        <v>436.64</v>
      </c>
      <c r="J107" s="79">
        <v>4.3899999999999997</v>
      </c>
      <c r="K107" s="79">
        <v>4.3899999999999997</v>
      </c>
      <c r="L107" s="80"/>
      <c r="M107" s="81"/>
      <c r="N107" s="81"/>
      <c r="O107" s="81"/>
      <c r="P107" s="211"/>
    </row>
    <row r="108" spans="1:16" ht="15" customHeight="1" x14ac:dyDescent="0.2">
      <c r="A108" s="122">
        <v>312</v>
      </c>
      <c r="B108" s="122">
        <v>312</v>
      </c>
      <c r="C108" s="73">
        <v>1800035324530</v>
      </c>
      <c r="D108" s="122"/>
      <c r="E108" s="122"/>
      <c r="F108" s="73"/>
      <c r="G108" s="74" t="s">
        <v>1044</v>
      </c>
      <c r="H108" s="78"/>
      <c r="I108" s="79">
        <v>436.64</v>
      </c>
      <c r="J108" s="79">
        <v>8.9499999999999993</v>
      </c>
      <c r="K108" s="79">
        <v>8.9499999999999993</v>
      </c>
      <c r="L108" s="80"/>
      <c r="M108" s="81"/>
      <c r="N108" s="81"/>
      <c r="O108" s="81"/>
      <c r="P108" s="211"/>
    </row>
    <row r="109" spans="1:16" ht="15" customHeight="1" x14ac:dyDescent="0.2">
      <c r="A109" s="122">
        <v>313</v>
      </c>
      <c r="B109" s="122">
        <v>313</v>
      </c>
      <c r="C109" s="73">
        <v>1800053648310</v>
      </c>
      <c r="D109" s="122"/>
      <c r="E109" s="122"/>
      <c r="F109" s="73"/>
      <c r="G109" s="74" t="s">
        <v>1045</v>
      </c>
      <c r="H109" s="78"/>
      <c r="I109" s="79">
        <v>436.64</v>
      </c>
      <c r="J109" s="79">
        <v>15.32</v>
      </c>
      <c r="K109" s="79">
        <v>15.32</v>
      </c>
      <c r="L109" s="80"/>
      <c r="M109" s="81"/>
      <c r="N109" s="81"/>
      <c r="O109" s="81"/>
      <c r="P109" s="211"/>
    </row>
    <row r="110" spans="1:16" ht="15" customHeight="1" x14ac:dyDescent="0.2">
      <c r="A110" s="122">
        <v>314</v>
      </c>
      <c r="B110" s="122">
        <v>314</v>
      </c>
      <c r="C110" s="73">
        <v>1800035327674</v>
      </c>
      <c r="D110" s="122"/>
      <c r="E110" s="122"/>
      <c r="F110" s="73"/>
      <c r="G110" s="74" t="s">
        <v>1046</v>
      </c>
      <c r="H110" s="78"/>
      <c r="I110" s="79">
        <v>436.64</v>
      </c>
      <c r="J110" s="79">
        <v>5.16</v>
      </c>
      <c r="K110" s="79">
        <v>5.16</v>
      </c>
      <c r="L110" s="80"/>
      <c r="M110" s="81"/>
      <c r="N110" s="81"/>
      <c r="O110" s="81"/>
      <c r="P110" s="211"/>
    </row>
    <row r="111" spans="1:16" ht="15" customHeight="1" x14ac:dyDescent="0.2">
      <c r="A111" s="122">
        <v>315</v>
      </c>
      <c r="B111" s="122">
        <v>315</v>
      </c>
      <c r="C111" s="73">
        <v>1800035313398</v>
      </c>
      <c r="D111" s="122"/>
      <c r="E111" s="122"/>
      <c r="F111" s="73"/>
      <c r="G111" s="74" t="s">
        <v>1047</v>
      </c>
      <c r="H111" s="78"/>
      <c r="I111" s="79">
        <v>17105.509999999998</v>
      </c>
      <c r="J111" s="79">
        <v>3.72</v>
      </c>
      <c r="K111" s="79">
        <v>3.72</v>
      </c>
      <c r="L111" s="80"/>
      <c r="M111" s="81"/>
      <c r="N111" s="81"/>
      <c r="O111" s="81"/>
      <c r="P111" s="211"/>
    </row>
    <row r="112" spans="1:16" ht="15" customHeight="1" x14ac:dyDescent="0.2">
      <c r="A112" s="122">
        <v>316</v>
      </c>
      <c r="B112" s="122">
        <v>316</v>
      </c>
      <c r="C112" s="73">
        <v>1800035344100</v>
      </c>
      <c r="D112" s="122"/>
      <c r="E112" s="122"/>
      <c r="F112" s="73"/>
      <c r="G112" s="74" t="s">
        <v>1048</v>
      </c>
      <c r="H112" s="78"/>
      <c r="I112" s="79">
        <v>436.64</v>
      </c>
      <c r="J112" s="79">
        <v>4.71</v>
      </c>
      <c r="K112" s="79">
        <v>4.71</v>
      </c>
      <c r="L112" s="80"/>
      <c r="M112" s="81"/>
      <c r="N112" s="81"/>
      <c r="O112" s="81"/>
      <c r="P112" s="211"/>
    </row>
    <row r="113" spans="1:16" ht="15" customHeight="1" x14ac:dyDescent="0.2">
      <c r="A113" s="122">
        <v>318</v>
      </c>
      <c r="B113" s="122">
        <v>318</v>
      </c>
      <c r="C113" s="73">
        <v>1800035337584</v>
      </c>
      <c r="D113" s="122"/>
      <c r="E113" s="122"/>
      <c r="F113" s="73"/>
      <c r="G113" s="74" t="s">
        <v>1049</v>
      </c>
      <c r="H113" s="78"/>
      <c r="I113" s="79">
        <v>436.64</v>
      </c>
      <c r="J113" s="79">
        <v>1.08</v>
      </c>
      <c r="K113" s="79">
        <v>1.08</v>
      </c>
      <c r="L113" s="80"/>
      <c r="M113" s="81"/>
      <c r="N113" s="81"/>
      <c r="O113" s="81"/>
      <c r="P113" s="211"/>
    </row>
    <row r="114" spans="1:16" ht="15" customHeight="1" x14ac:dyDescent="0.2">
      <c r="A114" s="122">
        <v>319</v>
      </c>
      <c r="B114" s="122">
        <v>319</v>
      </c>
      <c r="C114" s="73">
        <v>1800035331634</v>
      </c>
      <c r="D114" s="122"/>
      <c r="E114" s="122"/>
      <c r="F114" s="73"/>
      <c r="G114" s="74" t="s">
        <v>1050</v>
      </c>
      <c r="H114" s="78"/>
      <c r="I114" s="79">
        <v>436.64</v>
      </c>
      <c r="J114" s="79">
        <v>2.97</v>
      </c>
      <c r="K114" s="79">
        <v>2.97</v>
      </c>
      <c r="L114" s="80"/>
      <c r="M114" s="81"/>
      <c r="N114" s="81"/>
      <c r="O114" s="81"/>
      <c r="P114" s="211"/>
    </row>
    <row r="115" spans="1:16" ht="15" customHeight="1" x14ac:dyDescent="0.2">
      <c r="A115" s="122">
        <v>320</v>
      </c>
      <c r="B115" s="122">
        <v>320</v>
      </c>
      <c r="C115" s="73">
        <v>1800035340220</v>
      </c>
      <c r="D115" s="122"/>
      <c r="E115" s="122"/>
      <c r="F115" s="73"/>
      <c r="G115" s="74" t="s">
        <v>1051</v>
      </c>
      <c r="H115" s="78"/>
      <c r="I115" s="79">
        <v>18682.36</v>
      </c>
      <c r="J115" s="79">
        <v>2.1800000000000002</v>
      </c>
      <c r="K115" s="79">
        <v>2.1800000000000002</v>
      </c>
      <c r="L115" s="80"/>
      <c r="M115" s="81"/>
      <c r="N115" s="81"/>
      <c r="O115" s="81"/>
      <c r="P115" s="211"/>
    </row>
    <row r="116" spans="1:16" ht="15" customHeight="1" x14ac:dyDescent="0.2">
      <c r="A116" s="122">
        <v>321</v>
      </c>
      <c r="B116" s="122">
        <v>321</v>
      </c>
      <c r="C116" s="73">
        <v>1800035346589</v>
      </c>
      <c r="D116" s="122"/>
      <c r="E116" s="122"/>
      <c r="F116" s="73"/>
      <c r="G116" s="74" t="s">
        <v>1052</v>
      </c>
      <c r="H116" s="78"/>
      <c r="I116" s="79">
        <v>873.27</v>
      </c>
      <c r="J116" s="79">
        <v>6.57</v>
      </c>
      <c r="K116" s="79">
        <v>6.57</v>
      </c>
      <c r="L116" s="80"/>
      <c r="M116" s="81"/>
      <c r="N116" s="81"/>
      <c r="O116" s="81"/>
      <c r="P116" s="211"/>
    </row>
    <row r="117" spans="1:16" ht="15" customHeight="1" x14ac:dyDescent="0.2">
      <c r="A117" s="122">
        <v>322</v>
      </c>
      <c r="B117" s="122">
        <v>322</v>
      </c>
      <c r="C117" s="73">
        <v>1800035346817</v>
      </c>
      <c r="D117" s="122"/>
      <c r="E117" s="122"/>
      <c r="F117" s="73"/>
      <c r="G117" s="74" t="s">
        <v>1053</v>
      </c>
      <c r="H117" s="78"/>
      <c r="I117" s="79">
        <v>436.64</v>
      </c>
      <c r="J117" s="79">
        <v>10.43</v>
      </c>
      <c r="K117" s="79">
        <v>10.43</v>
      </c>
      <c r="L117" s="80"/>
      <c r="M117" s="81"/>
      <c r="N117" s="81"/>
      <c r="O117" s="81"/>
      <c r="P117" s="211"/>
    </row>
    <row r="118" spans="1:16" ht="15" customHeight="1" x14ac:dyDescent="0.2">
      <c r="A118" s="122">
        <v>323</v>
      </c>
      <c r="B118" s="122">
        <v>323</v>
      </c>
      <c r="C118" s="73">
        <v>1800035326848</v>
      </c>
      <c r="D118" s="122"/>
      <c r="E118" s="122"/>
      <c r="F118" s="73"/>
      <c r="G118" s="74" t="s">
        <v>1054</v>
      </c>
      <c r="H118" s="78"/>
      <c r="I118" s="79">
        <v>13009.15</v>
      </c>
      <c r="J118" s="79">
        <v>1.52</v>
      </c>
      <c r="K118" s="79">
        <v>1.52</v>
      </c>
      <c r="L118" s="80"/>
      <c r="M118" s="81"/>
      <c r="N118" s="81"/>
      <c r="O118" s="81"/>
      <c r="P118" s="211"/>
    </row>
    <row r="119" spans="1:16" ht="15" customHeight="1" x14ac:dyDescent="0.2">
      <c r="A119" s="122">
        <v>324</v>
      </c>
      <c r="B119" s="122">
        <v>324</v>
      </c>
      <c r="C119" s="73">
        <v>1800035334227</v>
      </c>
      <c r="D119" s="122"/>
      <c r="E119" s="122"/>
      <c r="F119" s="73"/>
      <c r="G119" s="74" t="s">
        <v>1055</v>
      </c>
      <c r="H119" s="78"/>
      <c r="I119" s="79">
        <v>26526.42</v>
      </c>
      <c r="J119" s="79">
        <v>1.59</v>
      </c>
      <c r="K119" s="79">
        <v>1.59</v>
      </c>
      <c r="L119" s="80"/>
      <c r="M119" s="81"/>
      <c r="N119" s="81"/>
      <c r="O119" s="81"/>
      <c r="P119" s="211"/>
    </row>
    <row r="120" spans="1:16" ht="15" customHeight="1" x14ac:dyDescent="0.2">
      <c r="A120" s="122">
        <v>326</v>
      </c>
      <c r="B120" s="122">
        <v>326</v>
      </c>
      <c r="C120" s="73">
        <v>1800053646215</v>
      </c>
      <c r="D120" s="122">
        <v>755</v>
      </c>
      <c r="E120" s="122">
        <v>755</v>
      </c>
      <c r="F120" s="73">
        <v>1800053646224</v>
      </c>
      <c r="G120" s="74" t="s">
        <v>1056</v>
      </c>
      <c r="H120" s="78"/>
      <c r="I120" s="79">
        <v>3.93</v>
      </c>
      <c r="J120" s="79">
        <v>3.43</v>
      </c>
      <c r="K120" s="79">
        <v>3.43</v>
      </c>
      <c r="L120" s="80">
        <v>-2.4750000000000001</v>
      </c>
      <c r="M120" s="81">
        <v>432.7</v>
      </c>
      <c r="N120" s="81">
        <v>0.05</v>
      </c>
      <c r="O120" s="81">
        <v>0.05</v>
      </c>
      <c r="P120" s="211"/>
    </row>
    <row r="121" spans="1:16" ht="15" customHeight="1" x14ac:dyDescent="0.2">
      <c r="A121" s="122">
        <v>328</v>
      </c>
      <c r="B121" s="122">
        <v>328</v>
      </c>
      <c r="C121" s="73">
        <v>1800060586917</v>
      </c>
      <c r="D121" s="122">
        <v>750</v>
      </c>
      <c r="E121" s="122">
        <v>750</v>
      </c>
      <c r="F121" s="73">
        <v>1800060586926</v>
      </c>
      <c r="G121" s="74" t="s">
        <v>1057</v>
      </c>
      <c r="H121" s="78"/>
      <c r="I121" s="79">
        <v>389.08</v>
      </c>
      <c r="J121" s="79">
        <v>1.74</v>
      </c>
      <c r="K121" s="79">
        <v>1.74</v>
      </c>
      <c r="L121" s="80"/>
      <c r="M121" s="81">
        <v>6143.55</v>
      </c>
      <c r="N121" s="81">
        <v>0.05</v>
      </c>
      <c r="O121" s="81">
        <v>0.05</v>
      </c>
      <c r="P121" s="211"/>
    </row>
    <row r="122" spans="1:16" ht="15" customHeight="1" x14ac:dyDescent="0.2">
      <c r="A122" s="122">
        <v>329</v>
      </c>
      <c r="B122" s="122">
        <v>329</v>
      </c>
      <c r="C122" s="73">
        <v>1800060397697</v>
      </c>
      <c r="D122" s="122"/>
      <c r="E122" s="122"/>
      <c r="F122" s="73"/>
      <c r="G122" s="74" t="s">
        <v>1058</v>
      </c>
      <c r="H122" s="78"/>
      <c r="I122" s="79">
        <v>11281.7</v>
      </c>
      <c r="J122" s="79">
        <v>3.72</v>
      </c>
      <c r="K122" s="79">
        <v>3.72</v>
      </c>
      <c r="L122" s="80"/>
      <c r="M122" s="81"/>
      <c r="N122" s="81"/>
      <c r="O122" s="81"/>
      <c r="P122" s="211"/>
    </row>
    <row r="123" spans="1:16" ht="15" customHeight="1" x14ac:dyDescent="0.2">
      <c r="A123" s="122">
        <v>330</v>
      </c>
      <c r="B123" s="122">
        <v>330</v>
      </c>
      <c r="C123" s="73">
        <v>1800060614714</v>
      </c>
      <c r="D123" s="122">
        <v>752</v>
      </c>
      <c r="E123" s="122">
        <v>752</v>
      </c>
      <c r="F123" s="73">
        <v>1800060614741</v>
      </c>
      <c r="G123" s="74" t="s">
        <v>1059</v>
      </c>
      <c r="H123" s="78"/>
      <c r="I123" s="79">
        <v>92.29</v>
      </c>
      <c r="J123" s="79">
        <v>1.97</v>
      </c>
      <c r="K123" s="79">
        <v>1.97</v>
      </c>
      <c r="L123" s="80"/>
      <c r="M123" s="81">
        <v>7877.12</v>
      </c>
      <c r="N123" s="81">
        <v>0.05</v>
      </c>
      <c r="O123" s="81">
        <v>0.05</v>
      </c>
      <c r="P123" s="211"/>
    </row>
    <row r="124" spans="1:16" ht="15" customHeight="1" x14ac:dyDescent="0.2">
      <c r="A124" s="122">
        <v>331</v>
      </c>
      <c r="B124" s="122">
        <v>331</v>
      </c>
      <c r="C124" s="73">
        <v>1800060613543</v>
      </c>
      <c r="D124" s="122">
        <v>754</v>
      </c>
      <c r="E124" s="122">
        <v>754</v>
      </c>
      <c r="F124" s="73">
        <v>1800060613552</v>
      </c>
      <c r="G124" s="74" t="s">
        <v>1060</v>
      </c>
      <c r="H124" s="78"/>
      <c r="I124" s="79">
        <v>160.99</v>
      </c>
      <c r="J124" s="79">
        <v>3.14</v>
      </c>
      <c r="K124" s="79">
        <v>3.14</v>
      </c>
      <c r="L124" s="80"/>
      <c r="M124" s="81">
        <v>5932.65</v>
      </c>
      <c r="N124" s="81">
        <v>0.05</v>
      </c>
      <c r="O124" s="81">
        <v>0.05</v>
      </c>
      <c r="P124" s="211"/>
    </row>
    <row r="125" spans="1:16" ht="15" customHeight="1" x14ac:dyDescent="0.2">
      <c r="A125" s="122">
        <v>332</v>
      </c>
      <c r="B125" s="122">
        <v>332</v>
      </c>
      <c r="C125" s="73">
        <v>1800060709010</v>
      </c>
      <c r="D125" s="122">
        <v>756</v>
      </c>
      <c r="E125" s="122">
        <v>756</v>
      </c>
      <c r="F125" s="73">
        <v>1800060709029</v>
      </c>
      <c r="G125" s="74" t="s">
        <v>1061</v>
      </c>
      <c r="H125" s="78"/>
      <c r="I125" s="79">
        <v>141.22999999999999</v>
      </c>
      <c r="J125" s="79">
        <v>1.97</v>
      </c>
      <c r="K125" s="79">
        <v>1.97</v>
      </c>
      <c r="L125" s="80"/>
      <c r="M125" s="81">
        <v>7964.26</v>
      </c>
      <c r="N125" s="81">
        <v>0.05</v>
      </c>
      <c r="O125" s="81">
        <v>0.05</v>
      </c>
      <c r="P125" s="211"/>
    </row>
    <row r="126" spans="1:16" ht="15" customHeight="1" x14ac:dyDescent="0.2">
      <c r="A126" s="122" t="s">
        <v>899</v>
      </c>
      <c r="B126" s="122" t="s">
        <v>899</v>
      </c>
      <c r="C126" s="122" t="s">
        <v>899</v>
      </c>
      <c r="D126" s="122" t="s">
        <v>899</v>
      </c>
      <c r="E126" s="122" t="s">
        <v>899</v>
      </c>
      <c r="F126" s="122" t="s">
        <v>899</v>
      </c>
      <c r="G126" s="74" t="s">
        <v>1062</v>
      </c>
      <c r="H126" s="78"/>
      <c r="I126" s="79">
        <v>2055.54</v>
      </c>
      <c r="J126" s="79">
        <v>3.5</v>
      </c>
      <c r="K126" s="79">
        <v>3.5</v>
      </c>
      <c r="L126" s="80"/>
      <c r="M126" s="81">
        <v>7636.46</v>
      </c>
      <c r="N126" s="81">
        <v>0.05</v>
      </c>
      <c r="O126" s="81">
        <v>0.05</v>
      </c>
      <c r="P126" s="211"/>
    </row>
    <row r="127" spans="1:16" ht="15" customHeight="1" x14ac:dyDescent="0.2">
      <c r="A127" s="61"/>
      <c r="B127" s="122"/>
      <c r="C127" s="73"/>
      <c r="D127" s="62"/>
      <c r="E127" s="122"/>
      <c r="F127" s="73"/>
      <c r="G127" s="74"/>
      <c r="H127" s="78"/>
      <c r="I127" s="79"/>
      <c r="J127" s="79"/>
      <c r="K127" s="79"/>
      <c r="L127" s="80"/>
      <c r="M127" s="81"/>
      <c r="N127" s="81"/>
      <c r="O127" s="81"/>
    </row>
    <row r="128" spans="1:16" ht="15" customHeight="1" x14ac:dyDescent="0.2">
      <c r="A128" s="61"/>
      <c r="B128" s="122"/>
      <c r="C128" s="73"/>
      <c r="D128" s="62"/>
      <c r="E128" s="122"/>
      <c r="F128" s="73"/>
      <c r="G128" s="74"/>
      <c r="H128" s="78"/>
      <c r="I128" s="79"/>
      <c r="J128" s="79"/>
      <c r="K128" s="79"/>
      <c r="L128" s="80"/>
      <c r="M128" s="81"/>
      <c r="N128" s="81"/>
      <c r="O128" s="81"/>
    </row>
    <row r="129" spans="1:15" ht="15" customHeight="1" x14ac:dyDescent="0.2">
      <c r="A129" s="61"/>
      <c r="B129" s="122"/>
      <c r="C129" s="73"/>
      <c r="D129" s="62"/>
      <c r="E129" s="122"/>
      <c r="F129" s="73"/>
      <c r="G129" s="74"/>
      <c r="H129" s="78"/>
      <c r="I129" s="79"/>
      <c r="J129" s="79"/>
      <c r="K129" s="79"/>
      <c r="L129" s="80"/>
      <c r="M129" s="81"/>
      <c r="N129" s="81"/>
      <c r="O129" s="81"/>
    </row>
    <row r="130" spans="1:15" ht="15" customHeight="1" x14ac:dyDescent="0.2">
      <c r="A130" s="61"/>
      <c r="B130" s="122"/>
      <c r="C130" s="73"/>
      <c r="D130" s="62"/>
      <c r="E130" s="122"/>
      <c r="F130" s="73"/>
      <c r="G130" s="74"/>
      <c r="H130" s="78"/>
      <c r="I130" s="79"/>
      <c r="J130" s="79"/>
      <c r="K130" s="79"/>
      <c r="L130" s="80"/>
      <c r="M130" s="81"/>
      <c r="N130" s="81"/>
      <c r="O130" s="81"/>
    </row>
    <row r="131" spans="1:15" ht="15" customHeight="1" x14ac:dyDescent="0.2">
      <c r="A131" s="61"/>
      <c r="B131" s="122"/>
      <c r="C131" s="73"/>
      <c r="D131" s="62"/>
      <c r="E131" s="122"/>
      <c r="F131" s="73"/>
      <c r="G131" s="74"/>
      <c r="H131" s="78"/>
      <c r="I131" s="79"/>
      <c r="J131" s="79"/>
      <c r="K131" s="79"/>
      <c r="L131" s="80"/>
      <c r="M131" s="81"/>
      <c r="N131" s="81"/>
      <c r="O131" s="81"/>
    </row>
    <row r="132" spans="1:15" ht="15" customHeight="1" x14ac:dyDescent="0.2">
      <c r="A132" s="61"/>
      <c r="B132" s="122"/>
      <c r="C132" s="73"/>
      <c r="D132" s="62"/>
      <c r="E132" s="122"/>
      <c r="F132" s="73"/>
      <c r="G132" s="74"/>
      <c r="H132" s="78"/>
      <c r="I132" s="79"/>
      <c r="J132" s="79"/>
      <c r="K132" s="79"/>
      <c r="L132" s="80"/>
      <c r="M132" s="81"/>
      <c r="N132" s="81"/>
      <c r="O132" s="81"/>
    </row>
    <row r="133" spans="1:15" ht="15" customHeight="1" x14ac:dyDescent="0.2">
      <c r="A133" s="61"/>
      <c r="B133" s="122"/>
      <c r="C133" s="73"/>
      <c r="D133" s="62"/>
      <c r="E133" s="122"/>
      <c r="F133" s="73"/>
      <c r="G133" s="74"/>
      <c r="H133" s="78"/>
      <c r="I133" s="79"/>
      <c r="J133" s="79"/>
      <c r="K133" s="79"/>
      <c r="L133" s="80"/>
      <c r="M133" s="81"/>
      <c r="N133" s="81"/>
      <c r="O133" s="81"/>
    </row>
    <row r="134" spans="1:15" ht="15" customHeight="1" x14ac:dyDescent="0.2">
      <c r="A134" s="61"/>
      <c r="B134" s="122"/>
      <c r="C134" s="73"/>
      <c r="D134" s="62"/>
      <c r="E134" s="122"/>
      <c r="F134" s="73"/>
      <c r="G134" s="74"/>
      <c r="H134" s="78"/>
      <c r="I134" s="79"/>
      <c r="J134" s="79"/>
      <c r="K134" s="79"/>
      <c r="L134" s="80"/>
      <c r="M134" s="81"/>
      <c r="N134" s="81"/>
      <c r="O134" s="81"/>
    </row>
    <row r="135" spans="1:15" ht="15" customHeight="1" x14ac:dyDescent="0.2">
      <c r="A135" s="61"/>
      <c r="B135" s="122"/>
      <c r="C135" s="73"/>
      <c r="D135" s="62"/>
      <c r="E135" s="122"/>
      <c r="F135" s="73"/>
      <c r="G135" s="74"/>
      <c r="H135" s="78"/>
      <c r="I135" s="79"/>
      <c r="J135" s="79"/>
      <c r="K135" s="79"/>
      <c r="L135" s="80"/>
      <c r="M135" s="81"/>
      <c r="N135" s="81"/>
      <c r="O135" s="81"/>
    </row>
    <row r="136" spans="1:15" ht="15" customHeight="1" x14ac:dyDescent="0.2">
      <c r="A136" s="61"/>
      <c r="B136" s="122"/>
      <c r="C136" s="73"/>
      <c r="D136" s="62"/>
      <c r="E136" s="122"/>
      <c r="F136" s="73"/>
      <c r="G136" s="74"/>
      <c r="H136" s="78"/>
      <c r="I136" s="79"/>
      <c r="J136" s="79"/>
      <c r="K136" s="79"/>
      <c r="L136" s="80"/>
      <c r="M136" s="81"/>
      <c r="N136" s="81"/>
      <c r="O136" s="81"/>
    </row>
    <row r="137" spans="1:15" ht="15" customHeight="1" x14ac:dyDescent="0.2">
      <c r="A137" s="61"/>
      <c r="B137" s="122"/>
      <c r="C137" s="73"/>
      <c r="D137" s="62"/>
      <c r="E137" s="122"/>
      <c r="F137" s="73"/>
      <c r="G137" s="74"/>
      <c r="H137" s="78"/>
      <c r="I137" s="79"/>
      <c r="J137" s="79"/>
      <c r="K137" s="79"/>
      <c r="L137" s="80"/>
      <c r="M137" s="81"/>
      <c r="N137" s="81"/>
      <c r="O137" s="81"/>
    </row>
    <row r="138" spans="1:15" ht="15" customHeight="1" x14ac:dyDescent="0.2">
      <c r="A138" s="61"/>
      <c r="B138" s="122"/>
      <c r="C138" s="73"/>
      <c r="D138" s="62"/>
      <c r="E138" s="122"/>
      <c r="F138" s="73"/>
      <c r="G138" s="74"/>
      <c r="H138" s="78"/>
      <c r="I138" s="79"/>
      <c r="J138" s="79"/>
      <c r="K138" s="79"/>
      <c r="L138" s="80"/>
      <c r="M138" s="81"/>
      <c r="N138" s="81"/>
      <c r="O138" s="81"/>
    </row>
    <row r="139" spans="1:15" ht="15" customHeight="1" x14ac:dyDescent="0.2">
      <c r="A139" s="61"/>
      <c r="B139" s="122"/>
      <c r="C139" s="73"/>
      <c r="D139" s="62"/>
      <c r="E139" s="122"/>
      <c r="F139" s="73"/>
      <c r="G139" s="74"/>
      <c r="H139" s="78"/>
      <c r="I139" s="79"/>
      <c r="J139" s="79"/>
      <c r="K139" s="79"/>
      <c r="L139" s="80"/>
      <c r="M139" s="81"/>
      <c r="N139" s="81"/>
      <c r="O139" s="81"/>
    </row>
    <row r="140" spans="1:15" ht="15" customHeight="1" x14ac:dyDescent="0.2">
      <c r="A140" s="61"/>
      <c r="B140" s="122"/>
      <c r="C140" s="73"/>
      <c r="D140" s="62"/>
      <c r="E140" s="122"/>
      <c r="F140" s="73"/>
      <c r="G140" s="74"/>
      <c r="H140" s="78"/>
      <c r="I140" s="79"/>
      <c r="J140" s="79"/>
      <c r="K140" s="79"/>
      <c r="L140" s="80"/>
      <c r="M140" s="81"/>
      <c r="N140" s="81"/>
      <c r="O140" s="81"/>
    </row>
    <row r="141" spans="1:15" ht="15" customHeight="1" x14ac:dyDescent="0.2">
      <c r="A141" s="61"/>
      <c r="B141" s="122"/>
      <c r="C141" s="73"/>
      <c r="D141" s="62"/>
      <c r="E141" s="122"/>
      <c r="F141" s="73"/>
      <c r="G141" s="74"/>
      <c r="H141" s="78"/>
      <c r="I141" s="79"/>
      <c r="J141" s="79"/>
      <c r="K141" s="79"/>
      <c r="L141" s="80"/>
      <c r="M141" s="81"/>
      <c r="N141" s="81"/>
      <c r="O141" s="81"/>
    </row>
    <row r="142" spans="1:15" ht="15" customHeight="1" x14ac:dyDescent="0.2">
      <c r="A142" s="61"/>
      <c r="B142" s="122"/>
      <c r="C142" s="73"/>
      <c r="D142" s="62"/>
      <c r="E142" s="122"/>
      <c r="F142" s="73"/>
      <c r="G142" s="74"/>
      <c r="H142" s="78"/>
      <c r="I142" s="79"/>
      <c r="J142" s="79"/>
      <c r="K142" s="79"/>
      <c r="L142" s="80"/>
      <c r="M142" s="81"/>
      <c r="N142" s="81"/>
      <c r="O142" s="81"/>
    </row>
    <row r="143" spans="1:15" ht="15" customHeight="1" x14ac:dyDescent="0.2">
      <c r="A143" s="61"/>
      <c r="B143" s="122"/>
      <c r="C143" s="73"/>
      <c r="D143" s="62"/>
      <c r="E143" s="122"/>
      <c r="F143" s="73"/>
      <c r="G143" s="74"/>
      <c r="H143" s="78"/>
      <c r="I143" s="79"/>
      <c r="J143" s="79"/>
      <c r="K143" s="79"/>
      <c r="L143" s="80"/>
      <c r="M143" s="81"/>
      <c r="N143" s="81"/>
      <c r="O143" s="81"/>
    </row>
    <row r="144" spans="1:15" ht="15" customHeight="1" x14ac:dyDescent="0.2">
      <c r="A144" s="61"/>
      <c r="B144" s="122"/>
      <c r="C144" s="73"/>
      <c r="D144" s="62"/>
      <c r="E144" s="122"/>
      <c r="F144" s="73"/>
      <c r="G144" s="74"/>
      <c r="H144" s="78"/>
      <c r="I144" s="79"/>
      <c r="J144" s="79"/>
      <c r="K144" s="79"/>
      <c r="L144" s="80"/>
      <c r="M144" s="81"/>
      <c r="N144" s="81"/>
      <c r="O144" s="81"/>
    </row>
    <row r="145" spans="1:15" ht="15" customHeight="1" x14ac:dyDescent="0.2">
      <c r="A145" s="61"/>
      <c r="B145" s="122"/>
      <c r="C145" s="73"/>
      <c r="D145" s="62"/>
      <c r="E145" s="122"/>
      <c r="F145" s="73"/>
      <c r="G145" s="74"/>
      <c r="H145" s="78"/>
      <c r="I145" s="79"/>
      <c r="J145" s="79"/>
      <c r="K145" s="79"/>
      <c r="L145" s="80"/>
      <c r="M145" s="81"/>
      <c r="N145" s="81"/>
      <c r="O145" s="81"/>
    </row>
    <row r="146" spans="1:15" ht="15" customHeight="1" x14ac:dyDescent="0.2">
      <c r="A146" s="61"/>
      <c r="B146" s="122"/>
      <c r="C146" s="73"/>
      <c r="D146" s="62"/>
      <c r="E146" s="122"/>
      <c r="F146" s="73"/>
      <c r="G146" s="74"/>
      <c r="H146" s="78"/>
      <c r="I146" s="79"/>
      <c r="J146" s="79"/>
      <c r="K146" s="79"/>
      <c r="L146" s="80"/>
      <c r="M146" s="81"/>
      <c r="N146" s="81"/>
      <c r="O146" s="81"/>
    </row>
    <row r="147" spans="1:15" ht="15" customHeight="1" x14ac:dyDescent="0.2">
      <c r="A147" s="61"/>
      <c r="B147" s="122"/>
      <c r="C147" s="73"/>
      <c r="D147" s="62"/>
      <c r="E147" s="122"/>
      <c r="F147" s="73"/>
      <c r="G147" s="74"/>
      <c r="H147" s="78"/>
      <c r="I147" s="79"/>
      <c r="J147" s="79"/>
      <c r="K147" s="79"/>
      <c r="L147" s="80"/>
      <c r="M147" s="81"/>
      <c r="N147" s="81"/>
      <c r="O147" s="81"/>
    </row>
    <row r="148" spans="1:15" ht="15" customHeight="1" x14ac:dyDescent="0.2">
      <c r="A148" s="61"/>
      <c r="B148" s="122"/>
      <c r="C148" s="73"/>
      <c r="D148" s="62"/>
      <c r="E148" s="122"/>
      <c r="F148" s="73"/>
      <c r="G148" s="74"/>
      <c r="H148" s="78"/>
      <c r="I148" s="79"/>
      <c r="J148" s="79"/>
      <c r="K148" s="79"/>
      <c r="L148" s="80"/>
      <c r="M148" s="81"/>
      <c r="N148" s="81"/>
      <c r="O148" s="81"/>
    </row>
    <row r="149" spans="1:15" ht="15" customHeight="1" x14ac:dyDescent="0.2">
      <c r="A149" s="61"/>
      <c r="B149" s="122"/>
      <c r="C149" s="73"/>
      <c r="D149" s="62"/>
      <c r="E149" s="122"/>
      <c r="F149" s="73"/>
      <c r="G149" s="74"/>
      <c r="H149" s="78"/>
      <c r="I149" s="79"/>
      <c r="J149" s="79"/>
      <c r="K149" s="79"/>
      <c r="L149" s="80"/>
      <c r="M149" s="81"/>
      <c r="N149" s="81"/>
      <c r="O149" s="81"/>
    </row>
    <row r="150" spans="1:15" ht="15" customHeight="1" x14ac:dyDescent="0.2">
      <c r="A150" s="61"/>
      <c r="B150" s="122"/>
      <c r="C150" s="73"/>
      <c r="D150" s="62"/>
      <c r="E150" s="122"/>
      <c r="F150" s="73"/>
      <c r="G150" s="74"/>
      <c r="H150" s="78"/>
      <c r="I150" s="79"/>
      <c r="J150" s="79"/>
      <c r="K150" s="79"/>
      <c r="L150" s="80"/>
      <c r="M150" s="81"/>
      <c r="N150" s="81"/>
      <c r="O150" s="81"/>
    </row>
    <row r="151" spans="1:15" ht="15" customHeight="1" x14ac:dyDescent="0.2">
      <c r="A151" s="61"/>
      <c r="B151" s="122"/>
      <c r="C151" s="73"/>
      <c r="D151" s="62"/>
      <c r="E151" s="122"/>
      <c r="F151" s="73"/>
      <c r="G151" s="74"/>
      <c r="H151" s="78"/>
      <c r="I151" s="79"/>
      <c r="J151" s="79"/>
      <c r="K151" s="79"/>
      <c r="L151" s="80"/>
      <c r="M151" s="81"/>
      <c r="N151" s="81"/>
      <c r="O151" s="81"/>
    </row>
    <row r="152" spans="1:15" ht="15" customHeight="1" x14ac:dyDescent="0.2">
      <c r="A152" s="61"/>
      <c r="B152" s="122"/>
      <c r="C152" s="73"/>
      <c r="D152" s="62"/>
      <c r="E152" s="122"/>
      <c r="F152" s="73"/>
      <c r="G152" s="74"/>
      <c r="H152" s="78"/>
      <c r="I152" s="79"/>
      <c r="J152" s="79"/>
      <c r="K152" s="79"/>
      <c r="L152" s="80"/>
      <c r="M152" s="81"/>
      <c r="N152" s="81"/>
      <c r="O152" s="81"/>
    </row>
    <row r="153" spans="1:15" ht="15" customHeight="1" x14ac:dyDescent="0.2">
      <c r="A153" s="61"/>
      <c r="B153" s="122"/>
      <c r="C153" s="73"/>
      <c r="D153" s="62"/>
      <c r="E153" s="122"/>
      <c r="F153" s="73"/>
      <c r="G153" s="74"/>
      <c r="H153" s="78"/>
      <c r="I153" s="79"/>
      <c r="J153" s="79"/>
      <c r="K153" s="79"/>
      <c r="L153" s="80"/>
      <c r="M153" s="81"/>
      <c r="N153" s="81"/>
      <c r="O153" s="81"/>
    </row>
    <row r="154" spans="1:15" ht="15" customHeight="1" x14ac:dyDescent="0.2">
      <c r="A154" s="61"/>
      <c r="B154" s="122"/>
      <c r="C154" s="73"/>
      <c r="D154" s="62"/>
      <c r="E154" s="122"/>
      <c r="F154" s="73"/>
      <c r="G154" s="74"/>
      <c r="H154" s="78"/>
      <c r="I154" s="79"/>
      <c r="J154" s="79"/>
      <c r="K154" s="79"/>
      <c r="L154" s="80"/>
      <c r="M154" s="81"/>
      <c r="N154" s="81"/>
      <c r="O154" s="81"/>
    </row>
    <row r="155" spans="1:15" ht="15" customHeight="1" x14ac:dyDescent="0.2">
      <c r="A155" s="61"/>
      <c r="B155" s="122"/>
      <c r="C155" s="73"/>
      <c r="D155" s="62"/>
      <c r="E155" s="122"/>
      <c r="F155" s="73"/>
      <c r="G155" s="74"/>
      <c r="H155" s="78"/>
      <c r="I155" s="79"/>
      <c r="J155" s="79"/>
      <c r="K155" s="79"/>
      <c r="L155" s="80"/>
      <c r="M155" s="81"/>
      <c r="N155" s="81"/>
      <c r="O155" s="81"/>
    </row>
    <row r="156" spans="1:15" ht="15" customHeight="1" x14ac:dyDescent="0.2">
      <c r="A156" s="61"/>
      <c r="B156" s="122"/>
      <c r="C156" s="73"/>
      <c r="D156" s="62"/>
      <c r="E156" s="122"/>
      <c r="F156" s="73"/>
      <c r="G156" s="74"/>
      <c r="H156" s="78"/>
      <c r="I156" s="79"/>
      <c r="J156" s="79"/>
      <c r="K156" s="79"/>
      <c r="L156" s="80"/>
      <c r="M156" s="81"/>
      <c r="N156" s="81"/>
      <c r="O156" s="81"/>
    </row>
    <row r="157" spans="1:15" ht="15" customHeight="1" x14ac:dyDescent="0.2">
      <c r="A157" s="61"/>
      <c r="B157" s="122"/>
      <c r="C157" s="73"/>
      <c r="D157" s="62"/>
      <c r="E157" s="122"/>
      <c r="F157" s="73"/>
      <c r="G157" s="74"/>
      <c r="H157" s="78"/>
      <c r="I157" s="79"/>
      <c r="J157" s="79"/>
      <c r="K157" s="79"/>
      <c r="L157" s="80"/>
      <c r="M157" s="81"/>
      <c r="N157" s="81"/>
      <c r="O157" s="81"/>
    </row>
    <row r="158" spans="1:15" ht="15" customHeight="1" x14ac:dyDescent="0.2">
      <c r="A158" s="61"/>
      <c r="B158" s="122"/>
      <c r="C158" s="73"/>
      <c r="D158" s="62"/>
      <c r="E158" s="122"/>
      <c r="F158" s="73"/>
      <c r="G158" s="74"/>
      <c r="H158" s="78"/>
      <c r="I158" s="79"/>
      <c r="J158" s="79"/>
      <c r="K158" s="79"/>
      <c r="L158" s="80"/>
      <c r="M158" s="81"/>
      <c r="N158" s="81"/>
      <c r="O158" s="81"/>
    </row>
    <row r="159" spans="1:15" ht="15" customHeight="1" x14ac:dyDescent="0.2">
      <c r="A159" s="61"/>
      <c r="B159" s="122"/>
      <c r="C159" s="73"/>
      <c r="D159" s="62"/>
      <c r="E159" s="122"/>
      <c r="F159" s="73"/>
      <c r="G159" s="74"/>
      <c r="H159" s="78"/>
      <c r="I159" s="79"/>
      <c r="J159" s="79"/>
      <c r="K159" s="79"/>
      <c r="L159" s="80"/>
      <c r="M159" s="81"/>
      <c r="N159" s="81"/>
      <c r="O159" s="81"/>
    </row>
    <row r="160" spans="1:15" ht="15" customHeight="1" x14ac:dyDescent="0.2">
      <c r="A160" s="61"/>
      <c r="B160" s="122"/>
      <c r="C160" s="73"/>
      <c r="D160" s="62"/>
      <c r="E160" s="122"/>
      <c r="F160" s="73"/>
      <c r="G160" s="74"/>
      <c r="H160" s="78"/>
      <c r="I160" s="79"/>
      <c r="J160" s="79"/>
      <c r="K160" s="79"/>
      <c r="L160" s="80"/>
      <c r="M160" s="81"/>
      <c r="N160" s="81"/>
      <c r="O160" s="81"/>
    </row>
    <row r="161" spans="1:15" ht="15" customHeight="1" x14ac:dyDescent="0.2">
      <c r="A161" s="61"/>
      <c r="B161" s="122"/>
      <c r="C161" s="73"/>
      <c r="D161" s="62"/>
      <c r="E161" s="122"/>
      <c r="F161" s="73"/>
      <c r="G161" s="74"/>
      <c r="H161" s="78"/>
      <c r="I161" s="79"/>
      <c r="J161" s="79"/>
      <c r="K161" s="79"/>
      <c r="L161" s="80"/>
      <c r="M161" s="81"/>
      <c r="N161" s="81"/>
      <c r="O161" s="81"/>
    </row>
    <row r="162" spans="1:15" ht="15" customHeight="1" x14ac:dyDescent="0.2">
      <c r="A162" s="61"/>
      <c r="B162" s="122"/>
      <c r="C162" s="73"/>
      <c r="D162" s="62"/>
      <c r="E162" s="122"/>
      <c r="F162" s="73"/>
      <c r="G162" s="74"/>
      <c r="H162" s="78"/>
      <c r="I162" s="79"/>
      <c r="J162" s="79"/>
      <c r="K162" s="79"/>
      <c r="L162" s="80"/>
      <c r="M162" s="81"/>
      <c r="N162" s="81"/>
      <c r="O162" s="81"/>
    </row>
    <row r="163" spans="1:15" ht="15" customHeight="1" x14ac:dyDescent="0.2">
      <c r="A163" s="61"/>
      <c r="B163" s="122"/>
      <c r="C163" s="73"/>
      <c r="D163" s="62"/>
      <c r="E163" s="122"/>
      <c r="F163" s="73"/>
      <c r="G163" s="74"/>
      <c r="H163" s="78"/>
      <c r="I163" s="79"/>
      <c r="J163" s="79"/>
      <c r="K163" s="79"/>
      <c r="L163" s="80"/>
      <c r="M163" s="81"/>
      <c r="N163" s="81"/>
      <c r="O163" s="81"/>
    </row>
    <row r="164" spans="1:15" ht="15" customHeight="1" x14ac:dyDescent="0.2">
      <c r="A164" s="61"/>
      <c r="B164" s="122"/>
      <c r="C164" s="73"/>
      <c r="D164" s="62"/>
      <c r="E164" s="122"/>
      <c r="F164" s="73"/>
      <c r="G164" s="74"/>
      <c r="H164" s="78"/>
      <c r="I164" s="79"/>
      <c r="J164" s="79"/>
      <c r="K164" s="79"/>
      <c r="L164" s="80"/>
      <c r="M164" s="81"/>
      <c r="N164" s="81"/>
      <c r="O164" s="81"/>
    </row>
    <row r="165" spans="1:15" ht="15" customHeight="1" x14ac:dyDescent="0.2">
      <c r="A165" s="61"/>
      <c r="B165" s="122"/>
      <c r="C165" s="73"/>
      <c r="D165" s="62"/>
      <c r="E165" s="122"/>
      <c r="F165" s="73"/>
      <c r="G165" s="74"/>
      <c r="H165" s="78"/>
      <c r="I165" s="79"/>
      <c r="J165" s="79"/>
      <c r="K165" s="79"/>
      <c r="L165" s="80"/>
      <c r="M165" s="81"/>
      <c r="N165" s="81"/>
      <c r="O165" s="81"/>
    </row>
    <row r="166" spans="1:15" ht="15" customHeight="1" x14ac:dyDescent="0.2">
      <c r="A166" s="61"/>
      <c r="B166" s="122"/>
      <c r="C166" s="73"/>
      <c r="D166" s="62"/>
      <c r="E166" s="122"/>
      <c r="F166" s="73"/>
      <c r="G166" s="74"/>
      <c r="H166" s="78"/>
      <c r="I166" s="79"/>
      <c r="J166" s="79"/>
      <c r="K166" s="79"/>
      <c r="L166" s="80"/>
      <c r="M166" s="81"/>
      <c r="N166" s="81"/>
      <c r="O166" s="81"/>
    </row>
    <row r="167" spans="1:15" ht="15" customHeight="1" x14ac:dyDescent="0.2">
      <c r="A167" s="61"/>
      <c r="B167" s="122"/>
      <c r="C167" s="73"/>
      <c r="D167" s="62"/>
      <c r="E167" s="122"/>
      <c r="F167" s="73"/>
      <c r="G167" s="74"/>
      <c r="H167" s="78"/>
      <c r="I167" s="79"/>
      <c r="J167" s="79"/>
      <c r="K167" s="79"/>
      <c r="L167" s="80"/>
      <c r="M167" s="81"/>
      <c r="N167" s="81"/>
      <c r="O167" s="81"/>
    </row>
    <row r="168" spans="1:15" ht="15" customHeight="1" x14ac:dyDescent="0.2">
      <c r="A168" s="61"/>
      <c r="B168" s="122"/>
      <c r="C168" s="73"/>
      <c r="D168" s="62"/>
      <c r="E168" s="122"/>
      <c r="F168" s="73"/>
      <c r="G168" s="74"/>
      <c r="H168" s="78"/>
      <c r="I168" s="79"/>
      <c r="J168" s="79"/>
      <c r="K168" s="79"/>
      <c r="L168" s="80"/>
      <c r="M168" s="81"/>
      <c r="N168" s="81"/>
      <c r="O168" s="81"/>
    </row>
    <row r="169" spans="1:15" ht="15" customHeight="1" x14ac:dyDescent="0.2">
      <c r="A169" s="61"/>
      <c r="B169" s="122"/>
      <c r="C169" s="73"/>
      <c r="D169" s="62"/>
      <c r="E169" s="122"/>
      <c r="F169" s="73"/>
      <c r="G169" s="74"/>
      <c r="H169" s="78"/>
      <c r="I169" s="79"/>
      <c r="J169" s="79"/>
      <c r="K169" s="79"/>
      <c r="L169" s="80"/>
      <c r="M169" s="81"/>
      <c r="N169" s="81"/>
      <c r="O169" s="81"/>
    </row>
    <row r="170" spans="1:15" ht="15" customHeight="1" x14ac:dyDescent="0.2">
      <c r="A170" s="61"/>
      <c r="B170" s="122"/>
      <c r="C170" s="73"/>
      <c r="D170" s="62"/>
      <c r="E170" s="122"/>
      <c r="F170" s="73"/>
      <c r="G170" s="74"/>
      <c r="H170" s="78"/>
      <c r="I170" s="79"/>
      <c r="J170" s="79"/>
      <c r="K170" s="79"/>
      <c r="L170" s="80"/>
      <c r="M170" s="81"/>
      <c r="N170" s="81"/>
      <c r="O170" s="81"/>
    </row>
    <row r="171" spans="1:15" ht="15" customHeight="1" x14ac:dyDescent="0.2">
      <c r="A171" s="61"/>
      <c r="B171" s="122"/>
      <c r="C171" s="73"/>
      <c r="D171" s="62"/>
      <c r="E171" s="122"/>
      <c r="F171" s="73"/>
      <c r="G171" s="74"/>
      <c r="H171" s="78"/>
      <c r="I171" s="79"/>
      <c r="J171" s="79"/>
      <c r="K171" s="79"/>
      <c r="L171" s="80"/>
      <c r="M171" s="81"/>
      <c r="N171" s="81"/>
      <c r="O171" s="81"/>
    </row>
    <row r="172" spans="1:15" ht="15" customHeight="1" x14ac:dyDescent="0.2">
      <c r="A172" s="61"/>
      <c r="B172" s="122"/>
      <c r="C172" s="73"/>
      <c r="D172" s="62"/>
      <c r="E172" s="122"/>
      <c r="F172" s="73"/>
      <c r="G172" s="74"/>
      <c r="H172" s="78"/>
      <c r="I172" s="79"/>
      <c r="J172" s="79"/>
      <c r="K172" s="79"/>
      <c r="L172" s="80"/>
      <c r="M172" s="81"/>
      <c r="N172" s="81"/>
      <c r="O172" s="81"/>
    </row>
    <row r="173" spans="1:15" ht="15" customHeight="1" x14ac:dyDescent="0.2">
      <c r="A173" s="61"/>
      <c r="B173" s="122"/>
      <c r="C173" s="73"/>
      <c r="D173" s="62"/>
      <c r="E173" s="122"/>
      <c r="F173" s="73"/>
      <c r="G173" s="74"/>
      <c r="H173" s="78"/>
      <c r="I173" s="79"/>
      <c r="J173" s="79"/>
      <c r="K173" s="79"/>
      <c r="L173" s="80"/>
      <c r="M173" s="81"/>
      <c r="N173" s="81"/>
      <c r="O173" s="81"/>
    </row>
    <row r="174" spans="1:15" ht="15" customHeight="1" x14ac:dyDescent="0.2">
      <c r="A174" s="61"/>
      <c r="B174" s="122"/>
      <c r="C174" s="73"/>
      <c r="D174" s="62"/>
      <c r="E174" s="122"/>
      <c r="F174" s="73"/>
      <c r="G174" s="74"/>
      <c r="H174" s="78"/>
      <c r="I174" s="79"/>
      <c r="J174" s="79"/>
      <c r="K174" s="79"/>
      <c r="L174" s="80"/>
      <c r="M174" s="81"/>
      <c r="N174" s="81"/>
      <c r="O174" s="81"/>
    </row>
    <row r="175" spans="1:15" ht="15" customHeight="1" x14ac:dyDescent="0.2">
      <c r="A175" s="61"/>
      <c r="B175" s="122"/>
      <c r="C175" s="73"/>
      <c r="D175" s="62"/>
      <c r="E175" s="122"/>
      <c r="F175" s="73"/>
      <c r="G175" s="74"/>
      <c r="H175" s="78"/>
      <c r="I175" s="79"/>
      <c r="J175" s="79"/>
      <c r="K175" s="79"/>
      <c r="L175" s="80"/>
      <c r="M175" s="81"/>
      <c r="N175" s="81"/>
      <c r="O175" s="81"/>
    </row>
    <row r="176" spans="1:15" ht="15" customHeight="1" x14ac:dyDescent="0.2">
      <c r="A176" s="61"/>
      <c r="B176" s="122"/>
      <c r="C176" s="73"/>
      <c r="D176" s="62"/>
      <c r="E176" s="122"/>
      <c r="F176" s="73"/>
      <c r="G176" s="74"/>
      <c r="H176" s="78"/>
      <c r="I176" s="79"/>
      <c r="J176" s="79"/>
      <c r="K176" s="79"/>
      <c r="L176" s="80"/>
      <c r="M176" s="81"/>
      <c r="N176" s="81"/>
      <c r="O176" s="81"/>
    </row>
    <row r="177" spans="1:15" ht="15" customHeight="1" x14ac:dyDescent="0.2">
      <c r="A177" s="61"/>
      <c r="B177" s="122"/>
      <c r="C177" s="73"/>
      <c r="D177" s="62"/>
      <c r="E177" s="122"/>
      <c r="F177" s="73"/>
      <c r="G177" s="74"/>
      <c r="H177" s="78"/>
      <c r="I177" s="79"/>
      <c r="J177" s="79"/>
      <c r="K177" s="79"/>
      <c r="L177" s="80"/>
      <c r="M177" s="81"/>
      <c r="N177" s="81"/>
      <c r="O177" s="81"/>
    </row>
    <row r="178" spans="1:15" ht="15" customHeight="1" x14ac:dyDescent="0.2">
      <c r="A178" s="61"/>
      <c r="B178" s="122"/>
      <c r="C178" s="73"/>
      <c r="D178" s="62"/>
      <c r="E178" s="122"/>
      <c r="F178" s="73"/>
      <c r="G178" s="74"/>
      <c r="H178" s="78"/>
      <c r="I178" s="79"/>
      <c r="J178" s="79"/>
      <c r="K178" s="79"/>
      <c r="L178" s="80"/>
      <c r="M178" s="81"/>
      <c r="N178" s="81"/>
      <c r="O178" s="81"/>
    </row>
    <row r="179" spans="1:15" ht="15" customHeight="1" x14ac:dyDescent="0.2">
      <c r="A179" s="61"/>
      <c r="B179" s="122"/>
      <c r="C179" s="73"/>
      <c r="D179" s="62"/>
      <c r="E179" s="122"/>
      <c r="F179" s="73"/>
      <c r="G179" s="74"/>
      <c r="H179" s="78"/>
      <c r="I179" s="79"/>
      <c r="J179" s="79"/>
      <c r="K179" s="79"/>
      <c r="L179" s="80"/>
      <c r="M179" s="81"/>
      <c r="N179" s="81"/>
      <c r="O179" s="81"/>
    </row>
    <row r="180" spans="1:15" ht="15" customHeight="1" x14ac:dyDescent="0.2">
      <c r="A180" s="61"/>
      <c r="B180" s="122"/>
      <c r="C180" s="73"/>
      <c r="D180" s="62"/>
      <c r="E180" s="122"/>
      <c r="F180" s="73"/>
      <c r="G180" s="74"/>
      <c r="H180" s="78"/>
      <c r="I180" s="79"/>
      <c r="J180" s="79"/>
      <c r="K180" s="79"/>
      <c r="L180" s="80"/>
      <c r="M180" s="81"/>
      <c r="N180" s="81"/>
      <c r="O180" s="81"/>
    </row>
    <row r="181" spans="1:15" ht="15" customHeight="1" x14ac:dyDescent="0.2">
      <c r="A181" s="61"/>
      <c r="B181" s="122"/>
      <c r="C181" s="73"/>
      <c r="D181" s="62"/>
      <c r="E181" s="122"/>
      <c r="F181" s="73"/>
      <c r="G181" s="74"/>
      <c r="H181" s="78"/>
      <c r="I181" s="79"/>
      <c r="J181" s="79"/>
      <c r="K181" s="79"/>
      <c r="L181" s="80"/>
      <c r="M181" s="81"/>
      <c r="N181" s="81"/>
      <c r="O181" s="81"/>
    </row>
    <row r="182" spans="1:15" ht="15" customHeight="1" x14ac:dyDescent="0.2">
      <c r="A182" s="61"/>
      <c r="B182" s="122"/>
      <c r="C182" s="73"/>
      <c r="D182" s="62"/>
      <c r="E182" s="122"/>
      <c r="F182" s="73"/>
      <c r="G182" s="74"/>
      <c r="H182" s="78"/>
      <c r="I182" s="79"/>
      <c r="J182" s="79"/>
      <c r="K182" s="79"/>
      <c r="L182" s="80"/>
      <c r="M182" s="81"/>
      <c r="N182" s="81"/>
      <c r="O182" s="81"/>
    </row>
    <row r="183" spans="1:15" ht="15" customHeight="1" x14ac:dyDescent="0.2">
      <c r="A183" s="61"/>
      <c r="B183" s="122"/>
      <c r="C183" s="73"/>
      <c r="D183" s="62"/>
      <c r="E183" s="122"/>
      <c r="F183" s="73"/>
      <c r="G183" s="74"/>
      <c r="H183" s="78"/>
      <c r="I183" s="79"/>
      <c r="J183" s="79"/>
      <c r="K183" s="79"/>
      <c r="L183" s="80"/>
      <c r="M183" s="81"/>
      <c r="N183" s="81"/>
      <c r="O183" s="81"/>
    </row>
    <row r="184" spans="1:15" ht="15" customHeight="1" x14ac:dyDescent="0.2">
      <c r="A184" s="61"/>
      <c r="B184" s="122"/>
      <c r="C184" s="73"/>
      <c r="D184" s="62"/>
      <c r="E184" s="122"/>
      <c r="F184" s="73"/>
      <c r="G184" s="74"/>
      <c r="H184" s="78"/>
      <c r="I184" s="79"/>
      <c r="J184" s="79"/>
      <c r="K184" s="79"/>
      <c r="L184" s="80"/>
      <c r="M184" s="81"/>
      <c r="N184" s="81"/>
      <c r="O184" s="81"/>
    </row>
    <row r="185" spans="1:15" ht="15" customHeight="1" x14ac:dyDescent="0.2">
      <c r="A185" s="61"/>
      <c r="B185" s="122"/>
      <c r="C185" s="73"/>
      <c r="D185" s="62"/>
      <c r="E185" s="122"/>
      <c r="F185" s="73"/>
      <c r="G185" s="74"/>
      <c r="H185" s="78"/>
      <c r="I185" s="79"/>
      <c r="J185" s="79"/>
      <c r="K185" s="79"/>
      <c r="L185" s="80"/>
      <c r="M185" s="81"/>
      <c r="N185" s="81"/>
      <c r="O185" s="81"/>
    </row>
    <row r="186" spans="1:15" ht="15" customHeight="1" x14ac:dyDescent="0.2">
      <c r="A186" s="61"/>
      <c r="B186" s="122"/>
      <c r="C186" s="73"/>
      <c r="D186" s="62"/>
      <c r="E186" s="122"/>
      <c r="F186" s="73"/>
      <c r="G186" s="74"/>
      <c r="H186" s="78"/>
      <c r="I186" s="79"/>
      <c r="J186" s="79"/>
      <c r="K186" s="79"/>
      <c r="L186" s="80"/>
      <c r="M186" s="81"/>
      <c r="N186" s="81"/>
      <c r="O186" s="81"/>
    </row>
    <row r="187" spans="1:15" ht="15" customHeight="1" x14ac:dyDescent="0.2">
      <c r="A187" s="61"/>
      <c r="B187" s="122"/>
      <c r="C187" s="73"/>
      <c r="D187" s="62"/>
      <c r="E187" s="122"/>
      <c r="F187" s="73"/>
      <c r="G187" s="74"/>
      <c r="H187" s="78"/>
      <c r="I187" s="79"/>
      <c r="J187" s="79"/>
      <c r="K187" s="79"/>
      <c r="L187" s="80"/>
      <c r="M187" s="81"/>
      <c r="N187" s="81"/>
      <c r="O187" s="81"/>
    </row>
    <row r="188" spans="1:15" ht="15" customHeight="1" x14ac:dyDescent="0.2">
      <c r="A188" s="61"/>
      <c r="B188" s="122"/>
      <c r="C188" s="73"/>
      <c r="D188" s="62"/>
      <c r="E188" s="122"/>
      <c r="F188" s="73"/>
      <c r="G188" s="74"/>
      <c r="H188" s="78"/>
      <c r="I188" s="79"/>
      <c r="J188" s="79"/>
      <c r="K188" s="79"/>
      <c r="L188" s="80"/>
      <c r="M188" s="81"/>
      <c r="N188" s="81"/>
      <c r="O188" s="81"/>
    </row>
    <row r="189" spans="1:15" ht="15" customHeight="1" x14ac:dyDescent="0.2">
      <c r="A189" s="61"/>
      <c r="B189" s="122"/>
      <c r="C189" s="73"/>
      <c r="D189" s="62"/>
      <c r="E189" s="122"/>
      <c r="F189" s="73"/>
      <c r="G189" s="74"/>
      <c r="H189" s="78"/>
      <c r="I189" s="79"/>
      <c r="J189" s="79"/>
      <c r="K189" s="79"/>
      <c r="L189" s="80"/>
      <c r="M189" s="81"/>
      <c r="N189" s="81"/>
      <c r="O189" s="81"/>
    </row>
    <row r="190" spans="1:15" ht="15" customHeight="1" x14ac:dyDescent="0.2">
      <c r="A190" s="61"/>
      <c r="B190" s="122"/>
      <c r="C190" s="73"/>
      <c r="D190" s="62"/>
      <c r="E190" s="122"/>
      <c r="F190" s="73"/>
      <c r="G190" s="74"/>
      <c r="H190" s="78"/>
      <c r="I190" s="79"/>
      <c r="J190" s="79"/>
      <c r="K190" s="79"/>
      <c r="L190" s="80"/>
      <c r="M190" s="81"/>
      <c r="N190" s="81"/>
      <c r="O190" s="81"/>
    </row>
    <row r="191" spans="1:15" ht="15" customHeight="1" x14ac:dyDescent="0.2">
      <c r="A191" s="61"/>
      <c r="B191" s="122"/>
      <c r="C191" s="73"/>
      <c r="D191" s="62"/>
      <c r="E191" s="122"/>
      <c r="F191" s="73"/>
      <c r="G191" s="74"/>
      <c r="H191" s="78"/>
      <c r="I191" s="79"/>
      <c r="J191" s="79"/>
      <c r="K191" s="79"/>
      <c r="L191" s="80"/>
      <c r="M191" s="81"/>
      <c r="N191" s="81"/>
      <c r="O191" s="81"/>
    </row>
    <row r="192" spans="1:15" ht="15" customHeight="1" x14ac:dyDescent="0.2">
      <c r="A192" s="61"/>
      <c r="B192" s="122"/>
      <c r="C192" s="73"/>
      <c r="D192" s="62"/>
      <c r="E192" s="122"/>
      <c r="F192" s="73"/>
      <c r="G192" s="74"/>
      <c r="H192" s="78"/>
      <c r="I192" s="79"/>
      <c r="J192" s="79"/>
      <c r="K192" s="79"/>
      <c r="L192" s="80"/>
      <c r="M192" s="81"/>
      <c r="N192" s="81"/>
      <c r="O192" s="81"/>
    </row>
    <row r="193" spans="1:15" ht="15" customHeight="1" x14ac:dyDescent="0.2">
      <c r="A193" s="61"/>
      <c r="B193" s="122"/>
      <c r="C193" s="73"/>
      <c r="D193" s="62"/>
      <c r="E193" s="122"/>
      <c r="F193" s="73"/>
      <c r="G193" s="74"/>
      <c r="H193" s="78"/>
      <c r="I193" s="79"/>
      <c r="J193" s="79"/>
      <c r="K193" s="79"/>
      <c r="L193" s="80"/>
      <c r="M193" s="81"/>
      <c r="N193" s="81"/>
      <c r="O193" s="81"/>
    </row>
    <row r="194" spans="1:15" ht="15" customHeight="1" x14ac:dyDescent="0.2">
      <c r="A194" s="61"/>
      <c r="B194" s="122"/>
      <c r="C194" s="73"/>
      <c r="D194" s="62"/>
      <c r="E194" s="122"/>
      <c r="F194" s="73"/>
      <c r="G194" s="74"/>
      <c r="H194" s="78"/>
      <c r="I194" s="79"/>
      <c r="J194" s="79"/>
      <c r="K194" s="79"/>
      <c r="L194" s="80"/>
      <c r="M194" s="81"/>
      <c r="N194" s="81"/>
      <c r="O194" s="81"/>
    </row>
    <row r="195" spans="1:15" ht="15" customHeight="1" x14ac:dyDescent="0.2">
      <c r="A195" s="61"/>
      <c r="B195" s="122"/>
      <c r="C195" s="73"/>
      <c r="D195" s="62"/>
      <c r="E195" s="122"/>
      <c r="F195" s="73"/>
      <c r="G195" s="74"/>
      <c r="H195" s="78"/>
      <c r="I195" s="79"/>
      <c r="J195" s="79"/>
      <c r="K195" s="79"/>
      <c r="L195" s="80"/>
      <c r="M195" s="81"/>
      <c r="N195" s="81"/>
      <c r="O195" s="81"/>
    </row>
    <row r="196" spans="1:15" ht="15" customHeight="1" x14ac:dyDescent="0.2">
      <c r="A196" s="61"/>
      <c r="B196" s="122"/>
      <c r="C196" s="73"/>
      <c r="D196" s="62"/>
      <c r="E196" s="122"/>
      <c r="F196" s="73"/>
      <c r="G196" s="74"/>
      <c r="H196" s="78"/>
      <c r="I196" s="79"/>
      <c r="J196" s="79"/>
      <c r="K196" s="79"/>
      <c r="L196" s="80"/>
      <c r="M196" s="81"/>
      <c r="N196" s="81"/>
      <c r="O196" s="81"/>
    </row>
    <row r="197" spans="1:15" ht="15" customHeight="1" x14ac:dyDescent="0.2">
      <c r="A197" s="61"/>
      <c r="B197" s="122"/>
      <c r="C197" s="73"/>
      <c r="D197" s="62"/>
      <c r="E197" s="122"/>
      <c r="F197" s="73"/>
      <c r="G197" s="74"/>
      <c r="H197" s="78"/>
      <c r="I197" s="79"/>
      <c r="J197" s="79"/>
      <c r="K197" s="79"/>
      <c r="L197" s="80"/>
      <c r="M197" s="81"/>
      <c r="N197" s="81"/>
      <c r="O197" s="81"/>
    </row>
    <row r="198" spans="1:15" ht="15" customHeight="1" x14ac:dyDescent="0.2">
      <c r="A198" s="61"/>
      <c r="B198" s="122"/>
      <c r="C198" s="73"/>
      <c r="D198" s="62"/>
      <c r="E198" s="122"/>
      <c r="F198" s="73"/>
      <c r="G198" s="74"/>
      <c r="H198" s="78"/>
      <c r="I198" s="79"/>
      <c r="J198" s="79"/>
      <c r="K198" s="79"/>
      <c r="L198" s="80"/>
      <c r="M198" s="81"/>
      <c r="N198" s="81"/>
      <c r="O198" s="81"/>
    </row>
    <row r="199" spans="1:15" ht="15" customHeight="1" x14ac:dyDescent="0.2">
      <c r="A199" s="61"/>
      <c r="B199" s="122"/>
      <c r="C199" s="73"/>
      <c r="D199" s="62"/>
      <c r="E199" s="122"/>
      <c r="F199" s="73"/>
      <c r="G199" s="74"/>
      <c r="H199" s="78"/>
      <c r="I199" s="79"/>
      <c r="J199" s="79"/>
      <c r="K199" s="79"/>
      <c r="L199" s="80"/>
      <c r="M199" s="81"/>
      <c r="N199" s="81"/>
      <c r="O199" s="81"/>
    </row>
    <row r="200" spans="1:15" ht="15" customHeight="1" x14ac:dyDescent="0.2">
      <c r="A200" s="61"/>
      <c r="B200" s="122"/>
      <c r="C200" s="73"/>
      <c r="D200" s="62"/>
      <c r="E200" s="122"/>
      <c r="F200" s="73"/>
      <c r="G200" s="74"/>
      <c r="H200" s="78"/>
      <c r="I200" s="79"/>
      <c r="J200" s="79"/>
      <c r="K200" s="79"/>
      <c r="L200" s="80"/>
      <c r="M200" s="81"/>
      <c r="N200" s="81"/>
      <c r="O200" s="81"/>
    </row>
    <row r="201" spans="1:15" ht="15" customHeight="1" x14ac:dyDescent="0.2">
      <c r="A201" s="61"/>
      <c r="B201" s="122"/>
      <c r="C201" s="73"/>
      <c r="D201" s="62"/>
      <c r="E201" s="122"/>
      <c r="F201" s="73"/>
      <c r="G201" s="74"/>
      <c r="H201" s="78"/>
      <c r="I201" s="79"/>
      <c r="J201" s="79"/>
      <c r="K201" s="79"/>
      <c r="L201" s="80"/>
      <c r="M201" s="81"/>
      <c r="N201" s="81"/>
      <c r="O201" s="81"/>
    </row>
    <row r="202" spans="1:15" ht="15" customHeight="1" x14ac:dyDescent="0.2">
      <c r="A202" s="61"/>
      <c r="B202" s="122"/>
      <c r="C202" s="73"/>
      <c r="D202" s="62"/>
      <c r="E202" s="122"/>
      <c r="F202" s="73"/>
      <c r="G202" s="74"/>
      <c r="H202" s="78"/>
      <c r="I202" s="79"/>
      <c r="J202" s="79"/>
      <c r="K202" s="79"/>
      <c r="L202" s="80"/>
      <c r="M202" s="81"/>
      <c r="N202" s="81"/>
      <c r="O202" s="81"/>
    </row>
    <row r="203" spans="1:15" ht="15" customHeight="1" x14ac:dyDescent="0.2">
      <c r="A203" s="61"/>
      <c r="B203" s="122"/>
      <c r="C203" s="73"/>
      <c r="D203" s="62"/>
      <c r="E203" s="122"/>
      <c r="F203" s="73"/>
      <c r="G203" s="74"/>
      <c r="H203" s="78"/>
      <c r="I203" s="79"/>
      <c r="J203" s="79"/>
      <c r="K203" s="79"/>
      <c r="L203" s="80"/>
      <c r="M203" s="81"/>
      <c r="N203" s="81"/>
      <c r="O203" s="81"/>
    </row>
    <row r="204" spans="1:15" ht="15" customHeight="1" x14ac:dyDescent="0.2">
      <c r="A204" s="61"/>
      <c r="B204" s="122"/>
      <c r="C204" s="73"/>
      <c r="D204" s="62"/>
      <c r="E204" s="122"/>
      <c r="F204" s="73"/>
      <c r="G204" s="74"/>
      <c r="H204" s="78"/>
      <c r="I204" s="79"/>
      <c r="J204" s="79"/>
      <c r="K204" s="79"/>
      <c r="L204" s="80"/>
      <c r="M204" s="81"/>
      <c r="N204" s="81"/>
      <c r="O204" s="81"/>
    </row>
    <row r="205" spans="1:15" ht="15" customHeight="1" x14ac:dyDescent="0.2">
      <c r="A205" s="61"/>
      <c r="B205" s="122"/>
      <c r="C205" s="73"/>
      <c r="D205" s="62"/>
      <c r="E205" s="122"/>
      <c r="F205" s="73"/>
      <c r="G205" s="74"/>
      <c r="H205" s="78"/>
      <c r="I205" s="79"/>
      <c r="J205" s="79"/>
      <c r="K205" s="79"/>
      <c r="L205" s="80"/>
      <c r="M205" s="81"/>
      <c r="N205" s="81"/>
      <c r="O205" s="81"/>
    </row>
    <row r="206" spans="1:15" ht="15" customHeight="1" x14ac:dyDescent="0.2">
      <c r="A206" s="61"/>
      <c r="B206" s="122"/>
      <c r="C206" s="73"/>
      <c r="D206" s="62"/>
      <c r="E206" s="122"/>
      <c r="F206" s="73"/>
      <c r="G206" s="74"/>
      <c r="H206" s="78"/>
      <c r="I206" s="79"/>
      <c r="J206" s="79"/>
      <c r="K206" s="79"/>
      <c r="L206" s="80"/>
      <c r="M206" s="81"/>
      <c r="N206" s="81"/>
      <c r="O206" s="81"/>
    </row>
    <row r="207" spans="1:15" ht="15" customHeight="1" x14ac:dyDescent="0.2">
      <c r="A207" s="61"/>
      <c r="B207" s="122"/>
      <c r="C207" s="73"/>
      <c r="D207" s="62"/>
      <c r="E207" s="122"/>
      <c r="F207" s="73"/>
      <c r="G207" s="74"/>
      <c r="H207" s="78"/>
      <c r="I207" s="79"/>
      <c r="J207" s="79"/>
      <c r="K207" s="79"/>
      <c r="L207" s="80"/>
      <c r="M207" s="81"/>
      <c r="N207" s="81"/>
      <c r="O207" s="81"/>
    </row>
    <row r="208" spans="1:15" ht="15" customHeight="1" x14ac:dyDescent="0.2">
      <c r="A208" s="61"/>
      <c r="B208" s="122"/>
      <c r="C208" s="73"/>
      <c r="D208" s="62"/>
      <c r="E208" s="122"/>
      <c r="F208" s="73"/>
      <c r="G208" s="74"/>
      <c r="H208" s="78"/>
      <c r="I208" s="79"/>
      <c r="J208" s="79"/>
      <c r="K208" s="79"/>
      <c r="L208" s="80"/>
      <c r="M208" s="81"/>
      <c r="N208" s="81"/>
      <c r="O208" s="81"/>
    </row>
    <row r="209" spans="1:15" ht="15" customHeight="1" x14ac:dyDescent="0.2">
      <c r="A209" s="61"/>
      <c r="B209" s="122"/>
      <c r="C209" s="73"/>
      <c r="D209" s="62"/>
      <c r="E209" s="122"/>
      <c r="F209" s="73"/>
      <c r="G209" s="74"/>
      <c r="H209" s="78"/>
      <c r="I209" s="79"/>
      <c r="J209" s="79"/>
      <c r="K209" s="79"/>
      <c r="L209" s="80"/>
      <c r="M209" s="81"/>
      <c r="N209" s="81"/>
      <c r="O209" s="81"/>
    </row>
    <row r="210" spans="1:15" ht="15" customHeight="1" x14ac:dyDescent="0.2">
      <c r="A210" s="61"/>
      <c r="B210" s="122"/>
      <c r="C210" s="73"/>
      <c r="D210" s="62"/>
      <c r="E210" s="122"/>
      <c r="F210" s="73"/>
      <c r="G210" s="74"/>
      <c r="H210" s="78"/>
      <c r="I210" s="79"/>
      <c r="J210" s="79"/>
      <c r="K210" s="79"/>
      <c r="L210" s="80"/>
      <c r="M210" s="81"/>
      <c r="N210" s="81"/>
      <c r="O210" s="81"/>
    </row>
    <row r="211" spans="1:15" ht="15" customHeight="1" x14ac:dyDescent="0.2">
      <c r="A211" s="61"/>
      <c r="B211" s="122"/>
      <c r="C211" s="73"/>
      <c r="D211" s="62"/>
      <c r="E211" s="122"/>
      <c r="F211" s="73"/>
      <c r="G211" s="74"/>
      <c r="H211" s="78"/>
      <c r="I211" s="79"/>
      <c r="J211" s="79"/>
      <c r="K211" s="79"/>
      <c r="L211" s="80"/>
      <c r="M211" s="81"/>
      <c r="N211" s="81"/>
      <c r="O211" s="81"/>
    </row>
    <row r="212" spans="1:15" ht="15" customHeight="1" x14ac:dyDescent="0.2">
      <c r="A212" s="61"/>
      <c r="B212" s="122"/>
      <c r="C212" s="73"/>
      <c r="D212" s="62"/>
      <c r="E212" s="122"/>
      <c r="F212" s="73"/>
      <c r="G212" s="74"/>
      <c r="H212" s="78"/>
      <c r="I212" s="79"/>
      <c r="J212" s="79"/>
      <c r="K212" s="79"/>
      <c r="L212" s="80"/>
      <c r="M212" s="81"/>
      <c r="N212" s="81"/>
      <c r="O212" s="81"/>
    </row>
    <row r="213" spans="1:15" ht="15" customHeight="1" x14ac:dyDescent="0.2">
      <c r="A213" s="61"/>
      <c r="B213" s="122"/>
      <c r="C213" s="73"/>
      <c r="D213" s="62"/>
      <c r="E213" s="122"/>
      <c r="F213" s="73"/>
      <c r="G213" s="74"/>
      <c r="H213" s="78"/>
      <c r="I213" s="79"/>
      <c r="J213" s="79"/>
      <c r="K213" s="79"/>
      <c r="L213" s="80"/>
      <c r="M213" s="81"/>
      <c r="N213" s="81"/>
      <c r="O213" s="81"/>
    </row>
    <row r="214" spans="1:15" ht="15" customHeight="1" x14ac:dyDescent="0.2">
      <c r="A214" s="61"/>
      <c r="B214" s="122"/>
      <c r="C214" s="73"/>
      <c r="D214" s="62"/>
      <c r="E214" s="122"/>
      <c r="F214" s="73"/>
      <c r="G214" s="74"/>
      <c r="H214" s="78"/>
      <c r="I214" s="79"/>
      <c r="J214" s="79"/>
      <c r="K214" s="79"/>
      <c r="L214" s="80"/>
      <c r="M214" s="81"/>
      <c r="N214" s="81"/>
      <c r="O214" s="81"/>
    </row>
    <row r="215" spans="1:15" ht="15" customHeight="1" x14ac:dyDescent="0.2">
      <c r="A215" s="61"/>
      <c r="B215" s="122"/>
      <c r="C215" s="73"/>
      <c r="D215" s="62"/>
      <c r="E215" s="122"/>
      <c r="F215" s="73"/>
      <c r="G215" s="74"/>
      <c r="H215" s="78"/>
      <c r="I215" s="79"/>
      <c r="J215" s="79"/>
      <c r="K215" s="79"/>
      <c r="L215" s="80"/>
      <c r="M215" s="81"/>
      <c r="N215" s="81"/>
      <c r="O215" s="81"/>
    </row>
    <row r="216" spans="1:15" ht="15" customHeight="1" x14ac:dyDescent="0.2">
      <c r="A216" s="61"/>
      <c r="B216" s="122"/>
      <c r="C216" s="73"/>
      <c r="D216" s="62"/>
      <c r="E216" s="122"/>
      <c r="F216" s="73"/>
      <c r="G216" s="74"/>
      <c r="H216" s="78"/>
      <c r="I216" s="79"/>
      <c r="J216" s="79"/>
      <c r="K216" s="79"/>
      <c r="L216" s="80"/>
      <c r="M216" s="81"/>
      <c r="N216" s="81"/>
      <c r="O216" s="81"/>
    </row>
    <row r="217" spans="1:15" ht="15" customHeight="1" x14ac:dyDescent="0.2">
      <c r="A217" s="61"/>
      <c r="B217" s="122"/>
      <c r="C217" s="73"/>
      <c r="D217" s="62"/>
      <c r="E217" s="122"/>
      <c r="F217" s="73"/>
      <c r="G217" s="74"/>
      <c r="H217" s="78"/>
      <c r="I217" s="79"/>
      <c r="J217" s="79"/>
      <c r="K217" s="79"/>
      <c r="L217" s="80"/>
      <c r="M217" s="81"/>
      <c r="N217" s="81"/>
      <c r="O217" s="81"/>
    </row>
    <row r="218" spans="1:15" ht="15" customHeight="1" x14ac:dyDescent="0.2">
      <c r="A218" s="61"/>
      <c r="B218" s="122"/>
      <c r="C218" s="73"/>
      <c r="D218" s="62"/>
      <c r="E218" s="122"/>
      <c r="F218" s="73"/>
      <c r="G218" s="74"/>
      <c r="H218" s="78"/>
      <c r="I218" s="79"/>
      <c r="J218" s="79"/>
      <c r="K218" s="79"/>
      <c r="L218" s="80"/>
      <c r="M218" s="81"/>
      <c r="N218" s="81"/>
      <c r="O218" s="81"/>
    </row>
    <row r="219" spans="1:15" ht="15" customHeight="1" x14ac:dyDescent="0.2">
      <c r="A219" s="61"/>
      <c r="B219" s="122"/>
      <c r="C219" s="73"/>
      <c r="D219" s="62"/>
      <c r="E219" s="122"/>
      <c r="F219" s="73"/>
      <c r="G219" s="74"/>
      <c r="H219" s="78"/>
      <c r="I219" s="79"/>
      <c r="J219" s="79"/>
      <c r="K219" s="79"/>
      <c r="L219" s="80"/>
      <c r="M219" s="81"/>
      <c r="N219" s="81"/>
      <c r="O219" s="81"/>
    </row>
    <row r="220" spans="1:15" ht="15" customHeight="1" x14ac:dyDescent="0.2">
      <c r="A220" s="61"/>
      <c r="B220" s="122"/>
      <c r="C220" s="73"/>
      <c r="D220" s="62"/>
      <c r="E220" s="122"/>
      <c r="F220" s="73"/>
      <c r="G220" s="74"/>
      <c r="H220" s="78"/>
      <c r="I220" s="79"/>
      <c r="J220" s="79"/>
      <c r="K220" s="79"/>
      <c r="L220" s="80"/>
      <c r="M220" s="81"/>
      <c r="N220" s="81"/>
      <c r="O220" s="81"/>
    </row>
    <row r="221" spans="1:15" ht="15" customHeight="1" x14ac:dyDescent="0.2">
      <c r="A221" s="61"/>
      <c r="B221" s="122"/>
      <c r="C221" s="73"/>
      <c r="D221" s="62"/>
      <c r="E221" s="122"/>
      <c r="F221" s="73"/>
      <c r="G221" s="74"/>
      <c r="H221" s="78"/>
      <c r="I221" s="79"/>
      <c r="J221" s="79"/>
      <c r="K221" s="79"/>
      <c r="L221" s="80"/>
      <c r="M221" s="81"/>
      <c r="N221" s="81"/>
      <c r="O221" s="81"/>
    </row>
    <row r="222" spans="1:15" ht="15" customHeight="1" x14ac:dyDescent="0.2">
      <c r="A222" s="61"/>
      <c r="B222" s="122"/>
      <c r="C222" s="73"/>
      <c r="D222" s="62"/>
      <c r="E222" s="122"/>
      <c r="F222" s="73"/>
      <c r="G222" s="74"/>
      <c r="H222" s="78"/>
      <c r="I222" s="79"/>
      <c r="J222" s="79"/>
      <c r="K222" s="79"/>
      <c r="L222" s="80"/>
      <c r="M222" s="81"/>
      <c r="N222" s="81"/>
      <c r="O222" s="81"/>
    </row>
    <row r="223" spans="1:15" ht="15" customHeight="1" x14ac:dyDescent="0.2">
      <c r="A223" s="61"/>
      <c r="B223" s="122"/>
      <c r="C223" s="73"/>
      <c r="D223" s="62"/>
      <c r="E223" s="122"/>
      <c r="F223" s="73"/>
      <c r="G223" s="74"/>
      <c r="H223" s="78"/>
      <c r="I223" s="79"/>
      <c r="J223" s="79"/>
      <c r="K223" s="79"/>
      <c r="L223" s="80"/>
      <c r="M223" s="81"/>
      <c r="N223" s="81"/>
      <c r="O223" s="81"/>
    </row>
    <row r="224" spans="1:15" ht="15" customHeight="1" x14ac:dyDescent="0.2">
      <c r="A224" s="61"/>
      <c r="B224" s="122"/>
      <c r="C224" s="73"/>
      <c r="D224" s="62"/>
      <c r="E224" s="122"/>
      <c r="F224" s="73"/>
      <c r="G224" s="74"/>
      <c r="H224" s="78"/>
      <c r="I224" s="79"/>
      <c r="J224" s="79"/>
      <c r="K224" s="79"/>
      <c r="L224" s="80"/>
      <c r="M224" s="81"/>
      <c r="N224" s="81"/>
      <c r="O224" s="81"/>
    </row>
    <row r="225" spans="1:15" ht="15" customHeight="1" x14ac:dyDescent="0.2">
      <c r="A225" s="61"/>
      <c r="B225" s="122"/>
      <c r="C225" s="73"/>
      <c r="D225" s="62"/>
      <c r="E225" s="122"/>
      <c r="F225" s="73"/>
      <c r="G225" s="74"/>
      <c r="H225" s="78"/>
      <c r="I225" s="79"/>
      <c r="J225" s="79"/>
      <c r="K225" s="79"/>
      <c r="L225" s="80"/>
      <c r="M225" s="81"/>
      <c r="N225" s="81"/>
      <c r="O225" s="81"/>
    </row>
    <row r="226" spans="1:15" ht="15" customHeight="1" x14ac:dyDescent="0.2">
      <c r="A226" s="61"/>
      <c r="B226" s="122"/>
      <c r="C226" s="73"/>
      <c r="D226" s="62"/>
      <c r="E226" s="122"/>
      <c r="F226" s="73"/>
      <c r="G226" s="74"/>
      <c r="H226" s="78"/>
      <c r="I226" s="79"/>
      <c r="J226" s="79"/>
      <c r="K226" s="79"/>
      <c r="L226" s="80"/>
      <c r="M226" s="81"/>
      <c r="N226" s="81"/>
      <c r="O226" s="81"/>
    </row>
    <row r="227" spans="1:15" ht="15" customHeight="1" x14ac:dyDescent="0.2">
      <c r="A227" s="61"/>
      <c r="B227" s="122"/>
      <c r="C227" s="73"/>
      <c r="D227" s="62"/>
      <c r="E227" s="122"/>
      <c r="F227" s="73"/>
      <c r="G227" s="74"/>
      <c r="H227" s="78"/>
      <c r="I227" s="79"/>
      <c r="J227" s="79"/>
      <c r="K227" s="79"/>
      <c r="L227" s="80"/>
      <c r="M227" s="81"/>
      <c r="N227" s="81"/>
      <c r="O227" s="81"/>
    </row>
    <row r="228" spans="1:15" ht="15" customHeight="1" x14ac:dyDescent="0.2">
      <c r="A228" s="61"/>
      <c r="B228" s="122"/>
      <c r="C228" s="73"/>
      <c r="D228" s="62"/>
      <c r="E228" s="122"/>
      <c r="F228" s="73"/>
      <c r="G228" s="74"/>
      <c r="H228" s="78"/>
      <c r="I228" s="79"/>
      <c r="J228" s="79"/>
      <c r="K228" s="79"/>
      <c r="L228" s="80"/>
      <c r="M228" s="81"/>
      <c r="N228" s="81"/>
      <c r="O228" s="81"/>
    </row>
    <row r="229" spans="1:15" ht="15" customHeight="1" x14ac:dyDescent="0.2">
      <c r="A229" s="61"/>
      <c r="B229" s="122"/>
      <c r="C229" s="73"/>
      <c r="D229" s="62"/>
      <c r="E229" s="122"/>
      <c r="F229" s="73"/>
      <c r="G229" s="74"/>
      <c r="H229" s="78"/>
      <c r="I229" s="79"/>
      <c r="J229" s="79"/>
      <c r="K229" s="79"/>
      <c r="L229" s="80"/>
      <c r="M229" s="81"/>
      <c r="N229" s="81"/>
      <c r="O229" s="81"/>
    </row>
    <row r="230" spans="1:15" ht="15" customHeight="1" x14ac:dyDescent="0.2">
      <c r="A230" s="61"/>
      <c r="B230" s="122"/>
      <c r="C230" s="73"/>
      <c r="D230" s="62"/>
      <c r="E230" s="122"/>
      <c r="F230" s="73"/>
      <c r="G230" s="74"/>
      <c r="H230" s="78"/>
      <c r="I230" s="79"/>
      <c r="J230" s="79"/>
      <c r="K230" s="79"/>
      <c r="L230" s="80"/>
      <c r="M230" s="81"/>
      <c r="N230" s="81"/>
      <c r="O230" s="81"/>
    </row>
    <row r="231" spans="1:15" ht="15" customHeight="1" x14ac:dyDescent="0.2">
      <c r="A231" s="61"/>
      <c r="B231" s="122"/>
      <c r="C231" s="73"/>
      <c r="D231" s="62"/>
      <c r="E231" s="122"/>
      <c r="F231" s="73"/>
      <c r="G231" s="74"/>
      <c r="H231" s="78"/>
      <c r="I231" s="79"/>
      <c r="J231" s="79"/>
      <c r="K231" s="79"/>
      <c r="L231" s="80"/>
      <c r="M231" s="81"/>
      <c r="N231" s="81"/>
      <c r="O231" s="81"/>
    </row>
    <row r="232" spans="1:15" ht="15" customHeight="1" x14ac:dyDescent="0.2">
      <c r="A232" s="61"/>
      <c r="B232" s="122"/>
      <c r="C232" s="73"/>
      <c r="D232" s="62"/>
      <c r="E232" s="122"/>
      <c r="F232" s="73"/>
      <c r="G232" s="74"/>
      <c r="H232" s="78"/>
      <c r="I232" s="79"/>
      <c r="J232" s="79"/>
      <c r="K232" s="79"/>
      <c r="L232" s="80"/>
      <c r="M232" s="81"/>
      <c r="N232" s="81"/>
      <c r="O232" s="81"/>
    </row>
    <row r="233" spans="1:15" ht="15" customHeight="1" x14ac:dyDescent="0.2">
      <c r="A233" s="61"/>
      <c r="B233" s="122"/>
      <c r="C233" s="73"/>
      <c r="D233" s="62"/>
      <c r="E233" s="122"/>
      <c r="F233" s="73"/>
      <c r="G233" s="74"/>
      <c r="H233" s="78"/>
      <c r="I233" s="79"/>
      <c r="J233" s="79"/>
      <c r="K233" s="79"/>
      <c r="L233" s="80"/>
      <c r="M233" s="81"/>
      <c r="N233" s="81"/>
      <c r="O233" s="81"/>
    </row>
    <row r="234" spans="1:15" ht="15" customHeight="1" x14ac:dyDescent="0.2">
      <c r="A234" s="61"/>
      <c r="B234" s="122"/>
      <c r="C234" s="73"/>
      <c r="D234" s="62"/>
      <c r="E234" s="122"/>
      <c r="F234" s="73"/>
      <c r="G234" s="74"/>
      <c r="H234" s="78"/>
      <c r="I234" s="79"/>
      <c r="J234" s="79"/>
      <c r="K234" s="79"/>
      <c r="L234" s="80"/>
      <c r="M234" s="81"/>
      <c r="N234" s="81"/>
      <c r="O234" s="81"/>
    </row>
    <row r="235" spans="1:15" ht="15" customHeight="1" x14ac:dyDescent="0.2">
      <c r="A235" s="61"/>
      <c r="B235" s="122"/>
      <c r="C235" s="73"/>
      <c r="D235" s="62"/>
      <c r="E235" s="122"/>
      <c r="F235" s="73"/>
      <c r="G235" s="74"/>
      <c r="H235" s="78"/>
      <c r="I235" s="79"/>
      <c r="J235" s="79"/>
      <c r="K235" s="79"/>
      <c r="L235" s="80"/>
      <c r="M235" s="81"/>
      <c r="N235" s="81"/>
      <c r="O235" s="81"/>
    </row>
    <row r="236" spans="1:15" ht="15" customHeight="1" x14ac:dyDescent="0.2">
      <c r="A236" s="61"/>
      <c r="B236" s="122"/>
      <c r="C236" s="73"/>
      <c r="D236" s="62"/>
      <c r="E236" s="122"/>
      <c r="F236" s="73"/>
      <c r="G236" s="74"/>
      <c r="H236" s="78"/>
      <c r="I236" s="79"/>
      <c r="J236" s="79"/>
      <c r="K236" s="79"/>
      <c r="L236" s="80"/>
      <c r="M236" s="81"/>
      <c r="N236" s="81"/>
      <c r="O236" s="81"/>
    </row>
    <row r="237" spans="1:15" ht="15" customHeight="1" x14ac:dyDescent="0.2">
      <c r="A237" s="61"/>
      <c r="B237" s="122"/>
      <c r="C237" s="73"/>
      <c r="D237" s="62"/>
      <c r="E237" s="122"/>
      <c r="F237" s="73"/>
      <c r="G237" s="74"/>
      <c r="H237" s="78"/>
      <c r="I237" s="79"/>
      <c r="J237" s="79"/>
      <c r="K237" s="79"/>
      <c r="L237" s="80"/>
      <c r="M237" s="81"/>
      <c r="N237" s="81"/>
      <c r="O237" s="81"/>
    </row>
    <row r="238" spans="1:15" ht="15" customHeight="1" x14ac:dyDescent="0.2">
      <c r="A238" s="61"/>
      <c r="B238" s="122"/>
      <c r="C238" s="73"/>
      <c r="D238" s="62"/>
      <c r="E238" s="122"/>
      <c r="F238" s="73"/>
      <c r="G238" s="74"/>
      <c r="H238" s="78"/>
      <c r="I238" s="79"/>
      <c r="J238" s="79"/>
      <c r="K238" s="79"/>
      <c r="L238" s="80"/>
      <c r="M238" s="81"/>
      <c r="N238" s="81"/>
      <c r="O238" s="81"/>
    </row>
    <row r="239" spans="1:15" ht="15" customHeight="1" x14ac:dyDescent="0.2">
      <c r="A239" s="61"/>
      <c r="B239" s="122"/>
      <c r="C239" s="73"/>
      <c r="D239" s="62"/>
      <c r="E239" s="122"/>
      <c r="F239" s="73"/>
      <c r="G239" s="74"/>
      <c r="H239" s="78"/>
      <c r="I239" s="79"/>
      <c r="J239" s="79"/>
      <c r="K239" s="79"/>
      <c r="L239" s="80"/>
      <c r="M239" s="81"/>
      <c r="N239" s="81"/>
      <c r="O239" s="81"/>
    </row>
    <row r="240" spans="1:15" ht="15" customHeight="1" x14ac:dyDescent="0.2">
      <c r="A240" s="61"/>
      <c r="B240" s="122"/>
      <c r="C240" s="73"/>
      <c r="D240" s="62"/>
      <c r="E240" s="122"/>
      <c r="F240" s="73"/>
      <c r="G240" s="74"/>
      <c r="H240" s="78"/>
      <c r="I240" s="79"/>
      <c r="J240" s="79"/>
      <c r="K240" s="79"/>
      <c r="L240" s="80"/>
      <c r="M240" s="81"/>
      <c r="N240" s="81"/>
      <c r="O240" s="81"/>
    </row>
    <row r="241" spans="1:15" ht="15" customHeight="1" x14ac:dyDescent="0.2">
      <c r="A241" s="61"/>
      <c r="B241" s="122"/>
      <c r="C241" s="73"/>
      <c r="D241" s="62"/>
      <c r="E241" s="122"/>
      <c r="F241" s="73"/>
      <c r="G241" s="74"/>
      <c r="H241" s="78"/>
      <c r="I241" s="79"/>
      <c r="J241" s="79"/>
      <c r="K241" s="79"/>
      <c r="L241" s="80"/>
      <c r="M241" s="81"/>
      <c r="N241" s="81"/>
      <c r="O241" s="81"/>
    </row>
    <row r="242" spans="1:15" ht="15" customHeight="1" x14ac:dyDescent="0.2">
      <c r="A242" s="61"/>
      <c r="B242" s="122"/>
      <c r="C242" s="73"/>
      <c r="D242" s="62"/>
      <c r="E242" s="122"/>
      <c r="F242" s="73"/>
      <c r="G242" s="74"/>
      <c r="H242" s="78"/>
      <c r="I242" s="79"/>
      <c r="J242" s="79"/>
      <c r="K242" s="79"/>
      <c r="L242" s="80"/>
      <c r="M242" s="81"/>
      <c r="N242" s="81"/>
      <c r="O242" s="81"/>
    </row>
    <row r="243" spans="1:15" ht="15" customHeight="1" x14ac:dyDescent="0.2">
      <c r="A243" s="61"/>
      <c r="B243" s="122"/>
      <c r="C243" s="73"/>
      <c r="D243" s="62"/>
      <c r="E243" s="122"/>
      <c r="F243" s="73"/>
      <c r="G243" s="74"/>
      <c r="H243" s="78"/>
      <c r="I243" s="79"/>
      <c r="J243" s="79"/>
      <c r="K243" s="79"/>
      <c r="L243" s="80"/>
      <c r="M243" s="81"/>
      <c r="N243" s="81"/>
      <c r="O243" s="81"/>
    </row>
    <row r="244" spans="1:15" ht="15" customHeight="1" x14ac:dyDescent="0.2">
      <c r="A244" s="61"/>
      <c r="B244" s="122"/>
      <c r="C244" s="73"/>
      <c r="D244" s="62"/>
      <c r="E244" s="122"/>
      <c r="F244" s="73"/>
      <c r="G244" s="74"/>
      <c r="H244" s="78"/>
      <c r="I244" s="79"/>
      <c r="J244" s="79"/>
      <c r="K244" s="79"/>
      <c r="L244" s="80"/>
      <c r="M244" s="81"/>
      <c r="N244" s="81"/>
      <c r="O244" s="81"/>
    </row>
    <row r="245" spans="1:15" ht="15" customHeight="1" x14ac:dyDescent="0.2">
      <c r="A245" s="61"/>
      <c r="B245" s="122"/>
      <c r="C245" s="73"/>
      <c r="D245" s="62"/>
      <c r="E245" s="122"/>
      <c r="F245" s="73"/>
      <c r="G245" s="74"/>
      <c r="H245" s="78"/>
      <c r="I245" s="79"/>
      <c r="J245" s="79"/>
      <c r="K245" s="79"/>
      <c r="L245" s="80"/>
      <c r="M245" s="81"/>
      <c r="N245" s="81"/>
      <c r="O245" s="81"/>
    </row>
    <row r="246" spans="1:15" ht="15" customHeight="1" x14ac:dyDescent="0.2">
      <c r="A246" s="61"/>
      <c r="B246" s="122"/>
      <c r="C246" s="73"/>
      <c r="D246" s="62"/>
      <c r="E246" s="122"/>
      <c r="F246" s="73"/>
      <c r="G246" s="74"/>
      <c r="H246" s="78"/>
      <c r="I246" s="79"/>
      <c r="J246" s="79"/>
      <c r="K246" s="79"/>
      <c r="L246" s="80"/>
      <c r="M246" s="81"/>
      <c r="N246" s="81"/>
      <c r="O246" s="81"/>
    </row>
    <row r="247" spans="1:15" ht="15" customHeight="1" x14ac:dyDescent="0.2">
      <c r="A247" s="61"/>
      <c r="B247" s="122"/>
      <c r="C247" s="73"/>
      <c r="D247" s="62"/>
      <c r="E247" s="122"/>
      <c r="F247" s="73"/>
      <c r="G247" s="74"/>
      <c r="H247" s="78"/>
      <c r="I247" s="79"/>
      <c r="J247" s="79"/>
      <c r="K247" s="79"/>
      <c r="L247" s="80"/>
      <c r="M247" s="81"/>
      <c r="N247" s="81"/>
      <c r="O247" s="81"/>
    </row>
    <row r="248" spans="1:15" ht="15" customHeight="1" x14ac:dyDescent="0.2">
      <c r="A248" s="61"/>
      <c r="B248" s="122"/>
      <c r="C248" s="73"/>
      <c r="D248" s="62"/>
      <c r="E248" s="122"/>
      <c r="F248" s="73"/>
      <c r="G248" s="74"/>
      <c r="H248" s="78"/>
      <c r="I248" s="79"/>
      <c r="J248" s="79"/>
      <c r="K248" s="79"/>
      <c r="L248" s="80"/>
      <c r="M248" s="81"/>
      <c r="N248" s="81"/>
      <c r="O248" s="81"/>
    </row>
    <row r="249" spans="1:15" ht="15" customHeight="1" x14ac:dyDescent="0.2">
      <c r="A249" s="61"/>
      <c r="B249" s="122"/>
      <c r="C249" s="73"/>
      <c r="D249" s="62"/>
      <c r="E249" s="122"/>
      <c r="F249" s="73"/>
      <c r="G249" s="74"/>
      <c r="H249" s="78"/>
      <c r="I249" s="79"/>
      <c r="J249" s="79"/>
      <c r="K249" s="79"/>
      <c r="L249" s="80"/>
      <c r="M249" s="81"/>
      <c r="N249" s="81"/>
      <c r="O249" s="81"/>
    </row>
    <row r="250" spans="1:15" ht="15" customHeight="1" x14ac:dyDescent="0.2">
      <c r="A250" s="61"/>
      <c r="B250" s="122"/>
      <c r="C250" s="73"/>
      <c r="D250" s="62"/>
      <c r="E250" s="122"/>
      <c r="F250" s="73"/>
      <c r="G250" s="74"/>
      <c r="H250" s="78"/>
      <c r="I250" s="79"/>
      <c r="J250" s="79"/>
      <c r="K250" s="79"/>
      <c r="L250" s="80"/>
      <c r="M250" s="81"/>
      <c r="N250" s="81"/>
      <c r="O250" s="81"/>
    </row>
    <row r="251" spans="1:15" ht="15" customHeight="1" x14ac:dyDescent="0.2">
      <c r="A251" s="61"/>
      <c r="B251" s="122"/>
      <c r="C251" s="73"/>
      <c r="D251" s="62"/>
      <c r="E251" s="122"/>
      <c r="F251" s="73"/>
      <c r="G251" s="74"/>
      <c r="H251" s="78"/>
      <c r="I251" s="79"/>
      <c r="J251" s="79"/>
      <c r="K251" s="79"/>
      <c r="L251" s="80"/>
      <c r="M251" s="81"/>
      <c r="N251" s="81"/>
      <c r="O251" s="81"/>
    </row>
    <row r="252" spans="1:15" ht="15" customHeight="1" x14ac:dyDescent="0.2">
      <c r="A252" s="61"/>
      <c r="B252" s="122"/>
      <c r="C252" s="73"/>
      <c r="D252" s="62"/>
      <c r="E252" s="122"/>
      <c r="F252" s="73"/>
      <c r="G252" s="74"/>
      <c r="H252" s="78"/>
      <c r="I252" s="79"/>
      <c r="J252" s="79"/>
      <c r="K252" s="79"/>
      <c r="L252" s="80"/>
      <c r="M252" s="81"/>
      <c r="N252" s="81"/>
      <c r="O252" s="81"/>
    </row>
    <row r="253" spans="1:15" ht="15" customHeight="1" x14ac:dyDescent="0.2">
      <c r="A253" s="61"/>
      <c r="B253" s="122"/>
      <c r="C253" s="73"/>
      <c r="D253" s="62"/>
      <c r="E253" s="122"/>
      <c r="F253" s="73"/>
      <c r="G253" s="74"/>
      <c r="H253" s="78"/>
      <c r="I253" s="79"/>
      <c r="J253" s="79"/>
      <c r="K253" s="79"/>
      <c r="L253" s="80"/>
      <c r="M253" s="81"/>
      <c r="N253" s="81"/>
      <c r="O253" s="81"/>
    </row>
    <row r="254" spans="1:15" ht="15" customHeight="1" x14ac:dyDescent="0.2">
      <c r="A254" s="61"/>
      <c r="B254" s="122"/>
      <c r="C254" s="73"/>
      <c r="D254" s="62"/>
      <c r="E254" s="122"/>
      <c r="F254" s="73"/>
      <c r="G254" s="74"/>
      <c r="H254" s="78"/>
      <c r="I254" s="79"/>
      <c r="J254" s="79"/>
      <c r="K254" s="79"/>
      <c r="L254" s="80"/>
      <c r="M254" s="81"/>
      <c r="N254" s="81"/>
      <c r="O254" s="81"/>
    </row>
    <row r="255" spans="1:15" ht="15" customHeight="1" x14ac:dyDescent="0.2">
      <c r="A255" s="61"/>
      <c r="B255" s="122"/>
      <c r="C255" s="73"/>
      <c r="D255" s="62"/>
      <c r="E255" s="122"/>
      <c r="F255" s="73"/>
      <c r="G255" s="74"/>
      <c r="H255" s="78"/>
      <c r="I255" s="79"/>
      <c r="J255" s="79"/>
      <c r="K255" s="79"/>
      <c r="L255" s="80"/>
      <c r="M255" s="81"/>
      <c r="N255" s="81"/>
      <c r="O255" s="81"/>
    </row>
    <row r="256" spans="1:15" ht="15" customHeight="1" x14ac:dyDescent="0.2">
      <c r="A256" s="61"/>
      <c r="B256" s="122"/>
      <c r="C256" s="73"/>
      <c r="D256" s="62"/>
      <c r="E256" s="122"/>
      <c r="F256" s="73"/>
      <c r="G256" s="74"/>
      <c r="H256" s="78"/>
      <c r="I256" s="79"/>
      <c r="J256" s="79"/>
      <c r="K256" s="79"/>
      <c r="L256" s="80"/>
      <c r="M256" s="81"/>
      <c r="N256" s="81"/>
      <c r="O256" s="81"/>
    </row>
    <row r="257" spans="1:15" ht="15" customHeight="1" x14ac:dyDescent="0.2">
      <c r="A257" s="61"/>
      <c r="B257" s="122"/>
      <c r="C257" s="73"/>
      <c r="D257" s="62"/>
      <c r="E257" s="122"/>
      <c r="F257" s="73"/>
      <c r="G257" s="74"/>
      <c r="H257" s="78"/>
      <c r="I257" s="79"/>
      <c r="J257" s="79"/>
      <c r="K257" s="79"/>
      <c r="L257" s="80"/>
      <c r="M257" s="81"/>
      <c r="N257" s="81"/>
      <c r="O257" s="81"/>
    </row>
    <row r="258" spans="1:15" ht="15" customHeight="1" x14ac:dyDescent="0.2">
      <c r="A258" s="61"/>
      <c r="B258" s="122"/>
      <c r="C258" s="73"/>
      <c r="D258" s="62"/>
      <c r="E258" s="122"/>
      <c r="F258" s="73"/>
      <c r="G258" s="74"/>
      <c r="H258" s="78"/>
      <c r="I258" s="79"/>
      <c r="J258" s="79"/>
      <c r="K258" s="79"/>
      <c r="L258" s="80"/>
      <c r="M258" s="81"/>
      <c r="N258" s="81"/>
      <c r="O258" s="81"/>
    </row>
    <row r="259" spans="1:15" ht="15" customHeight="1" x14ac:dyDescent="0.2">
      <c r="A259" s="61"/>
      <c r="B259" s="122"/>
      <c r="C259" s="73"/>
      <c r="D259" s="62"/>
      <c r="E259" s="122"/>
      <c r="F259" s="73"/>
      <c r="G259" s="74"/>
      <c r="H259" s="78"/>
      <c r="I259" s="79"/>
      <c r="J259" s="79"/>
      <c r="K259" s="79"/>
      <c r="L259" s="80"/>
      <c r="M259" s="81"/>
      <c r="N259" s="81"/>
      <c r="O259" s="81"/>
    </row>
    <row r="260" spans="1:15" ht="15" customHeight="1" x14ac:dyDescent="0.2">
      <c r="A260" s="61"/>
      <c r="B260" s="122"/>
      <c r="C260" s="73"/>
      <c r="D260" s="62"/>
      <c r="E260" s="122"/>
      <c r="F260" s="73"/>
      <c r="G260" s="74"/>
      <c r="H260" s="78"/>
      <c r="I260" s="79"/>
      <c r="J260" s="79"/>
      <c r="K260" s="79"/>
      <c r="L260" s="80"/>
      <c r="M260" s="81"/>
      <c r="N260" s="81"/>
      <c r="O260" s="81"/>
    </row>
  </sheetData>
  <mergeCells count="12">
    <mergeCell ref="A4:F4"/>
    <mergeCell ref="D5:F5"/>
    <mergeCell ref="D6:F6"/>
    <mergeCell ref="F1:O1"/>
    <mergeCell ref="A2:O2"/>
    <mergeCell ref="C1:D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8" scale="54"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&amp;N&amp;C&amp;1#&amp;"Calibri"&amp;12&amp;K008000Internal Use</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&amp;N&amp;C&amp;1#&amp;"Calibri"&amp;12&amp;K008000Internal Use</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zoomScale="90" zoomScaleNormal="90" zoomScaleSheetLayoutView="100" workbookViewId="0">
      <selection activeCell="D18" sqref="D18"/>
    </sheetView>
  </sheetViews>
  <sheetFormatPr defaultRowHeight="12.75" x14ac:dyDescent="0.2"/>
  <cols>
    <col min="1" max="1" width="14.7109375" style="67" customWidth="1"/>
    <col min="2" max="2" width="8.7109375" style="67" customWidth="1"/>
    <col min="3" max="3" width="15.7109375" style="75" bestFit="1" customWidth="1"/>
    <col min="4" max="4" width="50.7109375" style="75" customWidth="1"/>
    <col min="5" max="5" width="14.7109375" style="76" customWidth="1"/>
    <col min="6" max="7" width="14.7109375" style="77" customWidth="1"/>
    <col min="8" max="8" width="14.7109375" style="67" customWidth="1"/>
    <col min="9" max="9" width="15.5703125" style="67" customWidth="1"/>
    <col min="10" max="13" width="9.140625" style="67"/>
    <col min="14" max="14" width="9.42578125" style="67" bestFit="1" customWidth="1"/>
    <col min="15" max="16384" width="9.140625" style="67"/>
  </cols>
  <sheetData>
    <row r="1" spans="1:14" ht="66.75" customHeight="1" x14ac:dyDescent="0.2">
      <c r="A1" s="244" t="s">
        <v>553</v>
      </c>
      <c r="B1" s="244"/>
      <c r="C1" s="244"/>
      <c r="D1" s="244"/>
      <c r="E1" s="244"/>
      <c r="F1" s="244"/>
      <c r="G1" s="244"/>
      <c r="H1" s="244"/>
    </row>
    <row r="2" spans="1:14" s="68" customFormat="1" ht="25.5" customHeight="1" x14ac:dyDescent="0.2">
      <c r="A2" s="246" t="str">
        <f>Overview!B4&amp; " - Effective from "&amp;Overview!D4&amp;" - "&amp;Overview!E4&amp;" EDCM import charges"</f>
        <v>SP Distribution - Effective from 1 April 2018 - Final EDCM import charges</v>
      </c>
      <c r="B2" s="247"/>
      <c r="C2" s="247"/>
      <c r="D2" s="247"/>
      <c r="E2" s="247"/>
      <c r="F2" s="247"/>
      <c r="G2" s="247"/>
      <c r="H2" s="248"/>
    </row>
    <row r="3" spans="1:14" s="106" customFormat="1" ht="18" x14ac:dyDescent="0.2">
      <c r="A3" s="113"/>
      <c r="B3" s="113"/>
      <c r="C3" s="113"/>
      <c r="D3" s="114"/>
      <c r="E3" s="115"/>
      <c r="F3" s="115"/>
      <c r="G3" s="116"/>
      <c r="H3" s="116"/>
      <c r="I3" s="103"/>
      <c r="J3" s="103"/>
      <c r="K3" s="103"/>
      <c r="L3" s="103"/>
      <c r="M3" s="103"/>
      <c r="N3" s="103"/>
    </row>
    <row r="4" spans="1:14" ht="60.75" customHeight="1" x14ac:dyDescent="0.2">
      <c r="A4" s="69" t="s">
        <v>522</v>
      </c>
      <c r="B4" s="70" t="s">
        <v>487</v>
      </c>
      <c r="C4" s="69" t="s">
        <v>488</v>
      </c>
      <c r="D4" s="71" t="s">
        <v>199</v>
      </c>
      <c r="E4" s="166" t="str">
        <f>'Annex 2 EHV charges'!H10</f>
        <v>Import
Super Red
unit charge
(p/kWh)</v>
      </c>
      <c r="F4" s="166" t="str">
        <f>'Annex 2 EHV charges'!I10</f>
        <v>Import
fixed charge
(p/day)</v>
      </c>
      <c r="G4" s="166" t="str">
        <f>'Annex 2 EHV charges'!J10</f>
        <v>Import
capacity charge
(p/kVA/day)</v>
      </c>
      <c r="H4" s="166" t="str">
        <f>'Annex 2 EHV charges'!K10</f>
        <v>Import
exceeded capacity charge
(p/kVA/day)</v>
      </c>
    </row>
    <row r="5" spans="1:14" ht="12.75" customHeight="1" x14ac:dyDescent="0.2">
      <c r="A5" s="123">
        <f t="array" ref="A5">IFERROR(INDEX('Annex 2 EHV charges'!$A$11:$A$260, MATCH(0, IF(ISBLANK('Annex 2 EHV charges'!$A$11:$A$260),1, COUNTIF(A$4:$A4, 'Annex 2 EHV charges'!$A$11:$A$260)), 0)),"")</f>
        <v>800</v>
      </c>
      <c r="B5" s="123">
        <f>IF($A5="","",VLOOKUP($A5,'Annex 2 EHV charges'!$A:$O,2,0))</f>
        <v>800</v>
      </c>
      <c r="C5" s="124">
        <f>IF($A5="","",VLOOKUP($A5,'Annex 2 EHV charges'!$A:$O,3,0))</f>
        <v>1800060775972</v>
      </c>
      <c r="D5" s="123" t="str">
        <f>IF($A5="","",VLOOKUP($A5,'Annex 2 EHV charges'!$A:$O,7,0))</f>
        <v>Rhodders</v>
      </c>
      <c r="E5" s="128" t="str">
        <f>IFERROR(IF(VLOOKUP($A5,'Annex 2 EHV charges'!$A:$O,8,FALSE)=0,"",VLOOKUP($A5,'Annex 2 EHV charges'!$A:$O,8,FALSE)),"")</f>
        <v/>
      </c>
      <c r="F5" s="129">
        <f>IFERROR(IF(VLOOKUP($A5,'Annex 2 EHV charges'!$A:$O,9,FALSE)=0,"",VLOOKUP($A5,'Annex 2 EHV charges'!$A:$O,9,FALSE)),"")</f>
        <v>352.11</v>
      </c>
      <c r="G5" s="130">
        <f>IFERROR(IF(VLOOKUP($A5,'Annex 2 EHV charges'!$A:$O,10,FALSE)=0,"",VLOOKUP($A5,'Annex 2 EHV charges'!$A:$O,10,FALSE)),"")</f>
        <v>1.77</v>
      </c>
      <c r="H5" s="130">
        <f>IFERROR(IF(VLOOKUP($A5,'Annex 2 EHV charges'!$A:$O,11,FALSE)=0,"",VLOOKUP($A5,'Annex 2 EHV charges'!$A:$O,11,FALSE)),"")</f>
        <v>1.77</v>
      </c>
    </row>
    <row r="6" spans="1:14" ht="12.75" customHeight="1" x14ac:dyDescent="0.2">
      <c r="A6" s="123">
        <f t="array" ref="A6">IFERROR(INDEX('Annex 2 EHV charges'!$A$11:$A$260, MATCH(0, IF(ISBLANK('Annex 2 EHV charges'!$A$11:$A$260),1, COUNTIF(A$4:$A5, 'Annex 2 EHV charges'!$A$11:$A$260)), 0)),"")</f>
        <v>801</v>
      </c>
      <c r="B6" s="123">
        <f>IF($A6="","",VLOOKUP($A6,'Annex 2 EHV charges'!$A:$O,2,0))</f>
        <v>801</v>
      </c>
      <c r="C6" s="124">
        <f>IF($A6="","",VLOOKUP($A6,'Annex 2 EHV charges'!$A:$O,3,0))</f>
        <v>1800060004220</v>
      </c>
      <c r="D6" s="123" t="str">
        <f>IF($A6="","",VLOOKUP($A6,'Annex 2 EHV charges'!$A:$O,7,0))</f>
        <v>Minsca</v>
      </c>
      <c r="E6" s="128" t="str">
        <f>IFERROR(IF(VLOOKUP($A6,'Annex 2 EHV charges'!$A:$O,8,FALSE)=0,"",VLOOKUP($A6,'Annex 2 EHV charges'!$A:$O,8,FALSE)),"")</f>
        <v/>
      </c>
      <c r="F6" s="129">
        <f>IFERROR(IF(VLOOKUP($A6,'Annex 2 EHV charges'!$A:$O,9,FALSE)=0,"",VLOOKUP($A6,'Annex 2 EHV charges'!$A:$O,9,FALSE)),"")</f>
        <v>504.96</v>
      </c>
      <c r="G6" s="130" t="str">
        <f>IFERROR(IF(VLOOKUP($A6,'Annex 2 EHV charges'!$A:$O,10,FALSE)=0,"",VLOOKUP($A6,'Annex 2 EHV charges'!$A:$O,10,FALSE)),"")</f>
        <v/>
      </c>
      <c r="H6" s="130" t="str">
        <f>IFERROR(IF(VLOOKUP($A6,'Annex 2 EHV charges'!$A:$O,11,FALSE)=0,"",VLOOKUP($A6,'Annex 2 EHV charges'!$A:$O,11,FALSE)),"")</f>
        <v/>
      </c>
    </row>
    <row r="7" spans="1:14" ht="12.75" customHeight="1" x14ac:dyDescent="0.2">
      <c r="A7" s="123">
        <f t="array" ref="A7">IFERROR(INDEX('Annex 2 EHV charges'!$A$11:$A$260, MATCH(0, IF(ISBLANK('Annex 2 EHV charges'!$A$11:$A$260),1, COUNTIF(A$4:$A6, 'Annex 2 EHV charges'!$A$11:$A$260)), 0)),"")</f>
        <v>802</v>
      </c>
      <c r="B7" s="123">
        <f>IF($A7="","",VLOOKUP($A7,'Annex 2 EHV charges'!$A:$O,2,0))</f>
        <v>802</v>
      </c>
      <c r="C7" s="124">
        <f>IF($A7="","",VLOOKUP($A7,'Annex 2 EHV charges'!$A:$O,3,0))</f>
        <v>1800060539962</v>
      </c>
      <c r="D7" s="123" t="str">
        <f>IF($A7="","",VLOOKUP($A7,'Annex 2 EHV charges'!$A:$O,7,0))</f>
        <v>Bankend Rig</v>
      </c>
      <c r="E7" s="128" t="str">
        <f>IFERROR(IF(VLOOKUP($A7,'Annex 2 EHV charges'!$A:$O,8,FALSE)=0,"",VLOOKUP($A7,'Annex 2 EHV charges'!$A:$O,8,FALSE)),"")</f>
        <v/>
      </c>
      <c r="F7" s="129">
        <f>IFERROR(IF(VLOOKUP($A7,'Annex 2 EHV charges'!$A:$O,9,FALSE)=0,"",VLOOKUP($A7,'Annex 2 EHV charges'!$A:$O,9,FALSE)),"")</f>
        <v>144.80000000000001</v>
      </c>
      <c r="G7" s="130">
        <f>IFERROR(IF(VLOOKUP($A7,'Annex 2 EHV charges'!$A:$O,10,FALSE)=0,"",VLOOKUP($A7,'Annex 2 EHV charges'!$A:$O,10,FALSE)),"")</f>
        <v>4.3099999999999996</v>
      </c>
      <c r="H7" s="130">
        <f>IFERROR(IF(VLOOKUP($A7,'Annex 2 EHV charges'!$A:$O,11,FALSE)=0,"",VLOOKUP($A7,'Annex 2 EHV charges'!$A:$O,11,FALSE)),"")</f>
        <v>4.3099999999999996</v>
      </c>
    </row>
    <row r="8" spans="1:14" ht="12.75" customHeight="1" x14ac:dyDescent="0.2">
      <c r="A8" s="123">
        <f t="array" ref="A8">IFERROR(INDEX('Annex 2 EHV charges'!$A$11:$A$260, MATCH(0, IF(ISBLANK('Annex 2 EHV charges'!$A$11:$A$260),1, COUNTIF(A$4:$A7, 'Annex 2 EHV charges'!$A$11:$A$260)), 0)),"")</f>
        <v>803</v>
      </c>
      <c r="B8" s="123">
        <f>IF($A8="","",VLOOKUP($A8,'Annex 2 EHV charges'!$A:$O,2,0))</f>
        <v>803</v>
      </c>
      <c r="C8" s="124">
        <f>IF($A8="","",VLOOKUP($A8,'Annex 2 EHV charges'!$A:$O,3,0))</f>
        <v>1800060532708</v>
      </c>
      <c r="D8" s="123" t="str">
        <f>IF($A8="","",VLOOKUP($A8,'Annex 2 EHV charges'!$A:$O,7,0))</f>
        <v>Barlockhart Moor</v>
      </c>
      <c r="E8" s="128" t="str">
        <f>IFERROR(IF(VLOOKUP($A8,'Annex 2 EHV charges'!$A:$O,8,FALSE)=0,"",VLOOKUP($A8,'Annex 2 EHV charges'!$A:$O,8,FALSE)),"")</f>
        <v/>
      </c>
      <c r="F8" s="129">
        <f>IFERROR(IF(VLOOKUP($A8,'Annex 2 EHV charges'!$A:$O,9,FALSE)=0,"",VLOOKUP($A8,'Annex 2 EHV charges'!$A:$O,9,FALSE)),"")</f>
        <v>176.83</v>
      </c>
      <c r="G8" s="130">
        <f>IFERROR(IF(VLOOKUP($A8,'Annex 2 EHV charges'!$A:$O,10,FALSE)=0,"",VLOOKUP($A8,'Annex 2 EHV charges'!$A:$O,10,FALSE)),"")</f>
        <v>2.57</v>
      </c>
      <c r="H8" s="130">
        <f>IFERROR(IF(VLOOKUP($A8,'Annex 2 EHV charges'!$A:$O,11,FALSE)=0,"",VLOOKUP($A8,'Annex 2 EHV charges'!$A:$O,11,FALSE)),"")</f>
        <v>2.57</v>
      </c>
    </row>
    <row r="9" spans="1:14" ht="12.75" customHeight="1" x14ac:dyDescent="0.2">
      <c r="A9" s="123">
        <f t="array" ref="A9">IFERROR(INDEX('Annex 2 EHV charges'!$A$11:$A$260, MATCH(0, IF(ISBLANK('Annex 2 EHV charges'!$A$11:$A$260),1, COUNTIF(A$4:$A8, 'Annex 2 EHV charges'!$A$11:$A$260)), 0)),"")</f>
        <v>804</v>
      </c>
      <c r="B9" s="123">
        <f>IF($A9="","",VLOOKUP($A9,'Annex 2 EHV charges'!$A:$O,2,0))</f>
        <v>804</v>
      </c>
      <c r="C9" s="124">
        <f>IF($A9="","",VLOOKUP($A9,'Annex 2 EHV charges'!$A:$O,3,0))</f>
        <v>1800060532726</v>
      </c>
      <c r="D9" s="123" t="str">
        <f>IF($A9="","",VLOOKUP($A9,'Annex 2 EHV charges'!$A:$O,7,0))</f>
        <v>Blantyre Muir</v>
      </c>
      <c r="E9" s="128" t="str">
        <f>IFERROR(IF(VLOOKUP($A9,'Annex 2 EHV charges'!$A:$O,8,FALSE)=0,"",VLOOKUP($A9,'Annex 2 EHV charges'!$A:$O,8,FALSE)),"")</f>
        <v/>
      </c>
      <c r="F9" s="129">
        <f>IFERROR(IF(VLOOKUP($A9,'Annex 2 EHV charges'!$A:$O,9,FALSE)=0,"",VLOOKUP($A9,'Annex 2 EHV charges'!$A:$O,9,FALSE)),"")</f>
        <v>408.53</v>
      </c>
      <c r="G9" s="130">
        <f>IFERROR(IF(VLOOKUP($A9,'Annex 2 EHV charges'!$A:$O,10,FALSE)=0,"",VLOOKUP($A9,'Annex 2 EHV charges'!$A:$O,10,FALSE)),"")</f>
        <v>0.82</v>
      </c>
      <c r="H9" s="130">
        <f>IFERROR(IF(VLOOKUP($A9,'Annex 2 EHV charges'!$A:$O,11,FALSE)=0,"",VLOOKUP($A9,'Annex 2 EHV charges'!$A:$O,11,FALSE)),"")</f>
        <v>0.82</v>
      </c>
    </row>
    <row r="10" spans="1:14" ht="12.75" customHeight="1" x14ac:dyDescent="0.2">
      <c r="A10" s="123">
        <f t="array" ref="A10">IFERROR(INDEX('Annex 2 EHV charges'!$A$11:$A$260, MATCH(0, IF(ISBLANK('Annex 2 EHV charges'!$A$11:$A$260),1, COUNTIF(A$4:$A9, 'Annex 2 EHV charges'!$A$11:$A$260)), 0)),"")</f>
        <v>805</v>
      </c>
      <c r="B10" s="123">
        <f>IF($A10="","",VLOOKUP($A10,'Annex 2 EHV charges'!$A:$O,2,0))</f>
        <v>805</v>
      </c>
      <c r="C10" s="124">
        <f>IF($A10="","",VLOOKUP($A10,'Annex 2 EHV charges'!$A:$O,3,0))</f>
        <v>1800060587850</v>
      </c>
      <c r="D10" s="123" t="str">
        <f>IF($A10="","",VLOOKUP($A10,'Annex 2 EHV charges'!$A:$O,7,0))</f>
        <v>Hunterston WF</v>
      </c>
      <c r="E10" s="128" t="str">
        <f>IFERROR(IF(VLOOKUP($A10,'Annex 2 EHV charges'!$A:$O,8,FALSE)=0,"",VLOOKUP($A10,'Annex 2 EHV charges'!$A:$O,8,FALSE)),"")</f>
        <v/>
      </c>
      <c r="F10" s="129">
        <f>IFERROR(IF(VLOOKUP($A10,'Annex 2 EHV charges'!$A:$O,9,FALSE)=0,"",VLOOKUP($A10,'Annex 2 EHV charges'!$A:$O,9,FALSE)),"")</f>
        <v>117.17</v>
      </c>
      <c r="G10" s="130">
        <f>IFERROR(IF(VLOOKUP($A10,'Annex 2 EHV charges'!$A:$O,10,FALSE)=0,"",VLOOKUP($A10,'Annex 2 EHV charges'!$A:$O,10,FALSE)),"")</f>
        <v>0.95</v>
      </c>
      <c r="H10" s="130">
        <f>IFERROR(IF(VLOOKUP($A10,'Annex 2 EHV charges'!$A:$O,11,FALSE)=0,"",VLOOKUP($A10,'Annex 2 EHV charges'!$A:$O,11,FALSE)),"")</f>
        <v>0.95</v>
      </c>
    </row>
    <row r="11" spans="1:14" ht="12.75" customHeight="1" x14ac:dyDescent="0.2">
      <c r="A11" s="123">
        <f t="array" ref="A11">IFERROR(INDEX('Annex 2 EHV charges'!$A$11:$A$260, MATCH(0, IF(ISBLANK('Annex 2 EHV charges'!$A$11:$A$260),1, COUNTIF(A$4:$A10, 'Annex 2 EHV charges'!$A$11:$A$260)), 0)),"")</f>
        <v>806</v>
      </c>
      <c r="B11" s="123">
        <f>IF($A11="","",VLOOKUP($A11,'Annex 2 EHV charges'!$A:$O,2,0))</f>
        <v>806</v>
      </c>
      <c r="C11" s="124">
        <f>IF($A11="","",VLOOKUP($A11,'Annex 2 EHV charges'!$A:$O,3,0))</f>
        <v>1800060532647</v>
      </c>
      <c r="D11" s="123" t="str">
        <f>IF($A11="","",VLOOKUP($A11,'Annex 2 EHV charges'!$A:$O,7,0))</f>
        <v>Middleton Farm</v>
      </c>
      <c r="E11" s="128" t="str">
        <f>IFERROR(IF(VLOOKUP($A11,'Annex 2 EHV charges'!$A:$O,8,FALSE)=0,"",VLOOKUP($A11,'Annex 2 EHV charges'!$A:$O,8,FALSE)),"")</f>
        <v/>
      </c>
      <c r="F11" s="129">
        <f>IFERROR(IF(VLOOKUP($A11,'Annex 2 EHV charges'!$A:$O,9,FALSE)=0,"",VLOOKUP($A11,'Annex 2 EHV charges'!$A:$O,9,FALSE)),"")</f>
        <v>253.36</v>
      </c>
      <c r="G11" s="130">
        <f>IFERROR(IF(VLOOKUP($A11,'Annex 2 EHV charges'!$A:$O,10,FALSE)=0,"",VLOOKUP($A11,'Annex 2 EHV charges'!$A:$O,10,FALSE)),"")</f>
        <v>2.5499999999999998</v>
      </c>
      <c r="H11" s="130">
        <f>IFERROR(IF(VLOOKUP($A11,'Annex 2 EHV charges'!$A:$O,11,FALSE)=0,"",VLOOKUP($A11,'Annex 2 EHV charges'!$A:$O,11,FALSE)),"")</f>
        <v>2.5499999999999998</v>
      </c>
    </row>
    <row r="12" spans="1:14" ht="12.75" customHeight="1" x14ac:dyDescent="0.2">
      <c r="A12" s="123">
        <f t="array" ref="A12">IFERROR(INDEX('Annex 2 EHV charges'!$A$11:$A$260, MATCH(0, IF(ISBLANK('Annex 2 EHV charges'!$A$11:$A$260),1, COUNTIF(A$4:$A11, 'Annex 2 EHV charges'!$A$11:$A$260)), 0)),"")</f>
        <v>807</v>
      </c>
      <c r="B12" s="123">
        <f>IF($A12="","",VLOOKUP($A12,'Annex 2 EHV charges'!$A:$O,2,0))</f>
        <v>807</v>
      </c>
      <c r="C12" s="124">
        <f>IF($A12="","",VLOOKUP($A12,'Annex 2 EHV charges'!$A:$O,3,0))</f>
        <v>1800060532665</v>
      </c>
      <c r="D12" s="123" t="str">
        <f>IF($A12="","",VLOOKUP($A12,'Annex 2 EHV charges'!$A:$O,7,0))</f>
        <v>Neilston Community</v>
      </c>
      <c r="E12" s="128" t="str">
        <f>IFERROR(IF(VLOOKUP($A12,'Annex 2 EHV charges'!$A:$O,8,FALSE)=0,"",VLOOKUP($A12,'Annex 2 EHV charges'!$A:$O,8,FALSE)),"")</f>
        <v/>
      </c>
      <c r="F12" s="129">
        <f>IFERROR(IF(VLOOKUP($A12,'Annex 2 EHV charges'!$A:$O,9,FALSE)=0,"",VLOOKUP($A12,'Annex 2 EHV charges'!$A:$O,9,FALSE)),"")</f>
        <v>149.6</v>
      </c>
      <c r="G12" s="130">
        <f>IFERROR(IF(VLOOKUP($A12,'Annex 2 EHV charges'!$A:$O,10,FALSE)=0,"",VLOOKUP($A12,'Annex 2 EHV charges'!$A:$O,10,FALSE)),"")</f>
        <v>2.65</v>
      </c>
      <c r="H12" s="130">
        <f>IFERROR(IF(VLOOKUP($A12,'Annex 2 EHV charges'!$A:$O,11,FALSE)=0,"",VLOOKUP($A12,'Annex 2 EHV charges'!$A:$O,11,FALSE)),"")</f>
        <v>2.65</v>
      </c>
    </row>
    <row r="13" spans="1:14" ht="12.75" customHeight="1" x14ac:dyDescent="0.2">
      <c r="A13" s="123">
        <f t="array" ref="A13">IFERROR(INDEX('Annex 2 EHV charges'!$A$11:$A$260, MATCH(0, IF(ISBLANK('Annex 2 EHV charges'!$A$11:$A$260),1, COUNTIF(A$4:$A12, 'Annex 2 EHV charges'!$A$11:$A$260)), 0)),"")</f>
        <v>808</v>
      </c>
      <c r="B13" s="123">
        <f>IF($A13="","",VLOOKUP($A13,'Annex 2 EHV charges'!$A:$O,2,0))</f>
        <v>808</v>
      </c>
      <c r="C13" s="124">
        <f>IF($A13="","",VLOOKUP($A13,'Annex 2 EHV charges'!$A:$O,3,0))</f>
        <v>1800053653870</v>
      </c>
      <c r="D13" s="123" t="str">
        <f>IF($A13="","",VLOOKUP($A13,'Annex 2 EHV charges'!$A:$O,7,0))</f>
        <v>Garlaff Landfill</v>
      </c>
      <c r="E13" s="128" t="str">
        <f>IFERROR(IF(VLOOKUP($A13,'Annex 2 EHV charges'!$A:$O,8,FALSE)=0,"",VLOOKUP($A13,'Annex 2 EHV charges'!$A:$O,8,FALSE)),"")</f>
        <v/>
      </c>
      <c r="F13" s="129">
        <f>IFERROR(IF(VLOOKUP($A13,'Annex 2 EHV charges'!$A:$O,9,FALSE)=0,"",VLOOKUP($A13,'Annex 2 EHV charges'!$A:$O,9,FALSE)),"")</f>
        <v>121.27</v>
      </c>
      <c r="G13" s="130">
        <f>IFERROR(IF(VLOOKUP($A13,'Annex 2 EHV charges'!$A:$O,10,FALSE)=0,"",VLOOKUP($A13,'Annex 2 EHV charges'!$A:$O,10,FALSE)),"")</f>
        <v>0.8</v>
      </c>
      <c r="H13" s="130">
        <f>IFERROR(IF(VLOOKUP($A13,'Annex 2 EHV charges'!$A:$O,11,FALSE)=0,"",VLOOKUP($A13,'Annex 2 EHV charges'!$A:$O,11,FALSE)),"")</f>
        <v>0.8</v>
      </c>
    </row>
    <row r="14" spans="1:14" ht="12.75" customHeight="1" x14ac:dyDescent="0.2">
      <c r="A14" s="123">
        <f t="array" ref="A14">IFERROR(INDEX('Annex 2 EHV charges'!$A$11:$A$260, MATCH(0, IF(ISBLANK('Annex 2 EHV charges'!$A$11:$A$260),1, COUNTIF(A$4:$A13, 'Annex 2 EHV charges'!$A$11:$A$260)), 0)),"")</f>
        <v>809</v>
      </c>
      <c r="B14" s="123">
        <f>IF($A14="","",VLOOKUP($A14,'Annex 2 EHV charges'!$A:$O,2,0))</f>
        <v>809</v>
      </c>
      <c r="C14" s="124">
        <f>IF($A14="","",VLOOKUP($A14,'Annex 2 EHV charges'!$A:$O,3,0))</f>
        <v>1800054992968</v>
      </c>
      <c r="D14" s="123" t="str">
        <f>IF($A14="","",VLOOKUP($A14,'Annex 2 EHV charges'!$A:$O,7,0))</f>
        <v>Hagshaw Hill Extension</v>
      </c>
      <c r="E14" s="128" t="str">
        <f>IFERROR(IF(VLOOKUP($A14,'Annex 2 EHV charges'!$A:$O,8,FALSE)=0,"",VLOOKUP($A14,'Annex 2 EHV charges'!$A:$O,8,FALSE)),"")</f>
        <v/>
      </c>
      <c r="F14" s="129">
        <f>IFERROR(IF(VLOOKUP($A14,'Annex 2 EHV charges'!$A:$O,9,FALSE)=0,"",VLOOKUP($A14,'Annex 2 EHV charges'!$A:$O,9,FALSE)),"")</f>
        <v>792.43</v>
      </c>
      <c r="G14" s="130">
        <f>IFERROR(IF(VLOOKUP($A14,'Annex 2 EHV charges'!$A:$O,10,FALSE)=0,"",VLOOKUP($A14,'Annex 2 EHV charges'!$A:$O,10,FALSE)),"")</f>
        <v>0.83</v>
      </c>
      <c r="H14" s="130">
        <f>IFERROR(IF(VLOOKUP($A14,'Annex 2 EHV charges'!$A:$O,11,FALSE)=0,"",VLOOKUP($A14,'Annex 2 EHV charges'!$A:$O,11,FALSE)),"")</f>
        <v>0.83</v>
      </c>
    </row>
    <row r="15" spans="1:14" ht="12.75" customHeight="1" x14ac:dyDescent="0.2">
      <c r="A15" s="123">
        <f t="array" ref="A15">IFERROR(INDEX('Annex 2 EHV charges'!$A$11:$A$260, MATCH(0, IF(ISBLANK('Annex 2 EHV charges'!$A$11:$A$260),1, COUNTIF(A$4:$A14, 'Annex 2 EHV charges'!$A$11:$A$260)), 0)),"")</f>
        <v>811</v>
      </c>
      <c r="B15" s="123">
        <f>IF($A15="","",VLOOKUP($A15,'Annex 2 EHV charges'!$A:$O,2,0))</f>
        <v>811</v>
      </c>
      <c r="C15" s="124">
        <f>IF($A15="","",VLOOKUP($A15,'Annex 2 EHV charges'!$A:$O,3,0))</f>
        <v>1800060328035</v>
      </c>
      <c r="D15" s="123" t="str">
        <f>IF($A15="","",VLOOKUP($A15,'Annex 2 EHV charges'!$A:$O,7,0))</f>
        <v>Muirhall</v>
      </c>
      <c r="E15" s="128" t="str">
        <f>IFERROR(IF(VLOOKUP($A15,'Annex 2 EHV charges'!$A:$O,8,FALSE)=0,"",VLOOKUP($A15,'Annex 2 EHV charges'!$A:$O,8,FALSE)),"")</f>
        <v/>
      </c>
      <c r="F15" s="129">
        <f>IFERROR(IF(VLOOKUP($A15,'Annex 2 EHV charges'!$A:$O,9,FALSE)=0,"",VLOOKUP($A15,'Annex 2 EHV charges'!$A:$O,9,FALSE)),"")</f>
        <v>376.81</v>
      </c>
      <c r="G15" s="130">
        <f>IFERROR(IF(VLOOKUP($A15,'Annex 2 EHV charges'!$A:$O,10,FALSE)=0,"",VLOOKUP($A15,'Annex 2 EHV charges'!$A:$O,10,FALSE)),"")</f>
        <v>2.54</v>
      </c>
      <c r="H15" s="130">
        <f>IFERROR(IF(VLOOKUP($A15,'Annex 2 EHV charges'!$A:$O,11,FALSE)=0,"",VLOOKUP($A15,'Annex 2 EHV charges'!$A:$O,11,FALSE)),"")</f>
        <v>2.54</v>
      </c>
    </row>
    <row r="16" spans="1:14" ht="12.75" customHeight="1" x14ac:dyDescent="0.2">
      <c r="A16" s="123">
        <f t="array" ref="A16">IFERROR(INDEX('Annex 2 EHV charges'!$A$11:$A$260, MATCH(0, IF(ISBLANK('Annex 2 EHV charges'!$A$11:$A$260),1, COUNTIF(A$4:$A15, 'Annex 2 EHV charges'!$A$11:$A$260)), 0)),"")</f>
        <v>812</v>
      </c>
      <c r="B16" s="123">
        <f>IF($A16="","",VLOOKUP($A16,'Annex 2 EHV charges'!$A:$O,2,0))</f>
        <v>812</v>
      </c>
      <c r="C16" s="124">
        <f>IF($A16="","",VLOOKUP($A16,'Annex 2 EHV charges'!$A:$O,3,0))</f>
        <v>1800060372113</v>
      </c>
      <c r="D16" s="123" t="str">
        <f>IF($A16="","",VLOOKUP($A16,'Annex 2 EHV charges'!$A:$O,7,0))</f>
        <v>Burnfoot</v>
      </c>
      <c r="E16" s="128" t="str">
        <f>IFERROR(IF(VLOOKUP($A16,'Annex 2 EHV charges'!$A:$O,8,FALSE)=0,"",VLOOKUP($A16,'Annex 2 EHV charges'!$A:$O,8,FALSE)),"")</f>
        <v/>
      </c>
      <c r="F16" s="129">
        <f>IFERROR(IF(VLOOKUP($A16,'Annex 2 EHV charges'!$A:$O,9,FALSE)=0,"",VLOOKUP($A16,'Annex 2 EHV charges'!$A:$O,9,FALSE)),"")</f>
        <v>126.65</v>
      </c>
      <c r="G16" s="130">
        <f>IFERROR(IF(VLOOKUP($A16,'Annex 2 EHV charges'!$A:$O,10,FALSE)=0,"",VLOOKUP($A16,'Annex 2 EHV charges'!$A:$O,10,FALSE)),"")</f>
        <v>0.88</v>
      </c>
      <c r="H16" s="130">
        <f>IFERROR(IF(VLOOKUP($A16,'Annex 2 EHV charges'!$A:$O,11,FALSE)=0,"",VLOOKUP($A16,'Annex 2 EHV charges'!$A:$O,11,FALSE)),"")</f>
        <v>0.88</v>
      </c>
    </row>
    <row r="17" spans="1:8" ht="12.75" customHeight="1" x14ac:dyDescent="0.2">
      <c r="A17" s="123">
        <f t="array" ref="A17">IFERROR(INDEX('Annex 2 EHV charges'!$A$11:$A$260, MATCH(0, IF(ISBLANK('Annex 2 EHV charges'!$A$11:$A$260),1, COUNTIF(A$4:$A16, 'Annex 2 EHV charges'!$A$11:$A$260)), 0)),"")</f>
        <v>813</v>
      </c>
      <c r="B17" s="123">
        <f>IF($A17="","",VLOOKUP($A17,'Annex 2 EHV charges'!$A:$O,2,0))</f>
        <v>813</v>
      </c>
      <c r="C17" s="124">
        <f>IF($A17="","",VLOOKUP($A17,'Annex 2 EHV charges'!$A:$O,3,0))</f>
        <v>1800060532498</v>
      </c>
      <c r="D17" s="123" t="str">
        <f>IF($A17="","",VLOOKUP($A17,'Annex 2 EHV charges'!$A:$O,7,0))</f>
        <v>Westfield WF</v>
      </c>
      <c r="E17" s="128" t="str">
        <f>IFERROR(IF(VLOOKUP($A17,'Annex 2 EHV charges'!$A:$O,8,FALSE)=0,"",VLOOKUP($A17,'Annex 2 EHV charges'!$A:$O,8,FALSE)),"")</f>
        <v/>
      </c>
      <c r="F17" s="129">
        <f>IFERROR(IF(VLOOKUP($A17,'Annex 2 EHV charges'!$A:$O,9,FALSE)=0,"",VLOOKUP($A17,'Annex 2 EHV charges'!$A:$O,9,FALSE)),"")</f>
        <v>66.98</v>
      </c>
      <c r="G17" s="130">
        <f>IFERROR(IF(VLOOKUP($A17,'Annex 2 EHV charges'!$A:$O,10,FALSE)=0,"",VLOOKUP($A17,'Annex 2 EHV charges'!$A:$O,10,FALSE)),"")</f>
        <v>1.17</v>
      </c>
      <c r="H17" s="130">
        <f>IFERROR(IF(VLOOKUP($A17,'Annex 2 EHV charges'!$A:$O,11,FALSE)=0,"",VLOOKUP($A17,'Annex 2 EHV charges'!$A:$O,11,FALSE)),"")</f>
        <v>1.17</v>
      </c>
    </row>
    <row r="18" spans="1:8" ht="12.75" customHeight="1" x14ac:dyDescent="0.2">
      <c r="A18" s="123">
        <f t="array" ref="A18">IFERROR(INDEX('Annex 2 EHV charges'!$A$11:$A$260, MATCH(0, IF(ISBLANK('Annex 2 EHV charges'!$A$11:$A$260),1, COUNTIF(A$4:$A17, 'Annex 2 EHV charges'!$A$11:$A$260)), 0)),"")</f>
        <v>814</v>
      </c>
      <c r="B18" s="123">
        <f>IF($A18="","",VLOOKUP($A18,'Annex 2 EHV charges'!$A:$O,2,0))</f>
        <v>814</v>
      </c>
      <c r="C18" s="124">
        <f>IF($A18="","",VLOOKUP($A18,'Annex 2 EHV charges'!$A:$O,3,0))</f>
        <v>1800060532683</v>
      </c>
      <c r="D18" s="123" t="str">
        <f>IF($A18="","",VLOOKUP($A18,'Annex 2 EHV charges'!$A:$O,7,0))</f>
        <v>Barmoor WF</v>
      </c>
      <c r="E18" s="128" t="str">
        <f>IFERROR(IF(VLOOKUP($A18,'Annex 2 EHV charges'!$A:$O,8,FALSE)=0,"",VLOOKUP($A18,'Annex 2 EHV charges'!$A:$O,8,FALSE)),"")</f>
        <v/>
      </c>
      <c r="F18" s="129">
        <f>IFERROR(IF(VLOOKUP($A18,'Annex 2 EHV charges'!$A:$O,9,FALSE)=0,"",VLOOKUP($A18,'Annex 2 EHV charges'!$A:$O,9,FALSE)),"")</f>
        <v>222.3</v>
      </c>
      <c r="G18" s="130">
        <f>IFERROR(IF(VLOOKUP($A18,'Annex 2 EHV charges'!$A:$O,10,FALSE)=0,"",VLOOKUP($A18,'Annex 2 EHV charges'!$A:$O,10,FALSE)),"")</f>
        <v>2.78</v>
      </c>
      <c r="H18" s="130">
        <f>IFERROR(IF(VLOOKUP($A18,'Annex 2 EHV charges'!$A:$O,11,FALSE)=0,"",VLOOKUP($A18,'Annex 2 EHV charges'!$A:$O,11,FALSE)),"")</f>
        <v>2.78</v>
      </c>
    </row>
    <row r="19" spans="1:8" ht="12.75" customHeight="1" x14ac:dyDescent="0.2">
      <c r="A19" s="123">
        <f t="array" ref="A19">IFERROR(INDEX('Annex 2 EHV charges'!$A$11:$A$260, MATCH(0, IF(ISBLANK('Annex 2 EHV charges'!$A$11:$A$260),1, COUNTIF(A$4:$A18, 'Annex 2 EHV charges'!$A$11:$A$260)), 0)),"")</f>
        <v>815</v>
      </c>
      <c r="B19" s="123">
        <f>IF($A19="","",VLOOKUP($A19,'Annex 2 EHV charges'!$A:$O,2,0))</f>
        <v>815</v>
      </c>
      <c r="C19" s="124">
        <f>IF($A19="","",VLOOKUP($A19,'Annex 2 EHV charges'!$A:$O,3,0))</f>
        <v>1800060566984</v>
      </c>
      <c r="D19" s="123" t="str">
        <f>IF($A19="","",VLOOKUP($A19,'Annex 2 EHV charges'!$A:$O,7,0))</f>
        <v>Nutberry WF</v>
      </c>
      <c r="E19" s="128" t="str">
        <f>IFERROR(IF(VLOOKUP($A19,'Annex 2 EHV charges'!$A:$O,8,FALSE)=0,"",VLOOKUP($A19,'Annex 2 EHV charges'!$A:$O,8,FALSE)),"")</f>
        <v/>
      </c>
      <c r="F19" s="129">
        <f>IFERROR(IF(VLOOKUP($A19,'Annex 2 EHV charges'!$A:$O,9,FALSE)=0,"",VLOOKUP($A19,'Annex 2 EHV charges'!$A:$O,9,FALSE)),"")</f>
        <v>894.83</v>
      </c>
      <c r="G19" s="130">
        <f>IFERROR(IF(VLOOKUP($A19,'Annex 2 EHV charges'!$A:$O,10,FALSE)=0,"",VLOOKUP($A19,'Annex 2 EHV charges'!$A:$O,10,FALSE)),"")</f>
        <v>2.5299999999999998</v>
      </c>
      <c r="H19" s="130">
        <f>IFERROR(IF(VLOOKUP($A19,'Annex 2 EHV charges'!$A:$O,11,FALSE)=0,"",VLOOKUP($A19,'Annex 2 EHV charges'!$A:$O,11,FALSE)),"")</f>
        <v>2.5299999999999998</v>
      </c>
    </row>
    <row r="20" spans="1:8" ht="12.75" customHeight="1" x14ac:dyDescent="0.2">
      <c r="A20" s="123">
        <f t="array" ref="A20">IFERROR(INDEX('Annex 2 EHV charges'!$A$11:$A$260, MATCH(0, IF(ISBLANK('Annex 2 EHV charges'!$A$11:$A$260),1, COUNTIF(A$4:$A19, 'Annex 2 EHV charges'!$A$11:$A$260)), 0)),"")</f>
        <v>816</v>
      </c>
      <c r="B20" s="123">
        <f>IF($A20="","",VLOOKUP($A20,'Annex 2 EHV charges'!$A:$O,2,0))</f>
        <v>816</v>
      </c>
      <c r="C20" s="124">
        <f>IF($A20="","",VLOOKUP($A20,'Annex 2 EHV charges'!$A:$O,3,0))</f>
        <v>1800060652454</v>
      </c>
      <c r="D20" s="123" t="str">
        <f>IF($A20="","",VLOOKUP($A20,'Annex 2 EHV charges'!$A:$O,7,0))</f>
        <v>Carcreugh WF</v>
      </c>
      <c r="E20" s="128" t="str">
        <f>IFERROR(IF(VLOOKUP($A20,'Annex 2 EHV charges'!$A:$O,8,FALSE)=0,"",VLOOKUP($A20,'Annex 2 EHV charges'!$A:$O,8,FALSE)),"")</f>
        <v/>
      </c>
      <c r="F20" s="129">
        <f>IFERROR(IF(VLOOKUP($A20,'Annex 2 EHV charges'!$A:$O,9,FALSE)=0,"",VLOOKUP($A20,'Annex 2 EHV charges'!$A:$O,9,FALSE)),"")</f>
        <v>346.87</v>
      </c>
      <c r="G20" s="130">
        <f>IFERROR(IF(VLOOKUP($A20,'Annex 2 EHV charges'!$A:$O,10,FALSE)=0,"",VLOOKUP($A20,'Annex 2 EHV charges'!$A:$O,10,FALSE)),"")</f>
        <v>0.84</v>
      </c>
      <c r="H20" s="130">
        <f>IFERROR(IF(VLOOKUP($A20,'Annex 2 EHV charges'!$A:$O,11,FALSE)=0,"",VLOOKUP($A20,'Annex 2 EHV charges'!$A:$O,11,FALSE)),"")</f>
        <v>0.84</v>
      </c>
    </row>
    <row r="21" spans="1:8" ht="12.75" customHeight="1" x14ac:dyDescent="0.2">
      <c r="A21" s="123">
        <f t="array" ref="A21">IFERROR(INDEX('Annex 2 EHV charges'!$A$11:$A$260, MATCH(0, IF(ISBLANK('Annex 2 EHV charges'!$A$11:$A$260),1, COUNTIF(A$4:$A20, 'Annex 2 EHV charges'!$A$11:$A$260)), 0)),"")</f>
        <v>817</v>
      </c>
      <c r="B21" s="123">
        <f>IF($A21="","",VLOOKUP($A21,'Annex 2 EHV charges'!$A:$O,2,0))</f>
        <v>817</v>
      </c>
      <c r="C21" s="124">
        <f>IF($A21="","",VLOOKUP($A21,'Annex 2 EHV charges'!$A:$O,3,0))</f>
        <v>1800060567668</v>
      </c>
      <c r="D21" s="123" t="str">
        <f>IF($A21="","",VLOOKUP($A21,'Annex 2 EHV charges'!$A:$O,7,0))</f>
        <v>Magnox</v>
      </c>
      <c r="E21" s="128" t="str">
        <f>IFERROR(IF(VLOOKUP($A21,'Annex 2 EHV charges'!$A:$O,8,FALSE)=0,"",VLOOKUP($A21,'Annex 2 EHV charges'!$A:$O,8,FALSE)),"")</f>
        <v/>
      </c>
      <c r="F21" s="129">
        <f>IFERROR(IF(VLOOKUP($A21,'Annex 2 EHV charges'!$A:$O,9,FALSE)=0,"",VLOOKUP($A21,'Annex 2 EHV charges'!$A:$O,9,FALSE)),"")</f>
        <v>408.42</v>
      </c>
      <c r="G21" s="130">
        <f>IFERROR(IF(VLOOKUP($A21,'Annex 2 EHV charges'!$A:$O,10,FALSE)=0,"",VLOOKUP($A21,'Annex 2 EHV charges'!$A:$O,10,FALSE)),"")</f>
        <v>1.22</v>
      </c>
      <c r="H21" s="130">
        <f>IFERROR(IF(VLOOKUP($A21,'Annex 2 EHV charges'!$A:$O,11,FALSE)=0,"",VLOOKUP($A21,'Annex 2 EHV charges'!$A:$O,11,FALSE)),"")</f>
        <v>1.22</v>
      </c>
    </row>
    <row r="22" spans="1:8" ht="12.75" customHeight="1" x14ac:dyDescent="0.2">
      <c r="A22" s="123">
        <f t="array" ref="A22">IFERROR(INDEX('Annex 2 EHV charges'!$A$11:$A$260, MATCH(0, IF(ISBLANK('Annex 2 EHV charges'!$A$11:$A$260),1, COUNTIF(A$4:$A21, 'Annex 2 EHV charges'!$A$11:$A$260)), 0)),"")</f>
        <v>818</v>
      </c>
      <c r="B22" s="123">
        <f>IF($A22="","",VLOOKUP($A22,'Annex 2 EHV charges'!$A:$O,2,0))</f>
        <v>818</v>
      </c>
      <c r="C22" s="124">
        <f>IF($A22="","",VLOOKUP($A22,'Annex 2 EHV charges'!$A:$O,3,0))</f>
        <v>1800060642767</v>
      </c>
      <c r="D22" s="123" t="str">
        <f>IF($A22="","",VLOOKUP($A22,'Annex 2 EHV charges'!$A:$O,7,0))</f>
        <v>West Browncastle WF</v>
      </c>
      <c r="E22" s="128" t="str">
        <f>IFERROR(IF(VLOOKUP($A22,'Annex 2 EHV charges'!$A:$O,8,FALSE)=0,"",VLOOKUP($A22,'Annex 2 EHV charges'!$A:$O,8,FALSE)),"")</f>
        <v/>
      </c>
      <c r="F22" s="129">
        <f>IFERROR(IF(VLOOKUP($A22,'Annex 2 EHV charges'!$A:$O,9,FALSE)=0,"",VLOOKUP($A22,'Annex 2 EHV charges'!$A:$O,9,FALSE)),"")</f>
        <v>559.70000000000005</v>
      </c>
      <c r="G22" s="130">
        <f>IFERROR(IF(VLOOKUP($A22,'Annex 2 EHV charges'!$A:$O,10,FALSE)=0,"",VLOOKUP($A22,'Annex 2 EHV charges'!$A:$O,10,FALSE)),"")</f>
        <v>0.86</v>
      </c>
      <c r="H22" s="130">
        <f>IFERROR(IF(VLOOKUP($A22,'Annex 2 EHV charges'!$A:$O,11,FALSE)=0,"",VLOOKUP($A22,'Annex 2 EHV charges'!$A:$O,11,FALSE)),"")</f>
        <v>0.86</v>
      </c>
    </row>
    <row r="23" spans="1:8" ht="12.75" customHeight="1" x14ac:dyDescent="0.2">
      <c r="A23" s="123">
        <f t="array" ref="A23">IFERROR(INDEX('Annex 2 EHV charges'!$A$11:$A$260, MATCH(0, IF(ISBLANK('Annex 2 EHV charges'!$A$11:$A$260),1, COUNTIF(A$4:$A22, 'Annex 2 EHV charges'!$A$11:$A$260)), 0)),"")</f>
        <v>819</v>
      </c>
      <c r="B23" s="123">
        <f>IF($A23="","",VLOOKUP($A23,'Annex 2 EHV charges'!$A:$O,2,0))</f>
        <v>819</v>
      </c>
      <c r="C23" s="124">
        <f>IF($A23="","",VLOOKUP($A23,'Annex 2 EHV charges'!$A:$O,3,0))</f>
        <v>1800060632661</v>
      </c>
      <c r="D23" s="123" t="str">
        <f>IF($A23="","",VLOOKUP($A23,'Annex 2 EHV charges'!$A:$O,7,0))</f>
        <v>Viridor (Waste energy)</v>
      </c>
      <c r="E23" s="128" t="str">
        <f>IFERROR(IF(VLOOKUP($A23,'Annex 2 EHV charges'!$A:$O,8,FALSE)=0,"",VLOOKUP($A23,'Annex 2 EHV charges'!$A:$O,8,FALSE)),"")</f>
        <v/>
      </c>
      <c r="F23" s="129">
        <f>IFERROR(IF(VLOOKUP($A23,'Annex 2 EHV charges'!$A:$O,9,FALSE)=0,"",VLOOKUP($A23,'Annex 2 EHV charges'!$A:$O,9,FALSE)),"")</f>
        <v>1637.93</v>
      </c>
      <c r="G23" s="130">
        <f>IFERROR(IF(VLOOKUP($A23,'Annex 2 EHV charges'!$A:$O,10,FALSE)=0,"",VLOOKUP($A23,'Annex 2 EHV charges'!$A:$O,10,FALSE)),"")</f>
        <v>2.63</v>
      </c>
      <c r="H23" s="130">
        <f>IFERROR(IF(VLOOKUP($A23,'Annex 2 EHV charges'!$A:$O,11,FALSE)=0,"",VLOOKUP($A23,'Annex 2 EHV charges'!$A:$O,11,FALSE)),"")</f>
        <v>2.63</v>
      </c>
    </row>
    <row r="24" spans="1:8" ht="12.75" customHeight="1" x14ac:dyDescent="0.2">
      <c r="A24" s="123">
        <f t="array" ref="A24">IFERROR(INDEX('Annex 2 EHV charges'!$A$11:$A$260, MATCH(0, IF(ISBLANK('Annex 2 EHV charges'!$A$11:$A$260),1, COUNTIF(A$4:$A23, 'Annex 2 EHV charges'!$A$11:$A$260)), 0)),"")</f>
        <v>820</v>
      </c>
      <c r="B24" s="123">
        <f>IF($A24="","",VLOOKUP($A24,'Annex 2 EHV charges'!$A:$O,2,0))</f>
        <v>820</v>
      </c>
      <c r="C24" s="124">
        <f>IF($A24="","",VLOOKUP($A24,'Annex 2 EHV charges'!$A:$O,3,0))</f>
        <v>1800060289486</v>
      </c>
      <c r="D24" s="123" t="str">
        <f>IF($A24="","",VLOOKUP($A24,'Annex 2 EHV charges'!$A:$O,7,0))</f>
        <v>Craigengelt</v>
      </c>
      <c r="E24" s="128" t="str">
        <f>IFERROR(IF(VLOOKUP($A24,'Annex 2 EHV charges'!$A:$O,8,FALSE)=0,"",VLOOKUP($A24,'Annex 2 EHV charges'!$A:$O,8,FALSE)),"")</f>
        <v/>
      </c>
      <c r="F24" s="129">
        <f>IFERROR(IF(VLOOKUP($A24,'Annex 2 EHV charges'!$A:$O,9,FALSE)=0,"",VLOOKUP($A24,'Annex 2 EHV charges'!$A:$O,9,FALSE)),"")</f>
        <v>166.72</v>
      </c>
      <c r="G24" s="130">
        <f>IFERROR(IF(VLOOKUP($A24,'Annex 2 EHV charges'!$A:$O,10,FALSE)=0,"",VLOOKUP($A24,'Annex 2 EHV charges'!$A:$O,10,FALSE)),"")</f>
        <v>0.94</v>
      </c>
      <c r="H24" s="130">
        <f>IFERROR(IF(VLOOKUP($A24,'Annex 2 EHV charges'!$A:$O,11,FALSE)=0,"",VLOOKUP($A24,'Annex 2 EHV charges'!$A:$O,11,FALSE)),"")</f>
        <v>0.94</v>
      </c>
    </row>
    <row r="25" spans="1:8" ht="12.75" customHeight="1" x14ac:dyDescent="0.2">
      <c r="A25" s="123">
        <f t="array" ref="A25">IFERROR(INDEX('Annex 2 EHV charges'!$A$11:$A$260, MATCH(0, IF(ISBLANK('Annex 2 EHV charges'!$A$11:$A$260),1, COUNTIF(A$4:$A24, 'Annex 2 EHV charges'!$A$11:$A$260)), 0)),"")</f>
        <v>821</v>
      </c>
      <c r="B25" s="123">
        <f>IF($A25="","",VLOOKUP($A25,'Annex 2 EHV charges'!$A:$O,2,0))</f>
        <v>821</v>
      </c>
      <c r="C25" s="124">
        <f>IF($A25="","",VLOOKUP($A25,'Annex 2 EHV charges'!$A:$O,3,0))</f>
        <v>1800054865132</v>
      </c>
      <c r="D25" s="123" t="str">
        <f>IF($A25="","",VLOOKUP($A25,'Annex 2 EHV charges'!$A:$O,7,0))</f>
        <v>Greenknowes</v>
      </c>
      <c r="E25" s="128" t="str">
        <f>IFERROR(IF(VLOOKUP($A25,'Annex 2 EHV charges'!$A:$O,8,FALSE)=0,"",VLOOKUP($A25,'Annex 2 EHV charges'!$A:$O,8,FALSE)),"")</f>
        <v/>
      </c>
      <c r="F25" s="129">
        <f>IFERROR(IF(VLOOKUP($A25,'Annex 2 EHV charges'!$A:$O,9,FALSE)=0,"",VLOOKUP($A25,'Annex 2 EHV charges'!$A:$O,9,FALSE)),"")</f>
        <v>685.59</v>
      </c>
      <c r="G25" s="130">
        <f>IFERROR(IF(VLOOKUP($A25,'Annex 2 EHV charges'!$A:$O,10,FALSE)=0,"",VLOOKUP($A25,'Annex 2 EHV charges'!$A:$O,10,FALSE)),"")</f>
        <v>0.91</v>
      </c>
      <c r="H25" s="130">
        <f>IFERROR(IF(VLOOKUP($A25,'Annex 2 EHV charges'!$A:$O,11,FALSE)=0,"",VLOOKUP($A25,'Annex 2 EHV charges'!$A:$O,11,FALSE)),"")</f>
        <v>0.91</v>
      </c>
    </row>
    <row r="26" spans="1:8" ht="12.75" customHeight="1" x14ac:dyDescent="0.2">
      <c r="A26" s="123">
        <f t="array" ref="A26">IFERROR(INDEX('Annex 2 EHV charges'!$A$11:$A$260, MATCH(0, IF(ISBLANK('Annex 2 EHV charges'!$A$11:$A$260),1, COUNTIF(A$4:$A25, 'Annex 2 EHV charges'!$A$11:$A$260)), 0)),"")</f>
        <v>822</v>
      </c>
      <c r="B26" s="123">
        <f>IF($A26="","",VLOOKUP($A26,'Annex 2 EHV charges'!$A:$O,2,0))</f>
        <v>822</v>
      </c>
      <c r="C26" s="124">
        <f>IF($A26="","",VLOOKUP($A26,'Annex 2 EHV charges'!$A:$O,3,0))</f>
        <v>1800060683754</v>
      </c>
      <c r="D26" s="123" t="str">
        <f>IF($A26="","",VLOOKUP($A26,'Annex 2 EHV charges'!$A:$O,7,0))</f>
        <v>Ewe Hill Dumfries WF</v>
      </c>
      <c r="E26" s="128" t="str">
        <f>IFERROR(IF(VLOOKUP($A26,'Annex 2 EHV charges'!$A:$O,8,FALSE)=0,"",VLOOKUP($A26,'Annex 2 EHV charges'!$A:$O,8,FALSE)),"")</f>
        <v/>
      </c>
      <c r="F26" s="129">
        <f>IFERROR(IF(VLOOKUP($A26,'Annex 2 EHV charges'!$A:$O,9,FALSE)=0,"",VLOOKUP($A26,'Annex 2 EHV charges'!$A:$O,9,FALSE)),"")</f>
        <v>522.91999999999996</v>
      </c>
      <c r="G26" s="130">
        <f>IFERROR(IF(VLOOKUP($A26,'Annex 2 EHV charges'!$A:$O,10,FALSE)=0,"",VLOOKUP($A26,'Annex 2 EHV charges'!$A:$O,10,FALSE)),"")</f>
        <v>2.57</v>
      </c>
      <c r="H26" s="130">
        <f>IFERROR(IF(VLOOKUP($A26,'Annex 2 EHV charges'!$A:$O,11,FALSE)=0,"",VLOOKUP($A26,'Annex 2 EHV charges'!$A:$O,11,FALSE)),"")</f>
        <v>2.57</v>
      </c>
    </row>
    <row r="27" spans="1:8" ht="12.75" customHeight="1" x14ac:dyDescent="0.2">
      <c r="A27" s="123">
        <f t="array" ref="A27">IFERROR(INDEX('Annex 2 EHV charges'!$A$11:$A$260, MATCH(0, IF(ISBLANK('Annex 2 EHV charges'!$A$11:$A$260),1, COUNTIF(A$4:$A26, 'Annex 2 EHV charges'!$A$11:$A$260)), 0)),"")</f>
        <v>823</v>
      </c>
      <c r="B27" s="123">
        <f>IF($A27="","",VLOOKUP($A27,'Annex 2 EHV charges'!$A:$O,2,0))</f>
        <v>823</v>
      </c>
      <c r="C27" s="124">
        <f>IF($A27="","",VLOOKUP($A27,'Annex 2 EHV charges'!$A:$O,3,0))</f>
        <v>1800060697223</v>
      </c>
      <c r="D27" s="123" t="str">
        <f>IF($A27="","",VLOOKUP($A27,'Annex 2 EHV charges'!$A:$O,7,0))</f>
        <v>Langhope Rig (D) WF</v>
      </c>
      <c r="E27" s="128" t="str">
        <f>IFERROR(IF(VLOOKUP($A27,'Annex 2 EHV charges'!$A:$O,8,FALSE)=0,"",VLOOKUP($A27,'Annex 2 EHV charges'!$A:$O,8,FALSE)),"")</f>
        <v/>
      </c>
      <c r="F27" s="129">
        <f>IFERROR(IF(VLOOKUP($A27,'Annex 2 EHV charges'!$A:$O,9,FALSE)=0,"",VLOOKUP($A27,'Annex 2 EHV charges'!$A:$O,9,FALSE)),"")</f>
        <v>47.06</v>
      </c>
      <c r="G27" s="130">
        <f>IFERROR(IF(VLOOKUP($A27,'Annex 2 EHV charges'!$A:$O,10,FALSE)=0,"",VLOOKUP($A27,'Annex 2 EHV charges'!$A:$O,10,FALSE)),"")</f>
        <v>1.65</v>
      </c>
      <c r="H27" s="130">
        <f>IFERROR(IF(VLOOKUP($A27,'Annex 2 EHV charges'!$A:$O,11,FALSE)=0,"",VLOOKUP($A27,'Annex 2 EHV charges'!$A:$O,11,FALSE)),"")</f>
        <v>1.65</v>
      </c>
    </row>
    <row r="28" spans="1:8" ht="12.75" customHeight="1" x14ac:dyDescent="0.2">
      <c r="A28" s="123">
        <f t="array" ref="A28">IFERROR(INDEX('Annex 2 EHV charges'!$A$11:$A$260, MATCH(0, IF(ISBLANK('Annex 2 EHV charges'!$A$11:$A$260),1, COUNTIF(A$4:$A27, 'Annex 2 EHV charges'!$A$11:$A$260)), 0)),"")</f>
        <v>824</v>
      </c>
      <c r="B28" s="123">
        <f>IF($A28="","",VLOOKUP($A28,'Annex 2 EHV charges'!$A:$O,2,0))</f>
        <v>824</v>
      </c>
      <c r="C28" s="124">
        <f>IF($A28="","",VLOOKUP($A28,'Annex 2 EHV charges'!$A:$O,3,0))</f>
        <v>1800060674253</v>
      </c>
      <c r="D28" s="123" t="str">
        <f>IF($A28="","",VLOOKUP($A28,'Annex 2 EHV charges'!$A:$O,7,0))</f>
        <v>Muirhall Extention WF</v>
      </c>
      <c r="E28" s="128" t="str">
        <f>IFERROR(IF(VLOOKUP($A28,'Annex 2 EHV charges'!$A:$O,8,FALSE)=0,"",VLOOKUP($A28,'Annex 2 EHV charges'!$A:$O,8,FALSE)),"")</f>
        <v/>
      </c>
      <c r="F28" s="129">
        <f>IFERROR(IF(VLOOKUP($A28,'Annex 2 EHV charges'!$A:$O,9,FALSE)=0,"",VLOOKUP($A28,'Annex 2 EHV charges'!$A:$O,9,FALSE)),"")</f>
        <v>60.32</v>
      </c>
      <c r="G28" s="130">
        <f>IFERROR(IF(VLOOKUP($A28,'Annex 2 EHV charges'!$A:$O,10,FALSE)=0,"",VLOOKUP($A28,'Annex 2 EHV charges'!$A:$O,10,FALSE)),"")</f>
        <v>2.62</v>
      </c>
      <c r="H28" s="130">
        <f>IFERROR(IF(VLOOKUP($A28,'Annex 2 EHV charges'!$A:$O,11,FALSE)=0,"",VLOOKUP($A28,'Annex 2 EHV charges'!$A:$O,11,FALSE)),"")</f>
        <v>2.62</v>
      </c>
    </row>
    <row r="29" spans="1:8" ht="12.75" customHeight="1" x14ac:dyDescent="0.2">
      <c r="A29" s="123">
        <f t="array" ref="A29">IFERROR(INDEX('Annex 2 EHV charges'!$A$11:$A$260, MATCH(0, IF(ISBLANK('Annex 2 EHV charges'!$A$11:$A$260),1, COUNTIF(A$4:$A28, 'Annex 2 EHV charges'!$A$11:$A$260)), 0)),"")</f>
        <v>825</v>
      </c>
      <c r="B29" s="123">
        <f>IF($A29="","",VLOOKUP($A29,'Annex 2 EHV charges'!$A:$O,2,0))</f>
        <v>825</v>
      </c>
      <c r="C29" s="124">
        <f>IF($A29="","",VLOOKUP($A29,'Annex 2 EHV charges'!$A:$O,3,0))</f>
        <v>1800060159192</v>
      </c>
      <c r="D29" s="123" t="str">
        <f>IF($A29="","",VLOOKUP($A29,'Annex 2 EHV charges'!$A:$O,7,0))</f>
        <v>Aikengall</v>
      </c>
      <c r="E29" s="128" t="str">
        <f>IFERROR(IF(VLOOKUP($A29,'Annex 2 EHV charges'!$A:$O,8,FALSE)=0,"",VLOOKUP($A29,'Annex 2 EHV charges'!$A:$O,8,FALSE)),"")</f>
        <v/>
      </c>
      <c r="F29" s="129">
        <f>IFERROR(IF(VLOOKUP($A29,'Annex 2 EHV charges'!$A:$O,9,FALSE)=0,"",VLOOKUP($A29,'Annex 2 EHV charges'!$A:$O,9,FALSE)),"")</f>
        <v>1622.47</v>
      </c>
      <c r="G29" s="130" t="str">
        <f>IFERROR(IF(VLOOKUP($A29,'Annex 2 EHV charges'!$A:$O,10,FALSE)=0,"",VLOOKUP($A29,'Annex 2 EHV charges'!$A:$O,10,FALSE)),"")</f>
        <v/>
      </c>
      <c r="H29" s="130" t="str">
        <f>IFERROR(IF(VLOOKUP($A29,'Annex 2 EHV charges'!$A:$O,11,FALSE)=0,"",VLOOKUP($A29,'Annex 2 EHV charges'!$A:$O,11,FALSE)),"")</f>
        <v/>
      </c>
    </row>
    <row r="30" spans="1:8" ht="12.75" customHeight="1" x14ac:dyDescent="0.2">
      <c r="A30" s="123">
        <f t="array" ref="A30">IFERROR(INDEX('Annex 2 EHV charges'!$A$11:$A$260, MATCH(0, IF(ISBLANK('Annex 2 EHV charges'!$A$11:$A$260),1, COUNTIF(A$4:$A29, 'Annex 2 EHV charges'!$A$11:$A$260)), 0)),"")</f>
        <v>826</v>
      </c>
      <c r="B30" s="123">
        <f>IF($A30="","",VLOOKUP($A30,'Annex 2 EHV charges'!$A:$O,2,0))</f>
        <v>826</v>
      </c>
      <c r="C30" s="124">
        <f>IF($A30="","",VLOOKUP($A30,'Annex 2 EHV charges'!$A:$O,3,0))</f>
        <v>1800053646251</v>
      </c>
      <c r="D30" s="123" t="str">
        <f>IF($A30="","",VLOOKUP($A30,'Annex 2 EHV charges'!$A:$O,7,0))</f>
        <v>Hagshaw Hill</v>
      </c>
      <c r="E30" s="128" t="str">
        <f>IFERROR(IF(VLOOKUP($A30,'Annex 2 EHV charges'!$A:$O,8,FALSE)=0,"",VLOOKUP($A30,'Annex 2 EHV charges'!$A:$O,8,FALSE)),"")</f>
        <v/>
      </c>
      <c r="F30" s="129">
        <f>IFERROR(IF(VLOOKUP($A30,'Annex 2 EHV charges'!$A:$O,9,FALSE)=0,"",VLOOKUP($A30,'Annex 2 EHV charges'!$A:$O,9,FALSE)),"")</f>
        <v>44.62</v>
      </c>
      <c r="G30" s="130">
        <f>IFERROR(IF(VLOOKUP($A30,'Annex 2 EHV charges'!$A:$O,10,FALSE)=0,"",VLOOKUP($A30,'Annex 2 EHV charges'!$A:$O,10,FALSE)),"")</f>
        <v>2.62</v>
      </c>
      <c r="H30" s="130">
        <f>IFERROR(IF(VLOOKUP($A30,'Annex 2 EHV charges'!$A:$O,11,FALSE)=0,"",VLOOKUP($A30,'Annex 2 EHV charges'!$A:$O,11,FALSE)),"")</f>
        <v>2.62</v>
      </c>
    </row>
    <row r="31" spans="1:8" ht="12.75" customHeight="1" x14ac:dyDescent="0.2">
      <c r="A31" s="123">
        <f t="array" ref="A31">IFERROR(INDEX('Annex 2 EHV charges'!$A$11:$A$260, MATCH(0, IF(ISBLANK('Annex 2 EHV charges'!$A$11:$A$260),1, COUNTIF(A$4:$A30, 'Annex 2 EHV charges'!$A$11:$A$260)), 0)),"")</f>
        <v>827</v>
      </c>
      <c r="B31" s="123">
        <f>IF($A31="","",VLOOKUP($A31,'Annex 2 EHV charges'!$A:$O,2,0))</f>
        <v>827</v>
      </c>
      <c r="C31" s="124">
        <f>IF($A31="","",VLOOKUP($A31,'Annex 2 EHV charges'!$A:$O,3,0))</f>
        <v>1800053646190</v>
      </c>
      <c r="D31" s="123" t="str">
        <f>IF($A31="","",VLOOKUP($A31,'Annex 2 EHV charges'!$A:$O,7,0))</f>
        <v>Gallow Rig</v>
      </c>
      <c r="E31" s="128" t="str">
        <f>IFERROR(IF(VLOOKUP($A31,'Annex 2 EHV charges'!$A:$O,8,FALSE)=0,"",VLOOKUP($A31,'Annex 2 EHV charges'!$A:$O,8,FALSE)),"")</f>
        <v/>
      </c>
      <c r="F31" s="129">
        <f>IFERROR(IF(VLOOKUP($A31,'Annex 2 EHV charges'!$A:$O,9,FALSE)=0,"",VLOOKUP($A31,'Annex 2 EHV charges'!$A:$O,9,FALSE)),"")</f>
        <v>155.6</v>
      </c>
      <c r="G31" s="130">
        <f>IFERROR(IF(VLOOKUP($A31,'Annex 2 EHV charges'!$A:$O,10,FALSE)=0,"",VLOOKUP($A31,'Annex 2 EHV charges'!$A:$O,10,FALSE)),"")</f>
        <v>2.54</v>
      </c>
      <c r="H31" s="130">
        <f>IFERROR(IF(VLOOKUP($A31,'Annex 2 EHV charges'!$A:$O,11,FALSE)=0,"",VLOOKUP($A31,'Annex 2 EHV charges'!$A:$O,11,FALSE)),"")</f>
        <v>2.54</v>
      </c>
    </row>
    <row r="32" spans="1:8" ht="12.75" customHeight="1" x14ac:dyDescent="0.2">
      <c r="A32" s="123">
        <f t="array" ref="A32">IFERROR(INDEX('Annex 2 EHV charges'!$A$11:$A$260, MATCH(0, IF(ISBLANK('Annex 2 EHV charges'!$A$11:$A$260),1, COUNTIF(A$4:$A31, 'Annex 2 EHV charges'!$A$11:$A$260)), 0)),"")</f>
        <v>828</v>
      </c>
      <c r="B32" s="123">
        <f>IF($A32="","",VLOOKUP($A32,'Annex 2 EHV charges'!$A:$O,2,0))</f>
        <v>828</v>
      </c>
      <c r="C32" s="124">
        <f>IF($A32="","",VLOOKUP($A32,'Annex 2 EHV charges'!$A:$O,3,0))</f>
        <v>1800053646172</v>
      </c>
      <c r="D32" s="123" t="str">
        <f>IF($A32="","",VLOOKUP($A32,'Annex 2 EHV charges'!$A:$O,7,0))</f>
        <v>Polwhat Rig</v>
      </c>
      <c r="E32" s="128" t="str">
        <f>IFERROR(IF(VLOOKUP($A32,'Annex 2 EHV charges'!$A:$O,8,FALSE)=0,"",VLOOKUP($A32,'Annex 2 EHV charges'!$A:$O,8,FALSE)),"")</f>
        <v/>
      </c>
      <c r="F32" s="129">
        <f>IFERROR(IF(VLOOKUP($A32,'Annex 2 EHV charges'!$A:$O,9,FALSE)=0,"",VLOOKUP($A32,'Annex 2 EHV charges'!$A:$O,9,FALSE)),"")</f>
        <v>185.09</v>
      </c>
      <c r="G32" s="130">
        <f>IFERROR(IF(VLOOKUP($A32,'Annex 2 EHV charges'!$A:$O,10,FALSE)=0,"",VLOOKUP($A32,'Annex 2 EHV charges'!$A:$O,10,FALSE)),"")</f>
        <v>2.5299999999999998</v>
      </c>
      <c r="H32" s="130">
        <f>IFERROR(IF(VLOOKUP($A32,'Annex 2 EHV charges'!$A:$O,11,FALSE)=0,"",VLOOKUP($A32,'Annex 2 EHV charges'!$A:$O,11,FALSE)),"")</f>
        <v>2.5299999999999998</v>
      </c>
    </row>
    <row r="33" spans="1:8" ht="12.75" customHeight="1" x14ac:dyDescent="0.2">
      <c r="A33" s="123">
        <f t="array" ref="A33">IFERROR(INDEX('Annex 2 EHV charges'!$A$11:$A$260, MATCH(0, IF(ISBLANK('Annex 2 EHV charges'!$A$11:$A$260),1, COUNTIF(A$4:$A32, 'Annex 2 EHV charges'!$A$11:$A$260)), 0)),"")</f>
        <v>829</v>
      </c>
      <c r="B33" s="123">
        <f>IF($A33="","",VLOOKUP($A33,'Annex 2 EHV charges'!$A:$O,2,0))</f>
        <v>829</v>
      </c>
      <c r="C33" s="124">
        <f>IF($A33="","",VLOOKUP($A33,'Annex 2 EHV charges'!$A:$O,3,0))</f>
        <v>1800054738267</v>
      </c>
      <c r="D33" s="123" t="str">
        <f>IF($A33="","",VLOOKUP($A33,'Annex 2 EHV charges'!$A:$O,7,0))</f>
        <v>Greendykeside</v>
      </c>
      <c r="E33" s="128" t="str">
        <f>IFERROR(IF(VLOOKUP($A33,'Annex 2 EHV charges'!$A:$O,8,FALSE)=0,"",VLOOKUP($A33,'Annex 2 EHV charges'!$A:$O,8,FALSE)),"")</f>
        <v/>
      </c>
      <c r="F33" s="129">
        <f>IFERROR(IF(VLOOKUP($A33,'Annex 2 EHV charges'!$A:$O,9,FALSE)=0,"",VLOOKUP($A33,'Annex 2 EHV charges'!$A:$O,9,FALSE)),"")</f>
        <v>58.62</v>
      </c>
      <c r="G33" s="130">
        <f>IFERROR(IF(VLOOKUP($A33,'Annex 2 EHV charges'!$A:$O,10,FALSE)=0,"",VLOOKUP($A33,'Annex 2 EHV charges'!$A:$O,10,FALSE)),"")</f>
        <v>2.65</v>
      </c>
      <c r="H33" s="130">
        <f>IFERROR(IF(VLOOKUP($A33,'Annex 2 EHV charges'!$A:$O,11,FALSE)=0,"",VLOOKUP($A33,'Annex 2 EHV charges'!$A:$O,11,FALSE)),"")</f>
        <v>2.65</v>
      </c>
    </row>
    <row r="34" spans="1:8" ht="12.75" customHeight="1" x14ac:dyDescent="0.2">
      <c r="A34" s="123">
        <f t="array" ref="A34">IFERROR(INDEX('Annex 2 EHV charges'!$A$11:$A$260, MATCH(0, IF(ISBLANK('Annex 2 EHV charges'!$A$11:$A$260),1, COUNTIF(A$4:$A33, 'Annex 2 EHV charges'!$A$11:$A$260)), 0)),"")</f>
        <v>830</v>
      </c>
      <c r="B34" s="123">
        <f>IF($A34="","",VLOOKUP($A34,'Annex 2 EHV charges'!$A:$O,2,0))</f>
        <v>830</v>
      </c>
      <c r="C34" s="124">
        <f>IF($A34="","",VLOOKUP($A34,'Annex 2 EHV charges'!$A:$O,3,0))</f>
        <v>1800053647237</v>
      </c>
      <c r="D34" s="123" t="str">
        <f>IF($A34="","",VLOOKUP($A34,'Annex 2 EHV charges'!$A:$O,7,0))</f>
        <v>Dun Law</v>
      </c>
      <c r="E34" s="128" t="str">
        <f>IFERROR(IF(VLOOKUP($A34,'Annex 2 EHV charges'!$A:$O,8,FALSE)=0,"",VLOOKUP($A34,'Annex 2 EHV charges'!$A:$O,8,FALSE)),"")</f>
        <v/>
      </c>
      <c r="F34" s="129">
        <f>IFERROR(IF(VLOOKUP($A34,'Annex 2 EHV charges'!$A:$O,9,FALSE)=0,"",VLOOKUP($A34,'Annex 2 EHV charges'!$A:$O,9,FALSE)),"")</f>
        <v>38.799999999999997</v>
      </c>
      <c r="G34" s="130">
        <f>IFERROR(IF(VLOOKUP($A34,'Annex 2 EHV charges'!$A:$O,10,FALSE)=0,"",VLOOKUP($A34,'Annex 2 EHV charges'!$A:$O,10,FALSE)),"")</f>
        <v>2.61</v>
      </c>
      <c r="H34" s="130">
        <f>IFERROR(IF(VLOOKUP($A34,'Annex 2 EHV charges'!$A:$O,11,FALSE)=0,"",VLOOKUP($A34,'Annex 2 EHV charges'!$A:$O,11,FALSE)),"")</f>
        <v>2.61</v>
      </c>
    </row>
    <row r="35" spans="1:8" ht="12.75" customHeight="1" x14ac:dyDescent="0.2">
      <c r="A35" s="123">
        <f t="array" ref="A35">IFERROR(INDEX('Annex 2 EHV charges'!$A$11:$A$260, MATCH(0, IF(ISBLANK('Annex 2 EHV charges'!$A$11:$A$260),1, COUNTIF(A$4:$A34, 'Annex 2 EHV charges'!$A$11:$A$260)), 0)),"")</f>
        <v>831</v>
      </c>
      <c r="B35" s="123">
        <f>IF($A35="","",VLOOKUP($A35,'Annex 2 EHV charges'!$A:$O,2,0))</f>
        <v>831</v>
      </c>
      <c r="C35" s="124">
        <f>IF($A35="","",VLOOKUP($A35,'Annex 2 EHV charges'!$A:$O,3,0))</f>
        <v>1800053647194</v>
      </c>
      <c r="D35" s="123" t="str">
        <f>IF($A35="","",VLOOKUP($A35,'Annex 2 EHV charges'!$A:$O,7,0))</f>
        <v>EPR Scotland Ltd</v>
      </c>
      <c r="E35" s="128" t="str">
        <f>IFERROR(IF(VLOOKUP($A35,'Annex 2 EHV charges'!$A:$O,8,FALSE)=0,"",VLOOKUP($A35,'Annex 2 EHV charges'!$A:$O,8,FALSE)),"")</f>
        <v/>
      </c>
      <c r="F35" s="129">
        <f>IFERROR(IF(VLOOKUP($A35,'Annex 2 EHV charges'!$A:$O,9,FALSE)=0,"",VLOOKUP($A35,'Annex 2 EHV charges'!$A:$O,9,FALSE)),"")</f>
        <v>310.10000000000002</v>
      </c>
      <c r="G35" s="130">
        <f>IFERROR(IF(VLOOKUP($A35,'Annex 2 EHV charges'!$A:$O,10,FALSE)=0,"",VLOOKUP($A35,'Annex 2 EHV charges'!$A:$O,10,FALSE)),"")</f>
        <v>2.71</v>
      </c>
      <c r="H35" s="130">
        <f>IFERROR(IF(VLOOKUP($A35,'Annex 2 EHV charges'!$A:$O,11,FALSE)=0,"",VLOOKUP($A35,'Annex 2 EHV charges'!$A:$O,11,FALSE)),"")</f>
        <v>2.71</v>
      </c>
    </row>
    <row r="36" spans="1:8" ht="12.75" customHeight="1" x14ac:dyDescent="0.2">
      <c r="A36" s="123">
        <f t="array" ref="A36">IFERROR(INDEX('Annex 2 EHV charges'!$A$11:$A$260, MATCH(0, IF(ISBLANK('Annex 2 EHV charges'!$A$11:$A$260),1, COUNTIF(A$4:$A35, 'Annex 2 EHV charges'!$A$11:$A$260)), 0)),"")</f>
        <v>832</v>
      </c>
      <c r="B36" s="123">
        <f>IF($A36="","",VLOOKUP($A36,'Annex 2 EHV charges'!$A:$O,2,0))</f>
        <v>832</v>
      </c>
      <c r="C36" s="124">
        <f>IF($A36="","",VLOOKUP($A36,'Annex 2 EHV charges'!$A:$O,3,0))</f>
        <v>1800053648027</v>
      </c>
      <c r="D36" s="123" t="str">
        <f>IF($A36="","",VLOOKUP($A36,'Annex 2 EHV charges'!$A:$O,7,0))</f>
        <v>Bowbeat (Emly Bank)</v>
      </c>
      <c r="E36" s="128" t="str">
        <f>IFERROR(IF(VLOOKUP($A36,'Annex 2 EHV charges'!$A:$O,8,FALSE)=0,"",VLOOKUP($A36,'Annex 2 EHV charges'!$A:$O,8,FALSE)),"")</f>
        <v/>
      </c>
      <c r="F36" s="129">
        <f>IFERROR(IF(VLOOKUP($A36,'Annex 2 EHV charges'!$A:$O,9,FALSE)=0,"",VLOOKUP($A36,'Annex 2 EHV charges'!$A:$O,9,FALSE)),"")</f>
        <v>200.95</v>
      </c>
      <c r="G36" s="130">
        <f>IFERROR(IF(VLOOKUP($A36,'Annex 2 EHV charges'!$A:$O,10,FALSE)=0,"",VLOOKUP($A36,'Annex 2 EHV charges'!$A:$O,10,FALSE)),"")</f>
        <v>2.5499999999999998</v>
      </c>
      <c r="H36" s="130">
        <f>IFERROR(IF(VLOOKUP($A36,'Annex 2 EHV charges'!$A:$O,11,FALSE)=0,"",VLOOKUP($A36,'Annex 2 EHV charges'!$A:$O,11,FALSE)),"")</f>
        <v>2.5499999999999998</v>
      </c>
    </row>
    <row r="37" spans="1:8" ht="12.75" customHeight="1" x14ac:dyDescent="0.2">
      <c r="A37" s="123">
        <f t="array" ref="A37">IFERROR(INDEX('Annex 2 EHV charges'!$A$11:$A$260, MATCH(0, IF(ISBLANK('Annex 2 EHV charges'!$A$11:$A$260),1, COUNTIF(A$4:$A36, 'Annex 2 EHV charges'!$A$11:$A$260)), 0)),"")</f>
        <v>833</v>
      </c>
      <c r="B37" s="123">
        <f>IF($A37="","",VLOOKUP($A37,'Annex 2 EHV charges'!$A:$O,2,0))</f>
        <v>833</v>
      </c>
      <c r="C37" s="124">
        <f>IF($A37="","",VLOOKUP($A37,'Annex 2 EHV charges'!$A:$O,3,0))</f>
        <v>1800053648045</v>
      </c>
      <c r="D37" s="123" t="str">
        <f>IF($A37="","",VLOOKUP($A37,'Annex 2 EHV charges'!$A:$O,7,0))</f>
        <v>Bowbeat (Roughsidehill)</v>
      </c>
      <c r="E37" s="128" t="str">
        <f>IFERROR(IF(VLOOKUP($A37,'Annex 2 EHV charges'!$A:$O,8,FALSE)=0,"",VLOOKUP($A37,'Annex 2 EHV charges'!$A:$O,8,FALSE)),"")</f>
        <v/>
      </c>
      <c r="F37" s="129">
        <f>IFERROR(IF(VLOOKUP($A37,'Annex 2 EHV charges'!$A:$O,9,FALSE)=0,"",VLOOKUP($A37,'Annex 2 EHV charges'!$A:$O,9,FALSE)),"")</f>
        <v>140.26</v>
      </c>
      <c r="G37" s="130">
        <f>IFERROR(IF(VLOOKUP($A37,'Annex 2 EHV charges'!$A:$O,10,FALSE)=0,"",VLOOKUP($A37,'Annex 2 EHV charges'!$A:$O,10,FALSE)),"")</f>
        <v>2.58</v>
      </c>
      <c r="H37" s="130">
        <f>IFERROR(IF(VLOOKUP($A37,'Annex 2 EHV charges'!$A:$O,11,FALSE)=0,"",VLOOKUP($A37,'Annex 2 EHV charges'!$A:$O,11,FALSE)),"")</f>
        <v>2.58</v>
      </c>
    </row>
    <row r="38" spans="1:8" ht="12.75" customHeight="1" x14ac:dyDescent="0.2">
      <c r="A38" s="123">
        <f t="array" ref="A38">IFERROR(INDEX('Annex 2 EHV charges'!$A$11:$A$260, MATCH(0, IF(ISBLANK('Annex 2 EHV charges'!$A$11:$A$260),1, COUNTIF(A$4:$A37, 'Annex 2 EHV charges'!$A$11:$A$260)), 0)),"")</f>
        <v>834</v>
      </c>
      <c r="B38" s="123">
        <f>IF($A38="","",VLOOKUP($A38,'Annex 2 EHV charges'!$A:$O,2,0))</f>
        <v>834</v>
      </c>
      <c r="C38" s="124">
        <f>IF($A38="","",VLOOKUP($A38,'Annex 2 EHV charges'!$A:$O,3,0))</f>
        <v>1800053647380</v>
      </c>
      <c r="D38" s="123" t="str">
        <f>IF($A38="","",VLOOKUP($A38,'Annex 2 EHV charges'!$A:$O,7,0))</f>
        <v>Harehill</v>
      </c>
      <c r="E38" s="128" t="str">
        <f>IFERROR(IF(VLOOKUP($A38,'Annex 2 EHV charges'!$A:$O,8,FALSE)=0,"",VLOOKUP($A38,'Annex 2 EHV charges'!$A:$O,8,FALSE)),"")</f>
        <v/>
      </c>
      <c r="F38" s="129">
        <f>IFERROR(IF(VLOOKUP($A38,'Annex 2 EHV charges'!$A:$O,9,FALSE)=0,"",VLOOKUP($A38,'Annex 2 EHV charges'!$A:$O,9,FALSE)),"")</f>
        <v>139.77000000000001</v>
      </c>
      <c r="G38" s="130">
        <f>IFERROR(IF(VLOOKUP($A38,'Annex 2 EHV charges'!$A:$O,10,FALSE)=0,"",VLOOKUP($A38,'Annex 2 EHV charges'!$A:$O,10,FALSE)),"")</f>
        <v>2.57</v>
      </c>
      <c r="H38" s="130">
        <f>IFERROR(IF(VLOOKUP($A38,'Annex 2 EHV charges'!$A:$O,11,FALSE)=0,"",VLOOKUP($A38,'Annex 2 EHV charges'!$A:$O,11,FALSE)),"")</f>
        <v>2.57</v>
      </c>
    </row>
    <row r="39" spans="1:8" ht="12.75" customHeight="1" x14ac:dyDescent="0.2">
      <c r="A39" s="123">
        <f t="array" ref="A39">IFERROR(INDEX('Annex 2 EHV charges'!$A$11:$A$260, MATCH(0, IF(ISBLANK('Annex 2 EHV charges'!$A$11:$A$260),1, COUNTIF(A$4:$A38, 'Annex 2 EHV charges'!$A$11:$A$260)), 0)),"")</f>
        <v>835</v>
      </c>
      <c r="B39" s="123">
        <f>IF($A39="","",VLOOKUP($A39,'Annex 2 EHV charges'!$A:$O,2,0))</f>
        <v>835</v>
      </c>
      <c r="C39" s="124">
        <f>IF($A39="","",VLOOKUP($A39,'Annex 2 EHV charges'!$A:$O,3,0))</f>
        <v>1800053647618</v>
      </c>
      <c r="D39" s="123" t="str">
        <f>IF($A39="","",VLOOKUP($A39,'Annex 2 EHV charges'!$A:$O,7,0))</f>
        <v>Shanks &amp; McEwan 3&amp;4</v>
      </c>
      <c r="E39" s="128" t="str">
        <f>IFERROR(IF(VLOOKUP($A39,'Annex 2 EHV charges'!$A:$O,8,FALSE)=0,"",VLOOKUP($A39,'Annex 2 EHV charges'!$A:$O,8,FALSE)),"")</f>
        <v/>
      </c>
      <c r="F39" s="129">
        <f>IFERROR(IF(VLOOKUP($A39,'Annex 2 EHV charges'!$A:$O,9,FALSE)=0,"",VLOOKUP($A39,'Annex 2 EHV charges'!$A:$O,9,FALSE)),"")</f>
        <v>131.06</v>
      </c>
      <c r="G39" s="130">
        <f>IFERROR(IF(VLOOKUP($A39,'Annex 2 EHV charges'!$A:$O,10,FALSE)=0,"",VLOOKUP($A39,'Annex 2 EHV charges'!$A:$O,10,FALSE)),"")</f>
        <v>2.68</v>
      </c>
      <c r="H39" s="130">
        <f>IFERROR(IF(VLOOKUP($A39,'Annex 2 EHV charges'!$A:$O,11,FALSE)=0,"",VLOOKUP($A39,'Annex 2 EHV charges'!$A:$O,11,FALSE)),"")</f>
        <v>2.68</v>
      </c>
    </row>
    <row r="40" spans="1:8" ht="12.75" customHeight="1" x14ac:dyDescent="0.2">
      <c r="A40" s="123">
        <f t="array" ref="A40">IFERROR(INDEX('Annex 2 EHV charges'!$A$11:$A$260, MATCH(0, IF(ISBLANK('Annex 2 EHV charges'!$A$11:$A$260),1, COUNTIF(A$4:$A39, 'Annex 2 EHV charges'!$A$11:$A$260)), 0)),"")</f>
        <v>836</v>
      </c>
      <c r="B40" s="123">
        <f>IF($A40="","",VLOOKUP($A40,'Annex 2 EHV charges'!$A:$O,2,0))</f>
        <v>836</v>
      </c>
      <c r="C40" s="124">
        <f>IF($A40="","",VLOOKUP($A40,'Annex 2 EHV charges'!$A:$O,3,0))</f>
        <v>1800053647636</v>
      </c>
      <c r="D40" s="123" t="str">
        <f>IF($A40="","",VLOOKUP($A40,'Annex 2 EHV charges'!$A:$O,7,0))</f>
        <v>Shanks &amp; McEwan 5</v>
      </c>
      <c r="E40" s="128" t="str">
        <f>IFERROR(IF(VLOOKUP($A40,'Annex 2 EHV charges'!$A:$O,8,FALSE)=0,"",VLOOKUP($A40,'Annex 2 EHV charges'!$A:$O,8,FALSE)),"")</f>
        <v/>
      </c>
      <c r="F40" s="129">
        <f>IFERROR(IF(VLOOKUP($A40,'Annex 2 EHV charges'!$A:$O,9,FALSE)=0,"",VLOOKUP($A40,'Annex 2 EHV charges'!$A:$O,9,FALSE)),"")</f>
        <v>30.76</v>
      </c>
      <c r="G40" s="130">
        <f>IFERROR(IF(VLOOKUP($A40,'Annex 2 EHV charges'!$A:$O,10,FALSE)=0,"",VLOOKUP($A40,'Annex 2 EHV charges'!$A:$O,10,FALSE)),"")</f>
        <v>2.52</v>
      </c>
      <c r="H40" s="130">
        <f>IFERROR(IF(VLOOKUP($A40,'Annex 2 EHV charges'!$A:$O,11,FALSE)=0,"",VLOOKUP($A40,'Annex 2 EHV charges'!$A:$O,11,FALSE)),"")</f>
        <v>2.52</v>
      </c>
    </row>
    <row r="41" spans="1:8" ht="12.75" customHeight="1" x14ac:dyDescent="0.2">
      <c r="A41" s="123">
        <f t="array" ref="A41">IFERROR(INDEX('Annex 2 EHV charges'!$A$11:$A$260, MATCH(0, IF(ISBLANK('Annex 2 EHV charges'!$A$11:$A$260),1, COUNTIF(A$4:$A40, 'Annex 2 EHV charges'!$A$11:$A$260)), 0)),"")</f>
        <v>837</v>
      </c>
      <c r="B41" s="123">
        <f>IF($A41="","",VLOOKUP($A41,'Annex 2 EHV charges'!$A:$O,2,0))</f>
        <v>837</v>
      </c>
      <c r="C41" s="124">
        <f>IF($A41="","",VLOOKUP($A41,'Annex 2 EHV charges'!$A:$O,3,0))</f>
        <v>1800053653843</v>
      </c>
      <c r="D41" s="123" t="str">
        <f>IF($A41="","",VLOOKUP($A41,'Annex 2 EHV charges'!$A:$O,7,0))</f>
        <v>Crystal Rig</v>
      </c>
      <c r="E41" s="128" t="str">
        <f>IFERROR(IF(VLOOKUP($A41,'Annex 2 EHV charges'!$A:$O,8,FALSE)=0,"",VLOOKUP($A41,'Annex 2 EHV charges'!$A:$O,8,FALSE)),"")</f>
        <v/>
      </c>
      <c r="F41" s="129">
        <f>IFERROR(IF(VLOOKUP($A41,'Annex 2 EHV charges'!$A:$O,9,FALSE)=0,"",VLOOKUP($A41,'Annex 2 EHV charges'!$A:$O,9,FALSE)),"")</f>
        <v>717.25</v>
      </c>
      <c r="G41" s="130">
        <f>IFERROR(IF(VLOOKUP($A41,'Annex 2 EHV charges'!$A:$O,10,FALSE)=0,"",VLOOKUP($A41,'Annex 2 EHV charges'!$A:$O,10,FALSE)),"")</f>
        <v>0.81</v>
      </c>
      <c r="H41" s="130">
        <f>IFERROR(IF(VLOOKUP($A41,'Annex 2 EHV charges'!$A:$O,11,FALSE)=0,"",VLOOKUP($A41,'Annex 2 EHV charges'!$A:$O,11,FALSE)),"")</f>
        <v>0.81</v>
      </c>
    </row>
    <row r="42" spans="1:8" ht="12.75" customHeight="1" x14ac:dyDescent="0.2">
      <c r="A42" s="123">
        <f t="array" ref="A42">IFERROR(INDEX('Annex 2 EHV charges'!$A$11:$A$260, MATCH(0, IF(ISBLANK('Annex 2 EHV charges'!$A$11:$A$260),1, COUNTIF(A$4:$A41, 'Annex 2 EHV charges'!$A$11:$A$260)), 0)),"")</f>
        <v>838</v>
      </c>
      <c r="B42" s="123">
        <f>IF($A42="","",VLOOKUP($A42,'Annex 2 EHV charges'!$A:$O,2,0))</f>
        <v>838</v>
      </c>
      <c r="C42" s="124">
        <f>IF($A42="","",VLOOKUP($A42,'Annex 2 EHV charges'!$A:$O,3,0))</f>
        <v>1800053694167</v>
      </c>
      <c r="D42" s="123" t="str">
        <f>IF($A42="","",VLOOKUP($A42,'Annex 2 EHV charges'!$A:$O,7,0))</f>
        <v>Haupland Muir (Ardrossan)</v>
      </c>
      <c r="E42" s="128" t="str">
        <f>IFERROR(IF(VLOOKUP($A42,'Annex 2 EHV charges'!$A:$O,8,FALSE)=0,"",VLOOKUP($A42,'Annex 2 EHV charges'!$A:$O,8,FALSE)),"")</f>
        <v/>
      </c>
      <c r="F42" s="129">
        <f>IFERROR(IF(VLOOKUP($A42,'Annex 2 EHV charges'!$A:$O,9,FALSE)=0,"",VLOOKUP($A42,'Annex 2 EHV charges'!$A:$O,9,FALSE)),"")</f>
        <v>8.1199999999999992</v>
      </c>
      <c r="G42" s="130">
        <f>IFERROR(IF(VLOOKUP($A42,'Annex 2 EHV charges'!$A:$O,10,FALSE)=0,"",VLOOKUP($A42,'Annex 2 EHV charges'!$A:$O,10,FALSE)),"")</f>
        <v>0.9</v>
      </c>
      <c r="H42" s="130">
        <f>IFERROR(IF(VLOOKUP($A42,'Annex 2 EHV charges'!$A:$O,11,FALSE)=0,"",VLOOKUP($A42,'Annex 2 EHV charges'!$A:$O,11,FALSE)),"")</f>
        <v>0.9</v>
      </c>
    </row>
    <row r="43" spans="1:8" ht="12.75" customHeight="1" x14ac:dyDescent="0.2">
      <c r="A43" s="123">
        <f t="array" ref="A43">IFERROR(INDEX('Annex 2 EHV charges'!$A$11:$A$260, MATCH(0, IF(ISBLANK('Annex 2 EHV charges'!$A$11:$A$260),1, COUNTIF(A$4:$A42, 'Annex 2 EHV charges'!$A$11:$A$260)), 0)),"")</f>
        <v>839</v>
      </c>
      <c r="B43" s="123">
        <f>IF($A43="","",VLOOKUP($A43,'Annex 2 EHV charges'!$A:$O,2,0))</f>
        <v>839</v>
      </c>
      <c r="C43" s="124">
        <f>IF($A43="","",VLOOKUP($A43,'Annex 2 EHV charges'!$A:$O,3,0))</f>
        <v>1800053950949</v>
      </c>
      <c r="D43" s="123" t="str">
        <f>IF($A43="","",VLOOKUP($A43,'Annex 2 EHV charges'!$A:$O,7,0))</f>
        <v>Wetherhill</v>
      </c>
      <c r="E43" s="128" t="str">
        <f>IFERROR(IF(VLOOKUP($A43,'Annex 2 EHV charges'!$A:$O,8,FALSE)=0,"",VLOOKUP($A43,'Annex 2 EHV charges'!$A:$O,8,FALSE)),"")</f>
        <v/>
      </c>
      <c r="F43" s="129">
        <f>IFERROR(IF(VLOOKUP($A43,'Annex 2 EHV charges'!$A:$O,9,FALSE)=0,"",VLOOKUP($A43,'Annex 2 EHV charges'!$A:$O,9,FALSE)),"")</f>
        <v>1409.51</v>
      </c>
      <c r="G43" s="130" t="str">
        <f>IFERROR(IF(VLOOKUP($A43,'Annex 2 EHV charges'!$A:$O,10,FALSE)=0,"",VLOOKUP($A43,'Annex 2 EHV charges'!$A:$O,10,FALSE)),"")</f>
        <v/>
      </c>
      <c r="H43" s="130" t="str">
        <f>IFERROR(IF(VLOOKUP($A43,'Annex 2 EHV charges'!$A:$O,11,FALSE)=0,"",VLOOKUP($A43,'Annex 2 EHV charges'!$A:$O,11,FALSE)),"")</f>
        <v/>
      </c>
    </row>
    <row r="44" spans="1:8" ht="12.75" customHeight="1" x14ac:dyDescent="0.2">
      <c r="A44" s="123">
        <f t="array" ref="A44">IFERROR(INDEX('Annex 2 EHV charges'!$A$11:$A$260, MATCH(0, IF(ISBLANK('Annex 2 EHV charges'!$A$11:$A$260),1, COUNTIF(A$4:$A43, 'Annex 2 EHV charges'!$A$11:$A$260)), 0)),"")</f>
        <v>840</v>
      </c>
      <c r="B44" s="123">
        <f>IF($A44="","",VLOOKUP($A44,'Annex 2 EHV charges'!$A:$O,2,0))</f>
        <v>840</v>
      </c>
      <c r="C44" s="124">
        <f>IF($A44="","",VLOOKUP($A44,'Annex 2 EHV charges'!$A:$O,3,0))</f>
        <v>1800053434271</v>
      </c>
      <c r="D44" s="123" t="str">
        <f>IF($A44="","",VLOOKUP($A44,'Annex 2 EHV charges'!$A:$O,7,0))</f>
        <v>Artfield WF</v>
      </c>
      <c r="E44" s="128" t="str">
        <f>IFERROR(IF(VLOOKUP($A44,'Annex 2 EHV charges'!$A:$O,8,FALSE)=0,"",VLOOKUP($A44,'Annex 2 EHV charges'!$A:$O,8,FALSE)),"")</f>
        <v/>
      </c>
      <c r="F44" s="129">
        <f>IFERROR(IF(VLOOKUP($A44,'Annex 2 EHV charges'!$A:$O,9,FALSE)=0,"",VLOOKUP($A44,'Annex 2 EHV charges'!$A:$O,9,FALSE)),"")</f>
        <v>912.25</v>
      </c>
      <c r="G44" s="130" t="str">
        <f>IFERROR(IF(VLOOKUP($A44,'Annex 2 EHV charges'!$A:$O,10,FALSE)=0,"",VLOOKUP($A44,'Annex 2 EHV charges'!$A:$O,10,FALSE)),"")</f>
        <v/>
      </c>
      <c r="H44" s="130" t="str">
        <f>IFERROR(IF(VLOOKUP($A44,'Annex 2 EHV charges'!$A:$O,11,FALSE)=0,"",VLOOKUP($A44,'Annex 2 EHV charges'!$A:$O,11,FALSE)),"")</f>
        <v/>
      </c>
    </row>
    <row r="45" spans="1:8" ht="12.75" customHeight="1" x14ac:dyDescent="0.2">
      <c r="A45" s="123">
        <f t="array" ref="A45">IFERROR(INDEX('Annex 2 EHV charges'!$A$11:$A$260, MATCH(0, IF(ISBLANK('Annex 2 EHV charges'!$A$11:$A$260),1, COUNTIF(A$4:$A44, 'Annex 2 EHV charges'!$A$11:$A$260)), 0)),"")</f>
        <v>841</v>
      </c>
      <c r="B45" s="123">
        <f>IF($A45="","",VLOOKUP($A45,'Annex 2 EHV charges'!$A:$O,2,0))</f>
        <v>841</v>
      </c>
      <c r="C45" s="124">
        <f>IF($A45="","",VLOOKUP($A45,'Annex 2 EHV charges'!$A:$O,3,0))</f>
        <v>1800054152982</v>
      </c>
      <c r="D45" s="123" t="str">
        <f>IF($A45="","",VLOOKUP($A45,'Annex 2 EHV charges'!$A:$O,7,0))</f>
        <v>Wardlaw Wood</v>
      </c>
      <c r="E45" s="128" t="str">
        <f>IFERROR(IF(VLOOKUP($A45,'Annex 2 EHV charges'!$A:$O,8,FALSE)=0,"",VLOOKUP($A45,'Annex 2 EHV charges'!$A:$O,8,FALSE)),"")</f>
        <v/>
      </c>
      <c r="F45" s="129">
        <f>IFERROR(IF(VLOOKUP($A45,'Annex 2 EHV charges'!$A:$O,9,FALSE)=0,"",VLOOKUP($A45,'Annex 2 EHV charges'!$A:$O,9,FALSE)),"")</f>
        <v>93.58</v>
      </c>
      <c r="G45" s="130">
        <f>IFERROR(IF(VLOOKUP($A45,'Annex 2 EHV charges'!$A:$O,10,FALSE)=0,"",VLOOKUP($A45,'Annex 2 EHV charges'!$A:$O,10,FALSE)),"")</f>
        <v>2.69</v>
      </c>
      <c r="H45" s="130">
        <f>IFERROR(IF(VLOOKUP($A45,'Annex 2 EHV charges'!$A:$O,11,FALSE)=0,"",VLOOKUP($A45,'Annex 2 EHV charges'!$A:$O,11,FALSE)),"")</f>
        <v>2.69</v>
      </c>
    </row>
    <row r="46" spans="1:8" ht="12.75" customHeight="1" x14ac:dyDescent="0.2">
      <c r="A46" s="123">
        <f t="array" ref="A46">IFERROR(INDEX('Annex 2 EHV charges'!$A$11:$A$260, MATCH(0, IF(ISBLANK('Annex 2 EHV charges'!$A$11:$A$260),1, COUNTIF(A$4:$A45, 'Annex 2 EHV charges'!$A$11:$A$260)), 0)),"")</f>
        <v>842</v>
      </c>
      <c r="B46" s="123">
        <f>IF($A46="","",VLOOKUP($A46,'Annex 2 EHV charges'!$A:$O,2,0))</f>
        <v>842</v>
      </c>
      <c r="C46" s="124">
        <f>IF($A46="","",VLOOKUP($A46,'Annex 2 EHV charges'!$A:$O,3,0))</f>
        <v>1800054198365</v>
      </c>
      <c r="D46" s="123" t="str">
        <f>IF($A46="","",VLOOKUP($A46,'Annex 2 EHV charges'!$A:$O,7,0))</f>
        <v>Earlsburn</v>
      </c>
      <c r="E46" s="128" t="str">
        <f>IFERROR(IF(VLOOKUP($A46,'Annex 2 EHV charges'!$A:$O,8,FALSE)=0,"",VLOOKUP($A46,'Annex 2 EHV charges'!$A:$O,8,FALSE)),"")</f>
        <v/>
      </c>
      <c r="F46" s="129">
        <f>IFERROR(IF(VLOOKUP($A46,'Annex 2 EHV charges'!$A:$O,9,FALSE)=0,"",VLOOKUP($A46,'Annex 2 EHV charges'!$A:$O,9,FALSE)),"")</f>
        <v>764.48</v>
      </c>
      <c r="G46" s="130" t="str">
        <f>IFERROR(IF(VLOOKUP($A46,'Annex 2 EHV charges'!$A:$O,10,FALSE)=0,"",VLOOKUP($A46,'Annex 2 EHV charges'!$A:$O,10,FALSE)),"")</f>
        <v/>
      </c>
      <c r="H46" s="130" t="str">
        <f>IFERROR(IF(VLOOKUP($A46,'Annex 2 EHV charges'!$A:$O,11,FALSE)=0,"",VLOOKUP($A46,'Annex 2 EHV charges'!$A:$O,11,FALSE)),"")</f>
        <v/>
      </c>
    </row>
    <row r="47" spans="1:8" ht="12.75" customHeight="1" x14ac:dyDescent="0.2">
      <c r="A47" s="123">
        <f t="array" ref="A47">IFERROR(INDEX('Annex 2 EHV charges'!$A$11:$A$260, MATCH(0, IF(ISBLANK('Annex 2 EHV charges'!$A$11:$A$260),1, COUNTIF(A$4:$A46, 'Annex 2 EHV charges'!$A$11:$A$260)), 0)),"")</f>
        <v>843</v>
      </c>
      <c r="B47" s="123">
        <f>IF($A47="","",VLOOKUP($A47,'Annex 2 EHV charges'!$A:$O,2,0))</f>
        <v>843</v>
      </c>
      <c r="C47" s="124">
        <f>IF($A47="","",VLOOKUP($A47,'Annex 2 EHV charges'!$A:$O,3,0))</f>
        <v>1800054244570</v>
      </c>
      <c r="D47" s="123" t="str">
        <f>IF($A47="","",VLOOKUP($A47,'Annex 2 EHV charges'!$A:$O,7,0))</f>
        <v>Blackhill</v>
      </c>
      <c r="E47" s="128" t="str">
        <f>IFERROR(IF(VLOOKUP($A47,'Annex 2 EHV charges'!$A:$O,8,FALSE)=0,"",VLOOKUP($A47,'Annex 2 EHV charges'!$A:$O,8,FALSE)),"")</f>
        <v/>
      </c>
      <c r="F47" s="129">
        <f>IFERROR(IF(VLOOKUP($A47,'Annex 2 EHV charges'!$A:$O,9,FALSE)=0,"",VLOOKUP($A47,'Annex 2 EHV charges'!$A:$O,9,FALSE)),"")</f>
        <v>2071.36</v>
      </c>
      <c r="G47" s="130" t="str">
        <f>IFERROR(IF(VLOOKUP($A47,'Annex 2 EHV charges'!$A:$O,10,FALSE)=0,"",VLOOKUP($A47,'Annex 2 EHV charges'!$A:$O,10,FALSE)),"")</f>
        <v/>
      </c>
      <c r="H47" s="130" t="str">
        <f>IFERROR(IF(VLOOKUP($A47,'Annex 2 EHV charges'!$A:$O,11,FALSE)=0,"",VLOOKUP($A47,'Annex 2 EHV charges'!$A:$O,11,FALSE)),"")</f>
        <v/>
      </c>
    </row>
    <row r="48" spans="1:8" ht="12.75" customHeight="1" x14ac:dyDescent="0.2">
      <c r="A48" s="123">
        <f t="array" ref="A48">IFERROR(INDEX('Annex 2 EHV charges'!$A$11:$A$260, MATCH(0, IF(ISBLANK('Annex 2 EHV charges'!$A$11:$A$260),1, COUNTIF(A$4:$A47, 'Annex 2 EHV charges'!$A$11:$A$260)), 0)),"")</f>
        <v>844</v>
      </c>
      <c r="B48" s="123">
        <f>IF($A48="","",VLOOKUP($A48,'Annex 2 EHV charges'!$A:$O,2,0))</f>
        <v>844</v>
      </c>
      <c r="C48" s="124">
        <f>IF($A48="","",VLOOKUP($A48,'Annex 2 EHV charges'!$A:$O,3,0))</f>
        <v>1800054451603</v>
      </c>
      <c r="D48" s="123" t="str">
        <f>IF($A48="","",VLOOKUP($A48,'Annex 2 EHV charges'!$A:$O,7,0))</f>
        <v>Dalswinton</v>
      </c>
      <c r="E48" s="128" t="str">
        <f>IFERROR(IF(VLOOKUP($A48,'Annex 2 EHV charges'!$A:$O,8,FALSE)=0,"",VLOOKUP($A48,'Annex 2 EHV charges'!$A:$O,8,FALSE)),"")</f>
        <v/>
      </c>
      <c r="F48" s="129">
        <f>IFERROR(IF(VLOOKUP($A48,'Annex 2 EHV charges'!$A:$O,9,FALSE)=0,"",VLOOKUP($A48,'Annex 2 EHV charges'!$A:$O,9,FALSE)),"")</f>
        <v>521.04</v>
      </c>
      <c r="G48" s="130">
        <f>IFERROR(IF(VLOOKUP($A48,'Annex 2 EHV charges'!$A:$O,10,FALSE)=0,"",VLOOKUP($A48,'Annex 2 EHV charges'!$A:$O,10,FALSE)),"")</f>
        <v>0.86</v>
      </c>
      <c r="H48" s="130">
        <f>IFERROR(IF(VLOOKUP($A48,'Annex 2 EHV charges'!$A:$O,11,FALSE)=0,"",VLOOKUP($A48,'Annex 2 EHV charges'!$A:$O,11,FALSE)),"")</f>
        <v>0.86</v>
      </c>
    </row>
    <row r="49" spans="1:8" ht="12.75" customHeight="1" x14ac:dyDescent="0.2">
      <c r="A49" s="123">
        <f t="array" ref="A49">IFERROR(INDEX('Annex 2 EHV charges'!$A$11:$A$260, MATCH(0, IF(ISBLANK('Annex 2 EHV charges'!$A$11:$A$260),1, COUNTIF(A$4:$A48, 'Annex 2 EHV charges'!$A$11:$A$260)), 0)),"")</f>
        <v>845</v>
      </c>
      <c r="B49" s="123">
        <f>IF($A49="","",VLOOKUP($A49,'Annex 2 EHV charges'!$A:$O,2,0))</f>
        <v>845</v>
      </c>
      <c r="C49" s="124">
        <f>IF($A49="","",VLOOKUP($A49,'Annex 2 EHV charges'!$A:$O,3,0))</f>
        <v>1800054498470</v>
      </c>
      <c r="D49" s="123" t="str">
        <f>IF($A49="","",VLOOKUP($A49,'Annex 2 EHV charges'!$A:$O,7,0))</f>
        <v>Steven's Croft Biomass</v>
      </c>
      <c r="E49" s="128" t="str">
        <f>IFERROR(IF(VLOOKUP($A49,'Annex 2 EHV charges'!$A:$O,8,FALSE)=0,"",VLOOKUP($A49,'Annex 2 EHV charges'!$A:$O,8,FALSE)),"")</f>
        <v/>
      </c>
      <c r="F49" s="129">
        <f>IFERROR(IF(VLOOKUP($A49,'Annex 2 EHV charges'!$A:$O,9,FALSE)=0,"",VLOOKUP($A49,'Annex 2 EHV charges'!$A:$O,9,FALSE)),"")</f>
        <v>5080.33</v>
      </c>
      <c r="G49" s="130">
        <f>IFERROR(IF(VLOOKUP($A49,'Annex 2 EHV charges'!$A:$O,10,FALSE)=0,"",VLOOKUP($A49,'Annex 2 EHV charges'!$A:$O,10,FALSE)),"")</f>
        <v>0.83</v>
      </c>
      <c r="H49" s="130">
        <f>IFERROR(IF(VLOOKUP($A49,'Annex 2 EHV charges'!$A:$O,11,FALSE)=0,"",VLOOKUP($A49,'Annex 2 EHV charges'!$A:$O,11,FALSE)),"")</f>
        <v>0.83</v>
      </c>
    </row>
    <row r="50" spans="1:8" ht="12.75" customHeight="1" x14ac:dyDescent="0.2">
      <c r="A50" s="123">
        <f t="array" ref="A50">IFERROR(INDEX('Annex 2 EHV charges'!$A$11:$A$260, MATCH(0, IF(ISBLANK('Annex 2 EHV charges'!$A$11:$A$260),1, COUNTIF(A$4:$A49, 'Annex 2 EHV charges'!$A$11:$A$260)), 0)),"")</f>
        <v>849</v>
      </c>
      <c r="B50" s="123">
        <f>IF($A50="","",VLOOKUP($A50,'Annex 2 EHV charges'!$A:$O,2,0))</f>
        <v>849</v>
      </c>
      <c r="C50" s="124" t="str">
        <f>IF($A50="","",VLOOKUP($A50,'Annex 2 EHV charges'!$A:$O,3,0))</f>
        <v>TBA</v>
      </c>
      <c r="D50" s="123" t="str">
        <f>IF($A50="","",VLOOKUP($A50,'Annex 2 EHV charges'!$A:$O,7,0))</f>
        <v>Sorbie Windfarm</v>
      </c>
      <c r="E50" s="128" t="str">
        <f>IFERROR(IF(VLOOKUP($A50,'Annex 2 EHV charges'!$A:$O,8,FALSE)=0,"",VLOOKUP($A50,'Annex 2 EHV charges'!$A:$O,8,FALSE)),"")</f>
        <v/>
      </c>
      <c r="F50" s="129">
        <f>IFERROR(IF(VLOOKUP($A50,'Annex 2 EHV charges'!$A:$O,9,FALSE)=0,"",VLOOKUP($A50,'Annex 2 EHV charges'!$A:$O,9,FALSE)),"")</f>
        <v>146.63999999999999</v>
      </c>
      <c r="G50" s="130">
        <f>IFERROR(IF(VLOOKUP($A50,'Annex 2 EHV charges'!$A:$O,10,FALSE)=0,"",VLOOKUP($A50,'Annex 2 EHV charges'!$A:$O,10,FALSE)),"")</f>
        <v>1.77</v>
      </c>
      <c r="H50" s="130">
        <f>IFERROR(IF(VLOOKUP($A50,'Annex 2 EHV charges'!$A:$O,11,FALSE)=0,"",VLOOKUP($A50,'Annex 2 EHV charges'!$A:$O,11,FALSE)),"")</f>
        <v>1.77</v>
      </c>
    </row>
    <row r="51" spans="1:8" ht="12.75" customHeight="1" x14ac:dyDescent="0.2">
      <c r="A51" s="123">
        <f t="array" ref="A51">IFERROR(INDEX('Annex 2 EHV charges'!$A$11:$A$260, MATCH(0, IF(ISBLANK('Annex 2 EHV charges'!$A$11:$A$260),1, COUNTIF(A$4:$A50, 'Annex 2 EHV charges'!$A$11:$A$260)), 0)),"")</f>
        <v>850</v>
      </c>
      <c r="B51" s="123">
        <f>IF($A51="","",VLOOKUP($A51,'Annex 2 EHV charges'!$A:$O,2,0))</f>
        <v>850</v>
      </c>
      <c r="C51" s="124">
        <f>IF($A51="","",VLOOKUP($A51,'Annex 2 EHV charges'!$A:$O,3,0))</f>
        <v>1800060251872</v>
      </c>
      <c r="D51" s="123" t="str">
        <f>IF($A51="","",VLOOKUP($A51,'Annex 2 EHV charges'!$A:$O,7,0))</f>
        <v>Longpark</v>
      </c>
      <c r="E51" s="128" t="str">
        <f>IFERROR(IF(VLOOKUP($A51,'Annex 2 EHV charges'!$A:$O,8,FALSE)=0,"",VLOOKUP($A51,'Annex 2 EHV charges'!$A:$O,8,FALSE)),"")</f>
        <v/>
      </c>
      <c r="F51" s="129">
        <f>IFERROR(IF(VLOOKUP($A51,'Annex 2 EHV charges'!$A:$O,9,FALSE)=0,"",VLOOKUP($A51,'Annex 2 EHV charges'!$A:$O,9,FALSE)),"")</f>
        <v>903.35</v>
      </c>
      <c r="G51" s="130" t="str">
        <f>IFERROR(IF(VLOOKUP($A51,'Annex 2 EHV charges'!$A:$O,10,FALSE)=0,"",VLOOKUP($A51,'Annex 2 EHV charges'!$A:$O,10,FALSE)),"")</f>
        <v/>
      </c>
      <c r="H51" s="130" t="str">
        <f>IFERROR(IF(VLOOKUP($A51,'Annex 2 EHV charges'!$A:$O,11,FALSE)=0,"",VLOOKUP($A51,'Annex 2 EHV charges'!$A:$O,11,FALSE)),"")</f>
        <v/>
      </c>
    </row>
    <row r="52" spans="1:8" ht="12.75" customHeight="1" x14ac:dyDescent="0.2">
      <c r="A52" s="123">
        <f t="array" ref="A52">IFERROR(INDEX('Annex 2 EHV charges'!$A$11:$A$260, MATCH(0, IF(ISBLANK('Annex 2 EHV charges'!$A$11:$A$260),1, COUNTIF(A$4:$A51, 'Annex 2 EHV charges'!$A$11:$A$260)), 0)),"")</f>
        <v>851</v>
      </c>
      <c r="B52" s="123">
        <f>IF($A52="","",VLOOKUP($A52,'Annex 2 EHV charges'!$A:$O,2,0))</f>
        <v>851</v>
      </c>
      <c r="C52" s="124">
        <f>IF($A52="","",VLOOKUP($A52,'Annex 2 EHV charges'!$A:$O,3,0))</f>
        <v>1800035140431</v>
      </c>
      <c r="D52" s="123" t="str">
        <f>IF($A52="","",VLOOKUP($A52,'Annex 2 EHV charges'!$A:$O,7,0))</f>
        <v>BOC</v>
      </c>
      <c r="E52" s="128" t="str">
        <f>IFERROR(IF(VLOOKUP($A52,'Annex 2 EHV charges'!$A:$O,8,FALSE)=0,"",VLOOKUP($A52,'Annex 2 EHV charges'!$A:$O,8,FALSE)),"")</f>
        <v/>
      </c>
      <c r="F52" s="129">
        <f>IFERROR(IF(VLOOKUP($A52,'Annex 2 EHV charges'!$A:$O,9,FALSE)=0,"",VLOOKUP($A52,'Annex 2 EHV charges'!$A:$O,9,FALSE)),"")</f>
        <v>8249.1200000000008</v>
      </c>
      <c r="G52" s="130">
        <f>IFERROR(IF(VLOOKUP($A52,'Annex 2 EHV charges'!$A:$O,10,FALSE)=0,"",VLOOKUP($A52,'Annex 2 EHV charges'!$A:$O,10,FALSE)),"")</f>
        <v>2.5099999999999998</v>
      </c>
      <c r="H52" s="130">
        <f>IFERROR(IF(VLOOKUP($A52,'Annex 2 EHV charges'!$A:$O,11,FALSE)=0,"",VLOOKUP($A52,'Annex 2 EHV charges'!$A:$O,11,FALSE)),"")</f>
        <v>2.5099999999999998</v>
      </c>
    </row>
    <row r="53" spans="1:8" ht="12.75" customHeight="1" x14ac:dyDescent="0.2">
      <c r="A53" s="123">
        <f t="array" ref="A53">IFERROR(INDEX('Annex 2 EHV charges'!$A$11:$A$260, MATCH(0, IF(ISBLANK('Annex 2 EHV charges'!$A$11:$A$260),1, COUNTIF(A$4:$A52, 'Annex 2 EHV charges'!$A$11:$A$260)), 0)),"")</f>
        <v>852</v>
      </c>
      <c r="B53" s="123">
        <f>IF($A53="","",VLOOKUP($A53,'Annex 2 EHV charges'!$A:$O,2,0))</f>
        <v>852</v>
      </c>
      <c r="C53" s="124">
        <f>IF($A53="","",VLOOKUP($A53,'Annex 2 EHV charges'!$A:$O,3,0))</f>
        <v>1800060642702</v>
      </c>
      <c r="D53" s="123" t="str">
        <f>IF($A53="","",VLOOKUP($A53,'Annex 2 EHV charges'!$A:$O,7,0))</f>
        <v>Calder Water WF</v>
      </c>
      <c r="E53" s="128" t="str">
        <f>IFERROR(IF(VLOOKUP($A53,'Annex 2 EHV charges'!$A:$O,8,FALSE)=0,"",VLOOKUP($A53,'Annex 2 EHV charges'!$A:$O,8,FALSE)),"")</f>
        <v/>
      </c>
      <c r="F53" s="129">
        <f>IFERROR(IF(VLOOKUP($A53,'Annex 2 EHV charges'!$A:$O,9,FALSE)=0,"",VLOOKUP($A53,'Annex 2 EHV charges'!$A:$O,9,FALSE)),"")</f>
        <v>248.41</v>
      </c>
      <c r="G53" s="130">
        <f>IFERROR(IF(VLOOKUP($A53,'Annex 2 EHV charges'!$A:$O,10,FALSE)=0,"",VLOOKUP($A53,'Annex 2 EHV charges'!$A:$O,10,FALSE)),"")</f>
        <v>0.99</v>
      </c>
      <c r="H53" s="130">
        <f>IFERROR(IF(VLOOKUP($A53,'Annex 2 EHV charges'!$A:$O,11,FALSE)=0,"",VLOOKUP($A53,'Annex 2 EHV charges'!$A:$O,11,FALSE)),"")</f>
        <v>0.99</v>
      </c>
    </row>
    <row r="54" spans="1:8" ht="12.75" customHeight="1" x14ac:dyDescent="0.2">
      <c r="A54" s="123">
        <f t="array" ref="A54">IFERROR(INDEX('Annex 2 EHV charges'!$A$11:$A$260, MATCH(0, IF(ISBLANK('Annex 2 EHV charges'!$A$11:$A$260),1, COUNTIF(A$4:$A53, 'Annex 2 EHV charges'!$A$11:$A$260)), 0)),"")</f>
        <v>853</v>
      </c>
      <c r="B54" s="123">
        <f>IF($A54="","",VLOOKUP($A54,'Annex 2 EHV charges'!$A:$O,2,0))</f>
        <v>853</v>
      </c>
      <c r="C54" s="124">
        <f>IF($A54="","",VLOOKUP($A54,'Annex 2 EHV charges'!$A:$O,3,0))</f>
        <v>1800035234188</v>
      </c>
      <c r="D54" s="123" t="str">
        <f>IF($A54="","",VLOOKUP($A54,'Annex 2 EHV charges'!$A:$O,7,0))</f>
        <v>Babcock Thorn</v>
      </c>
      <c r="E54" s="128" t="str">
        <f>IFERROR(IF(VLOOKUP($A54,'Annex 2 EHV charges'!$A:$O,8,FALSE)=0,"",VLOOKUP($A54,'Annex 2 EHV charges'!$A:$O,8,FALSE)),"")</f>
        <v/>
      </c>
      <c r="F54" s="129">
        <f>IFERROR(IF(VLOOKUP($A54,'Annex 2 EHV charges'!$A:$O,9,FALSE)=0,"",VLOOKUP($A54,'Annex 2 EHV charges'!$A:$O,9,FALSE)),"")</f>
        <v>22306.78</v>
      </c>
      <c r="G54" s="130">
        <f>IFERROR(IF(VLOOKUP($A54,'Annex 2 EHV charges'!$A:$O,10,FALSE)=0,"",VLOOKUP($A54,'Annex 2 EHV charges'!$A:$O,10,FALSE)),"")</f>
        <v>4.3</v>
      </c>
      <c r="H54" s="130">
        <f>IFERROR(IF(VLOOKUP($A54,'Annex 2 EHV charges'!$A:$O,11,FALSE)=0,"",VLOOKUP($A54,'Annex 2 EHV charges'!$A:$O,11,FALSE)),"")</f>
        <v>4.3</v>
      </c>
    </row>
    <row r="55" spans="1:8" ht="12.75" customHeight="1" x14ac:dyDescent="0.2">
      <c r="A55" s="123">
        <f t="array" ref="A55">IFERROR(INDEX('Annex 2 EHV charges'!$A$11:$A$260, MATCH(0, IF(ISBLANK('Annex 2 EHV charges'!$A$11:$A$260),1, COUNTIF(A$4:$A54, 'Annex 2 EHV charges'!$A$11:$A$260)), 0)),"")</f>
        <v>854</v>
      </c>
      <c r="B55" s="123">
        <f>IF($A55="","",VLOOKUP($A55,'Annex 2 EHV charges'!$A:$O,2,0))</f>
        <v>854</v>
      </c>
      <c r="C55" s="124">
        <f>IF($A55="","",VLOOKUP($A55,'Annex 2 EHV charges'!$A:$O,3,0))</f>
        <v>1800035261359</v>
      </c>
      <c r="D55" s="123" t="str">
        <f>IF($A55="","",VLOOKUP($A55,'Annex 2 EHV charges'!$A:$O,7,0))</f>
        <v>Lafarge UK</v>
      </c>
      <c r="E55" s="128" t="str">
        <f>IFERROR(IF(VLOOKUP($A55,'Annex 2 EHV charges'!$A:$O,8,FALSE)=0,"",VLOOKUP($A55,'Annex 2 EHV charges'!$A:$O,8,FALSE)),"")</f>
        <v/>
      </c>
      <c r="F55" s="129">
        <f>IFERROR(IF(VLOOKUP($A55,'Annex 2 EHV charges'!$A:$O,9,FALSE)=0,"",VLOOKUP($A55,'Annex 2 EHV charges'!$A:$O,9,FALSE)),"")</f>
        <v>11533.619999999999</v>
      </c>
      <c r="G55" s="130">
        <f>IFERROR(IF(VLOOKUP($A55,'Annex 2 EHV charges'!$A:$O,10,FALSE)=0,"",VLOOKUP($A55,'Annex 2 EHV charges'!$A:$O,10,FALSE)),"")</f>
        <v>3.66</v>
      </c>
      <c r="H55" s="130">
        <f>IFERROR(IF(VLOOKUP($A55,'Annex 2 EHV charges'!$A:$O,11,FALSE)=0,"",VLOOKUP($A55,'Annex 2 EHV charges'!$A:$O,11,FALSE)),"")</f>
        <v>3.66</v>
      </c>
    </row>
    <row r="56" spans="1:8" ht="12.75" customHeight="1" x14ac:dyDescent="0.2">
      <c r="A56" s="123">
        <f t="array" ref="A56">IFERROR(INDEX('Annex 2 EHV charges'!$A$11:$A$260, MATCH(0, IF(ISBLANK('Annex 2 EHV charges'!$A$11:$A$260),1, COUNTIF(A$4:$A55, 'Annex 2 EHV charges'!$A$11:$A$260)), 0)),"")</f>
        <v>855</v>
      </c>
      <c r="B56" s="123">
        <f>IF($A56="","",VLOOKUP($A56,'Annex 2 EHV charges'!$A:$O,2,0))</f>
        <v>855</v>
      </c>
      <c r="C56" s="124">
        <f>IF($A56="","",VLOOKUP($A56,'Annex 2 EHV charges'!$A:$O,3,0))</f>
        <v>1800060241304</v>
      </c>
      <c r="D56" s="123" t="str">
        <f>IF($A56="","",VLOOKUP($A56,'Annex 2 EHV charges'!$A:$O,7,0))</f>
        <v>Pateshill</v>
      </c>
      <c r="E56" s="128" t="str">
        <f>IFERROR(IF(VLOOKUP($A56,'Annex 2 EHV charges'!$A:$O,8,FALSE)=0,"",VLOOKUP($A56,'Annex 2 EHV charges'!$A:$O,8,FALSE)),"")</f>
        <v/>
      </c>
      <c r="F56" s="129">
        <f>IFERROR(IF(VLOOKUP($A56,'Annex 2 EHV charges'!$A:$O,9,FALSE)=0,"",VLOOKUP($A56,'Annex 2 EHV charges'!$A:$O,9,FALSE)),"")</f>
        <v>25.05</v>
      </c>
      <c r="G56" s="130">
        <f>IFERROR(IF(VLOOKUP($A56,'Annex 2 EHV charges'!$A:$O,10,FALSE)=0,"",VLOOKUP($A56,'Annex 2 EHV charges'!$A:$O,10,FALSE)),"")</f>
        <v>2.6</v>
      </c>
      <c r="H56" s="130">
        <f>IFERROR(IF(VLOOKUP($A56,'Annex 2 EHV charges'!$A:$O,11,FALSE)=0,"",VLOOKUP($A56,'Annex 2 EHV charges'!$A:$O,11,FALSE)),"")</f>
        <v>2.6</v>
      </c>
    </row>
    <row r="57" spans="1:8" ht="12.75" customHeight="1" x14ac:dyDescent="0.2">
      <c r="A57" s="123">
        <f t="array" ref="A57">IFERROR(INDEX('Annex 2 EHV charges'!$A$11:$A$260, MATCH(0, IF(ISBLANK('Annex 2 EHV charges'!$A$11:$A$260),1, COUNTIF(A$4:$A56, 'Annex 2 EHV charges'!$A$11:$A$260)), 0)),"")</f>
        <v>856</v>
      </c>
      <c r="B57" s="123">
        <f>IF($A57="","",VLOOKUP($A57,'Annex 2 EHV charges'!$A:$O,2,0))</f>
        <v>856</v>
      </c>
      <c r="C57" s="124">
        <f>IF($A57="","",VLOOKUP($A57,'Annex 2 EHV charges'!$A:$O,3,0))</f>
        <v>1800035239460</v>
      </c>
      <c r="D57" s="123" t="str">
        <f>IF($A57="","",VLOOKUP($A57,'Annex 2 EHV charges'!$A:$O,7,0))</f>
        <v>Clydeport</v>
      </c>
      <c r="E57" s="128" t="str">
        <f>IFERROR(IF(VLOOKUP($A57,'Annex 2 EHV charges'!$A:$O,8,FALSE)=0,"",VLOOKUP($A57,'Annex 2 EHV charges'!$A:$O,8,FALSE)),"")</f>
        <v/>
      </c>
      <c r="F57" s="129">
        <f>IFERROR(IF(VLOOKUP($A57,'Annex 2 EHV charges'!$A:$O,9,FALSE)=0,"",VLOOKUP($A57,'Annex 2 EHV charges'!$A:$O,9,FALSE)),"")</f>
        <v>30251.05</v>
      </c>
      <c r="G57" s="130">
        <f>IFERROR(IF(VLOOKUP($A57,'Annex 2 EHV charges'!$A:$O,10,FALSE)=0,"",VLOOKUP($A57,'Annex 2 EHV charges'!$A:$O,10,FALSE)),"")</f>
        <v>1.39</v>
      </c>
      <c r="H57" s="130">
        <f>IFERROR(IF(VLOOKUP($A57,'Annex 2 EHV charges'!$A:$O,11,FALSE)=0,"",VLOOKUP($A57,'Annex 2 EHV charges'!$A:$O,11,FALSE)),"")</f>
        <v>1.39</v>
      </c>
    </row>
    <row r="58" spans="1:8" ht="12.75" customHeight="1" x14ac:dyDescent="0.2">
      <c r="A58" s="123">
        <f t="array" ref="A58">IFERROR(INDEX('Annex 2 EHV charges'!$A$11:$A$260, MATCH(0, IF(ISBLANK('Annex 2 EHV charges'!$A$11:$A$260),1, COUNTIF(A$4:$A57, 'Annex 2 EHV charges'!$A$11:$A$260)), 0)),"")</f>
        <v>857</v>
      </c>
      <c r="B58" s="123">
        <f>IF($A58="","",VLOOKUP($A58,'Annex 2 EHV charges'!$A:$O,2,0))</f>
        <v>857</v>
      </c>
      <c r="C58" s="124">
        <f>IF($A58="","",VLOOKUP($A58,'Annex 2 EHV charges'!$A:$O,3,0))</f>
        <v>1800035313389</v>
      </c>
      <c r="D58" s="123" t="str">
        <f>IF($A58="","",VLOOKUP($A58,'Annex 2 EHV charges'!$A:$O,7,0))</f>
        <v>Freescale</v>
      </c>
      <c r="E58" s="128" t="str">
        <f>IFERROR(IF(VLOOKUP($A58,'Annex 2 EHV charges'!$A:$O,8,FALSE)=0,"",VLOOKUP($A58,'Annex 2 EHV charges'!$A:$O,8,FALSE)),"")</f>
        <v/>
      </c>
      <c r="F58" s="129">
        <f>IFERROR(IF(VLOOKUP($A58,'Annex 2 EHV charges'!$A:$O,9,FALSE)=0,"",VLOOKUP($A58,'Annex 2 EHV charges'!$A:$O,9,FALSE)),"")</f>
        <v>11781.84</v>
      </c>
      <c r="G58" s="130">
        <f>IFERROR(IF(VLOOKUP($A58,'Annex 2 EHV charges'!$A:$O,10,FALSE)=0,"",VLOOKUP($A58,'Annex 2 EHV charges'!$A:$O,10,FALSE)),"")</f>
        <v>3.51</v>
      </c>
      <c r="H58" s="130">
        <f>IFERROR(IF(VLOOKUP($A58,'Annex 2 EHV charges'!$A:$O,11,FALSE)=0,"",VLOOKUP($A58,'Annex 2 EHV charges'!$A:$O,11,FALSE)),"")</f>
        <v>3.51</v>
      </c>
    </row>
    <row r="59" spans="1:8" ht="12.75" customHeight="1" x14ac:dyDescent="0.2">
      <c r="A59" s="123">
        <f t="array" ref="A59">IFERROR(INDEX('Annex 2 EHV charges'!$A$11:$A$260, MATCH(0, IF(ISBLANK('Annex 2 EHV charges'!$A$11:$A$260),1, COUNTIF(A$4:$A58, 'Annex 2 EHV charges'!$A$11:$A$260)), 0)),"")</f>
        <v>858</v>
      </c>
      <c r="B59" s="123">
        <f>IF($A59="","",VLOOKUP($A59,'Annex 2 EHV charges'!$A:$O,2,0))</f>
        <v>858</v>
      </c>
      <c r="C59" s="124">
        <f>IF($A59="","",VLOOKUP($A59,'Annex 2 EHV charges'!$A:$O,3,0))</f>
        <v>1800035327257</v>
      </c>
      <c r="D59" s="123" t="str">
        <f>IF($A59="","",VLOOKUP($A59,'Annex 2 EHV charges'!$A:$O,7,0))</f>
        <v>Tesco</v>
      </c>
      <c r="E59" s="128" t="str">
        <f>IFERROR(IF(VLOOKUP($A59,'Annex 2 EHV charges'!$A:$O,8,FALSE)=0,"",VLOOKUP($A59,'Annex 2 EHV charges'!$A:$O,8,FALSE)),"")</f>
        <v/>
      </c>
      <c r="F59" s="129">
        <f>IFERROR(IF(VLOOKUP($A59,'Annex 2 EHV charges'!$A:$O,9,FALSE)=0,"",VLOOKUP($A59,'Annex 2 EHV charges'!$A:$O,9,FALSE)),"")</f>
        <v>1042.28</v>
      </c>
      <c r="G59" s="130">
        <f>IFERROR(IF(VLOOKUP($A59,'Annex 2 EHV charges'!$A:$O,10,FALSE)=0,"",VLOOKUP($A59,'Annex 2 EHV charges'!$A:$O,10,FALSE)),"")</f>
        <v>2.96</v>
      </c>
      <c r="H59" s="130">
        <f>IFERROR(IF(VLOOKUP($A59,'Annex 2 EHV charges'!$A:$O,11,FALSE)=0,"",VLOOKUP($A59,'Annex 2 EHV charges'!$A:$O,11,FALSE)),"")</f>
        <v>2.96</v>
      </c>
    </row>
    <row r="60" spans="1:8" ht="12.75" customHeight="1" x14ac:dyDescent="0.2">
      <c r="A60" s="123">
        <f t="array" ref="A60">IFERROR(INDEX('Annex 2 EHV charges'!$A$11:$A$260, MATCH(0, IF(ISBLANK('Annex 2 EHV charges'!$A$11:$A$260),1, COUNTIF(A$4:$A59, 'Annex 2 EHV charges'!$A$11:$A$260)), 0)),"")</f>
        <v>859</v>
      </c>
      <c r="B60" s="123">
        <f>IF($A60="","",VLOOKUP($A60,'Annex 2 EHV charges'!$A:$O,2,0))</f>
        <v>859</v>
      </c>
      <c r="C60" s="124">
        <f>IF($A60="","",VLOOKUP($A60,'Annex 2 EHV charges'!$A:$O,3,0))</f>
        <v>1800035320127</v>
      </c>
      <c r="D60" s="123" t="str">
        <f>IF($A60="","",VLOOKUP($A60,'Annex 2 EHV charges'!$A:$O,7,0))</f>
        <v>GlaxoSmithKline</v>
      </c>
      <c r="E60" s="128" t="str">
        <f>IFERROR(IF(VLOOKUP($A60,'Annex 2 EHV charges'!$A:$O,8,FALSE)=0,"",VLOOKUP($A60,'Annex 2 EHV charges'!$A:$O,8,FALSE)),"")</f>
        <v/>
      </c>
      <c r="F60" s="129">
        <f>IFERROR(IF(VLOOKUP($A60,'Annex 2 EHV charges'!$A:$O,9,FALSE)=0,"",VLOOKUP($A60,'Annex 2 EHV charges'!$A:$O,9,FALSE)),"")</f>
        <v>28215.670000000002</v>
      </c>
      <c r="G60" s="130">
        <f>IFERROR(IF(VLOOKUP($A60,'Annex 2 EHV charges'!$A:$O,10,FALSE)=0,"",VLOOKUP($A60,'Annex 2 EHV charges'!$A:$O,10,FALSE)),"")</f>
        <v>2.14</v>
      </c>
      <c r="H60" s="130">
        <f>IFERROR(IF(VLOOKUP($A60,'Annex 2 EHV charges'!$A:$O,11,FALSE)=0,"",VLOOKUP($A60,'Annex 2 EHV charges'!$A:$O,11,FALSE)),"")</f>
        <v>2.14</v>
      </c>
    </row>
    <row r="61" spans="1:8" ht="12.75" customHeight="1" x14ac:dyDescent="0.2">
      <c r="A61" s="123">
        <f t="array" ref="A61">IFERROR(INDEX('Annex 2 EHV charges'!$A$11:$A$260, MATCH(0, IF(ISBLANK('Annex 2 EHV charges'!$A$11:$A$260),1, COUNTIF(A$4:$A60, 'Annex 2 EHV charges'!$A$11:$A$260)), 0)),"")</f>
        <v>860</v>
      </c>
      <c r="B61" s="123">
        <f>IF($A61="","",VLOOKUP($A61,'Annex 2 EHV charges'!$A:$O,2,0))</f>
        <v>860</v>
      </c>
      <c r="C61" s="124">
        <f>IF($A61="","",VLOOKUP($A61,'Annex 2 EHV charges'!$A:$O,3,0))</f>
        <v>1800060852030</v>
      </c>
      <c r="D61" s="123" t="str">
        <f>IF($A61="","",VLOOKUP($A61,'Annex 2 EHV charges'!$A:$O,7,0))</f>
        <v>Gevens Wind Farm</v>
      </c>
      <c r="E61" s="128" t="str">
        <f>IFERROR(IF(VLOOKUP($A61,'Annex 2 EHV charges'!$A:$O,8,FALSE)=0,"",VLOOKUP($A61,'Annex 2 EHV charges'!$A:$O,8,FALSE)),"")</f>
        <v/>
      </c>
      <c r="F61" s="129">
        <f>IFERROR(IF(VLOOKUP($A61,'Annex 2 EHV charges'!$A:$O,9,FALSE)=0,"",VLOOKUP($A61,'Annex 2 EHV charges'!$A:$O,9,FALSE)),"")</f>
        <v>23.38</v>
      </c>
      <c r="G61" s="130">
        <f>IFERROR(IF(VLOOKUP($A61,'Annex 2 EHV charges'!$A:$O,10,FALSE)=0,"",VLOOKUP($A61,'Annex 2 EHV charges'!$A:$O,10,FALSE)),"")</f>
        <v>1.77</v>
      </c>
      <c r="H61" s="130">
        <f>IFERROR(IF(VLOOKUP($A61,'Annex 2 EHV charges'!$A:$O,11,FALSE)=0,"",VLOOKUP($A61,'Annex 2 EHV charges'!$A:$O,11,FALSE)),"")</f>
        <v>1.77</v>
      </c>
    </row>
    <row r="62" spans="1:8" ht="12.75" customHeight="1" x14ac:dyDescent="0.2">
      <c r="A62" s="123">
        <f t="array" ref="A62">IFERROR(INDEX('Annex 2 EHV charges'!$A$11:$A$260, MATCH(0, IF(ISBLANK('Annex 2 EHV charges'!$A$11:$A$260),1, COUNTIF(A$4:$A61, 'Annex 2 EHV charges'!$A$11:$A$260)), 0)),"")</f>
        <v>861</v>
      </c>
      <c r="B62" s="123">
        <f>IF($A62="","",VLOOKUP($A62,'Annex 2 EHV charges'!$A:$O,2,0))</f>
        <v>861</v>
      </c>
      <c r="C62" s="124">
        <f>IF($A62="","",VLOOKUP($A62,'Annex 2 EHV charges'!$A:$O,3,0))</f>
        <v>1800035324780</v>
      </c>
      <c r="D62" s="123" t="str">
        <f>IF($A62="","",VLOOKUP($A62,'Annex 2 EHV charges'!$A:$O,7,0))</f>
        <v>Weir Pumps</v>
      </c>
      <c r="E62" s="128" t="str">
        <f>IFERROR(IF(VLOOKUP($A62,'Annex 2 EHV charges'!$A:$O,8,FALSE)=0,"",VLOOKUP($A62,'Annex 2 EHV charges'!$A:$O,8,FALSE)),"")</f>
        <v/>
      </c>
      <c r="F62" s="129">
        <f>IFERROR(IF(VLOOKUP($A62,'Annex 2 EHV charges'!$A:$O,9,FALSE)=0,"",VLOOKUP($A62,'Annex 2 EHV charges'!$A:$O,9,FALSE)),"")</f>
        <v>1880.08</v>
      </c>
      <c r="G62" s="130">
        <f>IFERROR(IF(VLOOKUP($A62,'Annex 2 EHV charges'!$A:$O,10,FALSE)=0,"",VLOOKUP($A62,'Annex 2 EHV charges'!$A:$O,10,FALSE)),"")</f>
        <v>4.8</v>
      </c>
      <c r="H62" s="130">
        <f>IFERROR(IF(VLOOKUP($A62,'Annex 2 EHV charges'!$A:$O,11,FALSE)=0,"",VLOOKUP($A62,'Annex 2 EHV charges'!$A:$O,11,FALSE)),"")</f>
        <v>4.8</v>
      </c>
    </row>
    <row r="63" spans="1:8" ht="12.75" customHeight="1" x14ac:dyDescent="0.2">
      <c r="A63" s="123">
        <f t="array" ref="A63">IFERROR(INDEX('Annex 2 EHV charges'!$A$11:$A$260, MATCH(0, IF(ISBLANK('Annex 2 EHV charges'!$A$11:$A$260),1, COUNTIF(A$4:$A62, 'Annex 2 EHV charges'!$A$11:$A$260)), 0)),"")</f>
        <v>862</v>
      </c>
      <c r="B63" s="123">
        <f>IF($A63="","",VLOOKUP($A63,'Annex 2 EHV charges'!$A:$O,2,0))</f>
        <v>862</v>
      </c>
      <c r="C63" s="124">
        <f>IF($A63="","",VLOOKUP($A63,'Annex 2 EHV charges'!$A:$O,3,0))</f>
        <v>1800035317453</v>
      </c>
      <c r="D63" s="123" t="str">
        <f>IF($A63="","",VLOOKUP($A63,'Annex 2 EHV charges'!$A:$O,7,0))</f>
        <v>Dupont (UK) Ltd</v>
      </c>
      <c r="E63" s="128" t="str">
        <f>IFERROR(IF(VLOOKUP($A63,'Annex 2 EHV charges'!$A:$O,8,FALSE)=0,"",VLOOKUP($A63,'Annex 2 EHV charges'!$A:$O,8,FALSE)),"")</f>
        <v/>
      </c>
      <c r="F63" s="129">
        <f>IFERROR(IF(VLOOKUP($A63,'Annex 2 EHV charges'!$A:$O,9,FALSE)=0,"",VLOOKUP($A63,'Annex 2 EHV charges'!$A:$O,9,FALSE)),"")</f>
        <v>78043.070000000007</v>
      </c>
      <c r="G63" s="130">
        <f>IFERROR(IF(VLOOKUP($A63,'Annex 2 EHV charges'!$A:$O,10,FALSE)=0,"",VLOOKUP($A63,'Annex 2 EHV charges'!$A:$O,10,FALSE)),"")</f>
        <v>2.99</v>
      </c>
      <c r="H63" s="130">
        <f>IFERROR(IF(VLOOKUP($A63,'Annex 2 EHV charges'!$A:$O,11,FALSE)=0,"",VLOOKUP($A63,'Annex 2 EHV charges'!$A:$O,11,FALSE)),"")</f>
        <v>2.99</v>
      </c>
    </row>
    <row r="64" spans="1:8" ht="12.75" customHeight="1" x14ac:dyDescent="0.2">
      <c r="A64" s="123">
        <f t="array" ref="A64">IFERROR(INDEX('Annex 2 EHV charges'!$A$11:$A$260, MATCH(0, IF(ISBLANK('Annex 2 EHV charges'!$A$11:$A$260),1, COUNTIF(A$4:$A63, 'Annex 2 EHV charges'!$A$11:$A$260)), 0)),"")</f>
        <v>863</v>
      </c>
      <c r="B64" s="123">
        <f>IF($A64="","",VLOOKUP($A64,'Annex 2 EHV charges'!$A:$O,2,0))</f>
        <v>863</v>
      </c>
      <c r="C64" s="124">
        <f>IF($A64="","",VLOOKUP($A64,'Annex 2 EHV charges'!$A:$O,3,0))</f>
        <v>1800060207438</v>
      </c>
      <c r="D64" s="123" t="str">
        <f>IF($A64="","",VLOOKUP($A64,'Annex 2 EHV charges'!$A:$O,7,0))</f>
        <v>North Rhins</v>
      </c>
      <c r="E64" s="128" t="str">
        <f>IFERROR(IF(VLOOKUP($A64,'Annex 2 EHV charges'!$A:$O,8,FALSE)=0,"",VLOOKUP($A64,'Annex 2 EHV charges'!$A:$O,8,FALSE)),"")</f>
        <v/>
      </c>
      <c r="F64" s="129">
        <f>IFERROR(IF(VLOOKUP($A64,'Annex 2 EHV charges'!$A:$O,9,FALSE)=0,"",VLOOKUP($A64,'Annex 2 EHV charges'!$A:$O,9,FALSE)),"")</f>
        <v>326.72000000000003</v>
      </c>
      <c r="G64" s="130">
        <f>IFERROR(IF(VLOOKUP($A64,'Annex 2 EHV charges'!$A:$O,10,FALSE)=0,"",VLOOKUP($A64,'Annex 2 EHV charges'!$A:$O,10,FALSE)),"")</f>
        <v>2.54</v>
      </c>
      <c r="H64" s="130">
        <f>IFERROR(IF(VLOOKUP($A64,'Annex 2 EHV charges'!$A:$O,11,FALSE)=0,"",VLOOKUP($A64,'Annex 2 EHV charges'!$A:$O,11,FALSE)),"")</f>
        <v>2.54</v>
      </c>
    </row>
    <row r="65" spans="1:8" ht="12.75" customHeight="1" x14ac:dyDescent="0.2">
      <c r="A65" s="123">
        <f t="array" ref="A65">IFERROR(INDEX('Annex 2 EHV charges'!$A$11:$A$260, MATCH(0, IF(ISBLANK('Annex 2 EHV charges'!$A$11:$A$260),1, COUNTIF(A$4:$A64, 'Annex 2 EHV charges'!$A$11:$A$260)), 0)),"")</f>
        <v>864</v>
      </c>
      <c r="B65" s="123">
        <f>IF($A65="","",VLOOKUP($A65,'Annex 2 EHV charges'!$A:$O,2,0))</f>
        <v>864</v>
      </c>
      <c r="C65" s="124">
        <f>IF($A65="","",VLOOKUP($A65,'Annex 2 EHV charges'!$A:$O,3,0))</f>
        <v>1800060709038</v>
      </c>
      <c r="D65" s="123" t="str">
        <f>IF($A65="","",VLOOKUP($A65,'Annex 2 EHV charges'!$A:$O,7,0))</f>
        <v>Tod Hills Windfarm</v>
      </c>
      <c r="E65" s="128" t="str">
        <f>IFERROR(IF(VLOOKUP($A65,'Annex 2 EHV charges'!$A:$O,8,FALSE)=0,"",VLOOKUP($A65,'Annex 2 EHV charges'!$A:$O,8,FALSE)),"")</f>
        <v/>
      </c>
      <c r="F65" s="129">
        <f>IFERROR(IF(VLOOKUP($A65,'Annex 2 EHV charges'!$A:$O,9,FALSE)=0,"",VLOOKUP($A65,'Annex 2 EHV charges'!$A:$O,9,FALSE)),"")</f>
        <v>82.58</v>
      </c>
      <c r="G65" s="130">
        <f>IFERROR(IF(VLOOKUP($A65,'Annex 2 EHV charges'!$A:$O,10,FALSE)=0,"",VLOOKUP($A65,'Annex 2 EHV charges'!$A:$O,10,FALSE)),"")</f>
        <v>2.19</v>
      </c>
      <c r="H65" s="130">
        <f>IFERROR(IF(VLOOKUP($A65,'Annex 2 EHV charges'!$A:$O,11,FALSE)=0,"",VLOOKUP($A65,'Annex 2 EHV charges'!$A:$O,11,FALSE)),"")</f>
        <v>2.19</v>
      </c>
    </row>
    <row r="66" spans="1:8" ht="12.75" customHeight="1" x14ac:dyDescent="0.2">
      <c r="A66" s="123">
        <f t="array" ref="A66">IFERROR(INDEX('Annex 2 EHV charges'!$A$11:$A$260, MATCH(0, IF(ISBLANK('Annex 2 EHV charges'!$A$11:$A$260),1, COUNTIF(A$4:$A65, 'Annex 2 EHV charges'!$A$11:$A$260)), 0)),"")</f>
        <v>865</v>
      </c>
      <c r="B66" s="123">
        <f>IF($A66="","",VLOOKUP($A66,'Annex 2 EHV charges'!$A:$O,2,0))</f>
        <v>865</v>
      </c>
      <c r="C66" s="124">
        <f>IF($A66="","",VLOOKUP($A66,'Annex 2 EHV charges'!$A:$O,3,0))</f>
        <v>1800060877284</v>
      </c>
      <c r="D66" s="123" t="str">
        <f>IF($A66="","",VLOOKUP($A66,'Annex 2 EHV charges'!$A:$O,7,0))</f>
        <v xml:space="preserve">Hoprigshiels </v>
      </c>
      <c r="E66" s="128" t="str">
        <f>IFERROR(IF(VLOOKUP($A66,'Annex 2 EHV charges'!$A:$O,8,FALSE)=0,"",VLOOKUP($A66,'Annex 2 EHV charges'!$A:$O,8,FALSE)),"")</f>
        <v/>
      </c>
      <c r="F66" s="129">
        <f>IFERROR(IF(VLOOKUP($A66,'Annex 2 EHV charges'!$A:$O,9,FALSE)=0,"",VLOOKUP($A66,'Annex 2 EHV charges'!$A:$O,9,FALSE)),"")</f>
        <v>656.53</v>
      </c>
      <c r="G66" s="130">
        <f>IFERROR(IF(VLOOKUP($A66,'Annex 2 EHV charges'!$A:$O,10,FALSE)=0,"",VLOOKUP($A66,'Annex 2 EHV charges'!$A:$O,10,FALSE)),"")</f>
        <v>3.5</v>
      </c>
      <c r="H66" s="130">
        <f>IFERROR(IF(VLOOKUP($A66,'Annex 2 EHV charges'!$A:$O,11,FALSE)=0,"",VLOOKUP($A66,'Annex 2 EHV charges'!$A:$O,11,FALSE)),"")</f>
        <v>3.5</v>
      </c>
    </row>
    <row r="67" spans="1:8" ht="12.75" customHeight="1" x14ac:dyDescent="0.2">
      <c r="A67" s="123">
        <f t="array" ref="A67">IFERROR(INDEX('Annex 2 EHV charges'!$A$11:$A$260, MATCH(0, IF(ISBLANK('Annex 2 EHV charges'!$A$11:$A$260),1, COUNTIF(A$4:$A66, 'Annex 2 EHV charges'!$A$11:$A$260)), 0)),"")</f>
        <v>866</v>
      </c>
      <c r="B67" s="123">
        <f>IF($A67="","",VLOOKUP($A67,'Annex 2 EHV charges'!$A:$O,2,0))</f>
        <v>866</v>
      </c>
      <c r="C67" s="124">
        <f>IF($A67="","",VLOOKUP($A67,'Annex 2 EHV charges'!$A:$O,3,0))</f>
        <v>1800051523646</v>
      </c>
      <c r="D67" s="123" t="str">
        <f>IF($A67="","",VLOOKUP($A67,'Annex 2 EHV charges'!$A:$O,7,0))</f>
        <v>Calachem</v>
      </c>
      <c r="E67" s="128" t="str">
        <f>IFERROR(IF(VLOOKUP($A67,'Annex 2 EHV charges'!$A:$O,8,FALSE)=0,"",VLOOKUP($A67,'Annex 2 EHV charges'!$A:$O,8,FALSE)),"")</f>
        <v/>
      </c>
      <c r="F67" s="129">
        <f>IFERROR(IF(VLOOKUP($A67,'Annex 2 EHV charges'!$A:$O,9,FALSE)=0,"",VLOOKUP($A67,'Annex 2 EHV charges'!$A:$O,9,FALSE)),"")</f>
        <v>10876.81</v>
      </c>
      <c r="G67" s="130">
        <f>IFERROR(IF(VLOOKUP($A67,'Annex 2 EHV charges'!$A:$O,10,FALSE)=0,"",VLOOKUP($A67,'Annex 2 EHV charges'!$A:$O,10,FALSE)),"")</f>
        <v>10.46</v>
      </c>
      <c r="H67" s="130">
        <f>IFERROR(IF(VLOOKUP($A67,'Annex 2 EHV charges'!$A:$O,11,FALSE)=0,"",VLOOKUP($A67,'Annex 2 EHV charges'!$A:$O,11,FALSE)),"")</f>
        <v>10.46</v>
      </c>
    </row>
    <row r="68" spans="1:8" ht="12.75" customHeight="1" x14ac:dyDescent="0.2">
      <c r="A68" s="123">
        <f t="array" ref="A68">IFERROR(INDEX('Annex 2 EHV charges'!$A$11:$A$260, MATCH(0, IF(ISBLANK('Annex 2 EHV charges'!$A$11:$A$260),1, COUNTIF(A$4:$A67, 'Annex 2 EHV charges'!$A$11:$A$260)), 0)),"")</f>
        <v>867</v>
      </c>
      <c r="B68" s="123">
        <f>IF($A68="","",VLOOKUP($A68,'Annex 2 EHV charges'!$A:$O,2,0))</f>
        <v>867</v>
      </c>
      <c r="C68" s="124">
        <f>IF($A68="","",VLOOKUP($A68,'Annex 2 EHV charges'!$A:$O,3,0))</f>
        <v>1800035325436</v>
      </c>
      <c r="D68" s="123" t="str">
        <f>IF($A68="","",VLOOKUP($A68,'Annex 2 EHV charges'!$A:$O,7,0))</f>
        <v>Norbord</v>
      </c>
      <c r="E68" s="128" t="str">
        <f>IFERROR(IF(VLOOKUP($A68,'Annex 2 EHV charges'!$A:$O,8,FALSE)=0,"",VLOOKUP($A68,'Annex 2 EHV charges'!$A:$O,8,FALSE)),"")</f>
        <v/>
      </c>
      <c r="F68" s="129">
        <f>IFERROR(IF(VLOOKUP($A68,'Annex 2 EHV charges'!$A:$O,9,FALSE)=0,"",VLOOKUP($A68,'Annex 2 EHV charges'!$A:$O,9,FALSE)),"")</f>
        <v>21991.37</v>
      </c>
      <c r="G68" s="130">
        <f>IFERROR(IF(VLOOKUP($A68,'Annex 2 EHV charges'!$A:$O,10,FALSE)=0,"",VLOOKUP($A68,'Annex 2 EHV charges'!$A:$O,10,FALSE)),"")</f>
        <v>1.33</v>
      </c>
      <c r="H68" s="130">
        <f>IFERROR(IF(VLOOKUP($A68,'Annex 2 EHV charges'!$A:$O,11,FALSE)=0,"",VLOOKUP($A68,'Annex 2 EHV charges'!$A:$O,11,FALSE)),"")</f>
        <v>1.33</v>
      </c>
    </row>
    <row r="69" spans="1:8" ht="12.75" customHeight="1" x14ac:dyDescent="0.2">
      <c r="A69" s="123">
        <f t="array" ref="A69">IFERROR(INDEX('Annex 2 EHV charges'!$A$11:$A$260, MATCH(0, IF(ISBLANK('Annex 2 EHV charges'!$A$11:$A$260),1, COUNTIF(A$4:$A68, 'Annex 2 EHV charges'!$A$11:$A$260)), 0)),"")</f>
        <v>868</v>
      </c>
      <c r="B69" s="123">
        <f>IF($A69="","",VLOOKUP($A69,'Annex 2 EHV charges'!$A:$O,2,0))</f>
        <v>868</v>
      </c>
      <c r="C69" s="124">
        <f>IF($A69="","",VLOOKUP($A69,'Annex 2 EHV charges'!$A:$O,3,0))</f>
        <v>1800060809025</v>
      </c>
      <c r="D69" s="123" t="str">
        <f>IF($A69="","",VLOOKUP($A69,'Annex 2 EHV charges'!$A:$O,7,0))</f>
        <v>MuirHall Extension II WF</v>
      </c>
      <c r="E69" s="128" t="str">
        <f>IFERROR(IF(VLOOKUP($A69,'Annex 2 EHV charges'!$A:$O,8,FALSE)=0,"",VLOOKUP($A69,'Annex 2 EHV charges'!$A:$O,8,FALSE)),"")</f>
        <v/>
      </c>
      <c r="F69" s="129">
        <f>IFERROR(IF(VLOOKUP($A69,'Annex 2 EHV charges'!$A:$O,9,FALSE)=0,"",VLOOKUP($A69,'Annex 2 EHV charges'!$A:$O,9,FALSE)),"")</f>
        <v>58.37</v>
      </c>
      <c r="G69" s="130">
        <f>IFERROR(IF(VLOOKUP($A69,'Annex 2 EHV charges'!$A:$O,10,FALSE)=0,"",VLOOKUP($A69,'Annex 2 EHV charges'!$A:$O,10,FALSE)),"")</f>
        <v>2.91</v>
      </c>
      <c r="H69" s="130">
        <f>IFERROR(IF(VLOOKUP($A69,'Annex 2 EHV charges'!$A:$O,11,FALSE)=0,"",VLOOKUP($A69,'Annex 2 EHV charges'!$A:$O,11,FALSE)),"")</f>
        <v>2.91</v>
      </c>
    </row>
    <row r="70" spans="1:8" ht="12.75" customHeight="1" x14ac:dyDescent="0.2">
      <c r="A70" s="123">
        <f t="array" ref="A70">IFERROR(INDEX('Annex 2 EHV charges'!$A$11:$A$260, MATCH(0, IF(ISBLANK('Annex 2 EHV charges'!$A$11:$A$260),1, COUNTIF(A$4:$A69, 'Annex 2 EHV charges'!$A$11:$A$260)), 0)),"")</f>
        <v>872</v>
      </c>
      <c r="B70" s="123">
        <f>IF($A70="","",VLOOKUP($A70,'Annex 2 EHV charges'!$A:$O,2,0))</f>
        <v>872</v>
      </c>
      <c r="C70" s="124">
        <f>IF($A70="","",VLOOKUP($A70,'Annex 2 EHV charges'!$A:$O,3,0))</f>
        <v>1800060749680</v>
      </c>
      <c r="D70" s="123" t="str">
        <f>IF($A70="","",VLOOKUP($A70,'Annex 2 EHV charges'!$A:$O,7,0))</f>
        <v>Polmadie (Waste energy B)</v>
      </c>
      <c r="E70" s="128" t="str">
        <f>IFERROR(IF(VLOOKUP($A70,'Annex 2 EHV charges'!$A:$O,8,FALSE)=0,"",VLOOKUP($A70,'Annex 2 EHV charges'!$A:$O,8,FALSE)),"")</f>
        <v/>
      </c>
      <c r="F70" s="129">
        <f>IFERROR(IF(VLOOKUP($A70,'Annex 2 EHV charges'!$A:$O,9,FALSE)=0,"",VLOOKUP($A70,'Annex 2 EHV charges'!$A:$O,9,FALSE)),"")</f>
        <v>257.77999999999997</v>
      </c>
      <c r="G70" s="130">
        <f>IFERROR(IF(VLOOKUP($A70,'Annex 2 EHV charges'!$A:$O,10,FALSE)=0,"",VLOOKUP($A70,'Annex 2 EHV charges'!$A:$O,10,FALSE)),"")</f>
        <v>2.9</v>
      </c>
      <c r="H70" s="130">
        <f>IFERROR(IF(VLOOKUP($A70,'Annex 2 EHV charges'!$A:$O,11,FALSE)=0,"",VLOOKUP($A70,'Annex 2 EHV charges'!$A:$O,11,FALSE)),"")</f>
        <v>2.9</v>
      </c>
    </row>
    <row r="71" spans="1:8" ht="12.75" customHeight="1" x14ac:dyDescent="0.2">
      <c r="A71" s="123">
        <f t="array" ref="A71">IFERROR(INDEX('Annex 2 EHV charges'!$A$11:$A$260, MATCH(0, IF(ISBLANK('Annex 2 EHV charges'!$A$11:$A$260),1, COUNTIF(A$4:$A70, 'Annex 2 EHV charges'!$A$11:$A$260)), 0)),"")</f>
        <v>886</v>
      </c>
      <c r="B71" s="123">
        <f>IF($A71="","",VLOOKUP($A71,'Annex 2 EHV charges'!$A:$O,2,0))</f>
        <v>886</v>
      </c>
      <c r="C71" s="124" t="str">
        <f>IF($A71="","",VLOOKUP($A71,'Annex 2 EHV charges'!$A:$O,3,0))</f>
        <v>TBA</v>
      </c>
      <c r="D71" s="123" t="str">
        <f>IF($A71="","",VLOOKUP($A71,'Annex 2 EHV charges'!$A:$O,7,0))</f>
        <v>Sneddon Law WF</v>
      </c>
      <c r="E71" s="128" t="str">
        <f>IFERROR(IF(VLOOKUP($A71,'Annex 2 EHV charges'!$A:$O,8,FALSE)=0,"",VLOOKUP($A71,'Annex 2 EHV charges'!$A:$O,8,FALSE)),"")</f>
        <v/>
      </c>
      <c r="F71" s="129">
        <f>IFERROR(IF(VLOOKUP($A71,'Annex 2 EHV charges'!$A:$O,9,FALSE)=0,"",VLOOKUP($A71,'Annex 2 EHV charges'!$A:$O,9,FALSE)),"")</f>
        <v>536.96</v>
      </c>
      <c r="G71" s="130">
        <f>IFERROR(IF(VLOOKUP($A71,'Annex 2 EHV charges'!$A:$O,10,FALSE)=0,"",VLOOKUP($A71,'Annex 2 EHV charges'!$A:$O,10,FALSE)),"")</f>
        <v>0.81</v>
      </c>
      <c r="H71" s="130">
        <f>IFERROR(IF(VLOOKUP($A71,'Annex 2 EHV charges'!$A:$O,11,FALSE)=0,"",VLOOKUP($A71,'Annex 2 EHV charges'!$A:$O,11,FALSE)),"")</f>
        <v>0.81</v>
      </c>
    </row>
    <row r="72" spans="1:8" ht="12.75" customHeight="1" x14ac:dyDescent="0.2">
      <c r="A72" s="123">
        <f t="array" ref="A72">IFERROR(INDEX('Annex 2 EHV charges'!$A$11:$A$260, MATCH(0, IF(ISBLANK('Annex 2 EHV charges'!$A$11:$A$260),1, COUNTIF(A$4:$A71, 'Annex 2 EHV charges'!$A$11:$A$260)), 0)),"")</f>
        <v>887</v>
      </c>
      <c r="B72" s="123">
        <f>IF($A72="","",VLOOKUP($A72,'Annex 2 EHV charges'!$A:$O,2,0))</f>
        <v>887</v>
      </c>
      <c r="C72" s="124">
        <f>IF($A72="","",VLOOKUP($A72,'Annex 2 EHV charges'!$A:$O,3,0))</f>
        <v>1800060749661</v>
      </c>
      <c r="D72" s="123" t="str">
        <f>IF($A72="","",VLOOKUP($A72,'Annex 2 EHV charges'!$A:$O,7,0))</f>
        <v>Polmadie (Waste energy A)</v>
      </c>
      <c r="E72" s="128" t="str">
        <f>IFERROR(IF(VLOOKUP($A72,'Annex 2 EHV charges'!$A:$O,8,FALSE)=0,"",VLOOKUP($A72,'Annex 2 EHV charges'!$A:$O,8,FALSE)),"")</f>
        <v/>
      </c>
      <c r="F72" s="129">
        <f>IFERROR(IF(VLOOKUP($A72,'Annex 2 EHV charges'!$A:$O,9,FALSE)=0,"",VLOOKUP($A72,'Annex 2 EHV charges'!$A:$O,9,FALSE)),"")</f>
        <v>1291.6099999999999</v>
      </c>
      <c r="G72" s="130">
        <f>IFERROR(IF(VLOOKUP($A72,'Annex 2 EHV charges'!$A:$O,10,FALSE)=0,"",VLOOKUP($A72,'Annex 2 EHV charges'!$A:$O,10,FALSE)),"")</f>
        <v>2.99</v>
      </c>
      <c r="H72" s="130">
        <f>IFERROR(IF(VLOOKUP($A72,'Annex 2 EHV charges'!$A:$O,11,FALSE)=0,"",VLOOKUP($A72,'Annex 2 EHV charges'!$A:$O,11,FALSE)),"")</f>
        <v>2.99</v>
      </c>
    </row>
    <row r="73" spans="1:8" ht="12.75" customHeight="1" x14ac:dyDescent="0.2">
      <c r="A73" s="123">
        <f t="array" ref="A73">IFERROR(INDEX('Annex 2 EHV charges'!$A$11:$A$260, MATCH(0, IF(ISBLANK('Annex 2 EHV charges'!$A$11:$A$260),1, COUNTIF(A$4:$A72, 'Annex 2 EHV charges'!$A$11:$A$260)), 0)),"")</f>
        <v>873</v>
      </c>
      <c r="B73" s="123">
        <f>IF($A73="","",VLOOKUP($A73,'Annex 2 EHV charges'!$A:$O,2,0))</f>
        <v>873</v>
      </c>
      <c r="C73" s="124">
        <f>IF($A73="","",VLOOKUP($A73,'Annex 2 EHV charges'!$A:$O,3,0))</f>
        <v>1800060450481</v>
      </c>
      <c r="D73" s="123" t="str">
        <f>IF($A73="","",VLOOKUP($A73,'Annex 2 EHV charges'!$A:$O,7,0))</f>
        <v>Millour Hill</v>
      </c>
      <c r="E73" s="128" t="str">
        <f>IFERROR(IF(VLOOKUP($A73,'Annex 2 EHV charges'!$A:$O,8,FALSE)=0,"",VLOOKUP($A73,'Annex 2 EHV charges'!$A:$O,8,FALSE)),"")</f>
        <v/>
      </c>
      <c r="F73" s="129">
        <f>IFERROR(IF(VLOOKUP($A73,'Annex 2 EHV charges'!$A:$O,9,FALSE)=0,"",VLOOKUP($A73,'Annex 2 EHV charges'!$A:$O,9,FALSE)),"")</f>
        <v>238.51</v>
      </c>
      <c r="G73" s="130">
        <f>IFERROR(IF(VLOOKUP($A73,'Annex 2 EHV charges'!$A:$O,10,FALSE)=0,"",VLOOKUP($A73,'Annex 2 EHV charges'!$A:$O,10,FALSE)),"")</f>
        <v>0.87</v>
      </c>
      <c r="H73" s="130">
        <f>IFERROR(IF(VLOOKUP($A73,'Annex 2 EHV charges'!$A:$O,11,FALSE)=0,"",VLOOKUP($A73,'Annex 2 EHV charges'!$A:$O,11,FALSE)),"")</f>
        <v>0.87</v>
      </c>
    </row>
    <row r="74" spans="1:8" ht="12.75" customHeight="1" x14ac:dyDescent="0.2">
      <c r="A74" s="123">
        <f t="array" ref="A74">IFERROR(INDEX('Annex 2 EHV charges'!$A$11:$A$260, MATCH(0, IF(ISBLANK('Annex 2 EHV charges'!$A$11:$A$260),1, COUNTIF(A$4:$A73, 'Annex 2 EHV charges'!$A$11:$A$260)), 0)),"")</f>
        <v>874</v>
      </c>
      <c r="B74" s="123">
        <f>IF($A74="","",VLOOKUP($A74,'Annex 2 EHV charges'!$A:$O,2,0))</f>
        <v>874</v>
      </c>
      <c r="C74" s="124">
        <f>IF($A74="","",VLOOKUP($A74,'Annex 2 EHV charges'!$A:$O,3,0))</f>
        <v>1800060441380</v>
      </c>
      <c r="D74" s="123" t="str">
        <f>IF($A74="","",VLOOKUP($A74,'Annex 2 EHV charges'!$A:$O,7,0))</f>
        <v>Glenkerie</v>
      </c>
      <c r="E74" s="128" t="str">
        <f>IFERROR(IF(VLOOKUP($A74,'Annex 2 EHV charges'!$A:$O,8,FALSE)=0,"",VLOOKUP($A74,'Annex 2 EHV charges'!$A:$O,8,FALSE)),"")</f>
        <v/>
      </c>
      <c r="F74" s="129">
        <f>IFERROR(IF(VLOOKUP($A74,'Annex 2 EHV charges'!$A:$O,9,FALSE)=0,"",VLOOKUP($A74,'Annex 2 EHV charges'!$A:$O,9,FALSE)),"")</f>
        <v>422.38</v>
      </c>
      <c r="G74" s="130">
        <f>IFERROR(IF(VLOOKUP($A74,'Annex 2 EHV charges'!$A:$O,10,FALSE)=0,"",VLOOKUP($A74,'Annex 2 EHV charges'!$A:$O,10,FALSE)),"")</f>
        <v>2.6</v>
      </c>
      <c r="H74" s="130">
        <f>IFERROR(IF(VLOOKUP($A74,'Annex 2 EHV charges'!$A:$O,11,FALSE)=0,"",VLOOKUP($A74,'Annex 2 EHV charges'!$A:$O,11,FALSE)),"")</f>
        <v>2.6</v>
      </c>
    </row>
    <row r="75" spans="1:8" ht="12.75" customHeight="1" x14ac:dyDescent="0.2">
      <c r="A75" s="123">
        <f t="array" ref="A75">IFERROR(INDEX('Annex 2 EHV charges'!$A$11:$A$260, MATCH(0, IF(ISBLANK('Annex 2 EHV charges'!$A$11:$A$260),1, COUNTIF(A$4:$A74, 'Annex 2 EHV charges'!$A$11:$A$260)), 0)),"")</f>
        <v>875</v>
      </c>
      <c r="B75" s="123">
        <f>IF($A75="","",VLOOKUP($A75,'Annex 2 EHV charges'!$A:$O,2,0))</f>
        <v>875</v>
      </c>
      <c r="C75" s="124">
        <f>IF($A75="","",VLOOKUP($A75,'Annex 2 EHV charges'!$A:$O,3,0))</f>
        <v>1800060450524</v>
      </c>
      <c r="D75" s="123" t="str">
        <f>IF($A75="","",VLOOKUP($A75,'Annex 2 EHV charges'!$A:$O,7,0))</f>
        <v>Kelburn (A)</v>
      </c>
      <c r="E75" s="128" t="str">
        <f>IFERROR(IF(VLOOKUP($A75,'Annex 2 EHV charges'!$A:$O,8,FALSE)=0,"",VLOOKUP($A75,'Annex 2 EHV charges'!$A:$O,8,FALSE)),"")</f>
        <v/>
      </c>
      <c r="F75" s="129">
        <f>IFERROR(IF(VLOOKUP($A75,'Annex 2 EHV charges'!$A:$O,9,FALSE)=0,"",VLOOKUP($A75,'Annex 2 EHV charges'!$A:$O,9,FALSE)),"")</f>
        <v>194.8</v>
      </c>
      <c r="G75" s="130">
        <f>IFERROR(IF(VLOOKUP($A75,'Annex 2 EHV charges'!$A:$O,10,FALSE)=0,"",VLOOKUP($A75,'Annex 2 EHV charges'!$A:$O,10,FALSE)),"")</f>
        <v>2.62</v>
      </c>
      <c r="H75" s="130">
        <f>IFERROR(IF(VLOOKUP($A75,'Annex 2 EHV charges'!$A:$O,11,FALSE)=0,"",VLOOKUP($A75,'Annex 2 EHV charges'!$A:$O,11,FALSE)),"")</f>
        <v>2.62</v>
      </c>
    </row>
    <row r="76" spans="1:8" ht="12.75" customHeight="1" x14ac:dyDescent="0.2">
      <c r="A76" s="123">
        <f t="array" ref="A76">IFERROR(INDEX('Annex 2 EHV charges'!$A$11:$A$260, MATCH(0, IF(ISBLANK('Annex 2 EHV charges'!$A$11:$A$260),1, COUNTIF(A$4:$A75, 'Annex 2 EHV charges'!$A$11:$A$260)), 0)),"")</f>
        <v>876</v>
      </c>
      <c r="B76" s="123">
        <f>IF($A76="","",VLOOKUP($A76,'Annex 2 EHV charges'!$A:$O,2,0))</f>
        <v>876</v>
      </c>
      <c r="C76" s="124">
        <f>IF($A76="","",VLOOKUP($A76,'Annex 2 EHV charges'!$A:$O,3,0))</f>
        <v>1800060450542</v>
      </c>
      <c r="D76" s="123" t="str">
        <f>IF($A76="","",VLOOKUP($A76,'Annex 2 EHV charges'!$A:$O,7,0))</f>
        <v>Kelburn (B)</v>
      </c>
      <c r="E76" s="128" t="str">
        <f>IFERROR(IF(VLOOKUP($A76,'Annex 2 EHV charges'!$A:$O,8,FALSE)=0,"",VLOOKUP($A76,'Annex 2 EHV charges'!$A:$O,8,FALSE)),"")</f>
        <v/>
      </c>
      <c r="F76" s="129">
        <f>IFERROR(IF(VLOOKUP($A76,'Annex 2 EHV charges'!$A:$O,9,FALSE)=0,"",VLOOKUP($A76,'Annex 2 EHV charges'!$A:$O,9,FALSE)),"")</f>
        <v>194.8</v>
      </c>
      <c r="G76" s="130">
        <f>IFERROR(IF(VLOOKUP($A76,'Annex 2 EHV charges'!$A:$O,10,FALSE)=0,"",VLOOKUP($A76,'Annex 2 EHV charges'!$A:$O,10,FALSE)),"")</f>
        <v>2.64</v>
      </c>
      <c r="H76" s="130">
        <f>IFERROR(IF(VLOOKUP($A76,'Annex 2 EHV charges'!$A:$O,11,FALSE)=0,"",VLOOKUP($A76,'Annex 2 EHV charges'!$A:$O,11,FALSE)),"")</f>
        <v>2.64</v>
      </c>
    </row>
    <row r="77" spans="1:8" ht="12.75" customHeight="1" x14ac:dyDescent="0.2">
      <c r="A77" s="123">
        <f t="array" ref="A77">IFERROR(INDEX('Annex 2 EHV charges'!$A$11:$A$260, MATCH(0, IF(ISBLANK('Annex 2 EHV charges'!$A$11:$A$260),1, COUNTIF(A$4:$A76, 'Annex 2 EHV charges'!$A$11:$A$260)), 0)),"")</f>
        <v>877</v>
      </c>
      <c r="B77" s="123">
        <f>IF($A77="","",VLOOKUP($A77,'Annex 2 EHV charges'!$A:$O,2,0))</f>
        <v>877</v>
      </c>
      <c r="C77" s="124">
        <f>IF($A77="","",VLOOKUP($A77,'Annex 2 EHV charges'!$A:$O,3,0))</f>
        <v>1800060450506</v>
      </c>
      <c r="D77" s="123" t="str">
        <f>IF($A77="","",VLOOKUP($A77,'Annex 2 EHV charges'!$A:$O,7,0))</f>
        <v>Little Raith</v>
      </c>
      <c r="E77" s="128" t="str">
        <f>IFERROR(IF(VLOOKUP($A77,'Annex 2 EHV charges'!$A:$O,8,FALSE)=0,"",VLOOKUP($A77,'Annex 2 EHV charges'!$A:$O,8,FALSE)),"")</f>
        <v/>
      </c>
      <c r="F77" s="129">
        <f>IFERROR(IF(VLOOKUP($A77,'Annex 2 EHV charges'!$A:$O,9,FALSE)=0,"",VLOOKUP($A77,'Annex 2 EHV charges'!$A:$O,9,FALSE)),"")</f>
        <v>213.81</v>
      </c>
      <c r="G77" s="130">
        <f>IFERROR(IF(VLOOKUP($A77,'Annex 2 EHV charges'!$A:$O,10,FALSE)=0,"",VLOOKUP($A77,'Annex 2 EHV charges'!$A:$O,10,FALSE)),"")</f>
        <v>0.9</v>
      </c>
      <c r="H77" s="130">
        <f>IFERROR(IF(VLOOKUP($A77,'Annex 2 EHV charges'!$A:$O,11,FALSE)=0,"",VLOOKUP($A77,'Annex 2 EHV charges'!$A:$O,11,FALSE)),"")</f>
        <v>0.9</v>
      </c>
    </row>
    <row r="78" spans="1:8" ht="12.75" customHeight="1" x14ac:dyDescent="0.2">
      <c r="A78" s="123">
        <f t="array" ref="A78">IFERROR(INDEX('Annex 2 EHV charges'!$A$11:$A$260, MATCH(0, IF(ISBLANK('Annex 2 EHV charges'!$A$11:$A$260),1, COUNTIF(A$4:$A77, 'Annex 2 EHV charges'!$A$11:$A$260)), 0)),"")</f>
        <v>878</v>
      </c>
      <c r="B78" s="123">
        <f>IF($A78="","",VLOOKUP($A78,'Annex 2 EHV charges'!$A:$O,2,0))</f>
        <v>878</v>
      </c>
      <c r="C78" s="124">
        <f>IF($A78="","",VLOOKUP($A78,'Annex 2 EHV charges'!$A:$O,3,0))</f>
        <v>1800060445640</v>
      </c>
      <c r="D78" s="123" t="str">
        <f>IF($A78="","",VLOOKUP($A78,'Annex 2 EHV charges'!$A:$O,7,0))</f>
        <v>Drone Hill</v>
      </c>
      <c r="E78" s="128" t="str">
        <f>IFERROR(IF(VLOOKUP($A78,'Annex 2 EHV charges'!$A:$O,8,FALSE)=0,"",VLOOKUP($A78,'Annex 2 EHV charges'!$A:$O,8,FALSE)),"")</f>
        <v/>
      </c>
      <c r="F78" s="129">
        <f>IFERROR(IF(VLOOKUP($A78,'Annex 2 EHV charges'!$A:$O,9,FALSE)=0,"",VLOOKUP($A78,'Annex 2 EHV charges'!$A:$O,9,FALSE)),"")</f>
        <v>591</v>
      </c>
      <c r="G78" s="130">
        <f>IFERROR(IF(VLOOKUP($A78,'Annex 2 EHV charges'!$A:$O,10,FALSE)=0,"",VLOOKUP($A78,'Annex 2 EHV charges'!$A:$O,10,FALSE)),"")</f>
        <v>1.02</v>
      </c>
      <c r="H78" s="130">
        <f>IFERROR(IF(VLOOKUP($A78,'Annex 2 EHV charges'!$A:$O,11,FALSE)=0,"",VLOOKUP($A78,'Annex 2 EHV charges'!$A:$O,11,FALSE)),"")</f>
        <v>1.02</v>
      </c>
    </row>
    <row r="79" spans="1:8" ht="12.75" customHeight="1" x14ac:dyDescent="0.2">
      <c r="A79" s="123">
        <f t="array" ref="A79">IFERROR(INDEX('Annex 2 EHV charges'!$A$11:$A$260, MATCH(0, IF(ISBLANK('Annex 2 EHV charges'!$A$11:$A$260),1, COUNTIF(A$4:$A78, 'Annex 2 EHV charges'!$A$11:$A$260)), 0)),"")</f>
        <v>879</v>
      </c>
      <c r="B79" s="123">
        <f>IF($A79="","",VLOOKUP($A79,'Annex 2 EHV charges'!$A:$O,2,0))</f>
        <v>879</v>
      </c>
      <c r="C79" s="124">
        <f>IF($A79="","",VLOOKUP($A79,'Annex 2 EHV charges'!$A:$O,3,0))</f>
        <v>1800060845812</v>
      </c>
      <c r="D79" s="123" t="str">
        <f>IF($A79="","",VLOOKUP($A79,'Annex 2 EHV charges'!$A:$O,7,0))</f>
        <v>Pearie Law Wind Farm</v>
      </c>
      <c r="E79" s="128" t="str">
        <f>IFERROR(IF(VLOOKUP($A79,'Annex 2 EHV charges'!$A:$O,8,FALSE)=0,"",VLOOKUP($A79,'Annex 2 EHV charges'!$A:$O,8,FALSE)),"")</f>
        <v/>
      </c>
      <c r="F79" s="129">
        <f>IFERROR(IF(VLOOKUP($A79,'Annex 2 EHV charges'!$A:$O,9,FALSE)=0,"",VLOOKUP($A79,'Annex 2 EHV charges'!$A:$O,9,FALSE)),"")</f>
        <v>309.23</v>
      </c>
      <c r="G79" s="130">
        <f>IFERROR(IF(VLOOKUP($A79,'Annex 2 EHV charges'!$A:$O,10,FALSE)=0,"",VLOOKUP($A79,'Annex 2 EHV charges'!$A:$O,10,FALSE)),"")</f>
        <v>3.5</v>
      </c>
      <c r="H79" s="130">
        <f>IFERROR(IF(VLOOKUP($A79,'Annex 2 EHV charges'!$A:$O,11,FALSE)=0,"",VLOOKUP($A79,'Annex 2 EHV charges'!$A:$O,11,FALSE)),"")</f>
        <v>3.5</v>
      </c>
    </row>
    <row r="80" spans="1:8" ht="12.75" customHeight="1" x14ac:dyDescent="0.2">
      <c r="A80" s="123">
        <f t="array" ref="A80">IFERROR(INDEX('Annex 2 EHV charges'!$A$11:$A$260, MATCH(0, IF(ISBLANK('Annex 2 EHV charges'!$A$11:$A$260),1, COUNTIF(A$4:$A79, 'Annex 2 EHV charges'!$A$11:$A$260)), 0)),"")</f>
        <v>880</v>
      </c>
      <c r="B80" s="123">
        <f>IF($A80="","",VLOOKUP($A80,'Annex 2 EHV charges'!$A:$O,2,0))</f>
        <v>880</v>
      </c>
      <c r="C80" s="124">
        <f>IF($A80="","",VLOOKUP($A80,'Annex 2 EHV charges'!$A:$O,3,0))</f>
        <v>1800060673222</v>
      </c>
      <c r="D80" s="123" t="str">
        <f>IF($A80="","",VLOOKUP($A80,'Annex 2 EHV charges'!$A:$O,7,0))</f>
        <v>Earlseat WF</v>
      </c>
      <c r="E80" s="128" t="str">
        <f>IFERROR(IF(VLOOKUP($A80,'Annex 2 EHV charges'!$A:$O,8,FALSE)=0,"",VLOOKUP($A80,'Annex 2 EHV charges'!$A:$O,8,FALSE)),"")</f>
        <v/>
      </c>
      <c r="F80" s="129">
        <f>IFERROR(IF(VLOOKUP($A80,'Annex 2 EHV charges'!$A:$O,9,FALSE)=0,"",VLOOKUP($A80,'Annex 2 EHV charges'!$A:$O,9,FALSE)),"")</f>
        <v>174.85</v>
      </c>
      <c r="G80" s="130">
        <f>IFERROR(IF(VLOOKUP($A80,'Annex 2 EHV charges'!$A:$O,10,FALSE)=0,"",VLOOKUP($A80,'Annex 2 EHV charges'!$A:$O,10,FALSE)),"")</f>
        <v>2.63</v>
      </c>
      <c r="H80" s="130">
        <f>IFERROR(IF(VLOOKUP($A80,'Annex 2 EHV charges'!$A:$O,11,FALSE)=0,"",VLOOKUP($A80,'Annex 2 EHV charges'!$A:$O,11,FALSE)),"")</f>
        <v>2.63</v>
      </c>
    </row>
    <row r="81" spans="1:8" ht="12.75" customHeight="1" x14ac:dyDescent="0.2">
      <c r="A81" s="123">
        <f t="array" ref="A81">IFERROR(INDEX('Annex 2 EHV charges'!$A$11:$A$260, MATCH(0, IF(ISBLANK('Annex 2 EHV charges'!$A$11:$A$260),1, COUNTIF(A$4:$A80, 'Annex 2 EHV charges'!$A$11:$A$260)), 0)),"")</f>
        <v>881</v>
      </c>
      <c r="B81" s="123">
        <f>IF($A81="","",VLOOKUP($A81,'Annex 2 EHV charges'!$A:$O,2,0))</f>
        <v>881</v>
      </c>
      <c r="C81" s="124">
        <f>IF($A81="","",VLOOKUP($A81,'Annex 2 EHV charges'!$A:$O,3,0))</f>
        <v>1800060740288</v>
      </c>
      <c r="D81" s="123" t="str">
        <f>IF($A81="","",VLOOKUP($A81,'Annex 2 EHV charges'!$A:$O,7,0))</f>
        <v>Dungavel WF</v>
      </c>
      <c r="E81" s="128" t="str">
        <f>IFERROR(IF(VLOOKUP($A81,'Annex 2 EHV charges'!$A:$O,8,FALSE)=0,"",VLOOKUP($A81,'Annex 2 EHV charges'!$A:$O,8,FALSE)),"")</f>
        <v/>
      </c>
      <c r="F81" s="129">
        <f>IFERROR(IF(VLOOKUP($A81,'Annex 2 EHV charges'!$A:$O,9,FALSE)=0,"",VLOOKUP($A81,'Annex 2 EHV charges'!$A:$O,9,FALSE)),"")</f>
        <v>583.72</v>
      </c>
      <c r="G81" s="130">
        <f>IFERROR(IF(VLOOKUP($A81,'Annex 2 EHV charges'!$A:$O,10,FALSE)=0,"",VLOOKUP($A81,'Annex 2 EHV charges'!$A:$O,10,FALSE)),"")</f>
        <v>0.93</v>
      </c>
      <c r="H81" s="130">
        <f>IFERROR(IF(VLOOKUP($A81,'Annex 2 EHV charges'!$A:$O,11,FALSE)=0,"",VLOOKUP($A81,'Annex 2 EHV charges'!$A:$O,11,FALSE)),"")</f>
        <v>0.93</v>
      </c>
    </row>
    <row r="82" spans="1:8" ht="12.75" customHeight="1" x14ac:dyDescent="0.2">
      <c r="A82" s="123">
        <f t="array" ref="A82">IFERROR(INDEX('Annex 2 EHV charges'!$A$11:$A$260, MATCH(0, IF(ISBLANK('Annex 2 EHV charges'!$A$11:$A$260),1, COUNTIF(A$4:$A81, 'Annex 2 EHV charges'!$A$11:$A$260)), 0)),"")</f>
        <v>882</v>
      </c>
      <c r="B82" s="123">
        <f>IF($A82="","",VLOOKUP($A82,'Annex 2 EHV charges'!$A:$O,2,0))</f>
        <v>882</v>
      </c>
      <c r="C82" s="124">
        <f>IF($A82="","",VLOOKUP($A82,'Annex 2 EHV charges'!$A:$O,3,0))</f>
        <v>1800060769738</v>
      </c>
      <c r="D82" s="123" t="str">
        <f>IF($A82="","",VLOOKUP($A82,'Annex 2 EHV charges'!$A:$O,7,0))</f>
        <v>Burnhead Bathgate WF</v>
      </c>
      <c r="E82" s="128" t="str">
        <f>IFERROR(IF(VLOOKUP($A82,'Annex 2 EHV charges'!$A:$O,8,FALSE)=0,"",VLOOKUP($A82,'Annex 2 EHV charges'!$A:$O,8,FALSE)),"")</f>
        <v/>
      </c>
      <c r="F82" s="129">
        <f>IFERROR(IF(VLOOKUP($A82,'Annex 2 EHV charges'!$A:$O,9,FALSE)=0,"",VLOOKUP($A82,'Annex 2 EHV charges'!$A:$O,9,FALSE)),"")</f>
        <v>69.92</v>
      </c>
      <c r="G82" s="130">
        <f>IFERROR(IF(VLOOKUP($A82,'Annex 2 EHV charges'!$A:$O,10,FALSE)=0,"",VLOOKUP($A82,'Annex 2 EHV charges'!$A:$O,10,FALSE)),"")</f>
        <v>2.67</v>
      </c>
      <c r="H82" s="130">
        <f>IFERROR(IF(VLOOKUP($A82,'Annex 2 EHV charges'!$A:$O,11,FALSE)=0,"",VLOOKUP($A82,'Annex 2 EHV charges'!$A:$O,11,FALSE)),"")</f>
        <v>2.67</v>
      </c>
    </row>
    <row r="83" spans="1:8" ht="12.75" customHeight="1" x14ac:dyDescent="0.2">
      <c r="A83" s="123">
        <f t="array" ref="A83">IFERROR(INDEX('Annex 2 EHV charges'!$A$11:$A$260, MATCH(0, IF(ISBLANK('Annex 2 EHV charges'!$A$11:$A$260),1, COUNTIF(A$4:$A82, 'Annex 2 EHV charges'!$A$11:$A$260)), 0)),"")</f>
        <v>883</v>
      </c>
      <c r="B83" s="123">
        <f>IF($A83="","",VLOOKUP($A83,'Annex 2 EHV charges'!$A:$O,2,0))</f>
        <v>883</v>
      </c>
      <c r="C83" s="124">
        <f>IF($A83="","",VLOOKUP($A83,'Annex 2 EHV charges'!$A:$O,3,0))</f>
        <v>1800053647742</v>
      </c>
      <c r="D83" s="123" t="str">
        <f>IF($A83="","",VLOOKUP($A83,'Annex 2 EHV charges'!$A:$O,7,0))</f>
        <v>Shanks &amp; McEwan 6</v>
      </c>
      <c r="E83" s="128" t="str">
        <f>IFERROR(IF(VLOOKUP($A83,'Annex 2 EHV charges'!$A:$O,8,FALSE)=0,"",VLOOKUP($A83,'Annex 2 EHV charges'!$A:$O,8,FALSE)),"")</f>
        <v/>
      </c>
      <c r="F83" s="129">
        <f>IFERROR(IF(VLOOKUP($A83,'Annex 2 EHV charges'!$A:$O,9,FALSE)=0,"",VLOOKUP($A83,'Annex 2 EHV charges'!$A:$O,9,FALSE)),"")</f>
        <v>88.95</v>
      </c>
      <c r="G83" s="130">
        <f>IFERROR(IF(VLOOKUP($A83,'Annex 2 EHV charges'!$A:$O,10,FALSE)=0,"",VLOOKUP($A83,'Annex 2 EHV charges'!$A:$O,10,FALSE)),"")</f>
        <v>2.52</v>
      </c>
      <c r="H83" s="130">
        <f>IFERROR(IF(VLOOKUP($A83,'Annex 2 EHV charges'!$A:$O,11,FALSE)=0,"",VLOOKUP($A83,'Annex 2 EHV charges'!$A:$O,11,FALSE)),"")</f>
        <v>2.52</v>
      </c>
    </row>
    <row r="84" spans="1:8" ht="12.75" customHeight="1" x14ac:dyDescent="0.2">
      <c r="A84" s="123">
        <f t="array" ref="A84">IFERROR(INDEX('Annex 2 EHV charges'!$A$11:$A$260, MATCH(0, IF(ISBLANK('Annex 2 EHV charges'!$A$11:$A$260),1, COUNTIF(A$4:$A83, 'Annex 2 EHV charges'!$A$11:$A$260)), 0)),"")</f>
        <v>884</v>
      </c>
      <c r="B84" s="123">
        <f>IF($A84="","",VLOOKUP($A84,'Annex 2 EHV charges'!$A:$O,2,0))</f>
        <v>884</v>
      </c>
      <c r="C84" s="124">
        <f>IF($A84="","",VLOOKUP($A84,'Annex 2 EHV charges'!$A:$O,3,0))</f>
        <v>1800060683693</v>
      </c>
      <c r="D84" s="123" t="str">
        <f>IF($A84="","",VLOOKUP($A84,'Annex 2 EHV charges'!$A:$O,7,0))</f>
        <v>Ardoch &amp; Over Enoch WF</v>
      </c>
      <c r="E84" s="128" t="str">
        <f>IFERROR(IF(VLOOKUP($A84,'Annex 2 EHV charges'!$A:$O,8,FALSE)=0,"",VLOOKUP($A84,'Annex 2 EHV charges'!$A:$O,8,FALSE)),"")</f>
        <v/>
      </c>
      <c r="F84" s="129">
        <f>IFERROR(IF(VLOOKUP($A84,'Annex 2 EHV charges'!$A:$O,9,FALSE)=0,"",VLOOKUP($A84,'Annex 2 EHV charges'!$A:$O,9,FALSE)),"")</f>
        <v>122.44</v>
      </c>
      <c r="G84" s="130">
        <f>IFERROR(IF(VLOOKUP($A84,'Annex 2 EHV charges'!$A:$O,10,FALSE)=0,"",VLOOKUP($A84,'Annex 2 EHV charges'!$A:$O,10,FALSE)),"")</f>
        <v>1.04</v>
      </c>
      <c r="H84" s="130">
        <f>IFERROR(IF(VLOOKUP($A84,'Annex 2 EHV charges'!$A:$O,11,FALSE)=0,"",VLOOKUP($A84,'Annex 2 EHV charges'!$A:$O,11,FALSE)),"")</f>
        <v>1.04</v>
      </c>
    </row>
    <row r="85" spans="1:8" ht="12.75" customHeight="1" x14ac:dyDescent="0.2">
      <c r="A85" s="123">
        <f t="array" ref="A85">IFERROR(INDEX('Annex 2 EHV charges'!$A$11:$A$260, MATCH(0, IF(ISBLANK('Annex 2 EHV charges'!$A$11:$A$260),1, COUNTIF(A$4:$A84, 'Annex 2 EHV charges'!$A$11:$A$260)), 0)),"")</f>
        <v>885</v>
      </c>
      <c r="B85" s="123">
        <f>IF($A85="","",VLOOKUP($A85,'Annex 2 EHV charges'!$A:$O,2,0))</f>
        <v>885</v>
      </c>
      <c r="C85" s="124" t="str">
        <f>IF($A85="","",VLOOKUP($A85,'Annex 2 EHV charges'!$A:$O,3,0))</f>
        <v>TBA</v>
      </c>
      <c r="D85" s="123" t="str">
        <f>IF($A85="","",VLOOKUP($A85,'Annex 2 EHV charges'!$A:$O,7,0))</f>
        <v>Muirpark Wind Farm</v>
      </c>
      <c r="E85" s="128" t="str">
        <f>IFERROR(IF(VLOOKUP($A85,'Annex 2 EHV charges'!$A:$O,8,FALSE)=0,"",VLOOKUP($A85,'Annex 2 EHV charges'!$A:$O,8,FALSE)),"")</f>
        <v/>
      </c>
      <c r="F85" s="129">
        <f>IFERROR(IF(VLOOKUP($A85,'Annex 2 EHV charges'!$A:$O,9,FALSE)=0,"",VLOOKUP($A85,'Annex 2 EHV charges'!$A:$O,9,FALSE)),"")</f>
        <v>127.77</v>
      </c>
      <c r="G85" s="130">
        <f>IFERROR(IF(VLOOKUP($A85,'Annex 2 EHV charges'!$A:$O,10,FALSE)=0,"",VLOOKUP($A85,'Annex 2 EHV charges'!$A:$O,10,FALSE)),"")</f>
        <v>1.77</v>
      </c>
      <c r="H85" s="130">
        <f>IFERROR(IF(VLOOKUP($A85,'Annex 2 EHV charges'!$A:$O,11,FALSE)=0,"",VLOOKUP($A85,'Annex 2 EHV charges'!$A:$O,11,FALSE)),"")</f>
        <v>1.77</v>
      </c>
    </row>
    <row r="86" spans="1:8" ht="12.75" customHeight="1" x14ac:dyDescent="0.2">
      <c r="A86" s="123">
        <f t="array" ref="A86">IFERROR(INDEX('Annex 2 EHV charges'!$A$11:$A$260, MATCH(0, IF(ISBLANK('Annex 2 EHV charges'!$A$11:$A$260),1, COUNTIF(A$4:$A85, 'Annex 2 EHV charges'!$A$11:$A$260)), 0)),"")</f>
        <v>888</v>
      </c>
      <c r="B86" s="123">
        <f>IF($A86="","",VLOOKUP($A86,'Annex 2 EHV charges'!$A:$O,2,0))</f>
        <v>888</v>
      </c>
      <c r="C86" s="124">
        <f>IF($A86="","",VLOOKUP($A86,'Annex 2 EHV charges'!$A:$O,3,0))</f>
        <v>1800060817230</v>
      </c>
      <c r="D86" s="123" t="str">
        <f>IF($A86="","",VLOOKUP($A86,'Annex 2 EHV charges'!$A:$O,7,0))</f>
        <v>Glenchamber</v>
      </c>
      <c r="E86" s="128" t="str">
        <f>IFERROR(IF(VLOOKUP($A86,'Annex 2 EHV charges'!$A:$O,8,FALSE)=0,"",VLOOKUP($A86,'Annex 2 EHV charges'!$A:$O,8,FALSE)),"")</f>
        <v/>
      </c>
      <c r="F86" s="129">
        <f>IFERROR(IF(VLOOKUP($A86,'Annex 2 EHV charges'!$A:$O,9,FALSE)=0,"",VLOOKUP($A86,'Annex 2 EHV charges'!$A:$O,9,FALSE)),"")</f>
        <v>123.06</v>
      </c>
      <c r="G86" s="130">
        <f>IFERROR(IF(VLOOKUP($A86,'Annex 2 EHV charges'!$A:$O,10,FALSE)=0,"",VLOOKUP($A86,'Annex 2 EHV charges'!$A:$O,10,FALSE)),"")</f>
        <v>0.84</v>
      </c>
      <c r="H86" s="130">
        <f>IFERROR(IF(VLOOKUP($A86,'Annex 2 EHV charges'!$A:$O,11,FALSE)=0,"",VLOOKUP($A86,'Annex 2 EHV charges'!$A:$O,11,FALSE)),"")</f>
        <v>0.84</v>
      </c>
    </row>
    <row r="87" spans="1:8" ht="12.75" customHeight="1" x14ac:dyDescent="0.2">
      <c r="A87" s="123">
        <f t="array" ref="A87">IFERROR(INDEX('Annex 2 EHV charges'!$A$11:$A$260, MATCH(0, IF(ISBLANK('Annex 2 EHV charges'!$A$11:$A$260),1, COUNTIF(A$4:$A86, 'Annex 2 EHV charges'!$A$11:$A$260)), 0)),"")</f>
        <v>889</v>
      </c>
      <c r="B87" s="123">
        <f>IF($A87="","",VLOOKUP($A87,'Annex 2 EHV charges'!$A:$O,2,0))</f>
        <v>889</v>
      </c>
      <c r="C87" s="124">
        <f>IF($A87="","",VLOOKUP($A87,'Annex 2 EHV charges'!$A:$O,3,0))</f>
        <v>1800060819273</v>
      </c>
      <c r="D87" s="123" t="str">
        <f>IF($A87="","",VLOOKUP($A87,'Annex 2 EHV charges'!$A:$O,7,0))</f>
        <v>Penmansheill</v>
      </c>
      <c r="E87" s="128" t="str">
        <f>IFERROR(IF(VLOOKUP($A87,'Annex 2 EHV charges'!$A:$O,8,FALSE)=0,"",VLOOKUP($A87,'Annex 2 EHV charges'!$A:$O,8,FALSE)),"")</f>
        <v/>
      </c>
      <c r="F87" s="129">
        <f>IFERROR(IF(VLOOKUP($A87,'Annex 2 EHV charges'!$A:$O,9,FALSE)=0,"",VLOOKUP($A87,'Annex 2 EHV charges'!$A:$O,9,FALSE)),"")</f>
        <v>261.83</v>
      </c>
      <c r="G87" s="130">
        <f>IFERROR(IF(VLOOKUP($A87,'Annex 2 EHV charges'!$A:$O,10,FALSE)=0,"",VLOOKUP($A87,'Annex 2 EHV charges'!$A:$O,10,FALSE)),"")</f>
        <v>0.85</v>
      </c>
      <c r="H87" s="130">
        <f>IFERROR(IF(VLOOKUP($A87,'Annex 2 EHV charges'!$A:$O,11,FALSE)=0,"",VLOOKUP($A87,'Annex 2 EHV charges'!$A:$O,11,FALSE)),"")</f>
        <v>0.85</v>
      </c>
    </row>
    <row r="88" spans="1:8" ht="12.75" customHeight="1" x14ac:dyDescent="0.2">
      <c r="A88" s="123">
        <f t="array" ref="A88">IFERROR(INDEX('Annex 2 EHV charges'!$A$11:$A$260, MATCH(0, IF(ISBLANK('Annex 2 EHV charges'!$A$11:$A$260),1, COUNTIF(A$4:$A87, 'Annex 2 EHV charges'!$A$11:$A$260)), 0)),"")</f>
        <v>891</v>
      </c>
      <c r="B88" s="123">
        <f>IF($A88="","",VLOOKUP($A88,'Annex 2 EHV charges'!$A:$O,2,0))</f>
        <v>891</v>
      </c>
      <c r="C88" s="124">
        <f>IF($A88="","",VLOOKUP($A88,'Annex 2 EHV charges'!$A:$O,3,0))</f>
        <v>1800060863723</v>
      </c>
      <c r="D88" s="123" t="str">
        <f>IF($A88="","",VLOOKUP($A88,'Annex 2 EHV charges'!$A:$O,7,0))</f>
        <v>Tormywheel</v>
      </c>
      <c r="E88" s="128" t="str">
        <f>IFERROR(IF(VLOOKUP($A88,'Annex 2 EHV charges'!$A:$O,8,FALSE)=0,"",VLOOKUP($A88,'Annex 2 EHV charges'!$A:$O,8,FALSE)),"")</f>
        <v/>
      </c>
      <c r="F88" s="129">
        <f>IFERROR(IF(VLOOKUP($A88,'Annex 2 EHV charges'!$A:$O,9,FALSE)=0,"",VLOOKUP($A88,'Annex 2 EHV charges'!$A:$O,9,FALSE)),"")</f>
        <v>64.28</v>
      </c>
      <c r="G88" s="130">
        <f>IFERROR(IF(VLOOKUP($A88,'Annex 2 EHV charges'!$A:$O,10,FALSE)=0,"",VLOOKUP($A88,'Annex 2 EHV charges'!$A:$O,10,FALSE)),"")</f>
        <v>3.5</v>
      </c>
      <c r="H88" s="130">
        <f>IFERROR(IF(VLOOKUP($A88,'Annex 2 EHV charges'!$A:$O,11,FALSE)=0,"",VLOOKUP($A88,'Annex 2 EHV charges'!$A:$O,11,FALSE)),"")</f>
        <v>3.5</v>
      </c>
    </row>
    <row r="89" spans="1:8" ht="12.75" customHeight="1" x14ac:dyDescent="0.2">
      <c r="A89" s="123">
        <f t="array" ref="A89">IFERROR(INDEX('Annex 2 EHV charges'!$A$11:$A$260, MATCH(0, IF(ISBLANK('Annex 2 EHV charges'!$A$11:$A$260),1, COUNTIF(A$4:$A88, 'Annex 2 EHV charges'!$A$11:$A$260)), 0)),"")</f>
        <v>892</v>
      </c>
      <c r="B89" s="123">
        <f>IF($A89="","",VLOOKUP($A89,'Annex 2 EHV charges'!$A:$O,2,0))</f>
        <v>892</v>
      </c>
      <c r="C89" s="124">
        <f>IF($A89="","",VLOOKUP($A89,'Annex 2 EHV charges'!$A:$O,3,0))</f>
        <v>1800060872755</v>
      </c>
      <c r="D89" s="123" t="str">
        <f>IF($A89="","",VLOOKUP($A89,'Annex 2 EHV charges'!$A:$O,7,0))</f>
        <v>Quixwood Wind Farm</v>
      </c>
      <c r="E89" s="128" t="str">
        <f>IFERROR(IF(VLOOKUP($A89,'Annex 2 EHV charges'!$A:$O,8,FALSE)=0,"",VLOOKUP($A89,'Annex 2 EHV charges'!$A:$O,8,FALSE)),"")</f>
        <v/>
      </c>
      <c r="F89" s="129">
        <f>IFERROR(IF(VLOOKUP($A89,'Annex 2 EHV charges'!$A:$O,9,FALSE)=0,"",VLOOKUP($A89,'Annex 2 EHV charges'!$A:$O,9,FALSE)),"")</f>
        <v>330.61</v>
      </c>
      <c r="G89" s="130">
        <f>IFERROR(IF(VLOOKUP($A89,'Annex 2 EHV charges'!$A:$O,10,FALSE)=0,"",VLOOKUP($A89,'Annex 2 EHV charges'!$A:$O,10,FALSE)),"")</f>
        <v>1.77</v>
      </c>
      <c r="H89" s="130">
        <f>IFERROR(IF(VLOOKUP($A89,'Annex 2 EHV charges'!$A:$O,11,FALSE)=0,"",VLOOKUP($A89,'Annex 2 EHV charges'!$A:$O,11,FALSE)),"")</f>
        <v>1.77</v>
      </c>
    </row>
    <row r="90" spans="1:8" ht="12.75" customHeight="1" x14ac:dyDescent="0.2">
      <c r="A90" s="123" t="str">
        <f t="array" ref="A90">IFERROR(INDEX('Annex 2 EHV charges'!$A$11:$A$260, MATCH(0, IF(ISBLANK('Annex 2 EHV charges'!$A$11:$A$260),1, COUNTIF(A$4:$A89, 'Annex 2 EHV charges'!$A$11:$A$260)), 0)),"")</f>
        <v>MSID 8083</v>
      </c>
      <c r="B90" s="123" t="str">
        <f>IF($A90="","",VLOOKUP($A90,'Annex 2 EHV charges'!$A:$O,2,0))</f>
        <v>MSID 8083</v>
      </c>
      <c r="C90" s="124" t="str">
        <f>IF($A90="","",VLOOKUP($A90,'Annex 2 EHV charges'!$A:$O,3,0))</f>
        <v>MSID 8083</v>
      </c>
      <c r="D90" s="123" t="str">
        <f>IF($A90="","",VLOOKUP($A90,'Annex 2 EHV charges'!$A:$O,7,0))</f>
        <v>Dumbarton</v>
      </c>
      <c r="E90" s="128" t="str">
        <f>IFERROR(IF(VLOOKUP($A90,'Annex 2 EHV charges'!$A:$O,8,FALSE)=0,"",VLOOKUP($A90,'Annex 2 EHV charges'!$A:$O,8,FALSE)),"")</f>
        <v/>
      </c>
      <c r="F90" s="129" t="str">
        <f>IFERROR(IF(VLOOKUP($A90,'Annex 2 EHV charges'!$A:$O,9,FALSE)=0,"",VLOOKUP($A90,'Annex 2 EHV charges'!$A:$O,9,FALSE)),"")</f>
        <v/>
      </c>
      <c r="G90" s="130">
        <f>IFERROR(IF(VLOOKUP($A90,'Annex 2 EHV charges'!$A:$O,10,FALSE)=0,"",VLOOKUP($A90,'Annex 2 EHV charges'!$A:$O,10,FALSE)),"")</f>
        <v>2.63</v>
      </c>
      <c r="H90" s="130">
        <f>IFERROR(IF(VLOOKUP($A90,'Annex 2 EHV charges'!$A:$O,11,FALSE)=0,"",VLOOKUP($A90,'Annex 2 EHV charges'!$A:$O,11,FALSE)),"")</f>
        <v>2.63</v>
      </c>
    </row>
    <row r="91" spans="1:8" ht="12.75" customHeight="1" x14ac:dyDescent="0.2">
      <c r="A91" s="123" t="str">
        <f t="array" ref="A91">IFERROR(INDEX('Annex 2 EHV charges'!$A$11:$A$260, MATCH(0, IF(ISBLANK('Annex 2 EHV charges'!$A$11:$A$260),1, COUNTIF(A$4:$A90, 'Annex 2 EHV charges'!$A$11:$A$260)), 0)),"")</f>
        <v>MSID 8085</v>
      </c>
      <c r="B91" s="123" t="str">
        <f>IF($A91="","",VLOOKUP($A91,'Annex 2 EHV charges'!$A:$O,2,0))</f>
        <v>MSID 8085</v>
      </c>
      <c r="C91" s="124" t="str">
        <f>IF($A91="","",VLOOKUP($A91,'Annex 2 EHV charges'!$A:$O,3,0))</f>
        <v>MSID 8085</v>
      </c>
      <c r="D91" s="123" t="str">
        <f>IF($A91="","",VLOOKUP($A91,'Annex 2 EHV charges'!$A:$O,7,0))</f>
        <v>Stirling Road</v>
      </c>
      <c r="E91" s="128" t="str">
        <f>IFERROR(IF(VLOOKUP($A91,'Annex 2 EHV charges'!$A:$O,8,FALSE)=0,"",VLOOKUP($A91,'Annex 2 EHV charges'!$A:$O,8,FALSE)),"")</f>
        <v/>
      </c>
      <c r="F91" s="129" t="str">
        <f>IFERROR(IF(VLOOKUP($A91,'Annex 2 EHV charges'!$A:$O,9,FALSE)=0,"",VLOOKUP($A91,'Annex 2 EHV charges'!$A:$O,9,FALSE)),"")</f>
        <v/>
      </c>
      <c r="G91" s="130">
        <f>IFERROR(IF(VLOOKUP($A91,'Annex 2 EHV charges'!$A:$O,10,FALSE)=0,"",VLOOKUP($A91,'Annex 2 EHV charges'!$A:$O,10,FALSE)),"")</f>
        <v>3.13</v>
      </c>
      <c r="H91" s="130">
        <f>IFERROR(IF(VLOOKUP($A91,'Annex 2 EHV charges'!$A:$O,11,FALSE)=0,"",VLOOKUP($A91,'Annex 2 EHV charges'!$A:$O,11,FALSE)),"")</f>
        <v>3.13</v>
      </c>
    </row>
    <row r="92" spans="1:8" ht="12.75" customHeight="1" x14ac:dyDescent="0.2">
      <c r="A92" s="123" t="str">
        <f t="array" ref="A92">IFERROR(INDEX('Annex 2 EHV charges'!$A$11:$A$260, MATCH(0, IF(ISBLANK('Annex 2 EHV charges'!$A$11:$A$260),1, COUNTIF(A$4:$A91, 'Annex 2 EHV charges'!$A$11:$A$260)), 0)),"")</f>
        <v>MSID 8334</v>
      </c>
      <c r="B92" s="123" t="str">
        <f>IF($A92="","",VLOOKUP($A92,'Annex 2 EHV charges'!$A:$O,2,0))</f>
        <v>MSID 8334</v>
      </c>
      <c r="C92" s="124" t="str">
        <f>IF($A92="","",VLOOKUP($A92,'Annex 2 EHV charges'!$A:$O,3,0))</f>
        <v>MSID 8334</v>
      </c>
      <c r="D92" s="123" t="str">
        <f>IF($A92="","",VLOOKUP($A92,'Annex 2 EHV charges'!$A:$O,7,0))</f>
        <v>Markinch</v>
      </c>
      <c r="E92" s="128" t="str">
        <f>IFERROR(IF(VLOOKUP($A92,'Annex 2 EHV charges'!$A:$O,8,FALSE)=0,"",VLOOKUP($A92,'Annex 2 EHV charges'!$A:$O,8,FALSE)),"")</f>
        <v/>
      </c>
      <c r="F92" s="129">
        <f>IFERROR(IF(VLOOKUP($A92,'Annex 2 EHV charges'!$A:$O,9,FALSE)=0,"",VLOOKUP($A92,'Annex 2 EHV charges'!$A:$O,9,FALSE)),"")</f>
        <v>3248.25</v>
      </c>
      <c r="G92" s="130">
        <f>IFERROR(IF(VLOOKUP($A92,'Annex 2 EHV charges'!$A:$O,10,FALSE)=0,"",VLOOKUP($A92,'Annex 2 EHV charges'!$A:$O,10,FALSE)),"")</f>
        <v>1.02</v>
      </c>
      <c r="H92" s="130">
        <f>IFERROR(IF(VLOOKUP($A92,'Annex 2 EHV charges'!$A:$O,11,FALSE)=0,"",VLOOKUP($A92,'Annex 2 EHV charges'!$A:$O,11,FALSE)),"")</f>
        <v>1.02</v>
      </c>
    </row>
    <row r="93" spans="1:8" ht="12.75" customHeight="1" x14ac:dyDescent="0.2">
      <c r="A93" s="123" t="str">
        <f t="array" ref="A93">IFERROR(INDEX('Annex 2 EHV charges'!$A$11:$A$260, MATCH(0, IF(ISBLANK('Annex 2 EHV charges'!$A$11:$A$260),1, COUNTIF(A$4:$A92, 'Annex 2 EHV charges'!$A$11:$A$260)), 0)),"")</f>
        <v>MSID 8339</v>
      </c>
      <c r="B93" s="123" t="str">
        <f>IF($A93="","",VLOOKUP($A93,'Annex 2 EHV charges'!$A:$O,2,0))</f>
        <v>MSID 8339</v>
      </c>
      <c r="C93" s="124" t="str">
        <f>IF($A93="","",VLOOKUP($A93,'Annex 2 EHV charges'!$A:$O,3,0))</f>
        <v>MSID 8339</v>
      </c>
      <c r="D93" s="123" t="str">
        <f>IF($A93="","",VLOOKUP($A93,'Annex 2 EHV charges'!$A:$O,7,0))</f>
        <v>Harehill Extension</v>
      </c>
      <c r="E93" s="128" t="str">
        <f>IFERROR(IF(VLOOKUP($A93,'Annex 2 EHV charges'!$A:$O,8,FALSE)=0,"",VLOOKUP($A93,'Annex 2 EHV charges'!$A:$O,8,FALSE)),"")</f>
        <v/>
      </c>
      <c r="F93" s="129">
        <f>IFERROR(IF(VLOOKUP($A93,'Annex 2 EHV charges'!$A:$O,9,FALSE)=0,"",VLOOKUP($A93,'Annex 2 EHV charges'!$A:$O,9,FALSE)),"")</f>
        <v>63.71</v>
      </c>
      <c r="G93" s="130">
        <f>IFERROR(IF(VLOOKUP($A93,'Annex 2 EHV charges'!$A:$O,10,FALSE)=0,"",VLOOKUP($A93,'Annex 2 EHV charges'!$A:$O,10,FALSE)),"")</f>
        <v>3.5</v>
      </c>
      <c r="H93" s="130">
        <f>IFERROR(IF(VLOOKUP($A93,'Annex 2 EHV charges'!$A:$O,11,FALSE)=0,"",VLOOKUP($A93,'Annex 2 EHV charges'!$A:$O,11,FALSE)),"")</f>
        <v>3.5</v>
      </c>
    </row>
    <row r="94" spans="1:8" ht="12.75" customHeight="1" x14ac:dyDescent="0.2">
      <c r="A94" s="123" t="str">
        <f t="array" ref="A94">IFERROR(INDEX('Annex 2 EHV charges'!$A$11:$A$260, MATCH(0, IF(ISBLANK('Annex 2 EHV charges'!$A$11:$A$260),1, COUNTIF(A$4:$A93, 'Annex 2 EHV charges'!$A$11:$A$260)), 0)),"")</f>
        <v>MSID 8340</v>
      </c>
      <c r="B94" s="123" t="str">
        <f>IF($A94="","",VLOOKUP($A94,'Annex 2 EHV charges'!$A:$O,2,0))</f>
        <v>MSID 8340</v>
      </c>
      <c r="C94" s="124" t="str">
        <f>IF($A94="","",VLOOKUP($A94,'Annex 2 EHV charges'!$A:$O,3,0))</f>
        <v>MSID 8340</v>
      </c>
      <c r="D94" s="123" t="str">
        <f>IF($A94="","",VLOOKUP($A94,'Annex 2 EHV charges'!$A:$O,7,0))</f>
        <v>Aries</v>
      </c>
      <c r="E94" s="128" t="str">
        <f>IFERROR(IF(VLOOKUP($A94,'Annex 2 EHV charges'!$A:$O,8,FALSE)=0,"",VLOOKUP($A94,'Annex 2 EHV charges'!$A:$O,8,FALSE)),"")</f>
        <v/>
      </c>
      <c r="F94" s="129">
        <f>IFERROR(IF(VLOOKUP($A94,'Annex 2 EHV charges'!$A:$O,9,FALSE)=0,"",VLOOKUP($A94,'Annex 2 EHV charges'!$A:$O,9,FALSE)),"")</f>
        <v>77.8</v>
      </c>
      <c r="G94" s="130">
        <f>IFERROR(IF(VLOOKUP($A94,'Annex 2 EHV charges'!$A:$O,10,FALSE)=0,"",VLOOKUP($A94,'Annex 2 EHV charges'!$A:$O,10,FALSE)),"")</f>
        <v>1.77</v>
      </c>
      <c r="H94" s="130">
        <f>IFERROR(IF(VLOOKUP($A94,'Annex 2 EHV charges'!$A:$O,11,FALSE)=0,"",VLOOKUP($A94,'Annex 2 EHV charges'!$A:$O,11,FALSE)),"")</f>
        <v>1.77</v>
      </c>
    </row>
    <row r="95" spans="1:8" ht="12.75" customHeight="1" x14ac:dyDescent="0.2">
      <c r="A95" s="123" t="str">
        <f t="array" ref="A95">IFERROR(INDEX('Annex 2 EHV charges'!$A$11:$A$260, MATCH(0, IF(ISBLANK('Annex 2 EHV charges'!$A$11:$A$260),1, COUNTIF(A$4:$A94, 'Annex 2 EHV charges'!$A$11:$A$260)), 0)),"")</f>
        <v>MSID 8341</v>
      </c>
      <c r="B95" s="123" t="str">
        <f>IF($A95="","",VLOOKUP($A95,'Annex 2 EHV charges'!$A:$O,2,0))</f>
        <v>MSID 8341</v>
      </c>
      <c r="C95" s="124" t="str">
        <f>IF($A95="","",VLOOKUP($A95,'Annex 2 EHV charges'!$A:$O,3,0))</f>
        <v>MSID 8341</v>
      </c>
      <c r="D95" s="123" t="str">
        <f>IF($A95="","",VLOOKUP($A95,'Annex 2 EHV charges'!$A:$O,7,0))</f>
        <v>Andershaw WF</v>
      </c>
      <c r="E95" s="128" t="str">
        <f>IFERROR(IF(VLOOKUP($A95,'Annex 2 EHV charges'!$A:$O,8,FALSE)=0,"",VLOOKUP($A95,'Annex 2 EHV charges'!$A:$O,8,FALSE)),"")</f>
        <v/>
      </c>
      <c r="F95" s="129">
        <f>IFERROR(IF(VLOOKUP($A95,'Annex 2 EHV charges'!$A:$O,9,FALSE)=0,"",VLOOKUP($A95,'Annex 2 EHV charges'!$A:$O,9,FALSE)),"")</f>
        <v>211.67</v>
      </c>
      <c r="G95" s="130">
        <f>IFERROR(IF(VLOOKUP($A95,'Annex 2 EHV charges'!$A:$O,10,FALSE)=0,"",VLOOKUP($A95,'Annex 2 EHV charges'!$A:$O,10,FALSE)),"")</f>
        <v>2.57</v>
      </c>
      <c r="H95" s="130">
        <f>IFERROR(IF(VLOOKUP($A95,'Annex 2 EHV charges'!$A:$O,11,FALSE)=0,"",VLOOKUP($A95,'Annex 2 EHV charges'!$A:$O,11,FALSE)),"")</f>
        <v>2.57</v>
      </c>
    </row>
    <row r="96" spans="1:8" ht="12.75" customHeight="1" x14ac:dyDescent="0.2">
      <c r="A96" s="123" t="str">
        <f t="array" ref="A96">IFERROR(INDEX('Annex 2 EHV charges'!$A$11:$A$260, MATCH(0, IF(ISBLANK('Annex 2 EHV charges'!$A$11:$A$260),1, COUNTIF(A$4:$A95, 'Annex 2 EHV charges'!$A$11:$A$260)), 0)),"")</f>
        <v>MSID 8347</v>
      </c>
      <c r="B96" s="123" t="str">
        <f>IF($A96="","",VLOOKUP($A96,'Annex 2 EHV charges'!$A:$O,2,0))</f>
        <v>MSID 8347</v>
      </c>
      <c r="C96" s="124" t="str">
        <f>IF($A96="","",VLOOKUP($A96,'Annex 2 EHV charges'!$A:$O,3,0))</f>
        <v>MSID 8347</v>
      </c>
      <c r="D96" s="123" t="str">
        <f>IF($A96="","",VLOOKUP($A96,'Annex 2 EHV charges'!$A:$O,7,0))</f>
        <v>Assel Valley</v>
      </c>
      <c r="E96" s="128" t="str">
        <f>IFERROR(IF(VLOOKUP($A96,'Annex 2 EHV charges'!$A:$O,8,FALSE)=0,"",VLOOKUP($A96,'Annex 2 EHV charges'!$A:$O,8,FALSE)),"")</f>
        <v/>
      </c>
      <c r="F96" s="129">
        <f>IFERROR(IF(VLOOKUP($A96,'Annex 2 EHV charges'!$A:$O,9,FALSE)=0,"",VLOOKUP($A96,'Annex 2 EHV charges'!$A:$O,9,FALSE)),"")</f>
        <v>1707.41</v>
      </c>
      <c r="G96" s="130">
        <f>IFERROR(IF(VLOOKUP($A96,'Annex 2 EHV charges'!$A:$O,10,FALSE)=0,"",VLOOKUP($A96,'Annex 2 EHV charges'!$A:$O,10,FALSE)),"")</f>
        <v>0.85</v>
      </c>
      <c r="H96" s="130">
        <f>IFERROR(IF(VLOOKUP($A96,'Annex 2 EHV charges'!$A:$O,11,FALSE)=0,"",VLOOKUP($A96,'Annex 2 EHV charges'!$A:$O,11,FALSE)),"")</f>
        <v>0.85</v>
      </c>
    </row>
    <row r="97" spans="1:8" ht="12.75" customHeight="1" x14ac:dyDescent="0.2">
      <c r="A97" s="123" t="str">
        <f t="array" ref="A97">IFERROR(INDEX('Annex 2 EHV charges'!$A$11:$A$260, MATCH(0, IF(ISBLANK('Annex 2 EHV charges'!$A$11:$A$260),1, COUNTIF(A$4:$A96, 'Annex 2 EHV charges'!$A$11:$A$260)), 0)),"")</f>
        <v>MSID 8348</v>
      </c>
      <c r="B97" s="123" t="str">
        <f>IF($A97="","",VLOOKUP($A97,'Annex 2 EHV charges'!$A:$O,2,0))</f>
        <v>MSID 8348</v>
      </c>
      <c r="C97" s="124" t="str">
        <f>IF($A97="","",VLOOKUP($A97,'Annex 2 EHV charges'!$A:$O,3,0))</f>
        <v>MSID 8348</v>
      </c>
      <c r="D97" s="123" t="str">
        <f>IF($A97="","",VLOOKUP($A97,'Annex 2 EHV charges'!$A:$O,7,0))</f>
        <v>Auchrobert</v>
      </c>
      <c r="E97" s="128" t="str">
        <f>IFERROR(IF(VLOOKUP($A97,'Annex 2 EHV charges'!$A:$O,8,FALSE)=0,"",VLOOKUP($A97,'Annex 2 EHV charges'!$A:$O,8,FALSE)),"")</f>
        <v/>
      </c>
      <c r="F97" s="129">
        <f>IFERROR(IF(VLOOKUP($A97,'Annex 2 EHV charges'!$A:$O,9,FALSE)=0,"",VLOOKUP($A97,'Annex 2 EHV charges'!$A:$O,9,FALSE)),"")</f>
        <v>357.93</v>
      </c>
      <c r="G97" s="130">
        <f>IFERROR(IF(VLOOKUP($A97,'Annex 2 EHV charges'!$A:$O,10,FALSE)=0,"",VLOOKUP($A97,'Annex 2 EHV charges'!$A:$O,10,FALSE)),"")</f>
        <v>1.77</v>
      </c>
      <c r="H97" s="130">
        <f>IFERROR(IF(VLOOKUP($A97,'Annex 2 EHV charges'!$A:$O,11,FALSE)=0,"",VLOOKUP($A97,'Annex 2 EHV charges'!$A:$O,11,FALSE)),"")</f>
        <v>1.77</v>
      </c>
    </row>
    <row r="98" spans="1:8" ht="12.75" customHeight="1" x14ac:dyDescent="0.2">
      <c r="A98" s="123" t="str">
        <f t="array" ref="A98">IFERROR(INDEX('Annex 2 EHV charges'!$A$11:$A$260, MATCH(0, IF(ISBLANK('Annex 2 EHV charges'!$A$11:$A$260),1, COUNTIF(A$4:$A97, 'Annex 2 EHV charges'!$A$11:$A$260)), 0)),"")</f>
        <v>MSID 8349</v>
      </c>
      <c r="B98" s="123" t="str">
        <f>IF($A98="","",VLOOKUP($A98,'Annex 2 EHV charges'!$A:$O,2,0))</f>
        <v>MSID 8349</v>
      </c>
      <c r="C98" s="124" t="str">
        <f>IF($A98="","",VLOOKUP($A98,'Annex 2 EHV charges'!$A:$O,3,0))</f>
        <v>MSID 8349</v>
      </c>
      <c r="D98" s="123" t="str">
        <f>IF($A98="","",VLOOKUP($A98,'Annex 2 EHV charges'!$A:$O,7,0))</f>
        <v>Harburnhead</v>
      </c>
      <c r="E98" s="128" t="str">
        <f>IFERROR(IF(VLOOKUP($A98,'Annex 2 EHV charges'!$A:$O,8,FALSE)=0,"",VLOOKUP($A98,'Annex 2 EHV charges'!$A:$O,8,FALSE)),"")</f>
        <v/>
      </c>
      <c r="F98" s="129">
        <f>IFERROR(IF(VLOOKUP($A98,'Annex 2 EHV charges'!$A:$O,9,FALSE)=0,"",VLOOKUP($A98,'Annex 2 EHV charges'!$A:$O,9,FALSE)),"")</f>
        <v>49.44</v>
      </c>
      <c r="G98" s="130">
        <f>IFERROR(IF(VLOOKUP($A98,'Annex 2 EHV charges'!$A:$O,10,FALSE)=0,"",VLOOKUP($A98,'Annex 2 EHV charges'!$A:$O,10,FALSE)),"")</f>
        <v>3.5</v>
      </c>
      <c r="H98" s="130">
        <f>IFERROR(IF(VLOOKUP($A98,'Annex 2 EHV charges'!$A:$O,11,FALSE)=0,"",VLOOKUP($A98,'Annex 2 EHV charges'!$A:$O,11,FALSE)),"")</f>
        <v>3.5</v>
      </c>
    </row>
    <row r="99" spans="1:8" ht="12.75" customHeight="1" x14ac:dyDescent="0.2">
      <c r="A99" s="123" t="str">
        <f t="array" ref="A99">IFERROR(INDEX('Annex 2 EHV charges'!$A$11:$A$260, MATCH(0, IF(ISBLANK('Annex 2 EHV charges'!$A$11:$A$260),1, COUNTIF(A$4:$A98, 'Annex 2 EHV charges'!$A$11:$A$260)), 0)),"")</f>
        <v>TBA</v>
      </c>
      <c r="B99" s="123" t="str">
        <f>IF($A99="","",VLOOKUP($A99,'Annex 2 EHV charges'!$A:$O,2,0))</f>
        <v>TBA</v>
      </c>
      <c r="C99" s="124" t="str">
        <f>IF($A99="","",VLOOKUP($A99,'Annex 2 EHV charges'!$A:$O,3,0))</f>
        <v>TBA</v>
      </c>
      <c r="D99" s="123" t="str">
        <f>IF($A99="","",VLOOKUP($A99,'Annex 2 EHV charges'!$A:$O,7,0))</f>
        <v>Twenty Shilling Hill</v>
      </c>
      <c r="E99" s="128" t="str">
        <f>IFERROR(IF(VLOOKUP($A99,'Annex 2 EHV charges'!$A:$O,8,FALSE)=0,"",VLOOKUP($A99,'Annex 2 EHV charges'!$A:$O,8,FALSE)),"")</f>
        <v/>
      </c>
      <c r="F99" s="129">
        <f>IFERROR(IF(VLOOKUP($A99,'Annex 2 EHV charges'!$A:$O,9,FALSE)=0,"",VLOOKUP($A99,'Annex 2 EHV charges'!$A:$O,9,FALSE)),"")</f>
        <v>369.45</v>
      </c>
      <c r="G99" s="130">
        <f>IFERROR(IF(VLOOKUP($A99,'Annex 2 EHV charges'!$A:$O,10,FALSE)=0,"",VLOOKUP($A99,'Annex 2 EHV charges'!$A:$O,10,FALSE)),"")</f>
        <v>3.5</v>
      </c>
      <c r="H99" s="130">
        <f>IFERROR(IF(VLOOKUP($A99,'Annex 2 EHV charges'!$A:$O,11,FALSE)=0,"",VLOOKUP($A99,'Annex 2 EHV charges'!$A:$O,11,FALSE)),"")</f>
        <v>3.5</v>
      </c>
    </row>
    <row r="100" spans="1:8" ht="12.75" customHeight="1" x14ac:dyDescent="0.2">
      <c r="A100" s="123">
        <f t="array" ref="A100">IFERROR(INDEX('Annex 2 EHV charges'!$A$11:$A$260, MATCH(0, IF(ISBLANK('Annex 2 EHV charges'!$A$11:$A$260),1, COUNTIF(A$4:$A99, 'Annex 2 EHV charges'!$A$11:$A$260)), 0)),"")</f>
        <v>310</v>
      </c>
      <c r="B100" s="123">
        <f>IF($A100="","",VLOOKUP($A100,'Annex 2 EHV charges'!$A:$O,2,0))</f>
        <v>310</v>
      </c>
      <c r="C100" s="124">
        <f>IF($A100="","",VLOOKUP($A100,'Annex 2 EHV charges'!$A:$O,3,0))</f>
        <v>1800036579036</v>
      </c>
      <c r="D100" s="123" t="str">
        <f>IF($A100="","",VLOOKUP($A100,'Annex 2 EHV charges'!$A:$O,7,0))</f>
        <v>Magco</v>
      </c>
      <c r="E100" s="128" t="str">
        <f>IFERROR(IF(VLOOKUP($A100,'Annex 2 EHV charges'!$A:$O,8,FALSE)=0,"",VLOOKUP($A100,'Annex 2 EHV charges'!$A:$O,8,FALSE)),"")</f>
        <v/>
      </c>
      <c r="F100" s="129">
        <f>IFERROR(IF(VLOOKUP($A100,'Annex 2 EHV charges'!$A:$O,9,FALSE)=0,"",VLOOKUP($A100,'Annex 2 EHV charges'!$A:$O,9,FALSE)),"")</f>
        <v>436.64</v>
      </c>
      <c r="G100" s="130">
        <f>IFERROR(IF(VLOOKUP($A100,'Annex 2 EHV charges'!$A:$O,10,FALSE)=0,"",VLOOKUP($A100,'Annex 2 EHV charges'!$A:$O,10,FALSE)),"")</f>
        <v>7.53</v>
      </c>
      <c r="H100" s="130">
        <f>IFERROR(IF(VLOOKUP($A100,'Annex 2 EHV charges'!$A:$O,11,FALSE)=0,"",VLOOKUP($A100,'Annex 2 EHV charges'!$A:$O,11,FALSE)),"")</f>
        <v>7.53</v>
      </c>
    </row>
    <row r="101" spans="1:8" ht="12.75" customHeight="1" x14ac:dyDescent="0.2">
      <c r="A101" s="123">
        <f t="array" ref="A101">IFERROR(INDEX('Annex 2 EHV charges'!$A$11:$A$260, MATCH(0, IF(ISBLANK('Annex 2 EHV charges'!$A$11:$A$260),1, COUNTIF(A$4:$A100, 'Annex 2 EHV charges'!$A$11:$A$260)), 0)),"")</f>
        <v>311</v>
      </c>
      <c r="B101" s="123">
        <f>IF($A101="","",VLOOKUP($A101,'Annex 2 EHV charges'!$A:$O,2,0))</f>
        <v>311</v>
      </c>
      <c r="C101" s="124">
        <f>IF($A101="","",VLOOKUP($A101,'Annex 2 EHV charges'!$A:$O,3,0))</f>
        <v>1800035324497</v>
      </c>
      <c r="D101" s="123" t="str">
        <f>IF($A101="","",VLOOKUP($A101,'Annex 2 EHV charges'!$A:$O,7,0))</f>
        <v>Stirling University</v>
      </c>
      <c r="E101" s="128" t="str">
        <f>IFERROR(IF(VLOOKUP($A101,'Annex 2 EHV charges'!$A:$O,8,FALSE)=0,"",VLOOKUP($A101,'Annex 2 EHV charges'!$A:$O,8,FALSE)),"")</f>
        <v/>
      </c>
      <c r="F101" s="129">
        <f>IFERROR(IF(VLOOKUP($A101,'Annex 2 EHV charges'!$A:$O,9,FALSE)=0,"",VLOOKUP($A101,'Annex 2 EHV charges'!$A:$O,9,FALSE)),"")</f>
        <v>436.64</v>
      </c>
      <c r="G101" s="130">
        <f>IFERROR(IF(VLOOKUP($A101,'Annex 2 EHV charges'!$A:$O,10,FALSE)=0,"",VLOOKUP($A101,'Annex 2 EHV charges'!$A:$O,10,FALSE)),"")</f>
        <v>4.3899999999999997</v>
      </c>
      <c r="H101" s="130">
        <f>IFERROR(IF(VLOOKUP($A101,'Annex 2 EHV charges'!$A:$O,11,FALSE)=0,"",VLOOKUP($A101,'Annex 2 EHV charges'!$A:$O,11,FALSE)),"")</f>
        <v>4.3899999999999997</v>
      </c>
    </row>
    <row r="102" spans="1:8" ht="12.75" customHeight="1" x14ac:dyDescent="0.2">
      <c r="A102" s="123">
        <f t="array" ref="A102">IFERROR(INDEX('Annex 2 EHV charges'!$A$11:$A$260, MATCH(0, IF(ISBLANK('Annex 2 EHV charges'!$A$11:$A$260),1, COUNTIF(A$4:$A101, 'Annex 2 EHV charges'!$A$11:$A$260)), 0)),"")</f>
        <v>312</v>
      </c>
      <c r="B102" s="123">
        <f>IF($A102="","",VLOOKUP($A102,'Annex 2 EHV charges'!$A:$O,2,0))</f>
        <v>312</v>
      </c>
      <c r="C102" s="124">
        <f>IF($A102="","",VLOOKUP($A102,'Annex 2 EHV charges'!$A:$O,3,0))</f>
        <v>1800035324530</v>
      </c>
      <c r="D102" s="123" t="str">
        <f>IF($A102="","",VLOOKUP($A102,'Annex 2 EHV charges'!$A:$O,7,0))</f>
        <v>Glenochil Distillery</v>
      </c>
      <c r="E102" s="128" t="str">
        <f>IFERROR(IF(VLOOKUP($A102,'Annex 2 EHV charges'!$A:$O,8,FALSE)=0,"",VLOOKUP($A102,'Annex 2 EHV charges'!$A:$O,8,FALSE)),"")</f>
        <v/>
      </c>
      <c r="F102" s="129">
        <f>IFERROR(IF(VLOOKUP($A102,'Annex 2 EHV charges'!$A:$O,9,FALSE)=0,"",VLOOKUP($A102,'Annex 2 EHV charges'!$A:$O,9,FALSE)),"")</f>
        <v>436.64</v>
      </c>
      <c r="G102" s="130">
        <f>IFERROR(IF(VLOOKUP($A102,'Annex 2 EHV charges'!$A:$O,10,FALSE)=0,"",VLOOKUP($A102,'Annex 2 EHV charges'!$A:$O,10,FALSE)),"")</f>
        <v>8.9499999999999993</v>
      </c>
      <c r="H102" s="130">
        <f>IFERROR(IF(VLOOKUP($A102,'Annex 2 EHV charges'!$A:$O,11,FALSE)=0,"",VLOOKUP($A102,'Annex 2 EHV charges'!$A:$O,11,FALSE)),"")</f>
        <v>8.9499999999999993</v>
      </c>
    </row>
    <row r="103" spans="1:8" ht="12.75" customHeight="1" x14ac:dyDescent="0.2">
      <c r="A103" s="123">
        <f t="array" ref="A103">IFERROR(INDEX('Annex 2 EHV charges'!$A$11:$A$260, MATCH(0, IF(ISBLANK('Annex 2 EHV charges'!$A$11:$A$260),1, COUNTIF(A$4:$A102, 'Annex 2 EHV charges'!$A$11:$A$260)), 0)),"")</f>
        <v>313</v>
      </c>
      <c r="B103" s="123">
        <f>IF($A103="","",VLOOKUP($A103,'Annex 2 EHV charges'!$A:$O,2,0))</f>
        <v>313</v>
      </c>
      <c r="C103" s="124">
        <f>IF($A103="","",VLOOKUP($A103,'Annex 2 EHV charges'!$A:$O,3,0))</f>
        <v>1800053648310</v>
      </c>
      <c r="D103" s="123" t="str">
        <f>IF($A103="","",VLOOKUP($A103,'Annex 2 EHV charges'!$A:$O,7,0))</f>
        <v>Longannet Power Station</v>
      </c>
      <c r="E103" s="128" t="str">
        <f>IFERROR(IF(VLOOKUP($A103,'Annex 2 EHV charges'!$A:$O,8,FALSE)=0,"",VLOOKUP($A103,'Annex 2 EHV charges'!$A:$O,8,FALSE)),"")</f>
        <v/>
      </c>
      <c r="F103" s="129">
        <f>IFERROR(IF(VLOOKUP($A103,'Annex 2 EHV charges'!$A:$O,9,FALSE)=0,"",VLOOKUP($A103,'Annex 2 EHV charges'!$A:$O,9,FALSE)),"")</f>
        <v>436.64</v>
      </c>
      <c r="G103" s="130">
        <f>IFERROR(IF(VLOOKUP($A103,'Annex 2 EHV charges'!$A:$O,10,FALSE)=0,"",VLOOKUP($A103,'Annex 2 EHV charges'!$A:$O,10,FALSE)),"")</f>
        <v>15.32</v>
      </c>
      <c r="H103" s="130">
        <f>IFERROR(IF(VLOOKUP($A103,'Annex 2 EHV charges'!$A:$O,11,FALSE)=0,"",VLOOKUP($A103,'Annex 2 EHV charges'!$A:$O,11,FALSE)),"")</f>
        <v>15.32</v>
      </c>
    </row>
    <row r="104" spans="1:8" ht="12.75" customHeight="1" x14ac:dyDescent="0.2">
      <c r="A104" s="123">
        <f t="array" ref="A104">IFERROR(INDEX('Annex 2 EHV charges'!$A$11:$A$260, MATCH(0, IF(ISBLANK('Annex 2 EHV charges'!$A$11:$A$260),1, COUNTIF(A$4:$A103, 'Annex 2 EHV charges'!$A$11:$A$260)), 0)),"")</f>
        <v>314</v>
      </c>
      <c r="B104" s="123">
        <f>IF($A104="","",VLOOKUP($A104,'Annex 2 EHV charges'!$A:$O,2,0))</f>
        <v>314</v>
      </c>
      <c r="C104" s="124">
        <f>IF($A104="","",VLOOKUP($A104,'Annex 2 EHV charges'!$A:$O,3,0))</f>
        <v>1800035327674</v>
      </c>
      <c r="D104" s="123" t="str">
        <f>IF($A104="","",VLOOKUP($A104,'Annex 2 EHV charges'!$A:$O,7,0))</f>
        <v>Cameron Ironworks</v>
      </c>
      <c r="E104" s="128" t="str">
        <f>IFERROR(IF(VLOOKUP($A104,'Annex 2 EHV charges'!$A:$O,8,FALSE)=0,"",VLOOKUP($A104,'Annex 2 EHV charges'!$A:$O,8,FALSE)),"")</f>
        <v/>
      </c>
      <c r="F104" s="129">
        <f>IFERROR(IF(VLOOKUP($A104,'Annex 2 EHV charges'!$A:$O,9,FALSE)=0,"",VLOOKUP($A104,'Annex 2 EHV charges'!$A:$O,9,FALSE)),"")</f>
        <v>436.64</v>
      </c>
      <c r="G104" s="130">
        <f>IFERROR(IF(VLOOKUP($A104,'Annex 2 EHV charges'!$A:$O,10,FALSE)=0,"",VLOOKUP($A104,'Annex 2 EHV charges'!$A:$O,10,FALSE)),"")</f>
        <v>5.16</v>
      </c>
      <c r="H104" s="130">
        <f>IFERROR(IF(VLOOKUP($A104,'Annex 2 EHV charges'!$A:$O,11,FALSE)=0,"",VLOOKUP($A104,'Annex 2 EHV charges'!$A:$O,11,FALSE)),"")</f>
        <v>5.16</v>
      </c>
    </row>
    <row r="105" spans="1:8" ht="12.75" customHeight="1" x14ac:dyDescent="0.2">
      <c r="A105" s="123">
        <f t="array" ref="A105">IFERROR(INDEX('Annex 2 EHV charges'!$A$11:$A$260, MATCH(0, IF(ISBLANK('Annex 2 EHV charges'!$A$11:$A$260),1, COUNTIF(A$4:$A104, 'Annex 2 EHV charges'!$A$11:$A$260)), 0)),"")</f>
        <v>315</v>
      </c>
      <c r="B105" s="123">
        <f>IF($A105="","",VLOOKUP($A105,'Annex 2 EHV charges'!$A:$O,2,0))</f>
        <v>315</v>
      </c>
      <c r="C105" s="124">
        <f>IF($A105="","",VLOOKUP($A105,'Annex 2 EHV charges'!$A:$O,3,0))</f>
        <v>1800035313398</v>
      </c>
      <c r="D105" s="123" t="str">
        <f>IF($A105="","",VLOOKUP($A105,'Annex 2 EHV charges'!$A:$O,7,0))</f>
        <v>Shin-Etsu</v>
      </c>
      <c r="E105" s="128" t="str">
        <f>IFERROR(IF(VLOOKUP($A105,'Annex 2 EHV charges'!$A:$O,8,FALSE)=0,"",VLOOKUP($A105,'Annex 2 EHV charges'!$A:$O,8,FALSE)),"")</f>
        <v/>
      </c>
      <c r="F105" s="129">
        <f>IFERROR(IF(VLOOKUP($A105,'Annex 2 EHV charges'!$A:$O,9,FALSE)=0,"",VLOOKUP($A105,'Annex 2 EHV charges'!$A:$O,9,FALSE)),"")</f>
        <v>17105.509999999998</v>
      </c>
      <c r="G105" s="130">
        <f>IFERROR(IF(VLOOKUP($A105,'Annex 2 EHV charges'!$A:$O,10,FALSE)=0,"",VLOOKUP($A105,'Annex 2 EHV charges'!$A:$O,10,FALSE)),"")</f>
        <v>3.72</v>
      </c>
      <c r="H105" s="130">
        <f>IFERROR(IF(VLOOKUP($A105,'Annex 2 EHV charges'!$A:$O,11,FALSE)=0,"",VLOOKUP($A105,'Annex 2 EHV charges'!$A:$O,11,FALSE)),"")</f>
        <v>3.72</v>
      </c>
    </row>
    <row r="106" spans="1:8" ht="12.75" customHeight="1" x14ac:dyDescent="0.2">
      <c r="A106" s="123">
        <f t="array" ref="A106">IFERROR(INDEX('Annex 2 EHV charges'!$A$11:$A$260, MATCH(0, IF(ISBLANK('Annex 2 EHV charges'!$A$11:$A$260),1, COUNTIF(A$4:$A105, 'Annex 2 EHV charges'!$A$11:$A$260)), 0)),"")</f>
        <v>316</v>
      </c>
      <c r="B106" s="123">
        <f>IF($A106="","",VLOOKUP($A106,'Annex 2 EHV charges'!$A:$O,2,0))</f>
        <v>316</v>
      </c>
      <c r="C106" s="124">
        <f>IF($A106="","",VLOOKUP($A106,'Annex 2 EHV charges'!$A:$O,3,0))</f>
        <v>1800035344100</v>
      </c>
      <c r="D106" s="123" t="str">
        <f>IF($A106="","",VLOOKUP($A106,'Annex 2 EHV charges'!$A:$O,7,0))</f>
        <v>United Biscuits</v>
      </c>
      <c r="E106" s="128" t="str">
        <f>IFERROR(IF(VLOOKUP($A106,'Annex 2 EHV charges'!$A:$O,8,FALSE)=0,"",VLOOKUP($A106,'Annex 2 EHV charges'!$A:$O,8,FALSE)),"")</f>
        <v/>
      </c>
      <c r="F106" s="129">
        <f>IFERROR(IF(VLOOKUP($A106,'Annex 2 EHV charges'!$A:$O,9,FALSE)=0,"",VLOOKUP($A106,'Annex 2 EHV charges'!$A:$O,9,FALSE)),"")</f>
        <v>436.64</v>
      </c>
      <c r="G106" s="130">
        <f>IFERROR(IF(VLOOKUP($A106,'Annex 2 EHV charges'!$A:$O,10,FALSE)=0,"",VLOOKUP($A106,'Annex 2 EHV charges'!$A:$O,10,FALSE)),"")</f>
        <v>4.71</v>
      </c>
      <c r="H106" s="130">
        <f>IFERROR(IF(VLOOKUP($A106,'Annex 2 EHV charges'!$A:$O,11,FALSE)=0,"",VLOOKUP($A106,'Annex 2 EHV charges'!$A:$O,11,FALSE)),"")</f>
        <v>4.71</v>
      </c>
    </row>
    <row r="107" spans="1:8" ht="12.75" customHeight="1" x14ac:dyDescent="0.2">
      <c r="A107" s="123">
        <f t="array" ref="A107">IFERROR(INDEX('Annex 2 EHV charges'!$A$11:$A$260, MATCH(0, IF(ISBLANK('Annex 2 EHV charges'!$A$11:$A$260),1, COUNTIF(A$4:$A106, 'Annex 2 EHV charges'!$A$11:$A$260)), 0)),"")</f>
        <v>318</v>
      </c>
      <c r="B107" s="123">
        <f>IF($A107="","",VLOOKUP($A107,'Annex 2 EHV charges'!$A:$O,2,0))</f>
        <v>318</v>
      </c>
      <c r="C107" s="124">
        <f>IF($A107="","",VLOOKUP($A107,'Annex 2 EHV charges'!$A:$O,3,0))</f>
        <v>1800035337584</v>
      </c>
      <c r="D107" s="123" t="str">
        <f>IF($A107="","",VLOOKUP($A107,'Annex 2 EHV charges'!$A:$O,7,0))</f>
        <v>Balfours</v>
      </c>
      <c r="E107" s="128" t="str">
        <f>IFERROR(IF(VLOOKUP($A107,'Annex 2 EHV charges'!$A:$O,8,FALSE)=0,"",VLOOKUP($A107,'Annex 2 EHV charges'!$A:$O,8,FALSE)),"")</f>
        <v/>
      </c>
      <c r="F107" s="129">
        <f>IFERROR(IF(VLOOKUP($A107,'Annex 2 EHV charges'!$A:$O,9,FALSE)=0,"",VLOOKUP($A107,'Annex 2 EHV charges'!$A:$O,9,FALSE)),"")</f>
        <v>436.64</v>
      </c>
      <c r="G107" s="130">
        <f>IFERROR(IF(VLOOKUP($A107,'Annex 2 EHV charges'!$A:$O,10,FALSE)=0,"",VLOOKUP($A107,'Annex 2 EHV charges'!$A:$O,10,FALSE)),"")</f>
        <v>1.08</v>
      </c>
      <c r="H107" s="130">
        <f>IFERROR(IF(VLOOKUP($A107,'Annex 2 EHV charges'!$A:$O,11,FALSE)=0,"",VLOOKUP($A107,'Annex 2 EHV charges'!$A:$O,11,FALSE)),"")</f>
        <v>1.08</v>
      </c>
    </row>
    <row r="108" spans="1:8" ht="12.75" customHeight="1" x14ac:dyDescent="0.2">
      <c r="A108" s="123">
        <f t="array" ref="A108">IFERROR(INDEX('Annex 2 EHV charges'!$A$11:$A$260, MATCH(0, IF(ISBLANK('Annex 2 EHV charges'!$A$11:$A$260),1, COUNTIF(A$4:$A107, 'Annex 2 EHV charges'!$A$11:$A$260)), 0)),"")</f>
        <v>319</v>
      </c>
      <c r="B108" s="123">
        <f>IF($A108="","",VLOOKUP($A108,'Annex 2 EHV charges'!$A:$O,2,0))</f>
        <v>319</v>
      </c>
      <c r="C108" s="124">
        <f>IF($A108="","",VLOOKUP($A108,'Annex 2 EHV charges'!$A:$O,3,0))</f>
        <v>1800035331634</v>
      </c>
      <c r="D108" s="123" t="str">
        <f>IF($A108="","",VLOOKUP($A108,'Annex 2 EHV charges'!$A:$O,7,0))</f>
        <v>NB Distillery</v>
      </c>
      <c r="E108" s="128" t="str">
        <f>IFERROR(IF(VLOOKUP($A108,'Annex 2 EHV charges'!$A:$O,8,FALSE)=0,"",VLOOKUP($A108,'Annex 2 EHV charges'!$A:$O,8,FALSE)),"")</f>
        <v/>
      </c>
      <c r="F108" s="129">
        <f>IFERROR(IF(VLOOKUP($A108,'Annex 2 EHV charges'!$A:$O,9,FALSE)=0,"",VLOOKUP($A108,'Annex 2 EHV charges'!$A:$O,9,FALSE)),"")</f>
        <v>436.64</v>
      </c>
      <c r="G108" s="130">
        <f>IFERROR(IF(VLOOKUP($A108,'Annex 2 EHV charges'!$A:$O,10,FALSE)=0,"",VLOOKUP($A108,'Annex 2 EHV charges'!$A:$O,10,FALSE)),"")</f>
        <v>2.97</v>
      </c>
      <c r="H108" s="130">
        <f>IFERROR(IF(VLOOKUP($A108,'Annex 2 EHV charges'!$A:$O,11,FALSE)=0,"",VLOOKUP($A108,'Annex 2 EHV charges'!$A:$O,11,FALSE)),"")</f>
        <v>2.97</v>
      </c>
    </row>
    <row r="109" spans="1:8" ht="12.75" customHeight="1" x14ac:dyDescent="0.2">
      <c r="A109" s="123">
        <f t="array" ref="A109">IFERROR(INDEX('Annex 2 EHV charges'!$A$11:$A$260, MATCH(0, IF(ISBLANK('Annex 2 EHV charges'!$A$11:$A$260),1, COUNTIF(A$4:$A108, 'Annex 2 EHV charges'!$A$11:$A$260)), 0)),"")</f>
        <v>320</v>
      </c>
      <c r="B109" s="123">
        <f>IF($A109="","",VLOOKUP($A109,'Annex 2 EHV charges'!$A:$O,2,0))</f>
        <v>320</v>
      </c>
      <c r="C109" s="124">
        <f>IF($A109="","",VLOOKUP($A109,'Annex 2 EHV charges'!$A:$O,3,0))</f>
        <v>1800035340220</v>
      </c>
      <c r="D109" s="123" t="str">
        <f>IF($A109="","",VLOOKUP($A109,'Annex 2 EHV charges'!$A:$O,7,0))</f>
        <v>Finnart BP</v>
      </c>
      <c r="E109" s="128" t="str">
        <f>IFERROR(IF(VLOOKUP($A109,'Annex 2 EHV charges'!$A:$O,8,FALSE)=0,"",VLOOKUP($A109,'Annex 2 EHV charges'!$A:$O,8,FALSE)),"")</f>
        <v/>
      </c>
      <c r="F109" s="129">
        <f>IFERROR(IF(VLOOKUP($A109,'Annex 2 EHV charges'!$A:$O,9,FALSE)=0,"",VLOOKUP($A109,'Annex 2 EHV charges'!$A:$O,9,FALSE)),"")</f>
        <v>18682.36</v>
      </c>
      <c r="G109" s="130">
        <f>IFERROR(IF(VLOOKUP($A109,'Annex 2 EHV charges'!$A:$O,10,FALSE)=0,"",VLOOKUP($A109,'Annex 2 EHV charges'!$A:$O,10,FALSE)),"")</f>
        <v>2.1800000000000002</v>
      </c>
      <c r="H109" s="130">
        <f>IFERROR(IF(VLOOKUP($A109,'Annex 2 EHV charges'!$A:$O,11,FALSE)=0,"",VLOOKUP($A109,'Annex 2 EHV charges'!$A:$O,11,FALSE)),"")</f>
        <v>2.1800000000000002</v>
      </c>
    </row>
    <row r="110" spans="1:8" ht="12.75" customHeight="1" x14ac:dyDescent="0.2">
      <c r="A110" s="123">
        <f t="array" ref="A110">IFERROR(INDEX('Annex 2 EHV charges'!$A$11:$A$260, MATCH(0, IF(ISBLANK('Annex 2 EHV charges'!$A$11:$A$260),1, COUNTIF(A$4:$A109, 'Annex 2 EHV charges'!$A$11:$A$260)), 0)),"")</f>
        <v>321</v>
      </c>
      <c r="B110" s="123">
        <f>IF($A110="","",VLOOKUP($A110,'Annex 2 EHV charges'!$A:$O,2,0))</f>
        <v>321</v>
      </c>
      <c r="C110" s="124">
        <f>IF($A110="","",VLOOKUP($A110,'Annex 2 EHV charges'!$A:$O,3,0))</f>
        <v>1800035346589</v>
      </c>
      <c r="D110" s="123" t="str">
        <f>IF($A110="","",VLOOKUP($A110,'Annex 2 EHV charges'!$A:$O,7,0))</f>
        <v>Texas Instruments</v>
      </c>
      <c r="E110" s="128" t="str">
        <f>IFERROR(IF(VLOOKUP($A110,'Annex 2 EHV charges'!$A:$O,8,FALSE)=0,"",VLOOKUP($A110,'Annex 2 EHV charges'!$A:$O,8,FALSE)),"")</f>
        <v/>
      </c>
      <c r="F110" s="129">
        <f>IFERROR(IF(VLOOKUP($A110,'Annex 2 EHV charges'!$A:$O,9,FALSE)=0,"",VLOOKUP($A110,'Annex 2 EHV charges'!$A:$O,9,FALSE)),"")</f>
        <v>873.27</v>
      </c>
      <c r="G110" s="130">
        <f>IFERROR(IF(VLOOKUP($A110,'Annex 2 EHV charges'!$A:$O,10,FALSE)=0,"",VLOOKUP($A110,'Annex 2 EHV charges'!$A:$O,10,FALSE)),"")</f>
        <v>6.57</v>
      </c>
      <c r="H110" s="130">
        <f>IFERROR(IF(VLOOKUP($A110,'Annex 2 EHV charges'!$A:$O,11,FALSE)=0,"",VLOOKUP($A110,'Annex 2 EHV charges'!$A:$O,11,FALSE)),"")</f>
        <v>6.57</v>
      </c>
    </row>
    <row r="111" spans="1:8" ht="12.75" customHeight="1" x14ac:dyDescent="0.2">
      <c r="A111" s="123">
        <f t="array" ref="A111">IFERROR(INDEX('Annex 2 EHV charges'!$A$11:$A$260, MATCH(0, IF(ISBLANK('Annex 2 EHV charges'!$A$11:$A$260),1, COUNTIF(A$4:$A110, 'Annex 2 EHV charges'!$A$11:$A$260)), 0)),"")</f>
        <v>322</v>
      </c>
      <c r="B111" s="123">
        <f>IF($A111="","",VLOOKUP($A111,'Annex 2 EHV charges'!$A:$O,2,0))</f>
        <v>322</v>
      </c>
      <c r="C111" s="124">
        <f>IF($A111="","",VLOOKUP($A111,'Annex 2 EHV charges'!$A:$O,3,0))</f>
        <v>1800035346817</v>
      </c>
      <c r="D111" s="123" t="str">
        <f>IF($A111="","",VLOOKUP($A111,'Annex 2 EHV charges'!$A:$O,7,0))</f>
        <v>Glasgow Airport</v>
      </c>
      <c r="E111" s="128" t="str">
        <f>IFERROR(IF(VLOOKUP($A111,'Annex 2 EHV charges'!$A:$O,8,FALSE)=0,"",VLOOKUP($A111,'Annex 2 EHV charges'!$A:$O,8,FALSE)),"")</f>
        <v/>
      </c>
      <c r="F111" s="129">
        <f>IFERROR(IF(VLOOKUP($A111,'Annex 2 EHV charges'!$A:$O,9,FALSE)=0,"",VLOOKUP($A111,'Annex 2 EHV charges'!$A:$O,9,FALSE)),"")</f>
        <v>436.64</v>
      </c>
      <c r="G111" s="130">
        <f>IFERROR(IF(VLOOKUP($A111,'Annex 2 EHV charges'!$A:$O,10,FALSE)=0,"",VLOOKUP($A111,'Annex 2 EHV charges'!$A:$O,10,FALSE)),"")</f>
        <v>10.43</v>
      </c>
      <c r="H111" s="130">
        <f>IFERROR(IF(VLOOKUP($A111,'Annex 2 EHV charges'!$A:$O,11,FALSE)=0,"",VLOOKUP($A111,'Annex 2 EHV charges'!$A:$O,11,FALSE)),"")</f>
        <v>10.43</v>
      </c>
    </row>
    <row r="112" spans="1:8" ht="12.75" customHeight="1" x14ac:dyDescent="0.2">
      <c r="A112" s="123">
        <f t="array" ref="A112">IFERROR(INDEX('Annex 2 EHV charges'!$A$11:$A$260, MATCH(0, IF(ISBLANK('Annex 2 EHV charges'!$A$11:$A$260),1, COUNTIF(A$4:$A111, 'Annex 2 EHV charges'!$A$11:$A$260)), 0)),"")</f>
        <v>323</v>
      </c>
      <c r="B112" s="123">
        <f>IF($A112="","",VLOOKUP($A112,'Annex 2 EHV charges'!$A:$O,2,0))</f>
        <v>323</v>
      </c>
      <c r="C112" s="124">
        <f>IF($A112="","",VLOOKUP($A112,'Annex 2 EHV charges'!$A:$O,3,0))</f>
        <v>1800035326848</v>
      </c>
      <c r="D112" s="123" t="str">
        <f>IF($A112="","",VLOOKUP($A112,'Annex 2 EHV charges'!$A:$O,7,0))</f>
        <v>BP Dalmeny</v>
      </c>
      <c r="E112" s="128" t="str">
        <f>IFERROR(IF(VLOOKUP($A112,'Annex 2 EHV charges'!$A:$O,8,FALSE)=0,"",VLOOKUP($A112,'Annex 2 EHV charges'!$A:$O,8,FALSE)),"")</f>
        <v/>
      </c>
      <c r="F112" s="129">
        <f>IFERROR(IF(VLOOKUP($A112,'Annex 2 EHV charges'!$A:$O,9,FALSE)=0,"",VLOOKUP($A112,'Annex 2 EHV charges'!$A:$O,9,FALSE)),"")</f>
        <v>13009.15</v>
      </c>
      <c r="G112" s="130">
        <f>IFERROR(IF(VLOOKUP($A112,'Annex 2 EHV charges'!$A:$O,10,FALSE)=0,"",VLOOKUP($A112,'Annex 2 EHV charges'!$A:$O,10,FALSE)),"")</f>
        <v>1.52</v>
      </c>
      <c r="H112" s="130">
        <f>IFERROR(IF(VLOOKUP($A112,'Annex 2 EHV charges'!$A:$O,11,FALSE)=0,"",VLOOKUP($A112,'Annex 2 EHV charges'!$A:$O,11,FALSE)),"")</f>
        <v>1.52</v>
      </c>
    </row>
    <row r="113" spans="1:8" ht="12.75" customHeight="1" x14ac:dyDescent="0.2">
      <c r="A113" s="123">
        <f t="array" ref="A113">IFERROR(INDEX('Annex 2 EHV charges'!$A$11:$A$260, MATCH(0, IF(ISBLANK('Annex 2 EHV charges'!$A$11:$A$260),1, COUNTIF(A$4:$A112, 'Annex 2 EHV charges'!$A$11:$A$260)), 0)),"")</f>
        <v>324</v>
      </c>
      <c r="B113" s="123">
        <f>IF($A113="","",VLOOKUP($A113,'Annex 2 EHV charges'!$A:$O,2,0))</f>
        <v>324</v>
      </c>
      <c r="C113" s="124">
        <f>IF($A113="","",VLOOKUP($A113,'Annex 2 EHV charges'!$A:$O,3,0))</f>
        <v>1800035334227</v>
      </c>
      <c r="D113" s="123" t="str">
        <f>IF($A113="","",VLOOKUP($A113,'Annex 2 EHV charges'!$A:$O,7,0))</f>
        <v>Edinburgh Dock North</v>
      </c>
      <c r="E113" s="128" t="str">
        <f>IFERROR(IF(VLOOKUP($A113,'Annex 2 EHV charges'!$A:$O,8,FALSE)=0,"",VLOOKUP($A113,'Annex 2 EHV charges'!$A:$O,8,FALSE)),"")</f>
        <v/>
      </c>
      <c r="F113" s="129">
        <f>IFERROR(IF(VLOOKUP($A113,'Annex 2 EHV charges'!$A:$O,9,FALSE)=0,"",VLOOKUP($A113,'Annex 2 EHV charges'!$A:$O,9,FALSE)),"")</f>
        <v>26526.42</v>
      </c>
      <c r="G113" s="130">
        <f>IFERROR(IF(VLOOKUP($A113,'Annex 2 EHV charges'!$A:$O,10,FALSE)=0,"",VLOOKUP($A113,'Annex 2 EHV charges'!$A:$O,10,FALSE)),"")</f>
        <v>1.59</v>
      </c>
      <c r="H113" s="130">
        <f>IFERROR(IF(VLOOKUP($A113,'Annex 2 EHV charges'!$A:$O,11,FALSE)=0,"",VLOOKUP($A113,'Annex 2 EHV charges'!$A:$O,11,FALSE)),"")</f>
        <v>1.59</v>
      </c>
    </row>
    <row r="114" spans="1:8" ht="12.75" customHeight="1" x14ac:dyDescent="0.2">
      <c r="A114" s="123">
        <f t="array" ref="A114">IFERROR(INDEX('Annex 2 EHV charges'!$A$11:$A$260, MATCH(0, IF(ISBLANK('Annex 2 EHV charges'!$A$11:$A$260),1, COUNTIF(A$4:$A113, 'Annex 2 EHV charges'!$A$11:$A$260)), 0)),"")</f>
        <v>326</v>
      </c>
      <c r="B114" s="123">
        <f>IF($A114="","",VLOOKUP($A114,'Annex 2 EHV charges'!$A:$O,2,0))</f>
        <v>326</v>
      </c>
      <c r="C114" s="124">
        <f>IF($A114="","",VLOOKUP($A114,'Annex 2 EHV charges'!$A:$O,3,0))</f>
        <v>1800053646215</v>
      </c>
      <c r="D114" s="123" t="str">
        <f>IF($A114="","",VLOOKUP($A114,'Annex 2 EHV charges'!$A:$O,7,0))</f>
        <v>Bonnington Power Station</v>
      </c>
      <c r="E114" s="128" t="str">
        <f>IFERROR(IF(VLOOKUP($A114,'Annex 2 EHV charges'!$A:$O,8,FALSE)=0,"",VLOOKUP($A114,'Annex 2 EHV charges'!$A:$O,8,FALSE)),"")</f>
        <v/>
      </c>
      <c r="F114" s="129">
        <f>IFERROR(IF(VLOOKUP($A114,'Annex 2 EHV charges'!$A:$O,9,FALSE)=0,"",VLOOKUP($A114,'Annex 2 EHV charges'!$A:$O,9,FALSE)),"")</f>
        <v>3.93</v>
      </c>
      <c r="G114" s="130">
        <f>IFERROR(IF(VLOOKUP($A114,'Annex 2 EHV charges'!$A:$O,10,FALSE)=0,"",VLOOKUP($A114,'Annex 2 EHV charges'!$A:$O,10,FALSE)),"")</f>
        <v>3.43</v>
      </c>
      <c r="H114" s="130">
        <f>IFERROR(IF(VLOOKUP($A114,'Annex 2 EHV charges'!$A:$O,11,FALSE)=0,"",VLOOKUP($A114,'Annex 2 EHV charges'!$A:$O,11,FALSE)),"")</f>
        <v>3.43</v>
      </c>
    </row>
    <row r="115" spans="1:8" ht="12.75" customHeight="1" x14ac:dyDescent="0.2">
      <c r="A115" s="123">
        <f t="array" ref="A115">IFERROR(INDEX('Annex 2 EHV charges'!$A$11:$A$260, MATCH(0, IF(ISBLANK('Annex 2 EHV charges'!$A$11:$A$260),1, COUNTIF(A$4:$A114, 'Annex 2 EHV charges'!$A$11:$A$260)), 0)),"")</f>
        <v>328</v>
      </c>
      <c r="B115" s="123">
        <f>IF($A115="","",VLOOKUP($A115,'Annex 2 EHV charges'!$A:$O,2,0))</f>
        <v>328</v>
      </c>
      <c r="C115" s="124">
        <f>IF($A115="","",VLOOKUP($A115,'Annex 2 EHV charges'!$A:$O,3,0))</f>
        <v>1800060586917</v>
      </c>
      <c r="D115" s="123" t="str">
        <f>IF($A115="","",VLOOKUP($A115,'Annex 2 EHV charges'!$A:$O,7,0))</f>
        <v>Cathkin Braes Wind Farm</v>
      </c>
      <c r="E115" s="128" t="str">
        <f>IFERROR(IF(VLOOKUP($A115,'Annex 2 EHV charges'!$A:$O,8,FALSE)=0,"",VLOOKUP($A115,'Annex 2 EHV charges'!$A:$O,8,FALSE)),"")</f>
        <v/>
      </c>
      <c r="F115" s="129">
        <f>IFERROR(IF(VLOOKUP($A115,'Annex 2 EHV charges'!$A:$O,9,FALSE)=0,"",VLOOKUP($A115,'Annex 2 EHV charges'!$A:$O,9,FALSE)),"")</f>
        <v>389.08</v>
      </c>
      <c r="G115" s="130">
        <f>IFERROR(IF(VLOOKUP($A115,'Annex 2 EHV charges'!$A:$O,10,FALSE)=0,"",VLOOKUP($A115,'Annex 2 EHV charges'!$A:$O,10,FALSE)),"")</f>
        <v>1.74</v>
      </c>
      <c r="H115" s="130">
        <f>IFERROR(IF(VLOOKUP($A115,'Annex 2 EHV charges'!$A:$O,11,FALSE)=0,"",VLOOKUP($A115,'Annex 2 EHV charges'!$A:$O,11,FALSE)),"")</f>
        <v>1.74</v>
      </c>
    </row>
    <row r="116" spans="1:8" ht="12.75" customHeight="1" x14ac:dyDescent="0.2">
      <c r="A116" s="123">
        <f t="array" ref="A116">IFERROR(INDEX('Annex 2 EHV charges'!$A$11:$A$260, MATCH(0, IF(ISBLANK('Annex 2 EHV charges'!$A$11:$A$260),1, COUNTIF(A$4:$A115, 'Annex 2 EHV charges'!$A$11:$A$260)), 0)),"")</f>
        <v>329</v>
      </c>
      <c r="B116" s="123">
        <f>IF($A116="","",VLOOKUP($A116,'Annex 2 EHV charges'!$A:$O,2,0))</f>
        <v>329</v>
      </c>
      <c r="C116" s="124">
        <f>IF($A116="","",VLOOKUP($A116,'Annex 2 EHV charges'!$A:$O,3,0))</f>
        <v>1800060397697</v>
      </c>
      <c r="D116" s="123" t="str">
        <f>IF($A116="","",VLOOKUP($A116,'Annex 2 EHV charges'!$A:$O,7,0))</f>
        <v>New Glasgow South Hospital</v>
      </c>
      <c r="E116" s="128" t="str">
        <f>IFERROR(IF(VLOOKUP($A116,'Annex 2 EHV charges'!$A:$O,8,FALSE)=0,"",VLOOKUP($A116,'Annex 2 EHV charges'!$A:$O,8,FALSE)),"")</f>
        <v/>
      </c>
      <c r="F116" s="129">
        <f>IFERROR(IF(VLOOKUP($A116,'Annex 2 EHV charges'!$A:$O,9,FALSE)=0,"",VLOOKUP($A116,'Annex 2 EHV charges'!$A:$O,9,FALSE)),"")</f>
        <v>11281.7</v>
      </c>
      <c r="G116" s="130">
        <f>IFERROR(IF(VLOOKUP($A116,'Annex 2 EHV charges'!$A:$O,10,FALSE)=0,"",VLOOKUP($A116,'Annex 2 EHV charges'!$A:$O,10,FALSE)),"")</f>
        <v>3.72</v>
      </c>
      <c r="H116" s="130">
        <f>IFERROR(IF(VLOOKUP($A116,'Annex 2 EHV charges'!$A:$O,11,FALSE)=0,"",VLOOKUP($A116,'Annex 2 EHV charges'!$A:$O,11,FALSE)),"")</f>
        <v>3.72</v>
      </c>
    </row>
    <row r="117" spans="1:8" ht="12.75" customHeight="1" x14ac:dyDescent="0.2">
      <c r="A117" s="123">
        <f t="array" ref="A117">IFERROR(INDEX('Annex 2 EHV charges'!$A$11:$A$260, MATCH(0, IF(ISBLANK('Annex 2 EHV charges'!$A$11:$A$260),1, COUNTIF(A$4:$A116, 'Annex 2 EHV charges'!$A$11:$A$260)), 0)),"")</f>
        <v>330</v>
      </c>
      <c r="B117" s="123">
        <f>IF($A117="","",VLOOKUP($A117,'Annex 2 EHV charges'!$A:$O,2,0))</f>
        <v>330</v>
      </c>
      <c r="C117" s="124">
        <f>IF($A117="","",VLOOKUP($A117,'Annex 2 EHV charges'!$A:$O,3,0))</f>
        <v>1800060614714</v>
      </c>
      <c r="D117" s="123" t="str">
        <f>IF($A117="","",VLOOKUP($A117,'Annex 2 EHV charges'!$A:$O,7,0))</f>
        <v>Torrance WF</v>
      </c>
      <c r="E117" s="128" t="str">
        <f>IFERROR(IF(VLOOKUP($A117,'Annex 2 EHV charges'!$A:$O,8,FALSE)=0,"",VLOOKUP($A117,'Annex 2 EHV charges'!$A:$O,8,FALSE)),"")</f>
        <v/>
      </c>
      <c r="F117" s="129">
        <f>IFERROR(IF(VLOOKUP($A117,'Annex 2 EHV charges'!$A:$O,9,FALSE)=0,"",VLOOKUP($A117,'Annex 2 EHV charges'!$A:$O,9,FALSE)),"")</f>
        <v>92.29</v>
      </c>
      <c r="G117" s="130">
        <f>IFERROR(IF(VLOOKUP($A117,'Annex 2 EHV charges'!$A:$O,10,FALSE)=0,"",VLOOKUP($A117,'Annex 2 EHV charges'!$A:$O,10,FALSE)),"")</f>
        <v>1.97</v>
      </c>
      <c r="H117" s="130">
        <f>IFERROR(IF(VLOOKUP($A117,'Annex 2 EHV charges'!$A:$O,11,FALSE)=0,"",VLOOKUP($A117,'Annex 2 EHV charges'!$A:$O,11,FALSE)),"")</f>
        <v>1.97</v>
      </c>
    </row>
    <row r="118" spans="1:8" ht="12.75" customHeight="1" x14ac:dyDescent="0.2">
      <c r="A118" s="123">
        <f t="array" ref="A118">IFERROR(INDEX('Annex 2 EHV charges'!$A$11:$A$260, MATCH(0, IF(ISBLANK('Annex 2 EHV charges'!$A$11:$A$260),1, COUNTIF(A$4:$A117, 'Annex 2 EHV charges'!$A$11:$A$260)), 0)),"")</f>
        <v>331</v>
      </c>
      <c r="B118" s="123">
        <f>IF($A118="","",VLOOKUP($A118,'Annex 2 EHV charges'!$A:$O,2,0))</f>
        <v>331</v>
      </c>
      <c r="C118" s="124">
        <f>IF($A118="","",VLOOKUP($A118,'Annex 2 EHV charges'!$A:$O,3,0))</f>
        <v>1800060613543</v>
      </c>
      <c r="D118" s="123" t="str">
        <f>IF($A118="","",VLOOKUP($A118,'Annex 2 EHV charges'!$A:$O,7,0))</f>
        <v>Scottish Enterprise (Samsung WTTF)</v>
      </c>
      <c r="E118" s="128" t="str">
        <f>IFERROR(IF(VLOOKUP($A118,'Annex 2 EHV charges'!$A:$O,8,FALSE)=0,"",VLOOKUP($A118,'Annex 2 EHV charges'!$A:$O,8,FALSE)),"")</f>
        <v/>
      </c>
      <c r="F118" s="129">
        <f>IFERROR(IF(VLOOKUP($A118,'Annex 2 EHV charges'!$A:$O,9,FALSE)=0,"",VLOOKUP($A118,'Annex 2 EHV charges'!$A:$O,9,FALSE)),"")</f>
        <v>160.99</v>
      </c>
      <c r="G118" s="130">
        <f>IFERROR(IF(VLOOKUP($A118,'Annex 2 EHV charges'!$A:$O,10,FALSE)=0,"",VLOOKUP($A118,'Annex 2 EHV charges'!$A:$O,10,FALSE)),"")</f>
        <v>3.14</v>
      </c>
      <c r="H118" s="130">
        <f>IFERROR(IF(VLOOKUP($A118,'Annex 2 EHV charges'!$A:$O,11,FALSE)=0,"",VLOOKUP($A118,'Annex 2 EHV charges'!$A:$O,11,FALSE)),"")</f>
        <v>3.14</v>
      </c>
    </row>
    <row r="119" spans="1:8" ht="12.75" customHeight="1" x14ac:dyDescent="0.2">
      <c r="A119" s="123">
        <f t="array" ref="A119">IFERROR(INDEX('Annex 2 EHV charges'!$A$11:$A$260, MATCH(0, IF(ISBLANK('Annex 2 EHV charges'!$A$11:$A$260),1, COUNTIF(A$4:$A118, 'Annex 2 EHV charges'!$A$11:$A$260)), 0)),"")</f>
        <v>332</v>
      </c>
      <c r="B119" s="123">
        <f>IF($A119="","",VLOOKUP($A119,'Annex 2 EHV charges'!$A:$O,2,0))</f>
        <v>332</v>
      </c>
      <c r="C119" s="124">
        <f>IF($A119="","",VLOOKUP($A119,'Annex 2 EHV charges'!$A:$O,3,0))</f>
        <v>1800060709010</v>
      </c>
      <c r="D119" s="123" t="str">
        <f>IF($A119="","",VLOOKUP($A119,'Annex 2 EHV charges'!$A:$O,7,0))</f>
        <v>Torrance Windfarm Extension</v>
      </c>
      <c r="E119" s="128" t="str">
        <f>IFERROR(IF(VLOOKUP($A119,'Annex 2 EHV charges'!$A:$O,8,FALSE)=0,"",VLOOKUP($A119,'Annex 2 EHV charges'!$A:$O,8,FALSE)),"")</f>
        <v/>
      </c>
      <c r="F119" s="129">
        <f>IFERROR(IF(VLOOKUP($A119,'Annex 2 EHV charges'!$A:$O,9,FALSE)=0,"",VLOOKUP($A119,'Annex 2 EHV charges'!$A:$O,9,FALSE)),"")</f>
        <v>141.22999999999999</v>
      </c>
      <c r="G119" s="130">
        <f>IFERROR(IF(VLOOKUP($A119,'Annex 2 EHV charges'!$A:$O,10,FALSE)=0,"",VLOOKUP($A119,'Annex 2 EHV charges'!$A:$O,10,FALSE)),"")</f>
        <v>1.97</v>
      </c>
      <c r="H119" s="130">
        <f>IFERROR(IF(VLOOKUP($A119,'Annex 2 EHV charges'!$A:$O,11,FALSE)=0,"",VLOOKUP($A119,'Annex 2 EHV charges'!$A:$O,11,FALSE)),"")</f>
        <v>1.97</v>
      </c>
    </row>
    <row r="120" spans="1:8" ht="12.75" customHeight="1" x14ac:dyDescent="0.2">
      <c r="A120" s="123" t="str">
        <f t="array" ref="A120">IFERROR(INDEX('Annex 2 EHV charges'!$A$11:$A$260, MATCH(0, IF(ISBLANK('Annex 2 EHV charges'!$A$11:$A$260),1, COUNTIF(A$4:$A119, 'Annex 2 EHV charges'!$A$11:$A$260)), 0)),"")</f>
        <v>TBC</v>
      </c>
      <c r="B120" s="123" t="str">
        <f>IF($A120="","",VLOOKUP($A120,'Annex 2 EHV charges'!$A:$O,2,0))</f>
        <v>TBC</v>
      </c>
      <c r="C120" s="124" t="str">
        <f>IF($A120="","",VLOOKUP($A120,'Annex 2 EHV charges'!$A:$O,3,0))</f>
        <v>TBC</v>
      </c>
      <c r="D120" s="123" t="str">
        <f>IF($A120="","",VLOOKUP($A120,'Annex 2 EHV charges'!$A:$O,7,0))</f>
        <v>Millerhill WF</v>
      </c>
      <c r="E120" s="128" t="str">
        <f>IFERROR(IF(VLOOKUP($A120,'Annex 2 EHV charges'!$A:$O,8,FALSE)=0,"",VLOOKUP($A120,'Annex 2 EHV charges'!$A:$O,8,FALSE)),"")</f>
        <v/>
      </c>
      <c r="F120" s="129">
        <f>IFERROR(IF(VLOOKUP($A120,'Annex 2 EHV charges'!$A:$O,9,FALSE)=0,"",VLOOKUP($A120,'Annex 2 EHV charges'!$A:$O,9,FALSE)),"")</f>
        <v>2055.54</v>
      </c>
      <c r="G120" s="130">
        <f>IFERROR(IF(VLOOKUP($A120,'Annex 2 EHV charges'!$A:$O,10,FALSE)=0,"",VLOOKUP($A120,'Annex 2 EHV charges'!$A:$O,10,FALSE)),"")</f>
        <v>3.5</v>
      </c>
      <c r="H120" s="130">
        <f>IFERROR(IF(VLOOKUP($A120,'Annex 2 EHV charges'!$A:$O,11,FALSE)=0,"",VLOOKUP($A120,'Annex 2 EHV charges'!$A:$O,11,FALSE)),"")</f>
        <v>3.5</v>
      </c>
    </row>
    <row r="121" spans="1:8" ht="12.75" customHeight="1" x14ac:dyDescent="0.2">
      <c r="A121" s="123" t="str">
        <f t="array" ref="A121">IFERROR(INDEX('Annex 2 EHV charges'!$A$11:$A$260, MATCH(0, IF(ISBLANK('Annex 2 EHV charges'!$A$11:$A$260),1, COUNTIF(A$4:$A120, 'Annex 2 EHV charges'!$A$11:$A$260)), 0)),"")</f>
        <v/>
      </c>
      <c r="B121" s="123" t="str">
        <f>IF($A121="","",VLOOKUP($A121,'Annex 2 EHV charges'!$A:$O,2,0))</f>
        <v/>
      </c>
      <c r="C121" s="124" t="str">
        <f>IF($A121="","",VLOOKUP($A121,'Annex 2 EHV charges'!$A:$O,3,0))</f>
        <v/>
      </c>
      <c r="D121" s="123" t="str">
        <f>IF($A121="","",VLOOKUP($A121,'Annex 2 EHV charges'!$A:$O,7,0))</f>
        <v/>
      </c>
      <c r="E121" s="128" t="str">
        <f>IFERROR(IF(VLOOKUP($A121,'Annex 2 EHV charges'!$A:$O,8,FALSE)=0,"",VLOOKUP($A121,'Annex 2 EHV charges'!$A:$O,8,FALSE)),"")</f>
        <v/>
      </c>
      <c r="F121" s="129" t="str">
        <f>IFERROR(IF(VLOOKUP($A121,'Annex 2 EHV charges'!$A:$O,9,FALSE)=0,"",VLOOKUP($A121,'Annex 2 EHV charges'!$A:$O,9,FALSE)),"")</f>
        <v/>
      </c>
      <c r="G121" s="130" t="str">
        <f>IFERROR(IF(VLOOKUP($A121,'Annex 2 EHV charges'!$A:$O,10,FALSE)=0,"",VLOOKUP($A121,'Annex 2 EHV charges'!$A:$O,10,FALSE)),"")</f>
        <v/>
      </c>
      <c r="H121" s="130" t="str">
        <f>IFERROR(IF(VLOOKUP($A121,'Annex 2 EHV charges'!$A:$O,11,FALSE)=0,"",VLOOKUP($A121,'Annex 2 EHV charges'!$A:$O,11,FALSE)),"")</f>
        <v/>
      </c>
    </row>
    <row r="122" spans="1:8" ht="12.75" customHeight="1" x14ac:dyDescent="0.2">
      <c r="A122" s="123" t="str">
        <f t="array" ref="A122">IFERROR(INDEX('Annex 2 EHV charges'!$A$11:$A$260, MATCH(0, IF(ISBLANK('Annex 2 EHV charges'!$A$11:$A$260),1, COUNTIF(A$4:$A121, 'Annex 2 EHV charges'!$A$11:$A$260)), 0)),"")</f>
        <v/>
      </c>
      <c r="B122" s="123" t="str">
        <f>IF($A122="","",VLOOKUP($A122,'Annex 2 EHV charges'!$A:$O,2,0))</f>
        <v/>
      </c>
      <c r="C122" s="124" t="str">
        <f>IF($A122="","",VLOOKUP($A122,'Annex 2 EHV charges'!$A:$O,3,0))</f>
        <v/>
      </c>
      <c r="D122" s="123" t="str">
        <f>IF($A122="","",VLOOKUP($A122,'Annex 2 EHV charges'!$A:$O,7,0))</f>
        <v/>
      </c>
      <c r="E122" s="128" t="str">
        <f>IFERROR(IF(VLOOKUP($A122,'Annex 2 EHV charges'!$A:$O,8,FALSE)=0,"",VLOOKUP($A122,'Annex 2 EHV charges'!$A:$O,8,FALSE)),"")</f>
        <v/>
      </c>
      <c r="F122" s="129" t="str">
        <f>IFERROR(IF(VLOOKUP($A122,'Annex 2 EHV charges'!$A:$O,9,FALSE)=0,"",VLOOKUP($A122,'Annex 2 EHV charges'!$A:$O,9,FALSE)),"")</f>
        <v/>
      </c>
      <c r="G122" s="130" t="str">
        <f>IFERROR(IF(VLOOKUP($A122,'Annex 2 EHV charges'!$A:$O,10,FALSE)=0,"",VLOOKUP($A122,'Annex 2 EHV charges'!$A:$O,10,FALSE)),"")</f>
        <v/>
      </c>
      <c r="H122" s="130" t="str">
        <f>IFERROR(IF(VLOOKUP($A122,'Annex 2 EHV charges'!$A:$O,11,FALSE)=0,"",VLOOKUP($A122,'Annex 2 EHV charges'!$A:$O,11,FALSE)),"")</f>
        <v/>
      </c>
    </row>
    <row r="123" spans="1:8" ht="12.75" customHeight="1" x14ac:dyDescent="0.2">
      <c r="A123" s="123" t="str">
        <f t="array" ref="A123">IFERROR(INDEX('Annex 2 EHV charges'!$A$11:$A$260, MATCH(0, IF(ISBLANK('Annex 2 EHV charges'!$A$11:$A$260),1, COUNTIF(A$4:$A122, 'Annex 2 EHV charges'!$A$11:$A$260)), 0)),"")</f>
        <v/>
      </c>
      <c r="B123" s="123" t="str">
        <f>IF($A123="","",VLOOKUP($A123,'Annex 2 EHV charges'!$A:$O,2,0))</f>
        <v/>
      </c>
      <c r="C123" s="124" t="str">
        <f>IF($A123="","",VLOOKUP($A123,'Annex 2 EHV charges'!$A:$O,3,0))</f>
        <v/>
      </c>
      <c r="D123" s="123" t="str">
        <f>IF($A123="","",VLOOKUP($A123,'Annex 2 EHV charges'!$A:$O,7,0))</f>
        <v/>
      </c>
      <c r="E123" s="128" t="str">
        <f>IFERROR(IF(VLOOKUP($A123,'Annex 2 EHV charges'!$A:$O,8,FALSE)=0,"",VLOOKUP($A123,'Annex 2 EHV charges'!$A:$O,8,FALSE)),"")</f>
        <v/>
      </c>
      <c r="F123" s="129" t="str">
        <f>IFERROR(IF(VLOOKUP($A123,'Annex 2 EHV charges'!$A:$O,9,FALSE)=0,"",VLOOKUP($A123,'Annex 2 EHV charges'!$A:$O,9,FALSE)),"")</f>
        <v/>
      </c>
      <c r="G123" s="130" t="str">
        <f>IFERROR(IF(VLOOKUP($A123,'Annex 2 EHV charges'!$A:$O,10,FALSE)=0,"",VLOOKUP($A123,'Annex 2 EHV charges'!$A:$O,10,FALSE)),"")</f>
        <v/>
      </c>
      <c r="H123" s="130" t="str">
        <f>IFERROR(IF(VLOOKUP($A123,'Annex 2 EHV charges'!$A:$O,11,FALSE)=0,"",VLOOKUP($A123,'Annex 2 EHV charges'!$A:$O,11,FALSE)),"")</f>
        <v/>
      </c>
    </row>
    <row r="124" spans="1:8" ht="12.75" customHeight="1" x14ac:dyDescent="0.2">
      <c r="A124" s="123" t="str">
        <f t="array" ref="A124">IFERROR(INDEX('Annex 2 EHV charges'!$A$11:$A$260, MATCH(0, IF(ISBLANK('Annex 2 EHV charges'!$A$11:$A$260),1, COUNTIF(A$4:$A123, 'Annex 2 EHV charges'!$A$11:$A$260)), 0)),"")</f>
        <v/>
      </c>
      <c r="B124" s="123" t="str">
        <f>IF($A124="","",VLOOKUP($A124,'Annex 2 EHV charges'!$A:$O,2,0))</f>
        <v/>
      </c>
      <c r="C124" s="124" t="str">
        <f>IF($A124="","",VLOOKUP($A124,'Annex 2 EHV charges'!$A:$O,3,0))</f>
        <v/>
      </c>
      <c r="D124" s="123" t="str">
        <f>IF($A124="","",VLOOKUP($A124,'Annex 2 EHV charges'!$A:$O,7,0))</f>
        <v/>
      </c>
      <c r="E124" s="128" t="str">
        <f>IFERROR(IF(VLOOKUP($A124,'Annex 2 EHV charges'!$A:$O,8,FALSE)=0,"",VLOOKUP($A124,'Annex 2 EHV charges'!$A:$O,8,FALSE)),"")</f>
        <v/>
      </c>
      <c r="F124" s="129" t="str">
        <f>IFERROR(IF(VLOOKUP($A124,'Annex 2 EHV charges'!$A:$O,9,FALSE)=0,"",VLOOKUP($A124,'Annex 2 EHV charges'!$A:$O,9,FALSE)),"")</f>
        <v/>
      </c>
      <c r="G124" s="130" t="str">
        <f>IFERROR(IF(VLOOKUP($A124,'Annex 2 EHV charges'!$A:$O,10,FALSE)=0,"",VLOOKUP($A124,'Annex 2 EHV charges'!$A:$O,10,FALSE)),"")</f>
        <v/>
      </c>
      <c r="H124" s="130" t="str">
        <f>IFERROR(IF(VLOOKUP($A124,'Annex 2 EHV charges'!$A:$O,11,FALSE)=0,"",VLOOKUP($A124,'Annex 2 EHV charges'!$A:$O,11,FALSE)),"")</f>
        <v/>
      </c>
    </row>
    <row r="125" spans="1:8" ht="12.75" customHeight="1" x14ac:dyDescent="0.2">
      <c r="A125" s="123" t="str">
        <f t="array" ref="A125">IFERROR(INDEX('Annex 2 EHV charges'!$A$11:$A$260, MATCH(0, IF(ISBLANK('Annex 2 EHV charges'!$A$11:$A$260),1, COUNTIF(A$4:$A124, 'Annex 2 EHV charges'!$A$11:$A$260)), 0)),"")</f>
        <v/>
      </c>
      <c r="B125" s="123" t="str">
        <f>IF($A125="","",VLOOKUP($A125,'Annex 2 EHV charges'!$A:$O,2,0))</f>
        <v/>
      </c>
      <c r="C125" s="124" t="str">
        <f>IF($A125="","",VLOOKUP($A125,'Annex 2 EHV charges'!$A:$O,3,0))</f>
        <v/>
      </c>
      <c r="D125" s="123" t="str">
        <f>IF($A125="","",VLOOKUP($A125,'Annex 2 EHV charges'!$A:$O,7,0))</f>
        <v/>
      </c>
      <c r="E125" s="128" t="str">
        <f>IFERROR(IF(VLOOKUP($A125,'Annex 2 EHV charges'!$A:$O,8,FALSE)=0,"",VLOOKUP($A125,'Annex 2 EHV charges'!$A:$O,8,FALSE)),"")</f>
        <v/>
      </c>
      <c r="F125" s="129" t="str">
        <f>IFERROR(IF(VLOOKUP($A125,'Annex 2 EHV charges'!$A:$O,9,FALSE)=0,"",VLOOKUP($A125,'Annex 2 EHV charges'!$A:$O,9,FALSE)),"")</f>
        <v/>
      </c>
      <c r="G125" s="130" t="str">
        <f>IFERROR(IF(VLOOKUP($A125,'Annex 2 EHV charges'!$A:$O,10,FALSE)=0,"",VLOOKUP($A125,'Annex 2 EHV charges'!$A:$O,10,FALSE)),"")</f>
        <v/>
      </c>
      <c r="H125" s="130" t="str">
        <f>IFERROR(IF(VLOOKUP($A125,'Annex 2 EHV charges'!$A:$O,11,FALSE)=0,"",VLOOKUP($A125,'Annex 2 EHV charges'!$A:$O,11,FALSE)),"")</f>
        <v/>
      </c>
    </row>
    <row r="126" spans="1:8" ht="12.75" customHeight="1" x14ac:dyDescent="0.2">
      <c r="A126" s="123" t="str">
        <f t="array" ref="A126">IFERROR(INDEX('Annex 2 EHV charges'!$A$11:$A$260, MATCH(0, IF(ISBLANK('Annex 2 EHV charges'!$A$11:$A$260),1, COUNTIF(A$4:$A125, 'Annex 2 EHV charges'!$A$11:$A$260)), 0)),"")</f>
        <v/>
      </c>
      <c r="B126" s="123" t="str">
        <f>IF($A126="","",VLOOKUP($A126,'Annex 2 EHV charges'!$A:$O,2,0))</f>
        <v/>
      </c>
      <c r="C126" s="124" t="str">
        <f>IF($A126="","",VLOOKUP($A126,'Annex 2 EHV charges'!$A:$O,3,0))</f>
        <v/>
      </c>
      <c r="D126" s="123" t="str">
        <f>IF($A126="","",VLOOKUP($A126,'Annex 2 EHV charges'!$A:$O,7,0))</f>
        <v/>
      </c>
      <c r="E126" s="128" t="str">
        <f>IFERROR(IF(VLOOKUP($A126,'Annex 2 EHV charges'!$A:$O,8,FALSE)=0,"",VLOOKUP($A126,'Annex 2 EHV charges'!$A:$O,8,FALSE)),"")</f>
        <v/>
      </c>
      <c r="F126" s="129" t="str">
        <f>IFERROR(IF(VLOOKUP($A126,'Annex 2 EHV charges'!$A:$O,9,FALSE)=0,"",VLOOKUP($A126,'Annex 2 EHV charges'!$A:$O,9,FALSE)),"")</f>
        <v/>
      </c>
      <c r="G126" s="130" t="str">
        <f>IFERROR(IF(VLOOKUP($A126,'Annex 2 EHV charges'!$A:$O,10,FALSE)=0,"",VLOOKUP($A126,'Annex 2 EHV charges'!$A:$O,10,FALSE)),"")</f>
        <v/>
      </c>
      <c r="H126" s="130" t="str">
        <f>IFERROR(IF(VLOOKUP($A126,'Annex 2 EHV charges'!$A:$O,11,FALSE)=0,"",VLOOKUP($A126,'Annex 2 EHV charges'!$A:$O,11,FALSE)),"")</f>
        <v/>
      </c>
    </row>
    <row r="127" spans="1:8" ht="12.75" customHeight="1" x14ac:dyDescent="0.2">
      <c r="A127" s="123" t="str">
        <f t="array" ref="A127">IFERROR(INDEX('Annex 2 EHV charges'!$A$11:$A$260, MATCH(0, IF(ISBLANK('Annex 2 EHV charges'!$A$11:$A$260),1, COUNTIF(A$4:$A126, 'Annex 2 EHV charges'!$A$11:$A$260)), 0)),"")</f>
        <v/>
      </c>
      <c r="B127" s="123" t="str">
        <f>IF($A127="","",VLOOKUP($A127,'Annex 2 EHV charges'!$A:$O,2,0))</f>
        <v/>
      </c>
      <c r="C127" s="124" t="str">
        <f>IF($A127="","",VLOOKUP($A127,'Annex 2 EHV charges'!$A:$O,3,0))</f>
        <v/>
      </c>
      <c r="D127" s="123" t="str">
        <f>IF($A127="","",VLOOKUP($A127,'Annex 2 EHV charges'!$A:$O,7,0))</f>
        <v/>
      </c>
      <c r="E127" s="128" t="str">
        <f>IFERROR(IF(VLOOKUP($A127,'Annex 2 EHV charges'!$A:$O,8,FALSE)=0,"",VLOOKUP($A127,'Annex 2 EHV charges'!$A:$O,8,FALSE)),"")</f>
        <v/>
      </c>
      <c r="F127" s="129" t="str">
        <f>IFERROR(IF(VLOOKUP($A127,'Annex 2 EHV charges'!$A:$O,9,FALSE)=0,"",VLOOKUP($A127,'Annex 2 EHV charges'!$A:$O,9,FALSE)),"")</f>
        <v/>
      </c>
      <c r="G127" s="130" t="str">
        <f>IFERROR(IF(VLOOKUP($A127,'Annex 2 EHV charges'!$A:$O,10,FALSE)=0,"",VLOOKUP($A127,'Annex 2 EHV charges'!$A:$O,10,FALSE)),"")</f>
        <v/>
      </c>
      <c r="H127" s="130" t="str">
        <f>IFERROR(IF(VLOOKUP($A127,'Annex 2 EHV charges'!$A:$O,11,FALSE)=0,"",VLOOKUP($A127,'Annex 2 EHV charges'!$A:$O,11,FALSE)),"")</f>
        <v/>
      </c>
    </row>
    <row r="128" spans="1:8" ht="12.75" customHeight="1" x14ac:dyDescent="0.2">
      <c r="A128" s="123" t="str">
        <f t="array" ref="A128">IFERROR(INDEX('Annex 2 EHV charges'!$A$11:$A$260, MATCH(0, IF(ISBLANK('Annex 2 EHV charges'!$A$11:$A$260),1, COUNTIF(A$4:$A127, 'Annex 2 EHV charges'!$A$11:$A$260)), 0)),"")</f>
        <v/>
      </c>
      <c r="B128" s="123" t="str">
        <f>IF($A128="","",VLOOKUP($A128,'Annex 2 EHV charges'!$A:$O,2,0))</f>
        <v/>
      </c>
      <c r="C128" s="124" t="str">
        <f>IF($A128="","",VLOOKUP($A128,'Annex 2 EHV charges'!$A:$O,3,0))</f>
        <v/>
      </c>
      <c r="D128" s="123" t="str">
        <f>IF($A128="","",VLOOKUP($A128,'Annex 2 EHV charges'!$A:$O,7,0))</f>
        <v/>
      </c>
      <c r="E128" s="128" t="str">
        <f>IFERROR(IF(VLOOKUP($A128,'Annex 2 EHV charges'!$A:$O,8,FALSE)=0,"",VLOOKUP($A128,'Annex 2 EHV charges'!$A:$O,8,FALSE)),"")</f>
        <v/>
      </c>
      <c r="F128" s="129" t="str">
        <f>IFERROR(IF(VLOOKUP($A128,'Annex 2 EHV charges'!$A:$O,9,FALSE)=0,"",VLOOKUP($A128,'Annex 2 EHV charges'!$A:$O,9,FALSE)),"")</f>
        <v/>
      </c>
      <c r="G128" s="130" t="str">
        <f>IFERROR(IF(VLOOKUP($A128,'Annex 2 EHV charges'!$A:$O,10,FALSE)=0,"",VLOOKUP($A128,'Annex 2 EHV charges'!$A:$O,10,FALSE)),"")</f>
        <v/>
      </c>
      <c r="H128" s="130" t="str">
        <f>IFERROR(IF(VLOOKUP($A128,'Annex 2 EHV charges'!$A:$O,11,FALSE)=0,"",VLOOKUP($A128,'Annex 2 EHV charges'!$A:$O,11,FALSE)),"")</f>
        <v/>
      </c>
    </row>
    <row r="129" spans="1:8" ht="12.75" customHeight="1" x14ac:dyDescent="0.2">
      <c r="A129" s="123" t="str">
        <f t="array" ref="A129">IFERROR(INDEX('Annex 2 EHV charges'!$A$11:$A$260, MATCH(0, IF(ISBLANK('Annex 2 EHV charges'!$A$11:$A$260),1, COUNTIF(A$4:$A128, 'Annex 2 EHV charges'!$A$11:$A$260)), 0)),"")</f>
        <v/>
      </c>
      <c r="B129" s="123" t="str">
        <f>IF($A129="","",VLOOKUP($A129,'Annex 2 EHV charges'!$A:$O,2,0))</f>
        <v/>
      </c>
      <c r="C129" s="124" t="str">
        <f>IF($A129="","",VLOOKUP($A129,'Annex 2 EHV charges'!$A:$O,3,0))</f>
        <v/>
      </c>
      <c r="D129" s="123" t="str">
        <f>IF($A129="","",VLOOKUP($A129,'Annex 2 EHV charges'!$A:$O,7,0))</f>
        <v/>
      </c>
      <c r="E129" s="128" t="str">
        <f>IFERROR(IF(VLOOKUP($A129,'Annex 2 EHV charges'!$A:$O,8,FALSE)=0,"",VLOOKUP($A129,'Annex 2 EHV charges'!$A:$O,8,FALSE)),"")</f>
        <v/>
      </c>
      <c r="F129" s="129" t="str">
        <f>IFERROR(IF(VLOOKUP($A129,'Annex 2 EHV charges'!$A:$O,9,FALSE)=0,"",VLOOKUP($A129,'Annex 2 EHV charges'!$A:$O,9,FALSE)),"")</f>
        <v/>
      </c>
      <c r="G129" s="130" t="str">
        <f>IFERROR(IF(VLOOKUP($A129,'Annex 2 EHV charges'!$A:$O,10,FALSE)=0,"",VLOOKUP($A129,'Annex 2 EHV charges'!$A:$O,10,FALSE)),"")</f>
        <v/>
      </c>
      <c r="H129" s="130" t="str">
        <f>IFERROR(IF(VLOOKUP($A129,'Annex 2 EHV charges'!$A:$O,11,FALSE)=0,"",VLOOKUP($A129,'Annex 2 EHV charges'!$A:$O,11,FALSE)),"")</f>
        <v/>
      </c>
    </row>
    <row r="130" spans="1:8" ht="12.75" customHeight="1" x14ac:dyDescent="0.2">
      <c r="A130" s="123" t="str">
        <f t="array" ref="A130">IFERROR(INDEX('Annex 2 EHV charges'!$A$11:$A$260, MATCH(0, IF(ISBLANK('Annex 2 EHV charges'!$A$11:$A$260),1, COUNTIF(A$4:$A129, 'Annex 2 EHV charges'!$A$11:$A$260)), 0)),"")</f>
        <v/>
      </c>
      <c r="B130" s="123" t="str">
        <f>IF($A130="","",VLOOKUP($A130,'Annex 2 EHV charges'!$A:$O,2,0))</f>
        <v/>
      </c>
      <c r="C130" s="124" t="str">
        <f>IF($A130="","",VLOOKUP($A130,'Annex 2 EHV charges'!$A:$O,3,0))</f>
        <v/>
      </c>
      <c r="D130" s="123" t="str">
        <f>IF($A130="","",VLOOKUP($A130,'Annex 2 EHV charges'!$A:$O,7,0))</f>
        <v/>
      </c>
      <c r="E130" s="128" t="str">
        <f>IFERROR(IF(VLOOKUP($A130,'Annex 2 EHV charges'!$A:$O,8,FALSE)=0,"",VLOOKUP($A130,'Annex 2 EHV charges'!$A:$O,8,FALSE)),"")</f>
        <v/>
      </c>
      <c r="F130" s="129" t="str">
        <f>IFERROR(IF(VLOOKUP($A130,'Annex 2 EHV charges'!$A:$O,9,FALSE)=0,"",VLOOKUP($A130,'Annex 2 EHV charges'!$A:$O,9,FALSE)),"")</f>
        <v/>
      </c>
      <c r="G130" s="130" t="str">
        <f>IFERROR(IF(VLOOKUP($A130,'Annex 2 EHV charges'!$A:$O,10,FALSE)=0,"",VLOOKUP($A130,'Annex 2 EHV charges'!$A:$O,10,FALSE)),"")</f>
        <v/>
      </c>
      <c r="H130" s="130" t="str">
        <f>IFERROR(IF(VLOOKUP($A130,'Annex 2 EHV charges'!$A:$O,11,FALSE)=0,"",VLOOKUP($A130,'Annex 2 EHV charges'!$A:$O,11,FALSE)),"")</f>
        <v/>
      </c>
    </row>
    <row r="131" spans="1:8" ht="12.75" customHeight="1" x14ac:dyDescent="0.2">
      <c r="A131" s="123" t="str">
        <f t="array" ref="A131">IFERROR(INDEX('Annex 2 EHV charges'!$A$11:$A$260, MATCH(0, IF(ISBLANK('Annex 2 EHV charges'!$A$11:$A$260),1, COUNTIF(A$4:$A130, 'Annex 2 EHV charges'!$A$11:$A$260)), 0)),"")</f>
        <v/>
      </c>
      <c r="B131" s="123" t="str">
        <f>IF($A131="","",VLOOKUP($A131,'Annex 2 EHV charges'!$A:$O,2,0))</f>
        <v/>
      </c>
      <c r="C131" s="124" t="str">
        <f>IF($A131="","",VLOOKUP($A131,'Annex 2 EHV charges'!$A:$O,3,0))</f>
        <v/>
      </c>
      <c r="D131" s="123" t="str">
        <f>IF($A131="","",VLOOKUP($A131,'Annex 2 EHV charges'!$A:$O,7,0))</f>
        <v/>
      </c>
      <c r="E131" s="128" t="str">
        <f>IFERROR(IF(VLOOKUP($A131,'Annex 2 EHV charges'!$A:$O,8,FALSE)=0,"",VLOOKUP($A131,'Annex 2 EHV charges'!$A:$O,8,FALSE)),"")</f>
        <v/>
      </c>
      <c r="F131" s="129" t="str">
        <f>IFERROR(IF(VLOOKUP($A131,'Annex 2 EHV charges'!$A:$O,9,FALSE)=0,"",VLOOKUP($A131,'Annex 2 EHV charges'!$A:$O,9,FALSE)),"")</f>
        <v/>
      </c>
      <c r="G131" s="130" t="str">
        <f>IFERROR(IF(VLOOKUP($A131,'Annex 2 EHV charges'!$A:$O,10,FALSE)=0,"",VLOOKUP($A131,'Annex 2 EHV charges'!$A:$O,10,FALSE)),"")</f>
        <v/>
      </c>
      <c r="H131" s="130" t="str">
        <f>IFERROR(IF(VLOOKUP($A131,'Annex 2 EHV charges'!$A:$O,11,FALSE)=0,"",VLOOKUP($A131,'Annex 2 EHV charges'!$A:$O,11,FALSE)),"")</f>
        <v/>
      </c>
    </row>
    <row r="132" spans="1:8" ht="12.75" customHeight="1" x14ac:dyDescent="0.2">
      <c r="A132" s="123" t="str">
        <f t="array" ref="A132">IFERROR(INDEX('Annex 2 EHV charges'!$A$11:$A$260, MATCH(0, IF(ISBLANK('Annex 2 EHV charges'!$A$11:$A$260),1, COUNTIF(A$4:$A131, 'Annex 2 EHV charges'!$A$11:$A$260)), 0)),"")</f>
        <v/>
      </c>
      <c r="B132" s="123" t="str">
        <f>IF($A132="","",VLOOKUP($A132,'Annex 2 EHV charges'!$A:$O,2,0))</f>
        <v/>
      </c>
      <c r="C132" s="124" t="str">
        <f>IF($A132="","",VLOOKUP($A132,'Annex 2 EHV charges'!$A:$O,3,0))</f>
        <v/>
      </c>
      <c r="D132" s="123" t="str">
        <f>IF($A132="","",VLOOKUP($A132,'Annex 2 EHV charges'!$A:$O,7,0))</f>
        <v/>
      </c>
      <c r="E132" s="128" t="str">
        <f>IFERROR(IF(VLOOKUP($A132,'Annex 2 EHV charges'!$A:$O,8,FALSE)=0,"",VLOOKUP($A132,'Annex 2 EHV charges'!$A:$O,8,FALSE)),"")</f>
        <v/>
      </c>
      <c r="F132" s="129" t="str">
        <f>IFERROR(IF(VLOOKUP($A132,'Annex 2 EHV charges'!$A:$O,9,FALSE)=0,"",VLOOKUP($A132,'Annex 2 EHV charges'!$A:$O,9,FALSE)),"")</f>
        <v/>
      </c>
      <c r="G132" s="130" t="str">
        <f>IFERROR(IF(VLOOKUP($A132,'Annex 2 EHV charges'!$A:$O,10,FALSE)=0,"",VLOOKUP($A132,'Annex 2 EHV charges'!$A:$O,10,FALSE)),"")</f>
        <v/>
      </c>
      <c r="H132" s="130" t="str">
        <f>IFERROR(IF(VLOOKUP($A132,'Annex 2 EHV charges'!$A:$O,11,FALSE)=0,"",VLOOKUP($A132,'Annex 2 EHV charges'!$A:$O,11,FALSE)),"")</f>
        <v/>
      </c>
    </row>
    <row r="133" spans="1:8" ht="12.75" customHeight="1" x14ac:dyDescent="0.2">
      <c r="A133" s="123" t="str">
        <f t="array" ref="A133">IFERROR(INDEX('Annex 2 EHV charges'!$A$11:$A$260, MATCH(0, IF(ISBLANK('Annex 2 EHV charges'!$A$11:$A$260),1, COUNTIF(A$4:$A132, 'Annex 2 EHV charges'!$A$11:$A$260)), 0)),"")</f>
        <v/>
      </c>
      <c r="B133" s="123" t="str">
        <f>IF($A133="","",VLOOKUP($A133,'Annex 2 EHV charges'!$A:$O,2,0))</f>
        <v/>
      </c>
      <c r="C133" s="124" t="str">
        <f>IF($A133="","",VLOOKUP($A133,'Annex 2 EHV charges'!$A:$O,3,0))</f>
        <v/>
      </c>
      <c r="D133" s="123" t="str">
        <f>IF($A133="","",VLOOKUP($A133,'Annex 2 EHV charges'!$A:$O,7,0))</f>
        <v/>
      </c>
      <c r="E133" s="128" t="str">
        <f>IFERROR(IF(VLOOKUP($A133,'Annex 2 EHV charges'!$A:$O,8,FALSE)=0,"",VLOOKUP($A133,'Annex 2 EHV charges'!$A:$O,8,FALSE)),"")</f>
        <v/>
      </c>
      <c r="F133" s="129" t="str">
        <f>IFERROR(IF(VLOOKUP($A133,'Annex 2 EHV charges'!$A:$O,9,FALSE)=0,"",VLOOKUP($A133,'Annex 2 EHV charges'!$A:$O,9,FALSE)),"")</f>
        <v/>
      </c>
      <c r="G133" s="130" t="str">
        <f>IFERROR(IF(VLOOKUP($A133,'Annex 2 EHV charges'!$A:$O,10,FALSE)=0,"",VLOOKUP($A133,'Annex 2 EHV charges'!$A:$O,10,FALSE)),"")</f>
        <v/>
      </c>
      <c r="H133" s="130" t="str">
        <f>IFERROR(IF(VLOOKUP($A133,'Annex 2 EHV charges'!$A:$O,11,FALSE)=0,"",VLOOKUP($A133,'Annex 2 EHV charges'!$A:$O,11,FALSE)),"")</f>
        <v/>
      </c>
    </row>
    <row r="134" spans="1:8" ht="12.75" customHeight="1" x14ac:dyDescent="0.2">
      <c r="A134" s="123" t="str">
        <f t="array" ref="A134">IFERROR(INDEX('Annex 2 EHV charges'!$A$11:$A$260, MATCH(0, IF(ISBLANK('Annex 2 EHV charges'!$A$11:$A$260),1, COUNTIF(A$4:$A133, 'Annex 2 EHV charges'!$A$11:$A$260)), 0)),"")</f>
        <v/>
      </c>
      <c r="B134" s="123" t="str">
        <f>IF($A134="","",VLOOKUP($A134,'Annex 2 EHV charges'!$A:$O,2,0))</f>
        <v/>
      </c>
      <c r="C134" s="124" t="str">
        <f>IF($A134="","",VLOOKUP($A134,'Annex 2 EHV charges'!$A:$O,3,0))</f>
        <v/>
      </c>
      <c r="D134" s="123" t="str">
        <f>IF($A134="","",VLOOKUP($A134,'Annex 2 EHV charges'!$A:$O,7,0))</f>
        <v/>
      </c>
      <c r="E134" s="128" t="str">
        <f>IFERROR(IF(VLOOKUP($A134,'Annex 2 EHV charges'!$A:$O,8,FALSE)=0,"",VLOOKUP($A134,'Annex 2 EHV charges'!$A:$O,8,FALSE)),"")</f>
        <v/>
      </c>
      <c r="F134" s="129" t="str">
        <f>IFERROR(IF(VLOOKUP($A134,'Annex 2 EHV charges'!$A:$O,9,FALSE)=0,"",VLOOKUP($A134,'Annex 2 EHV charges'!$A:$O,9,FALSE)),"")</f>
        <v/>
      </c>
      <c r="G134" s="130" t="str">
        <f>IFERROR(IF(VLOOKUP($A134,'Annex 2 EHV charges'!$A:$O,10,FALSE)=0,"",VLOOKUP($A134,'Annex 2 EHV charges'!$A:$O,10,FALSE)),"")</f>
        <v/>
      </c>
      <c r="H134" s="130" t="str">
        <f>IFERROR(IF(VLOOKUP($A134,'Annex 2 EHV charges'!$A:$O,11,FALSE)=0,"",VLOOKUP($A134,'Annex 2 EHV charges'!$A:$O,11,FALSE)),"")</f>
        <v/>
      </c>
    </row>
    <row r="135" spans="1:8" ht="12.75" customHeight="1" x14ac:dyDescent="0.2">
      <c r="A135" s="123" t="str">
        <f t="array" ref="A135">IFERROR(INDEX('Annex 2 EHV charges'!$A$11:$A$260, MATCH(0, IF(ISBLANK('Annex 2 EHV charges'!$A$11:$A$260),1, COUNTIF(A$4:$A134, 'Annex 2 EHV charges'!$A$11:$A$260)), 0)),"")</f>
        <v/>
      </c>
      <c r="B135" s="123" t="str">
        <f>IF($A135="","",VLOOKUP($A135,'Annex 2 EHV charges'!$A:$O,2,0))</f>
        <v/>
      </c>
      <c r="C135" s="124" t="str">
        <f>IF($A135="","",VLOOKUP($A135,'Annex 2 EHV charges'!$A:$O,3,0))</f>
        <v/>
      </c>
      <c r="D135" s="123" t="str">
        <f>IF($A135="","",VLOOKUP($A135,'Annex 2 EHV charges'!$A:$O,7,0))</f>
        <v/>
      </c>
      <c r="E135" s="128" t="str">
        <f>IFERROR(IF(VLOOKUP($A135,'Annex 2 EHV charges'!$A:$O,8,FALSE)=0,"",VLOOKUP($A135,'Annex 2 EHV charges'!$A:$O,8,FALSE)),"")</f>
        <v/>
      </c>
      <c r="F135" s="129" t="str">
        <f>IFERROR(IF(VLOOKUP($A135,'Annex 2 EHV charges'!$A:$O,9,FALSE)=0,"",VLOOKUP($A135,'Annex 2 EHV charges'!$A:$O,9,FALSE)),"")</f>
        <v/>
      </c>
      <c r="G135" s="130" t="str">
        <f>IFERROR(IF(VLOOKUP($A135,'Annex 2 EHV charges'!$A:$O,10,FALSE)=0,"",VLOOKUP($A135,'Annex 2 EHV charges'!$A:$O,10,FALSE)),"")</f>
        <v/>
      </c>
      <c r="H135" s="130" t="str">
        <f>IFERROR(IF(VLOOKUP($A135,'Annex 2 EHV charges'!$A:$O,11,FALSE)=0,"",VLOOKUP($A135,'Annex 2 EHV charges'!$A:$O,11,FALSE)),"")</f>
        <v/>
      </c>
    </row>
    <row r="136" spans="1:8" ht="12.75" customHeight="1" x14ac:dyDescent="0.2">
      <c r="A136" s="123" t="str">
        <f t="array" ref="A136">IFERROR(INDEX('Annex 2 EHV charges'!$A$11:$A$260, MATCH(0, IF(ISBLANK('Annex 2 EHV charges'!$A$11:$A$260),1, COUNTIF(A$4:$A135, 'Annex 2 EHV charges'!$A$11:$A$260)), 0)),"")</f>
        <v/>
      </c>
      <c r="B136" s="123" t="str">
        <f>IF($A136="","",VLOOKUP($A136,'Annex 2 EHV charges'!$A:$O,2,0))</f>
        <v/>
      </c>
      <c r="C136" s="124" t="str">
        <f>IF($A136="","",VLOOKUP($A136,'Annex 2 EHV charges'!$A:$O,3,0))</f>
        <v/>
      </c>
      <c r="D136" s="123" t="str">
        <f>IF($A136="","",VLOOKUP($A136,'Annex 2 EHV charges'!$A:$O,7,0))</f>
        <v/>
      </c>
      <c r="E136" s="128" t="str">
        <f>IFERROR(IF(VLOOKUP($A136,'Annex 2 EHV charges'!$A:$O,8,FALSE)=0,"",VLOOKUP($A136,'Annex 2 EHV charges'!$A:$O,8,FALSE)),"")</f>
        <v/>
      </c>
      <c r="F136" s="129" t="str">
        <f>IFERROR(IF(VLOOKUP($A136,'Annex 2 EHV charges'!$A:$O,9,FALSE)=0,"",VLOOKUP($A136,'Annex 2 EHV charges'!$A:$O,9,FALSE)),"")</f>
        <v/>
      </c>
      <c r="G136" s="130" t="str">
        <f>IFERROR(IF(VLOOKUP($A136,'Annex 2 EHV charges'!$A:$O,10,FALSE)=0,"",VLOOKUP($A136,'Annex 2 EHV charges'!$A:$O,10,FALSE)),"")</f>
        <v/>
      </c>
      <c r="H136" s="130" t="str">
        <f>IFERROR(IF(VLOOKUP($A136,'Annex 2 EHV charges'!$A:$O,11,FALSE)=0,"",VLOOKUP($A136,'Annex 2 EHV charges'!$A:$O,11,FALSE)),"")</f>
        <v/>
      </c>
    </row>
    <row r="137" spans="1:8" ht="12.75" customHeight="1" x14ac:dyDescent="0.2">
      <c r="A137" s="123" t="str">
        <f t="array" ref="A137">IFERROR(INDEX('Annex 2 EHV charges'!$A$11:$A$260, MATCH(0, IF(ISBLANK('Annex 2 EHV charges'!$A$11:$A$260),1, COUNTIF(A$4:$A136, 'Annex 2 EHV charges'!$A$11:$A$260)), 0)),"")</f>
        <v/>
      </c>
      <c r="B137" s="123" t="str">
        <f>IF($A137="","",VLOOKUP($A137,'Annex 2 EHV charges'!$A:$O,2,0))</f>
        <v/>
      </c>
      <c r="C137" s="124" t="str">
        <f>IF($A137="","",VLOOKUP($A137,'Annex 2 EHV charges'!$A:$O,3,0))</f>
        <v/>
      </c>
      <c r="D137" s="123" t="str">
        <f>IF($A137="","",VLOOKUP($A137,'Annex 2 EHV charges'!$A:$O,7,0))</f>
        <v/>
      </c>
      <c r="E137" s="128" t="str">
        <f>IFERROR(IF(VLOOKUP($A137,'Annex 2 EHV charges'!$A:$O,8,FALSE)=0,"",VLOOKUP($A137,'Annex 2 EHV charges'!$A:$O,8,FALSE)),"")</f>
        <v/>
      </c>
      <c r="F137" s="129" t="str">
        <f>IFERROR(IF(VLOOKUP($A137,'Annex 2 EHV charges'!$A:$O,9,FALSE)=0,"",VLOOKUP($A137,'Annex 2 EHV charges'!$A:$O,9,FALSE)),"")</f>
        <v/>
      </c>
      <c r="G137" s="130" t="str">
        <f>IFERROR(IF(VLOOKUP($A137,'Annex 2 EHV charges'!$A:$O,10,FALSE)=0,"",VLOOKUP($A137,'Annex 2 EHV charges'!$A:$O,10,FALSE)),"")</f>
        <v/>
      </c>
      <c r="H137" s="130" t="str">
        <f>IFERROR(IF(VLOOKUP($A137,'Annex 2 EHV charges'!$A:$O,11,FALSE)=0,"",VLOOKUP($A137,'Annex 2 EHV charges'!$A:$O,11,FALSE)),"")</f>
        <v/>
      </c>
    </row>
    <row r="138" spans="1:8" ht="12.75" customHeight="1" x14ac:dyDescent="0.2">
      <c r="A138" s="123" t="str">
        <f t="array" ref="A138">IFERROR(INDEX('Annex 2 EHV charges'!$A$11:$A$260, MATCH(0, IF(ISBLANK('Annex 2 EHV charges'!$A$11:$A$260),1, COUNTIF(A$4:$A137, 'Annex 2 EHV charges'!$A$11:$A$260)), 0)),"")</f>
        <v/>
      </c>
      <c r="B138" s="123" t="str">
        <f>IF($A138="","",VLOOKUP($A138,'Annex 2 EHV charges'!$A:$O,2,0))</f>
        <v/>
      </c>
      <c r="C138" s="124" t="str">
        <f>IF($A138="","",VLOOKUP($A138,'Annex 2 EHV charges'!$A:$O,3,0))</f>
        <v/>
      </c>
      <c r="D138" s="123" t="str">
        <f>IF($A138="","",VLOOKUP($A138,'Annex 2 EHV charges'!$A:$O,7,0))</f>
        <v/>
      </c>
      <c r="E138" s="128" t="str">
        <f>IFERROR(IF(VLOOKUP($A138,'Annex 2 EHV charges'!$A:$O,8,FALSE)=0,"",VLOOKUP($A138,'Annex 2 EHV charges'!$A:$O,8,FALSE)),"")</f>
        <v/>
      </c>
      <c r="F138" s="129" t="str">
        <f>IFERROR(IF(VLOOKUP($A138,'Annex 2 EHV charges'!$A:$O,9,FALSE)=0,"",VLOOKUP($A138,'Annex 2 EHV charges'!$A:$O,9,FALSE)),"")</f>
        <v/>
      </c>
      <c r="G138" s="130" t="str">
        <f>IFERROR(IF(VLOOKUP($A138,'Annex 2 EHV charges'!$A:$O,10,FALSE)=0,"",VLOOKUP($A138,'Annex 2 EHV charges'!$A:$O,10,FALSE)),"")</f>
        <v/>
      </c>
      <c r="H138" s="130" t="str">
        <f>IFERROR(IF(VLOOKUP($A138,'Annex 2 EHV charges'!$A:$O,11,FALSE)=0,"",VLOOKUP($A138,'Annex 2 EHV charges'!$A:$O,11,FALSE)),"")</f>
        <v/>
      </c>
    </row>
    <row r="139" spans="1:8" ht="12.75" customHeight="1" x14ac:dyDescent="0.2">
      <c r="A139" s="123" t="str">
        <f t="array" ref="A139">IFERROR(INDEX('Annex 2 EHV charges'!$A$11:$A$260, MATCH(0, IF(ISBLANK('Annex 2 EHV charges'!$A$11:$A$260),1, COUNTIF(A$4:$A138, 'Annex 2 EHV charges'!$A$11:$A$260)), 0)),"")</f>
        <v/>
      </c>
      <c r="B139" s="123" t="str">
        <f>IF($A139="","",VLOOKUP($A139,'Annex 2 EHV charges'!$A:$O,2,0))</f>
        <v/>
      </c>
      <c r="C139" s="124" t="str">
        <f>IF($A139="","",VLOOKUP($A139,'Annex 2 EHV charges'!$A:$O,3,0))</f>
        <v/>
      </c>
      <c r="D139" s="123" t="str">
        <f>IF($A139="","",VLOOKUP($A139,'Annex 2 EHV charges'!$A:$O,7,0))</f>
        <v/>
      </c>
      <c r="E139" s="128" t="str">
        <f>IFERROR(IF(VLOOKUP($A139,'Annex 2 EHV charges'!$A:$O,8,FALSE)=0,"",VLOOKUP($A139,'Annex 2 EHV charges'!$A:$O,8,FALSE)),"")</f>
        <v/>
      </c>
      <c r="F139" s="129" t="str">
        <f>IFERROR(IF(VLOOKUP($A139,'Annex 2 EHV charges'!$A:$O,9,FALSE)=0,"",VLOOKUP($A139,'Annex 2 EHV charges'!$A:$O,9,FALSE)),"")</f>
        <v/>
      </c>
      <c r="G139" s="130" t="str">
        <f>IFERROR(IF(VLOOKUP($A139,'Annex 2 EHV charges'!$A:$O,10,FALSE)=0,"",VLOOKUP($A139,'Annex 2 EHV charges'!$A:$O,10,FALSE)),"")</f>
        <v/>
      </c>
      <c r="H139" s="130" t="str">
        <f>IFERROR(IF(VLOOKUP($A139,'Annex 2 EHV charges'!$A:$O,11,FALSE)=0,"",VLOOKUP($A139,'Annex 2 EHV charges'!$A:$O,11,FALSE)),"")</f>
        <v/>
      </c>
    </row>
    <row r="140" spans="1:8" ht="12.75" customHeight="1" x14ac:dyDescent="0.2">
      <c r="A140" s="123" t="str">
        <f t="array" ref="A140">IFERROR(INDEX('Annex 2 EHV charges'!$A$11:$A$260, MATCH(0, IF(ISBLANK('Annex 2 EHV charges'!$A$11:$A$260),1, COUNTIF(A$4:$A139, 'Annex 2 EHV charges'!$A$11:$A$260)), 0)),"")</f>
        <v/>
      </c>
      <c r="B140" s="123" t="str">
        <f>IF($A140="","",VLOOKUP($A140,'Annex 2 EHV charges'!$A:$O,2,0))</f>
        <v/>
      </c>
      <c r="C140" s="124" t="str">
        <f>IF($A140="","",VLOOKUP($A140,'Annex 2 EHV charges'!$A:$O,3,0))</f>
        <v/>
      </c>
      <c r="D140" s="123" t="str">
        <f>IF($A140="","",VLOOKUP($A140,'Annex 2 EHV charges'!$A:$O,7,0))</f>
        <v/>
      </c>
      <c r="E140" s="128" t="str">
        <f>IFERROR(IF(VLOOKUP($A140,'Annex 2 EHV charges'!$A:$O,8,FALSE)=0,"",VLOOKUP($A140,'Annex 2 EHV charges'!$A:$O,8,FALSE)),"")</f>
        <v/>
      </c>
      <c r="F140" s="129" t="str">
        <f>IFERROR(IF(VLOOKUP($A140,'Annex 2 EHV charges'!$A:$O,9,FALSE)=0,"",VLOOKUP($A140,'Annex 2 EHV charges'!$A:$O,9,FALSE)),"")</f>
        <v/>
      </c>
      <c r="G140" s="130" t="str">
        <f>IFERROR(IF(VLOOKUP($A140,'Annex 2 EHV charges'!$A:$O,10,FALSE)=0,"",VLOOKUP($A140,'Annex 2 EHV charges'!$A:$O,10,FALSE)),"")</f>
        <v/>
      </c>
      <c r="H140" s="130" t="str">
        <f>IFERROR(IF(VLOOKUP($A140,'Annex 2 EHV charges'!$A:$O,11,FALSE)=0,"",VLOOKUP($A140,'Annex 2 EHV charges'!$A:$O,11,FALSE)),"")</f>
        <v/>
      </c>
    </row>
    <row r="141" spans="1:8" ht="12.75" customHeight="1" x14ac:dyDescent="0.2">
      <c r="A141" s="123" t="str">
        <f t="array" ref="A141">IFERROR(INDEX('Annex 2 EHV charges'!$A$11:$A$260, MATCH(0, IF(ISBLANK('Annex 2 EHV charges'!$A$11:$A$260),1, COUNTIF(A$4:$A140, 'Annex 2 EHV charges'!$A$11:$A$260)), 0)),"")</f>
        <v/>
      </c>
      <c r="B141" s="123" t="str">
        <f>IF($A141="","",VLOOKUP($A141,'Annex 2 EHV charges'!$A:$O,2,0))</f>
        <v/>
      </c>
      <c r="C141" s="124" t="str">
        <f>IF($A141="","",VLOOKUP($A141,'Annex 2 EHV charges'!$A:$O,3,0))</f>
        <v/>
      </c>
      <c r="D141" s="123" t="str">
        <f>IF($A141="","",VLOOKUP($A141,'Annex 2 EHV charges'!$A:$O,7,0))</f>
        <v/>
      </c>
      <c r="E141" s="128" t="str">
        <f>IFERROR(IF(VLOOKUP($A141,'Annex 2 EHV charges'!$A:$O,8,FALSE)=0,"",VLOOKUP($A141,'Annex 2 EHV charges'!$A:$O,8,FALSE)),"")</f>
        <v/>
      </c>
      <c r="F141" s="129" t="str">
        <f>IFERROR(IF(VLOOKUP($A141,'Annex 2 EHV charges'!$A:$O,9,FALSE)=0,"",VLOOKUP($A141,'Annex 2 EHV charges'!$A:$O,9,FALSE)),"")</f>
        <v/>
      </c>
      <c r="G141" s="130" t="str">
        <f>IFERROR(IF(VLOOKUP($A141,'Annex 2 EHV charges'!$A:$O,10,FALSE)=0,"",VLOOKUP($A141,'Annex 2 EHV charges'!$A:$O,10,FALSE)),"")</f>
        <v/>
      </c>
      <c r="H141" s="130" t="str">
        <f>IFERROR(IF(VLOOKUP($A141,'Annex 2 EHV charges'!$A:$O,11,FALSE)=0,"",VLOOKUP($A141,'Annex 2 EHV charges'!$A:$O,11,FALSE)),"")</f>
        <v/>
      </c>
    </row>
    <row r="142" spans="1:8" ht="12.75" customHeight="1" x14ac:dyDescent="0.2">
      <c r="A142" s="123" t="str">
        <f t="array" ref="A142">IFERROR(INDEX('Annex 2 EHV charges'!$A$11:$A$260, MATCH(0, IF(ISBLANK('Annex 2 EHV charges'!$A$11:$A$260),1, COUNTIF(A$4:$A141, 'Annex 2 EHV charges'!$A$11:$A$260)), 0)),"")</f>
        <v/>
      </c>
      <c r="B142" s="123" t="str">
        <f>IF($A142="","",VLOOKUP($A142,'Annex 2 EHV charges'!$A:$O,2,0))</f>
        <v/>
      </c>
      <c r="C142" s="124" t="str">
        <f>IF($A142="","",VLOOKUP($A142,'Annex 2 EHV charges'!$A:$O,3,0))</f>
        <v/>
      </c>
      <c r="D142" s="123" t="str">
        <f>IF($A142="","",VLOOKUP($A142,'Annex 2 EHV charges'!$A:$O,7,0))</f>
        <v/>
      </c>
      <c r="E142" s="128" t="str">
        <f>IFERROR(IF(VLOOKUP($A142,'Annex 2 EHV charges'!$A:$O,8,FALSE)=0,"",VLOOKUP($A142,'Annex 2 EHV charges'!$A:$O,8,FALSE)),"")</f>
        <v/>
      </c>
      <c r="F142" s="129" t="str">
        <f>IFERROR(IF(VLOOKUP($A142,'Annex 2 EHV charges'!$A:$O,9,FALSE)=0,"",VLOOKUP($A142,'Annex 2 EHV charges'!$A:$O,9,FALSE)),"")</f>
        <v/>
      </c>
      <c r="G142" s="130" t="str">
        <f>IFERROR(IF(VLOOKUP($A142,'Annex 2 EHV charges'!$A:$O,10,FALSE)=0,"",VLOOKUP($A142,'Annex 2 EHV charges'!$A:$O,10,FALSE)),"")</f>
        <v/>
      </c>
      <c r="H142" s="130" t="str">
        <f>IFERROR(IF(VLOOKUP($A142,'Annex 2 EHV charges'!$A:$O,11,FALSE)=0,"",VLOOKUP($A142,'Annex 2 EHV charges'!$A:$O,11,FALSE)),"")</f>
        <v/>
      </c>
    </row>
    <row r="143" spans="1:8" ht="12.75" customHeight="1" x14ac:dyDescent="0.2">
      <c r="A143" s="123" t="str">
        <f t="array" ref="A143">IFERROR(INDEX('Annex 2 EHV charges'!$A$11:$A$260, MATCH(0, IF(ISBLANK('Annex 2 EHV charges'!$A$11:$A$260),1, COUNTIF(A$4:$A142, 'Annex 2 EHV charges'!$A$11:$A$260)), 0)),"")</f>
        <v/>
      </c>
      <c r="B143" s="123" t="str">
        <f>IF($A143="","",VLOOKUP($A143,'Annex 2 EHV charges'!$A:$O,2,0))</f>
        <v/>
      </c>
      <c r="C143" s="124" t="str">
        <f>IF($A143="","",VLOOKUP($A143,'Annex 2 EHV charges'!$A:$O,3,0))</f>
        <v/>
      </c>
      <c r="D143" s="123" t="str">
        <f>IF($A143="","",VLOOKUP($A143,'Annex 2 EHV charges'!$A:$O,7,0))</f>
        <v/>
      </c>
      <c r="E143" s="128" t="str">
        <f>IFERROR(IF(VLOOKUP($A143,'Annex 2 EHV charges'!$A:$O,8,FALSE)=0,"",VLOOKUP($A143,'Annex 2 EHV charges'!$A:$O,8,FALSE)),"")</f>
        <v/>
      </c>
      <c r="F143" s="129" t="str">
        <f>IFERROR(IF(VLOOKUP($A143,'Annex 2 EHV charges'!$A:$O,9,FALSE)=0,"",VLOOKUP($A143,'Annex 2 EHV charges'!$A:$O,9,FALSE)),"")</f>
        <v/>
      </c>
      <c r="G143" s="130" t="str">
        <f>IFERROR(IF(VLOOKUP($A143,'Annex 2 EHV charges'!$A:$O,10,FALSE)=0,"",VLOOKUP($A143,'Annex 2 EHV charges'!$A:$O,10,FALSE)),"")</f>
        <v/>
      </c>
      <c r="H143" s="130" t="str">
        <f>IFERROR(IF(VLOOKUP($A143,'Annex 2 EHV charges'!$A:$O,11,FALSE)=0,"",VLOOKUP($A143,'Annex 2 EHV charges'!$A:$O,11,FALSE)),"")</f>
        <v/>
      </c>
    </row>
    <row r="144" spans="1:8" x14ac:dyDescent="0.2">
      <c r="A144" s="123" t="str">
        <f t="array" ref="A144">IFERROR(INDEX('Annex 2 EHV charges'!$A$11:$A$260, MATCH(0, IF(ISBLANK('Annex 2 EHV charges'!$A$11:$A$260),1, COUNTIF(A$4:$A143, 'Annex 2 EHV charges'!$A$11:$A$260)), 0)),"")</f>
        <v/>
      </c>
      <c r="B144" s="123" t="str">
        <f>IF($A144="","",VLOOKUP($A144,'Annex 2 EHV charges'!$A:$O,2,0))</f>
        <v/>
      </c>
      <c r="C144" s="124" t="str">
        <f>IF($A144="","",VLOOKUP($A144,'Annex 2 EHV charges'!$A:$O,3,0))</f>
        <v/>
      </c>
      <c r="D144" s="123" t="str">
        <f>IF($A144="","",VLOOKUP($A144,'Annex 2 EHV charges'!$A:$O,7,0))</f>
        <v/>
      </c>
      <c r="E144" s="128" t="str">
        <f>IFERROR(IF(VLOOKUP($A144,'Annex 2 EHV charges'!$A:$O,8,FALSE)=0,"",VLOOKUP($A144,'Annex 2 EHV charges'!$A:$O,8,FALSE)),"")</f>
        <v/>
      </c>
      <c r="F144" s="129" t="str">
        <f>IFERROR(IF(VLOOKUP($A144,'Annex 2 EHV charges'!$A:$O,9,FALSE)=0,"",VLOOKUP($A144,'Annex 2 EHV charges'!$A:$O,9,FALSE)),"")</f>
        <v/>
      </c>
      <c r="G144" s="130" t="str">
        <f>IFERROR(IF(VLOOKUP($A144,'Annex 2 EHV charges'!$A:$O,10,FALSE)=0,"",VLOOKUP($A144,'Annex 2 EHV charges'!$A:$O,10,FALSE)),"")</f>
        <v/>
      </c>
      <c r="H144" s="130" t="str">
        <f>IFERROR(IF(VLOOKUP($A144,'Annex 2 EHV charges'!$A:$O,11,FALSE)=0,"",VLOOKUP($A144,'Annex 2 EHV charges'!$A:$O,11,FALSE)),"")</f>
        <v/>
      </c>
    </row>
    <row r="145" spans="1:8" x14ac:dyDescent="0.2">
      <c r="A145" s="123" t="str">
        <f t="array" ref="A145">IFERROR(INDEX('Annex 2 EHV charges'!$A$11:$A$260, MATCH(0, IF(ISBLANK('Annex 2 EHV charges'!$A$11:$A$260),1, COUNTIF(A$4:$A144, 'Annex 2 EHV charges'!$A$11:$A$260)), 0)),"")</f>
        <v/>
      </c>
      <c r="B145" s="123" t="str">
        <f>IF($A145="","",VLOOKUP($A145,'Annex 2 EHV charges'!$A:$O,2,0))</f>
        <v/>
      </c>
      <c r="C145" s="124" t="str">
        <f>IF($A145="","",VLOOKUP($A145,'Annex 2 EHV charges'!$A:$O,3,0))</f>
        <v/>
      </c>
      <c r="D145" s="123" t="str">
        <f>IF($A145="","",VLOOKUP($A145,'Annex 2 EHV charges'!$A:$O,7,0))</f>
        <v/>
      </c>
      <c r="E145" s="128" t="str">
        <f>IFERROR(IF(VLOOKUP($A145,'Annex 2 EHV charges'!$A:$O,8,FALSE)=0,"",VLOOKUP($A145,'Annex 2 EHV charges'!$A:$O,8,FALSE)),"")</f>
        <v/>
      </c>
      <c r="F145" s="129" t="str">
        <f>IFERROR(IF(VLOOKUP($A145,'Annex 2 EHV charges'!$A:$O,9,FALSE)=0,"",VLOOKUP($A145,'Annex 2 EHV charges'!$A:$O,9,FALSE)),"")</f>
        <v/>
      </c>
      <c r="G145" s="130" t="str">
        <f>IFERROR(IF(VLOOKUP($A145,'Annex 2 EHV charges'!$A:$O,10,FALSE)=0,"",VLOOKUP($A145,'Annex 2 EHV charges'!$A:$O,10,FALSE)),"")</f>
        <v/>
      </c>
      <c r="H145" s="130" t="str">
        <f>IFERROR(IF(VLOOKUP($A145,'Annex 2 EHV charges'!$A:$O,11,FALSE)=0,"",VLOOKUP($A145,'Annex 2 EHV charges'!$A:$O,11,FALSE)),"")</f>
        <v/>
      </c>
    </row>
    <row r="146" spans="1:8" x14ac:dyDescent="0.2">
      <c r="A146" s="123" t="str">
        <f t="array" ref="A146">IFERROR(INDEX('Annex 2 EHV charges'!$A$11:$A$260, MATCH(0, IF(ISBLANK('Annex 2 EHV charges'!$A$11:$A$260),1, COUNTIF(A$4:$A145, 'Annex 2 EHV charges'!$A$11:$A$260)), 0)),"")</f>
        <v/>
      </c>
      <c r="B146" s="123" t="str">
        <f>IF($A146="","",VLOOKUP($A146,'Annex 2 EHV charges'!$A:$O,2,0))</f>
        <v/>
      </c>
      <c r="C146" s="124" t="str">
        <f>IF($A146="","",VLOOKUP($A146,'Annex 2 EHV charges'!$A:$O,3,0))</f>
        <v/>
      </c>
      <c r="D146" s="123" t="str">
        <f>IF($A146="","",VLOOKUP($A146,'Annex 2 EHV charges'!$A:$O,7,0))</f>
        <v/>
      </c>
      <c r="E146" s="128" t="str">
        <f>IFERROR(IF(VLOOKUP($A146,'Annex 2 EHV charges'!$A:$O,8,FALSE)=0,"",VLOOKUP($A146,'Annex 2 EHV charges'!$A:$O,8,FALSE)),"")</f>
        <v/>
      </c>
      <c r="F146" s="129" t="str">
        <f>IFERROR(IF(VLOOKUP($A146,'Annex 2 EHV charges'!$A:$O,9,FALSE)=0,"",VLOOKUP($A146,'Annex 2 EHV charges'!$A:$O,9,FALSE)),"")</f>
        <v/>
      </c>
      <c r="G146" s="130" t="str">
        <f>IFERROR(IF(VLOOKUP($A146,'Annex 2 EHV charges'!$A:$O,10,FALSE)=0,"",VLOOKUP($A146,'Annex 2 EHV charges'!$A:$O,10,FALSE)),"")</f>
        <v/>
      </c>
      <c r="H146" s="130" t="str">
        <f>IFERROR(IF(VLOOKUP($A146,'Annex 2 EHV charges'!$A:$O,11,FALSE)=0,"",VLOOKUP($A146,'Annex 2 EHV charges'!$A:$O,11,FALSE)),"")</f>
        <v/>
      </c>
    </row>
    <row r="147" spans="1:8" x14ac:dyDescent="0.2">
      <c r="A147" s="123" t="str">
        <f t="array" ref="A147">IFERROR(INDEX('Annex 2 EHV charges'!$A$11:$A$260, MATCH(0, IF(ISBLANK('Annex 2 EHV charges'!$A$11:$A$260),1, COUNTIF(A$4:$A146, 'Annex 2 EHV charges'!$A$11:$A$260)), 0)),"")</f>
        <v/>
      </c>
      <c r="B147" s="123" t="str">
        <f>IF($A147="","",VLOOKUP($A147,'Annex 2 EHV charges'!$A:$O,2,0))</f>
        <v/>
      </c>
      <c r="C147" s="124" t="str">
        <f>IF($A147="","",VLOOKUP($A147,'Annex 2 EHV charges'!$A:$O,3,0))</f>
        <v/>
      </c>
      <c r="D147" s="123" t="str">
        <f>IF($A147="","",VLOOKUP($A147,'Annex 2 EHV charges'!$A:$O,7,0))</f>
        <v/>
      </c>
      <c r="E147" s="128" t="str">
        <f>IFERROR(IF(VLOOKUP($A147,'Annex 2 EHV charges'!$A:$O,8,FALSE)=0,"",VLOOKUP($A147,'Annex 2 EHV charges'!$A:$O,8,FALSE)),"")</f>
        <v/>
      </c>
      <c r="F147" s="129" t="str">
        <f>IFERROR(IF(VLOOKUP($A147,'Annex 2 EHV charges'!$A:$O,9,FALSE)=0,"",VLOOKUP($A147,'Annex 2 EHV charges'!$A:$O,9,FALSE)),"")</f>
        <v/>
      </c>
      <c r="G147" s="130" t="str">
        <f>IFERROR(IF(VLOOKUP($A147,'Annex 2 EHV charges'!$A:$O,10,FALSE)=0,"",VLOOKUP($A147,'Annex 2 EHV charges'!$A:$O,10,FALSE)),"")</f>
        <v/>
      </c>
      <c r="H147" s="130" t="str">
        <f>IFERROR(IF(VLOOKUP($A147,'Annex 2 EHV charges'!$A:$O,11,FALSE)=0,"",VLOOKUP($A147,'Annex 2 EHV charges'!$A:$O,11,FALSE)),"")</f>
        <v/>
      </c>
    </row>
    <row r="148" spans="1:8" x14ac:dyDescent="0.2">
      <c r="A148" s="123" t="str">
        <f t="array" ref="A148">IFERROR(INDEX('Annex 2 EHV charges'!$A$11:$A$260, MATCH(0, IF(ISBLANK('Annex 2 EHV charges'!$A$11:$A$260),1, COUNTIF(A$4:$A147, 'Annex 2 EHV charges'!$A$11:$A$260)), 0)),"")</f>
        <v/>
      </c>
      <c r="B148" s="123" t="str">
        <f>IF($A148="","",VLOOKUP($A148,'Annex 2 EHV charges'!$A:$O,2,0))</f>
        <v/>
      </c>
      <c r="C148" s="124" t="str">
        <f>IF($A148="","",VLOOKUP($A148,'Annex 2 EHV charges'!$A:$O,3,0))</f>
        <v/>
      </c>
      <c r="D148" s="123" t="str">
        <f>IF($A148="","",VLOOKUP($A148,'Annex 2 EHV charges'!$A:$O,7,0))</f>
        <v/>
      </c>
      <c r="E148" s="128" t="str">
        <f>IFERROR(IF(VLOOKUP($A148,'Annex 2 EHV charges'!$A:$O,8,FALSE)=0,"",VLOOKUP($A148,'Annex 2 EHV charges'!$A:$O,8,FALSE)),"")</f>
        <v/>
      </c>
      <c r="F148" s="129" t="str">
        <f>IFERROR(IF(VLOOKUP($A148,'Annex 2 EHV charges'!$A:$O,9,FALSE)=0,"",VLOOKUP($A148,'Annex 2 EHV charges'!$A:$O,9,FALSE)),"")</f>
        <v/>
      </c>
      <c r="G148" s="130" t="str">
        <f>IFERROR(IF(VLOOKUP($A148,'Annex 2 EHV charges'!$A:$O,10,FALSE)=0,"",VLOOKUP($A148,'Annex 2 EHV charges'!$A:$O,10,FALSE)),"")</f>
        <v/>
      </c>
      <c r="H148" s="130" t="str">
        <f>IFERROR(IF(VLOOKUP($A148,'Annex 2 EHV charges'!$A:$O,11,FALSE)=0,"",VLOOKUP($A148,'Annex 2 EHV charges'!$A:$O,11,FALSE)),"")</f>
        <v/>
      </c>
    </row>
    <row r="149" spans="1:8" x14ac:dyDescent="0.2">
      <c r="A149" s="123" t="str">
        <f t="array" ref="A149">IFERROR(INDEX('Annex 2 EHV charges'!$A$11:$A$260, MATCH(0, IF(ISBLANK('Annex 2 EHV charges'!$A$11:$A$260),1, COUNTIF(A$4:$A148, 'Annex 2 EHV charges'!$A$11:$A$260)), 0)),"")</f>
        <v/>
      </c>
      <c r="B149" s="123" t="str">
        <f>IF($A149="","",VLOOKUP($A149,'Annex 2 EHV charges'!$A:$O,2,0))</f>
        <v/>
      </c>
      <c r="C149" s="124" t="str">
        <f>IF($A149="","",VLOOKUP($A149,'Annex 2 EHV charges'!$A:$O,3,0))</f>
        <v/>
      </c>
      <c r="D149" s="123" t="str">
        <f>IF($A149="","",VLOOKUP($A149,'Annex 2 EHV charges'!$A:$O,7,0))</f>
        <v/>
      </c>
      <c r="E149" s="128" t="str">
        <f>IFERROR(IF(VLOOKUP($A149,'Annex 2 EHV charges'!$A:$O,8,FALSE)=0,"",VLOOKUP($A149,'Annex 2 EHV charges'!$A:$O,8,FALSE)),"")</f>
        <v/>
      </c>
      <c r="F149" s="129" t="str">
        <f>IFERROR(IF(VLOOKUP($A149,'Annex 2 EHV charges'!$A:$O,9,FALSE)=0,"",VLOOKUP($A149,'Annex 2 EHV charges'!$A:$O,9,FALSE)),"")</f>
        <v/>
      </c>
      <c r="G149" s="130" t="str">
        <f>IFERROR(IF(VLOOKUP($A149,'Annex 2 EHV charges'!$A:$O,10,FALSE)=0,"",VLOOKUP($A149,'Annex 2 EHV charges'!$A:$O,10,FALSE)),"")</f>
        <v/>
      </c>
      <c r="H149" s="130" t="str">
        <f>IFERROR(IF(VLOOKUP($A149,'Annex 2 EHV charges'!$A:$O,11,FALSE)=0,"",VLOOKUP($A149,'Annex 2 EHV charges'!$A:$O,11,FALSE)),"")</f>
        <v/>
      </c>
    </row>
    <row r="150" spans="1:8" x14ac:dyDescent="0.2">
      <c r="A150" s="123" t="str">
        <f t="array" ref="A150">IFERROR(INDEX('Annex 2 EHV charges'!$A$11:$A$260, MATCH(0, IF(ISBLANK('Annex 2 EHV charges'!$A$11:$A$260),1, COUNTIF(A$4:$A149, 'Annex 2 EHV charges'!$A$11:$A$260)), 0)),"")</f>
        <v/>
      </c>
      <c r="B150" s="123" t="str">
        <f>IF($A150="","",VLOOKUP($A150,'Annex 2 EHV charges'!$A:$O,2,0))</f>
        <v/>
      </c>
      <c r="C150" s="124" t="str">
        <f>IF($A150="","",VLOOKUP($A150,'Annex 2 EHV charges'!$A:$O,3,0))</f>
        <v/>
      </c>
      <c r="D150" s="123" t="str">
        <f>IF($A150="","",VLOOKUP($A150,'Annex 2 EHV charges'!$A:$O,7,0))</f>
        <v/>
      </c>
      <c r="E150" s="128" t="str">
        <f>IFERROR(IF(VLOOKUP($A150,'Annex 2 EHV charges'!$A:$O,8,FALSE)=0,"",VLOOKUP($A150,'Annex 2 EHV charges'!$A:$O,8,FALSE)),"")</f>
        <v/>
      </c>
      <c r="F150" s="129" t="str">
        <f>IFERROR(IF(VLOOKUP($A150,'Annex 2 EHV charges'!$A:$O,9,FALSE)=0,"",VLOOKUP($A150,'Annex 2 EHV charges'!$A:$O,9,FALSE)),"")</f>
        <v/>
      </c>
      <c r="G150" s="130" t="str">
        <f>IFERROR(IF(VLOOKUP($A150,'Annex 2 EHV charges'!$A:$O,10,FALSE)=0,"",VLOOKUP($A150,'Annex 2 EHV charges'!$A:$O,10,FALSE)),"")</f>
        <v/>
      </c>
      <c r="H150" s="130" t="str">
        <f>IFERROR(IF(VLOOKUP($A150,'Annex 2 EHV charges'!$A:$O,11,FALSE)=0,"",VLOOKUP($A150,'Annex 2 EHV charges'!$A:$O,11,FALSE)),"")</f>
        <v/>
      </c>
    </row>
    <row r="151" spans="1:8" x14ac:dyDescent="0.2">
      <c r="A151" s="123" t="str">
        <f t="array" ref="A151">IFERROR(INDEX('Annex 2 EHV charges'!$A$11:$A$260, MATCH(0, IF(ISBLANK('Annex 2 EHV charges'!$A$11:$A$260),1, COUNTIF(A$4:$A150, 'Annex 2 EHV charges'!$A$11:$A$260)), 0)),"")</f>
        <v/>
      </c>
      <c r="B151" s="123" t="str">
        <f>IF($A151="","",VLOOKUP($A151,'Annex 2 EHV charges'!$A:$O,2,0))</f>
        <v/>
      </c>
      <c r="C151" s="124" t="str">
        <f>IF($A151="","",VLOOKUP($A151,'Annex 2 EHV charges'!$A:$O,3,0))</f>
        <v/>
      </c>
      <c r="D151" s="123" t="str">
        <f>IF($A151="","",VLOOKUP($A151,'Annex 2 EHV charges'!$A:$O,7,0))</f>
        <v/>
      </c>
      <c r="E151" s="128" t="str">
        <f>IFERROR(IF(VLOOKUP($A151,'Annex 2 EHV charges'!$A:$O,8,FALSE)=0,"",VLOOKUP($A151,'Annex 2 EHV charges'!$A:$O,8,FALSE)),"")</f>
        <v/>
      </c>
      <c r="F151" s="129" t="str">
        <f>IFERROR(IF(VLOOKUP($A151,'Annex 2 EHV charges'!$A:$O,9,FALSE)=0,"",VLOOKUP($A151,'Annex 2 EHV charges'!$A:$O,9,FALSE)),"")</f>
        <v/>
      </c>
      <c r="G151" s="130" t="str">
        <f>IFERROR(IF(VLOOKUP($A151,'Annex 2 EHV charges'!$A:$O,10,FALSE)=0,"",VLOOKUP($A151,'Annex 2 EHV charges'!$A:$O,10,FALSE)),"")</f>
        <v/>
      </c>
      <c r="H151" s="130" t="str">
        <f>IFERROR(IF(VLOOKUP($A151,'Annex 2 EHV charges'!$A:$O,11,FALSE)=0,"",VLOOKUP($A151,'Annex 2 EHV charges'!$A:$O,11,FALSE)),"")</f>
        <v/>
      </c>
    </row>
    <row r="152" spans="1:8" x14ac:dyDescent="0.2">
      <c r="A152" s="123" t="str">
        <f t="array" ref="A152">IFERROR(INDEX('Annex 2 EHV charges'!$A$11:$A$260, MATCH(0, IF(ISBLANK('Annex 2 EHV charges'!$A$11:$A$260),1, COUNTIF(A$4:$A151, 'Annex 2 EHV charges'!$A$11:$A$260)), 0)),"")</f>
        <v/>
      </c>
      <c r="B152" s="123" t="str">
        <f>IF($A152="","",VLOOKUP($A152,'Annex 2 EHV charges'!$A:$O,2,0))</f>
        <v/>
      </c>
      <c r="C152" s="124" t="str">
        <f>IF($A152="","",VLOOKUP($A152,'Annex 2 EHV charges'!$A:$O,3,0))</f>
        <v/>
      </c>
      <c r="D152" s="123" t="str">
        <f>IF($A152="","",VLOOKUP($A152,'Annex 2 EHV charges'!$A:$O,7,0))</f>
        <v/>
      </c>
      <c r="E152" s="128" t="str">
        <f>IFERROR(IF(VLOOKUP($A152,'Annex 2 EHV charges'!$A:$O,8,FALSE)=0,"",VLOOKUP($A152,'Annex 2 EHV charges'!$A:$O,8,FALSE)),"")</f>
        <v/>
      </c>
      <c r="F152" s="129" t="str">
        <f>IFERROR(IF(VLOOKUP($A152,'Annex 2 EHV charges'!$A:$O,9,FALSE)=0,"",VLOOKUP($A152,'Annex 2 EHV charges'!$A:$O,9,FALSE)),"")</f>
        <v/>
      </c>
      <c r="G152" s="130" t="str">
        <f>IFERROR(IF(VLOOKUP($A152,'Annex 2 EHV charges'!$A:$O,10,FALSE)=0,"",VLOOKUP($A152,'Annex 2 EHV charges'!$A:$O,10,FALSE)),"")</f>
        <v/>
      </c>
      <c r="H152" s="130" t="str">
        <f>IFERROR(IF(VLOOKUP($A152,'Annex 2 EHV charges'!$A:$O,11,FALSE)=0,"",VLOOKUP($A152,'Annex 2 EHV charges'!$A:$O,11,FALSE)),"")</f>
        <v/>
      </c>
    </row>
    <row r="153" spans="1:8" x14ac:dyDescent="0.2">
      <c r="A153" s="123" t="str">
        <f t="array" ref="A153">IFERROR(INDEX('Annex 2 EHV charges'!$A$11:$A$260, MATCH(0, IF(ISBLANK('Annex 2 EHV charges'!$A$11:$A$260),1, COUNTIF(A$4:$A152, 'Annex 2 EHV charges'!$A$11:$A$260)), 0)),"")</f>
        <v/>
      </c>
      <c r="B153" s="123" t="str">
        <f>IF($A153="","",VLOOKUP($A153,'Annex 2 EHV charges'!$A:$O,2,0))</f>
        <v/>
      </c>
      <c r="C153" s="124" t="str">
        <f>IF($A153="","",VLOOKUP($A153,'Annex 2 EHV charges'!$A:$O,3,0))</f>
        <v/>
      </c>
      <c r="D153" s="123" t="str">
        <f>IF($A153="","",VLOOKUP($A153,'Annex 2 EHV charges'!$A:$O,7,0))</f>
        <v/>
      </c>
      <c r="E153" s="128" t="str">
        <f>IFERROR(IF(VLOOKUP($A153,'Annex 2 EHV charges'!$A:$O,8,FALSE)=0,"",VLOOKUP($A153,'Annex 2 EHV charges'!$A:$O,8,FALSE)),"")</f>
        <v/>
      </c>
      <c r="F153" s="129" t="str">
        <f>IFERROR(IF(VLOOKUP($A153,'Annex 2 EHV charges'!$A:$O,9,FALSE)=0,"",VLOOKUP($A153,'Annex 2 EHV charges'!$A:$O,9,FALSE)),"")</f>
        <v/>
      </c>
      <c r="G153" s="130" t="str">
        <f>IFERROR(IF(VLOOKUP($A153,'Annex 2 EHV charges'!$A:$O,10,FALSE)=0,"",VLOOKUP($A153,'Annex 2 EHV charges'!$A:$O,10,FALSE)),"")</f>
        <v/>
      </c>
      <c r="H153" s="130" t="str">
        <f>IFERROR(IF(VLOOKUP($A153,'Annex 2 EHV charges'!$A:$O,11,FALSE)=0,"",VLOOKUP($A153,'Annex 2 EHV charges'!$A:$O,11,FALSE)),"")</f>
        <v/>
      </c>
    </row>
    <row r="154" spans="1:8" x14ac:dyDescent="0.2">
      <c r="A154" s="123" t="str">
        <f t="array" ref="A154">IFERROR(INDEX('Annex 2 EHV charges'!$A$11:$A$260, MATCH(0, IF(ISBLANK('Annex 2 EHV charges'!$A$11:$A$260),1, COUNTIF(A$4:$A153, 'Annex 2 EHV charges'!$A$11:$A$260)), 0)),"")</f>
        <v/>
      </c>
      <c r="B154" s="123" t="str">
        <f>IF($A154="","",VLOOKUP($A154,'Annex 2 EHV charges'!$A:$O,2,0))</f>
        <v/>
      </c>
      <c r="C154" s="124" t="str">
        <f>IF($A154="","",VLOOKUP($A154,'Annex 2 EHV charges'!$A:$O,3,0))</f>
        <v/>
      </c>
      <c r="D154" s="123" t="str">
        <f>IF($A154="","",VLOOKUP($A154,'Annex 2 EHV charges'!$A:$O,7,0))</f>
        <v/>
      </c>
      <c r="E154" s="128" t="str">
        <f>IFERROR(IF(VLOOKUP($A154,'Annex 2 EHV charges'!$A:$O,8,FALSE)=0,"",VLOOKUP($A154,'Annex 2 EHV charges'!$A:$O,8,FALSE)),"")</f>
        <v/>
      </c>
      <c r="F154" s="129" t="str">
        <f>IFERROR(IF(VLOOKUP($A154,'Annex 2 EHV charges'!$A:$O,9,FALSE)=0,"",VLOOKUP($A154,'Annex 2 EHV charges'!$A:$O,9,FALSE)),"")</f>
        <v/>
      </c>
      <c r="G154" s="130" t="str">
        <f>IFERROR(IF(VLOOKUP($A154,'Annex 2 EHV charges'!$A:$O,10,FALSE)=0,"",VLOOKUP($A154,'Annex 2 EHV charges'!$A:$O,10,FALSE)),"")</f>
        <v/>
      </c>
      <c r="H154" s="130" t="str">
        <f>IFERROR(IF(VLOOKUP($A154,'Annex 2 EHV charges'!$A:$O,11,FALSE)=0,"",VLOOKUP($A154,'Annex 2 EHV charges'!$A:$O,11,FALSE)),"")</f>
        <v/>
      </c>
    </row>
    <row r="155" spans="1:8" x14ac:dyDescent="0.2">
      <c r="A155" s="123" t="str">
        <f t="array" ref="A155">IFERROR(INDEX('Annex 2 EHV charges'!$A$11:$A$260, MATCH(0, IF(ISBLANK('Annex 2 EHV charges'!$A$11:$A$260),1, COUNTIF(A$4:$A154, 'Annex 2 EHV charges'!$A$11:$A$260)), 0)),"")</f>
        <v/>
      </c>
      <c r="B155" s="123" t="str">
        <f>IF($A155="","",VLOOKUP($A155,'Annex 2 EHV charges'!$A:$O,2,0))</f>
        <v/>
      </c>
      <c r="C155" s="124" t="str">
        <f>IF($A155="","",VLOOKUP($A155,'Annex 2 EHV charges'!$A:$O,3,0))</f>
        <v/>
      </c>
      <c r="D155" s="123" t="str">
        <f>IF($A155="","",VLOOKUP($A155,'Annex 2 EHV charges'!$A:$O,7,0))</f>
        <v/>
      </c>
      <c r="E155" s="128" t="str">
        <f>IFERROR(IF(VLOOKUP($A155,'Annex 2 EHV charges'!$A:$O,8,FALSE)=0,"",VLOOKUP($A155,'Annex 2 EHV charges'!$A:$O,8,FALSE)),"")</f>
        <v/>
      </c>
      <c r="F155" s="129" t="str">
        <f>IFERROR(IF(VLOOKUP($A155,'Annex 2 EHV charges'!$A:$O,9,FALSE)=0,"",VLOOKUP($A155,'Annex 2 EHV charges'!$A:$O,9,FALSE)),"")</f>
        <v/>
      </c>
      <c r="G155" s="130" t="str">
        <f>IFERROR(IF(VLOOKUP($A155,'Annex 2 EHV charges'!$A:$O,10,FALSE)=0,"",VLOOKUP($A155,'Annex 2 EHV charges'!$A:$O,10,FALSE)),"")</f>
        <v/>
      </c>
      <c r="H155" s="130" t="str">
        <f>IFERROR(IF(VLOOKUP($A155,'Annex 2 EHV charges'!$A:$O,11,FALSE)=0,"",VLOOKUP($A155,'Annex 2 EHV charges'!$A:$O,11,FALSE)),"")</f>
        <v/>
      </c>
    </row>
    <row r="156" spans="1:8" x14ac:dyDescent="0.2">
      <c r="A156" s="123" t="str">
        <f t="array" ref="A156">IFERROR(INDEX('Annex 2 EHV charges'!$A$11:$A$260, MATCH(0, IF(ISBLANK('Annex 2 EHV charges'!$A$11:$A$260),1, COUNTIF(A$4:$A155, 'Annex 2 EHV charges'!$A$11:$A$260)), 0)),"")</f>
        <v/>
      </c>
      <c r="B156" s="123" t="str">
        <f>IF($A156="","",VLOOKUP($A156,'Annex 2 EHV charges'!$A:$O,2,0))</f>
        <v/>
      </c>
      <c r="C156" s="124" t="str">
        <f>IF($A156="","",VLOOKUP($A156,'Annex 2 EHV charges'!$A:$O,3,0))</f>
        <v/>
      </c>
      <c r="D156" s="123" t="str">
        <f>IF($A156="","",VLOOKUP($A156,'Annex 2 EHV charges'!$A:$O,7,0))</f>
        <v/>
      </c>
      <c r="E156" s="128" t="str">
        <f>IFERROR(IF(VLOOKUP($A156,'Annex 2 EHV charges'!$A:$O,8,FALSE)=0,"",VLOOKUP($A156,'Annex 2 EHV charges'!$A:$O,8,FALSE)),"")</f>
        <v/>
      </c>
      <c r="F156" s="129" t="str">
        <f>IFERROR(IF(VLOOKUP($A156,'Annex 2 EHV charges'!$A:$O,9,FALSE)=0,"",VLOOKUP($A156,'Annex 2 EHV charges'!$A:$O,9,FALSE)),"")</f>
        <v/>
      </c>
      <c r="G156" s="130" t="str">
        <f>IFERROR(IF(VLOOKUP($A156,'Annex 2 EHV charges'!$A:$O,10,FALSE)=0,"",VLOOKUP($A156,'Annex 2 EHV charges'!$A:$O,10,FALSE)),"")</f>
        <v/>
      </c>
      <c r="H156" s="130" t="str">
        <f>IFERROR(IF(VLOOKUP($A156,'Annex 2 EHV charges'!$A:$O,11,FALSE)=0,"",VLOOKUP($A156,'Annex 2 EHV charges'!$A:$O,11,FALSE)),"")</f>
        <v/>
      </c>
    </row>
    <row r="157" spans="1:8" x14ac:dyDescent="0.2">
      <c r="A157" s="123" t="str">
        <f t="array" ref="A157">IFERROR(INDEX('Annex 2 EHV charges'!$A$11:$A$260, MATCH(0, IF(ISBLANK('Annex 2 EHV charges'!$A$11:$A$260),1, COUNTIF(A$4:$A156, 'Annex 2 EHV charges'!$A$11:$A$260)), 0)),"")</f>
        <v/>
      </c>
      <c r="B157" s="123" t="str">
        <f>IF($A157="","",VLOOKUP($A157,'Annex 2 EHV charges'!$A:$O,2,0))</f>
        <v/>
      </c>
      <c r="C157" s="124" t="str">
        <f>IF($A157="","",VLOOKUP($A157,'Annex 2 EHV charges'!$A:$O,3,0))</f>
        <v/>
      </c>
      <c r="D157" s="123" t="str">
        <f>IF($A157="","",VLOOKUP($A157,'Annex 2 EHV charges'!$A:$O,7,0))</f>
        <v/>
      </c>
      <c r="E157" s="128" t="str">
        <f>IFERROR(IF(VLOOKUP($A157,'Annex 2 EHV charges'!$A:$O,8,FALSE)=0,"",VLOOKUP($A157,'Annex 2 EHV charges'!$A:$O,8,FALSE)),"")</f>
        <v/>
      </c>
      <c r="F157" s="129" t="str">
        <f>IFERROR(IF(VLOOKUP($A157,'Annex 2 EHV charges'!$A:$O,9,FALSE)=0,"",VLOOKUP($A157,'Annex 2 EHV charges'!$A:$O,9,FALSE)),"")</f>
        <v/>
      </c>
      <c r="G157" s="130" t="str">
        <f>IFERROR(IF(VLOOKUP($A157,'Annex 2 EHV charges'!$A:$O,10,FALSE)=0,"",VLOOKUP($A157,'Annex 2 EHV charges'!$A:$O,10,FALSE)),"")</f>
        <v/>
      </c>
      <c r="H157" s="130" t="str">
        <f>IFERROR(IF(VLOOKUP($A157,'Annex 2 EHV charges'!$A:$O,11,FALSE)=0,"",VLOOKUP($A157,'Annex 2 EHV charges'!$A:$O,11,FALSE)),"")</f>
        <v/>
      </c>
    </row>
    <row r="158" spans="1:8" x14ac:dyDescent="0.2">
      <c r="A158" s="123" t="str">
        <f t="array" ref="A158">IFERROR(INDEX('Annex 2 EHV charges'!$A$11:$A$260, MATCH(0, IF(ISBLANK('Annex 2 EHV charges'!$A$11:$A$260),1, COUNTIF(A$4:$A157, 'Annex 2 EHV charges'!$A$11:$A$260)), 0)),"")</f>
        <v/>
      </c>
      <c r="B158" s="123" t="str">
        <f>IF($A158="","",VLOOKUP($A158,'Annex 2 EHV charges'!$A:$O,2,0))</f>
        <v/>
      </c>
      <c r="C158" s="124" t="str">
        <f>IF($A158="","",VLOOKUP($A158,'Annex 2 EHV charges'!$A:$O,3,0))</f>
        <v/>
      </c>
      <c r="D158" s="123" t="str">
        <f>IF($A158="","",VLOOKUP($A158,'Annex 2 EHV charges'!$A:$O,7,0))</f>
        <v/>
      </c>
      <c r="E158" s="128" t="str">
        <f>IFERROR(IF(VLOOKUP($A158,'Annex 2 EHV charges'!$A:$O,8,FALSE)=0,"",VLOOKUP($A158,'Annex 2 EHV charges'!$A:$O,8,FALSE)),"")</f>
        <v/>
      </c>
      <c r="F158" s="129" t="str">
        <f>IFERROR(IF(VLOOKUP($A158,'Annex 2 EHV charges'!$A:$O,9,FALSE)=0,"",VLOOKUP($A158,'Annex 2 EHV charges'!$A:$O,9,FALSE)),"")</f>
        <v/>
      </c>
      <c r="G158" s="130" t="str">
        <f>IFERROR(IF(VLOOKUP($A158,'Annex 2 EHV charges'!$A:$O,10,FALSE)=0,"",VLOOKUP($A158,'Annex 2 EHV charges'!$A:$O,10,FALSE)),"")</f>
        <v/>
      </c>
      <c r="H158" s="130" t="str">
        <f>IFERROR(IF(VLOOKUP($A158,'Annex 2 EHV charges'!$A:$O,11,FALSE)=0,"",VLOOKUP($A158,'Annex 2 EHV charges'!$A:$O,11,FALSE)),"")</f>
        <v/>
      </c>
    </row>
    <row r="159" spans="1:8" x14ac:dyDescent="0.2">
      <c r="A159" s="123" t="str">
        <f t="array" ref="A159">IFERROR(INDEX('Annex 2 EHV charges'!$A$11:$A$260, MATCH(0, IF(ISBLANK('Annex 2 EHV charges'!$A$11:$A$260),1, COUNTIF(A$4:$A158, 'Annex 2 EHV charges'!$A$11:$A$260)), 0)),"")</f>
        <v/>
      </c>
      <c r="B159" s="123" t="str">
        <f>IF($A159="","",VLOOKUP($A159,'Annex 2 EHV charges'!$A:$O,2,0))</f>
        <v/>
      </c>
      <c r="C159" s="124" t="str">
        <f>IF($A159="","",VLOOKUP($A159,'Annex 2 EHV charges'!$A:$O,3,0))</f>
        <v/>
      </c>
      <c r="D159" s="123" t="str">
        <f>IF($A159="","",VLOOKUP($A159,'Annex 2 EHV charges'!$A:$O,7,0))</f>
        <v/>
      </c>
      <c r="E159" s="128" t="str">
        <f>IFERROR(IF(VLOOKUP($A159,'Annex 2 EHV charges'!$A:$O,8,FALSE)=0,"",VLOOKUP($A159,'Annex 2 EHV charges'!$A:$O,8,FALSE)),"")</f>
        <v/>
      </c>
      <c r="F159" s="129" t="str">
        <f>IFERROR(IF(VLOOKUP($A159,'Annex 2 EHV charges'!$A:$O,9,FALSE)=0,"",VLOOKUP($A159,'Annex 2 EHV charges'!$A:$O,9,FALSE)),"")</f>
        <v/>
      </c>
      <c r="G159" s="130" t="str">
        <f>IFERROR(IF(VLOOKUP($A159,'Annex 2 EHV charges'!$A:$O,10,FALSE)=0,"",VLOOKUP($A159,'Annex 2 EHV charges'!$A:$O,10,FALSE)),"")</f>
        <v/>
      </c>
      <c r="H159" s="130" t="str">
        <f>IFERROR(IF(VLOOKUP($A159,'Annex 2 EHV charges'!$A:$O,11,FALSE)=0,"",VLOOKUP($A159,'Annex 2 EHV charges'!$A:$O,11,FALSE)),"")</f>
        <v/>
      </c>
    </row>
    <row r="160" spans="1:8" x14ac:dyDescent="0.2">
      <c r="A160" s="123" t="str">
        <f t="array" ref="A160">IFERROR(INDEX('Annex 2 EHV charges'!$A$11:$A$260, MATCH(0, IF(ISBLANK('Annex 2 EHV charges'!$A$11:$A$260),1, COUNTIF(A$4:$A159, 'Annex 2 EHV charges'!$A$11:$A$260)), 0)),"")</f>
        <v/>
      </c>
      <c r="B160" s="123" t="str">
        <f>IF($A160="","",VLOOKUP($A160,'Annex 2 EHV charges'!$A:$O,2,0))</f>
        <v/>
      </c>
      <c r="C160" s="124" t="str">
        <f>IF($A160="","",VLOOKUP($A160,'Annex 2 EHV charges'!$A:$O,3,0))</f>
        <v/>
      </c>
      <c r="D160" s="123" t="str">
        <f>IF($A160="","",VLOOKUP($A160,'Annex 2 EHV charges'!$A:$O,7,0))</f>
        <v/>
      </c>
      <c r="E160" s="128" t="str">
        <f>IFERROR(IF(VLOOKUP($A160,'Annex 2 EHV charges'!$A:$O,8,FALSE)=0,"",VLOOKUP($A160,'Annex 2 EHV charges'!$A:$O,8,FALSE)),"")</f>
        <v/>
      </c>
      <c r="F160" s="129" t="str">
        <f>IFERROR(IF(VLOOKUP($A160,'Annex 2 EHV charges'!$A:$O,9,FALSE)=0,"",VLOOKUP($A160,'Annex 2 EHV charges'!$A:$O,9,FALSE)),"")</f>
        <v/>
      </c>
      <c r="G160" s="130" t="str">
        <f>IFERROR(IF(VLOOKUP($A160,'Annex 2 EHV charges'!$A:$O,10,FALSE)=0,"",VLOOKUP($A160,'Annex 2 EHV charges'!$A:$O,10,FALSE)),"")</f>
        <v/>
      </c>
      <c r="H160" s="130" t="str">
        <f>IFERROR(IF(VLOOKUP($A160,'Annex 2 EHV charges'!$A:$O,11,FALSE)=0,"",VLOOKUP($A160,'Annex 2 EHV charges'!$A:$O,11,FALSE)),"")</f>
        <v/>
      </c>
    </row>
    <row r="161" spans="1:8" x14ac:dyDescent="0.2">
      <c r="A161" s="123" t="str">
        <f t="array" ref="A161">IFERROR(INDEX('Annex 2 EHV charges'!$A$11:$A$260, MATCH(0, IF(ISBLANK('Annex 2 EHV charges'!$A$11:$A$260),1, COUNTIF(A$4:$A160, 'Annex 2 EHV charges'!$A$11:$A$260)), 0)),"")</f>
        <v/>
      </c>
      <c r="B161" s="123" t="str">
        <f>IF($A161="","",VLOOKUP($A161,'Annex 2 EHV charges'!$A:$O,2,0))</f>
        <v/>
      </c>
      <c r="C161" s="124" t="str">
        <f>IF($A161="","",VLOOKUP($A161,'Annex 2 EHV charges'!$A:$O,3,0))</f>
        <v/>
      </c>
      <c r="D161" s="123" t="str">
        <f>IF($A161="","",VLOOKUP($A161,'Annex 2 EHV charges'!$A:$O,7,0))</f>
        <v/>
      </c>
      <c r="E161" s="128" t="str">
        <f>IFERROR(IF(VLOOKUP($A161,'Annex 2 EHV charges'!$A:$O,8,FALSE)=0,"",VLOOKUP($A161,'Annex 2 EHV charges'!$A:$O,8,FALSE)),"")</f>
        <v/>
      </c>
      <c r="F161" s="129" t="str">
        <f>IFERROR(IF(VLOOKUP($A161,'Annex 2 EHV charges'!$A:$O,9,FALSE)=0,"",VLOOKUP($A161,'Annex 2 EHV charges'!$A:$O,9,FALSE)),"")</f>
        <v/>
      </c>
      <c r="G161" s="130" t="str">
        <f>IFERROR(IF(VLOOKUP($A161,'Annex 2 EHV charges'!$A:$O,10,FALSE)=0,"",VLOOKUP($A161,'Annex 2 EHV charges'!$A:$O,10,FALSE)),"")</f>
        <v/>
      </c>
      <c r="H161" s="130" t="str">
        <f>IFERROR(IF(VLOOKUP($A161,'Annex 2 EHV charges'!$A:$O,11,FALSE)=0,"",VLOOKUP($A161,'Annex 2 EHV charges'!$A:$O,11,FALSE)),"")</f>
        <v/>
      </c>
    </row>
    <row r="162" spans="1:8" x14ac:dyDescent="0.2">
      <c r="A162" s="123" t="str">
        <f t="array" ref="A162">IFERROR(INDEX('Annex 2 EHV charges'!$A$11:$A$260, MATCH(0, IF(ISBLANK('Annex 2 EHV charges'!$A$11:$A$260),1, COUNTIF(A$4:$A161, 'Annex 2 EHV charges'!$A$11:$A$260)), 0)),"")</f>
        <v/>
      </c>
      <c r="B162" s="123" t="str">
        <f>IF($A162="","",VLOOKUP($A162,'Annex 2 EHV charges'!$A:$O,2,0))</f>
        <v/>
      </c>
      <c r="C162" s="124" t="str">
        <f>IF($A162="","",VLOOKUP($A162,'Annex 2 EHV charges'!$A:$O,3,0))</f>
        <v/>
      </c>
      <c r="D162" s="123" t="str">
        <f>IF($A162="","",VLOOKUP($A162,'Annex 2 EHV charges'!$A:$O,7,0))</f>
        <v/>
      </c>
      <c r="E162" s="128" t="str">
        <f>IFERROR(IF(VLOOKUP($A162,'Annex 2 EHV charges'!$A:$O,8,FALSE)=0,"",VLOOKUP($A162,'Annex 2 EHV charges'!$A:$O,8,FALSE)),"")</f>
        <v/>
      </c>
      <c r="F162" s="129" t="str">
        <f>IFERROR(IF(VLOOKUP($A162,'Annex 2 EHV charges'!$A:$O,9,FALSE)=0,"",VLOOKUP($A162,'Annex 2 EHV charges'!$A:$O,9,FALSE)),"")</f>
        <v/>
      </c>
      <c r="G162" s="130" t="str">
        <f>IFERROR(IF(VLOOKUP($A162,'Annex 2 EHV charges'!$A:$O,10,FALSE)=0,"",VLOOKUP($A162,'Annex 2 EHV charges'!$A:$O,10,FALSE)),"")</f>
        <v/>
      </c>
      <c r="H162" s="130" t="str">
        <f>IFERROR(IF(VLOOKUP($A162,'Annex 2 EHV charges'!$A:$O,11,FALSE)=0,"",VLOOKUP($A162,'Annex 2 EHV charges'!$A:$O,11,FALSE)),"")</f>
        <v/>
      </c>
    </row>
    <row r="163" spans="1:8" x14ac:dyDescent="0.2">
      <c r="A163" s="123" t="str">
        <f t="array" ref="A163">IFERROR(INDEX('Annex 2 EHV charges'!$A$11:$A$260, MATCH(0, IF(ISBLANK('Annex 2 EHV charges'!$A$11:$A$260),1, COUNTIF(A$4:$A162, 'Annex 2 EHV charges'!$A$11:$A$260)), 0)),"")</f>
        <v/>
      </c>
      <c r="B163" s="123" t="str">
        <f>IF($A163="","",VLOOKUP($A163,'Annex 2 EHV charges'!$A:$O,2,0))</f>
        <v/>
      </c>
      <c r="C163" s="124" t="str">
        <f>IF($A163="","",VLOOKUP($A163,'Annex 2 EHV charges'!$A:$O,3,0))</f>
        <v/>
      </c>
      <c r="D163" s="123" t="str">
        <f>IF($A163="","",VLOOKUP($A163,'Annex 2 EHV charges'!$A:$O,7,0))</f>
        <v/>
      </c>
      <c r="E163" s="128" t="str">
        <f>IFERROR(IF(VLOOKUP($A163,'Annex 2 EHV charges'!$A:$O,8,FALSE)=0,"",VLOOKUP($A163,'Annex 2 EHV charges'!$A:$O,8,FALSE)),"")</f>
        <v/>
      </c>
      <c r="F163" s="129" t="str">
        <f>IFERROR(IF(VLOOKUP($A163,'Annex 2 EHV charges'!$A:$O,9,FALSE)=0,"",VLOOKUP($A163,'Annex 2 EHV charges'!$A:$O,9,FALSE)),"")</f>
        <v/>
      </c>
      <c r="G163" s="130" t="str">
        <f>IFERROR(IF(VLOOKUP($A163,'Annex 2 EHV charges'!$A:$O,10,FALSE)=0,"",VLOOKUP($A163,'Annex 2 EHV charges'!$A:$O,10,FALSE)),"")</f>
        <v/>
      </c>
      <c r="H163" s="130" t="str">
        <f>IFERROR(IF(VLOOKUP($A163,'Annex 2 EHV charges'!$A:$O,11,FALSE)=0,"",VLOOKUP($A163,'Annex 2 EHV charges'!$A:$O,11,FALSE)),"")</f>
        <v/>
      </c>
    </row>
    <row r="164" spans="1:8" x14ac:dyDescent="0.2">
      <c r="A164" s="123" t="str">
        <f t="array" ref="A164">IFERROR(INDEX('Annex 2 EHV charges'!$A$11:$A$260, MATCH(0, IF(ISBLANK('Annex 2 EHV charges'!$A$11:$A$260),1, COUNTIF(A$4:$A163, 'Annex 2 EHV charges'!$A$11:$A$260)), 0)),"")</f>
        <v/>
      </c>
      <c r="B164" s="123" t="str">
        <f>IF($A164="","",VLOOKUP($A164,'Annex 2 EHV charges'!$A:$O,2,0))</f>
        <v/>
      </c>
      <c r="C164" s="124" t="str">
        <f>IF($A164="","",VLOOKUP($A164,'Annex 2 EHV charges'!$A:$O,3,0))</f>
        <v/>
      </c>
      <c r="D164" s="123" t="str">
        <f>IF($A164="","",VLOOKUP($A164,'Annex 2 EHV charges'!$A:$O,7,0))</f>
        <v/>
      </c>
      <c r="E164" s="128" t="str">
        <f>IFERROR(IF(VLOOKUP($A164,'Annex 2 EHV charges'!$A:$O,8,FALSE)=0,"",VLOOKUP($A164,'Annex 2 EHV charges'!$A:$O,8,FALSE)),"")</f>
        <v/>
      </c>
      <c r="F164" s="129" t="str">
        <f>IFERROR(IF(VLOOKUP($A164,'Annex 2 EHV charges'!$A:$O,9,FALSE)=0,"",VLOOKUP($A164,'Annex 2 EHV charges'!$A:$O,9,FALSE)),"")</f>
        <v/>
      </c>
      <c r="G164" s="130" t="str">
        <f>IFERROR(IF(VLOOKUP($A164,'Annex 2 EHV charges'!$A:$O,10,FALSE)=0,"",VLOOKUP($A164,'Annex 2 EHV charges'!$A:$O,10,FALSE)),"")</f>
        <v/>
      </c>
      <c r="H164" s="130" t="str">
        <f>IFERROR(IF(VLOOKUP($A164,'Annex 2 EHV charges'!$A:$O,11,FALSE)=0,"",VLOOKUP($A164,'Annex 2 EHV charges'!$A:$O,11,FALSE)),"")</f>
        <v/>
      </c>
    </row>
    <row r="165" spans="1:8" x14ac:dyDescent="0.2">
      <c r="A165" s="123" t="str">
        <f t="array" ref="A165">IFERROR(INDEX('Annex 2 EHV charges'!$A$11:$A$260, MATCH(0, IF(ISBLANK('Annex 2 EHV charges'!$A$11:$A$260),1, COUNTIF(A$4:$A164, 'Annex 2 EHV charges'!$A$11:$A$260)), 0)),"")</f>
        <v/>
      </c>
      <c r="B165" s="123" t="str">
        <f>IF($A165="","",VLOOKUP($A165,'Annex 2 EHV charges'!$A:$O,2,0))</f>
        <v/>
      </c>
      <c r="C165" s="124" t="str">
        <f>IF($A165="","",VLOOKUP($A165,'Annex 2 EHV charges'!$A:$O,3,0))</f>
        <v/>
      </c>
      <c r="D165" s="123" t="str">
        <f>IF($A165="","",VLOOKUP($A165,'Annex 2 EHV charges'!$A:$O,7,0))</f>
        <v/>
      </c>
      <c r="E165" s="128" t="str">
        <f>IFERROR(IF(VLOOKUP($A165,'Annex 2 EHV charges'!$A:$O,8,FALSE)=0,"",VLOOKUP($A165,'Annex 2 EHV charges'!$A:$O,8,FALSE)),"")</f>
        <v/>
      </c>
      <c r="F165" s="129" t="str">
        <f>IFERROR(IF(VLOOKUP($A165,'Annex 2 EHV charges'!$A:$O,9,FALSE)=0,"",VLOOKUP($A165,'Annex 2 EHV charges'!$A:$O,9,FALSE)),"")</f>
        <v/>
      </c>
      <c r="G165" s="130" t="str">
        <f>IFERROR(IF(VLOOKUP($A165,'Annex 2 EHV charges'!$A:$O,10,FALSE)=0,"",VLOOKUP($A165,'Annex 2 EHV charges'!$A:$O,10,FALSE)),"")</f>
        <v/>
      </c>
      <c r="H165" s="130" t="str">
        <f>IFERROR(IF(VLOOKUP($A165,'Annex 2 EHV charges'!$A:$O,11,FALSE)=0,"",VLOOKUP($A165,'Annex 2 EHV charges'!$A:$O,11,FALSE)),"")</f>
        <v/>
      </c>
    </row>
    <row r="166" spans="1:8" x14ac:dyDescent="0.2">
      <c r="A166" s="123" t="str">
        <f t="array" ref="A166">IFERROR(INDEX('Annex 2 EHV charges'!$A$11:$A$260, MATCH(0, IF(ISBLANK('Annex 2 EHV charges'!$A$11:$A$260),1, COUNTIF(A$4:$A165, 'Annex 2 EHV charges'!$A$11:$A$260)), 0)),"")</f>
        <v/>
      </c>
      <c r="B166" s="123" t="str">
        <f>IF($A166="","",VLOOKUP($A166,'Annex 2 EHV charges'!$A:$O,2,0))</f>
        <v/>
      </c>
      <c r="C166" s="124" t="str">
        <f>IF($A166="","",VLOOKUP($A166,'Annex 2 EHV charges'!$A:$O,3,0))</f>
        <v/>
      </c>
      <c r="D166" s="123" t="str">
        <f>IF($A166="","",VLOOKUP($A166,'Annex 2 EHV charges'!$A:$O,7,0))</f>
        <v/>
      </c>
      <c r="E166" s="128" t="str">
        <f>IFERROR(IF(VLOOKUP($A166,'Annex 2 EHV charges'!$A:$O,8,FALSE)=0,"",VLOOKUP($A166,'Annex 2 EHV charges'!$A:$O,8,FALSE)),"")</f>
        <v/>
      </c>
      <c r="F166" s="129" t="str">
        <f>IFERROR(IF(VLOOKUP($A166,'Annex 2 EHV charges'!$A:$O,9,FALSE)=0,"",VLOOKUP($A166,'Annex 2 EHV charges'!$A:$O,9,FALSE)),"")</f>
        <v/>
      </c>
      <c r="G166" s="130" t="str">
        <f>IFERROR(IF(VLOOKUP($A166,'Annex 2 EHV charges'!$A:$O,10,FALSE)=0,"",VLOOKUP($A166,'Annex 2 EHV charges'!$A:$O,10,FALSE)),"")</f>
        <v/>
      </c>
      <c r="H166" s="130" t="str">
        <f>IFERROR(IF(VLOOKUP($A166,'Annex 2 EHV charges'!$A:$O,11,FALSE)=0,"",VLOOKUP($A166,'Annex 2 EHV charges'!$A:$O,11,FALSE)),"")</f>
        <v/>
      </c>
    </row>
    <row r="167" spans="1:8" x14ac:dyDescent="0.2">
      <c r="A167" s="123" t="str">
        <f t="array" ref="A167">IFERROR(INDEX('Annex 2 EHV charges'!$A$11:$A$260, MATCH(0, IF(ISBLANK('Annex 2 EHV charges'!$A$11:$A$260),1, COUNTIF(A$4:$A166, 'Annex 2 EHV charges'!$A$11:$A$260)), 0)),"")</f>
        <v/>
      </c>
      <c r="B167" s="123" t="str">
        <f>IF($A167="","",VLOOKUP($A167,'Annex 2 EHV charges'!$A:$O,2,0))</f>
        <v/>
      </c>
      <c r="C167" s="124" t="str">
        <f>IF($A167="","",VLOOKUP($A167,'Annex 2 EHV charges'!$A:$O,3,0))</f>
        <v/>
      </c>
      <c r="D167" s="123" t="str">
        <f>IF($A167="","",VLOOKUP($A167,'Annex 2 EHV charges'!$A:$O,7,0))</f>
        <v/>
      </c>
      <c r="E167" s="128" t="str">
        <f>IFERROR(IF(VLOOKUP($A167,'Annex 2 EHV charges'!$A:$O,8,FALSE)=0,"",VLOOKUP($A167,'Annex 2 EHV charges'!$A:$O,8,FALSE)),"")</f>
        <v/>
      </c>
      <c r="F167" s="129" t="str">
        <f>IFERROR(IF(VLOOKUP($A167,'Annex 2 EHV charges'!$A:$O,9,FALSE)=0,"",VLOOKUP($A167,'Annex 2 EHV charges'!$A:$O,9,FALSE)),"")</f>
        <v/>
      </c>
      <c r="G167" s="130" t="str">
        <f>IFERROR(IF(VLOOKUP($A167,'Annex 2 EHV charges'!$A:$O,10,FALSE)=0,"",VLOOKUP($A167,'Annex 2 EHV charges'!$A:$O,10,FALSE)),"")</f>
        <v/>
      </c>
      <c r="H167" s="130" t="str">
        <f>IFERROR(IF(VLOOKUP($A167,'Annex 2 EHV charges'!$A:$O,11,FALSE)=0,"",VLOOKUP($A167,'Annex 2 EHV charges'!$A:$O,11,FALSE)),"")</f>
        <v/>
      </c>
    </row>
    <row r="168" spans="1:8" x14ac:dyDescent="0.2">
      <c r="A168" s="123" t="str">
        <f t="array" ref="A168">IFERROR(INDEX('Annex 2 EHV charges'!$A$11:$A$260, MATCH(0, IF(ISBLANK('Annex 2 EHV charges'!$A$11:$A$260),1, COUNTIF(A$4:$A167, 'Annex 2 EHV charges'!$A$11:$A$260)), 0)),"")</f>
        <v/>
      </c>
      <c r="B168" s="123" t="str">
        <f>IF($A168="","",VLOOKUP($A168,'Annex 2 EHV charges'!$A:$O,2,0))</f>
        <v/>
      </c>
      <c r="C168" s="124" t="str">
        <f>IF($A168="","",VLOOKUP($A168,'Annex 2 EHV charges'!$A:$O,3,0))</f>
        <v/>
      </c>
      <c r="D168" s="123" t="str">
        <f>IF($A168="","",VLOOKUP($A168,'Annex 2 EHV charges'!$A:$O,7,0))</f>
        <v/>
      </c>
      <c r="E168" s="128" t="str">
        <f>IFERROR(IF(VLOOKUP($A168,'Annex 2 EHV charges'!$A:$O,8,FALSE)=0,"",VLOOKUP($A168,'Annex 2 EHV charges'!$A:$O,8,FALSE)),"")</f>
        <v/>
      </c>
      <c r="F168" s="129" t="str">
        <f>IFERROR(IF(VLOOKUP($A168,'Annex 2 EHV charges'!$A:$O,9,FALSE)=0,"",VLOOKUP($A168,'Annex 2 EHV charges'!$A:$O,9,FALSE)),"")</f>
        <v/>
      </c>
      <c r="G168" s="130" t="str">
        <f>IFERROR(IF(VLOOKUP($A168,'Annex 2 EHV charges'!$A:$O,10,FALSE)=0,"",VLOOKUP($A168,'Annex 2 EHV charges'!$A:$O,10,FALSE)),"")</f>
        <v/>
      </c>
      <c r="H168" s="130" t="str">
        <f>IFERROR(IF(VLOOKUP($A168,'Annex 2 EHV charges'!$A:$O,11,FALSE)=0,"",VLOOKUP($A168,'Annex 2 EHV charges'!$A:$O,11,FALSE)),"")</f>
        <v/>
      </c>
    </row>
    <row r="169" spans="1:8" x14ac:dyDescent="0.2">
      <c r="A169" s="123" t="str">
        <f t="array" ref="A169">IFERROR(INDEX('Annex 2 EHV charges'!$A$11:$A$260, MATCH(0, IF(ISBLANK('Annex 2 EHV charges'!$A$11:$A$260),1, COUNTIF(A$4:$A168, 'Annex 2 EHV charges'!$A$11:$A$260)), 0)),"")</f>
        <v/>
      </c>
      <c r="B169" s="123" t="str">
        <f>IF($A169="","",VLOOKUP($A169,'Annex 2 EHV charges'!$A:$O,2,0))</f>
        <v/>
      </c>
      <c r="C169" s="124" t="str">
        <f>IF($A169="","",VLOOKUP($A169,'Annex 2 EHV charges'!$A:$O,3,0))</f>
        <v/>
      </c>
      <c r="D169" s="123" t="str">
        <f>IF($A169="","",VLOOKUP($A169,'Annex 2 EHV charges'!$A:$O,7,0))</f>
        <v/>
      </c>
      <c r="E169" s="128" t="str">
        <f>IFERROR(IF(VLOOKUP($A169,'Annex 2 EHV charges'!$A:$O,8,FALSE)=0,"",VLOOKUP($A169,'Annex 2 EHV charges'!$A:$O,8,FALSE)),"")</f>
        <v/>
      </c>
      <c r="F169" s="129" t="str">
        <f>IFERROR(IF(VLOOKUP($A169,'Annex 2 EHV charges'!$A:$O,9,FALSE)=0,"",VLOOKUP($A169,'Annex 2 EHV charges'!$A:$O,9,FALSE)),"")</f>
        <v/>
      </c>
      <c r="G169" s="130" t="str">
        <f>IFERROR(IF(VLOOKUP($A169,'Annex 2 EHV charges'!$A:$O,10,FALSE)=0,"",VLOOKUP($A169,'Annex 2 EHV charges'!$A:$O,10,FALSE)),"")</f>
        <v/>
      </c>
      <c r="H169" s="130" t="str">
        <f>IFERROR(IF(VLOOKUP($A169,'Annex 2 EHV charges'!$A:$O,11,FALSE)=0,"",VLOOKUP($A169,'Annex 2 EHV charges'!$A:$O,11,FALSE)),"")</f>
        <v/>
      </c>
    </row>
    <row r="170" spans="1:8" x14ac:dyDescent="0.2">
      <c r="A170" s="123" t="str">
        <f t="array" ref="A170">IFERROR(INDEX('Annex 2 EHV charges'!$A$11:$A$260, MATCH(0, IF(ISBLANK('Annex 2 EHV charges'!$A$11:$A$260),1, COUNTIF(A$4:$A169, 'Annex 2 EHV charges'!$A$11:$A$260)), 0)),"")</f>
        <v/>
      </c>
      <c r="B170" s="123" t="str">
        <f>IF($A170="","",VLOOKUP($A170,'Annex 2 EHV charges'!$A:$O,2,0))</f>
        <v/>
      </c>
      <c r="C170" s="124" t="str">
        <f>IF($A170="","",VLOOKUP($A170,'Annex 2 EHV charges'!$A:$O,3,0))</f>
        <v/>
      </c>
      <c r="D170" s="123" t="str">
        <f>IF($A170="","",VLOOKUP($A170,'Annex 2 EHV charges'!$A:$O,7,0))</f>
        <v/>
      </c>
      <c r="E170" s="128" t="str">
        <f>IFERROR(IF(VLOOKUP($A170,'Annex 2 EHV charges'!$A:$O,8,FALSE)=0,"",VLOOKUP($A170,'Annex 2 EHV charges'!$A:$O,8,FALSE)),"")</f>
        <v/>
      </c>
      <c r="F170" s="129" t="str">
        <f>IFERROR(IF(VLOOKUP($A170,'Annex 2 EHV charges'!$A:$O,9,FALSE)=0,"",VLOOKUP($A170,'Annex 2 EHV charges'!$A:$O,9,FALSE)),"")</f>
        <v/>
      </c>
      <c r="G170" s="130" t="str">
        <f>IFERROR(IF(VLOOKUP($A170,'Annex 2 EHV charges'!$A:$O,10,FALSE)=0,"",VLOOKUP($A170,'Annex 2 EHV charges'!$A:$O,10,FALSE)),"")</f>
        <v/>
      </c>
      <c r="H170" s="130" t="str">
        <f>IFERROR(IF(VLOOKUP($A170,'Annex 2 EHV charges'!$A:$O,11,FALSE)=0,"",VLOOKUP($A170,'Annex 2 EHV charges'!$A:$O,11,FALSE)),"")</f>
        <v/>
      </c>
    </row>
    <row r="171" spans="1:8" x14ac:dyDescent="0.2">
      <c r="A171" s="123" t="str">
        <f t="array" ref="A171">IFERROR(INDEX('Annex 2 EHV charges'!$A$11:$A$260, MATCH(0, IF(ISBLANK('Annex 2 EHV charges'!$A$11:$A$260),1, COUNTIF(A$4:$A170, 'Annex 2 EHV charges'!$A$11:$A$260)), 0)),"")</f>
        <v/>
      </c>
      <c r="B171" s="123" t="str">
        <f>IF($A171="","",VLOOKUP($A171,'Annex 2 EHV charges'!$A:$O,2,0))</f>
        <v/>
      </c>
      <c r="C171" s="124" t="str">
        <f>IF($A171="","",VLOOKUP($A171,'Annex 2 EHV charges'!$A:$O,3,0))</f>
        <v/>
      </c>
      <c r="D171" s="123" t="str">
        <f>IF($A171="","",VLOOKUP($A171,'Annex 2 EHV charges'!$A:$O,7,0))</f>
        <v/>
      </c>
      <c r="E171" s="128" t="str">
        <f>IFERROR(IF(VLOOKUP($A171,'Annex 2 EHV charges'!$A:$O,8,FALSE)=0,"",VLOOKUP($A171,'Annex 2 EHV charges'!$A:$O,8,FALSE)),"")</f>
        <v/>
      </c>
      <c r="F171" s="129" t="str">
        <f>IFERROR(IF(VLOOKUP($A171,'Annex 2 EHV charges'!$A:$O,9,FALSE)=0,"",VLOOKUP($A171,'Annex 2 EHV charges'!$A:$O,9,FALSE)),"")</f>
        <v/>
      </c>
      <c r="G171" s="130" t="str">
        <f>IFERROR(IF(VLOOKUP($A171,'Annex 2 EHV charges'!$A:$O,10,FALSE)=0,"",VLOOKUP($A171,'Annex 2 EHV charges'!$A:$O,10,FALSE)),"")</f>
        <v/>
      </c>
      <c r="H171" s="130" t="str">
        <f>IFERROR(IF(VLOOKUP($A171,'Annex 2 EHV charges'!$A:$O,11,FALSE)=0,"",VLOOKUP($A171,'Annex 2 EHV charges'!$A:$O,11,FALSE)),"")</f>
        <v/>
      </c>
    </row>
    <row r="172" spans="1:8" x14ac:dyDescent="0.2">
      <c r="A172" s="123" t="str">
        <f t="array" ref="A172">IFERROR(INDEX('Annex 2 EHV charges'!$A$11:$A$260, MATCH(0, IF(ISBLANK('Annex 2 EHV charges'!$A$11:$A$260),1, COUNTIF(A$4:$A171, 'Annex 2 EHV charges'!$A$11:$A$260)), 0)),"")</f>
        <v/>
      </c>
      <c r="B172" s="123" t="str">
        <f>IF($A172="","",VLOOKUP($A172,'Annex 2 EHV charges'!$A:$O,2,0))</f>
        <v/>
      </c>
      <c r="C172" s="124" t="str">
        <f>IF($A172="","",VLOOKUP($A172,'Annex 2 EHV charges'!$A:$O,3,0))</f>
        <v/>
      </c>
      <c r="D172" s="123" t="str">
        <f>IF($A172="","",VLOOKUP($A172,'Annex 2 EHV charges'!$A:$O,7,0))</f>
        <v/>
      </c>
      <c r="E172" s="128" t="str">
        <f>IFERROR(IF(VLOOKUP($A172,'Annex 2 EHV charges'!$A:$O,8,FALSE)=0,"",VLOOKUP($A172,'Annex 2 EHV charges'!$A:$O,8,FALSE)),"")</f>
        <v/>
      </c>
      <c r="F172" s="129" t="str">
        <f>IFERROR(IF(VLOOKUP($A172,'Annex 2 EHV charges'!$A:$O,9,FALSE)=0,"",VLOOKUP($A172,'Annex 2 EHV charges'!$A:$O,9,FALSE)),"")</f>
        <v/>
      </c>
      <c r="G172" s="130" t="str">
        <f>IFERROR(IF(VLOOKUP($A172,'Annex 2 EHV charges'!$A:$O,10,FALSE)=0,"",VLOOKUP($A172,'Annex 2 EHV charges'!$A:$O,10,FALSE)),"")</f>
        <v/>
      </c>
      <c r="H172" s="130" t="str">
        <f>IFERROR(IF(VLOOKUP($A172,'Annex 2 EHV charges'!$A:$O,11,FALSE)=0,"",VLOOKUP($A172,'Annex 2 EHV charges'!$A:$O,11,FALSE)),"")</f>
        <v/>
      </c>
    </row>
    <row r="173" spans="1:8" x14ac:dyDescent="0.2">
      <c r="A173" s="123" t="str">
        <f t="array" ref="A173">IFERROR(INDEX('Annex 2 EHV charges'!$A$11:$A$260, MATCH(0, IF(ISBLANK('Annex 2 EHV charges'!$A$11:$A$260),1, COUNTIF(A$4:$A172, 'Annex 2 EHV charges'!$A$11:$A$260)), 0)),"")</f>
        <v/>
      </c>
      <c r="B173" s="123" t="str">
        <f>IF($A173="","",VLOOKUP($A173,'Annex 2 EHV charges'!$A:$O,2,0))</f>
        <v/>
      </c>
      <c r="C173" s="124" t="str">
        <f>IF($A173="","",VLOOKUP($A173,'Annex 2 EHV charges'!$A:$O,3,0))</f>
        <v/>
      </c>
      <c r="D173" s="123" t="str">
        <f>IF($A173="","",VLOOKUP($A173,'Annex 2 EHV charges'!$A:$O,7,0))</f>
        <v/>
      </c>
      <c r="E173" s="128" t="str">
        <f>IFERROR(IF(VLOOKUP($A173,'Annex 2 EHV charges'!$A:$O,8,FALSE)=0,"",VLOOKUP($A173,'Annex 2 EHV charges'!$A:$O,8,FALSE)),"")</f>
        <v/>
      </c>
      <c r="F173" s="129" t="str">
        <f>IFERROR(IF(VLOOKUP($A173,'Annex 2 EHV charges'!$A:$O,9,FALSE)=0,"",VLOOKUP($A173,'Annex 2 EHV charges'!$A:$O,9,FALSE)),"")</f>
        <v/>
      </c>
      <c r="G173" s="130" t="str">
        <f>IFERROR(IF(VLOOKUP($A173,'Annex 2 EHV charges'!$A:$O,10,FALSE)=0,"",VLOOKUP($A173,'Annex 2 EHV charges'!$A:$O,10,FALSE)),"")</f>
        <v/>
      </c>
      <c r="H173" s="130" t="str">
        <f>IFERROR(IF(VLOOKUP($A173,'Annex 2 EHV charges'!$A:$O,11,FALSE)=0,"",VLOOKUP($A173,'Annex 2 EHV charges'!$A:$O,11,FALSE)),"")</f>
        <v/>
      </c>
    </row>
    <row r="174" spans="1:8" x14ac:dyDescent="0.2">
      <c r="A174" s="123" t="str">
        <f t="array" ref="A174">IFERROR(INDEX('Annex 2 EHV charges'!$A$11:$A$260, MATCH(0, IF(ISBLANK('Annex 2 EHV charges'!$A$11:$A$260),1, COUNTIF(A$4:$A173, 'Annex 2 EHV charges'!$A$11:$A$260)), 0)),"")</f>
        <v/>
      </c>
      <c r="B174" s="123" t="str">
        <f>IF($A174="","",VLOOKUP($A174,'Annex 2 EHV charges'!$A:$O,2,0))</f>
        <v/>
      </c>
      <c r="C174" s="124" t="str">
        <f>IF($A174="","",VLOOKUP($A174,'Annex 2 EHV charges'!$A:$O,3,0))</f>
        <v/>
      </c>
      <c r="D174" s="123" t="str">
        <f>IF($A174="","",VLOOKUP($A174,'Annex 2 EHV charges'!$A:$O,7,0))</f>
        <v/>
      </c>
      <c r="E174" s="128" t="str">
        <f>IFERROR(IF(VLOOKUP($A174,'Annex 2 EHV charges'!$A:$O,8,FALSE)=0,"",VLOOKUP($A174,'Annex 2 EHV charges'!$A:$O,8,FALSE)),"")</f>
        <v/>
      </c>
      <c r="F174" s="129" t="str">
        <f>IFERROR(IF(VLOOKUP($A174,'Annex 2 EHV charges'!$A:$O,9,FALSE)=0,"",VLOOKUP($A174,'Annex 2 EHV charges'!$A:$O,9,FALSE)),"")</f>
        <v/>
      </c>
      <c r="G174" s="130" t="str">
        <f>IFERROR(IF(VLOOKUP($A174,'Annex 2 EHV charges'!$A:$O,10,FALSE)=0,"",VLOOKUP($A174,'Annex 2 EHV charges'!$A:$O,10,FALSE)),"")</f>
        <v/>
      </c>
      <c r="H174" s="130" t="str">
        <f>IFERROR(IF(VLOOKUP($A174,'Annex 2 EHV charges'!$A:$O,11,FALSE)=0,"",VLOOKUP($A174,'Annex 2 EHV charges'!$A:$O,11,FALSE)),"")</f>
        <v/>
      </c>
    </row>
    <row r="175" spans="1:8" x14ac:dyDescent="0.2">
      <c r="A175" s="123" t="str">
        <f t="array" ref="A175">IFERROR(INDEX('Annex 2 EHV charges'!$A$11:$A$260, MATCH(0, IF(ISBLANK('Annex 2 EHV charges'!$A$11:$A$260),1, COUNTIF(A$4:$A174, 'Annex 2 EHV charges'!$A$11:$A$260)), 0)),"")</f>
        <v/>
      </c>
      <c r="B175" s="123" t="str">
        <f>IF($A175="","",VLOOKUP($A175,'Annex 2 EHV charges'!$A:$O,2,0))</f>
        <v/>
      </c>
      <c r="C175" s="124" t="str">
        <f>IF($A175="","",VLOOKUP($A175,'Annex 2 EHV charges'!$A:$O,3,0))</f>
        <v/>
      </c>
      <c r="D175" s="123" t="str">
        <f>IF($A175="","",VLOOKUP($A175,'Annex 2 EHV charges'!$A:$O,7,0))</f>
        <v/>
      </c>
      <c r="E175" s="128" t="str">
        <f>IFERROR(IF(VLOOKUP($A175,'Annex 2 EHV charges'!$A:$O,8,FALSE)=0,"",VLOOKUP($A175,'Annex 2 EHV charges'!$A:$O,8,FALSE)),"")</f>
        <v/>
      </c>
      <c r="F175" s="129" t="str">
        <f>IFERROR(IF(VLOOKUP($A175,'Annex 2 EHV charges'!$A:$O,9,FALSE)=0,"",VLOOKUP($A175,'Annex 2 EHV charges'!$A:$O,9,FALSE)),"")</f>
        <v/>
      </c>
      <c r="G175" s="130" t="str">
        <f>IFERROR(IF(VLOOKUP($A175,'Annex 2 EHV charges'!$A:$O,10,FALSE)=0,"",VLOOKUP($A175,'Annex 2 EHV charges'!$A:$O,10,FALSE)),"")</f>
        <v/>
      </c>
      <c r="H175" s="130" t="str">
        <f>IFERROR(IF(VLOOKUP($A175,'Annex 2 EHV charges'!$A:$O,11,FALSE)=0,"",VLOOKUP($A175,'Annex 2 EHV charges'!$A:$O,11,FALSE)),"")</f>
        <v/>
      </c>
    </row>
    <row r="176" spans="1:8" x14ac:dyDescent="0.2">
      <c r="A176" s="123" t="str">
        <f t="array" ref="A176">IFERROR(INDEX('Annex 2 EHV charges'!$A$11:$A$260, MATCH(0, IF(ISBLANK('Annex 2 EHV charges'!$A$11:$A$260),1, COUNTIF(A$4:$A175, 'Annex 2 EHV charges'!$A$11:$A$260)), 0)),"")</f>
        <v/>
      </c>
      <c r="B176" s="123" t="str">
        <f>IF($A176="","",VLOOKUP($A176,'Annex 2 EHV charges'!$A:$O,2,0))</f>
        <v/>
      </c>
      <c r="C176" s="124" t="str">
        <f>IF($A176="","",VLOOKUP($A176,'Annex 2 EHV charges'!$A:$O,3,0))</f>
        <v/>
      </c>
      <c r="D176" s="123" t="str">
        <f>IF($A176="","",VLOOKUP($A176,'Annex 2 EHV charges'!$A:$O,7,0))</f>
        <v/>
      </c>
      <c r="E176" s="128" t="str">
        <f>IFERROR(IF(VLOOKUP($A176,'Annex 2 EHV charges'!$A:$O,8,FALSE)=0,"",VLOOKUP($A176,'Annex 2 EHV charges'!$A:$O,8,FALSE)),"")</f>
        <v/>
      </c>
      <c r="F176" s="129" t="str">
        <f>IFERROR(IF(VLOOKUP($A176,'Annex 2 EHV charges'!$A:$O,9,FALSE)=0,"",VLOOKUP($A176,'Annex 2 EHV charges'!$A:$O,9,FALSE)),"")</f>
        <v/>
      </c>
      <c r="G176" s="130" t="str">
        <f>IFERROR(IF(VLOOKUP($A176,'Annex 2 EHV charges'!$A:$O,10,FALSE)=0,"",VLOOKUP($A176,'Annex 2 EHV charges'!$A:$O,10,FALSE)),"")</f>
        <v/>
      </c>
      <c r="H176" s="130" t="str">
        <f>IFERROR(IF(VLOOKUP($A176,'Annex 2 EHV charges'!$A:$O,11,FALSE)=0,"",VLOOKUP($A176,'Annex 2 EHV charges'!$A:$O,11,FALSE)),"")</f>
        <v/>
      </c>
    </row>
    <row r="177" spans="1:8" x14ac:dyDescent="0.2">
      <c r="A177" s="123" t="str">
        <f t="array" ref="A177">IFERROR(INDEX('Annex 2 EHV charges'!$A$11:$A$260, MATCH(0, IF(ISBLANK('Annex 2 EHV charges'!$A$11:$A$260),1, COUNTIF(A$4:$A176, 'Annex 2 EHV charges'!$A$11:$A$260)), 0)),"")</f>
        <v/>
      </c>
      <c r="B177" s="123" t="str">
        <f>IF($A177="","",VLOOKUP($A177,'Annex 2 EHV charges'!$A:$O,2,0))</f>
        <v/>
      </c>
      <c r="C177" s="124" t="str">
        <f>IF($A177="","",VLOOKUP($A177,'Annex 2 EHV charges'!$A:$O,3,0))</f>
        <v/>
      </c>
      <c r="D177" s="123" t="str">
        <f>IF($A177="","",VLOOKUP($A177,'Annex 2 EHV charges'!$A:$O,7,0))</f>
        <v/>
      </c>
      <c r="E177" s="128" t="str">
        <f>IFERROR(IF(VLOOKUP($A177,'Annex 2 EHV charges'!$A:$O,8,FALSE)=0,"",VLOOKUP($A177,'Annex 2 EHV charges'!$A:$O,8,FALSE)),"")</f>
        <v/>
      </c>
      <c r="F177" s="129" t="str">
        <f>IFERROR(IF(VLOOKUP($A177,'Annex 2 EHV charges'!$A:$O,9,FALSE)=0,"",VLOOKUP($A177,'Annex 2 EHV charges'!$A:$O,9,FALSE)),"")</f>
        <v/>
      </c>
      <c r="G177" s="130" t="str">
        <f>IFERROR(IF(VLOOKUP($A177,'Annex 2 EHV charges'!$A:$O,10,FALSE)=0,"",VLOOKUP($A177,'Annex 2 EHV charges'!$A:$O,10,FALSE)),"")</f>
        <v/>
      </c>
      <c r="H177" s="130" t="str">
        <f>IFERROR(IF(VLOOKUP($A177,'Annex 2 EHV charges'!$A:$O,11,FALSE)=0,"",VLOOKUP($A177,'Annex 2 EHV charges'!$A:$O,11,FALSE)),"")</f>
        <v/>
      </c>
    </row>
    <row r="178" spans="1:8" x14ac:dyDescent="0.2">
      <c r="A178" s="123" t="str">
        <f t="array" ref="A178">IFERROR(INDEX('Annex 2 EHV charges'!$A$11:$A$260, MATCH(0, IF(ISBLANK('Annex 2 EHV charges'!$A$11:$A$260),1, COUNTIF(A$4:$A177, 'Annex 2 EHV charges'!$A$11:$A$260)), 0)),"")</f>
        <v/>
      </c>
      <c r="B178" s="123" t="str">
        <f>IF($A178="","",VLOOKUP($A178,'Annex 2 EHV charges'!$A:$O,2,0))</f>
        <v/>
      </c>
      <c r="C178" s="124" t="str">
        <f>IF($A178="","",VLOOKUP($A178,'Annex 2 EHV charges'!$A:$O,3,0))</f>
        <v/>
      </c>
      <c r="D178" s="123" t="str">
        <f>IF($A178="","",VLOOKUP($A178,'Annex 2 EHV charges'!$A:$O,7,0))</f>
        <v/>
      </c>
      <c r="E178" s="128" t="str">
        <f>IFERROR(IF(VLOOKUP($A178,'Annex 2 EHV charges'!$A:$O,8,FALSE)=0,"",VLOOKUP($A178,'Annex 2 EHV charges'!$A:$O,8,FALSE)),"")</f>
        <v/>
      </c>
      <c r="F178" s="129" t="str">
        <f>IFERROR(IF(VLOOKUP($A178,'Annex 2 EHV charges'!$A:$O,9,FALSE)=0,"",VLOOKUP($A178,'Annex 2 EHV charges'!$A:$O,9,FALSE)),"")</f>
        <v/>
      </c>
      <c r="G178" s="130" t="str">
        <f>IFERROR(IF(VLOOKUP($A178,'Annex 2 EHV charges'!$A:$O,10,FALSE)=0,"",VLOOKUP($A178,'Annex 2 EHV charges'!$A:$O,10,FALSE)),"")</f>
        <v/>
      </c>
      <c r="H178" s="130" t="str">
        <f>IFERROR(IF(VLOOKUP($A178,'Annex 2 EHV charges'!$A:$O,11,FALSE)=0,"",VLOOKUP($A178,'Annex 2 EHV charges'!$A:$O,11,FALSE)),"")</f>
        <v/>
      </c>
    </row>
    <row r="179" spans="1:8" x14ac:dyDescent="0.2">
      <c r="A179" s="123" t="str">
        <f t="array" ref="A179">IFERROR(INDEX('Annex 2 EHV charges'!$A$11:$A$260, MATCH(0, IF(ISBLANK('Annex 2 EHV charges'!$A$11:$A$260),1, COUNTIF(A$4:$A178, 'Annex 2 EHV charges'!$A$11:$A$260)), 0)),"")</f>
        <v/>
      </c>
      <c r="B179" s="123" t="str">
        <f>IF($A179="","",VLOOKUP($A179,'Annex 2 EHV charges'!$A:$O,2,0))</f>
        <v/>
      </c>
      <c r="C179" s="124" t="str">
        <f>IF($A179="","",VLOOKUP($A179,'Annex 2 EHV charges'!$A:$O,3,0))</f>
        <v/>
      </c>
      <c r="D179" s="123" t="str">
        <f>IF($A179="","",VLOOKUP($A179,'Annex 2 EHV charges'!$A:$O,7,0))</f>
        <v/>
      </c>
      <c r="E179" s="128" t="str">
        <f>IFERROR(IF(VLOOKUP($A179,'Annex 2 EHV charges'!$A:$O,8,FALSE)=0,"",VLOOKUP($A179,'Annex 2 EHV charges'!$A:$O,8,FALSE)),"")</f>
        <v/>
      </c>
      <c r="F179" s="129" t="str">
        <f>IFERROR(IF(VLOOKUP($A179,'Annex 2 EHV charges'!$A:$O,9,FALSE)=0,"",VLOOKUP($A179,'Annex 2 EHV charges'!$A:$O,9,FALSE)),"")</f>
        <v/>
      </c>
      <c r="G179" s="130" t="str">
        <f>IFERROR(IF(VLOOKUP($A179,'Annex 2 EHV charges'!$A:$O,10,FALSE)=0,"",VLOOKUP($A179,'Annex 2 EHV charges'!$A:$O,10,FALSE)),"")</f>
        <v/>
      </c>
      <c r="H179" s="130" t="str">
        <f>IFERROR(IF(VLOOKUP($A179,'Annex 2 EHV charges'!$A:$O,11,FALSE)=0,"",VLOOKUP($A179,'Annex 2 EHV charges'!$A:$O,11,FALSE)),"")</f>
        <v/>
      </c>
    </row>
    <row r="180" spans="1:8" x14ac:dyDescent="0.2">
      <c r="A180" s="123" t="str">
        <f t="array" ref="A180">IFERROR(INDEX('Annex 2 EHV charges'!$A$11:$A$260, MATCH(0, IF(ISBLANK('Annex 2 EHV charges'!$A$11:$A$260),1, COUNTIF(A$4:$A179, 'Annex 2 EHV charges'!$A$11:$A$260)), 0)),"")</f>
        <v/>
      </c>
      <c r="B180" s="123" t="str">
        <f>IF($A180="","",VLOOKUP($A180,'Annex 2 EHV charges'!$A:$O,2,0))</f>
        <v/>
      </c>
      <c r="C180" s="124" t="str">
        <f>IF($A180="","",VLOOKUP($A180,'Annex 2 EHV charges'!$A:$O,3,0))</f>
        <v/>
      </c>
      <c r="D180" s="123" t="str">
        <f>IF($A180="","",VLOOKUP($A180,'Annex 2 EHV charges'!$A:$O,7,0))</f>
        <v/>
      </c>
      <c r="E180" s="128" t="str">
        <f>IFERROR(IF(VLOOKUP($A180,'Annex 2 EHV charges'!$A:$O,8,FALSE)=0,"",VLOOKUP($A180,'Annex 2 EHV charges'!$A:$O,8,FALSE)),"")</f>
        <v/>
      </c>
      <c r="F180" s="129" t="str">
        <f>IFERROR(IF(VLOOKUP($A180,'Annex 2 EHV charges'!$A:$O,9,FALSE)=0,"",VLOOKUP($A180,'Annex 2 EHV charges'!$A:$O,9,FALSE)),"")</f>
        <v/>
      </c>
      <c r="G180" s="130" t="str">
        <f>IFERROR(IF(VLOOKUP($A180,'Annex 2 EHV charges'!$A:$O,10,FALSE)=0,"",VLOOKUP($A180,'Annex 2 EHV charges'!$A:$O,10,FALSE)),"")</f>
        <v/>
      </c>
      <c r="H180" s="130" t="str">
        <f>IFERROR(IF(VLOOKUP($A180,'Annex 2 EHV charges'!$A:$O,11,FALSE)=0,"",VLOOKUP($A180,'Annex 2 EHV charges'!$A:$O,11,FALSE)),"")</f>
        <v/>
      </c>
    </row>
    <row r="181" spans="1:8" x14ac:dyDescent="0.2">
      <c r="A181" s="123" t="str">
        <f t="array" ref="A181">IFERROR(INDEX('Annex 2 EHV charges'!$A$11:$A$260, MATCH(0, IF(ISBLANK('Annex 2 EHV charges'!$A$11:$A$260),1, COUNTIF(A$4:$A180, 'Annex 2 EHV charges'!$A$11:$A$260)), 0)),"")</f>
        <v/>
      </c>
      <c r="B181" s="123" t="str">
        <f>IF($A181="","",VLOOKUP($A181,'Annex 2 EHV charges'!$A:$O,2,0))</f>
        <v/>
      </c>
      <c r="C181" s="124" t="str">
        <f>IF($A181="","",VLOOKUP($A181,'Annex 2 EHV charges'!$A:$O,3,0))</f>
        <v/>
      </c>
      <c r="D181" s="123" t="str">
        <f>IF($A181="","",VLOOKUP($A181,'Annex 2 EHV charges'!$A:$O,7,0))</f>
        <v/>
      </c>
      <c r="E181" s="128" t="str">
        <f>IFERROR(IF(VLOOKUP($A181,'Annex 2 EHV charges'!$A:$O,8,FALSE)=0,"",VLOOKUP($A181,'Annex 2 EHV charges'!$A:$O,8,FALSE)),"")</f>
        <v/>
      </c>
      <c r="F181" s="129" t="str">
        <f>IFERROR(IF(VLOOKUP($A181,'Annex 2 EHV charges'!$A:$O,9,FALSE)=0,"",VLOOKUP($A181,'Annex 2 EHV charges'!$A:$O,9,FALSE)),"")</f>
        <v/>
      </c>
      <c r="G181" s="130" t="str">
        <f>IFERROR(IF(VLOOKUP($A181,'Annex 2 EHV charges'!$A:$O,10,FALSE)=0,"",VLOOKUP($A181,'Annex 2 EHV charges'!$A:$O,10,FALSE)),"")</f>
        <v/>
      </c>
      <c r="H181" s="130" t="str">
        <f>IFERROR(IF(VLOOKUP($A181,'Annex 2 EHV charges'!$A:$O,11,FALSE)=0,"",VLOOKUP($A181,'Annex 2 EHV charges'!$A:$O,11,FALSE)),"")</f>
        <v/>
      </c>
    </row>
    <row r="182" spans="1:8" x14ac:dyDescent="0.2">
      <c r="A182" s="123" t="str">
        <f t="array" ref="A182">IFERROR(INDEX('Annex 2 EHV charges'!$A$11:$A$260, MATCH(0, IF(ISBLANK('Annex 2 EHV charges'!$A$11:$A$260),1, COUNTIF(A$4:$A181, 'Annex 2 EHV charges'!$A$11:$A$260)), 0)),"")</f>
        <v/>
      </c>
      <c r="B182" s="123" t="str">
        <f>IF($A182="","",VLOOKUP($A182,'Annex 2 EHV charges'!$A:$O,2,0))</f>
        <v/>
      </c>
      <c r="C182" s="124" t="str">
        <f>IF($A182="","",VLOOKUP($A182,'Annex 2 EHV charges'!$A:$O,3,0))</f>
        <v/>
      </c>
      <c r="D182" s="123" t="str">
        <f>IF($A182="","",VLOOKUP($A182,'Annex 2 EHV charges'!$A:$O,7,0))</f>
        <v/>
      </c>
      <c r="E182" s="128" t="str">
        <f>IFERROR(IF(VLOOKUP($A182,'Annex 2 EHV charges'!$A:$O,8,FALSE)=0,"",VLOOKUP($A182,'Annex 2 EHV charges'!$A:$O,8,FALSE)),"")</f>
        <v/>
      </c>
      <c r="F182" s="129" t="str">
        <f>IFERROR(IF(VLOOKUP($A182,'Annex 2 EHV charges'!$A:$O,9,FALSE)=0,"",VLOOKUP($A182,'Annex 2 EHV charges'!$A:$O,9,FALSE)),"")</f>
        <v/>
      </c>
      <c r="G182" s="130" t="str">
        <f>IFERROR(IF(VLOOKUP($A182,'Annex 2 EHV charges'!$A:$O,10,FALSE)=0,"",VLOOKUP($A182,'Annex 2 EHV charges'!$A:$O,10,FALSE)),"")</f>
        <v/>
      </c>
      <c r="H182" s="130" t="str">
        <f>IFERROR(IF(VLOOKUP($A182,'Annex 2 EHV charges'!$A:$O,11,FALSE)=0,"",VLOOKUP($A182,'Annex 2 EHV charges'!$A:$O,11,FALSE)),"")</f>
        <v/>
      </c>
    </row>
    <row r="183" spans="1:8" x14ac:dyDescent="0.2">
      <c r="A183" s="123" t="str">
        <f t="array" ref="A183">IFERROR(INDEX('Annex 2 EHV charges'!$A$11:$A$260, MATCH(0, IF(ISBLANK('Annex 2 EHV charges'!$A$11:$A$260),1, COUNTIF(A$4:$A182, 'Annex 2 EHV charges'!$A$11:$A$260)), 0)),"")</f>
        <v/>
      </c>
      <c r="B183" s="123" t="str">
        <f>IF($A183="","",VLOOKUP($A183,'Annex 2 EHV charges'!$A:$O,2,0))</f>
        <v/>
      </c>
      <c r="C183" s="124" t="str">
        <f>IF($A183="","",VLOOKUP($A183,'Annex 2 EHV charges'!$A:$O,3,0))</f>
        <v/>
      </c>
      <c r="D183" s="123" t="str">
        <f>IF($A183="","",VLOOKUP($A183,'Annex 2 EHV charges'!$A:$O,7,0))</f>
        <v/>
      </c>
      <c r="E183" s="128" t="str">
        <f>IFERROR(IF(VLOOKUP($A183,'Annex 2 EHV charges'!$A:$O,8,FALSE)=0,"",VLOOKUP($A183,'Annex 2 EHV charges'!$A:$O,8,FALSE)),"")</f>
        <v/>
      </c>
      <c r="F183" s="129" t="str">
        <f>IFERROR(IF(VLOOKUP($A183,'Annex 2 EHV charges'!$A:$O,9,FALSE)=0,"",VLOOKUP($A183,'Annex 2 EHV charges'!$A:$O,9,FALSE)),"")</f>
        <v/>
      </c>
      <c r="G183" s="130" t="str">
        <f>IFERROR(IF(VLOOKUP($A183,'Annex 2 EHV charges'!$A:$O,10,FALSE)=0,"",VLOOKUP($A183,'Annex 2 EHV charges'!$A:$O,10,FALSE)),"")</f>
        <v/>
      </c>
      <c r="H183" s="130" t="str">
        <f>IFERROR(IF(VLOOKUP($A183,'Annex 2 EHV charges'!$A:$O,11,FALSE)=0,"",VLOOKUP($A183,'Annex 2 EHV charges'!$A:$O,11,FALSE)),"")</f>
        <v/>
      </c>
    </row>
    <row r="184" spans="1:8" x14ac:dyDescent="0.2">
      <c r="A184" s="123" t="str">
        <f t="array" ref="A184">IFERROR(INDEX('Annex 2 EHV charges'!$A$11:$A$260, MATCH(0, IF(ISBLANK('Annex 2 EHV charges'!$A$11:$A$260),1, COUNTIF(A$4:$A183, 'Annex 2 EHV charges'!$A$11:$A$260)), 0)),"")</f>
        <v/>
      </c>
      <c r="B184" s="123" t="str">
        <f>IF($A184="","",VLOOKUP($A184,'Annex 2 EHV charges'!$A:$O,2,0))</f>
        <v/>
      </c>
      <c r="C184" s="124" t="str">
        <f>IF($A184="","",VLOOKUP($A184,'Annex 2 EHV charges'!$A:$O,3,0))</f>
        <v/>
      </c>
      <c r="D184" s="123" t="str">
        <f>IF($A184="","",VLOOKUP($A184,'Annex 2 EHV charges'!$A:$O,7,0))</f>
        <v/>
      </c>
      <c r="E184" s="128" t="str">
        <f>IFERROR(IF(VLOOKUP($A184,'Annex 2 EHV charges'!$A:$O,8,FALSE)=0,"",VLOOKUP($A184,'Annex 2 EHV charges'!$A:$O,8,FALSE)),"")</f>
        <v/>
      </c>
      <c r="F184" s="129" t="str">
        <f>IFERROR(IF(VLOOKUP($A184,'Annex 2 EHV charges'!$A:$O,9,FALSE)=0,"",VLOOKUP($A184,'Annex 2 EHV charges'!$A:$O,9,FALSE)),"")</f>
        <v/>
      </c>
      <c r="G184" s="130" t="str">
        <f>IFERROR(IF(VLOOKUP($A184,'Annex 2 EHV charges'!$A:$O,10,FALSE)=0,"",VLOOKUP($A184,'Annex 2 EHV charges'!$A:$O,10,FALSE)),"")</f>
        <v/>
      </c>
      <c r="H184" s="130" t="str">
        <f>IFERROR(IF(VLOOKUP($A184,'Annex 2 EHV charges'!$A:$O,11,FALSE)=0,"",VLOOKUP($A184,'Annex 2 EHV charges'!$A:$O,11,FALSE)),"")</f>
        <v/>
      </c>
    </row>
    <row r="185" spans="1:8" x14ac:dyDescent="0.2">
      <c r="A185" s="123" t="str">
        <f t="array" ref="A185">IFERROR(INDEX('Annex 2 EHV charges'!$A$11:$A$260, MATCH(0, IF(ISBLANK('Annex 2 EHV charges'!$A$11:$A$260),1, COUNTIF(A$4:$A184, 'Annex 2 EHV charges'!$A$11:$A$260)), 0)),"")</f>
        <v/>
      </c>
      <c r="B185" s="123" t="str">
        <f>IF($A185="","",VLOOKUP($A185,'Annex 2 EHV charges'!$A:$O,2,0))</f>
        <v/>
      </c>
      <c r="C185" s="124" t="str">
        <f>IF($A185="","",VLOOKUP($A185,'Annex 2 EHV charges'!$A:$O,3,0))</f>
        <v/>
      </c>
      <c r="D185" s="123" t="str">
        <f>IF($A185="","",VLOOKUP($A185,'Annex 2 EHV charges'!$A:$O,7,0))</f>
        <v/>
      </c>
      <c r="E185" s="128" t="str">
        <f>IFERROR(IF(VLOOKUP($A185,'Annex 2 EHV charges'!$A:$O,8,FALSE)=0,"",VLOOKUP($A185,'Annex 2 EHV charges'!$A:$O,8,FALSE)),"")</f>
        <v/>
      </c>
      <c r="F185" s="129" t="str">
        <f>IFERROR(IF(VLOOKUP($A185,'Annex 2 EHV charges'!$A:$O,9,FALSE)=0,"",VLOOKUP($A185,'Annex 2 EHV charges'!$A:$O,9,FALSE)),"")</f>
        <v/>
      </c>
      <c r="G185" s="130" t="str">
        <f>IFERROR(IF(VLOOKUP($A185,'Annex 2 EHV charges'!$A:$O,10,FALSE)=0,"",VLOOKUP($A185,'Annex 2 EHV charges'!$A:$O,10,FALSE)),"")</f>
        <v/>
      </c>
      <c r="H185" s="130" t="str">
        <f>IFERROR(IF(VLOOKUP($A185,'Annex 2 EHV charges'!$A:$O,11,FALSE)=0,"",VLOOKUP($A185,'Annex 2 EHV charges'!$A:$O,11,FALSE)),"")</f>
        <v/>
      </c>
    </row>
    <row r="186" spans="1:8" x14ac:dyDescent="0.2">
      <c r="A186" s="123" t="str">
        <f t="array" ref="A186">IFERROR(INDEX('Annex 2 EHV charges'!$A$11:$A$260, MATCH(0, IF(ISBLANK('Annex 2 EHV charges'!$A$11:$A$260),1, COUNTIF(A$4:$A185, 'Annex 2 EHV charges'!$A$11:$A$260)), 0)),"")</f>
        <v/>
      </c>
      <c r="B186" s="123" t="str">
        <f>IF($A186="","",VLOOKUP($A186,'Annex 2 EHV charges'!$A:$O,2,0))</f>
        <v/>
      </c>
      <c r="C186" s="124" t="str">
        <f>IF($A186="","",VLOOKUP($A186,'Annex 2 EHV charges'!$A:$O,3,0))</f>
        <v/>
      </c>
      <c r="D186" s="123" t="str">
        <f>IF($A186="","",VLOOKUP($A186,'Annex 2 EHV charges'!$A:$O,7,0))</f>
        <v/>
      </c>
      <c r="E186" s="128" t="str">
        <f>IFERROR(IF(VLOOKUP($A186,'Annex 2 EHV charges'!$A:$O,8,FALSE)=0,"",VLOOKUP($A186,'Annex 2 EHV charges'!$A:$O,8,FALSE)),"")</f>
        <v/>
      </c>
      <c r="F186" s="129" t="str">
        <f>IFERROR(IF(VLOOKUP($A186,'Annex 2 EHV charges'!$A:$O,9,FALSE)=0,"",VLOOKUP($A186,'Annex 2 EHV charges'!$A:$O,9,FALSE)),"")</f>
        <v/>
      </c>
      <c r="G186" s="130" t="str">
        <f>IFERROR(IF(VLOOKUP($A186,'Annex 2 EHV charges'!$A:$O,10,FALSE)=0,"",VLOOKUP($A186,'Annex 2 EHV charges'!$A:$O,10,FALSE)),"")</f>
        <v/>
      </c>
      <c r="H186" s="130" t="str">
        <f>IFERROR(IF(VLOOKUP($A186,'Annex 2 EHV charges'!$A:$O,11,FALSE)=0,"",VLOOKUP($A186,'Annex 2 EHV charges'!$A:$O,11,FALSE)),"")</f>
        <v/>
      </c>
    </row>
    <row r="187" spans="1:8" x14ac:dyDescent="0.2">
      <c r="A187" s="123" t="str">
        <f t="array" ref="A187">IFERROR(INDEX('Annex 2 EHV charges'!$A$11:$A$260, MATCH(0, IF(ISBLANK('Annex 2 EHV charges'!$A$11:$A$260),1, COUNTIF(A$4:$A186, 'Annex 2 EHV charges'!$A$11:$A$260)), 0)),"")</f>
        <v/>
      </c>
      <c r="B187" s="123" t="str">
        <f>IF($A187="","",VLOOKUP($A187,'Annex 2 EHV charges'!$A:$O,2,0))</f>
        <v/>
      </c>
      <c r="C187" s="124" t="str">
        <f>IF($A187="","",VLOOKUP($A187,'Annex 2 EHV charges'!$A:$O,3,0))</f>
        <v/>
      </c>
      <c r="D187" s="123" t="str">
        <f>IF($A187="","",VLOOKUP($A187,'Annex 2 EHV charges'!$A:$O,7,0))</f>
        <v/>
      </c>
      <c r="E187" s="128" t="str">
        <f>IFERROR(IF(VLOOKUP($A187,'Annex 2 EHV charges'!$A:$O,8,FALSE)=0,"",VLOOKUP($A187,'Annex 2 EHV charges'!$A:$O,8,FALSE)),"")</f>
        <v/>
      </c>
      <c r="F187" s="129" t="str">
        <f>IFERROR(IF(VLOOKUP($A187,'Annex 2 EHV charges'!$A:$O,9,FALSE)=0,"",VLOOKUP($A187,'Annex 2 EHV charges'!$A:$O,9,FALSE)),"")</f>
        <v/>
      </c>
      <c r="G187" s="130" t="str">
        <f>IFERROR(IF(VLOOKUP($A187,'Annex 2 EHV charges'!$A:$O,10,FALSE)=0,"",VLOOKUP($A187,'Annex 2 EHV charges'!$A:$O,10,FALSE)),"")</f>
        <v/>
      </c>
      <c r="H187" s="130" t="str">
        <f>IFERROR(IF(VLOOKUP($A187,'Annex 2 EHV charges'!$A:$O,11,FALSE)=0,"",VLOOKUP($A187,'Annex 2 EHV charges'!$A:$O,11,FALSE)),"")</f>
        <v/>
      </c>
    </row>
    <row r="188" spans="1:8" x14ac:dyDescent="0.2">
      <c r="A188" s="123" t="str">
        <f t="array" ref="A188">IFERROR(INDEX('Annex 2 EHV charges'!$A$11:$A$260, MATCH(0, IF(ISBLANK('Annex 2 EHV charges'!$A$11:$A$260),1, COUNTIF(A$4:$A187, 'Annex 2 EHV charges'!$A$11:$A$260)), 0)),"")</f>
        <v/>
      </c>
      <c r="B188" s="123" t="str">
        <f>IF($A188="","",VLOOKUP($A188,'Annex 2 EHV charges'!$A:$O,2,0))</f>
        <v/>
      </c>
      <c r="C188" s="124" t="str">
        <f>IF($A188="","",VLOOKUP($A188,'Annex 2 EHV charges'!$A:$O,3,0))</f>
        <v/>
      </c>
      <c r="D188" s="123" t="str">
        <f>IF($A188="","",VLOOKUP($A188,'Annex 2 EHV charges'!$A:$O,7,0))</f>
        <v/>
      </c>
      <c r="E188" s="128" t="str">
        <f>IFERROR(IF(VLOOKUP($A188,'Annex 2 EHV charges'!$A:$O,8,FALSE)=0,"",VLOOKUP($A188,'Annex 2 EHV charges'!$A:$O,8,FALSE)),"")</f>
        <v/>
      </c>
      <c r="F188" s="129" t="str">
        <f>IFERROR(IF(VLOOKUP($A188,'Annex 2 EHV charges'!$A:$O,9,FALSE)=0,"",VLOOKUP($A188,'Annex 2 EHV charges'!$A:$O,9,FALSE)),"")</f>
        <v/>
      </c>
      <c r="G188" s="130" t="str">
        <f>IFERROR(IF(VLOOKUP($A188,'Annex 2 EHV charges'!$A:$O,10,FALSE)=0,"",VLOOKUP($A188,'Annex 2 EHV charges'!$A:$O,10,FALSE)),"")</f>
        <v/>
      </c>
      <c r="H188" s="130" t="str">
        <f>IFERROR(IF(VLOOKUP($A188,'Annex 2 EHV charges'!$A:$O,11,FALSE)=0,"",VLOOKUP($A188,'Annex 2 EHV charges'!$A:$O,11,FALSE)),"")</f>
        <v/>
      </c>
    </row>
    <row r="189" spans="1:8" x14ac:dyDescent="0.2">
      <c r="A189" s="123" t="str">
        <f t="array" ref="A189">IFERROR(INDEX('Annex 2 EHV charges'!$A$11:$A$260, MATCH(0, IF(ISBLANK('Annex 2 EHV charges'!$A$11:$A$260),1, COUNTIF(A$4:$A188, 'Annex 2 EHV charges'!$A$11:$A$260)), 0)),"")</f>
        <v/>
      </c>
      <c r="B189" s="123" t="str">
        <f>IF($A189="","",VLOOKUP($A189,'Annex 2 EHV charges'!$A:$O,2,0))</f>
        <v/>
      </c>
      <c r="C189" s="124" t="str">
        <f>IF($A189="","",VLOOKUP($A189,'Annex 2 EHV charges'!$A:$O,3,0))</f>
        <v/>
      </c>
      <c r="D189" s="123" t="str">
        <f>IF($A189="","",VLOOKUP($A189,'Annex 2 EHV charges'!$A:$O,7,0))</f>
        <v/>
      </c>
      <c r="E189" s="128" t="str">
        <f>IFERROR(IF(VLOOKUP($A189,'Annex 2 EHV charges'!$A:$O,8,FALSE)=0,"",VLOOKUP($A189,'Annex 2 EHV charges'!$A:$O,8,FALSE)),"")</f>
        <v/>
      </c>
      <c r="F189" s="129" t="str">
        <f>IFERROR(IF(VLOOKUP($A189,'Annex 2 EHV charges'!$A:$O,9,FALSE)=0,"",VLOOKUP($A189,'Annex 2 EHV charges'!$A:$O,9,FALSE)),"")</f>
        <v/>
      </c>
      <c r="G189" s="130" t="str">
        <f>IFERROR(IF(VLOOKUP($A189,'Annex 2 EHV charges'!$A:$O,10,FALSE)=0,"",VLOOKUP($A189,'Annex 2 EHV charges'!$A:$O,10,FALSE)),"")</f>
        <v/>
      </c>
      <c r="H189" s="130" t="str">
        <f>IFERROR(IF(VLOOKUP($A189,'Annex 2 EHV charges'!$A:$O,11,FALSE)=0,"",VLOOKUP($A189,'Annex 2 EHV charges'!$A:$O,11,FALSE)),"")</f>
        <v/>
      </c>
    </row>
    <row r="190" spans="1:8" x14ac:dyDescent="0.2">
      <c r="A190" s="123" t="str">
        <f t="array" ref="A190">IFERROR(INDEX('Annex 2 EHV charges'!$A$11:$A$260, MATCH(0, IF(ISBLANK('Annex 2 EHV charges'!$A$11:$A$260),1, COUNTIF(A$4:$A189, 'Annex 2 EHV charges'!$A$11:$A$260)), 0)),"")</f>
        <v/>
      </c>
      <c r="B190" s="123" t="str">
        <f>IF($A190="","",VLOOKUP($A190,'Annex 2 EHV charges'!$A:$O,2,0))</f>
        <v/>
      </c>
      <c r="C190" s="124" t="str">
        <f>IF($A190="","",VLOOKUP($A190,'Annex 2 EHV charges'!$A:$O,3,0))</f>
        <v/>
      </c>
      <c r="D190" s="123" t="str">
        <f>IF($A190="","",VLOOKUP($A190,'Annex 2 EHV charges'!$A:$O,7,0))</f>
        <v/>
      </c>
      <c r="E190" s="128" t="str">
        <f>IFERROR(IF(VLOOKUP($A190,'Annex 2 EHV charges'!$A:$O,8,FALSE)=0,"",VLOOKUP($A190,'Annex 2 EHV charges'!$A:$O,8,FALSE)),"")</f>
        <v/>
      </c>
      <c r="F190" s="129" t="str">
        <f>IFERROR(IF(VLOOKUP($A190,'Annex 2 EHV charges'!$A:$O,9,FALSE)=0,"",VLOOKUP($A190,'Annex 2 EHV charges'!$A:$O,9,FALSE)),"")</f>
        <v/>
      </c>
      <c r="G190" s="130" t="str">
        <f>IFERROR(IF(VLOOKUP($A190,'Annex 2 EHV charges'!$A:$O,10,FALSE)=0,"",VLOOKUP($A190,'Annex 2 EHV charges'!$A:$O,10,FALSE)),"")</f>
        <v/>
      </c>
      <c r="H190" s="130" t="str">
        <f>IFERROR(IF(VLOOKUP($A190,'Annex 2 EHV charges'!$A:$O,11,FALSE)=0,"",VLOOKUP($A190,'Annex 2 EHV charges'!$A:$O,11,FALSE)),"")</f>
        <v/>
      </c>
    </row>
    <row r="191" spans="1:8" x14ac:dyDescent="0.2">
      <c r="A191" s="123" t="str">
        <f t="array" ref="A191">IFERROR(INDEX('Annex 2 EHV charges'!$A$11:$A$260, MATCH(0, IF(ISBLANK('Annex 2 EHV charges'!$A$11:$A$260),1, COUNTIF(A$4:$A190, 'Annex 2 EHV charges'!$A$11:$A$260)), 0)),"")</f>
        <v/>
      </c>
      <c r="B191" s="123" t="str">
        <f>IF($A191="","",VLOOKUP($A191,'Annex 2 EHV charges'!$A:$O,2,0))</f>
        <v/>
      </c>
      <c r="C191" s="124" t="str">
        <f>IF($A191="","",VLOOKUP($A191,'Annex 2 EHV charges'!$A:$O,3,0))</f>
        <v/>
      </c>
      <c r="D191" s="123" t="str">
        <f>IF($A191="","",VLOOKUP($A191,'Annex 2 EHV charges'!$A:$O,7,0))</f>
        <v/>
      </c>
      <c r="E191" s="128" t="str">
        <f>IFERROR(IF(VLOOKUP($A191,'Annex 2 EHV charges'!$A:$O,8,FALSE)=0,"",VLOOKUP($A191,'Annex 2 EHV charges'!$A:$O,8,FALSE)),"")</f>
        <v/>
      </c>
      <c r="F191" s="129" t="str">
        <f>IFERROR(IF(VLOOKUP($A191,'Annex 2 EHV charges'!$A:$O,9,FALSE)=0,"",VLOOKUP($A191,'Annex 2 EHV charges'!$A:$O,9,FALSE)),"")</f>
        <v/>
      </c>
      <c r="G191" s="130" t="str">
        <f>IFERROR(IF(VLOOKUP($A191,'Annex 2 EHV charges'!$A:$O,10,FALSE)=0,"",VLOOKUP($A191,'Annex 2 EHV charges'!$A:$O,10,FALSE)),"")</f>
        <v/>
      </c>
      <c r="H191" s="130" t="str">
        <f>IFERROR(IF(VLOOKUP($A191,'Annex 2 EHV charges'!$A:$O,11,FALSE)=0,"",VLOOKUP($A191,'Annex 2 EHV charges'!$A:$O,11,FALSE)),"")</f>
        <v/>
      </c>
    </row>
    <row r="192" spans="1:8" x14ac:dyDescent="0.2">
      <c r="A192" s="123" t="str">
        <f t="array" ref="A192">IFERROR(INDEX('Annex 2 EHV charges'!$A$11:$A$260, MATCH(0, IF(ISBLANK('Annex 2 EHV charges'!$A$11:$A$260),1, COUNTIF(A$4:$A191, 'Annex 2 EHV charges'!$A$11:$A$260)), 0)),"")</f>
        <v/>
      </c>
      <c r="B192" s="123" t="str">
        <f>IF($A192="","",VLOOKUP($A192,'Annex 2 EHV charges'!$A:$O,2,0))</f>
        <v/>
      </c>
      <c r="C192" s="124" t="str">
        <f>IF($A192="","",VLOOKUP($A192,'Annex 2 EHV charges'!$A:$O,3,0))</f>
        <v/>
      </c>
      <c r="D192" s="123" t="str">
        <f>IF($A192="","",VLOOKUP($A192,'Annex 2 EHV charges'!$A:$O,7,0))</f>
        <v/>
      </c>
      <c r="E192" s="128" t="str">
        <f>IFERROR(IF(VLOOKUP($A192,'Annex 2 EHV charges'!$A:$O,8,FALSE)=0,"",VLOOKUP($A192,'Annex 2 EHV charges'!$A:$O,8,FALSE)),"")</f>
        <v/>
      </c>
      <c r="F192" s="129" t="str">
        <f>IFERROR(IF(VLOOKUP($A192,'Annex 2 EHV charges'!$A:$O,9,FALSE)=0,"",VLOOKUP($A192,'Annex 2 EHV charges'!$A:$O,9,FALSE)),"")</f>
        <v/>
      </c>
      <c r="G192" s="130" t="str">
        <f>IFERROR(IF(VLOOKUP($A192,'Annex 2 EHV charges'!$A:$O,10,FALSE)=0,"",VLOOKUP($A192,'Annex 2 EHV charges'!$A:$O,10,FALSE)),"")</f>
        <v/>
      </c>
      <c r="H192" s="130" t="str">
        <f>IFERROR(IF(VLOOKUP($A192,'Annex 2 EHV charges'!$A:$O,11,FALSE)=0,"",VLOOKUP($A192,'Annex 2 EHV charges'!$A:$O,11,FALSE)),"")</f>
        <v/>
      </c>
    </row>
    <row r="193" spans="1:8" x14ac:dyDescent="0.2">
      <c r="A193" s="123" t="str">
        <f t="array" ref="A193">IFERROR(INDEX('Annex 2 EHV charges'!$A$11:$A$260, MATCH(0, IF(ISBLANK('Annex 2 EHV charges'!$A$11:$A$260),1, COUNTIF(A$4:$A192, 'Annex 2 EHV charges'!$A$11:$A$260)), 0)),"")</f>
        <v/>
      </c>
      <c r="B193" s="123" t="str">
        <f>IF($A193="","",VLOOKUP($A193,'Annex 2 EHV charges'!$A:$O,2,0))</f>
        <v/>
      </c>
      <c r="C193" s="124" t="str">
        <f>IF($A193="","",VLOOKUP($A193,'Annex 2 EHV charges'!$A:$O,3,0))</f>
        <v/>
      </c>
      <c r="D193" s="123" t="str">
        <f>IF($A193="","",VLOOKUP($A193,'Annex 2 EHV charges'!$A:$O,7,0))</f>
        <v/>
      </c>
      <c r="E193" s="128" t="str">
        <f>IFERROR(IF(VLOOKUP($A193,'Annex 2 EHV charges'!$A:$O,8,FALSE)=0,"",VLOOKUP($A193,'Annex 2 EHV charges'!$A:$O,8,FALSE)),"")</f>
        <v/>
      </c>
      <c r="F193" s="129" t="str">
        <f>IFERROR(IF(VLOOKUP($A193,'Annex 2 EHV charges'!$A:$O,9,FALSE)=0,"",VLOOKUP($A193,'Annex 2 EHV charges'!$A:$O,9,FALSE)),"")</f>
        <v/>
      </c>
      <c r="G193" s="130" t="str">
        <f>IFERROR(IF(VLOOKUP($A193,'Annex 2 EHV charges'!$A:$O,10,FALSE)=0,"",VLOOKUP($A193,'Annex 2 EHV charges'!$A:$O,10,FALSE)),"")</f>
        <v/>
      </c>
      <c r="H193" s="130" t="str">
        <f>IFERROR(IF(VLOOKUP($A193,'Annex 2 EHV charges'!$A:$O,11,FALSE)=0,"",VLOOKUP($A193,'Annex 2 EHV charges'!$A:$O,11,FALSE)),"")</f>
        <v/>
      </c>
    </row>
    <row r="194" spans="1:8" x14ac:dyDescent="0.2">
      <c r="A194" s="123" t="str">
        <f t="array" ref="A194">IFERROR(INDEX('Annex 2 EHV charges'!$A$11:$A$260, MATCH(0, IF(ISBLANK('Annex 2 EHV charges'!$A$11:$A$260),1, COUNTIF(A$4:$A193, 'Annex 2 EHV charges'!$A$11:$A$260)), 0)),"")</f>
        <v/>
      </c>
      <c r="B194" s="123" t="str">
        <f>IF($A194="","",VLOOKUP($A194,'Annex 2 EHV charges'!$A:$O,2,0))</f>
        <v/>
      </c>
      <c r="C194" s="124" t="str">
        <f>IF($A194="","",VLOOKUP($A194,'Annex 2 EHV charges'!$A:$O,3,0))</f>
        <v/>
      </c>
      <c r="D194" s="123" t="str">
        <f>IF($A194="","",VLOOKUP($A194,'Annex 2 EHV charges'!$A:$O,7,0))</f>
        <v/>
      </c>
      <c r="E194" s="128" t="str">
        <f>IFERROR(IF(VLOOKUP($A194,'Annex 2 EHV charges'!$A:$O,8,FALSE)=0,"",VLOOKUP($A194,'Annex 2 EHV charges'!$A:$O,8,FALSE)),"")</f>
        <v/>
      </c>
      <c r="F194" s="129" t="str">
        <f>IFERROR(IF(VLOOKUP($A194,'Annex 2 EHV charges'!$A:$O,9,FALSE)=0,"",VLOOKUP($A194,'Annex 2 EHV charges'!$A:$O,9,FALSE)),"")</f>
        <v/>
      </c>
      <c r="G194" s="130" t="str">
        <f>IFERROR(IF(VLOOKUP($A194,'Annex 2 EHV charges'!$A:$O,10,FALSE)=0,"",VLOOKUP($A194,'Annex 2 EHV charges'!$A:$O,10,FALSE)),"")</f>
        <v/>
      </c>
      <c r="H194" s="130" t="str">
        <f>IFERROR(IF(VLOOKUP($A194,'Annex 2 EHV charges'!$A:$O,11,FALSE)=0,"",VLOOKUP($A194,'Annex 2 EHV charges'!$A:$O,11,FALSE)),"")</f>
        <v/>
      </c>
    </row>
    <row r="195" spans="1:8" x14ac:dyDescent="0.2">
      <c r="A195" s="123" t="str">
        <f t="array" ref="A195">IFERROR(INDEX('Annex 2 EHV charges'!$A$11:$A$260, MATCH(0, IF(ISBLANK('Annex 2 EHV charges'!$A$11:$A$260),1, COUNTIF(A$4:$A194, 'Annex 2 EHV charges'!$A$11:$A$260)), 0)),"")</f>
        <v/>
      </c>
      <c r="B195" s="123" t="str">
        <f>IF($A195="","",VLOOKUP($A195,'Annex 2 EHV charges'!$A:$O,2,0))</f>
        <v/>
      </c>
      <c r="C195" s="124" t="str">
        <f>IF($A195="","",VLOOKUP($A195,'Annex 2 EHV charges'!$A:$O,3,0))</f>
        <v/>
      </c>
      <c r="D195" s="123" t="str">
        <f>IF($A195="","",VLOOKUP($A195,'Annex 2 EHV charges'!$A:$O,7,0))</f>
        <v/>
      </c>
      <c r="E195" s="128" t="str">
        <f>IFERROR(IF(VLOOKUP($A195,'Annex 2 EHV charges'!$A:$O,8,FALSE)=0,"",VLOOKUP($A195,'Annex 2 EHV charges'!$A:$O,8,FALSE)),"")</f>
        <v/>
      </c>
      <c r="F195" s="129" t="str">
        <f>IFERROR(IF(VLOOKUP($A195,'Annex 2 EHV charges'!$A:$O,9,FALSE)=0,"",VLOOKUP($A195,'Annex 2 EHV charges'!$A:$O,9,FALSE)),"")</f>
        <v/>
      </c>
      <c r="G195" s="130" t="str">
        <f>IFERROR(IF(VLOOKUP($A195,'Annex 2 EHV charges'!$A:$O,10,FALSE)=0,"",VLOOKUP($A195,'Annex 2 EHV charges'!$A:$O,10,FALSE)),"")</f>
        <v/>
      </c>
      <c r="H195" s="130" t="str">
        <f>IFERROR(IF(VLOOKUP($A195,'Annex 2 EHV charges'!$A:$O,11,FALSE)=0,"",VLOOKUP($A195,'Annex 2 EHV charges'!$A:$O,11,FALSE)),"")</f>
        <v/>
      </c>
    </row>
    <row r="196" spans="1:8" x14ac:dyDescent="0.2">
      <c r="A196" s="123" t="str">
        <f t="array" ref="A196">IFERROR(INDEX('Annex 2 EHV charges'!$A$11:$A$260, MATCH(0, IF(ISBLANK('Annex 2 EHV charges'!$A$11:$A$260),1, COUNTIF(A$4:$A195, 'Annex 2 EHV charges'!$A$11:$A$260)), 0)),"")</f>
        <v/>
      </c>
      <c r="B196" s="123" t="str">
        <f>IF($A196="","",VLOOKUP($A196,'Annex 2 EHV charges'!$A:$O,2,0))</f>
        <v/>
      </c>
      <c r="C196" s="124" t="str">
        <f>IF($A196="","",VLOOKUP($A196,'Annex 2 EHV charges'!$A:$O,3,0))</f>
        <v/>
      </c>
      <c r="D196" s="123" t="str">
        <f>IF($A196="","",VLOOKUP($A196,'Annex 2 EHV charges'!$A:$O,7,0))</f>
        <v/>
      </c>
      <c r="E196" s="128" t="str">
        <f>IFERROR(IF(VLOOKUP($A196,'Annex 2 EHV charges'!$A:$O,8,FALSE)=0,"",VLOOKUP($A196,'Annex 2 EHV charges'!$A:$O,8,FALSE)),"")</f>
        <v/>
      </c>
      <c r="F196" s="129" t="str">
        <f>IFERROR(IF(VLOOKUP($A196,'Annex 2 EHV charges'!$A:$O,9,FALSE)=0,"",VLOOKUP($A196,'Annex 2 EHV charges'!$A:$O,9,FALSE)),"")</f>
        <v/>
      </c>
      <c r="G196" s="130" t="str">
        <f>IFERROR(IF(VLOOKUP($A196,'Annex 2 EHV charges'!$A:$O,10,FALSE)=0,"",VLOOKUP($A196,'Annex 2 EHV charges'!$A:$O,10,FALSE)),"")</f>
        <v/>
      </c>
      <c r="H196" s="130" t="str">
        <f>IFERROR(IF(VLOOKUP($A196,'Annex 2 EHV charges'!$A:$O,11,FALSE)=0,"",VLOOKUP($A196,'Annex 2 EHV charges'!$A:$O,11,FALSE)),"")</f>
        <v/>
      </c>
    </row>
    <row r="197" spans="1:8" x14ac:dyDescent="0.2">
      <c r="A197" s="123" t="str">
        <f t="array" ref="A197">IFERROR(INDEX('Annex 2 EHV charges'!$A$11:$A$260, MATCH(0, IF(ISBLANK('Annex 2 EHV charges'!$A$11:$A$260),1, COUNTIF(A$4:$A196, 'Annex 2 EHV charges'!$A$11:$A$260)), 0)),"")</f>
        <v/>
      </c>
      <c r="B197" s="123" t="str">
        <f>IF($A197="","",VLOOKUP($A197,'Annex 2 EHV charges'!$A:$O,2,0))</f>
        <v/>
      </c>
      <c r="C197" s="124" t="str">
        <f>IF($A197="","",VLOOKUP($A197,'Annex 2 EHV charges'!$A:$O,3,0))</f>
        <v/>
      </c>
      <c r="D197" s="123" t="str">
        <f>IF($A197="","",VLOOKUP($A197,'Annex 2 EHV charges'!$A:$O,7,0))</f>
        <v/>
      </c>
      <c r="E197" s="128" t="str">
        <f>IFERROR(IF(VLOOKUP($A197,'Annex 2 EHV charges'!$A:$O,8,FALSE)=0,"",VLOOKUP($A197,'Annex 2 EHV charges'!$A:$O,8,FALSE)),"")</f>
        <v/>
      </c>
      <c r="F197" s="129" t="str">
        <f>IFERROR(IF(VLOOKUP($A197,'Annex 2 EHV charges'!$A:$O,9,FALSE)=0,"",VLOOKUP($A197,'Annex 2 EHV charges'!$A:$O,9,FALSE)),"")</f>
        <v/>
      </c>
      <c r="G197" s="130" t="str">
        <f>IFERROR(IF(VLOOKUP($A197,'Annex 2 EHV charges'!$A:$O,10,FALSE)=0,"",VLOOKUP($A197,'Annex 2 EHV charges'!$A:$O,10,FALSE)),"")</f>
        <v/>
      </c>
      <c r="H197" s="130" t="str">
        <f>IFERROR(IF(VLOOKUP($A197,'Annex 2 EHV charges'!$A:$O,11,FALSE)=0,"",VLOOKUP($A197,'Annex 2 EHV charges'!$A:$O,11,FALSE)),"")</f>
        <v/>
      </c>
    </row>
    <row r="198" spans="1:8" x14ac:dyDescent="0.2">
      <c r="A198" s="123" t="str">
        <f t="array" ref="A198">IFERROR(INDEX('Annex 2 EHV charges'!$A$11:$A$260, MATCH(0, IF(ISBLANK('Annex 2 EHV charges'!$A$11:$A$260),1, COUNTIF(A$4:$A197, 'Annex 2 EHV charges'!$A$11:$A$260)), 0)),"")</f>
        <v/>
      </c>
      <c r="B198" s="123" t="str">
        <f>IF($A198="","",VLOOKUP($A198,'Annex 2 EHV charges'!$A:$O,2,0))</f>
        <v/>
      </c>
      <c r="C198" s="124" t="str">
        <f>IF($A198="","",VLOOKUP($A198,'Annex 2 EHV charges'!$A:$O,3,0))</f>
        <v/>
      </c>
      <c r="D198" s="123" t="str">
        <f>IF($A198="","",VLOOKUP($A198,'Annex 2 EHV charges'!$A:$O,7,0))</f>
        <v/>
      </c>
      <c r="E198" s="128" t="str">
        <f>IFERROR(IF(VLOOKUP($A198,'Annex 2 EHV charges'!$A:$O,8,FALSE)=0,"",VLOOKUP($A198,'Annex 2 EHV charges'!$A:$O,8,FALSE)),"")</f>
        <v/>
      </c>
      <c r="F198" s="129" t="str">
        <f>IFERROR(IF(VLOOKUP($A198,'Annex 2 EHV charges'!$A:$O,9,FALSE)=0,"",VLOOKUP($A198,'Annex 2 EHV charges'!$A:$O,9,FALSE)),"")</f>
        <v/>
      </c>
      <c r="G198" s="130" t="str">
        <f>IFERROR(IF(VLOOKUP($A198,'Annex 2 EHV charges'!$A:$O,10,FALSE)=0,"",VLOOKUP($A198,'Annex 2 EHV charges'!$A:$O,10,FALSE)),"")</f>
        <v/>
      </c>
      <c r="H198" s="130" t="str">
        <f>IFERROR(IF(VLOOKUP($A198,'Annex 2 EHV charges'!$A:$O,11,FALSE)=0,"",VLOOKUP($A198,'Annex 2 EHV charges'!$A:$O,11,FALSE)),"")</f>
        <v/>
      </c>
    </row>
    <row r="199" spans="1:8" x14ac:dyDescent="0.2">
      <c r="A199" s="123" t="str">
        <f t="array" ref="A199">IFERROR(INDEX('Annex 2 EHV charges'!$A$11:$A$260, MATCH(0, IF(ISBLANK('Annex 2 EHV charges'!$A$11:$A$260),1, COUNTIF(A$4:$A198, 'Annex 2 EHV charges'!$A$11:$A$260)), 0)),"")</f>
        <v/>
      </c>
      <c r="B199" s="123" t="str">
        <f>IF($A199="","",VLOOKUP($A199,'Annex 2 EHV charges'!$A:$O,2,0))</f>
        <v/>
      </c>
      <c r="C199" s="124" t="str">
        <f>IF($A199="","",VLOOKUP($A199,'Annex 2 EHV charges'!$A:$O,3,0))</f>
        <v/>
      </c>
      <c r="D199" s="123" t="str">
        <f>IF($A199="","",VLOOKUP($A199,'Annex 2 EHV charges'!$A:$O,7,0))</f>
        <v/>
      </c>
      <c r="E199" s="128" t="str">
        <f>IFERROR(IF(VLOOKUP($A199,'Annex 2 EHV charges'!$A:$O,8,FALSE)=0,"",VLOOKUP($A199,'Annex 2 EHV charges'!$A:$O,8,FALSE)),"")</f>
        <v/>
      </c>
      <c r="F199" s="129" t="str">
        <f>IFERROR(IF(VLOOKUP($A199,'Annex 2 EHV charges'!$A:$O,9,FALSE)=0,"",VLOOKUP($A199,'Annex 2 EHV charges'!$A:$O,9,FALSE)),"")</f>
        <v/>
      </c>
      <c r="G199" s="130" t="str">
        <f>IFERROR(IF(VLOOKUP($A199,'Annex 2 EHV charges'!$A:$O,10,FALSE)=0,"",VLOOKUP($A199,'Annex 2 EHV charges'!$A:$O,10,FALSE)),"")</f>
        <v/>
      </c>
      <c r="H199" s="130" t="str">
        <f>IFERROR(IF(VLOOKUP($A199,'Annex 2 EHV charges'!$A:$O,11,FALSE)=0,"",VLOOKUP($A199,'Annex 2 EHV charges'!$A:$O,11,FALSE)),"")</f>
        <v/>
      </c>
    </row>
    <row r="200" spans="1:8" x14ac:dyDescent="0.2">
      <c r="A200" s="123" t="str">
        <f t="array" ref="A200">IFERROR(INDEX('Annex 2 EHV charges'!$A$11:$A$260, MATCH(0, IF(ISBLANK('Annex 2 EHV charges'!$A$11:$A$260),1, COUNTIF(A$4:$A199, 'Annex 2 EHV charges'!$A$11:$A$260)), 0)),"")</f>
        <v/>
      </c>
      <c r="B200" s="123" t="str">
        <f>IF($A200="","",VLOOKUP($A200,'Annex 2 EHV charges'!$A:$O,2,0))</f>
        <v/>
      </c>
      <c r="C200" s="124" t="str">
        <f>IF($A200="","",VLOOKUP($A200,'Annex 2 EHV charges'!$A:$O,3,0))</f>
        <v/>
      </c>
      <c r="D200" s="123" t="str">
        <f>IF($A200="","",VLOOKUP($A200,'Annex 2 EHV charges'!$A:$O,7,0))</f>
        <v/>
      </c>
      <c r="E200" s="128" t="str">
        <f>IFERROR(IF(VLOOKUP($A200,'Annex 2 EHV charges'!$A:$O,8,FALSE)=0,"",VLOOKUP($A200,'Annex 2 EHV charges'!$A:$O,8,FALSE)),"")</f>
        <v/>
      </c>
      <c r="F200" s="129" t="str">
        <f>IFERROR(IF(VLOOKUP($A200,'Annex 2 EHV charges'!$A:$O,9,FALSE)=0,"",VLOOKUP($A200,'Annex 2 EHV charges'!$A:$O,9,FALSE)),"")</f>
        <v/>
      </c>
      <c r="G200" s="130" t="str">
        <f>IFERROR(IF(VLOOKUP($A200,'Annex 2 EHV charges'!$A:$O,10,FALSE)=0,"",VLOOKUP($A200,'Annex 2 EHV charges'!$A:$O,10,FALSE)),"")</f>
        <v/>
      </c>
      <c r="H200" s="130" t="str">
        <f>IFERROR(IF(VLOOKUP($A200,'Annex 2 EHV charges'!$A:$O,11,FALSE)=0,"",VLOOKUP($A200,'Annex 2 EHV charges'!$A:$O,11,FALSE)),"")</f>
        <v/>
      </c>
    </row>
    <row r="201" spans="1:8" x14ac:dyDescent="0.2">
      <c r="A201" s="123" t="str">
        <f t="array" ref="A201">IFERROR(INDEX('Annex 2 EHV charges'!$A$11:$A$260, MATCH(0, IF(ISBLANK('Annex 2 EHV charges'!$A$11:$A$260),1, COUNTIF(A$4:$A200, 'Annex 2 EHV charges'!$A$11:$A$260)), 0)),"")</f>
        <v/>
      </c>
      <c r="B201" s="123" t="str">
        <f>IF($A201="","",VLOOKUP($A201,'Annex 2 EHV charges'!$A:$O,2,0))</f>
        <v/>
      </c>
      <c r="C201" s="124" t="str">
        <f>IF($A201="","",VLOOKUP($A201,'Annex 2 EHV charges'!$A:$O,3,0))</f>
        <v/>
      </c>
      <c r="D201" s="123" t="str">
        <f>IF($A201="","",VLOOKUP($A201,'Annex 2 EHV charges'!$A:$O,7,0))</f>
        <v/>
      </c>
      <c r="E201" s="128" t="str">
        <f>IFERROR(IF(VLOOKUP($A201,'Annex 2 EHV charges'!$A:$O,8,FALSE)=0,"",VLOOKUP($A201,'Annex 2 EHV charges'!$A:$O,8,FALSE)),"")</f>
        <v/>
      </c>
      <c r="F201" s="129" t="str">
        <f>IFERROR(IF(VLOOKUP($A201,'Annex 2 EHV charges'!$A:$O,9,FALSE)=0,"",VLOOKUP($A201,'Annex 2 EHV charges'!$A:$O,9,FALSE)),"")</f>
        <v/>
      </c>
      <c r="G201" s="130" t="str">
        <f>IFERROR(IF(VLOOKUP($A201,'Annex 2 EHV charges'!$A:$O,10,FALSE)=0,"",VLOOKUP($A201,'Annex 2 EHV charges'!$A:$O,10,FALSE)),"")</f>
        <v/>
      </c>
      <c r="H201" s="130" t="str">
        <f>IFERROR(IF(VLOOKUP($A201,'Annex 2 EHV charges'!$A:$O,11,FALSE)=0,"",VLOOKUP($A201,'Annex 2 EHV charges'!$A:$O,11,FALSE)),"")</f>
        <v/>
      </c>
    </row>
    <row r="202" spans="1:8" x14ac:dyDescent="0.2">
      <c r="A202" s="123" t="str">
        <f t="array" ref="A202">IFERROR(INDEX('Annex 2 EHV charges'!$A$11:$A$260, MATCH(0, IF(ISBLANK('Annex 2 EHV charges'!$A$11:$A$260),1, COUNTIF(A$4:$A201, 'Annex 2 EHV charges'!$A$11:$A$260)), 0)),"")</f>
        <v/>
      </c>
      <c r="B202" s="123" t="str">
        <f>IF($A202="","",VLOOKUP($A202,'Annex 2 EHV charges'!$A:$O,2,0))</f>
        <v/>
      </c>
      <c r="C202" s="124" t="str">
        <f>IF($A202="","",VLOOKUP($A202,'Annex 2 EHV charges'!$A:$O,3,0))</f>
        <v/>
      </c>
      <c r="D202" s="123" t="str">
        <f>IF($A202="","",VLOOKUP($A202,'Annex 2 EHV charges'!$A:$O,7,0))</f>
        <v/>
      </c>
      <c r="E202" s="128" t="str">
        <f>IFERROR(IF(VLOOKUP($A202,'Annex 2 EHV charges'!$A:$O,8,FALSE)=0,"",VLOOKUP($A202,'Annex 2 EHV charges'!$A:$O,8,FALSE)),"")</f>
        <v/>
      </c>
      <c r="F202" s="129" t="str">
        <f>IFERROR(IF(VLOOKUP($A202,'Annex 2 EHV charges'!$A:$O,9,FALSE)=0,"",VLOOKUP($A202,'Annex 2 EHV charges'!$A:$O,9,FALSE)),"")</f>
        <v/>
      </c>
      <c r="G202" s="130" t="str">
        <f>IFERROR(IF(VLOOKUP($A202,'Annex 2 EHV charges'!$A:$O,10,FALSE)=0,"",VLOOKUP($A202,'Annex 2 EHV charges'!$A:$O,10,FALSE)),"")</f>
        <v/>
      </c>
      <c r="H202" s="130" t="str">
        <f>IFERROR(IF(VLOOKUP($A202,'Annex 2 EHV charges'!$A:$O,11,FALSE)=0,"",VLOOKUP($A202,'Annex 2 EHV charges'!$A:$O,11,FALSE)),"")</f>
        <v/>
      </c>
    </row>
    <row r="203" spans="1:8" x14ac:dyDescent="0.2">
      <c r="A203" s="123" t="str">
        <f t="array" ref="A203">IFERROR(INDEX('Annex 2 EHV charges'!$A$11:$A$260, MATCH(0, IF(ISBLANK('Annex 2 EHV charges'!$A$11:$A$260),1, COUNTIF(A$4:$A202, 'Annex 2 EHV charges'!$A$11:$A$260)), 0)),"")</f>
        <v/>
      </c>
      <c r="B203" s="123" t="str">
        <f>IF($A203="","",VLOOKUP($A203,'Annex 2 EHV charges'!$A:$O,2,0))</f>
        <v/>
      </c>
      <c r="C203" s="124" t="str">
        <f>IF($A203="","",VLOOKUP($A203,'Annex 2 EHV charges'!$A:$O,3,0))</f>
        <v/>
      </c>
      <c r="D203" s="123" t="str">
        <f>IF($A203="","",VLOOKUP($A203,'Annex 2 EHV charges'!$A:$O,7,0))</f>
        <v/>
      </c>
      <c r="E203" s="128" t="str">
        <f>IFERROR(IF(VLOOKUP($A203,'Annex 2 EHV charges'!$A:$O,8,FALSE)=0,"",VLOOKUP($A203,'Annex 2 EHV charges'!$A:$O,8,FALSE)),"")</f>
        <v/>
      </c>
      <c r="F203" s="129" t="str">
        <f>IFERROR(IF(VLOOKUP($A203,'Annex 2 EHV charges'!$A:$O,9,FALSE)=0,"",VLOOKUP($A203,'Annex 2 EHV charges'!$A:$O,9,FALSE)),"")</f>
        <v/>
      </c>
      <c r="G203" s="130" t="str">
        <f>IFERROR(IF(VLOOKUP($A203,'Annex 2 EHV charges'!$A:$O,10,FALSE)=0,"",VLOOKUP($A203,'Annex 2 EHV charges'!$A:$O,10,FALSE)),"")</f>
        <v/>
      </c>
      <c r="H203" s="130" t="str">
        <f>IFERROR(IF(VLOOKUP($A203,'Annex 2 EHV charges'!$A:$O,11,FALSE)=0,"",VLOOKUP($A203,'Annex 2 EHV charges'!$A:$O,11,FALSE)),"")</f>
        <v/>
      </c>
    </row>
    <row r="204" spans="1:8" x14ac:dyDescent="0.2">
      <c r="A204" s="123" t="str">
        <f t="array" ref="A204">IFERROR(INDEX('Annex 2 EHV charges'!$A$11:$A$260, MATCH(0, IF(ISBLANK('Annex 2 EHV charges'!$A$11:$A$260),1, COUNTIF(A$4:$A203, 'Annex 2 EHV charges'!$A$11:$A$260)), 0)),"")</f>
        <v/>
      </c>
      <c r="B204" s="123" t="str">
        <f>IF($A204="","",VLOOKUP($A204,'Annex 2 EHV charges'!$A:$O,2,0))</f>
        <v/>
      </c>
      <c r="C204" s="124" t="str">
        <f>IF($A204="","",VLOOKUP($A204,'Annex 2 EHV charges'!$A:$O,3,0))</f>
        <v/>
      </c>
      <c r="D204" s="123" t="str">
        <f>IF($A204="","",VLOOKUP($A204,'Annex 2 EHV charges'!$A:$O,7,0))</f>
        <v/>
      </c>
      <c r="E204" s="128" t="str">
        <f>IFERROR(IF(VLOOKUP($A204,'Annex 2 EHV charges'!$A:$O,8,FALSE)=0,"",VLOOKUP($A204,'Annex 2 EHV charges'!$A:$O,8,FALSE)),"")</f>
        <v/>
      </c>
      <c r="F204" s="129" t="str">
        <f>IFERROR(IF(VLOOKUP($A204,'Annex 2 EHV charges'!$A:$O,9,FALSE)=0,"",VLOOKUP($A204,'Annex 2 EHV charges'!$A:$O,9,FALSE)),"")</f>
        <v/>
      </c>
      <c r="G204" s="130" t="str">
        <f>IFERROR(IF(VLOOKUP($A204,'Annex 2 EHV charges'!$A:$O,10,FALSE)=0,"",VLOOKUP($A204,'Annex 2 EHV charges'!$A:$O,10,FALSE)),"")</f>
        <v/>
      </c>
      <c r="H204" s="130" t="str">
        <f>IFERROR(IF(VLOOKUP($A204,'Annex 2 EHV charges'!$A:$O,11,FALSE)=0,"",VLOOKUP($A204,'Annex 2 EHV charges'!$A:$O,11,FALSE)),"")</f>
        <v/>
      </c>
    </row>
    <row r="205" spans="1:8" x14ac:dyDescent="0.2">
      <c r="A205" s="123" t="str">
        <f t="array" ref="A205">IFERROR(INDEX('Annex 2 EHV charges'!$A$11:$A$260, MATCH(0, IF(ISBLANK('Annex 2 EHV charges'!$A$11:$A$260),1, COUNTIF(A$4:$A204, 'Annex 2 EHV charges'!$A$11:$A$260)), 0)),"")</f>
        <v/>
      </c>
      <c r="B205" s="123" t="str">
        <f>IF($A205="","",VLOOKUP($A205,'Annex 2 EHV charges'!$A:$O,2,0))</f>
        <v/>
      </c>
      <c r="C205" s="124" t="str">
        <f>IF($A205="","",VLOOKUP($A205,'Annex 2 EHV charges'!$A:$O,3,0))</f>
        <v/>
      </c>
      <c r="D205" s="123" t="str">
        <f>IF($A205="","",VLOOKUP($A205,'Annex 2 EHV charges'!$A:$O,7,0))</f>
        <v/>
      </c>
      <c r="E205" s="128" t="str">
        <f>IFERROR(IF(VLOOKUP($A205,'Annex 2 EHV charges'!$A:$O,8,FALSE)=0,"",VLOOKUP($A205,'Annex 2 EHV charges'!$A:$O,8,FALSE)),"")</f>
        <v/>
      </c>
      <c r="F205" s="129" t="str">
        <f>IFERROR(IF(VLOOKUP($A205,'Annex 2 EHV charges'!$A:$O,9,FALSE)=0,"",VLOOKUP($A205,'Annex 2 EHV charges'!$A:$O,9,FALSE)),"")</f>
        <v/>
      </c>
      <c r="G205" s="130" t="str">
        <f>IFERROR(IF(VLOOKUP($A205,'Annex 2 EHV charges'!$A:$O,10,FALSE)=0,"",VLOOKUP($A205,'Annex 2 EHV charges'!$A:$O,10,FALSE)),"")</f>
        <v/>
      </c>
      <c r="H205" s="130" t="str">
        <f>IFERROR(IF(VLOOKUP($A205,'Annex 2 EHV charges'!$A:$O,11,FALSE)=0,"",VLOOKUP($A205,'Annex 2 EHV charges'!$A:$O,11,FALSE)),"")</f>
        <v/>
      </c>
    </row>
    <row r="206" spans="1:8" x14ac:dyDescent="0.2">
      <c r="A206" s="123" t="str">
        <f t="array" ref="A206">IFERROR(INDEX('Annex 2 EHV charges'!$A$11:$A$260, MATCH(0, IF(ISBLANK('Annex 2 EHV charges'!$A$11:$A$260),1, COUNTIF(A$4:$A205, 'Annex 2 EHV charges'!$A$11:$A$260)), 0)),"")</f>
        <v/>
      </c>
      <c r="B206" s="123" t="str">
        <f>IF($A206="","",VLOOKUP($A206,'Annex 2 EHV charges'!$A:$O,2,0))</f>
        <v/>
      </c>
      <c r="C206" s="124" t="str">
        <f>IF($A206="","",VLOOKUP($A206,'Annex 2 EHV charges'!$A:$O,3,0))</f>
        <v/>
      </c>
      <c r="D206" s="123" t="str">
        <f>IF($A206="","",VLOOKUP($A206,'Annex 2 EHV charges'!$A:$O,7,0))</f>
        <v/>
      </c>
      <c r="E206" s="128" t="str">
        <f>IFERROR(IF(VLOOKUP($A206,'Annex 2 EHV charges'!$A:$O,8,FALSE)=0,"",VLOOKUP($A206,'Annex 2 EHV charges'!$A:$O,8,FALSE)),"")</f>
        <v/>
      </c>
      <c r="F206" s="129" t="str">
        <f>IFERROR(IF(VLOOKUP($A206,'Annex 2 EHV charges'!$A:$O,9,FALSE)=0,"",VLOOKUP($A206,'Annex 2 EHV charges'!$A:$O,9,FALSE)),"")</f>
        <v/>
      </c>
      <c r="G206" s="130" t="str">
        <f>IFERROR(IF(VLOOKUP($A206,'Annex 2 EHV charges'!$A:$O,10,FALSE)=0,"",VLOOKUP($A206,'Annex 2 EHV charges'!$A:$O,10,FALSE)),"")</f>
        <v/>
      </c>
      <c r="H206" s="130" t="str">
        <f>IFERROR(IF(VLOOKUP($A206,'Annex 2 EHV charges'!$A:$O,11,FALSE)=0,"",VLOOKUP($A206,'Annex 2 EHV charges'!$A:$O,11,FALSE)),"")</f>
        <v/>
      </c>
    </row>
    <row r="207" spans="1:8" x14ac:dyDescent="0.2">
      <c r="A207" s="123" t="str">
        <f t="array" ref="A207">IFERROR(INDEX('Annex 2 EHV charges'!$A$11:$A$260, MATCH(0, IF(ISBLANK('Annex 2 EHV charges'!$A$11:$A$260),1, COUNTIF(A$4:$A206, 'Annex 2 EHV charges'!$A$11:$A$260)), 0)),"")</f>
        <v/>
      </c>
      <c r="B207" s="123" t="str">
        <f>IF($A207="","",VLOOKUP($A207,'Annex 2 EHV charges'!$A:$O,2,0))</f>
        <v/>
      </c>
      <c r="C207" s="124" t="str">
        <f>IF($A207="","",VLOOKUP($A207,'Annex 2 EHV charges'!$A:$O,3,0))</f>
        <v/>
      </c>
      <c r="D207" s="123" t="str">
        <f>IF($A207="","",VLOOKUP($A207,'Annex 2 EHV charges'!$A:$O,7,0))</f>
        <v/>
      </c>
      <c r="E207" s="128" t="str">
        <f>IFERROR(IF(VLOOKUP($A207,'Annex 2 EHV charges'!$A:$O,8,FALSE)=0,"",VLOOKUP($A207,'Annex 2 EHV charges'!$A:$O,8,FALSE)),"")</f>
        <v/>
      </c>
      <c r="F207" s="129" t="str">
        <f>IFERROR(IF(VLOOKUP($A207,'Annex 2 EHV charges'!$A:$O,9,FALSE)=0,"",VLOOKUP($A207,'Annex 2 EHV charges'!$A:$O,9,FALSE)),"")</f>
        <v/>
      </c>
      <c r="G207" s="130" t="str">
        <f>IFERROR(IF(VLOOKUP($A207,'Annex 2 EHV charges'!$A:$O,10,FALSE)=0,"",VLOOKUP($A207,'Annex 2 EHV charges'!$A:$O,10,FALSE)),"")</f>
        <v/>
      </c>
      <c r="H207" s="130" t="str">
        <f>IFERROR(IF(VLOOKUP($A207,'Annex 2 EHV charges'!$A:$O,11,FALSE)=0,"",VLOOKUP($A207,'Annex 2 EHV charges'!$A:$O,11,FALSE)),"")</f>
        <v/>
      </c>
    </row>
    <row r="208" spans="1:8" x14ac:dyDescent="0.2">
      <c r="A208" s="123" t="str">
        <f t="array" ref="A208">IFERROR(INDEX('Annex 2 EHV charges'!$A$11:$A$260, MATCH(0, IF(ISBLANK('Annex 2 EHV charges'!$A$11:$A$260),1, COUNTIF(A$4:$A207, 'Annex 2 EHV charges'!$A$11:$A$260)), 0)),"")</f>
        <v/>
      </c>
      <c r="B208" s="123" t="str">
        <f>IF($A208="","",VLOOKUP($A208,'Annex 2 EHV charges'!$A:$O,2,0))</f>
        <v/>
      </c>
      <c r="C208" s="124" t="str">
        <f>IF($A208="","",VLOOKUP($A208,'Annex 2 EHV charges'!$A:$O,3,0))</f>
        <v/>
      </c>
      <c r="D208" s="123" t="str">
        <f>IF($A208="","",VLOOKUP($A208,'Annex 2 EHV charges'!$A:$O,7,0))</f>
        <v/>
      </c>
      <c r="E208" s="128" t="str">
        <f>IFERROR(IF(VLOOKUP($A208,'Annex 2 EHV charges'!$A:$O,8,FALSE)=0,"",VLOOKUP($A208,'Annex 2 EHV charges'!$A:$O,8,FALSE)),"")</f>
        <v/>
      </c>
      <c r="F208" s="129" t="str">
        <f>IFERROR(IF(VLOOKUP($A208,'Annex 2 EHV charges'!$A:$O,9,FALSE)=0,"",VLOOKUP($A208,'Annex 2 EHV charges'!$A:$O,9,FALSE)),"")</f>
        <v/>
      </c>
      <c r="G208" s="130" t="str">
        <f>IFERROR(IF(VLOOKUP($A208,'Annex 2 EHV charges'!$A:$O,10,FALSE)=0,"",VLOOKUP($A208,'Annex 2 EHV charges'!$A:$O,10,FALSE)),"")</f>
        <v/>
      </c>
      <c r="H208" s="130" t="str">
        <f>IFERROR(IF(VLOOKUP($A208,'Annex 2 EHV charges'!$A:$O,11,FALSE)=0,"",VLOOKUP($A208,'Annex 2 EHV charges'!$A:$O,11,FALSE)),"")</f>
        <v/>
      </c>
    </row>
    <row r="209" spans="1:8" x14ac:dyDescent="0.2">
      <c r="A209" s="123" t="str">
        <f t="array" ref="A209">IFERROR(INDEX('Annex 2 EHV charges'!$A$11:$A$260, MATCH(0, IF(ISBLANK('Annex 2 EHV charges'!$A$11:$A$260),1, COUNTIF(A$4:$A208, 'Annex 2 EHV charges'!$A$11:$A$260)), 0)),"")</f>
        <v/>
      </c>
      <c r="B209" s="123" t="str">
        <f>IF($A209="","",VLOOKUP($A209,'Annex 2 EHV charges'!$A:$O,2,0))</f>
        <v/>
      </c>
      <c r="C209" s="124" t="str">
        <f>IF($A209="","",VLOOKUP($A209,'Annex 2 EHV charges'!$A:$O,3,0))</f>
        <v/>
      </c>
      <c r="D209" s="123" t="str">
        <f>IF($A209="","",VLOOKUP($A209,'Annex 2 EHV charges'!$A:$O,7,0))</f>
        <v/>
      </c>
      <c r="E209" s="128" t="str">
        <f>IFERROR(IF(VLOOKUP($A209,'Annex 2 EHV charges'!$A:$O,8,FALSE)=0,"",VLOOKUP($A209,'Annex 2 EHV charges'!$A:$O,8,FALSE)),"")</f>
        <v/>
      </c>
      <c r="F209" s="129" t="str">
        <f>IFERROR(IF(VLOOKUP($A209,'Annex 2 EHV charges'!$A:$O,9,FALSE)=0,"",VLOOKUP($A209,'Annex 2 EHV charges'!$A:$O,9,FALSE)),"")</f>
        <v/>
      </c>
      <c r="G209" s="130" t="str">
        <f>IFERROR(IF(VLOOKUP($A209,'Annex 2 EHV charges'!$A:$O,10,FALSE)=0,"",VLOOKUP($A209,'Annex 2 EHV charges'!$A:$O,10,FALSE)),"")</f>
        <v/>
      </c>
      <c r="H209" s="130" t="str">
        <f>IFERROR(IF(VLOOKUP($A209,'Annex 2 EHV charges'!$A:$O,11,FALSE)=0,"",VLOOKUP($A209,'Annex 2 EHV charges'!$A:$O,11,FALSE)),"")</f>
        <v/>
      </c>
    </row>
    <row r="210" spans="1:8" x14ac:dyDescent="0.2">
      <c r="A210" s="123" t="str">
        <f t="array" ref="A210">IFERROR(INDEX('Annex 2 EHV charges'!$A$11:$A$260, MATCH(0, IF(ISBLANK('Annex 2 EHV charges'!$A$11:$A$260),1, COUNTIF(A$4:$A209, 'Annex 2 EHV charges'!$A$11:$A$260)), 0)),"")</f>
        <v/>
      </c>
      <c r="B210" s="123" t="str">
        <f>IF($A210="","",VLOOKUP($A210,'Annex 2 EHV charges'!$A:$O,2,0))</f>
        <v/>
      </c>
      <c r="C210" s="124" t="str">
        <f>IF($A210="","",VLOOKUP($A210,'Annex 2 EHV charges'!$A:$O,3,0))</f>
        <v/>
      </c>
      <c r="D210" s="123" t="str">
        <f>IF($A210="","",VLOOKUP($A210,'Annex 2 EHV charges'!$A:$O,7,0))</f>
        <v/>
      </c>
      <c r="E210" s="128" t="str">
        <f>IFERROR(IF(VLOOKUP($A210,'Annex 2 EHV charges'!$A:$O,8,FALSE)=0,"",VLOOKUP($A210,'Annex 2 EHV charges'!$A:$O,8,FALSE)),"")</f>
        <v/>
      </c>
      <c r="F210" s="129" t="str">
        <f>IFERROR(IF(VLOOKUP($A210,'Annex 2 EHV charges'!$A:$O,9,FALSE)=0,"",VLOOKUP($A210,'Annex 2 EHV charges'!$A:$O,9,FALSE)),"")</f>
        <v/>
      </c>
      <c r="G210" s="130" t="str">
        <f>IFERROR(IF(VLOOKUP($A210,'Annex 2 EHV charges'!$A:$O,10,FALSE)=0,"",VLOOKUP($A210,'Annex 2 EHV charges'!$A:$O,10,FALSE)),"")</f>
        <v/>
      </c>
      <c r="H210" s="130" t="str">
        <f>IFERROR(IF(VLOOKUP($A210,'Annex 2 EHV charges'!$A:$O,11,FALSE)=0,"",VLOOKUP($A210,'Annex 2 EHV charges'!$A:$O,11,FALSE)),"")</f>
        <v/>
      </c>
    </row>
    <row r="211" spans="1:8" x14ac:dyDescent="0.2">
      <c r="A211" s="123" t="str">
        <f t="array" ref="A211">IFERROR(INDEX('Annex 2 EHV charges'!$A$11:$A$260, MATCH(0, IF(ISBLANK('Annex 2 EHV charges'!$A$11:$A$260),1, COUNTIF(A$4:$A210, 'Annex 2 EHV charges'!$A$11:$A$260)), 0)),"")</f>
        <v/>
      </c>
      <c r="B211" s="123" t="str">
        <f>IF($A211="","",VLOOKUP($A211,'Annex 2 EHV charges'!$A:$O,2,0))</f>
        <v/>
      </c>
      <c r="C211" s="124" t="str">
        <f>IF($A211="","",VLOOKUP($A211,'Annex 2 EHV charges'!$A:$O,3,0))</f>
        <v/>
      </c>
      <c r="D211" s="123" t="str">
        <f>IF($A211="","",VLOOKUP($A211,'Annex 2 EHV charges'!$A:$O,7,0))</f>
        <v/>
      </c>
      <c r="E211" s="128" t="str">
        <f>IFERROR(IF(VLOOKUP($A211,'Annex 2 EHV charges'!$A:$O,8,FALSE)=0,"",VLOOKUP($A211,'Annex 2 EHV charges'!$A:$O,8,FALSE)),"")</f>
        <v/>
      </c>
      <c r="F211" s="129" t="str">
        <f>IFERROR(IF(VLOOKUP($A211,'Annex 2 EHV charges'!$A:$O,9,FALSE)=0,"",VLOOKUP($A211,'Annex 2 EHV charges'!$A:$O,9,FALSE)),"")</f>
        <v/>
      </c>
      <c r="G211" s="130" t="str">
        <f>IFERROR(IF(VLOOKUP($A211,'Annex 2 EHV charges'!$A:$O,10,FALSE)=0,"",VLOOKUP($A211,'Annex 2 EHV charges'!$A:$O,10,FALSE)),"")</f>
        <v/>
      </c>
      <c r="H211" s="130" t="str">
        <f>IFERROR(IF(VLOOKUP($A211,'Annex 2 EHV charges'!$A:$O,11,FALSE)=0,"",VLOOKUP($A211,'Annex 2 EHV charges'!$A:$O,11,FALSE)),"")</f>
        <v/>
      </c>
    </row>
    <row r="212" spans="1:8" x14ac:dyDescent="0.2">
      <c r="A212" s="123" t="str">
        <f t="array" ref="A212">IFERROR(INDEX('Annex 2 EHV charges'!$A$11:$A$260, MATCH(0, IF(ISBLANK('Annex 2 EHV charges'!$A$11:$A$260),1, COUNTIF(A$4:$A211, 'Annex 2 EHV charges'!$A$11:$A$260)), 0)),"")</f>
        <v/>
      </c>
      <c r="B212" s="123" t="str">
        <f>IF($A212="","",VLOOKUP($A212,'Annex 2 EHV charges'!$A:$O,2,0))</f>
        <v/>
      </c>
      <c r="C212" s="124" t="str">
        <f>IF($A212="","",VLOOKUP($A212,'Annex 2 EHV charges'!$A:$O,3,0))</f>
        <v/>
      </c>
      <c r="D212" s="123" t="str">
        <f>IF($A212="","",VLOOKUP($A212,'Annex 2 EHV charges'!$A:$O,7,0))</f>
        <v/>
      </c>
      <c r="E212" s="128" t="str">
        <f>IFERROR(IF(VLOOKUP($A212,'Annex 2 EHV charges'!$A:$O,8,FALSE)=0,"",VLOOKUP($A212,'Annex 2 EHV charges'!$A:$O,8,FALSE)),"")</f>
        <v/>
      </c>
      <c r="F212" s="129" t="str">
        <f>IFERROR(IF(VLOOKUP($A212,'Annex 2 EHV charges'!$A:$O,9,FALSE)=0,"",VLOOKUP($A212,'Annex 2 EHV charges'!$A:$O,9,FALSE)),"")</f>
        <v/>
      </c>
      <c r="G212" s="130" t="str">
        <f>IFERROR(IF(VLOOKUP($A212,'Annex 2 EHV charges'!$A:$O,10,FALSE)=0,"",VLOOKUP($A212,'Annex 2 EHV charges'!$A:$O,10,FALSE)),"")</f>
        <v/>
      </c>
      <c r="H212" s="130" t="str">
        <f>IFERROR(IF(VLOOKUP($A212,'Annex 2 EHV charges'!$A:$O,11,FALSE)=0,"",VLOOKUP($A212,'Annex 2 EHV charges'!$A:$O,11,FALSE)),"")</f>
        <v/>
      </c>
    </row>
    <row r="213" spans="1:8" x14ac:dyDescent="0.2">
      <c r="A213" s="123" t="str">
        <f t="array" ref="A213">IFERROR(INDEX('Annex 2 EHV charges'!$A$11:$A$260, MATCH(0, IF(ISBLANK('Annex 2 EHV charges'!$A$11:$A$260),1, COUNTIF(A$4:$A212, 'Annex 2 EHV charges'!$A$11:$A$260)), 0)),"")</f>
        <v/>
      </c>
      <c r="B213" s="123" t="str">
        <f>IF($A213="","",VLOOKUP($A213,'Annex 2 EHV charges'!$A:$O,2,0))</f>
        <v/>
      </c>
      <c r="C213" s="124" t="str">
        <f>IF($A213="","",VLOOKUP($A213,'Annex 2 EHV charges'!$A:$O,3,0))</f>
        <v/>
      </c>
      <c r="D213" s="123" t="str">
        <f>IF($A213="","",VLOOKUP($A213,'Annex 2 EHV charges'!$A:$O,7,0))</f>
        <v/>
      </c>
      <c r="E213" s="128" t="str">
        <f>IFERROR(IF(VLOOKUP($A213,'Annex 2 EHV charges'!$A:$O,8,FALSE)=0,"",VLOOKUP($A213,'Annex 2 EHV charges'!$A:$O,8,FALSE)),"")</f>
        <v/>
      </c>
      <c r="F213" s="129" t="str">
        <f>IFERROR(IF(VLOOKUP($A213,'Annex 2 EHV charges'!$A:$O,9,FALSE)=0,"",VLOOKUP($A213,'Annex 2 EHV charges'!$A:$O,9,FALSE)),"")</f>
        <v/>
      </c>
      <c r="G213" s="130" t="str">
        <f>IFERROR(IF(VLOOKUP($A213,'Annex 2 EHV charges'!$A:$O,10,FALSE)=0,"",VLOOKUP($A213,'Annex 2 EHV charges'!$A:$O,10,FALSE)),"")</f>
        <v/>
      </c>
      <c r="H213" s="130" t="str">
        <f>IFERROR(IF(VLOOKUP($A213,'Annex 2 EHV charges'!$A:$O,11,FALSE)=0,"",VLOOKUP($A213,'Annex 2 EHV charges'!$A:$O,11,FALSE)),"")</f>
        <v/>
      </c>
    </row>
    <row r="214" spans="1:8" x14ac:dyDescent="0.2">
      <c r="A214" s="123" t="str">
        <f t="array" ref="A214">IFERROR(INDEX('Annex 2 EHV charges'!$A$11:$A$260, MATCH(0, IF(ISBLANK('Annex 2 EHV charges'!$A$11:$A$260),1, COUNTIF(A$4:$A213, 'Annex 2 EHV charges'!$A$11:$A$260)), 0)),"")</f>
        <v/>
      </c>
      <c r="B214" s="123" t="str">
        <f>IF($A214="","",VLOOKUP($A214,'Annex 2 EHV charges'!$A:$O,2,0))</f>
        <v/>
      </c>
      <c r="C214" s="124" t="str">
        <f>IF($A214="","",VLOOKUP($A214,'Annex 2 EHV charges'!$A:$O,3,0))</f>
        <v/>
      </c>
      <c r="D214" s="123" t="str">
        <f>IF($A214="","",VLOOKUP($A214,'Annex 2 EHV charges'!$A:$O,7,0))</f>
        <v/>
      </c>
      <c r="E214" s="128" t="str">
        <f>IFERROR(IF(VLOOKUP($A214,'Annex 2 EHV charges'!$A:$O,8,FALSE)=0,"",VLOOKUP($A214,'Annex 2 EHV charges'!$A:$O,8,FALSE)),"")</f>
        <v/>
      </c>
      <c r="F214" s="129" t="str">
        <f>IFERROR(IF(VLOOKUP($A214,'Annex 2 EHV charges'!$A:$O,9,FALSE)=0,"",VLOOKUP($A214,'Annex 2 EHV charges'!$A:$O,9,FALSE)),"")</f>
        <v/>
      </c>
      <c r="G214" s="130" t="str">
        <f>IFERROR(IF(VLOOKUP($A214,'Annex 2 EHV charges'!$A:$O,10,FALSE)=0,"",VLOOKUP($A214,'Annex 2 EHV charges'!$A:$O,10,FALSE)),"")</f>
        <v/>
      </c>
      <c r="H214" s="130" t="str">
        <f>IFERROR(IF(VLOOKUP($A214,'Annex 2 EHV charges'!$A:$O,11,FALSE)=0,"",VLOOKUP($A214,'Annex 2 EHV charges'!$A:$O,11,FALSE)),"")</f>
        <v/>
      </c>
    </row>
    <row r="215" spans="1:8" x14ac:dyDescent="0.2">
      <c r="A215" s="123" t="str">
        <f t="array" ref="A215">IFERROR(INDEX('Annex 2 EHV charges'!$A$11:$A$260, MATCH(0, IF(ISBLANK('Annex 2 EHV charges'!$A$11:$A$260),1, COUNTIF(A$4:$A214, 'Annex 2 EHV charges'!$A$11:$A$260)), 0)),"")</f>
        <v/>
      </c>
      <c r="B215" s="123" t="str">
        <f>IF($A215="","",VLOOKUP($A215,'Annex 2 EHV charges'!$A:$O,2,0))</f>
        <v/>
      </c>
      <c r="C215" s="124" t="str">
        <f>IF($A215="","",VLOOKUP($A215,'Annex 2 EHV charges'!$A:$O,3,0))</f>
        <v/>
      </c>
      <c r="D215" s="123" t="str">
        <f>IF($A215="","",VLOOKUP($A215,'Annex 2 EHV charges'!$A:$O,7,0))</f>
        <v/>
      </c>
      <c r="E215" s="128" t="str">
        <f>IFERROR(IF(VLOOKUP($A215,'Annex 2 EHV charges'!$A:$O,8,FALSE)=0,"",VLOOKUP($A215,'Annex 2 EHV charges'!$A:$O,8,FALSE)),"")</f>
        <v/>
      </c>
      <c r="F215" s="129" t="str">
        <f>IFERROR(IF(VLOOKUP($A215,'Annex 2 EHV charges'!$A:$O,9,FALSE)=0,"",VLOOKUP($A215,'Annex 2 EHV charges'!$A:$O,9,FALSE)),"")</f>
        <v/>
      </c>
      <c r="G215" s="130" t="str">
        <f>IFERROR(IF(VLOOKUP($A215,'Annex 2 EHV charges'!$A:$O,10,FALSE)=0,"",VLOOKUP($A215,'Annex 2 EHV charges'!$A:$O,10,FALSE)),"")</f>
        <v/>
      </c>
      <c r="H215" s="130" t="str">
        <f>IFERROR(IF(VLOOKUP($A215,'Annex 2 EHV charges'!$A:$O,11,FALSE)=0,"",VLOOKUP($A215,'Annex 2 EHV charges'!$A:$O,11,FALSE)),"")</f>
        <v/>
      </c>
    </row>
    <row r="216" spans="1:8" x14ac:dyDescent="0.2">
      <c r="A216" s="123" t="str">
        <f t="array" ref="A216">IFERROR(INDEX('Annex 2 EHV charges'!$A$11:$A$260, MATCH(0, IF(ISBLANK('Annex 2 EHV charges'!$A$11:$A$260),1, COUNTIF(A$4:$A215, 'Annex 2 EHV charges'!$A$11:$A$260)), 0)),"")</f>
        <v/>
      </c>
      <c r="B216" s="123" t="str">
        <f>IF($A216="","",VLOOKUP($A216,'Annex 2 EHV charges'!$A:$O,2,0))</f>
        <v/>
      </c>
      <c r="C216" s="124" t="str">
        <f>IF($A216="","",VLOOKUP($A216,'Annex 2 EHV charges'!$A:$O,3,0))</f>
        <v/>
      </c>
      <c r="D216" s="123" t="str">
        <f>IF($A216="","",VLOOKUP($A216,'Annex 2 EHV charges'!$A:$O,7,0))</f>
        <v/>
      </c>
      <c r="E216" s="128" t="str">
        <f>IFERROR(IF(VLOOKUP($A216,'Annex 2 EHV charges'!$A:$O,8,FALSE)=0,"",VLOOKUP($A216,'Annex 2 EHV charges'!$A:$O,8,FALSE)),"")</f>
        <v/>
      </c>
      <c r="F216" s="129" t="str">
        <f>IFERROR(IF(VLOOKUP($A216,'Annex 2 EHV charges'!$A:$O,9,FALSE)=0,"",VLOOKUP($A216,'Annex 2 EHV charges'!$A:$O,9,FALSE)),"")</f>
        <v/>
      </c>
      <c r="G216" s="130" t="str">
        <f>IFERROR(IF(VLOOKUP($A216,'Annex 2 EHV charges'!$A:$O,10,FALSE)=0,"",VLOOKUP($A216,'Annex 2 EHV charges'!$A:$O,10,FALSE)),"")</f>
        <v/>
      </c>
      <c r="H216" s="130" t="str">
        <f>IFERROR(IF(VLOOKUP($A216,'Annex 2 EHV charges'!$A:$O,11,FALSE)=0,"",VLOOKUP($A216,'Annex 2 EHV charges'!$A:$O,11,FALSE)),"")</f>
        <v/>
      </c>
    </row>
    <row r="217" spans="1:8" x14ac:dyDescent="0.2">
      <c r="A217" s="123" t="str">
        <f t="array" ref="A217">IFERROR(INDEX('Annex 2 EHV charges'!$A$11:$A$260, MATCH(0, IF(ISBLANK('Annex 2 EHV charges'!$A$11:$A$260),1, COUNTIF(A$4:$A216, 'Annex 2 EHV charges'!$A$11:$A$260)), 0)),"")</f>
        <v/>
      </c>
      <c r="B217" s="123" t="str">
        <f>IF($A217="","",VLOOKUP($A217,'Annex 2 EHV charges'!$A:$O,2,0))</f>
        <v/>
      </c>
      <c r="C217" s="124" t="str">
        <f>IF($A217="","",VLOOKUP($A217,'Annex 2 EHV charges'!$A:$O,3,0))</f>
        <v/>
      </c>
      <c r="D217" s="123" t="str">
        <f>IF($A217="","",VLOOKUP($A217,'Annex 2 EHV charges'!$A:$O,7,0))</f>
        <v/>
      </c>
      <c r="E217" s="128" t="str">
        <f>IFERROR(IF(VLOOKUP($A217,'Annex 2 EHV charges'!$A:$O,8,FALSE)=0,"",VLOOKUP($A217,'Annex 2 EHV charges'!$A:$O,8,FALSE)),"")</f>
        <v/>
      </c>
      <c r="F217" s="129" t="str">
        <f>IFERROR(IF(VLOOKUP($A217,'Annex 2 EHV charges'!$A:$O,9,FALSE)=0,"",VLOOKUP($A217,'Annex 2 EHV charges'!$A:$O,9,FALSE)),"")</f>
        <v/>
      </c>
      <c r="G217" s="130" t="str">
        <f>IFERROR(IF(VLOOKUP($A217,'Annex 2 EHV charges'!$A:$O,10,FALSE)=0,"",VLOOKUP($A217,'Annex 2 EHV charges'!$A:$O,10,FALSE)),"")</f>
        <v/>
      </c>
      <c r="H217" s="130" t="str">
        <f>IFERROR(IF(VLOOKUP($A217,'Annex 2 EHV charges'!$A:$O,11,FALSE)=0,"",VLOOKUP($A217,'Annex 2 EHV charges'!$A:$O,11,FALSE)),"")</f>
        <v/>
      </c>
    </row>
    <row r="218" spans="1:8" x14ac:dyDescent="0.2">
      <c r="A218" s="123" t="str">
        <f t="array" ref="A218">IFERROR(INDEX('Annex 2 EHV charges'!$A$11:$A$260, MATCH(0, IF(ISBLANK('Annex 2 EHV charges'!$A$11:$A$260),1, COUNTIF(A$4:$A217, 'Annex 2 EHV charges'!$A$11:$A$260)), 0)),"")</f>
        <v/>
      </c>
      <c r="B218" s="123" t="str">
        <f>IF($A218="","",VLOOKUP($A218,'Annex 2 EHV charges'!$A:$O,2,0))</f>
        <v/>
      </c>
      <c r="C218" s="124" t="str">
        <f>IF($A218="","",VLOOKUP($A218,'Annex 2 EHV charges'!$A:$O,3,0))</f>
        <v/>
      </c>
      <c r="D218" s="123" t="str">
        <f>IF($A218="","",VLOOKUP($A218,'Annex 2 EHV charges'!$A:$O,7,0))</f>
        <v/>
      </c>
      <c r="E218" s="128" t="str">
        <f>IFERROR(IF(VLOOKUP($A218,'Annex 2 EHV charges'!$A:$O,8,FALSE)=0,"",VLOOKUP($A218,'Annex 2 EHV charges'!$A:$O,8,FALSE)),"")</f>
        <v/>
      </c>
      <c r="F218" s="129" t="str">
        <f>IFERROR(IF(VLOOKUP($A218,'Annex 2 EHV charges'!$A:$O,9,FALSE)=0,"",VLOOKUP($A218,'Annex 2 EHV charges'!$A:$O,9,FALSE)),"")</f>
        <v/>
      </c>
      <c r="G218" s="130" t="str">
        <f>IFERROR(IF(VLOOKUP($A218,'Annex 2 EHV charges'!$A:$O,10,FALSE)=0,"",VLOOKUP($A218,'Annex 2 EHV charges'!$A:$O,10,FALSE)),"")</f>
        <v/>
      </c>
      <c r="H218" s="130" t="str">
        <f>IFERROR(IF(VLOOKUP($A218,'Annex 2 EHV charges'!$A:$O,11,FALSE)=0,"",VLOOKUP($A218,'Annex 2 EHV charges'!$A:$O,11,FALSE)),"")</f>
        <v/>
      </c>
    </row>
    <row r="219" spans="1:8" x14ac:dyDescent="0.2">
      <c r="A219" s="123" t="str">
        <f t="array" ref="A219">IFERROR(INDEX('Annex 2 EHV charges'!$A$11:$A$260, MATCH(0, IF(ISBLANK('Annex 2 EHV charges'!$A$11:$A$260),1, COUNTIF(A$4:$A218, 'Annex 2 EHV charges'!$A$11:$A$260)), 0)),"")</f>
        <v/>
      </c>
      <c r="B219" s="123" t="str">
        <f>IF($A219="","",VLOOKUP($A219,'Annex 2 EHV charges'!$A:$O,2,0))</f>
        <v/>
      </c>
      <c r="C219" s="124" t="str">
        <f>IF($A219="","",VLOOKUP($A219,'Annex 2 EHV charges'!$A:$O,3,0))</f>
        <v/>
      </c>
      <c r="D219" s="123" t="str">
        <f>IF($A219="","",VLOOKUP($A219,'Annex 2 EHV charges'!$A:$O,7,0))</f>
        <v/>
      </c>
      <c r="E219" s="128" t="str">
        <f>IFERROR(IF(VLOOKUP($A219,'Annex 2 EHV charges'!$A:$O,8,FALSE)=0,"",VLOOKUP($A219,'Annex 2 EHV charges'!$A:$O,8,FALSE)),"")</f>
        <v/>
      </c>
      <c r="F219" s="129" t="str">
        <f>IFERROR(IF(VLOOKUP($A219,'Annex 2 EHV charges'!$A:$O,9,FALSE)=0,"",VLOOKUP($A219,'Annex 2 EHV charges'!$A:$O,9,FALSE)),"")</f>
        <v/>
      </c>
      <c r="G219" s="130" t="str">
        <f>IFERROR(IF(VLOOKUP($A219,'Annex 2 EHV charges'!$A:$O,10,FALSE)=0,"",VLOOKUP($A219,'Annex 2 EHV charges'!$A:$O,10,FALSE)),"")</f>
        <v/>
      </c>
      <c r="H219" s="130" t="str">
        <f>IFERROR(IF(VLOOKUP($A219,'Annex 2 EHV charges'!$A:$O,11,FALSE)=0,"",VLOOKUP($A219,'Annex 2 EHV charges'!$A:$O,11,FALSE)),"")</f>
        <v/>
      </c>
    </row>
    <row r="220" spans="1:8" x14ac:dyDescent="0.2">
      <c r="A220" s="123" t="str">
        <f t="array" ref="A220">IFERROR(INDEX('Annex 2 EHV charges'!$A$11:$A$260, MATCH(0, IF(ISBLANK('Annex 2 EHV charges'!$A$11:$A$260),1, COUNTIF(A$4:$A219, 'Annex 2 EHV charges'!$A$11:$A$260)), 0)),"")</f>
        <v/>
      </c>
      <c r="B220" s="123" t="str">
        <f>IF($A220="","",VLOOKUP($A220,'Annex 2 EHV charges'!$A:$O,2,0))</f>
        <v/>
      </c>
      <c r="C220" s="124" t="str">
        <f>IF($A220="","",VLOOKUP($A220,'Annex 2 EHV charges'!$A:$O,3,0))</f>
        <v/>
      </c>
      <c r="D220" s="123" t="str">
        <f>IF($A220="","",VLOOKUP($A220,'Annex 2 EHV charges'!$A:$O,7,0))</f>
        <v/>
      </c>
      <c r="E220" s="128" t="str">
        <f>IFERROR(IF(VLOOKUP($A220,'Annex 2 EHV charges'!$A:$O,8,FALSE)=0,"",VLOOKUP($A220,'Annex 2 EHV charges'!$A:$O,8,FALSE)),"")</f>
        <v/>
      </c>
      <c r="F220" s="129" t="str">
        <f>IFERROR(IF(VLOOKUP($A220,'Annex 2 EHV charges'!$A:$O,9,FALSE)=0,"",VLOOKUP($A220,'Annex 2 EHV charges'!$A:$O,9,FALSE)),"")</f>
        <v/>
      </c>
      <c r="G220" s="130" t="str">
        <f>IFERROR(IF(VLOOKUP($A220,'Annex 2 EHV charges'!$A:$O,10,FALSE)=0,"",VLOOKUP($A220,'Annex 2 EHV charges'!$A:$O,10,FALSE)),"")</f>
        <v/>
      </c>
      <c r="H220" s="130" t="str">
        <f>IFERROR(IF(VLOOKUP($A220,'Annex 2 EHV charges'!$A:$O,11,FALSE)=0,"",VLOOKUP($A220,'Annex 2 EHV charges'!$A:$O,11,FALSE)),"")</f>
        <v/>
      </c>
    </row>
    <row r="221" spans="1:8" x14ac:dyDescent="0.2">
      <c r="A221" s="123" t="str">
        <f t="array" ref="A221">IFERROR(INDEX('Annex 2 EHV charges'!$A$11:$A$260, MATCH(0, IF(ISBLANK('Annex 2 EHV charges'!$A$11:$A$260),1, COUNTIF(A$4:$A220, 'Annex 2 EHV charges'!$A$11:$A$260)), 0)),"")</f>
        <v/>
      </c>
      <c r="B221" s="123" t="str">
        <f>IF($A221="","",VLOOKUP($A221,'Annex 2 EHV charges'!$A:$O,2,0))</f>
        <v/>
      </c>
      <c r="C221" s="124" t="str">
        <f>IF($A221="","",VLOOKUP($A221,'Annex 2 EHV charges'!$A:$O,3,0))</f>
        <v/>
      </c>
      <c r="D221" s="123" t="str">
        <f>IF($A221="","",VLOOKUP($A221,'Annex 2 EHV charges'!$A:$O,7,0))</f>
        <v/>
      </c>
      <c r="E221" s="128" t="str">
        <f>IFERROR(IF(VLOOKUP($A221,'Annex 2 EHV charges'!$A:$O,8,FALSE)=0,"",VLOOKUP($A221,'Annex 2 EHV charges'!$A:$O,8,FALSE)),"")</f>
        <v/>
      </c>
      <c r="F221" s="129" t="str">
        <f>IFERROR(IF(VLOOKUP($A221,'Annex 2 EHV charges'!$A:$O,9,FALSE)=0,"",VLOOKUP($A221,'Annex 2 EHV charges'!$A:$O,9,FALSE)),"")</f>
        <v/>
      </c>
      <c r="G221" s="130" t="str">
        <f>IFERROR(IF(VLOOKUP($A221,'Annex 2 EHV charges'!$A:$O,10,FALSE)=0,"",VLOOKUP($A221,'Annex 2 EHV charges'!$A:$O,10,FALSE)),"")</f>
        <v/>
      </c>
      <c r="H221" s="130" t="str">
        <f>IFERROR(IF(VLOOKUP($A221,'Annex 2 EHV charges'!$A:$O,11,FALSE)=0,"",VLOOKUP($A221,'Annex 2 EHV charges'!$A:$O,11,FALSE)),"")</f>
        <v/>
      </c>
    </row>
    <row r="222" spans="1:8" x14ac:dyDescent="0.2">
      <c r="A222" s="123" t="str">
        <f t="array" ref="A222">IFERROR(INDEX('Annex 2 EHV charges'!$A$11:$A$260, MATCH(0, IF(ISBLANK('Annex 2 EHV charges'!$A$11:$A$260),1, COUNTIF(A$4:$A221, 'Annex 2 EHV charges'!$A$11:$A$260)), 0)),"")</f>
        <v/>
      </c>
      <c r="B222" s="123" t="str">
        <f>IF($A222="","",VLOOKUP($A222,'Annex 2 EHV charges'!$A:$O,2,0))</f>
        <v/>
      </c>
      <c r="C222" s="124" t="str">
        <f>IF($A222="","",VLOOKUP($A222,'Annex 2 EHV charges'!$A:$O,3,0))</f>
        <v/>
      </c>
      <c r="D222" s="123" t="str">
        <f>IF($A222="","",VLOOKUP($A222,'Annex 2 EHV charges'!$A:$O,7,0))</f>
        <v/>
      </c>
      <c r="E222" s="128" t="str">
        <f>IFERROR(IF(VLOOKUP($A222,'Annex 2 EHV charges'!$A:$O,8,FALSE)=0,"",VLOOKUP($A222,'Annex 2 EHV charges'!$A:$O,8,FALSE)),"")</f>
        <v/>
      </c>
      <c r="F222" s="129" t="str">
        <f>IFERROR(IF(VLOOKUP($A222,'Annex 2 EHV charges'!$A:$O,9,FALSE)=0,"",VLOOKUP($A222,'Annex 2 EHV charges'!$A:$O,9,FALSE)),"")</f>
        <v/>
      </c>
      <c r="G222" s="130" t="str">
        <f>IFERROR(IF(VLOOKUP($A222,'Annex 2 EHV charges'!$A:$O,10,FALSE)=0,"",VLOOKUP($A222,'Annex 2 EHV charges'!$A:$O,10,FALSE)),"")</f>
        <v/>
      </c>
      <c r="H222" s="130" t="str">
        <f>IFERROR(IF(VLOOKUP($A222,'Annex 2 EHV charges'!$A:$O,11,FALSE)=0,"",VLOOKUP($A222,'Annex 2 EHV charges'!$A:$O,11,FALSE)),"")</f>
        <v/>
      </c>
    </row>
    <row r="223" spans="1:8" x14ac:dyDescent="0.2">
      <c r="A223" s="123" t="str">
        <f t="array" ref="A223">IFERROR(INDEX('Annex 2 EHV charges'!$A$11:$A$260, MATCH(0, IF(ISBLANK('Annex 2 EHV charges'!$A$11:$A$260),1, COUNTIF(A$4:$A222, 'Annex 2 EHV charges'!$A$11:$A$260)), 0)),"")</f>
        <v/>
      </c>
      <c r="B223" s="123" t="str">
        <f>IF($A223="","",VLOOKUP($A223,'Annex 2 EHV charges'!$A:$O,2,0))</f>
        <v/>
      </c>
      <c r="C223" s="124" t="str">
        <f>IF($A223="","",VLOOKUP($A223,'Annex 2 EHV charges'!$A:$O,3,0))</f>
        <v/>
      </c>
      <c r="D223" s="123" t="str">
        <f>IF($A223="","",VLOOKUP($A223,'Annex 2 EHV charges'!$A:$O,7,0))</f>
        <v/>
      </c>
      <c r="E223" s="128" t="str">
        <f>IFERROR(IF(VLOOKUP($A223,'Annex 2 EHV charges'!$A:$O,8,FALSE)=0,"",VLOOKUP($A223,'Annex 2 EHV charges'!$A:$O,8,FALSE)),"")</f>
        <v/>
      </c>
      <c r="F223" s="129" t="str">
        <f>IFERROR(IF(VLOOKUP($A223,'Annex 2 EHV charges'!$A:$O,9,FALSE)=0,"",VLOOKUP($A223,'Annex 2 EHV charges'!$A:$O,9,FALSE)),"")</f>
        <v/>
      </c>
      <c r="G223" s="130" t="str">
        <f>IFERROR(IF(VLOOKUP($A223,'Annex 2 EHV charges'!$A:$O,10,FALSE)=0,"",VLOOKUP($A223,'Annex 2 EHV charges'!$A:$O,10,FALSE)),"")</f>
        <v/>
      </c>
      <c r="H223" s="130" t="str">
        <f>IFERROR(IF(VLOOKUP($A223,'Annex 2 EHV charges'!$A:$O,11,FALSE)=0,"",VLOOKUP($A223,'Annex 2 EHV charges'!$A:$O,11,FALSE)),"")</f>
        <v/>
      </c>
    </row>
    <row r="224" spans="1:8" x14ac:dyDescent="0.2">
      <c r="A224" s="123" t="str">
        <f t="array" ref="A224">IFERROR(INDEX('Annex 2 EHV charges'!$A$11:$A$260, MATCH(0, IF(ISBLANK('Annex 2 EHV charges'!$A$11:$A$260),1, COUNTIF(A$4:$A223, 'Annex 2 EHV charges'!$A$11:$A$260)), 0)),"")</f>
        <v/>
      </c>
      <c r="B224" s="123" t="str">
        <f>IF($A224="","",VLOOKUP($A224,'Annex 2 EHV charges'!$A:$O,2,0))</f>
        <v/>
      </c>
      <c r="C224" s="124" t="str">
        <f>IF($A224="","",VLOOKUP($A224,'Annex 2 EHV charges'!$A:$O,3,0))</f>
        <v/>
      </c>
      <c r="D224" s="123" t="str">
        <f>IF($A224="","",VLOOKUP($A224,'Annex 2 EHV charges'!$A:$O,7,0))</f>
        <v/>
      </c>
      <c r="E224" s="128" t="str">
        <f>IFERROR(IF(VLOOKUP($A224,'Annex 2 EHV charges'!$A:$O,8,FALSE)=0,"",VLOOKUP($A224,'Annex 2 EHV charges'!$A:$O,8,FALSE)),"")</f>
        <v/>
      </c>
      <c r="F224" s="129" t="str">
        <f>IFERROR(IF(VLOOKUP($A224,'Annex 2 EHV charges'!$A:$O,9,FALSE)=0,"",VLOOKUP($A224,'Annex 2 EHV charges'!$A:$O,9,FALSE)),"")</f>
        <v/>
      </c>
      <c r="G224" s="130" t="str">
        <f>IFERROR(IF(VLOOKUP($A224,'Annex 2 EHV charges'!$A:$O,10,FALSE)=0,"",VLOOKUP($A224,'Annex 2 EHV charges'!$A:$O,10,FALSE)),"")</f>
        <v/>
      </c>
      <c r="H224" s="130" t="str">
        <f>IFERROR(IF(VLOOKUP($A224,'Annex 2 EHV charges'!$A:$O,11,FALSE)=0,"",VLOOKUP($A224,'Annex 2 EHV charges'!$A:$O,11,FALSE)),"")</f>
        <v/>
      </c>
    </row>
    <row r="225" spans="1:8" x14ac:dyDescent="0.2">
      <c r="A225" s="123" t="str">
        <f t="array" ref="A225">IFERROR(INDEX('Annex 2 EHV charges'!$A$11:$A$260, MATCH(0, IF(ISBLANK('Annex 2 EHV charges'!$A$11:$A$260),1, COUNTIF(A$4:$A224, 'Annex 2 EHV charges'!$A$11:$A$260)), 0)),"")</f>
        <v/>
      </c>
      <c r="B225" s="123" t="str">
        <f>IF($A225="","",VLOOKUP($A225,'Annex 2 EHV charges'!$A:$O,2,0))</f>
        <v/>
      </c>
      <c r="C225" s="124" t="str">
        <f>IF($A225="","",VLOOKUP($A225,'Annex 2 EHV charges'!$A:$O,3,0))</f>
        <v/>
      </c>
      <c r="D225" s="123" t="str">
        <f>IF($A225="","",VLOOKUP($A225,'Annex 2 EHV charges'!$A:$O,7,0))</f>
        <v/>
      </c>
      <c r="E225" s="128" t="str">
        <f>IFERROR(IF(VLOOKUP($A225,'Annex 2 EHV charges'!$A:$O,8,FALSE)=0,"",VLOOKUP($A225,'Annex 2 EHV charges'!$A:$O,8,FALSE)),"")</f>
        <v/>
      </c>
      <c r="F225" s="129" t="str">
        <f>IFERROR(IF(VLOOKUP($A225,'Annex 2 EHV charges'!$A:$O,9,FALSE)=0,"",VLOOKUP($A225,'Annex 2 EHV charges'!$A:$O,9,FALSE)),"")</f>
        <v/>
      </c>
      <c r="G225" s="130" t="str">
        <f>IFERROR(IF(VLOOKUP($A225,'Annex 2 EHV charges'!$A:$O,10,FALSE)=0,"",VLOOKUP($A225,'Annex 2 EHV charges'!$A:$O,10,FALSE)),"")</f>
        <v/>
      </c>
      <c r="H225" s="130" t="str">
        <f>IFERROR(IF(VLOOKUP($A225,'Annex 2 EHV charges'!$A:$O,11,FALSE)=0,"",VLOOKUP($A225,'Annex 2 EHV charges'!$A:$O,11,FALSE)),"")</f>
        <v/>
      </c>
    </row>
    <row r="226" spans="1:8" x14ac:dyDescent="0.2">
      <c r="A226" s="123" t="str">
        <f t="array" ref="A226">IFERROR(INDEX('Annex 2 EHV charges'!$A$11:$A$260, MATCH(0, IF(ISBLANK('Annex 2 EHV charges'!$A$11:$A$260),1, COUNTIF(A$4:$A225, 'Annex 2 EHV charges'!$A$11:$A$260)), 0)),"")</f>
        <v/>
      </c>
      <c r="B226" s="123" t="str">
        <f>IF($A226="","",VLOOKUP($A226,'Annex 2 EHV charges'!$A:$O,2,0))</f>
        <v/>
      </c>
      <c r="C226" s="124" t="str">
        <f>IF($A226="","",VLOOKUP($A226,'Annex 2 EHV charges'!$A:$O,3,0))</f>
        <v/>
      </c>
      <c r="D226" s="123" t="str">
        <f>IF($A226="","",VLOOKUP($A226,'Annex 2 EHV charges'!$A:$O,7,0))</f>
        <v/>
      </c>
      <c r="E226" s="128" t="str">
        <f>IFERROR(IF(VLOOKUP($A226,'Annex 2 EHV charges'!$A:$O,8,FALSE)=0,"",VLOOKUP($A226,'Annex 2 EHV charges'!$A:$O,8,FALSE)),"")</f>
        <v/>
      </c>
      <c r="F226" s="129" t="str">
        <f>IFERROR(IF(VLOOKUP($A226,'Annex 2 EHV charges'!$A:$O,9,FALSE)=0,"",VLOOKUP($A226,'Annex 2 EHV charges'!$A:$O,9,FALSE)),"")</f>
        <v/>
      </c>
      <c r="G226" s="130" t="str">
        <f>IFERROR(IF(VLOOKUP($A226,'Annex 2 EHV charges'!$A:$O,10,FALSE)=0,"",VLOOKUP($A226,'Annex 2 EHV charges'!$A:$O,10,FALSE)),"")</f>
        <v/>
      </c>
      <c r="H226" s="130" t="str">
        <f>IFERROR(IF(VLOOKUP($A226,'Annex 2 EHV charges'!$A:$O,11,FALSE)=0,"",VLOOKUP($A226,'Annex 2 EHV charges'!$A:$O,11,FALSE)),"")</f>
        <v/>
      </c>
    </row>
    <row r="227" spans="1:8" x14ac:dyDescent="0.2">
      <c r="A227" s="123" t="str">
        <f t="array" ref="A227">IFERROR(INDEX('Annex 2 EHV charges'!$A$11:$A$260, MATCH(0, IF(ISBLANK('Annex 2 EHV charges'!$A$11:$A$260),1, COUNTIF(A$4:$A226, 'Annex 2 EHV charges'!$A$11:$A$260)), 0)),"")</f>
        <v/>
      </c>
      <c r="B227" s="123" t="str">
        <f>IF($A227="","",VLOOKUP($A227,'Annex 2 EHV charges'!$A:$O,2,0))</f>
        <v/>
      </c>
      <c r="C227" s="124" t="str">
        <f>IF($A227="","",VLOOKUP($A227,'Annex 2 EHV charges'!$A:$O,3,0))</f>
        <v/>
      </c>
      <c r="D227" s="123" t="str">
        <f>IF($A227="","",VLOOKUP($A227,'Annex 2 EHV charges'!$A:$O,7,0))</f>
        <v/>
      </c>
      <c r="E227" s="128" t="str">
        <f>IFERROR(IF(VLOOKUP($A227,'Annex 2 EHV charges'!$A:$O,8,FALSE)=0,"",VLOOKUP($A227,'Annex 2 EHV charges'!$A:$O,8,FALSE)),"")</f>
        <v/>
      </c>
      <c r="F227" s="129" t="str">
        <f>IFERROR(IF(VLOOKUP($A227,'Annex 2 EHV charges'!$A:$O,9,FALSE)=0,"",VLOOKUP($A227,'Annex 2 EHV charges'!$A:$O,9,FALSE)),"")</f>
        <v/>
      </c>
      <c r="G227" s="130" t="str">
        <f>IFERROR(IF(VLOOKUP($A227,'Annex 2 EHV charges'!$A:$O,10,FALSE)=0,"",VLOOKUP($A227,'Annex 2 EHV charges'!$A:$O,10,FALSE)),"")</f>
        <v/>
      </c>
      <c r="H227" s="130" t="str">
        <f>IFERROR(IF(VLOOKUP($A227,'Annex 2 EHV charges'!$A:$O,11,FALSE)=0,"",VLOOKUP($A227,'Annex 2 EHV charges'!$A:$O,11,FALSE)),"")</f>
        <v/>
      </c>
    </row>
    <row r="228" spans="1:8" x14ac:dyDescent="0.2">
      <c r="A228" s="123" t="str">
        <f t="array" ref="A228">IFERROR(INDEX('Annex 2 EHV charges'!$A$11:$A$260, MATCH(0, IF(ISBLANK('Annex 2 EHV charges'!$A$11:$A$260),1, COUNTIF(A$4:$A227, 'Annex 2 EHV charges'!$A$11:$A$260)), 0)),"")</f>
        <v/>
      </c>
      <c r="B228" s="123" t="str">
        <f>IF($A228="","",VLOOKUP($A228,'Annex 2 EHV charges'!$A:$O,2,0))</f>
        <v/>
      </c>
      <c r="C228" s="124" t="str">
        <f>IF($A228="","",VLOOKUP($A228,'Annex 2 EHV charges'!$A:$O,3,0))</f>
        <v/>
      </c>
      <c r="D228" s="123" t="str">
        <f>IF($A228="","",VLOOKUP($A228,'Annex 2 EHV charges'!$A:$O,7,0))</f>
        <v/>
      </c>
      <c r="E228" s="128" t="str">
        <f>IFERROR(IF(VLOOKUP($A228,'Annex 2 EHV charges'!$A:$O,8,FALSE)=0,"",VLOOKUP($A228,'Annex 2 EHV charges'!$A:$O,8,FALSE)),"")</f>
        <v/>
      </c>
      <c r="F228" s="129" t="str">
        <f>IFERROR(IF(VLOOKUP($A228,'Annex 2 EHV charges'!$A:$O,9,FALSE)=0,"",VLOOKUP($A228,'Annex 2 EHV charges'!$A:$O,9,FALSE)),"")</f>
        <v/>
      </c>
      <c r="G228" s="130" t="str">
        <f>IFERROR(IF(VLOOKUP($A228,'Annex 2 EHV charges'!$A:$O,10,FALSE)=0,"",VLOOKUP($A228,'Annex 2 EHV charges'!$A:$O,10,FALSE)),"")</f>
        <v/>
      </c>
      <c r="H228" s="130" t="str">
        <f>IFERROR(IF(VLOOKUP($A228,'Annex 2 EHV charges'!$A:$O,11,FALSE)=0,"",VLOOKUP($A228,'Annex 2 EHV charges'!$A:$O,11,FALSE)),"")</f>
        <v/>
      </c>
    </row>
    <row r="229" spans="1:8" x14ac:dyDescent="0.2">
      <c r="A229" s="123" t="str">
        <f t="array" ref="A229">IFERROR(INDEX('Annex 2 EHV charges'!$A$11:$A$260, MATCH(0, IF(ISBLANK('Annex 2 EHV charges'!$A$11:$A$260),1, COUNTIF(A$4:$A228, 'Annex 2 EHV charges'!$A$11:$A$260)), 0)),"")</f>
        <v/>
      </c>
      <c r="B229" s="123" t="str">
        <f>IF($A229="","",VLOOKUP($A229,'Annex 2 EHV charges'!$A:$O,2,0))</f>
        <v/>
      </c>
      <c r="C229" s="124" t="str">
        <f>IF($A229="","",VLOOKUP($A229,'Annex 2 EHV charges'!$A:$O,3,0))</f>
        <v/>
      </c>
      <c r="D229" s="123" t="str">
        <f>IF($A229="","",VLOOKUP($A229,'Annex 2 EHV charges'!$A:$O,7,0))</f>
        <v/>
      </c>
      <c r="E229" s="128" t="str">
        <f>IFERROR(IF(VLOOKUP($A229,'Annex 2 EHV charges'!$A:$O,8,FALSE)=0,"",VLOOKUP($A229,'Annex 2 EHV charges'!$A:$O,8,FALSE)),"")</f>
        <v/>
      </c>
      <c r="F229" s="129" t="str">
        <f>IFERROR(IF(VLOOKUP($A229,'Annex 2 EHV charges'!$A:$O,9,FALSE)=0,"",VLOOKUP($A229,'Annex 2 EHV charges'!$A:$O,9,FALSE)),"")</f>
        <v/>
      </c>
      <c r="G229" s="130" t="str">
        <f>IFERROR(IF(VLOOKUP($A229,'Annex 2 EHV charges'!$A:$O,10,FALSE)=0,"",VLOOKUP($A229,'Annex 2 EHV charges'!$A:$O,10,FALSE)),"")</f>
        <v/>
      </c>
      <c r="H229" s="130" t="str">
        <f>IFERROR(IF(VLOOKUP($A229,'Annex 2 EHV charges'!$A:$O,11,FALSE)=0,"",VLOOKUP($A229,'Annex 2 EHV charges'!$A:$O,11,FALSE)),"")</f>
        <v/>
      </c>
    </row>
    <row r="230" spans="1:8" x14ac:dyDescent="0.2">
      <c r="A230" s="123" t="str">
        <f t="array" ref="A230">IFERROR(INDEX('Annex 2 EHV charges'!$A$11:$A$260, MATCH(0, IF(ISBLANK('Annex 2 EHV charges'!$A$11:$A$260),1, COUNTIF(A$4:$A229, 'Annex 2 EHV charges'!$A$11:$A$260)), 0)),"")</f>
        <v/>
      </c>
      <c r="B230" s="123" t="str">
        <f>IF($A230="","",VLOOKUP($A230,'Annex 2 EHV charges'!$A:$O,2,0))</f>
        <v/>
      </c>
      <c r="C230" s="124" t="str">
        <f>IF($A230="","",VLOOKUP($A230,'Annex 2 EHV charges'!$A:$O,3,0))</f>
        <v/>
      </c>
      <c r="D230" s="123" t="str">
        <f>IF($A230="","",VLOOKUP($A230,'Annex 2 EHV charges'!$A:$O,7,0))</f>
        <v/>
      </c>
      <c r="E230" s="128" t="str">
        <f>IFERROR(IF(VLOOKUP($A230,'Annex 2 EHV charges'!$A:$O,8,FALSE)=0,"",VLOOKUP($A230,'Annex 2 EHV charges'!$A:$O,8,FALSE)),"")</f>
        <v/>
      </c>
      <c r="F230" s="129" t="str">
        <f>IFERROR(IF(VLOOKUP($A230,'Annex 2 EHV charges'!$A:$O,9,FALSE)=0,"",VLOOKUP($A230,'Annex 2 EHV charges'!$A:$O,9,FALSE)),"")</f>
        <v/>
      </c>
      <c r="G230" s="130" t="str">
        <f>IFERROR(IF(VLOOKUP($A230,'Annex 2 EHV charges'!$A:$O,10,FALSE)=0,"",VLOOKUP($A230,'Annex 2 EHV charges'!$A:$O,10,FALSE)),"")</f>
        <v/>
      </c>
      <c r="H230" s="130" t="str">
        <f>IFERROR(IF(VLOOKUP($A230,'Annex 2 EHV charges'!$A:$O,11,FALSE)=0,"",VLOOKUP($A230,'Annex 2 EHV charges'!$A:$O,11,FALSE)),"")</f>
        <v/>
      </c>
    </row>
    <row r="231" spans="1:8" x14ac:dyDescent="0.2">
      <c r="A231" s="123" t="str">
        <f t="array" ref="A231">IFERROR(INDEX('Annex 2 EHV charges'!$A$11:$A$260, MATCH(0, IF(ISBLANK('Annex 2 EHV charges'!$A$11:$A$260),1, COUNTIF(A$4:$A230, 'Annex 2 EHV charges'!$A$11:$A$260)), 0)),"")</f>
        <v/>
      </c>
      <c r="B231" s="123" t="str">
        <f>IF($A231="","",VLOOKUP($A231,'Annex 2 EHV charges'!$A:$O,2,0))</f>
        <v/>
      </c>
      <c r="C231" s="124" t="str">
        <f>IF($A231="","",VLOOKUP($A231,'Annex 2 EHV charges'!$A:$O,3,0))</f>
        <v/>
      </c>
      <c r="D231" s="123" t="str">
        <f>IF($A231="","",VLOOKUP($A231,'Annex 2 EHV charges'!$A:$O,7,0))</f>
        <v/>
      </c>
      <c r="E231" s="128" t="str">
        <f>IFERROR(IF(VLOOKUP($A231,'Annex 2 EHV charges'!$A:$O,8,FALSE)=0,"",VLOOKUP($A231,'Annex 2 EHV charges'!$A:$O,8,FALSE)),"")</f>
        <v/>
      </c>
      <c r="F231" s="129" t="str">
        <f>IFERROR(IF(VLOOKUP($A231,'Annex 2 EHV charges'!$A:$O,9,FALSE)=0,"",VLOOKUP($A231,'Annex 2 EHV charges'!$A:$O,9,FALSE)),"")</f>
        <v/>
      </c>
      <c r="G231" s="130" t="str">
        <f>IFERROR(IF(VLOOKUP($A231,'Annex 2 EHV charges'!$A:$O,10,FALSE)=0,"",VLOOKUP($A231,'Annex 2 EHV charges'!$A:$O,10,FALSE)),"")</f>
        <v/>
      </c>
      <c r="H231" s="130" t="str">
        <f>IFERROR(IF(VLOOKUP($A231,'Annex 2 EHV charges'!$A:$O,11,FALSE)=0,"",VLOOKUP($A231,'Annex 2 EHV charges'!$A:$O,11,FALSE)),"")</f>
        <v/>
      </c>
    </row>
    <row r="232" spans="1:8" x14ac:dyDescent="0.2">
      <c r="A232" s="123" t="str">
        <f t="array" ref="A232">IFERROR(INDEX('Annex 2 EHV charges'!$A$11:$A$260, MATCH(0, IF(ISBLANK('Annex 2 EHV charges'!$A$11:$A$260),1, COUNTIF(A$4:$A231, 'Annex 2 EHV charges'!$A$11:$A$260)), 0)),"")</f>
        <v/>
      </c>
      <c r="B232" s="123" t="str">
        <f>IF($A232="","",VLOOKUP($A232,'Annex 2 EHV charges'!$A:$O,2,0))</f>
        <v/>
      </c>
      <c r="C232" s="124" t="str">
        <f>IF($A232="","",VLOOKUP($A232,'Annex 2 EHV charges'!$A:$O,3,0))</f>
        <v/>
      </c>
      <c r="D232" s="123" t="str">
        <f>IF($A232="","",VLOOKUP($A232,'Annex 2 EHV charges'!$A:$O,7,0))</f>
        <v/>
      </c>
      <c r="E232" s="128" t="str">
        <f>IFERROR(IF(VLOOKUP($A232,'Annex 2 EHV charges'!$A:$O,8,FALSE)=0,"",VLOOKUP($A232,'Annex 2 EHV charges'!$A:$O,8,FALSE)),"")</f>
        <v/>
      </c>
      <c r="F232" s="129" t="str">
        <f>IFERROR(IF(VLOOKUP($A232,'Annex 2 EHV charges'!$A:$O,9,FALSE)=0,"",VLOOKUP($A232,'Annex 2 EHV charges'!$A:$O,9,FALSE)),"")</f>
        <v/>
      </c>
      <c r="G232" s="130" t="str">
        <f>IFERROR(IF(VLOOKUP($A232,'Annex 2 EHV charges'!$A:$O,10,FALSE)=0,"",VLOOKUP($A232,'Annex 2 EHV charges'!$A:$O,10,FALSE)),"")</f>
        <v/>
      </c>
      <c r="H232" s="130" t="str">
        <f>IFERROR(IF(VLOOKUP($A232,'Annex 2 EHV charges'!$A:$O,11,FALSE)=0,"",VLOOKUP($A232,'Annex 2 EHV charges'!$A:$O,11,FALSE)),"")</f>
        <v/>
      </c>
    </row>
    <row r="233" spans="1:8" x14ac:dyDescent="0.2">
      <c r="A233" s="123" t="str">
        <f t="array" ref="A233">IFERROR(INDEX('Annex 2 EHV charges'!$A$11:$A$260, MATCH(0, IF(ISBLANK('Annex 2 EHV charges'!$A$11:$A$260),1, COUNTIF(A$4:$A232, 'Annex 2 EHV charges'!$A$11:$A$260)), 0)),"")</f>
        <v/>
      </c>
      <c r="B233" s="123" t="str">
        <f>IF($A233="","",VLOOKUP($A233,'Annex 2 EHV charges'!$A:$O,2,0))</f>
        <v/>
      </c>
      <c r="C233" s="124" t="str">
        <f>IF($A233="","",VLOOKUP($A233,'Annex 2 EHV charges'!$A:$O,3,0))</f>
        <v/>
      </c>
      <c r="D233" s="123" t="str">
        <f>IF($A233="","",VLOOKUP($A233,'Annex 2 EHV charges'!$A:$O,7,0))</f>
        <v/>
      </c>
      <c r="E233" s="128" t="str">
        <f>IFERROR(IF(VLOOKUP($A233,'Annex 2 EHV charges'!$A:$O,8,FALSE)=0,"",VLOOKUP($A233,'Annex 2 EHV charges'!$A:$O,8,FALSE)),"")</f>
        <v/>
      </c>
      <c r="F233" s="129" t="str">
        <f>IFERROR(IF(VLOOKUP($A233,'Annex 2 EHV charges'!$A:$O,9,FALSE)=0,"",VLOOKUP($A233,'Annex 2 EHV charges'!$A:$O,9,FALSE)),"")</f>
        <v/>
      </c>
      <c r="G233" s="130" t="str">
        <f>IFERROR(IF(VLOOKUP($A233,'Annex 2 EHV charges'!$A:$O,10,FALSE)=0,"",VLOOKUP($A233,'Annex 2 EHV charges'!$A:$O,10,FALSE)),"")</f>
        <v/>
      </c>
      <c r="H233" s="130" t="str">
        <f>IFERROR(IF(VLOOKUP($A233,'Annex 2 EHV charges'!$A:$O,11,FALSE)=0,"",VLOOKUP($A233,'Annex 2 EHV charges'!$A:$O,11,FALSE)),"")</f>
        <v/>
      </c>
    </row>
    <row r="234" spans="1:8" x14ac:dyDescent="0.2">
      <c r="A234" s="123" t="str">
        <f t="array" ref="A234">IFERROR(INDEX('Annex 2 EHV charges'!$A$11:$A$260, MATCH(0, IF(ISBLANK('Annex 2 EHV charges'!$A$11:$A$260),1, COUNTIF(A$4:$A233, 'Annex 2 EHV charges'!$A$11:$A$260)), 0)),"")</f>
        <v/>
      </c>
      <c r="B234" s="123" t="str">
        <f>IF($A234="","",VLOOKUP($A234,'Annex 2 EHV charges'!$A:$O,2,0))</f>
        <v/>
      </c>
      <c r="C234" s="124" t="str">
        <f>IF($A234="","",VLOOKUP($A234,'Annex 2 EHV charges'!$A:$O,3,0))</f>
        <v/>
      </c>
      <c r="D234" s="123" t="str">
        <f>IF($A234="","",VLOOKUP($A234,'Annex 2 EHV charges'!$A:$O,7,0))</f>
        <v/>
      </c>
      <c r="E234" s="128" t="str">
        <f>IFERROR(IF(VLOOKUP($A234,'Annex 2 EHV charges'!$A:$O,8,FALSE)=0,"",VLOOKUP($A234,'Annex 2 EHV charges'!$A:$O,8,FALSE)),"")</f>
        <v/>
      </c>
      <c r="F234" s="129" t="str">
        <f>IFERROR(IF(VLOOKUP($A234,'Annex 2 EHV charges'!$A:$O,9,FALSE)=0,"",VLOOKUP($A234,'Annex 2 EHV charges'!$A:$O,9,FALSE)),"")</f>
        <v/>
      </c>
      <c r="G234" s="130" t="str">
        <f>IFERROR(IF(VLOOKUP($A234,'Annex 2 EHV charges'!$A:$O,10,FALSE)=0,"",VLOOKUP($A234,'Annex 2 EHV charges'!$A:$O,10,FALSE)),"")</f>
        <v/>
      </c>
      <c r="H234" s="130" t="str">
        <f>IFERROR(IF(VLOOKUP($A234,'Annex 2 EHV charges'!$A:$O,11,FALSE)=0,"",VLOOKUP($A234,'Annex 2 EHV charges'!$A:$O,11,FALSE)),"")</f>
        <v/>
      </c>
    </row>
    <row r="235" spans="1:8" x14ac:dyDescent="0.2">
      <c r="A235" s="123" t="str">
        <f t="array" ref="A235">IFERROR(INDEX('Annex 2 EHV charges'!$A$11:$A$260, MATCH(0, IF(ISBLANK('Annex 2 EHV charges'!$A$11:$A$260),1, COUNTIF(A$4:$A234, 'Annex 2 EHV charges'!$A$11:$A$260)), 0)),"")</f>
        <v/>
      </c>
      <c r="B235" s="123" t="str">
        <f>IF($A235="","",VLOOKUP($A235,'Annex 2 EHV charges'!$A:$O,2,0))</f>
        <v/>
      </c>
      <c r="C235" s="124" t="str">
        <f>IF($A235="","",VLOOKUP($A235,'Annex 2 EHV charges'!$A:$O,3,0))</f>
        <v/>
      </c>
      <c r="D235" s="123" t="str">
        <f>IF($A235="","",VLOOKUP($A235,'Annex 2 EHV charges'!$A:$O,7,0))</f>
        <v/>
      </c>
      <c r="E235" s="128" t="str">
        <f>IFERROR(IF(VLOOKUP($A235,'Annex 2 EHV charges'!$A:$O,8,FALSE)=0,"",VLOOKUP($A235,'Annex 2 EHV charges'!$A:$O,8,FALSE)),"")</f>
        <v/>
      </c>
      <c r="F235" s="129" t="str">
        <f>IFERROR(IF(VLOOKUP($A235,'Annex 2 EHV charges'!$A:$O,9,FALSE)=0,"",VLOOKUP($A235,'Annex 2 EHV charges'!$A:$O,9,FALSE)),"")</f>
        <v/>
      </c>
      <c r="G235" s="130" t="str">
        <f>IFERROR(IF(VLOOKUP($A235,'Annex 2 EHV charges'!$A:$O,10,FALSE)=0,"",VLOOKUP($A235,'Annex 2 EHV charges'!$A:$O,10,FALSE)),"")</f>
        <v/>
      </c>
      <c r="H235" s="130" t="str">
        <f>IFERROR(IF(VLOOKUP($A235,'Annex 2 EHV charges'!$A:$O,11,FALSE)=0,"",VLOOKUP($A235,'Annex 2 EHV charges'!$A:$O,11,FALSE)),"")</f>
        <v/>
      </c>
    </row>
    <row r="236" spans="1:8" x14ac:dyDescent="0.2">
      <c r="A236" s="123" t="str">
        <f t="array" ref="A236">IFERROR(INDEX('Annex 2 EHV charges'!$A$11:$A$260, MATCH(0, IF(ISBLANK('Annex 2 EHV charges'!$A$11:$A$260),1, COUNTIF(A$4:$A235, 'Annex 2 EHV charges'!$A$11:$A$260)), 0)),"")</f>
        <v/>
      </c>
      <c r="B236" s="123" t="str">
        <f>IF($A236="","",VLOOKUP($A236,'Annex 2 EHV charges'!$A:$O,2,0))</f>
        <v/>
      </c>
      <c r="C236" s="124" t="str">
        <f>IF($A236="","",VLOOKUP($A236,'Annex 2 EHV charges'!$A:$O,3,0))</f>
        <v/>
      </c>
      <c r="D236" s="123" t="str">
        <f>IF($A236="","",VLOOKUP($A236,'Annex 2 EHV charges'!$A:$O,7,0))</f>
        <v/>
      </c>
      <c r="E236" s="128" t="str">
        <f>IFERROR(IF(VLOOKUP($A236,'Annex 2 EHV charges'!$A:$O,8,FALSE)=0,"",VLOOKUP($A236,'Annex 2 EHV charges'!$A:$O,8,FALSE)),"")</f>
        <v/>
      </c>
      <c r="F236" s="129" t="str">
        <f>IFERROR(IF(VLOOKUP($A236,'Annex 2 EHV charges'!$A:$O,9,FALSE)=0,"",VLOOKUP($A236,'Annex 2 EHV charges'!$A:$O,9,FALSE)),"")</f>
        <v/>
      </c>
      <c r="G236" s="130" t="str">
        <f>IFERROR(IF(VLOOKUP($A236,'Annex 2 EHV charges'!$A:$O,10,FALSE)=0,"",VLOOKUP($A236,'Annex 2 EHV charges'!$A:$O,10,FALSE)),"")</f>
        <v/>
      </c>
      <c r="H236" s="130" t="str">
        <f>IFERROR(IF(VLOOKUP($A236,'Annex 2 EHV charges'!$A:$O,11,FALSE)=0,"",VLOOKUP($A236,'Annex 2 EHV charges'!$A:$O,11,FALSE)),"")</f>
        <v/>
      </c>
    </row>
    <row r="237" spans="1:8" x14ac:dyDescent="0.2">
      <c r="A237" s="123" t="str">
        <f t="array" ref="A237">IFERROR(INDEX('Annex 2 EHV charges'!$A$11:$A$260, MATCH(0, IF(ISBLANK('Annex 2 EHV charges'!$A$11:$A$260),1, COUNTIF(A$4:$A236, 'Annex 2 EHV charges'!$A$11:$A$260)), 0)),"")</f>
        <v/>
      </c>
      <c r="B237" s="123" t="str">
        <f>IF($A237="","",VLOOKUP($A237,'Annex 2 EHV charges'!$A:$O,2,0))</f>
        <v/>
      </c>
      <c r="C237" s="124" t="str">
        <f>IF($A237="","",VLOOKUP($A237,'Annex 2 EHV charges'!$A:$O,3,0))</f>
        <v/>
      </c>
      <c r="D237" s="123" t="str">
        <f>IF($A237="","",VLOOKUP($A237,'Annex 2 EHV charges'!$A:$O,7,0))</f>
        <v/>
      </c>
      <c r="E237" s="128" t="str">
        <f>IFERROR(IF(VLOOKUP($A237,'Annex 2 EHV charges'!$A:$O,8,FALSE)=0,"",VLOOKUP($A237,'Annex 2 EHV charges'!$A:$O,8,FALSE)),"")</f>
        <v/>
      </c>
      <c r="F237" s="129" t="str">
        <f>IFERROR(IF(VLOOKUP($A237,'Annex 2 EHV charges'!$A:$O,9,FALSE)=0,"",VLOOKUP($A237,'Annex 2 EHV charges'!$A:$O,9,FALSE)),"")</f>
        <v/>
      </c>
      <c r="G237" s="130" t="str">
        <f>IFERROR(IF(VLOOKUP($A237,'Annex 2 EHV charges'!$A:$O,10,FALSE)=0,"",VLOOKUP($A237,'Annex 2 EHV charges'!$A:$O,10,FALSE)),"")</f>
        <v/>
      </c>
      <c r="H237" s="130" t="str">
        <f>IFERROR(IF(VLOOKUP($A237,'Annex 2 EHV charges'!$A:$O,11,FALSE)=0,"",VLOOKUP($A237,'Annex 2 EHV charges'!$A:$O,11,FALSE)),"")</f>
        <v/>
      </c>
    </row>
    <row r="238" spans="1:8" x14ac:dyDescent="0.2">
      <c r="A238" s="123" t="str">
        <f t="array" ref="A238">IFERROR(INDEX('Annex 2 EHV charges'!$A$11:$A$260, MATCH(0, IF(ISBLANK('Annex 2 EHV charges'!$A$11:$A$260),1, COUNTIF(A$4:$A237, 'Annex 2 EHV charges'!$A$11:$A$260)), 0)),"")</f>
        <v/>
      </c>
      <c r="B238" s="123" t="str">
        <f>IF($A238="","",VLOOKUP($A238,'Annex 2 EHV charges'!$A:$O,2,0))</f>
        <v/>
      </c>
      <c r="C238" s="124" t="str">
        <f>IF($A238="","",VLOOKUP($A238,'Annex 2 EHV charges'!$A:$O,3,0))</f>
        <v/>
      </c>
      <c r="D238" s="123" t="str">
        <f>IF($A238="","",VLOOKUP($A238,'Annex 2 EHV charges'!$A:$O,7,0))</f>
        <v/>
      </c>
      <c r="E238" s="128" t="str">
        <f>IFERROR(IF(VLOOKUP($A238,'Annex 2 EHV charges'!$A:$O,8,FALSE)=0,"",VLOOKUP($A238,'Annex 2 EHV charges'!$A:$O,8,FALSE)),"")</f>
        <v/>
      </c>
      <c r="F238" s="129" t="str">
        <f>IFERROR(IF(VLOOKUP($A238,'Annex 2 EHV charges'!$A:$O,9,FALSE)=0,"",VLOOKUP($A238,'Annex 2 EHV charges'!$A:$O,9,FALSE)),"")</f>
        <v/>
      </c>
      <c r="G238" s="130" t="str">
        <f>IFERROR(IF(VLOOKUP($A238,'Annex 2 EHV charges'!$A:$O,10,FALSE)=0,"",VLOOKUP($A238,'Annex 2 EHV charges'!$A:$O,10,FALSE)),"")</f>
        <v/>
      </c>
      <c r="H238" s="130" t="str">
        <f>IFERROR(IF(VLOOKUP($A238,'Annex 2 EHV charges'!$A:$O,11,FALSE)=0,"",VLOOKUP($A238,'Annex 2 EHV charges'!$A:$O,11,FALSE)),"")</f>
        <v/>
      </c>
    </row>
    <row r="239" spans="1:8" x14ac:dyDescent="0.2">
      <c r="A239" s="123" t="str">
        <f t="array" ref="A239">IFERROR(INDEX('Annex 2 EHV charges'!$A$11:$A$260, MATCH(0, IF(ISBLANK('Annex 2 EHV charges'!$A$11:$A$260),1, COUNTIF(A$4:$A238, 'Annex 2 EHV charges'!$A$11:$A$260)), 0)),"")</f>
        <v/>
      </c>
      <c r="B239" s="123" t="str">
        <f>IF($A239="","",VLOOKUP($A239,'Annex 2 EHV charges'!$A:$O,2,0))</f>
        <v/>
      </c>
      <c r="C239" s="124" t="str">
        <f>IF($A239="","",VLOOKUP($A239,'Annex 2 EHV charges'!$A:$O,3,0))</f>
        <v/>
      </c>
      <c r="D239" s="123" t="str">
        <f>IF($A239="","",VLOOKUP($A239,'Annex 2 EHV charges'!$A:$O,7,0))</f>
        <v/>
      </c>
      <c r="E239" s="128" t="str">
        <f>IFERROR(IF(VLOOKUP($A239,'Annex 2 EHV charges'!$A:$O,8,FALSE)=0,"",VLOOKUP($A239,'Annex 2 EHV charges'!$A:$O,8,FALSE)),"")</f>
        <v/>
      </c>
      <c r="F239" s="129" t="str">
        <f>IFERROR(IF(VLOOKUP($A239,'Annex 2 EHV charges'!$A:$O,9,FALSE)=0,"",VLOOKUP($A239,'Annex 2 EHV charges'!$A:$O,9,FALSE)),"")</f>
        <v/>
      </c>
      <c r="G239" s="130" t="str">
        <f>IFERROR(IF(VLOOKUP($A239,'Annex 2 EHV charges'!$A:$O,10,FALSE)=0,"",VLOOKUP($A239,'Annex 2 EHV charges'!$A:$O,10,FALSE)),"")</f>
        <v/>
      </c>
      <c r="H239" s="130" t="str">
        <f>IFERROR(IF(VLOOKUP($A239,'Annex 2 EHV charges'!$A:$O,11,FALSE)=0,"",VLOOKUP($A239,'Annex 2 EHV charges'!$A:$O,11,FALSE)),"")</f>
        <v/>
      </c>
    </row>
    <row r="240" spans="1:8" x14ac:dyDescent="0.2">
      <c r="A240" s="123" t="str">
        <f t="array" ref="A240">IFERROR(INDEX('Annex 2 EHV charges'!$A$11:$A$260, MATCH(0, IF(ISBLANK('Annex 2 EHV charges'!$A$11:$A$260),1, COUNTIF(A$4:$A239, 'Annex 2 EHV charges'!$A$11:$A$260)), 0)),"")</f>
        <v/>
      </c>
      <c r="B240" s="123" t="str">
        <f>IF($A240="","",VLOOKUP($A240,'Annex 2 EHV charges'!$A:$O,2,0))</f>
        <v/>
      </c>
      <c r="C240" s="124" t="str">
        <f>IF($A240="","",VLOOKUP($A240,'Annex 2 EHV charges'!$A:$O,3,0))</f>
        <v/>
      </c>
      <c r="D240" s="123" t="str">
        <f>IF($A240="","",VLOOKUP($A240,'Annex 2 EHV charges'!$A:$O,7,0))</f>
        <v/>
      </c>
      <c r="E240" s="128" t="str">
        <f>IFERROR(IF(VLOOKUP($A240,'Annex 2 EHV charges'!$A:$O,8,FALSE)=0,"",VLOOKUP($A240,'Annex 2 EHV charges'!$A:$O,8,FALSE)),"")</f>
        <v/>
      </c>
      <c r="F240" s="129" t="str">
        <f>IFERROR(IF(VLOOKUP($A240,'Annex 2 EHV charges'!$A:$O,9,FALSE)=0,"",VLOOKUP($A240,'Annex 2 EHV charges'!$A:$O,9,FALSE)),"")</f>
        <v/>
      </c>
      <c r="G240" s="130" t="str">
        <f>IFERROR(IF(VLOOKUP($A240,'Annex 2 EHV charges'!$A:$O,10,FALSE)=0,"",VLOOKUP($A240,'Annex 2 EHV charges'!$A:$O,10,FALSE)),"")</f>
        <v/>
      </c>
      <c r="H240" s="130" t="str">
        <f>IFERROR(IF(VLOOKUP($A240,'Annex 2 EHV charges'!$A:$O,11,FALSE)=0,"",VLOOKUP($A240,'Annex 2 EHV charges'!$A:$O,11,FALSE)),"")</f>
        <v/>
      </c>
    </row>
    <row r="241" spans="1:8" x14ac:dyDescent="0.2">
      <c r="A241" s="123" t="str">
        <f t="array" ref="A241">IFERROR(INDEX('Annex 2 EHV charges'!$A$11:$A$260, MATCH(0, IF(ISBLANK('Annex 2 EHV charges'!$A$11:$A$260),1, COUNTIF(A$4:$A240, 'Annex 2 EHV charges'!$A$11:$A$260)), 0)),"")</f>
        <v/>
      </c>
      <c r="B241" s="123" t="str">
        <f>IF($A241="","",VLOOKUP($A241,'Annex 2 EHV charges'!$A:$O,2,0))</f>
        <v/>
      </c>
      <c r="C241" s="124" t="str">
        <f>IF($A241="","",VLOOKUP($A241,'Annex 2 EHV charges'!$A:$O,3,0))</f>
        <v/>
      </c>
      <c r="D241" s="123" t="str">
        <f>IF($A241="","",VLOOKUP($A241,'Annex 2 EHV charges'!$A:$O,7,0))</f>
        <v/>
      </c>
      <c r="E241" s="128" t="str">
        <f>IFERROR(IF(VLOOKUP($A241,'Annex 2 EHV charges'!$A:$O,8,FALSE)=0,"",VLOOKUP($A241,'Annex 2 EHV charges'!$A:$O,8,FALSE)),"")</f>
        <v/>
      </c>
      <c r="F241" s="129" t="str">
        <f>IFERROR(IF(VLOOKUP($A241,'Annex 2 EHV charges'!$A:$O,9,FALSE)=0,"",VLOOKUP($A241,'Annex 2 EHV charges'!$A:$O,9,FALSE)),"")</f>
        <v/>
      </c>
      <c r="G241" s="130" t="str">
        <f>IFERROR(IF(VLOOKUP($A241,'Annex 2 EHV charges'!$A:$O,10,FALSE)=0,"",VLOOKUP($A241,'Annex 2 EHV charges'!$A:$O,10,FALSE)),"")</f>
        <v/>
      </c>
      <c r="H241" s="130" t="str">
        <f>IFERROR(IF(VLOOKUP($A241,'Annex 2 EHV charges'!$A:$O,11,FALSE)=0,"",VLOOKUP($A241,'Annex 2 EHV charges'!$A:$O,11,FALSE)),"")</f>
        <v/>
      </c>
    </row>
    <row r="242" spans="1:8" x14ac:dyDescent="0.2">
      <c r="A242" s="123" t="str">
        <f t="array" ref="A242">IFERROR(INDEX('Annex 2 EHV charges'!$A$11:$A$260, MATCH(0, IF(ISBLANK('Annex 2 EHV charges'!$A$11:$A$260),1, COUNTIF(A$4:$A241, 'Annex 2 EHV charges'!$A$11:$A$260)), 0)),"")</f>
        <v/>
      </c>
      <c r="B242" s="123" t="str">
        <f>IF($A242="","",VLOOKUP($A242,'Annex 2 EHV charges'!$A:$O,2,0))</f>
        <v/>
      </c>
      <c r="C242" s="124" t="str">
        <f>IF($A242="","",VLOOKUP($A242,'Annex 2 EHV charges'!$A:$O,3,0))</f>
        <v/>
      </c>
      <c r="D242" s="123" t="str">
        <f>IF($A242="","",VLOOKUP($A242,'Annex 2 EHV charges'!$A:$O,7,0))</f>
        <v/>
      </c>
      <c r="E242" s="128" t="str">
        <f>IFERROR(IF(VLOOKUP($A242,'Annex 2 EHV charges'!$A:$O,8,FALSE)=0,"",VLOOKUP($A242,'Annex 2 EHV charges'!$A:$O,8,FALSE)),"")</f>
        <v/>
      </c>
      <c r="F242" s="129" t="str">
        <f>IFERROR(IF(VLOOKUP($A242,'Annex 2 EHV charges'!$A:$O,9,FALSE)=0,"",VLOOKUP($A242,'Annex 2 EHV charges'!$A:$O,9,FALSE)),"")</f>
        <v/>
      </c>
      <c r="G242" s="130" t="str">
        <f>IFERROR(IF(VLOOKUP($A242,'Annex 2 EHV charges'!$A:$O,10,FALSE)=0,"",VLOOKUP($A242,'Annex 2 EHV charges'!$A:$O,10,FALSE)),"")</f>
        <v/>
      </c>
      <c r="H242" s="130" t="str">
        <f>IFERROR(IF(VLOOKUP($A242,'Annex 2 EHV charges'!$A:$O,11,FALSE)=0,"",VLOOKUP($A242,'Annex 2 EHV charges'!$A:$O,11,FALSE)),"")</f>
        <v/>
      </c>
    </row>
    <row r="243" spans="1:8" x14ac:dyDescent="0.2">
      <c r="A243" s="123" t="str">
        <f t="array" ref="A243">IFERROR(INDEX('Annex 2 EHV charges'!$A$11:$A$260, MATCH(0, IF(ISBLANK('Annex 2 EHV charges'!$A$11:$A$260),1, COUNTIF(A$4:$A242, 'Annex 2 EHV charges'!$A$11:$A$260)), 0)),"")</f>
        <v/>
      </c>
      <c r="B243" s="123" t="str">
        <f>IF($A243="","",VLOOKUP($A243,'Annex 2 EHV charges'!$A:$O,2,0))</f>
        <v/>
      </c>
      <c r="C243" s="124" t="str">
        <f>IF($A243="","",VLOOKUP($A243,'Annex 2 EHV charges'!$A:$O,3,0))</f>
        <v/>
      </c>
      <c r="D243" s="123" t="str">
        <f>IF($A243="","",VLOOKUP($A243,'Annex 2 EHV charges'!$A:$O,7,0))</f>
        <v/>
      </c>
      <c r="E243" s="128" t="str">
        <f>IFERROR(IF(VLOOKUP($A243,'Annex 2 EHV charges'!$A:$O,8,FALSE)=0,"",VLOOKUP($A243,'Annex 2 EHV charges'!$A:$O,8,FALSE)),"")</f>
        <v/>
      </c>
      <c r="F243" s="129" t="str">
        <f>IFERROR(IF(VLOOKUP($A243,'Annex 2 EHV charges'!$A:$O,9,FALSE)=0,"",VLOOKUP($A243,'Annex 2 EHV charges'!$A:$O,9,FALSE)),"")</f>
        <v/>
      </c>
      <c r="G243" s="130" t="str">
        <f>IFERROR(IF(VLOOKUP($A243,'Annex 2 EHV charges'!$A:$O,10,FALSE)=0,"",VLOOKUP($A243,'Annex 2 EHV charges'!$A:$O,10,FALSE)),"")</f>
        <v/>
      </c>
      <c r="H243" s="130" t="str">
        <f>IFERROR(IF(VLOOKUP($A243,'Annex 2 EHV charges'!$A:$O,11,FALSE)=0,"",VLOOKUP($A243,'Annex 2 EHV charges'!$A:$O,11,FALSE)),"")</f>
        <v/>
      </c>
    </row>
    <row r="244" spans="1:8" x14ac:dyDescent="0.2">
      <c r="A244" s="123" t="str">
        <f t="array" ref="A244">IFERROR(INDEX('Annex 2 EHV charges'!$A$11:$A$260, MATCH(0, IF(ISBLANK('Annex 2 EHV charges'!$A$11:$A$260),1, COUNTIF(A$4:$A243, 'Annex 2 EHV charges'!$A$11:$A$260)), 0)),"")</f>
        <v/>
      </c>
      <c r="B244" s="123" t="str">
        <f>IF($A244="","",VLOOKUP($A244,'Annex 2 EHV charges'!$A:$O,2,0))</f>
        <v/>
      </c>
      <c r="C244" s="124" t="str">
        <f>IF($A244="","",VLOOKUP($A244,'Annex 2 EHV charges'!$A:$O,3,0))</f>
        <v/>
      </c>
      <c r="D244" s="123" t="str">
        <f>IF($A244="","",VLOOKUP($A244,'Annex 2 EHV charges'!$A:$O,7,0))</f>
        <v/>
      </c>
      <c r="E244" s="128" t="str">
        <f>IFERROR(IF(VLOOKUP($A244,'Annex 2 EHV charges'!$A:$O,8,FALSE)=0,"",VLOOKUP($A244,'Annex 2 EHV charges'!$A:$O,8,FALSE)),"")</f>
        <v/>
      </c>
      <c r="F244" s="129" t="str">
        <f>IFERROR(IF(VLOOKUP($A244,'Annex 2 EHV charges'!$A:$O,9,FALSE)=0,"",VLOOKUP($A244,'Annex 2 EHV charges'!$A:$O,9,FALSE)),"")</f>
        <v/>
      </c>
      <c r="G244" s="130" t="str">
        <f>IFERROR(IF(VLOOKUP($A244,'Annex 2 EHV charges'!$A:$O,10,FALSE)=0,"",VLOOKUP($A244,'Annex 2 EHV charges'!$A:$O,10,FALSE)),"")</f>
        <v/>
      </c>
      <c r="H244" s="130" t="str">
        <f>IFERROR(IF(VLOOKUP($A244,'Annex 2 EHV charges'!$A:$O,11,FALSE)=0,"",VLOOKUP($A244,'Annex 2 EHV charges'!$A:$O,11,FALSE)),"")</f>
        <v/>
      </c>
    </row>
    <row r="245" spans="1:8" x14ac:dyDescent="0.2">
      <c r="A245" s="123" t="str">
        <f t="array" ref="A245">IFERROR(INDEX('Annex 2 EHV charges'!$A$11:$A$260, MATCH(0, IF(ISBLANK('Annex 2 EHV charges'!$A$11:$A$260),1, COUNTIF(A$4:$A244, 'Annex 2 EHV charges'!$A$11:$A$260)), 0)),"")</f>
        <v/>
      </c>
      <c r="B245" s="123" t="str">
        <f>IF($A245="","",VLOOKUP($A245,'Annex 2 EHV charges'!$A:$O,2,0))</f>
        <v/>
      </c>
      <c r="C245" s="124" t="str">
        <f>IF($A245="","",VLOOKUP($A245,'Annex 2 EHV charges'!$A:$O,3,0))</f>
        <v/>
      </c>
      <c r="D245" s="123" t="str">
        <f>IF($A245="","",VLOOKUP($A245,'Annex 2 EHV charges'!$A:$O,7,0))</f>
        <v/>
      </c>
      <c r="E245" s="128" t="str">
        <f>IFERROR(IF(VLOOKUP($A245,'Annex 2 EHV charges'!$A:$O,8,FALSE)=0,"",VLOOKUP($A245,'Annex 2 EHV charges'!$A:$O,8,FALSE)),"")</f>
        <v/>
      </c>
      <c r="F245" s="129" t="str">
        <f>IFERROR(IF(VLOOKUP($A245,'Annex 2 EHV charges'!$A:$O,9,FALSE)=0,"",VLOOKUP($A245,'Annex 2 EHV charges'!$A:$O,9,FALSE)),"")</f>
        <v/>
      </c>
      <c r="G245" s="130" t="str">
        <f>IFERROR(IF(VLOOKUP($A245,'Annex 2 EHV charges'!$A:$O,10,FALSE)=0,"",VLOOKUP($A245,'Annex 2 EHV charges'!$A:$O,10,FALSE)),"")</f>
        <v/>
      </c>
      <c r="H245" s="130" t="str">
        <f>IFERROR(IF(VLOOKUP($A245,'Annex 2 EHV charges'!$A:$O,11,FALSE)=0,"",VLOOKUP($A245,'Annex 2 EHV charges'!$A:$O,11,FALSE)),"")</f>
        <v/>
      </c>
    </row>
    <row r="246" spans="1:8" x14ac:dyDescent="0.2">
      <c r="A246" s="123" t="str">
        <f t="array" ref="A246">IFERROR(INDEX('Annex 2 EHV charges'!$A$11:$A$260, MATCH(0, IF(ISBLANK('Annex 2 EHV charges'!$A$11:$A$260),1, COUNTIF(A$4:$A245, 'Annex 2 EHV charges'!$A$11:$A$260)), 0)),"")</f>
        <v/>
      </c>
      <c r="B246" s="123" t="str">
        <f>IF($A246="","",VLOOKUP($A246,'Annex 2 EHV charges'!$A:$O,2,0))</f>
        <v/>
      </c>
      <c r="C246" s="124" t="str">
        <f>IF($A246="","",VLOOKUP($A246,'Annex 2 EHV charges'!$A:$O,3,0))</f>
        <v/>
      </c>
      <c r="D246" s="123" t="str">
        <f>IF($A246="","",VLOOKUP($A246,'Annex 2 EHV charges'!$A:$O,7,0))</f>
        <v/>
      </c>
      <c r="E246" s="128" t="str">
        <f>IFERROR(IF(VLOOKUP($A246,'Annex 2 EHV charges'!$A:$O,8,FALSE)=0,"",VLOOKUP($A246,'Annex 2 EHV charges'!$A:$O,8,FALSE)),"")</f>
        <v/>
      </c>
      <c r="F246" s="129" t="str">
        <f>IFERROR(IF(VLOOKUP($A246,'Annex 2 EHV charges'!$A:$O,9,FALSE)=0,"",VLOOKUP($A246,'Annex 2 EHV charges'!$A:$O,9,FALSE)),"")</f>
        <v/>
      </c>
      <c r="G246" s="130" t="str">
        <f>IFERROR(IF(VLOOKUP($A246,'Annex 2 EHV charges'!$A:$O,10,FALSE)=0,"",VLOOKUP($A246,'Annex 2 EHV charges'!$A:$O,10,FALSE)),"")</f>
        <v/>
      </c>
      <c r="H246" s="130" t="str">
        <f>IFERROR(IF(VLOOKUP($A246,'Annex 2 EHV charges'!$A:$O,11,FALSE)=0,"",VLOOKUP($A246,'Annex 2 EHV charges'!$A:$O,11,FALSE)),"")</f>
        <v/>
      </c>
    </row>
    <row r="247" spans="1:8" x14ac:dyDescent="0.2">
      <c r="A247" s="123" t="str">
        <f t="array" ref="A247">IFERROR(INDEX('Annex 2 EHV charges'!$A$11:$A$260, MATCH(0, IF(ISBLANK('Annex 2 EHV charges'!$A$11:$A$260),1, COUNTIF(A$4:$A246, 'Annex 2 EHV charges'!$A$11:$A$260)), 0)),"")</f>
        <v/>
      </c>
      <c r="B247" s="123" t="str">
        <f>IF($A247="","",VLOOKUP($A247,'Annex 2 EHV charges'!$A:$O,2,0))</f>
        <v/>
      </c>
      <c r="C247" s="124" t="str">
        <f>IF($A247="","",VLOOKUP($A247,'Annex 2 EHV charges'!$A:$O,3,0))</f>
        <v/>
      </c>
      <c r="D247" s="123" t="str">
        <f>IF($A247="","",VLOOKUP($A247,'Annex 2 EHV charges'!$A:$O,7,0))</f>
        <v/>
      </c>
      <c r="E247" s="128" t="str">
        <f>IFERROR(IF(VLOOKUP($A247,'Annex 2 EHV charges'!$A:$O,8,FALSE)=0,"",VLOOKUP($A247,'Annex 2 EHV charges'!$A:$O,8,FALSE)),"")</f>
        <v/>
      </c>
      <c r="F247" s="129" t="str">
        <f>IFERROR(IF(VLOOKUP($A247,'Annex 2 EHV charges'!$A:$O,9,FALSE)=0,"",VLOOKUP($A247,'Annex 2 EHV charges'!$A:$O,9,FALSE)),"")</f>
        <v/>
      </c>
      <c r="G247" s="130" t="str">
        <f>IFERROR(IF(VLOOKUP($A247,'Annex 2 EHV charges'!$A:$O,10,FALSE)=0,"",VLOOKUP($A247,'Annex 2 EHV charges'!$A:$O,10,FALSE)),"")</f>
        <v/>
      </c>
      <c r="H247" s="130" t="str">
        <f>IFERROR(IF(VLOOKUP($A247,'Annex 2 EHV charges'!$A:$O,11,FALSE)=0,"",VLOOKUP($A247,'Annex 2 EHV charges'!$A:$O,11,FALSE)),"")</f>
        <v/>
      </c>
    </row>
    <row r="248" spans="1:8" x14ac:dyDescent="0.2">
      <c r="A248" s="123" t="str">
        <f t="array" ref="A248">IFERROR(INDEX('Annex 2 EHV charges'!$A$11:$A$260, MATCH(0, IF(ISBLANK('Annex 2 EHV charges'!$A$11:$A$260),1, COUNTIF(A$4:$A247, 'Annex 2 EHV charges'!$A$11:$A$260)), 0)),"")</f>
        <v/>
      </c>
      <c r="B248" s="123" t="str">
        <f>IF($A248="","",VLOOKUP($A248,'Annex 2 EHV charges'!$A:$O,2,0))</f>
        <v/>
      </c>
      <c r="C248" s="124" t="str">
        <f>IF($A248="","",VLOOKUP($A248,'Annex 2 EHV charges'!$A:$O,3,0))</f>
        <v/>
      </c>
      <c r="D248" s="123" t="str">
        <f>IF($A248="","",VLOOKUP($A248,'Annex 2 EHV charges'!$A:$O,7,0))</f>
        <v/>
      </c>
      <c r="E248" s="128" t="str">
        <f>IFERROR(IF(VLOOKUP($A248,'Annex 2 EHV charges'!$A:$O,8,FALSE)=0,"",VLOOKUP($A248,'Annex 2 EHV charges'!$A:$O,8,FALSE)),"")</f>
        <v/>
      </c>
      <c r="F248" s="129" t="str">
        <f>IFERROR(IF(VLOOKUP($A248,'Annex 2 EHV charges'!$A:$O,9,FALSE)=0,"",VLOOKUP($A248,'Annex 2 EHV charges'!$A:$O,9,FALSE)),"")</f>
        <v/>
      </c>
      <c r="G248" s="130" t="str">
        <f>IFERROR(IF(VLOOKUP($A248,'Annex 2 EHV charges'!$A:$O,10,FALSE)=0,"",VLOOKUP($A248,'Annex 2 EHV charges'!$A:$O,10,FALSE)),"")</f>
        <v/>
      </c>
      <c r="H248" s="130" t="str">
        <f>IFERROR(IF(VLOOKUP($A248,'Annex 2 EHV charges'!$A:$O,11,FALSE)=0,"",VLOOKUP($A248,'Annex 2 EHV charges'!$A:$O,11,FALSE)),"")</f>
        <v/>
      </c>
    </row>
    <row r="249" spans="1:8" x14ac:dyDescent="0.2">
      <c r="A249" s="123" t="str">
        <f t="array" ref="A249">IFERROR(INDEX('Annex 2 EHV charges'!$A$11:$A$260, MATCH(0, IF(ISBLANK('Annex 2 EHV charges'!$A$11:$A$260),1, COUNTIF(A$4:$A248, 'Annex 2 EHV charges'!$A$11:$A$260)), 0)),"")</f>
        <v/>
      </c>
      <c r="B249" s="123" t="str">
        <f>IF($A249="","",VLOOKUP($A249,'Annex 2 EHV charges'!$A:$O,2,0))</f>
        <v/>
      </c>
      <c r="C249" s="124" t="str">
        <f>IF($A249="","",VLOOKUP($A249,'Annex 2 EHV charges'!$A:$O,3,0))</f>
        <v/>
      </c>
      <c r="D249" s="123" t="str">
        <f>IF($A249="","",VLOOKUP($A249,'Annex 2 EHV charges'!$A:$O,7,0))</f>
        <v/>
      </c>
      <c r="E249" s="128" t="str">
        <f>IFERROR(IF(VLOOKUP($A249,'Annex 2 EHV charges'!$A:$O,8,FALSE)=0,"",VLOOKUP($A249,'Annex 2 EHV charges'!$A:$O,8,FALSE)),"")</f>
        <v/>
      </c>
      <c r="F249" s="129" t="str">
        <f>IFERROR(IF(VLOOKUP($A249,'Annex 2 EHV charges'!$A:$O,9,FALSE)=0,"",VLOOKUP($A249,'Annex 2 EHV charges'!$A:$O,9,FALSE)),"")</f>
        <v/>
      </c>
      <c r="G249" s="130" t="str">
        <f>IFERROR(IF(VLOOKUP($A249,'Annex 2 EHV charges'!$A:$O,10,FALSE)=0,"",VLOOKUP($A249,'Annex 2 EHV charges'!$A:$O,10,FALSE)),"")</f>
        <v/>
      </c>
      <c r="H249" s="130" t="str">
        <f>IFERROR(IF(VLOOKUP($A249,'Annex 2 EHV charges'!$A:$O,11,FALSE)=0,"",VLOOKUP($A249,'Annex 2 EHV charges'!$A:$O,11,FALSE)),"")</f>
        <v/>
      </c>
    </row>
    <row r="250" spans="1:8" x14ac:dyDescent="0.2">
      <c r="A250" s="123" t="str">
        <f t="array" ref="A250">IFERROR(INDEX('Annex 2 EHV charges'!$A$11:$A$260, MATCH(0, IF(ISBLANK('Annex 2 EHV charges'!$A$11:$A$260),1, COUNTIF(A$4:$A249, 'Annex 2 EHV charges'!$A$11:$A$260)), 0)),"")</f>
        <v/>
      </c>
      <c r="B250" s="123" t="str">
        <f>IF($A250="","",VLOOKUP($A250,'Annex 2 EHV charges'!$A:$O,2,0))</f>
        <v/>
      </c>
      <c r="C250" s="124" t="str">
        <f>IF($A250="","",VLOOKUP($A250,'Annex 2 EHV charges'!$A:$O,3,0))</f>
        <v/>
      </c>
      <c r="D250" s="123" t="str">
        <f>IF($A250="","",VLOOKUP($A250,'Annex 2 EHV charges'!$A:$O,7,0))</f>
        <v/>
      </c>
      <c r="E250" s="128" t="str">
        <f>IFERROR(IF(VLOOKUP($A250,'Annex 2 EHV charges'!$A:$O,8,FALSE)=0,"",VLOOKUP($A250,'Annex 2 EHV charges'!$A:$O,8,FALSE)),"")</f>
        <v/>
      </c>
      <c r="F250" s="129" t="str">
        <f>IFERROR(IF(VLOOKUP($A250,'Annex 2 EHV charges'!$A:$O,9,FALSE)=0,"",VLOOKUP($A250,'Annex 2 EHV charges'!$A:$O,9,FALSE)),"")</f>
        <v/>
      </c>
      <c r="G250" s="130" t="str">
        <f>IFERROR(IF(VLOOKUP($A250,'Annex 2 EHV charges'!$A:$O,10,FALSE)=0,"",VLOOKUP($A250,'Annex 2 EHV charges'!$A:$O,10,FALSE)),"")</f>
        <v/>
      </c>
      <c r="H250" s="130" t="str">
        <f>IFERROR(IF(VLOOKUP($A250,'Annex 2 EHV charges'!$A:$O,11,FALSE)=0,"",VLOOKUP($A250,'Annex 2 EHV charges'!$A:$O,11,FALSE)),"")</f>
        <v/>
      </c>
    </row>
    <row r="251" spans="1:8" x14ac:dyDescent="0.2">
      <c r="A251" s="123" t="str">
        <f t="array" ref="A251">IFERROR(INDEX('Annex 2 EHV charges'!$A$11:$A$260, MATCH(0, IF(ISBLANK('Annex 2 EHV charges'!$A$11:$A$260),1, COUNTIF(A$4:$A250, 'Annex 2 EHV charges'!$A$11:$A$260)), 0)),"")</f>
        <v/>
      </c>
      <c r="B251" s="123" t="str">
        <f>IF($A251="","",VLOOKUP($A251,'Annex 2 EHV charges'!$A:$O,2,0))</f>
        <v/>
      </c>
      <c r="C251" s="124" t="str">
        <f>IF($A251="","",VLOOKUP($A251,'Annex 2 EHV charges'!$A:$O,3,0))</f>
        <v/>
      </c>
      <c r="D251" s="123" t="str">
        <f>IF($A251="","",VLOOKUP($A251,'Annex 2 EHV charges'!$A:$O,7,0))</f>
        <v/>
      </c>
      <c r="E251" s="128" t="str">
        <f>IFERROR(IF(VLOOKUP($A251,'Annex 2 EHV charges'!$A:$O,8,FALSE)=0,"",VLOOKUP($A251,'Annex 2 EHV charges'!$A:$O,8,FALSE)),"")</f>
        <v/>
      </c>
      <c r="F251" s="129" t="str">
        <f>IFERROR(IF(VLOOKUP($A251,'Annex 2 EHV charges'!$A:$O,9,FALSE)=0,"",VLOOKUP($A251,'Annex 2 EHV charges'!$A:$O,9,FALSE)),"")</f>
        <v/>
      </c>
      <c r="G251" s="130" t="str">
        <f>IFERROR(IF(VLOOKUP($A251,'Annex 2 EHV charges'!$A:$O,10,FALSE)=0,"",VLOOKUP($A251,'Annex 2 EHV charges'!$A:$O,10,FALSE)),"")</f>
        <v/>
      </c>
      <c r="H251" s="130" t="str">
        <f>IFERROR(IF(VLOOKUP($A251,'Annex 2 EHV charges'!$A:$O,11,FALSE)=0,"",VLOOKUP($A251,'Annex 2 EHV charges'!$A:$O,11,FALSE)),"")</f>
        <v/>
      </c>
    </row>
    <row r="252" spans="1:8" x14ac:dyDescent="0.2">
      <c r="A252" s="123" t="str">
        <f t="array" ref="A252">IFERROR(INDEX('Annex 2 EHV charges'!$A$11:$A$260, MATCH(0, IF(ISBLANK('Annex 2 EHV charges'!$A$11:$A$260),1, COUNTIF(A$4:$A251, 'Annex 2 EHV charges'!$A$11:$A$260)), 0)),"")</f>
        <v/>
      </c>
      <c r="B252" s="123" t="str">
        <f>IF($A252="","",VLOOKUP($A252,'Annex 2 EHV charges'!$A:$O,2,0))</f>
        <v/>
      </c>
      <c r="C252" s="124" t="str">
        <f>IF($A252="","",VLOOKUP($A252,'Annex 2 EHV charges'!$A:$O,3,0))</f>
        <v/>
      </c>
      <c r="D252" s="123" t="str">
        <f>IF($A252="","",VLOOKUP($A252,'Annex 2 EHV charges'!$A:$O,7,0))</f>
        <v/>
      </c>
      <c r="E252" s="128" t="str">
        <f>IFERROR(IF(VLOOKUP($A252,'Annex 2 EHV charges'!$A:$O,8,FALSE)=0,"",VLOOKUP($A252,'Annex 2 EHV charges'!$A:$O,8,FALSE)),"")</f>
        <v/>
      </c>
      <c r="F252" s="129" t="str">
        <f>IFERROR(IF(VLOOKUP($A252,'Annex 2 EHV charges'!$A:$O,9,FALSE)=0,"",VLOOKUP($A252,'Annex 2 EHV charges'!$A:$O,9,FALSE)),"")</f>
        <v/>
      </c>
      <c r="G252" s="130" t="str">
        <f>IFERROR(IF(VLOOKUP($A252,'Annex 2 EHV charges'!$A:$O,10,FALSE)=0,"",VLOOKUP($A252,'Annex 2 EHV charges'!$A:$O,10,FALSE)),"")</f>
        <v/>
      </c>
      <c r="H252" s="130" t="str">
        <f>IFERROR(IF(VLOOKUP($A252,'Annex 2 EHV charges'!$A:$O,11,FALSE)=0,"",VLOOKUP($A252,'Annex 2 EHV charges'!$A:$O,11,FALSE)),"")</f>
        <v/>
      </c>
    </row>
    <row r="253" spans="1:8" x14ac:dyDescent="0.2">
      <c r="A253" s="123" t="str">
        <f t="array" ref="A253">IFERROR(INDEX('Annex 2 EHV charges'!$A$11:$A$260, MATCH(0, IF(ISBLANK('Annex 2 EHV charges'!$A$11:$A$260),1, COUNTIF(A$4:$A252, 'Annex 2 EHV charges'!$A$11:$A$260)), 0)),"")</f>
        <v/>
      </c>
      <c r="B253" s="123" t="str">
        <f>IF($A253="","",VLOOKUP($A253,'Annex 2 EHV charges'!$A:$O,2,0))</f>
        <v/>
      </c>
      <c r="C253" s="124" t="str">
        <f>IF($A253="","",VLOOKUP($A253,'Annex 2 EHV charges'!$A:$O,3,0))</f>
        <v/>
      </c>
      <c r="D253" s="123" t="str">
        <f>IF($A253="","",VLOOKUP($A253,'Annex 2 EHV charges'!$A:$O,7,0))</f>
        <v/>
      </c>
      <c r="E253" s="128" t="str">
        <f>IFERROR(IF(VLOOKUP($A253,'Annex 2 EHV charges'!$A:$O,8,FALSE)=0,"",VLOOKUP($A253,'Annex 2 EHV charges'!$A:$O,8,FALSE)),"")</f>
        <v/>
      </c>
      <c r="F253" s="129" t="str">
        <f>IFERROR(IF(VLOOKUP($A253,'Annex 2 EHV charges'!$A:$O,9,FALSE)=0,"",VLOOKUP($A253,'Annex 2 EHV charges'!$A:$O,9,FALSE)),"")</f>
        <v/>
      </c>
      <c r="G253" s="130" t="str">
        <f>IFERROR(IF(VLOOKUP($A253,'Annex 2 EHV charges'!$A:$O,10,FALSE)=0,"",VLOOKUP($A253,'Annex 2 EHV charges'!$A:$O,10,FALSE)),"")</f>
        <v/>
      </c>
      <c r="H253" s="130" t="str">
        <f>IFERROR(IF(VLOOKUP($A253,'Annex 2 EHV charges'!$A:$O,11,FALSE)=0,"",VLOOKUP($A253,'Annex 2 EHV charges'!$A:$O,11,FALSE)),"")</f>
        <v/>
      </c>
    </row>
    <row r="254" spans="1:8" x14ac:dyDescent="0.2">
      <c r="A254" s="123" t="str">
        <f t="array" ref="A254">IFERROR(INDEX('Annex 2 EHV charges'!$A$11:$A$260, MATCH(0, IF(ISBLANK('Annex 2 EHV charges'!$A$11:$A$260),1, COUNTIF(A$4:$A253, 'Annex 2 EHV charges'!$A$11:$A$260)), 0)),"")</f>
        <v/>
      </c>
      <c r="B254" s="123" t="str">
        <f>IF($A254="","",VLOOKUP($A254,'Annex 2 EHV charges'!$A:$O,2,0))</f>
        <v/>
      </c>
      <c r="C254" s="124" t="str">
        <f>IF($A254="","",VLOOKUP($A254,'Annex 2 EHV charges'!$A:$O,3,0))</f>
        <v/>
      </c>
      <c r="D254" s="123" t="str">
        <f>IF($A254="","",VLOOKUP($A254,'Annex 2 EHV charges'!$A:$O,7,0))</f>
        <v/>
      </c>
      <c r="E254" s="128" t="str">
        <f>IFERROR(IF(VLOOKUP($A254,'Annex 2 EHV charges'!$A:$O,8,FALSE)=0,"",VLOOKUP($A254,'Annex 2 EHV charges'!$A:$O,8,FALSE)),"")</f>
        <v/>
      </c>
      <c r="F254" s="129" t="str">
        <f>IFERROR(IF(VLOOKUP($A254,'Annex 2 EHV charges'!$A:$O,9,FALSE)=0,"",VLOOKUP($A254,'Annex 2 EHV charges'!$A:$O,9,FALSE)),"")</f>
        <v/>
      </c>
      <c r="G254" s="130" t="str">
        <f>IFERROR(IF(VLOOKUP($A254,'Annex 2 EHV charges'!$A:$O,10,FALSE)=0,"",VLOOKUP($A254,'Annex 2 EHV charges'!$A:$O,10,FALSE)),"")</f>
        <v/>
      </c>
      <c r="H254" s="130" t="str">
        <f>IFERROR(IF(VLOOKUP($A254,'Annex 2 EHV charges'!$A:$O,11,FALSE)=0,"",VLOOKUP($A254,'Annex 2 EHV charges'!$A:$O,11,FALSE)),"")</f>
        <v/>
      </c>
    </row>
  </sheetData>
  <mergeCells count="2">
    <mergeCell ref="A2:H2"/>
    <mergeCell ref="A1:H1"/>
  </mergeCells>
  <pageMargins left="0.70866141732283472" right="0.70866141732283472" top="0.94488188976377963" bottom="0.74803149606299213" header="0.31496062992125984" footer="0.31496062992125984"/>
  <pageSetup paperSize="8" scale="89"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zoomScale="90" zoomScaleNormal="90" zoomScaleSheetLayoutView="100" workbookViewId="0">
      <selection sqref="A1:H1"/>
    </sheetView>
  </sheetViews>
  <sheetFormatPr defaultRowHeight="12.75" x14ac:dyDescent="0.2"/>
  <cols>
    <col min="1" max="1" width="14.7109375" style="67" customWidth="1"/>
    <col min="2" max="2" width="8.7109375" style="67" customWidth="1"/>
    <col min="3" max="3" width="15.7109375" style="75" bestFit="1" customWidth="1"/>
    <col min="4" max="4" width="50.7109375" style="75" customWidth="1"/>
    <col min="5" max="5" width="14.7109375" style="76" customWidth="1"/>
    <col min="6" max="7" width="14.7109375" style="77" customWidth="1"/>
    <col min="8" max="8" width="14.7109375" style="67" customWidth="1"/>
    <col min="9" max="9" width="15.5703125" style="67" customWidth="1"/>
    <col min="10" max="16384" width="9.140625" style="67"/>
  </cols>
  <sheetData>
    <row r="1" spans="1:15" ht="66.75" customHeight="1" x14ac:dyDescent="0.2">
      <c r="A1" s="244" t="s">
        <v>553</v>
      </c>
      <c r="B1" s="244"/>
      <c r="C1" s="244"/>
      <c r="D1" s="244"/>
      <c r="E1" s="244"/>
      <c r="F1" s="244"/>
      <c r="G1" s="244"/>
      <c r="H1" s="244"/>
    </row>
    <row r="2" spans="1:15" s="68" customFormat="1" ht="25.5" customHeight="1" x14ac:dyDescent="0.2">
      <c r="A2" s="246" t="str">
        <f>Overview!B4&amp; " - Effective from "&amp;Overview!D4&amp;" - "&amp;Overview!E4&amp;" EDCM export charges"</f>
        <v>SP Distribution - Effective from 1 April 2018 - Final EDCM export charges</v>
      </c>
      <c r="B2" s="247"/>
      <c r="C2" s="247"/>
      <c r="D2" s="247"/>
      <c r="E2" s="247"/>
      <c r="F2" s="247"/>
      <c r="G2" s="247"/>
      <c r="H2" s="248"/>
    </row>
    <row r="3" spans="1:15" s="106" customFormat="1" ht="18" x14ac:dyDescent="0.2">
      <c r="A3" s="113"/>
      <c r="B3" s="113"/>
      <c r="C3" s="113"/>
      <c r="D3" s="114"/>
      <c r="E3" s="115"/>
      <c r="F3" s="115"/>
      <c r="G3" s="116"/>
      <c r="H3" s="116"/>
      <c r="I3" s="103"/>
      <c r="J3" s="103"/>
      <c r="K3" s="103"/>
      <c r="L3" s="103"/>
      <c r="M3" s="103"/>
      <c r="N3" s="103"/>
      <c r="O3" s="103"/>
    </row>
    <row r="4" spans="1:15" ht="60.75" customHeight="1" x14ac:dyDescent="0.2">
      <c r="A4" s="69" t="s">
        <v>523</v>
      </c>
      <c r="B4" s="70" t="s">
        <v>487</v>
      </c>
      <c r="C4" s="69" t="s">
        <v>489</v>
      </c>
      <c r="D4" s="71" t="s">
        <v>199</v>
      </c>
      <c r="E4" s="71" t="str">
        <f>'Annex 2 EHV charges'!L10</f>
        <v>Export
Super Red
unit charge
(p/kWh)</v>
      </c>
      <c r="F4" s="71" t="str">
        <f>'Annex 2 EHV charges'!M10</f>
        <v>Export
fixed charge
(p/day)</v>
      </c>
      <c r="G4" s="71" t="str">
        <f>'Annex 2 EHV charges'!N10</f>
        <v>Export
capacity charge
(p/kVA/day)</v>
      </c>
      <c r="H4" s="71" t="str">
        <f>'Annex 2 EHV charges'!O10</f>
        <v>Export
exceeded capacity charge
(p/kVA/day)</v>
      </c>
    </row>
    <row r="5" spans="1:15" ht="12.75" customHeight="1" x14ac:dyDescent="0.2">
      <c r="A5" s="124">
        <f t="array" ref="A5">IFERROR(INDEX('Annex 2 EHV charges'!$D$11:$D$260, MATCH(0, IF(ISBLANK('Annex 2 EHV charges'!$D$11:$D$260),1, COUNTIF(A$4:$A4, 'Annex 2 EHV charges'!$D$11:$D$260)), 0)),"")</f>
        <v>644</v>
      </c>
      <c r="B5" s="123">
        <f>IF($A5="","",VLOOKUP($A5,'Annex 2 EHV charges'!$D:$O,2,0))</f>
        <v>644</v>
      </c>
      <c r="C5" s="124">
        <f>IF($A5="","",VLOOKUP($A5,'Annex 2 EHV charges'!$D:$O,3,0))</f>
        <v>1800060775990</v>
      </c>
      <c r="D5" s="123" t="str">
        <f>IF($A5="","",VLOOKUP($A5,'Annex 2 EHV charges'!$D:$O,4,0))</f>
        <v>Rhodders</v>
      </c>
      <c r="E5" s="125" t="str">
        <f>IFERROR(IF(VLOOKUP($A5,'Annex 2 EHV charges'!$D:$O,9,FALSE)=0,"",VLOOKUP($A5,'Annex 2 EHV charges'!$D:$O,9,FALSE)),"")</f>
        <v/>
      </c>
      <c r="F5" s="126">
        <f>IFERROR(IF(VLOOKUP($A5,'Annex 2 EHV charges'!$D:$O,10,FALSE)=0,"",VLOOKUP($A5,'Annex 2 EHV charges'!$D:$O,10,FALSE)),"")</f>
        <v>5861.03</v>
      </c>
      <c r="G5" s="127">
        <f>IFERROR(IF(VLOOKUP($A5,'Annex 2 EHV charges'!$D:$O,11,FALSE)=0,"",VLOOKUP($A5,'Annex 2 EHV charges'!$D:$O,11,FALSE)),"")</f>
        <v>0.05</v>
      </c>
      <c r="H5" s="127">
        <f>IFERROR(IF(VLOOKUP($A5,'Annex 2 EHV charges'!$D:$O,12,FALSE)=0,"",VLOOKUP($A5,'Annex 2 EHV charges'!$D:$O,12,FALSE)),"")</f>
        <v>0.05</v>
      </c>
    </row>
    <row r="6" spans="1:15" ht="12.75" customHeight="1" x14ac:dyDescent="0.2">
      <c r="A6" s="124" t="str">
        <f t="array" ref="A6">IFERROR(INDEX('Annex 2 EHV charges'!$D$11:$D$260, MATCH(0, IF(ISBLANK('Annex 2 EHV charges'!$D$11:$D$260),1, COUNTIF(A$4:$A5, 'Annex 2 EHV charges'!$D$11:$D$260)), 0)),"")</f>
        <v>MSID 8182</v>
      </c>
      <c r="B6" s="123" t="str">
        <f>IF($A6="","",VLOOKUP($A6,'Annex 2 EHV charges'!$D:$O,2,0))</f>
        <v>MSID 8182</v>
      </c>
      <c r="C6" s="124" t="str">
        <f>IF($A6="","",VLOOKUP($A6,'Annex 2 EHV charges'!$D:$O,3,0))</f>
        <v>MSID 8182</v>
      </c>
      <c r="D6" s="123" t="str">
        <f>IF($A6="","",VLOOKUP($A6,'Annex 2 EHV charges'!$D:$O,4,0))</f>
        <v>Minsca</v>
      </c>
      <c r="E6" s="125" t="str">
        <f>IFERROR(IF(VLOOKUP($A6,'Annex 2 EHV charges'!$D:$O,9,FALSE)=0,"",VLOOKUP($A6,'Annex 2 EHV charges'!$D:$O,9,FALSE)),"")</f>
        <v/>
      </c>
      <c r="F6" s="126" t="str">
        <f>IFERROR(IF(VLOOKUP($A6,'Annex 2 EHV charges'!$D:$O,10,FALSE)=0,"",VLOOKUP($A6,'Annex 2 EHV charges'!$D:$O,10,FALSE)),"")</f>
        <v/>
      </c>
      <c r="G6" s="127" t="str">
        <f>IFERROR(IF(VLOOKUP($A6,'Annex 2 EHV charges'!$D:$O,11,FALSE)=0,"",VLOOKUP($A6,'Annex 2 EHV charges'!$D:$O,11,FALSE)),"")</f>
        <v/>
      </c>
      <c r="H6" s="127" t="str">
        <f>IFERROR(IF(VLOOKUP($A6,'Annex 2 EHV charges'!$D:$O,12,FALSE)=0,"",VLOOKUP($A6,'Annex 2 EHV charges'!$D:$O,12,FALSE)),"")</f>
        <v/>
      </c>
    </row>
    <row r="7" spans="1:15" ht="12.75" customHeight="1" x14ac:dyDescent="0.2">
      <c r="A7" s="124">
        <f t="array" ref="A7">IFERROR(INDEX('Annex 2 EHV charges'!$D$11:$D$260, MATCH(0, IF(ISBLANK('Annex 2 EHV charges'!$D$11:$D$260),1, COUNTIF(A$4:$A6, 'Annex 2 EHV charges'!$D$11:$D$260)), 0)),"")</f>
        <v>683</v>
      </c>
      <c r="B7" s="123">
        <f>IF($A7="","",VLOOKUP($A7,'Annex 2 EHV charges'!$D:$O,2,0))</f>
        <v>683</v>
      </c>
      <c r="C7" s="124">
        <f>IF($A7="","",VLOOKUP($A7,'Annex 2 EHV charges'!$D:$O,3,0))</f>
        <v>1800060539971</v>
      </c>
      <c r="D7" s="123" t="str">
        <f>IF($A7="","",VLOOKUP($A7,'Annex 2 EHV charges'!$D:$O,4,0))</f>
        <v>Bankend Rig</v>
      </c>
      <c r="E7" s="125" t="str">
        <f>IFERROR(IF(VLOOKUP($A7,'Annex 2 EHV charges'!$D:$O,9,FALSE)=0,"",VLOOKUP($A7,'Annex 2 EHV charges'!$D:$O,9,FALSE)),"")</f>
        <v/>
      </c>
      <c r="F7" s="126">
        <f>IFERROR(IF(VLOOKUP($A7,'Annex 2 EHV charges'!$D:$O,10,FALSE)=0,"",VLOOKUP($A7,'Annex 2 EHV charges'!$D:$O,10,FALSE)),"")</f>
        <v>5449.73</v>
      </c>
      <c r="G7" s="127">
        <f>IFERROR(IF(VLOOKUP($A7,'Annex 2 EHV charges'!$D:$O,11,FALSE)=0,"",VLOOKUP($A7,'Annex 2 EHV charges'!$D:$O,11,FALSE)),"")</f>
        <v>0.05</v>
      </c>
      <c r="H7" s="127">
        <f>IFERROR(IF(VLOOKUP($A7,'Annex 2 EHV charges'!$D:$O,12,FALSE)=0,"",VLOOKUP($A7,'Annex 2 EHV charges'!$D:$O,12,FALSE)),"")</f>
        <v>0.05</v>
      </c>
    </row>
    <row r="8" spans="1:15" ht="12.75" customHeight="1" x14ac:dyDescent="0.2">
      <c r="A8" s="124">
        <f t="array" ref="A8">IFERROR(INDEX('Annex 2 EHV charges'!$D$11:$D$260, MATCH(0, IF(ISBLANK('Annex 2 EHV charges'!$D$11:$D$260),1, COUNTIF(A$4:$A7, 'Annex 2 EHV charges'!$D$11:$D$260)), 0)),"")</f>
        <v>684</v>
      </c>
      <c r="B8" s="123">
        <f>IF($A8="","",VLOOKUP($A8,'Annex 2 EHV charges'!$D:$O,2,0))</f>
        <v>684</v>
      </c>
      <c r="C8" s="124">
        <f>IF($A8="","",VLOOKUP($A8,'Annex 2 EHV charges'!$D:$O,3,0))</f>
        <v>1800060532717</v>
      </c>
      <c r="D8" s="123" t="str">
        <f>IF($A8="","",VLOOKUP($A8,'Annex 2 EHV charges'!$D:$O,4,0))</f>
        <v>Barlockhart Moor</v>
      </c>
      <c r="E8" s="125" t="str">
        <f>IFERROR(IF(VLOOKUP($A8,'Annex 2 EHV charges'!$D:$O,9,FALSE)=0,"",VLOOKUP($A8,'Annex 2 EHV charges'!$D:$O,9,FALSE)),"")</f>
        <v/>
      </c>
      <c r="F8" s="126">
        <f>IFERROR(IF(VLOOKUP($A8,'Annex 2 EHV charges'!$D:$O,10,FALSE)=0,"",VLOOKUP($A8,'Annex 2 EHV charges'!$D:$O,10,FALSE)),"")</f>
        <v>9901.7000000000007</v>
      </c>
      <c r="G8" s="127">
        <f>IFERROR(IF(VLOOKUP($A8,'Annex 2 EHV charges'!$D:$O,11,FALSE)=0,"",VLOOKUP($A8,'Annex 2 EHV charges'!$D:$O,11,FALSE)),"")</f>
        <v>0.05</v>
      </c>
      <c r="H8" s="127">
        <f>IFERROR(IF(VLOOKUP($A8,'Annex 2 EHV charges'!$D:$O,12,FALSE)=0,"",VLOOKUP($A8,'Annex 2 EHV charges'!$D:$O,12,FALSE)),"")</f>
        <v>0.05</v>
      </c>
    </row>
    <row r="9" spans="1:15" ht="12.75" customHeight="1" x14ac:dyDescent="0.2">
      <c r="A9" s="124">
        <f t="array" ref="A9">IFERROR(INDEX('Annex 2 EHV charges'!$D$11:$D$260, MATCH(0, IF(ISBLANK('Annex 2 EHV charges'!$D$11:$D$260),1, COUNTIF(A$4:$A8, 'Annex 2 EHV charges'!$D$11:$D$260)), 0)),"")</f>
        <v>685</v>
      </c>
      <c r="B9" s="123">
        <f>IF($A9="","",VLOOKUP($A9,'Annex 2 EHV charges'!$D:$O,2,0))</f>
        <v>685</v>
      </c>
      <c r="C9" s="124">
        <f>IF($A9="","",VLOOKUP($A9,'Annex 2 EHV charges'!$D:$O,3,0))</f>
        <v>1800060532735</v>
      </c>
      <c r="D9" s="123" t="str">
        <f>IF($A9="","",VLOOKUP($A9,'Annex 2 EHV charges'!$D:$O,4,0))</f>
        <v>Blantyre Muir</v>
      </c>
      <c r="E9" s="125" t="str">
        <f>IFERROR(IF(VLOOKUP($A9,'Annex 2 EHV charges'!$D:$O,9,FALSE)=0,"",VLOOKUP($A9,'Annex 2 EHV charges'!$D:$O,9,FALSE)),"")</f>
        <v/>
      </c>
      <c r="F9" s="126">
        <f>IFERROR(IF(VLOOKUP($A9,'Annex 2 EHV charges'!$D:$O,10,FALSE)=0,"",VLOOKUP($A9,'Annex 2 EHV charges'!$D:$O,10,FALSE)),"")</f>
        <v>6437.57</v>
      </c>
      <c r="G9" s="127">
        <f>IFERROR(IF(VLOOKUP($A9,'Annex 2 EHV charges'!$D:$O,11,FALSE)=0,"",VLOOKUP($A9,'Annex 2 EHV charges'!$D:$O,11,FALSE)),"")</f>
        <v>0.05</v>
      </c>
      <c r="H9" s="127">
        <f>IFERROR(IF(VLOOKUP($A9,'Annex 2 EHV charges'!$D:$O,12,FALSE)=0,"",VLOOKUP($A9,'Annex 2 EHV charges'!$D:$O,12,FALSE)),"")</f>
        <v>0.05</v>
      </c>
    </row>
    <row r="10" spans="1:15" ht="12.75" customHeight="1" x14ac:dyDescent="0.2">
      <c r="A10" s="124">
        <f t="array" ref="A10">IFERROR(INDEX('Annex 2 EHV charges'!$D$11:$D$260, MATCH(0, IF(ISBLANK('Annex 2 EHV charges'!$D$11:$D$260),1, COUNTIF(A$4:$A9, 'Annex 2 EHV charges'!$D$11:$D$260)), 0)),"")</f>
        <v>693</v>
      </c>
      <c r="B10" s="123">
        <f>IF($A10="","",VLOOKUP($A10,'Annex 2 EHV charges'!$D:$O,2,0))</f>
        <v>693</v>
      </c>
      <c r="C10" s="124">
        <f>IF($A10="","",VLOOKUP($A10,'Annex 2 EHV charges'!$D:$O,3,0))</f>
        <v>1800060587869</v>
      </c>
      <c r="D10" s="123" t="str">
        <f>IF($A10="","",VLOOKUP($A10,'Annex 2 EHV charges'!$D:$O,4,0))</f>
        <v>Hunterston WF</v>
      </c>
      <c r="E10" s="125" t="str">
        <f>IFERROR(IF(VLOOKUP($A10,'Annex 2 EHV charges'!$D:$O,9,FALSE)=0,"",VLOOKUP($A10,'Annex 2 EHV charges'!$D:$O,9,FALSE)),"")</f>
        <v/>
      </c>
      <c r="F10" s="126">
        <f>IFERROR(IF(VLOOKUP($A10,'Annex 2 EHV charges'!$D:$O,10,FALSE)=0,"",VLOOKUP($A10,'Annex 2 EHV charges'!$D:$O,10,FALSE)),"")</f>
        <v>8746.35</v>
      </c>
      <c r="G10" s="127">
        <f>IFERROR(IF(VLOOKUP($A10,'Annex 2 EHV charges'!$D:$O,11,FALSE)=0,"",VLOOKUP($A10,'Annex 2 EHV charges'!$D:$O,11,FALSE)),"")</f>
        <v>0.05</v>
      </c>
      <c r="H10" s="127">
        <f>IFERROR(IF(VLOOKUP($A10,'Annex 2 EHV charges'!$D:$O,12,FALSE)=0,"",VLOOKUP($A10,'Annex 2 EHV charges'!$D:$O,12,FALSE)),"")</f>
        <v>0.05</v>
      </c>
    </row>
    <row r="11" spans="1:15" ht="12.75" customHeight="1" x14ac:dyDescent="0.2">
      <c r="A11" s="124">
        <f t="array" ref="A11">IFERROR(INDEX('Annex 2 EHV charges'!$D$11:$D$260, MATCH(0, IF(ISBLANK('Annex 2 EHV charges'!$D$11:$D$260),1, COUNTIF(A$4:$A10, 'Annex 2 EHV charges'!$D$11:$D$260)), 0)),"")</f>
        <v>688</v>
      </c>
      <c r="B11" s="123">
        <f>IF($A11="","",VLOOKUP($A11,'Annex 2 EHV charges'!$D:$O,2,0))</f>
        <v>688</v>
      </c>
      <c r="C11" s="124">
        <f>IF($A11="","",VLOOKUP($A11,'Annex 2 EHV charges'!$D:$O,3,0))</f>
        <v>1800060532656</v>
      </c>
      <c r="D11" s="123" t="str">
        <f>IF($A11="","",VLOOKUP($A11,'Annex 2 EHV charges'!$D:$O,4,0))</f>
        <v>Middleton Farm</v>
      </c>
      <c r="E11" s="125" t="str">
        <f>IFERROR(IF(VLOOKUP($A11,'Annex 2 EHV charges'!$D:$O,9,FALSE)=0,"",VLOOKUP($A11,'Annex 2 EHV charges'!$D:$O,9,FALSE)),"")</f>
        <v/>
      </c>
      <c r="F11" s="126">
        <f>IFERROR(IF(VLOOKUP($A11,'Annex 2 EHV charges'!$D:$O,10,FALSE)=0,"",VLOOKUP($A11,'Annex 2 EHV charges'!$D:$O,10,FALSE)),"")</f>
        <v>5756.23</v>
      </c>
      <c r="G11" s="127">
        <f>IFERROR(IF(VLOOKUP($A11,'Annex 2 EHV charges'!$D:$O,11,FALSE)=0,"",VLOOKUP($A11,'Annex 2 EHV charges'!$D:$O,11,FALSE)),"")</f>
        <v>0.05</v>
      </c>
      <c r="H11" s="127">
        <f>IFERROR(IF(VLOOKUP($A11,'Annex 2 EHV charges'!$D:$O,12,FALSE)=0,"",VLOOKUP($A11,'Annex 2 EHV charges'!$D:$O,12,FALSE)),"")</f>
        <v>0.05</v>
      </c>
    </row>
    <row r="12" spans="1:15" ht="12.75" customHeight="1" x14ac:dyDescent="0.2">
      <c r="A12" s="124">
        <f t="array" ref="A12">IFERROR(INDEX('Annex 2 EHV charges'!$D$11:$D$260, MATCH(0, IF(ISBLANK('Annex 2 EHV charges'!$D$11:$D$260),1, COUNTIF(A$4:$A11, 'Annex 2 EHV charges'!$D$11:$D$260)), 0)),"")</f>
        <v>689</v>
      </c>
      <c r="B12" s="123">
        <f>IF($A12="","",VLOOKUP($A12,'Annex 2 EHV charges'!$D:$O,2,0))</f>
        <v>689</v>
      </c>
      <c r="C12" s="124">
        <f>IF($A12="","",VLOOKUP($A12,'Annex 2 EHV charges'!$D:$O,3,0))</f>
        <v>1800060532674</v>
      </c>
      <c r="D12" s="123" t="str">
        <f>IF($A12="","",VLOOKUP($A12,'Annex 2 EHV charges'!$D:$O,4,0))</f>
        <v>Neilston Community</v>
      </c>
      <c r="E12" s="125" t="str">
        <f>IFERROR(IF(VLOOKUP($A12,'Annex 2 EHV charges'!$D:$O,9,FALSE)=0,"",VLOOKUP($A12,'Annex 2 EHV charges'!$D:$O,9,FALSE)),"")</f>
        <v/>
      </c>
      <c r="F12" s="126">
        <f>IFERROR(IF(VLOOKUP($A12,'Annex 2 EHV charges'!$D:$O,10,FALSE)=0,"",VLOOKUP($A12,'Annex 2 EHV charges'!$D:$O,10,FALSE)),"")</f>
        <v>7061.91</v>
      </c>
      <c r="G12" s="127">
        <f>IFERROR(IF(VLOOKUP($A12,'Annex 2 EHV charges'!$D:$O,11,FALSE)=0,"",VLOOKUP($A12,'Annex 2 EHV charges'!$D:$O,11,FALSE)),"")</f>
        <v>0.05</v>
      </c>
      <c r="H12" s="127">
        <f>IFERROR(IF(VLOOKUP($A12,'Annex 2 EHV charges'!$D:$O,12,FALSE)=0,"",VLOOKUP($A12,'Annex 2 EHV charges'!$D:$O,12,FALSE)),"")</f>
        <v>0.05</v>
      </c>
    </row>
    <row r="13" spans="1:15" ht="12.75" customHeight="1" x14ac:dyDescent="0.2">
      <c r="A13" s="124">
        <f t="array" ref="A13">IFERROR(INDEX('Annex 2 EHV charges'!$D$11:$D$260, MATCH(0, IF(ISBLANK('Annex 2 EHV charges'!$D$11:$D$260),1, COUNTIF(A$4:$A12, 'Annex 2 EHV charges'!$D$11:$D$260)), 0)),"")</f>
        <v>681</v>
      </c>
      <c r="B13" s="123">
        <f>IF($A13="","",VLOOKUP($A13,'Annex 2 EHV charges'!$D:$O,2,0))</f>
        <v>681</v>
      </c>
      <c r="C13" s="124">
        <f>IF($A13="","",VLOOKUP($A13,'Annex 2 EHV charges'!$D:$O,3,0))</f>
        <v>1800053653880</v>
      </c>
      <c r="D13" s="123" t="str">
        <f>IF($A13="","",VLOOKUP($A13,'Annex 2 EHV charges'!$D:$O,4,0))</f>
        <v>Garlaff Landfill</v>
      </c>
      <c r="E13" s="125" t="str">
        <f>IFERROR(IF(VLOOKUP($A13,'Annex 2 EHV charges'!$D:$O,9,FALSE)=0,"",VLOOKUP($A13,'Annex 2 EHV charges'!$D:$O,9,FALSE)),"")</f>
        <v/>
      </c>
      <c r="F13" s="126" t="str">
        <f>IFERROR(IF(VLOOKUP($A13,'Annex 2 EHV charges'!$D:$O,10,FALSE)=0,"",VLOOKUP($A13,'Annex 2 EHV charges'!$D:$O,10,FALSE)),"")</f>
        <v/>
      </c>
      <c r="G13" s="127" t="str">
        <f>IFERROR(IF(VLOOKUP($A13,'Annex 2 EHV charges'!$D:$O,11,FALSE)=0,"",VLOOKUP($A13,'Annex 2 EHV charges'!$D:$O,11,FALSE)),"")</f>
        <v/>
      </c>
      <c r="H13" s="127" t="str">
        <f>IFERROR(IF(VLOOKUP($A13,'Annex 2 EHV charges'!$D:$O,12,FALSE)=0,"",VLOOKUP($A13,'Annex 2 EHV charges'!$D:$O,12,FALSE)),"")</f>
        <v/>
      </c>
    </row>
    <row r="14" spans="1:15" ht="12.75" customHeight="1" x14ac:dyDescent="0.2">
      <c r="A14" s="124">
        <f t="array" ref="A14">IFERROR(INDEX('Annex 2 EHV charges'!$D$11:$D$260, MATCH(0, IF(ISBLANK('Annex 2 EHV charges'!$D$11:$D$260),1, COUNTIF(A$4:$A13, 'Annex 2 EHV charges'!$D$11:$D$260)), 0)),"")</f>
        <v>629</v>
      </c>
      <c r="B14" s="123">
        <f>IF($A14="","",VLOOKUP($A14,'Annex 2 EHV charges'!$D:$O,2,0))</f>
        <v>629</v>
      </c>
      <c r="C14" s="124">
        <f>IF($A14="","",VLOOKUP($A14,'Annex 2 EHV charges'!$D:$O,3,0))</f>
        <v>1800054992977</v>
      </c>
      <c r="D14" s="123" t="str">
        <f>IF($A14="","",VLOOKUP($A14,'Annex 2 EHV charges'!$D:$O,4,0))</f>
        <v>Hagshaw Hill Extension</v>
      </c>
      <c r="E14" s="125" t="str">
        <f>IFERROR(IF(VLOOKUP($A14,'Annex 2 EHV charges'!$D:$O,9,FALSE)=0,"",VLOOKUP($A14,'Annex 2 EHV charges'!$D:$O,9,FALSE)),"")</f>
        <v/>
      </c>
      <c r="F14" s="126">
        <f>IFERROR(IF(VLOOKUP($A14,'Annex 2 EHV charges'!$D:$O,10,FALSE)=0,"",VLOOKUP($A14,'Annex 2 EHV charges'!$D:$O,10,FALSE)),"")</f>
        <v>20011.689999999999</v>
      </c>
      <c r="G14" s="127">
        <f>IFERROR(IF(VLOOKUP($A14,'Annex 2 EHV charges'!$D:$O,11,FALSE)=0,"",VLOOKUP($A14,'Annex 2 EHV charges'!$D:$O,11,FALSE)),"")</f>
        <v>0.05</v>
      </c>
      <c r="H14" s="127">
        <f>IFERROR(IF(VLOOKUP($A14,'Annex 2 EHV charges'!$D:$O,12,FALSE)=0,"",VLOOKUP($A14,'Annex 2 EHV charges'!$D:$O,12,FALSE)),"")</f>
        <v>0.05</v>
      </c>
    </row>
    <row r="15" spans="1:15" ht="12.75" customHeight="1" x14ac:dyDescent="0.2">
      <c r="A15" s="124">
        <f t="array" ref="A15">IFERROR(INDEX('Annex 2 EHV charges'!$D$11:$D$260, MATCH(0, IF(ISBLANK('Annex 2 EHV charges'!$D$11:$D$260),1, COUNTIF(A$4:$A14, 'Annex 2 EHV charges'!$D$11:$D$260)), 0)),"")</f>
        <v>671</v>
      </c>
      <c r="B15" s="123">
        <f>IF($A15="","",VLOOKUP($A15,'Annex 2 EHV charges'!$D:$O,2,0))</f>
        <v>671</v>
      </c>
      <c r="C15" s="124">
        <f>IF($A15="","",VLOOKUP($A15,'Annex 2 EHV charges'!$D:$O,3,0))</f>
        <v>1800060328044</v>
      </c>
      <c r="D15" s="123" t="str">
        <f>IF($A15="","",VLOOKUP($A15,'Annex 2 EHV charges'!$D:$O,4,0))</f>
        <v>Muirhall</v>
      </c>
      <c r="E15" s="125" t="str">
        <f>IFERROR(IF(VLOOKUP($A15,'Annex 2 EHV charges'!$D:$O,9,FALSE)=0,"",VLOOKUP($A15,'Annex 2 EHV charges'!$D:$O,9,FALSE)),"")</f>
        <v/>
      </c>
      <c r="F15" s="126">
        <f>IFERROR(IF(VLOOKUP($A15,'Annex 2 EHV charges'!$D:$O,10,FALSE)=0,"",VLOOKUP($A15,'Annex 2 EHV charges'!$D:$O,10,FALSE)),"")</f>
        <v>9043.5300000000007</v>
      </c>
      <c r="G15" s="127">
        <f>IFERROR(IF(VLOOKUP($A15,'Annex 2 EHV charges'!$D:$O,11,FALSE)=0,"",VLOOKUP($A15,'Annex 2 EHV charges'!$D:$O,11,FALSE)),"")</f>
        <v>0.05</v>
      </c>
      <c r="H15" s="127">
        <f>IFERROR(IF(VLOOKUP($A15,'Annex 2 EHV charges'!$D:$O,12,FALSE)=0,"",VLOOKUP($A15,'Annex 2 EHV charges'!$D:$O,12,FALSE)),"")</f>
        <v>0.05</v>
      </c>
    </row>
    <row r="16" spans="1:15" ht="12.75" customHeight="1" x14ac:dyDescent="0.2">
      <c r="A16" s="124">
        <f t="array" ref="A16">IFERROR(INDEX('Annex 2 EHV charges'!$D$11:$D$260, MATCH(0, IF(ISBLANK('Annex 2 EHV charges'!$D$11:$D$260),1, COUNTIF(A$4:$A15, 'Annex 2 EHV charges'!$D$11:$D$260)), 0)),"")</f>
        <v>672</v>
      </c>
      <c r="B16" s="123">
        <f>IF($A16="","",VLOOKUP($A16,'Annex 2 EHV charges'!$D:$O,2,0))</f>
        <v>672</v>
      </c>
      <c r="C16" s="124">
        <f>IF($A16="","",VLOOKUP($A16,'Annex 2 EHV charges'!$D:$O,3,0))</f>
        <v>1800060372122</v>
      </c>
      <c r="D16" s="123" t="str">
        <f>IF($A16="","",VLOOKUP($A16,'Annex 2 EHV charges'!$D:$O,4,0))</f>
        <v>Burnfoot</v>
      </c>
      <c r="E16" s="125" t="str">
        <f>IFERROR(IF(VLOOKUP($A16,'Annex 2 EHV charges'!$D:$O,9,FALSE)=0,"",VLOOKUP($A16,'Annex 2 EHV charges'!$D:$O,9,FALSE)),"")</f>
        <v/>
      </c>
      <c r="F16" s="126">
        <f>IFERROR(IF(VLOOKUP($A16,'Annex 2 EHV charges'!$D:$O,10,FALSE)=0,"",VLOOKUP($A16,'Annex 2 EHV charges'!$D:$O,10,FALSE)),"")</f>
        <v>8837.86</v>
      </c>
      <c r="G16" s="127">
        <f>IFERROR(IF(VLOOKUP($A16,'Annex 2 EHV charges'!$D:$O,11,FALSE)=0,"",VLOOKUP($A16,'Annex 2 EHV charges'!$D:$O,11,FALSE)),"")</f>
        <v>0.05</v>
      </c>
      <c r="H16" s="127">
        <f>IFERROR(IF(VLOOKUP($A16,'Annex 2 EHV charges'!$D:$O,12,FALSE)=0,"",VLOOKUP($A16,'Annex 2 EHV charges'!$D:$O,12,FALSE)),"")</f>
        <v>0.05</v>
      </c>
    </row>
    <row r="17" spans="1:8" ht="12.75" customHeight="1" x14ac:dyDescent="0.2">
      <c r="A17" s="124">
        <f t="array" ref="A17">IFERROR(INDEX('Annex 2 EHV charges'!$D$11:$D$260, MATCH(0, IF(ISBLANK('Annex 2 EHV charges'!$D$11:$D$260),1, COUNTIF(A$4:$A16, 'Annex 2 EHV charges'!$D$11:$D$260)), 0)),"")</f>
        <v>690</v>
      </c>
      <c r="B17" s="123">
        <f>IF($A17="","",VLOOKUP($A17,'Annex 2 EHV charges'!$D:$O,2,0))</f>
        <v>690</v>
      </c>
      <c r="C17" s="124">
        <f>IF($A17="","",VLOOKUP($A17,'Annex 2 EHV charges'!$D:$O,3,0))</f>
        <v>1800060532503</v>
      </c>
      <c r="D17" s="123" t="str">
        <f>IF($A17="","",VLOOKUP($A17,'Annex 2 EHV charges'!$D:$O,4,0))</f>
        <v>Westfield WF</v>
      </c>
      <c r="E17" s="125" t="str">
        <f>IFERROR(IF(VLOOKUP($A17,'Annex 2 EHV charges'!$D:$O,9,FALSE)=0,"",VLOOKUP($A17,'Annex 2 EHV charges'!$D:$O,9,FALSE)),"")</f>
        <v/>
      </c>
      <c r="F17" s="126">
        <f>IFERROR(IF(VLOOKUP($A17,'Annex 2 EHV charges'!$D:$O,10,FALSE)=0,"",VLOOKUP($A17,'Annex 2 EHV charges'!$D:$O,10,FALSE)),"")</f>
        <v>7868.41</v>
      </c>
      <c r="G17" s="127">
        <f>IFERROR(IF(VLOOKUP($A17,'Annex 2 EHV charges'!$D:$O,11,FALSE)=0,"",VLOOKUP($A17,'Annex 2 EHV charges'!$D:$O,11,FALSE)),"")</f>
        <v>0.05</v>
      </c>
      <c r="H17" s="127">
        <f>IFERROR(IF(VLOOKUP($A17,'Annex 2 EHV charges'!$D:$O,12,FALSE)=0,"",VLOOKUP($A17,'Annex 2 EHV charges'!$D:$O,12,FALSE)),"")</f>
        <v>0.05</v>
      </c>
    </row>
    <row r="18" spans="1:8" ht="12.75" customHeight="1" x14ac:dyDescent="0.2">
      <c r="A18" s="124">
        <f t="array" ref="A18">IFERROR(INDEX('Annex 2 EHV charges'!$D$11:$D$260, MATCH(0, IF(ISBLANK('Annex 2 EHV charges'!$D$11:$D$260),1, COUNTIF(A$4:$A17, 'Annex 2 EHV charges'!$D$11:$D$260)), 0)),"")</f>
        <v>691</v>
      </c>
      <c r="B18" s="123">
        <f>IF($A18="","",VLOOKUP($A18,'Annex 2 EHV charges'!$D:$O,2,0))</f>
        <v>691</v>
      </c>
      <c r="C18" s="124">
        <f>IF($A18="","",VLOOKUP($A18,'Annex 2 EHV charges'!$D:$O,3,0))</f>
        <v>1800060532692</v>
      </c>
      <c r="D18" s="123" t="str">
        <f>IF($A18="","",VLOOKUP($A18,'Annex 2 EHV charges'!$D:$O,4,0))</f>
        <v>Barmoor WF</v>
      </c>
      <c r="E18" s="125" t="str">
        <f>IFERROR(IF(VLOOKUP($A18,'Annex 2 EHV charges'!$D:$O,9,FALSE)=0,"",VLOOKUP($A18,'Annex 2 EHV charges'!$D:$O,9,FALSE)),"")</f>
        <v/>
      </c>
      <c r="F18" s="126">
        <f>IFERROR(IF(VLOOKUP($A18,'Annex 2 EHV charges'!$D:$O,10,FALSE)=0,"",VLOOKUP($A18,'Annex 2 EHV charges'!$D:$O,10,FALSE)),"")</f>
        <v>21017.15</v>
      </c>
      <c r="G18" s="127">
        <f>IFERROR(IF(VLOOKUP($A18,'Annex 2 EHV charges'!$D:$O,11,FALSE)=0,"",VLOOKUP($A18,'Annex 2 EHV charges'!$D:$O,11,FALSE)),"")</f>
        <v>0.05</v>
      </c>
      <c r="H18" s="127">
        <f>IFERROR(IF(VLOOKUP($A18,'Annex 2 EHV charges'!$D:$O,12,FALSE)=0,"",VLOOKUP($A18,'Annex 2 EHV charges'!$D:$O,12,FALSE)),"")</f>
        <v>0.05</v>
      </c>
    </row>
    <row r="19" spans="1:8" ht="12.75" customHeight="1" x14ac:dyDescent="0.2">
      <c r="A19" s="124">
        <f t="array" ref="A19">IFERROR(INDEX('Annex 2 EHV charges'!$D$11:$D$260, MATCH(0, IF(ISBLANK('Annex 2 EHV charges'!$D$11:$D$260),1, COUNTIF(A$4:$A18, 'Annex 2 EHV charges'!$D$11:$D$260)), 0)),"")</f>
        <v>692</v>
      </c>
      <c r="B19" s="123">
        <f>IF($A19="","",VLOOKUP($A19,'Annex 2 EHV charges'!$D:$O,2,0))</f>
        <v>692</v>
      </c>
      <c r="C19" s="124">
        <f>IF($A19="","",VLOOKUP($A19,'Annex 2 EHV charges'!$D:$O,3,0))</f>
        <v>1800060566993</v>
      </c>
      <c r="D19" s="123" t="str">
        <f>IF($A19="","",VLOOKUP($A19,'Annex 2 EHV charges'!$D:$O,4,0))</f>
        <v>Nutberry WF</v>
      </c>
      <c r="E19" s="125" t="str">
        <f>IFERROR(IF(VLOOKUP($A19,'Annex 2 EHV charges'!$D:$O,9,FALSE)=0,"",VLOOKUP($A19,'Annex 2 EHV charges'!$D:$O,9,FALSE)),"")</f>
        <v/>
      </c>
      <c r="F19" s="126">
        <f>IFERROR(IF(VLOOKUP($A19,'Annex 2 EHV charges'!$D:$O,10,FALSE)=0,"",VLOOKUP($A19,'Annex 2 EHV charges'!$D:$O,10,FALSE)),"")</f>
        <v>16940.53</v>
      </c>
      <c r="G19" s="127">
        <f>IFERROR(IF(VLOOKUP($A19,'Annex 2 EHV charges'!$D:$O,11,FALSE)=0,"",VLOOKUP($A19,'Annex 2 EHV charges'!$D:$O,11,FALSE)),"")</f>
        <v>0.05</v>
      </c>
      <c r="H19" s="127">
        <f>IFERROR(IF(VLOOKUP($A19,'Annex 2 EHV charges'!$D:$O,12,FALSE)=0,"",VLOOKUP($A19,'Annex 2 EHV charges'!$D:$O,12,FALSE)),"")</f>
        <v>0.05</v>
      </c>
    </row>
    <row r="20" spans="1:8" ht="12.75" customHeight="1" x14ac:dyDescent="0.2">
      <c r="A20" s="124">
        <f t="array" ref="A20">IFERROR(INDEX('Annex 2 EHV charges'!$D$11:$D$260, MATCH(0, IF(ISBLANK('Annex 2 EHV charges'!$D$11:$D$260),1, COUNTIF(A$4:$A19, 'Annex 2 EHV charges'!$D$11:$D$260)), 0)),"")</f>
        <v>695</v>
      </c>
      <c r="B20" s="123">
        <f>IF($A20="","",VLOOKUP($A20,'Annex 2 EHV charges'!$D:$O,2,0))</f>
        <v>695</v>
      </c>
      <c r="C20" s="124">
        <f>IF($A20="","",VLOOKUP($A20,'Annex 2 EHV charges'!$D:$O,3,0))</f>
        <v>1800060652463</v>
      </c>
      <c r="D20" s="123" t="str">
        <f>IF($A20="","",VLOOKUP($A20,'Annex 2 EHV charges'!$D:$O,4,0))</f>
        <v>Carcreugh WF</v>
      </c>
      <c r="E20" s="125" t="str">
        <f>IFERROR(IF(VLOOKUP($A20,'Annex 2 EHV charges'!$D:$O,9,FALSE)=0,"",VLOOKUP($A20,'Annex 2 EHV charges'!$D:$O,9,FALSE)),"")</f>
        <v/>
      </c>
      <c r="F20" s="126">
        <f>IFERROR(IF(VLOOKUP($A20,'Annex 2 EHV charges'!$D:$O,10,FALSE)=0,"",VLOOKUP($A20,'Annex 2 EHV charges'!$D:$O,10,FALSE)),"")</f>
        <v>7080.28</v>
      </c>
      <c r="G20" s="127">
        <f>IFERROR(IF(VLOOKUP($A20,'Annex 2 EHV charges'!$D:$O,11,FALSE)=0,"",VLOOKUP($A20,'Annex 2 EHV charges'!$D:$O,11,FALSE)),"")</f>
        <v>0.05</v>
      </c>
      <c r="H20" s="127">
        <f>IFERROR(IF(VLOOKUP($A20,'Annex 2 EHV charges'!$D:$O,12,FALSE)=0,"",VLOOKUP($A20,'Annex 2 EHV charges'!$D:$O,12,FALSE)),"")</f>
        <v>0.05</v>
      </c>
    </row>
    <row r="21" spans="1:8" ht="12.75" customHeight="1" x14ac:dyDescent="0.2">
      <c r="A21" s="124">
        <f t="array" ref="A21">IFERROR(INDEX('Annex 2 EHV charges'!$D$11:$D$260, MATCH(0, IF(ISBLANK('Annex 2 EHV charges'!$D$11:$D$260),1, COUNTIF(A$4:$A20, 'Annex 2 EHV charges'!$D$11:$D$260)), 0)),"")</f>
        <v>700</v>
      </c>
      <c r="B21" s="123">
        <f>IF($A21="","",VLOOKUP($A21,'Annex 2 EHV charges'!$D:$O,2,0))</f>
        <v>700</v>
      </c>
      <c r="C21" s="124">
        <f>IF($A21="","",VLOOKUP($A21,'Annex 2 EHV charges'!$D:$O,3,0))</f>
        <v>1800060642776</v>
      </c>
      <c r="D21" s="123" t="str">
        <f>IF($A21="","",VLOOKUP($A21,'Annex 2 EHV charges'!$D:$O,4,0))</f>
        <v>West Browncastle WF</v>
      </c>
      <c r="E21" s="125" t="str">
        <f>IFERROR(IF(VLOOKUP($A21,'Annex 2 EHV charges'!$D:$O,9,FALSE)=0,"",VLOOKUP($A21,'Annex 2 EHV charges'!$D:$O,9,FALSE)),"")</f>
        <v/>
      </c>
      <c r="F21" s="126">
        <f>IFERROR(IF(VLOOKUP($A21,'Annex 2 EHV charges'!$D:$O,10,FALSE)=0,"",VLOOKUP($A21,'Annex 2 EHV charges'!$D:$O,10,FALSE)),"")</f>
        <v>31684.48</v>
      </c>
      <c r="G21" s="127">
        <f>IFERROR(IF(VLOOKUP($A21,'Annex 2 EHV charges'!$D:$O,11,FALSE)=0,"",VLOOKUP($A21,'Annex 2 EHV charges'!$D:$O,11,FALSE)),"")</f>
        <v>0.05</v>
      </c>
      <c r="H21" s="127">
        <f>IFERROR(IF(VLOOKUP($A21,'Annex 2 EHV charges'!$D:$O,12,FALSE)=0,"",VLOOKUP($A21,'Annex 2 EHV charges'!$D:$O,12,FALSE)),"")</f>
        <v>0.05</v>
      </c>
    </row>
    <row r="22" spans="1:8" ht="12.75" customHeight="1" x14ac:dyDescent="0.2">
      <c r="A22" s="124">
        <f t="array" ref="A22">IFERROR(INDEX('Annex 2 EHV charges'!$D$11:$D$260, MATCH(0, IF(ISBLANK('Annex 2 EHV charges'!$D$11:$D$260),1, COUNTIF(A$4:$A21, 'Annex 2 EHV charges'!$D$11:$D$260)), 0)),"")</f>
        <v>699</v>
      </c>
      <c r="B22" s="123">
        <f>IF($A22="","",VLOOKUP($A22,'Annex 2 EHV charges'!$D:$O,2,0))</f>
        <v>699</v>
      </c>
      <c r="C22" s="124">
        <f>IF($A22="","",VLOOKUP($A22,'Annex 2 EHV charges'!$D:$O,3,0))</f>
        <v>1800060632670</v>
      </c>
      <c r="D22" s="123" t="str">
        <f>IF($A22="","",VLOOKUP($A22,'Annex 2 EHV charges'!$D:$O,4,0))</f>
        <v>Viridor (Waste energy)</v>
      </c>
      <c r="E22" s="125" t="str">
        <f>IFERROR(IF(VLOOKUP($A22,'Annex 2 EHV charges'!$D:$O,9,FALSE)=0,"",VLOOKUP($A22,'Annex 2 EHV charges'!$D:$O,9,FALSE)),"")</f>
        <v/>
      </c>
      <c r="F22" s="126">
        <f>IFERROR(IF(VLOOKUP($A22,'Annex 2 EHV charges'!$D:$O,10,FALSE)=0,"",VLOOKUP($A22,'Annex 2 EHV charges'!$D:$O,10,FALSE)),"")</f>
        <v>9813.91</v>
      </c>
      <c r="G22" s="127">
        <f>IFERROR(IF(VLOOKUP($A22,'Annex 2 EHV charges'!$D:$O,11,FALSE)=0,"",VLOOKUP($A22,'Annex 2 EHV charges'!$D:$O,11,FALSE)),"")</f>
        <v>0.05</v>
      </c>
      <c r="H22" s="127">
        <f>IFERROR(IF(VLOOKUP($A22,'Annex 2 EHV charges'!$D:$O,12,FALSE)=0,"",VLOOKUP($A22,'Annex 2 EHV charges'!$D:$O,12,FALSE)),"")</f>
        <v>0.05</v>
      </c>
    </row>
    <row r="23" spans="1:8" ht="12.75" customHeight="1" x14ac:dyDescent="0.2">
      <c r="A23" s="124">
        <f t="array" ref="A23">IFERROR(INDEX('Annex 2 EHV charges'!$D$11:$D$260, MATCH(0, IF(ISBLANK('Annex 2 EHV charges'!$D$11:$D$260),1, COUNTIF(A$4:$A22, 'Annex 2 EHV charges'!$D$11:$D$260)), 0)),"")</f>
        <v>620</v>
      </c>
      <c r="B23" s="123">
        <f>IF($A23="","",VLOOKUP($A23,'Annex 2 EHV charges'!$D:$O,2,0))</f>
        <v>620</v>
      </c>
      <c r="C23" s="124">
        <f>IF($A23="","",VLOOKUP($A23,'Annex 2 EHV charges'!$D:$O,3,0))</f>
        <v>1800060289510</v>
      </c>
      <c r="D23" s="123" t="str">
        <f>IF($A23="","",VLOOKUP($A23,'Annex 2 EHV charges'!$D:$O,4,0))</f>
        <v>Craigengelt</v>
      </c>
      <c r="E23" s="125" t="str">
        <f>IFERROR(IF(VLOOKUP($A23,'Annex 2 EHV charges'!$D:$O,9,FALSE)=0,"",VLOOKUP($A23,'Annex 2 EHV charges'!$D:$O,9,FALSE)),"")</f>
        <v/>
      </c>
      <c r="F23" s="126">
        <f>IFERROR(IF(VLOOKUP($A23,'Annex 2 EHV charges'!$D:$O,10,FALSE)=0,"",VLOOKUP($A23,'Annex 2 EHV charges'!$D:$O,10,FALSE)),"")</f>
        <v>22773.33</v>
      </c>
      <c r="G23" s="127">
        <f>IFERROR(IF(VLOOKUP($A23,'Annex 2 EHV charges'!$D:$O,11,FALSE)=0,"",VLOOKUP($A23,'Annex 2 EHV charges'!$D:$O,11,FALSE)),"")</f>
        <v>0.05</v>
      </c>
      <c r="H23" s="127">
        <f>IFERROR(IF(VLOOKUP($A23,'Annex 2 EHV charges'!$D:$O,12,FALSE)=0,"",VLOOKUP($A23,'Annex 2 EHV charges'!$D:$O,12,FALSE)),"")</f>
        <v>0.05</v>
      </c>
    </row>
    <row r="24" spans="1:8" ht="12.75" customHeight="1" x14ac:dyDescent="0.2">
      <c r="A24" s="124">
        <f t="array" ref="A24">IFERROR(INDEX('Annex 2 EHV charges'!$D$11:$D$260, MATCH(0, IF(ISBLANK('Annex 2 EHV charges'!$D$11:$D$260),1, COUNTIF(A$4:$A23, 'Annex 2 EHV charges'!$D$11:$D$260)), 0)),"")</f>
        <v>621</v>
      </c>
      <c r="B24" s="123">
        <f>IF($A24="","",VLOOKUP($A24,'Annex 2 EHV charges'!$D:$O,2,0))</f>
        <v>621</v>
      </c>
      <c r="C24" s="124">
        <f>IF($A24="","",VLOOKUP($A24,'Annex 2 EHV charges'!$D:$O,3,0))</f>
        <v>1800054865141</v>
      </c>
      <c r="D24" s="123" t="str">
        <f>IF($A24="","",VLOOKUP($A24,'Annex 2 EHV charges'!$D:$O,4,0))</f>
        <v>Greenknowes</v>
      </c>
      <c r="E24" s="125" t="str">
        <f>IFERROR(IF(VLOOKUP($A24,'Annex 2 EHV charges'!$D:$O,9,FALSE)=0,"",VLOOKUP($A24,'Annex 2 EHV charges'!$D:$O,9,FALSE)),"")</f>
        <v/>
      </c>
      <c r="F24" s="126">
        <f>IFERROR(IF(VLOOKUP($A24,'Annex 2 EHV charges'!$D:$O,10,FALSE)=0,"",VLOOKUP($A24,'Annex 2 EHV charges'!$D:$O,10,FALSE)),"")</f>
        <v>41135.660000000003</v>
      </c>
      <c r="G24" s="127">
        <f>IFERROR(IF(VLOOKUP($A24,'Annex 2 EHV charges'!$D:$O,11,FALSE)=0,"",VLOOKUP($A24,'Annex 2 EHV charges'!$D:$O,11,FALSE)),"")</f>
        <v>0.05</v>
      </c>
      <c r="H24" s="127">
        <f>IFERROR(IF(VLOOKUP($A24,'Annex 2 EHV charges'!$D:$O,12,FALSE)=0,"",VLOOKUP($A24,'Annex 2 EHV charges'!$D:$O,12,FALSE)),"")</f>
        <v>0.05</v>
      </c>
    </row>
    <row r="25" spans="1:8" ht="12.75" customHeight="1" x14ac:dyDescent="0.2">
      <c r="A25" s="124">
        <f t="array" ref="A25">IFERROR(INDEX('Annex 2 EHV charges'!$D$11:$D$260, MATCH(0, IF(ISBLANK('Annex 2 EHV charges'!$D$11:$D$260),1, COUNTIF(A$4:$A24, 'Annex 2 EHV charges'!$D$11:$D$260)), 0)),"")</f>
        <v>703</v>
      </c>
      <c r="B25" s="123">
        <f>IF($A25="","",VLOOKUP($A25,'Annex 2 EHV charges'!$D:$O,2,0))</f>
        <v>703</v>
      </c>
      <c r="C25" s="124">
        <f>IF($A25="","",VLOOKUP($A25,'Annex 2 EHV charges'!$D:$O,3,0))</f>
        <v>1800060683763</v>
      </c>
      <c r="D25" s="123" t="str">
        <f>IF($A25="","",VLOOKUP($A25,'Annex 2 EHV charges'!$D:$O,4,0))</f>
        <v>Ewe Hill Dumfries WF</v>
      </c>
      <c r="E25" s="125" t="str">
        <f>IFERROR(IF(VLOOKUP($A25,'Annex 2 EHV charges'!$D:$O,9,FALSE)=0,"",VLOOKUP($A25,'Annex 2 EHV charges'!$D:$O,9,FALSE)),"")</f>
        <v/>
      </c>
      <c r="F25" s="126">
        <f>IFERROR(IF(VLOOKUP($A25,'Annex 2 EHV charges'!$D:$O,10,FALSE)=0,"",VLOOKUP($A25,'Annex 2 EHV charges'!$D:$O,10,FALSE)),"")</f>
        <v>23590.95</v>
      </c>
      <c r="G25" s="127">
        <f>IFERROR(IF(VLOOKUP($A25,'Annex 2 EHV charges'!$D:$O,11,FALSE)=0,"",VLOOKUP($A25,'Annex 2 EHV charges'!$D:$O,11,FALSE)),"")</f>
        <v>0.05</v>
      </c>
      <c r="H25" s="127">
        <f>IFERROR(IF(VLOOKUP($A25,'Annex 2 EHV charges'!$D:$O,12,FALSE)=0,"",VLOOKUP($A25,'Annex 2 EHV charges'!$D:$O,12,FALSE)),"")</f>
        <v>0.05</v>
      </c>
    </row>
    <row r="26" spans="1:8" ht="12.75" customHeight="1" x14ac:dyDescent="0.2">
      <c r="A26" s="124">
        <f t="array" ref="A26">IFERROR(INDEX('Annex 2 EHV charges'!$D$11:$D$260, MATCH(0, IF(ISBLANK('Annex 2 EHV charges'!$D$11:$D$260),1, COUNTIF(A$4:$A25, 'Annex 2 EHV charges'!$D$11:$D$260)), 0)),"")</f>
        <v>704</v>
      </c>
      <c r="B26" s="123">
        <f>IF($A26="","",VLOOKUP($A26,'Annex 2 EHV charges'!$D:$O,2,0))</f>
        <v>704</v>
      </c>
      <c r="C26" s="124">
        <f>IF($A26="","",VLOOKUP($A26,'Annex 2 EHV charges'!$D:$O,3,0))</f>
        <v>1800060697232</v>
      </c>
      <c r="D26" s="123" t="str">
        <f>IF($A26="","",VLOOKUP($A26,'Annex 2 EHV charges'!$D:$O,4,0))</f>
        <v>Langhope Rig (D) WF</v>
      </c>
      <c r="E26" s="125" t="str">
        <f>IFERROR(IF(VLOOKUP($A26,'Annex 2 EHV charges'!$D:$O,9,FALSE)=0,"",VLOOKUP($A26,'Annex 2 EHV charges'!$D:$O,9,FALSE)),"")</f>
        <v/>
      </c>
      <c r="F26" s="126">
        <f>IFERROR(IF(VLOOKUP($A26,'Annex 2 EHV charges'!$D:$O,10,FALSE)=0,"",VLOOKUP($A26,'Annex 2 EHV charges'!$D:$O,10,FALSE)),"")</f>
        <v>1543.31</v>
      </c>
      <c r="G26" s="127">
        <f>IFERROR(IF(VLOOKUP($A26,'Annex 2 EHV charges'!$D:$O,11,FALSE)=0,"",VLOOKUP($A26,'Annex 2 EHV charges'!$D:$O,11,FALSE)),"")</f>
        <v>0.05</v>
      </c>
      <c r="H26" s="127">
        <f>IFERROR(IF(VLOOKUP($A26,'Annex 2 EHV charges'!$D:$O,12,FALSE)=0,"",VLOOKUP($A26,'Annex 2 EHV charges'!$D:$O,12,FALSE)),"")</f>
        <v>0.05</v>
      </c>
    </row>
    <row r="27" spans="1:8" ht="12.75" customHeight="1" x14ac:dyDescent="0.2">
      <c r="A27" s="124">
        <f t="array" ref="A27">IFERROR(INDEX('Annex 2 EHV charges'!$D$11:$D$260, MATCH(0, IF(ISBLANK('Annex 2 EHV charges'!$D$11:$D$260),1, COUNTIF(A$4:$A26, 'Annex 2 EHV charges'!$D$11:$D$260)), 0)),"")</f>
        <v>705</v>
      </c>
      <c r="B27" s="123">
        <f>IF($A27="","",VLOOKUP($A27,'Annex 2 EHV charges'!$D:$O,2,0))</f>
        <v>705</v>
      </c>
      <c r="C27" s="124">
        <f>IF($A27="","",VLOOKUP($A27,'Annex 2 EHV charges'!$D:$O,3,0))</f>
        <v>1800060674262</v>
      </c>
      <c r="D27" s="123" t="str">
        <f>IF($A27="","",VLOOKUP($A27,'Annex 2 EHV charges'!$D:$O,4,0))</f>
        <v>Muirhall Extention WF</v>
      </c>
      <c r="E27" s="125" t="str">
        <f>IFERROR(IF(VLOOKUP($A27,'Annex 2 EHV charges'!$D:$O,9,FALSE)=0,"",VLOOKUP($A27,'Annex 2 EHV charges'!$D:$O,9,FALSE)),"")</f>
        <v/>
      </c>
      <c r="F27" s="126">
        <f>IFERROR(IF(VLOOKUP($A27,'Annex 2 EHV charges'!$D:$O,10,FALSE)=0,"",VLOOKUP($A27,'Annex 2 EHV charges'!$D:$O,10,FALSE)),"")</f>
        <v>3594.62</v>
      </c>
      <c r="G27" s="127">
        <f>IFERROR(IF(VLOOKUP($A27,'Annex 2 EHV charges'!$D:$O,11,FALSE)=0,"",VLOOKUP($A27,'Annex 2 EHV charges'!$D:$O,11,FALSE)),"")</f>
        <v>0.05</v>
      </c>
      <c r="H27" s="127">
        <f>IFERROR(IF(VLOOKUP($A27,'Annex 2 EHV charges'!$D:$O,12,FALSE)=0,"",VLOOKUP($A27,'Annex 2 EHV charges'!$D:$O,12,FALSE)),"")</f>
        <v>0.05</v>
      </c>
    </row>
    <row r="28" spans="1:8" ht="12.75" customHeight="1" x14ac:dyDescent="0.2">
      <c r="A28" s="124">
        <f t="array" ref="A28">IFERROR(INDEX('Annex 2 EHV charges'!$D$11:$D$260, MATCH(0, IF(ISBLANK('Annex 2 EHV charges'!$D$11:$D$260),1, COUNTIF(A$4:$A27, 'Annex 2 EHV charges'!$D$11:$D$260)), 0)),"")</f>
        <v>625</v>
      </c>
      <c r="B28" s="123">
        <f>IF($A28="","",VLOOKUP($A28,'Annex 2 EHV charges'!$D:$O,2,0))</f>
        <v>625</v>
      </c>
      <c r="C28" s="124">
        <f>IF($A28="","",VLOOKUP($A28,'Annex 2 EHV charges'!$D:$O,3,0))</f>
        <v>1800060159208</v>
      </c>
      <c r="D28" s="123" t="str">
        <f>IF($A28="","",VLOOKUP($A28,'Annex 2 EHV charges'!$D:$O,4,0))</f>
        <v>Aikengall</v>
      </c>
      <c r="E28" s="125" t="str">
        <f>IFERROR(IF(VLOOKUP($A28,'Annex 2 EHV charges'!$D:$O,9,FALSE)=0,"",VLOOKUP($A28,'Annex 2 EHV charges'!$D:$O,9,FALSE)),"")</f>
        <v/>
      </c>
      <c r="F28" s="126">
        <f>IFERROR(IF(VLOOKUP($A28,'Annex 2 EHV charges'!$D:$O,10,FALSE)=0,"",VLOOKUP($A28,'Annex 2 EHV charges'!$D:$O,10,FALSE)),"")</f>
        <v>40970.78</v>
      </c>
      <c r="G28" s="127">
        <f>IFERROR(IF(VLOOKUP($A28,'Annex 2 EHV charges'!$D:$O,11,FALSE)=0,"",VLOOKUP($A28,'Annex 2 EHV charges'!$D:$O,11,FALSE)),"")</f>
        <v>0.05</v>
      </c>
      <c r="H28" s="127">
        <f>IFERROR(IF(VLOOKUP($A28,'Annex 2 EHV charges'!$D:$O,12,FALSE)=0,"",VLOOKUP($A28,'Annex 2 EHV charges'!$D:$O,12,FALSE)),"")</f>
        <v>0.05</v>
      </c>
    </row>
    <row r="29" spans="1:8" ht="12.75" customHeight="1" x14ac:dyDescent="0.2">
      <c r="A29" s="124">
        <f t="array" ref="A29">IFERROR(INDEX('Annex 2 EHV charges'!$D$11:$D$260, MATCH(0, IF(ISBLANK('Annex 2 EHV charges'!$D$11:$D$260),1, COUNTIF(A$4:$A28, 'Annex 2 EHV charges'!$D$11:$D$260)), 0)),"")</f>
        <v>626</v>
      </c>
      <c r="B29" s="123">
        <f>IF($A29="","",VLOOKUP($A29,'Annex 2 EHV charges'!$D:$O,2,0))</f>
        <v>626</v>
      </c>
      <c r="C29" s="124">
        <f>IF($A29="","",VLOOKUP($A29,'Annex 2 EHV charges'!$D:$O,3,0))</f>
        <v>1800053646260</v>
      </c>
      <c r="D29" s="123" t="str">
        <f>IF($A29="","",VLOOKUP($A29,'Annex 2 EHV charges'!$D:$O,4,0))</f>
        <v>Hagshaw Hill</v>
      </c>
      <c r="E29" s="125" t="str">
        <f>IFERROR(IF(VLOOKUP($A29,'Annex 2 EHV charges'!$D:$O,9,FALSE)=0,"",VLOOKUP($A29,'Annex 2 EHV charges'!$D:$O,9,FALSE)),"")</f>
        <v/>
      </c>
      <c r="F29" s="126" t="str">
        <f>IFERROR(IF(VLOOKUP($A29,'Annex 2 EHV charges'!$D:$O,10,FALSE)=0,"",VLOOKUP($A29,'Annex 2 EHV charges'!$D:$O,10,FALSE)),"")</f>
        <v/>
      </c>
      <c r="G29" s="127" t="str">
        <f>IFERROR(IF(VLOOKUP($A29,'Annex 2 EHV charges'!$D:$O,11,FALSE)=0,"",VLOOKUP($A29,'Annex 2 EHV charges'!$D:$O,11,FALSE)),"")</f>
        <v/>
      </c>
      <c r="H29" s="127" t="str">
        <f>IFERROR(IF(VLOOKUP($A29,'Annex 2 EHV charges'!$D:$O,12,FALSE)=0,"",VLOOKUP($A29,'Annex 2 EHV charges'!$D:$O,12,FALSE)),"")</f>
        <v/>
      </c>
    </row>
    <row r="30" spans="1:8" ht="12.75" customHeight="1" x14ac:dyDescent="0.2">
      <c r="A30" s="124">
        <f t="array" ref="A30">IFERROR(INDEX('Annex 2 EHV charges'!$D$11:$D$260, MATCH(0, IF(ISBLANK('Annex 2 EHV charges'!$D$11:$D$260),1, COUNTIF(A$4:$A29, 'Annex 2 EHV charges'!$D$11:$D$260)), 0)),"")</f>
        <v>627</v>
      </c>
      <c r="B30" s="123">
        <f>IF($A30="","",VLOOKUP($A30,'Annex 2 EHV charges'!$D:$O,2,0))</f>
        <v>627</v>
      </c>
      <c r="C30" s="124">
        <f>IF($A30="","",VLOOKUP($A30,'Annex 2 EHV charges'!$D:$O,3,0))</f>
        <v>1800053646206</v>
      </c>
      <c r="D30" s="123" t="str">
        <f>IF($A30="","",VLOOKUP($A30,'Annex 2 EHV charges'!$D:$O,4,0))</f>
        <v>Gallow Rig</v>
      </c>
      <c r="E30" s="125" t="str">
        <f>IFERROR(IF(VLOOKUP($A30,'Annex 2 EHV charges'!$D:$O,9,FALSE)=0,"",VLOOKUP($A30,'Annex 2 EHV charges'!$D:$O,9,FALSE)),"")</f>
        <v/>
      </c>
      <c r="F30" s="126" t="str">
        <f>IFERROR(IF(VLOOKUP($A30,'Annex 2 EHV charges'!$D:$O,10,FALSE)=0,"",VLOOKUP($A30,'Annex 2 EHV charges'!$D:$O,10,FALSE)),"")</f>
        <v/>
      </c>
      <c r="G30" s="127" t="str">
        <f>IFERROR(IF(VLOOKUP($A30,'Annex 2 EHV charges'!$D:$O,11,FALSE)=0,"",VLOOKUP($A30,'Annex 2 EHV charges'!$D:$O,11,FALSE)),"")</f>
        <v/>
      </c>
      <c r="H30" s="127" t="str">
        <f>IFERROR(IF(VLOOKUP($A30,'Annex 2 EHV charges'!$D:$O,12,FALSE)=0,"",VLOOKUP($A30,'Annex 2 EHV charges'!$D:$O,12,FALSE)),"")</f>
        <v/>
      </c>
    </row>
    <row r="31" spans="1:8" ht="12.75" customHeight="1" x14ac:dyDescent="0.2">
      <c r="A31" s="124">
        <f t="array" ref="A31">IFERROR(INDEX('Annex 2 EHV charges'!$D$11:$D$260, MATCH(0, IF(ISBLANK('Annex 2 EHV charges'!$D$11:$D$260),1, COUNTIF(A$4:$A30, 'Annex 2 EHV charges'!$D$11:$D$260)), 0)),"")</f>
        <v>628</v>
      </c>
      <c r="B31" s="123">
        <f>IF($A31="","",VLOOKUP($A31,'Annex 2 EHV charges'!$D:$O,2,0))</f>
        <v>628</v>
      </c>
      <c r="C31" s="124">
        <f>IF($A31="","",VLOOKUP($A31,'Annex 2 EHV charges'!$D:$O,3,0))</f>
        <v>1800053646181</v>
      </c>
      <c r="D31" s="123" t="str">
        <f>IF($A31="","",VLOOKUP($A31,'Annex 2 EHV charges'!$D:$O,4,0))</f>
        <v>Polwhat Rig</v>
      </c>
      <c r="E31" s="125" t="str">
        <f>IFERROR(IF(VLOOKUP($A31,'Annex 2 EHV charges'!$D:$O,9,FALSE)=0,"",VLOOKUP($A31,'Annex 2 EHV charges'!$D:$O,9,FALSE)),"")</f>
        <v/>
      </c>
      <c r="F31" s="126" t="str">
        <f>IFERROR(IF(VLOOKUP($A31,'Annex 2 EHV charges'!$D:$O,10,FALSE)=0,"",VLOOKUP($A31,'Annex 2 EHV charges'!$D:$O,10,FALSE)),"")</f>
        <v/>
      </c>
      <c r="G31" s="127" t="str">
        <f>IFERROR(IF(VLOOKUP($A31,'Annex 2 EHV charges'!$D:$O,11,FALSE)=0,"",VLOOKUP($A31,'Annex 2 EHV charges'!$D:$O,11,FALSE)),"")</f>
        <v/>
      </c>
      <c r="H31" s="127" t="str">
        <f>IFERROR(IF(VLOOKUP($A31,'Annex 2 EHV charges'!$D:$O,12,FALSE)=0,"",VLOOKUP($A31,'Annex 2 EHV charges'!$D:$O,12,FALSE)),"")</f>
        <v/>
      </c>
    </row>
    <row r="32" spans="1:8" ht="12.75" customHeight="1" x14ac:dyDescent="0.2">
      <c r="A32" s="124">
        <f t="array" ref="A32">IFERROR(INDEX('Annex 2 EHV charges'!$D$11:$D$260, MATCH(0, IF(ISBLANK('Annex 2 EHV charges'!$D$11:$D$260),1, COUNTIF(A$4:$A31, 'Annex 2 EHV charges'!$D$11:$D$260)), 0)),"")</f>
        <v>624</v>
      </c>
      <c r="B32" s="123">
        <f>IF($A32="","",VLOOKUP($A32,'Annex 2 EHV charges'!$D:$O,2,0))</f>
        <v>624</v>
      </c>
      <c r="C32" s="124">
        <f>IF($A32="","",VLOOKUP($A32,'Annex 2 EHV charges'!$D:$O,3,0))</f>
        <v>1800054738276</v>
      </c>
      <c r="D32" s="123" t="str">
        <f>IF($A32="","",VLOOKUP($A32,'Annex 2 EHV charges'!$D:$O,4,0))</f>
        <v>Greendykeside</v>
      </c>
      <c r="E32" s="125" t="str">
        <f>IFERROR(IF(VLOOKUP($A32,'Annex 2 EHV charges'!$D:$O,9,FALSE)=0,"",VLOOKUP($A32,'Annex 2 EHV charges'!$D:$O,9,FALSE)),"")</f>
        <v/>
      </c>
      <c r="F32" s="126">
        <f>IFERROR(IF(VLOOKUP($A32,'Annex 2 EHV charges'!$D:$O,10,FALSE)=0,"",VLOOKUP($A32,'Annex 2 EHV charges'!$D:$O,10,FALSE)),"")</f>
        <v>4113.18</v>
      </c>
      <c r="G32" s="127">
        <f>IFERROR(IF(VLOOKUP($A32,'Annex 2 EHV charges'!$D:$O,11,FALSE)=0,"",VLOOKUP($A32,'Annex 2 EHV charges'!$D:$O,11,FALSE)),"")</f>
        <v>0.05</v>
      </c>
      <c r="H32" s="127">
        <f>IFERROR(IF(VLOOKUP($A32,'Annex 2 EHV charges'!$D:$O,12,FALSE)=0,"",VLOOKUP($A32,'Annex 2 EHV charges'!$D:$O,12,FALSE)),"")</f>
        <v>0.05</v>
      </c>
    </row>
    <row r="33" spans="1:8" ht="12.75" customHeight="1" x14ac:dyDescent="0.2">
      <c r="A33" s="124">
        <f t="array" ref="A33">IFERROR(INDEX('Annex 2 EHV charges'!$D$11:$D$260, MATCH(0, IF(ISBLANK('Annex 2 EHV charges'!$D$11:$D$260),1, COUNTIF(A$4:$A32, 'Annex 2 EHV charges'!$D$11:$D$260)), 0)),"")</f>
        <v>630</v>
      </c>
      <c r="B33" s="123">
        <f>IF($A33="","",VLOOKUP($A33,'Annex 2 EHV charges'!$D:$O,2,0))</f>
        <v>630</v>
      </c>
      <c r="C33" s="124">
        <f>IF($A33="","",VLOOKUP($A33,'Annex 2 EHV charges'!$D:$O,3,0))</f>
        <v>1800053647246</v>
      </c>
      <c r="D33" s="123" t="str">
        <f>IF($A33="","",VLOOKUP($A33,'Annex 2 EHV charges'!$D:$O,4,0))</f>
        <v>Dun Law</v>
      </c>
      <c r="E33" s="125" t="str">
        <f>IFERROR(IF(VLOOKUP($A33,'Annex 2 EHV charges'!$D:$O,9,FALSE)=0,"",VLOOKUP($A33,'Annex 2 EHV charges'!$D:$O,9,FALSE)),"")</f>
        <v/>
      </c>
      <c r="F33" s="126" t="str">
        <f>IFERROR(IF(VLOOKUP($A33,'Annex 2 EHV charges'!$D:$O,10,FALSE)=0,"",VLOOKUP($A33,'Annex 2 EHV charges'!$D:$O,10,FALSE)),"")</f>
        <v/>
      </c>
      <c r="G33" s="127" t="str">
        <f>IFERROR(IF(VLOOKUP($A33,'Annex 2 EHV charges'!$D:$O,11,FALSE)=0,"",VLOOKUP($A33,'Annex 2 EHV charges'!$D:$O,11,FALSE)),"")</f>
        <v/>
      </c>
      <c r="H33" s="127" t="str">
        <f>IFERROR(IF(VLOOKUP($A33,'Annex 2 EHV charges'!$D:$O,12,FALSE)=0,"",VLOOKUP($A33,'Annex 2 EHV charges'!$D:$O,12,FALSE)),"")</f>
        <v/>
      </c>
    </row>
    <row r="34" spans="1:8" ht="12.75" customHeight="1" x14ac:dyDescent="0.2">
      <c r="A34" s="124">
        <f t="array" ref="A34">IFERROR(INDEX('Annex 2 EHV charges'!$D$11:$D$260, MATCH(0, IF(ISBLANK('Annex 2 EHV charges'!$D$11:$D$260),1, COUNTIF(A$4:$A33, 'Annex 2 EHV charges'!$D$11:$D$260)), 0)),"")</f>
        <v>631</v>
      </c>
      <c r="B34" s="123">
        <f>IF($A34="","",VLOOKUP($A34,'Annex 2 EHV charges'!$D:$O,2,0))</f>
        <v>631</v>
      </c>
      <c r="C34" s="124">
        <f>IF($A34="","",VLOOKUP($A34,'Annex 2 EHV charges'!$D:$O,3,0))</f>
        <v>1800053647200</v>
      </c>
      <c r="D34" s="123" t="str">
        <f>IF($A34="","",VLOOKUP($A34,'Annex 2 EHV charges'!$D:$O,4,0))</f>
        <v>EPR Scotland Ltd</v>
      </c>
      <c r="E34" s="125" t="str">
        <f>IFERROR(IF(VLOOKUP($A34,'Annex 2 EHV charges'!$D:$O,9,FALSE)=0,"",VLOOKUP($A34,'Annex 2 EHV charges'!$D:$O,9,FALSE)),"")</f>
        <v/>
      </c>
      <c r="F34" s="126" t="str">
        <f>IFERROR(IF(VLOOKUP($A34,'Annex 2 EHV charges'!$D:$O,10,FALSE)=0,"",VLOOKUP($A34,'Annex 2 EHV charges'!$D:$O,10,FALSE)),"")</f>
        <v/>
      </c>
      <c r="G34" s="127" t="str">
        <f>IFERROR(IF(VLOOKUP($A34,'Annex 2 EHV charges'!$D:$O,11,FALSE)=0,"",VLOOKUP($A34,'Annex 2 EHV charges'!$D:$O,11,FALSE)),"")</f>
        <v/>
      </c>
      <c r="H34" s="127" t="str">
        <f>IFERROR(IF(VLOOKUP($A34,'Annex 2 EHV charges'!$D:$O,12,FALSE)=0,"",VLOOKUP($A34,'Annex 2 EHV charges'!$D:$O,12,FALSE)),"")</f>
        <v/>
      </c>
    </row>
    <row r="35" spans="1:8" ht="12.75" customHeight="1" x14ac:dyDescent="0.2">
      <c r="A35" s="124">
        <f t="array" ref="A35">IFERROR(INDEX('Annex 2 EHV charges'!$D$11:$D$260, MATCH(0, IF(ISBLANK('Annex 2 EHV charges'!$D$11:$D$260),1, COUNTIF(A$4:$A34, 'Annex 2 EHV charges'!$D$11:$D$260)), 0)),"")</f>
        <v>632</v>
      </c>
      <c r="B35" s="123">
        <f>IF($A35="","",VLOOKUP($A35,'Annex 2 EHV charges'!$D:$O,2,0))</f>
        <v>632</v>
      </c>
      <c r="C35" s="124">
        <f>IF($A35="","",VLOOKUP($A35,'Annex 2 EHV charges'!$D:$O,3,0))</f>
        <v>1800053648036</v>
      </c>
      <c r="D35" s="123" t="str">
        <f>IF($A35="","",VLOOKUP($A35,'Annex 2 EHV charges'!$D:$O,4,0))</f>
        <v>Bowbeat (Emly Bank)</v>
      </c>
      <c r="E35" s="125" t="str">
        <f>IFERROR(IF(VLOOKUP($A35,'Annex 2 EHV charges'!$D:$O,9,FALSE)=0,"",VLOOKUP($A35,'Annex 2 EHV charges'!$D:$O,9,FALSE)),"")</f>
        <v/>
      </c>
      <c r="F35" s="126" t="str">
        <f>IFERROR(IF(VLOOKUP($A35,'Annex 2 EHV charges'!$D:$O,10,FALSE)=0,"",VLOOKUP($A35,'Annex 2 EHV charges'!$D:$O,10,FALSE)),"")</f>
        <v/>
      </c>
      <c r="G35" s="127" t="str">
        <f>IFERROR(IF(VLOOKUP($A35,'Annex 2 EHV charges'!$D:$O,11,FALSE)=0,"",VLOOKUP($A35,'Annex 2 EHV charges'!$D:$O,11,FALSE)),"")</f>
        <v/>
      </c>
      <c r="H35" s="127" t="str">
        <f>IFERROR(IF(VLOOKUP($A35,'Annex 2 EHV charges'!$D:$O,12,FALSE)=0,"",VLOOKUP($A35,'Annex 2 EHV charges'!$D:$O,12,FALSE)),"")</f>
        <v/>
      </c>
    </row>
    <row r="36" spans="1:8" ht="12.75" customHeight="1" x14ac:dyDescent="0.2">
      <c r="A36" s="124">
        <f t="array" ref="A36">IFERROR(INDEX('Annex 2 EHV charges'!$D$11:$D$260, MATCH(0, IF(ISBLANK('Annex 2 EHV charges'!$D$11:$D$260),1, COUNTIF(A$4:$A35, 'Annex 2 EHV charges'!$D$11:$D$260)), 0)),"")</f>
        <v>633</v>
      </c>
      <c r="B36" s="123">
        <f>IF($A36="","",VLOOKUP($A36,'Annex 2 EHV charges'!$D:$O,2,0))</f>
        <v>633</v>
      </c>
      <c r="C36" s="124">
        <f>IF($A36="","",VLOOKUP($A36,'Annex 2 EHV charges'!$D:$O,3,0))</f>
        <v>1800053648054</v>
      </c>
      <c r="D36" s="123" t="str">
        <f>IF($A36="","",VLOOKUP($A36,'Annex 2 EHV charges'!$D:$O,4,0))</f>
        <v>Bowbeat (Roughsidehill)</v>
      </c>
      <c r="E36" s="125" t="str">
        <f>IFERROR(IF(VLOOKUP($A36,'Annex 2 EHV charges'!$D:$O,9,FALSE)=0,"",VLOOKUP($A36,'Annex 2 EHV charges'!$D:$O,9,FALSE)),"")</f>
        <v/>
      </c>
      <c r="F36" s="126" t="str">
        <f>IFERROR(IF(VLOOKUP($A36,'Annex 2 EHV charges'!$D:$O,10,FALSE)=0,"",VLOOKUP($A36,'Annex 2 EHV charges'!$D:$O,10,FALSE)),"")</f>
        <v/>
      </c>
      <c r="G36" s="127" t="str">
        <f>IFERROR(IF(VLOOKUP($A36,'Annex 2 EHV charges'!$D:$O,11,FALSE)=0,"",VLOOKUP($A36,'Annex 2 EHV charges'!$D:$O,11,FALSE)),"")</f>
        <v/>
      </c>
      <c r="H36" s="127" t="str">
        <f>IFERROR(IF(VLOOKUP($A36,'Annex 2 EHV charges'!$D:$O,12,FALSE)=0,"",VLOOKUP($A36,'Annex 2 EHV charges'!$D:$O,12,FALSE)),"")</f>
        <v/>
      </c>
    </row>
    <row r="37" spans="1:8" ht="12.75" customHeight="1" x14ac:dyDescent="0.2">
      <c r="A37" s="124">
        <f t="array" ref="A37">IFERROR(INDEX('Annex 2 EHV charges'!$D$11:$D$260, MATCH(0, IF(ISBLANK('Annex 2 EHV charges'!$D$11:$D$260),1, COUNTIF(A$4:$A36, 'Annex 2 EHV charges'!$D$11:$D$260)), 0)),"")</f>
        <v>634</v>
      </c>
      <c r="B37" s="123">
        <f>IF($A37="","",VLOOKUP($A37,'Annex 2 EHV charges'!$D:$O,2,0))</f>
        <v>634</v>
      </c>
      <c r="C37" s="124">
        <f>IF($A37="","",VLOOKUP($A37,'Annex 2 EHV charges'!$D:$O,3,0))</f>
        <v>1800053647399</v>
      </c>
      <c r="D37" s="123" t="str">
        <f>IF($A37="","",VLOOKUP($A37,'Annex 2 EHV charges'!$D:$O,4,0))</f>
        <v>Harehill</v>
      </c>
      <c r="E37" s="125" t="str">
        <f>IFERROR(IF(VLOOKUP($A37,'Annex 2 EHV charges'!$D:$O,9,FALSE)=0,"",VLOOKUP($A37,'Annex 2 EHV charges'!$D:$O,9,FALSE)),"")</f>
        <v/>
      </c>
      <c r="F37" s="126" t="str">
        <f>IFERROR(IF(VLOOKUP($A37,'Annex 2 EHV charges'!$D:$O,10,FALSE)=0,"",VLOOKUP($A37,'Annex 2 EHV charges'!$D:$O,10,FALSE)),"")</f>
        <v/>
      </c>
      <c r="G37" s="127" t="str">
        <f>IFERROR(IF(VLOOKUP($A37,'Annex 2 EHV charges'!$D:$O,11,FALSE)=0,"",VLOOKUP($A37,'Annex 2 EHV charges'!$D:$O,11,FALSE)),"")</f>
        <v/>
      </c>
      <c r="H37" s="127" t="str">
        <f>IFERROR(IF(VLOOKUP($A37,'Annex 2 EHV charges'!$D:$O,12,FALSE)=0,"",VLOOKUP($A37,'Annex 2 EHV charges'!$D:$O,12,FALSE)),"")</f>
        <v/>
      </c>
    </row>
    <row r="38" spans="1:8" ht="12.75" customHeight="1" x14ac:dyDescent="0.2">
      <c r="A38" s="124">
        <f t="array" ref="A38">IFERROR(INDEX('Annex 2 EHV charges'!$D$11:$D$260, MATCH(0, IF(ISBLANK('Annex 2 EHV charges'!$D$11:$D$260),1, COUNTIF(A$4:$A37, 'Annex 2 EHV charges'!$D$11:$D$260)), 0)),"")</f>
        <v>635</v>
      </c>
      <c r="B38" s="123">
        <f>IF($A38="","",VLOOKUP($A38,'Annex 2 EHV charges'!$D:$O,2,0))</f>
        <v>635</v>
      </c>
      <c r="C38" s="124">
        <f>IF($A38="","",VLOOKUP($A38,'Annex 2 EHV charges'!$D:$O,3,0))</f>
        <v>1800053647627</v>
      </c>
      <c r="D38" s="123" t="str">
        <f>IF($A38="","",VLOOKUP($A38,'Annex 2 EHV charges'!$D:$O,4,0))</f>
        <v>Shanks &amp; McEwan 3&amp;4</v>
      </c>
      <c r="E38" s="125" t="str">
        <f>IFERROR(IF(VLOOKUP($A38,'Annex 2 EHV charges'!$D:$O,9,FALSE)=0,"",VLOOKUP($A38,'Annex 2 EHV charges'!$D:$O,9,FALSE)),"")</f>
        <v/>
      </c>
      <c r="F38" s="126" t="str">
        <f>IFERROR(IF(VLOOKUP($A38,'Annex 2 EHV charges'!$D:$O,10,FALSE)=0,"",VLOOKUP($A38,'Annex 2 EHV charges'!$D:$O,10,FALSE)),"")</f>
        <v/>
      </c>
      <c r="G38" s="127" t="str">
        <f>IFERROR(IF(VLOOKUP($A38,'Annex 2 EHV charges'!$D:$O,11,FALSE)=0,"",VLOOKUP($A38,'Annex 2 EHV charges'!$D:$O,11,FALSE)),"")</f>
        <v/>
      </c>
      <c r="H38" s="127" t="str">
        <f>IFERROR(IF(VLOOKUP($A38,'Annex 2 EHV charges'!$D:$O,12,FALSE)=0,"",VLOOKUP($A38,'Annex 2 EHV charges'!$D:$O,12,FALSE)),"")</f>
        <v/>
      </c>
    </row>
    <row r="39" spans="1:8" ht="12.75" customHeight="1" x14ac:dyDescent="0.2">
      <c r="A39" s="124">
        <f t="array" ref="A39">IFERROR(INDEX('Annex 2 EHV charges'!$D$11:$D$260, MATCH(0, IF(ISBLANK('Annex 2 EHV charges'!$D$11:$D$260),1, COUNTIF(A$4:$A38, 'Annex 2 EHV charges'!$D$11:$D$260)), 0)),"")</f>
        <v>636</v>
      </c>
      <c r="B39" s="123">
        <f>IF($A39="","",VLOOKUP($A39,'Annex 2 EHV charges'!$D:$O,2,0))</f>
        <v>636</v>
      </c>
      <c r="C39" s="124">
        <f>IF($A39="","",VLOOKUP($A39,'Annex 2 EHV charges'!$D:$O,3,0))</f>
        <v>1800053647645</v>
      </c>
      <c r="D39" s="123" t="str">
        <f>IF($A39="","",VLOOKUP($A39,'Annex 2 EHV charges'!$D:$O,4,0))</f>
        <v>Shanks &amp; McEwan 5</v>
      </c>
      <c r="E39" s="125" t="str">
        <f>IFERROR(IF(VLOOKUP($A39,'Annex 2 EHV charges'!$D:$O,9,FALSE)=0,"",VLOOKUP($A39,'Annex 2 EHV charges'!$D:$O,9,FALSE)),"")</f>
        <v/>
      </c>
      <c r="F39" s="126" t="str">
        <f>IFERROR(IF(VLOOKUP($A39,'Annex 2 EHV charges'!$D:$O,10,FALSE)=0,"",VLOOKUP($A39,'Annex 2 EHV charges'!$D:$O,10,FALSE)),"")</f>
        <v/>
      </c>
      <c r="G39" s="127" t="str">
        <f>IFERROR(IF(VLOOKUP($A39,'Annex 2 EHV charges'!$D:$O,11,FALSE)=0,"",VLOOKUP($A39,'Annex 2 EHV charges'!$D:$O,11,FALSE)),"")</f>
        <v/>
      </c>
      <c r="H39" s="127" t="str">
        <f>IFERROR(IF(VLOOKUP($A39,'Annex 2 EHV charges'!$D:$O,12,FALSE)=0,"",VLOOKUP($A39,'Annex 2 EHV charges'!$D:$O,12,FALSE)),"")</f>
        <v/>
      </c>
    </row>
    <row r="40" spans="1:8" ht="12.75" customHeight="1" x14ac:dyDescent="0.2">
      <c r="A40" s="124">
        <f t="array" ref="A40">IFERROR(INDEX('Annex 2 EHV charges'!$D$11:$D$260, MATCH(0, IF(ISBLANK('Annex 2 EHV charges'!$D$11:$D$260),1, COUNTIF(A$4:$A39, 'Annex 2 EHV charges'!$D$11:$D$260)), 0)),"")</f>
        <v>637</v>
      </c>
      <c r="B40" s="123">
        <f>IF($A40="","",VLOOKUP($A40,'Annex 2 EHV charges'!$D:$O,2,0))</f>
        <v>637</v>
      </c>
      <c r="C40" s="124">
        <f>IF($A40="","",VLOOKUP($A40,'Annex 2 EHV charges'!$D:$O,3,0))</f>
        <v>1800053653852</v>
      </c>
      <c r="D40" s="123" t="str">
        <f>IF($A40="","",VLOOKUP($A40,'Annex 2 EHV charges'!$D:$O,4,0))</f>
        <v>Crystal Rig</v>
      </c>
      <c r="E40" s="125" t="str">
        <f>IFERROR(IF(VLOOKUP($A40,'Annex 2 EHV charges'!$D:$O,9,FALSE)=0,"",VLOOKUP($A40,'Annex 2 EHV charges'!$D:$O,9,FALSE)),"")</f>
        <v/>
      </c>
      <c r="F40" s="126" t="str">
        <f>IFERROR(IF(VLOOKUP($A40,'Annex 2 EHV charges'!$D:$O,10,FALSE)=0,"",VLOOKUP($A40,'Annex 2 EHV charges'!$D:$O,10,FALSE)),"")</f>
        <v/>
      </c>
      <c r="G40" s="127" t="str">
        <f>IFERROR(IF(VLOOKUP($A40,'Annex 2 EHV charges'!$D:$O,11,FALSE)=0,"",VLOOKUP($A40,'Annex 2 EHV charges'!$D:$O,11,FALSE)),"")</f>
        <v/>
      </c>
      <c r="H40" s="127" t="str">
        <f>IFERROR(IF(VLOOKUP($A40,'Annex 2 EHV charges'!$D:$O,12,FALSE)=0,"",VLOOKUP($A40,'Annex 2 EHV charges'!$D:$O,12,FALSE)),"")</f>
        <v/>
      </c>
    </row>
    <row r="41" spans="1:8" ht="12.75" customHeight="1" x14ac:dyDescent="0.2">
      <c r="A41" s="124">
        <f t="array" ref="A41">IFERROR(INDEX('Annex 2 EHV charges'!$D$11:$D$260, MATCH(0, IF(ISBLANK('Annex 2 EHV charges'!$D$11:$D$260),1, COUNTIF(A$4:$A40, 'Annex 2 EHV charges'!$D$11:$D$260)), 0)),"")</f>
        <v>638</v>
      </c>
      <c r="B41" s="123">
        <f>IF($A41="","",VLOOKUP($A41,'Annex 2 EHV charges'!$D:$O,2,0))</f>
        <v>638</v>
      </c>
      <c r="C41" s="124">
        <f>IF($A41="","",VLOOKUP($A41,'Annex 2 EHV charges'!$D:$O,3,0))</f>
        <v>1800053694440</v>
      </c>
      <c r="D41" s="123" t="str">
        <f>IF($A41="","",VLOOKUP($A41,'Annex 2 EHV charges'!$D:$O,4,0))</f>
        <v>Haupland Muir (Ardrossan)</v>
      </c>
      <c r="E41" s="125" t="str">
        <f>IFERROR(IF(VLOOKUP($A41,'Annex 2 EHV charges'!$D:$O,9,FALSE)=0,"",VLOOKUP($A41,'Annex 2 EHV charges'!$D:$O,9,FALSE)),"")</f>
        <v/>
      </c>
      <c r="F41" s="126">
        <f>IFERROR(IF(VLOOKUP($A41,'Annex 2 EHV charges'!$D:$O,10,FALSE)=0,"",VLOOKUP($A41,'Annex 2 EHV charges'!$D:$O,10,FALSE)),"")</f>
        <v>235.31</v>
      </c>
      <c r="G41" s="127">
        <f>IFERROR(IF(VLOOKUP($A41,'Annex 2 EHV charges'!$D:$O,11,FALSE)=0,"",VLOOKUP($A41,'Annex 2 EHV charges'!$D:$O,11,FALSE)),"")</f>
        <v>0.05</v>
      </c>
      <c r="H41" s="127">
        <f>IFERROR(IF(VLOOKUP($A41,'Annex 2 EHV charges'!$D:$O,12,FALSE)=0,"",VLOOKUP($A41,'Annex 2 EHV charges'!$D:$O,12,FALSE)),"")</f>
        <v>0.05</v>
      </c>
    </row>
    <row r="42" spans="1:8" ht="12.75" customHeight="1" x14ac:dyDescent="0.2">
      <c r="A42" s="124">
        <f t="array" ref="A42">IFERROR(INDEX('Annex 2 EHV charges'!$D$11:$D$260, MATCH(0, IF(ISBLANK('Annex 2 EHV charges'!$D$11:$D$260),1, COUNTIF(A$4:$A41, 'Annex 2 EHV charges'!$D$11:$D$260)), 0)),"")</f>
        <v>639</v>
      </c>
      <c r="B42" s="123">
        <f>IF($A42="","",VLOOKUP($A42,'Annex 2 EHV charges'!$D:$O,2,0))</f>
        <v>639</v>
      </c>
      <c r="C42" s="124">
        <f>IF($A42="","",VLOOKUP($A42,'Annex 2 EHV charges'!$D:$O,3,0))</f>
        <v>1800053950958</v>
      </c>
      <c r="D42" s="123" t="str">
        <f>IF($A42="","",VLOOKUP($A42,'Annex 2 EHV charges'!$D:$O,4,0))</f>
        <v>Wetherhill</v>
      </c>
      <c r="E42" s="125" t="str">
        <f>IFERROR(IF(VLOOKUP($A42,'Annex 2 EHV charges'!$D:$O,9,FALSE)=0,"",VLOOKUP($A42,'Annex 2 EHV charges'!$D:$O,9,FALSE)),"")</f>
        <v/>
      </c>
      <c r="F42" s="126" t="str">
        <f>IFERROR(IF(VLOOKUP($A42,'Annex 2 EHV charges'!$D:$O,10,FALSE)=0,"",VLOOKUP($A42,'Annex 2 EHV charges'!$D:$O,10,FALSE)),"")</f>
        <v/>
      </c>
      <c r="G42" s="127" t="str">
        <f>IFERROR(IF(VLOOKUP($A42,'Annex 2 EHV charges'!$D:$O,11,FALSE)=0,"",VLOOKUP($A42,'Annex 2 EHV charges'!$D:$O,11,FALSE)),"")</f>
        <v/>
      </c>
      <c r="H42" s="127" t="str">
        <f>IFERROR(IF(VLOOKUP($A42,'Annex 2 EHV charges'!$D:$O,12,FALSE)=0,"",VLOOKUP($A42,'Annex 2 EHV charges'!$D:$O,12,FALSE)),"")</f>
        <v/>
      </c>
    </row>
    <row r="43" spans="1:8" ht="12.75" customHeight="1" x14ac:dyDescent="0.2">
      <c r="A43" s="124">
        <f t="array" ref="A43">IFERROR(INDEX('Annex 2 EHV charges'!$D$11:$D$260, MATCH(0, IF(ISBLANK('Annex 2 EHV charges'!$D$11:$D$260),1, COUNTIF(A$4:$A42, 'Annex 2 EHV charges'!$D$11:$D$260)), 0)),"")</f>
        <v>640</v>
      </c>
      <c r="B43" s="123">
        <f>IF($A43="","",VLOOKUP($A43,'Annex 2 EHV charges'!$D:$O,2,0))</f>
        <v>640</v>
      </c>
      <c r="C43" s="124">
        <f>IF($A43="","",VLOOKUP($A43,'Annex 2 EHV charges'!$D:$O,3,0))</f>
        <v>1800053883993</v>
      </c>
      <c r="D43" s="123" t="str">
        <f>IF($A43="","",VLOOKUP($A43,'Annex 2 EHV charges'!$D:$O,4,0))</f>
        <v>Artfield WF</v>
      </c>
      <c r="E43" s="125" t="str">
        <f>IFERROR(IF(VLOOKUP($A43,'Annex 2 EHV charges'!$D:$O,9,FALSE)=0,"",VLOOKUP($A43,'Annex 2 EHV charges'!$D:$O,9,FALSE)),"")</f>
        <v/>
      </c>
      <c r="F43" s="126" t="str">
        <f>IFERROR(IF(VLOOKUP($A43,'Annex 2 EHV charges'!$D:$O,10,FALSE)=0,"",VLOOKUP($A43,'Annex 2 EHV charges'!$D:$O,10,FALSE)),"")</f>
        <v/>
      </c>
      <c r="G43" s="127" t="str">
        <f>IFERROR(IF(VLOOKUP($A43,'Annex 2 EHV charges'!$D:$O,11,FALSE)=0,"",VLOOKUP($A43,'Annex 2 EHV charges'!$D:$O,11,FALSE)),"")</f>
        <v/>
      </c>
      <c r="H43" s="127" t="str">
        <f>IFERROR(IF(VLOOKUP($A43,'Annex 2 EHV charges'!$D:$O,12,FALSE)=0,"",VLOOKUP($A43,'Annex 2 EHV charges'!$D:$O,12,FALSE)),"")</f>
        <v/>
      </c>
    </row>
    <row r="44" spans="1:8" ht="12.75" customHeight="1" x14ac:dyDescent="0.2">
      <c r="A44" s="124">
        <f t="array" ref="A44">IFERROR(INDEX('Annex 2 EHV charges'!$D$11:$D$260, MATCH(0, IF(ISBLANK('Annex 2 EHV charges'!$D$11:$D$260),1, COUNTIF(A$4:$A43, 'Annex 2 EHV charges'!$D$11:$D$260)), 0)),"")</f>
        <v>641</v>
      </c>
      <c r="B44" s="123">
        <f>IF($A44="","",VLOOKUP($A44,'Annex 2 EHV charges'!$D:$O,2,0))</f>
        <v>641</v>
      </c>
      <c r="C44" s="124">
        <f>IF($A44="","",VLOOKUP($A44,'Annex 2 EHV charges'!$D:$O,3,0))</f>
        <v>1800054152991</v>
      </c>
      <c r="D44" s="123" t="str">
        <f>IF($A44="","",VLOOKUP($A44,'Annex 2 EHV charges'!$D:$O,4,0))</f>
        <v>Wardlaw Wood</v>
      </c>
      <c r="E44" s="125" t="str">
        <f>IFERROR(IF(VLOOKUP($A44,'Annex 2 EHV charges'!$D:$O,9,FALSE)=0,"",VLOOKUP($A44,'Annex 2 EHV charges'!$D:$O,9,FALSE)),"")</f>
        <v/>
      </c>
      <c r="F44" s="126" t="str">
        <f>IFERROR(IF(VLOOKUP($A44,'Annex 2 EHV charges'!$D:$O,10,FALSE)=0,"",VLOOKUP($A44,'Annex 2 EHV charges'!$D:$O,10,FALSE)),"")</f>
        <v/>
      </c>
      <c r="G44" s="127" t="str">
        <f>IFERROR(IF(VLOOKUP($A44,'Annex 2 EHV charges'!$D:$O,11,FALSE)=0,"",VLOOKUP($A44,'Annex 2 EHV charges'!$D:$O,11,FALSE)),"")</f>
        <v/>
      </c>
      <c r="H44" s="127" t="str">
        <f>IFERROR(IF(VLOOKUP($A44,'Annex 2 EHV charges'!$D:$O,12,FALSE)=0,"",VLOOKUP($A44,'Annex 2 EHV charges'!$D:$O,12,FALSE)),"")</f>
        <v/>
      </c>
    </row>
    <row r="45" spans="1:8" ht="12.75" customHeight="1" x14ac:dyDescent="0.2">
      <c r="A45" s="124">
        <f t="array" ref="A45">IFERROR(INDEX('Annex 2 EHV charges'!$D$11:$D$260, MATCH(0, IF(ISBLANK('Annex 2 EHV charges'!$D$11:$D$260),1, COUNTIF(A$4:$A44, 'Annex 2 EHV charges'!$D$11:$D$260)), 0)),"")</f>
        <v>642</v>
      </c>
      <c r="B45" s="123">
        <f>IF($A45="","",VLOOKUP($A45,'Annex 2 EHV charges'!$D:$O,2,0))</f>
        <v>642</v>
      </c>
      <c r="C45" s="124">
        <f>IF($A45="","",VLOOKUP($A45,'Annex 2 EHV charges'!$D:$O,3,0))</f>
        <v>1800054198374</v>
      </c>
      <c r="D45" s="123" t="str">
        <f>IF($A45="","",VLOOKUP($A45,'Annex 2 EHV charges'!$D:$O,4,0))</f>
        <v>Earlsburn</v>
      </c>
      <c r="E45" s="125" t="str">
        <f>IFERROR(IF(VLOOKUP($A45,'Annex 2 EHV charges'!$D:$O,9,FALSE)=0,"",VLOOKUP($A45,'Annex 2 EHV charges'!$D:$O,9,FALSE)),"")</f>
        <v/>
      </c>
      <c r="F45" s="126" t="str">
        <f>IFERROR(IF(VLOOKUP($A45,'Annex 2 EHV charges'!$D:$O,10,FALSE)=0,"",VLOOKUP($A45,'Annex 2 EHV charges'!$D:$O,10,FALSE)),"")</f>
        <v/>
      </c>
      <c r="G45" s="127" t="str">
        <f>IFERROR(IF(VLOOKUP($A45,'Annex 2 EHV charges'!$D:$O,11,FALSE)=0,"",VLOOKUP($A45,'Annex 2 EHV charges'!$D:$O,11,FALSE)),"")</f>
        <v/>
      </c>
      <c r="H45" s="127" t="str">
        <f>IFERROR(IF(VLOOKUP($A45,'Annex 2 EHV charges'!$D:$O,12,FALSE)=0,"",VLOOKUP($A45,'Annex 2 EHV charges'!$D:$O,12,FALSE)),"")</f>
        <v/>
      </c>
    </row>
    <row r="46" spans="1:8" ht="12.75" customHeight="1" x14ac:dyDescent="0.2">
      <c r="A46" s="124">
        <f t="array" ref="A46">IFERROR(INDEX('Annex 2 EHV charges'!$D$11:$D$260, MATCH(0, IF(ISBLANK('Annex 2 EHV charges'!$D$11:$D$260),1, COUNTIF(A$4:$A45, 'Annex 2 EHV charges'!$D$11:$D$260)), 0)),"")</f>
        <v>643</v>
      </c>
      <c r="B46" s="123">
        <f>IF($A46="","",VLOOKUP($A46,'Annex 2 EHV charges'!$D:$O,2,0))</f>
        <v>643</v>
      </c>
      <c r="C46" s="124">
        <f>IF($A46="","",VLOOKUP($A46,'Annex 2 EHV charges'!$D:$O,3,0))</f>
        <v>1800054244598</v>
      </c>
      <c r="D46" s="123" t="str">
        <f>IF($A46="","",VLOOKUP($A46,'Annex 2 EHV charges'!$D:$O,4,0))</f>
        <v>Blackhill</v>
      </c>
      <c r="E46" s="125" t="str">
        <f>IFERROR(IF(VLOOKUP($A46,'Annex 2 EHV charges'!$D:$O,9,FALSE)=0,"",VLOOKUP($A46,'Annex 2 EHV charges'!$D:$O,9,FALSE)),"")</f>
        <v/>
      </c>
      <c r="F46" s="126">
        <f>IFERROR(IF(VLOOKUP($A46,'Annex 2 EHV charges'!$D:$O,10,FALSE)=0,"",VLOOKUP($A46,'Annex 2 EHV charges'!$D:$O,10,FALSE)),"")</f>
        <v>25005.71</v>
      </c>
      <c r="G46" s="127">
        <f>IFERROR(IF(VLOOKUP($A46,'Annex 2 EHV charges'!$D:$O,11,FALSE)=0,"",VLOOKUP($A46,'Annex 2 EHV charges'!$D:$O,11,FALSE)),"")</f>
        <v>0.05</v>
      </c>
      <c r="H46" s="127">
        <f>IFERROR(IF(VLOOKUP($A46,'Annex 2 EHV charges'!$D:$O,12,FALSE)=0,"",VLOOKUP($A46,'Annex 2 EHV charges'!$D:$O,12,FALSE)),"")</f>
        <v>0.05</v>
      </c>
    </row>
    <row r="47" spans="1:8" ht="12.75" customHeight="1" x14ac:dyDescent="0.2">
      <c r="A47" s="124" t="str">
        <f t="array" ref="A47">IFERROR(INDEX('Annex 2 EHV charges'!$D$11:$D$260, MATCH(0, IF(ISBLANK('Annex 2 EHV charges'!$D$11:$D$260),1, COUNTIF(A$4:$A46, 'Annex 2 EHV charges'!$D$11:$D$260)), 0)),"")</f>
        <v>MSID 8183</v>
      </c>
      <c r="B47" s="123" t="str">
        <f>IF($A47="","",VLOOKUP($A47,'Annex 2 EHV charges'!$D:$O,2,0))</f>
        <v>MSID 8183</v>
      </c>
      <c r="C47" s="124" t="str">
        <f>IF($A47="","",VLOOKUP($A47,'Annex 2 EHV charges'!$D:$O,3,0))</f>
        <v>MSID 8183</v>
      </c>
      <c r="D47" s="123" t="str">
        <f>IF($A47="","",VLOOKUP($A47,'Annex 2 EHV charges'!$D:$O,4,0))</f>
        <v>Dalswinton</v>
      </c>
      <c r="E47" s="125" t="str">
        <f>IFERROR(IF(VLOOKUP($A47,'Annex 2 EHV charges'!$D:$O,9,FALSE)=0,"",VLOOKUP($A47,'Annex 2 EHV charges'!$D:$O,9,FALSE)),"")</f>
        <v/>
      </c>
      <c r="F47" s="126" t="str">
        <f>IFERROR(IF(VLOOKUP($A47,'Annex 2 EHV charges'!$D:$O,10,FALSE)=0,"",VLOOKUP($A47,'Annex 2 EHV charges'!$D:$O,10,FALSE)),"")</f>
        <v/>
      </c>
      <c r="G47" s="127" t="str">
        <f>IFERROR(IF(VLOOKUP($A47,'Annex 2 EHV charges'!$D:$O,11,FALSE)=0,"",VLOOKUP($A47,'Annex 2 EHV charges'!$D:$O,11,FALSE)),"")</f>
        <v/>
      </c>
      <c r="H47" s="127" t="str">
        <f>IFERROR(IF(VLOOKUP($A47,'Annex 2 EHV charges'!$D:$O,12,FALSE)=0,"",VLOOKUP($A47,'Annex 2 EHV charges'!$D:$O,12,FALSE)),"")</f>
        <v/>
      </c>
    </row>
    <row r="48" spans="1:8" ht="12.75" customHeight="1" x14ac:dyDescent="0.2">
      <c r="A48" s="124">
        <f t="array" ref="A48">IFERROR(INDEX('Annex 2 EHV charges'!$D$11:$D$260, MATCH(0, IF(ISBLANK('Annex 2 EHV charges'!$D$11:$D$260),1, COUNTIF(A$4:$A47, 'Annex 2 EHV charges'!$D$11:$D$260)), 0)),"")</f>
        <v>645</v>
      </c>
      <c r="B48" s="123">
        <f>IF($A48="","",VLOOKUP($A48,'Annex 2 EHV charges'!$D:$O,2,0))</f>
        <v>645</v>
      </c>
      <c r="C48" s="124">
        <f>IF($A48="","",VLOOKUP($A48,'Annex 2 EHV charges'!$D:$O,3,0))</f>
        <v>1800054498480</v>
      </c>
      <c r="D48" s="123" t="str">
        <f>IF($A48="","",VLOOKUP($A48,'Annex 2 EHV charges'!$D:$O,4,0))</f>
        <v>Steven's Croft Biomass</v>
      </c>
      <c r="E48" s="125" t="str">
        <f>IFERROR(IF(VLOOKUP($A48,'Annex 2 EHV charges'!$D:$O,9,FALSE)=0,"",VLOOKUP($A48,'Annex 2 EHV charges'!$D:$O,9,FALSE)),"")</f>
        <v/>
      </c>
      <c r="F48" s="126" t="str">
        <f>IFERROR(IF(VLOOKUP($A48,'Annex 2 EHV charges'!$D:$O,10,FALSE)=0,"",VLOOKUP($A48,'Annex 2 EHV charges'!$D:$O,10,FALSE)),"")</f>
        <v/>
      </c>
      <c r="G48" s="127" t="str">
        <f>IFERROR(IF(VLOOKUP($A48,'Annex 2 EHV charges'!$D:$O,11,FALSE)=0,"",VLOOKUP($A48,'Annex 2 EHV charges'!$D:$O,11,FALSE)),"")</f>
        <v/>
      </c>
      <c r="H48" s="127" t="str">
        <f>IFERROR(IF(VLOOKUP($A48,'Annex 2 EHV charges'!$D:$O,12,FALSE)=0,"",VLOOKUP($A48,'Annex 2 EHV charges'!$D:$O,12,FALSE)),"")</f>
        <v/>
      </c>
    </row>
    <row r="49" spans="1:8" ht="12.75" customHeight="1" x14ac:dyDescent="0.2">
      <c r="A49" s="124">
        <f t="array" ref="A49">IFERROR(INDEX('Annex 2 EHV charges'!$D$11:$D$260, MATCH(0, IF(ISBLANK('Annex 2 EHV charges'!$D$11:$D$260),1, COUNTIF(A$4:$A48, 'Annex 2 EHV charges'!$D$11:$D$260)), 0)),"")</f>
        <v>649</v>
      </c>
      <c r="B49" s="123">
        <f>IF($A49="","",VLOOKUP($A49,'Annex 2 EHV charges'!$D:$O,2,0))</f>
        <v>649</v>
      </c>
      <c r="C49" s="124" t="str">
        <f>IF($A49="","",VLOOKUP($A49,'Annex 2 EHV charges'!$D:$O,3,0))</f>
        <v>TBA</v>
      </c>
      <c r="D49" s="123" t="str">
        <f>IF($A49="","",VLOOKUP($A49,'Annex 2 EHV charges'!$D:$O,4,0))</f>
        <v>Sorbie Windfarm</v>
      </c>
      <c r="E49" s="125" t="str">
        <f>IFERROR(IF(VLOOKUP($A49,'Annex 2 EHV charges'!$D:$O,9,FALSE)=0,"",VLOOKUP($A49,'Annex 2 EHV charges'!$D:$O,9,FALSE)),"")</f>
        <v/>
      </c>
      <c r="F49" s="126">
        <f>IFERROR(IF(VLOOKUP($A49,'Annex 2 EHV charges'!$D:$O,10,FALSE)=0,"",VLOOKUP($A49,'Annex 2 EHV charges'!$D:$O,10,FALSE)),"")</f>
        <v>7231.39</v>
      </c>
      <c r="G49" s="127">
        <f>IFERROR(IF(VLOOKUP($A49,'Annex 2 EHV charges'!$D:$O,11,FALSE)=0,"",VLOOKUP($A49,'Annex 2 EHV charges'!$D:$O,11,FALSE)),"")</f>
        <v>0.05</v>
      </c>
      <c r="H49" s="127">
        <f>IFERROR(IF(VLOOKUP($A49,'Annex 2 EHV charges'!$D:$O,12,FALSE)=0,"",VLOOKUP($A49,'Annex 2 EHV charges'!$D:$O,12,FALSE)),"")</f>
        <v>0.05</v>
      </c>
    </row>
    <row r="50" spans="1:8" ht="12.75" customHeight="1" x14ac:dyDescent="0.2">
      <c r="A50" s="124">
        <f t="array" ref="A50">IFERROR(INDEX('Annex 2 EHV charges'!$D$11:$D$260, MATCH(0, IF(ISBLANK('Annex 2 EHV charges'!$D$11:$D$260),1, COUNTIF(A$4:$A49, 'Annex 2 EHV charges'!$D$11:$D$260)), 0)),"")</f>
        <v>650</v>
      </c>
      <c r="B50" s="123">
        <f>IF($A50="","",VLOOKUP($A50,'Annex 2 EHV charges'!$D:$O,2,0))</f>
        <v>650</v>
      </c>
      <c r="C50" s="124">
        <f>IF($A50="","",VLOOKUP($A50,'Annex 2 EHV charges'!$D:$O,3,0))</f>
        <v>1800060251881</v>
      </c>
      <c r="D50" s="123" t="str">
        <f>IF($A50="","",VLOOKUP($A50,'Annex 2 EHV charges'!$D:$O,4,0))</f>
        <v>Longpark</v>
      </c>
      <c r="E50" s="125" t="str">
        <f>IFERROR(IF(VLOOKUP($A50,'Annex 2 EHV charges'!$D:$O,9,FALSE)=0,"",VLOOKUP($A50,'Annex 2 EHV charges'!$D:$O,9,FALSE)),"")</f>
        <v/>
      </c>
      <c r="F50" s="126">
        <f>IFERROR(IF(VLOOKUP($A50,'Annex 2 EHV charges'!$D:$O,10,FALSE)=0,"",VLOOKUP($A50,'Annex 2 EHV charges'!$D:$O,10,FALSE)),"")</f>
        <v>22623.64</v>
      </c>
      <c r="G50" s="127">
        <f>IFERROR(IF(VLOOKUP($A50,'Annex 2 EHV charges'!$D:$O,11,FALSE)=0,"",VLOOKUP($A50,'Annex 2 EHV charges'!$D:$O,11,FALSE)),"")</f>
        <v>0.05</v>
      </c>
      <c r="H50" s="127">
        <f>IFERROR(IF(VLOOKUP($A50,'Annex 2 EHV charges'!$D:$O,12,FALSE)=0,"",VLOOKUP($A50,'Annex 2 EHV charges'!$D:$O,12,FALSE)),"")</f>
        <v>0.05</v>
      </c>
    </row>
    <row r="51" spans="1:8" ht="12.75" customHeight="1" x14ac:dyDescent="0.2">
      <c r="A51" s="124">
        <f t="array" ref="A51">IFERROR(INDEX('Annex 2 EHV charges'!$D$11:$D$260, MATCH(0, IF(ISBLANK('Annex 2 EHV charges'!$D$11:$D$260),1, COUNTIF(A$4:$A50, 'Annex 2 EHV charges'!$D$11:$D$260)), 0)),"")</f>
        <v>696</v>
      </c>
      <c r="B51" s="123">
        <f>IF($A51="","",VLOOKUP($A51,'Annex 2 EHV charges'!$D:$O,2,0))</f>
        <v>696</v>
      </c>
      <c r="C51" s="124">
        <f>IF($A51="","",VLOOKUP($A51,'Annex 2 EHV charges'!$D:$O,3,0))</f>
        <v>1800060642711</v>
      </c>
      <c r="D51" s="123" t="str">
        <f>IF($A51="","",VLOOKUP($A51,'Annex 2 EHV charges'!$D:$O,4,0))</f>
        <v>Calder Water WF</v>
      </c>
      <c r="E51" s="125" t="str">
        <f>IFERROR(IF(VLOOKUP($A51,'Annex 2 EHV charges'!$D:$O,9,FALSE)=0,"",VLOOKUP($A51,'Annex 2 EHV charges'!$D:$O,9,FALSE)),"")</f>
        <v/>
      </c>
      <c r="F51" s="126">
        <f>IFERROR(IF(VLOOKUP($A51,'Annex 2 EHV charges'!$D:$O,10,FALSE)=0,"",VLOOKUP($A51,'Annex 2 EHV charges'!$D:$O,10,FALSE)),"")</f>
        <v>30287.27</v>
      </c>
      <c r="G51" s="127">
        <f>IFERROR(IF(VLOOKUP($A51,'Annex 2 EHV charges'!$D:$O,11,FALSE)=0,"",VLOOKUP($A51,'Annex 2 EHV charges'!$D:$O,11,FALSE)),"")</f>
        <v>0.05</v>
      </c>
      <c r="H51" s="127">
        <f>IFERROR(IF(VLOOKUP($A51,'Annex 2 EHV charges'!$D:$O,12,FALSE)=0,"",VLOOKUP($A51,'Annex 2 EHV charges'!$D:$O,12,FALSE)),"")</f>
        <v>0.05</v>
      </c>
    </row>
    <row r="52" spans="1:8" ht="12.75" customHeight="1" x14ac:dyDescent="0.2">
      <c r="A52" s="124">
        <f t="array" ref="A52">IFERROR(INDEX('Annex 2 EHV charges'!$D$11:$D$260, MATCH(0, IF(ISBLANK('Annex 2 EHV charges'!$D$11:$D$260),1, COUNTIF(A$4:$A51, 'Annex 2 EHV charges'!$D$11:$D$260)), 0)),"")</f>
        <v>654</v>
      </c>
      <c r="B52" s="123">
        <f>IF($A52="","",VLOOKUP($A52,'Annex 2 EHV charges'!$D:$O,2,0))</f>
        <v>654</v>
      </c>
      <c r="C52" s="124">
        <f>IF($A52="","",VLOOKUP($A52,'Annex 2 EHV charges'!$D:$O,3,0))</f>
        <v>1800053946507</v>
      </c>
      <c r="D52" s="123" t="str">
        <f>IF($A52="","",VLOOKUP($A52,'Annex 2 EHV charges'!$D:$O,4,0))</f>
        <v>Lafarge UK</v>
      </c>
      <c r="E52" s="125" t="str">
        <f>IFERROR(IF(VLOOKUP($A52,'Annex 2 EHV charges'!$D:$O,9,FALSE)=0,"",VLOOKUP($A52,'Annex 2 EHV charges'!$D:$O,9,FALSE)),"")</f>
        <v/>
      </c>
      <c r="F52" s="126" t="str">
        <f>IFERROR(IF(VLOOKUP($A52,'Annex 2 EHV charges'!$D:$O,10,FALSE)=0,"",VLOOKUP($A52,'Annex 2 EHV charges'!$D:$O,10,FALSE)),"")</f>
        <v/>
      </c>
      <c r="G52" s="127" t="str">
        <f>IFERROR(IF(VLOOKUP($A52,'Annex 2 EHV charges'!$D:$O,11,FALSE)=0,"",VLOOKUP($A52,'Annex 2 EHV charges'!$D:$O,11,FALSE)),"")</f>
        <v/>
      </c>
      <c r="H52" s="127" t="str">
        <f>IFERROR(IF(VLOOKUP($A52,'Annex 2 EHV charges'!$D:$O,12,FALSE)=0,"",VLOOKUP($A52,'Annex 2 EHV charges'!$D:$O,12,FALSE)),"")</f>
        <v/>
      </c>
    </row>
    <row r="53" spans="1:8" ht="12.75" customHeight="1" x14ac:dyDescent="0.2">
      <c r="A53" s="124">
        <f t="array" ref="A53">IFERROR(INDEX('Annex 2 EHV charges'!$D$11:$D$260, MATCH(0, IF(ISBLANK('Annex 2 EHV charges'!$D$11:$D$260),1, COUNTIF(A$4:$A52, 'Annex 2 EHV charges'!$D$11:$D$260)), 0)),"")</f>
        <v>655</v>
      </c>
      <c r="B53" s="123">
        <f>IF($A53="","",VLOOKUP($A53,'Annex 2 EHV charges'!$D:$O,2,0))</f>
        <v>655</v>
      </c>
      <c r="C53" s="124">
        <f>IF($A53="","",VLOOKUP($A53,'Annex 2 EHV charges'!$D:$O,3,0))</f>
        <v>1800060241313</v>
      </c>
      <c r="D53" s="123" t="str">
        <f>IF($A53="","",VLOOKUP($A53,'Annex 2 EHV charges'!$D:$O,4,0))</f>
        <v>Pateshill</v>
      </c>
      <c r="E53" s="125" t="str">
        <f>IFERROR(IF(VLOOKUP($A53,'Annex 2 EHV charges'!$D:$O,9,FALSE)=0,"",VLOOKUP($A53,'Annex 2 EHV charges'!$D:$O,9,FALSE)),"")</f>
        <v/>
      </c>
      <c r="F53" s="126">
        <f>IFERROR(IF(VLOOKUP($A53,'Annex 2 EHV charges'!$D:$O,10,FALSE)=0,"",VLOOKUP($A53,'Annex 2 EHV charges'!$D:$O,10,FALSE)),"")</f>
        <v>1402.7</v>
      </c>
      <c r="G53" s="127">
        <f>IFERROR(IF(VLOOKUP($A53,'Annex 2 EHV charges'!$D:$O,11,FALSE)=0,"",VLOOKUP($A53,'Annex 2 EHV charges'!$D:$O,11,FALSE)),"")</f>
        <v>0.05</v>
      </c>
      <c r="H53" s="127">
        <f>IFERROR(IF(VLOOKUP($A53,'Annex 2 EHV charges'!$D:$O,12,FALSE)=0,"",VLOOKUP($A53,'Annex 2 EHV charges'!$D:$O,12,FALSE)),"")</f>
        <v>0.05</v>
      </c>
    </row>
    <row r="54" spans="1:8" ht="12.75" customHeight="1" x14ac:dyDescent="0.2">
      <c r="A54" s="124">
        <f t="array" ref="A54">IFERROR(INDEX('Annex 2 EHV charges'!$D$11:$D$260, MATCH(0, IF(ISBLANK('Annex 2 EHV charges'!$D$11:$D$260),1, COUNTIF(A$4:$A53, 'Annex 2 EHV charges'!$D$11:$D$260)), 0)),"")</f>
        <v>697</v>
      </c>
      <c r="B54" s="123">
        <f>IF($A54="","",VLOOKUP($A54,'Annex 2 EHV charges'!$D:$O,2,0))</f>
        <v>697</v>
      </c>
      <c r="C54" s="124">
        <f>IF($A54="","",VLOOKUP($A54,'Annex 2 EHV charges'!$D:$O,3,0))</f>
        <v>1800060630637</v>
      </c>
      <c r="D54" s="123" t="str">
        <f>IF($A54="","",VLOOKUP($A54,'Annex 2 EHV charges'!$D:$O,4,0))</f>
        <v>GlaxoSmithKline</v>
      </c>
      <c r="E54" s="125" t="str">
        <f>IFERROR(IF(VLOOKUP($A54,'Annex 2 EHV charges'!$D:$O,9,FALSE)=0,"",VLOOKUP($A54,'Annex 2 EHV charges'!$D:$O,9,FALSE)),"")</f>
        <v/>
      </c>
      <c r="F54" s="126">
        <f>IFERROR(IF(VLOOKUP($A54,'Annex 2 EHV charges'!$D:$O,10,FALSE)=0,"",VLOOKUP($A54,'Annex 2 EHV charges'!$D:$O,10,FALSE)),"")</f>
        <v>2731.14</v>
      </c>
      <c r="G54" s="127">
        <f>IFERROR(IF(VLOOKUP($A54,'Annex 2 EHV charges'!$D:$O,11,FALSE)=0,"",VLOOKUP($A54,'Annex 2 EHV charges'!$D:$O,11,FALSE)),"")</f>
        <v>0.05</v>
      </c>
      <c r="H54" s="127">
        <f>IFERROR(IF(VLOOKUP($A54,'Annex 2 EHV charges'!$D:$O,12,FALSE)=0,"",VLOOKUP($A54,'Annex 2 EHV charges'!$D:$O,12,FALSE)),"")</f>
        <v>0.05</v>
      </c>
    </row>
    <row r="55" spans="1:8" ht="12.75" customHeight="1" x14ac:dyDescent="0.2">
      <c r="A55" s="124">
        <f t="array" ref="A55">IFERROR(INDEX('Annex 2 EHV charges'!$D$11:$D$260, MATCH(0, IF(ISBLANK('Annex 2 EHV charges'!$D$11:$D$260),1, COUNTIF(A$4:$A54, 'Annex 2 EHV charges'!$D$11:$D$260)), 0)),"")</f>
        <v>666</v>
      </c>
      <c r="B55" s="123">
        <f>IF($A55="","",VLOOKUP($A55,'Annex 2 EHV charges'!$D:$O,2,0))</f>
        <v>666</v>
      </c>
      <c r="C55" s="124">
        <f>IF($A55="","",VLOOKUP($A55,'Annex 2 EHV charges'!$D:$O,3,0))</f>
        <v>1800060852049</v>
      </c>
      <c r="D55" s="123" t="str">
        <f>IF($A55="","",VLOOKUP($A55,'Annex 2 EHV charges'!$D:$O,4,0))</f>
        <v>Gevens Wind Farm</v>
      </c>
      <c r="E55" s="125" t="str">
        <f>IFERROR(IF(VLOOKUP($A55,'Annex 2 EHV charges'!$D:$O,9,FALSE)=0,"",VLOOKUP($A55,'Annex 2 EHV charges'!$D:$O,9,FALSE)),"")</f>
        <v/>
      </c>
      <c r="F55" s="126">
        <f>IFERROR(IF(VLOOKUP($A55,'Annex 2 EHV charges'!$D:$O,10,FALSE)=0,"",VLOOKUP($A55,'Annex 2 EHV charges'!$D:$O,10,FALSE)),"")</f>
        <v>5660.98</v>
      </c>
      <c r="G55" s="127">
        <f>IFERROR(IF(VLOOKUP($A55,'Annex 2 EHV charges'!$D:$O,11,FALSE)=0,"",VLOOKUP($A55,'Annex 2 EHV charges'!$D:$O,11,FALSE)),"")</f>
        <v>0.05</v>
      </c>
      <c r="H55" s="127">
        <f>IFERROR(IF(VLOOKUP($A55,'Annex 2 EHV charges'!$D:$O,12,FALSE)=0,"",VLOOKUP($A55,'Annex 2 EHV charges'!$D:$O,12,FALSE)),"")</f>
        <v>0.05</v>
      </c>
    </row>
    <row r="56" spans="1:8" ht="12.75" customHeight="1" x14ac:dyDescent="0.2">
      <c r="A56" s="124">
        <f t="array" ref="A56">IFERROR(INDEX('Annex 2 EHV charges'!$D$11:$D$260, MATCH(0, IF(ISBLANK('Annex 2 EHV charges'!$D$11:$D$260),1, COUNTIF(A$4:$A55, 'Annex 2 EHV charges'!$D$11:$D$260)), 0)),"")</f>
        <v>663</v>
      </c>
      <c r="B56" s="123">
        <f>IF($A56="","",VLOOKUP($A56,'Annex 2 EHV charges'!$D:$O,2,0))</f>
        <v>663</v>
      </c>
      <c r="C56" s="124">
        <f>IF($A56="","",VLOOKUP($A56,'Annex 2 EHV charges'!$D:$O,3,0))</f>
        <v>1800060207447</v>
      </c>
      <c r="D56" s="123" t="str">
        <f>IF($A56="","",VLOOKUP($A56,'Annex 2 EHV charges'!$D:$O,4,0))</f>
        <v>North Rhins</v>
      </c>
      <c r="E56" s="125" t="str">
        <f>IFERROR(IF(VLOOKUP($A56,'Annex 2 EHV charges'!$D:$O,9,FALSE)=0,"",VLOOKUP($A56,'Annex 2 EHV charges'!$D:$O,9,FALSE)),"")</f>
        <v/>
      </c>
      <c r="F56" s="126">
        <f>IFERROR(IF(VLOOKUP($A56,'Annex 2 EHV charges'!$D:$O,10,FALSE)=0,"",VLOOKUP($A56,'Annex 2 EHV charges'!$D:$O,10,FALSE)),"")</f>
        <v>9819.3799999999992</v>
      </c>
      <c r="G56" s="127">
        <f>IFERROR(IF(VLOOKUP($A56,'Annex 2 EHV charges'!$D:$O,11,FALSE)=0,"",VLOOKUP($A56,'Annex 2 EHV charges'!$D:$O,11,FALSE)),"")</f>
        <v>0.05</v>
      </c>
      <c r="H56" s="127">
        <f>IFERROR(IF(VLOOKUP($A56,'Annex 2 EHV charges'!$D:$O,12,FALSE)=0,"",VLOOKUP($A56,'Annex 2 EHV charges'!$D:$O,12,FALSE)),"")</f>
        <v>0.05</v>
      </c>
    </row>
    <row r="57" spans="1:8" ht="12.75" customHeight="1" x14ac:dyDescent="0.2">
      <c r="A57" s="124">
        <f t="array" ref="A57">IFERROR(INDEX('Annex 2 EHV charges'!$D$11:$D$260, MATCH(0, IF(ISBLANK('Annex 2 EHV charges'!$D$11:$D$260),1, COUNTIF(A$4:$A56, 'Annex 2 EHV charges'!$D$11:$D$260)), 0)),"")</f>
        <v>698</v>
      </c>
      <c r="B57" s="123">
        <f>IF($A57="","",VLOOKUP($A57,'Annex 2 EHV charges'!$D:$O,2,0))</f>
        <v>698</v>
      </c>
      <c r="C57" s="124">
        <f>IF($A57="","",VLOOKUP($A57,'Annex 2 EHV charges'!$D:$O,3,0))</f>
        <v>1800060709047</v>
      </c>
      <c r="D57" s="123" t="str">
        <f>IF($A57="","",VLOOKUP($A57,'Annex 2 EHV charges'!$D:$O,4,0))</f>
        <v>Tod Hills Windfarm</v>
      </c>
      <c r="E57" s="125" t="str">
        <f>IFERROR(IF(VLOOKUP($A57,'Annex 2 EHV charges'!$D:$O,9,FALSE)=0,"",VLOOKUP($A57,'Annex 2 EHV charges'!$D:$O,9,FALSE)),"")</f>
        <v/>
      </c>
      <c r="F57" s="126">
        <f>IFERROR(IF(VLOOKUP($A57,'Annex 2 EHV charges'!$D:$O,10,FALSE)=0,"",VLOOKUP($A57,'Annex 2 EHV charges'!$D:$O,10,FALSE)),"")</f>
        <v>9072.76</v>
      </c>
      <c r="G57" s="127">
        <f>IFERROR(IF(VLOOKUP($A57,'Annex 2 EHV charges'!$D:$O,11,FALSE)=0,"",VLOOKUP($A57,'Annex 2 EHV charges'!$D:$O,11,FALSE)),"")</f>
        <v>0.05</v>
      </c>
      <c r="H57" s="127">
        <f>IFERROR(IF(VLOOKUP($A57,'Annex 2 EHV charges'!$D:$O,12,FALSE)=0,"",VLOOKUP($A57,'Annex 2 EHV charges'!$D:$O,12,FALSE)),"")</f>
        <v>0.05</v>
      </c>
    </row>
    <row r="58" spans="1:8" ht="12.75" customHeight="1" x14ac:dyDescent="0.2">
      <c r="A58" s="124">
        <f t="array" ref="A58">IFERROR(INDEX('Annex 2 EHV charges'!$D$11:$D$260, MATCH(0, IF(ISBLANK('Annex 2 EHV charges'!$D$11:$D$260),1, COUNTIF(A$4:$A57, 'Annex 2 EHV charges'!$D$11:$D$260)), 0)),"")</f>
        <v>670</v>
      </c>
      <c r="B58" s="123">
        <f>IF($A58="","",VLOOKUP($A58,'Annex 2 EHV charges'!$D:$O,2,0))</f>
        <v>670</v>
      </c>
      <c r="C58" s="124">
        <f>IF($A58="","",VLOOKUP($A58,'Annex 2 EHV charges'!$D:$O,3,0))</f>
        <v>1800060877293</v>
      </c>
      <c r="D58" s="123" t="str">
        <f>IF($A58="","",VLOOKUP($A58,'Annex 2 EHV charges'!$D:$O,4,0))</f>
        <v xml:space="preserve">Hoprigshiels </v>
      </c>
      <c r="E58" s="125" t="str">
        <f>IFERROR(IF(VLOOKUP($A58,'Annex 2 EHV charges'!$D:$O,9,FALSE)=0,"",VLOOKUP($A58,'Annex 2 EHV charges'!$D:$O,9,FALSE)),"")</f>
        <v/>
      </c>
      <c r="F58" s="126">
        <f>IFERROR(IF(VLOOKUP($A58,'Annex 2 EHV charges'!$D:$O,10,FALSE)=0,"",VLOOKUP($A58,'Annex 2 EHV charges'!$D:$O,10,FALSE)),"")</f>
        <v>14083.18</v>
      </c>
      <c r="G58" s="127">
        <f>IFERROR(IF(VLOOKUP($A58,'Annex 2 EHV charges'!$D:$O,11,FALSE)=0,"",VLOOKUP($A58,'Annex 2 EHV charges'!$D:$O,11,FALSE)),"")</f>
        <v>0.05</v>
      </c>
      <c r="H58" s="127">
        <f>IFERROR(IF(VLOOKUP($A58,'Annex 2 EHV charges'!$D:$O,12,FALSE)=0,"",VLOOKUP($A58,'Annex 2 EHV charges'!$D:$O,12,FALSE)),"")</f>
        <v>0.05</v>
      </c>
    </row>
    <row r="59" spans="1:8" ht="12.75" customHeight="1" x14ac:dyDescent="0.2">
      <c r="A59" s="124">
        <f t="array" ref="A59">IFERROR(INDEX('Annex 2 EHV charges'!$D$11:$D$260, MATCH(0, IF(ISBLANK('Annex 2 EHV charges'!$D$11:$D$260),1, COUNTIF(A$4:$A58, 'Annex 2 EHV charges'!$D$11:$D$260)), 0)),"")</f>
        <v>664</v>
      </c>
      <c r="B59" s="123">
        <f>IF($A59="","",VLOOKUP($A59,'Annex 2 EHV charges'!$D:$O,2,0))</f>
        <v>664</v>
      </c>
      <c r="C59" s="124">
        <f>IF($A59="","",VLOOKUP($A59,'Annex 2 EHV charges'!$D:$O,3,0))</f>
        <v>1800060809034</v>
      </c>
      <c r="D59" s="123" t="str">
        <f>IF($A59="","",VLOOKUP($A59,'Annex 2 EHV charges'!$D:$O,4,0))</f>
        <v>MuirHall Extension II WF</v>
      </c>
      <c r="E59" s="125" t="str">
        <f>IFERROR(IF(VLOOKUP($A59,'Annex 2 EHV charges'!$D:$O,9,FALSE)=0,"",VLOOKUP($A59,'Annex 2 EHV charges'!$D:$O,9,FALSE)),"")</f>
        <v/>
      </c>
      <c r="F59" s="126">
        <f>IFERROR(IF(VLOOKUP($A59,'Annex 2 EHV charges'!$D:$O,10,FALSE)=0,"",VLOOKUP($A59,'Annex 2 EHV charges'!$D:$O,10,FALSE)),"")</f>
        <v>5266.83</v>
      </c>
      <c r="G59" s="127">
        <f>IFERROR(IF(VLOOKUP($A59,'Annex 2 EHV charges'!$D:$O,11,FALSE)=0,"",VLOOKUP($A59,'Annex 2 EHV charges'!$D:$O,11,FALSE)),"")</f>
        <v>0.05</v>
      </c>
      <c r="H59" s="127">
        <f>IFERROR(IF(VLOOKUP($A59,'Annex 2 EHV charges'!$D:$O,12,FALSE)=0,"",VLOOKUP($A59,'Annex 2 EHV charges'!$D:$O,12,FALSE)),"")</f>
        <v>0.05</v>
      </c>
    </row>
    <row r="60" spans="1:8" ht="12.75" customHeight="1" x14ac:dyDescent="0.2">
      <c r="A60" s="124">
        <f t="array" ref="A60">IFERROR(INDEX('Annex 2 EHV charges'!$D$11:$D$260, MATCH(0, IF(ISBLANK('Annex 2 EHV charges'!$D$11:$D$260),1, COUNTIF(A$4:$A59, 'Annex 2 EHV charges'!$D$11:$D$260)), 0)),"")</f>
        <v>694</v>
      </c>
      <c r="B60" s="123">
        <f>IF($A60="","",VLOOKUP($A60,'Annex 2 EHV charges'!$D:$O,2,0))</f>
        <v>694</v>
      </c>
      <c r="C60" s="124">
        <f>IF($A60="","",VLOOKUP($A60,'Annex 2 EHV charges'!$D:$O,3,0))</f>
        <v>1800060749699</v>
      </c>
      <c r="D60" s="123" t="str">
        <f>IF($A60="","",VLOOKUP($A60,'Annex 2 EHV charges'!$D:$O,4,0))</f>
        <v>Polmadie (Waste energy B)</v>
      </c>
      <c r="E60" s="125">
        <f>IFERROR(IF(VLOOKUP($A60,'Annex 2 EHV charges'!$D:$O,9,FALSE)=0,"",VLOOKUP($A60,'Annex 2 EHV charges'!$D:$O,9,FALSE)),"")</f>
        <v>-0.52200000000000002</v>
      </c>
      <c r="F60" s="126">
        <f>IFERROR(IF(VLOOKUP($A60,'Annex 2 EHV charges'!$D:$O,10,FALSE)=0,"",VLOOKUP($A60,'Annex 2 EHV charges'!$D:$O,10,FALSE)),"")</f>
        <v>2637.22</v>
      </c>
      <c r="G60" s="127">
        <f>IFERROR(IF(VLOOKUP($A60,'Annex 2 EHV charges'!$D:$O,11,FALSE)=0,"",VLOOKUP($A60,'Annex 2 EHV charges'!$D:$O,11,FALSE)),"")</f>
        <v>0.05</v>
      </c>
      <c r="H60" s="127">
        <f>IFERROR(IF(VLOOKUP($A60,'Annex 2 EHV charges'!$D:$O,12,FALSE)=0,"",VLOOKUP($A60,'Annex 2 EHV charges'!$D:$O,12,FALSE)),"")</f>
        <v>0.05</v>
      </c>
    </row>
    <row r="61" spans="1:8" ht="12.75" customHeight="1" x14ac:dyDescent="0.2">
      <c r="A61" s="124">
        <f t="array" ref="A61">IFERROR(INDEX('Annex 2 EHV charges'!$D$11:$D$260, MATCH(0, IF(ISBLANK('Annex 2 EHV charges'!$D$11:$D$260),1, COUNTIF(A$4:$A60, 'Annex 2 EHV charges'!$D$11:$D$260)), 0)),"")</f>
        <v>686</v>
      </c>
      <c r="B61" s="123">
        <f>IF($A61="","",VLOOKUP($A61,'Annex 2 EHV charges'!$D:$O,2,0))</f>
        <v>686</v>
      </c>
      <c r="C61" s="124" t="str">
        <f>IF($A61="","",VLOOKUP($A61,'Annex 2 EHV charges'!$D:$O,3,0))</f>
        <v>TBA</v>
      </c>
      <c r="D61" s="123" t="str">
        <f>IF($A61="","",VLOOKUP($A61,'Annex 2 EHV charges'!$D:$O,4,0))</f>
        <v>Sneddon Law WF</v>
      </c>
      <c r="E61" s="125" t="str">
        <f>IFERROR(IF(VLOOKUP($A61,'Annex 2 EHV charges'!$D:$O,9,FALSE)=0,"",VLOOKUP($A61,'Annex 2 EHV charges'!$D:$O,9,FALSE)),"")</f>
        <v/>
      </c>
      <c r="F61" s="126">
        <f>IFERROR(IF(VLOOKUP($A61,'Annex 2 EHV charges'!$D:$O,10,FALSE)=0,"",VLOOKUP($A61,'Annex 2 EHV charges'!$D:$O,10,FALSE)),"")</f>
        <v>32210.37</v>
      </c>
      <c r="G61" s="127">
        <f>IFERROR(IF(VLOOKUP($A61,'Annex 2 EHV charges'!$D:$O,11,FALSE)=0,"",VLOOKUP($A61,'Annex 2 EHV charges'!$D:$O,11,FALSE)),"")</f>
        <v>0.05</v>
      </c>
      <c r="H61" s="127">
        <f>IFERROR(IF(VLOOKUP($A61,'Annex 2 EHV charges'!$D:$O,12,FALSE)=0,"",VLOOKUP($A61,'Annex 2 EHV charges'!$D:$O,12,FALSE)),"")</f>
        <v>0.05</v>
      </c>
    </row>
    <row r="62" spans="1:8" ht="12.75" customHeight="1" x14ac:dyDescent="0.2">
      <c r="A62" s="124">
        <f t="array" ref="A62">IFERROR(INDEX('Annex 2 EHV charges'!$D$11:$D$260, MATCH(0, IF(ISBLANK('Annex 2 EHV charges'!$D$11:$D$260),1, COUNTIF(A$4:$A61, 'Annex 2 EHV charges'!$D$11:$D$260)), 0)),"")</f>
        <v>706</v>
      </c>
      <c r="B62" s="123">
        <f>IF($A62="","",VLOOKUP($A62,'Annex 2 EHV charges'!$D:$O,2,0))</f>
        <v>706</v>
      </c>
      <c r="C62" s="124">
        <f>IF($A62="","",VLOOKUP($A62,'Annex 2 EHV charges'!$D:$O,3,0))</f>
        <v>1800060749670</v>
      </c>
      <c r="D62" s="123" t="str">
        <f>IF($A62="","",VLOOKUP($A62,'Annex 2 EHV charges'!$D:$O,4,0))</f>
        <v>Polmadie (Waste energy A)</v>
      </c>
      <c r="E62" s="125">
        <f>IFERROR(IF(VLOOKUP($A62,'Annex 2 EHV charges'!$D:$O,9,FALSE)=0,"",VLOOKUP($A62,'Annex 2 EHV charges'!$D:$O,9,FALSE)),"")</f>
        <v>-0.52200000000000002</v>
      </c>
      <c r="F62" s="126">
        <f>IFERROR(IF(VLOOKUP($A62,'Annex 2 EHV charges'!$D:$O,10,FALSE)=0,"",VLOOKUP($A62,'Annex 2 EHV charges'!$D:$O,10,FALSE)),"")</f>
        <v>5463.38</v>
      </c>
      <c r="G62" s="127">
        <f>IFERROR(IF(VLOOKUP($A62,'Annex 2 EHV charges'!$D:$O,11,FALSE)=0,"",VLOOKUP($A62,'Annex 2 EHV charges'!$D:$O,11,FALSE)),"")</f>
        <v>0.05</v>
      </c>
      <c r="H62" s="127">
        <f>IFERROR(IF(VLOOKUP($A62,'Annex 2 EHV charges'!$D:$O,12,FALSE)=0,"",VLOOKUP($A62,'Annex 2 EHV charges'!$D:$O,12,FALSE)),"")</f>
        <v>0.05</v>
      </c>
    </row>
    <row r="63" spans="1:8" ht="12.75" customHeight="1" x14ac:dyDescent="0.2">
      <c r="A63" s="124">
        <f t="array" ref="A63">IFERROR(INDEX('Annex 2 EHV charges'!$D$11:$D$260, MATCH(0, IF(ISBLANK('Annex 2 EHV charges'!$D$11:$D$260),1, COUNTIF(A$4:$A62, 'Annex 2 EHV charges'!$D$11:$D$260)), 0)),"")</f>
        <v>673</v>
      </c>
      <c r="B63" s="123">
        <f>IF($A63="","",VLOOKUP($A63,'Annex 2 EHV charges'!$D:$O,2,0))</f>
        <v>673</v>
      </c>
      <c r="C63" s="124">
        <f>IF($A63="","",VLOOKUP($A63,'Annex 2 EHV charges'!$D:$O,3,0))</f>
        <v>1800060450490</v>
      </c>
      <c r="D63" s="123" t="str">
        <f>IF($A63="","",VLOOKUP($A63,'Annex 2 EHV charges'!$D:$O,4,0))</f>
        <v>Millour Hill</v>
      </c>
      <c r="E63" s="125" t="str">
        <f>IFERROR(IF(VLOOKUP($A63,'Annex 2 EHV charges'!$D:$O,9,FALSE)=0,"",VLOOKUP($A63,'Annex 2 EHV charges'!$D:$O,9,FALSE)),"")</f>
        <v/>
      </c>
      <c r="F63" s="126">
        <f>IFERROR(IF(VLOOKUP($A63,'Annex 2 EHV charges'!$D:$O,10,FALSE)=0,"",VLOOKUP($A63,'Annex 2 EHV charges'!$D:$O,10,FALSE)),"")</f>
        <v>16418.25</v>
      </c>
      <c r="G63" s="127">
        <f>IFERROR(IF(VLOOKUP($A63,'Annex 2 EHV charges'!$D:$O,11,FALSE)=0,"",VLOOKUP($A63,'Annex 2 EHV charges'!$D:$O,11,FALSE)),"")</f>
        <v>0.05</v>
      </c>
      <c r="H63" s="127">
        <f>IFERROR(IF(VLOOKUP($A63,'Annex 2 EHV charges'!$D:$O,12,FALSE)=0,"",VLOOKUP($A63,'Annex 2 EHV charges'!$D:$O,12,FALSE)),"")</f>
        <v>0.05</v>
      </c>
    </row>
    <row r="64" spans="1:8" ht="12.75" customHeight="1" x14ac:dyDescent="0.2">
      <c r="A64" s="124">
        <f t="array" ref="A64">IFERROR(INDEX('Annex 2 EHV charges'!$D$11:$D$260, MATCH(0, IF(ISBLANK('Annex 2 EHV charges'!$D$11:$D$260),1, COUNTIF(A$4:$A63, 'Annex 2 EHV charges'!$D$11:$D$260)), 0)),"")</f>
        <v>674</v>
      </c>
      <c r="B64" s="123">
        <f>IF($A64="","",VLOOKUP($A64,'Annex 2 EHV charges'!$D:$O,2,0))</f>
        <v>674</v>
      </c>
      <c r="C64" s="124">
        <f>IF($A64="","",VLOOKUP($A64,'Annex 2 EHV charges'!$D:$O,3,0))</f>
        <v>1800060441399</v>
      </c>
      <c r="D64" s="123" t="str">
        <f>IF($A64="","",VLOOKUP($A64,'Annex 2 EHV charges'!$D:$O,4,0))</f>
        <v>Glenkerie</v>
      </c>
      <c r="E64" s="125" t="str">
        <f>IFERROR(IF(VLOOKUP($A64,'Annex 2 EHV charges'!$D:$O,9,FALSE)=0,"",VLOOKUP($A64,'Annex 2 EHV charges'!$D:$O,9,FALSE)),"")</f>
        <v/>
      </c>
      <c r="F64" s="126">
        <f>IFERROR(IF(VLOOKUP($A64,'Annex 2 EHV charges'!$D:$O,10,FALSE)=0,"",VLOOKUP($A64,'Annex 2 EHV charges'!$D:$O,10,FALSE)),"")</f>
        <v>16362.26</v>
      </c>
      <c r="G64" s="127">
        <f>IFERROR(IF(VLOOKUP($A64,'Annex 2 EHV charges'!$D:$O,11,FALSE)=0,"",VLOOKUP($A64,'Annex 2 EHV charges'!$D:$O,11,FALSE)),"")</f>
        <v>0.05</v>
      </c>
      <c r="H64" s="127">
        <f>IFERROR(IF(VLOOKUP($A64,'Annex 2 EHV charges'!$D:$O,12,FALSE)=0,"",VLOOKUP($A64,'Annex 2 EHV charges'!$D:$O,12,FALSE)),"")</f>
        <v>0.05</v>
      </c>
    </row>
    <row r="65" spans="1:8" ht="12.75" customHeight="1" x14ac:dyDescent="0.2">
      <c r="A65" s="124">
        <f t="array" ref="A65">IFERROR(INDEX('Annex 2 EHV charges'!$D$11:$D$260, MATCH(0, IF(ISBLANK('Annex 2 EHV charges'!$D$11:$D$260),1, COUNTIF(A$4:$A64, 'Annex 2 EHV charges'!$D$11:$D$260)), 0)),"")</f>
        <v>675</v>
      </c>
      <c r="B65" s="123">
        <f>IF($A65="","",VLOOKUP($A65,'Annex 2 EHV charges'!$D:$O,2,0))</f>
        <v>675</v>
      </c>
      <c r="C65" s="124">
        <f>IF($A65="","",VLOOKUP($A65,'Annex 2 EHV charges'!$D:$O,3,0))</f>
        <v>1800060450533</v>
      </c>
      <c r="D65" s="123" t="str">
        <f>IF($A65="","",VLOOKUP($A65,'Annex 2 EHV charges'!$D:$O,4,0))</f>
        <v>Kelburn (A)</v>
      </c>
      <c r="E65" s="125" t="str">
        <f>IFERROR(IF(VLOOKUP($A65,'Annex 2 EHV charges'!$D:$O,9,FALSE)=0,"",VLOOKUP($A65,'Annex 2 EHV charges'!$D:$O,9,FALSE)),"")</f>
        <v/>
      </c>
      <c r="F65" s="126">
        <f>IFERROR(IF(VLOOKUP($A65,'Annex 2 EHV charges'!$D:$O,10,FALSE)=0,"",VLOOKUP($A65,'Annex 2 EHV charges'!$D:$O,10,FALSE)),"")</f>
        <v>9731.36</v>
      </c>
      <c r="G65" s="127">
        <f>IFERROR(IF(VLOOKUP($A65,'Annex 2 EHV charges'!$D:$O,11,FALSE)=0,"",VLOOKUP($A65,'Annex 2 EHV charges'!$D:$O,11,FALSE)),"")</f>
        <v>0.05</v>
      </c>
      <c r="H65" s="127">
        <f>IFERROR(IF(VLOOKUP($A65,'Annex 2 EHV charges'!$D:$O,12,FALSE)=0,"",VLOOKUP($A65,'Annex 2 EHV charges'!$D:$O,12,FALSE)),"")</f>
        <v>0.05</v>
      </c>
    </row>
    <row r="66" spans="1:8" ht="12.75" customHeight="1" x14ac:dyDescent="0.2">
      <c r="A66" s="124">
        <f t="array" ref="A66">IFERROR(INDEX('Annex 2 EHV charges'!$D$11:$D$260, MATCH(0, IF(ISBLANK('Annex 2 EHV charges'!$D$11:$D$260),1, COUNTIF(A$4:$A65, 'Annex 2 EHV charges'!$D$11:$D$260)), 0)),"")</f>
        <v>676</v>
      </c>
      <c r="B66" s="123">
        <f>IF($A66="","",VLOOKUP($A66,'Annex 2 EHV charges'!$D:$O,2,0))</f>
        <v>676</v>
      </c>
      <c r="C66" s="124">
        <f>IF($A66="","",VLOOKUP($A66,'Annex 2 EHV charges'!$D:$O,3,0))</f>
        <v>1800060450551</v>
      </c>
      <c r="D66" s="123" t="str">
        <f>IF($A66="","",VLOOKUP($A66,'Annex 2 EHV charges'!$D:$O,4,0))</f>
        <v>Kelburn (B)</v>
      </c>
      <c r="E66" s="125" t="str">
        <f>IFERROR(IF(VLOOKUP($A66,'Annex 2 EHV charges'!$D:$O,9,FALSE)=0,"",VLOOKUP($A66,'Annex 2 EHV charges'!$D:$O,9,FALSE)),"")</f>
        <v/>
      </c>
      <c r="F66" s="126">
        <f>IFERROR(IF(VLOOKUP($A66,'Annex 2 EHV charges'!$D:$O,10,FALSE)=0,"",VLOOKUP($A66,'Annex 2 EHV charges'!$D:$O,10,FALSE)),"")</f>
        <v>9731.36</v>
      </c>
      <c r="G66" s="127">
        <f>IFERROR(IF(VLOOKUP($A66,'Annex 2 EHV charges'!$D:$O,11,FALSE)=0,"",VLOOKUP($A66,'Annex 2 EHV charges'!$D:$O,11,FALSE)),"")</f>
        <v>0.05</v>
      </c>
      <c r="H66" s="127">
        <f>IFERROR(IF(VLOOKUP($A66,'Annex 2 EHV charges'!$D:$O,12,FALSE)=0,"",VLOOKUP($A66,'Annex 2 EHV charges'!$D:$O,12,FALSE)),"")</f>
        <v>0.05</v>
      </c>
    </row>
    <row r="67" spans="1:8" ht="12.75" customHeight="1" x14ac:dyDescent="0.2">
      <c r="A67" s="124">
        <f t="array" ref="A67">IFERROR(INDEX('Annex 2 EHV charges'!$D$11:$D$260, MATCH(0, IF(ISBLANK('Annex 2 EHV charges'!$D$11:$D$260),1, COUNTIF(A$4:$A66, 'Annex 2 EHV charges'!$D$11:$D$260)), 0)),"")</f>
        <v>677</v>
      </c>
      <c r="B67" s="123">
        <f>IF($A67="","",VLOOKUP($A67,'Annex 2 EHV charges'!$D:$O,2,0))</f>
        <v>677</v>
      </c>
      <c r="C67" s="124">
        <f>IF($A67="","",VLOOKUP($A67,'Annex 2 EHV charges'!$D:$O,3,0))</f>
        <v>1800060450515</v>
      </c>
      <c r="D67" s="123" t="str">
        <f>IF($A67="","",VLOOKUP($A67,'Annex 2 EHV charges'!$D:$O,4,0))</f>
        <v>Little Raith</v>
      </c>
      <c r="E67" s="125" t="str">
        <f>IFERROR(IF(VLOOKUP($A67,'Annex 2 EHV charges'!$D:$O,9,FALSE)=0,"",VLOOKUP($A67,'Annex 2 EHV charges'!$D:$O,9,FALSE)),"")</f>
        <v/>
      </c>
      <c r="F67" s="126">
        <f>IFERROR(IF(VLOOKUP($A67,'Annex 2 EHV charges'!$D:$O,10,FALSE)=0,"",VLOOKUP($A67,'Annex 2 EHV charges'!$D:$O,10,FALSE)),"")</f>
        <v>5879.86</v>
      </c>
      <c r="G67" s="127">
        <f>IFERROR(IF(VLOOKUP($A67,'Annex 2 EHV charges'!$D:$O,11,FALSE)=0,"",VLOOKUP($A67,'Annex 2 EHV charges'!$D:$O,11,FALSE)),"")</f>
        <v>0.05</v>
      </c>
      <c r="H67" s="127">
        <f>IFERROR(IF(VLOOKUP($A67,'Annex 2 EHV charges'!$D:$O,12,FALSE)=0,"",VLOOKUP($A67,'Annex 2 EHV charges'!$D:$O,12,FALSE)),"")</f>
        <v>0.05</v>
      </c>
    </row>
    <row r="68" spans="1:8" ht="12.75" customHeight="1" x14ac:dyDescent="0.2">
      <c r="A68" s="124">
        <f t="array" ref="A68">IFERROR(INDEX('Annex 2 EHV charges'!$D$11:$D$260, MATCH(0, IF(ISBLANK('Annex 2 EHV charges'!$D$11:$D$260),1, COUNTIF(A$4:$A67, 'Annex 2 EHV charges'!$D$11:$D$260)), 0)),"")</f>
        <v>678</v>
      </c>
      <c r="B68" s="123">
        <f>IF($A68="","",VLOOKUP($A68,'Annex 2 EHV charges'!$D:$O,2,0))</f>
        <v>678</v>
      </c>
      <c r="C68" s="124">
        <f>IF($A68="","",VLOOKUP($A68,'Annex 2 EHV charges'!$D:$O,3,0))</f>
        <v>1800060445659</v>
      </c>
      <c r="D68" s="123" t="str">
        <f>IF($A68="","",VLOOKUP($A68,'Annex 2 EHV charges'!$D:$O,4,0))</f>
        <v>Drone Hill</v>
      </c>
      <c r="E68" s="125" t="str">
        <f>IFERROR(IF(VLOOKUP($A68,'Annex 2 EHV charges'!$D:$O,9,FALSE)=0,"",VLOOKUP($A68,'Annex 2 EHV charges'!$D:$O,9,FALSE)),"")</f>
        <v/>
      </c>
      <c r="F68" s="126">
        <f>IFERROR(IF(VLOOKUP($A68,'Annex 2 EHV charges'!$D:$O,10,FALSE)=0,"",VLOOKUP($A68,'Annex 2 EHV charges'!$D:$O,10,FALSE)),"")</f>
        <v>28985.11</v>
      </c>
      <c r="G68" s="127">
        <f>IFERROR(IF(VLOOKUP($A68,'Annex 2 EHV charges'!$D:$O,11,FALSE)=0,"",VLOOKUP($A68,'Annex 2 EHV charges'!$D:$O,11,FALSE)),"")</f>
        <v>0.05</v>
      </c>
      <c r="H68" s="127">
        <f>IFERROR(IF(VLOOKUP($A68,'Annex 2 EHV charges'!$D:$O,12,FALSE)=0,"",VLOOKUP($A68,'Annex 2 EHV charges'!$D:$O,12,FALSE)),"")</f>
        <v>0.05</v>
      </c>
    </row>
    <row r="69" spans="1:8" ht="12.75" customHeight="1" x14ac:dyDescent="0.2">
      <c r="A69" s="124">
        <f t="array" ref="A69">IFERROR(INDEX('Annex 2 EHV charges'!$D$11:$D$260, MATCH(0, IF(ISBLANK('Annex 2 EHV charges'!$D$11:$D$260),1, COUNTIF(A$4:$A68, 'Annex 2 EHV charges'!$D$11:$D$260)), 0)),"")</f>
        <v>680</v>
      </c>
      <c r="B69" s="123">
        <f>IF($A69="","",VLOOKUP($A69,'Annex 2 EHV charges'!$D:$O,2,0))</f>
        <v>680</v>
      </c>
      <c r="C69" s="124">
        <f>IF($A69="","",VLOOKUP($A69,'Annex 2 EHV charges'!$D:$O,3,0))</f>
        <v>1800060845821</v>
      </c>
      <c r="D69" s="123" t="str">
        <f>IF($A69="","",VLOOKUP($A69,'Annex 2 EHV charges'!$D:$O,4,0))</f>
        <v>Pearie Law Wind Farm</v>
      </c>
      <c r="E69" s="125" t="str">
        <f>IFERROR(IF(VLOOKUP($A69,'Annex 2 EHV charges'!$D:$O,9,FALSE)=0,"",VLOOKUP($A69,'Annex 2 EHV charges'!$D:$O,9,FALSE)),"")</f>
        <v/>
      </c>
      <c r="F69" s="126">
        <f>IFERROR(IF(VLOOKUP($A69,'Annex 2 EHV charges'!$D:$O,10,FALSE)=0,"",VLOOKUP($A69,'Annex 2 EHV charges'!$D:$O,10,FALSE)),"")</f>
        <v>17595.32</v>
      </c>
      <c r="G69" s="127">
        <f>IFERROR(IF(VLOOKUP($A69,'Annex 2 EHV charges'!$D:$O,11,FALSE)=0,"",VLOOKUP($A69,'Annex 2 EHV charges'!$D:$O,11,FALSE)),"")</f>
        <v>0.05</v>
      </c>
      <c r="H69" s="127">
        <f>IFERROR(IF(VLOOKUP($A69,'Annex 2 EHV charges'!$D:$O,12,FALSE)=0,"",VLOOKUP($A69,'Annex 2 EHV charges'!$D:$O,12,FALSE)),"")</f>
        <v>0.05</v>
      </c>
    </row>
    <row r="70" spans="1:8" ht="12.75" customHeight="1" x14ac:dyDescent="0.2">
      <c r="A70" s="124">
        <f t="array" ref="A70">IFERROR(INDEX('Annex 2 EHV charges'!$D$11:$D$260, MATCH(0, IF(ISBLANK('Annex 2 EHV charges'!$D$11:$D$260),1, COUNTIF(A$4:$A69, 'Annex 2 EHV charges'!$D$11:$D$260)), 0)),"")</f>
        <v>701</v>
      </c>
      <c r="B70" s="123">
        <f>IF($A70="","",VLOOKUP($A70,'Annex 2 EHV charges'!$D:$O,2,0))</f>
        <v>701</v>
      </c>
      <c r="C70" s="124">
        <f>IF($A70="","",VLOOKUP($A70,'Annex 2 EHV charges'!$D:$O,3,0))</f>
        <v>1800060673231</v>
      </c>
      <c r="D70" s="123" t="str">
        <f>IF($A70="","",VLOOKUP($A70,'Annex 2 EHV charges'!$D:$O,4,0))</f>
        <v>Earlseat WF</v>
      </c>
      <c r="E70" s="125" t="str">
        <f>IFERROR(IF(VLOOKUP($A70,'Annex 2 EHV charges'!$D:$O,9,FALSE)=0,"",VLOOKUP($A70,'Annex 2 EHV charges'!$D:$O,9,FALSE)),"")</f>
        <v/>
      </c>
      <c r="F70" s="126">
        <f>IFERROR(IF(VLOOKUP($A70,'Annex 2 EHV charges'!$D:$O,10,FALSE)=0,"",VLOOKUP($A70,'Annex 2 EHV charges'!$D:$O,10,FALSE)),"")</f>
        <v>13265.73</v>
      </c>
      <c r="G70" s="127">
        <f>IFERROR(IF(VLOOKUP($A70,'Annex 2 EHV charges'!$D:$O,11,FALSE)=0,"",VLOOKUP($A70,'Annex 2 EHV charges'!$D:$O,11,FALSE)),"")</f>
        <v>0.05</v>
      </c>
      <c r="H70" s="127">
        <f>IFERROR(IF(VLOOKUP($A70,'Annex 2 EHV charges'!$D:$O,12,FALSE)=0,"",VLOOKUP($A70,'Annex 2 EHV charges'!$D:$O,12,FALSE)),"")</f>
        <v>0.05</v>
      </c>
    </row>
    <row r="71" spans="1:8" ht="12.75" customHeight="1" x14ac:dyDescent="0.2">
      <c r="A71" s="124">
        <f t="array" ref="A71">IFERROR(INDEX('Annex 2 EHV charges'!$D$11:$D$260, MATCH(0, IF(ISBLANK('Annex 2 EHV charges'!$D$11:$D$260),1, COUNTIF(A$4:$A70, 'Annex 2 EHV charges'!$D$11:$D$260)), 0)),"")</f>
        <v>702</v>
      </c>
      <c r="B71" s="123">
        <f>IF($A71="","",VLOOKUP($A71,'Annex 2 EHV charges'!$D:$O,2,0))</f>
        <v>702</v>
      </c>
      <c r="C71" s="124">
        <f>IF($A71="","",VLOOKUP($A71,'Annex 2 EHV charges'!$D:$O,3,0))</f>
        <v>1800060740297</v>
      </c>
      <c r="D71" s="123" t="str">
        <f>IF($A71="","",VLOOKUP($A71,'Annex 2 EHV charges'!$D:$O,4,0))</f>
        <v>Dungavel WF</v>
      </c>
      <c r="E71" s="125" t="str">
        <f>IFERROR(IF(VLOOKUP($A71,'Annex 2 EHV charges'!$D:$O,9,FALSE)=0,"",VLOOKUP($A71,'Annex 2 EHV charges'!$D:$O,9,FALSE)),"")</f>
        <v/>
      </c>
      <c r="F71" s="126">
        <f>IFERROR(IF(VLOOKUP($A71,'Annex 2 EHV charges'!$D:$O,10,FALSE)=0,"",VLOOKUP($A71,'Annex 2 EHV charges'!$D:$O,10,FALSE)),"")</f>
        <v>34906.22</v>
      </c>
      <c r="G71" s="127">
        <f>IFERROR(IF(VLOOKUP($A71,'Annex 2 EHV charges'!$D:$O,11,FALSE)=0,"",VLOOKUP($A71,'Annex 2 EHV charges'!$D:$O,11,FALSE)),"")</f>
        <v>0.05</v>
      </c>
      <c r="H71" s="127">
        <f>IFERROR(IF(VLOOKUP($A71,'Annex 2 EHV charges'!$D:$O,12,FALSE)=0,"",VLOOKUP($A71,'Annex 2 EHV charges'!$D:$O,12,FALSE)),"")</f>
        <v>0.05</v>
      </c>
    </row>
    <row r="72" spans="1:8" ht="12.75" customHeight="1" x14ac:dyDescent="0.2">
      <c r="A72" s="124">
        <f t="array" ref="A72">IFERROR(INDEX('Annex 2 EHV charges'!$D$11:$D$260, MATCH(0, IF(ISBLANK('Annex 2 EHV charges'!$D$11:$D$260),1, COUNTIF(A$4:$A71, 'Annex 2 EHV charges'!$D$11:$D$260)), 0)),"")</f>
        <v>687</v>
      </c>
      <c r="B72" s="123">
        <f>IF($A72="","",VLOOKUP($A72,'Annex 2 EHV charges'!$D:$O,2,0))</f>
        <v>687</v>
      </c>
      <c r="C72" s="124">
        <f>IF($A72="","",VLOOKUP($A72,'Annex 2 EHV charges'!$D:$O,3,0))</f>
        <v>1800060769747</v>
      </c>
      <c r="D72" s="123" t="str">
        <f>IF($A72="","",VLOOKUP($A72,'Annex 2 EHV charges'!$D:$O,4,0))</f>
        <v>Burnhead Bathgate WF</v>
      </c>
      <c r="E72" s="125" t="str">
        <f>IFERROR(IF(VLOOKUP($A72,'Annex 2 EHV charges'!$D:$O,9,FALSE)=0,"",VLOOKUP($A72,'Annex 2 EHV charges'!$D:$O,9,FALSE)),"")</f>
        <v/>
      </c>
      <c r="F72" s="126">
        <f>IFERROR(IF(VLOOKUP($A72,'Annex 2 EHV charges'!$D:$O,10,FALSE)=0,"",VLOOKUP($A72,'Annex 2 EHV charges'!$D:$O,10,FALSE)),"")</f>
        <v>4712.99</v>
      </c>
      <c r="G72" s="127">
        <f>IFERROR(IF(VLOOKUP($A72,'Annex 2 EHV charges'!$D:$O,11,FALSE)=0,"",VLOOKUP($A72,'Annex 2 EHV charges'!$D:$O,11,FALSE)),"")</f>
        <v>0.05</v>
      </c>
      <c r="H72" s="127">
        <f>IFERROR(IF(VLOOKUP($A72,'Annex 2 EHV charges'!$D:$O,12,FALSE)=0,"",VLOOKUP($A72,'Annex 2 EHV charges'!$D:$O,12,FALSE)),"")</f>
        <v>0.05</v>
      </c>
    </row>
    <row r="73" spans="1:8" ht="12.75" customHeight="1" x14ac:dyDescent="0.2">
      <c r="A73" s="124">
        <f t="array" ref="A73">IFERROR(INDEX('Annex 2 EHV charges'!$D$11:$D$260, MATCH(0, IF(ISBLANK('Annex 2 EHV charges'!$D$11:$D$260),1, COUNTIF(A$4:$A72, 'Annex 2 EHV charges'!$D$11:$D$260)), 0)),"")</f>
        <v>679</v>
      </c>
      <c r="B73" s="123">
        <f>IF($A73="","",VLOOKUP($A73,'Annex 2 EHV charges'!$D:$O,2,0))</f>
        <v>679</v>
      </c>
      <c r="C73" s="124">
        <f>IF($A73="","",VLOOKUP($A73,'Annex 2 EHV charges'!$D:$O,3,0))</f>
        <v>1800060683709</v>
      </c>
      <c r="D73" s="123" t="str">
        <f>IF($A73="","",VLOOKUP($A73,'Annex 2 EHV charges'!$D:$O,4,0))</f>
        <v>Ardoch &amp; Over Enoch WF</v>
      </c>
      <c r="E73" s="125" t="str">
        <f>IFERROR(IF(VLOOKUP($A73,'Annex 2 EHV charges'!$D:$O,9,FALSE)=0,"",VLOOKUP($A73,'Annex 2 EHV charges'!$D:$O,9,FALSE)),"")</f>
        <v/>
      </c>
      <c r="F73" s="126">
        <f>IFERROR(IF(VLOOKUP($A73,'Annex 2 EHV charges'!$D:$O,10,FALSE)=0,"",VLOOKUP($A73,'Annex 2 EHV charges'!$D:$O,10,FALSE)),"")</f>
        <v>13352.2</v>
      </c>
      <c r="G73" s="127">
        <f>IFERROR(IF(VLOOKUP($A73,'Annex 2 EHV charges'!$D:$O,11,FALSE)=0,"",VLOOKUP($A73,'Annex 2 EHV charges'!$D:$O,11,FALSE)),"")</f>
        <v>0.05</v>
      </c>
      <c r="H73" s="127">
        <f>IFERROR(IF(VLOOKUP($A73,'Annex 2 EHV charges'!$D:$O,12,FALSE)=0,"",VLOOKUP($A73,'Annex 2 EHV charges'!$D:$O,12,FALSE)),"")</f>
        <v>0.05</v>
      </c>
    </row>
    <row r="74" spans="1:8" ht="12.75" customHeight="1" x14ac:dyDescent="0.2">
      <c r="A74" s="124">
        <f t="array" ref="A74">IFERROR(INDEX('Annex 2 EHV charges'!$D$11:$D$260, MATCH(0, IF(ISBLANK('Annex 2 EHV charges'!$D$11:$D$260),1, COUNTIF(A$4:$A73, 'Annex 2 EHV charges'!$D$11:$D$260)), 0)),"")</f>
        <v>623</v>
      </c>
      <c r="B74" s="123">
        <f>IF($A74="","",VLOOKUP($A74,'Annex 2 EHV charges'!$D:$O,2,0))</f>
        <v>623</v>
      </c>
      <c r="C74" s="124" t="str">
        <f>IF($A74="","",VLOOKUP($A74,'Annex 2 EHV charges'!$D:$O,3,0))</f>
        <v>TBA</v>
      </c>
      <c r="D74" s="123" t="str">
        <f>IF($A74="","",VLOOKUP($A74,'Annex 2 EHV charges'!$D:$O,4,0))</f>
        <v>Muirpark Wind Farm</v>
      </c>
      <c r="E74" s="125" t="str">
        <f>IFERROR(IF(VLOOKUP($A74,'Annex 2 EHV charges'!$D:$O,9,FALSE)=0,"",VLOOKUP($A74,'Annex 2 EHV charges'!$D:$O,9,FALSE)),"")</f>
        <v/>
      </c>
      <c r="F74" s="126">
        <f>IFERROR(IF(VLOOKUP($A74,'Annex 2 EHV charges'!$D:$O,10,FALSE)=0,"",VLOOKUP($A74,'Annex 2 EHV charges'!$D:$O,10,FALSE)),"")</f>
        <v>17419.689999999999</v>
      </c>
      <c r="G74" s="127">
        <f>IFERROR(IF(VLOOKUP($A74,'Annex 2 EHV charges'!$D:$O,11,FALSE)=0,"",VLOOKUP($A74,'Annex 2 EHV charges'!$D:$O,11,FALSE)),"")</f>
        <v>0.05</v>
      </c>
      <c r="H74" s="127">
        <f>IFERROR(IF(VLOOKUP($A74,'Annex 2 EHV charges'!$D:$O,12,FALSE)=0,"",VLOOKUP($A74,'Annex 2 EHV charges'!$D:$O,12,FALSE)),"")</f>
        <v>0.05</v>
      </c>
    </row>
    <row r="75" spans="1:8" ht="12.75" customHeight="1" x14ac:dyDescent="0.2">
      <c r="A75" s="124" t="str">
        <f t="array" ref="A75">IFERROR(INDEX('Annex 2 EHV charges'!$D$11:$D$260, MATCH(0, IF(ISBLANK('Annex 2 EHV charges'!$D$11:$D$260),1, COUNTIF(A$4:$A74, 'Annex 2 EHV charges'!$D$11:$D$260)), 0)),"")</f>
        <v>MSID 8732</v>
      </c>
      <c r="B75" s="123" t="str">
        <f>IF($A75="","",VLOOKUP($A75,'Annex 2 EHV charges'!$D:$O,2,0))</f>
        <v>MSID 8732</v>
      </c>
      <c r="C75" s="124" t="str">
        <f>IF($A75="","",VLOOKUP($A75,'Annex 2 EHV charges'!$D:$O,3,0))</f>
        <v>MSID 8732</v>
      </c>
      <c r="D75" s="123" t="str">
        <f>IF($A75="","",VLOOKUP($A75,'Annex 2 EHV charges'!$D:$O,4,0))</f>
        <v>Glenchamber</v>
      </c>
      <c r="E75" s="125" t="str">
        <f>IFERROR(IF(VLOOKUP($A75,'Annex 2 EHV charges'!$D:$O,9,FALSE)=0,"",VLOOKUP($A75,'Annex 2 EHV charges'!$D:$O,9,FALSE)),"")</f>
        <v/>
      </c>
      <c r="F75" s="126">
        <f>IFERROR(IF(VLOOKUP($A75,'Annex 2 EHV charges'!$D:$O,10,FALSE)=0,"",VLOOKUP($A75,'Annex 2 EHV charges'!$D:$O,10,FALSE)),"")</f>
        <v>15974.55</v>
      </c>
      <c r="G75" s="127">
        <f>IFERROR(IF(VLOOKUP($A75,'Annex 2 EHV charges'!$D:$O,11,FALSE)=0,"",VLOOKUP($A75,'Annex 2 EHV charges'!$D:$O,11,FALSE)),"")</f>
        <v>0.05</v>
      </c>
      <c r="H75" s="127">
        <f>IFERROR(IF(VLOOKUP($A75,'Annex 2 EHV charges'!$D:$O,12,FALSE)=0,"",VLOOKUP($A75,'Annex 2 EHV charges'!$D:$O,12,FALSE)),"")</f>
        <v>0.05</v>
      </c>
    </row>
    <row r="76" spans="1:8" ht="12.75" customHeight="1" x14ac:dyDescent="0.2">
      <c r="A76" s="124">
        <f t="array" ref="A76">IFERROR(INDEX('Annex 2 EHV charges'!$D$11:$D$260, MATCH(0, IF(ISBLANK('Annex 2 EHV charges'!$D$11:$D$260),1, COUNTIF(A$4:$A75, 'Annex 2 EHV charges'!$D$11:$D$260)), 0)),"")</f>
        <v>708</v>
      </c>
      <c r="B76" s="123">
        <f>IF($A76="","",VLOOKUP($A76,'Annex 2 EHV charges'!$D:$O,2,0))</f>
        <v>708</v>
      </c>
      <c r="C76" s="124">
        <f>IF($A76="","",VLOOKUP($A76,'Annex 2 EHV charges'!$D:$O,3,0))</f>
        <v>1800060819282</v>
      </c>
      <c r="D76" s="123" t="str">
        <f>IF($A76="","",VLOOKUP($A76,'Annex 2 EHV charges'!$D:$O,4,0))</f>
        <v>Penmansheill</v>
      </c>
      <c r="E76" s="125" t="str">
        <f>IFERROR(IF(VLOOKUP($A76,'Annex 2 EHV charges'!$D:$O,9,FALSE)=0,"",VLOOKUP($A76,'Annex 2 EHV charges'!$D:$O,9,FALSE)),"")</f>
        <v/>
      </c>
      <c r="F76" s="126">
        <f>IFERROR(IF(VLOOKUP($A76,'Annex 2 EHV charges'!$D:$O,10,FALSE)=0,"",VLOOKUP($A76,'Annex 2 EHV charges'!$D:$O,10,FALSE)),"")</f>
        <v>39549.89</v>
      </c>
      <c r="G76" s="127">
        <f>IFERROR(IF(VLOOKUP($A76,'Annex 2 EHV charges'!$D:$O,11,FALSE)=0,"",VLOOKUP($A76,'Annex 2 EHV charges'!$D:$O,11,FALSE)),"")</f>
        <v>0.05</v>
      </c>
      <c r="H76" s="127">
        <f>IFERROR(IF(VLOOKUP($A76,'Annex 2 EHV charges'!$D:$O,12,FALSE)=0,"",VLOOKUP($A76,'Annex 2 EHV charges'!$D:$O,12,FALSE)),"")</f>
        <v>0.05</v>
      </c>
    </row>
    <row r="77" spans="1:8" ht="12.75" customHeight="1" x14ac:dyDescent="0.2">
      <c r="A77" s="124">
        <f t="array" ref="A77">IFERROR(INDEX('Annex 2 EHV charges'!$D$11:$D$260, MATCH(0, IF(ISBLANK('Annex 2 EHV charges'!$D$11:$D$260),1, COUNTIF(A$4:$A76, 'Annex 2 EHV charges'!$D$11:$D$260)), 0)),"")</f>
        <v>668</v>
      </c>
      <c r="B77" s="123">
        <f>IF($A77="","",VLOOKUP($A77,'Annex 2 EHV charges'!$D:$O,2,0))</f>
        <v>668</v>
      </c>
      <c r="C77" s="124">
        <f>IF($A77="","",VLOOKUP($A77,'Annex 2 EHV charges'!$D:$O,3,0))</f>
        <v>1800060863732</v>
      </c>
      <c r="D77" s="123" t="str">
        <f>IF($A77="","",VLOOKUP($A77,'Annex 2 EHV charges'!$D:$O,4,0))</f>
        <v>Tormywheel</v>
      </c>
      <c r="E77" s="125" t="str">
        <f>IFERROR(IF(VLOOKUP($A77,'Annex 2 EHV charges'!$D:$O,9,FALSE)=0,"",VLOOKUP($A77,'Annex 2 EHV charges'!$D:$O,9,FALSE)),"")</f>
        <v/>
      </c>
      <c r="F77" s="126">
        <f>IFERROR(IF(VLOOKUP($A77,'Annex 2 EHV charges'!$D:$O,10,FALSE)=0,"",VLOOKUP($A77,'Annex 2 EHV charges'!$D:$O,10,FALSE)),"")</f>
        <v>11413.87</v>
      </c>
      <c r="G77" s="127">
        <f>IFERROR(IF(VLOOKUP($A77,'Annex 2 EHV charges'!$D:$O,11,FALSE)=0,"",VLOOKUP($A77,'Annex 2 EHV charges'!$D:$O,11,FALSE)),"")</f>
        <v>0.05</v>
      </c>
      <c r="H77" s="127">
        <f>IFERROR(IF(VLOOKUP($A77,'Annex 2 EHV charges'!$D:$O,12,FALSE)=0,"",VLOOKUP($A77,'Annex 2 EHV charges'!$D:$O,12,FALSE)),"")</f>
        <v>0.05</v>
      </c>
    </row>
    <row r="78" spans="1:8" ht="12.75" customHeight="1" x14ac:dyDescent="0.2">
      <c r="A78" s="124">
        <f t="array" ref="A78">IFERROR(INDEX('Annex 2 EHV charges'!$D$11:$D$260, MATCH(0, IF(ISBLANK('Annex 2 EHV charges'!$D$11:$D$260),1, COUNTIF(A$4:$A77, 'Annex 2 EHV charges'!$D$11:$D$260)), 0)),"")</f>
        <v>669</v>
      </c>
      <c r="B78" s="123">
        <f>IF($A78="","",VLOOKUP($A78,'Annex 2 EHV charges'!$D:$O,2,0))</f>
        <v>669</v>
      </c>
      <c r="C78" s="124">
        <f>IF($A78="","",VLOOKUP($A78,'Annex 2 EHV charges'!$D:$O,3,0))</f>
        <v>1800060872764</v>
      </c>
      <c r="D78" s="123" t="str">
        <f>IF($A78="","",VLOOKUP($A78,'Annex 2 EHV charges'!$D:$O,4,0))</f>
        <v>Quixwood Wind Farm</v>
      </c>
      <c r="E78" s="125" t="str">
        <f>IFERROR(IF(VLOOKUP($A78,'Annex 2 EHV charges'!$D:$O,9,FALSE)=0,"",VLOOKUP($A78,'Annex 2 EHV charges'!$D:$O,9,FALSE)),"")</f>
        <v/>
      </c>
      <c r="F78" s="126">
        <f>IFERROR(IF(VLOOKUP($A78,'Annex 2 EHV charges'!$D:$O,10,FALSE)=0,"",VLOOKUP($A78,'Annex 2 EHV charges'!$D:$O,10,FALSE)),"")</f>
        <v>29825.51</v>
      </c>
      <c r="G78" s="127">
        <f>IFERROR(IF(VLOOKUP($A78,'Annex 2 EHV charges'!$D:$O,11,FALSE)=0,"",VLOOKUP($A78,'Annex 2 EHV charges'!$D:$O,11,FALSE)),"")</f>
        <v>0.05</v>
      </c>
      <c r="H78" s="127">
        <f>IFERROR(IF(VLOOKUP($A78,'Annex 2 EHV charges'!$D:$O,12,FALSE)=0,"",VLOOKUP($A78,'Annex 2 EHV charges'!$D:$O,12,FALSE)),"")</f>
        <v>0.05</v>
      </c>
    </row>
    <row r="79" spans="1:8" ht="12.75" customHeight="1" x14ac:dyDescent="0.2">
      <c r="A79" s="124" t="str">
        <f t="array" ref="A79">IFERROR(INDEX('Annex 2 EHV charges'!$D$11:$D$260, MATCH(0, IF(ISBLANK('Annex 2 EHV charges'!$D$11:$D$260),1, COUNTIF(A$4:$A78, 'Annex 2 EHV charges'!$D$11:$D$260)), 0)),"")</f>
        <v>MSID 8334</v>
      </c>
      <c r="B79" s="123" t="str">
        <f>IF($A79="","",VLOOKUP($A79,'Annex 2 EHV charges'!$D:$O,2,0))</f>
        <v>MSID 8334</v>
      </c>
      <c r="C79" s="124" t="str">
        <f>IF($A79="","",VLOOKUP($A79,'Annex 2 EHV charges'!$D:$O,3,0))</f>
        <v>MSID 8334</v>
      </c>
      <c r="D79" s="123" t="str">
        <f>IF($A79="","",VLOOKUP($A79,'Annex 2 EHV charges'!$D:$O,4,0))</f>
        <v>Markinch</v>
      </c>
      <c r="E79" s="125" t="str">
        <f>IFERROR(IF(VLOOKUP($A79,'Annex 2 EHV charges'!$D:$O,9,FALSE)=0,"",VLOOKUP($A79,'Annex 2 EHV charges'!$D:$O,9,FALSE)),"")</f>
        <v/>
      </c>
      <c r="F79" s="126">
        <f>IFERROR(IF(VLOOKUP($A79,'Annex 2 EHV charges'!$D:$O,10,FALSE)=0,"",VLOOKUP($A79,'Annex 2 EHV charges'!$D:$O,10,FALSE)),"")</f>
        <v>24767.93</v>
      </c>
      <c r="G79" s="127">
        <f>IFERROR(IF(VLOOKUP($A79,'Annex 2 EHV charges'!$D:$O,11,FALSE)=0,"",VLOOKUP($A79,'Annex 2 EHV charges'!$D:$O,11,FALSE)),"")</f>
        <v>0.05</v>
      </c>
      <c r="H79" s="127">
        <f>IFERROR(IF(VLOOKUP($A79,'Annex 2 EHV charges'!$D:$O,12,FALSE)=0,"",VLOOKUP($A79,'Annex 2 EHV charges'!$D:$O,12,FALSE)),"")</f>
        <v>0.05</v>
      </c>
    </row>
    <row r="80" spans="1:8" ht="12.75" customHeight="1" x14ac:dyDescent="0.2">
      <c r="A80" s="124" t="str">
        <f t="array" ref="A80">IFERROR(INDEX('Annex 2 EHV charges'!$D$11:$D$260, MATCH(0, IF(ISBLANK('Annex 2 EHV charges'!$D$11:$D$260),1, COUNTIF(A$4:$A79, 'Annex 2 EHV charges'!$D$11:$D$260)), 0)),"")</f>
        <v>MSID 8339</v>
      </c>
      <c r="B80" s="123" t="str">
        <f>IF($A80="","",VLOOKUP($A80,'Annex 2 EHV charges'!$D:$O,2,0))</f>
        <v>MSID 8339</v>
      </c>
      <c r="C80" s="124" t="str">
        <f>IF($A80="","",VLOOKUP($A80,'Annex 2 EHV charges'!$D:$O,3,0))</f>
        <v>MSID 8339</v>
      </c>
      <c r="D80" s="123" t="str">
        <f>IF($A80="","",VLOOKUP($A80,'Annex 2 EHV charges'!$D:$O,4,0))</f>
        <v>Harehill Extension</v>
      </c>
      <c r="E80" s="125" t="str">
        <f>IFERROR(IF(VLOOKUP($A80,'Annex 2 EHV charges'!$D:$O,9,FALSE)=0,"",VLOOKUP($A80,'Annex 2 EHV charges'!$D:$O,9,FALSE)),"")</f>
        <v/>
      </c>
      <c r="F80" s="126">
        <f>IFERROR(IF(VLOOKUP($A80,'Annex 2 EHV charges'!$D:$O,10,FALSE)=0,"",VLOOKUP($A80,'Annex 2 EHV charges'!$D:$O,10,FALSE)),"")</f>
        <v>9500.4699999999993</v>
      </c>
      <c r="G80" s="127">
        <f>IFERROR(IF(VLOOKUP($A80,'Annex 2 EHV charges'!$D:$O,11,FALSE)=0,"",VLOOKUP($A80,'Annex 2 EHV charges'!$D:$O,11,FALSE)),"")</f>
        <v>0.05</v>
      </c>
      <c r="H80" s="127">
        <f>IFERROR(IF(VLOOKUP($A80,'Annex 2 EHV charges'!$D:$O,12,FALSE)=0,"",VLOOKUP($A80,'Annex 2 EHV charges'!$D:$O,12,FALSE)),"")</f>
        <v>0.05</v>
      </c>
    </row>
    <row r="81" spans="1:8" ht="12.75" customHeight="1" x14ac:dyDescent="0.2">
      <c r="A81" s="124" t="str">
        <f t="array" ref="A81">IFERROR(INDEX('Annex 2 EHV charges'!$D$11:$D$260, MATCH(0, IF(ISBLANK('Annex 2 EHV charges'!$D$11:$D$260),1, COUNTIF(A$4:$A80, 'Annex 2 EHV charges'!$D$11:$D$260)), 0)),"")</f>
        <v>MSID 8340</v>
      </c>
      <c r="B81" s="123" t="str">
        <f>IF($A81="","",VLOOKUP($A81,'Annex 2 EHV charges'!$D:$O,2,0))</f>
        <v>MSID 8340</v>
      </c>
      <c r="C81" s="124" t="str">
        <f>IF($A81="","",VLOOKUP($A81,'Annex 2 EHV charges'!$D:$O,3,0))</f>
        <v>MSID 8340</v>
      </c>
      <c r="D81" s="123" t="str">
        <f>IF($A81="","",VLOOKUP($A81,'Annex 2 EHV charges'!$D:$O,4,0))</f>
        <v>Aries</v>
      </c>
      <c r="E81" s="125" t="str">
        <f>IFERROR(IF(VLOOKUP($A81,'Annex 2 EHV charges'!$D:$O,9,FALSE)=0,"",VLOOKUP($A81,'Annex 2 EHV charges'!$D:$O,9,FALSE)),"")</f>
        <v/>
      </c>
      <c r="F81" s="126">
        <f>IFERROR(IF(VLOOKUP($A81,'Annex 2 EHV charges'!$D:$O,10,FALSE)=0,"",VLOOKUP($A81,'Annex 2 EHV charges'!$D:$O,10,FALSE)),"")</f>
        <v>14699.78</v>
      </c>
      <c r="G81" s="127">
        <f>IFERROR(IF(VLOOKUP($A81,'Annex 2 EHV charges'!$D:$O,11,FALSE)=0,"",VLOOKUP($A81,'Annex 2 EHV charges'!$D:$O,11,FALSE)),"")</f>
        <v>0.05</v>
      </c>
      <c r="H81" s="127">
        <f>IFERROR(IF(VLOOKUP($A81,'Annex 2 EHV charges'!$D:$O,12,FALSE)=0,"",VLOOKUP($A81,'Annex 2 EHV charges'!$D:$O,12,FALSE)),"")</f>
        <v>0.05</v>
      </c>
    </row>
    <row r="82" spans="1:8" ht="12.75" customHeight="1" x14ac:dyDescent="0.2">
      <c r="A82" s="124" t="str">
        <f t="array" ref="A82">IFERROR(INDEX('Annex 2 EHV charges'!$D$11:$D$260, MATCH(0, IF(ISBLANK('Annex 2 EHV charges'!$D$11:$D$260),1, COUNTIF(A$4:$A81, 'Annex 2 EHV charges'!$D$11:$D$260)), 0)),"")</f>
        <v>MSID 8341</v>
      </c>
      <c r="B82" s="123" t="str">
        <f>IF($A82="","",VLOOKUP($A82,'Annex 2 EHV charges'!$D:$O,2,0))</f>
        <v>MSID 8341</v>
      </c>
      <c r="C82" s="124" t="str">
        <f>IF($A82="","",VLOOKUP($A82,'Annex 2 EHV charges'!$D:$O,3,0))</f>
        <v>MSID 8341</v>
      </c>
      <c r="D82" s="123" t="str">
        <f>IF($A82="","",VLOOKUP($A82,'Annex 2 EHV charges'!$D:$O,4,0))</f>
        <v>Andershaw WF</v>
      </c>
      <c r="E82" s="125" t="str">
        <f>IFERROR(IF(VLOOKUP($A82,'Annex 2 EHV charges'!$D:$O,9,FALSE)=0,"",VLOOKUP($A82,'Annex 2 EHV charges'!$D:$O,9,FALSE)),"")</f>
        <v/>
      </c>
      <c r="F82" s="126">
        <f>IFERROR(IF(VLOOKUP($A82,'Annex 2 EHV charges'!$D:$O,10,FALSE)=0,"",VLOOKUP($A82,'Annex 2 EHV charges'!$D:$O,10,FALSE)),"")</f>
        <v>28882.65</v>
      </c>
      <c r="G82" s="127">
        <f>IFERROR(IF(VLOOKUP($A82,'Annex 2 EHV charges'!$D:$O,11,FALSE)=0,"",VLOOKUP($A82,'Annex 2 EHV charges'!$D:$O,11,FALSE)),"")</f>
        <v>0.05</v>
      </c>
      <c r="H82" s="127">
        <f>IFERROR(IF(VLOOKUP($A82,'Annex 2 EHV charges'!$D:$O,12,FALSE)=0,"",VLOOKUP($A82,'Annex 2 EHV charges'!$D:$O,12,FALSE)),"")</f>
        <v>0.05</v>
      </c>
    </row>
    <row r="83" spans="1:8" ht="12.75" customHeight="1" x14ac:dyDescent="0.2">
      <c r="A83" s="124" t="str">
        <f t="array" ref="A83">IFERROR(INDEX('Annex 2 EHV charges'!$D$11:$D$260, MATCH(0, IF(ISBLANK('Annex 2 EHV charges'!$D$11:$D$260),1, COUNTIF(A$4:$A82, 'Annex 2 EHV charges'!$D$11:$D$260)), 0)),"")</f>
        <v>MSID 8347</v>
      </c>
      <c r="B83" s="123" t="str">
        <f>IF($A83="","",VLOOKUP($A83,'Annex 2 EHV charges'!$D:$O,2,0))</f>
        <v>MSID 8347</v>
      </c>
      <c r="C83" s="124" t="str">
        <f>IF($A83="","",VLOOKUP($A83,'Annex 2 EHV charges'!$D:$O,3,0))</f>
        <v>MSID 8347</v>
      </c>
      <c r="D83" s="123" t="str">
        <f>IF($A83="","",VLOOKUP($A83,'Annex 2 EHV charges'!$D:$O,4,0))</f>
        <v>Assel Valley</v>
      </c>
      <c r="E83" s="125" t="str">
        <f>IFERROR(IF(VLOOKUP($A83,'Annex 2 EHV charges'!$D:$O,9,FALSE)=0,"",VLOOKUP($A83,'Annex 2 EHV charges'!$D:$O,9,FALSE)),"")</f>
        <v/>
      </c>
      <c r="F83" s="126">
        <f>IFERROR(IF(VLOOKUP($A83,'Annex 2 EHV charges'!$D:$O,10,FALSE)=0,"",VLOOKUP($A83,'Annex 2 EHV charges'!$D:$O,10,FALSE)),"")</f>
        <v>52955.71</v>
      </c>
      <c r="G83" s="127">
        <f>IFERROR(IF(VLOOKUP($A83,'Annex 2 EHV charges'!$D:$O,11,FALSE)=0,"",VLOOKUP($A83,'Annex 2 EHV charges'!$D:$O,11,FALSE)),"")</f>
        <v>0.05</v>
      </c>
      <c r="H83" s="127">
        <f>IFERROR(IF(VLOOKUP($A83,'Annex 2 EHV charges'!$D:$O,12,FALSE)=0,"",VLOOKUP($A83,'Annex 2 EHV charges'!$D:$O,12,FALSE)),"")</f>
        <v>0.05</v>
      </c>
    </row>
    <row r="84" spans="1:8" ht="12.75" customHeight="1" x14ac:dyDescent="0.2">
      <c r="A84" s="124" t="str">
        <f t="array" ref="A84">IFERROR(INDEX('Annex 2 EHV charges'!$D$11:$D$260, MATCH(0, IF(ISBLANK('Annex 2 EHV charges'!$D$11:$D$260),1, COUNTIF(A$4:$A83, 'Annex 2 EHV charges'!$D$11:$D$260)), 0)),"")</f>
        <v>MSID 8348</v>
      </c>
      <c r="B84" s="123" t="str">
        <f>IF($A84="","",VLOOKUP($A84,'Annex 2 EHV charges'!$D:$O,2,0))</f>
        <v>MSID 8348</v>
      </c>
      <c r="C84" s="124" t="str">
        <f>IF($A84="","",VLOOKUP($A84,'Annex 2 EHV charges'!$D:$O,3,0))</f>
        <v>MSID 8348</v>
      </c>
      <c r="D84" s="123" t="str">
        <f>IF($A84="","",VLOOKUP($A84,'Annex 2 EHV charges'!$D:$O,4,0))</f>
        <v>Auchrobert</v>
      </c>
      <c r="E84" s="125" t="str">
        <f>IFERROR(IF(VLOOKUP($A84,'Annex 2 EHV charges'!$D:$O,9,FALSE)=0,"",VLOOKUP($A84,'Annex 2 EHV charges'!$D:$O,9,FALSE)),"")</f>
        <v/>
      </c>
      <c r="F84" s="126">
        <f>IFERROR(IF(VLOOKUP($A84,'Annex 2 EHV charges'!$D:$O,10,FALSE)=0,"",VLOOKUP($A84,'Annex 2 EHV charges'!$D:$O,10,FALSE)),"")</f>
        <v>17434.009999999998</v>
      </c>
      <c r="G84" s="127">
        <f>IFERROR(IF(VLOOKUP($A84,'Annex 2 EHV charges'!$D:$O,11,FALSE)=0,"",VLOOKUP($A84,'Annex 2 EHV charges'!$D:$O,11,FALSE)),"")</f>
        <v>0.05</v>
      </c>
      <c r="H84" s="127">
        <f>IFERROR(IF(VLOOKUP($A84,'Annex 2 EHV charges'!$D:$O,12,FALSE)=0,"",VLOOKUP($A84,'Annex 2 EHV charges'!$D:$O,12,FALSE)),"")</f>
        <v>0.05</v>
      </c>
    </row>
    <row r="85" spans="1:8" ht="12.75" customHeight="1" x14ac:dyDescent="0.2">
      <c r="A85" s="124" t="str">
        <f t="array" ref="A85">IFERROR(INDEX('Annex 2 EHV charges'!$D$11:$D$260, MATCH(0, IF(ISBLANK('Annex 2 EHV charges'!$D$11:$D$260),1, COUNTIF(A$4:$A84, 'Annex 2 EHV charges'!$D$11:$D$260)), 0)),"")</f>
        <v>MSID 8349</v>
      </c>
      <c r="B85" s="123" t="str">
        <f>IF($A85="","",VLOOKUP($A85,'Annex 2 EHV charges'!$D:$O,2,0))</f>
        <v>MSID 8349</v>
      </c>
      <c r="C85" s="124" t="str">
        <f>IF($A85="","",VLOOKUP($A85,'Annex 2 EHV charges'!$D:$O,3,0))</f>
        <v>MSID 8349</v>
      </c>
      <c r="D85" s="123" t="str">
        <f>IF($A85="","",VLOOKUP($A85,'Annex 2 EHV charges'!$D:$O,4,0))</f>
        <v>Harburnhead</v>
      </c>
      <c r="E85" s="125" t="str">
        <f>IFERROR(IF(VLOOKUP($A85,'Annex 2 EHV charges'!$D:$O,9,FALSE)=0,"",VLOOKUP($A85,'Annex 2 EHV charges'!$D:$O,9,FALSE)),"")</f>
        <v/>
      </c>
      <c r="F85" s="126">
        <f>IFERROR(IF(VLOOKUP($A85,'Annex 2 EHV charges'!$D:$O,10,FALSE)=0,"",VLOOKUP($A85,'Annex 2 EHV charges'!$D:$O,10,FALSE)),"")</f>
        <v>11937.51</v>
      </c>
      <c r="G85" s="127">
        <f>IFERROR(IF(VLOOKUP($A85,'Annex 2 EHV charges'!$D:$O,11,FALSE)=0,"",VLOOKUP($A85,'Annex 2 EHV charges'!$D:$O,11,FALSE)),"")</f>
        <v>0.05</v>
      </c>
      <c r="H85" s="127">
        <f>IFERROR(IF(VLOOKUP($A85,'Annex 2 EHV charges'!$D:$O,12,FALSE)=0,"",VLOOKUP($A85,'Annex 2 EHV charges'!$D:$O,12,FALSE)),"")</f>
        <v>0.05</v>
      </c>
    </row>
    <row r="86" spans="1:8" ht="12.75" customHeight="1" x14ac:dyDescent="0.2">
      <c r="A86" s="124" t="str">
        <f t="array" ref="A86">IFERROR(INDEX('Annex 2 EHV charges'!$D$11:$D$260, MATCH(0, IF(ISBLANK('Annex 2 EHV charges'!$D$11:$D$260),1, COUNTIF(A$4:$A85, 'Annex 2 EHV charges'!$D$11:$D$260)), 0)),"")</f>
        <v>TBA</v>
      </c>
      <c r="B86" s="123" t="str">
        <f>IF($A86="","",VLOOKUP($A86,'Annex 2 EHV charges'!$D:$O,2,0))</f>
        <v>TBA</v>
      </c>
      <c r="C86" s="124" t="str">
        <f>IF($A86="","",VLOOKUP($A86,'Annex 2 EHV charges'!$D:$O,3,0))</f>
        <v>TBA</v>
      </c>
      <c r="D86" s="123" t="str">
        <f>IF($A86="","",VLOOKUP($A86,'Annex 2 EHV charges'!$D:$O,4,0))</f>
        <v>Twenty Shilling Hill</v>
      </c>
      <c r="E86" s="125" t="str">
        <f>IFERROR(IF(VLOOKUP($A86,'Annex 2 EHV charges'!$D:$O,9,FALSE)=0,"",VLOOKUP($A86,'Annex 2 EHV charges'!$D:$O,9,FALSE)),"")</f>
        <v/>
      </c>
      <c r="F86" s="126">
        <f>IFERROR(IF(VLOOKUP($A86,'Annex 2 EHV charges'!$D:$O,10,FALSE)=0,"",VLOOKUP($A86,'Annex 2 EHV charges'!$D:$O,10,FALSE)),"")</f>
        <v>42852.31</v>
      </c>
      <c r="G86" s="127">
        <f>IFERROR(IF(VLOOKUP($A86,'Annex 2 EHV charges'!$D:$O,11,FALSE)=0,"",VLOOKUP($A86,'Annex 2 EHV charges'!$D:$O,11,FALSE)),"")</f>
        <v>0.05</v>
      </c>
      <c r="H86" s="127">
        <f>IFERROR(IF(VLOOKUP($A86,'Annex 2 EHV charges'!$D:$O,12,FALSE)=0,"",VLOOKUP($A86,'Annex 2 EHV charges'!$D:$O,12,FALSE)),"")</f>
        <v>0.05</v>
      </c>
    </row>
    <row r="87" spans="1:8" ht="12.75" customHeight="1" x14ac:dyDescent="0.2">
      <c r="A87" s="124">
        <f t="array" ref="A87">IFERROR(INDEX('Annex 2 EHV charges'!$D$11:$D$260, MATCH(0, IF(ISBLANK('Annex 2 EHV charges'!$D$11:$D$260),1, COUNTIF(A$4:$A86, 'Annex 2 EHV charges'!$D$11:$D$260)), 0)),"")</f>
        <v>755</v>
      </c>
      <c r="B87" s="123">
        <f>IF($A87="","",VLOOKUP($A87,'Annex 2 EHV charges'!$D:$O,2,0))</f>
        <v>755</v>
      </c>
      <c r="C87" s="124">
        <f>IF($A87="","",VLOOKUP($A87,'Annex 2 EHV charges'!$D:$O,3,0))</f>
        <v>1800053646224</v>
      </c>
      <c r="D87" s="123" t="str">
        <f>IF($A87="","",VLOOKUP($A87,'Annex 2 EHV charges'!$D:$O,4,0))</f>
        <v>Bonnington Power Station</v>
      </c>
      <c r="E87" s="125">
        <f>IFERROR(IF(VLOOKUP($A87,'Annex 2 EHV charges'!$D:$O,9,FALSE)=0,"",VLOOKUP($A87,'Annex 2 EHV charges'!$D:$O,9,FALSE)),"")</f>
        <v>-2.4750000000000001</v>
      </c>
      <c r="F87" s="126">
        <f>IFERROR(IF(VLOOKUP($A87,'Annex 2 EHV charges'!$D:$O,10,FALSE)=0,"",VLOOKUP($A87,'Annex 2 EHV charges'!$D:$O,10,FALSE)),"")</f>
        <v>432.7</v>
      </c>
      <c r="G87" s="127">
        <f>IFERROR(IF(VLOOKUP($A87,'Annex 2 EHV charges'!$D:$O,11,FALSE)=0,"",VLOOKUP($A87,'Annex 2 EHV charges'!$D:$O,11,FALSE)),"")</f>
        <v>0.05</v>
      </c>
      <c r="H87" s="127">
        <f>IFERROR(IF(VLOOKUP($A87,'Annex 2 EHV charges'!$D:$O,12,FALSE)=0,"",VLOOKUP($A87,'Annex 2 EHV charges'!$D:$O,12,FALSE)),"")</f>
        <v>0.05</v>
      </c>
    </row>
    <row r="88" spans="1:8" ht="12.75" customHeight="1" x14ac:dyDescent="0.2">
      <c r="A88" s="124">
        <f t="array" ref="A88">IFERROR(INDEX('Annex 2 EHV charges'!$D$11:$D$260, MATCH(0, IF(ISBLANK('Annex 2 EHV charges'!$D$11:$D$260),1, COUNTIF(A$4:$A87, 'Annex 2 EHV charges'!$D$11:$D$260)), 0)),"")</f>
        <v>750</v>
      </c>
      <c r="B88" s="123">
        <f>IF($A88="","",VLOOKUP($A88,'Annex 2 EHV charges'!$D:$O,2,0))</f>
        <v>750</v>
      </c>
      <c r="C88" s="124">
        <f>IF($A88="","",VLOOKUP($A88,'Annex 2 EHV charges'!$D:$O,3,0))</f>
        <v>1800060586926</v>
      </c>
      <c r="D88" s="123" t="str">
        <f>IF($A88="","",VLOOKUP($A88,'Annex 2 EHV charges'!$D:$O,4,0))</f>
        <v>Cathkin Braes Wind Farm</v>
      </c>
      <c r="E88" s="125" t="str">
        <f>IFERROR(IF(VLOOKUP($A88,'Annex 2 EHV charges'!$D:$O,9,FALSE)=0,"",VLOOKUP($A88,'Annex 2 EHV charges'!$D:$O,9,FALSE)),"")</f>
        <v/>
      </c>
      <c r="F88" s="126">
        <f>IFERROR(IF(VLOOKUP($A88,'Annex 2 EHV charges'!$D:$O,10,FALSE)=0,"",VLOOKUP($A88,'Annex 2 EHV charges'!$D:$O,10,FALSE)),"")</f>
        <v>6143.55</v>
      </c>
      <c r="G88" s="127">
        <f>IFERROR(IF(VLOOKUP($A88,'Annex 2 EHV charges'!$D:$O,11,FALSE)=0,"",VLOOKUP($A88,'Annex 2 EHV charges'!$D:$O,11,FALSE)),"")</f>
        <v>0.05</v>
      </c>
      <c r="H88" s="127">
        <f>IFERROR(IF(VLOOKUP($A88,'Annex 2 EHV charges'!$D:$O,12,FALSE)=0,"",VLOOKUP($A88,'Annex 2 EHV charges'!$D:$O,12,FALSE)),"")</f>
        <v>0.05</v>
      </c>
    </row>
    <row r="89" spans="1:8" ht="12.75" customHeight="1" x14ac:dyDescent="0.2">
      <c r="A89" s="124">
        <f t="array" ref="A89">IFERROR(INDEX('Annex 2 EHV charges'!$D$11:$D$260, MATCH(0, IF(ISBLANK('Annex 2 EHV charges'!$D$11:$D$260),1, COUNTIF(A$4:$A88, 'Annex 2 EHV charges'!$D$11:$D$260)), 0)),"")</f>
        <v>752</v>
      </c>
      <c r="B89" s="123">
        <f>IF($A89="","",VLOOKUP($A89,'Annex 2 EHV charges'!$D:$O,2,0))</f>
        <v>752</v>
      </c>
      <c r="C89" s="124">
        <f>IF($A89="","",VLOOKUP($A89,'Annex 2 EHV charges'!$D:$O,3,0))</f>
        <v>1800060614741</v>
      </c>
      <c r="D89" s="123" t="str">
        <f>IF($A89="","",VLOOKUP($A89,'Annex 2 EHV charges'!$D:$O,4,0))</f>
        <v>Torrance WF</v>
      </c>
      <c r="E89" s="125" t="str">
        <f>IFERROR(IF(VLOOKUP($A89,'Annex 2 EHV charges'!$D:$O,9,FALSE)=0,"",VLOOKUP($A89,'Annex 2 EHV charges'!$D:$O,9,FALSE)),"")</f>
        <v/>
      </c>
      <c r="F89" s="126">
        <f>IFERROR(IF(VLOOKUP($A89,'Annex 2 EHV charges'!$D:$O,10,FALSE)=0,"",VLOOKUP($A89,'Annex 2 EHV charges'!$D:$O,10,FALSE)),"")</f>
        <v>7877.12</v>
      </c>
      <c r="G89" s="127">
        <f>IFERROR(IF(VLOOKUP($A89,'Annex 2 EHV charges'!$D:$O,11,FALSE)=0,"",VLOOKUP($A89,'Annex 2 EHV charges'!$D:$O,11,FALSE)),"")</f>
        <v>0.05</v>
      </c>
      <c r="H89" s="127">
        <f>IFERROR(IF(VLOOKUP($A89,'Annex 2 EHV charges'!$D:$O,12,FALSE)=0,"",VLOOKUP($A89,'Annex 2 EHV charges'!$D:$O,12,FALSE)),"")</f>
        <v>0.05</v>
      </c>
    </row>
    <row r="90" spans="1:8" ht="12.75" customHeight="1" x14ac:dyDescent="0.2">
      <c r="A90" s="124">
        <f t="array" ref="A90">IFERROR(INDEX('Annex 2 EHV charges'!$D$11:$D$260, MATCH(0, IF(ISBLANK('Annex 2 EHV charges'!$D$11:$D$260),1, COUNTIF(A$4:$A89, 'Annex 2 EHV charges'!$D$11:$D$260)), 0)),"")</f>
        <v>754</v>
      </c>
      <c r="B90" s="123">
        <f>IF($A90="","",VLOOKUP($A90,'Annex 2 EHV charges'!$D:$O,2,0))</f>
        <v>754</v>
      </c>
      <c r="C90" s="124">
        <f>IF($A90="","",VLOOKUP($A90,'Annex 2 EHV charges'!$D:$O,3,0))</f>
        <v>1800060613552</v>
      </c>
      <c r="D90" s="123" t="str">
        <f>IF($A90="","",VLOOKUP($A90,'Annex 2 EHV charges'!$D:$O,4,0))</f>
        <v>Scottish Enterprise (Samsung WTTF)</v>
      </c>
      <c r="E90" s="125" t="str">
        <f>IFERROR(IF(VLOOKUP($A90,'Annex 2 EHV charges'!$D:$O,9,FALSE)=0,"",VLOOKUP($A90,'Annex 2 EHV charges'!$D:$O,9,FALSE)),"")</f>
        <v/>
      </c>
      <c r="F90" s="126">
        <f>IFERROR(IF(VLOOKUP($A90,'Annex 2 EHV charges'!$D:$O,10,FALSE)=0,"",VLOOKUP($A90,'Annex 2 EHV charges'!$D:$O,10,FALSE)),"")</f>
        <v>5932.65</v>
      </c>
      <c r="G90" s="127">
        <f>IFERROR(IF(VLOOKUP($A90,'Annex 2 EHV charges'!$D:$O,11,FALSE)=0,"",VLOOKUP($A90,'Annex 2 EHV charges'!$D:$O,11,FALSE)),"")</f>
        <v>0.05</v>
      </c>
      <c r="H90" s="127">
        <f>IFERROR(IF(VLOOKUP($A90,'Annex 2 EHV charges'!$D:$O,12,FALSE)=0,"",VLOOKUP($A90,'Annex 2 EHV charges'!$D:$O,12,FALSE)),"")</f>
        <v>0.05</v>
      </c>
    </row>
    <row r="91" spans="1:8" ht="12.75" customHeight="1" x14ac:dyDescent="0.2">
      <c r="A91" s="124">
        <f t="array" ref="A91">IFERROR(INDEX('Annex 2 EHV charges'!$D$11:$D$260, MATCH(0, IF(ISBLANK('Annex 2 EHV charges'!$D$11:$D$260),1, COUNTIF(A$4:$A90, 'Annex 2 EHV charges'!$D$11:$D$260)), 0)),"")</f>
        <v>756</v>
      </c>
      <c r="B91" s="123">
        <f>IF($A91="","",VLOOKUP($A91,'Annex 2 EHV charges'!$D:$O,2,0))</f>
        <v>756</v>
      </c>
      <c r="C91" s="124">
        <f>IF($A91="","",VLOOKUP($A91,'Annex 2 EHV charges'!$D:$O,3,0))</f>
        <v>1800060709029</v>
      </c>
      <c r="D91" s="123" t="str">
        <f>IF($A91="","",VLOOKUP($A91,'Annex 2 EHV charges'!$D:$O,4,0))</f>
        <v>Torrance Windfarm Extension</v>
      </c>
      <c r="E91" s="125" t="str">
        <f>IFERROR(IF(VLOOKUP($A91,'Annex 2 EHV charges'!$D:$O,9,FALSE)=0,"",VLOOKUP($A91,'Annex 2 EHV charges'!$D:$O,9,FALSE)),"")</f>
        <v/>
      </c>
      <c r="F91" s="126">
        <f>IFERROR(IF(VLOOKUP($A91,'Annex 2 EHV charges'!$D:$O,10,FALSE)=0,"",VLOOKUP($A91,'Annex 2 EHV charges'!$D:$O,10,FALSE)),"")</f>
        <v>7964.26</v>
      </c>
      <c r="G91" s="127">
        <f>IFERROR(IF(VLOOKUP($A91,'Annex 2 EHV charges'!$D:$O,11,FALSE)=0,"",VLOOKUP($A91,'Annex 2 EHV charges'!$D:$O,11,FALSE)),"")</f>
        <v>0.05</v>
      </c>
      <c r="H91" s="127">
        <f>IFERROR(IF(VLOOKUP($A91,'Annex 2 EHV charges'!$D:$O,12,FALSE)=0,"",VLOOKUP($A91,'Annex 2 EHV charges'!$D:$O,12,FALSE)),"")</f>
        <v>0.05</v>
      </c>
    </row>
    <row r="92" spans="1:8" ht="12.75" customHeight="1" x14ac:dyDescent="0.2">
      <c r="A92" s="124" t="str">
        <f t="array" ref="A92">IFERROR(INDEX('Annex 2 EHV charges'!$D$11:$D$260, MATCH(0, IF(ISBLANK('Annex 2 EHV charges'!$D$11:$D$260),1, COUNTIF(A$4:$A91, 'Annex 2 EHV charges'!$D$11:$D$260)), 0)),"")</f>
        <v>TBC</v>
      </c>
      <c r="B92" s="123" t="str">
        <f>IF($A92="","",VLOOKUP($A92,'Annex 2 EHV charges'!$D:$O,2,0))</f>
        <v>TBC</v>
      </c>
      <c r="C92" s="124" t="str">
        <f>IF($A92="","",VLOOKUP($A92,'Annex 2 EHV charges'!$D:$O,3,0))</f>
        <v>TBC</v>
      </c>
      <c r="D92" s="123" t="str">
        <f>IF($A92="","",VLOOKUP($A92,'Annex 2 EHV charges'!$D:$O,4,0))</f>
        <v>Millerhill WF</v>
      </c>
      <c r="E92" s="125" t="str">
        <f>IFERROR(IF(VLOOKUP($A92,'Annex 2 EHV charges'!$D:$O,9,FALSE)=0,"",VLOOKUP($A92,'Annex 2 EHV charges'!$D:$O,9,FALSE)),"")</f>
        <v/>
      </c>
      <c r="F92" s="126">
        <f>IFERROR(IF(VLOOKUP($A92,'Annex 2 EHV charges'!$D:$O,10,FALSE)=0,"",VLOOKUP($A92,'Annex 2 EHV charges'!$D:$O,10,FALSE)),"")</f>
        <v>7636.46</v>
      </c>
      <c r="G92" s="127">
        <f>IFERROR(IF(VLOOKUP($A92,'Annex 2 EHV charges'!$D:$O,11,FALSE)=0,"",VLOOKUP($A92,'Annex 2 EHV charges'!$D:$O,11,FALSE)),"")</f>
        <v>0.05</v>
      </c>
      <c r="H92" s="127">
        <f>IFERROR(IF(VLOOKUP($A92,'Annex 2 EHV charges'!$D:$O,12,FALSE)=0,"",VLOOKUP($A92,'Annex 2 EHV charges'!$D:$O,12,FALSE)),"")</f>
        <v>0.05</v>
      </c>
    </row>
    <row r="93" spans="1:8" ht="12.75" customHeight="1" x14ac:dyDescent="0.2">
      <c r="A93" s="124" t="str">
        <f t="array" ref="A93">IFERROR(INDEX('Annex 2 EHV charges'!$D$11:$D$260, MATCH(0, IF(ISBLANK('Annex 2 EHV charges'!$D$11:$D$260),1, COUNTIF(A$4:$A92, 'Annex 2 EHV charges'!$D$11:$D$260)), 0)),"")</f>
        <v/>
      </c>
      <c r="B93" s="123" t="str">
        <f>IF($A93="","",VLOOKUP($A93,'Annex 2 EHV charges'!$D:$O,2,0))</f>
        <v/>
      </c>
      <c r="C93" s="124" t="str">
        <f>IF($A93="","",VLOOKUP($A93,'Annex 2 EHV charges'!$D:$O,3,0))</f>
        <v/>
      </c>
      <c r="D93" s="123" t="str">
        <f>IF($A93="","",VLOOKUP($A93,'Annex 2 EHV charges'!$D:$O,4,0))</f>
        <v/>
      </c>
      <c r="E93" s="125" t="str">
        <f>IFERROR(IF(VLOOKUP($A93,'Annex 2 EHV charges'!$D:$O,9,FALSE)=0,"",VLOOKUP($A93,'Annex 2 EHV charges'!$D:$O,9,FALSE)),"")</f>
        <v/>
      </c>
      <c r="F93" s="126" t="str">
        <f>IFERROR(IF(VLOOKUP($A93,'Annex 2 EHV charges'!$D:$O,10,FALSE)=0,"",VLOOKUP($A93,'Annex 2 EHV charges'!$D:$O,10,FALSE)),"")</f>
        <v/>
      </c>
      <c r="G93" s="127" t="str">
        <f>IFERROR(IF(VLOOKUP($A93,'Annex 2 EHV charges'!$D:$O,11,FALSE)=0,"",VLOOKUP($A93,'Annex 2 EHV charges'!$D:$O,11,FALSE)),"")</f>
        <v/>
      </c>
      <c r="H93" s="127" t="str">
        <f>IFERROR(IF(VLOOKUP($A93,'Annex 2 EHV charges'!$D:$O,12,FALSE)=0,"",VLOOKUP($A93,'Annex 2 EHV charges'!$D:$O,12,FALSE)),"")</f>
        <v/>
      </c>
    </row>
    <row r="94" spans="1:8" ht="12.75" customHeight="1" x14ac:dyDescent="0.2">
      <c r="A94" s="124" t="str">
        <f t="array" ref="A94">IFERROR(INDEX('Annex 2 EHV charges'!$D$11:$D$260, MATCH(0, IF(ISBLANK('Annex 2 EHV charges'!$D$11:$D$260),1, COUNTIF(A$4:$A93, 'Annex 2 EHV charges'!$D$11:$D$260)), 0)),"")</f>
        <v/>
      </c>
      <c r="B94" s="123" t="str">
        <f>IF($A94="","",VLOOKUP($A94,'Annex 2 EHV charges'!$D:$O,2,0))</f>
        <v/>
      </c>
      <c r="C94" s="124" t="str">
        <f>IF($A94="","",VLOOKUP($A94,'Annex 2 EHV charges'!$D:$O,3,0))</f>
        <v/>
      </c>
      <c r="D94" s="123" t="str">
        <f>IF($A94="","",VLOOKUP($A94,'Annex 2 EHV charges'!$D:$O,4,0))</f>
        <v/>
      </c>
      <c r="E94" s="125" t="str">
        <f>IFERROR(IF(VLOOKUP($A94,'Annex 2 EHV charges'!$D:$O,9,FALSE)=0,"",VLOOKUP($A94,'Annex 2 EHV charges'!$D:$O,9,FALSE)),"")</f>
        <v/>
      </c>
      <c r="F94" s="126" t="str">
        <f>IFERROR(IF(VLOOKUP($A94,'Annex 2 EHV charges'!$D:$O,10,FALSE)=0,"",VLOOKUP($A94,'Annex 2 EHV charges'!$D:$O,10,FALSE)),"")</f>
        <v/>
      </c>
      <c r="G94" s="127" t="str">
        <f>IFERROR(IF(VLOOKUP($A94,'Annex 2 EHV charges'!$D:$O,11,FALSE)=0,"",VLOOKUP($A94,'Annex 2 EHV charges'!$D:$O,11,FALSE)),"")</f>
        <v/>
      </c>
      <c r="H94" s="127" t="str">
        <f>IFERROR(IF(VLOOKUP($A94,'Annex 2 EHV charges'!$D:$O,12,FALSE)=0,"",VLOOKUP($A94,'Annex 2 EHV charges'!$D:$O,12,FALSE)),"")</f>
        <v/>
      </c>
    </row>
    <row r="95" spans="1:8" ht="12.75" customHeight="1" x14ac:dyDescent="0.2">
      <c r="A95" s="124" t="str">
        <f t="array" ref="A95">IFERROR(INDEX('Annex 2 EHV charges'!$D$11:$D$260, MATCH(0, IF(ISBLANK('Annex 2 EHV charges'!$D$11:$D$260),1, COUNTIF(A$4:$A94, 'Annex 2 EHV charges'!$D$11:$D$260)), 0)),"")</f>
        <v/>
      </c>
      <c r="B95" s="123" t="str">
        <f>IF($A95="","",VLOOKUP($A95,'Annex 2 EHV charges'!$D:$O,2,0))</f>
        <v/>
      </c>
      <c r="C95" s="124" t="str">
        <f>IF($A95="","",VLOOKUP($A95,'Annex 2 EHV charges'!$D:$O,3,0))</f>
        <v/>
      </c>
      <c r="D95" s="123" t="str">
        <f>IF($A95="","",VLOOKUP($A95,'Annex 2 EHV charges'!$D:$O,4,0))</f>
        <v/>
      </c>
      <c r="E95" s="125" t="str">
        <f>IFERROR(IF(VLOOKUP($A95,'Annex 2 EHV charges'!$D:$O,9,FALSE)=0,"",VLOOKUP($A95,'Annex 2 EHV charges'!$D:$O,9,FALSE)),"")</f>
        <v/>
      </c>
      <c r="F95" s="126" t="str">
        <f>IFERROR(IF(VLOOKUP($A95,'Annex 2 EHV charges'!$D:$O,10,FALSE)=0,"",VLOOKUP($A95,'Annex 2 EHV charges'!$D:$O,10,FALSE)),"")</f>
        <v/>
      </c>
      <c r="G95" s="127" t="str">
        <f>IFERROR(IF(VLOOKUP($A95,'Annex 2 EHV charges'!$D:$O,11,FALSE)=0,"",VLOOKUP($A95,'Annex 2 EHV charges'!$D:$O,11,FALSE)),"")</f>
        <v/>
      </c>
      <c r="H95" s="127" t="str">
        <f>IFERROR(IF(VLOOKUP($A95,'Annex 2 EHV charges'!$D:$O,12,FALSE)=0,"",VLOOKUP($A95,'Annex 2 EHV charges'!$D:$O,12,FALSE)),"")</f>
        <v/>
      </c>
    </row>
    <row r="96" spans="1:8" ht="12.75" customHeight="1" x14ac:dyDescent="0.2">
      <c r="A96" s="124" t="str">
        <f t="array" ref="A96">IFERROR(INDEX('Annex 2 EHV charges'!$D$11:$D$260, MATCH(0, IF(ISBLANK('Annex 2 EHV charges'!$D$11:$D$260),1, COUNTIF(A$4:$A95, 'Annex 2 EHV charges'!$D$11:$D$260)), 0)),"")</f>
        <v/>
      </c>
      <c r="B96" s="123" t="str">
        <f>IF($A96="","",VLOOKUP($A96,'Annex 2 EHV charges'!$D:$O,2,0))</f>
        <v/>
      </c>
      <c r="C96" s="124" t="str">
        <f>IF($A96="","",VLOOKUP($A96,'Annex 2 EHV charges'!$D:$O,3,0))</f>
        <v/>
      </c>
      <c r="D96" s="123" t="str">
        <f>IF($A96="","",VLOOKUP($A96,'Annex 2 EHV charges'!$D:$O,4,0))</f>
        <v/>
      </c>
      <c r="E96" s="125" t="str">
        <f>IFERROR(IF(VLOOKUP($A96,'Annex 2 EHV charges'!$D:$O,9,FALSE)=0,"",VLOOKUP($A96,'Annex 2 EHV charges'!$D:$O,9,FALSE)),"")</f>
        <v/>
      </c>
      <c r="F96" s="126" t="str">
        <f>IFERROR(IF(VLOOKUP($A96,'Annex 2 EHV charges'!$D:$O,10,FALSE)=0,"",VLOOKUP($A96,'Annex 2 EHV charges'!$D:$O,10,FALSE)),"")</f>
        <v/>
      </c>
      <c r="G96" s="127" t="str">
        <f>IFERROR(IF(VLOOKUP($A96,'Annex 2 EHV charges'!$D:$O,11,FALSE)=0,"",VLOOKUP($A96,'Annex 2 EHV charges'!$D:$O,11,FALSE)),"")</f>
        <v/>
      </c>
      <c r="H96" s="127" t="str">
        <f>IFERROR(IF(VLOOKUP($A96,'Annex 2 EHV charges'!$D:$O,12,FALSE)=0,"",VLOOKUP($A96,'Annex 2 EHV charges'!$D:$O,12,FALSE)),"")</f>
        <v/>
      </c>
    </row>
    <row r="97" spans="1:8" ht="12.75" customHeight="1" x14ac:dyDescent="0.2">
      <c r="A97" s="124" t="str">
        <f t="array" ref="A97">IFERROR(INDEX('Annex 2 EHV charges'!$D$11:$D$260, MATCH(0, IF(ISBLANK('Annex 2 EHV charges'!$D$11:$D$260),1, COUNTIF(A$4:$A96, 'Annex 2 EHV charges'!$D$11:$D$260)), 0)),"")</f>
        <v/>
      </c>
      <c r="B97" s="123" t="str">
        <f>IF($A97="","",VLOOKUP($A97,'Annex 2 EHV charges'!$D:$O,2,0))</f>
        <v/>
      </c>
      <c r="C97" s="124" t="str">
        <f>IF($A97="","",VLOOKUP($A97,'Annex 2 EHV charges'!$D:$O,3,0))</f>
        <v/>
      </c>
      <c r="D97" s="123" t="str">
        <f>IF($A97="","",VLOOKUP($A97,'Annex 2 EHV charges'!$D:$O,4,0))</f>
        <v/>
      </c>
      <c r="E97" s="125" t="str">
        <f>IFERROR(IF(VLOOKUP($A97,'Annex 2 EHV charges'!$D:$O,9,FALSE)=0,"",VLOOKUP($A97,'Annex 2 EHV charges'!$D:$O,9,FALSE)),"")</f>
        <v/>
      </c>
      <c r="F97" s="126" t="str">
        <f>IFERROR(IF(VLOOKUP($A97,'Annex 2 EHV charges'!$D:$O,10,FALSE)=0,"",VLOOKUP($A97,'Annex 2 EHV charges'!$D:$O,10,FALSE)),"")</f>
        <v/>
      </c>
      <c r="G97" s="127" t="str">
        <f>IFERROR(IF(VLOOKUP($A97,'Annex 2 EHV charges'!$D:$O,11,FALSE)=0,"",VLOOKUP($A97,'Annex 2 EHV charges'!$D:$O,11,FALSE)),"")</f>
        <v/>
      </c>
      <c r="H97" s="127" t="str">
        <f>IFERROR(IF(VLOOKUP($A97,'Annex 2 EHV charges'!$D:$O,12,FALSE)=0,"",VLOOKUP($A97,'Annex 2 EHV charges'!$D:$O,12,FALSE)),"")</f>
        <v/>
      </c>
    </row>
    <row r="98" spans="1:8" ht="12.75" customHeight="1" x14ac:dyDescent="0.2">
      <c r="A98" s="124" t="str">
        <f t="array" ref="A98">IFERROR(INDEX('Annex 2 EHV charges'!$D$11:$D$260, MATCH(0, IF(ISBLANK('Annex 2 EHV charges'!$D$11:$D$260),1, COUNTIF(A$4:$A97, 'Annex 2 EHV charges'!$D$11:$D$260)), 0)),"")</f>
        <v/>
      </c>
      <c r="B98" s="123" t="str">
        <f>IF($A98="","",VLOOKUP($A98,'Annex 2 EHV charges'!$D:$O,2,0))</f>
        <v/>
      </c>
      <c r="C98" s="124" t="str">
        <f>IF($A98="","",VLOOKUP($A98,'Annex 2 EHV charges'!$D:$O,3,0))</f>
        <v/>
      </c>
      <c r="D98" s="123" t="str">
        <f>IF($A98="","",VLOOKUP($A98,'Annex 2 EHV charges'!$D:$O,4,0))</f>
        <v/>
      </c>
      <c r="E98" s="125" t="str">
        <f>IFERROR(IF(VLOOKUP($A98,'Annex 2 EHV charges'!$D:$O,9,FALSE)=0,"",VLOOKUP($A98,'Annex 2 EHV charges'!$D:$O,9,FALSE)),"")</f>
        <v/>
      </c>
      <c r="F98" s="126" t="str">
        <f>IFERROR(IF(VLOOKUP($A98,'Annex 2 EHV charges'!$D:$O,10,FALSE)=0,"",VLOOKUP($A98,'Annex 2 EHV charges'!$D:$O,10,FALSE)),"")</f>
        <v/>
      </c>
      <c r="G98" s="127" t="str">
        <f>IFERROR(IF(VLOOKUP($A98,'Annex 2 EHV charges'!$D:$O,11,FALSE)=0,"",VLOOKUP($A98,'Annex 2 EHV charges'!$D:$O,11,FALSE)),"")</f>
        <v/>
      </c>
      <c r="H98" s="127" t="str">
        <f>IFERROR(IF(VLOOKUP($A98,'Annex 2 EHV charges'!$D:$O,12,FALSE)=0,"",VLOOKUP($A98,'Annex 2 EHV charges'!$D:$O,12,FALSE)),"")</f>
        <v/>
      </c>
    </row>
    <row r="99" spans="1:8" ht="12.75" customHeight="1" x14ac:dyDescent="0.2">
      <c r="A99" s="124" t="str">
        <f t="array" ref="A99">IFERROR(INDEX('Annex 2 EHV charges'!$D$11:$D$260, MATCH(0, IF(ISBLANK('Annex 2 EHV charges'!$D$11:$D$260),1, COUNTIF(A$4:$A98, 'Annex 2 EHV charges'!$D$11:$D$260)), 0)),"")</f>
        <v/>
      </c>
      <c r="B99" s="123" t="str">
        <f>IF($A99="","",VLOOKUP($A99,'Annex 2 EHV charges'!$D:$O,2,0))</f>
        <v/>
      </c>
      <c r="C99" s="124" t="str">
        <f>IF($A99="","",VLOOKUP($A99,'Annex 2 EHV charges'!$D:$O,3,0))</f>
        <v/>
      </c>
      <c r="D99" s="123" t="str">
        <f>IF($A99="","",VLOOKUP($A99,'Annex 2 EHV charges'!$D:$O,4,0))</f>
        <v/>
      </c>
      <c r="E99" s="125" t="str">
        <f>IFERROR(IF(VLOOKUP($A99,'Annex 2 EHV charges'!$D:$O,9,FALSE)=0,"",VLOOKUP($A99,'Annex 2 EHV charges'!$D:$O,9,FALSE)),"")</f>
        <v/>
      </c>
      <c r="F99" s="126" t="str">
        <f>IFERROR(IF(VLOOKUP($A99,'Annex 2 EHV charges'!$D:$O,10,FALSE)=0,"",VLOOKUP($A99,'Annex 2 EHV charges'!$D:$O,10,FALSE)),"")</f>
        <v/>
      </c>
      <c r="G99" s="127" t="str">
        <f>IFERROR(IF(VLOOKUP($A99,'Annex 2 EHV charges'!$D:$O,11,FALSE)=0,"",VLOOKUP($A99,'Annex 2 EHV charges'!$D:$O,11,FALSE)),"")</f>
        <v/>
      </c>
      <c r="H99" s="127" t="str">
        <f>IFERROR(IF(VLOOKUP($A99,'Annex 2 EHV charges'!$D:$O,12,FALSE)=0,"",VLOOKUP($A99,'Annex 2 EHV charges'!$D:$O,12,FALSE)),"")</f>
        <v/>
      </c>
    </row>
    <row r="100" spans="1:8" ht="12.75" customHeight="1" x14ac:dyDescent="0.2">
      <c r="A100" s="124" t="str">
        <f t="array" ref="A100">IFERROR(INDEX('Annex 2 EHV charges'!$D$11:$D$260, MATCH(0, IF(ISBLANK('Annex 2 EHV charges'!$D$11:$D$260),1, COUNTIF(A$4:$A99, 'Annex 2 EHV charges'!$D$11:$D$260)), 0)),"")</f>
        <v/>
      </c>
      <c r="B100" s="123" t="str">
        <f>IF($A100="","",VLOOKUP($A100,'Annex 2 EHV charges'!$D:$O,2,0))</f>
        <v/>
      </c>
      <c r="C100" s="124" t="str">
        <f>IF($A100="","",VLOOKUP($A100,'Annex 2 EHV charges'!$D:$O,3,0))</f>
        <v/>
      </c>
      <c r="D100" s="123" t="str">
        <f>IF($A100="","",VLOOKUP($A100,'Annex 2 EHV charges'!$D:$O,4,0))</f>
        <v/>
      </c>
      <c r="E100" s="125" t="str">
        <f>IFERROR(IF(VLOOKUP($A100,'Annex 2 EHV charges'!$D:$O,9,FALSE)=0,"",VLOOKUP($A100,'Annex 2 EHV charges'!$D:$O,9,FALSE)),"")</f>
        <v/>
      </c>
      <c r="F100" s="126" t="str">
        <f>IFERROR(IF(VLOOKUP($A100,'Annex 2 EHV charges'!$D:$O,10,FALSE)=0,"",VLOOKUP($A100,'Annex 2 EHV charges'!$D:$O,10,FALSE)),"")</f>
        <v/>
      </c>
      <c r="G100" s="127" t="str">
        <f>IFERROR(IF(VLOOKUP($A100,'Annex 2 EHV charges'!$D:$O,11,FALSE)=0,"",VLOOKUP($A100,'Annex 2 EHV charges'!$D:$O,11,FALSE)),"")</f>
        <v/>
      </c>
      <c r="H100" s="127" t="str">
        <f>IFERROR(IF(VLOOKUP($A100,'Annex 2 EHV charges'!$D:$O,12,FALSE)=0,"",VLOOKUP($A100,'Annex 2 EHV charges'!$D:$O,12,FALSE)),"")</f>
        <v/>
      </c>
    </row>
    <row r="101" spans="1:8" ht="12.75" customHeight="1" x14ac:dyDescent="0.2">
      <c r="A101" s="124" t="str">
        <f t="array" ref="A101">IFERROR(INDEX('Annex 2 EHV charges'!$D$11:$D$260, MATCH(0, IF(ISBLANK('Annex 2 EHV charges'!$D$11:$D$260),1, COUNTIF(A$4:$A100, 'Annex 2 EHV charges'!$D$11:$D$260)), 0)),"")</f>
        <v/>
      </c>
      <c r="B101" s="123" t="str">
        <f>IF($A101="","",VLOOKUP($A101,'Annex 2 EHV charges'!$D:$O,2,0))</f>
        <v/>
      </c>
      <c r="C101" s="124" t="str">
        <f>IF($A101="","",VLOOKUP($A101,'Annex 2 EHV charges'!$D:$O,3,0))</f>
        <v/>
      </c>
      <c r="D101" s="123" t="str">
        <f>IF($A101="","",VLOOKUP($A101,'Annex 2 EHV charges'!$D:$O,4,0))</f>
        <v/>
      </c>
      <c r="E101" s="125" t="str">
        <f>IFERROR(IF(VLOOKUP($A101,'Annex 2 EHV charges'!$D:$O,9,FALSE)=0,"",VLOOKUP($A101,'Annex 2 EHV charges'!$D:$O,9,FALSE)),"")</f>
        <v/>
      </c>
      <c r="F101" s="126" t="str">
        <f>IFERROR(IF(VLOOKUP($A101,'Annex 2 EHV charges'!$D:$O,10,FALSE)=0,"",VLOOKUP($A101,'Annex 2 EHV charges'!$D:$O,10,FALSE)),"")</f>
        <v/>
      </c>
      <c r="G101" s="127" t="str">
        <f>IFERROR(IF(VLOOKUP($A101,'Annex 2 EHV charges'!$D:$O,11,FALSE)=0,"",VLOOKUP($A101,'Annex 2 EHV charges'!$D:$O,11,FALSE)),"")</f>
        <v/>
      </c>
      <c r="H101" s="127" t="str">
        <f>IFERROR(IF(VLOOKUP($A101,'Annex 2 EHV charges'!$D:$O,12,FALSE)=0,"",VLOOKUP($A101,'Annex 2 EHV charges'!$D:$O,12,FALSE)),"")</f>
        <v/>
      </c>
    </row>
    <row r="102" spans="1:8" ht="12.75" customHeight="1" x14ac:dyDescent="0.2">
      <c r="A102" s="124" t="str">
        <f t="array" ref="A102">IFERROR(INDEX('Annex 2 EHV charges'!$D$11:$D$260, MATCH(0, IF(ISBLANK('Annex 2 EHV charges'!$D$11:$D$260),1, COUNTIF(A$4:$A101, 'Annex 2 EHV charges'!$D$11:$D$260)), 0)),"")</f>
        <v/>
      </c>
      <c r="B102" s="123" t="str">
        <f>IF($A102="","",VLOOKUP($A102,'Annex 2 EHV charges'!$D:$O,2,0))</f>
        <v/>
      </c>
      <c r="C102" s="124" t="str">
        <f>IF($A102="","",VLOOKUP($A102,'Annex 2 EHV charges'!$D:$O,3,0))</f>
        <v/>
      </c>
      <c r="D102" s="123" t="str">
        <f>IF($A102="","",VLOOKUP($A102,'Annex 2 EHV charges'!$D:$O,4,0))</f>
        <v/>
      </c>
      <c r="E102" s="125" t="str">
        <f>IFERROR(IF(VLOOKUP($A102,'Annex 2 EHV charges'!$D:$O,9,FALSE)=0,"",VLOOKUP($A102,'Annex 2 EHV charges'!$D:$O,9,FALSE)),"")</f>
        <v/>
      </c>
      <c r="F102" s="126" t="str">
        <f>IFERROR(IF(VLOOKUP($A102,'Annex 2 EHV charges'!$D:$O,10,FALSE)=0,"",VLOOKUP($A102,'Annex 2 EHV charges'!$D:$O,10,FALSE)),"")</f>
        <v/>
      </c>
      <c r="G102" s="127" t="str">
        <f>IFERROR(IF(VLOOKUP($A102,'Annex 2 EHV charges'!$D:$O,11,FALSE)=0,"",VLOOKUP($A102,'Annex 2 EHV charges'!$D:$O,11,FALSE)),"")</f>
        <v/>
      </c>
      <c r="H102" s="127" t="str">
        <f>IFERROR(IF(VLOOKUP($A102,'Annex 2 EHV charges'!$D:$O,12,FALSE)=0,"",VLOOKUP($A102,'Annex 2 EHV charges'!$D:$O,12,FALSE)),"")</f>
        <v/>
      </c>
    </row>
    <row r="103" spans="1:8" ht="12.75" customHeight="1" x14ac:dyDescent="0.2">
      <c r="A103" s="124" t="str">
        <f t="array" ref="A103">IFERROR(INDEX('Annex 2 EHV charges'!$D$11:$D$260, MATCH(0, IF(ISBLANK('Annex 2 EHV charges'!$D$11:$D$260),1, COUNTIF(A$4:$A102, 'Annex 2 EHV charges'!$D$11:$D$260)), 0)),"")</f>
        <v/>
      </c>
      <c r="B103" s="123" t="str">
        <f>IF($A103="","",VLOOKUP($A103,'Annex 2 EHV charges'!$D:$O,2,0))</f>
        <v/>
      </c>
      <c r="C103" s="124" t="str">
        <f>IF($A103="","",VLOOKUP($A103,'Annex 2 EHV charges'!$D:$O,3,0))</f>
        <v/>
      </c>
      <c r="D103" s="123" t="str">
        <f>IF($A103="","",VLOOKUP($A103,'Annex 2 EHV charges'!$D:$O,4,0))</f>
        <v/>
      </c>
      <c r="E103" s="125" t="str">
        <f>IFERROR(IF(VLOOKUP($A103,'Annex 2 EHV charges'!$D:$O,9,FALSE)=0,"",VLOOKUP($A103,'Annex 2 EHV charges'!$D:$O,9,FALSE)),"")</f>
        <v/>
      </c>
      <c r="F103" s="126" t="str">
        <f>IFERROR(IF(VLOOKUP($A103,'Annex 2 EHV charges'!$D:$O,10,FALSE)=0,"",VLOOKUP($A103,'Annex 2 EHV charges'!$D:$O,10,FALSE)),"")</f>
        <v/>
      </c>
      <c r="G103" s="127" t="str">
        <f>IFERROR(IF(VLOOKUP($A103,'Annex 2 EHV charges'!$D:$O,11,FALSE)=0,"",VLOOKUP($A103,'Annex 2 EHV charges'!$D:$O,11,FALSE)),"")</f>
        <v/>
      </c>
      <c r="H103" s="127" t="str">
        <f>IFERROR(IF(VLOOKUP($A103,'Annex 2 EHV charges'!$D:$O,12,FALSE)=0,"",VLOOKUP($A103,'Annex 2 EHV charges'!$D:$O,12,FALSE)),"")</f>
        <v/>
      </c>
    </row>
    <row r="104" spans="1:8" ht="12.75" customHeight="1" x14ac:dyDescent="0.2">
      <c r="A104" s="124" t="str">
        <f t="array" ref="A104">IFERROR(INDEX('Annex 2 EHV charges'!$D$11:$D$260, MATCH(0, IF(ISBLANK('Annex 2 EHV charges'!$D$11:$D$260),1, COUNTIF(A$4:$A103, 'Annex 2 EHV charges'!$D$11:$D$260)), 0)),"")</f>
        <v/>
      </c>
      <c r="B104" s="123" t="str">
        <f>IF($A104="","",VLOOKUP($A104,'Annex 2 EHV charges'!$D:$O,2,0))</f>
        <v/>
      </c>
      <c r="C104" s="124" t="str">
        <f>IF($A104="","",VLOOKUP($A104,'Annex 2 EHV charges'!$D:$O,3,0))</f>
        <v/>
      </c>
      <c r="D104" s="123" t="str">
        <f>IF($A104="","",VLOOKUP($A104,'Annex 2 EHV charges'!$D:$O,4,0))</f>
        <v/>
      </c>
      <c r="E104" s="125" t="str">
        <f>IFERROR(IF(VLOOKUP($A104,'Annex 2 EHV charges'!$D:$O,9,FALSE)=0,"",VLOOKUP($A104,'Annex 2 EHV charges'!$D:$O,9,FALSE)),"")</f>
        <v/>
      </c>
      <c r="F104" s="126" t="str">
        <f>IFERROR(IF(VLOOKUP($A104,'Annex 2 EHV charges'!$D:$O,10,FALSE)=0,"",VLOOKUP($A104,'Annex 2 EHV charges'!$D:$O,10,FALSE)),"")</f>
        <v/>
      </c>
      <c r="G104" s="127" t="str">
        <f>IFERROR(IF(VLOOKUP($A104,'Annex 2 EHV charges'!$D:$O,11,FALSE)=0,"",VLOOKUP($A104,'Annex 2 EHV charges'!$D:$O,11,FALSE)),"")</f>
        <v/>
      </c>
      <c r="H104" s="127" t="str">
        <f>IFERROR(IF(VLOOKUP($A104,'Annex 2 EHV charges'!$D:$O,12,FALSE)=0,"",VLOOKUP($A104,'Annex 2 EHV charges'!$D:$O,12,FALSE)),"")</f>
        <v/>
      </c>
    </row>
    <row r="105" spans="1:8" ht="12.75" customHeight="1" x14ac:dyDescent="0.2">
      <c r="A105" s="124" t="str">
        <f t="array" ref="A105">IFERROR(INDEX('Annex 2 EHV charges'!$D$11:$D$260, MATCH(0, IF(ISBLANK('Annex 2 EHV charges'!$D$11:$D$260),1, COUNTIF(A$4:$A104, 'Annex 2 EHV charges'!$D$11:$D$260)), 0)),"")</f>
        <v/>
      </c>
      <c r="B105" s="123" t="str">
        <f>IF($A105="","",VLOOKUP($A105,'Annex 2 EHV charges'!$D:$O,2,0))</f>
        <v/>
      </c>
      <c r="C105" s="124" t="str">
        <f>IF($A105="","",VLOOKUP($A105,'Annex 2 EHV charges'!$D:$O,3,0))</f>
        <v/>
      </c>
      <c r="D105" s="123" t="str">
        <f>IF($A105="","",VLOOKUP($A105,'Annex 2 EHV charges'!$D:$O,4,0))</f>
        <v/>
      </c>
      <c r="E105" s="125" t="str">
        <f>IFERROR(IF(VLOOKUP($A105,'Annex 2 EHV charges'!$D:$O,9,FALSE)=0,"",VLOOKUP($A105,'Annex 2 EHV charges'!$D:$O,9,FALSE)),"")</f>
        <v/>
      </c>
      <c r="F105" s="126" t="str">
        <f>IFERROR(IF(VLOOKUP($A105,'Annex 2 EHV charges'!$D:$O,10,FALSE)=0,"",VLOOKUP($A105,'Annex 2 EHV charges'!$D:$O,10,FALSE)),"")</f>
        <v/>
      </c>
      <c r="G105" s="127" t="str">
        <f>IFERROR(IF(VLOOKUP($A105,'Annex 2 EHV charges'!$D:$O,11,FALSE)=0,"",VLOOKUP($A105,'Annex 2 EHV charges'!$D:$O,11,FALSE)),"")</f>
        <v/>
      </c>
      <c r="H105" s="127" t="str">
        <f>IFERROR(IF(VLOOKUP($A105,'Annex 2 EHV charges'!$D:$O,12,FALSE)=0,"",VLOOKUP($A105,'Annex 2 EHV charges'!$D:$O,12,FALSE)),"")</f>
        <v/>
      </c>
    </row>
    <row r="106" spans="1:8" ht="12.75" customHeight="1" x14ac:dyDescent="0.2">
      <c r="A106" s="124" t="str">
        <f t="array" ref="A106">IFERROR(INDEX('Annex 2 EHV charges'!$D$11:$D$260, MATCH(0, IF(ISBLANK('Annex 2 EHV charges'!$D$11:$D$260),1, COUNTIF(A$4:$A105, 'Annex 2 EHV charges'!$D$11:$D$260)), 0)),"")</f>
        <v/>
      </c>
      <c r="B106" s="123" t="str">
        <f>IF($A106="","",VLOOKUP($A106,'Annex 2 EHV charges'!$D:$O,2,0))</f>
        <v/>
      </c>
      <c r="C106" s="124" t="str">
        <f>IF($A106="","",VLOOKUP($A106,'Annex 2 EHV charges'!$D:$O,3,0))</f>
        <v/>
      </c>
      <c r="D106" s="123" t="str">
        <f>IF($A106="","",VLOOKUP($A106,'Annex 2 EHV charges'!$D:$O,4,0))</f>
        <v/>
      </c>
      <c r="E106" s="125" t="str">
        <f>IFERROR(IF(VLOOKUP($A106,'Annex 2 EHV charges'!$D:$O,9,FALSE)=0,"",VLOOKUP($A106,'Annex 2 EHV charges'!$D:$O,9,FALSE)),"")</f>
        <v/>
      </c>
      <c r="F106" s="126" t="str">
        <f>IFERROR(IF(VLOOKUP($A106,'Annex 2 EHV charges'!$D:$O,10,FALSE)=0,"",VLOOKUP($A106,'Annex 2 EHV charges'!$D:$O,10,FALSE)),"")</f>
        <v/>
      </c>
      <c r="G106" s="127" t="str">
        <f>IFERROR(IF(VLOOKUP($A106,'Annex 2 EHV charges'!$D:$O,11,FALSE)=0,"",VLOOKUP($A106,'Annex 2 EHV charges'!$D:$O,11,FALSE)),"")</f>
        <v/>
      </c>
      <c r="H106" s="127" t="str">
        <f>IFERROR(IF(VLOOKUP($A106,'Annex 2 EHV charges'!$D:$O,12,FALSE)=0,"",VLOOKUP($A106,'Annex 2 EHV charges'!$D:$O,12,FALSE)),"")</f>
        <v/>
      </c>
    </row>
    <row r="107" spans="1:8" ht="12.75" customHeight="1" x14ac:dyDescent="0.2">
      <c r="A107" s="124" t="str">
        <f t="array" ref="A107">IFERROR(INDEX('Annex 2 EHV charges'!$D$11:$D$260, MATCH(0, IF(ISBLANK('Annex 2 EHV charges'!$D$11:$D$260),1, COUNTIF(A$4:$A106, 'Annex 2 EHV charges'!$D$11:$D$260)), 0)),"")</f>
        <v/>
      </c>
      <c r="B107" s="123" t="str">
        <f>IF($A107="","",VLOOKUP($A107,'Annex 2 EHV charges'!$D:$O,2,0))</f>
        <v/>
      </c>
      <c r="C107" s="124" t="str">
        <f>IF($A107="","",VLOOKUP($A107,'Annex 2 EHV charges'!$D:$O,3,0))</f>
        <v/>
      </c>
      <c r="D107" s="123" t="str">
        <f>IF($A107="","",VLOOKUP($A107,'Annex 2 EHV charges'!$D:$O,4,0))</f>
        <v/>
      </c>
      <c r="E107" s="125" t="str">
        <f>IFERROR(IF(VLOOKUP($A107,'Annex 2 EHV charges'!$D:$O,9,FALSE)=0,"",VLOOKUP($A107,'Annex 2 EHV charges'!$D:$O,9,FALSE)),"")</f>
        <v/>
      </c>
      <c r="F107" s="126" t="str">
        <f>IFERROR(IF(VLOOKUP($A107,'Annex 2 EHV charges'!$D:$O,10,FALSE)=0,"",VLOOKUP($A107,'Annex 2 EHV charges'!$D:$O,10,FALSE)),"")</f>
        <v/>
      </c>
      <c r="G107" s="127" t="str">
        <f>IFERROR(IF(VLOOKUP($A107,'Annex 2 EHV charges'!$D:$O,11,FALSE)=0,"",VLOOKUP($A107,'Annex 2 EHV charges'!$D:$O,11,FALSE)),"")</f>
        <v/>
      </c>
      <c r="H107" s="127" t="str">
        <f>IFERROR(IF(VLOOKUP($A107,'Annex 2 EHV charges'!$D:$O,12,FALSE)=0,"",VLOOKUP($A107,'Annex 2 EHV charges'!$D:$O,12,FALSE)),"")</f>
        <v/>
      </c>
    </row>
    <row r="108" spans="1:8" ht="12.75" customHeight="1" x14ac:dyDescent="0.2">
      <c r="A108" s="124" t="str">
        <f t="array" ref="A108">IFERROR(INDEX('Annex 2 EHV charges'!$D$11:$D$260, MATCH(0, IF(ISBLANK('Annex 2 EHV charges'!$D$11:$D$260),1, COUNTIF(A$4:$A107, 'Annex 2 EHV charges'!$D$11:$D$260)), 0)),"")</f>
        <v/>
      </c>
      <c r="B108" s="123" t="str">
        <f>IF($A108="","",VLOOKUP($A108,'Annex 2 EHV charges'!$D:$O,2,0))</f>
        <v/>
      </c>
      <c r="C108" s="124" t="str">
        <f>IF($A108="","",VLOOKUP($A108,'Annex 2 EHV charges'!$D:$O,3,0))</f>
        <v/>
      </c>
      <c r="D108" s="123" t="str">
        <f>IF($A108="","",VLOOKUP($A108,'Annex 2 EHV charges'!$D:$O,4,0))</f>
        <v/>
      </c>
      <c r="E108" s="125" t="str">
        <f>IFERROR(IF(VLOOKUP($A108,'Annex 2 EHV charges'!$D:$O,9,FALSE)=0,"",VLOOKUP($A108,'Annex 2 EHV charges'!$D:$O,9,FALSE)),"")</f>
        <v/>
      </c>
      <c r="F108" s="126" t="str">
        <f>IFERROR(IF(VLOOKUP($A108,'Annex 2 EHV charges'!$D:$O,10,FALSE)=0,"",VLOOKUP($A108,'Annex 2 EHV charges'!$D:$O,10,FALSE)),"")</f>
        <v/>
      </c>
      <c r="G108" s="127" t="str">
        <f>IFERROR(IF(VLOOKUP($A108,'Annex 2 EHV charges'!$D:$O,11,FALSE)=0,"",VLOOKUP($A108,'Annex 2 EHV charges'!$D:$O,11,FALSE)),"")</f>
        <v/>
      </c>
      <c r="H108" s="127" t="str">
        <f>IFERROR(IF(VLOOKUP($A108,'Annex 2 EHV charges'!$D:$O,12,FALSE)=0,"",VLOOKUP($A108,'Annex 2 EHV charges'!$D:$O,12,FALSE)),"")</f>
        <v/>
      </c>
    </row>
    <row r="109" spans="1:8" ht="12.75" customHeight="1" x14ac:dyDescent="0.2">
      <c r="A109" s="124" t="str">
        <f t="array" ref="A109">IFERROR(INDEX('Annex 2 EHV charges'!$D$11:$D$260, MATCH(0, IF(ISBLANK('Annex 2 EHV charges'!$D$11:$D$260),1, COUNTIF(A$4:$A108, 'Annex 2 EHV charges'!$D$11:$D$260)), 0)),"")</f>
        <v/>
      </c>
      <c r="B109" s="123" t="str">
        <f>IF($A109="","",VLOOKUP($A109,'Annex 2 EHV charges'!$D:$O,2,0))</f>
        <v/>
      </c>
      <c r="C109" s="124" t="str">
        <f>IF($A109="","",VLOOKUP($A109,'Annex 2 EHV charges'!$D:$O,3,0))</f>
        <v/>
      </c>
      <c r="D109" s="123" t="str">
        <f>IF($A109="","",VLOOKUP($A109,'Annex 2 EHV charges'!$D:$O,4,0))</f>
        <v/>
      </c>
      <c r="E109" s="125" t="str">
        <f>IFERROR(IF(VLOOKUP($A109,'Annex 2 EHV charges'!$D:$O,9,FALSE)=0,"",VLOOKUP($A109,'Annex 2 EHV charges'!$D:$O,9,FALSE)),"")</f>
        <v/>
      </c>
      <c r="F109" s="126" t="str">
        <f>IFERROR(IF(VLOOKUP($A109,'Annex 2 EHV charges'!$D:$O,10,FALSE)=0,"",VLOOKUP($A109,'Annex 2 EHV charges'!$D:$O,10,FALSE)),"")</f>
        <v/>
      </c>
      <c r="G109" s="127" t="str">
        <f>IFERROR(IF(VLOOKUP($A109,'Annex 2 EHV charges'!$D:$O,11,FALSE)=0,"",VLOOKUP($A109,'Annex 2 EHV charges'!$D:$O,11,FALSE)),"")</f>
        <v/>
      </c>
      <c r="H109" s="127" t="str">
        <f>IFERROR(IF(VLOOKUP($A109,'Annex 2 EHV charges'!$D:$O,12,FALSE)=0,"",VLOOKUP($A109,'Annex 2 EHV charges'!$D:$O,12,FALSE)),"")</f>
        <v/>
      </c>
    </row>
    <row r="110" spans="1:8" ht="12.75" customHeight="1" x14ac:dyDescent="0.2">
      <c r="A110" s="124" t="str">
        <f t="array" ref="A110">IFERROR(INDEX('Annex 2 EHV charges'!$D$11:$D$260, MATCH(0, IF(ISBLANK('Annex 2 EHV charges'!$D$11:$D$260),1, COUNTIF(A$4:$A109, 'Annex 2 EHV charges'!$D$11:$D$260)), 0)),"")</f>
        <v/>
      </c>
      <c r="B110" s="123" t="str">
        <f>IF($A110="","",VLOOKUP($A110,'Annex 2 EHV charges'!$D:$O,2,0))</f>
        <v/>
      </c>
      <c r="C110" s="124" t="str">
        <f>IF($A110="","",VLOOKUP($A110,'Annex 2 EHV charges'!$D:$O,3,0))</f>
        <v/>
      </c>
      <c r="D110" s="123" t="str">
        <f>IF($A110="","",VLOOKUP($A110,'Annex 2 EHV charges'!$D:$O,4,0))</f>
        <v/>
      </c>
      <c r="E110" s="125" t="str">
        <f>IFERROR(IF(VLOOKUP($A110,'Annex 2 EHV charges'!$D:$O,9,FALSE)=0,"",VLOOKUP($A110,'Annex 2 EHV charges'!$D:$O,9,FALSE)),"")</f>
        <v/>
      </c>
      <c r="F110" s="126" t="str">
        <f>IFERROR(IF(VLOOKUP($A110,'Annex 2 EHV charges'!$D:$O,10,FALSE)=0,"",VLOOKUP($A110,'Annex 2 EHV charges'!$D:$O,10,FALSE)),"")</f>
        <v/>
      </c>
      <c r="G110" s="127" t="str">
        <f>IFERROR(IF(VLOOKUP($A110,'Annex 2 EHV charges'!$D:$O,11,FALSE)=0,"",VLOOKUP($A110,'Annex 2 EHV charges'!$D:$O,11,FALSE)),"")</f>
        <v/>
      </c>
      <c r="H110" s="127" t="str">
        <f>IFERROR(IF(VLOOKUP($A110,'Annex 2 EHV charges'!$D:$O,12,FALSE)=0,"",VLOOKUP($A110,'Annex 2 EHV charges'!$D:$O,12,FALSE)),"")</f>
        <v/>
      </c>
    </row>
    <row r="111" spans="1:8" ht="12.75" customHeight="1" x14ac:dyDescent="0.2">
      <c r="A111" s="124" t="str">
        <f t="array" ref="A111">IFERROR(INDEX('Annex 2 EHV charges'!$D$11:$D$260, MATCH(0, IF(ISBLANK('Annex 2 EHV charges'!$D$11:$D$260),1, COUNTIF(A$4:$A110, 'Annex 2 EHV charges'!$D$11:$D$260)), 0)),"")</f>
        <v/>
      </c>
      <c r="B111" s="123" t="str">
        <f>IF($A111="","",VLOOKUP($A111,'Annex 2 EHV charges'!$D:$O,2,0))</f>
        <v/>
      </c>
      <c r="C111" s="124" t="str">
        <f>IF($A111="","",VLOOKUP($A111,'Annex 2 EHV charges'!$D:$O,3,0))</f>
        <v/>
      </c>
      <c r="D111" s="123" t="str">
        <f>IF($A111="","",VLOOKUP($A111,'Annex 2 EHV charges'!$D:$O,4,0))</f>
        <v/>
      </c>
      <c r="E111" s="125" t="str">
        <f>IFERROR(IF(VLOOKUP($A111,'Annex 2 EHV charges'!$D:$O,9,FALSE)=0,"",VLOOKUP($A111,'Annex 2 EHV charges'!$D:$O,9,FALSE)),"")</f>
        <v/>
      </c>
      <c r="F111" s="126" t="str">
        <f>IFERROR(IF(VLOOKUP($A111,'Annex 2 EHV charges'!$D:$O,10,FALSE)=0,"",VLOOKUP($A111,'Annex 2 EHV charges'!$D:$O,10,FALSE)),"")</f>
        <v/>
      </c>
      <c r="G111" s="127" t="str">
        <f>IFERROR(IF(VLOOKUP($A111,'Annex 2 EHV charges'!$D:$O,11,FALSE)=0,"",VLOOKUP($A111,'Annex 2 EHV charges'!$D:$O,11,FALSE)),"")</f>
        <v/>
      </c>
      <c r="H111" s="127" t="str">
        <f>IFERROR(IF(VLOOKUP($A111,'Annex 2 EHV charges'!$D:$O,12,FALSE)=0,"",VLOOKUP($A111,'Annex 2 EHV charges'!$D:$O,12,FALSE)),"")</f>
        <v/>
      </c>
    </row>
    <row r="112" spans="1:8" ht="12.75" customHeight="1" x14ac:dyDescent="0.2">
      <c r="A112" s="124" t="str">
        <f t="array" ref="A112">IFERROR(INDEX('Annex 2 EHV charges'!$D$11:$D$260, MATCH(0, IF(ISBLANK('Annex 2 EHV charges'!$D$11:$D$260),1, COUNTIF(A$4:$A111, 'Annex 2 EHV charges'!$D$11:$D$260)), 0)),"")</f>
        <v/>
      </c>
      <c r="B112" s="123" t="str">
        <f>IF($A112="","",VLOOKUP($A112,'Annex 2 EHV charges'!$D:$O,2,0))</f>
        <v/>
      </c>
      <c r="C112" s="124" t="str">
        <f>IF($A112="","",VLOOKUP($A112,'Annex 2 EHV charges'!$D:$O,3,0))</f>
        <v/>
      </c>
      <c r="D112" s="123" t="str">
        <f>IF($A112="","",VLOOKUP($A112,'Annex 2 EHV charges'!$D:$O,4,0))</f>
        <v/>
      </c>
      <c r="E112" s="125" t="str">
        <f>IFERROR(IF(VLOOKUP($A112,'Annex 2 EHV charges'!$D:$O,9,FALSE)=0,"",VLOOKUP($A112,'Annex 2 EHV charges'!$D:$O,9,FALSE)),"")</f>
        <v/>
      </c>
      <c r="F112" s="126" t="str">
        <f>IFERROR(IF(VLOOKUP($A112,'Annex 2 EHV charges'!$D:$O,10,FALSE)=0,"",VLOOKUP($A112,'Annex 2 EHV charges'!$D:$O,10,FALSE)),"")</f>
        <v/>
      </c>
      <c r="G112" s="127" t="str">
        <f>IFERROR(IF(VLOOKUP($A112,'Annex 2 EHV charges'!$D:$O,11,FALSE)=0,"",VLOOKUP($A112,'Annex 2 EHV charges'!$D:$O,11,FALSE)),"")</f>
        <v/>
      </c>
      <c r="H112" s="127" t="str">
        <f>IFERROR(IF(VLOOKUP($A112,'Annex 2 EHV charges'!$D:$O,12,FALSE)=0,"",VLOOKUP($A112,'Annex 2 EHV charges'!$D:$O,12,FALSE)),"")</f>
        <v/>
      </c>
    </row>
    <row r="113" spans="1:8" ht="12.75" customHeight="1" x14ac:dyDescent="0.2">
      <c r="A113" s="124" t="str">
        <f t="array" ref="A113">IFERROR(INDEX('Annex 2 EHV charges'!$D$11:$D$260, MATCH(0, IF(ISBLANK('Annex 2 EHV charges'!$D$11:$D$260),1, COUNTIF(A$4:$A112, 'Annex 2 EHV charges'!$D$11:$D$260)), 0)),"")</f>
        <v/>
      </c>
      <c r="B113" s="123" t="str">
        <f>IF($A113="","",VLOOKUP($A113,'Annex 2 EHV charges'!$D:$O,2,0))</f>
        <v/>
      </c>
      <c r="C113" s="124" t="str">
        <f>IF($A113="","",VLOOKUP($A113,'Annex 2 EHV charges'!$D:$O,3,0))</f>
        <v/>
      </c>
      <c r="D113" s="123" t="str">
        <f>IF($A113="","",VLOOKUP($A113,'Annex 2 EHV charges'!$D:$O,4,0))</f>
        <v/>
      </c>
      <c r="E113" s="125" t="str">
        <f>IFERROR(IF(VLOOKUP($A113,'Annex 2 EHV charges'!$D:$O,9,FALSE)=0,"",VLOOKUP($A113,'Annex 2 EHV charges'!$D:$O,9,FALSE)),"")</f>
        <v/>
      </c>
      <c r="F113" s="126" t="str">
        <f>IFERROR(IF(VLOOKUP($A113,'Annex 2 EHV charges'!$D:$O,10,FALSE)=0,"",VLOOKUP($A113,'Annex 2 EHV charges'!$D:$O,10,FALSE)),"")</f>
        <v/>
      </c>
      <c r="G113" s="127" t="str">
        <f>IFERROR(IF(VLOOKUP($A113,'Annex 2 EHV charges'!$D:$O,11,FALSE)=0,"",VLOOKUP($A113,'Annex 2 EHV charges'!$D:$O,11,FALSE)),"")</f>
        <v/>
      </c>
      <c r="H113" s="127" t="str">
        <f>IFERROR(IF(VLOOKUP($A113,'Annex 2 EHV charges'!$D:$O,12,FALSE)=0,"",VLOOKUP($A113,'Annex 2 EHV charges'!$D:$O,12,FALSE)),"")</f>
        <v/>
      </c>
    </row>
    <row r="114" spans="1:8" ht="12.75" customHeight="1" x14ac:dyDescent="0.2">
      <c r="A114" s="124" t="str">
        <f t="array" ref="A114">IFERROR(INDEX('Annex 2 EHV charges'!$D$11:$D$260, MATCH(0, IF(ISBLANK('Annex 2 EHV charges'!$D$11:$D$260),1, COUNTIF(A$4:$A113, 'Annex 2 EHV charges'!$D$11:$D$260)), 0)),"")</f>
        <v/>
      </c>
      <c r="B114" s="123" t="str">
        <f>IF($A114="","",VLOOKUP($A114,'Annex 2 EHV charges'!$D:$O,2,0))</f>
        <v/>
      </c>
      <c r="C114" s="124" t="str">
        <f>IF($A114="","",VLOOKUP($A114,'Annex 2 EHV charges'!$D:$O,3,0))</f>
        <v/>
      </c>
      <c r="D114" s="123" t="str">
        <f>IF($A114="","",VLOOKUP($A114,'Annex 2 EHV charges'!$D:$O,4,0))</f>
        <v/>
      </c>
      <c r="E114" s="125" t="str">
        <f>IFERROR(IF(VLOOKUP($A114,'Annex 2 EHV charges'!$D:$O,9,FALSE)=0,"",VLOOKUP($A114,'Annex 2 EHV charges'!$D:$O,9,FALSE)),"")</f>
        <v/>
      </c>
      <c r="F114" s="126" t="str">
        <f>IFERROR(IF(VLOOKUP($A114,'Annex 2 EHV charges'!$D:$O,10,FALSE)=0,"",VLOOKUP($A114,'Annex 2 EHV charges'!$D:$O,10,FALSE)),"")</f>
        <v/>
      </c>
      <c r="G114" s="127" t="str">
        <f>IFERROR(IF(VLOOKUP($A114,'Annex 2 EHV charges'!$D:$O,11,FALSE)=0,"",VLOOKUP($A114,'Annex 2 EHV charges'!$D:$O,11,FALSE)),"")</f>
        <v/>
      </c>
      <c r="H114" s="127" t="str">
        <f>IFERROR(IF(VLOOKUP($A114,'Annex 2 EHV charges'!$D:$O,12,FALSE)=0,"",VLOOKUP($A114,'Annex 2 EHV charges'!$D:$O,12,FALSE)),"")</f>
        <v/>
      </c>
    </row>
    <row r="115" spans="1:8" ht="12.75" customHeight="1" x14ac:dyDescent="0.2">
      <c r="A115" s="124" t="str">
        <f t="array" ref="A115">IFERROR(INDEX('Annex 2 EHV charges'!$D$11:$D$260, MATCH(0, IF(ISBLANK('Annex 2 EHV charges'!$D$11:$D$260),1, COUNTIF(A$4:$A114, 'Annex 2 EHV charges'!$D$11:$D$260)), 0)),"")</f>
        <v/>
      </c>
      <c r="B115" s="123" t="str">
        <f>IF($A115="","",VLOOKUP($A115,'Annex 2 EHV charges'!$D:$O,2,0))</f>
        <v/>
      </c>
      <c r="C115" s="124" t="str">
        <f>IF($A115="","",VLOOKUP($A115,'Annex 2 EHV charges'!$D:$O,3,0))</f>
        <v/>
      </c>
      <c r="D115" s="123" t="str">
        <f>IF($A115="","",VLOOKUP($A115,'Annex 2 EHV charges'!$D:$O,4,0))</f>
        <v/>
      </c>
      <c r="E115" s="125" t="str">
        <f>IFERROR(IF(VLOOKUP($A115,'Annex 2 EHV charges'!$D:$O,9,FALSE)=0,"",VLOOKUP($A115,'Annex 2 EHV charges'!$D:$O,9,FALSE)),"")</f>
        <v/>
      </c>
      <c r="F115" s="126" t="str">
        <f>IFERROR(IF(VLOOKUP($A115,'Annex 2 EHV charges'!$D:$O,10,FALSE)=0,"",VLOOKUP($A115,'Annex 2 EHV charges'!$D:$O,10,FALSE)),"")</f>
        <v/>
      </c>
      <c r="G115" s="127" t="str">
        <f>IFERROR(IF(VLOOKUP($A115,'Annex 2 EHV charges'!$D:$O,11,FALSE)=0,"",VLOOKUP($A115,'Annex 2 EHV charges'!$D:$O,11,FALSE)),"")</f>
        <v/>
      </c>
      <c r="H115" s="127" t="str">
        <f>IFERROR(IF(VLOOKUP($A115,'Annex 2 EHV charges'!$D:$O,12,FALSE)=0,"",VLOOKUP($A115,'Annex 2 EHV charges'!$D:$O,12,FALSE)),"")</f>
        <v/>
      </c>
    </row>
    <row r="116" spans="1:8" ht="12.75" customHeight="1" x14ac:dyDescent="0.2">
      <c r="A116" s="124" t="str">
        <f t="array" ref="A116">IFERROR(INDEX('Annex 2 EHV charges'!$D$11:$D$260, MATCH(0, IF(ISBLANK('Annex 2 EHV charges'!$D$11:$D$260),1, COUNTIF(A$4:$A115, 'Annex 2 EHV charges'!$D$11:$D$260)), 0)),"")</f>
        <v/>
      </c>
      <c r="B116" s="123" t="str">
        <f>IF($A116="","",VLOOKUP($A116,'Annex 2 EHV charges'!$D:$O,2,0))</f>
        <v/>
      </c>
      <c r="C116" s="124" t="str">
        <f>IF($A116="","",VLOOKUP($A116,'Annex 2 EHV charges'!$D:$O,3,0))</f>
        <v/>
      </c>
      <c r="D116" s="123" t="str">
        <f>IF($A116="","",VLOOKUP($A116,'Annex 2 EHV charges'!$D:$O,4,0))</f>
        <v/>
      </c>
      <c r="E116" s="125" t="str">
        <f>IFERROR(IF(VLOOKUP($A116,'Annex 2 EHV charges'!$D:$O,9,FALSE)=0,"",VLOOKUP($A116,'Annex 2 EHV charges'!$D:$O,9,FALSE)),"")</f>
        <v/>
      </c>
      <c r="F116" s="126" t="str">
        <f>IFERROR(IF(VLOOKUP($A116,'Annex 2 EHV charges'!$D:$O,10,FALSE)=0,"",VLOOKUP($A116,'Annex 2 EHV charges'!$D:$O,10,FALSE)),"")</f>
        <v/>
      </c>
      <c r="G116" s="127" t="str">
        <f>IFERROR(IF(VLOOKUP($A116,'Annex 2 EHV charges'!$D:$O,11,FALSE)=0,"",VLOOKUP($A116,'Annex 2 EHV charges'!$D:$O,11,FALSE)),"")</f>
        <v/>
      </c>
      <c r="H116" s="127" t="str">
        <f>IFERROR(IF(VLOOKUP($A116,'Annex 2 EHV charges'!$D:$O,12,FALSE)=0,"",VLOOKUP($A116,'Annex 2 EHV charges'!$D:$O,12,FALSE)),"")</f>
        <v/>
      </c>
    </row>
    <row r="117" spans="1:8" ht="12.75" customHeight="1" x14ac:dyDescent="0.2">
      <c r="A117" s="124" t="str">
        <f t="array" ref="A117">IFERROR(INDEX('Annex 2 EHV charges'!$D$11:$D$260, MATCH(0, IF(ISBLANK('Annex 2 EHV charges'!$D$11:$D$260),1, COUNTIF(A$4:$A116, 'Annex 2 EHV charges'!$D$11:$D$260)), 0)),"")</f>
        <v/>
      </c>
      <c r="B117" s="123" t="str">
        <f>IF($A117="","",VLOOKUP($A117,'Annex 2 EHV charges'!$D:$O,2,0))</f>
        <v/>
      </c>
      <c r="C117" s="124" t="str">
        <f>IF($A117="","",VLOOKUP($A117,'Annex 2 EHV charges'!$D:$O,3,0))</f>
        <v/>
      </c>
      <c r="D117" s="123" t="str">
        <f>IF($A117="","",VLOOKUP($A117,'Annex 2 EHV charges'!$D:$O,4,0))</f>
        <v/>
      </c>
      <c r="E117" s="125" t="str">
        <f>IFERROR(IF(VLOOKUP($A117,'Annex 2 EHV charges'!$D:$O,9,FALSE)=0,"",VLOOKUP($A117,'Annex 2 EHV charges'!$D:$O,9,FALSE)),"")</f>
        <v/>
      </c>
      <c r="F117" s="126" t="str">
        <f>IFERROR(IF(VLOOKUP($A117,'Annex 2 EHV charges'!$D:$O,10,FALSE)=0,"",VLOOKUP($A117,'Annex 2 EHV charges'!$D:$O,10,FALSE)),"")</f>
        <v/>
      </c>
      <c r="G117" s="127" t="str">
        <f>IFERROR(IF(VLOOKUP($A117,'Annex 2 EHV charges'!$D:$O,11,FALSE)=0,"",VLOOKUP($A117,'Annex 2 EHV charges'!$D:$O,11,FALSE)),"")</f>
        <v/>
      </c>
      <c r="H117" s="127" t="str">
        <f>IFERROR(IF(VLOOKUP($A117,'Annex 2 EHV charges'!$D:$O,12,FALSE)=0,"",VLOOKUP($A117,'Annex 2 EHV charges'!$D:$O,12,FALSE)),"")</f>
        <v/>
      </c>
    </row>
    <row r="118" spans="1:8" ht="12.75" customHeight="1" x14ac:dyDescent="0.2">
      <c r="A118" s="124" t="str">
        <f t="array" ref="A118">IFERROR(INDEX('Annex 2 EHV charges'!$D$11:$D$260, MATCH(0, IF(ISBLANK('Annex 2 EHV charges'!$D$11:$D$260),1, COUNTIF(A$4:$A117, 'Annex 2 EHV charges'!$D$11:$D$260)), 0)),"")</f>
        <v/>
      </c>
      <c r="B118" s="123" t="str">
        <f>IF($A118="","",VLOOKUP($A118,'Annex 2 EHV charges'!$D:$O,2,0))</f>
        <v/>
      </c>
      <c r="C118" s="124" t="str">
        <f>IF($A118="","",VLOOKUP($A118,'Annex 2 EHV charges'!$D:$O,3,0))</f>
        <v/>
      </c>
      <c r="D118" s="123" t="str">
        <f>IF($A118="","",VLOOKUP($A118,'Annex 2 EHV charges'!$D:$O,4,0))</f>
        <v/>
      </c>
      <c r="E118" s="125" t="str">
        <f>IFERROR(IF(VLOOKUP($A118,'Annex 2 EHV charges'!$D:$O,9,FALSE)=0,"",VLOOKUP($A118,'Annex 2 EHV charges'!$D:$O,9,FALSE)),"")</f>
        <v/>
      </c>
      <c r="F118" s="126" t="str">
        <f>IFERROR(IF(VLOOKUP($A118,'Annex 2 EHV charges'!$D:$O,10,FALSE)=0,"",VLOOKUP($A118,'Annex 2 EHV charges'!$D:$O,10,FALSE)),"")</f>
        <v/>
      </c>
      <c r="G118" s="127" t="str">
        <f>IFERROR(IF(VLOOKUP($A118,'Annex 2 EHV charges'!$D:$O,11,FALSE)=0,"",VLOOKUP($A118,'Annex 2 EHV charges'!$D:$O,11,FALSE)),"")</f>
        <v/>
      </c>
      <c r="H118" s="127" t="str">
        <f>IFERROR(IF(VLOOKUP($A118,'Annex 2 EHV charges'!$D:$O,12,FALSE)=0,"",VLOOKUP($A118,'Annex 2 EHV charges'!$D:$O,12,FALSE)),"")</f>
        <v/>
      </c>
    </row>
    <row r="119" spans="1:8" ht="12.75" customHeight="1" x14ac:dyDescent="0.2">
      <c r="A119" s="124" t="str">
        <f t="array" ref="A119">IFERROR(INDEX('Annex 2 EHV charges'!$D$11:$D$260, MATCH(0, IF(ISBLANK('Annex 2 EHV charges'!$D$11:$D$260),1, COUNTIF(A$4:$A118, 'Annex 2 EHV charges'!$D$11:$D$260)), 0)),"")</f>
        <v/>
      </c>
      <c r="B119" s="123" t="str">
        <f>IF($A119="","",VLOOKUP($A119,'Annex 2 EHV charges'!$D:$O,2,0))</f>
        <v/>
      </c>
      <c r="C119" s="124" t="str">
        <f>IF($A119="","",VLOOKUP($A119,'Annex 2 EHV charges'!$D:$O,3,0))</f>
        <v/>
      </c>
      <c r="D119" s="123" t="str">
        <f>IF($A119="","",VLOOKUP($A119,'Annex 2 EHV charges'!$D:$O,4,0))</f>
        <v/>
      </c>
      <c r="E119" s="125" t="str">
        <f>IFERROR(IF(VLOOKUP($A119,'Annex 2 EHV charges'!$D:$O,9,FALSE)=0,"",VLOOKUP($A119,'Annex 2 EHV charges'!$D:$O,9,FALSE)),"")</f>
        <v/>
      </c>
      <c r="F119" s="126" t="str">
        <f>IFERROR(IF(VLOOKUP($A119,'Annex 2 EHV charges'!$D:$O,10,FALSE)=0,"",VLOOKUP($A119,'Annex 2 EHV charges'!$D:$O,10,FALSE)),"")</f>
        <v/>
      </c>
      <c r="G119" s="127" t="str">
        <f>IFERROR(IF(VLOOKUP($A119,'Annex 2 EHV charges'!$D:$O,11,FALSE)=0,"",VLOOKUP($A119,'Annex 2 EHV charges'!$D:$O,11,FALSE)),"")</f>
        <v/>
      </c>
      <c r="H119" s="127" t="str">
        <f>IFERROR(IF(VLOOKUP($A119,'Annex 2 EHV charges'!$D:$O,12,FALSE)=0,"",VLOOKUP($A119,'Annex 2 EHV charges'!$D:$O,12,FALSE)),"")</f>
        <v/>
      </c>
    </row>
    <row r="120" spans="1:8" ht="12.75" customHeight="1" x14ac:dyDescent="0.2">
      <c r="A120" s="124" t="str">
        <f t="array" ref="A120">IFERROR(INDEX('Annex 2 EHV charges'!$D$11:$D$260, MATCH(0, IF(ISBLANK('Annex 2 EHV charges'!$D$11:$D$260),1, COUNTIF(A$4:$A119, 'Annex 2 EHV charges'!$D$11:$D$260)), 0)),"")</f>
        <v/>
      </c>
      <c r="B120" s="123" t="str">
        <f>IF($A120="","",VLOOKUP($A120,'Annex 2 EHV charges'!$D:$O,2,0))</f>
        <v/>
      </c>
      <c r="C120" s="124" t="str">
        <f>IF($A120="","",VLOOKUP($A120,'Annex 2 EHV charges'!$D:$O,3,0))</f>
        <v/>
      </c>
      <c r="D120" s="123" t="str">
        <f>IF($A120="","",VLOOKUP($A120,'Annex 2 EHV charges'!$D:$O,4,0))</f>
        <v/>
      </c>
      <c r="E120" s="125" t="str">
        <f>IFERROR(IF(VLOOKUP($A120,'Annex 2 EHV charges'!$D:$O,9,FALSE)=0,"",VLOOKUP($A120,'Annex 2 EHV charges'!$D:$O,9,FALSE)),"")</f>
        <v/>
      </c>
      <c r="F120" s="126" t="str">
        <f>IFERROR(IF(VLOOKUP($A120,'Annex 2 EHV charges'!$D:$O,10,FALSE)=0,"",VLOOKUP($A120,'Annex 2 EHV charges'!$D:$O,10,FALSE)),"")</f>
        <v/>
      </c>
      <c r="G120" s="127" t="str">
        <f>IFERROR(IF(VLOOKUP($A120,'Annex 2 EHV charges'!$D:$O,11,FALSE)=0,"",VLOOKUP($A120,'Annex 2 EHV charges'!$D:$O,11,FALSE)),"")</f>
        <v/>
      </c>
      <c r="H120" s="127" t="str">
        <f>IFERROR(IF(VLOOKUP($A120,'Annex 2 EHV charges'!$D:$O,12,FALSE)=0,"",VLOOKUP($A120,'Annex 2 EHV charges'!$D:$O,12,FALSE)),"")</f>
        <v/>
      </c>
    </row>
    <row r="121" spans="1:8" ht="12.75" customHeight="1" x14ac:dyDescent="0.2">
      <c r="A121" s="124" t="str">
        <f t="array" ref="A121">IFERROR(INDEX('Annex 2 EHV charges'!$D$11:$D$260, MATCH(0, IF(ISBLANK('Annex 2 EHV charges'!$D$11:$D$260),1, COUNTIF(A$4:$A120, 'Annex 2 EHV charges'!$D$11:$D$260)), 0)),"")</f>
        <v/>
      </c>
      <c r="B121" s="123" t="str">
        <f>IF($A121="","",VLOOKUP($A121,'Annex 2 EHV charges'!$D:$O,2,0))</f>
        <v/>
      </c>
      <c r="C121" s="124" t="str">
        <f>IF($A121="","",VLOOKUP($A121,'Annex 2 EHV charges'!$D:$O,3,0))</f>
        <v/>
      </c>
      <c r="D121" s="123" t="str">
        <f>IF($A121="","",VLOOKUP($A121,'Annex 2 EHV charges'!$D:$O,4,0))</f>
        <v/>
      </c>
      <c r="E121" s="125" t="str">
        <f>IFERROR(IF(VLOOKUP($A121,'Annex 2 EHV charges'!$D:$O,9,FALSE)=0,"",VLOOKUP($A121,'Annex 2 EHV charges'!$D:$O,9,FALSE)),"")</f>
        <v/>
      </c>
      <c r="F121" s="126" t="str">
        <f>IFERROR(IF(VLOOKUP($A121,'Annex 2 EHV charges'!$D:$O,10,FALSE)=0,"",VLOOKUP($A121,'Annex 2 EHV charges'!$D:$O,10,FALSE)),"")</f>
        <v/>
      </c>
      <c r="G121" s="127" t="str">
        <f>IFERROR(IF(VLOOKUP($A121,'Annex 2 EHV charges'!$D:$O,11,FALSE)=0,"",VLOOKUP($A121,'Annex 2 EHV charges'!$D:$O,11,FALSE)),"")</f>
        <v/>
      </c>
      <c r="H121" s="127" t="str">
        <f>IFERROR(IF(VLOOKUP($A121,'Annex 2 EHV charges'!$D:$O,12,FALSE)=0,"",VLOOKUP($A121,'Annex 2 EHV charges'!$D:$O,12,FALSE)),"")</f>
        <v/>
      </c>
    </row>
    <row r="122" spans="1:8" ht="12.75" customHeight="1" x14ac:dyDescent="0.2">
      <c r="A122" s="124" t="str">
        <f t="array" ref="A122">IFERROR(INDEX('Annex 2 EHV charges'!$D$11:$D$260, MATCH(0, IF(ISBLANK('Annex 2 EHV charges'!$D$11:$D$260),1, COUNTIF(A$4:$A121, 'Annex 2 EHV charges'!$D$11:$D$260)), 0)),"")</f>
        <v/>
      </c>
      <c r="B122" s="123" t="str">
        <f>IF($A122="","",VLOOKUP($A122,'Annex 2 EHV charges'!$D:$O,2,0))</f>
        <v/>
      </c>
      <c r="C122" s="124" t="str">
        <f>IF($A122="","",VLOOKUP($A122,'Annex 2 EHV charges'!$D:$O,3,0))</f>
        <v/>
      </c>
      <c r="D122" s="123" t="str">
        <f>IF($A122="","",VLOOKUP($A122,'Annex 2 EHV charges'!$D:$O,4,0))</f>
        <v/>
      </c>
      <c r="E122" s="125" t="str">
        <f>IFERROR(IF(VLOOKUP($A122,'Annex 2 EHV charges'!$D:$O,9,FALSE)=0,"",VLOOKUP($A122,'Annex 2 EHV charges'!$D:$O,9,FALSE)),"")</f>
        <v/>
      </c>
      <c r="F122" s="126" t="str">
        <f>IFERROR(IF(VLOOKUP($A122,'Annex 2 EHV charges'!$D:$O,10,FALSE)=0,"",VLOOKUP($A122,'Annex 2 EHV charges'!$D:$O,10,FALSE)),"")</f>
        <v/>
      </c>
      <c r="G122" s="127" t="str">
        <f>IFERROR(IF(VLOOKUP($A122,'Annex 2 EHV charges'!$D:$O,11,FALSE)=0,"",VLOOKUP($A122,'Annex 2 EHV charges'!$D:$O,11,FALSE)),"")</f>
        <v/>
      </c>
      <c r="H122" s="127" t="str">
        <f>IFERROR(IF(VLOOKUP($A122,'Annex 2 EHV charges'!$D:$O,12,FALSE)=0,"",VLOOKUP($A122,'Annex 2 EHV charges'!$D:$O,12,FALSE)),"")</f>
        <v/>
      </c>
    </row>
    <row r="123" spans="1:8" ht="12.75" customHeight="1" x14ac:dyDescent="0.2">
      <c r="A123" s="124" t="str">
        <f t="array" ref="A123">IFERROR(INDEX('Annex 2 EHV charges'!$D$11:$D$260, MATCH(0, IF(ISBLANK('Annex 2 EHV charges'!$D$11:$D$260),1, COUNTIF(A$4:$A122, 'Annex 2 EHV charges'!$D$11:$D$260)), 0)),"")</f>
        <v/>
      </c>
      <c r="B123" s="123" t="str">
        <f>IF($A123="","",VLOOKUP($A123,'Annex 2 EHV charges'!$D:$O,2,0))</f>
        <v/>
      </c>
      <c r="C123" s="124" t="str">
        <f>IF($A123="","",VLOOKUP($A123,'Annex 2 EHV charges'!$D:$O,3,0))</f>
        <v/>
      </c>
      <c r="D123" s="123" t="str">
        <f>IF($A123="","",VLOOKUP($A123,'Annex 2 EHV charges'!$D:$O,4,0))</f>
        <v/>
      </c>
      <c r="E123" s="125" t="str">
        <f>IFERROR(IF(VLOOKUP($A123,'Annex 2 EHV charges'!$D:$O,9,FALSE)=0,"",VLOOKUP($A123,'Annex 2 EHV charges'!$D:$O,9,FALSE)),"")</f>
        <v/>
      </c>
      <c r="F123" s="126" t="str">
        <f>IFERROR(IF(VLOOKUP($A123,'Annex 2 EHV charges'!$D:$O,10,FALSE)=0,"",VLOOKUP($A123,'Annex 2 EHV charges'!$D:$O,10,FALSE)),"")</f>
        <v/>
      </c>
      <c r="G123" s="127" t="str">
        <f>IFERROR(IF(VLOOKUP($A123,'Annex 2 EHV charges'!$D:$O,11,FALSE)=0,"",VLOOKUP($A123,'Annex 2 EHV charges'!$D:$O,11,FALSE)),"")</f>
        <v/>
      </c>
      <c r="H123" s="127" t="str">
        <f>IFERROR(IF(VLOOKUP($A123,'Annex 2 EHV charges'!$D:$O,12,FALSE)=0,"",VLOOKUP($A123,'Annex 2 EHV charges'!$D:$O,12,FALSE)),"")</f>
        <v/>
      </c>
    </row>
    <row r="124" spans="1:8" ht="12.75" customHeight="1" x14ac:dyDescent="0.2">
      <c r="A124" s="124" t="str">
        <f t="array" ref="A124">IFERROR(INDEX('Annex 2 EHV charges'!$D$11:$D$260, MATCH(0, IF(ISBLANK('Annex 2 EHV charges'!$D$11:$D$260),1, COUNTIF(A$4:$A123, 'Annex 2 EHV charges'!$D$11:$D$260)), 0)),"")</f>
        <v/>
      </c>
      <c r="B124" s="123" t="str">
        <f>IF($A124="","",VLOOKUP($A124,'Annex 2 EHV charges'!$D:$O,2,0))</f>
        <v/>
      </c>
      <c r="C124" s="124" t="str">
        <f>IF($A124="","",VLOOKUP($A124,'Annex 2 EHV charges'!$D:$O,3,0))</f>
        <v/>
      </c>
      <c r="D124" s="123" t="str">
        <f>IF($A124="","",VLOOKUP($A124,'Annex 2 EHV charges'!$D:$O,4,0))</f>
        <v/>
      </c>
      <c r="E124" s="125" t="str">
        <f>IFERROR(IF(VLOOKUP($A124,'Annex 2 EHV charges'!$D:$O,9,FALSE)=0,"",VLOOKUP($A124,'Annex 2 EHV charges'!$D:$O,9,FALSE)),"")</f>
        <v/>
      </c>
      <c r="F124" s="126" t="str">
        <f>IFERROR(IF(VLOOKUP($A124,'Annex 2 EHV charges'!$D:$O,10,FALSE)=0,"",VLOOKUP($A124,'Annex 2 EHV charges'!$D:$O,10,FALSE)),"")</f>
        <v/>
      </c>
      <c r="G124" s="127" t="str">
        <f>IFERROR(IF(VLOOKUP($A124,'Annex 2 EHV charges'!$D:$O,11,FALSE)=0,"",VLOOKUP($A124,'Annex 2 EHV charges'!$D:$O,11,FALSE)),"")</f>
        <v/>
      </c>
      <c r="H124" s="127" t="str">
        <f>IFERROR(IF(VLOOKUP($A124,'Annex 2 EHV charges'!$D:$O,12,FALSE)=0,"",VLOOKUP($A124,'Annex 2 EHV charges'!$D:$O,12,FALSE)),"")</f>
        <v/>
      </c>
    </row>
    <row r="125" spans="1:8" ht="12.75" customHeight="1" x14ac:dyDescent="0.2">
      <c r="A125" s="124" t="str">
        <f t="array" ref="A125">IFERROR(INDEX('Annex 2 EHV charges'!$D$11:$D$260, MATCH(0, IF(ISBLANK('Annex 2 EHV charges'!$D$11:$D$260),1, COUNTIF(A$4:$A124, 'Annex 2 EHV charges'!$D$11:$D$260)), 0)),"")</f>
        <v/>
      </c>
      <c r="B125" s="123" t="str">
        <f>IF($A125="","",VLOOKUP($A125,'Annex 2 EHV charges'!$D:$O,2,0))</f>
        <v/>
      </c>
      <c r="C125" s="124" t="str">
        <f>IF($A125="","",VLOOKUP($A125,'Annex 2 EHV charges'!$D:$O,3,0))</f>
        <v/>
      </c>
      <c r="D125" s="123" t="str">
        <f>IF($A125="","",VLOOKUP($A125,'Annex 2 EHV charges'!$D:$O,4,0))</f>
        <v/>
      </c>
      <c r="E125" s="125" t="str">
        <f>IFERROR(IF(VLOOKUP($A125,'Annex 2 EHV charges'!$D:$O,9,FALSE)=0,"",VLOOKUP($A125,'Annex 2 EHV charges'!$D:$O,9,FALSE)),"")</f>
        <v/>
      </c>
      <c r="F125" s="126" t="str">
        <f>IFERROR(IF(VLOOKUP($A125,'Annex 2 EHV charges'!$D:$O,10,FALSE)=0,"",VLOOKUP($A125,'Annex 2 EHV charges'!$D:$O,10,FALSE)),"")</f>
        <v/>
      </c>
      <c r="G125" s="127" t="str">
        <f>IFERROR(IF(VLOOKUP($A125,'Annex 2 EHV charges'!$D:$O,11,FALSE)=0,"",VLOOKUP($A125,'Annex 2 EHV charges'!$D:$O,11,FALSE)),"")</f>
        <v/>
      </c>
      <c r="H125" s="127" t="str">
        <f>IFERROR(IF(VLOOKUP($A125,'Annex 2 EHV charges'!$D:$O,12,FALSE)=0,"",VLOOKUP($A125,'Annex 2 EHV charges'!$D:$O,12,FALSE)),"")</f>
        <v/>
      </c>
    </row>
    <row r="126" spans="1:8" ht="12.75" customHeight="1" x14ac:dyDescent="0.2">
      <c r="A126" s="124" t="str">
        <f t="array" ref="A126">IFERROR(INDEX('Annex 2 EHV charges'!$D$11:$D$260, MATCH(0, IF(ISBLANK('Annex 2 EHV charges'!$D$11:$D$260),1, COUNTIF(A$4:$A125, 'Annex 2 EHV charges'!$D$11:$D$260)), 0)),"")</f>
        <v/>
      </c>
      <c r="B126" s="123" t="str">
        <f>IF($A126="","",VLOOKUP($A126,'Annex 2 EHV charges'!$D:$O,2,0))</f>
        <v/>
      </c>
      <c r="C126" s="124" t="str">
        <f>IF($A126="","",VLOOKUP($A126,'Annex 2 EHV charges'!$D:$O,3,0))</f>
        <v/>
      </c>
      <c r="D126" s="123" t="str">
        <f>IF($A126="","",VLOOKUP($A126,'Annex 2 EHV charges'!$D:$O,4,0))</f>
        <v/>
      </c>
      <c r="E126" s="125" t="str">
        <f>IFERROR(IF(VLOOKUP($A126,'Annex 2 EHV charges'!$D:$O,9,FALSE)=0,"",VLOOKUP($A126,'Annex 2 EHV charges'!$D:$O,9,FALSE)),"")</f>
        <v/>
      </c>
      <c r="F126" s="126" t="str">
        <f>IFERROR(IF(VLOOKUP($A126,'Annex 2 EHV charges'!$D:$O,10,FALSE)=0,"",VLOOKUP($A126,'Annex 2 EHV charges'!$D:$O,10,FALSE)),"")</f>
        <v/>
      </c>
      <c r="G126" s="127" t="str">
        <f>IFERROR(IF(VLOOKUP($A126,'Annex 2 EHV charges'!$D:$O,11,FALSE)=0,"",VLOOKUP($A126,'Annex 2 EHV charges'!$D:$O,11,FALSE)),"")</f>
        <v/>
      </c>
      <c r="H126" s="127" t="str">
        <f>IFERROR(IF(VLOOKUP($A126,'Annex 2 EHV charges'!$D:$O,12,FALSE)=0,"",VLOOKUP($A126,'Annex 2 EHV charges'!$D:$O,12,FALSE)),"")</f>
        <v/>
      </c>
    </row>
    <row r="127" spans="1:8" ht="12.75" customHeight="1" x14ac:dyDescent="0.2">
      <c r="A127" s="124" t="str">
        <f t="array" ref="A127">IFERROR(INDEX('Annex 2 EHV charges'!$D$11:$D$260, MATCH(0, IF(ISBLANK('Annex 2 EHV charges'!$D$11:$D$260),1, COUNTIF(A$4:$A126, 'Annex 2 EHV charges'!$D$11:$D$260)), 0)),"")</f>
        <v/>
      </c>
      <c r="B127" s="123" t="str">
        <f>IF($A127="","",VLOOKUP($A127,'Annex 2 EHV charges'!$D:$O,2,0))</f>
        <v/>
      </c>
      <c r="C127" s="124" t="str">
        <f>IF($A127="","",VLOOKUP($A127,'Annex 2 EHV charges'!$D:$O,3,0))</f>
        <v/>
      </c>
      <c r="D127" s="123" t="str">
        <f>IF($A127="","",VLOOKUP($A127,'Annex 2 EHV charges'!$D:$O,4,0))</f>
        <v/>
      </c>
      <c r="E127" s="125" t="str">
        <f>IFERROR(IF(VLOOKUP($A127,'Annex 2 EHV charges'!$D:$O,9,FALSE)=0,"",VLOOKUP($A127,'Annex 2 EHV charges'!$D:$O,9,FALSE)),"")</f>
        <v/>
      </c>
      <c r="F127" s="126" t="str">
        <f>IFERROR(IF(VLOOKUP($A127,'Annex 2 EHV charges'!$D:$O,10,FALSE)=0,"",VLOOKUP($A127,'Annex 2 EHV charges'!$D:$O,10,FALSE)),"")</f>
        <v/>
      </c>
      <c r="G127" s="127" t="str">
        <f>IFERROR(IF(VLOOKUP($A127,'Annex 2 EHV charges'!$D:$O,11,FALSE)=0,"",VLOOKUP($A127,'Annex 2 EHV charges'!$D:$O,11,FALSE)),"")</f>
        <v/>
      </c>
      <c r="H127" s="127" t="str">
        <f>IFERROR(IF(VLOOKUP($A127,'Annex 2 EHV charges'!$D:$O,12,FALSE)=0,"",VLOOKUP($A127,'Annex 2 EHV charges'!$D:$O,12,FALSE)),"")</f>
        <v/>
      </c>
    </row>
    <row r="128" spans="1:8" ht="12.75" customHeight="1" x14ac:dyDescent="0.2">
      <c r="A128" s="124" t="str">
        <f t="array" ref="A128">IFERROR(INDEX('Annex 2 EHV charges'!$D$11:$D$260, MATCH(0, IF(ISBLANK('Annex 2 EHV charges'!$D$11:$D$260),1, COUNTIF(A$4:$A127, 'Annex 2 EHV charges'!$D$11:$D$260)), 0)),"")</f>
        <v/>
      </c>
      <c r="B128" s="123" t="str">
        <f>IF($A128="","",VLOOKUP($A128,'Annex 2 EHV charges'!$D:$O,2,0))</f>
        <v/>
      </c>
      <c r="C128" s="124" t="str">
        <f>IF($A128="","",VLOOKUP($A128,'Annex 2 EHV charges'!$D:$O,3,0))</f>
        <v/>
      </c>
      <c r="D128" s="123" t="str">
        <f>IF($A128="","",VLOOKUP($A128,'Annex 2 EHV charges'!$D:$O,4,0))</f>
        <v/>
      </c>
      <c r="E128" s="125" t="str">
        <f>IFERROR(IF(VLOOKUP($A128,'Annex 2 EHV charges'!$D:$O,9,FALSE)=0,"",VLOOKUP($A128,'Annex 2 EHV charges'!$D:$O,9,FALSE)),"")</f>
        <v/>
      </c>
      <c r="F128" s="126" t="str">
        <f>IFERROR(IF(VLOOKUP($A128,'Annex 2 EHV charges'!$D:$O,10,FALSE)=0,"",VLOOKUP($A128,'Annex 2 EHV charges'!$D:$O,10,FALSE)),"")</f>
        <v/>
      </c>
      <c r="G128" s="127" t="str">
        <f>IFERROR(IF(VLOOKUP($A128,'Annex 2 EHV charges'!$D:$O,11,FALSE)=0,"",VLOOKUP($A128,'Annex 2 EHV charges'!$D:$O,11,FALSE)),"")</f>
        <v/>
      </c>
      <c r="H128" s="127" t="str">
        <f>IFERROR(IF(VLOOKUP($A128,'Annex 2 EHV charges'!$D:$O,12,FALSE)=0,"",VLOOKUP($A128,'Annex 2 EHV charges'!$D:$O,12,FALSE)),"")</f>
        <v/>
      </c>
    </row>
    <row r="129" spans="1:8" ht="12.75" customHeight="1" x14ac:dyDescent="0.2">
      <c r="A129" s="124" t="str">
        <f t="array" ref="A129">IFERROR(INDEX('Annex 2 EHV charges'!$D$11:$D$260, MATCH(0, IF(ISBLANK('Annex 2 EHV charges'!$D$11:$D$260),1, COUNTIF(A$4:$A128, 'Annex 2 EHV charges'!$D$11:$D$260)), 0)),"")</f>
        <v/>
      </c>
      <c r="B129" s="123" t="str">
        <f>IF($A129="","",VLOOKUP($A129,'Annex 2 EHV charges'!$D:$O,2,0))</f>
        <v/>
      </c>
      <c r="C129" s="124" t="str">
        <f>IF($A129="","",VLOOKUP($A129,'Annex 2 EHV charges'!$D:$O,3,0))</f>
        <v/>
      </c>
      <c r="D129" s="123" t="str">
        <f>IF($A129="","",VLOOKUP($A129,'Annex 2 EHV charges'!$D:$O,4,0))</f>
        <v/>
      </c>
      <c r="E129" s="125" t="str">
        <f>IFERROR(IF(VLOOKUP($A129,'Annex 2 EHV charges'!$D:$O,9,FALSE)=0,"",VLOOKUP($A129,'Annex 2 EHV charges'!$D:$O,9,FALSE)),"")</f>
        <v/>
      </c>
      <c r="F129" s="126" t="str">
        <f>IFERROR(IF(VLOOKUP($A129,'Annex 2 EHV charges'!$D:$O,10,FALSE)=0,"",VLOOKUP($A129,'Annex 2 EHV charges'!$D:$O,10,FALSE)),"")</f>
        <v/>
      </c>
      <c r="G129" s="127" t="str">
        <f>IFERROR(IF(VLOOKUP($A129,'Annex 2 EHV charges'!$D:$O,11,FALSE)=0,"",VLOOKUP($A129,'Annex 2 EHV charges'!$D:$O,11,FALSE)),"")</f>
        <v/>
      </c>
      <c r="H129" s="127" t="str">
        <f>IFERROR(IF(VLOOKUP($A129,'Annex 2 EHV charges'!$D:$O,12,FALSE)=0,"",VLOOKUP($A129,'Annex 2 EHV charges'!$D:$O,12,FALSE)),"")</f>
        <v/>
      </c>
    </row>
    <row r="130" spans="1:8" ht="12.75" customHeight="1" x14ac:dyDescent="0.2">
      <c r="A130" s="124" t="str">
        <f t="array" ref="A130">IFERROR(INDEX('Annex 2 EHV charges'!$D$11:$D$260, MATCH(0, IF(ISBLANK('Annex 2 EHV charges'!$D$11:$D$260),1, COUNTIF(A$4:$A129, 'Annex 2 EHV charges'!$D$11:$D$260)), 0)),"")</f>
        <v/>
      </c>
      <c r="B130" s="123" t="str">
        <f>IF($A130="","",VLOOKUP($A130,'Annex 2 EHV charges'!$D:$O,2,0))</f>
        <v/>
      </c>
      <c r="C130" s="124" t="str">
        <f>IF($A130="","",VLOOKUP($A130,'Annex 2 EHV charges'!$D:$O,3,0))</f>
        <v/>
      </c>
      <c r="D130" s="123" t="str">
        <f>IF($A130="","",VLOOKUP($A130,'Annex 2 EHV charges'!$D:$O,4,0))</f>
        <v/>
      </c>
      <c r="E130" s="125" t="str">
        <f>IFERROR(IF(VLOOKUP($A130,'Annex 2 EHV charges'!$D:$O,9,FALSE)=0,"",VLOOKUP($A130,'Annex 2 EHV charges'!$D:$O,9,FALSE)),"")</f>
        <v/>
      </c>
      <c r="F130" s="126" t="str">
        <f>IFERROR(IF(VLOOKUP($A130,'Annex 2 EHV charges'!$D:$O,10,FALSE)=0,"",VLOOKUP($A130,'Annex 2 EHV charges'!$D:$O,10,FALSE)),"")</f>
        <v/>
      </c>
      <c r="G130" s="127" t="str">
        <f>IFERROR(IF(VLOOKUP($A130,'Annex 2 EHV charges'!$D:$O,11,FALSE)=0,"",VLOOKUP($A130,'Annex 2 EHV charges'!$D:$O,11,FALSE)),"")</f>
        <v/>
      </c>
      <c r="H130" s="127" t="str">
        <f>IFERROR(IF(VLOOKUP($A130,'Annex 2 EHV charges'!$D:$O,12,FALSE)=0,"",VLOOKUP($A130,'Annex 2 EHV charges'!$D:$O,12,FALSE)),"")</f>
        <v/>
      </c>
    </row>
    <row r="131" spans="1:8" ht="12.75" customHeight="1" x14ac:dyDescent="0.2">
      <c r="A131" s="124" t="str">
        <f t="array" ref="A131">IFERROR(INDEX('Annex 2 EHV charges'!$D$11:$D$260, MATCH(0, IF(ISBLANK('Annex 2 EHV charges'!$D$11:$D$260),1, COUNTIF(A$4:$A130, 'Annex 2 EHV charges'!$D$11:$D$260)), 0)),"")</f>
        <v/>
      </c>
      <c r="B131" s="123" t="str">
        <f>IF($A131="","",VLOOKUP($A131,'Annex 2 EHV charges'!$D:$O,2,0))</f>
        <v/>
      </c>
      <c r="C131" s="124" t="str">
        <f>IF($A131="","",VLOOKUP($A131,'Annex 2 EHV charges'!$D:$O,3,0))</f>
        <v/>
      </c>
      <c r="D131" s="123" t="str">
        <f>IF($A131="","",VLOOKUP($A131,'Annex 2 EHV charges'!$D:$O,4,0))</f>
        <v/>
      </c>
      <c r="E131" s="125" t="str">
        <f>IFERROR(IF(VLOOKUP($A131,'Annex 2 EHV charges'!$D:$O,9,FALSE)=0,"",VLOOKUP($A131,'Annex 2 EHV charges'!$D:$O,9,FALSE)),"")</f>
        <v/>
      </c>
      <c r="F131" s="126" t="str">
        <f>IFERROR(IF(VLOOKUP($A131,'Annex 2 EHV charges'!$D:$O,10,FALSE)=0,"",VLOOKUP($A131,'Annex 2 EHV charges'!$D:$O,10,FALSE)),"")</f>
        <v/>
      </c>
      <c r="G131" s="127" t="str">
        <f>IFERROR(IF(VLOOKUP($A131,'Annex 2 EHV charges'!$D:$O,11,FALSE)=0,"",VLOOKUP($A131,'Annex 2 EHV charges'!$D:$O,11,FALSE)),"")</f>
        <v/>
      </c>
      <c r="H131" s="127" t="str">
        <f>IFERROR(IF(VLOOKUP($A131,'Annex 2 EHV charges'!$D:$O,12,FALSE)=0,"",VLOOKUP($A131,'Annex 2 EHV charges'!$D:$O,12,FALSE)),"")</f>
        <v/>
      </c>
    </row>
    <row r="132" spans="1:8" ht="12.75" customHeight="1" x14ac:dyDescent="0.2">
      <c r="A132" s="124" t="str">
        <f t="array" ref="A132">IFERROR(INDEX('Annex 2 EHV charges'!$D$11:$D$260, MATCH(0, IF(ISBLANK('Annex 2 EHV charges'!$D$11:$D$260),1, COUNTIF(A$4:$A131, 'Annex 2 EHV charges'!$D$11:$D$260)), 0)),"")</f>
        <v/>
      </c>
      <c r="B132" s="123" t="str">
        <f>IF($A132="","",VLOOKUP($A132,'Annex 2 EHV charges'!$D:$O,2,0))</f>
        <v/>
      </c>
      <c r="C132" s="124" t="str">
        <f>IF($A132="","",VLOOKUP($A132,'Annex 2 EHV charges'!$D:$O,3,0))</f>
        <v/>
      </c>
      <c r="D132" s="123" t="str">
        <f>IF($A132="","",VLOOKUP($A132,'Annex 2 EHV charges'!$D:$O,4,0))</f>
        <v/>
      </c>
      <c r="E132" s="125" t="str">
        <f>IFERROR(IF(VLOOKUP($A132,'Annex 2 EHV charges'!$D:$O,9,FALSE)=0,"",VLOOKUP($A132,'Annex 2 EHV charges'!$D:$O,9,FALSE)),"")</f>
        <v/>
      </c>
      <c r="F132" s="126" t="str">
        <f>IFERROR(IF(VLOOKUP($A132,'Annex 2 EHV charges'!$D:$O,10,FALSE)=0,"",VLOOKUP($A132,'Annex 2 EHV charges'!$D:$O,10,FALSE)),"")</f>
        <v/>
      </c>
      <c r="G132" s="127" t="str">
        <f>IFERROR(IF(VLOOKUP($A132,'Annex 2 EHV charges'!$D:$O,11,FALSE)=0,"",VLOOKUP($A132,'Annex 2 EHV charges'!$D:$O,11,FALSE)),"")</f>
        <v/>
      </c>
      <c r="H132" s="127" t="str">
        <f>IFERROR(IF(VLOOKUP($A132,'Annex 2 EHV charges'!$D:$O,12,FALSE)=0,"",VLOOKUP($A132,'Annex 2 EHV charges'!$D:$O,12,FALSE)),"")</f>
        <v/>
      </c>
    </row>
    <row r="133" spans="1:8" ht="12.75" customHeight="1" x14ac:dyDescent="0.2">
      <c r="A133" s="124" t="str">
        <f t="array" ref="A133">IFERROR(INDEX('Annex 2 EHV charges'!$D$11:$D$260, MATCH(0, IF(ISBLANK('Annex 2 EHV charges'!$D$11:$D$260),1, COUNTIF(A$4:$A132, 'Annex 2 EHV charges'!$D$11:$D$260)), 0)),"")</f>
        <v/>
      </c>
      <c r="B133" s="123" t="str">
        <f>IF($A133="","",VLOOKUP($A133,'Annex 2 EHV charges'!$D:$O,2,0))</f>
        <v/>
      </c>
      <c r="C133" s="124" t="str">
        <f>IF($A133="","",VLOOKUP($A133,'Annex 2 EHV charges'!$D:$O,3,0))</f>
        <v/>
      </c>
      <c r="D133" s="123" t="str">
        <f>IF($A133="","",VLOOKUP($A133,'Annex 2 EHV charges'!$D:$O,4,0))</f>
        <v/>
      </c>
      <c r="E133" s="125" t="str">
        <f>IFERROR(IF(VLOOKUP($A133,'Annex 2 EHV charges'!$D:$O,9,FALSE)=0,"",VLOOKUP($A133,'Annex 2 EHV charges'!$D:$O,9,FALSE)),"")</f>
        <v/>
      </c>
      <c r="F133" s="126" t="str">
        <f>IFERROR(IF(VLOOKUP($A133,'Annex 2 EHV charges'!$D:$O,10,FALSE)=0,"",VLOOKUP($A133,'Annex 2 EHV charges'!$D:$O,10,FALSE)),"")</f>
        <v/>
      </c>
      <c r="G133" s="127" t="str">
        <f>IFERROR(IF(VLOOKUP($A133,'Annex 2 EHV charges'!$D:$O,11,FALSE)=0,"",VLOOKUP($A133,'Annex 2 EHV charges'!$D:$O,11,FALSE)),"")</f>
        <v/>
      </c>
      <c r="H133" s="127" t="str">
        <f>IFERROR(IF(VLOOKUP($A133,'Annex 2 EHV charges'!$D:$O,12,FALSE)=0,"",VLOOKUP($A133,'Annex 2 EHV charges'!$D:$O,12,FALSE)),"")</f>
        <v/>
      </c>
    </row>
    <row r="134" spans="1:8" ht="12.75" customHeight="1" x14ac:dyDescent="0.2">
      <c r="A134" s="124" t="str">
        <f t="array" ref="A134">IFERROR(INDEX('Annex 2 EHV charges'!$D$11:$D$260, MATCH(0, IF(ISBLANK('Annex 2 EHV charges'!$D$11:$D$260),1, COUNTIF(A$4:$A133, 'Annex 2 EHV charges'!$D$11:$D$260)), 0)),"")</f>
        <v/>
      </c>
      <c r="B134" s="123" t="str">
        <f>IF($A134="","",VLOOKUP($A134,'Annex 2 EHV charges'!$D:$O,2,0))</f>
        <v/>
      </c>
      <c r="C134" s="124" t="str">
        <f>IF($A134="","",VLOOKUP($A134,'Annex 2 EHV charges'!$D:$O,3,0))</f>
        <v/>
      </c>
      <c r="D134" s="123" t="str">
        <f>IF($A134="","",VLOOKUP($A134,'Annex 2 EHV charges'!$D:$O,4,0))</f>
        <v/>
      </c>
      <c r="E134" s="125" t="str">
        <f>IFERROR(IF(VLOOKUP($A134,'Annex 2 EHV charges'!$D:$O,9,FALSE)=0,"",VLOOKUP($A134,'Annex 2 EHV charges'!$D:$O,9,FALSE)),"")</f>
        <v/>
      </c>
      <c r="F134" s="126" t="str">
        <f>IFERROR(IF(VLOOKUP($A134,'Annex 2 EHV charges'!$D:$O,10,FALSE)=0,"",VLOOKUP($A134,'Annex 2 EHV charges'!$D:$O,10,FALSE)),"")</f>
        <v/>
      </c>
      <c r="G134" s="127" t="str">
        <f>IFERROR(IF(VLOOKUP($A134,'Annex 2 EHV charges'!$D:$O,11,FALSE)=0,"",VLOOKUP($A134,'Annex 2 EHV charges'!$D:$O,11,FALSE)),"")</f>
        <v/>
      </c>
      <c r="H134" s="127" t="str">
        <f>IFERROR(IF(VLOOKUP($A134,'Annex 2 EHV charges'!$D:$O,12,FALSE)=0,"",VLOOKUP($A134,'Annex 2 EHV charges'!$D:$O,12,FALSE)),"")</f>
        <v/>
      </c>
    </row>
    <row r="135" spans="1:8" ht="12.75" customHeight="1" x14ac:dyDescent="0.2">
      <c r="A135" s="124" t="str">
        <f t="array" ref="A135">IFERROR(INDEX('Annex 2 EHV charges'!$D$11:$D$260, MATCH(0, IF(ISBLANK('Annex 2 EHV charges'!$D$11:$D$260),1, COUNTIF(A$4:$A134, 'Annex 2 EHV charges'!$D$11:$D$260)), 0)),"")</f>
        <v/>
      </c>
      <c r="B135" s="123" t="str">
        <f>IF($A135="","",VLOOKUP($A135,'Annex 2 EHV charges'!$D:$O,2,0))</f>
        <v/>
      </c>
      <c r="C135" s="124" t="str">
        <f>IF($A135="","",VLOOKUP($A135,'Annex 2 EHV charges'!$D:$O,3,0))</f>
        <v/>
      </c>
      <c r="D135" s="123" t="str">
        <f>IF($A135="","",VLOOKUP($A135,'Annex 2 EHV charges'!$D:$O,4,0))</f>
        <v/>
      </c>
      <c r="E135" s="125" t="str">
        <f>IFERROR(IF(VLOOKUP($A135,'Annex 2 EHV charges'!$D:$O,9,FALSE)=0,"",VLOOKUP($A135,'Annex 2 EHV charges'!$D:$O,9,FALSE)),"")</f>
        <v/>
      </c>
      <c r="F135" s="126" t="str">
        <f>IFERROR(IF(VLOOKUP($A135,'Annex 2 EHV charges'!$D:$O,10,FALSE)=0,"",VLOOKUP($A135,'Annex 2 EHV charges'!$D:$O,10,FALSE)),"")</f>
        <v/>
      </c>
      <c r="G135" s="127" t="str">
        <f>IFERROR(IF(VLOOKUP($A135,'Annex 2 EHV charges'!$D:$O,11,FALSE)=0,"",VLOOKUP($A135,'Annex 2 EHV charges'!$D:$O,11,FALSE)),"")</f>
        <v/>
      </c>
      <c r="H135" s="127" t="str">
        <f>IFERROR(IF(VLOOKUP($A135,'Annex 2 EHV charges'!$D:$O,12,FALSE)=0,"",VLOOKUP($A135,'Annex 2 EHV charges'!$D:$O,12,FALSE)),"")</f>
        <v/>
      </c>
    </row>
    <row r="136" spans="1:8" ht="12.75" customHeight="1" x14ac:dyDescent="0.2">
      <c r="A136" s="124" t="str">
        <f t="array" ref="A136">IFERROR(INDEX('Annex 2 EHV charges'!$D$11:$D$260, MATCH(0, IF(ISBLANK('Annex 2 EHV charges'!$D$11:$D$260),1, COUNTIF(A$4:$A135, 'Annex 2 EHV charges'!$D$11:$D$260)), 0)),"")</f>
        <v/>
      </c>
      <c r="B136" s="123" t="str">
        <f>IF($A136="","",VLOOKUP($A136,'Annex 2 EHV charges'!$D:$O,2,0))</f>
        <v/>
      </c>
      <c r="C136" s="124" t="str">
        <f>IF($A136="","",VLOOKUP($A136,'Annex 2 EHV charges'!$D:$O,3,0))</f>
        <v/>
      </c>
      <c r="D136" s="123" t="str">
        <f>IF($A136="","",VLOOKUP($A136,'Annex 2 EHV charges'!$D:$O,4,0))</f>
        <v/>
      </c>
      <c r="E136" s="125" t="str">
        <f>IFERROR(IF(VLOOKUP($A136,'Annex 2 EHV charges'!$D:$O,9,FALSE)=0,"",VLOOKUP($A136,'Annex 2 EHV charges'!$D:$O,9,FALSE)),"")</f>
        <v/>
      </c>
      <c r="F136" s="126" t="str">
        <f>IFERROR(IF(VLOOKUP($A136,'Annex 2 EHV charges'!$D:$O,10,FALSE)=0,"",VLOOKUP($A136,'Annex 2 EHV charges'!$D:$O,10,FALSE)),"")</f>
        <v/>
      </c>
      <c r="G136" s="127" t="str">
        <f>IFERROR(IF(VLOOKUP($A136,'Annex 2 EHV charges'!$D:$O,11,FALSE)=0,"",VLOOKUP($A136,'Annex 2 EHV charges'!$D:$O,11,FALSE)),"")</f>
        <v/>
      </c>
      <c r="H136" s="127" t="str">
        <f>IFERROR(IF(VLOOKUP($A136,'Annex 2 EHV charges'!$D:$O,12,FALSE)=0,"",VLOOKUP($A136,'Annex 2 EHV charges'!$D:$O,12,FALSE)),"")</f>
        <v/>
      </c>
    </row>
    <row r="137" spans="1:8" ht="12.75" customHeight="1" x14ac:dyDescent="0.2">
      <c r="A137" s="124" t="str">
        <f t="array" ref="A137">IFERROR(INDEX('Annex 2 EHV charges'!$D$11:$D$260, MATCH(0, IF(ISBLANK('Annex 2 EHV charges'!$D$11:$D$260),1, COUNTIF(A$4:$A136, 'Annex 2 EHV charges'!$D$11:$D$260)), 0)),"")</f>
        <v/>
      </c>
      <c r="B137" s="123" t="str">
        <f>IF($A137="","",VLOOKUP($A137,'Annex 2 EHV charges'!$D:$O,2,0))</f>
        <v/>
      </c>
      <c r="C137" s="124" t="str">
        <f>IF($A137="","",VLOOKUP($A137,'Annex 2 EHV charges'!$D:$O,3,0))</f>
        <v/>
      </c>
      <c r="D137" s="123" t="str">
        <f>IF($A137="","",VLOOKUP($A137,'Annex 2 EHV charges'!$D:$O,4,0))</f>
        <v/>
      </c>
      <c r="E137" s="125" t="str">
        <f>IFERROR(IF(VLOOKUP($A137,'Annex 2 EHV charges'!$D:$O,9,FALSE)=0,"",VLOOKUP($A137,'Annex 2 EHV charges'!$D:$O,9,FALSE)),"")</f>
        <v/>
      </c>
      <c r="F137" s="126" t="str">
        <f>IFERROR(IF(VLOOKUP($A137,'Annex 2 EHV charges'!$D:$O,10,FALSE)=0,"",VLOOKUP($A137,'Annex 2 EHV charges'!$D:$O,10,FALSE)),"")</f>
        <v/>
      </c>
      <c r="G137" s="127" t="str">
        <f>IFERROR(IF(VLOOKUP($A137,'Annex 2 EHV charges'!$D:$O,11,FALSE)=0,"",VLOOKUP($A137,'Annex 2 EHV charges'!$D:$O,11,FALSE)),"")</f>
        <v/>
      </c>
      <c r="H137" s="127" t="str">
        <f>IFERROR(IF(VLOOKUP($A137,'Annex 2 EHV charges'!$D:$O,12,FALSE)=0,"",VLOOKUP($A137,'Annex 2 EHV charges'!$D:$O,12,FALSE)),"")</f>
        <v/>
      </c>
    </row>
    <row r="138" spans="1:8" ht="12.75" customHeight="1" x14ac:dyDescent="0.2">
      <c r="A138" s="124" t="str">
        <f t="array" ref="A138">IFERROR(INDEX('Annex 2 EHV charges'!$D$11:$D$260, MATCH(0, IF(ISBLANK('Annex 2 EHV charges'!$D$11:$D$260),1, COUNTIF(A$4:$A137, 'Annex 2 EHV charges'!$D$11:$D$260)), 0)),"")</f>
        <v/>
      </c>
      <c r="B138" s="123" t="str">
        <f>IF($A138="","",VLOOKUP($A138,'Annex 2 EHV charges'!$D:$O,2,0))</f>
        <v/>
      </c>
      <c r="C138" s="124" t="str">
        <f>IF($A138="","",VLOOKUP($A138,'Annex 2 EHV charges'!$D:$O,3,0))</f>
        <v/>
      </c>
      <c r="D138" s="123" t="str">
        <f>IF($A138="","",VLOOKUP($A138,'Annex 2 EHV charges'!$D:$O,4,0))</f>
        <v/>
      </c>
      <c r="E138" s="125" t="str">
        <f>IFERROR(IF(VLOOKUP($A138,'Annex 2 EHV charges'!$D:$O,9,FALSE)=0,"",VLOOKUP($A138,'Annex 2 EHV charges'!$D:$O,9,FALSE)),"")</f>
        <v/>
      </c>
      <c r="F138" s="126" t="str">
        <f>IFERROR(IF(VLOOKUP($A138,'Annex 2 EHV charges'!$D:$O,10,FALSE)=0,"",VLOOKUP($A138,'Annex 2 EHV charges'!$D:$O,10,FALSE)),"")</f>
        <v/>
      </c>
      <c r="G138" s="127" t="str">
        <f>IFERROR(IF(VLOOKUP($A138,'Annex 2 EHV charges'!$D:$O,11,FALSE)=0,"",VLOOKUP($A138,'Annex 2 EHV charges'!$D:$O,11,FALSE)),"")</f>
        <v/>
      </c>
      <c r="H138" s="127" t="str">
        <f>IFERROR(IF(VLOOKUP($A138,'Annex 2 EHV charges'!$D:$O,12,FALSE)=0,"",VLOOKUP($A138,'Annex 2 EHV charges'!$D:$O,12,FALSE)),"")</f>
        <v/>
      </c>
    </row>
    <row r="139" spans="1:8" ht="12.75" customHeight="1" x14ac:dyDescent="0.2">
      <c r="A139" s="124" t="str">
        <f t="array" ref="A139">IFERROR(INDEX('Annex 2 EHV charges'!$D$11:$D$260, MATCH(0, IF(ISBLANK('Annex 2 EHV charges'!$D$11:$D$260),1, COUNTIF(A$4:$A138, 'Annex 2 EHV charges'!$D$11:$D$260)), 0)),"")</f>
        <v/>
      </c>
      <c r="B139" s="123" t="str">
        <f>IF($A139="","",VLOOKUP($A139,'Annex 2 EHV charges'!$D:$O,2,0))</f>
        <v/>
      </c>
      <c r="C139" s="124" t="str">
        <f>IF($A139="","",VLOOKUP($A139,'Annex 2 EHV charges'!$D:$O,3,0))</f>
        <v/>
      </c>
      <c r="D139" s="123" t="str">
        <f>IF($A139="","",VLOOKUP($A139,'Annex 2 EHV charges'!$D:$O,4,0))</f>
        <v/>
      </c>
      <c r="E139" s="125" t="str">
        <f>IFERROR(IF(VLOOKUP($A139,'Annex 2 EHV charges'!$D:$O,9,FALSE)=0,"",VLOOKUP($A139,'Annex 2 EHV charges'!$D:$O,9,FALSE)),"")</f>
        <v/>
      </c>
      <c r="F139" s="126" t="str">
        <f>IFERROR(IF(VLOOKUP($A139,'Annex 2 EHV charges'!$D:$O,10,FALSE)=0,"",VLOOKUP($A139,'Annex 2 EHV charges'!$D:$O,10,FALSE)),"")</f>
        <v/>
      </c>
      <c r="G139" s="127" t="str">
        <f>IFERROR(IF(VLOOKUP($A139,'Annex 2 EHV charges'!$D:$O,11,FALSE)=0,"",VLOOKUP($A139,'Annex 2 EHV charges'!$D:$O,11,FALSE)),"")</f>
        <v/>
      </c>
      <c r="H139" s="127" t="str">
        <f>IFERROR(IF(VLOOKUP($A139,'Annex 2 EHV charges'!$D:$O,12,FALSE)=0,"",VLOOKUP($A139,'Annex 2 EHV charges'!$D:$O,12,FALSE)),"")</f>
        <v/>
      </c>
    </row>
    <row r="140" spans="1:8" ht="12.75" customHeight="1" x14ac:dyDescent="0.2">
      <c r="A140" s="124" t="str">
        <f t="array" ref="A140">IFERROR(INDEX('Annex 2 EHV charges'!$D$11:$D$260, MATCH(0, IF(ISBLANK('Annex 2 EHV charges'!$D$11:$D$260),1, COUNTIF(A$4:$A139, 'Annex 2 EHV charges'!$D$11:$D$260)), 0)),"")</f>
        <v/>
      </c>
      <c r="B140" s="123" t="str">
        <f>IF($A140="","",VLOOKUP($A140,'Annex 2 EHV charges'!$D:$O,2,0))</f>
        <v/>
      </c>
      <c r="C140" s="124" t="str">
        <f>IF($A140="","",VLOOKUP($A140,'Annex 2 EHV charges'!$D:$O,3,0))</f>
        <v/>
      </c>
      <c r="D140" s="123" t="str">
        <f>IF($A140="","",VLOOKUP($A140,'Annex 2 EHV charges'!$D:$O,4,0))</f>
        <v/>
      </c>
      <c r="E140" s="125" t="str">
        <f>IFERROR(IF(VLOOKUP($A140,'Annex 2 EHV charges'!$D:$O,9,FALSE)=0,"",VLOOKUP($A140,'Annex 2 EHV charges'!$D:$O,9,FALSE)),"")</f>
        <v/>
      </c>
      <c r="F140" s="126" t="str">
        <f>IFERROR(IF(VLOOKUP($A140,'Annex 2 EHV charges'!$D:$O,10,FALSE)=0,"",VLOOKUP($A140,'Annex 2 EHV charges'!$D:$O,10,FALSE)),"")</f>
        <v/>
      </c>
      <c r="G140" s="127" t="str">
        <f>IFERROR(IF(VLOOKUP($A140,'Annex 2 EHV charges'!$D:$O,11,FALSE)=0,"",VLOOKUP($A140,'Annex 2 EHV charges'!$D:$O,11,FALSE)),"")</f>
        <v/>
      </c>
      <c r="H140" s="127" t="str">
        <f>IFERROR(IF(VLOOKUP($A140,'Annex 2 EHV charges'!$D:$O,12,FALSE)=0,"",VLOOKUP($A140,'Annex 2 EHV charges'!$D:$O,12,FALSE)),"")</f>
        <v/>
      </c>
    </row>
    <row r="141" spans="1:8" ht="12.75" customHeight="1" x14ac:dyDescent="0.2">
      <c r="A141" s="124" t="str">
        <f t="array" ref="A141">IFERROR(INDEX('Annex 2 EHV charges'!$D$11:$D$260, MATCH(0, IF(ISBLANK('Annex 2 EHV charges'!$D$11:$D$260),1, COUNTIF(A$4:$A140, 'Annex 2 EHV charges'!$D$11:$D$260)), 0)),"")</f>
        <v/>
      </c>
      <c r="B141" s="123" t="str">
        <f>IF($A141="","",VLOOKUP($A141,'Annex 2 EHV charges'!$D:$O,2,0))</f>
        <v/>
      </c>
      <c r="C141" s="124" t="str">
        <f>IF($A141="","",VLOOKUP($A141,'Annex 2 EHV charges'!$D:$O,3,0))</f>
        <v/>
      </c>
      <c r="D141" s="123" t="str">
        <f>IF($A141="","",VLOOKUP($A141,'Annex 2 EHV charges'!$D:$O,4,0))</f>
        <v/>
      </c>
      <c r="E141" s="125" t="str">
        <f>IFERROR(IF(VLOOKUP($A141,'Annex 2 EHV charges'!$D:$O,9,FALSE)=0,"",VLOOKUP($A141,'Annex 2 EHV charges'!$D:$O,9,FALSE)),"")</f>
        <v/>
      </c>
      <c r="F141" s="126" t="str">
        <f>IFERROR(IF(VLOOKUP($A141,'Annex 2 EHV charges'!$D:$O,10,FALSE)=0,"",VLOOKUP($A141,'Annex 2 EHV charges'!$D:$O,10,FALSE)),"")</f>
        <v/>
      </c>
      <c r="G141" s="127" t="str">
        <f>IFERROR(IF(VLOOKUP($A141,'Annex 2 EHV charges'!$D:$O,11,FALSE)=0,"",VLOOKUP($A141,'Annex 2 EHV charges'!$D:$O,11,FALSE)),"")</f>
        <v/>
      </c>
      <c r="H141" s="127" t="str">
        <f>IFERROR(IF(VLOOKUP($A141,'Annex 2 EHV charges'!$D:$O,12,FALSE)=0,"",VLOOKUP($A141,'Annex 2 EHV charges'!$D:$O,12,FALSE)),"")</f>
        <v/>
      </c>
    </row>
    <row r="142" spans="1:8" ht="12.75" customHeight="1" x14ac:dyDescent="0.2">
      <c r="A142" s="124" t="str">
        <f t="array" ref="A142">IFERROR(INDEX('Annex 2 EHV charges'!$D$11:$D$260, MATCH(0, IF(ISBLANK('Annex 2 EHV charges'!$D$11:$D$260),1, COUNTIF(A$4:$A141, 'Annex 2 EHV charges'!$D$11:$D$260)), 0)),"")</f>
        <v/>
      </c>
      <c r="B142" s="123" t="str">
        <f>IF($A142="","",VLOOKUP($A142,'Annex 2 EHV charges'!$D:$O,2,0))</f>
        <v/>
      </c>
      <c r="C142" s="124" t="str">
        <f>IF($A142="","",VLOOKUP($A142,'Annex 2 EHV charges'!$D:$O,3,0))</f>
        <v/>
      </c>
      <c r="D142" s="123" t="str">
        <f>IF($A142="","",VLOOKUP($A142,'Annex 2 EHV charges'!$D:$O,4,0))</f>
        <v/>
      </c>
      <c r="E142" s="125" t="str">
        <f>IFERROR(IF(VLOOKUP($A142,'Annex 2 EHV charges'!$D:$O,9,FALSE)=0,"",VLOOKUP($A142,'Annex 2 EHV charges'!$D:$O,9,FALSE)),"")</f>
        <v/>
      </c>
      <c r="F142" s="126" t="str">
        <f>IFERROR(IF(VLOOKUP($A142,'Annex 2 EHV charges'!$D:$O,10,FALSE)=0,"",VLOOKUP($A142,'Annex 2 EHV charges'!$D:$O,10,FALSE)),"")</f>
        <v/>
      </c>
      <c r="G142" s="127" t="str">
        <f>IFERROR(IF(VLOOKUP($A142,'Annex 2 EHV charges'!$D:$O,11,FALSE)=0,"",VLOOKUP($A142,'Annex 2 EHV charges'!$D:$O,11,FALSE)),"")</f>
        <v/>
      </c>
      <c r="H142" s="127" t="str">
        <f>IFERROR(IF(VLOOKUP($A142,'Annex 2 EHV charges'!$D:$O,12,FALSE)=0,"",VLOOKUP($A142,'Annex 2 EHV charges'!$D:$O,12,FALSE)),"")</f>
        <v/>
      </c>
    </row>
    <row r="143" spans="1:8" ht="12.75" customHeight="1" x14ac:dyDescent="0.2">
      <c r="A143" s="124" t="str">
        <f t="array" ref="A143">IFERROR(INDEX('Annex 2 EHV charges'!$D$11:$D$260, MATCH(0, IF(ISBLANK('Annex 2 EHV charges'!$D$11:$D$260),1, COUNTIF(A$4:$A142, 'Annex 2 EHV charges'!$D$11:$D$260)), 0)),"")</f>
        <v/>
      </c>
      <c r="B143" s="123" t="str">
        <f>IF($A143="","",VLOOKUP($A143,'Annex 2 EHV charges'!$D:$O,2,0))</f>
        <v/>
      </c>
      <c r="C143" s="124" t="str">
        <f>IF($A143="","",VLOOKUP($A143,'Annex 2 EHV charges'!$D:$O,3,0))</f>
        <v/>
      </c>
      <c r="D143" s="123" t="str">
        <f>IF($A143="","",VLOOKUP($A143,'Annex 2 EHV charges'!$D:$O,4,0))</f>
        <v/>
      </c>
      <c r="E143" s="125" t="str">
        <f>IFERROR(IF(VLOOKUP($A143,'Annex 2 EHV charges'!$D:$O,9,FALSE)=0,"",VLOOKUP($A143,'Annex 2 EHV charges'!$D:$O,9,FALSE)),"")</f>
        <v/>
      </c>
      <c r="F143" s="126" t="str">
        <f>IFERROR(IF(VLOOKUP($A143,'Annex 2 EHV charges'!$D:$O,10,FALSE)=0,"",VLOOKUP($A143,'Annex 2 EHV charges'!$D:$O,10,FALSE)),"")</f>
        <v/>
      </c>
      <c r="G143" s="127" t="str">
        <f>IFERROR(IF(VLOOKUP($A143,'Annex 2 EHV charges'!$D:$O,11,FALSE)=0,"",VLOOKUP($A143,'Annex 2 EHV charges'!$D:$O,11,FALSE)),"")</f>
        <v/>
      </c>
      <c r="H143" s="127" t="str">
        <f>IFERROR(IF(VLOOKUP($A143,'Annex 2 EHV charges'!$D:$O,12,FALSE)=0,"",VLOOKUP($A143,'Annex 2 EHV charges'!$D:$O,12,FALSE)),"")</f>
        <v/>
      </c>
    </row>
    <row r="144" spans="1:8" ht="12.75" customHeight="1" x14ac:dyDescent="0.2">
      <c r="A144" s="124" t="str">
        <f t="array" ref="A144">IFERROR(INDEX('Annex 2 EHV charges'!$D$11:$D$260, MATCH(0, IF(ISBLANK('Annex 2 EHV charges'!$D$11:$D$260),1, COUNTIF(A$4:$A143, 'Annex 2 EHV charges'!$D$11:$D$260)), 0)),"")</f>
        <v/>
      </c>
      <c r="B144" s="123" t="str">
        <f>IF($A144="","",VLOOKUP($A144,'Annex 2 EHV charges'!$D:$O,2,0))</f>
        <v/>
      </c>
      <c r="C144" s="124" t="str">
        <f>IF($A144="","",VLOOKUP($A144,'Annex 2 EHV charges'!$D:$O,3,0))</f>
        <v/>
      </c>
      <c r="D144" s="123" t="str">
        <f>IF($A144="","",VLOOKUP($A144,'Annex 2 EHV charges'!$D:$O,4,0))</f>
        <v/>
      </c>
      <c r="E144" s="125" t="str">
        <f>IFERROR(IF(VLOOKUP($A144,'Annex 2 EHV charges'!$D:$O,9,FALSE)=0,"",VLOOKUP($A144,'Annex 2 EHV charges'!$D:$O,9,FALSE)),"")</f>
        <v/>
      </c>
      <c r="F144" s="126" t="str">
        <f>IFERROR(IF(VLOOKUP($A144,'Annex 2 EHV charges'!$D:$O,10,FALSE)=0,"",VLOOKUP($A144,'Annex 2 EHV charges'!$D:$O,10,FALSE)),"")</f>
        <v/>
      </c>
      <c r="G144" s="127" t="str">
        <f>IFERROR(IF(VLOOKUP($A144,'Annex 2 EHV charges'!$D:$O,11,FALSE)=0,"",VLOOKUP($A144,'Annex 2 EHV charges'!$D:$O,11,FALSE)),"")</f>
        <v/>
      </c>
      <c r="H144" s="127" t="str">
        <f>IFERROR(IF(VLOOKUP($A144,'Annex 2 EHV charges'!$D:$O,12,FALSE)=0,"",VLOOKUP($A144,'Annex 2 EHV charges'!$D:$O,12,FALSE)),"")</f>
        <v/>
      </c>
    </row>
    <row r="145" spans="1:8" ht="12.75" customHeight="1" x14ac:dyDescent="0.2">
      <c r="A145" s="124" t="str">
        <f t="array" ref="A145">IFERROR(INDEX('Annex 2 EHV charges'!$D$11:$D$260, MATCH(0, IF(ISBLANK('Annex 2 EHV charges'!$D$11:$D$260),1, COUNTIF(A$4:$A144, 'Annex 2 EHV charges'!$D$11:$D$260)), 0)),"")</f>
        <v/>
      </c>
      <c r="B145" s="123" t="str">
        <f>IF($A145="","",VLOOKUP($A145,'Annex 2 EHV charges'!$D:$O,2,0))</f>
        <v/>
      </c>
      <c r="C145" s="124" t="str">
        <f>IF($A145="","",VLOOKUP($A145,'Annex 2 EHV charges'!$D:$O,3,0))</f>
        <v/>
      </c>
      <c r="D145" s="123" t="str">
        <f>IF($A145="","",VLOOKUP($A145,'Annex 2 EHV charges'!$D:$O,4,0))</f>
        <v/>
      </c>
      <c r="E145" s="125" t="str">
        <f>IFERROR(IF(VLOOKUP($A145,'Annex 2 EHV charges'!$D:$O,9,FALSE)=0,"",VLOOKUP($A145,'Annex 2 EHV charges'!$D:$O,9,FALSE)),"")</f>
        <v/>
      </c>
      <c r="F145" s="126" t="str">
        <f>IFERROR(IF(VLOOKUP($A145,'Annex 2 EHV charges'!$D:$O,10,FALSE)=0,"",VLOOKUP($A145,'Annex 2 EHV charges'!$D:$O,10,FALSE)),"")</f>
        <v/>
      </c>
      <c r="G145" s="127" t="str">
        <f>IFERROR(IF(VLOOKUP($A145,'Annex 2 EHV charges'!$D:$O,11,FALSE)=0,"",VLOOKUP($A145,'Annex 2 EHV charges'!$D:$O,11,FALSE)),"")</f>
        <v/>
      </c>
      <c r="H145" s="127" t="str">
        <f>IFERROR(IF(VLOOKUP($A145,'Annex 2 EHV charges'!$D:$O,12,FALSE)=0,"",VLOOKUP($A145,'Annex 2 EHV charges'!$D:$O,12,FALSE)),"")</f>
        <v/>
      </c>
    </row>
    <row r="146" spans="1:8" ht="12.75" customHeight="1" x14ac:dyDescent="0.2">
      <c r="A146" s="124" t="str">
        <f t="array" ref="A146">IFERROR(INDEX('Annex 2 EHV charges'!$D$11:$D$260, MATCH(0, IF(ISBLANK('Annex 2 EHV charges'!$D$11:$D$260),1, COUNTIF(A$4:$A145, 'Annex 2 EHV charges'!$D$11:$D$260)), 0)),"")</f>
        <v/>
      </c>
      <c r="B146" s="123" t="str">
        <f>IF($A146="","",VLOOKUP($A146,'Annex 2 EHV charges'!$D:$O,2,0))</f>
        <v/>
      </c>
      <c r="C146" s="124" t="str">
        <f>IF($A146="","",VLOOKUP($A146,'Annex 2 EHV charges'!$D:$O,3,0))</f>
        <v/>
      </c>
      <c r="D146" s="123" t="str">
        <f>IF($A146="","",VLOOKUP($A146,'Annex 2 EHV charges'!$D:$O,4,0))</f>
        <v/>
      </c>
      <c r="E146" s="125" t="str">
        <f>IFERROR(IF(VLOOKUP($A146,'Annex 2 EHV charges'!$D:$O,9,FALSE)=0,"",VLOOKUP($A146,'Annex 2 EHV charges'!$D:$O,9,FALSE)),"")</f>
        <v/>
      </c>
      <c r="F146" s="126" t="str">
        <f>IFERROR(IF(VLOOKUP($A146,'Annex 2 EHV charges'!$D:$O,10,FALSE)=0,"",VLOOKUP($A146,'Annex 2 EHV charges'!$D:$O,10,FALSE)),"")</f>
        <v/>
      </c>
      <c r="G146" s="127" t="str">
        <f>IFERROR(IF(VLOOKUP($A146,'Annex 2 EHV charges'!$D:$O,11,FALSE)=0,"",VLOOKUP($A146,'Annex 2 EHV charges'!$D:$O,11,FALSE)),"")</f>
        <v/>
      </c>
      <c r="H146" s="127" t="str">
        <f>IFERROR(IF(VLOOKUP($A146,'Annex 2 EHV charges'!$D:$O,12,FALSE)=0,"",VLOOKUP($A146,'Annex 2 EHV charges'!$D:$O,12,FALSE)),"")</f>
        <v/>
      </c>
    </row>
    <row r="147" spans="1:8" ht="12.75" customHeight="1" x14ac:dyDescent="0.2">
      <c r="A147" s="124" t="str">
        <f t="array" ref="A147">IFERROR(INDEX('Annex 2 EHV charges'!$D$11:$D$260, MATCH(0, IF(ISBLANK('Annex 2 EHV charges'!$D$11:$D$260),1, COUNTIF(A$4:$A146, 'Annex 2 EHV charges'!$D$11:$D$260)), 0)),"")</f>
        <v/>
      </c>
      <c r="B147" s="123" t="str">
        <f>IF($A147="","",VLOOKUP($A147,'Annex 2 EHV charges'!$D:$O,2,0))</f>
        <v/>
      </c>
      <c r="C147" s="124" t="str">
        <f>IF($A147="","",VLOOKUP($A147,'Annex 2 EHV charges'!$D:$O,3,0))</f>
        <v/>
      </c>
      <c r="D147" s="123" t="str">
        <f>IF($A147="","",VLOOKUP($A147,'Annex 2 EHV charges'!$D:$O,4,0))</f>
        <v/>
      </c>
      <c r="E147" s="125" t="str">
        <f>IFERROR(IF(VLOOKUP($A147,'Annex 2 EHV charges'!$D:$O,9,FALSE)=0,"",VLOOKUP($A147,'Annex 2 EHV charges'!$D:$O,9,FALSE)),"")</f>
        <v/>
      </c>
      <c r="F147" s="126" t="str">
        <f>IFERROR(IF(VLOOKUP($A147,'Annex 2 EHV charges'!$D:$O,10,FALSE)=0,"",VLOOKUP($A147,'Annex 2 EHV charges'!$D:$O,10,FALSE)),"")</f>
        <v/>
      </c>
      <c r="G147" s="127" t="str">
        <f>IFERROR(IF(VLOOKUP($A147,'Annex 2 EHV charges'!$D:$O,11,FALSE)=0,"",VLOOKUP($A147,'Annex 2 EHV charges'!$D:$O,11,FALSE)),"")</f>
        <v/>
      </c>
      <c r="H147" s="127" t="str">
        <f>IFERROR(IF(VLOOKUP($A147,'Annex 2 EHV charges'!$D:$O,12,FALSE)=0,"",VLOOKUP($A147,'Annex 2 EHV charges'!$D:$O,12,FALSE)),"")</f>
        <v/>
      </c>
    </row>
    <row r="148" spans="1:8" ht="12.75" customHeight="1" x14ac:dyDescent="0.2">
      <c r="A148" s="124" t="str">
        <f t="array" ref="A148">IFERROR(INDEX('Annex 2 EHV charges'!$D$11:$D$260, MATCH(0, IF(ISBLANK('Annex 2 EHV charges'!$D$11:$D$260),1, COUNTIF(A$4:$A147, 'Annex 2 EHV charges'!$D$11:$D$260)), 0)),"")</f>
        <v/>
      </c>
      <c r="B148" s="123" t="str">
        <f>IF($A148="","",VLOOKUP($A148,'Annex 2 EHV charges'!$D:$O,2,0))</f>
        <v/>
      </c>
      <c r="C148" s="124" t="str">
        <f>IF($A148="","",VLOOKUP($A148,'Annex 2 EHV charges'!$D:$O,3,0))</f>
        <v/>
      </c>
      <c r="D148" s="123" t="str">
        <f>IF($A148="","",VLOOKUP($A148,'Annex 2 EHV charges'!$D:$O,4,0))</f>
        <v/>
      </c>
      <c r="E148" s="125" t="str">
        <f>IFERROR(IF(VLOOKUP($A148,'Annex 2 EHV charges'!$D:$O,9,FALSE)=0,"",VLOOKUP($A148,'Annex 2 EHV charges'!$D:$O,9,FALSE)),"")</f>
        <v/>
      </c>
      <c r="F148" s="126" t="str">
        <f>IFERROR(IF(VLOOKUP($A148,'Annex 2 EHV charges'!$D:$O,10,FALSE)=0,"",VLOOKUP($A148,'Annex 2 EHV charges'!$D:$O,10,FALSE)),"")</f>
        <v/>
      </c>
      <c r="G148" s="127" t="str">
        <f>IFERROR(IF(VLOOKUP($A148,'Annex 2 EHV charges'!$D:$O,11,FALSE)=0,"",VLOOKUP($A148,'Annex 2 EHV charges'!$D:$O,11,FALSE)),"")</f>
        <v/>
      </c>
      <c r="H148" s="127" t="str">
        <f>IFERROR(IF(VLOOKUP($A148,'Annex 2 EHV charges'!$D:$O,12,FALSE)=0,"",VLOOKUP($A148,'Annex 2 EHV charges'!$D:$O,12,FALSE)),"")</f>
        <v/>
      </c>
    </row>
    <row r="149" spans="1:8" ht="12.75" customHeight="1" x14ac:dyDescent="0.2">
      <c r="A149" s="124" t="str">
        <f t="array" ref="A149">IFERROR(INDEX('Annex 2 EHV charges'!$D$11:$D$260, MATCH(0, IF(ISBLANK('Annex 2 EHV charges'!$D$11:$D$260),1, COUNTIF(A$4:$A148, 'Annex 2 EHV charges'!$D$11:$D$260)), 0)),"")</f>
        <v/>
      </c>
      <c r="B149" s="123" t="str">
        <f>IF($A149="","",VLOOKUP($A149,'Annex 2 EHV charges'!$D:$O,2,0))</f>
        <v/>
      </c>
      <c r="C149" s="124" t="str">
        <f>IF($A149="","",VLOOKUP($A149,'Annex 2 EHV charges'!$D:$O,3,0))</f>
        <v/>
      </c>
      <c r="D149" s="123" t="str">
        <f>IF($A149="","",VLOOKUP($A149,'Annex 2 EHV charges'!$D:$O,4,0))</f>
        <v/>
      </c>
      <c r="E149" s="125" t="str">
        <f>IFERROR(IF(VLOOKUP($A149,'Annex 2 EHV charges'!$D:$O,9,FALSE)=0,"",VLOOKUP($A149,'Annex 2 EHV charges'!$D:$O,9,FALSE)),"")</f>
        <v/>
      </c>
      <c r="F149" s="126" t="str">
        <f>IFERROR(IF(VLOOKUP($A149,'Annex 2 EHV charges'!$D:$O,10,FALSE)=0,"",VLOOKUP($A149,'Annex 2 EHV charges'!$D:$O,10,FALSE)),"")</f>
        <v/>
      </c>
      <c r="G149" s="127" t="str">
        <f>IFERROR(IF(VLOOKUP($A149,'Annex 2 EHV charges'!$D:$O,11,FALSE)=0,"",VLOOKUP($A149,'Annex 2 EHV charges'!$D:$O,11,FALSE)),"")</f>
        <v/>
      </c>
      <c r="H149" s="127" t="str">
        <f>IFERROR(IF(VLOOKUP($A149,'Annex 2 EHV charges'!$D:$O,12,FALSE)=0,"",VLOOKUP($A149,'Annex 2 EHV charges'!$D:$O,12,FALSE)),"")</f>
        <v/>
      </c>
    </row>
    <row r="150" spans="1:8" ht="12.75" customHeight="1" x14ac:dyDescent="0.2">
      <c r="A150" s="124" t="str">
        <f t="array" ref="A150">IFERROR(INDEX('Annex 2 EHV charges'!$D$11:$D$260, MATCH(0, IF(ISBLANK('Annex 2 EHV charges'!$D$11:$D$260),1, COUNTIF(A$4:$A149, 'Annex 2 EHV charges'!$D$11:$D$260)), 0)),"")</f>
        <v/>
      </c>
      <c r="B150" s="123" t="str">
        <f>IF($A150="","",VLOOKUP($A150,'Annex 2 EHV charges'!$D:$O,2,0))</f>
        <v/>
      </c>
      <c r="C150" s="124" t="str">
        <f>IF($A150="","",VLOOKUP($A150,'Annex 2 EHV charges'!$D:$O,3,0))</f>
        <v/>
      </c>
      <c r="D150" s="123" t="str">
        <f>IF($A150="","",VLOOKUP($A150,'Annex 2 EHV charges'!$D:$O,4,0))</f>
        <v/>
      </c>
      <c r="E150" s="125" t="str">
        <f>IFERROR(IF(VLOOKUP($A150,'Annex 2 EHV charges'!$D:$O,9,FALSE)=0,"",VLOOKUP($A150,'Annex 2 EHV charges'!$D:$O,9,FALSE)),"")</f>
        <v/>
      </c>
      <c r="F150" s="126" t="str">
        <f>IFERROR(IF(VLOOKUP($A150,'Annex 2 EHV charges'!$D:$O,10,FALSE)=0,"",VLOOKUP($A150,'Annex 2 EHV charges'!$D:$O,10,FALSE)),"")</f>
        <v/>
      </c>
      <c r="G150" s="127" t="str">
        <f>IFERROR(IF(VLOOKUP($A150,'Annex 2 EHV charges'!$D:$O,11,FALSE)=0,"",VLOOKUP($A150,'Annex 2 EHV charges'!$D:$O,11,FALSE)),"")</f>
        <v/>
      </c>
      <c r="H150" s="127" t="str">
        <f>IFERROR(IF(VLOOKUP($A150,'Annex 2 EHV charges'!$D:$O,12,FALSE)=0,"",VLOOKUP($A150,'Annex 2 EHV charges'!$D:$O,12,FALSE)),"")</f>
        <v/>
      </c>
    </row>
    <row r="151" spans="1:8" ht="12.75" customHeight="1" x14ac:dyDescent="0.2">
      <c r="A151" s="124" t="str">
        <f t="array" ref="A151">IFERROR(INDEX('Annex 2 EHV charges'!$D$11:$D$260, MATCH(0, IF(ISBLANK('Annex 2 EHV charges'!$D$11:$D$260),1, COUNTIF(A$4:$A150, 'Annex 2 EHV charges'!$D$11:$D$260)), 0)),"")</f>
        <v/>
      </c>
      <c r="B151" s="123" t="str">
        <f>IF($A151="","",VLOOKUP($A151,'Annex 2 EHV charges'!$D:$O,2,0))</f>
        <v/>
      </c>
      <c r="C151" s="124" t="str">
        <f>IF($A151="","",VLOOKUP($A151,'Annex 2 EHV charges'!$D:$O,3,0))</f>
        <v/>
      </c>
      <c r="D151" s="123" t="str">
        <f>IF($A151="","",VLOOKUP($A151,'Annex 2 EHV charges'!$D:$O,4,0))</f>
        <v/>
      </c>
      <c r="E151" s="125" t="str">
        <f>IFERROR(IF(VLOOKUP($A151,'Annex 2 EHV charges'!$D:$O,9,FALSE)=0,"",VLOOKUP($A151,'Annex 2 EHV charges'!$D:$O,9,FALSE)),"")</f>
        <v/>
      </c>
      <c r="F151" s="126" t="str">
        <f>IFERROR(IF(VLOOKUP($A151,'Annex 2 EHV charges'!$D:$O,10,FALSE)=0,"",VLOOKUP($A151,'Annex 2 EHV charges'!$D:$O,10,FALSE)),"")</f>
        <v/>
      </c>
      <c r="G151" s="127" t="str">
        <f>IFERROR(IF(VLOOKUP($A151,'Annex 2 EHV charges'!$D:$O,11,FALSE)=0,"",VLOOKUP($A151,'Annex 2 EHV charges'!$D:$O,11,FALSE)),"")</f>
        <v/>
      </c>
      <c r="H151" s="127" t="str">
        <f>IFERROR(IF(VLOOKUP($A151,'Annex 2 EHV charges'!$D:$O,12,FALSE)=0,"",VLOOKUP($A151,'Annex 2 EHV charges'!$D:$O,12,FALSE)),"")</f>
        <v/>
      </c>
    </row>
    <row r="152" spans="1:8" x14ac:dyDescent="0.2">
      <c r="A152" s="124" t="str">
        <f t="array" ref="A152">IFERROR(INDEX('Annex 2 EHV charges'!$D$11:$D$260, MATCH(0, IF(ISBLANK('Annex 2 EHV charges'!$D$11:$D$260),1, COUNTIF(A$4:$A151, 'Annex 2 EHV charges'!$D$11:$D$260)), 0)),"")</f>
        <v/>
      </c>
      <c r="B152" s="123" t="str">
        <f>IF($A152="","",VLOOKUP($A152,'Annex 2 EHV charges'!$D:$O,2,0))</f>
        <v/>
      </c>
      <c r="C152" s="124" t="str">
        <f>IF($A152="","",VLOOKUP($A152,'Annex 2 EHV charges'!$D:$O,3,0))</f>
        <v/>
      </c>
      <c r="D152" s="123" t="str">
        <f>IF($A152="","",VLOOKUP($A152,'Annex 2 EHV charges'!$D:$O,4,0))</f>
        <v/>
      </c>
      <c r="E152" s="125" t="str">
        <f>IFERROR(IF(VLOOKUP($A152,'Annex 2 EHV charges'!$D:$O,9,FALSE)=0,"",VLOOKUP($A152,'Annex 2 EHV charges'!$D:$O,9,FALSE)),"")</f>
        <v/>
      </c>
      <c r="F152" s="126" t="str">
        <f>IFERROR(IF(VLOOKUP($A152,'Annex 2 EHV charges'!$D:$O,10,FALSE)=0,"",VLOOKUP($A152,'Annex 2 EHV charges'!$D:$O,10,FALSE)),"")</f>
        <v/>
      </c>
      <c r="G152" s="127" t="str">
        <f>IFERROR(IF(VLOOKUP($A152,'Annex 2 EHV charges'!$D:$O,11,FALSE)=0,"",VLOOKUP($A152,'Annex 2 EHV charges'!$D:$O,11,FALSE)),"")</f>
        <v/>
      </c>
      <c r="H152" s="127" t="str">
        <f>IFERROR(IF(VLOOKUP($A152,'Annex 2 EHV charges'!$D:$O,12,FALSE)=0,"",VLOOKUP($A152,'Annex 2 EHV charges'!$D:$O,12,FALSE)),"")</f>
        <v/>
      </c>
    </row>
    <row r="153" spans="1:8" x14ac:dyDescent="0.2">
      <c r="A153" s="124" t="str">
        <f t="array" ref="A153">IFERROR(INDEX('Annex 2 EHV charges'!$D$11:$D$260, MATCH(0, IF(ISBLANK('Annex 2 EHV charges'!$D$11:$D$260),1, COUNTIF(A$4:$A152, 'Annex 2 EHV charges'!$D$11:$D$260)), 0)),"")</f>
        <v/>
      </c>
      <c r="B153" s="123" t="str">
        <f>IF($A153="","",VLOOKUP($A153,'Annex 2 EHV charges'!$D:$O,2,0))</f>
        <v/>
      </c>
      <c r="C153" s="124" t="str">
        <f>IF($A153="","",VLOOKUP($A153,'Annex 2 EHV charges'!$D:$O,3,0))</f>
        <v/>
      </c>
      <c r="D153" s="123" t="str">
        <f>IF($A153="","",VLOOKUP($A153,'Annex 2 EHV charges'!$D:$O,4,0))</f>
        <v/>
      </c>
      <c r="E153" s="125" t="str">
        <f>IFERROR(IF(VLOOKUP($A153,'Annex 2 EHV charges'!$D:$O,9,FALSE)=0,"",VLOOKUP($A153,'Annex 2 EHV charges'!$D:$O,9,FALSE)),"")</f>
        <v/>
      </c>
      <c r="F153" s="126" t="str">
        <f>IFERROR(IF(VLOOKUP($A153,'Annex 2 EHV charges'!$D:$O,10,FALSE)=0,"",VLOOKUP($A153,'Annex 2 EHV charges'!$D:$O,10,FALSE)),"")</f>
        <v/>
      </c>
      <c r="G153" s="127" t="str">
        <f>IFERROR(IF(VLOOKUP($A153,'Annex 2 EHV charges'!$D:$O,11,FALSE)=0,"",VLOOKUP($A153,'Annex 2 EHV charges'!$D:$O,11,FALSE)),"")</f>
        <v/>
      </c>
      <c r="H153" s="127" t="str">
        <f>IFERROR(IF(VLOOKUP($A153,'Annex 2 EHV charges'!$D:$O,12,FALSE)=0,"",VLOOKUP($A153,'Annex 2 EHV charges'!$D:$O,12,FALSE)),"")</f>
        <v/>
      </c>
    </row>
    <row r="154" spans="1:8" x14ac:dyDescent="0.2">
      <c r="A154" s="124" t="str">
        <f t="array" ref="A154">IFERROR(INDEX('Annex 2 EHV charges'!$D$11:$D$260, MATCH(0, IF(ISBLANK('Annex 2 EHV charges'!$D$11:$D$260),1, COUNTIF(A$4:$A153, 'Annex 2 EHV charges'!$D$11:$D$260)), 0)),"")</f>
        <v/>
      </c>
      <c r="B154" s="123" t="str">
        <f>IF($A154="","",VLOOKUP($A154,'Annex 2 EHV charges'!$D:$O,2,0))</f>
        <v/>
      </c>
      <c r="C154" s="124" t="str">
        <f>IF($A154="","",VLOOKUP($A154,'Annex 2 EHV charges'!$D:$O,3,0))</f>
        <v/>
      </c>
      <c r="D154" s="123" t="str">
        <f>IF($A154="","",VLOOKUP($A154,'Annex 2 EHV charges'!$D:$O,4,0))</f>
        <v/>
      </c>
      <c r="E154" s="125" t="str">
        <f>IFERROR(IF(VLOOKUP($A154,'Annex 2 EHV charges'!$D:$O,9,FALSE)=0,"",VLOOKUP($A154,'Annex 2 EHV charges'!$D:$O,9,FALSE)),"")</f>
        <v/>
      </c>
      <c r="F154" s="126" t="str">
        <f>IFERROR(IF(VLOOKUP($A154,'Annex 2 EHV charges'!$D:$O,10,FALSE)=0,"",VLOOKUP($A154,'Annex 2 EHV charges'!$D:$O,10,FALSE)),"")</f>
        <v/>
      </c>
      <c r="G154" s="127" t="str">
        <f>IFERROR(IF(VLOOKUP($A154,'Annex 2 EHV charges'!$D:$O,11,FALSE)=0,"",VLOOKUP($A154,'Annex 2 EHV charges'!$D:$O,11,FALSE)),"")</f>
        <v/>
      </c>
      <c r="H154" s="127" t="str">
        <f>IFERROR(IF(VLOOKUP($A154,'Annex 2 EHV charges'!$D:$O,12,FALSE)=0,"",VLOOKUP($A154,'Annex 2 EHV charges'!$D:$O,12,FALSE)),"")</f>
        <v/>
      </c>
    </row>
    <row r="155" spans="1:8" x14ac:dyDescent="0.2">
      <c r="A155" s="124" t="str">
        <f t="array" ref="A155">IFERROR(INDEX('Annex 2 EHV charges'!$D$11:$D$260, MATCH(0, IF(ISBLANK('Annex 2 EHV charges'!$D$11:$D$260),1, COUNTIF(A$4:$A154, 'Annex 2 EHV charges'!$D$11:$D$260)), 0)),"")</f>
        <v/>
      </c>
      <c r="B155" s="123" t="str">
        <f>IF($A155="","",VLOOKUP($A155,'Annex 2 EHV charges'!$D:$O,2,0))</f>
        <v/>
      </c>
      <c r="C155" s="124" t="str">
        <f>IF($A155="","",VLOOKUP($A155,'Annex 2 EHV charges'!$D:$O,3,0))</f>
        <v/>
      </c>
      <c r="D155" s="123" t="str">
        <f>IF($A155="","",VLOOKUP($A155,'Annex 2 EHV charges'!$D:$O,4,0))</f>
        <v/>
      </c>
      <c r="E155" s="125" t="str">
        <f>IFERROR(IF(VLOOKUP($A155,'Annex 2 EHV charges'!$D:$O,9,FALSE)=0,"",VLOOKUP($A155,'Annex 2 EHV charges'!$D:$O,9,FALSE)),"")</f>
        <v/>
      </c>
      <c r="F155" s="126" t="str">
        <f>IFERROR(IF(VLOOKUP($A155,'Annex 2 EHV charges'!$D:$O,10,FALSE)=0,"",VLOOKUP($A155,'Annex 2 EHV charges'!$D:$O,10,FALSE)),"")</f>
        <v/>
      </c>
      <c r="G155" s="127" t="str">
        <f>IFERROR(IF(VLOOKUP($A155,'Annex 2 EHV charges'!$D:$O,11,FALSE)=0,"",VLOOKUP($A155,'Annex 2 EHV charges'!$D:$O,11,FALSE)),"")</f>
        <v/>
      </c>
      <c r="H155" s="127" t="str">
        <f>IFERROR(IF(VLOOKUP($A155,'Annex 2 EHV charges'!$D:$O,12,FALSE)=0,"",VLOOKUP($A155,'Annex 2 EHV charges'!$D:$O,12,FALSE)),"")</f>
        <v/>
      </c>
    </row>
    <row r="156" spans="1:8" x14ac:dyDescent="0.2">
      <c r="A156" s="124" t="str">
        <f t="array" ref="A156">IFERROR(INDEX('Annex 2 EHV charges'!$D$11:$D$260, MATCH(0, IF(ISBLANK('Annex 2 EHV charges'!$D$11:$D$260),1, COUNTIF(A$4:$A155, 'Annex 2 EHV charges'!$D$11:$D$260)), 0)),"")</f>
        <v/>
      </c>
      <c r="B156" s="123" t="str">
        <f>IF($A156="","",VLOOKUP($A156,'Annex 2 EHV charges'!$D:$O,2,0))</f>
        <v/>
      </c>
      <c r="C156" s="124" t="str">
        <f>IF($A156="","",VLOOKUP($A156,'Annex 2 EHV charges'!$D:$O,3,0))</f>
        <v/>
      </c>
      <c r="D156" s="123" t="str">
        <f>IF($A156="","",VLOOKUP($A156,'Annex 2 EHV charges'!$D:$O,4,0))</f>
        <v/>
      </c>
      <c r="E156" s="125" t="str">
        <f>IFERROR(IF(VLOOKUP($A156,'Annex 2 EHV charges'!$D:$O,9,FALSE)=0,"",VLOOKUP($A156,'Annex 2 EHV charges'!$D:$O,9,FALSE)),"")</f>
        <v/>
      </c>
      <c r="F156" s="126" t="str">
        <f>IFERROR(IF(VLOOKUP($A156,'Annex 2 EHV charges'!$D:$O,10,FALSE)=0,"",VLOOKUP($A156,'Annex 2 EHV charges'!$D:$O,10,FALSE)),"")</f>
        <v/>
      </c>
      <c r="G156" s="127" t="str">
        <f>IFERROR(IF(VLOOKUP($A156,'Annex 2 EHV charges'!$D:$O,11,FALSE)=0,"",VLOOKUP($A156,'Annex 2 EHV charges'!$D:$O,11,FALSE)),"")</f>
        <v/>
      </c>
      <c r="H156" s="127" t="str">
        <f>IFERROR(IF(VLOOKUP($A156,'Annex 2 EHV charges'!$D:$O,12,FALSE)=0,"",VLOOKUP($A156,'Annex 2 EHV charges'!$D:$O,12,FALSE)),"")</f>
        <v/>
      </c>
    </row>
    <row r="157" spans="1:8" x14ac:dyDescent="0.2">
      <c r="A157" s="124" t="str">
        <f t="array" ref="A157">IFERROR(INDEX('Annex 2 EHV charges'!$D$11:$D$260, MATCH(0, IF(ISBLANK('Annex 2 EHV charges'!$D$11:$D$260),1, COUNTIF(A$4:$A156, 'Annex 2 EHV charges'!$D$11:$D$260)), 0)),"")</f>
        <v/>
      </c>
      <c r="B157" s="123" t="str">
        <f>IF($A157="","",VLOOKUP($A157,'Annex 2 EHV charges'!$D:$O,2,0))</f>
        <v/>
      </c>
      <c r="C157" s="124" t="str">
        <f>IF($A157="","",VLOOKUP($A157,'Annex 2 EHV charges'!$D:$O,3,0))</f>
        <v/>
      </c>
      <c r="D157" s="123" t="str">
        <f>IF($A157="","",VLOOKUP($A157,'Annex 2 EHV charges'!$D:$O,4,0))</f>
        <v/>
      </c>
      <c r="E157" s="125" t="str">
        <f>IFERROR(IF(VLOOKUP($A157,'Annex 2 EHV charges'!$D:$O,9,FALSE)=0,"",VLOOKUP($A157,'Annex 2 EHV charges'!$D:$O,9,FALSE)),"")</f>
        <v/>
      </c>
      <c r="F157" s="126" t="str">
        <f>IFERROR(IF(VLOOKUP($A157,'Annex 2 EHV charges'!$D:$O,10,FALSE)=0,"",VLOOKUP($A157,'Annex 2 EHV charges'!$D:$O,10,FALSE)),"")</f>
        <v/>
      </c>
      <c r="G157" s="127" t="str">
        <f>IFERROR(IF(VLOOKUP($A157,'Annex 2 EHV charges'!$D:$O,11,FALSE)=0,"",VLOOKUP($A157,'Annex 2 EHV charges'!$D:$O,11,FALSE)),"")</f>
        <v/>
      </c>
      <c r="H157" s="127" t="str">
        <f>IFERROR(IF(VLOOKUP($A157,'Annex 2 EHV charges'!$D:$O,12,FALSE)=0,"",VLOOKUP($A157,'Annex 2 EHV charges'!$D:$O,12,FALSE)),"")</f>
        <v/>
      </c>
    </row>
    <row r="158" spans="1:8" x14ac:dyDescent="0.2">
      <c r="A158" s="124" t="str">
        <f t="array" ref="A158">IFERROR(INDEX('Annex 2 EHV charges'!$D$11:$D$260, MATCH(0, IF(ISBLANK('Annex 2 EHV charges'!$D$11:$D$260),1, COUNTIF(A$4:$A157, 'Annex 2 EHV charges'!$D$11:$D$260)), 0)),"")</f>
        <v/>
      </c>
      <c r="B158" s="123" t="str">
        <f>IF($A158="","",VLOOKUP($A158,'Annex 2 EHV charges'!$D:$O,2,0))</f>
        <v/>
      </c>
      <c r="C158" s="124" t="str">
        <f>IF($A158="","",VLOOKUP($A158,'Annex 2 EHV charges'!$D:$O,3,0))</f>
        <v/>
      </c>
      <c r="D158" s="123" t="str">
        <f>IF($A158="","",VLOOKUP($A158,'Annex 2 EHV charges'!$D:$O,4,0))</f>
        <v/>
      </c>
      <c r="E158" s="125" t="str">
        <f>IFERROR(IF(VLOOKUP($A158,'Annex 2 EHV charges'!$D:$O,9,FALSE)=0,"",VLOOKUP($A158,'Annex 2 EHV charges'!$D:$O,9,FALSE)),"")</f>
        <v/>
      </c>
      <c r="F158" s="126" t="str">
        <f>IFERROR(IF(VLOOKUP($A158,'Annex 2 EHV charges'!$D:$O,10,FALSE)=0,"",VLOOKUP($A158,'Annex 2 EHV charges'!$D:$O,10,FALSE)),"")</f>
        <v/>
      </c>
      <c r="G158" s="127" t="str">
        <f>IFERROR(IF(VLOOKUP($A158,'Annex 2 EHV charges'!$D:$O,11,FALSE)=0,"",VLOOKUP($A158,'Annex 2 EHV charges'!$D:$O,11,FALSE)),"")</f>
        <v/>
      </c>
      <c r="H158" s="127" t="str">
        <f>IFERROR(IF(VLOOKUP($A158,'Annex 2 EHV charges'!$D:$O,12,FALSE)=0,"",VLOOKUP($A158,'Annex 2 EHV charges'!$D:$O,12,FALSE)),"")</f>
        <v/>
      </c>
    </row>
    <row r="159" spans="1:8" x14ac:dyDescent="0.2">
      <c r="A159" s="124" t="str">
        <f t="array" ref="A159">IFERROR(INDEX('Annex 2 EHV charges'!$D$11:$D$260, MATCH(0, IF(ISBLANK('Annex 2 EHV charges'!$D$11:$D$260),1, COUNTIF(A$4:$A158, 'Annex 2 EHV charges'!$D$11:$D$260)), 0)),"")</f>
        <v/>
      </c>
      <c r="B159" s="123" t="str">
        <f>IF($A159="","",VLOOKUP($A159,'Annex 2 EHV charges'!$D:$O,2,0))</f>
        <v/>
      </c>
      <c r="C159" s="124" t="str">
        <f>IF($A159="","",VLOOKUP($A159,'Annex 2 EHV charges'!$D:$O,3,0))</f>
        <v/>
      </c>
      <c r="D159" s="123" t="str">
        <f>IF($A159="","",VLOOKUP($A159,'Annex 2 EHV charges'!$D:$O,4,0))</f>
        <v/>
      </c>
      <c r="E159" s="125" t="str">
        <f>IFERROR(IF(VLOOKUP($A159,'Annex 2 EHV charges'!$D:$O,9,FALSE)=0,"",VLOOKUP($A159,'Annex 2 EHV charges'!$D:$O,9,FALSE)),"")</f>
        <v/>
      </c>
      <c r="F159" s="126" t="str">
        <f>IFERROR(IF(VLOOKUP($A159,'Annex 2 EHV charges'!$D:$O,10,FALSE)=0,"",VLOOKUP($A159,'Annex 2 EHV charges'!$D:$O,10,FALSE)),"")</f>
        <v/>
      </c>
      <c r="G159" s="127" t="str">
        <f>IFERROR(IF(VLOOKUP($A159,'Annex 2 EHV charges'!$D:$O,11,FALSE)=0,"",VLOOKUP($A159,'Annex 2 EHV charges'!$D:$O,11,FALSE)),"")</f>
        <v/>
      </c>
      <c r="H159" s="127" t="str">
        <f>IFERROR(IF(VLOOKUP($A159,'Annex 2 EHV charges'!$D:$O,12,FALSE)=0,"",VLOOKUP($A159,'Annex 2 EHV charges'!$D:$O,12,FALSE)),"")</f>
        <v/>
      </c>
    </row>
    <row r="160" spans="1:8" x14ac:dyDescent="0.2">
      <c r="A160" s="124" t="str">
        <f t="array" ref="A160">IFERROR(INDEX('Annex 2 EHV charges'!$D$11:$D$260, MATCH(0, IF(ISBLANK('Annex 2 EHV charges'!$D$11:$D$260),1, COUNTIF(A$4:$A159, 'Annex 2 EHV charges'!$D$11:$D$260)), 0)),"")</f>
        <v/>
      </c>
      <c r="B160" s="123" t="str">
        <f>IF($A160="","",VLOOKUP($A160,'Annex 2 EHV charges'!$D:$O,2,0))</f>
        <v/>
      </c>
      <c r="C160" s="124" t="str">
        <f>IF($A160="","",VLOOKUP($A160,'Annex 2 EHV charges'!$D:$O,3,0))</f>
        <v/>
      </c>
      <c r="D160" s="123" t="str">
        <f>IF($A160="","",VLOOKUP($A160,'Annex 2 EHV charges'!$D:$O,4,0))</f>
        <v/>
      </c>
      <c r="E160" s="125" t="str">
        <f>IFERROR(IF(VLOOKUP($A160,'Annex 2 EHV charges'!$D:$O,9,FALSE)=0,"",VLOOKUP($A160,'Annex 2 EHV charges'!$D:$O,9,FALSE)),"")</f>
        <v/>
      </c>
      <c r="F160" s="126" t="str">
        <f>IFERROR(IF(VLOOKUP($A160,'Annex 2 EHV charges'!$D:$O,10,FALSE)=0,"",VLOOKUP($A160,'Annex 2 EHV charges'!$D:$O,10,FALSE)),"")</f>
        <v/>
      </c>
      <c r="G160" s="127" t="str">
        <f>IFERROR(IF(VLOOKUP($A160,'Annex 2 EHV charges'!$D:$O,11,FALSE)=0,"",VLOOKUP($A160,'Annex 2 EHV charges'!$D:$O,11,FALSE)),"")</f>
        <v/>
      </c>
      <c r="H160" s="127" t="str">
        <f>IFERROR(IF(VLOOKUP($A160,'Annex 2 EHV charges'!$D:$O,12,FALSE)=0,"",VLOOKUP($A160,'Annex 2 EHV charges'!$D:$O,12,FALSE)),"")</f>
        <v/>
      </c>
    </row>
    <row r="161" spans="1:8" x14ac:dyDescent="0.2">
      <c r="A161" s="124" t="str">
        <f t="array" ref="A161">IFERROR(INDEX('Annex 2 EHV charges'!$D$11:$D$260, MATCH(0, IF(ISBLANK('Annex 2 EHV charges'!$D$11:$D$260),1, COUNTIF(A$4:$A160, 'Annex 2 EHV charges'!$D$11:$D$260)), 0)),"")</f>
        <v/>
      </c>
      <c r="B161" s="123" t="str">
        <f>IF($A161="","",VLOOKUP($A161,'Annex 2 EHV charges'!$D:$O,2,0))</f>
        <v/>
      </c>
      <c r="C161" s="124" t="str">
        <f>IF($A161="","",VLOOKUP($A161,'Annex 2 EHV charges'!$D:$O,3,0))</f>
        <v/>
      </c>
      <c r="D161" s="123" t="str">
        <f>IF($A161="","",VLOOKUP($A161,'Annex 2 EHV charges'!$D:$O,4,0))</f>
        <v/>
      </c>
      <c r="E161" s="125" t="str">
        <f>IFERROR(IF(VLOOKUP($A161,'Annex 2 EHV charges'!$D:$O,9,FALSE)=0,"",VLOOKUP($A161,'Annex 2 EHV charges'!$D:$O,9,FALSE)),"")</f>
        <v/>
      </c>
      <c r="F161" s="126" t="str">
        <f>IFERROR(IF(VLOOKUP($A161,'Annex 2 EHV charges'!$D:$O,10,FALSE)=0,"",VLOOKUP($A161,'Annex 2 EHV charges'!$D:$O,10,FALSE)),"")</f>
        <v/>
      </c>
      <c r="G161" s="127" t="str">
        <f>IFERROR(IF(VLOOKUP($A161,'Annex 2 EHV charges'!$D:$O,11,FALSE)=0,"",VLOOKUP($A161,'Annex 2 EHV charges'!$D:$O,11,FALSE)),"")</f>
        <v/>
      </c>
      <c r="H161" s="127" t="str">
        <f>IFERROR(IF(VLOOKUP($A161,'Annex 2 EHV charges'!$D:$O,12,FALSE)=0,"",VLOOKUP($A161,'Annex 2 EHV charges'!$D:$O,12,FALSE)),"")</f>
        <v/>
      </c>
    </row>
    <row r="162" spans="1:8" x14ac:dyDescent="0.2">
      <c r="A162" s="124" t="str">
        <f t="array" ref="A162">IFERROR(INDEX('Annex 2 EHV charges'!$D$11:$D$260, MATCH(0, IF(ISBLANK('Annex 2 EHV charges'!$D$11:$D$260),1, COUNTIF(A$4:$A161, 'Annex 2 EHV charges'!$D$11:$D$260)), 0)),"")</f>
        <v/>
      </c>
      <c r="B162" s="123" t="str">
        <f>IF($A162="","",VLOOKUP($A162,'Annex 2 EHV charges'!$D:$O,2,0))</f>
        <v/>
      </c>
      <c r="C162" s="124" t="str">
        <f>IF($A162="","",VLOOKUP($A162,'Annex 2 EHV charges'!$D:$O,3,0))</f>
        <v/>
      </c>
      <c r="D162" s="123" t="str">
        <f>IF($A162="","",VLOOKUP($A162,'Annex 2 EHV charges'!$D:$O,4,0))</f>
        <v/>
      </c>
      <c r="E162" s="125" t="str">
        <f>IFERROR(IF(VLOOKUP($A162,'Annex 2 EHV charges'!$D:$O,9,FALSE)=0,"",VLOOKUP($A162,'Annex 2 EHV charges'!$D:$O,9,FALSE)),"")</f>
        <v/>
      </c>
      <c r="F162" s="126" t="str">
        <f>IFERROR(IF(VLOOKUP($A162,'Annex 2 EHV charges'!$D:$O,10,FALSE)=0,"",VLOOKUP($A162,'Annex 2 EHV charges'!$D:$O,10,FALSE)),"")</f>
        <v/>
      </c>
      <c r="G162" s="127" t="str">
        <f>IFERROR(IF(VLOOKUP($A162,'Annex 2 EHV charges'!$D:$O,11,FALSE)=0,"",VLOOKUP($A162,'Annex 2 EHV charges'!$D:$O,11,FALSE)),"")</f>
        <v/>
      </c>
      <c r="H162" s="127" t="str">
        <f>IFERROR(IF(VLOOKUP($A162,'Annex 2 EHV charges'!$D:$O,12,FALSE)=0,"",VLOOKUP($A162,'Annex 2 EHV charges'!$D:$O,12,FALSE)),"")</f>
        <v/>
      </c>
    </row>
    <row r="163" spans="1:8" x14ac:dyDescent="0.2">
      <c r="A163" s="124" t="str">
        <f t="array" ref="A163">IFERROR(INDEX('Annex 2 EHV charges'!$D$11:$D$260, MATCH(0, IF(ISBLANK('Annex 2 EHV charges'!$D$11:$D$260),1, COUNTIF(A$4:$A162, 'Annex 2 EHV charges'!$D$11:$D$260)), 0)),"")</f>
        <v/>
      </c>
      <c r="B163" s="123" t="str">
        <f>IF($A163="","",VLOOKUP($A163,'Annex 2 EHV charges'!$D:$O,2,0))</f>
        <v/>
      </c>
      <c r="C163" s="124" t="str">
        <f>IF($A163="","",VLOOKUP($A163,'Annex 2 EHV charges'!$D:$O,3,0))</f>
        <v/>
      </c>
      <c r="D163" s="123" t="str">
        <f>IF($A163="","",VLOOKUP($A163,'Annex 2 EHV charges'!$D:$O,4,0))</f>
        <v/>
      </c>
      <c r="E163" s="125" t="str">
        <f>IFERROR(IF(VLOOKUP($A163,'Annex 2 EHV charges'!$D:$O,9,FALSE)=0,"",VLOOKUP($A163,'Annex 2 EHV charges'!$D:$O,9,FALSE)),"")</f>
        <v/>
      </c>
      <c r="F163" s="126" t="str">
        <f>IFERROR(IF(VLOOKUP($A163,'Annex 2 EHV charges'!$D:$O,10,FALSE)=0,"",VLOOKUP($A163,'Annex 2 EHV charges'!$D:$O,10,FALSE)),"")</f>
        <v/>
      </c>
      <c r="G163" s="127" t="str">
        <f>IFERROR(IF(VLOOKUP($A163,'Annex 2 EHV charges'!$D:$O,11,FALSE)=0,"",VLOOKUP($A163,'Annex 2 EHV charges'!$D:$O,11,FALSE)),"")</f>
        <v/>
      </c>
      <c r="H163" s="127" t="str">
        <f>IFERROR(IF(VLOOKUP($A163,'Annex 2 EHV charges'!$D:$O,12,FALSE)=0,"",VLOOKUP($A163,'Annex 2 EHV charges'!$D:$O,12,FALSE)),"")</f>
        <v/>
      </c>
    </row>
    <row r="164" spans="1:8" x14ac:dyDescent="0.2">
      <c r="A164" s="124" t="str">
        <f t="array" ref="A164">IFERROR(INDEX('Annex 2 EHV charges'!$D$11:$D$260, MATCH(0, IF(ISBLANK('Annex 2 EHV charges'!$D$11:$D$260),1, COUNTIF(A$4:$A163, 'Annex 2 EHV charges'!$D$11:$D$260)), 0)),"")</f>
        <v/>
      </c>
      <c r="B164" s="123" t="str">
        <f>IF($A164="","",VLOOKUP($A164,'Annex 2 EHV charges'!$D:$O,2,0))</f>
        <v/>
      </c>
      <c r="C164" s="124" t="str">
        <f>IF($A164="","",VLOOKUP($A164,'Annex 2 EHV charges'!$D:$O,3,0))</f>
        <v/>
      </c>
      <c r="D164" s="123" t="str">
        <f>IF($A164="","",VLOOKUP($A164,'Annex 2 EHV charges'!$D:$O,4,0))</f>
        <v/>
      </c>
      <c r="E164" s="125" t="str">
        <f>IFERROR(IF(VLOOKUP($A164,'Annex 2 EHV charges'!$D:$O,9,FALSE)=0,"",VLOOKUP($A164,'Annex 2 EHV charges'!$D:$O,9,FALSE)),"")</f>
        <v/>
      </c>
      <c r="F164" s="126" t="str">
        <f>IFERROR(IF(VLOOKUP($A164,'Annex 2 EHV charges'!$D:$O,10,FALSE)=0,"",VLOOKUP($A164,'Annex 2 EHV charges'!$D:$O,10,FALSE)),"")</f>
        <v/>
      </c>
      <c r="G164" s="127" t="str">
        <f>IFERROR(IF(VLOOKUP($A164,'Annex 2 EHV charges'!$D:$O,11,FALSE)=0,"",VLOOKUP($A164,'Annex 2 EHV charges'!$D:$O,11,FALSE)),"")</f>
        <v/>
      </c>
      <c r="H164" s="127" t="str">
        <f>IFERROR(IF(VLOOKUP($A164,'Annex 2 EHV charges'!$D:$O,12,FALSE)=0,"",VLOOKUP($A164,'Annex 2 EHV charges'!$D:$O,12,FALSE)),"")</f>
        <v/>
      </c>
    </row>
    <row r="165" spans="1:8" x14ac:dyDescent="0.2">
      <c r="A165" s="124" t="str">
        <f t="array" ref="A165">IFERROR(INDEX('Annex 2 EHV charges'!$D$11:$D$260, MATCH(0, IF(ISBLANK('Annex 2 EHV charges'!$D$11:$D$260),1, COUNTIF(A$4:$A164, 'Annex 2 EHV charges'!$D$11:$D$260)), 0)),"")</f>
        <v/>
      </c>
      <c r="B165" s="123" t="str">
        <f>IF($A165="","",VLOOKUP($A165,'Annex 2 EHV charges'!$D:$O,2,0))</f>
        <v/>
      </c>
      <c r="C165" s="124" t="str">
        <f>IF($A165="","",VLOOKUP($A165,'Annex 2 EHV charges'!$D:$O,3,0))</f>
        <v/>
      </c>
      <c r="D165" s="123" t="str">
        <f>IF($A165="","",VLOOKUP($A165,'Annex 2 EHV charges'!$D:$O,4,0))</f>
        <v/>
      </c>
      <c r="E165" s="125" t="str">
        <f>IFERROR(IF(VLOOKUP($A165,'Annex 2 EHV charges'!$D:$O,9,FALSE)=0,"",VLOOKUP($A165,'Annex 2 EHV charges'!$D:$O,9,FALSE)),"")</f>
        <v/>
      </c>
      <c r="F165" s="126" t="str">
        <f>IFERROR(IF(VLOOKUP($A165,'Annex 2 EHV charges'!$D:$O,10,FALSE)=0,"",VLOOKUP($A165,'Annex 2 EHV charges'!$D:$O,10,FALSE)),"")</f>
        <v/>
      </c>
      <c r="G165" s="127" t="str">
        <f>IFERROR(IF(VLOOKUP($A165,'Annex 2 EHV charges'!$D:$O,11,FALSE)=0,"",VLOOKUP($A165,'Annex 2 EHV charges'!$D:$O,11,FALSE)),"")</f>
        <v/>
      </c>
      <c r="H165" s="127" t="str">
        <f>IFERROR(IF(VLOOKUP($A165,'Annex 2 EHV charges'!$D:$O,12,FALSE)=0,"",VLOOKUP($A165,'Annex 2 EHV charges'!$D:$O,12,FALSE)),"")</f>
        <v/>
      </c>
    </row>
    <row r="166" spans="1:8" x14ac:dyDescent="0.2">
      <c r="A166" s="124" t="str">
        <f t="array" ref="A166">IFERROR(INDEX('Annex 2 EHV charges'!$D$11:$D$260, MATCH(0, IF(ISBLANK('Annex 2 EHV charges'!$D$11:$D$260),1, COUNTIF(A$4:$A165, 'Annex 2 EHV charges'!$D$11:$D$260)), 0)),"")</f>
        <v/>
      </c>
      <c r="B166" s="123" t="str">
        <f>IF($A166="","",VLOOKUP($A166,'Annex 2 EHV charges'!$D:$O,2,0))</f>
        <v/>
      </c>
      <c r="C166" s="124" t="str">
        <f>IF($A166="","",VLOOKUP($A166,'Annex 2 EHV charges'!$D:$O,3,0))</f>
        <v/>
      </c>
      <c r="D166" s="123" t="str">
        <f>IF($A166="","",VLOOKUP($A166,'Annex 2 EHV charges'!$D:$O,4,0))</f>
        <v/>
      </c>
      <c r="E166" s="125" t="str">
        <f>IFERROR(IF(VLOOKUP($A166,'Annex 2 EHV charges'!$D:$O,9,FALSE)=0,"",VLOOKUP($A166,'Annex 2 EHV charges'!$D:$O,9,FALSE)),"")</f>
        <v/>
      </c>
      <c r="F166" s="126" t="str">
        <f>IFERROR(IF(VLOOKUP($A166,'Annex 2 EHV charges'!$D:$O,10,FALSE)=0,"",VLOOKUP($A166,'Annex 2 EHV charges'!$D:$O,10,FALSE)),"")</f>
        <v/>
      </c>
      <c r="G166" s="127" t="str">
        <f>IFERROR(IF(VLOOKUP($A166,'Annex 2 EHV charges'!$D:$O,11,FALSE)=0,"",VLOOKUP($A166,'Annex 2 EHV charges'!$D:$O,11,FALSE)),"")</f>
        <v/>
      </c>
      <c r="H166" s="127" t="str">
        <f>IFERROR(IF(VLOOKUP($A166,'Annex 2 EHV charges'!$D:$O,12,FALSE)=0,"",VLOOKUP($A166,'Annex 2 EHV charges'!$D:$O,12,FALSE)),"")</f>
        <v/>
      </c>
    </row>
    <row r="167" spans="1:8" x14ac:dyDescent="0.2">
      <c r="A167" s="124" t="str">
        <f t="array" ref="A167">IFERROR(INDEX('Annex 2 EHV charges'!$D$11:$D$260, MATCH(0, IF(ISBLANK('Annex 2 EHV charges'!$D$11:$D$260),1, COUNTIF(A$4:$A166, 'Annex 2 EHV charges'!$D$11:$D$260)), 0)),"")</f>
        <v/>
      </c>
      <c r="B167" s="123" t="str">
        <f>IF($A167="","",VLOOKUP($A167,'Annex 2 EHV charges'!$D:$O,2,0))</f>
        <v/>
      </c>
      <c r="C167" s="124" t="str">
        <f>IF($A167="","",VLOOKUP($A167,'Annex 2 EHV charges'!$D:$O,3,0))</f>
        <v/>
      </c>
      <c r="D167" s="123" t="str">
        <f>IF($A167="","",VLOOKUP($A167,'Annex 2 EHV charges'!$D:$O,4,0))</f>
        <v/>
      </c>
      <c r="E167" s="125" t="str">
        <f>IFERROR(IF(VLOOKUP($A167,'Annex 2 EHV charges'!$D:$O,9,FALSE)=0,"",VLOOKUP($A167,'Annex 2 EHV charges'!$D:$O,9,FALSE)),"")</f>
        <v/>
      </c>
      <c r="F167" s="126" t="str">
        <f>IFERROR(IF(VLOOKUP($A167,'Annex 2 EHV charges'!$D:$O,10,FALSE)=0,"",VLOOKUP($A167,'Annex 2 EHV charges'!$D:$O,10,FALSE)),"")</f>
        <v/>
      </c>
      <c r="G167" s="127" t="str">
        <f>IFERROR(IF(VLOOKUP($A167,'Annex 2 EHV charges'!$D:$O,11,FALSE)=0,"",VLOOKUP($A167,'Annex 2 EHV charges'!$D:$O,11,FALSE)),"")</f>
        <v/>
      </c>
      <c r="H167" s="127" t="str">
        <f>IFERROR(IF(VLOOKUP($A167,'Annex 2 EHV charges'!$D:$O,12,FALSE)=0,"",VLOOKUP($A167,'Annex 2 EHV charges'!$D:$O,12,FALSE)),"")</f>
        <v/>
      </c>
    </row>
    <row r="168" spans="1:8" x14ac:dyDescent="0.2">
      <c r="A168" s="124" t="str">
        <f t="array" ref="A168">IFERROR(INDEX('Annex 2 EHV charges'!$D$11:$D$260, MATCH(0, IF(ISBLANK('Annex 2 EHV charges'!$D$11:$D$260),1, COUNTIF(A$4:$A167, 'Annex 2 EHV charges'!$D$11:$D$260)), 0)),"")</f>
        <v/>
      </c>
      <c r="B168" s="123" t="str">
        <f>IF($A168="","",VLOOKUP($A168,'Annex 2 EHV charges'!$D:$O,2,0))</f>
        <v/>
      </c>
      <c r="C168" s="124" t="str">
        <f>IF($A168="","",VLOOKUP($A168,'Annex 2 EHV charges'!$D:$O,3,0))</f>
        <v/>
      </c>
      <c r="D168" s="123" t="str">
        <f>IF($A168="","",VLOOKUP($A168,'Annex 2 EHV charges'!$D:$O,4,0))</f>
        <v/>
      </c>
      <c r="E168" s="125" t="str">
        <f>IFERROR(IF(VLOOKUP($A168,'Annex 2 EHV charges'!$D:$O,9,FALSE)=0,"",VLOOKUP($A168,'Annex 2 EHV charges'!$D:$O,9,FALSE)),"")</f>
        <v/>
      </c>
      <c r="F168" s="126" t="str">
        <f>IFERROR(IF(VLOOKUP($A168,'Annex 2 EHV charges'!$D:$O,10,FALSE)=0,"",VLOOKUP($A168,'Annex 2 EHV charges'!$D:$O,10,FALSE)),"")</f>
        <v/>
      </c>
      <c r="G168" s="127" t="str">
        <f>IFERROR(IF(VLOOKUP($A168,'Annex 2 EHV charges'!$D:$O,11,FALSE)=0,"",VLOOKUP($A168,'Annex 2 EHV charges'!$D:$O,11,FALSE)),"")</f>
        <v/>
      </c>
      <c r="H168" s="127" t="str">
        <f>IFERROR(IF(VLOOKUP($A168,'Annex 2 EHV charges'!$D:$O,12,FALSE)=0,"",VLOOKUP($A168,'Annex 2 EHV charges'!$D:$O,12,FALSE)),"")</f>
        <v/>
      </c>
    </row>
    <row r="169" spans="1:8" x14ac:dyDescent="0.2">
      <c r="A169" s="124" t="str">
        <f t="array" ref="A169">IFERROR(INDEX('Annex 2 EHV charges'!$D$11:$D$260, MATCH(0, IF(ISBLANK('Annex 2 EHV charges'!$D$11:$D$260),1, COUNTIF(A$4:$A168, 'Annex 2 EHV charges'!$D$11:$D$260)), 0)),"")</f>
        <v/>
      </c>
      <c r="B169" s="123" t="str">
        <f>IF($A169="","",VLOOKUP($A169,'Annex 2 EHV charges'!$D:$O,2,0))</f>
        <v/>
      </c>
      <c r="C169" s="124" t="str">
        <f>IF($A169="","",VLOOKUP($A169,'Annex 2 EHV charges'!$D:$O,3,0))</f>
        <v/>
      </c>
      <c r="D169" s="123" t="str">
        <f>IF($A169="","",VLOOKUP($A169,'Annex 2 EHV charges'!$D:$O,4,0))</f>
        <v/>
      </c>
      <c r="E169" s="125" t="str">
        <f>IFERROR(IF(VLOOKUP($A169,'Annex 2 EHV charges'!$D:$O,9,FALSE)=0,"",VLOOKUP($A169,'Annex 2 EHV charges'!$D:$O,9,FALSE)),"")</f>
        <v/>
      </c>
      <c r="F169" s="126" t="str">
        <f>IFERROR(IF(VLOOKUP($A169,'Annex 2 EHV charges'!$D:$O,10,FALSE)=0,"",VLOOKUP($A169,'Annex 2 EHV charges'!$D:$O,10,FALSE)),"")</f>
        <v/>
      </c>
      <c r="G169" s="127" t="str">
        <f>IFERROR(IF(VLOOKUP($A169,'Annex 2 EHV charges'!$D:$O,11,FALSE)=0,"",VLOOKUP($A169,'Annex 2 EHV charges'!$D:$O,11,FALSE)),"")</f>
        <v/>
      </c>
      <c r="H169" s="127" t="str">
        <f>IFERROR(IF(VLOOKUP($A169,'Annex 2 EHV charges'!$D:$O,12,FALSE)=0,"",VLOOKUP($A169,'Annex 2 EHV charges'!$D:$O,12,FALSE)),"")</f>
        <v/>
      </c>
    </row>
    <row r="170" spans="1:8" x14ac:dyDescent="0.2">
      <c r="A170" s="124" t="str">
        <f t="array" ref="A170">IFERROR(INDEX('Annex 2 EHV charges'!$D$11:$D$260, MATCH(0, IF(ISBLANK('Annex 2 EHV charges'!$D$11:$D$260),1, COUNTIF(A$4:$A169, 'Annex 2 EHV charges'!$D$11:$D$260)), 0)),"")</f>
        <v/>
      </c>
      <c r="B170" s="123" t="str">
        <f>IF($A170="","",VLOOKUP($A170,'Annex 2 EHV charges'!$D:$O,2,0))</f>
        <v/>
      </c>
      <c r="C170" s="124" t="str">
        <f>IF($A170="","",VLOOKUP($A170,'Annex 2 EHV charges'!$D:$O,3,0))</f>
        <v/>
      </c>
      <c r="D170" s="123" t="str">
        <f>IF($A170="","",VLOOKUP($A170,'Annex 2 EHV charges'!$D:$O,4,0))</f>
        <v/>
      </c>
      <c r="E170" s="125" t="str">
        <f>IFERROR(IF(VLOOKUP($A170,'Annex 2 EHV charges'!$D:$O,9,FALSE)=0,"",VLOOKUP($A170,'Annex 2 EHV charges'!$D:$O,9,FALSE)),"")</f>
        <v/>
      </c>
      <c r="F170" s="126" t="str">
        <f>IFERROR(IF(VLOOKUP($A170,'Annex 2 EHV charges'!$D:$O,10,FALSE)=0,"",VLOOKUP($A170,'Annex 2 EHV charges'!$D:$O,10,FALSE)),"")</f>
        <v/>
      </c>
      <c r="G170" s="127" t="str">
        <f>IFERROR(IF(VLOOKUP($A170,'Annex 2 EHV charges'!$D:$O,11,FALSE)=0,"",VLOOKUP($A170,'Annex 2 EHV charges'!$D:$O,11,FALSE)),"")</f>
        <v/>
      </c>
      <c r="H170" s="127" t="str">
        <f>IFERROR(IF(VLOOKUP($A170,'Annex 2 EHV charges'!$D:$O,12,FALSE)=0,"",VLOOKUP($A170,'Annex 2 EHV charges'!$D:$O,12,FALSE)),"")</f>
        <v/>
      </c>
    </row>
    <row r="171" spans="1:8" x14ac:dyDescent="0.2">
      <c r="A171" s="124" t="str">
        <f t="array" ref="A171">IFERROR(INDEX('Annex 2 EHV charges'!$D$11:$D$260, MATCH(0, IF(ISBLANK('Annex 2 EHV charges'!$D$11:$D$260),1, COUNTIF(A$4:$A170, 'Annex 2 EHV charges'!$D$11:$D$260)), 0)),"")</f>
        <v/>
      </c>
      <c r="B171" s="123" t="str">
        <f>IF($A171="","",VLOOKUP($A171,'Annex 2 EHV charges'!$D:$O,2,0))</f>
        <v/>
      </c>
      <c r="C171" s="124" t="str">
        <f>IF($A171="","",VLOOKUP($A171,'Annex 2 EHV charges'!$D:$O,3,0))</f>
        <v/>
      </c>
      <c r="D171" s="123" t="str">
        <f>IF($A171="","",VLOOKUP($A171,'Annex 2 EHV charges'!$D:$O,4,0))</f>
        <v/>
      </c>
      <c r="E171" s="125" t="str">
        <f>IFERROR(IF(VLOOKUP($A171,'Annex 2 EHV charges'!$D:$O,9,FALSE)=0,"",VLOOKUP($A171,'Annex 2 EHV charges'!$D:$O,9,FALSE)),"")</f>
        <v/>
      </c>
      <c r="F171" s="126" t="str">
        <f>IFERROR(IF(VLOOKUP($A171,'Annex 2 EHV charges'!$D:$O,10,FALSE)=0,"",VLOOKUP($A171,'Annex 2 EHV charges'!$D:$O,10,FALSE)),"")</f>
        <v/>
      </c>
      <c r="G171" s="127" t="str">
        <f>IFERROR(IF(VLOOKUP($A171,'Annex 2 EHV charges'!$D:$O,11,FALSE)=0,"",VLOOKUP($A171,'Annex 2 EHV charges'!$D:$O,11,FALSE)),"")</f>
        <v/>
      </c>
      <c r="H171" s="127" t="str">
        <f>IFERROR(IF(VLOOKUP($A171,'Annex 2 EHV charges'!$D:$O,12,FALSE)=0,"",VLOOKUP($A171,'Annex 2 EHV charges'!$D:$O,12,FALSE)),"")</f>
        <v/>
      </c>
    </row>
    <row r="172" spans="1:8" x14ac:dyDescent="0.2">
      <c r="A172" s="124" t="str">
        <f t="array" ref="A172">IFERROR(INDEX('Annex 2 EHV charges'!$D$11:$D$260, MATCH(0, IF(ISBLANK('Annex 2 EHV charges'!$D$11:$D$260),1, COUNTIF(A$4:$A171, 'Annex 2 EHV charges'!$D$11:$D$260)), 0)),"")</f>
        <v/>
      </c>
      <c r="B172" s="123" t="str">
        <f>IF($A172="","",VLOOKUP($A172,'Annex 2 EHV charges'!$D:$O,2,0))</f>
        <v/>
      </c>
      <c r="C172" s="124" t="str">
        <f>IF($A172="","",VLOOKUP($A172,'Annex 2 EHV charges'!$D:$O,3,0))</f>
        <v/>
      </c>
      <c r="D172" s="123" t="str">
        <f>IF($A172="","",VLOOKUP($A172,'Annex 2 EHV charges'!$D:$O,4,0))</f>
        <v/>
      </c>
      <c r="E172" s="125" t="str">
        <f>IFERROR(IF(VLOOKUP($A172,'Annex 2 EHV charges'!$D:$O,9,FALSE)=0,"",VLOOKUP($A172,'Annex 2 EHV charges'!$D:$O,9,FALSE)),"")</f>
        <v/>
      </c>
      <c r="F172" s="126" t="str">
        <f>IFERROR(IF(VLOOKUP($A172,'Annex 2 EHV charges'!$D:$O,10,FALSE)=0,"",VLOOKUP($A172,'Annex 2 EHV charges'!$D:$O,10,FALSE)),"")</f>
        <v/>
      </c>
      <c r="G172" s="127" t="str">
        <f>IFERROR(IF(VLOOKUP($A172,'Annex 2 EHV charges'!$D:$O,11,FALSE)=0,"",VLOOKUP($A172,'Annex 2 EHV charges'!$D:$O,11,FALSE)),"")</f>
        <v/>
      </c>
      <c r="H172" s="127" t="str">
        <f>IFERROR(IF(VLOOKUP($A172,'Annex 2 EHV charges'!$D:$O,12,FALSE)=0,"",VLOOKUP($A172,'Annex 2 EHV charges'!$D:$O,12,FALSE)),"")</f>
        <v/>
      </c>
    </row>
    <row r="173" spans="1:8" x14ac:dyDescent="0.2">
      <c r="A173" s="124" t="str">
        <f t="array" ref="A173">IFERROR(INDEX('Annex 2 EHV charges'!$D$11:$D$260, MATCH(0, IF(ISBLANK('Annex 2 EHV charges'!$D$11:$D$260),1, COUNTIF(A$4:$A172, 'Annex 2 EHV charges'!$D$11:$D$260)), 0)),"")</f>
        <v/>
      </c>
      <c r="B173" s="123" t="str">
        <f>IF($A173="","",VLOOKUP($A173,'Annex 2 EHV charges'!$D:$O,2,0))</f>
        <v/>
      </c>
      <c r="C173" s="124" t="str">
        <f>IF($A173="","",VLOOKUP($A173,'Annex 2 EHV charges'!$D:$O,3,0))</f>
        <v/>
      </c>
      <c r="D173" s="123" t="str">
        <f>IF($A173="","",VLOOKUP($A173,'Annex 2 EHV charges'!$D:$O,4,0))</f>
        <v/>
      </c>
      <c r="E173" s="125" t="str">
        <f>IFERROR(IF(VLOOKUP($A173,'Annex 2 EHV charges'!$D:$O,9,FALSE)=0,"",VLOOKUP($A173,'Annex 2 EHV charges'!$D:$O,9,FALSE)),"")</f>
        <v/>
      </c>
      <c r="F173" s="126" t="str">
        <f>IFERROR(IF(VLOOKUP($A173,'Annex 2 EHV charges'!$D:$O,10,FALSE)=0,"",VLOOKUP($A173,'Annex 2 EHV charges'!$D:$O,10,FALSE)),"")</f>
        <v/>
      </c>
      <c r="G173" s="127" t="str">
        <f>IFERROR(IF(VLOOKUP($A173,'Annex 2 EHV charges'!$D:$O,11,FALSE)=0,"",VLOOKUP($A173,'Annex 2 EHV charges'!$D:$O,11,FALSE)),"")</f>
        <v/>
      </c>
      <c r="H173" s="127" t="str">
        <f>IFERROR(IF(VLOOKUP($A173,'Annex 2 EHV charges'!$D:$O,12,FALSE)=0,"",VLOOKUP($A173,'Annex 2 EHV charges'!$D:$O,12,FALSE)),"")</f>
        <v/>
      </c>
    </row>
    <row r="174" spans="1:8" x14ac:dyDescent="0.2">
      <c r="A174" s="124" t="str">
        <f t="array" ref="A174">IFERROR(INDEX('Annex 2 EHV charges'!$D$11:$D$260, MATCH(0, IF(ISBLANK('Annex 2 EHV charges'!$D$11:$D$260),1, COUNTIF(A$4:$A173, 'Annex 2 EHV charges'!$D$11:$D$260)), 0)),"")</f>
        <v/>
      </c>
      <c r="B174" s="123" t="str">
        <f>IF($A174="","",VLOOKUP($A174,'Annex 2 EHV charges'!$D:$O,2,0))</f>
        <v/>
      </c>
      <c r="C174" s="124" t="str">
        <f>IF($A174="","",VLOOKUP($A174,'Annex 2 EHV charges'!$D:$O,3,0))</f>
        <v/>
      </c>
      <c r="D174" s="123" t="str">
        <f>IF($A174="","",VLOOKUP($A174,'Annex 2 EHV charges'!$D:$O,4,0))</f>
        <v/>
      </c>
      <c r="E174" s="125" t="str">
        <f>IFERROR(IF(VLOOKUP($A174,'Annex 2 EHV charges'!$D:$O,9,FALSE)=0,"",VLOOKUP($A174,'Annex 2 EHV charges'!$D:$O,9,FALSE)),"")</f>
        <v/>
      </c>
      <c r="F174" s="126" t="str">
        <f>IFERROR(IF(VLOOKUP($A174,'Annex 2 EHV charges'!$D:$O,10,FALSE)=0,"",VLOOKUP($A174,'Annex 2 EHV charges'!$D:$O,10,FALSE)),"")</f>
        <v/>
      </c>
      <c r="G174" s="127" t="str">
        <f>IFERROR(IF(VLOOKUP($A174,'Annex 2 EHV charges'!$D:$O,11,FALSE)=0,"",VLOOKUP($A174,'Annex 2 EHV charges'!$D:$O,11,FALSE)),"")</f>
        <v/>
      </c>
      <c r="H174" s="127" t="str">
        <f>IFERROR(IF(VLOOKUP($A174,'Annex 2 EHV charges'!$D:$O,12,FALSE)=0,"",VLOOKUP($A174,'Annex 2 EHV charges'!$D:$O,12,FALSE)),"")</f>
        <v/>
      </c>
    </row>
    <row r="175" spans="1:8" x14ac:dyDescent="0.2">
      <c r="A175" s="124" t="str">
        <f t="array" ref="A175">IFERROR(INDEX('Annex 2 EHV charges'!$D$11:$D$260, MATCH(0, IF(ISBLANK('Annex 2 EHV charges'!$D$11:$D$260),1, COUNTIF(A$4:$A174, 'Annex 2 EHV charges'!$D$11:$D$260)), 0)),"")</f>
        <v/>
      </c>
      <c r="B175" s="123" t="str">
        <f>IF($A175="","",VLOOKUP($A175,'Annex 2 EHV charges'!$D:$O,2,0))</f>
        <v/>
      </c>
      <c r="C175" s="124" t="str">
        <f>IF($A175="","",VLOOKUP($A175,'Annex 2 EHV charges'!$D:$O,3,0))</f>
        <v/>
      </c>
      <c r="D175" s="123" t="str">
        <f>IF($A175="","",VLOOKUP($A175,'Annex 2 EHV charges'!$D:$O,4,0))</f>
        <v/>
      </c>
      <c r="E175" s="125" t="str">
        <f>IFERROR(IF(VLOOKUP($A175,'Annex 2 EHV charges'!$D:$O,9,FALSE)=0,"",VLOOKUP($A175,'Annex 2 EHV charges'!$D:$O,9,FALSE)),"")</f>
        <v/>
      </c>
      <c r="F175" s="126" t="str">
        <f>IFERROR(IF(VLOOKUP($A175,'Annex 2 EHV charges'!$D:$O,10,FALSE)=0,"",VLOOKUP($A175,'Annex 2 EHV charges'!$D:$O,10,FALSE)),"")</f>
        <v/>
      </c>
      <c r="G175" s="127" t="str">
        <f>IFERROR(IF(VLOOKUP($A175,'Annex 2 EHV charges'!$D:$O,11,FALSE)=0,"",VLOOKUP($A175,'Annex 2 EHV charges'!$D:$O,11,FALSE)),"")</f>
        <v/>
      </c>
      <c r="H175" s="127" t="str">
        <f>IFERROR(IF(VLOOKUP($A175,'Annex 2 EHV charges'!$D:$O,12,FALSE)=0,"",VLOOKUP($A175,'Annex 2 EHV charges'!$D:$O,12,FALSE)),"")</f>
        <v/>
      </c>
    </row>
    <row r="176" spans="1:8" x14ac:dyDescent="0.2">
      <c r="A176" s="124" t="str">
        <f t="array" ref="A176">IFERROR(INDEX('Annex 2 EHV charges'!$D$11:$D$260, MATCH(0, IF(ISBLANK('Annex 2 EHV charges'!$D$11:$D$260),1, COUNTIF(A$4:$A175, 'Annex 2 EHV charges'!$D$11:$D$260)), 0)),"")</f>
        <v/>
      </c>
      <c r="B176" s="123" t="str">
        <f>IF($A176="","",VLOOKUP($A176,'Annex 2 EHV charges'!$D:$O,2,0))</f>
        <v/>
      </c>
      <c r="C176" s="124" t="str">
        <f>IF($A176="","",VLOOKUP($A176,'Annex 2 EHV charges'!$D:$O,3,0))</f>
        <v/>
      </c>
      <c r="D176" s="123" t="str">
        <f>IF($A176="","",VLOOKUP($A176,'Annex 2 EHV charges'!$D:$O,4,0))</f>
        <v/>
      </c>
      <c r="E176" s="125" t="str">
        <f>IFERROR(IF(VLOOKUP($A176,'Annex 2 EHV charges'!$D:$O,9,FALSE)=0,"",VLOOKUP($A176,'Annex 2 EHV charges'!$D:$O,9,FALSE)),"")</f>
        <v/>
      </c>
      <c r="F176" s="126" t="str">
        <f>IFERROR(IF(VLOOKUP($A176,'Annex 2 EHV charges'!$D:$O,10,FALSE)=0,"",VLOOKUP($A176,'Annex 2 EHV charges'!$D:$O,10,FALSE)),"")</f>
        <v/>
      </c>
      <c r="G176" s="127" t="str">
        <f>IFERROR(IF(VLOOKUP($A176,'Annex 2 EHV charges'!$D:$O,11,FALSE)=0,"",VLOOKUP($A176,'Annex 2 EHV charges'!$D:$O,11,FALSE)),"")</f>
        <v/>
      </c>
      <c r="H176" s="127" t="str">
        <f>IFERROR(IF(VLOOKUP($A176,'Annex 2 EHV charges'!$D:$O,12,FALSE)=0,"",VLOOKUP($A176,'Annex 2 EHV charges'!$D:$O,12,FALSE)),"")</f>
        <v/>
      </c>
    </row>
    <row r="177" spans="1:8" x14ac:dyDescent="0.2">
      <c r="A177" s="124" t="str">
        <f t="array" ref="A177">IFERROR(INDEX('Annex 2 EHV charges'!$D$11:$D$260, MATCH(0, IF(ISBLANK('Annex 2 EHV charges'!$D$11:$D$260),1, COUNTIF(A$4:$A176, 'Annex 2 EHV charges'!$D$11:$D$260)), 0)),"")</f>
        <v/>
      </c>
      <c r="B177" s="123" t="str">
        <f>IF($A177="","",VLOOKUP($A177,'Annex 2 EHV charges'!$D:$O,2,0))</f>
        <v/>
      </c>
      <c r="C177" s="124" t="str">
        <f>IF($A177="","",VLOOKUP($A177,'Annex 2 EHV charges'!$D:$O,3,0))</f>
        <v/>
      </c>
      <c r="D177" s="123" t="str">
        <f>IF($A177="","",VLOOKUP($A177,'Annex 2 EHV charges'!$D:$O,4,0))</f>
        <v/>
      </c>
      <c r="E177" s="125" t="str">
        <f>IFERROR(IF(VLOOKUP($A177,'Annex 2 EHV charges'!$D:$O,9,FALSE)=0,"",VLOOKUP($A177,'Annex 2 EHV charges'!$D:$O,9,FALSE)),"")</f>
        <v/>
      </c>
      <c r="F177" s="126" t="str">
        <f>IFERROR(IF(VLOOKUP($A177,'Annex 2 EHV charges'!$D:$O,10,FALSE)=0,"",VLOOKUP($A177,'Annex 2 EHV charges'!$D:$O,10,FALSE)),"")</f>
        <v/>
      </c>
      <c r="G177" s="127" t="str">
        <f>IFERROR(IF(VLOOKUP($A177,'Annex 2 EHV charges'!$D:$O,11,FALSE)=0,"",VLOOKUP($A177,'Annex 2 EHV charges'!$D:$O,11,FALSE)),"")</f>
        <v/>
      </c>
      <c r="H177" s="127" t="str">
        <f>IFERROR(IF(VLOOKUP($A177,'Annex 2 EHV charges'!$D:$O,12,FALSE)=0,"",VLOOKUP($A177,'Annex 2 EHV charges'!$D:$O,12,FALSE)),"")</f>
        <v/>
      </c>
    </row>
    <row r="178" spans="1:8" x14ac:dyDescent="0.2">
      <c r="A178" s="124" t="str">
        <f t="array" ref="A178">IFERROR(INDEX('Annex 2 EHV charges'!$D$11:$D$260, MATCH(0, IF(ISBLANK('Annex 2 EHV charges'!$D$11:$D$260),1, COUNTIF(A$4:$A177, 'Annex 2 EHV charges'!$D$11:$D$260)), 0)),"")</f>
        <v/>
      </c>
      <c r="B178" s="123" t="str">
        <f>IF($A178="","",VLOOKUP($A178,'Annex 2 EHV charges'!$D:$O,2,0))</f>
        <v/>
      </c>
      <c r="C178" s="124" t="str">
        <f>IF($A178="","",VLOOKUP($A178,'Annex 2 EHV charges'!$D:$O,3,0))</f>
        <v/>
      </c>
      <c r="D178" s="123" t="str">
        <f>IF($A178="","",VLOOKUP($A178,'Annex 2 EHV charges'!$D:$O,4,0))</f>
        <v/>
      </c>
      <c r="E178" s="125" t="str">
        <f>IFERROR(IF(VLOOKUP($A178,'Annex 2 EHV charges'!$D:$O,9,FALSE)=0,"",VLOOKUP($A178,'Annex 2 EHV charges'!$D:$O,9,FALSE)),"")</f>
        <v/>
      </c>
      <c r="F178" s="126" t="str">
        <f>IFERROR(IF(VLOOKUP($A178,'Annex 2 EHV charges'!$D:$O,10,FALSE)=0,"",VLOOKUP($A178,'Annex 2 EHV charges'!$D:$O,10,FALSE)),"")</f>
        <v/>
      </c>
      <c r="G178" s="127" t="str">
        <f>IFERROR(IF(VLOOKUP($A178,'Annex 2 EHV charges'!$D:$O,11,FALSE)=0,"",VLOOKUP($A178,'Annex 2 EHV charges'!$D:$O,11,FALSE)),"")</f>
        <v/>
      </c>
      <c r="H178" s="127" t="str">
        <f>IFERROR(IF(VLOOKUP($A178,'Annex 2 EHV charges'!$D:$O,12,FALSE)=0,"",VLOOKUP($A178,'Annex 2 EHV charges'!$D:$O,12,FALSE)),"")</f>
        <v/>
      </c>
    </row>
    <row r="179" spans="1:8" x14ac:dyDescent="0.2">
      <c r="A179" s="124" t="str">
        <f t="array" ref="A179">IFERROR(INDEX('Annex 2 EHV charges'!$D$11:$D$260, MATCH(0, IF(ISBLANK('Annex 2 EHV charges'!$D$11:$D$260),1, COUNTIF(A$4:$A178, 'Annex 2 EHV charges'!$D$11:$D$260)), 0)),"")</f>
        <v/>
      </c>
      <c r="B179" s="123" t="str">
        <f>IF($A179="","",VLOOKUP($A179,'Annex 2 EHV charges'!$D:$O,2,0))</f>
        <v/>
      </c>
      <c r="C179" s="124" t="str">
        <f>IF($A179="","",VLOOKUP($A179,'Annex 2 EHV charges'!$D:$O,3,0))</f>
        <v/>
      </c>
      <c r="D179" s="123" t="str">
        <f>IF($A179="","",VLOOKUP($A179,'Annex 2 EHV charges'!$D:$O,4,0))</f>
        <v/>
      </c>
      <c r="E179" s="125" t="str">
        <f>IFERROR(IF(VLOOKUP($A179,'Annex 2 EHV charges'!$D:$O,9,FALSE)=0,"",VLOOKUP($A179,'Annex 2 EHV charges'!$D:$O,9,FALSE)),"")</f>
        <v/>
      </c>
      <c r="F179" s="126" t="str">
        <f>IFERROR(IF(VLOOKUP($A179,'Annex 2 EHV charges'!$D:$O,10,FALSE)=0,"",VLOOKUP($A179,'Annex 2 EHV charges'!$D:$O,10,FALSE)),"")</f>
        <v/>
      </c>
      <c r="G179" s="127" t="str">
        <f>IFERROR(IF(VLOOKUP($A179,'Annex 2 EHV charges'!$D:$O,11,FALSE)=0,"",VLOOKUP($A179,'Annex 2 EHV charges'!$D:$O,11,FALSE)),"")</f>
        <v/>
      </c>
      <c r="H179" s="127" t="str">
        <f>IFERROR(IF(VLOOKUP($A179,'Annex 2 EHV charges'!$D:$O,12,FALSE)=0,"",VLOOKUP($A179,'Annex 2 EHV charges'!$D:$O,12,FALSE)),"")</f>
        <v/>
      </c>
    </row>
    <row r="180" spans="1:8" x14ac:dyDescent="0.2">
      <c r="A180" s="124" t="str">
        <f t="array" ref="A180">IFERROR(INDEX('Annex 2 EHV charges'!$D$11:$D$260, MATCH(0, IF(ISBLANK('Annex 2 EHV charges'!$D$11:$D$260),1, COUNTIF(A$4:$A179, 'Annex 2 EHV charges'!$D$11:$D$260)), 0)),"")</f>
        <v/>
      </c>
      <c r="B180" s="123" t="str">
        <f>IF($A180="","",VLOOKUP($A180,'Annex 2 EHV charges'!$D:$O,2,0))</f>
        <v/>
      </c>
      <c r="C180" s="124" t="str">
        <f>IF($A180="","",VLOOKUP($A180,'Annex 2 EHV charges'!$D:$O,3,0))</f>
        <v/>
      </c>
      <c r="D180" s="123" t="str">
        <f>IF($A180="","",VLOOKUP($A180,'Annex 2 EHV charges'!$D:$O,4,0))</f>
        <v/>
      </c>
      <c r="E180" s="125" t="str">
        <f>IFERROR(IF(VLOOKUP($A180,'Annex 2 EHV charges'!$D:$O,9,FALSE)=0,"",VLOOKUP($A180,'Annex 2 EHV charges'!$D:$O,9,FALSE)),"")</f>
        <v/>
      </c>
      <c r="F180" s="126" t="str">
        <f>IFERROR(IF(VLOOKUP($A180,'Annex 2 EHV charges'!$D:$O,10,FALSE)=0,"",VLOOKUP($A180,'Annex 2 EHV charges'!$D:$O,10,FALSE)),"")</f>
        <v/>
      </c>
      <c r="G180" s="127" t="str">
        <f>IFERROR(IF(VLOOKUP($A180,'Annex 2 EHV charges'!$D:$O,11,FALSE)=0,"",VLOOKUP($A180,'Annex 2 EHV charges'!$D:$O,11,FALSE)),"")</f>
        <v/>
      </c>
      <c r="H180" s="127" t="str">
        <f>IFERROR(IF(VLOOKUP($A180,'Annex 2 EHV charges'!$D:$O,12,FALSE)=0,"",VLOOKUP($A180,'Annex 2 EHV charges'!$D:$O,12,FALSE)),"")</f>
        <v/>
      </c>
    </row>
    <row r="181" spans="1:8" x14ac:dyDescent="0.2">
      <c r="A181" s="124" t="str">
        <f t="array" ref="A181">IFERROR(INDEX('Annex 2 EHV charges'!$D$11:$D$260, MATCH(0, IF(ISBLANK('Annex 2 EHV charges'!$D$11:$D$260),1, COUNTIF(A$4:$A180, 'Annex 2 EHV charges'!$D$11:$D$260)), 0)),"")</f>
        <v/>
      </c>
      <c r="B181" s="123" t="str">
        <f>IF($A181="","",VLOOKUP($A181,'Annex 2 EHV charges'!$D:$O,2,0))</f>
        <v/>
      </c>
      <c r="C181" s="124" t="str">
        <f>IF($A181="","",VLOOKUP($A181,'Annex 2 EHV charges'!$D:$O,3,0))</f>
        <v/>
      </c>
      <c r="D181" s="123" t="str">
        <f>IF($A181="","",VLOOKUP($A181,'Annex 2 EHV charges'!$D:$O,4,0))</f>
        <v/>
      </c>
      <c r="E181" s="125" t="str">
        <f>IFERROR(IF(VLOOKUP($A181,'Annex 2 EHV charges'!$D:$O,9,FALSE)=0,"",VLOOKUP($A181,'Annex 2 EHV charges'!$D:$O,9,FALSE)),"")</f>
        <v/>
      </c>
      <c r="F181" s="126" t="str">
        <f>IFERROR(IF(VLOOKUP($A181,'Annex 2 EHV charges'!$D:$O,10,FALSE)=0,"",VLOOKUP($A181,'Annex 2 EHV charges'!$D:$O,10,FALSE)),"")</f>
        <v/>
      </c>
      <c r="G181" s="127" t="str">
        <f>IFERROR(IF(VLOOKUP($A181,'Annex 2 EHV charges'!$D:$O,11,FALSE)=0,"",VLOOKUP($A181,'Annex 2 EHV charges'!$D:$O,11,FALSE)),"")</f>
        <v/>
      </c>
      <c r="H181" s="127" t="str">
        <f>IFERROR(IF(VLOOKUP($A181,'Annex 2 EHV charges'!$D:$O,12,FALSE)=0,"",VLOOKUP($A181,'Annex 2 EHV charges'!$D:$O,12,FALSE)),"")</f>
        <v/>
      </c>
    </row>
    <row r="182" spans="1:8" x14ac:dyDescent="0.2">
      <c r="A182" s="124" t="str">
        <f t="array" ref="A182">IFERROR(INDEX('Annex 2 EHV charges'!$D$11:$D$260, MATCH(0, IF(ISBLANK('Annex 2 EHV charges'!$D$11:$D$260),1, COUNTIF(A$4:$A181, 'Annex 2 EHV charges'!$D$11:$D$260)), 0)),"")</f>
        <v/>
      </c>
      <c r="B182" s="123" t="str">
        <f>IF($A182="","",VLOOKUP($A182,'Annex 2 EHV charges'!$D:$O,2,0))</f>
        <v/>
      </c>
      <c r="C182" s="124" t="str">
        <f>IF($A182="","",VLOOKUP($A182,'Annex 2 EHV charges'!$D:$O,3,0))</f>
        <v/>
      </c>
      <c r="D182" s="123" t="str">
        <f>IF($A182="","",VLOOKUP($A182,'Annex 2 EHV charges'!$D:$O,4,0))</f>
        <v/>
      </c>
      <c r="E182" s="125" t="str">
        <f>IFERROR(IF(VLOOKUP($A182,'Annex 2 EHV charges'!$D:$O,9,FALSE)=0,"",VLOOKUP($A182,'Annex 2 EHV charges'!$D:$O,9,FALSE)),"")</f>
        <v/>
      </c>
      <c r="F182" s="126" t="str">
        <f>IFERROR(IF(VLOOKUP($A182,'Annex 2 EHV charges'!$D:$O,10,FALSE)=0,"",VLOOKUP($A182,'Annex 2 EHV charges'!$D:$O,10,FALSE)),"")</f>
        <v/>
      </c>
      <c r="G182" s="127" t="str">
        <f>IFERROR(IF(VLOOKUP($A182,'Annex 2 EHV charges'!$D:$O,11,FALSE)=0,"",VLOOKUP($A182,'Annex 2 EHV charges'!$D:$O,11,FALSE)),"")</f>
        <v/>
      </c>
      <c r="H182" s="127" t="str">
        <f>IFERROR(IF(VLOOKUP($A182,'Annex 2 EHV charges'!$D:$O,12,FALSE)=0,"",VLOOKUP($A182,'Annex 2 EHV charges'!$D:$O,12,FALSE)),"")</f>
        <v/>
      </c>
    </row>
    <row r="183" spans="1:8" x14ac:dyDescent="0.2">
      <c r="A183" s="124" t="str">
        <f t="array" ref="A183">IFERROR(INDEX('Annex 2 EHV charges'!$D$11:$D$260, MATCH(0, IF(ISBLANK('Annex 2 EHV charges'!$D$11:$D$260),1, COUNTIF(A$4:$A182, 'Annex 2 EHV charges'!$D$11:$D$260)), 0)),"")</f>
        <v/>
      </c>
      <c r="B183" s="123" t="str">
        <f>IF($A183="","",VLOOKUP($A183,'Annex 2 EHV charges'!$D:$O,2,0))</f>
        <v/>
      </c>
      <c r="C183" s="124" t="str">
        <f>IF($A183="","",VLOOKUP($A183,'Annex 2 EHV charges'!$D:$O,3,0))</f>
        <v/>
      </c>
      <c r="D183" s="123" t="str">
        <f>IF($A183="","",VLOOKUP($A183,'Annex 2 EHV charges'!$D:$O,4,0))</f>
        <v/>
      </c>
      <c r="E183" s="125" t="str">
        <f>IFERROR(IF(VLOOKUP($A183,'Annex 2 EHV charges'!$D:$O,9,FALSE)=0,"",VLOOKUP($A183,'Annex 2 EHV charges'!$D:$O,9,FALSE)),"")</f>
        <v/>
      </c>
      <c r="F183" s="126" t="str">
        <f>IFERROR(IF(VLOOKUP($A183,'Annex 2 EHV charges'!$D:$O,10,FALSE)=0,"",VLOOKUP($A183,'Annex 2 EHV charges'!$D:$O,10,FALSE)),"")</f>
        <v/>
      </c>
      <c r="G183" s="127" t="str">
        <f>IFERROR(IF(VLOOKUP($A183,'Annex 2 EHV charges'!$D:$O,11,FALSE)=0,"",VLOOKUP($A183,'Annex 2 EHV charges'!$D:$O,11,FALSE)),"")</f>
        <v/>
      </c>
      <c r="H183" s="127" t="str">
        <f>IFERROR(IF(VLOOKUP($A183,'Annex 2 EHV charges'!$D:$O,12,FALSE)=0,"",VLOOKUP($A183,'Annex 2 EHV charges'!$D:$O,12,FALSE)),"")</f>
        <v/>
      </c>
    </row>
    <row r="184" spans="1:8" x14ac:dyDescent="0.2">
      <c r="A184" s="124" t="str">
        <f t="array" ref="A184">IFERROR(INDEX('Annex 2 EHV charges'!$D$11:$D$260, MATCH(0, IF(ISBLANK('Annex 2 EHV charges'!$D$11:$D$260),1, COUNTIF(A$4:$A183, 'Annex 2 EHV charges'!$D$11:$D$260)), 0)),"")</f>
        <v/>
      </c>
      <c r="B184" s="123" t="str">
        <f>IF($A184="","",VLOOKUP($A184,'Annex 2 EHV charges'!$D:$O,2,0))</f>
        <v/>
      </c>
      <c r="C184" s="124" t="str">
        <f>IF($A184="","",VLOOKUP($A184,'Annex 2 EHV charges'!$D:$O,3,0))</f>
        <v/>
      </c>
      <c r="D184" s="123" t="str">
        <f>IF($A184="","",VLOOKUP($A184,'Annex 2 EHV charges'!$D:$O,4,0))</f>
        <v/>
      </c>
      <c r="E184" s="125" t="str">
        <f>IFERROR(IF(VLOOKUP($A184,'Annex 2 EHV charges'!$D:$O,9,FALSE)=0,"",VLOOKUP($A184,'Annex 2 EHV charges'!$D:$O,9,FALSE)),"")</f>
        <v/>
      </c>
      <c r="F184" s="126" t="str">
        <f>IFERROR(IF(VLOOKUP($A184,'Annex 2 EHV charges'!$D:$O,10,FALSE)=0,"",VLOOKUP($A184,'Annex 2 EHV charges'!$D:$O,10,FALSE)),"")</f>
        <v/>
      </c>
      <c r="G184" s="127" t="str">
        <f>IFERROR(IF(VLOOKUP($A184,'Annex 2 EHV charges'!$D:$O,11,FALSE)=0,"",VLOOKUP($A184,'Annex 2 EHV charges'!$D:$O,11,FALSE)),"")</f>
        <v/>
      </c>
      <c r="H184" s="127" t="str">
        <f>IFERROR(IF(VLOOKUP($A184,'Annex 2 EHV charges'!$D:$O,12,FALSE)=0,"",VLOOKUP($A184,'Annex 2 EHV charges'!$D:$O,12,FALSE)),"")</f>
        <v/>
      </c>
    </row>
    <row r="185" spans="1:8" x14ac:dyDescent="0.2">
      <c r="A185" s="124" t="str">
        <f t="array" ref="A185">IFERROR(INDEX('Annex 2 EHV charges'!$D$11:$D$260, MATCH(0, IF(ISBLANK('Annex 2 EHV charges'!$D$11:$D$260),1, COUNTIF(A$4:$A184, 'Annex 2 EHV charges'!$D$11:$D$260)), 0)),"")</f>
        <v/>
      </c>
      <c r="B185" s="123" t="str">
        <f>IF($A185="","",VLOOKUP($A185,'Annex 2 EHV charges'!$D:$O,2,0))</f>
        <v/>
      </c>
      <c r="C185" s="124" t="str">
        <f>IF($A185="","",VLOOKUP($A185,'Annex 2 EHV charges'!$D:$O,3,0))</f>
        <v/>
      </c>
      <c r="D185" s="123" t="str">
        <f>IF($A185="","",VLOOKUP($A185,'Annex 2 EHV charges'!$D:$O,4,0))</f>
        <v/>
      </c>
      <c r="E185" s="125" t="str">
        <f>IFERROR(IF(VLOOKUP($A185,'Annex 2 EHV charges'!$D:$O,9,FALSE)=0,"",VLOOKUP($A185,'Annex 2 EHV charges'!$D:$O,9,FALSE)),"")</f>
        <v/>
      </c>
      <c r="F185" s="126" t="str">
        <f>IFERROR(IF(VLOOKUP($A185,'Annex 2 EHV charges'!$D:$O,10,FALSE)=0,"",VLOOKUP($A185,'Annex 2 EHV charges'!$D:$O,10,FALSE)),"")</f>
        <v/>
      </c>
      <c r="G185" s="127" t="str">
        <f>IFERROR(IF(VLOOKUP($A185,'Annex 2 EHV charges'!$D:$O,11,FALSE)=0,"",VLOOKUP($A185,'Annex 2 EHV charges'!$D:$O,11,FALSE)),"")</f>
        <v/>
      </c>
      <c r="H185" s="127" t="str">
        <f>IFERROR(IF(VLOOKUP($A185,'Annex 2 EHV charges'!$D:$O,12,FALSE)=0,"",VLOOKUP($A185,'Annex 2 EHV charges'!$D:$O,12,FALSE)),"")</f>
        <v/>
      </c>
    </row>
    <row r="186" spans="1:8" x14ac:dyDescent="0.2">
      <c r="A186" s="124" t="str">
        <f t="array" ref="A186">IFERROR(INDEX('Annex 2 EHV charges'!$D$11:$D$260, MATCH(0, IF(ISBLANK('Annex 2 EHV charges'!$D$11:$D$260),1, COUNTIF(A$4:$A185, 'Annex 2 EHV charges'!$D$11:$D$260)), 0)),"")</f>
        <v/>
      </c>
      <c r="B186" s="123" t="str">
        <f>IF($A186="","",VLOOKUP($A186,'Annex 2 EHV charges'!$D:$O,2,0))</f>
        <v/>
      </c>
      <c r="C186" s="124" t="str">
        <f>IF($A186="","",VLOOKUP($A186,'Annex 2 EHV charges'!$D:$O,3,0))</f>
        <v/>
      </c>
      <c r="D186" s="123" t="str">
        <f>IF($A186="","",VLOOKUP($A186,'Annex 2 EHV charges'!$D:$O,4,0))</f>
        <v/>
      </c>
      <c r="E186" s="125" t="str">
        <f>IFERROR(IF(VLOOKUP($A186,'Annex 2 EHV charges'!$D:$O,9,FALSE)=0,"",VLOOKUP($A186,'Annex 2 EHV charges'!$D:$O,9,FALSE)),"")</f>
        <v/>
      </c>
      <c r="F186" s="126" t="str">
        <f>IFERROR(IF(VLOOKUP($A186,'Annex 2 EHV charges'!$D:$O,10,FALSE)=0,"",VLOOKUP($A186,'Annex 2 EHV charges'!$D:$O,10,FALSE)),"")</f>
        <v/>
      </c>
      <c r="G186" s="127" t="str">
        <f>IFERROR(IF(VLOOKUP($A186,'Annex 2 EHV charges'!$D:$O,11,FALSE)=0,"",VLOOKUP($A186,'Annex 2 EHV charges'!$D:$O,11,FALSE)),"")</f>
        <v/>
      </c>
      <c r="H186" s="127" t="str">
        <f>IFERROR(IF(VLOOKUP($A186,'Annex 2 EHV charges'!$D:$O,12,FALSE)=0,"",VLOOKUP($A186,'Annex 2 EHV charges'!$D:$O,12,FALSE)),"")</f>
        <v/>
      </c>
    </row>
    <row r="187" spans="1:8" x14ac:dyDescent="0.2">
      <c r="A187" s="124" t="str">
        <f t="array" ref="A187">IFERROR(INDEX('Annex 2 EHV charges'!$D$11:$D$260, MATCH(0, IF(ISBLANK('Annex 2 EHV charges'!$D$11:$D$260),1, COUNTIF(A$4:$A186, 'Annex 2 EHV charges'!$D$11:$D$260)), 0)),"")</f>
        <v/>
      </c>
      <c r="B187" s="123" t="str">
        <f>IF($A187="","",VLOOKUP($A187,'Annex 2 EHV charges'!$D:$O,2,0))</f>
        <v/>
      </c>
      <c r="C187" s="124" t="str">
        <f>IF($A187="","",VLOOKUP($A187,'Annex 2 EHV charges'!$D:$O,3,0))</f>
        <v/>
      </c>
      <c r="D187" s="123" t="str">
        <f>IF($A187="","",VLOOKUP($A187,'Annex 2 EHV charges'!$D:$O,4,0))</f>
        <v/>
      </c>
      <c r="E187" s="125" t="str">
        <f>IFERROR(IF(VLOOKUP($A187,'Annex 2 EHV charges'!$D:$O,9,FALSE)=0,"",VLOOKUP($A187,'Annex 2 EHV charges'!$D:$O,9,FALSE)),"")</f>
        <v/>
      </c>
      <c r="F187" s="126" t="str">
        <f>IFERROR(IF(VLOOKUP($A187,'Annex 2 EHV charges'!$D:$O,10,FALSE)=0,"",VLOOKUP($A187,'Annex 2 EHV charges'!$D:$O,10,FALSE)),"")</f>
        <v/>
      </c>
      <c r="G187" s="127" t="str">
        <f>IFERROR(IF(VLOOKUP($A187,'Annex 2 EHV charges'!$D:$O,11,FALSE)=0,"",VLOOKUP($A187,'Annex 2 EHV charges'!$D:$O,11,FALSE)),"")</f>
        <v/>
      </c>
      <c r="H187" s="127" t="str">
        <f>IFERROR(IF(VLOOKUP($A187,'Annex 2 EHV charges'!$D:$O,12,FALSE)=0,"",VLOOKUP($A187,'Annex 2 EHV charges'!$D:$O,12,FALSE)),"")</f>
        <v/>
      </c>
    </row>
    <row r="188" spans="1:8" x14ac:dyDescent="0.2">
      <c r="A188" s="124" t="str">
        <f t="array" ref="A188">IFERROR(INDEX('Annex 2 EHV charges'!$D$11:$D$260, MATCH(0, IF(ISBLANK('Annex 2 EHV charges'!$D$11:$D$260),1, COUNTIF(A$4:$A187, 'Annex 2 EHV charges'!$D$11:$D$260)), 0)),"")</f>
        <v/>
      </c>
      <c r="B188" s="123" t="str">
        <f>IF($A188="","",VLOOKUP($A188,'Annex 2 EHV charges'!$D:$O,2,0))</f>
        <v/>
      </c>
      <c r="C188" s="124" t="str">
        <f>IF($A188="","",VLOOKUP($A188,'Annex 2 EHV charges'!$D:$O,3,0))</f>
        <v/>
      </c>
      <c r="D188" s="123" t="str">
        <f>IF($A188="","",VLOOKUP($A188,'Annex 2 EHV charges'!$D:$O,4,0))</f>
        <v/>
      </c>
      <c r="E188" s="125" t="str">
        <f>IFERROR(IF(VLOOKUP($A188,'Annex 2 EHV charges'!$D:$O,9,FALSE)=0,"",VLOOKUP($A188,'Annex 2 EHV charges'!$D:$O,9,FALSE)),"")</f>
        <v/>
      </c>
      <c r="F188" s="126" t="str">
        <f>IFERROR(IF(VLOOKUP($A188,'Annex 2 EHV charges'!$D:$O,10,FALSE)=0,"",VLOOKUP($A188,'Annex 2 EHV charges'!$D:$O,10,FALSE)),"")</f>
        <v/>
      </c>
      <c r="G188" s="127" t="str">
        <f>IFERROR(IF(VLOOKUP($A188,'Annex 2 EHV charges'!$D:$O,11,FALSE)=0,"",VLOOKUP($A188,'Annex 2 EHV charges'!$D:$O,11,FALSE)),"")</f>
        <v/>
      </c>
      <c r="H188" s="127" t="str">
        <f>IFERROR(IF(VLOOKUP($A188,'Annex 2 EHV charges'!$D:$O,12,FALSE)=0,"",VLOOKUP($A188,'Annex 2 EHV charges'!$D:$O,12,FALSE)),"")</f>
        <v/>
      </c>
    </row>
    <row r="189" spans="1:8" x14ac:dyDescent="0.2">
      <c r="A189" s="124" t="str">
        <f t="array" ref="A189">IFERROR(INDEX('Annex 2 EHV charges'!$D$11:$D$260, MATCH(0, IF(ISBLANK('Annex 2 EHV charges'!$D$11:$D$260),1, COUNTIF(A$4:$A188, 'Annex 2 EHV charges'!$D$11:$D$260)), 0)),"")</f>
        <v/>
      </c>
      <c r="B189" s="123" t="str">
        <f>IF($A189="","",VLOOKUP($A189,'Annex 2 EHV charges'!$D:$O,2,0))</f>
        <v/>
      </c>
      <c r="C189" s="124" t="str">
        <f>IF($A189="","",VLOOKUP($A189,'Annex 2 EHV charges'!$D:$O,3,0))</f>
        <v/>
      </c>
      <c r="D189" s="123" t="str">
        <f>IF($A189="","",VLOOKUP($A189,'Annex 2 EHV charges'!$D:$O,4,0))</f>
        <v/>
      </c>
      <c r="E189" s="125" t="str">
        <f>IFERROR(IF(VLOOKUP($A189,'Annex 2 EHV charges'!$D:$O,9,FALSE)=0,"",VLOOKUP($A189,'Annex 2 EHV charges'!$D:$O,9,FALSE)),"")</f>
        <v/>
      </c>
      <c r="F189" s="126" t="str">
        <f>IFERROR(IF(VLOOKUP($A189,'Annex 2 EHV charges'!$D:$O,10,FALSE)=0,"",VLOOKUP($A189,'Annex 2 EHV charges'!$D:$O,10,FALSE)),"")</f>
        <v/>
      </c>
      <c r="G189" s="127" t="str">
        <f>IFERROR(IF(VLOOKUP($A189,'Annex 2 EHV charges'!$D:$O,11,FALSE)=0,"",VLOOKUP($A189,'Annex 2 EHV charges'!$D:$O,11,FALSE)),"")</f>
        <v/>
      </c>
      <c r="H189" s="127" t="str">
        <f>IFERROR(IF(VLOOKUP($A189,'Annex 2 EHV charges'!$D:$O,12,FALSE)=0,"",VLOOKUP($A189,'Annex 2 EHV charges'!$D:$O,12,FALSE)),"")</f>
        <v/>
      </c>
    </row>
    <row r="190" spans="1:8" x14ac:dyDescent="0.2">
      <c r="A190" s="124" t="str">
        <f t="array" ref="A190">IFERROR(INDEX('Annex 2 EHV charges'!$D$11:$D$260, MATCH(0, IF(ISBLANK('Annex 2 EHV charges'!$D$11:$D$260),1, COUNTIF(A$4:$A189, 'Annex 2 EHV charges'!$D$11:$D$260)), 0)),"")</f>
        <v/>
      </c>
      <c r="B190" s="123" t="str">
        <f>IF($A190="","",VLOOKUP($A190,'Annex 2 EHV charges'!$D:$O,2,0))</f>
        <v/>
      </c>
      <c r="C190" s="124" t="str">
        <f>IF($A190="","",VLOOKUP($A190,'Annex 2 EHV charges'!$D:$O,3,0))</f>
        <v/>
      </c>
      <c r="D190" s="123" t="str">
        <f>IF($A190="","",VLOOKUP($A190,'Annex 2 EHV charges'!$D:$O,4,0))</f>
        <v/>
      </c>
      <c r="E190" s="125" t="str">
        <f>IFERROR(IF(VLOOKUP($A190,'Annex 2 EHV charges'!$D:$O,9,FALSE)=0,"",VLOOKUP($A190,'Annex 2 EHV charges'!$D:$O,9,FALSE)),"")</f>
        <v/>
      </c>
      <c r="F190" s="126" t="str">
        <f>IFERROR(IF(VLOOKUP($A190,'Annex 2 EHV charges'!$D:$O,10,FALSE)=0,"",VLOOKUP($A190,'Annex 2 EHV charges'!$D:$O,10,FALSE)),"")</f>
        <v/>
      </c>
      <c r="G190" s="127" t="str">
        <f>IFERROR(IF(VLOOKUP($A190,'Annex 2 EHV charges'!$D:$O,11,FALSE)=0,"",VLOOKUP($A190,'Annex 2 EHV charges'!$D:$O,11,FALSE)),"")</f>
        <v/>
      </c>
      <c r="H190" s="127" t="str">
        <f>IFERROR(IF(VLOOKUP($A190,'Annex 2 EHV charges'!$D:$O,12,FALSE)=0,"",VLOOKUP($A190,'Annex 2 EHV charges'!$D:$O,12,FALSE)),"")</f>
        <v/>
      </c>
    </row>
    <row r="191" spans="1:8" x14ac:dyDescent="0.2">
      <c r="A191" s="124" t="str">
        <f t="array" ref="A191">IFERROR(INDEX('Annex 2 EHV charges'!$D$11:$D$260, MATCH(0, IF(ISBLANK('Annex 2 EHV charges'!$D$11:$D$260),1, COUNTIF(A$4:$A190, 'Annex 2 EHV charges'!$D$11:$D$260)), 0)),"")</f>
        <v/>
      </c>
      <c r="B191" s="123" t="str">
        <f>IF($A191="","",VLOOKUP($A191,'Annex 2 EHV charges'!$D:$O,2,0))</f>
        <v/>
      </c>
      <c r="C191" s="124" t="str">
        <f>IF($A191="","",VLOOKUP($A191,'Annex 2 EHV charges'!$D:$O,3,0))</f>
        <v/>
      </c>
      <c r="D191" s="123" t="str">
        <f>IF($A191="","",VLOOKUP($A191,'Annex 2 EHV charges'!$D:$O,4,0))</f>
        <v/>
      </c>
      <c r="E191" s="125" t="str">
        <f>IFERROR(IF(VLOOKUP($A191,'Annex 2 EHV charges'!$D:$O,9,FALSE)=0,"",VLOOKUP($A191,'Annex 2 EHV charges'!$D:$O,9,FALSE)),"")</f>
        <v/>
      </c>
      <c r="F191" s="126" t="str">
        <f>IFERROR(IF(VLOOKUP($A191,'Annex 2 EHV charges'!$D:$O,10,FALSE)=0,"",VLOOKUP($A191,'Annex 2 EHV charges'!$D:$O,10,FALSE)),"")</f>
        <v/>
      </c>
      <c r="G191" s="127" t="str">
        <f>IFERROR(IF(VLOOKUP($A191,'Annex 2 EHV charges'!$D:$O,11,FALSE)=0,"",VLOOKUP($A191,'Annex 2 EHV charges'!$D:$O,11,FALSE)),"")</f>
        <v/>
      </c>
      <c r="H191" s="127" t="str">
        <f>IFERROR(IF(VLOOKUP($A191,'Annex 2 EHV charges'!$D:$O,12,FALSE)=0,"",VLOOKUP($A191,'Annex 2 EHV charges'!$D:$O,12,FALSE)),"")</f>
        <v/>
      </c>
    </row>
    <row r="192" spans="1:8" x14ac:dyDescent="0.2">
      <c r="A192" s="124" t="str">
        <f t="array" ref="A192">IFERROR(INDEX('Annex 2 EHV charges'!$D$11:$D$260, MATCH(0, IF(ISBLANK('Annex 2 EHV charges'!$D$11:$D$260),1, COUNTIF(A$4:$A191, 'Annex 2 EHV charges'!$D$11:$D$260)), 0)),"")</f>
        <v/>
      </c>
      <c r="B192" s="123" t="str">
        <f>IF($A192="","",VLOOKUP($A192,'Annex 2 EHV charges'!$D:$O,2,0))</f>
        <v/>
      </c>
      <c r="C192" s="124" t="str">
        <f>IF($A192="","",VLOOKUP($A192,'Annex 2 EHV charges'!$D:$O,3,0))</f>
        <v/>
      </c>
      <c r="D192" s="123" t="str">
        <f>IF($A192="","",VLOOKUP($A192,'Annex 2 EHV charges'!$D:$O,4,0))</f>
        <v/>
      </c>
      <c r="E192" s="125" t="str">
        <f>IFERROR(IF(VLOOKUP($A192,'Annex 2 EHV charges'!$D:$O,9,FALSE)=0,"",VLOOKUP($A192,'Annex 2 EHV charges'!$D:$O,9,FALSE)),"")</f>
        <v/>
      </c>
      <c r="F192" s="126" t="str">
        <f>IFERROR(IF(VLOOKUP($A192,'Annex 2 EHV charges'!$D:$O,10,FALSE)=0,"",VLOOKUP($A192,'Annex 2 EHV charges'!$D:$O,10,FALSE)),"")</f>
        <v/>
      </c>
      <c r="G192" s="127" t="str">
        <f>IFERROR(IF(VLOOKUP($A192,'Annex 2 EHV charges'!$D:$O,11,FALSE)=0,"",VLOOKUP($A192,'Annex 2 EHV charges'!$D:$O,11,FALSE)),"")</f>
        <v/>
      </c>
      <c r="H192" s="127" t="str">
        <f>IFERROR(IF(VLOOKUP($A192,'Annex 2 EHV charges'!$D:$O,12,FALSE)=0,"",VLOOKUP($A192,'Annex 2 EHV charges'!$D:$O,12,FALSE)),"")</f>
        <v/>
      </c>
    </row>
    <row r="193" spans="1:8" x14ac:dyDescent="0.2">
      <c r="A193" s="124" t="str">
        <f t="array" ref="A193">IFERROR(INDEX('Annex 2 EHV charges'!$D$11:$D$260, MATCH(0, IF(ISBLANK('Annex 2 EHV charges'!$D$11:$D$260),1, COUNTIF(A$4:$A192, 'Annex 2 EHV charges'!$D$11:$D$260)), 0)),"")</f>
        <v/>
      </c>
      <c r="B193" s="123" t="str">
        <f>IF($A193="","",VLOOKUP($A193,'Annex 2 EHV charges'!$D:$O,2,0))</f>
        <v/>
      </c>
      <c r="C193" s="124" t="str">
        <f>IF($A193="","",VLOOKUP($A193,'Annex 2 EHV charges'!$D:$O,3,0))</f>
        <v/>
      </c>
      <c r="D193" s="123" t="str">
        <f>IF($A193="","",VLOOKUP($A193,'Annex 2 EHV charges'!$D:$O,4,0))</f>
        <v/>
      </c>
      <c r="E193" s="125" t="str">
        <f>IFERROR(IF(VLOOKUP($A193,'Annex 2 EHV charges'!$D:$O,9,FALSE)=0,"",VLOOKUP($A193,'Annex 2 EHV charges'!$D:$O,9,FALSE)),"")</f>
        <v/>
      </c>
      <c r="F193" s="126" t="str">
        <f>IFERROR(IF(VLOOKUP($A193,'Annex 2 EHV charges'!$D:$O,10,FALSE)=0,"",VLOOKUP($A193,'Annex 2 EHV charges'!$D:$O,10,FALSE)),"")</f>
        <v/>
      </c>
      <c r="G193" s="127" t="str">
        <f>IFERROR(IF(VLOOKUP($A193,'Annex 2 EHV charges'!$D:$O,11,FALSE)=0,"",VLOOKUP($A193,'Annex 2 EHV charges'!$D:$O,11,FALSE)),"")</f>
        <v/>
      </c>
      <c r="H193" s="127" t="str">
        <f>IFERROR(IF(VLOOKUP($A193,'Annex 2 EHV charges'!$D:$O,12,FALSE)=0,"",VLOOKUP($A193,'Annex 2 EHV charges'!$D:$O,12,FALSE)),"")</f>
        <v/>
      </c>
    </row>
    <row r="194" spans="1:8" x14ac:dyDescent="0.2">
      <c r="A194" s="124" t="str">
        <f t="array" ref="A194">IFERROR(INDEX('Annex 2 EHV charges'!$D$11:$D$260, MATCH(0, IF(ISBLANK('Annex 2 EHV charges'!$D$11:$D$260),1, COUNTIF(A$4:$A193, 'Annex 2 EHV charges'!$D$11:$D$260)), 0)),"")</f>
        <v/>
      </c>
      <c r="B194" s="123" t="str">
        <f>IF($A194="","",VLOOKUP($A194,'Annex 2 EHV charges'!$D:$O,2,0))</f>
        <v/>
      </c>
      <c r="C194" s="124" t="str">
        <f>IF($A194="","",VLOOKUP($A194,'Annex 2 EHV charges'!$D:$O,3,0))</f>
        <v/>
      </c>
      <c r="D194" s="123" t="str">
        <f>IF($A194="","",VLOOKUP($A194,'Annex 2 EHV charges'!$D:$O,4,0))</f>
        <v/>
      </c>
      <c r="E194" s="125" t="str">
        <f>IFERROR(IF(VLOOKUP($A194,'Annex 2 EHV charges'!$D:$O,9,FALSE)=0,"",VLOOKUP($A194,'Annex 2 EHV charges'!$D:$O,9,FALSE)),"")</f>
        <v/>
      </c>
      <c r="F194" s="126" t="str">
        <f>IFERROR(IF(VLOOKUP($A194,'Annex 2 EHV charges'!$D:$O,10,FALSE)=0,"",VLOOKUP($A194,'Annex 2 EHV charges'!$D:$O,10,FALSE)),"")</f>
        <v/>
      </c>
      <c r="G194" s="127" t="str">
        <f>IFERROR(IF(VLOOKUP($A194,'Annex 2 EHV charges'!$D:$O,11,FALSE)=0,"",VLOOKUP($A194,'Annex 2 EHV charges'!$D:$O,11,FALSE)),"")</f>
        <v/>
      </c>
      <c r="H194" s="127" t="str">
        <f>IFERROR(IF(VLOOKUP($A194,'Annex 2 EHV charges'!$D:$O,12,FALSE)=0,"",VLOOKUP($A194,'Annex 2 EHV charges'!$D:$O,12,FALSE)),"")</f>
        <v/>
      </c>
    </row>
    <row r="195" spans="1:8" x14ac:dyDescent="0.2">
      <c r="A195" s="124" t="str">
        <f t="array" ref="A195">IFERROR(INDEX('Annex 2 EHV charges'!$D$11:$D$260, MATCH(0, IF(ISBLANK('Annex 2 EHV charges'!$D$11:$D$260),1, COUNTIF(A$4:$A194, 'Annex 2 EHV charges'!$D$11:$D$260)), 0)),"")</f>
        <v/>
      </c>
      <c r="B195" s="123" t="str">
        <f>IF($A195="","",VLOOKUP($A195,'Annex 2 EHV charges'!$D:$O,2,0))</f>
        <v/>
      </c>
      <c r="C195" s="124" t="str">
        <f>IF($A195="","",VLOOKUP($A195,'Annex 2 EHV charges'!$D:$O,3,0))</f>
        <v/>
      </c>
      <c r="D195" s="123" t="str">
        <f>IF($A195="","",VLOOKUP($A195,'Annex 2 EHV charges'!$D:$O,4,0))</f>
        <v/>
      </c>
      <c r="E195" s="125" t="str">
        <f>IFERROR(IF(VLOOKUP($A195,'Annex 2 EHV charges'!$D:$O,9,FALSE)=0,"",VLOOKUP($A195,'Annex 2 EHV charges'!$D:$O,9,FALSE)),"")</f>
        <v/>
      </c>
      <c r="F195" s="126" t="str">
        <f>IFERROR(IF(VLOOKUP($A195,'Annex 2 EHV charges'!$D:$O,10,FALSE)=0,"",VLOOKUP($A195,'Annex 2 EHV charges'!$D:$O,10,FALSE)),"")</f>
        <v/>
      </c>
      <c r="G195" s="127" t="str">
        <f>IFERROR(IF(VLOOKUP($A195,'Annex 2 EHV charges'!$D:$O,11,FALSE)=0,"",VLOOKUP($A195,'Annex 2 EHV charges'!$D:$O,11,FALSE)),"")</f>
        <v/>
      </c>
      <c r="H195" s="127" t="str">
        <f>IFERROR(IF(VLOOKUP($A195,'Annex 2 EHV charges'!$D:$O,12,FALSE)=0,"",VLOOKUP($A195,'Annex 2 EHV charges'!$D:$O,12,FALSE)),"")</f>
        <v/>
      </c>
    </row>
    <row r="196" spans="1:8" x14ac:dyDescent="0.2">
      <c r="A196" s="124" t="str">
        <f t="array" ref="A196">IFERROR(INDEX('Annex 2 EHV charges'!$D$11:$D$260, MATCH(0, IF(ISBLANK('Annex 2 EHV charges'!$D$11:$D$260),1, COUNTIF(A$4:$A195, 'Annex 2 EHV charges'!$D$11:$D$260)), 0)),"")</f>
        <v/>
      </c>
      <c r="B196" s="123" t="str">
        <f>IF($A196="","",VLOOKUP($A196,'Annex 2 EHV charges'!$D:$O,2,0))</f>
        <v/>
      </c>
      <c r="C196" s="124" t="str">
        <f>IF($A196="","",VLOOKUP($A196,'Annex 2 EHV charges'!$D:$O,3,0))</f>
        <v/>
      </c>
      <c r="D196" s="123" t="str">
        <f>IF($A196="","",VLOOKUP($A196,'Annex 2 EHV charges'!$D:$O,4,0))</f>
        <v/>
      </c>
      <c r="E196" s="125" t="str">
        <f>IFERROR(IF(VLOOKUP($A196,'Annex 2 EHV charges'!$D:$O,9,FALSE)=0,"",VLOOKUP($A196,'Annex 2 EHV charges'!$D:$O,9,FALSE)),"")</f>
        <v/>
      </c>
      <c r="F196" s="126" t="str">
        <f>IFERROR(IF(VLOOKUP($A196,'Annex 2 EHV charges'!$D:$O,10,FALSE)=0,"",VLOOKUP($A196,'Annex 2 EHV charges'!$D:$O,10,FALSE)),"")</f>
        <v/>
      </c>
      <c r="G196" s="127" t="str">
        <f>IFERROR(IF(VLOOKUP($A196,'Annex 2 EHV charges'!$D:$O,11,FALSE)=0,"",VLOOKUP($A196,'Annex 2 EHV charges'!$D:$O,11,FALSE)),"")</f>
        <v/>
      </c>
      <c r="H196" s="127" t="str">
        <f>IFERROR(IF(VLOOKUP($A196,'Annex 2 EHV charges'!$D:$O,12,FALSE)=0,"",VLOOKUP($A196,'Annex 2 EHV charges'!$D:$O,12,FALSE)),"")</f>
        <v/>
      </c>
    </row>
    <row r="197" spans="1:8" x14ac:dyDescent="0.2">
      <c r="A197" s="124" t="str">
        <f t="array" ref="A197">IFERROR(INDEX('Annex 2 EHV charges'!$D$11:$D$260, MATCH(0, IF(ISBLANK('Annex 2 EHV charges'!$D$11:$D$260),1, COUNTIF(A$4:$A196, 'Annex 2 EHV charges'!$D$11:$D$260)), 0)),"")</f>
        <v/>
      </c>
      <c r="B197" s="123" t="str">
        <f>IF($A197="","",VLOOKUP($A197,'Annex 2 EHV charges'!$D:$O,2,0))</f>
        <v/>
      </c>
      <c r="C197" s="124" t="str">
        <f>IF($A197="","",VLOOKUP($A197,'Annex 2 EHV charges'!$D:$O,3,0))</f>
        <v/>
      </c>
      <c r="D197" s="123" t="str">
        <f>IF($A197="","",VLOOKUP($A197,'Annex 2 EHV charges'!$D:$O,4,0))</f>
        <v/>
      </c>
      <c r="E197" s="125" t="str">
        <f>IFERROR(IF(VLOOKUP($A197,'Annex 2 EHV charges'!$D:$O,9,FALSE)=0,"",VLOOKUP($A197,'Annex 2 EHV charges'!$D:$O,9,FALSE)),"")</f>
        <v/>
      </c>
      <c r="F197" s="126" t="str">
        <f>IFERROR(IF(VLOOKUP($A197,'Annex 2 EHV charges'!$D:$O,10,FALSE)=0,"",VLOOKUP($A197,'Annex 2 EHV charges'!$D:$O,10,FALSE)),"")</f>
        <v/>
      </c>
      <c r="G197" s="127" t="str">
        <f>IFERROR(IF(VLOOKUP($A197,'Annex 2 EHV charges'!$D:$O,11,FALSE)=0,"",VLOOKUP($A197,'Annex 2 EHV charges'!$D:$O,11,FALSE)),"")</f>
        <v/>
      </c>
      <c r="H197" s="127" t="str">
        <f>IFERROR(IF(VLOOKUP($A197,'Annex 2 EHV charges'!$D:$O,12,FALSE)=0,"",VLOOKUP($A197,'Annex 2 EHV charges'!$D:$O,12,FALSE)),"")</f>
        <v/>
      </c>
    </row>
    <row r="198" spans="1:8" x14ac:dyDescent="0.2">
      <c r="A198" s="124" t="str">
        <f t="array" ref="A198">IFERROR(INDEX('Annex 2 EHV charges'!$D$11:$D$260, MATCH(0, IF(ISBLANK('Annex 2 EHV charges'!$D$11:$D$260),1, COUNTIF(A$4:$A197, 'Annex 2 EHV charges'!$D$11:$D$260)), 0)),"")</f>
        <v/>
      </c>
      <c r="B198" s="123" t="str">
        <f>IF($A198="","",VLOOKUP($A198,'Annex 2 EHV charges'!$D:$O,2,0))</f>
        <v/>
      </c>
      <c r="C198" s="124" t="str">
        <f>IF($A198="","",VLOOKUP($A198,'Annex 2 EHV charges'!$D:$O,3,0))</f>
        <v/>
      </c>
      <c r="D198" s="123" t="str">
        <f>IF($A198="","",VLOOKUP($A198,'Annex 2 EHV charges'!$D:$O,4,0))</f>
        <v/>
      </c>
      <c r="E198" s="125" t="str">
        <f>IFERROR(IF(VLOOKUP($A198,'Annex 2 EHV charges'!$D:$O,9,FALSE)=0,"",VLOOKUP($A198,'Annex 2 EHV charges'!$D:$O,9,FALSE)),"")</f>
        <v/>
      </c>
      <c r="F198" s="126" t="str">
        <f>IFERROR(IF(VLOOKUP($A198,'Annex 2 EHV charges'!$D:$O,10,FALSE)=0,"",VLOOKUP($A198,'Annex 2 EHV charges'!$D:$O,10,FALSE)),"")</f>
        <v/>
      </c>
      <c r="G198" s="127" t="str">
        <f>IFERROR(IF(VLOOKUP($A198,'Annex 2 EHV charges'!$D:$O,11,FALSE)=0,"",VLOOKUP($A198,'Annex 2 EHV charges'!$D:$O,11,FALSE)),"")</f>
        <v/>
      </c>
      <c r="H198" s="127" t="str">
        <f>IFERROR(IF(VLOOKUP($A198,'Annex 2 EHV charges'!$D:$O,12,FALSE)=0,"",VLOOKUP($A198,'Annex 2 EHV charges'!$D:$O,12,FALSE)),"")</f>
        <v/>
      </c>
    </row>
    <row r="199" spans="1:8" x14ac:dyDescent="0.2">
      <c r="A199" s="124" t="str">
        <f t="array" ref="A199">IFERROR(INDEX('Annex 2 EHV charges'!$D$11:$D$260, MATCH(0, IF(ISBLANK('Annex 2 EHV charges'!$D$11:$D$260),1, COUNTIF(A$4:$A198, 'Annex 2 EHV charges'!$D$11:$D$260)), 0)),"")</f>
        <v/>
      </c>
      <c r="B199" s="123" t="str">
        <f>IF($A199="","",VLOOKUP($A199,'Annex 2 EHV charges'!$D:$O,2,0))</f>
        <v/>
      </c>
      <c r="C199" s="124" t="str">
        <f>IF($A199="","",VLOOKUP($A199,'Annex 2 EHV charges'!$D:$O,3,0))</f>
        <v/>
      </c>
      <c r="D199" s="123" t="str">
        <f>IF($A199="","",VLOOKUP($A199,'Annex 2 EHV charges'!$D:$O,4,0))</f>
        <v/>
      </c>
      <c r="E199" s="125" t="str">
        <f>IFERROR(IF(VLOOKUP($A199,'Annex 2 EHV charges'!$D:$O,9,FALSE)=0,"",VLOOKUP($A199,'Annex 2 EHV charges'!$D:$O,9,FALSE)),"")</f>
        <v/>
      </c>
      <c r="F199" s="126" t="str">
        <f>IFERROR(IF(VLOOKUP($A199,'Annex 2 EHV charges'!$D:$O,10,FALSE)=0,"",VLOOKUP($A199,'Annex 2 EHV charges'!$D:$O,10,FALSE)),"")</f>
        <v/>
      </c>
      <c r="G199" s="127" t="str">
        <f>IFERROR(IF(VLOOKUP($A199,'Annex 2 EHV charges'!$D:$O,11,FALSE)=0,"",VLOOKUP($A199,'Annex 2 EHV charges'!$D:$O,11,FALSE)),"")</f>
        <v/>
      </c>
      <c r="H199" s="127" t="str">
        <f>IFERROR(IF(VLOOKUP($A199,'Annex 2 EHV charges'!$D:$O,12,FALSE)=0,"",VLOOKUP($A199,'Annex 2 EHV charges'!$D:$O,12,FALSE)),"")</f>
        <v/>
      </c>
    </row>
    <row r="200" spans="1:8" x14ac:dyDescent="0.2">
      <c r="A200" s="124" t="str">
        <f t="array" ref="A200">IFERROR(INDEX('Annex 2 EHV charges'!$D$11:$D$260, MATCH(0, IF(ISBLANK('Annex 2 EHV charges'!$D$11:$D$260),1, COUNTIF(A$4:$A199, 'Annex 2 EHV charges'!$D$11:$D$260)), 0)),"")</f>
        <v/>
      </c>
      <c r="B200" s="123" t="str">
        <f>IF($A200="","",VLOOKUP($A200,'Annex 2 EHV charges'!$D:$O,2,0))</f>
        <v/>
      </c>
      <c r="C200" s="124" t="str">
        <f>IF($A200="","",VLOOKUP($A200,'Annex 2 EHV charges'!$D:$O,3,0))</f>
        <v/>
      </c>
      <c r="D200" s="123" t="str">
        <f>IF($A200="","",VLOOKUP($A200,'Annex 2 EHV charges'!$D:$O,4,0))</f>
        <v/>
      </c>
      <c r="E200" s="125" t="str">
        <f>IFERROR(IF(VLOOKUP($A200,'Annex 2 EHV charges'!$D:$O,9,FALSE)=0,"",VLOOKUP($A200,'Annex 2 EHV charges'!$D:$O,9,FALSE)),"")</f>
        <v/>
      </c>
      <c r="F200" s="126" t="str">
        <f>IFERROR(IF(VLOOKUP($A200,'Annex 2 EHV charges'!$D:$O,10,FALSE)=0,"",VLOOKUP($A200,'Annex 2 EHV charges'!$D:$O,10,FALSE)),"")</f>
        <v/>
      </c>
      <c r="G200" s="127" t="str">
        <f>IFERROR(IF(VLOOKUP($A200,'Annex 2 EHV charges'!$D:$O,11,FALSE)=0,"",VLOOKUP($A200,'Annex 2 EHV charges'!$D:$O,11,FALSE)),"")</f>
        <v/>
      </c>
      <c r="H200" s="127" t="str">
        <f>IFERROR(IF(VLOOKUP($A200,'Annex 2 EHV charges'!$D:$O,12,FALSE)=0,"",VLOOKUP($A200,'Annex 2 EHV charges'!$D:$O,12,FALSE)),"")</f>
        <v/>
      </c>
    </row>
    <row r="201" spans="1:8" x14ac:dyDescent="0.2">
      <c r="A201" s="124" t="str">
        <f t="array" ref="A201">IFERROR(INDEX('Annex 2 EHV charges'!$D$11:$D$260, MATCH(0, IF(ISBLANK('Annex 2 EHV charges'!$D$11:$D$260),1, COUNTIF(A$4:$A200, 'Annex 2 EHV charges'!$D$11:$D$260)), 0)),"")</f>
        <v/>
      </c>
      <c r="B201" s="123" t="str">
        <f>IF($A201="","",VLOOKUP($A201,'Annex 2 EHV charges'!$D:$O,2,0))</f>
        <v/>
      </c>
      <c r="C201" s="124" t="str">
        <f>IF($A201="","",VLOOKUP($A201,'Annex 2 EHV charges'!$D:$O,3,0))</f>
        <v/>
      </c>
      <c r="D201" s="123" t="str">
        <f>IF($A201="","",VLOOKUP($A201,'Annex 2 EHV charges'!$D:$O,4,0))</f>
        <v/>
      </c>
      <c r="E201" s="125" t="str">
        <f>IFERROR(IF(VLOOKUP($A201,'Annex 2 EHV charges'!$D:$O,9,FALSE)=0,"",VLOOKUP($A201,'Annex 2 EHV charges'!$D:$O,9,FALSE)),"")</f>
        <v/>
      </c>
      <c r="F201" s="126" t="str">
        <f>IFERROR(IF(VLOOKUP($A201,'Annex 2 EHV charges'!$D:$O,10,FALSE)=0,"",VLOOKUP($A201,'Annex 2 EHV charges'!$D:$O,10,FALSE)),"")</f>
        <v/>
      </c>
      <c r="G201" s="127" t="str">
        <f>IFERROR(IF(VLOOKUP($A201,'Annex 2 EHV charges'!$D:$O,11,FALSE)=0,"",VLOOKUP($A201,'Annex 2 EHV charges'!$D:$O,11,FALSE)),"")</f>
        <v/>
      </c>
      <c r="H201" s="127" t="str">
        <f>IFERROR(IF(VLOOKUP($A201,'Annex 2 EHV charges'!$D:$O,12,FALSE)=0,"",VLOOKUP($A201,'Annex 2 EHV charges'!$D:$O,12,FALSE)),"")</f>
        <v/>
      </c>
    </row>
    <row r="202" spans="1:8" x14ac:dyDescent="0.2">
      <c r="A202" s="124" t="str">
        <f t="array" ref="A202">IFERROR(INDEX('Annex 2 EHV charges'!$D$11:$D$260, MATCH(0, IF(ISBLANK('Annex 2 EHV charges'!$D$11:$D$260),1, COUNTIF(A$4:$A201, 'Annex 2 EHV charges'!$D$11:$D$260)), 0)),"")</f>
        <v/>
      </c>
      <c r="B202" s="123" t="str">
        <f>IF($A202="","",VLOOKUP($A202,'Annex 2 EHV charges'!$D:$O,2,0))</f>
        <v/>
      </c>
      <c r="C202" s="124" t="str">
        <f>IF($A202="","",VLOOKUP($A202,'Annex 2 EHV charges'!$D:$O,3,0))</f>
        <v/>
      </c>
      <c r="D202" s="123" t="str">
        <f>IF($A202="","",VLOOKUP($A202,'Annex 2 EHV charges'!$D:$O,4,0))</f>
        <v/>
      </c>
      <c r="E202" s="125" t="str">
        <f>IFERROR(IF(VLOOKUP($A202,'Annex 2 EHV charges'!$D:$O,9,FALSE)=0,"",VLOOKUP($A202,'Annex 2 EHV charges'!$D:$O,9,FALSE)),"")</f>
        <v/>
      </c>
      <c r="F202" s="126" t="str">
        <f>IFERROR(IF(VLOOKUP($A202,'Annex 2 EHV charges'!$D:$O,10,FALSE)=0,"",VLOOKUP($A202,'Annex 2 EHV charges'!$D:$O,10,FALSE)),"")</f>
        <v/>
      </c>
      <c r="G202" s="127" t="str">
        <f>IFERROR(IF(VLOOKUP($A202,'Annex 2 EHV charges'!$D:$O,11,FALSE)=0,"",VLOOKUP($A202,'Annex 2 EHV charges'!$D:$O,11,FALSE)),"")</f>
        <v/>
      </c>
      <c r="H202" s="127" t="str">
        <f>IFERROR(IF(VLOOKUP($A202,'Annex 2 EHV charges'!$D:$O,12,FALSE)=0,"",VLOOKUP($A202,'Annex 2 EHV charges'!$D:$O,12,FALSE)),"")</f>
        <v/>
      </c>
    </row>
    <row r="203" spans="1:8" x14ac:dyDescent="0.2">
      <c r="A203" s="124" t="str">
        <f t="array" ref="A203">IFERROR(INDEX('Annex 2 EHV charges'!$D$11:$D$260, MATCH(0, IF(ISBLANK('Annex 2 EHV charges'!$D$11:$D$260),1, COUNTIF(A$4:$A202, 'Annex 2 EHV charges'!$D$11:$D$260)), 0)),"")</f>
        <v/>
      </c>
      <c r="B203" s="123" t="str">
        <f>IF($A203="","",VLOOKUP($A203,'Annex 2 EHV charges'!$D:$O,2,0))</f>
        <v/>
      </c>
      <c r="C203" s="124" t="str">
        <f>IF($A203="","",VLOOKUP($A203,'Annex 2 EHV charges'!$D:$O,3,0))</f>
        <v/>
      </c>
      <c r="D203" s="123" t="str">
        <f>IF($A203="","",VLOOKUP($A203,'Annex 2 EHV charges'!$D:$O,4,0))</f>
        <v/>
      </c>
      <c r="E203" s="125" t="str">
        <f>IFERROR(IF(VLOOKUP($A203,'Annex 2 EHV charges'!$D:$O,9,FALSE)=0,"",VLOOKUP($A203,'Annex 2 EHV charges'!$D:$O,9,FALSE)),"")</f>
        <v/>
      </c>
      <c r="F203" s="126" t="str">
        <f>IFERROR(IF(VLOOKUP($A203,'Annex 2 EHV charges'!$D:$O,10,FALSE)=0,"",VLOOKUP($A203,'Annex 2 EHV charges'!$D:$O,10,FALSE)),"")</f>
        <v/>
      </c>
      <c r="G203" s="127" t="str">
        <f>IFERROR(IF(VLOOKUP($A203,'Annex 2 EHV charges'!$D:$O,11,FALSE)=0,"",VLOOKUP($A203,'Annex 2 EHV charges'!$D:$O,11,FALSE)),"")</f>
        <v/>
      </c>
      <c r="H203" s="127" t="str">
        <f>IFERROR(IF(VLOOKUP($A203,'Annex 2 EHV charges'!$D:$O,12,FALSE)=0,"",VLOOKUP($A203,'Annex 2 EHV charges'!$D:$O,12,FALSE)),"")</f>
        <v/>
      </c>
    </row>
    <row r="204" spans="1:8" x14ac:dyDescent="0.2">
      <c r="A204" s="124" t="str">
        <f t="array" ref="A204">IFERROR(INDEX('Annex 2 EHV charges'!$D$11:$D$260, MATCH(0, IF(ISBLANK('Annex 2 EHV charges'!$D$11:$D$260),1, COUNTIF(A$4:$A203, 'Annex 2 EHV charges'!$D$11:$D$260)), 0)),"")</f>
        <v/>
      </c>
      <c r="B204" s="123" t="str">
        <f>IF($A204="","",VLOOKUP($A204,'Annex 2 EHV charges'!$D:$O,2,0))</f>
        <v/>
      </c>
      <c r="C204" s="124" t="str">
        <f>IF($A204="","",VLOOKUP($A204,'Annex 2 EHV charges'!$D:$O,3,0))</f>
        <v/>
      </c>
      <c r="D204" s="123" t="str">
        <f>IF($A204="","",VLOOKUP($A204,'Annex 2 EHV charges'!$D:$O,4,0))</f>
        <v/>
      </c>
      <c r="E204" s="125" t="str">
        <f>IFERROR(IF(VLOOKUP($A204,'Annex 2 EHV charges'!$D:$O,9,FALSE)=0,"",VLOOKUP($A204,'Annex 2 EHV charges'!$D:$O,9,FALSE)),"")</f>
        <v/>
      </c>
      <c r="F204" s="126" t="str">
        <f>IFERROR(IF(VLOOKUP($A204,'Annex 2 EHV charges'!$D:$O,10,FALSE)=0,"",VLOOKUP($A204,'Annex 2 EHV charges'!$D:$O,10,FALSE)),"")</f>
        <v/>
      </c>
      <c r="G204" s="127" t="str">
        <f>IFERROR(IF(VLOOKUP($A204,'Annex 2 EHV charges'!$D:$O,11,FALSE)=0,"",VLOOKUP($A204,'Annex 2 EHV charges'!$D:$O,11,FALSE)),"")</f>
        <v/>
      </c>
      <c r="H204" s="127" t="str">
        <f>IFERROR(IF(VLOOKUP($A204,'Annex 2 EHV charges'!$D:$O,12,FALSE)=0,"",VLOOKUP($A204,'Annex 2 EHV charges'!$D:$O,12,FALSE)),"")</f>
        <v/>
      </c>
    </row>
    <row r="205" spans="1:8" x14ac:dyDescent="0.2">
      <c r="A205" s="124" t="str">
        <f t="array" ref="A205">IFERROR(INDEX('Annex 2 EHV charges'!$D$11:$D$260, MATCH(0, IF(ISBLANK('Annex 2 EHV charges'!$D$11:$D$260),1, COUNTIF(A$4:$A204, 'Annex 2 EHV charges'!$D$11:$D$260)), 0)),"")</f>
        <v/>
      </c>
      <c r="B205" s="123" t="str">
        <f>IF($A205="","",VLOOKUP($A205,'Annex 2 EHV charges'!$D:$O,2,0))</f>
        <v/>
      </c>
      <c r="C205" s="124" t="str">
        <f>IF($A205="","",VLOOKUP($A205,'Annex 2 EHV charges'!$D:$O,3,0))</f>
        <v/>
      </c>
      <c r="D205" s="123" t="str">
        <f>IF($A205="","",VLOOKUP($A205,'Annex 2 EHV charges'!$D:$O,4,0))</f>
        <v/>
      </c>
      <c r="E205" s="125" t="str">
        <f>IFERROR(IF(VLOOKUP($A205,'Annex 2 EHV charges'!$D:$O,9,FALSE)=0,"",VLOOKUP($A205,'Annex 2 EHV charges'!$D:$O,9,FALSE)),"")</f>
        <v/>
      </c>
      <c r="F205" s="126" t="str">
        <f>IFERROR(IF(VLOOKUP($A205,'Annex 2 EHV charges'!$D:$O,10,FALSE)=0,"",VLOOKUP($A205,'Annex 2 EHV charges'!$D:$O,10,FALSE)),"")</f>
        <v/>
      </c>
      <c r="G205" s="127" t="str">
        <f>IFERROR(IF(VLOOKUP($A205,'Annex 2 EHV charges'!$D:$O,11,FALSE)=0,"",VLOOKUP($A205,'Annex 2 EHV charges'!$D:$O,11,FALSE)),"")</f>
        <v/>
      </c>
      <c r="H205" s="127" t="str">
        <f>IFERROR(IF(VLOOKUP($A205,'Annex 2 EHV charges'!$D:$O,12,FALSE)=0,"",VLOOKUP($A205,'Annex 2 EHV charges'!$D:$O,12,FALSE)),"")</f>
        <v/>
      </c>
    </row>
    <row r="206" spans="1:8" x14ac:dyDescent="0.2">
      <c r="A206" s="124" t="str">
        <f t="array" ref="A206">IFERROR(INDEX('Annex 2 EHV charges'!$D$11:$D$260, MATCH(0, IF(ISBLANK('Annex 2 EHV charges'!$D$11:$D$260),1, COUNTIF(A$4:$A205, 'Annex 2 EHV charges'!$D$11:$D$260)), 0)),"")</f>
        <v/>
      </c>
      <c r="B206" s="123" t="str">
        <f>IF($A206="","",VLOOKUP($A206,'Annex 2 EHV charges'!$D:$O,2,0))</f>
        <v/>
      </c>
      <c r="C206" s="124" t="str">
        <f>IF($A206="","",VLOOKUP($A206,'Annex 2 EHV charges'!$D:$O,3,0))</f>
        <v/>
      </c>
      <c r="D206" s="123" t="str">
        <f>IF($A206="","",VLOOKUP($A206,'Annex 2 EHV charges'!$D:$O,4,0))</f>
        <v/>
      </c>
      <c r="E206" s="125" t="str">
        <f>IFERROR(IF(VLOOKUP($A206,'Annex 2 EHV charges'!$D:$O,9,FALSE)=0,"",VLOOKUP($A206,'Annex 2 EHV charges'!$D:$O,9,FALSE)),"")</f>
        <v/>
      </c>
      <c r="F206" s="126" t="str">
        <f>IFERROR(IF(VLOOKUP($A206,'Annex 2 EHV charges'!$D:$O,10,FALSE)=0,"",VLOOKUP($A206,'Annex 2 EHV charges'!$D:$O,10,FALSE)),"")</f>
        <v/>
      </c>
      <c r="G206" s="127" t="str">
        <f>IFERROR(IF(VLOOKUP($A206,'Annex 2 EHV charges'!$D:$O,11,FALSE)=0,"",VLOOKUP($A206,'Annex 2 EHV charges'!$D:$O,11,FALSE)),"")</f>
        <v/>
      </c>
      <c r="H206" s="127" t="str">
        <f>IFERROR(IF(VLOOKUP($A206,'Annex 2 EHV charges'!$D:$O,12,FALSE)=0,"",VLOOKUP($A206,'Annex 2 EHV charges'!$D:$O,12,FALSE)),"")</f>
        <v/>
      </c>
    </row>
    <row r="207" spans="1:8" x14ac:dyDescent="0.2">
      <c r="A207" s="124" t="str">
        <f t="array" ref="A207">IFERROR(INDEX('Annex 2 EHV charges'!$D$11:$D$260, MATCH(0, IF(ISBLANK('Annex 2 EHV charges'!$D$11:$D$260),1, COUNTIF(A$4:$A206, 'Annex 2 EHV charges'!$D$11:$D$260)), 0)),"")</f>
        <v/>
      </c>
      <c r="B207" s="123" t="str">
        <f>IF($A207="","",VLOOKUP($A207,'Annex 2 EHV charges'!$D:$O,2,0))</f>
        <v/>
      </c>
      <c r="C207" s="124" t="str">
        <f>IF($A207="","",VLOOKUP($A207,'Annex 2 EHV charges'!$D:$O,3,0))</f>
        <v/>
      </c>
      <c r="D207" s="123" t="str">
        <f>IF($A207="","",VLOOKUP($A207,'Annex 2 EHV charges'!$D:$O,4,0))</f>
        <v/>
      </c>
      <c r="E207" s="125" t="str">
        <f>IFERROR(IF(VLOOKUP($A207,'Annex 2 EHV charges'!$D:$O,9,FALSE)=0,"",VLOOKUP($A207,'Annex 2 EHV charges'!$D:$O,9,FALSE)),"")</f>
        <v/>
      </c>
      <c r="F207" s="126" t="str">
        <f>IFERROR(IF(VLOOKUP($A207,'Annex 2 EHV charges'!$D:$O,10,FALSE)=0,"",VLOOKUP($A207,'Annex 2 EHV charges'!$D:$O,10,FALSE)),"")</f>
        <v/>
      </c>
      <c r="G207" s="127" t="str">
        <f>IFERROR(IF(VLOOKUP($A207,'Annex 2 EHV charges'!$D:$O,11,FALSE)=0,"",VLOOKUP($A207,'Annex 2 EHV charges'!$D:$O,11,FALSE)),"")</f>
        <v/>
      </c>
      <c r="H207" s="127" t="str">
        <f>IFERROR(IF(VLOOKUP($A207,'Annex 2 EHV charges'!$D:$O,12,FALSE)=0,"",VLOOKUP($A207,'Annex 2 EHV charges'!$D:$O,12,FALSE)),"")</f>
        <v/>
      </c>
    </row>
    <row r="208" spans="1:8" x14ac:dyDescent="0.2">
      <c r="A208" s="124" t="str">
        <f t="array" ref="A208">IFERROR(INDEX('Annex 2 EHV charges'!$D$11:$D$260, MATCH(0, IF(ISBLANK('Annex 2 EHV charges'!$D$11:$D$260),1, COUNTIF(A$4:$A207, 'Annex 2 EHV charges'!$D$11:$D$260)), 0)),"")</f>
        <v/>
      </c>
      <c r="B208" s="123" t="str">
        <f>IF($A208="","",VLOOKUP($A208,'Annex 2 EHV charges'!$D:$O,2,0))</f>
        <v/>
      </c>
      <c r="C208" s="124" t="str">
        <f>IF($A208="","",VLOOKUP($A208,'Annex 2 EHV charges'!$D:$O,3,0))</f>
        <v/>
      </c>
      <c r="D208" s="123" t="str">
        <f>IF($A208="","",VLOOKUP($A208,'Annex 2 EHV charges'!$D:$O,4,0))</f>
        <v/>
      </c>
      <c r="E208" s="125" t="str">
        <f>IFERROR(IF(VLOOKUP($A208,'Annex 2 EHV charges'!$D:$O,9,FALSE)=0,"",VLOOKUP($A208,'Annex 2 EHV charges'!$D:$O,9,FALSE)),"")</f>
        <v/>
      </c>
      <c r="F208" s="126" t="str">
        <f>IFERROR(IF(VLOOKUP($A208,'Annex 2 EHV charges'!$D:$O,10,FALSE)=0,"",VLOOKUP($A208,'Annex 2 EHV charges'!$D:$O,10,FALSE)),"")</f>
        <v/>
      </c>
      <c r="G208" s="127" t="str">
        <f>IFERROR(IF(VLOOKUP($A208,'Annex 2 EHV charges'!$D:$O,11,FALSE)=0,"",VLOOKUP($A208,'Annex 2 EHV charges'!$D:$O,11,FALSE)),"")</f>
        <v/>
      </c>
      <c r="H208" s="127" t="str">
        <f>IFERROR(IF(VLOOKUP($A208,'Annex 2 EHV charges'!$D:$O,12,FALSE)=0,"",VLOOKUP($A208,'Annex 2 EHV charges'!$D:$O,12,FALSE)),"")</f>
        <v/>
      </c>
    </row>
    <row r="209" spans="1:8" x14ac:dyDescent="0.2">
      <c r="A209" s="124" t="str">
        <f t="array" ref="A209">IFERROR(INDEX('Annex 2 EHV charges'!$D$11:$D$260, MATCH(0, IF(ISBLANK('Annex 2 EHV charges'!$D$11:$D$260),1, COUNTIF(A$4:$A208, 'Annex 2 EHV charges'!$D$11:$D$260)), 0)),"")</f>
        <v/>
      </c>
      <c r="B209" s="123" t="str">
        <f>IF($A209="","",VLOOKUP($A209,'Annex 2 EHV charges'!$D:$O,2,0))</f>
        <v/>
      </c>
      <c r="C209" s="124" t="str">
        <f>IF($A209="","",VLOOKUP($A209,'Annex 2 EHV charges'!$D:$O,3,0))</f>
        <v/>
      </c>
      <c r="D209" s="123" t="str">
        <f>IF($A209="","",VLOOKUP($A209,'Annex 2 EHV charges'!$D:$O,4,0))</f>
        <v/>
      </c>
      <c r="E209" s="125" t="str">
        <f>IFERROR(IF(VLOOKUP($A209,'Annex 2 EHV charges'!$D:$O,9,FALSE)=0,"",VLOOKUP($A209,'Annex 2 EHV charges'!$D:$O,9,FALSE)),"")</f>
        <v/>
      </c>
      <c r="F209" s="126" t="str">
        <f>IFERROR(IF(VLOOKUP($A209,'Annex 2 EHV charges'!$D:$O,10,FALSE)=0,"",VLOOKUP($A209,'Annex 2 EHV charges'!$D:$O,10,FALSE)),"")</f>
        <v/>
      </c>
      <c r="G209" s="127" t="str">
        <f>IFERROR(IF(VLOOKUP($A209,'Annex 2 EHV charges'!$D:$O,11,FALSE)=0,"",VLOOKUP($A209,'Annex 2 EHV charges'!$D:$O,11,FALSE)),"")</f>
        <v/>
      </c>
      <c r="H209" s="127" t="str">
        <f>IFERROR(IF(VLOOKUP($A209,'Annex 2 EHV charges'!$D:$O,12,FALSE)=0,"",VLOOKUP($A209,'Annex 2 EHV charges'!$D:$O,12,FALSE)),"")</f>
        <v/>
      </c>
    </row>
    <row r="210" spans="1:8" x14ac:dyDescent="0.2">
      <c r="A210" s="124" t="str">
        <f t="array" ref="A210">IFERROR(INDEX('Annex 2 EHV charges'!$D$11:$D$260, MATCH(0, IF(ISBLANK('Annex 2 EHV charges'!$D$11:$D$260),1, COUNTIF(A$4:$A209, 'Annex 2 EHV charges'!$D$11:$D$260)), 0)),"")</f>
        <v/>
      </c>
      <c r="B210" s="123" t="str">
        <f>IF($A210="","",VLOOKUP($A210,'Annex 2 EHV charges'!$D:$O,2,0))</f>
        <v/>
      </c>
      <c r="C210" s="124" t="str">
        <f>IF($A210="","",VLOOKUP($A210,'Annex 2 EHV charges'!$D:$O,3,0))</f>
        <v/>
      </c>
      <c r="D210" s="123" t="str">
        <f>IF($A210="","",VLOOKUP($A210,'Annex 2 EHV charges'!$D:$O,4,0))</f>
        <v/>
      </c>
      <c r="E210" s="125" t="str">
        <f>IFERROR(IF(VLOOKUP($A210,'Annex 2 EHV charges'!$D:$O,9,FALSE)=0,"",VLOOKUP($A210,'Annex 2 EHV charges'!$D:$O,9,FALSE)),"")</f>
        <v/>
      </c>
      <c r="F210" s="126" t="str">
        <f>IFERROR(IF(VLOOKUP($A210,'Annex 2 EHV charges'!$D:$O,10,FALSE)=0,"",VLOOKUP($A210,'Annex 2 EHV charges'!$D:$O,10,FALSE)),"")</f>
        <v/>
      </c>
      <c r="G210" s="127" t="str">
        <f>IFERROR(IF(VLOOKUP($A210,'Annex 2 EHV charges'!$D:$O,11,FALSE)=0,"",VLOOKUP($A210,'Annex 2 EHV charges'!$D:$O,11,FALSE)),"")</f>
        <v/>
      </c>
      <c r="H210" s="127" t="str">
        <f>IFERROR(IF(VLOOKUP($A210,'Annex 2 EHV charges'!$D:$O,12,FALSE)=0,"",VLOOKUP($A210,'Annex 2 EHV charges'!$D:$O,12,FALSE)),"")</f>
        <v/>
      </c>
    </row>
    <row r="211" spans="1:8" x14ac:dyDescent="0.2">
      <c r="A211" s="124" t="str">
        <f t="array" ref="A211">IFERROR(INDEX('Annex 2 EHV charges'!$D$11:$D$260, MATCH(0, IF(ISBLANK('Annex 2 EHV charges'!$D$11:$D$260),1, COUNTIF(A$4:$A210, 'Annex 2 EHV charges'!$D$11:$D$260)), 0)),"")</f>
        <v/>
      </c>
      <c r="B211" s="123" t="str">
        <f>IF($A211="","",VLOOKUP($A211,'Annex 2 EHV charges'!$D:$O,2,0))</f>
        <v/>
      </c>
      <c r="C211" s="124" t="str">
        <f>IF($A211="","",VLOOKUP($A211,'Annex 2 EHV charges'!$D:$O,3,0))</f>
        <v/>
      </c>
      <c r="D211" s="123" t="str">
        <f>IF($A211="","",VLOOKUP($A211,'Annex 2 EHV charges'!$D:$O,4,0))</f>
        <v/>
      </c>
      <c r="E211" s="125" t="str">
        <f>IFERROR(IF(VLOOKUP($A211,'Annex 2 EHV charges'!$D:$O,9,FALSE)=0,"",VLOOKUP($A211,'Annex 2 EHV charges'!$D:$O,9,FALSE)),"")</f>
        <v/>
      </c>
      <c r="F211" s="126" t="str">
        <f>IFERROR(IF(VLOOKUP($A211,'Annex 2 EHV charges'!$D:$O,10,FALSE)=0,"",VLOOKUP($A211,'Annex 2 EHV charges'!$D:$O,10,FALSE)),"")</f>
        <v/>
      </c>
      <c r="G211" s="127" t="str">
        <f>IFERROR(IF(VLOOKUP($A211,'Annex 2 EHV charges'!$D:$O,11,FALSE)=0,"",VLOOKUP($A211,'Annex 2 EHV charges'!$D:$O,11,FALSE)),"")</f>
        <v/>
      </c>
      <c r="H211" s="127" t="str">
        <f>IFERROR(IF(VLOOKUP($A211,'Annex 2 EHV charges'!$D:$O,12,FALSE)=0,"",VLOOKUP($A211,'Annex 2 EHV charges'!$D:$O,12,FALSE)),"")</f>
        <v/>
      </c>
    </row>
    <row r="212" spans="1:8" x14ac:dyDescent="0.2">
      <c r="A212" s="124" t="str">
        <f t="array" ref="A212">IFERROR(INDEX('Annex 2 EHV charges'!$D$11:$D$260, MATCH(0, IF(ISBLANK('Annex 2 EHV charges'!$D$11:$D$260),1, COUNTIF(A$4:$A211, 'Annex 2 EHV charges'!$D$11:$D$260)), 0)),"")</f>
        <v/>
      </c>
      <c r="B212" s="123" t="str">
        <f>IF($A212="","",VLOOKUP($A212,'Annex 2 EHV charges'!$D:$O,2,0))</f>
        <v/>
      </c>
      <c r="C212" s="124" t="str">
        <f>IF($A212="","",VLOOKUP($A212,'Annex 2 EHV charges'!$D:$O,3,0))</f>
        <v/>
      </c>
      <c r="D212" s="123" t="str">
        <f>IF($A212="","",VLOOKUP($A212,'Annex 2 EHV charges'!$D:$O,4,0))</f>
        <v/>
      </c>
      <c r="E212" s="125" t="str">
        <f>IFERROR(IF(VLOOKUP($A212,'Annex 2 EHV charges'!$D:$O,9,FALSE)=0,"",VLOOKUP($A212,'Annex 2 EHV charges'!$D:$O,9,FALSE)),"")</f>
        <v/>
      </c>
      <c r="F212" s="126" t="str">
        <f>IFERROR(IF(VLOOKUP($A212,'Annex 2 EHV charges'!$D:$O,10,FALSE)=0,"",VLOOKUP($A212,'Annex 2 EHV charges'!$D:$O,10,FALSE)),"")</f>
        <v/>
      </c>
      <c r="G212" s="127" t="str">
        <f>IFERROR(IF(VLOOKUP($A212,'Annex 2 EHV charges'!$D:$O,11,FALSE)=0,"",VLOOKUP($A212,'Annex 2 EHV charges'!$D:$O,11,FALSE)),"")</f>
        <v/>
      </c>
      <c r="H212" s="127" t="str">
        <f>IFERROR(IF(VLOOKUP($A212,'Annex 2 EHV charges'!$D:$O,12,FALSE)=0,"",VLOOKUP($A212,'Annex 2 EHV charges'!$D:$O,12,FALSE)),"")</f>
        <v/>
      </c>
    </row>
    <row r="213" spans="1:8" x14ac:dyDescent="0.2">
      <c r="A213" s="124" t="str">
        <f t="array" ref="A213">IFERROR(INDEX('Annex 2 EHV charges'!$D$11:$D$260, MATCH(0, IF(ISBLANK('Annex 2 EHV charges'!$D$11:$D$260),1, COUNTIF(A$4:$A212, 'Annex 2 EHV charges'!$D$11:$D$260)), 0)),"")</f>
        <v/>
      </c>
      <c r="B213" s="123" t="str">
        <f>IF($A213="","",VLOOKUP($A213,'Annex 2 EHV charges'!$D:$O,2,0))</f>
        <v/>
      </c>
      <c r="C213" s="124" t="str">
        <f>IF($A213="","",VLOOKUP($A213,'Annex 2 EHV charges'!$D:$O,3,0))</f>
        <v/>
      </c>
      <c r="D213" s="123" t="str">
        <f>IF($A213="","",VLOOKUP($A213,'Annex 2 EHV charges'!$D:$O,4,0))</f>
        <v/>
      </c>
      <c r="E213" s="125" t="str">
        <f>IFERROR(IF(VLOOKUP($A213,'Annex 2 EHV charges'!$D:$O,9,FALSE)=0,"",VLOOKUP($A213,'Annex 2 EHV charges'!$D:$O,9,FALSE)),"")</f>
        <v/>
      </c>
      <c r="F213" s="126" t="str">
        <f>IFERROR(IF(VLOOKUP($A213,'Annex 2 EHV charges'!$D:$O,10,FALSE)=0,"",VLOOKUP($A213,'Annex 2 EHV charges'!$D:$O,10,FALSE)),"")</f>
        <v/>
      </c>
      <c r="G213" s="127" t="str">
        <f>IFERROR(IF(VLOOKUP($A213,'Annex 2 EHV charges'!$D:$O,11,FALSE)=0,"",VLOOKUP($A213,'Annex 2 EHV charges'!$D:$O,11,FALSE)),"")</f>
        <v/>
      </c>
      <c r="H213" s="127" t="str">
        <f>IFERROR(IF(VLOOKUP($A213,'Annex 2 EHV charges'!$D:$O,12,FALSE)=0,"",VLOOKUP($A213,'Annex 2 EHV charges'!$D:$O,12,FALSE)),"")</f>
        <v/>
      </c>
    </row>
    <row r="214" spans="1:8" x14ac:dyDescent="0.2">
      <c r="A214" s="124" t="str">
        <f t="array" ref="A214">IFERROR(INDEX('Annex 2 EHV charges'!$D$11:$D$260, MATCH(0, IF(ISBLANK('Annex 2 EHV charges'!$D$11:$D$260),1, COUNTIF(A$4:$A213, 'Annex 2 EHV charges'!$D$11:$D$260)), 0)),"")</f>
        <v/>
      </c>
      <c r="B214" s="123" t="str">
        <f>IF($A214="","",VLOOKUP($A214,'Annex 2 EHV charges'!$D:$O,2,0))</f>
        <v/>
      </c>
      <c r="C214" s="124" t="str">
        <f>IF($A214="","",VLOOKUP($A214,'Annex 2 EHV charges'!$D:$O,3,0))</f>
        <v/>
      </c>
      <c r="D214" s="123" t="str">
        <f>IF($A214="","",VLOOKUP($A214,'Annex 2 EHV charges'!$D:$O,4,0))</f>
        <v/>
      </c>
      <c r="E214" s="125" t="str">
        <f>IFERROR(IF(VLOOKUP($A214,'Annex 2 EHV charges'!$D:$O,9,FALSE)=0,"",VLOOKUP($A214,'Annex 2 EHV charges'!$D:$O,9,FALSE)),"")</f>
        <v/>
      </c>
      <c r="F214" s="126" t="str">
        <f>IFERROR(IF(VLOOKUP($A214,'Annex 2 EHV charges'!$D:$O,10,FALSE)=0,"",VLOOKUP($A214,'Annex 2 EHV charges'!$D:$O,10,FALSE)),"")</f>
        <v/>
      </c>
      <c r="G214" s="127" t="str">
        <f>IFERROR(IF(VLOOKUP($A214,'Annex 2 EHV charges'!$D:$O,11,FALSE)=0,"",VLOOKUP($A214,'Annex 2 EHV charges'!$D:$O,11,FALSE)),"")</f>
        <v/>
      </c>
      <c r="H214" s="127" t="str">
        <f>IFERROR(IF(VLOOKUP($A214,'Annex 2 EHV charges'!$D:$O,12,FALSE)=0,"",VLOOKUP($A214,'Annex 2 EHV charges'!$D:$O,12,FALSE)),"")</f>
        <v/>
      </c>
    </row>
    <row r="215" spans="1:8" x14ac:dyDescent="0.2">
      <c r="A215" s="124" t="str">
        <f t="array" ref="A215">IFERROR(INDEX('Annex 2 EHV charges'!$D$11:$D$260, MATCH(0, IF(ISBLANK('Annex 2 EHV charges'!$D$11:$D$260),1, COUNTIF(A$4:$A214, 'Annex 2 EHV charges'!$D$11:$D$260)), 0)),"")</f>
        <v/>
      </c>
      <c r="B215" s="123" t="str">
        <f>IF($A215="","",VLOOKUP($A215,'Annex 2 EHV charges'!$D:$O,2,0))</f>
        <v/>
      </c>
      <c r="C215" s="124" t="str">
        <f>IF($A215="","",VLOOKUP($A215,'Annex 2 EHV charges'!$D:$O,3,0))</f>
        <v/>
      </c>
      <c r="D215" s="123" t="str">
        <f>IF($A215="","",VLOOKUP($A215,'Annex 2 EHV charges'!$D:$O,4,0))</f>
        <v/>
      </c>
      <c r="E215" s="125" t="str">
        <f>IFERROR(IF(VLOOKUP($A215,'Annex 2 EHV charges'!$D:$O,9,FALSE)=0,"",VLOOKUP($A215,'Annex 2 EHV charges'!$D:$O,9,FALSE)),"")</f>
        <v/>
      </c>
      <c r="F215" s="126" t="str">
        <f>IFERROR(IF(VLOOKUP($A215,'Annex 2 EHV charges'!$D:$O,10,FALSE)=0,"",VLOOKUP($A215,'Annex 2 EHV charges'!$D:$O,10,FALSE)),"")</f>
        <v/>
      </c>
      <c r="G215" s="127" t="str">
        <f>IFERROR(IF(VLOOKUP($A215,'Annex 2 EHV charges'!$D:$O,11,FALSE)=0,"",VLOOKUP($A215,'Annex 2 EHV charges'!$D:$O,11,FALSE)),"")</f>
        <v/>
      </c>
      <c r="H215" s="127" t="str">
        <f>IFERROR(IF(VLOOKUP($A215,'Annex 2 EHV charges'!$D:$O,12,FALSE)=0,"",VLOOKUP($A215,'Annex 2 EHV charges'!$D:$O,12,FALSE)),"")</f>
        <v/>
      </c>
    </row>
    <row r="216" spans="1:8" x14ac:dyDescent="0.2">
      <c r="A216" s="124" t="str">
        <f t="array" ref="A216">IFERROR(INDEX('Annex 2 EHV charges'!$D$11:$D$260, MATCH(0, IF(ISBLANK('Annex 2 EHV charges'!$D$11:$D$260),1, COUNTIF(A$4:$A215, 'Annex 2 EHV charges'!$D$11:$D$260)), 0)),"")</f>
        <v/>
      </c>
      <c r="B216" s="123" t="str">
        <f>IF($A216="","",VLOOKUP($A216,'Annex 2 EHV charges'!$D:$O,2,0))</f>
        <v/>
      </c>
      <c r="C216" s="124" t="str">
        <f>IF($A216="","",VLOOKUP($A216,'Annex 2 EHV charges'!$D:$O,3,0))</f>
        <v/>
      </c>
      <c r="D216" s="123" t="str">
        <f>IF($A216="","",VLOOKUP($A216,'Annex 2 EHV charges'!$D:$O,4,0))</f>
        <v/>
      </c>
      <c r="E216" s="125" t="str">
        <f>IFERROR(IF(VLOOKUP($A216,'Annex 2 EHV charges'!$D:$O,9,FALSE)=0,"",VLOOKUP($A216,'Annex 2 EHV charges'!$D:$O,9,FALSE)),"")</f>
        <v/>
      </c>
      <c r="F216" s="126" t="str">
        <f>IFERROR(IF(VLOOKUP($A216,'Annex 2 EHV charges'!$D:$O,10,FALSE)=0,"",VLOOKUP($A216,'Annex 2 EHV charges'!$D:$O,10,FALSE)),"")</f>
        <v/>
      </c>
      <c r="G216" s="127" t="str">
        <f>IFERROR(IF(VLOOKUP($A216,'Annex 2 EHV charges'!$D:$O,11,FALSE)=0,"",VLOOKUP($A216,'Annex 2 EHV charges'!$D:$O,11,FALSE)),"")</f>
        <v/>
      </c>
      <c r="H216" s="127" t="str">
        <f>IFERROR(IF(VLOOKUP($A216,'Annex 2 EHV charges'!$D:$O,12,FALSE)=0,"",VLOOKUP($A216,'Annex 2 EHV charges'!$D:$O,12,FALSE)),"")</f>
        <v/>
      </c>
    </row>
    <row r="217" spans="1:8" x14ac:dyDescent="0.2">
      <c r="A217" s="124" t="str">
        <f t="array" ref="A217">IFERROR(INDEX('Annex 2 EHV charges'!$D$11:$D$260, MATCH(0, IF(ISBLANK('Annex 2 EHV charges'!$D$11:$D$260),1, COUNTIF(A$4:$A216, 'Annex 2 EHV charges'!$D$11:$D$260)), 0)),"")</f>
        <v/>
      </c>
      <c r="B217" s="123" t="str">
        <f>IF($A217="","",VLOOKUP($A217,'Annex 2 EHV charges'!$D:$O,2,0))</f>
        <v/>
      </c>
      <c r="C217" s="124" t="str">
        <f>IF($A217="","",VLOOKUP($A217,'Annex 2 EHV charges'!$D:$O,3,0))</f>
        <v/>
      </c>
      <c r="D217" s="123" t="str">
        <f>IF($A217="","",VLOOKUP($A217,'Annex 2 EHV charges'!$D:$O,4,0))</f>
        <v/>
      </c>
      <c r="E217" s="125" t="str">
        <f>IFERROR(IF(VLOOKUP($A217,'Annex 2 EHV charges'!$D:$O,9,FALSE)=0,"",VLOOKUP($A217,'Annex 2 EHV charges'!$D:$O,9,FALSE)),"")</f>
        <v/>
      </c>
      <c r="F217" s="126" t="str">
        <f>IFERROR(IF(VLOOKUP($A217,'Annex 2 EHV charges'!$D:$O,10,FALSE)=0,"",VLOOKUP($A217,'Annex 2 EHV charges'!$D:$O,10,FALSE)),"")</f>
        <v/>
      </c>
      <c r="G217" s="127" t="str">
        <f>IFERROR(IF(VLOOKUP($A217,'Annex 2 EHV charges'!$D:$O,11,FALSE)=0,"",VLOOKUP($A217,'Annex 2 EHV charges'!$D:$O,11,FALSE)),"")</f>
        <v/>
      </c>
      <c r="H217" s="127" t="str">
        <f>IFERROR(IF(VLOOKUP($A217,'Annex 2 EHV charges'!$D:$O,12,FALSE)=0,"",VLOOKUP($A217,'Annex 2 EHV charges'!$D:$O,12,FALSE)),"")</f>
        <v/>
      </c>
    </row>
    <row r="218" spans="1:8" x14ac:dyDescent="0.2">
      <c r="A218" s="124" t="str">
        <f t="array" ref="A218">IFERROR(INDEX('Annex 2 EHV charges'!$D$11:$D$260, MATCH(0, IF(ISBLANK('Annex 2 EHV charges'!$D$11:$D$260),1, COUNTIF(A$4:$A217, 'Annex 2 EHV charges'!$D$11:$D$260)), 0)),"")</f>
        <v/>
      </c>
      <c r="B218" s="123" t="str">
        <f>IF($A218="","",VLOOKUP($A218,'Annex 2 EHV charges'!$D:$O,2,0))</f>
        <v/>
      </c>
      <c r="C218" s="124" t="str">
        <f>IF($A218="","",VLOOKUP($A218,'Annex 2 EHV charges'!$D:$O,3,0))</f>
        <v/>
      </c>
      <c r="D218" s="123" t="str">
        <f>IF($A218="","",VLOOKUP($A218,'Annex 2 EHV charges'!$D:$O,4,0))</f>
        <v/>
      </c>
      <c r="E218" s="125" t="str">
        <f>IFERROR(IF(VLOOKUP($A218,'Annex 2 EHV charges'!$D:$O,9,FALSE)=0,"",VLOOKUP($A218,'Annex 2 EHV charges'!$D:$O,9,FALSE)),"")</f>
        <v/>
      </c>
      <c r="F218" s="126" t="str">
        <f>IFERROR(IF(VLOOKUP($A218,'Annex 2 EHV charges'!$D:$O,10,FALSE)=0,"",VLOOKUP($A218,'Annex 2 EHV charges'!$D:$O,10,FALSE)),"")</f>
        <v/>
      </c>
      <c r="G218" s="127" t="str">
        <f>IFERROR(IF(VLOOKUP($A218,'Annex 2 EHV charges'!$D:$O,11,FALSE)=0,"",VLOOKUP($A218,'Annex 2 EHV charges'!$D:$O,11,FALSE)),"")</f>
        <v/>
      </c>
      <c r="H218" s="127" t="str">
        <f>IFERROR(IF(VLOOKUP($A218,'Annex 2 EHV charges'!$D:$O,12,FALSE)=0,"",VLOOKUP($A218,'Annex 2 EHV charges'!$D:$O,12,FALSE)),"")</f>
        <v/>
      </c>
    </row>
    <row r="219" spans="1:8" x14ac:dyDescent="0.2">
      <c r="A219" s="124" t="str">
        <f t="array" ref="A219">IFERROR(INDEX('Annex 2 EHV charges'!$D$11:$D$260, MATCH(0, IF(ISBLANK('Annex 2 EHV charges'!$D$11:$D$260),1, COUNTIF(A$4:$A218, 'Annex 2 EHV charges'!$D$11:$D$260)), 0)),"")</f>
        <v/>
      </c>
      <c r="B219" s="123" t="str">
        <f>IF($A219="","",VLOOKUP($A219,'Annex 2 EHV charges'!$D:$O,2,0))</f>
        <v/>
      </c>
      <c r="C219" s="124" t="str">
        <f>IF($A219="","",VLOOKUP($A219,'Annex 2 EHV charges'!$D:$O,3,0))</f>
        <v/>
      </c>
      <c r="D219" s="123" t="str">
        <f>IF($A219="","",VLOOKUP($A219,'Annex 2 EHV charges'!$D:$O,4,0))</f>
        <v/>
      </c>
      <c r="E219" s="125" t="str">
        <f>IFERROR(IF(VLOOKUP($A219,'Annex 2 EHV charges'!$D:$O,9,FALSE)=0,"",VLOOKUP($A219,'Annex 2 EHV charges'!$D:$O,9,FALSE)),"")</f>
        <v/>
      </c>
      <c r="F219" s="126" t="str">
        <f>IFERROR(IF(VLOOKUP($A219,'Annex 2 EHV charges'!$D:$O,10,FALSE)=0,"",VLOOKUP($A219,'Annex 2 EHV charges'!$D:$O,10,FALSE)),"")</f>
        <v/>
      </c>
      <c r="G219" s="127" t="str">
        <f>IFERROR(IF(VLOOKUP($A219,'Annex 2 EHV charges'!$D:$O,11,FALSE)=0,"",VLOOKUP($A219,'Annex 2 EHV charges'!$D:$O,11,FALSE)),"")</f>
        <v/>
      </c>
      <c r="H219" s="127" t="str">
        <f>IFERROR(IF(VLOOKUP($A219,'Annex 2 EHV charges'!$D:$O,12,FALSE)=0,"",VLOOKUP($A219,'Annex 2 EHV charges'!$D:$O,12,FALSE)),"")</f>
        <v/>
      </c>
    </row>
    <row r="220" spans="1:8" x14ac:dyDescent="0.2">
      <c r="A220" s="124" t="str">
        <f t="array" ref="A220">IFERROR(INDEX('Annex 2 EHV charges'!$D$11:$D$260, MATCH(0, IF(ISBLANK('Annex 2 EHV charges'!$D$11:$D$260),1, COUNTIF(A$4:$A219, 'Annex 2 EHV charges'!$D$11:$D$260)), 0)),"")</f>
        <v/>
      </c>
      <c r="B220" s="123" t="str">
        <f>IF($A220="","",VLOOKUP($A220,'Annex 2 EHV charges'!$D:$O,2,0))</f>
        <v/>
      </c>
      <c r="C220" s="124" t="str">
        <f>IF($A220="","",VLOOKUP($A220,'Annex 2 EHV charges'!$D:$O,3,0))</f>
        <v/>
      </c>
      <c r="D220" s="123" t="str">
        <f>IF($A220="","",VLOOKUP($A220,'Annex 2 EHV charges'!$D:$O,4,0))</f>
        <v/>
      </c>
      <c r="E220" s="125" t="str">
        <f>IFERROR(IF(VLOOKUP($A220,'Annex 2 EHV charges'!$D:$O,9,FALSE)=0,"",VLOOKUP($A220,'Annex 2 EHV charges'!$D:$O,9,FALSE)),"")</f>
        <v/>
      </c>
      <c r="F220" s="126" t="str">
        <f>IFERROR(IF(VLOOKUP($A220,'Annex 2 EHV charges'!$D:$O,10,FALSE)=0,"",VLOOKUP($A220,'Annex 2 EHV charges'!$D:$O,10,FALSE)),"")</f>
        <v/>
      </c>
      <c r="G220" s="127" t="str">
        <f>IFERROR(IF(VLOOKUP($A220,'Annex 2 EHV charges'!$D:$O,11,FALSE)=0,"",VLOOKUP($A220,'Annex 2 EHV charges'!$D:$O,11,FALSE)),"")</f>
        <v/>
      </c>
      <c r="H220" s="127" t="str">
        <f>IFERROR(IF(VLOOKUP($A220,'Annex 2 EHV charges'!$D:$O,12,FALSE)=0,"",VLOOKUP($A220,'Annex 2 EHV charges'!$D:$O,12,FALSE)),"")</f>
        <v/>
      </c>
    </row>
    <row r="221" spans="1:8" x14ac:dyDescent="0.2">
      <c r="A221" s="124" t="str">
        <f t="array" ref="A221">IFERROR(INDEX('Annex 2 EHV charges'!$D$11:$D$260, MATCH(0, IF(ISBLANK('Annex 2 EHV charges'!$D$11:$D$260),1, COUNTIF(A$4:$A220, 'Annex 2 EHV charges'!$D$11:$D$260)), 0)),"")</f>
        <v/>
      </c>
      <c r="B221" s="123" t="str">
        <f>IF($A221="","",VLOOKUP($A221,'Annex 2 EHV charges'!$D:$O,2,0))</f>
        <v/>
      </c>
      <c r="C221" s="124" t="str">
        <f>IF($A221="","",VLOOKUP($A221,'Annex 2 EHV charges'!$D:$O,3,0))</f>
        <v/>
      </c>
      <c r="D221" s="123" t="str">
        <f>IF($A221="","",VLOOKUP($A221,'Annex 2 EHV charges'!$D:$O,4,0))</f>
        <v/>
      </c>
      <c r="E221" s="125" t="str">
        <f>IFERROR(IF(VLOOKUP($A221,'Annex 2 EHV charges'!$D:$O,9,FALSE)=0,"",VLOOKUP($A221,'Annex 2 EHV charges'!$D:$O,9,FALSE)),"")</f>
        <v/>
      </c>
      <c r="F221" s="126" t="str">
        <f>IFERROR(IF(VLOOKUP($A221,'Annex 2 EHV charges'!$D:$O,10,FALSE)=0,"",VLOOKUP($A221,'Annex 2 EHV charges'!$D:$O,10,FALSE)),"")</f>
        <v/>
      </c>
      <c r="G221" s="127" t="str">
        <f>IFERROR(IF(VLOOKUP($A221,'Annex 2 EHV charges'!$D:$O,11,FALSE)=0,"",VLOOKUP($A221,'Annex 2 EHV charges'!$D:$O,11,FALSE)),"")</f>
        <v/>
      </c>
      <c r="H221" s="127" t="str">
        <f>IFERROR(IF(VLOOKUP($A221,'Annex 2 EHV charges'!$D:$O,12,FALSE)=0,"",VLOOKUP($A221,'Annex 2 EHV charges'!$D:$O,12,FALSE)),"")</f>
        <v/>
      </c>
    </row>
    <row r="222" spans="1:8" x14ac:dyDescent="0.2">
      <c r="A222" s="124" t="str">
        <f t="array" ref="A222">IFERROR(INDEX('Annex 2 EHV charges'!$D$11:$D$260, MATCH(0, IF(ISBLANK('Annex 2 EHV charges'!$D$11:$D$260),1, COUNTIF(A$4:$A221, 'Annex 2 EHV charges'!$D$11:$D$260)), 0)),"")</f>
        <v/>
      </c>
      <c r="B222" s="123" t="str">
        <f>IF($A222="","",VLOOKUP($A222,'Annex 2 EHV charges'!$D:$O,2,0))</f>
        <v/>
      </c>
      <c r="C222" s="124" t="str">
        <f>IF($A222="","",VLOOKUP($A222,'Annex 2 EHV charges'!$D:$O,3,0))</f>
        <v/>
      </c>
      <c r="D222" s="123" t="str">
        <f>IF($A222="","",VLOOKUP($A222,'Annex 2 EHV charges'!$D:$O,4,0))</f>
        <v/>
      </c>
      <c r="E222" s="125" t="str">
        <f>IFERROR(IF(VLOOKUP($A222,'Annex 2 EHV charges'!$D:$O,9,FALSE)=0,"",VLOOKUP($A222,'Annex 2 EHV charges'!$D:$O,9,FALSE)),"")</f>
        <v/>
      </c>
      <c r="F222" s="126" t="str">
        <f>IFERROR(IF(VLOOKUP($A222,'Annex 2 EHV charges'!$D:$O,10,FALSE)=0,"",VLOOKUP($A222,'Annex 2 EHV charges'!$D:$O,10,FALSE)),"")</f>
        <v/>
      </c>
      <c r="G222" s="127" t="str">
        <f>IFERROR(IF(VLOOKUP($A222,'Annex 2 EHV charges'!$D:$O,11,FALSE)=0,"",VLOOKUP($A222,'Annex 2 EHV charges'!$D:$O,11,FALSE)),"")</f>
        <v/>
      </c>
      <c r="H222" s="127" t="str">
        <f>IFERROR(IF(VLOOKUP($A222,'Annex 2 EHV charges'!$D:$O,12,FALSE)=0,"",VLOOKUP($A222,'Annex 2 EHV charges'!$D:$O,12,FALSE)),"")</f>
        <v/>
      </c>
    </row>
    <row r="223" spans="1:8" x14ac:dyDescent="0.2">
      <c r="A223" s="124" t="str">
        <f t="array" ref="A223">IFERROR(INDEX('Annex 2 EHV charges'!$D$11:$D$260, MATCH(0, IF(ISBLANK('Annex 2 EHV charges'!$D$11:$D$260),1, COUNTIF(A$4:$A222, 'Annex 2 EHV charges'!$D$11:$D$260)), 0)),"")</f>
        <v/>
      </c>
      <c r="B223" s="123" t="str">
        <f>IF($A223="","",VLOOKUP($A223,'Annex 2 EHV charges'!$D:$O,2,0))</f>
        <v/>
      </c>
      <c r="C223" s="124" t="str">
        <f>IF($A223="","",VLOOKUP($A223,'Annex 2 EHV charges'!$D:$O,3,0))</f>
        <v/>
      </c>
      <c r="D223" s="123" t="str">
        <f>IF($A223="","",VLOOKUP($A223,'Annex 2 EHV charges'!$D:$O,4,0))</f>
        <v/>
      </c>
      <c r="E223" s="125" t="str">
        <f>IFERROR(IF(VLOOKUP($A223,'Annex 2 EHV charges'!$D:$O,9,FALSE)=0,"",VLOOKUP($A223,'Annex 2 EHV charges'!$D:$O,9,FALSE)),"")</f>
        <v/>
      </c>
      <c r="F223" s="126" t="str">
        <f>IFERROR(IF(VLOOKUP($A223,'Annex 2 EHV charges'!$D:$O,10,FALSE)=0,"",VLOOKUP($A223,'Annex 2 EHV charges'!$D:$O,10,FALSE)),"")</f>
        <v/>
      </c>
      <c r="G223" s="127" t="str">
        <f>IFERROR(IF(VLOOKUP($A223,'Annex 2 EHV charges'!$D:$O,11,FALSE)=0,"",VLOOKUP($A223,'Annex 2 EHV charges'!$D:$O,11,FALSE)),"")</f>
        <v/>
      </c>
      <c r="H223" s="127" t="str">
        <f>IFERROR(IF(VLOOKUP($A223,'Annex 2 EHV charges'!$D:$O,12,FALSE)=0,"",VLOOKUP($A223,'Annex 2 EHV charges'!$D:$O,12,FALSE)),"")</f>
        <v/>
      </c>
    </row>
    <row r="224" spans="1:8" x14ac:dyDescent="0.2">
      <c r="A224" s="124" t="str">
        <f t="array" ref="A224">IFERROR(INDEX('Annex 2 EHV charges'!$D$11:$D$260, MATCH(0, IF(ISBLANK('Annex 2 EHV charges'!$D$11:$D$260),1, COUNTIF(A$4:$A223, 'Annex 2 EHV charges'!$D$11:$D$260)), 0)),"")</f>
        <v/>
      </c>
      <c r="B224" s="123" t="str">
        <f>IF($A224="","",VLOOKUP($A224,'Annex 2 EHV charges'!$D:$O,2,0))</f>
        <v/>
      </c>
      <c r="C224" s="124" t="str">
        <f>IF($A224="","",VLOOKUP($A224,'Annex 2 EHV charges'!$D:$O,3,0))</f>
        <v/>
      </c>
      <c r="D224" s="123" t="str">
        <f>IF($A224="","",VLOOKUP($A224,'Annex 2 EHV charges'!$D:$O,4,0))</f>
        <v/>
      </c>
      <c r="E224" s="125" t="str">
        <f>IFERROR(IF(VLOOKUP($A224,'Annex 2 EHV charges'!$D:$O,9,FALSE)=0,"",VLOOKUP($A224,'Annex 2 EHV charges'!$D:$O,9,FALSE)),"")</f>
        <v/>
      </c>
      <c r="F224" s="126" t="str">
        <f>IFERROR(IF(VLOOKUP($A224,'Annex 2 EHV charges'!$D:$O,10,FALSE)=0,"",VLOOKUP($A224,'Annex 2 EHV charges'!$D:$O,10,FALSE)),"")</f>
        <v/>
      </c>
      <c r="G224" s="127" t="str">
        <f>IFERROR(IF(VLOOKUP($A224,'Annex 2 EHV charges'!$D:$O,11,FALSE)=0,"",VLOOKUP($A224,'Annex 2 EHV charges'!$D:$O,11,FALSE)),"")</f>
        <v/>
      </c>
      <c r="H224" s="127" t="str">
        <f>IFERROR(IF(VLOOKUP($A224,'Annex 2 EHV charges'!$D:$O,12,FALSE)=0,"",VLOOKUP($A224,'Annex 2 EHV charges'!$D:$O,12,FALSE)),"")</f>
        <v/>
      </c>
    </row>
    <row r="225" spans="1:8" x14ac:dyDescent="0.2">
      <c r="A225" s="124" t="str">
        <f t="array" ref="A225">IFERROR(INDEX('Annex 2 EHV charges'!$D$11:$D$260, MATCH(0, IF(ISBLANK('Annex 2 EHV charges'!$D$11:$D$260),1, COUNTIF(A$4:$A224, 'Annex 2 EHV charges'!$D$11:$D$260)), 0)),"")</f>
        <v/>
      </c>
      <c r="B225" s="123" t="str">
        <f>IF($A225="","",VLOOKUP($A225,'Annex 2 EHV charges'!$D:$O,2,0))</f>
        <v/>
      </c>
      <c r="C225" s="124" t="str">
        <f>IF($A225="","",VLOOKUP($A225,'Annex 2 EHV charges'!$D:$O,3,0))</f>
        <v/>
      </c>
      <c r="D225" s="123" t="str">
        <f>IF($A225="","",VLOOKUP($A225,'Annex 2 EHV charges'!$D:$O,4,0))</f>
        <v/>
      </c>
      <c r="E225" s="125" t="str">
        <f>IFERROR(IF(VLOOKUP($A225,'Annex 2 EHV charges'!$D:$O,9,FALSE)=0,"",VLOOKUP($A225,'Annex 2 EHV charges'!$D:$O,9,FALSE)),"")</f>
        <v/>
      </c>
      <c r="F225" s="126" t="str">
        <f>IFERROR(IF(VLOOKUP($A225,'Annex 2 EHV charges'!$D:$O,10,FALSE)=0,"",VLOOKUP($A225,'Annex 2 EHV charges'!$D:$O,10,FALSE)),"")</f>
        <v/>
      </c>
      <c r="G225" s="127" t="str">
        <f>IFERROR(IF(VLOOKUP($A225,'Annex 2 EHV charges'!$D:$O,11,FALSE)=0,"",VLOOKUP($A225,'Annex 2 EHV charges'!$D:$O,11,FALSE)),"")</f>
        <v/>
      </c>
      <c r="H225" s="127" t="str">
        <f>IFERROR(IF(VLOOKUP($A225,'Annex 2 EHV charges'!$D:$O,12,FALSE)=0,"",VLOOKUP($A225,'Annex 2 EHV charges'!$D:$O,12,FALSE)),"")</f>
        <v/>
      </c>
    </row>
    <row r="226" spans="1:8" x14ac:dyDescent="0.2">
      <c r="A226" s="124" t="str">
        <f t="array" ref="A226">IFERROR(INDEX('Annex 2 EHV charges'!$D$11:$D$260, MATCH(0, IF(ISBLANK('Annex 2 EHV charges'!$D$11:$D$260),1, COUNTIF(A$4:$A225, 'Annex 2 EHV charges'!$D$11:$D$260)), 0)),"")</f>
        <v/>
      </c>
      <c r="B226" s="123" t="str">
        <f>IF($A226="","",VLOOKUP($A226,'Annex 2 EHV charges'!$D:$O,2,0))</f>
        <v/>
      </c>
      <c r="C226" s="124" t="str">
        <f>IF($A226="","",VLOOKUP($A226,'Annex 2 EHV charges'!$D:$O,3,0))</f>
        <v/>
      </c>
      <c r="D226" s="123" t="str">
        <f>IF($A226="","",VLOOKUP($A226,'Annex 2 EHV charges'!$D:$O,4,0))</f>
        <v/>
      </c>
      <c r="E226" s="125" t="str">
        <f>IFERROR(IF(VLOOKUP($A226,'Annex 2 EHV charges'!$D:$O,9,FALSE)=0,"",VLOOKUP($A226,'Annex 2 EHV charges'!$D:$O,9,FALSE)),"")</f>
        <v/>
      </c>
      <c r="F226" s="126" t="str">
        <f>IFERROR(IF(VLOOKUP($A226,'Annex 2 EHV charges'!$D:$O,10,FALSE)=0,"",VLOOKUP($A226,'Annex 2 EHV charges'!$D:$O,10,FALSE)),"")</f>
        <v/>
      </c>
      <c r="G226" s="127" t="str">
        <f>IFERROR(IF(VLOOKUP($A226,'Annex 2 EHV charges'!$D:$O,11,FALSE)=0,"",VLOOKUP($A226,'Annex 2 EHV charges'!$D:$O,11,FALSE)),"")</f>
        <v/>
      </c>
      <c r="H226" s="127" t="str">
        <f>IFERROR(IF(VLOOKUP($A226,'Annex 2 EHV charges'!$D:$O,12,FALSE)=0,"",VLOOKUP($A226,'Annex 2 EHV charges'!$D:$O,12,FALSE)),"")</f>
        <v/>
      </c>
    </row>
    <row r="227" spans="1:8" x14ac:dyDescent="0.2">
      <c r="A227" s="124" t="str">
        <f t="array" ref="A227">IFERROR(INDEX('Annex 2 EHV charges'!$D$11:$D$260, MATCH(0, IF(ISBLANK('Annex 2 EHV charges'!$D$11:$D$260),1, COUNTIF(A$4:$A226, 'Annex 2 EHV charges'!$D$11:$D$260)), 0)),"")</f>
        <v/>
      </c>
      <c r="B227" s="123" t="str">
        <f>IF($A227="","",VLOOKUP($A227,'Annex 2 EHV charges'!$D:$O,2,0))</f>
        <v/>
      </c>
      <c r="C227" s="124" t="str">
        <f>IF($A227="","",VLOOKUP($A227,'Annex 2 EHV charges'!$D:$O,3,0))</f>
        <v/>
      </c>
      <c r="D227" s="123" t="str">
        <f>IF($A227="","",VLOOKUP($A227,'Annex 2 EHV charges'!$D:$O,4,0))</f>
        <v/>
      </c>
      <c r="E227" s="125" t="str">
        <f>IFERROR(IF(VLOOKUP($A227,'Annex 2 EHV charges'!$D:$O,9,FALSE)=0,"",VLOOKUP($A227,'Annex 2 EHV charges'!$D:$O,9,FALSE)),"")</f>
        <v/>
      </c>
      <c r="F227" s="126" t="str">
        <f>IFERROR(IF(VLOOKUP($A227,'Annex 2 EHV charges'!$D:$O,10,FALSE)=0,"",VLOOKUP($A227,'Annex 2 EHV charges'!$D:$O,10,FALSE)),"")</f>
        <v/>
      </c>
      <c r="G227" s="127" t="str">
        <f>IFERROR(IF(VLOOKUP($A227,'Annex 2 EHV charges'!$D:$O,11,FALSE)=0,"",VLOOKUP($A227,'Annex 2 EHV charges'!$D:$O,11,FALSE)),"")</f>
        <v/>
      </c>
      <c r="H227" s="127" t="str">
        <f>IFERROR(IF(VLOOKUP($A227,'Annex 2 EHV charges'!$D:$O,12,FALSE)=0,"",VLOOKUP($A227,'Annex 2 EHV charges'!$D:$O,12,FALSE)),"")</f>
        <v/>
      </c>
    </row>
    <row r="228" spans="1:8" x14ac:dyDescent="0.2">
      <c r="A228" s="124" t="str">
        <f t="array" ref="A228">IFERROR(INDEX('Annex 2 EHV charges'!$D$11:$D$260, MATCH(0, IF(ISBLANK('Annex 2 EHV charges'!$D$11:$D$260),1, COUNTIF(A$4:$A227, 'Annex 2 EHV charges'!$D$11:$D$260)), 0)),"")</f>
        <v/>
      </c>
      <c r="B228" s="123" t="str">
        <f>IF($A228="","",VLOOKUP($A228,'Annex 2 EHV charges'!$D:$O,2,0))</f>
        <v/>
      </c>
      <c r="C228" s="124" t="str">
        <f>IF($A228="","",VLOOKUP($A228,'Annex 2 EHV charges'!$D:$O,3,0))</f>
        <v/>
      </c>
      <c r="D228" s="123" t="str">
        <f>IF($A228="","",VLOOKUP($A228,'Annex 2 EHV charges'!$D:$O,4,0))</f>
        <v/>
      </c>
      <c r="E228" s="125" t="str">
        <f>IFERROR(IF(VLOOKUP($A228,'Annex 2 EHV charges'!$D:$O,9,FALSE)=0,"",VLOOKUP($A228,'Annex 2 EHV charges'!$D:$O,9,FALSE)),"")</f>
        <v/>
      </c>
      <c r="F228" s="126" t="str">
        <f>IFERROR(IF(VLOOKUP($A228,'Annex 2 EHV charges'!$D:$O,10,FALSE)=0,"",VLOOKUP($A228,'Annex 2 EHV charges'!$D:$O,10,FALSE)),"")</f>
        <v/>
      </c>
      <c r="G228" s="127" t="str">
        <f>IFERROR(IF(VLOOKUP($A228,'Annex 2 EHV charges'!$D:$O,11,FALSE)=0,"",VLOOKUP($A228,'Annex 2 EHV charges'!$D:$O,11,FALSE)),"")</f>
        <v/>
      </c>
      <c r="H228" s="127" t="str">
        <f>IFERROR(IF(VLOOKUP($A228,'Annex 2 EHV charges'!$D:$O,12,FALSE)=0,"",VLOOKUP($A228,'Annex 2 EHV charges'!$D:$O,12,FALSE)),"")</f>
        <v/>
      </c>
    </row>
    <row r="229" spans="1:8" x14ac:dyDescent="0.2">
      <c r="A229" s="124" t="str">
        <f t="array" ref="A229">IFERROR(INDEX('Annex 2 EHV charges'!$D$11:$D$260, MATCH(0, IF(ISBLANK('Annex 2 EHV charges'!$D$11:$D$260),1, COUNTIF(A$4:$A228, 'Annex 2 EHV charges'!$D$11:$D$260)), 0)),"")</f>
        <v/>
      </c>
      <c r="B229" s="123" t="str">
        <f>IF($A229="","",VLOOKUP($A229,'Annex 2 EHV charges'!$D:$O,2,0))</f>
        <v/>
      </c>
      <c r="C229" s="124" t="str">
        <f>IF($A229="","",VLOOKUP($A229,'Annex 2 EHV charges'!$D:$O,3,0))</f>
        <v/>
      </c>
      <c r="D229" s="123" t="str">
        <f>IF($A229="","",VLOOKUP($A229,'Annex 2 EHV charges'!$D:$O,4,0))</f>
        <v/>
      </c>
      <c r="E229" s="125" t="str">
        <f>IFERROR(IF(VLOOKUP($A229,'Annex 2 EHV charges'!$D:$O,9,FALSE)=0,"",VLOOKUP($A229,'Annex 2 EHV charges'!$D:$O,9,FALSE)),"")</f>
        <v/>
      </c>
      <c r="F229" s="126" t="str">
        <f>IFERROR(IF(VLOOKUP($A229,'Annex 2 EHV charges'!$D:$O,10,FALSE)=0,"",VLOOKUP($A229,'Annex 2 EHV charges'!$D:$O,10,FALSE)),"")</f>
        <v/>
      </c>
      <c r="G229" s="127" t="str">
        <f>IFERROR(IF(VLOOKUP($A229,'Annex 2 EHV charges'!$D:$O,11,FALSE)=0,"",VLOOKUP($A229,'Annex 2 EHV charges'!$D:$O,11,FALSE)),"")</f>
        <v/>
      </c>
      <c r="H229" s="127" t="str">
        <f>IFERROR(IF(VLOOKUP($A229,'Annex 2 EHV charges'!$D:$O,12,FALSE)=0,"",VLOOKUP($A229,'Annex 2 EHV charges'!$D:$O,12,FALSE)),"")</f>
        <v/>
      </c>
    </row>
    <row r="230" spans="1:8" x14ac:dyDescent="0.2">
      <c r="A230" s="124" t="str">
        <f t="array" ref="A230">IFERROR(INDEX('Annex 2 EHV charges'!$D$11:$D$260, MATCH(0, IF(ISBLANK('Annex 2 EHV charges'!$D$11:$D$260),1, COUNTIF(A$4:$A229, 'Annex 2 EHV charges'!$D$11:$D$260)), 0)),"")</f>
        <v/>
      </c>
      <c r="B230" s="123" t="str">
        <f>IF($A230="","",VLOOKUP($A230,'Annex 2 EHV charges'!$D:$O,2,0))</f>
        <v/>
      </c>
      <c r="C230" s="124" t="str">
        <f>IF($A230="","",VLOOKUP($A230,'Annex 2 EHV charges'!$D:$O,3,0))</f>
        <v/>
      </c>
      <c r="D230" s="123" t="str">
        <f>IF($A230="","",VLOOKUP($A230,'Annex 2 EHV charges'!$D:$O,4,0))</f>
        <v/>
      </c>
      <c r="E230" s="125" t="str">
        <f>IFERROR(IF(VLOOKUP($A230,'Annex 2 EHV charges'!$D:$O,9,FALSE)=0,"",VLOOKUP($A230,'Annex 2 EHV charges'!$D:$O,9,FALSE)),"")</f>
        <v/>
      </c>
      <c r="F230" s="126" t="str">
        <f>IFERROR(IF(VLOOKUP($A230,'Annex 2 EHV charges'!$D:$O,10,FALSE)=0,"",VLOOKUP($A230,'Annex 2 EHV charges'!$D:$O,10,FALSE)),"")</f>
        <v/>
      </c>
      <c r="G230" s="127" t="str">
        <f>IFERROR(IF(VLOOKUP($A230,'Annex 2 EHV charges'!$D:$O,11,FALSE)=0,"",VLOOKUP($A230,'Annex 2 EHV charges'!$D:$O,11,FALSE)),"")</f>
        <v/>
      </c>
      <c r="H230" s="127" t="str">
        <f>IFERROR(IF(VLOOKUP($A230,'Annex 2 EHV charges'!$D:$O,12,FALSE)=0,"",VLOOKUP($A230,'Annex 2 EHV charges'!$D:$O,12,FALSE)),"")</f>
        <v/>
      </c>
    </row>
    <row r="231" spans="1:8" x14ac:dyDescent="0.2">
      <c r="A231" s="124" t="str">
        <f t="array" ref="A231">IFERROR(INDEX('Annex 2 EHV charges'!$D$11:$D$260, MATCH(0, IF(ISBLANK('Annex 2 EHV charges'!$D$11:$D$260),1, COUNTIF(A$4:$A230, 'Annex 2 EHV charges'!$D$11:$D$260)), 0)),"")</f>
        <v/>
      </c>
      <c r="B231" s="123" t="str">
        <f>IF($A231="","",VLOOKUP($A231,'Annex 2 EHV charges'!$D:$O,2,0))</f>
        <v/>
      </c>
      <c r="C231" s="124" t="str">
        <f>IF($A231="","",VLOOKUP($A231,'Annex 2 EHV charges'!$D:$O,3,0))</f>
        <v/>
      </c>
      <c r="D231" s="123" t="str">
        <f>IF($A231="","",VLOOKUP($A231,'Annex 2 EHV charges'!$D:$O,4,0))</f>
        <v/>
      </c>
      <c r="E231" s="125" t="str">
        <f>IFERROR(IF(VLOOKUP($A231,'Annex 2 EHV charges'!$D:$O,9,FALSE)=0,"",VLOOKUP($A231,'Annex 2 EHV charges'!$D:$O,9,FALSE)),"")</f>
        <v/>
      </c>
      <c r="F231" s="126" t="str">
        <f>IFERROR(IF(VLOOKUP($A231,'Annex 2 EHV charges'!$D:$O,10,FALSE)=0,"",VLOOKUP($A231,'Annex 2 EHV charges'!$D:$O,10,FALSE)),"")</f>
        <v/>
      </c>
      <c r="G231" s="127" t="str">
        <f>IFERROR(IF(VLOOKUP($A231,'Annex 2 EHV charges'!$D:$O,11,FALSE)=0,"",VLOOKUP($A231,'Annex 2 EHV charges'!$D:$O,11,FALSE)),"")</f>
        <v/>
      </c>
      <c r="H231" s="127" t="str">
        <f>IFERROR(IF(VLOOKUP($A231,'Annex 2 EHV charges'!$D:$O,12,FALSE)=0,"",VLOOKUP($A231,'Annex 2 EHV charges'!$D:$O,12,FALSE)),"")</f>
        <v/>
      </c>
    </row>
    <row r="232" spans="1:8" x14ac:dyDescent="0.2">
      <c r="A232" s="124" t="str">
        <f t="array" ref="A232">IFERROR(INDEX('Annex 2 EHV charges'!$D$11:$D$260, MATCH(0, IF(ISBLANK('Annex 2 EHV charges'!$D$11:$D$260),1, COUNTIF(A$4:$A231, 'Annex 2 EHV charges'!$D$11:$D$260)), 0)),"")</f>
        <v/>
      </c>
      <c r="B232" s="123" t="str">
        <f>IF($A232="","",VLOOKUP($A232,'Annex 2 EHV charges'!$D:$O,2,0))</f>
        <v/>
      </c>
      <c r="C232" s="124" t="str">
        <f>IF($A232="","",VLOOKUP($A232,'Annex 2 EHV charges'!$D:$O,3,0))</f>
        <v/>
      </c>
      <c r="D232" s="123" t="str">
        <f>IF($A232="","",VLOOKUP($A232,'Annex 2 EHV charges'!$D:$O,4,0))</f>
        <v/>
      </c>
      <c r="E232" s="125" t="str">
        <f>IFERROR(IF(VLOOKUP($A232,'Annex 2 EHV charges'!$D:$O,9,FALSE)=0,"",VLOOKUP($A232,'Annex 2 EHV charges'!$D:$O,9,FALSE)),"")</f>
        <v/>
      </c>
      <c r="F232" s="126" t="str">
        <f>IFERROR(IF(VLOOKUP($A232,'Annex 2 EHV charges'!$D:$O,10,FALSE)=0,"",VLOOKUP($A232,'Annex 2 EHV charges'!$D:$O,10,FALSE)),"")</f>
        <v/>
      </c>
      <c r="G232" s="127" t="str">
        <f>IFERROR(IF(VLOOKUP($A232,'Annex 2 EHV charges'!$D:$O,11,FALSE)=0,"",VLOOKUP($A232,'Annex 2 EHV charges'!$D:$O,11,FALSE)),"")</f>
        <v/>
      </c>
      <c r="H232" s="127" t="str">
        <f>IFERROR(IF(VLOOKUP($A232,'Annex 2 EHV charges'!$D:$O,12,FALSE)=0,"",VLOOKUP($A232,'Annex 2 EHV charges'!$D:$O,12,FALSE)),"")</f>
        <v/>
      </c>
    </row>
    <row r="233" spans="1:8" x14ac:dyDescent="0.2">
      <c r="A233" s="124" t="str">
        <f t="array" ref="A233">IFERROR(INDEX('Annex 2 EHV charges'!$D$11:$D$260, MATCH(0, IF(ISBLANK('Annex 2 EHV charges'!$D$11:$D$260),1, COUNTIF(A$4:$A232, 'Annex 2 EHV charges'!$D$11:$D$260)), 0)),"")</f>
        <v/>
      </c>
      <c r="B233" s="123" t="str">
        <f>IF($A233="","",VLOOKUP($A233,'Annex 2 EHV charges'!$D:$O,2,0))</f>
        <v/>
      </c>
      <c r="C233" s="124" t="str">
        <f>IF($A233="","",VLOOKUP($A233,'Annex 2 EHV charges'!$D:$O,3,0))</f>
        <v/>
      </c>
      <c r="D233" s="123" t="str">
        <f>IF($A233="","",VLOOKUP($A233,'Annex 2 EHV charges'!$D:$O,4,0))</f>
        <v/>
      </c>
      <c r="E233" s="125" t="str">
        <f>IFERROR(IF(VLOOKUP($A233,'Annex 2 EHV charges'!$D:$O,9,FALSE)=0,"",VLOOKUP($A233,'Annex 2 EHV charges'!$D:$O,9,FALSE)),"")</f>
        <v/>
      </c>
      <c r="F233" s="126" t="str">
        <f>IFERROR(IF(VLOOKUP($A233,'Annex 2 EHV charges'!$D:$O,10,FALSE)=0,"",VLOOKUP($A233,'Annex 2 EHV charges'!$D:$O,10,FALSE)),"")</f>
        <v/>
      </c>
      <c r="G233" s="127" t="str">
        <f>IFERROR(IF(VLOOKUP($A233,'Annex 2 EHV charges'!$D:$O,11,FALSE)=0,"",VLOOKUP($A233,'Annex 2 EHV charges'!$D:$O,11,FALSE)),"")</f>
        <v/>
      </c>
      <c r="H233" s="127" t="str">
        <f>IFERROR(IF(VLOOKUP($A233,'Annex 2 EHV charges'!$D:$O,12,FALSE)=0,"",VLOOKUP($A233,'Annex 2 EHV charges'!$D:$O,12,FALSE)),"")</f>
        <v/>
      </c>
    </row>
    <row r="234" spans="1:8" x14ac:dyDescent="0.2">
      <c r="A234" s="124" t="str">
        <f t="array" ref="A234">IFERROR(INDEX('Annex 2 EHV charges'!$D$11:$D$260, MATCH(0, IF(ISBLANK('Annex 2 EHV charges'!$D$11:$D$260),1, COUNTIF(A$4:$A233, 'Annex 2 EHV charges'!$D$11:$D$260)), 0)),"")</f>
        <v/>
      </c>
      <c r="B234" s="123" t="str">
        <f>IF($A234="","",VLOOKUP($A234,'Annex 2 EHV charges'!$D:$O,2,0))</f>
        <v/>
      </c>
      <c r="C234" s="124" t="str">
        <f>IF($A234="","",VLOOKUP($A234,'Annex 2 EHV charges'!$D:$O,3,0))</f>
        <v/>
      </c>
      <c r="D234" s="123" t="str">
        <f>IF($A234="","",VLOOKUP($A234,'Annex 2 EHV charges'!$D:$O,4,0))</f>
        <v/>
      </c>
      <c r="E234" s="125" t="str">
        <f>IFERROR(IF(VLOOKUP($A234,'Annex 2 EHV charges'!$D:$O,9,FALSE)=0,"",VLOOKUP($A234,'Annex 2 EHV charges'!$D:$O,9,FALSE)),"")</f>
        <v/>
      </c>
      <c r="F234" s="126" t="str">
        <f>IFERROR(IF(VLOOKUP($A234,'Annex 2 EHV charges'!$D:$O,10,FALSE)=0,"",VLOOKUP($A234,'Annex 2 EHV charges'!$D:$O,10,FALSE)),"")</f>
        <v/>
      </c>
      <c r="G234" s="127" t="str">
        <f>IFERROR(IF(VLOOKUP($A234,'Annex 2 EHV charges'!$D:$O,11,FALSE)=0,"",VLOOKUP($A234,'Annex 2 EHV charges'!$D:$O,11,FALSE)),"")</f>
        <v/>
      </c>
      <c r="H234" s="127" t="str">
        <f>IFERROR(IF(VLOOKUP($A234,'Annex 2 EHV charges'!$D:$O,12,FALSE)=0,"",VLOOKUP($A234,'Annex 2 EHV charges'!$D:$O,12,FALSE)),"")</f>
        <v/>
      </c>
    </row>
    <row r="235" spans="1:8" x14ac:dyDescent="0.2">
      <c r="A235" s="124" t="str">
        <f t="array" ref="A235">IFERROR(INDEX('Annex 2 EHV charges'!$D$11:$D$260, MATCH(0, IF(ISBLANK('Annex 2 EHV charges'!$D$11:$D$260),1, COUNTIF(A$4:$A234, 'Annex 2 EHV charges'!$D$11:$D$260)), 0)),"")</f>
        <v/>
      </c>
      <c r="B235" s="123" t="str">
        <f>IF($A235="","",VLOOKUP($A235,'Annex 2 EHV charges'!$D:$O,2,0))</f>
        <v/>
      </c>
      <c r="C235" s="124" t="str">
        <f>IF($A235="","",VLOOKUP($A235,'Annex 2 EHV charges'!$D:$O,3,0))</f>
        <v/>
      </c>
      <c r="D235" s="123" t="str">
        <f>IF($A235="","",VLOOKUP($A235,'Annex 2 EHV charges'!$D:$O,4,0))</f>
        <v/>
      </c>
      <c r="E235" s="125" t="str">
        <f>IFERROR(IF(VLOOKUP($A235,'Annex 2 EHV charges'!$D:$O,9,FALSE)=0,"",VLOOKUP($A235,'Annex 2 EHV charges'!$D:$O,9,FALSE)),"")</f>
        <v/>
      </c>
      <c r="F235" s="126" t="str">
        <f>IFERROR(IF(VLOOKUP($A235,'Annex 2 EHV charges'!$D:$O,10,FALSE)=0,"",VLOOKUP($A235,'Annex 2 EHV charges'!$D:$O,10,FALSE)),"")</f>
        <v/>
      </c>
      <c r="G235" s="127" t="str">
        <f>IFERROR(IF(VLOOKUP($A235,'Annex 2 EHV charges'!$D:$O,11,FALSE)=0,"",VLOOKUP($A235,'Annex 2 EHV charges'!$D:$O,11,FALSE)),"")</f>
        <v/>
      </c>
      <c r="H235" s="127" t="str">
        <f>IFERROR(IF(VLOOKUP($A235,'Annex 2 EHV charges'!$D:$O,12,FALSE)=0,"",VLOOKUP($A235,'Annex 2 EHV charges'!$D:$O,12,FALSE)),"")</f>
        <v/>
      </c>
    </row>
    <row r="236" spans="1:8" x14ac:dyDescent="0.2">
      <c r="A236" s="124" t="str">
        <f t="array" ref="A236">IFERROR(INDEX('Annex 2 EHV charges'!$D$11:$D$260, MATCH(0, IF(ISBLANK('Annex 2 EHV charges'!$D$11:$D$260),1, COUNTIF(A$4:$A235, 'Annex 2 EHV charges'!$D$11:$D$260)), 0)),"")</f>
        <v/>
      </c>
      <c r="B236" s="123" t="str">
        <f>IF($A236="","",VLOOKUP($A236,'Annex 2 EHV charges'!$D:$O,2,0))</f>
        <v/>
      </c>
      <c r="C236" s="124" t="str">
        <f>IF($A236="","",VLOOKUP($A236,'Annex 2 EHV charges'!$D:$O,3,0))</f>
        <v/>
      </c>
      <c r="D236" s="123" t="str">
        <f>IF($A236="","",VLOOKUP($A236,'Annex 2 EHV charges'!$D:$O,4,0))</f>
        <v/>
      </c>
      <c r="E236" s="125" t="str">
        <f>IFERROR(IF(VLOOKUP($A236,'Annex 2 EHV charges'!$D:$O,9,FALSE)=0,"",VLOOKUP($A236,'Annex 2 EHV charges'!$D:$O,9,FALSE)),"")</f>
        <v/>
      </c>
      <c r="F236" s="126" t="str">
        <f>IFERROR(IF(VLOOKUP($A236,'Annex 2 EHV charges'!$D:$O,10,FALSE)=0,"",VLOOKUP($A236,'Annex 2 EHV charges'!$D:$O,10,FALSE)),"")</f>
        <v/>
      </c>
      <c r="G236" s="127" t="str">
        <f>IFERROR(IF(VLOOKUP($A236,'Annex 2 EHV charges'!$D:$O,11,FALSE)=0,"",VLOOKUP($A236,'Annex 2 EHV charges'!$D:$O,11,FALSE)),"")</f>
        <v/>
      </c>
      <c r="H236" s="127" t="str">
        <f>IFERROR(IF(VLOOKUP($A236,'Annex 2 EHV charges'!$D:$O,12,FALSE)=0,"",VLOOKUP($A236,'Annex 2 EHV charges'!$D:$O,12,FALSE)),"")</f>
        <v/>
      </c>
    </row>
    <row r="237" spans="1:8" x14ac:dyDescent="0.2">
      <c r="A237" s="124" t="str">
        <f t="array" ref="A237">IFERROR(INDEX('Annex 2 EHV charges'!$D$11:$D$260, MATCH(0, IF(ISBLANK('Annex 2 EHV charges'!$D$11:$D$260),1, COUNTIF(A$4:$A236, 'Annex 2 EHV charges'!$D$11:$D$260)), 0)),"")</f>
        <v/>
      </c>
      <c r="B237" s="123" t="str">
        <f>IF($A237="","",VLOOKUP($A237,'Annex 2 EHV charges'!$D:$O,2,0))</f>
        <v/>
      </c>
      <c r="C237" s="124" t="str">
        <f>IF($A237="","",VLOOKUP($A237,'Annex 2 EHV charges'!$D:$O,3,0))</f>
        <v/>
      </c>
      <c r="D237" s="123" t="str">
        <f>IF($A237="","",VLOOKUP($A237,'Annex 2 EHV charges'!$D:$O,4,0))</f>
        <v/>
      </c>
      <c r="E237" s="125" t="str">
        <f>IFERROR(IF(VLOOKUP($A237,'Annex 2 EHV charges'!$D:$O,9,FALSE)=0,"",VLOOKUP($A237,'Annex 2 EHV charges'!$D:$O,9,FALSE)),"")</f>
        <v/>
      </c>
      <c r="F237" s="126" t="str">
        <f>IFERROR(IF(VLOOKUP($A237,'Annex 2 EHV charges'!$D:$O,10,FALSE)=0,"",VLOOKUP($A237,'Annex 2 EHV charges'!$D:$O,10,FALSE)),"")</f>
        <v/>
      </c>
      <c r="G237" s="127" t="str">
        <f>IFERROR(IF(VLOOKUP($A237,'Annex 2 EHV charges'!$D:$O,11,FALSE)=0,"",VLOOKUP($A237,'Annex 2 EHV charges'!$D:$O,11,FALSE)),"")</f>
        <v/>
      </c>
      <c r="H237" s="127" t="str">
        <f>IFERROR(IF(VLOOKUP($A237,'Annex 2 EHV charges'!$D:$O,12,FALSE)=0,"",VLOOKUP($A237,'Annex 2 EHV charges'!$D:$O,12,FALSE)),"")</f>
        <v/>
      </c>
    </row>
    <row r="238" spans="1:8" x14ac:dyDescent="0.2">
      <c r="A238" s="124" t="str">
        <f t="array" ref="A238">IFERROR(INDEX('Annex 2 EHV charges'!$D$11:$D$260, MATCH(0, IF(ISBLANK('Annex 2 EHV charges'!$D$11:$D$260),1, COUNTIF(A$4:$A237, 'Annex 2 EHV charges'!$D$11:$D$260)), 0)),"")</f>
        <v/>
      </c>
      <c r="B238" s="123" t="str">
        <f>IF($A238="","",VLOOKUP($A238,'Annex 2 EHV charges'!$D:$O,2,0))</f>
        <v/>
      </c>
      <c r="C238" s="124" t="str">
        <f>IF($A238="","",VLOOKUP($A238,'Annex 2 EHV charges'!$D:$O,3,0))</f>
        <v/>
      </c>
      <c r="D238" s="123" t="str">
        <f>IF($A238="","",VLOOKUP($A238,'Annex 2 EHV charges'!$D:$O,4,0))</f>
        <v/>
      </c>
      <c r="E238" s="125" t="str">
        <f>IFERROR(IF(VLOOKUP($A238,'Annex 2 EHV charges'!$D:$O,9,FALSE)=0,"",VLOOKUP($A238,'Annex 2 EHV charges'!$D:$O,9,FALSE)),"")</f>
        <v/>
      </c>
      <c r="F238" s="126" t="str">
        <f>IFERROR(IF(VLOOKUP($A238,'Annex 2 EHV charges'!$D:$O,10,FALSE)=0,"",VLOOKUP($A238,'Annex 2 EHV charges'!$D:$O,10,FALSE)),"")</f>
        <v/>
      </c>
      <c r="G238" s="127" t="str">
        <f>IFERROR(IF(VLOOKUP($A238,'Annex 2 EHV charges'!$D:$O,11,FALSE)=0,"",VLOOKUP($A238,'Annex 2 EHV charges'!$D:$O,11,FALSE)),"")</f>
        <v/>
      </c>
      <c r="H238" s="127" t="str">
        <f>IFERROR(IF(VLOOKUP($A238,'Annex 2 EHV charges'!$D:$O,12,FALSE)=0,"",VLOOKUP($A238,'Annex 2 EHV charges'!$D:$O,12,FALSE)),"")</f>
        <v/>
      </c>
    </row>
    <row r="239" spans="1:8" x14ac:dyDescent="0.2">
      <c r="A239" s="124" t="str">
        <f t="array" ref="A239">IFERROR(INDEX('Annex 2 EHV charges'!$D$11:$D$260, MATCH(0, IF(ISBLANK('Annex 2 EHV charges'!$D$11:$D$260),1, COUNTIF(A$4:$A238, 'Annex 2 EHV charges'!$D$11:$D$260)), 0)),"")</f>
        <v/>
      </c>
      <c r="B239" s="123" t="str">
        <f>IF($A239="","",VLOOKUP($A239,'Annex 2 EHV charges'!$D:$O,2,0))</f>
        <v/>
      </c>
      <c r="C239" s="124" t="str">
        <f>IF($A239="","",VLOOKUP($A239,'Annex 2 EHV charges'!$D:$O,3,0))</f>
        <v/>
      </c>
      <c r="D239" s="123" t="str">
        <f>IF($A239="","",VLOOKUP($A239,'Annex 2 EHV charges'!$D:$O,4,0))</f>
        <v/>
      </c>
      <c r="E239" s="125" t="str">
        <f>IFERROR(IF(VLOOKUP($A239,'Annex 2 EHV charges'!$D:$O,9,FALSE)=0,"",VLOOKUP($A239,'Annex 2 EHV charges'!$D:$O,9,FALSE)),"")</f>
        <v/>
      </c>
      <c r="F239" s="126" t="str">
        <f>IFERROR(IF(VLOOKUP($A239,'Annex 2 EHV charges'!$D:$O,10,FALSE)=0,"",VLOOKUP($A239,'Annex 2 EHV charges'!$D:$O,10,FALSE)),"")</f>
        <v/>
      </c>
      <c r="G239" s="127" t="str">
        <f>IFERROR(IF(VLOOKUP($A239,'Annex 2 EHV charges'!$D:$O,11,FALSE)=0,"",VLOOKUP($A239,'Annex 2 EHV charges'!$D:$O,11,FALSE)),"")</f>
        <v/>
      </c>
      <c r="H239" s="127" t="str">
        <f>IFERROR(IF(VLOOKUP($A239,'Annex 2 EHV charges'!$D:$O,12,FALSE)=0,"",VLOOKUP($A239,'Annex 2 EHV charges'!$D:$O,12,FALSE)),"")</f>
        <v/>
      </c>
    </row>
    <row r="240" spans="1:8" x14ac:dyDescent="0.2">
      <c r="A240" s="124" t="str">
        <f t="array" ref="A240">IFERROR(INDEX('Annex 2 EHV charges'!$D$11:$D$260, MATCH(0, IF(ISBLANK('Annex 2 EHV charges'!$D$11:$D$260),1, COUNTIF(A$4:$A239, 'Annex 2 EHV charges'!$D$11:$D$260)), 0)),"")</f>
        <v/>
      </c>
      <c r="B240" s="123" t="str">
        <f>IF($A240="","",VLOOKUP($A240,'Annex 2 EHV charges'!$D:$O,2,0))</f>
        <v/>
      </c>
      <c r="C240" s="124" t="str">
        <f>IF($A240="","",VLOOKUP($A240,'Annex 2 EHV charges'!$D:$O,3,0))</f>
        <v/>
      </c>
      <c r="D240" s="123" t="str">
        <f>IF($A240="","",VLOOKUP($A240,'Annex 2 EHV charges'!$D:$O,4,0))</f>
        <v/>
      </c>
      <c r="E240" s="125" t="str">
        <f>IFERROR(IF(VLOOKUP($A240,'Annex 2 EHV charges'!$D:$O,9,FALSE)=0,"",VLOOKUP($A240,'Annex 2 EHV charges'!$D:$O,9,FALSE)),"")</f>
        <v/>
      </c>
      <c r="F240" s="126" t="str">
        <f>IFERROR(IF(VLOOKUP($A240,'Annex 2 EHV charges'!$D:$O,10,FALSE)=0,"",VLOOKUP($A240,'Annex 2 EHV charges'!$D:$O,10,FALSE)),"")</f>
        <v/>
      </c>
      <c r="G240" s="127" t="str">
        <f>IFERROR(IF(VLOOKUP($A240,'Annex 2 EHV charges'!$D:$O,11,FALSE)=0,"",VLOOKUP($A240,'Annex 2 EHV charges'!$D:$O,11,FALSE)),"")</f>
        <v/>
      </c>
      <c r="H240" s="127" t="str">
        <f>IFERROR(IF(VLOOKUP($A240,'Annex 2 EHV charges'!$D:$O,12,FALSE)=0,"",VLOOKUP($A240,'Annex 2 EHV charges'!$D:$O,12,FALSE)),"")</f>
        <v/>
      </c>
    </row>
    <row r="241" spans="1:8" x14ac:dyDescent="0.2">
      <c r="A241" s="124" t="str">
        <f t="array" ref="A241">IFERROR(INDEX('Annex 2 EHV charges'!$D$11:$D$260, MATCH(0, IF(ISBLANK('Annex 2 EHV charges'!$D$11:$D$260),1, COUNTIF(A$4:$A240, 'Annex 2 EHV charges'!$D$11:$D$260)), 0)),"")</f>
        <v/>
      </c>
      <c r="B241" s="123" t="str">
        <f>IF($A241="","",VLOOKUP($A241,'Annex 2 EHV charges'!$D:$O,2,0))</f>
        <v/>
      </c>
      <c r="C241" s="124" t="str">
        <f>IF($A241="","",VLOOKUP($A241,'Annex 2 EHV charges'!$D:$O,3,0))</f>
        <v/>
      </c>
      <c r="D241" s="123" t="str">
        <f>IF($A241="","",VLOOKUP($A241,'Annex 2 EHV charges'!$D:$O,4,0))</f>
        <v/>
      </c>
      <c r="E241" s="125" t="str">
        <f>IFERROR(IF(VLOOKUP($A241,'Annex 2 EHV charges'!$D:$O,9,FALSE)=0,"",VLOOKUP($A241,'Annex 2 EHV charges'!$D:$O,9,FALSE)),"")</f>
        <v/>
      </c>
      <c r="F241" s="126" t="str">
        <f>IFERROR(IF(VLOOKUP($A241,'Annex 2 EHV charges'!$D:$O,10,FALSE)=0,"",VLOOKUP($A241,'Annex 2 EHV charges'!$D:$O,10,FALSE)),"")</f>
        <v/>
      </c>
      <c r="G241" s="127" t="str">
        <f>IFERROR(IF(VLOOKUP($A241,'Annex 2 EHV charges'!$D:$O,11,FALSE)=0,"",VLOOKUP($A241,'Annex 2 EHV charges'!$D:$O,11,FALSE)),"")</f>
        <v/>
      </c>
      <c r="H241" s="127" t="str">
        <f>IFERROR(IF(VLOOKUP($A241,'Annex 2 EHV charges'!$D:$O,12,FALSE)=0,"",VLOOKUP($A241,'Annex 2 EHV charges'!$D:$O,12,FALSE)),"")</f>
        <v/>
      </c>
    </row>
    <row r="242" spans="1:8" x14ac:dyDescent="0.2">
      <c r="A242" s="124" t="str">
        <f t="array" ref="A242">IFERROR(INDEX('Annex 2 EHV charges'!$D$11:$D$260, MATCH(0, IF(ISBLANK('Annex 2 EHV charges'!$D$11:$D$260),1, COUNTIF(A$4:$A241, 'Annex 2 EHV charges'!$D$11:$D$260)), 0)),"")</f>
        <v/>
      </c>
      <c r="B242" s="123" t="str">
        <f>IF($A242="","",VLOOKUP($A242,'Annex 2 EHV charges'!$D:$O,2,0))</f>
        <v/>
      </c>
      <c r="C242" s="124" t="str">
        <f>IF($A242="","",VLOOKUP($A242,'Annex 2 EHV charges'!$D:$O,3,0))</f>
        <v/>
      </c>
      <c r="D242" s="123" t="str">
        <f>IF($A242="","",VLOOKUP($A242,'Annex 2 EHV charges'!$D:$O,4,0))</f>
        <v/>
      </c>
      <c r="E242" s="125" t="str">
        <f>IFERROR(IF(VLOOKUP($A242,'Annex 2 EHV charges'!$D:$O,9,FALSE)=0,"",VLOOKUP($A242,'Annex 2 EHV charges'!$D:$O,9,FALSE)),"")</f>
        <v/>
      </c>
      <c r="F242" s="126" t="str">
        <f>IFERROR(IF(VLOOKUP($A242,'Annex 2 EHV charges'!$D:$O,10,FALSE)=0,"",VLOOKUP($A242,'Annex 2 EHV charges'!$D:$O,10,FALSE)),"")</f>
        <v/>
      </c>
      <c r="G242" s="127" t="str">
        <f>IFERROR(IF(VLOOKUP($A242,'Annex 2 EHV charges'!$D:$O,11,FALSE)=0,"",VLOOKUP($A242,'Annex 2 EHV charges'!$D:$O,11,FALSE)),"")</f>
        <v/>
      </c>
      <c r="H242" s="127" t="str">
        <f>IFERROR(IF(VLOOKUP($A242,'Annex 2 EHV charges'!$D:$O,12,FALSE)=0,"",VLOOKUP($A242,'Annex 2 EHV charges'!$D:$O,12,FALSE)),"")</f>
        <v/>
      </c>
    </row>
    <row r="243" spans="1:8" x14ac:dyDescent="0.2">
      <c r="A243" s="124" t="str">
        <f t="array" ref="A243">IFERROR(INDEX('Annex 2 EHV charges'!$D$11:$D$260, MATCH(0, IF(ISBLANK('Annex 2 EHV charges'!$D$11:$D$260),1, COUNTIF(A$4:$A242, 'Annex 2 EHV charges'!$D$11:$D$260)), 0)),"")</f>
        <v/>
      </c>
      <c r="B243" s="123" t="str">
        <f>IF($A243="","",VLOOKUP($A243,'Annex 2 EHV charges'!$D:$O,2,0))</f>
        <v/>
      </c>
      <c r="C243" s="124" t="str">
        <f>IF($A243="","",VLOOKUP($A243,'Annex 2 EHV charges'!$D:$O,3,0))</f>
        <v/>
      </c>
      <c r="D243" s="123" t="str">
        <f>IF($A243="","",VLOOKUP($A243,'Annex 2 EHV charges'!$D:$O,4,0))</f>
        <v/>
      </c>
      <c r="E243" s="125" t="str">
        <f>IFERROR(IF(VLOOKUP($A243,'Annex 2 EHV charges'!$D:$O,9,FALSE)=0,"",VLOOKUP($A243,'Annex 2 EHV charges'!$D:$O,9,FALSE)),"")</f>
        <v/>
      </c>
      <c r="F243" s="126" t="str">
        <f>IFERROR(IF(VLOOKUP($A243,'Annex 2 EHV charges'!$D:$O,10,FALSE)=0,"",VLOOKUP($A243,'Annex 2 EHV charges'!$D:$O,10,FALSE)),"")</f>
        <v/>
      </c>
      <c r="G243" s="127" t="str">
        <f>IFERROR(IF(VLOOKUP($A243,'Annex 2 EHV charges'!$D:$O,11,FALSE)=0,"",VLOOKUP($A243,'Annex 2 EHV charges'!$D:$O,11,FALSE)),"")</f>
        <v/>
      </c>
      <c r="H243" s="127" t="str">
        <f>IFERROR(IF(VLOOKUP($A243,'Annex 2 EHV charges'!$D:$O,12,FALSE)=0,"",VLOOKUP($A243,'Annex 2 EHV charges'!$D:$O,12,FALSE)),"")</f>
        <v/>
      </c>
    </row>
    <row r="244" spans="1:8" x14ac:dyDescent="0.2">
      <c r="A244" s="124" t="str">
        <f t="array" ref="A244">IFERROR(INDEX('Annex 2 EHV charges'!$D$11:$D$260, MATCH(0, IF(ISBLANK('Annex 2 EHV charges'!$D$11:$D$260),1, COUNTIF(A$4:$A243, 'Annex 2 EHV charges'!$D$11:$D$260)), 0)),"")</f>
        <v/>
      </c>
      <c r="B244" s="123" t="str">
        <f>IF($A244="","",VLOOKUP($A244,'Annex 2 EHV charges'!$D:$O,2,0))</f>
        <v/>
      </c>
      <c r="C244" s="124" t="str">
        <f>IF($A244="","",VLOOKUP($A244,'Annex 2 EHV charges'!$D:$O,3,0))</f>
        <v/>
      </c>
      <c r="D244" s="123" t="str">
        <f>IF($A244="","",VLOOKUP($A244,'Annex 2 EHV charges'!$D:$O,4,0))</f>
        <v/>
      </c>
      <c r="E244" s="125" t="str">
        <f>IFERROR(IF(VLOOKUP($A244,'Annex 2 EHV charges'!$D:$O,9,FALSE)=0,"",VLOOKUP($A244,'Annex 2 EHV charges'!$D:$O,9,FALSE)),"")</f>
        <v/>
      </c>
      <c r="F244" s="126" t="str">
        <f>IFERROR(IF(VLOOKUP($A244,'Annex 2 EHV charges'!$D:$O,10,FALSE)=0,"",VLOOKUP($A244,'Annex 2 EHV charges'!$D:$O,10,FALSE)),"")</f>
        <v/>
      </c>
      <c r="G244" s="127" t="str">
        <f>IFERROR(IF(VLOOKUP($A244,'Annex 2 EHV charges'!$D:$O,11,FALSE)=0,"",VLOOKUP($A244,'Annex 2 EHV charges'!$D:$O,11,FALSE)),"")</f>
        <v/>
      </c>
      <c r="H244" s="127" t="str">
        <f>IFERROR(IF(VLOOKUP($A244,'Annex 2 EHV charges'!$D:$O,12,FALSE)=0,"",VLOOKUP($A244,'Annex 2 EHV charges'!$D:$O,12,FALSE)),"")</f>
        <v/>
      </c>
    </row>
    <row r="245" spans="1:8" x14ac:dyDescent="0.2">
      <c r="A245" s="124" t="str">
        <f t="array" ref="A245">IFERROR(INDEX('Annex 2 EHV charges'!$D$11:$D$260, MATCH(0, IF(ISBLANK('Annex 2 EHV charges'!$D$11:$D$260),1, COUNTIF(A$4:$A244, 'Annex 2 EHV charges'!$D$11:$D$260)), 0)),"")</f>
        <v/>
      </c>
      <c r="B245" s="123" t="str">
        <f>IF($A245="","",VLOOKUP($A245,'Annex 2 EHV charges'!$D:$O,2,0))</f>
        <v/>
      </c>
      <c r="C245" s="124" t="str">
        <f>IF($A245="","",VLOOKUP($A245,'Annex 2 EHV charges'!$D:$O,3,0))</f>
        <v/>
      </c>
      <c r="D245" s="123" t="str">
        <f>IF($A245="","",VLOOKUP($A245,'Annex 2 EHV charges'!$D:$O,4,0))</f>
        <v/>
      </c>
      <c r="E245" s="125" t="str">
        <f>IFERROR(IF(VLOOKUP($A245,'Annex 2 EHV charges'!$D:$O,9,FALSE)=0,"",VLOOKUP($A245,'Annex 2 EHV charges'!$D:$O,9,FALSE)),"")</f>
        <v/>
      </c>
      <c r="F245" s="126" t="str">
        <f>IFERROR(IF(VLOOKUP($A245,'Annex 2 EHV charges'!$D:$O,10,FALSE)=0,"",VLOOKUP($A245,'Annex 2 EHV charges'!$D:$O,10,FALSE)),"")</f>
        <v/>
      </c>
      <c r="G245" s="127" t="str">
        <f>IFERROR(IF(VLOOKUP($A245,'Annex 2 EHV charges'!$D:$O,11,FALSE)=0,"",VLOOKUP($A245,'Annex 2 EHV charges'!$D:$O,11,FALSE)),"")</f>
        <v/>
      </c>
      <c r="H245" s="127" t="str">
        <f>IFERROR(IF(VLOOKUP($A245,'Annex 2 EHV charges'!$D:$O,12,FALSE)=0,"",VLOOKUP($A245,'Annex 2 EHV charges'!$D:$O,12,FALSE)),"")</f>
        <v/>
      </c>
    </row>
    <row r="246" spans="1:8" x14ac:dyDescent="0.2">
      <c r="A246" s="124" t="str">
        <f t="array" ref="A246">IFERROR(INDEX('Annex 2 EHV charges'!$D$11:$D$260, MATCH(0, IF(ISBLANK('Annex 2 EHV charges'!$D$11:$D$260),1, COUNTIF(A$4:$A245, 'Annex 2 EHV charges'!$D$11:$D$260)), 0)),"")</f>
        <v/>
      </c>
      <c r="B246" s="123" t="str">
        <f>IF($A246="","",VLOOKUP($A246,'Annex 2 EHV charges'!$D:$O,2,0))</f>
        <v/>
      </c>
      <c r="C246" s="124" t="str">
        <f>IF($A246="","",VLOOKUP($A246,'Annex 2 EHV charges'!$D:$O,3,0))</f>
        <v/>
      </c>
      <c r="D246" s="123" t="str">
        <f>IF($A246="","",VLOOKUP($A246,'Annex 2 EHV charges'!$D:$O,4,0))</f>
        <v/>
      </c>
      <c r="E246" s="125" t="str">
        <f>IFERROR(IF(VLOOKUP($A246,'Annex 2 EHV charges'!$D:$O,9,FALSE)=0,"",VLOOKUP($A246,'Annex 2 EHV charges'!$D:$O,9,FALSE)),"")</f>
        <v/>
      </c>
      <c r="F246" s="126" t="str">
        <f>IFERROR(IF(VLOOKUP($A246,'Annex 2 EHV charges'!$D:$O,10,FALSE)=0,"",VLOOKUP($A246,'Annex 2 EHV charges'!$D:$O,10,FALSE)),"")</f>
        <v/>
      </c>
      <c r="G246" s="127" t="str">
        <f>IFERROR(IF(VLOOKUP($A246,'Annex 2 EHV charges'!$D:$O,11,FALSE)=0,"",VLOOKUP($A246,'Annex 2 EHV charges'!$D:$O,11,FALSE)),"")</f>
        <v/>
      </c>
      <c r="H246" s="127" t="str">
        <f>IFERROR(IF(VLOOKUP($A246,'Annex 2 EHV charges'!$D:$O,12,FALSE)=0,"",VLOOKUP($A246,'Annex 2 EHV charges'!$D:$O,12,FALSE)),"")</f>
        <v/>
      </c>
    </row>
    <row r="247" spans="1:8" x14ac:dyDescent="0.2">
      <c r="A247" s="124" t="str">
        <f t="array" ref="A247">IFERROR(INDEX('Annex 2 EHV charges'!$D$11:$D$260, MATCH(0, IF(ISBLANK('Annex 2 EHV charges'!$D$11:$D$260),1, COUNTIF(A$4:$A246, 'Annex 2 EHV charges'!$D$11:$D$260)), 0)),"")</f>
        <v/>
      </c>
      <c r="B247" s="123" t="str">
        <f>IF($A247="","",VLOOKUP($A247,'Annex 2 EHV charges'!$D:$O,2,0))</f>
        <v/>
      </c>
      <c r="C247" s="124" t="str">
        <f>IF($A247="","",VLOOKUP($A247,'Annex 2 EHV charges'!$D:$O,3,0))</f>
        <v/>
      </c>
      <c r="D247" s="123" t="str">
        <f>IF($A247="","",VLOOKUP($A247,'Annex 2 EHV charges'!$D:$O,4,0))</f>
        <v/>
      </c>
      <c r="E247" s="125" t="str">
        <f>IFERROR(IF(VLOOKUP($A247,'Annex 2 EHV charges'!$D:$O,9,FALSE)=0,"",VLOOKUP($A247,'Annex 2 EHV charges'!$D:$O,9,FALSE)),"")</f>
        <v/>
      </c>
      <c r="F247" s="126" t="str">
        <f>IFERROR(IF(VLOOKUP($A247,'Annex 2 EHV charges'!$D:$O,10,FALSE)=0,"",VLOOKUP($A247,'Annex 2 EHV charges'!$D:$O,10,FALSE)),"")</f>
        <v/>
      </c>
      <c r="G247" s="127" t="str">
        <f>IFERROR(IF(VLOOKUP($A247,'Annex 2 EHV charges'!$D:$O,11,FALSE)=0,"",VLOOKUP($A247,'Annex 2 EHV charges'!$D:$O,11,FALSE)),"")</f>
        <v/>
      </c>
      <c r="H247" s="127" t="str">
        <f>IFERROR(IF(VLOOKUP($A247,'Annex 2 EHV charges'!$D:$O,12,FALSE)=0,"",VLOOKUP($A247,'Annex 2 EHV charges'!$D:$O,12,FALSE)),"")</f>
        <v/>
      </c>
    </row>
    <row r="248" spans="1:8" x14ac:dyDescent="0.2">
      <c r="A248" s="124" t="str">
        <f t="array" ref="A248">IFERROR(INDEX('Annex 2 EHV charges'!$D$11:$D$260, MATCH(0, IF(ISBLANK('Annex 2 EHV charges'!$D$11:$D$260),1, COUNTIF(A$4:$A247, 'Annex 2 EHV charges'!$D$11:$D$260)), 0)),"")</f>
        <v/>
      </c>
      <c r="B248" s="123" t="str">
        <f>IF($A248="","",VLOOKUP($A248,'Annex 2 EHV charges'!$D:$O,2,0))</f>
        <v/>
      </c>
      <c r="C248" s="124" t="str">
        <f>IF($A248="","",VLOOKUP($A248,'Annex 2 EHV charges'!$D:$O,3,0))</f>
        <v/>
      </c>
      <c r="D248" s="123" t="str">
        <f>IF($A248="","",VLOOKUP($A248,'Annex 2 EHV charges'!$D:$O,4,0))</f>
        <v/>
      </c>
      <c r="E248" s="125" t="str">
        <f>IFERROR(IF(VLOOKUP($A248,'Annex 2 EHV charges'!$D:$O,9,FALSE)=0,"",VLOOKUP($A248,'Annex 2 EHV charges'!$D:$O,9,FALSE)),"")</f>
        <v/>
      </c>
      <c r="F248" s="126" t="str">
        <f>IFERROR(IF(VLOOKUP($A248,'Annex 2 EHV charges'!$D:$O,10,FALSE)=0,"",VLOOKUP($A248,'Annex 2 EHV charges'!$D:$O,10,FALSE)),"")</f>
        <v/>
      </c>
      <c r="G248" s="127" t="str">
        <f>IFERROR(IF(VLOOKUP($A248,'Annex 2 EHV charges'!$D:$O,11,FALSE)=0,"",VLOOKUP($A248,'Annex 2 EHV charges'!$D:$O,11,FALSE)),"")</f>
        <v/>
      </c>
      <c r="H248" s="127" t="str">
        <f>IFERROR(IF(VLOOKUP($A248,'Annex 2 EHV charges'!$D:$O,12,FALSE)=0,"",VLOOKUP($A248,'Annex 2 EHV charges'!$D:$O,12,FALSE)),"")</f>
        <v/>
      </c>
    </row>
    <row r="249" spans="1:8" x14ac:dyDescent="0.2">
      <c r="A249" s="124" t="str">
        <f t="array" ref="A249">IFERROR(INDEX('Annex 2 EHV charges'!$D$11:$D$260, MATCH(0, IF(ISBLANK('Annex 2 EHV charges'!$D$11:$D$260),1, COUNTIF(A$4:$A248, 'Annex 2 EHV charges'!$D$11:$D$260)), 0)),"")</f>
        <v/>
      </c>
      <c r="B249" s="123" t="str">
        <f>IF($A249="","",VLOOKUP($A249,'Annex 2 EHV charges'!$D:$O,2,0))</f>
        <v/>
      </c>
      <c r="C249" s="124" t="str">
        <f>IF($A249="","",VLOOKUP($A249,'Annex 2 EHV charges'!$D:$O,3,0))</f>
        <v/>
      </c>
      <c r="D249" s="123" t="str">
        <f>IF($A249="","",VLOOKUP($A249,'Annex 2 EHV charges'!$D:$O,4,0))</f>
        <v/>
      </c>
      <c r="E249" s="125" t="str">
        <f>IFERROR(IF(VLOOKUP($A249,'Annex 2 EHV charges'!$D:$O,9,FALSE)=0,"",VLOOKUP($A249,'Annex 2 EHV charges'!$D:$O,9,FALSE)),"")</f>
        <v/>
      </c>
      <c r="F249" s="126" t="str">
        <f>IFERROR(IF(VLOOKUP($A249,'Annex 2 EHV charges'!$D:$O,10,FALSE)=0,"",VLOOKUP($A249,'Annex 2 EHV charges'!$D:$O,10,FALSE)),"")</f>
        <v/>
      </c>
      <c r="G249" s="127" t="str">
        <f>IFERROR(IF(VLOOKUP($A249,'Annex 2 EHV charges'!$D:$O,11,FALSE)=0,"",VLOOKUP($A249,'Annex 2 EHV charges'!$D:$O,11,FALSE)),"")</f>
        <v/>
      </c>
      <c r="H249" s="127" t="str">
        <f>IFERROR(IF(VLOOKUP($A249,'Annex 2 EHV charges'!$D:$O,12,FALSE)=0,"",VLOOKUP($A249,'Annex 2 EHV charges'!$D:$O,12,FALSE)),"")</f>
        <v/>
      </c>
    </row>
    <row r="250" spans="1:8" x14ac:dyDescent="0.2">
      <c r="A250" s="124" t="str">
        <f t="array" ref="A250">IFERROR(INDEX('Annex 2 EHV charges'!$D$11:$D$260, MATCH(0, IF(ISBLANK('Annex 2 EHV charges'!$D$11:$D$260),1, COUNTIF(A$4:$A249, 'Annex 2 EHV charges'!$D$11:$D$260)), 0)),"")</f>
        <v/>
      </c>
      <c r="B250" s="123" t="str">
        <f>IF($A250="","",VLOOKUP($A250,'Annex 2 EHV charges'!$D:$O,2,0))</f>
        <v/>
      </c>
      <c r="C250" s="124" t="str">
        <f>IF($A250="","",VLOOKUP($A250,'Annex 2 EHV charges'!$D:$O,3,0))</f>
        <v/>
      </c>
      <c r="D250" s="123" t="str">
        <f>IF($A250="","",VLOOKUP($A250,'Annex 2 EHV charges'!$D:$O,4,0))</f>
        <v/>
      </c>
      <c r="E250" s="125" t="str">
        <f>IFERROR(IF(VLOOKUP($A250,'Annex 2 EHV charges'!$D:$O,9,FALSE)=0,"",VLOOKUP($A250,'Annex 2 EHV charges'!$D:$O,9,FALSE)),"")</f>
        <v/>
      </c>
      <c r="F250" s="126" t="str">
        <f>IFERROR(IF(VLOOKUP($A250,'Annex 2 EHV charges'!$D:$O,10,FALSE)=0,"",VLOOKUP($A250,'Annex 2 EHV charges'!$D:$O,10,FALSE)),"")</f>
        <v/>
      </c>
      <c r="G250" s="127" t="str">
        <f>IFERROR(IF(VLOOKUP($A250,'Annex 2 EHV charges'!$D:$O,11,FALSE)=0,"",VLOOKUP($A250,'Annex 2 EHV charges'!$D:$O,11,FALSE)),"")</f>
        <v/>
      </c>
      <c r="H250" s="127" t="str">
        <f>IFERROR(IF(VLOOKUP($A250,'Annex 2 EHV charges'!$D:$O,12,FALSE)=0,"",VLOOKUP($A250,'Annex 2 EHV charges'!$D:$O,12,FALSE)),"")</f>
        <v/>
      </c>
    </row>
    <row r="251" spans="1:8" x14ac:dyDescent="0.2">
      <c r="A251" s="124" t="str">
        <f t="array" ref="A251">IFERROR(INDEX('Annex 2 EHV charges'!$D$11:$D$260, MATCH(0, IF(ISBLANK('Annex 2 EHV charges'!$D$11:$D$260),1, COUNTIF(A$4:$A250, 'Annex 2 EHV charges'!$D$11:$D$260)), 0)),"")</f>
        <v/>
      </c>
      <c r="B251" s="123" t="str">
        <f>IF($A251="","",VLOOKUP($A251,'Annex 2 EHV charges'!$D:$O,2,0))</f>
        <v/>
      </c>
      <c r="C251" s="124" t="str">
        <f>IF($A251="","",VLOOKUP($A251,'Annex 2 EHV charges'!$D:$O,3,0))</f>
        <v/>
      </c>
      <c r="D251" s="123" t="str">
        <f>IF($A251="","",VLOOKUP($A251,'Annex 2 EHV charges'!$D:$O,4,0))</f>
        <v/>
      </c>
      <c r="E251" s="125" t="str">
        <f>IFERROR(IF(VLOOKUP($A251,'Annex 2 EHV charges'!$D:$O,9,FALSE)=0,"",VLOOKUP($A251,'Annex 2 EHV charges'!$D:$O,9,FALSE)),"")</f>
        <v/>
      </c>
      <c r="F251" s="126" t="str">
        <f>IFERROR(IF(VLOOKUP($A251,'Annex 2 EHV charges'!$D:$O,10,FALSE)=0,"",VLOOKUP($A251,'Annex 2 EHV charges'!$D:$O,10,FALSE)),"")</f>
        <v/>
      </c>
      <c r="G251" s="127" t="str">
        <f>IFERROR(IF(VLOOKUP($A251,'Annex 2 EHV charges'!$D:$O,11,FALSE)=0,"",VLOOKUP($A251,'Annex 2 EHV charges'!$D:$O,11,FALSE)),"")</f>
        <v/>
      </c>
      <c r="H251" s="127" t="str">
        <f>IFERROR(IF(VLOOKUP($A251,'Annex 2 EHV charges'!$D:$O,12,FALSE)=0,"",VLOOKUP($A251,'Annex 2 EHV charges'!$D:$O,12,FALSE)),"")</f>
        <v/>
      </c>
    </row>
    <row r="252" spans="1:8" x14ac:dyDescent="0.2">
      <c r="A252" s="124" t="str">
        <f t="array" ref="A252">IFERROR(INDEX('Annex 2 EHV charges'!$D$11:$D$260, MATCH(0, IF(ISBLANK('Annex 2 EHV charges'!$D$11:$D$260),1, COUNTIF(A$4:$A251, 'Annex 2 EHV charges'!$D$11:$D$260)), 0)),"")</f>
        <v/>
      </c>
      <c r="B252" s="123" t="str">
        <f>IF($A252="","",VLOOKUP($A252,'Annex 2 EHV charges'!$D:$O,2,0))</f>
        <v/>
      </c>
      <c r="C252" s="124" t="str">
        <f>IF($A252="","",VLOOKUP($A252,'Annex 2 EHV charges'!$D:$O,3,0))</f>
        <v/>
      </c>
      <c r="D252" s="123" t="str">
        <f>IF($A252="","",VLOOKUP($A252,'Annex 2 EHV charges'!$D:$O,4,0))</f>
        <v/>
      </c>
      <c r="E252" s="125" t="str">
        <f>IFERROR(IF(VLOOKUP($A252,'Annex 2 EHV charges'!$D:$O,9,FALSE)=0,"",VLOOKUP($A252,'Annex 2 EHV charges'!$D:$O,9,FALSE)),"")</f>
        <v/>
      </c>
      <c r="F252" s="126" t="str">
        <f>IFERROR(IF(VLOOKUP($A252,'Annex 2 EHV charges'!$D:$O,10,FALSE)=0,"",VLOOKUP($A252,'Annex 2 EHV charges'!$D:$O,10,FALSE)),"")</f>
        <v/>
      </c>
      <c r="G252" s="127" t="str">
        <f>IFERROR(IF(VLOOKUP($A252,'Annex 2 EHV charges'!$D:$O,11,FALSE)=0,"",VLOOKUP($A252,'Annex 2 EHV charges'!$D:$O,11,FALSE)),"")</f>
        <v/>
      </c>
      <c r="H252" s="127" t="str">
        <f>IFERROR(IF(VLOOKUP($A252,'Annex 2 EHV charges'!$D:$O,12,FALSE)=0,"",VLOOKUP($A252,'Annex 2 EHV charges'!$D:$O,12,FALSE)),"")</f>
        <v/>
      </c>
    </row>
    <row r="253" spans="1:8" x14ac:dyDescent="0.2">
      <c r="A253" s="124" t="str">
        <f t="array" ref="A253">IFERROR(INDEX('Annex 2 EHV charges'!$D$11:$D$260, MATCH(0, IF(ISBLANK('Annex 2 EHV charges'!$D$11:$D$260),1, COUNTIF(A$4:$A252, 'Annex 2 EHV charges'!$D$11:$D$260)), 0)),"")</f>
        <v/>
      </c>
      <c r="B253" s="123" t="str">
        <f>IF($A253="","",VLOOKUP($A253,'Annex 2 EHV charges'!$D:$O,2,0))</f>
        <v/>
      </c>
      <c r="C253" s="124" t="str">
        <f>IF($A253="","",VLOOKUP($A253,'Annex 2 EHV charges'!$D:$O,3,0))</f>
        <v/>
      </c>
      <c r="D253" s="123" t="str">
        <f>IF($A253="","",VLOOKUP($A253,'Annex 2 EHV charges'!$D:$O,4,0))</f>
        <v/>
      </c>
      <c r="E253" s="125" t="str">
        <f>IFERROR(IF(VLOOKUP($A253,'Annex 2 EHV charges'!$D:$O,9,FALSE)=0,"",VLOOKUP($A253,'Annex 2 EHV charges'!$D:$O,9,FALSE)),"")</f>
        <v/>
      </c>
      <c r="F253" s="126" t="str">
        <f>IFERROR(IF(VLOOKUP($A253,'Annex 2 EHV charges'!$D:$O,10,FALSE)=0,"",VLOOKUP($A253,'Annex 2 EHV charges'!$D:$O,10,FALSE)),"")</f>
        <v/>
      </c>
      <c r="G253" s="127" t="str">
        <f>IFERROR(IF(VLOOKUP($A253,'Annex 2 EHV charges'!$D:$O,11,FALSE)=0,"",VLOOKUP($A253,'Annex 2 EHV charges'!$D:$O,11,FALSE)),"")</f>
        <v/>
      </c>
      <c r="H253" s="127" t="str">
        <f>IFERROR(IF(VLOOKUP($A253,'Annex 2 EHV charges'!$D:$O,12,FALSE)=0,"",VLOOKUP($A253,'Annex 2 EHV charges'!$D:$O,12,FALSE)),"")</f>
        <v/>
      </c>
    </row>
    <row r="254" spans="1:8" x14ac:dyDescent="0.2">
      <c r="A254" s="124" t="str">
        <f t="array" ref="A254">IFERROR(INDEX('Annex 2 EHV charges'!$D$11:$D$260, MATCH(0, IF(ISBLANK('Annex 2 EHV charges'!$D$11:$D$260),1, COUNTIF(A$4:$A253, 'Annex 2 EHV charges'!$D$11:$D$260)), 0)),"")</f>
        <v/>
      </c>
      <c r="B254" s="123" t="str">
        <f>IF($A254="","",VLOOKUP($A254,'Annex 2 EHV charges'!$D:$O,2,0))</f>
        <v/>
      </c>
      <c r="C254" s="124" t="str">
        <f>IF($A254="","",VLOOKUP($A254,'Annex 2 EHV charges'!$D:$O,3,0))</f>
        <v/>
      </c>
      <c r="D254" s="123" t="str">
        <f>IF($A254="","",VLOOKUP($A254,'Annex 2 EHV charges'!$D:$O,4,0))</f>
        <v/>
      </c>
      <c r="E254" s="125" t="str">
        <f>IFERROR(IF(VLOOKUP($A254,'Annex 2 EHV charges'!$D:$O,9,FALSE)=0,"",VLOOKUP($A254,'Annex 2 EHV charges'!$D:$O,9,FALSE)),"")</f>
        <v/>
      </c>
      <c r="F254" s="126" t="str">
        <f>IFERROR(IF(VLOOKUP($A254,'Annex 2 EHV charges'!$D:$O,10,FALSE)=0,"",VLOOKUP($A254,'Annex 2 EHV charges'!$D:$O,10,FALSE)),"")</f>
        <v/>
      </c>
      <c r="G254" s="127" t="str">
        <f>IFERROR(IF(VLOOKUP($A254,'Annex 2 EHV charges'!$D:$O,11,FALSE)=0,"",VLOOKUP($A254,'Annex 2 EHV charges'!$D:$O,11,FALSE)),"")</f>
        <v/>
      </c>
      <c r="H254" s="127" t="str">
        <f>IFERROR(IF(VLOOKUP($A254,'Annex 2 EHV charges'!$D:$O,12,FALSE)=0,"",VLOOKUP($A254,'Annex 2 EHV charges'!$D:$O,12,FALSE)),"")</f>
        <v/>
      </c>
    </row>
  </sheetData>
  <mergeCells count="2">
    <mergeCell ref="A2:H2"/>
    <mergeCell ref="A1:H1"/>
  </mergeCells>
  <pageMargins left="0.70866141732283472" right="0.70866141732283472" top="0.94488188976377963" bottom="0.74803149606299213" header="0.31496062992125984" footer="0.31496062992125984"/>
  <pageSetup paperSize="8" scale="89"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13"/>
  <sheetViews>
    <sheetView zoomScale="80" zoomScaleNormal="80" zoomScaleSheetLayoutView="100" workbookViewId="0">
      <selection activeCell="B11" sqref="B11:J11"/>
    </sheetView>
  </sheetViews>
  <sheetFormatPr defaultRowHeight="12.75" x14ac:dyDescent="0.2"/>
  <cols>
    <col min="1" max="1" width="27.42578125" customWidth="1"/>
    <col min="2" max="2" width="17.140625" customWidth="1"/>
    <col min="4" max="10" width="16.5703125" customWidth="1"/>
  </cols>
  <sheetData>
    <row r="1" spans="1:12" s="2" customFormat="1" ht="27.75" customHeight="1" x14ac:dyDescent="0.2">
      <c r="A1" s="16" t="s">
        <v>87</v>
      </c>
      <c r="B1" s="3"/>
      <c r="D1" s="3"/>
      <c r="E1" s="3"/>
      <c r="F1" s="3"/>
      <c r="G1" s="10"/>
      <c r="H1" s="4"/>
      <c r="I1" s="4"/>
    </row>
    <row r="2" spans="1:12" s="2" customFormat="1" ht="27" customHeight="1" x14ac:dyDescent="0.2">
      <c r="A2" s="246" t="str">
        <f>Overview!B4&amp; " - Effective from "&amp;Overview!D4&amp;" - "&amp;Overview!E4&amp;" LV and HV tariffs"</f>
        <v>SP Distribution - Effective from 1 April 2018 - Final LV and HV tariffs</v>
      </c>
      <c r="B2" s="247"/>
      <c r="C2" s="247"/>
      <c r="D2" s="247"/>
      <c r="E2" s="247"/>
      <c r="F2" s="247"/>
      <c r="G2" s="247"/>
      <c r="H2" s="247"/>
      <c r="I2" s="247"/>
      <c r="J2" s="248"/>
      <c r="K2" s="4"/>
      <c r="L2" s="4"/>
    </row>
    <row r="3" spans="1:12" s="2" customFormat="1" ht="27" customHeight="1" x14ac:dyDescent="0.2">
      <c r="A3" s="253" t="s">
        <v>473</v>
      </c>
      <c r="B3" s="253"/>
      <c r="C3" s="253"/>
      <c r="D3" s="253"/>
      <c r="E3" s="253"/>
      <c r="F3" s="253"/>
      <c r="G3" s="253"/>
      <c r="H3" s="253"/>
      <c r="I3" s="253"/>
      <c r="J3" s="253"/>
      <c r="K3" s="4"/>
      <c r="L3" s="4"/>
    </row>
    <row r="4" spans="1:12" s="2" customFormat="1" ht="71.25" customHeight="1" x14ac:dyDescent="0.2">
      <c r="A4" s="18"/>
      <c r="B4" s="28" t="s">
        <v>49</v>
      </c>
      <c r="C4" s="17" t="s">
        <v>93</v>
      </c>
      <c r="D4" s="17" t="s">
        <v>672</v>
      </c>
      <c r="E4" s="165" t="s">
        <v>673</v>
      </c>
      <c r="F4" s="206" t="s">
        <v>1508</v>
      </c>
      <c r="G4" s="206" t="s">
        <v>94</v>
      </c>
      <c r="H4" s="17"/>
      <c r="I4" s="17"/>
      <c r="J4" s="17"/>
      <c r="K4" s="4"/>
      <c r="L4" s="4"/>
    </row>
    <row r="5" spans="1:12" s="2" customFormat="1" ht="53.25" customHeight="1" x14ac:dyDescent="0.2">
      <c r="A5" s="19" t="s">
        <v>11</v>
      </c>
      <c r="B5" s="51" t="s">
        <v>799</v>
      </c>
      <c r="C5" s="82">
        <v>2</v>
      </c>
      <c r="D5" s="48">
        <v>1.097</v>
      </c>
      <c r="E5" s="26"/>
      <c r="F5" s="26">
        <v>0</v>
      </c>
      <c r="G5" s="26"/>
      <c r="H5" s="26">
        <v>0</v>
      </c>
      <c r="I5" s="26">
        <v>0</v>
      </c>
      <c r="J5" s="26">
        <v>0</v>
      </c>
      <c r="K5" s="4"/>
      <c r="L5" s="4"/>
    </row>
    <row r="6" spans="1:12" ht="53.25" customHeight="1" x14ac:dyDescent="0.2">
      <c r="A6" s="19" t="s">
        <v>12</v>
      </c>
      <c r="B6" s="51" t="s">
        <v>800</v>
      </c>
      <c r="C6" s="82">
        <v>3</v>
      </c>
      <c r="D6" s="48">
        <v>2.4460000000000002</v>
      </c>
      <c r="E6" s="197">
        <v>0</v>
      </c>
      <c r="F6" s="198">
        <v>0</v>
      </c>
      <c r="G6" s="50">
        <v>6.43</v>
      </c>
      <c r="H6" s="26">
        <v>0</v>
      </c>
      <c r="I6" s="26">
        <v>0</v>
      </c>
      <c r="J6" s="26">
        <v>0</v>
      </c>
    </row>
    <row r="7" spans="1:12" ht="53.25" customHeight="1" x14ac:dyDescent="0.2">
      <c r="A7" s="19" t="s">
        <v>13</v>
      </c>
      <c r="B7" s="51" t="s">
        <v>777</v>
      </c>
      <c r="C7" s="82">
        <v>4</v>
      </c>
      <c r="D7" s="48">
        <v>2.9510000000000001</v>
      </c>
      <c r="E7" s="48">
        <v>1.1839999999999999</v>
      </c>
      <c r="F7" s="26">
        <v>0</v>
      </c>
      <c r="G7" s="50">
        <v>6.43</v>
      </c>
      <c r="H7" s="26">
        <v>0</v>
      </c>
      <c r="I7" s="26">
        <v>0</v>
      </c>
      <c r="J7" s="26">
        <v>0</v>
      </c>
    </row>
    <row r="8" spans="1:12" ht="53.25" customHeight="1" x14ac:dyDescent="0.2">
      <c r="A8" s="19" t="s">
        <v>14</v>
      </c>
      <c r="B8" s="51" t="s">
        <v>778</v>
      </c>
      <c r="C8" s="82" t="s">
        <v>1067</v>
      </c>
      <c r="D8" s="48">
        <v>1.472</v>
      </c>
      <c r="E8" s="26"/>
      <c r="F8" s="26">
        <v>0</v>
      </c>
      <c r="G8" s="26"/>
      <c r="H8" s="26">
        <v>0</v>
      </c>
      <c r="I8" s="26">
        <v>0</v>
      </c>
      <c r="J8" s="26">
        <v>0</v>
      </c>
    </row>
    <row r="9" spans="1:12" ht="53.25" customHeight="1" x14ac:dyDescent="0.2">
      <c r="A9" s="19" t="s">
        <v>16</v>
      </c>
      <c r="B9" s="47" t="s">
        <v>801</v>
      </c>
      <c r="C9" s="82" t="s">
        <v>1064</v>
      </c>
      <c r="D9" s="48">
        <v>1.4650000000000001</v>
      </c>
      <c r="E9" s="48">
        <v>1.016</v>
      </c>
      <c r="F9" s="198">
        <v>0</v>
      </c>
      <c r="G9" s="50">
        <v>318.77999999999997</v>
      </c>
      <c r="H9" s="198">
        <v>0</v>
      </c>
      <c r="I9" s="26">
        <v>0</v>
      </c>
      <c r="J9" s="26">
        <v>0</v>
      </c>
    </row>
    <row r="10" spans="1:12" ht="22.5" customHeight="1" x14ac:dyDescent="0.2">
      <c r="A10" s="260" t="s">
        <v>51</v>
      </c>
      <c r="B10" s="254" t="s">
        <v>52</v>
      </c>
      <c r="C10" s="255"/>
      <c r="D10" s="255"/>
      <c r="E10" s="255"/>
      <c r="F10" s="255"/>
      <c r="G10" s="255"/>
      <c r="H10" s="256"/>
      <c r="I10" s="256"/>
      <c r="J10" s="257"/>
    </row>
    <row r="11" spans="1:12" ht="129" customHeight="1" x14ac:dyDescent="0.2">
      <c r="A11" s="260"/>
      <c r="B11" s="249" t="s">
        <v>1066</v>
      </c>
      <c r="C11" s="250"/>
      <c r="D11" s="250"/>
      <c r="E11" s="250"/>
      <c r="F11" s="250"/>
      <c r="G11" s="250"/>
      <c r="H11" s="251"/>
      <c r="I11" s="251"/>
      <c r="J11" s="252"/>
    </row>
    <row r="12" spans="1:12" x14ac:dyDescent="0.2">
      <c r="A12" s="260"/>
      <c r="B12" s="258"/>
      <c r="C12" s="258"/>
      <c r="D12" s="258"/>
      <c r="E12" s="258"/>
      <c r="F12" s="258"/>
      <c r="G12" s="258"/>
      <c r="H12" s="259"/>
      <c r="I12" s="259"/>
      <c r="J12" s="259"/>
    </row>
    <row r="13" spans="1:12" x14ac:dyDescent="0.2">
      <c r="A13" s="64"/>
      <c r="B13" s="64"/>
      <c r="C13" s="64"/>
      <c r="D13" s="64"/>
      <c r="E13" s="64"/>
      <c r="F13" s="64"/>
      <c r="G13" s="64"/>
      <c r="H13" s="64"/>
      <c r="I13" s="64"/>
      <c r="J13" s="64"/>
    </row>
  </sheetData>
  <mergeCells count="6">
    <mergeCell ref="B11:J11"/>
    <mergeCell ref="A2:J2"/>
    <mergeCell ref="A3:J3"/>
    <mergeCell ref="B10:J10"/>
    <mergeCell ref="B12:J12"/>
    <mergeCell ref="A10:A12"/>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2" fitToHeight="0" orientation="portrait" r:id="rId1"/>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191"/>
  <sheetViews>
    <sheetView zoomScale="85" zoomScaleNormal="85" zoomScaleSheetLayoutView="85" workbookViewId="0"/>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1" width="15.5703125" style="4" customWidth="1"/>
    <col min="12" max="17" width="15.5703125" style="2" customWidth="1"/>
    <col min="18" max="16384" width="9.140625" style="2"/>
  </cols>
  <sheetData>
    <row r="1" spans="1:13" ht="27.75" customHeight="1" x14ac:dyDescent="0.2">
      <c r="A1" s="16" t="s">
        <v>87</v>
      </c>
      <c r="B1" s="264" t="s">
        <v>685</v>
      </c>
      <c r="C1" s="265"/>
      <c r="D1" s="265"/>
      <c r="F1" s="266" t="s">
        <v>732</v>
      </c>
      <c r="G1" s="267"/>
      <c r="H1" s="268"/>
      <c r="I1" s="4"/>
      <c r="J1" s="2"/>
      <c r="K1" s="2"/>
    </row>
    <row r="2" spans="1:13" ht="31.5" customHeight="1" x14ac:dyDescent="0.2">
      <c r="A2" s="269" t="str">
        <f>Overview!B4&amp; " - Effective from "&amp;Overview!D4&amp;" - "&amp;Overview!E4&amp;" LDNO tariffs"</f>
        <v>SP Distribution - Effective from 1 April 2018 - Final LDNO tariffs</v>
      </c>
      <c r="B2" s="269"/>
      <c r="C2" s="269"/>
      <c r="D2" s="269"/>
      <c r="E2" s="269"/>
      <c r="F2" s="269"/>
      <c r="G2" s="269"/>
      <c r="H2" s="269"/>
      <c r="I2" s="269"/>
      <c r="J2" s="269"/>
    </row>
    <row r="3" spans="1:13" ht="8.25" customHeight="1" x14ac:dyDescent="0.2">
      <c r="A3" s="107"/>
      <c r="B3" s="107"/>
      <c r="C3" s="107"/>
      <c r="D3" s="107"/>
      <c r="E3" s="107"/>
      <c r="F3" s="107"/>
      <c r="G3" s="107"/>
      <c r="H3" s="107"/>
      <c r="I3" s="107"/>
      <c r="J3" s="107"/>
    </row>
    <row r="4" spans="1:13" ht="27" customHeight="1" x14ac:dyDescent="0.2">
      <c r="A4" s="235" t="s">
        <v>537</v>
      </c>
      <c r="B4" s="235"/>
      <c r="C4" s="235"/>
      <c r="D4" s="235"/>
      <c r="E4" s="112"/>
      <c r="F4" s="235" t="s">
        <v>536</v>
      </c>
      <c r="G4" s="235"/>
      <c r="H4" s="235"/>
      <c r="I4" s="235"/>
      <c r="J4" s="235"/>
      <c r="L4" s="4"/>
    </row>
    <row r="5" spans="1:13" ht="32.25" customHeight="1" x14ac:dyDescent="0.2">
      <c r="A5" s="94" t="s">
        <v>80</v>
      </c>
      <c r="B5" s="99" t="s">
        <v>527</v>
      </c>
      <c r="C5" s="119" t="s">
        <v>528</v>
      </c>
      <c r="D5" s="96" t="s">
        <v>529</v>
      </c>
      <c r="E5" s="103"/>
      <c r="F5" s="238"/>
      <c r="G5" s="239"/>
      <c r="H5" s="100" t="s">
        <v>534</v>
      </c>
      <c r="I5" s="101" t="s">
        <v>535</v>
      </c>
      <c r="J5" s="96" t="s">
        <v>529</v>
      </c>
      <c r="K5" s="103"/>
      <c r="L5" s="4"/>
      <c r="M5" s="4"/>
    </row>
    <row r="6" spans="1:13" ht="56.25" customHeight="1" x14ac:dyDescent="0.2">
      <c r="A6" s="97" t="s">
        <v>530</v>
      </c>
      <c r="B6" s="21" t="s">
        <v>748</v>
      </c>
      <c r="C6" s="186" t="s">
        <v>783</v>
      </c>
      <c r="D6" s="190" t="s">
        <v>784</v>
      </c>
      <c r="E6" s="103"/>
      <c r="F6" s="273" t="s">
        <v>531</v>
      </c>
      <c r="G6" s="273"/>
      <c r="H6" s="185"/>
      <c r="I6" s="102" t="s">
        <v>787</v>
      </c>
      <c r="J6" s="190" t="s">
        <v>784</v>
      </c>
      <c r="K6" s="103"/>
      <c r="L6" s="4"/>
      <c r="M6" s="4"/>
    </row>
    <row r="7" spans="1:13" ht="56.25" customHeight="1" x14ac:dyDescent="0.2">
      <c r="A7" s="97" t="s">
        <v>83</v>
      </c>
      <c r="B7" s="185"/>
      <c r="C7" s="191" t="s">
        <v>785</v>
      </c>
      <c r="D7" s="102" t="s">
        <v>786</v>
      </c>
      <c r="E7" s="103"/>
      <c r="F7" s="273" t="s">
        <v>532</v>
      </c>
      <c r="G7" s="273"/>
      <c r="H7" s="21" t="s">
        <v>748</v>
      </c>
      <c r="I7" s="102" t="s">
        <v>783</v>
      </c>
      <c r="J7" s="190" t="s">
        <v>784</v>
      </c>
      <c r="K7" s="103"/>
      <c r="L7" s="4"/>
      <c r="M7" s="4"/>
    </row>
    <row r="8" spans="1:13" ht="55.5" customHeight="1" x14ac:dyDescent="0.2">
      <c r="A8" s="98" t="s">
        <v>81</v>
      </c>
      <c r="B8" s="270" t="s">
        <v>82</v>
      </c>
      <c r="C8" s="271"/>
      <c r="D8" s="272"/>
      <c r="E8" s="103"/>
      <c r="F8" s="273" t="s">
        <v>790</v>
      </c>
      <c r="G8" s="273"/>
      <c r="H8" s="185"/>
      <c r="I8" s="102" t="s">
        <v>787</v>
      </c>
      <c r="J8" s="190" t="s">
        <v>784</v>
      </c>
      <c r="K8" s="103"/>
      <c r="L8" s="4"/>
      <c r="M8" s="4"/>
    </row>
    <row r="9" spans="1:13" s="95" customFormat="1" ht="55.5" customHeight="1" x14ac:dyDescent="0.2">
      <c r="A9" s="105"/>
      <c r="E9" s="108"/>
      <c r="F9" s="261" t="s">
        <v>791</v>
      </c>
      <c r="G9" s="262"/>
      <c r="H9" s="185"/>
      <c r="I9" s="190" t="s">
        <v>785</v>
      </c>
      <c r="J9" s="190" t="s">
        <v>789</v>
      </c>
      <c r="K9" s="103"/>
      <c r="L9" s="64"/>
      <c r="M9" s="64"/>
    </row>
    <row r="10" spans="1:13" s="105" customFormat="1" ht="55.5" customHeight="1" x14ac:dyDescent="0.2">
      <c r="E10" s="109"/>
      <c r="F10" s="229" t="s">
        <v>81</v>
      </c>
      <c r="G10" s="229"/>
      <c r="H10" s="263" t="s">
        <v>82</v>
      </c>
      <c r="I10" s="263"/>
      <c r="J10" s="263"/>
      <c r="K10" s="103"/>
      <c r="L10" s="104"/>
      <c r="M10" s="104"/>
    </row>
    <row r="11" spans="1:13" s="105" customFormat="1" ht="21" customHeight="1" x14ac:dyDescent="0.2">
      <c r="B11" s="103"/>
      <c r="C11" s="103"/>
      <c r="D11" s="103"/>
      <c r="E11" s="103"/>
      <c r="F11" s="110"/>
      <c r="G11" s="111"/>
      <c r="H11" s="110"/>
      <c r="I11" s="111"/>
      <c r="J11" s="110"/>
      <c r="K11" s="104"/>
      <c r="L11" s="104"/>
    </row>
    <row r="12" spans="1:13" s="105" customFormat="1" ht="12" customHeight="1" x14ac:dyDescent="0.2">
      <c r="A12" s="103"/>
      <c r="B12" s="103"/>
      <c r="C12" s="103"/>
      <c r="D12" s="103"/>
      <c r="E12" s="103"/>
      <c r="F12" s="110"/>
      <c r="G12" s="110"/>
      <c r="H12" s="111"/>
      <c r="I12" s="111"/>
      <c r="J12" s="111"/>
      <c r="K12" s="104"/>
      <c r="L12" s="104"/>
    </row>
    <row r="13" spans="1:13" ht="66" customHeight="1" x14ac:dyDescent="0.2">
      <c r="A13" s="42" t="s">
        <v>730</v>
      </c>
      <c r="B13" s="42" t="s">
        <v>213</v>
      </c>
      <c r="C13" s="24" t="s">
        <v>93</v>
      </c>
      <c r="D13" s="92" t="str">
        <f>'Annex 1 LV and HV charges'!D13</f>
        <v>Unit charge 1 (NHH)
or red/black charge (HH)
p/kWh</v>
      </c>
      <c r="E13" s="92" t="str">
        <f>'Annex 1 LV and HV charges'!E13</f>
        <v>Unit charge 2 (NHH)
or amber/yellow charge (HH)
p/kWh</v>
      </c>
      <c r="F13" s="92" t="str">
        <f>'Annex 1 LV and HV charges'!F13</f>
        <v>Green charge(HH)
p/kWh</v>
      </c>
      <c r="G13" s="24" t="str">
        <f>'Annex 1 LV and HV charges'!G13</f>
        <v>Fixed charge p/MPAN/day</v>
      </c>
      <c r="H13" s="24" t="str">
        <f>'Annex 1 LV and HV charges'!H13</f>
        <v>Capacity charge p/kVA/day</v>
      </c>
      <c r="I13" s="24" t="str">
        <f>'Annex 1 LV and HV charges'!I13</f>
        <v>Exceeded capacity charge
p/kVA/day</v>
      </c>
      <c r="J13" s="24" t="str">
        <f>'Annex 1 LV and HV charges'!J13</f>
        <v>Reactive power charge
p/kVArh</v>
      </c>
      <c r="K13" s="2"/>
    </row>
    <row r="14" spans="1:13" ht="27" customHeight="1" x14ac:dyDescent="0.2">
      <c r="A14" s="25" t="s">
        <v>20</v>
      </c>
      <c r="B14" s="27"/>
      <c r="C14" s="56">
        <v>1</v>
      </c>
      <c r="D14" s="48">
        <v>1.4810000000000001</v>
      </c>
      <c r="E14" s="49"/>
      <c r="F14" s="49"/>
      <c r="G14" s="50">
        <v>3.08</v>
      </c>
      <c r="H14" s="180"/>
      <c r="I14" s="181"/>
      <c r="J14" s="49"/>
      <c r="K14" s="2"/>
    </row>
    <row r="15" spans="1:13" ht="27" customHeight="1" x14ac:dyDescent="0.2">
      <c r="A15" s="25" t="s">
        <v>21</v>
      </c>
      <c r="B15" s="27"/>
      <c r="C15" s="56">
        <v>2</v>
      </c>
      <c r="D15" s="48">
        <v>1.7490000000000001</v>
      </c>
      <c r="E15" s="48">
        <v>0.68500000000000005</v>
      </c>
      <c r="F15" s="49"/>
      <c r="G15" s="50">
        <v>3.08</v>
      </c>
      <c r="H15" s="180"/>
      <c r="I15" s="181"/>
      <c r="J15" s="49"/>
      <c r="K15" s="2"/>
    </row>
    <row r="16" spans="1:13" ht="27" customHeight="1" x14ac:dyDescent="0.2">
      <c r="A16" s="25" t="s">
        <v>22</v>
      </c>
      <c r="B16" s="27"/>
      <c r="C16" s="56">
        <v>2</v>
      </c>
      <c r="D16" s="48">
        <v>0.67200000000000004</v>
      </c>
      <c r="E16" s="49"/>
      <c r="F16" s="49"/>
      <c r="G16" s="180"/>
      <c r="H16" s="180"/>
      <c r="I16" s="181"/>
      <c r="J16" s="49"/>
      <c r="K16" s="2"/>
    </row>
    <row r="17" spans="1:11" ht="27" customHeight="1" x14ac:dyDescent="0.2">
      <c r="A17" s="25" t="s">
        <v>23</v>
      </c>
      <c r="B17" s="27"/>
      <c r="C17" s="56">
        <v>3</v>
      </c>
      <c r="D17" s="48">
        <v>1.4990000000000001</v>
      </c>
      <c r="E17" s="49"/>
      <c r="F17" s="49"/>
      <c r="G17" s="50">
        <v>3.94</v>
      </c>
      <c r="H17" s="180"/>
      <c r="I17" s="181"/>
      <c r="J17" s="49"/>
      <c r="K17" s="2"/>
    </row>
    <row r="18" spans="1:11" ht="27" customHeight="1" x14ac:dyDescent="0.2">
      <c r="A18" s="25" t="s">
        <v>24</v>
      </c>
      <c r="B18" s="27"/>
      <c r="C18" s="56">
        <v>4</v>
      </c>
      <c r="D18" s="48">
        <v>1.8089999999999999</v>
      </c>
      <c r="E18" s="48">
        <v>0.72599999999999998</v>
      </c>
      <c r="F18" s="49"/>
      <c r="G18" s="50">
        <v>3.94</v>
      </c>
      <c r="H18" s="180"/>
      <c r="I18" s="181"/>
      <c r="J18" s="49"/>
      <c r="K18" s="2"/>
    </row>
    <row r="19" spans="1:11" ht="27" customHeight="1" x14ac:dyDescent="0.2">
      <c r="A19" s="25" t="s">
        <v>25</v>
      </c>
      <c r="B19" s="27"/>
      <c r="C19" s="56">
        <v>4</v>
      </c>
      <c r="D19" s="48">
        <v>0.90200000000000002</v>
      </c>
      <c r="E19" s="49"/>
      <c r="F19" s="49"/>
      <c r="G19" s="180"/>
      <c r="H19" s="180"/>
      <c r="I19" s="181"/>
      <c r="J19" s="49"/>
      <c r="K19" s="2"/>
    </row>
    <row r="20" spans="1:11" ht="27" customHeight="1" x14ac:dyDescent="0.2">
      <c r="A20" s="25" t="s">
        <v>26</v>
      </c>
      <c r="B20" s="27"/>
      <c r="C20" s="56" t="s">
        <v>1064</v>
      </c>
      <c r="D20" s="48">
        <v>1.3580000000000001</v>
      </c>
      <c r="E20" s="48">
        <v>0.67700000000000005</v>
      </c>
      <c r="F20" s="49"/>
      <c r="G20" s="50">
        <v>18.399999999999999</v>
      </c>
      <c r="H20" s="180"/>
      <c r="I20" s="181"/>
      <c r="J20" s="49"/>
      <c r="K20" s="2"/>
    </row>
    <row r="21" spans="1:11" ht="27" customHeight="1" x14ac:dyDescent="0.2">
      <c r="A21" s="25" t="s">
        <v>605</v>
      </c>
      <c r="B21" s="27"/>
      <c r="C21" s="56">
        <v>0</v>
      </c>
      <c r="D21" s="178">
        <v>5.4589999999999996</v>
      </c>
      <c r="E21" s="53">
        <v>1.1379999999999999</v>
      </c>
      <c r="F21" s="59">
        <v>0.64700000000000002</v>
      </c>
      <c r="G21" s="50">
        <v>3.08</v>
      </c>
      <c r="H21" s="180"/>
      <c r="I21" s="181"/>
      <c r="J21" s="49"/>
      <c r="K21" s="2"/>
    </row>
    <row r="22" spans="1:11" ht="27" customHeight="1" x14ac:dyDescent="0.2">
      <c r="A22" s="25" t="s">
        <v>606</v>
      </c>
      <c r="B22" s="27"/>
      <c r="C22" s="56">
        <v>0</v>
      </c>
      <c r="D22" s="178">
        <v>5.7229999999999999</v>
      </c>
      <c r="E22" s="53">
        <v>1.1659999999999999</v>
      </c>
      <c r="F22" s="59">
        <v>0.65</v>
      </c>
      <c r="G22" s="50">
        <v>3.94</v>
      </c>
      <c r="H22" s="180"/>
      <c r="I22" s="181"/>
      <c r="J22" s="49"/>
      <c r="K22" s="2"/>
    </row>
    <row r="23" spans="1:11" ht="27" customHeight="1" x14ac:dyDescent="0.2">
      <c r="A23" s="25" t="s">
        <v>27</v>
      </c>
      <c r="B23" s="27"/>
      <c r="C23" s="56">
        <v>0</v>
      </c>
      <c r="D23" s="178">
        <v>4.319</v>
      </c>
      <c r="E23" s="53">
        <v>0.98599999999999999</v>
      </c>
      <c r="F23" s="59">
        <v>0.63400000000000001</v>
      </c>
      <c r="G23" s="50">
        <v>15.62</v>
      </c>
      <c r="H23" s="50">
        <v>1.5</v>
      </c>
      <c r="I23" s="182">
        <v>2.2000000000000002</v>
      </c>
      <c r="J23" s="48">
        <v>0.114</v>
      </c>
      <c r="K23" s="2"/>
    </row>
    <row r="24" spans="1:11" ht="27" customHeight="1" x14ac:dyDescent="0.2">
      <c r="A24" s="25" t="s">
        <v>205</v>
      </c>
      <c r="B24" s="27"/>
      <c r="C24" s="56">
        <v>8</v>
      </c>
      <c r="D24" s="48">
        <v>1.3160000000000001</v>
      </c>
      <c r="E24" s="49"/>
      <c r="F24" s="49"/>
      <c r="G24" s="180"/>
      <c r="H24" s="180"/>
      <c r="I24" s="181"/>
      <c r="J24" s="49"/>
      <c r="K24" s="2"/>
    </row>
    <row r="25" spans="1:11" ht="27" customHeight="1" x14ac:dyDescent="0.2">
      <c r="A25" s="25" t="s">
        <v>206</v>
      </c>
      <c r="B25" s="27"/>
      <c r="C25" s="56">
        <v>1</v>
      </c>
      <c r="D25" s="48">
        <v>1.4530000000000001</v>
      </c>
      <c r="E25" s="49"/>
      <c r="F25" s="49"/>
      <c r="G25" s="180"/>
      <c r="H25" s="180"/>
      <c r="I25" s="181"/>
      <c r="J25" s="49"/>
      <c r="K25" s="2"/>
    </row>
    <row r="26" spans="1:11" ht="27" customHeight="1" x14ac:dyDescent="0.2">
      <c r="A26" s="25" t="s">
        <v>207</v>
      </c>
      <c r="B26" s="27"/>
      <c r="C26" s="56">
        <v>1</v>
      </c>
      <c r="D26" s="48">
        <v>1.9359999999999999</v>
      </c>
      <c r="E26" s="49"/>
      <c r="F26" s="49"/>
      <c r="G26" s="180"/>
      <c r="H26" s="180"/>
      <c r="I26" s="181"/>
      <c r="J26" s="49"/>
      <c r="K26" s="2"/>
    </row>
    <row r="27" spans="1:11" ht="27" customHeight="1" x14ac:dyDescent="0.2">
      <c r="A27" s="25" t="s">
        <v>208</v>
      </c>
      <c r="B27" s="27"/>
      <c r="C27" s="56">
        <v>1</v>
      </c>
      <c r="D27" s="48">
        <v>1.2170000000000001</v>
      </c>
      <c r="E27" s="49"/>
      <c r="F27" s="49"/>
      <c r="G27" s="180"/>
      <c r="H27" s="180"/>
      <c r="I27" s="181"/>
      <c r="J27" s="49"/>
      <c r="K27" s="2"/>
    </row>
    <row r="28" spans="1:11" ht="27" customHeight="1" x14ac:dyDescent="0.2">
      <c r="A28" s="25" t="s">
        <v>28</v>
      </c>
      <c r="B28" s="27"/>
      <c r="C28" s="60">
        <v>0</v>
      </c>
      <c r="D28" s="179">
        <v>9.3409999999999993</v>
      </c>
      <c r="E28" s="54">
        <v>1.246</v>
      </c>
      <c r="F28" s="59">
        <v>0.92300000000000004</v>
      </c>
      <c r="G28" s="180"/>
      <c r="H28" s="180"/>
      <c r="I28" s="181"/>
      <c r="J28" s="49"/>
      <c r="K28" s="2"/>
    </row>
    <row r="29" spans="1:11" ht="27" customHeight="1" x14ac:dyDescent="0.2">
      <c r="A29" s="25" t="s">
        <v>607</v>
      </c>
      <c r="B29" s="27"/>
      <c r="C29" s="60" t="s">
        <v>1065</v>
      </c>
      <c r="D29" s="48">
        <v>-0.76200000000000001</v>
      </c>
      <c r="E29" s="49"/>
      <c r="F29" s="49"/>
      <c r="G29" s="50">
        <v>0</v>
      </c>
      <c r="H29" s="180"/>
      <c r="I29" s="181"/>
      <c r="J29" s="49"/>
      <c r="K29" s="2"/>
    </row>
    <row r="30" spans="1:11" ht="27" customHeight="1" x14ac:dyDescent="0.2">
      <c r="A30" s="25" t="s">
        <v>29</v>
      </c>
      <c r="B30" s="27"/>
      <c r="C30" s="60">
        <v>0</v>
      </c>
      <c r="D30" s="48">
        <v>-0.76200000000000001</v>
      </c>
      <c r="E30" s="49"/>
      <c r="F30" s="49"/>
      <c r="G30" s="50">
        <v>0</v>
      </c>
      <c r="H30" s="180"/>
      <c r="I30" s="181"/>
      <c r="J30" s="48">
        <v>0.17599999999999999</v>
      </c>
      <c r="K30" s="2"/>
    </row>
    <row r="31" spans="1:11" ht="27" customHeight="1" x14ac:dyDescent="0.2">
      <c r="A31" s="25" t="s">
        <v>30</v>
      </c>
      <c r="B31" s="27"/>
      <c r="C31" s="60">
        <v>0</v>
      </c>
      <c r="D31" s="199">
        <v>-5.617</v>
      </c>
      <c r="E31" s="55">
        <v>-0.61299999999999999</v>
      </c>
      <c r="F31" s="59">
        <v>-4.4999999999999998E-2</v>
      </c>
      <c r="G31" s="50">
        <v>0</v>
      </c>
      <c r="H31" s="180"/>
      <c r="I31" s="181"/>
      <c r="J31" s="48">
        <v>0.17599999999999999</v>
      </c>
      <c r="K31" s="2"/>
    </row>
    <row r="32" spans="1:11" ht="27" customHeight="1" x14ac:dyDescent="0.2">
      <c r="A32" s="25" t="s">
        <v>31</v>
      </c>
      <c r="B32" s="27"/>
      <c r="C32" s="60">
        <v>1</v>
      </c>
      <c r="D32" s="48">
        <v>0.83799999999999997</v>
      </c>
      <c r="E32" s="49"/>
      <c r="F32" s="49"/>
      <c r="G32" s="50">
        <v>1.74</v>
      </c>
      <c r="H32" s="180"/>
      <c r="I32" s="181"/>
      <c r="J32" s="49"/>
      <c r="K32" s="2"/>
    </row>
    <row r="33" spans="1:11" ht="27" customHeight="1" x14ac:dyDescent="0.2">
      <c r="A33" s="25" t="s">
        <v>32</v>
      </c>
      <c r="B33" s="27"/>
      <c r="C33" s="60">
        <v>2</v>
      </c>
      <c r="D33" s="48">
        <v>0.99</v>
      </c>
      <c r="E33" s="48">
        <v>0.38700000000000001</v>
      </c>
      <c r="F33" s="49"/>
      <c r="G33" s="50">
        <v>1.74</v>
      </c>
      <c r="H33" s="180"/>
      <c r="I33" s="181"/>
      <c r="J33" s="49"/>
      <c r="K33" s="2"/>
    </row>
    <row r="34" spans="1:11" ht="27" customHeight="1" x14ac:dyDescent="0.2">
      <c r="A34" s="25" t="s">
        <v>33</v>
      </c>
      <c r="B34" s="27"/>
      <c r="C34" s="60">
        <v>2</v>
      </c>
      <c r="D34" s="48">
        <v>0.38</v>
      </c>
      <c r="E34" s="49"/>
      <c r="F34" s="49"/>
      <c r="G34" s="180"/>
      <c r="H34" s="180"/>
      <c r="I34" s="181"/>
      <c r="J34" s="49"/>
      <c r="K34" s="2"/>
    </row>
    <row r="35" spans="1:11" ht="27" customHeight="1" x14ac:dyDescent="0.2">
      <c r="A35" s="25" t="s">
        <v>34</v>
      </c>
      <c r="B35" s="27"/>
      <c r="C35" s="60">
        <v>3</v>
      </c>
      <c r="D35" s="48">
        <v>0.84799999999999998</v>
      </c>
      <c r="E35" s="49"/>
      <c r="F35" s="49"/>
      <c r="G35" s="50">
        <v>2.23</v>
      </c>
      <c r="H35" s="180"/>
      <c r="I35" s="181"/>
      <c r="J35" s="49"/>
      <c r="K35" s="2"/>
    </row>
    <row r="36" spans="1:11" ht="27" customHeight="1" x14ac:dyDescent="0.2">
      <c r="A36" s="25" t="s">
        <v>35</v>
      </c>
      <c r="B36" s="27"/>
      <c r="C36" s="60">
        <v>4</v>
      </c>
      <c r="D36" s="48">
        <v>1.0229999999999999</v>
      </c>
      <c r="E36" s="48">
        <v>0.41099999999999998</v>
      </c>
      <c r="F36" s="49"/>
      <c r="G36" s="50">
        <v>2.23</v>
      </c>
      <c r="H36" s="180"/>
      <c r="I36" s="181"/>
      <c r="J36" s="49"/>
      <c r="K36" s="2"/>
    </row>
    <row r="37" spans="1:11" ht="27" customHeight="1" x14ac:dyDescent="0.2">
      <c r="A37" s="25" t="s">
        <v>36</v>
      </c>
      <c r="B37" s="27"/>
      <c r="C37" s="60">
        <v>4</v>
      </c>
      <c r="D37" s="48">
        <v>0.51</v>
      </c>
      <c r="E37" s="49"/>
      <c r="F37" s="49"/>
      <c r="G37" s="180"/>
      <c r="H37" s="180"/>
      <c r="I37" s="181"/>
      <c r="J37" s="49"/>
      <c r="K37" s="2"/>
    </row>
    <row r="38" spans="1:11" ht="27" customHeight="1" x14ac:dyDescent="0.2">
      <c r="A38" s="25" t="s">
        <v>37</v>
      </c>
      <c r="B38" s="27"/>
      <c r="C38" s="60" t="s">
        <v>1064</v>
      </c>
      <c r="D38" s="48">
        <v>0.76800000000000002</v>
      </c>
      <c r="E38" s="48">
        <v>0.38300000000000001</v>
      </c>
      <c r="F38" s="49"/>
      <c r="G38" s="50">
        <v>10.41</v>
      </c>
      <c r="H38" s="180"/>
      <c r="I38" s="181"/>
      <c r="J38" s="49"/>
      <c r="K38" s="2"/>
    </row>
    <row r="39" spans="1:11" ht="27" customHeight="1" x14ac:dyDescent="0.2">
      <c r="A39" s="25" t="s">
        <v>608</v>
      </c>
      <c r="B39" s="27"/>
      <c r="C39" s="60">
        <v>0</v>
      </c>
      <c r="D39" s="178">
        <v>3.089</v>
      </c>
      <c r="E39" s="53">
        <v>0.64400000000000002</v>
      </c>
      <c r="F39" s="59">
        <v>0.36599999999999999</v>
      </c>
      <c r="G39" s="50">
        <v>1.74</v>
      </c>
      <c r="H39" s="180"/>
      <c r="I39" s="181"/>
      <c r="J39" s="49"/>
      <c r="K39" s="2"/>
    </row>
    <row r="40" spans="1:11" ht="27" customHeight="1" x14ac:dyDescent="0.2">
      <c r="A40" s="25" t="s">
        <v>609</v>
      </c>
      <c r="B40" s="27"/>
      <c r="C40" s="60">
        <v>0</v>
      </c>
      <c r="D40" s="178">
        <v>3.238</v>
      </c>
      <c r="E40" s="53">
        <v>0.66</v>
      </c>
      <c r="F40" s="59">
        <v>0.36799999999999999</v>
      </c>
      <c r="G40" s="50">
        <v>2.23</v>
      </c>
      <c r="H40" s="180"/>
      <c r="I40" s="181"/>
      <c r="J40" s="49"/>
      <c r="K40" s="2"/>
    </row>
    <row r="41" spans="1:11" ht="27" customHeight="1" x14ac:dyDescent="0.2">
      <c r="A41" s="25" t="s">
        <v>38</v>
      </c>
      <c r="B41" s="27"/>
      <c r="C41" s="60">
        <v>0</v>
      </c>
      <c r="D41" s="178">
        <v>2.4430000000000001</v>
      </c>
      <c r="E41" s="53">
        <v>0.55800000000000005</v>
      </c>
      <c r="F41" s="59">
        <v>0.35899999999999999</v>
      </c>
      <c r="G41" s="50">
        <v>8.84</v>
      </c>
      <c r="H41" s="50">
        <v>0.85</v>
      </c>
      <c r="I41" s="182">
        <v>1.24</v>
      </c>
      <c r="J41" s="48">
        <v>6.5000000000000002E-2</v>
      </c>
      <c r="K41" s="2"/>
    </row>
    <row r="42" spans="1:11" ht="27" customHeight="1" x14ac:dyDescent="0.2">
      <c r="A42" s="25" t="s">
        <v>39</v>
      </c>
      <c r="B42" s="27"/>
      <c r="C42" s="60">
        <v>0</v>
      </c>
      <c r="D42" s="178">
        <v>2.903</v>
      </c>
      <c r="E42" s="53">
        <v>0.752</v>
      </c>
      <c r="F42" s="59">
        <v>0.57199999999999995</v>
      </c>
      <c r="G42" s="50">
        <v>5.0999999999999996</v>
      </c>
      <c r="H42" s="50">
        <v>2.5299999999999998</v>
      </c>
      <c r="I42" s="182">
        <v>2.88</v>
      </c>
      <c r="J42" s="48">
        <v>5.6000000000000001E-2</v>
      </c>
      <c r="K42" s="2"/>
    </row>
    <row r="43" spans="1:11" ht="27" customHeight="1" x14ac:dyDescent="0.2">
      <c r="A43" s="25" t="s">
        <v>40</v>
      </c>
      <c r="B43" s="27"/>
      <c r="C43" s="60">
        <v>0</v>
      </c>
      <c r="D43" s="178">
        <v>2.4980000000000002</v>
      </c>
      <c r="E43" s="53">
        <v>0.77600000000000002</v>
      </c>
      <c r="F43" s="59">
        <v>0.65100000000000002</v>
      </c>
      <c r="G43" s="50">
        <v>88.68</v>
      </c>
      <c r="H43" s="50">
        <v>3.2</v>
      </c>
      <c r="I43" s="182">
        <v>3.94</v>
      </c>
      <c r="J43" s="48">
        <v>3.6999999999999998E-2</v>
      </c>
      <c r="K43" s="2"/>
    </row>
    <row r="44" spans="1:11" ht="27" customHeight="1" x14ac:dyDescent="0.2">
      <c r="A44" s="25" t="s">
        <v>209</v>
      </c>
      <c r="B44" s="27"/>
      <c r="C44" s="60">
        <v>8</v>
      </c>
      <c r="D44" s="48">
        <v>0.745</v>
      </c>
      <c r="E44" s="49"/>
      <c r="F44" s="49"/>
      <c r="G44" s="180"/>
      <c r="H44" s="180"/>
      <c r="I44" s="181"/>
      <c r="J44" s="49"/>
      <c r="K44" s="2"/>
    </row>
    <row r="45" spans="1:11" ht="27" customHeight="1" x14ac:dyDescent="0.2">
      <c r="A45" s="25" t="s">
        <v>210</v>
      </c>
      <c r="B45" s="27"/>
      <c r="C45" s="60">
        <v>1</v>
      </c>
      <c r="D45" s="48">
        <v>0.82199999999999995</v>
      </c>
      <c r="E45" s="49"/>
      <c r="F45" s="49"/>
      <c r="G45" s="180"/>
      <c r="H45" s="180"/>
      <c r="I45" s="181"/>
      <c r="J45" s="49"/>
      <c r="K45" s="2"/>
    </row>
    <row r="46" spans="1:11" ht="27" customHeight="1" x14ac:dyDescent="0.2">
      <c r="A46" s="25" t="s">
        <v>211</v>
      </c>
      <c r="B46" s="27"/>
      <c r="C46" s="60">
        <v>1</v>
      </c>
      <c r="D46" s="48">
        <v>1.0960000000000001</v>
      </c>
      <c r="E46" s="49"/>
      <c r="F46" s="49"/>
      <c r="G46" s="180"/>
      <c r="H46" s="180"/>
      <c r="I46" s="181"/>
      <c r="J46" s="49"/>
      <c r="K46" s="2"/>
    </row>
    <row r="47" spans="1:11" ht="27" customHeight="1" x14ac:dyDescent="0.2">
      <c r="A47" s="25" t="s">
        <v>212</v>
      </c>
      <c r="B47" s="27"/>
      <c r="C47" s="60">
        <v>1</v>
      </c>
      <c r="D47" s="48">
        <v>0.68899999999999995</v>
      </c>
      <c r="E47" s="49"/>
      <c r="F47" s="49"/>
      <c r="G47" s="180"/>
      <c r="H47" s="180"/>
      <c r="I47" s="181"/>
      <c r="J47" s="49"/>
      <c r="K47" s="2"/>
    </row>
    <row r="48" spans="1:11" ht="27" customHeight="1" x14ac:dyDescent="0.2">
      <c r="A48" s="25" t="s">
        <v>41</v>
      </c>
      <c r="B48" s="27"/>
      <c r="C48" s="60">
        <v>0</v>
      </c>
      <c r="D48" s="179">
        <v>5.2850000000000001</v>
      </c>
      <c r="E48" s="54">
        <v>0.70499999999999996</v>
      </c>
      <c r="F48" s="59">
        <v>0.52200000000000002</v>
      </c>
      <c r="G48" s="180"/>
      <c r="H48" s="180"/>
      <c r="I48" s="181"/>
      <c r="J48" s="49"/>
      <c r="K48" s="2"/>
    </row>
    <row r="49" spans="1:11" ht="27" customHeight="1" x14ac:dyDescent="0.2">
      <c r="A49" s="25" t="s">
        <v>610</v>
      </c>
      <c r="B49" s="27"/>
      <c r="C49" s="60" t="s">
        <v>1065</v>
      </c>
      <c r="D49" s="48">
        <v>-0.76200000000000001</v>
      </c>
      <c r="E49" s="49"/>
      <c r="F49" s="49"/>
      <c r="G49" s="50">
        <v>0</v>
      </c>
      <c r="H49" s="180"/>
      <c r="I49" s="181"/>
      <c r="J49" s="49"/>
      <c r="K49" s="2"/>
    </row>
    <row r="50" spans="1:11" ht="27" customHeight="1" x14ac:dyDescent="0.2">
      <c r="A50" s="25" t="s">
        <v>42</v>
      </c>
      <c r="B50" s="27"/>
      <c r="C50" s="60">
        <v>8</v>
      </c>
      <c r="D50" s="48">
        <v>-0.67300000000000004</v>
      </c>
      <c r="E50" s="49"/>
      <c r="F50" s="49"/>
      <c r="G50" s="50">
        <v>0</v>
      </c>
      <c r="H50" s="180"/>
      <c r="I50" s="181"/>
      <c r="J50" s="49"/>
      <c r="K50" s="2"/>
    </row>
    <row r="51" spans="1:11" ht="27" customHeight="1" x14ac:dyDescent="0.2">
      <c r="A51" s="25" t="s">
        <v>43</v>
      </c>
      <c r="B51" s="27"/>
      <c r="C51" s="60">
        <v>0</v>
      </c>
      <c r="D51" s="48">
        <v>-0.76200000000000001</v>
      </c>
      <c r="E51" s="49"/>
      <c r="F51" s="49"/>
      <c r="G51" s="50">
        <v>0</v>
      </c>
      <c r="H51" s="180"/>
      <c r="I51" s="181"/>
      <c r="J51" s="48">
        <v>0.17599999999999999</v>
      </c>
      <c r="K51" s="2"/>
    </row>
    <row r="52" spans="1:11" ht="27" customHeight="1" x14ac:dyDescent="0.2">
      <c r="A52" s="25" t="s">
        <v>44</v>
      </c>
      <c r="B52" s="27"/>
      <c r="C52" s="60">
        <v>0</v>
      </c>
      <c r="D52" s="199">
        <v>-5.617</v>
      </c>
      <c r="E52" s="55">
        <v>-0.61299999999999999</v>
      </c>
      <c r="F52" s="59">
        <v>-4.4999999999999998E-2</v>
      </c>
      <c r="G52" s="50">
        <v>0</v>
      </c>
      <c r="H52" s="180"/>
      <c r="I52" s="181"/>
      <c r="J52" s="48">
        <v>0.17599999999999999</v>
      </c>
      <c r="K52" s="2"/>
    </row>
    <row r="53" spans="1:11" ht="39.75" customHeight="1" x14ac:dyDescent="0.2">
      <c r="A53" s="25" t="s">
        <v>45</v>
      </c>
      <c r="B53" s="27"/>
      <c r="C53" s="60">
        <v>0</v>
      </c>
      <c r="D53" s="48">
        <v>-0.67300000000000004</v>
      </c>
      <c r="E53" s="49"/>
      <c r="F53" s="49"/>
      <c r="G53" s="50">
        <v>0</v>
      </c>
      <c r="H53" s="180"/>
      <c r="I53" s="181"/>
      <c r="J53" s="48">
        <v>0.155</v>
      </c>
      <c r="K53" s="2"/>
    </row>
    <row r="54" spans="1:11" ht="27" customHeight="1" x14ac:dyDescent="0.2">
      <c r="A54" s="25" t="s">
        <v>46</v>
      </c>
      <c r="B54" s="27"/>
      <c r="C54" s="60">
        <v>0</v>
      </c>
      <c r="D54" s="199">
        <v>-5.0250000000000004</v>
      </c>
      <c r="E54" s="53">
        <v>-0.52900000000000003</v>
      </c>
      <c r="F54" s="59">
        <v>-3.7999999999999999E-2</v>
      </c>
      <c r="G54" s="50">
        <v>0</v>
      </c>
      <c r="H54" s="180"/>
      <c r="I54" s="181"/>
      <c r="J54" s="48">
        <v>0.155</v>
      </c>
      <c r="K54" s="2"/>
    </row>
    <row r="55" spans="1:11" ht="27" customHeight="1" x14ac:dyDescent="0.2">
      <c r="A55" s="25" t="s">
        <v>47</v>
      </c>
      <c r="B55" s="27"/>
      <c r="C55" s="60">
        <v>0</v>
      </c>
      <c r="D55" s="48">
        <v>-0.40699999999999997</v>
      </c>
      <c r="E55" s="49"/>
      <c r="F55" s="49"/>
      <c r="G55" s="50">
        <v>0</v>
      </c>
      <c r="H55" s="180"/>
      <c r="I55" s="181"/>
      <c r="J55" s="48">
        <v>0.124</v>
      </c>
      <c r="K55" s="2"/>
    </row>
    <row r="56" spans="1:11" ht="27" customHeight="1" x14ac:dyDescent="0.2">
      <c r="A56" s="25" t="s">
        <v>48</v>
      </c>
      <c r="B56" s="27"/>
      <c r="C56" s="60">
        <v>0</v>
      </c>
      <c r="D56" s="199">
        <v>-3.3330000000000002</v>
      </c>
      <c r="E56" s="53">
        <v>-0.26600000000000001</v>
      </c>
      <c r="F56" s="59">
        <v>-1.2999999999999999E-2</v>
      </c>
      <c r="G56" s="50">
        <v>0</v>
      </c>
      <c r="H56" s="180"/>
      <c r="I56" s="181"/>
      <c r="J56" s="48">
        <v>0.124</v>
      </c>
      <c r="K56" s="2"/>
    </row>
    <row r="57" spans="1:11" ht="27" customHeight="1" x14ac:dyDescent="0.2">
      <c r="A57" s="25" t="s">
        <v>98</v>
      </c>
      <c r="B57" s="27"/>
      <c r="C57" s="60"/>
      <c r="D57" s="48">
        <v>0.57499999999999996</v>
      </c>
      <c r="E57" s="48">
        <v>0</v>
      </c>
      <c r="F57" s="49"/>
      <c r="G57" s="50">
        <v>1.19</v>
      </c>
      <c r="H57" s="180"/>
      <c r="I57" s="181"/>
      <c r="J57" s="49"/>
      <c r="K57" s="2"/>
    </row>
    <row r="58" spans="1:11" ht="27" customHeight="1" x14ac:dyDescent="0.2">
      <c r="A58" s="25" t="s">
        <v>99</v>
      </c>
      <c r="B58" s="27"/>
      <c r="C58" s="60"/>
      <c r="D58" s="48">
        <v>0.67900000000000005</v>
      </c>
      <c r="E58" s="48">
        <v>0.26600000000000001</v>
      </c>
      <c r="F58" s="49"/>
      <c r="G58" s="50">
        <v>1.19</v>
      </c>
      <c r="H58" s="180"/>
      <c r="I58" s="181"/>
      <c r="J58" s="49"/>
      <c r="K58" s="2"/>
    </row>
    <row r="59" spans="1:11" ht="27" customHeight="1" x14ac:dyDescent="0.2">
      <c r="A59" s="25" t="s">
        <v>100</v>
      </c>
      <c r="B59" s="27"/>
      <c r="C59" s="60"/>
      <c r="D59" s="48">
        <v>0.26100000000000001</v>
      </c>
      <c r="E59" s="49"/>
      <c r="F59" s="49"/>
      <c r="G59" s="180"/>
      <c r="H59" s="180"/>
      <c r="I59" s="181"/>
      <c r="J59" s="49"/>
      <c r="K59" s="2"/>
    </row>
    <row r="60" spans="1:11" ht="27" customHeight="1" x14ac:dyDescent="0.2">
      <c r="A60" s="25" t="s">
        <v>101</v>
      </c>
      <c r="B60" s="27"/>
      <c r="C60" s="60"/>
      <c r="D60" s="48">
        <v>0.58199999999999996</v>
      </c>
      <c r="E60" s="49"/>
      <c r="F60" s="49"/>
      <c r="G60" s="50">
        <v>1.53</v>
      </c>
      <c r="H60" s="180"/>
      <c r="I60" s="181"/>
      <c r="J60" s="49"/>
      <c r="K60" s="2"/>
    </row>
    <row r="61" spans="1:11" ht="27" customHeight="1" x14ac:dyDescent="0.2">
      <c r="A61" s="25" t="s">
        <v>102</v>
      </c>
      <c r="B61" s="27"/>
      <c r="C61" s="60"/>
      <c r="D61" s="48">
        <v>0.70199999999999996</v>
      </c>
      <c r="E61" s="48">
        <v>0.28199999999999997</v>
      </c>
      <c r="F61" s="49"/>
      <c r="G61" s="50">
        <v>1.53</v>
      </c>
      <c r="H61" s="180"/>
      <c r="I61" s="181"/>
      <c r="J61" s="49"/>
      <c r="K61" s="2"/>
    </row>
    <row r="62" spans="1:11" ht="27" customHeight="1" x14ac:dyDescent="0.2">
      <c r="A62" s="25" t="s">
        <v>103</v>
      </c>
      <c r="B62" s="27"/>
      <c r="C62" s="60"/>
      <c r="D62" s="48">
        <v>0.35</v>
      </c>
      <c r="E62" s="49"/>
      <c r="F62" s="49"/>
      <c r="G62" s="180"/>
      <c r="H62" s="180"/>
      <c r="I62" s="181"/>
      <c r="J62" s="49"/>
      <c r="K62" s="2"/>
    </row>
    <row r="63" spans="1:11" ht="27" customHeight="1" x14ac:dyDescent="0.2">
      <c r="A63" s="25" t="s">
        <v>104</v>
      </c>
      <c r="B63" s="27"/>
      <c r="C63" s="60"/>
      <c r="D63" s="48">
        <v>0.52700000000000002</v>
      </c>
      <c r="E63" s="48">
        <v>0.26300000000000001</v>
      </c>
      <c r="F63" s="49"/>
      <c r="G63" s="50">
        <v>7.14</v>
      </c>
      <c r="H63" s="180"/>
      <c r="I63" s="181"/>
      <c r="J63" s="49"/>
      <c r="K63" s="2"/>
    </row>
    <row r="64" spans="1:11" ht="27" customHeight="1" x14ac:dyDescent="0.2">
      <c r="A64" s="25" t="s">
        <v>105</v>
      </c>
      <c r="B64" s="27"/>
      <c r="C64" s="60"/>
      <c r="D64" s="48">
        <v>0.69199999999999995</v>
      </c>
      <c r="E64" s="48">
        <v>0.40300000000000002</v>
      </c>
      <c r="F64" s="49"/>
      <c r="G64" s="50">
        <v>0</v>
      </c>
      <c r="H64" s="180"/>
      <c r="I64" s="181"/>
      <c r="J64" s="49"/>
      <c r="K64" s="2"/>
    </row>
    <row r="65" spans="1:11" ht="27" customHeight="1" x14ac:dyDescent="0.2">
      <c r="A65" s="25" t="s">
        <v>106</v>
      </c>
      <c r="B65" s="27"/>
      <c r="C65" s="60"/>
      <c r="D65" s="48">
        <v>0.63</v>
      </c>
      <c r="E65" s="48">
        <v>0.437</v>
      </c>
      <c r="F65" s="49"/>
      <c r="G65" s="50">
        <v>137.13</v>
      </c>
      <c r="H65" s="180"/>
      <c r="I65" s="181"/>
      <c r="J65" s="49"/>
      <c r="K65" s="2"/>
    </row>
    <row r="66" spans="1:11" ht="27" customHeight="1" x14ac:dyDescent="0.2">
      <c r="A66" s="25" t="s">
        <v>611</v>
      </c>
      <c r="B66" s="27"/>
      <c r="C66" s="60"/>
      <c r="D66" s="178">
        <v>2.1179999999999999</v>
      </c>
      <c r="E66" s="53">
        <v>0.441</v>
      </c>
      <c r="F66" s="59">
        <v>0.251</v>
      </c>
      <c r="G66" s="50">
        <v>1.19</v>
      </c>
      <c r="H66" s="180"/>
      <c r="I66" s="181"/>
      <c r="J66" s="49"/>
      <c r="K66" s="2"/>
    </row>
    <row r="67" spans="1:11" ht="27" customHeight="1" x14ac:dyDescent="0.2">
      <c r="A67" s="25" t="s">
        <v>612</v>
      </c>
      <c r="B67" s="27"/>
      <c r="C67" s="60"/>
      <c r="D67" s="178">
        <v>2.2200000000000002</v>
      </c>
      <c r="E67" s="53">
        <v>0.45300000000000001</v>
      </c>
      <c r="F67" s="59">
        <v>0.252</v>
      </c>
      <c r="G67" s="50">
        <v>1.53</v>
      </c>
      <c r="H67" s="180"/>
      <c r="I67" s="181"/>
      <c r="J67" s="49"/>
      <c r="K67" s="2"/>
    </row>
    <row r="68" spans="1:11" ht="27" customHeight="1" x14ac:dyDescent="0.2">
      <c r="A68" s="25" t="s">
        <v>107</v>
      </c>
      <c r="B68" s="27"/>
      <c r="C68" s="60"/>
      <c r="D68" s="178">
        <v>1.675</v>
      </c>
      <c r="E68" s="53">
        <v>0.38200000000000001</v>
      </c>
      <c r="F68" s="59">
        <v>0.246</v>
      </c>
      <c r="G68" s="50">
        <v>6.06</v>
      </c>
      <c r="H68" s="50">
        <v>0.57999999999999996</v>
      </c>
      <c r="I68" s="182">
        <v>0.85</v>
      </c>
      <c r="J68" s="48">
        <v>4.3999999999999997E-2</v>
      </c>
      <c r="K68" s="2"/>
    </row>
    <row r="69" spans="1:11" ht="27" customHeight="1" x14ac:dyDescent="0.2">
      <c r="A69" s="25" t="s">
        <v>108</v>
      </c>
      <c r="B69" s="27"/>
      <c r="C69" s="60"/>
      <c r="D69" s="178">
        <v>1.9359999999999999</v>
      </c>
      <c r="E69" s="53">
        <v>0.501</v>
      </c>
      <c r="F69" s="59">
        <v>0.38200000000000001</v>
      </c>
      <c r="G69" s="50">
        <v>3.4</v>
      </c>
      <c r="H69" s="50">
        <v>1.69</v>
      </c>
      <c r="I69" s="182">
        <v>1.92</v>
      </c>
      <c r="J69" s="48">
        <v>3.6999999999999998E-2</v>
      </c>
      <c r="K69" s="2"/>
    </row>
    <row r="70" spans="1:11" ht="27" customHeight="1" x14ac:dyDescent="0.2">
      <c r="A70" s="25" t="s">
        <v>109</v>
      </c>
      <c r="B70" s="27"/>
      <c r="C70" s="60"/>
      <c r="D70" s="178">
        <v>1.65</v>
      </c>
      <c r="E70" s="53">
        <v>0.51200000000000001</v>
      </c>
      <c r="F70" s="59">
        <v>0.43</v>
      </c>
      <c r="G70" s="50">
        <v>58.57</v>
      </c>
      <c r="H70" s="50">
        <v>2.12</v>
      </c>
      <c r="I70" s="182">
        <v>2.6</v>
      </c>
      <c r="J70" s="48">
        <v>2.5000000000000001E-2</v>
      </c>
      <c r="K70" s="2"/>
    </row>
    <row r="71" spans="1:11" ht="27" customHeight="1" x14ac:dyDescent="0.2">
      <c r="A71" s="25" t="s">
        <v>214</v>
      </c>
      <c r="B71" s="27"/>
      <c r="C71" s="60"/>
      <c r="D71" s="48">
        <v>0.51100000000000001</v>
      </c>
      <c r="E71" s="49"/>
      <c r="F71" s="49"/>
      <c r="G71" s="180"/>
      <c r="H71" s="180"/>
      <c r="I71" s="183"/>
      <c r="J71" s="49"/>
      <c r="K71" s="2"/>
    </row>
    <row r="72" spans="1:11" ht="27" customHeight="1" x14ac:dyDescent="0.2">
      <c r="A72" s="25" t="s">
        <v>215</v>
      </c>
      <c r="B72" s="27"/>
      <c r="C72" s="60"/>
      <c r="D72" s="48">
        <v>0.56399999999999995</v>
      </c>
      <c r="E72" s="49"/>
      <c r="F72" s="49"/>
      <c r="G72" s="180"/>
      <c r="H72" s="180"/>
      <c r="I72" s="183"/>
      <c r="J72" s="49"/>
      <c r="K72" s="2"/>
    </row>
    <row r="73" spans="1:11" ht="27" customHeight="1" x14ac:dyDescent="0.2">
      <c r="A73" s="25" t="s">
        <v>216</v>
      </c>
      <c r="B73" s="27"/>
      <c r="C73" s="60"/>
      <c r="D73" s="48">
        <v>0.751</v>
      </c>
      <c r="E73" s="49"/>
      <c r="F73" s="49"/>
      <c r="G73" s="180"/>
      <c r="H73" s="180"/>
      <c r="I73" s="183"/>
      <c r="J73" s="49"/>
      <c r="K73" s="2"/>
    </row>
    <row r="74" spans="1:11" ht="27" customHeight="1" x14ac:dyDescent="0.2">
      <c r="A74" s="25" t="s">
        <v>217</v>
      </c>
      <c r="B74" s="27"/>
      <c r="C74" s="60"/>
      <c r="D74" s="48">
        <v>0.47199999999999998</v>
      </c>
      <c r="E74" s="49"/>
      <c r="F74" s="49"/>
      <c r="G74" s="180"/>
      <c r="H74" s="180"/>
      <c r="I74" s="183"/>
      <c r="J74" s="49"/>
      <c r="K74" s="2"/>
    </row>
    <row r="75" spans="1:11" ht="27" customHeight="1" x14ac:dyDescent="0.2">
      <c r="A75" s="25" t="s">
        <v>110</v>
      </c>
      <c r="B75" s="27"/>
      <c r="C75" s="60"/>
      <c r="D75" s="179">
        <v>3.6240000000000001</v>
      </c>
      <c r="E75" s="54">
        <v>0.48299999999999998</v>
      </c>
      <c r="F75" s="59">
        <v>0.35799999999999998</v>
      </c>
      <c r="G75" s="180"/>
      <c r="H75" s="180"/>
      <c r="I75" s="181"/>
      <c r="J75" s="49"/>
      <c r="K75" s="2"/>
    </row>
    <row r="76" spans="1:11" ht="27" customHeight="1" x14ac:dyDescent="0.2">
      <c r="A76" s="25" t="s">
        <v>613</v>
      </c>
      <c r="B76" s="27"/>
      <c r="C76" s="60"/>
      <c r="D76" s="48">
        <v>-0.28799999999999998</v>
      </c>
      <c r="E76" s="49"/>
      <c r="F76" s="49"/>
      <c r="G76" s="50">
        <v>0</v>
      </c>
      <c r="H76" s="180"/>
      <c r="I76" s="181"/>
      <c r="J76" s="49"/>
      <c r="K76" s="2"/>
    </row>
    <row r="77" spans="1:11" ht="27" customHeight="1" x14ac:dyDescent="0.2">
      <c r="A77" s="25" t="s">
        <v>111</v>
      </c>
      <c r="B77" s="27"/>
      <c r="C77" s="60"/>
      <c r="D77" s="48">
        <v>-0.28999999999999998</v>
      </c>
      <c r="E77" s="49"/>
      <c r="F77" s="49"/>
      <c r="G77" s="50">
        <v>0</v>
      </c>
      <c r="H77" s="180"/>
      <c r="I77" s="181"/>
      <c r="J77" s="49"/>
      <c r="K77" s="2"/>
    </row>
    <row r="78" spans="1:11" ht="27" customHeight="1" x14ac:dyDescent="0.2">
      <c r="A78" s="25" t="s">
        <v>112</v>
      </c>
      <c r="B78" s="27"/>
      <c r="C78" s="60"/>
      <c r="D78" s="48">
        <v>-0.28799999999999998</v>
      </c>
      <c r="E78" s="49"/>
      <c r="F78" s="49"/>
      <c r="G78" s="50">
        <v>0</v>
      </c>
      <c r="H78" s="180"/>
      <c r="I78" s="181"/>
      <c r="J78" s="48">
        <v>6.7000000000000004E-2</v>
      </c>
      <c r="K78" s="2"/>
    </row>
    <row r="79" spans="1:11" ht="27" customHeight="1" x14ac:dyDescent="0.2">
      <c r="A79" s="25" t="s">
        <v>113</v>
      </c>
      <c r="B79" s="27"/>
      <c r="C79" s="60"/>
      <c r="D79" s="199">
        <v>-2.125</v>
      </c>
      <c r="E79" s="53">
        <v>-0.23200000000000001</v>
      </c>
      <c r="F79" s="59">
        <v>-1.7000000000000001E-2</v>
      </c>
      <c r="G79" s="50">
        <v>0</v>
      </c>
      <c r="H79" s="180"/>
      <c r="I79" s="181"/>
      <c r="J79" s="48">
        <v>6.7000000000000004E-2</v>
      </c>
      <c r="K79" s="2"/>
    </row>
    <row r="80" spans="1:11" ht="27" customHeight="1" x14ac:dyDescent="0.2">
      <c r="A80" s="25" t="s">
        <v>114</v>
      </c>
      <c r="B80" s="27"/>
      <c r="C80" s="60"/>
      <c r="D80" s="48">
        <v>-0.28999999999999998</v>
      </c>
      <c r="E80" s="49"/>
      <c r="F80" s="49"/>
      <c r="G80" s="50">
        <v>0</v>
      </c>
      <c r="H80" s="180"/>
      <c r="I80" s="181"/>
      <c r="J80" s="48">
        <v>6.7000000000000004E-2</v>
      </c>
      <c r="K80" s="2"/>
    </row>
    <row r="81" spans="1:11" ht="27" customHeight="1" x14ac:dyDescent="0.2">
      <c r="A81" s="25" t="s">
        <v>115</v>
      </c>
      <c r="B81" s="27"/>
      <c r="C81" s="60"/>
      <c r="D81" s="199">
        <v>-2.1619999999999999</v>
      </c>
      <c r="E81" s="53">
        <v>-0.22800000000000001</v>
      </c>
      <c r="F81" s="59">
        <v>-1.6E-2</v>
      </c>
      <c r="G81" s="50">
        <v>0</v>
      </c>
      <c r="H81" s="180"/>
      <c r="I81" s="181"/>
      <c r="J81" s="48">
        <v>6.7000000000000004E-2</v>
      </c>
      <c r="K81" s="2"/>
    </row>
    <row r="82" spans="1:11" ht="27" customHeight="1" x14ac:dyDescent="0.2">
      <c r="A82" s="25" t="s">
        <v>116</v>
      </c>
      <c r="B82" s="27"/>
      <c r="C82" s="60"/>
      <c r="D82" s="48">
        <v>-0.40699999999999997</v>
      </c>
      <c r="E82" s="49"/>
      <c r="F82" s="49"/>
      <c r="G82" s="50">
        <v>99.41</v>
      </c>
      <c r="H82" s="180"/>
      <c r="I82" s="181"/>
      <c r="J82" s="48">
        <v>0.124</v>
      </c>
      <c r="K82" s="2"/>
    </row>
    <row r="83" spans="1:11" ht="27" customHeight="1" x14ac:dyDescent="0.2">
      <c r="A83" s="25" t="s">
        <v>117</v>
      </c>
      <c r="B83" s="27"/>
      <c r="C83" s="60"/>
      <c r="D83" s="199">
        <v>-3.3330000000000002</v>
      </c>
      <c r="E83" s="53">
        <v>-0.26600000000000001</v>
      </c>
      <c r="F83" s="59">
        <v>-1.2999999999999999E-2</v>
      </c>
      <c r="G83" s="50">
        <v>99.41</v>
      </c>
      <c r="H83" s="180"/>
      <c r="I83" s="181"/>
      <c r="J83" s="48">
        <v>0.124</v>
      </c>
      <c r="K83" s="2"/>
    </row>
    <row r="84" spans="1:11" ht="27" customHeight="1" x14ac:dyDescent="0.2">
      <c r="A84" s="25" t="s">
        <v>62</v>
      </c>
      <c r="B84" s="27"/>
      <c r="C84" s="60"/>
      <c r="D84" s="48">
        <v>0.28000000000000003</v>
      </c>
      <c r="E84" s="49"/>
      <c r="F84" s="49"/>
      <c r="G84" s="50">
        <v>0.57999999999999996</v>
      </c>
      <c r="H84" s="180"/>
      <c r="I84" s="181"/>
      <c r="J84" s="49"/>
      <c r="K84" s="2"/>
    </row>
    <row r="85" spans="1:11" ht="27" customHeight="1" x14ac:dyDescent="0.2">
      <c r="A85" s="25" t="s">
        <v>63</v>
      </c>
      <c r="B85" s="27"/>
      <c r="C85" s="60"/>
      <c r="D85" s="48">
        <v>0.33100000000000002</v>
      </c>
      <c r="E85" s="48">
        <v>0.129</v>
      </c>
      <c r="F85" s="49"/>
      <c r="G85" s="50">
        <v>0.57999999999999996</v>
      </c>
      <c r="H85" s="180"/>
      <c r="I85" s="181"/>
      <c r="J85" s="49"/>
      <c r="K85" s="2"/>
    </row>
    <row r="86" spans="1:11" ht="27" customHeight="1" x14ac:dyDescent="0.2">
      <c r="A86" s="25" t="s">
        <v>64</v>
      </c>
      <c r="B86" s="27"/>
      <c r="C86" s="60"/>
      <c r="D86" s="48">
        <v>0.127</v>
      </c>
      <c r="E86" s="49"/>
      <c r="F86" s="49"/>
      <c r="G86" s="180"/>
      <c r="H86" s="180"/>
      <c r="I86" s="181"/>
      <c r="J86" s="49"/>
      <c r="K86" s="2"/>
    </row>
    <row r="87" spans="1:11" ht="27" customHeight="1" x14ac:dyDescent="0.2">
      <c r="A87" s="25" t="s">
        <v>65</v>
      </c>
      <c r="B87" s="27"/>
      <c r="C87" s="60"/>
      <c r="D87" s="48">
        <v>0.28299999999999997</v>
      </c>
      <c r="E87" s="49"/>
      <c r="F87" s="49"/>
      <c r="G87" s="50">
        <v>0.74</v>
      </c>
      <c r="H87" s="180"/>
      <c r="I87" s="181"/>
      <c r="J87" s="49"/>
      <c r="K87" s="2"/>
    </row>
    <row r="88" spans="1:11" ht="27" customHeight="1" x14ac:dyDescent="0.2">
      <c r="A88" s="25" t="s">
        <v>66</v>
      </c>
      <c r="B88" s="27"/>
      <c r="C88" s="60"/>
      <c r="D88" s="48">
        <v>0.34200000000000003</v>
      </c>
      <c r="E88" s="48">
        <v>0.13700000000000001</v>
      </c>
      <c r="F88" s="49"/>
      <c r="G88" s="50">
        <v>0.74</v>
      </c>
      <c r="H88" s="180"/>
      <c r="I88" s="181"/>
      <c r="J88" s="49"/>
      <c r="K88" s="2"/>
    </row>
    <row r="89" spans="1:11" ht="27" customHeight="1" x14ac:dyDescent="0.2">
      <c r="A89" s="25" t="s">
        <v>67</v>
      </c>
      <c r="B89" s="27"/>
      <c r="C89" s="60"/>
      <c r="D89" s="48">
        <v>0.17100000000000001</v>
      </c>
      <c r="E89" s="49"/>
      <c r="F89" s="49"/>
      <c r="G89" s="180"/>
      <c r="H89" s="180"/>
      <c r="I89" s="181"/>
      <c r="J89" s="49"/>
      <c r="K89" s="2"/>
    </row>
    <row r="90" spans="1:11" ht="27" customHeight="1" x14ac:dyDescent="0.2">
      <c r="A90" s="25" t="s">
        <v>68</v>
      </c>
      <c r="B90" s="27"/>
      <c r="C90" s="60"/>
      <c r="D90" s="48">
        <v>0.25700000000000001</v>
      </c>
      <c r="E90" s="48">
        <v>0.128</v>
      </c>
      <c r="F90" s="49"/>
      <c r="G90" s="50">
        <v>3.48</v>
      </c>
      <c r="H90" s="180"/>
      <c r="I90" s="181"/>
      <c r="J90" s="49"/>
      <c r="K90" s="2"/>
    </row>
    <row r="91" spans="1:11" ht="27" customHeight="1" x14ac:dyDescent="0.2">
      <c r="A91" s="25" t="s">
        <v>118</v>
      </c>
      <c r="B91" s="27"/>
      <c r="C91" s="60"/>
      <c r="D91" s="48">
        <v>0.33700000000000002</v>
      </c>
      <c r="E91" s="48">
        <v>0.19600000000000001</v>
      </c>
      <c r="F91" s="49"/>
      <c r="G91" s="50">
        <v>0</v>
      </c>
      <c r="H91" s="180"/>
      <c r="I91" s="181"/>
      <c r="J91" s="49"/>
      <c r="K91" s="2"/>
    </row>
    <row r="92" spans="1:11" ht="27" customHeight="1" x14ac:dyDescent="0.2">
      <c r="A92" s="25" t="s">
        <v>119</v>
      </c>
      <c r="B92" s="27"/>
      <c r="C92" s="60"/>
      <c r="D92" s="48">
        <v>0.307</v>
      </c>
      <c r="E92" s="48">
        <v>0.21299999999999999</v>
      </c>
      <c r="F92" s="49"/>
      <c r="G92" s="50">
        <v>66.81</v>
      </c>
      <c r="H92" s="180"/>
      <c r="I92" s="181"/>
      <c r="J92" s="49"/>
      <c r="K92" s="2"/>
    </row>
    <row r="93" spans="1:11" ht="27" customHeight="1" x14ac:dyDescent="0.2">
      <c r="A93" s="25" t="s">
        <v>614</v>
      </c>
      <c r="B93" s="27"/>
      <c r="C93" s="60"/>
      <c r="D93" s="178">
        <v>1.032</v>
      </c>
      <c r="E93" s="53">
        <v>0.215</v>
      </c>
      <c r="F93" s="59">
        <v>0.122</v>
      </c>
      <c r="G93" s="50">
        <v>0.57999999999999996</v>
      </c>
      <c r="H93" s="180"/>
      <c r="I93" s="181"/>
      <c r="J93" s="49"/>
      <c r="K93" s="2"/>
    </row>
    <row r="94" spans="1:11" ht="27" customHeight="1" x14ac:dyDescent="0.2">
      <c r="A94" s="25" t="s">
        <v>615</v>
      </c>
      <c r="B94" s="27"/>
      <c r="C94" s="60"/>
      <c r="D94" s="178">
        <v>1.0820000000000001</v>
      </c>
      <c r="E94" s="53">
        <v>0.22</v>
      </c>
      <c r="F94" s="59">
        <v>0.123</v>
      </c>
      <c r="G94" s="50">
        <v>0.74</v>
      </c>
      <c r="H94" s="180"/>
      <c r="I94" s="181"/>
      <c r="J94" s="49"/>
      <c r="K94" s="2"/>
    </row>
    <row r="95" spans="1:11" ht="27" customHeight="1" x14ac:dyDescent="0.2">
      <c r="A95" s="25" t="s">
        <v>69</v>
      </c>
      <c r="B95" s="27"/>
      <c r="C95" s="60"/>
      <c r="D95" s="178">
        <v>0.81599999999999995</v>
      </c>
      <c r="E95" s="53">
        <v>0.186</v>
      </c>
      <c r="F95" s="59">
        <v>0.12</v>
      </c>
      <c r="G95" s="50">
        <v>2.95</v>
      </c>
      <c r="H95" s="50">
        <v>0.28000000000000003</v>
      </c>
      <c r="I95" s="182">
        <v>0.42</v>
      </c>
      <c r="J95" s="48">
        <v>2.1999999999999999E-2</v>
      </c>
      <c r="K95" s="2"/>
    </row>
    <row r="96" spans="1:11" ht="27" customHeight="1" x14ac:dyDescent="0.2">
      <c r="A96" s="25" t="s">
        <v>70</v>
      </c>
      <c r="B96" s="27"/>
      <c r="C96" s="60"/>
      <c r="D96" s="178">
        <v>0.94299999999999995</v>
      </c>
      <c r="E96" s="53">
        <v>0.24399999999999999</v>
      </c>
      <c r="F96" s="59">
        <v>0.186</v>
      </c>
      <c r="G96" s="50">
        <v>1.66</v>
      </c>
      <c r="H96" s="50">
        <v>0.82</v>
      </c>
      <c r="I96" s="182">
        <v>0.94</v>
      </c>
      <c r="J96" s="48">
        <v>1.7999999999999999E-2</v>
      </c>
      <c r="K96" s="2"/>
    </row>
    <row r="97" spans="1:11" ht="27" customHeight="1" x14ac:dyDescent="0.2">
      <c r="A97" s="25" t="s">
        <v>71</v>
      </c>
      <c r="B97" s="27"/>
      <c r="C97" s="60"/>
      <c r="D97" s="178">
        <v>0.80400000000000005</v>
      </c>
      <c r="E97" s="53">
        <v>0.25</v>
      </c>
      <c r="F97" s="59">
        <v>0.20899999999999999</v>
      </c>
      <c r="G97" s="50">
        <v>28.53</v>
      </c>
      <c r="H97" s="50">
        <v>1.03</v>
      </c>
      <c r="I97" s="182">
        <v>1.27</v>
      </c>
      <c r="J97" s="48">
        <v>1.2E-2</v>
      </c>
      <c r="K97" s="2"/>
    </row>
    <row r="98" spans="1:11" ht="27" customHeight="1" x14ac:dyDescent="0.2">
      <c r="A98" s="25" t="s">
        <v>218</v>
      </c>
      <c r="B98" s="27"/>
      <c r="C98" s="60"/>
      <c r="D98" s="48">
        <v>0.249</v>
      </c>
      <c r="E98" s="49"/>
      <c r="F98" s="49"/>
      <c r="G98" s="180"/>
      <c r="H98" s="180"/>
      <c r="I98" s="183"/>
      <c r="J98" s="49"/>
      <c r="K98" s="2"/>
    </row>
    <row r="99" spans="1:11" ht="27" customHeight="1" x14ac:dyDescent="0.2">
      <c r="A99" s="25" t="s">
        <v>219</v>
      </c>
      <c r="B99" s="27"/>
      <c r="C99" s="60"/>
      <c r="D99" s="48">
        <v>0.27500000000000002</v>
      </c>
      <c r="E99" s="49"/>
      <c r="F99" s="49"/>
      <c r="G99" s="180"/>
      <c r="H99" s="180"/>
      <c r="I99" s="183"/>
      <c r="J99" s="49"/>
      <c r="K99" s="2"/>
    </row>
    <row r="100" spans="1:11" ht="27" customHeight="1" x14ac:dyDescent="0.2">
      <c r="A100" s="25" t="s">
        <v>220</v>
      </c>
      <c r="B100" s="27"/>
      <c r="C100" s="60"/>
      <c r="D100" s="48">
        <v>0.36599999999999999</v>
      </c>
      <c r="E100" s="49"/>
      <c r="F100" s="49"/>
      <c r="G100" s="180"/>
      <c r="H100" s="180"/>
      <c r="I100" s="183"/>
      <c r="J100" s="49"/>
      <c r="K100" s="2"/>
    </row>
    <row r="101" spans="1:11" ht="27" customHeight="1" x14ac:dyDescent="0.2">
      <c r="A101" s="25" t="s">
        <v>221</v>
      </c>
      <c r="B101" s="27"/>
      <c r="C101" s="60"/>
      <c r="D101" s="48">
        <v>0.23</v>
      </c>
      <c r="E101" s="49"/>
      <c r="F101" s="49"/>
      <c r="G101" s="180"/>
      <c r="H101" s="180"/>
      <c r="I101" s="183"/>
      <c r="J101" s="49"/>
      <c r="K101" s="2"/>
    </row>
    <row r="102" spans="1:11" ht="27" customHeight="1" x14ac:dyDescent="0.2">
      <c r="A102" s="25" t="s">
        <v>72</v>
      </c>
      <c r="B102" s="27"/>
      <c r="C102" s="60"/>
      <c r="D102" s="179">
        <v>1.766</v>
      </c>
      <c r="E102" s="54">
        <v>0.23499999999999999</v>
      </c>
      <c r="F102" s="59">
        <v>0.17399999999999999</v>
      </c>
      <c r="G102" s="180"/>
      <c r="H102" s="180"/>
      <c r="I102" s="181"/>
      <c r="J102" s="49"/>
      <c r="K102" s="2"/>
    </row>
    <row r="103" spans="1:11" ht="27" customHeight="1" x14ac:dyDescent="0.2">
      <c r="A103" s="25" t="s">
        <v>616</v>
      </c>
      <c r="B103" s="27"/>
      <c r="C103" s="60"/>
      <c r="D103" s="48">
        <v>-0.14000000000000001</v>
      </c>
      <c r="E103" s="49"/>
      <c r="F103" s="49"/>
      <c r="G103" s="50">
        <v>0</v>
      </c>
      <c r="H103" s="180"/>
      <c r="I103" s="181"/>
      <c r="J103" s="49"/>
      <c r="K103" s="2"/>
    </row>
    <row r="104" spans="1:11" ht="27" customHeight="1" x14ac:dyDescent="0.2">
      <c r="A104" s="25" t="s">
        <v>73</v>
      </c>
      <c r="B104" s="27"/>
      <c r="C104" s="60"/>
      <c r="D104" s="48">
        <v>-0.14099999999999999</v>
      </c>
      <c r="E104" s="49"/>
      <c r="F104" s="49"/>
      <c r="G104" s="50">
        <v>0</v>
      </c>
      <c r="H104" s="180"/>
      <c r="I104" s="181"/>
      <c r="J104" s="49"/>
      <c r="K104" s="2"/>
    </row>
    <row r="105" spans="1:11" ht="27" customHeight="1" x14ac:dyDescent="0.2">
      <c r="A105" s="25" t="s">
        <v>74</v>
      </c>
      <c r="B105" s="27"/>
      <c r="C105" s="60"/>
      <c r="D105" s="48">
        <v>-0.14000000000000001</v>
      </c>
      <c r="E105" s="49"/>
      <c r="F105" s="49"/>
      <c r="G105" s="50">
        <v>0</v>
      </c>
      <c r="H105" s="180"/>
      <c r="I105" s="181"/>
      <c r="J105" s="48">
        <v>3.2000000000000001E-2</v>
      </c>
      <c r="K105" s="2"/>
    </row>
    <row r="106" spans="1:11" ht="27" customHeight="1" x14ac:dyDescent="0.2">
      <c r="A106" s="25" t="s">
        <v>75</v>
      </c>
      <c r="B106" s="27"/>
      <c r="C106" s="60"/>
      <c r="D106" s="199">
        <v>-1.0349999999999999</v>
      </c>
      <c r="E106" s="55">
        <v>-0.113</v>
      </c>
      <c r="F106" s="59">
        <v>-8.0000000000000002E-3</v>
      </c>
      <c r="G106" s="50">
        <v>0</v>
      </c>
      <c r="H106" s="180"/>
      <c r="I106" s="181"/>
      <c r="J106" s="48">
        <v>3.2000000000000001E-2</v>
      </c>
      <c r="K106" s="2"/>
    </row>
    <row r="107" spans="1:11" ht="27" customHeight="1" x14ac:dyDescent="0.2">
      <c r="A107" s="25" t="s">
        <v>76</v>
      </c>
      <c r="B107" s="27"/>
      <c r="C107" s="60"/>
      <c r="D107" s="48">
        <v>-0.14099999999999999</v>
      </c>
      <c r="E107" s="49"/>
      <c r="F107" s="49"/>
      <c r="G107" s="50">
        <v>0</v>
      </c>
      <c r="H107" s="180"/>
      <c r="I107" s="181"/>
      <c r="J107" s="48">
        <v>3.2000000000000001E-2</v>
      </c>
      <c r="K107" s="2"/>
    </row>
    <row r="108" spans="1:11" ht="27" customHeight="1" x14ac:dyDescent="0.2">
      <c r="A108" s="25" t="s">
        <v>77</v>
      </c>
      <c r="B108" s="27"/>
      <c r="C108" s="60"/>
      <c r="D108" s="199">
        <v>-1.0529999999999999</v>
      </c>
      <c r="E108" s="53">
        <v>-0.111</v>
      </c>
      <c r="F108" s="59">
        <v>-8.0000000000000002E-3</v>
      </c>
      <c r="G108" s="50">
        <v>0</v>
      </c>
      <c r="H108" s="180"/>
      <c r="I108" s="181"/>
      <c r="J108" s="48">
        <v>3.2000000000000001E-2</v>
      </c>
      <c r="K108" s="2"/>
    </row>
    <row r="109" spans="1:11" ht="27" customHeight="1" x14ac:dyDescent="0.2">
      <c r="A109" s="25" t="s">
        <v>78</v>
      </c>
      <c r="B109" s="27"/>
      <c r="C109" s="60"/>
      <c r="D109" s="48">
        <v>-0.19800000000000001</v>
      </c>
      <c r="E109" s="49"/>
      <c r="F109" s="49"/>
      <c r="G109" s="50">
        <v>48.43</v>
      </c>
      <c r="H109" s="180"/>
      <c r="I109" s="181"/>
      <c r="J109" s="48">
        <v>0.06</v>
      </c>
      <c r="K109" s="2"/>
    </row>
    <row r="110" spans="1:11" ht="27" customHeight="1" x14ac:dyDescent="0.2">
      <c r="A110" s="25" t="s">
        <v>79</v>
      </c>
      <c r="B110" s="27"/>
      <c r="C110" s="60"/>
      <c r="D110" s="199">
        <v>-1.6240000000000001</v>
      </c>
      <c r="E110" s="53">
        <v>-0.13</v>
      </c>
      <c r="F110" s="59">
        <v>-6.0000000000000001E-3</v>
      </c>
      <c r="G110" s="50">
        <v>48.43</v>
      </c>
      <c r="H110" s="180"/>
      <c r="I110" s="181"/>
      <c r="J110" s="48">
        <v>0.06</v>
      </c>
      <c r="K110" s="2"/>
    </row>
    <row r="111" spans="1:11" ht="27" customHeight="1" x14ac:dyDescent="0.2">
      <c r="A111" s="25" t="s">
        <v>120</v>
      </c>
      <c r="B111" s="27"/>
      <c r="C111" s="60"/>
      <c r="D111" s="48">
        <v>5.0999999999999997E-2</v>
      </c>
      <c r="E111" s="49"/>
      <c r="F111" s="49"/>
      <c r="G111" s="50">
        <v>0.11</v>
      </c>
      <c r="H111" s="180"/>
      <c r="I111" s="181"/>
      <c r="J111" s="49"/>
      <c r="K111" s="2"/>
    </row>
    <row r="112" spans="1:11" ht="27" customHeight="1" x14ac:dyDescent="0.2">
      <c r="A112" s="25" t="s">
        <v>121</v>
      </c>
      <c r="B112" s="27"/>
      <c r="C112" s="60"/>
      <c r="D112" s="48">
        <v>6.0999999999999999E-2</v>
      </c>
      <c r="E112" s="48">
        <v>2.4E-2</v>
      </c>
      <c r="F112" s="49"/>
      <c r="G112" s="50">
        <v>0.11</v>
      </c>
      <c r="H112" s="180"/>
      <c r="I112" s="181"/>
      <c r="J112" s="49"/>
      <c r="K112" s="2"/>
    </row>
    <row r="113" spans="1:11" ht="27" customHeight="1" x14ac:dyDescent="0.2">
      <c r="A113" s="25" t="s">
        <v>122</v>
      </c>
      <c r="B113" s="27"/>
      <c r="C113" s="60"/>
      <c r="D113" s="48">
        <v>2.3E-2</v>
      </c>
      <c r="E113" s="49"/>
      <c r="F113" s="49"/>
      <c r="G113" s="180"/>
      <c r="H113" s="180"/>
      <c r="I113" s="181"/>
      <c r="J113" s="49"/>
      <c r="K113" s="2"/>
    </row>
    <row r="114" spans="1:11" ht="27" customHeight="1" x14ac:dyDescent="0.2">
      <c r="A114" s="25" t="s">
        <v>123</v>
      </c>
      <c r="B114" s="27"/>
      <c r="C114" s="60"/>
      <c r="D114" s="48">
        <v>5.1999999999999998E-2</v>
      </c>
      <c r="E114" s="49"/>
      <c r="F114" s="49"/>
      <c r="G114" s="50">
        <v>0.14000000000000001</v>
      </c>
      <c r="H114" s="180"/>
      <c r="I114" s="181"/>
      <c r="J114" s="49"/>
      <c r="K114" s="2"/>
    </row>
    <row r="115" spans="1:11" ht="27" customHeight="1" x14ac:dyDescent="0.2">
      <c r="A115" s="25" t="s">
        <v>124</v>
      </c>
      <c r="B115" s="27"/>
      <c r="C115" s="60"/>
      <c r="D115" s="48">
        <v>6.3E-2</v>
      </c>
      <c r="E115" s="48">
        <v>2.5000000000000001E-2</v>
      </c>
      <c r="F115" s="49"/>
      <c r="G115" s="50">
        <v>0.14000000000000001</v>
      </c>
      <c r="H115" s="180"/>
      <c r="I115" s="181"/>
      <c r="J115" s="49"/>
      <c r="K115" s="2"/>
    </row>
    <row r="116" spans="1:11" ht="27" customHeight="1" x14ac:dyDescent="0.2">
      <c r="A116" s="25" t="s">
        <v>125</v>
      </c>
      <c r="B116" s="27"/>
      <c r="C116" s="60"/>
      <c r="D116" s="48">
        <v>3.1E-2</v>
      </c>
      <c r="E116" s="49"/>
      <c r="F116" s="49"/>
      <c r="G116" s="180"/>
      <c r="H116" s="180"/>
      <c r="I116" s="181"/>
      <c r="J116" s="49"/>
      <c r="K116" s="2"/>
    </row>
    <row r="117" spans="1:11" ht="27" customHeight="1" x14ac:dyDescent="0.2">
      <c r="A117" s="25" t="s">
        <v>126</v>
      </c>
      <c r="B117" s="27"/>
      <c r="C117" s="60"/>
      <c r="D117" s="48">
        <v>4.7E-2</v>
      </c>
      <c r="E117" s="48">
        <v>2.3E-2</v>
      </c>
      <c r="F117" s="49"/>
      <c r="G117" s="50">
        <v>0.64</v>
      </c>
      <c r="H117" s="180"/>
      <c r="I117" s="181"/>
      <c r="J117" s="49"/>
      <c r="K117" s="2"/>
    </row>
    <row r="118" spans="1:11" ht="27" customHeight="1" x14ac:dyDescent="0.2">
      <c r="A118" s="25" t="s">
        <v>127</v>
      </c>
      <c r="B118" s="27"/>
      <c r="C118" s="60"/>
      <c r="D118" s="48">
        <v>6.2E-2</v>
      </c>
      <c r="E118" s="48">
        <v>3.5999999999999997E-2</v>
      </c>
      <c r="F118" s="49"/>
      <c r="G118" s="50">
        <v>0</v>
      </c>
      <c r="H118" s="180"/>
      <c r="I118" s="181"/>
      <c r="J118" s="49"/>
      <c r="K118" s="2"/>
    </row>
    <row r="119" spans="1:11" ht="27" customHeight="1" x14ac:dyDescent="0.2">
      <c r="A119" s="25" t="s">
        <v>128</v>
      </c>
      <c r="B119" s="27"/>
      <c r="C119" s="60"/>
      <c r="D119" s="48">
        <v>5.6000000000000001E-2</v>
      </c>
      <c r="E119" s="48">
        <v>3.9E-2</v>
      </c>
      <c r="F119" s="49"/>
      <c r="G119" s="50">
        <v>12.23</v>
      </c>
      <c r="H119" s="180"/>
      <c r="I119" s="181"/>
      <c r="J119" s="49"/>
      <c r="K119" s="2"/>
    </row>
    <row r="120" spans="1:11" ht="27" customHeight="1" x14ac:dyDescent="0.2">
      <c r="A120" s="25" t="s">
        <v>617</v>
      </c>
      <c r="B120" s="27"/>
      <c r="C120" s="60"/>
      <c r="D120" s="178">
        <v>0.189</v>
      </c>
      <c r="E120" s="53">
        <v>3.9E-2</v>
      </c>
      <c r="F120" s="59">
        <v>2.1999999999999999E-2</v>
      </c>
      <c r="G120" s="50">
        <v>0.11</v>
      </c>
      <c r="H120" s="180"/>
      <c r="I120" s="181"/>
      <c r="J120" s="49"/>
      <c r="K120" s="2"/>
    </row>
    <row r="121" spans="1:11" ht="27" customHeight="1" x14ac:dyDescent="0.2">
      <c r="A121" s="25" t="s">
        <v>618</v>
      </c>
      <c r="B121" s="27"/>
      <c r="C121" s="60"/>
      <c r="D121" s="178">
        <v>0.19800000000000001</v>
      </c>
      <c r="E121" s="53">
        <v>0.04</v>
      </c>
      <c r="F121" s="59">
        <v>2.1999999999999999E-2</v>
      </c>
      <c r="G121" s="50">
        <v>0.14000000000000001</v>
      </c>
      <c r="H121" s="180"/>
      <c r="I121" s="181"/>
      <c r="J121" s="49"/>
      <c r="K121" s="2"/>
    </row>
    <row r="122" spans="1:11" ht="27" customHeight="1" x14ac:dyDescent="0.2">
      <c r="A122" s="25" t="s">
        <v>129</v>
      </c>
      <c r="B122" s="27"/>
      <c r="C122" s="60"/>
      <c r="D122" s="178">
        <v>0.14899999999999999</v>
      </c>
      <c r="E122" s="53">
        <v>3.4000000000000002E-2</v>
      </c>
      <c r="F122" s="59">
        <v>2.1999999999999999E-2</v>
      </c>
      <c r="G122" s="50">
        <v>0.54</v>
      </c>
      <c r="H122" s="50">
        <v>0.05</v>
      </c>
      <c r="I122" s="182">
        <v>0.08</v>
      </c>
      <c r="J122" s="48">
        <v>4.0000000000000001E-3</v>
      </c>
      <c r="K122" s="2"/>
    </row>
    <row r="123" spans="1:11" ht="27" customHeight="1" x14ac:dyDescent="0.2">
      <c r="A123" s="25" t="s">
        <v>130</v>
      </c>
      <c r="B123" s="27"/>
      <c r="C123" s="60"/>
      <c r="D123" s="178">
        <v>0.17299999999999999</v>
      </c>
      <c r="E123" s="53">
        <v>4.4999999999999998E-2</v>
      </c>
      <c r="F123" s="59">
        <v>3.4000000000000002E-2</v>
      </c>
      <c r="G123" s="50">
        <v>0.3</v>
      </c>
      <c r="H123" s="50">
        <v>0.15</v>
      </c>
      <c r="I123" s="182">
        <v>0.17</v>
      </c>
      <c r="J123" s="48">
        <v>3.0000000000000001E-3</v>
      </c>
      <c r="K123" s="2"/>
    </row>
    <row r="124" spans="1:11" ht="27" customHeight="1" x14ac:dyDescent="0.2">
      <c r="A124" s="25" t="s">
        <v>131</v>
      </c>
      <c r="B124" s="27"/>
      <c r="C124" s="60"/>
      <c r="D124" s="178">
        <v>0.14699999999999999</v>
      </c>
      <c r="E124" s="53">
        <v>4.5999999999999999E-2</v>
      </c>
      <c r="F124" s="59">
        <v>3.7999999999999999E-2</v>
      </c>
      <c r="G124" s="50">
        <v>5.22</v>
      </c>
      <c r="H124" s="50">
        <v>0.19</v>
      </c>
      <c r="I124" s="182">
        <v>0.23</v>
      </c>
      <c r="J124" s="48">
        <v>2E-3</v>
      </c>
      <c r="K124" s="2"/>
    </row>
    <row r="125" spans="1:11" ht="27" customHeight="1" x14ac:dyDescent="0.2">
      <c r="A125" s="25" t="s">
        <v>222</v>
      </c>
      <c r="B125" s="27"/>
      <c r="C125" s="60"/>
      <c r="D125" s="48">
        <v>4.5999999999999999E-2</v>
      </c>
      <c r="E125" s="49"/>
      <c r="F125" s="49"/>
      <c r="G125" s="180"/>
      <c r="H125" s="180"/>
      <c r="I125" s="183"/>
      <c r="J125" s="49"/>
      <c r="K125" s="2"/>
    </row>
    <row r="126" spans="1:11" ht="27" customHeight="1" x14ac:dyDescent="0.2">
      <c r="A126" s="25" t="s">
        <v>223</v>
      </c>
      <c r="B126" s="27"/>
      <c r="C126" s="60"/>
      <c r="D126" s="48">
        <v>0.05</v>
      </c>
      <c r="E126" s="49"/>
      <c r="F126" s="49"/>
      <c r="G126" s="180"/>
      <c r="H126" s="180"/>
      <c r="I126" s="183"/>
      <c r="J126" s="49"/>
      <c r="K126" s="2"/>
    </row>
    <row r="127" spans="1:11" ht="27" customHeight="1" x14ac:dyDescent="0.2">
      <c r="A127" s="25" t="s">
        <v>224</v>
      </c>
      <c r="B127" s="27"/>
      <c r="C127" s="60"/>
      <c r="D127" s="48">
        <v>6.7000000000000004E-2</v>
      </c>
      <c r="E127" s="49"/>
      <c r="F127" s="49"/>
      <c r="G127" s="180"/>
      <c r="H127" s="180"/>
      <c r="I127" s="183"/>
      <c r="J127" s="49"/>
      <c r="K127" s="2"/>
    </row>
    <row r="128" spans="1:11" ht="27" customHeight="1" x14ac:dyDescent="0.2">
      <c r="A128" s="25" t="s">
        <v>225</v>
      </c>
      <c r="B128" s="27"/>
      <c r="C128" s="60"/>
      <c r="D128" s="48">
        <v>4.2000000000000003E-2</v>
      </c>
      <c r="E128" s="49"/>
      <c r="F128" s="49"/>
      <c r="G128" s="180"/>
      <c r="H128" s="180"/>
      <c r="I128" s="183"/>
      <c r="J128" s="49"/>
      <c r="K128" s="2"/>
    </row>
    <row r="129" spans="1:11" ht="27" customHeight="1" x14ac:dyDescent="0.2">
      <c r="A129" s="25" t="s">
        <v>132</v>
      </c>
      <c r="B129" s="27"/>
      <c r="C129" s="60"/>
      <c r="D129" s="179">
        <v>0.32300000000000001</v>
      </c>
      <c r="E129" s="54">
        <v>4.2999999999999997E-2</v>
      </c>
      <c r="F129" s="59">
        <v>3.2000000000000001E-2</v>
      </c>
      <c r="G129" s="180"/>
      <c r="H129" s="180"/>
      <c r="I129" s="181"/>
      <c r="J129" s="49"/>
      <c r="K129" s="2"/>
    </row>
    <row r="130" spans="1:11" ht="27" customHeight="1" x14ac:dyDescent="0.2">
      <c r="A130" s="25" t="s">
        <v>619</v>
      </c>
      <c r="B130" s="27"/>
      <c r="C130" s="60"/>
      <c r="D130" s="48">
        <v>-2.5999999999999999E-2</v>
      </c>
      <c r="E130" s="49"/>
      <c r="F130" s="49"/>
      <c r="G130" s="50">
        <v>0</v>
      </c>
      <c r="H130" s="180"/>
      <c r="I130" s="181"/>
      <c r="J130" s="49"/>
      <c r="K130" s="2"/>
    </row>
    <row r="131" spans="1:11" ht="27" customHeight="1" x14ac:dyDescent="0.2">
      <c r="A131" s="25" t="s">
        <v>133</v>
      </c>
      <c r="B131" s="27"/>
      <c r="C131" s="60"/>
      <c r="D131" s="48">
        <v>-2.5999999999999999E-2</v>
      </c>
      <c r="E131" s="49"/>
      <c r="F131" s="49"/>
      <c r="G131" s="50">
        <v>0</v>
      </c>
      <c r="H131" s="180"/>
      <c r="I131" s="181"/>
      <c r="J131" s="49"/>
      <c r="K131" s="2"/>
    </row>
    <row r="132" spans="1:11" ht="27" customHeight="1" x14ac:dyDescent="0.2">
      <c r="A132" s="25" t="s">
        <v>134</v>
      </c>
      <c r="B132" s="27"/>
      <c r="C132" s="60"/>
      <c r="D132" s="48">
        <v>-2.5999999999999999E-2</v>
      </c>
      <c r="E132" s="49"/>
      <c r="F132" s="49"/>
      <c r="G132" s="50">
        <v>0</v>
      </c>
      <c r="H132" s="180"/>
      <c r="I132" s="181"/>
      <c r="J132" s="48">
        <v>6.0000000000000001E-3</v>
      </c>
      <c r="K132" s="2"/>
    </row>
    <row r="133" spans="1:11" ht="27" customHeight="1" x14ac:dyDescent="0.2">
      <c r="A133" s="25" t="s">
        <v>135</v>
      </c>
      <c r="B133" s="27"/>
      <c r="C133" s="60"/>
      <c r="D133" s="199">
        <v>-0.19</v>
      </c>
      <c r="E133" s="55">
        <v>-2.1000000000000001E-2</v>
      </c>
      <c r="F133" s="59">
        <v>-2E-3</v>
      </c>
      <c r="G133" s="50">
        <v>0</v>
      </c>
      <c r="H133" s="180"/>
      <c r="I133" s="181"/>
      <c r="J133" s="48">
        <v>6.0000000000000001E-3</v>
      </c>
      <c r="K133" s="2"/>
    </row>
    <row r="134" spans="1:11" ht="27" customHeight="1" x14ac:dyDescent="0.2">
      <c r="A134" s="25" t="s">
        <v>136</v>
      </c>
      <c r="B134" s="27"/>
      <c r="C134" s="60"/>
      <c r="D134" s="48">
        <v>-2.5999999999999999E-2</v>
      </c>
      <c r="E134" s="49"/>
      <c r="F134" s="49"/>
      <c r="G134" s="50">
        <v>0</v>
      </c>
      <c r="H134" s="180"/>
      <c r="I134" s="181"/>
      <c r="J134" s="48">
        <v>6.0000000000000001E-3</v>
      </c>
      <c r="K134" s="2"/>
    </row>
    <row r="135" spans="1:11" ht="27" customHeight="1" x14ac:dyDescent="0.2">
      <c r="A135" s="25" t="s">
        <v>137</v>
      </c>
      <c r="B135" s="27"/>
      <c r="C135" s="60"/>
      <c r="D135" s="199">
        <v>-0.193</v>
      </c>
      <c r="E135" s="53">
        <v>-0.02</v>
      </c>
      <c r="F135" s="59">
        <v>-1E-3</v>
      </c>
      <c r="G135" s="50">
        <v>0</v>
      </c>
      <c r="H135" s="180"/>
      <c r="I135" s="181"/>
      <c r="J135" s="48">
        <v>6.0000000000000001E-3</v>
      </c>
      <c r="K135" s="2"/>
    </row>
    <row r="136" spans="1:11" ht="27" customHeight="1" x14ac:dyDescent="0.2">
      <c r="A136" s="25" t="s">
        <v>138</v>
      </c>
      <c r="B136" s="27"/>
      <c r="C136" s="60"/>
      <c r="D136" s="48">
        <v>-3.5999999999999997E-2</v>
      </c>
      <c r="E136" s="49"/>
      <c r="F136" s="49"/>
      <c r="G136" s="50">
        <v>8.8699999999999992</v>
      </c>
      <c r="H136" s="180"/>
      <c r="I136" s="181"/>
      <c r="J136" s="48">
        <v>1.0999999999999999E-2</v>
      </c>
      <c r="K136" s="2"/>
    </row>
    <row r="137" spans="1:11" ht="27" customHeight="1" x14ac:dyDescent="0.2">
      <c r="A137" s="25" t="s">
        <v>139</v>
      </c>
      <c r="B137" s="27"/>
      <c r="C137" s="60"/>
      <c r="D137" s="199">
        <v>-0.29699999999999999</v>
      </c>
      <c r="E137" s="53">
        <v>-2.4E-2</v>
      </c>
      <c r="F137" s="59">
        <v>-1E-3</v>
      </c>
      <c r="G137" s="50">
        <v>8.8699999999999992</v>
      </c>
      <c r="H137" s="180"/>
      <c r="I137" s="181"/>
      <c r="J137" s="48">
        <v>1.0999999999999999E-2</v>
      </c>
      <c r="K137" s="2"/>
    </row>
    <row r="138" spans="1:11" ht="27" customHeight="1" x14ac:dyDescent="0.2">
      <c r="A138" s="25" t="s">
        <v>140</v>
      </c>
      <c r="B138" s="27"/>
      <c r="C138" s="60"/>
      <c r="D138" s="48">
        <v>0</v>
      </c>
      <c r="E138" s="49"/>
      <c r="F138" s="49"/>
      <c r="G138" s="50">
        <v>0</v>
      </c>
      <c r="H138" s="180"/>
      <c r="I138" s="181"/>
      <c r="J138" s="49"/>
      <c r="K138" s="2"/>
    </row>
    <row r="139" spans="1:11" ht="27" customHeight="1" x14ac:dyDescent="0.2">
      <c r="A139" s="25" t="s">
        <v>141</v>
      </c>
      <c r="B139" s="27"/>
      <c r="C139" s="60"/>
      <c r="D139" s="48">
        <v>0</v>
      </c>
      <c r="E139" s="48">
        <v>0</v>
      </c>
      <c r="F139" s="49"/>
      <c r="G139" s="50">
        <v>0</v>
      </c>
      <c r="H139" s="180"/>
      <c r="I139" s="181"/>
      <c r="J139" s="49"/>
      <c r="K139" s="2"/>
    </row>
    <row r="140" spans="1:11" ht="27" customHeight="1" x14ac:dyDescent="0.2">
      <c r="A140" s="25" t="s">
        <v>142</v>
      </c>
      <c r="B140" s="27"/>
      <c r="C140" s="60"/>
      <c r="D140" s="48">
        <v>0</v>
      </c>
      <c r="E140" s="49"/>
      <c r="F140" s="49"/>
      <c r="G140" s="180"/>
      <c r="H140" s="180"/>
      <c r="I140" s="181"/>
      <c r="J140" s="49"/>
      <c r="K140" s="2"/>
    </row>
    <row r="141" spans="1:11" ht="27" customHeight="1" x14ac:dyDescent="0.2">
      <c r="A141" s="25" t="s">
        <v>143</v>
      </c>
      <c r="B141" s="27"/>
      <c r="C141" s="60"/>
      <c r="D141" s="48">
        <v>0</v>
      </c>
      <c r="E141" s="49"/>
      <c r="F141" s="49"/>
      <c r="G141" s="50">
        <v>0</v>
      </c>
      <c r="H141" s="180"/>
      <c r="I141" s="181"/>
      <c r="J141" s="49"/>
      <c r="K141" s="2"/>
    </row>
    <row r="142" spans="1:11" ht="27" customHeight="1" x14ac:dyDescent="0.2">
      <c r="A142" s="25" t="s">
        <v>144</v>
      </c>
      <c r="B142" s="27"/>
      <c r="C142" s="60"/>
      <c r="D142" s="48">
        <v>0</v>
      </c>
      <c r="E142" s="48">
        <v>0</v>
      </c>
      <c r="F142" s="49"/>
      <c r="G142" s="50">
        <v>0</v>
      </c>
      <c r="H142" s="180"/>
      <c r="I142" s="181"/>
      <c r="J142" s="49"/>
      <c r="K142" s="2"/>
    </row>
    <row r="143" spans="1:11" ht="27" customHeight="1" x14ac:dyDescent="0.2">
      <c r="A143" s="25" t="s">
        <v>145</v>
      </c>
      <c r="B143" s="27"/>
      <c r="C143" s="60"/>
      <c r="D143" s="48">
        <v>0</v>
      </c>
      <c r="E143" s="49"/>
      <c r="F143" s="49"/>
      <c r="G143" s="180"/>
      <c r="H143" s="180"/>
      <c r="I143" s="181"/>
      <c r="J143" s="49"/>
      <c r="K143" s="2"/>
    </row>
    <row r="144" spans="1:11" ht="27" customHeight="1" x14ac:dyDescent="0.2">
      <c r="A144" s="25" t="s">
        <v>146</v>
      </c>
      <c r="B144" s="27"/>
      <c r="C144" s="60"/>
      <c r="D144" s="48">
        <v>0</v>
      </c>
      <c r="E144" s="48">
        <v>0</v>
      </c>
      <c r="F144" s="49"/>
      <c r="G144" s="50">
        <v>0</v>
      </c>
      <c r="H144" s="180"/>
      <c r="I144" s="181"/>
      <c r="J144" s="49"/>
      <c r="K144" s="2"/>
    </row>
    <row r="145" spans="1:11" ht="27" customHeight="1" x14ac:dyDescent="0.2">
      <c r="A145" s="25" t="s">
        <v>147</v>
      </c>
      <c r="B145" s="27"/>
      <c r="C145" s="60"/>
      <c r="D145" s="48">
        <v>0</v>
      </c>
      <c r="E145" s="48">
        <v>0</v>
      </c>
      <c r="F145" s="49"/>
      <c r="G145" s="50">
        <v>0</v>
      </c>
      <c r="H145" s="180"/>
      <c r="I145" s="181"/>
      <c r="J145" s="49"/>
      <c r="K145" s="2"/>
    </row>
    <row r="146" spans="1:11" ht="27" customHeight="1" x14ac:dyDescent="0.2">
      <c r="A146" s="25" t="s">
        <v>148</v>
      </c>
      <c r="B146" s="27"/>
      <c r="C146" s="60"/>
      <c r="D146" s="48">
        <v>0</v>
      </c>
      <c r="E146" s="48">
        <v>0</v>
      </c>
      <c r="F146" s="49"/>
      <c r="G146" s="50">
        <v>0</v>
      </c>
      <c r="H146" s="180"/>
      <c r="I146" s="181"/>
      <c r="J146" s="49"/>
      <c r="K146" s="2"/>
    </row>
    <row r="147" spans="1:11" ht="27" customHeight="1" x14ac:dyDescent="0.2">
      <c r="A147" s="25" t="s">
        <v>620</v>
      </c>
      <c r="B147" s="27"/>
      <c r="C147" s="60"/>
      <c r="D147" s="178">
        <v>0</v>
      </c>
      <c r="E147" s="53">
        <v>0</v>
      </c>
      <c r="F147" s="59">
        <v>0</v>
      </c>
      <c r="G147" s="50">
        <v>0</v>
      </c>
      <c r="H147" s="180"/>
      <c r="I147" s="181"/>
      <c r="J147" s="49"/>
      <c r="K147" s="2"/>
    </row>
    <row r="148" spans="1:11" ht="27" customHeight="1" x14ac:dyDescent="0.2">
      <c r="A148" s="25" t="s">
        <v>621</v>
      </c>
      <c r="B148" s="27"/>
      <c r="C148" s="60"/>
      <c r="D148" s="178">
        <v>0</v>
      </c>
      <c r="E148" s="53">
        <v>0</v>
      </c>
      <c r="F148" s="59">
        <v>0</v>
      </c>
      <c r="G148" s="50">
        <v>0</v>
      </c>
      <c r="H148" s="180"/>
      <c r="I148" s="181"/>
      <c r="J148" s="49"/>
      <c r="K148" s="2"/>
    </row>
    <row r="149" spans="1:11" ht="27" customHeight="1" x14ac:dyDescent="0.2">
      <c r="A149" s="25" t="s">
        <v>149</v>
      </c>
      <c r="B149" s="27"/>
      <c r="C149" s="60"/>
      <c r="D149" s="178">
        <v>0</v>
      </c>
      <c r="E149" s="53">
        <v>0</v>
      </c>
      <c r="F149" s="59">
        <v>0</v>
      </c>
      <c r="G149" s="50">
        <v>0</v>
      </c>
      <c r="H149" s="50">
        <v>0</v>
      </c>
      <c r="I149" s="182">
        <v>0</v>
      </c>
      <c r="J149" s="48">
        <v>0</v>
      </c>
      <c r="K149" s="2"/>
    </row>
    <row r="150" spans="1:11" ht="27" customHeight="1" x14ac:dyDescent="0.2">
      <c r="A150" s="25" t="s">
        <v>150</v>
      </c>
      <c r="B150" s="27"/>
      <c r="C150" s="60"/>
      <c r="D150" s="178">
        <v>0</v>
      </c>
      <c r="E150" s="53">
        <v>0</v>
      </c>
      <c r="F150" s="59">
        <v>0</v>
      </c>
      <c r="G150" s="50">
        <v>0</v>
      </c>
      <c r="H150" s="50">
        <v>0</v>
      </c>
      <c r="I150" s="182">
        <v>0</v>
      </c>
      <c r="J150" s="48">
        <v>0</v>
      </c>
      <c r="K150" s="2"/>
    </row>
    <row r="151" spans="1:11" ht="27" customHeight="1" x14ac:dyDescent="0.2">
      <c r="A151" s="25" t="s">
        <v>151</v>
      </c>
      <c r="B151" s="27"/>
      <c r="C151" s="60"/>
      <c r="D151" s="178">
        <v>0</v>
      </c>
      <c r="E151" s="53">
        <v>0</v>
      </c>
      <c r="F151" s="59">
        <v>0</v>
      </c>
      <c r="G151" s="50">
        <v>0</v>
      </c>
      <c r="H151" s="50">
        <v>0</v>
      </c>
      <c r="I151" s="182">
        <v>0</v>
      </c>
      <c r="J151" s="48">
        <v>0</v>
      </c>
      <c r="K151" s="2"/>
    </row>
    <row r="152" spans="1:11" ht="27" customHeight="1" x14ac:dyDescent="0.2">
      <c r="A152" s="25" t="s">
        <v>226</v>
      </c>
      <c r="B152" s="27"/>
      <c r="C152" s="60"/>
      <c r="D152" s="48">
        <v>0</v>
      </c>
      <c r="E152" s="49"/>
      <c r="F152" s="49"/>
      <c r="G152" s="180"/>
      <c r="H152" s="180"/>
      <c r="I152" s="183"/>
      <c r="J152" s="49"/>
      <c r="K152" s="2"/>
    </row>
    <row r="153" spans="1:11" ht="27" customHeight="1" x14ac:dyDescent="0.2">
      <c r="A153" s="25" t="s">
        <v>227</v>
      </c>
      <c r="B153" s="27"/>
      <c r="C153" s="60"/>
      <c r="D153" s="48">
        <v>0</v>
      </c>
      <c r="E153" s="49"/>
      <c r="F153" s="49"/>
      <c r="G153" s="180"/>
      <c r="H153" s="180"/>
      <c r="I153" s="183"/>
      <c r="J153" s="49"/>
      <c r="K153" s="2"/>
    </row>
    <row r="154" spans="1:11" ht="27" customHeight="1" x14ac:dyDescent="0.2">
      <c r="A154" s="25" t="s">
        <v>228</v>
      </c>
      <c r="B154" s="27"/>
      <c r="C154" s="60"/>
      <c r="D154" s="48">
        <v>0</v>
      </c>
      <c r="E154" s="49"/>
      <c r="F154" s="49"/>
      <c r="G154" s="180"/>
      <c r="H154" s="180"/>
      <c r="I154" s="181"/>
      <c r="J154" s="49"/>
      <c r="K154" s="2"/>
    </row>
    <row r="155" spans="1:11" ht="27" customHeight="1" x14ac:dyDescent="0.2">
      <c r="A155" s="25" t="s">
        <v>229</v>
      </c>
      <c r="B155" s="27"/>
      <c r="C155" s="60"/>
      <c r="D155" s="48">
        <v>0</v>
      </c>
      <c r="E155" s="49"/>
      <c r="F155" s="49"/>
      <c r="G155" s="180"/>
      <c r="H155" s="180"/>
      <c r="I155" s="181"/>
      <c r="J155" s="49"/>
      <c r="K155" s="2"/>
    </row>
    <row r="156" spans="1:11" ht="27" customHeight="1" x14ac:dyDescent="0.2">
      <c r="A156" s="25" t="s">
        <v>152</v>
      </c>
      <c r="B156" s="27"/>
      <c r="C156" s="60"/>
      <c r="D156" s="179">
        <v>0</v>
      </c>
      <c r="E156" s="54">
        <v>0</v>
      </c>
      <c r="F156" s="59">
        <v>0</v>
      </c>
      <c r="G156" s="180"/>
      <c r="H156" s="180"/>
      <c r="I156" s="181"/>
      <c r="J156" s="49"/>
      <c r="K156" s="2"/>
    </row>
    <row r="157" spans="1:11" ht="27" customHeight="1" x14ac:dyDescent="0.2">
      <c r="A157" s="25" t="s">
        <v>622</v>
      </c>
      <c r="B157" s="27"/>
      <c r="C157" s="60"/>
      <c r="D157" s="48">
        <v>0</v>
      </c>
      <c r="E157" s="49"/>
      <c r="F157" s="49"/>
      <c r="G157" s="50">
        <v>0</v>
      </c>
      <c r="H157" s="180"/>
      <c r="I157" s="181"/>
      <c r="J157" s="49"/>
      <c r="K157" s="2"/>
    </row>
    <row r="158" spans="1:11" ht="27" customHeight="1" x14ac:dyDescent="0.2">
      <c r="A158" s="25" t="s">
        <v>153</v>
      </c>
      <c r="B158" s="27"/>
      <c r="C158" s="60"/>
      <c r="D158" s="48">
        <v>0</v>
      </c>
      <c r="E158" s="49"/>
      <c r="F158" s="49"/>
      <c r="G158" s="50">
        <v>0</v>
      </c>
      <c r="H158" s="180"/>
      <c r="I158" s="181"/>
      <c r="J158" s="49"/>
      <c r="K158" s="2"/>
    </row>
    <row r="159" spans="1:11" ht="27" customHeight="1" x14ac:dyDescent="0.2">
      <c r="A159" s="25" t="s">
        <v>154</v>
      </c>
      <c r="B159" s="27"/>
      <c r="C159" s="60"/>
      <c r="D159" s="48">
        <v>0</v>
      </c>
      <c r="E159" s="49"/>
      <c r="F159" s="49"/>
      <c r="G159" s="50">
        <v>0</v>
      </c>
      <c r="H159" s="180"/>
      <c r="I159" s="181"/>
      <c r="J159" s="48">
        <v>0</v>
      </c>
      <c r="K159" s="2"/>
    </row>
    <row r="160" spans="1:11" ht="27" customHeight="1" x14ac:dyDescent="0.2">
      <c r="A160" s="25" t="s">
        <v>155</v>
      </c>
      <c r="B160" s="27"/>
      <c r="C160" s="60"/>
      <c r="D160" s="178">
        <v>0</v>
      </c>
      <c r="E160" s="53">
        <v>0</v>
      </c>
      <c r="F160" s="59">
        <v>0</v>
      </c>
      <c r="G160" s="50">
        <v>0</v>
      </c>
      <c r="H160" s="180"/>
      <c r="I160" s="181"/>
      <c r="J160" s="48">
        <v>0</v>
      </c>
      <c r="K160" s="2"/>
    </row>
    <row r="161" spans="1:11" ht="27" customHeight="1" x14ac:dyDescent="0.2">
      <c r="A161" s="25" t="s">
        <v>156</v>
      </c>
      <c r="B161" s="27"/>
      <c r="C161" s="60"/>
      <c r="D161" s="48">
        <v>0</v>
      </c>
      <c r="E161" s="49"/>
      <c r="F161" s="49"/>
      <c r="G161" s="50">
        <v>0</v>
      </c>
      <c r="H161" s="180"/>
      <c r="I161" s="181"/>
      <c r="J161" s="48">
        <v>0</v>
      </c>
      <c r="K161" s="2"/>
    </row>
    <row r="162" spans="1:11" ht="27" customHeight="1" x14ac:dyDescent="0.2">
      <c r="A162" s="25" t="s">
        <v>157</v>
      </c>
      <c r="B162" s="27"/>
      <c r="C162" s="60"/>
      <c r="D162" s="178">
        <v>0</v>
      </c>
      <c r="E162" s="53">
        <v>0</v>
      </c>
      <c r="F162" s="59">
        <v>0</v>
      </c>
      <c r="G162" s="50">
        <v>0</v>
      </c>
      <c r="H162" s="180"/>
      <c r="I162" s="181"/>
      <c r="J162" s="48">
        <v>0</v>
      </c>
      <c r="K162" s="2"/>
    </row>
    <row r="163" spans="1:11" ht="27" customHeight="1" x14ac:dyDescent="0.2">
      <c r="A163" s="25" t="s">
        <v>158</v>
      </c>
      <c r="B163" s="27"/>
      <c r="C163" s="60"/>
      <c r="D163" s="48">
        <v>0</v>
      </c>
      <c r="E163" s="49"/>
      <c r="F163" s="49"/>
      <c r="G163" s="50">
        <v>0</v>
      </c>
      <c r="H163" s="180"/>
      <c r="I163" s="181"/>
      <c r="J163" s="48">
        <v>0</v>
      </c>
      <c r="K163" s="2"/>
    </row>
    <row r="164" spans="1:11" ht="27" customHeight="1" x14ac:dyDescent="0.2">
      <c r="A164" s="25" t="s">
        <v>159</v>
      </c>
      <c r="B164" s="27"/>
      <c r="C164" s="60"/>
      <c r="D164" s="178">
        <v>0</v>
      </c>
      <c r="E164" s="53">
        <v>0</v>
      </c>
      <c r="F164" s="59">
        <v>0</v>
      </c>
      <c r="G164" s="50">
        <v>0</v>
      </c>
      <c r="H164" s="180"/>
      <c r="I164" s="181"/>
      <c r="J164" s="48">
        <v>0</v>
      </c>
      <c r="K164" s="2"/>
    </row>
    <row r="165" spans="1:11" ht="27" customHeight="1" x14ac:dyDescent="0.2">
      <c r="A165" s="25" t="s">
        <v>160</v>
      </c>
      <c r="B165" s="27"/>
      <c r="C165" s="60"/>
      <c r="D165" s="48">
        <v>0</v>
      </c>
      <c r="E165" s="49"/>
      <c r="F165" s="49"/>
      <c r="G165" s="50">
        <v>0</v>
      </c>
      <c r="H165" s="180"/>
      <c r="I165" s="181"/>
      <c r="J165" s="49"/>
      <c r="K165" s="2"/>
    </row>
    <row r="166" spans="1:11" ht="27" customHeight="1" x14ac:dyDescent="0.2">
      <c r="A166" s="25" t="s">
        <v>161</v>
      </c>
      <c r="B166" s="27"/>
      <c r="C166" s="60"/>
      <c r="D166" s="48">
        <v>0</v>
      </c>
      <c r="E166" s="48">
        <v>0</v>
      </c>
      <c r="F166" s="49"/>
      <c r="G166" s="50">
        <v>0</v>
      </c>
      <c r="H166" s="180"/>
      <c r="I166" s="181"/>
      <c r="J166" s="49"/>
      <c r="K166" s="2"/>
    </row>
    <row r="167" spans="1:11" ht="27" customHeight="1" x14ac:dyDescent="0.2">
      <c r="A167" s="25" t="s">
        <v>162</v>
      </c>
      <c r="B167" s="27"/>
      <c r="C167" s="60"/>
      <c r="D167" s="48">
        <v>0</v>
      </c>
      <c r="E167" s="49"/>
      <c r="F167" s="49"/>
      <c r="G167" s="180">
        <v>0</v>
      </c>
      <c r="H167" s="180"/>
      <c r="I167" s="181"/>
      <c r="J167" s="49"/>
      <c r="K167" s="2"/>
    </row>
    <row r="168" spans="1:11" ht="27" customHeight="1" x14ac:dyDescent="0.2">
      <c r="A168" s="25" t="s">
        <v>163</v>
      </c>
      <c r="B168" s="27"/>
      <c r="C168" s="60"/>
      <c r="D168" s="48">
        <v>0</v>
      </c>
      <c r="E168" s="49"/>
      <c r="F168" s="49"/>
      <c r="G168" s="50">
        <v>0</v>
      </c>
      <c r="H168" s="180"/>
      <c r="I168" s="181"/>
      <c r="J168" s="49"/>
      <c r="K168" s="2"/>
    </row>
    <row r="169" spans="1:11" ht="27" customHeight="1" x14ac:dyDescent="0.2">
      <c r="A169" s="25" t="s">
        <v>164</v>
      </c>
      <c r="B169" s="27"/>
      <c r="C169" s="60"/>
      <c r="D169" s="48">
        <v>0</v>
      </c>
      <c r="E169" s="48">
        <v>0</v>
      </c>
      <c r="F169" s="49"/>
      <c r="G169" s="50">
        <v>0</v>
      </c>
      <c r="H169" s="180"/>
      <c r="I169" s="181"/>
      <c r="J169" s="49"/>
      <c r="K169" s="2"/>
    </row>
    <row r="170" spans="1:11" ht="27" customHeight="1" x14ac:dyDescent="0.2">
      <c r="A170" s="25" t="s">
        <v>165</v>
      </c>
      <c r="B170" s="27"/>
      <c r="C170" s="60"/>
      <c r="D170" s="48">
        <v>0</v>
      </c>
      <c r="E170" s="49"/>
      <c r="F170" s="49"/>
      <c r="G170" s="180">
        <v>0</v>
      </c>
      <c r="H170" s="180"/>
      <c r="I170" s="181"/>
      <c r="J170" s="49"/>
      <c r="K170" s="2"/>
    </row>
    <row r="171" spans="1:11" ht="27" customHeight="1" x14ac:dyDescent="0.2">
      <c r="A171" s="25" t="s">
        <v>166</v>
      </c>
      <c r="B171" s="27"/>
      <c r="C171" s="60"/>
      <c r="D171" s="48">
        <v>0</v>
      </c>
      <c r="E171" s="48">
        <v>0</v>
      </c>
      <c r="F171" s="49"/>
      <c r="G171" s="50">
        <v>0</v>
      </c>
      <c r="H171" s="180"/>
      <c r="I171" s="181"/>
      <c r="J171" s="49"/>
      <c r="K171" s="2"/>
    </row>
    <row r="172" spans="1:11" ht="27" customHeight="1" x14ac:dyDescent="0.2">
      <c r="A172" s="25" t="s">
        <v>167</v>
      </c>
      <c r="B172" s="27"/>
      <c r="C172" s="60"/>
      <c r="D172" s="48">
        <v>0</v>
      </c>
      <c r="E172" s="48">
        <v>0</v>
      </c>
      <c r="F172" s="49"/>
      <c r="G172" s="50">
        <v>0</v>
      </c>
      <c r="H172" s="180"/>
      <c r="I172" s="181"/>
      <c r="J172" s="49"/>
      <c r="K172" s="2"/>
    </row>
    <row r="173" spans="1:11" ht="27" customHeight="1" x14ac:dyDescent="0.2">
      <c r="A173" s="25" t="s">
        <v>168</v>
      </c>
      <c r="B173" s="27"/>
      <c r="C173" s="60"/>
      <c r="D173" s="48">
        <v>0</v>
      </c>
      <c r="E173" s="48">
        <v>0</v>
      </c>
      <c r="F173" s="49"/>
      <c r="G173" s="50">
        <v>0</v>
      </c>
      <c r="H173" s="180"/>
      <c r="I173" s="181"/>
      <c r="J173" s="49"/>
      <c r="K173" s="2"/>
    </row>
    <row r="174" spans="1:11" ht="27" customHeight="1" x14ac:dyDescent="0.2">
      <c r="A174" s="25" t="s">
        <v>623</v>
      </c>
      <c r="B174" s="27"/>
      <c r="C174" s="60"/>
      <c r="D174" s="178">
        <v>0</v>
      </c>
      <c r="E174" s="53">
        <v>0</v>
      </c>
      <c r="F174" s="59">
        <v>0</v>
      </c>
      <c r="G174" s="50">
        <v>0</v>
      </c>
      <c r="H174" s="180"/>
      <c r="I174" s="181"/>
      <c r="J174" s="49"/>
      <c r="K174" s="2"/>
    </row>
    <row r="175" spans="1:11" ht="27" customHeight="1" x14ac:dyDescent="0.2">
      <c r="A175" s="25" t="s">
        <v>624</v>
      </c>
      <c r="B175" s="27"/>
      <c r="C175" s="60"/>
      <c r="D175" s="178">
        <v>0</v>
      </c>
      <c r="E175" s="53">
        <v>0</v>
      </c>
      <c r="F175" s="59">
        <v>0</v>
      </c>
      <c r="G175" s="50">
        <v>0</v>
      </c>
      <c r="H175" s="180"/>
      <c r="I175" s="181"/>
      <c r="J175" s="49"/>
      <c r="K175" s="2"/>
    </row>
    <row r="176" spans="1:11" ht="27" customHeight="1" x14ac:dyDescent="0.2">
      <c r="A176" s="25" t="s">
        <v>169</v>
      </c>
      <c r="B176" s="27"/>
      <c r="C176" s="60"/>
      <c r="D176" s="178">
        <v>0</v>
      </c>
      <c r="E176" s="53">
        <v>0</v>
      </c>
      <c r="F176" s="59">
        <v>0</v>
      </c>
      <c r="G176" s="50">
        <v>0</v>
      </c>
      <c r="H176" s="50">
        <v>0</v>
      </c>
      <c r="I176" s="182">
        <v>0</v>
      </c>
      <c r="J176" s="48">
        <v>0</v>
      </c>
      <c r="K176" s="2"/>
    </row>
    <row r="177" spans="1:11" ht="27" customHeight="1" x14ac:dyDescent="0.2">
      <c r="A177" s="25" t="s">
        <v>170</v>
      </c>
      <c r="B177" s="27"/>
      <c r="C177" s="60"/>
      <c r="D177" s="178">
        <v>0</v>
      </c>
      <c r="E177" s="53">
        <v>0</v>
      </c>
      <c r="F177" s="59">
        <v>0</v>
      </c>
      <c r="G177" s="50">
        <v>0</v>
      </c>
      <c r="H177" s="50">
        <v>0</v>
      </c>
      <c r="I177" s="182">
        <v>0</v>
      </c>
      <c r="J177" s="48">
        <v>0</v>
      </c>
      <c r="K177" s="2"/>
    </row>
    <row r="178" spans="1:11" ht="27.75" customHeight="1" x14ac:dyDescent="0.2">
      <c r="A178" s="25" t="s">
        <v>171</v>
      </c>
      <c r="B178" s="27"/>
      <c r="C178" s="60"/>
      <c r="D178" s="178">
        <v>0</v>
      </c>
      <c r="E178" s="53">
        <v>0</v>
      </c>
      <c r="F178" s="59">
        <v>0</v>
      </c>
      <c r="G178" s="50">
        <v>0</v>
      </c>
      <c r="H178" s="50">
        <v>0</v>
      </c>
      <c r="I178" s="182">
        <v>0</v>
      </c>
      <c r="J178" s="48">
        <v>0</v>
      </c>
      <c r="K178" s="2"/>
    </row>
    <row r="179" spans="1:11" ht="27.75" customHeight="1" x14ac:dyDescent="0.2">
      <c r="A179" s="25" t="s">
        <v>230</v>
      </c>
      <c r="B179" s="27"/>
      <c r="C179" s="60"/>
      <c r="D179" s="48">
        <v>0</v>
      </c>
      <c r="E179" s="49"/>
      <c r="F179" s="49"/>
      <c r="G179" s="180"/>
      <c r="H179" s="180"/>
      <c r="I179" s="183"/>
      <c r="J179" s="49"/>
      <c r="K179" s="2"/>
    </row>
    <row r="180" spans="1:11" ht="27.75" customHeight="1" x14ac:dyDescent="0.2">
      <c r="A180" s="25" t="s">
        <v>231</v>
      </c>
      <c r="B180" s="27"/>
      <c r="C180" s="60"/>
      <c r="D180" s="48">
        <v>0</v>
      </c>
      <c r="E180" s="49"/>
      <c r="F180" s="49"/>
      <c r="G180" s="180"/>
      <c r="H180" s="180"/>
      <c r="I180" s="183"/>
      <c r="J180" s="49"/>
      <c r="K180" s="2"/>
    </row>
    <row r="181" spans="1:11" ht="27.75" customHeight="1" x14ac:dyDescent="0.2">
      <c r="A181" s="25" t="s">
        <v>232</v>
      </c>
      <c r="B181" s="27"/>
      <c r="C181" s="60"/>
      <c r="D181" s="48">
        <v>0</v>
      </c>
      <c r="E181" s="49"/>
      <c r="F181" s="49"/>
      <c r="G181" s="180"/>
      <c r="H181" s="180"/>
      <c r="I181" s="181"/>
      <c r="J181" s="49"/>
      <c r="K181" s="2"/>
    </row>
    <row r="182" spans="1:11" ht="27.75" customHeight="1" x14ac:dyDescent="0.2">
      <c r="A182" s="25" t="s">
        <v>233</v>
      </c>
      <c r="B182" s="27"/>
      <c r="C182" s="60"/>
      <c r="D182" s="48">
        <v>0</v>
      </c>
      <c r="E182" s="49"/>
      <c r="F182" s="49"/>
      <c r="G182" s="180"/>
      <c r="H182" s="180"/>
      <c r="I182" s="181"/>
      <c r="J182" s="49"/>
      <c r="K182" s="2"/>
    </row>
    <row r="183" spans="1:11" ht="27.75" customHeight="1" x14ac:dyDescent="0.2">
      <c r="A183" s="25" t="s">
        <v>172</v>
      </c>
      <c r="B183" s="27"/>
      <c r="C183" s="60"/>
      <c r="D183" s="179">
        <v>0</v>
      </c>
      <c r="E183" s="54">
        <v>0</v>
      </c>
      <c r="F183" s="59">
        <v>0</v>
      </c>
      <c r="G183" s="180"/>
      <c r="H183" s="180"/>
      <c r="I183" s="181"/>
      <c r="J183" s="49"/>
      <c r="K183" s="2"/>
    </row>
    <row r="184" spans="1:11" ht="27.75" customHeight="1" x14ac:dyDescent="0.2">
      <c r="A184" s="25" t="s">
        <v>625</v>
      </c>
      <c r="B184" s="27"/>
      <c r="C184" s="60"/>
      <c r="D184" s="48">
        <v>0</v>
      </c>
      <c r="E184" s="49"/>
      <c r="F184" s="49"/>
      <c r="G184" s="50">
        <v>0</v>
      </c>
      <c r="H184" s="180"/>
      <c r="I184" s="181"/>
      <c r="J184" s="49"/>
      <c r="K184" s="2"/>
    </row>
    <row r="185" spans="1:11" ht="27.75" customHeight="1" x14ac:dyDescent="0.2">
      <c r="A185" s="25" t="s">
        <v>173</v>
      </c>
      <c r="B185" s="27"/>
      <c r="C185" s="60"/>
      <c r="D185" s="48">
        <v>0</v>
      </c>
      <c r="E185" s="49"/>
      <c r="F185" s="49"/>
      <c r="G185" s="50">
        <v>0</v>
      </c>
      <c r="H185" s="180"/>
      <c r="I185" s="181"/>
      <c r="J185" s="49"/>
      <c r="K185" s="2"/>
    </row>
    <row r="186" spans="1:11" ht="27.75" customHeight="1" x14ac:dyDescent="0.2">
      <c r="A186" s="25" t="s">
        <v>174</v>
      </c>
      <c r="B186" s="27"/>
      <c r="C186" s="60"/>
      <c r="D186" s="48">
        <v>0</v>
      </c>
      <c r="E186" s="49"/>
      <c r="F186" s="49"/>
      <c r="G186" s="50">
        <v>0</v>
      </c>
      <c r="H186" s="180"/>
      <c r="I186" s="181"/>
      <c r="J186" s="48">
        <v>0</v>
      </c>
      <c r="K186" s="2"/>
    </row>
    <row r="187" spans="1:11" ht="27.75" customHeight="1" x14ac:dyDescent="0.2">
      <c r="A187" s="25" t="s">
        <v>175</v>
      </c>
      <c r="B187" s="27"/>
      <c r="C187" s="60"/>
      <c r="D187" s="178">
        <v>0</v>
      </c>
      <c r="E187" s="53">
        <v>0</v>
      </c>
      <c r="F187" s="59">
        <v>0</v>
      </c>
      <c r="G187" s="50">
        <v>0</v>
      </c>
      <c r="H187" s="180"/>
      <c r="I187" s="181"/>
      <c r="J187" s="48">
        <v>0</v>
      </c>
      <c r="K187" s="2"/>
    </row>
    <row r="188" spans="1:11" ht="27.75" customHeight="1" x14ac:dyDescent="0.2">
      <c r="A188" s="25" t="s">
        <v>176</v>
      </c>
      <c r="B188" s="27"/>
      <c r="C188" s="60"/>
      <c r="D188" s="48">
        <v>0</v>
      </c>
      <c r="E188" s="49"/>
      <c r="F188" s="49"/>
      <c r="G188" s="50">
        <v>0</v>
      </c>
      <c r="H188" s="180"/>
      <c r="I188" s="181"/>
      <c r="J188" s="48">
        <v>0</v>
      </c>
      <c r="K188" s="2"/>
    </row>
    <row r="189" spans="1:11" ht="27.75" customHeight="1" x14ac:dyDescent="0.2">
      <c r="A189" s="25" t="s">
        <v>177</v>
      </c>
      <c r="B189" s="27"/>
      <c r="C189" s="60"/>
      <c r="D189" s="178">
        <v>0</v>
      </c>
      <c r="E189" s="53">
        <v>0</v>
      </c>
      <c r="F189" s="59">
        <v>0</v>
      </c>
      <c r="G189" s="50">
        <v>0</v>
      </c>
      <c r="H189" s="180"/>
      <c r="I189" s="181"/>
      <c r="J189" s="48">
        <v>0</v>
      </c>
      <c r="K189" s="2"/>
    </row>
    <row r="190" spans="1:11" ht="27.75" customHeight="1" x14ac:dyDescent="0.2">
      <c r="A190" s="25" t="s">
        <v>178</v>
      </c>
      <c r="B190" s="27"/>
      <c r="C190" s="60"/>
      <c r="D190" s="48">
        <v>0</v>
      </c>
      <c r="E190" s="49"/>
      <c r="F190" s="49"/>
      <c r="G190" s="50">
        <v>0</v>
      </c>
      <c r="H190" s="180"/>
      <c r="I190" s="181"/>
      <c r="J190" s="48">
        <v>0</v>
      </c>
      <c r="K190" s="2"/>
    </row>
    <row r="191" spans="1:11" ht="27.75" customHeight="1" x14ac:dyDescent="0.2">
      <c r="A191" s="25" t="s">
        <v>179</v>
      </c>
      <c r="B191" s="27"/>
      <c r="C191" s="60"/>
      <c r="D191" s="178">
        <v>0</v>
      </c>
      <c r="E191" s="53">
        <v>0</v>
      </c>
      <c r="F191" s="59">
        <v>0</v>
      </c>
      <c r="G191" s="50">
        <v>0</v>
      </c>
      <c r="H191" s="180"/>
      <c r="I191" s="181"/>
      <c r="J191" s="48">
        <v>0</v>
      </c>
      <c r="K191" s="2"/>
    </row>
  </sheetData>
  <mergeCells count="13">
    <mergeCell ref="F9:G9"/>
    <mergeCell ref="F10:G10"/>
    <mergeCell ref="H10:J10"/>
    <mergeCell ref="B1:D1"/>
    <mergeCell ref="F1:H1"/>
    <mergeCell ref="A2:J2"/>
    <mergeCell ref="F4:J4"/>
    <mergeCell ref="F5:G5"/>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8" scale="65" fitToHeight="0" orientation="portrait" r:id="rId1"/>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FD209"/>
  <sheetViews>
    <sheetView zoomScale="80" zoomScaleNormal="80" zoomScaleSheetLayoutView="100" workbookViewId="0">
      <selection activeCell="B15" sqref="B15"/>
    </sheetView>
  </sheetViews>
  <sheetFormatPr defaultRowHeight="12.75" x14ac:dyDescent="0.2"/>
  <cols>
    <col min="1" max="1" width="29.85546875" bestFit="1" customWidth="1"/>
    <col min="2" max="6" width="24" customWidth="1"/>
    <col min="8" max="8" width="8.5703125" style="214" bestFit="1" customWidth="1"/>
    <col min="9" max="9" width="12.28515625" style="214" bestFit="1" customWidth="1"/>
    <col min="10" max="11" width="9.28515625" style="214" bestFit="1" customWidth="1"/>
  </cols>
  <sheetData>
    <row r="1" spans="1:16384" s="2" customFormat="1" ht="27.75" customHeight="1" x14ac:dyDescent="0.2">
      <c r="A1" s="173" t="s">
        <v>87</v>
      </c>
      <c r="B1"/>
      <c r="C1" s="172"/>
      <c r="D1"/>
      <c r="E1"/>
      <c r="F1"/>
      <c r="G1"/>
      <c r="H1" s="214"/>
      <c r="I1" s="214"/>
      <c r="J1" s="214"/>
      <c r="K1" s="214"/>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c r="AMM1"/>
      <c r="AMN1"/>
      <c r="AMO1"/>
      <c r="AMP1"/>
      <c r="AMQ1"/>
      <c r="AMR1"/>
      <c r="AMS1"/>
      <c r="AMT1"/>
      <c r="AMU1"/>
      <c r="AMV1"/>
      <c r="AMW1"/>
      <c r="AMX1"/>
      <c r="AMY1"/>
      <c r="AMZ1"/>
      <c r="ANA1"/>
      <c r="ANB1"/>
      <c r="ANC1"/>
      <c r="AND1"/>
      <c r="ANE1"/>
      <c r="ANF1"/>
      <c r="ANG1"/>
      <c r="ANH1"/>
      <c r="ANI1"/>
      <c r="ANJ1"/>
      <c r="ANK1"/>
      <c r="ANL1"/>
      <c r="ANM1"/>
      <c r="ANN1"/>
      <c r="ANO1"/>
      <c r="ANP1"/>
      <c r="ANQ1"/>
      <c r="ANR1"/>
      <c r="ANS1"/>
      <c r="ANT1"/>
      <c r="ANU1"/>
      <c r="ANV1"/>
      <c r="ANW1"/>
      <c r="ANX1"/>
      <c r="ANY1"/>
      <c r="ANZ1"/>
      <c r="AOA1"/>
      <c r="AOB1"/>
      <c r="AOC1"/>
      <c r="AOD1"/>
      <c r="AOE1"/>
      <c r="AOF1"/>
      <c r="AOG1"/>
      <c r="AOH1"/>
      <c r="AOI1"/>
      <c r="AOJ1"/>
      <c r="AOK1"/>
      <c r="AOL1"/>
      <c r="AOM1"/>
      <c r="AON1"/>
      <c r="AOO1"/>
      <c r="AOP1"/>
      <c r="AOQ1"/>
      <c r="AOR1"/>
      <c r="AOS1"/>
      <c r="AOT1"/>
      <c r="AOU1"/>
      <c r="AOV1"/>
      <c r="AOW1"/>
      <c r="AOX1"/>
      <c r="AOY1"/>
      <c r="AOZ1"/>
      <c r="APA1"/>
      <c r="APB1"/>
      <c r="APC1"/>
      <c r="APD1"/>
      <c r="APE1"/>
      <c r="APF1"/>
      <c r="APG1"/>
      <c r="APH1"/>
      <c r="API1"/>
      <c r="APJ1"/>
      <c r="APK1"/>
      <c r="APL1"/>
      <c r="APM1"/>
      <c r="APN1"/>
      <c r="APO1"/>
      <c r="APP1"/>
      <c r="APQ1"/>
      <c r="APR1"/>
      <c r="APS1"/>
      <c r="APT1"/>
      <c r="APU1"/>
      <c r="APV1"/>
      <c r="APW1"/>
      <c r="APX1"/>
      <c r="APY1"/>
      <c r="APZ1"/>
      <c r="AQA1"/>
      <c r="AQB1"/>
      <c r="AQC1"/>
      <c r="AQD1"/>
      <c r="AQE1"/>
      <c r="AQF1"/>
      <c r="AQG1"/>
      <c r="AQH1"/>
      <c r="AQI1"/>
      <c r="AQJ1"/>
      <c r="AQK1"/>
      <c r="AQL1"/>
      <c r="AQM1"/>
      <c r="AQN1"/>
      <c r="AQO1"/>
      <c r="AQP1"/>
      <c r="AQQ1"/>
      <c r="AQR1"/>
      <c r="AQS1"/>
      <c r="AQT1"/>
      <c r="AQU1"/>
      <c r="AQV1"/>
      <c r="AQW1"/>
      <c r="AQX1"/>
      <c r="AQY1"/>
      <c r="AQZ1"/>
      <c r="ARA1"/>
      <c r="ARB1"/>
      <c r="ARC1"/>
      <c r="ARD1"/>
      <c r="ARE1"/>
      <c r="ARF1"/>
      <c r="ARG1"/>
      <c r="ARH1"/>
      <c r="ARI1"/>
      <c r="ARJ1"/>
      <c r="ARK1"/>
      <c r="ARL1"/>
      <c r="ARM1"/>
      <c r="ARN1"/>
      <c r="ARO1"/>
      <c r="ARP1"/>
      <c r="ARQ1"/>
      <c r="ARR1"/>
      <c r="ARS1"/>
      <c r="ART1"/>
      <c r="ARU1"/>
      <c r="ARV1"/>
      <c r="ARW1"/>
      <c r="ARX1"/>
      <c r="ARY1"/>
      <c r="ARZ1"/>
      <c r="ASA1"/>
      <c r="ASB1"/>
      <c r="ASC1"/>
      <c r="ASD1"/>
      <c r="ASE1"/>
      <c r="ASF1"/>
      <c r="ASG1"/>
      <c r="ASH1"/>
      <c r="ASI1"/>
      <c r="ASJ1"/>
      <c r="ASK1"/>
      <c r="ASL1"/>
      <c r="ASM1"/>
      <c r="ASN1"/>
      <c r="ASO1"/>
      <c r="ASP1"/>
      <c r="ASQ1"/>
      <c r="ASR1"/>
      <c r="ASS1"/>
      <c r="AST1"/>
      <c r="ASU1"/>
      <c r="ASV1"/>
      <c r="ASW1"/>
      <c r="ASX1"/>
      <c r="ASY1"/>
      <c r="ASZ1"/>
      <c r="ATA1"/>
      <c r="ATB1"/>
      <c r="ATC1"/>
      <c r="ATD1"/>
      <c r="ATE1"/>
      <c r="ATF1"/>
      <c r="ATG1"/>
      <c r="ATH1"/>
      <c r="ATI1"/>
      <c r="ATJ1"/>
      <c r="ATK1"/>
      <c r="ATL1"/>
      <c r="ATM1"/>
      <c r="ATN1"/>
      <c r="ATO1"/>
      <c r="ATP1"/>
      <c r="ATQ1"/>
      <c r="ATR1"/>
      <c r="ATS1"/>
      <c r="ATT1"/>
      <c r="ATU1"/>
      <c r="ATV1"/>
      <c r="ATW1"/>
      <c r="ATX1"/>
      <c r="ATY1"/>
      <c r="ATZ1"/>
      <c r="AUA1"/>
      <c r="AUB1"/>
      <c r="AUC1"/>
      <c r="AUD1"/>
      <c r="AUE1"/>
      <c r="AUF1"/>
      <c r="AUG1"/>
      <c r="AUH1"/>
      <c r="AUI1"/>
      <c r="AUJ1"/>
      <c r="AUK1"/>
      <c r="AUL1"/>
      <c r="AUM1"/>
      <c r="AUN1"/>
      <c r="AUO1"/>
      <c r="AUP1"/>
      <c r="AUQ1"/>
      <c r="AUR1"/>
      <c r="AUS1"/>
      <c r="AUT1"/>
      <c r="AUU1"/>
      <c r="AUV1"/>
      <c r="AUW1"/>
      <c r="AUX1"/>
      <c r="AUY1"/>
      <c r="AUZ1"/>
      <c r="AVA1"/>
      <c r="AVB1"/>
      <c r="AVC1"/>
      <c r="AVD1"/>
      <c r="AVE1"/>
      <c r="AVF1"/>
      <c r="AVG1"/>
      <c r="AVH1"/>
      <c r="AVI1"/>
      <c r="AVJ1"/>
      <c r="AVK1"/>
      <c r="AVL1"/>
      <c r="AVM1"/>
      <c r="AVN1"/>
      <c r="AVO1"/>
      <c r="AVP1"/>
      <c r="AVQ1"/>
      <c r="AVR1"/>
      <c r="AVS1"/>
      <c r="AVT1"/>
      <c r="AVU1"/>
      <c r="AVV1"/>
      <c r="AVW1"/>
      <c r="AVX1"/>
      <c r="AVY1"/>
      <c r="AVZ1"/>
      <c r="AWA1"/>
      <c r="AWB1"/>
      <c r="AWC1"/>
      <c r="AWD1"/>
      <c r="AWE1"/>
      <c r="AWF1"/>
      <c r="AWG1"/>
      <c r="AWH1"/>
      <c r="AWI1"/>
      <c r="AWJ1"/>
      <c r="AWK1"/>
      <c r="AWL1"/>
      <c r="AWM1"/>
      <c r="AWN1"/>
      <c r="AWO1"/>
      <c r="AWP1"/>
      <c r="AWQ1"/>
      <c r="AWR1"/>
      <c r="AWS1"/>
      <c r="AWT1"/>
      <c r="AWU1"/>
      <c r="AWV1"/>
      <c r="AWW1"/>
      <c r="AWX1"/>
      <c r="AWY1"/>
      <c r="AWZ1"/>
      <c r="AXA1"/>
      <c r="AXB1"/>
      <c r="AXC1"/>
      <c r="AXD1"/>
      <c r="AXE1"/>
      <c r="AXF1"/>
      <c r="AXG1"/>
      <c r="AXH1"/>
      <c r="AXI1"/>
      <c r="AXJ1"/>
      <c r="AXK1"/>
      <c r="AXL1"/>
      <c r="AXM1"/>
      <c r="AXN1"/>
      <c r="AXO1"/>
      <c r="AXP1"/>
      <c r="AXQ1"/>
      <c r="AXR1"/>
      <c r="AXS1"/>
      <c r="AXT1"/>
      <c r="AXU1"/>
      <c r="AXV1"/>
      <c r="AXW1"/>
      <c r="AXX1"/>
      <c r="AXY1"/>
      <c r="AXZ1"/>
      <c r="AYA1"/>
      <c r="AYB1"/>
      <c r="AYC1"/>
      <c r="AYD1"/>
      <c r="AYE1"/>
      <c r="AYF1"/>
      <c r="AYG1"/>
      <c r="AYH1"/>
      <c r="AYI1"/>
      <c r="AYJ1"/>
      <c r="AYK1"/>
      <c r="AYL1"/>
      <c r="AYM1"/>
      <c r="AYN1"/>
      <c r="AYO1"/>
      <c r="AYP1"/>
      <c r="AYQ1"/>
      <c r="AYR1"/>
      <c r="AYS1"/>
      <c r="AYT1"/>
      <c r="AYU1"/>
      <c r="AYV1"/>
      <c r="AYW1"/>
      <c r="AYX1"/>
      <c r="AYY1"/>
      <c r="AYZ1"/>
      <c r="AZA1"/>
      <c r="AZB1"/>
      <c r="AZC1"/>
      <c r="AZD1"/>
      <c r="AZE1"/>
      <c r="AZF1"/>
      <c r="AZG1"/>
      <c r="AZH1"/>
      <c r="AZI1"/>
      <c r="AZJ1"/>
      <c r="AZK1"/>
      <c r="AZL1"/>
      <c r="AZM1"/>
      <c r="AZN1"/>
      <c r="AZO1"/>
      <c r="AZP1"/>
      <c r="AZQ1"/>
      <c r="AZR1"/>
      <c r="AZS1"/>
      <c r="AZT1"/>
      <c r="AZU1"/>
      <c r="AZV1"/>
      <c r="AZW1"/>
      <c r="AZX1"/>
      <c r="AZY1"/>
      <c r="AZZ1"/>
      <c r="BAA1"/>
      <c r="BAB1"/>
      <c r="BAC1"/>
      <c r="BAD1"/>
      <c r="BAE1"/>
      <c r="BAF1"/>
      <c r="BAG1"/>
      <c r="BAH1"/>
      <c r="BAI1"/>
      <c r="BAJ1"/>
      <c r="BAK1"/>
      <c r="BAL1"/>
      <c r="BAM1"/>
      <c r="BAN1"/>
      <c r="BAO1"/>
      <c r="BAP1"/>
      <c r="BAQ1"/>
      <c r="BAR1"/>
      <c r="BAS1"/>
      <c r="BAT1"/>
      <c r="BAU1"/>
      <c r="BAV1"/>
      <c r="BAW1"/>
      <c r="BAX1"/>
      <c r="BAY1"/>
      <c r="BAZ1"/>
      <c r="BBA1"/>
      <c r="BBB1"/>
      <c r="BBC1"/>
      <c r="BBD1"/>
      <c r="BBE1"/>
      <c r="BBF1"/>
      <c r="BBG1"/>
      <c r="BBH1"/>
      <c r="BBI1"/>
      <c r="BBJ1"/>
      <c r="BBK1"/>
      <c r="BBL1"/>
      <c r="BBM1"/>
      <c r="BBN1"/>
      <c r="BBO1"/>
      <c r="BBP1"/>
      <c r="BBQ1"/>
      <c r="BBR1"/>
      <c r="BBS1"/>
      <c r="BBT1"/>
      <c r="BBU1"/>
      <c r="BBV1"/>
      <c r="BBW1"/>
      <c r="BBX1"/>
      <c r="BBY1"/>
      <c r="BBZ1"/>
      <c r="BCA1"/>
      <c r="BCB1"/>
      <c r="BCC1"/>
      <c r="BCD1"/>
      <c r="BCE1"/>
      <c r="BCF1"/>
      <c r="BCG1"/>
      <c r="BCH1"/>
      <c r="BCI1"/>
      <c r="BCJ1"/>
      <c r="BCK1"/>
      <c r="BCL1"/>
      <c r="BCM1"/>
      <c r="BCN1"/>
      <c r="BCO1"/>
      <c r="BCP1"/>
      <c r="BCQ1"/>
      <c r="BCR1"/>
      <c r="BCS1"/>
      <c r="BCT1"/>
      <c r="BCU1"/>
      <c r="BCV1"/>
      <c r="BCW1"/>
      <c r="BCX1"/>
      <c r="BCY1"/>
      <c r="BCZ1"/>
      <c r="BDA1"/>
      <c r="BDB1"/>
      <c r="BDC1"/>
      <c r="BDD1"/>
      <c r="BDE1"/>
      <c r="BDF1"/>
      <c r="BDG1"/>
      <c r="BDH1"/>
      <c r="BDI1"/>
      <c r="BDJ1"/>
      <c r="BDK1"/>
      <c r="BDL1"/>
      <c r="BDM1"/>
      <c r="BDN1"/>
      <c r="BDO1"/>
      <c r="BDP1"/>
      <c r="BDQ1"/>
      <c r="BDR1"/>
      <c r="BDS1"/>
      <c r="BDT1"/>
      <c r="BDU1"/>
      <c r="BDV1"/>
      <c r="BDW1"/>
      <c r="BDX1"/>
      <c r="BDY1"/>
      <c r="BDZ1"/>
      <c r="BEA1"/>
      <c r="BEB1"/>
      <c r="BEC1"/>
      <c r="BED1"/>
      <c r="BEE1"/>
      <c r="BEF1"/>
      <c r="BEG1"/>
      <c r="BEH1"/>
      <c r="BEI1"/>
      <c r="BEJ1"/>
      <c r="BEK1"/>
      <c r="BEL1"/>
      <c r="BEM1"/>
      <c r="BEN1"/>
      <c r="BEO1"/>
      <c r="BEP1"/>
      <c r="BEQ1"/>
      <c r="BER1"/>
      <c r="BES1"/>
      <c r="BET1"/>
      <c r="BEU1"/>
      <c r="BEV1"/>
      <c r="BEW1"/>
      <c r="BEX1"/>
      <c r="BEY1"/>
      <c r="BEZ1"/>
      <c r="BFA1"/>
      <c r="BFB1"/>
      <c r="BFC1"/>
      <c r="BFD1"/>
      <c r="BFE1"/>
      <c r="BFF1"/>
      <c r="BFG1"/>
      <c r="BFH1"/>
      <c r="BFI1"/>
      <c r="BFJ1"/>
      <c r="BFK1"/>
      <c r="BFL1"/>
      <c r="BFM1"/>
      <c r="BFN1"/>
      <c r="BFO1"/>
      <c r="BFP1"/>
      <c r="BFQ1"/>
      <c r="BFR1"/>
      <c r="BFS1"/>
      <c r="BFT1"/>
      <c r="BFU1"/>
      <c r="BFV1"/>
      <c r="BFW1"/>
      <c r="BFX1"/>
      <c r="BFY1"/>
      <c r="BFZ1"/>
      <c r="BGA1"/>
      <c r="BGB1"/>
      <c r="BGC1"/>
      <c r="BGD1"/>
      <c r="BGE1"/>
      <c r="BGF1"/>
      <c r="BGG1"/>
      <c r="BGH1"/>
      <c r="BGI1"/>
      <c r="BGJ1"/>
      <c r="BGK1"/>
      <c r="BGL1"/>
      <c r="BGM1"/>
      <c r="BGN1"/>
      <c r="BGO1"/>
      <c r="BGP1"/>
      <c r="BGQ1"/>
      <c r="BGR1"/>
      <c r="BGS1"/>
      <c r="BGT1"/>
      <c r="BGU1"/>
      <c r="BGV1"/>
      <c r="BGW1"/>
      <c r="BGX1"/>
      <c r="BGY1"/>
      <c r="BGZ1"/>
      <c r="BHA1"/>
      <c r="BHB1"/>
      <c r="BHC1"/>
      <c r="BHD1"/>
      <c r="BHE1"/>
      <c r="BHF1"/>
      <c r="BHG1"/>
      <c r="BHH1"/>
      <c r="BHI1"/>
      <c r="BHJ1"/>
      <c r="BHK1"/>
      <c r="BHL1"/>
      <c r="BHM1"/>
      <c r="BHN1"/>
      <c r="BHO1"/>
      <c r="BHP1"/>
      <c r="BHQ1"/>
      <c r="BHR1"/>
      <c r="BHS1"/>
      <c r="BHT1"/>
      <c r="BHU1"/>
      <c r="BHV1"/>
      <c r="BHW1"/>
      <c r="BHX1"/>
      <c r="BHY1"/>
      <c r="BHZ1"/>
      <c r="BIA1"/>
      <c r="BIB1"/>
      <c r="BIC1"/>
      <c r="BID1"/>
      <c r="BIE1"/>
      <c r="BIF1"/>
      <c r="BIG1"/>
      <c r="BIH1"/>
      <c r="BII1"/>
      <c r="BIJ1"/>
      <c r="BIK1"/>
      <c r="BIL1"/>
      <c r="BIM1"/>
      <c r="BIN1"/>
      <c r="BIO1"/>
      <c r="BIP1"/>
      <c r="BIQ1"/>
      <c r="BIR1"/>
      <c r="BIS1"/>
      <c r="BIT1"/>
      <c r="BIU1"/>
      <c r="BIV1"/>
      <c r="BIW1"/>
      <c r="BIX1"/>
      <c r="BIY1"/>
      <c r="BIZ1"/>
      <c r="BJA1"/>
      <c r="BJB1"/>
      <c r="BJC1"/>
      <c r="BJD1"/>
      <c r="BJE1"/>
      <c r="BJF1"/>
      <c r="BJG1"/>
      <c r="BJH1"/>
      <c r="BJI1"/>
      <c r="BJJ1"/>
      <c r="BJK1"/>
      <c r="BJL1"/>
      <c r="BJM1"/>
      <c r="BJN1"/>
      <c r="BJO1"/>
      <c r="BJP1"/>
      <c r="BJQ1"/>
      <c r="BJR1"/>
      <c r="BJS1"/>
      <c r="BJT1"/>
      <c r="BJU1"/>
      <c r="BJV1"/>
      <c r="BJW1"/>
      <c r="BJX1"/>
      <c r="BJY1"/>
      <c r="BJZ1"/>
      <c r="BKA1"/>
      <c r="BKB1"/>
      <c r="BKC1"/>
      <c r="BKD1"/>
      <c r="BKE1"/>
      <c r="BKF1"/>
      <c r="BKG1"/>
      <c r="BKH1"/>
      <c r="BKI1"/>
      <c r="BKJ1"/>
      <c r="BKK1"/>
      <c r="BKL1"/>
      <c r="BKM1"/>
      <c r="BKN1"/>
      <c r="BKO1"/>
      <c r="BKP1"/>
      <c r="BKQ1"/>
      <c r="BKR1"/>
      <c r="BKS1"/>
      <c r="BKT1"/>
      <c r="BKU1"/>
      <c r="BKV1"/>
      <c r="BKW1"/>
      <c r="BKX1"/>
      <c r="BKY1"/>
      <c r="BKZ1"/>
      <c r="BLA1"/>
      <c r="BLB1"/>
      <c r="BLC1"/>
      <c r="BLD1"/>
      <c r="BLE1"/>
      <c r="BLF1"/>
      <c r="BLG1"/>
      <c r="BLH1"/>
      <c r="BLI1"/>
      <c r="BLJ1"/>
      <c r="BLK1"/>
      <c r="BLL1"/>
      <c r="BLM1"/>
      <c r="BLN1"/>
      <c r="BLO1"/>
      <c r="BLP1"/>
      <c r="BLQ1"/>
      <c r="BLR1"/>
      <c r="BLS1"/>
      <c r="BLT1"/>
      <c r="BLU1"/>
      <c r="BLV1"/>
      <c r="BLW1"/>
      <c r="BLX1"/>
      <c r="BLY1"/>
      <c r="BLZ1"/>
      <c r="BMA1"/>
      <c r="BMB1"/>
      <c r="BMC1"/>
      <c r="BMD1"/>
      <c r="BME1"/>
      <c r="BMF1"/>
      <c r="BMG1"/>
      <c r="BMH1"/>
      <c r="BMI1"/>
      <c r="BMJ1"/>
      <c r="BMK1"/>
      <c r="BML1"/>
      <c r="BMM1"/>
      <c r="BMN1"/>
      <c r="BMO1"/>
      <c r="BMP1"/>
      <c r="BMQ1"/>
      <c r="BMR1"/>
      <c r="BMS1"/>
      <c r="BMT1"/>
      <c r="BMU1"/>
      <c r="BMV1"/>
      <c r="BMW1"/>
      <c r="BMX1"/>
      <c r="BMY1"/>
      <c r="BMZ1"/>
      <c r="BNA1"/>
      <c r="BNB1"/>
      <c r="BNC1"/>
      <c r="BND1"/>
      <c r="BNE1"/>
      <c r="BNF1"/>
      <c r="BNG1"/>
      <c r="BNH1"/>
      <c r="BNI1"/>
      <c r="BNJ1"/>
      <c r="BNK1"/>
      <c r="BNL1"/>
      <c r="BNM1"/>
      <c r="BNN1"/>
      <c r="BNO1"/>
      <c r="BNP1"/>
      <c r="BNQ1"/>
      <c r="BNR1"/>
      <c r="BNS1"/>
      <c r="BNT1"/>
      <c r="BNU1"/>
      <c r="BNV1"/>
      <c r="BNW1"/>
      <c r="BNX1"/>
      <c r="BNY1"/>
      <c r="BNZ1"/>
      <c r="BOA1"/>
      <c r="BOB1"/>
      <c r="BOC1"/>
      <c r="BOD1"/>
      <c r="BOE1"/>
      <c r="BOF1"/>
      <c r="BOG1"/>
      <c r="BOH1"/>
      <c r="BOI1"/>
      <c r="BOJ1"/>
      <c r="BOK1"/>
      <c r="BOL1"/>
      <c r="BOM1"/>
      <c r="BON1"/>
      <c r="BOO1"/>
      <c r="BOP1"/>
      <c r="BOQ1"/>
      <c r="BOR1"/>
      <c r="BOS1"/>
      <c r="BOT1"/>
      <c r="BOU1"/>
      <c r="BOV1"/>
      <c r="BOW1"/>
      <c r="BOX1"/>
      <c r="BOY1"/>
      <c r="BOZ1"/>
      <c r="BPA1"/>
      <c r="BPB1"/>
      <c r="BPC1"/>
      <c r="BPD1"/>
      <c r="BPE1"/>
      <c r="BPF1"/>
      <c r="BPG1"/>
      <c r="BPH1"/>
      <c r="BPI1"/>
      <c r="BPJ1"/>
      <c r="BPK1"/>
      <c r="BPL1"/>
      <c r="BPM1"/>
      <c r="BPN1"/>
      <c r="BPO1"/>
      <c r="BPP1"/>
      <c r="BPQ1"/>
      <c r="BPR1"/>
      <c r="BPS1"/>
      <c r="BPT1"/>
      <c r="BPU1"/>
      <c r="BPV1"/>
      <c r="BPW1"/>
      <c r="BPX1"/>
      <c r="BPY1"/>
      <c r="BPZ1"/>
      <c r="BQA1"/>
      <c r="BQB1"/>
      <c r="BQC1"/>
      <c r="BQD1"/>
      <c r="BQE1"/>
      <c r="BQF1"/>
      <c r="BQG1"/>
      <c r="BQH1"/>
      <c r="BQI1"/>
      <c r="BQJ1"/>
      <c r="BQK1"/>
      <c r="BQL1"/>
      <c r="BQM1"/>
      <c r="BQN1"/>
      <c r="BQO1"/>
      <c r="BQP1"/>
      <c r="BQQ1"/>
      <c r="BQR1"/>
      <c r="BQS1"/>
      <c r="BQT1"/>
      <c r="BQU1"/>
      <c r="BQV1"/>
      <c r="BQW1"/>
      <c r="BQX1"/>
      <c r="BQY1"/>
      <c r="BQZ1"/>
      <c r="BRA1"/>
      <c r="BRB1"/>
      <c r="BRC1"/>
      <c r="BRD1"/>
      <c r="BRE1"/>
      <c r="BRF1"/>
      <c r="BRG1"/>
      <c r="BRH1"/>
      <c r="BRI1"/>
      <c r="BRJ1"/>
      <c r="BRK1"/>
      <c r="BRL1"/>
      <c r="BRM1"/>
      <c r="BRN1"/>
      <c r="BRO1"/>
      <c r="BRP1"/>
      <c r="BRQ1"/>
      <c r="BRR1"/>
      <c r="BRS1"/>
      <c r="BRT1"/>
      <c r="BRU1"/>
      <c r="BRV1"/>
      <c r="BRW1"/>
      <c r="BRX1"/>
      <c r="BRY1"/>
      <c r="BRZ1"/>
      <c r="BSA1"/>
      <c r="BSB1"/>
      <c r="BSC1"/>
      <c r="BSD1"/>
      <c r="BSE1"/>
      <c r="BSF1"/>
      <c r="BSG1"/>
      <c r="BSH1"/>
      <c r="BSI1"/>
      <c r="BSJ1"/>
      <c r="BSK1"/>
      <c r="BSL1"/>
      <c r="BSM1"/>
      <c r="BSN1"/>
      <c r="BSO1"/>
      <c r="BSP1"/>
      <c r="BSQ1"/>
      <c r="BSR1"/>
      <c r="BSS1"/>
      <c r="BST1"/>
      <c r="BSU1"/>
      <c r="BSV1"/>
      <c r="BSW1"/>
      <c r="BSX1"/>
      <c r="BSY1"/>
      <c r="BSZ1"/>
      <c r="BTA1"/>
      <c r="BTB1"/>
      <c r="BTC1"/>
      <c r="BTD1"/>
      <c r="BTE1"/>
      <c r="BTF1"/>
      <c r="BTG1"/>
      <c r="BTH1"/>
      <c r="BTI1"/>
      <c r="BTJ1"/>
      <c r="BTK1"/>
      <c r="BTL1"/>
      <c r="BTM1"/>
      <c r="BTN1"/>
      <c r="BTO1"/>
      <c r="BTP1"/>
      <c r="BTQ1"/>
      <c r="BTR1"/>
      <c r="BTS1"/>
      <c r="BTT1"/>
      <c r="BTU1"/>
      <c r="BTV1"/>
      <c r="BTW1"/>
      <c r="BTX1"/>
      <c r="BTY1"/>
      <c r="BTZ1"/>
      <c r="BUA1"/>
      <c r="BUB1"/>
      <c r="BUC1"/>
      <c r="BUD1"/>
      <c r="BUE1"/>
      <c r="BUF1"/>
      <c r="BUG1"/>
      <c r="BUH1"/>
      <c r="BUI1"/>
      <c r="BUJ1"/>
      <c r="BUK1"/>
      <c r="BUL1"/>
      <c r="BUM1"/>
      <c r="BUN1"/>
      <c r="BUO1"/>
      <c r="BUP1"/>
      <c r="BUQ1"/>
      <c r="BUR1"/>
      <c r="BUS1"/>
      <c r="BUT1"/>
      <c r="BUU1"/>
      <c r="BUV1"/>
      <c r="BUW1"/>
      <c r="BUX1"/>
      <c r="BUY1"/>
      <c r="BUZ1"/>
      <c r="BVA1"/>
      <c r="BVB1"/>
      <c r="BVC1"/>
      <c r="BVD1"/>
      <c r="BVE1"/>
      <c r="BVF1"/>
      <c r="BVG1"/>
      <c r="BVH1"/>
      <c r="BVI1"/>
      <c r="BVJ1"/>
      <c r="BVK1"/>
      <c r="BVL1"/>
      <c r="BVM1"/>
      <c r="BVN1"/>
      <c r="BVO1"/>
      <c r="BVP1"/>
      <c r="BVQ1"/>
      <c r="BVR1"/>
      <c r="BVS1"/>
      <c r="BVT1"/>
      <c r="BVU1"/>
      <c r="BVV1"/>
      <c r="BVW1"/>
      <c r="BVX1"/>
      <c r="BVY1"/>
      <c r="BVZ1"/>
      <c r="BWA1"/>
      <c r="BWB1"/>
      <c r="BWC1"/>
      <c r="BWD1"/>
      <c r="BWE1"/>
      <c r="BWF1"/>
      <c r="BWG1"/>
      <c r="BWH1"/>
      <c r="BWI1"/>
      <c r="BWJ1"/>
      <c r="BWK1"/>
      <c r="BWL1"/>
      <c r="BWM1"/>
      <c r="BWN1"/>
      <c r="BWO1"/>
      <c r="BWP1"/>
      <c r="BWQ1"/>
      <c r="BWR1"/>
      <c r="BWS1"/>
      <c r="BWT1"/>
      <c r="BWU1"/>
      <c r="BWV1"/>
      <c r="BWW1"/>
      <c r="BWX1"/>
      <c r="BWY1"/>
      <c r="BWZ1"/>
      <c r="BXA1"/>
      <c r="BXB1"/>
      <c r="BXC1"/>
      <c r="BXD1"/>
      <c r="BXE1"/>
      <c r="BXF1"/>
      <c r="BXG1"/>
      <c r="BXH1"/>
      <c r="BXI1"/>
      <c r="BXJ1"/>
      <c r="BXK1"/>
      <c r="BXL1"/>
      <c r="BXM1"/>
      <c r="BXN1"/>
      <c r="BXO1"/>
      <c r="BXP1"/>
      <c r="BXQ1"/>
      <c r="BXR1"/>
      <c r="BXS1"/>
      <c r="BXT1"/>
      <c r="BXU1"/>
      <c r="BXV1"/>
      <c r="BXW1"/>
      <c r="BXX1"/>
      <c r="BXY1"/>
      <c r="BXZ1"/>
      <c r="BYA1"/>
      <c r="BYB1"/>
      <c r="BYC1"/>
      <c r="BYD1"/>
      <c r="BYE1"/>
      <c r="BYF1"/>
      <c r="BYG1"/>
      <c r="BYH1"/>
      <c r="BYI1"/>
      <c r="BYJ1"/>
      <c r="BYK1"/>
      <c r="BYL1"/>
      <c r="BYM1"/>
      <c r="BYN1"/>
      <c r="BYO1"/>
      <c r="BYP1"/>
      <c r="BYQ1"/>
      <c r="BYR1"/>
      <c r="BYS1"/>
      <c r="BYT1"/>
      <c r="BYU1"/>
      <c r="BYV1"/>
      <c r="BYW1"/>
      <c r="BYX1"/>
      <c r="BYY1"/>
      <c r="BYZ1"/>
      <c r="BZA1"/>
      <c r="BZB1"/>
      <c r="BZC1"/>
      <c r="BZD1"/>
      <c r="BZE1"/>
      <c r="BZF1"/>
      <c r="BZG1"/>
      <c r="BZH1"/>
      <c r="BZI1"/>
      <c r="BZJ1"/>
      <c r="BZK1"/>
      <c r="BZL1"/>
      <c r="BZM1"/>
      <c r="BZN1"/>
      <c r="BZO1"/>
      <c r="BZP1"/>
      <c r="BZQ1"/>
      <c r="BZR1"/>
      <c r="BZS1"/>
      <c r="BZT1"/>
      <c r="BZU1"/>
      <c r="BZV1"/>
      <c r="BZW1"/>
      <c r="BZX1"/>
      <c r="BZY1"/>
      <c r="BZZ1"/>
      <c r="CAA1"/>
      <c r="CAB1"/>
      <c r="CAC1"/>
      <c r="CAD1"/>
      <c r="CAE1"/>
      <c r="CAF1"/>
      <c r="CAG1"/>
      <c r="CAH1"/>
      <c r="CAI1"/>
      <c r="CAJ1"/>
      <c r="CAK1"/>
      <c r="CAL1"/>
      <c r="CAM1"/>
      <c r="CAN1"/>
      <c r="CAO1"/>
      <c r="CAP1"/>
      <c r="CAQ1"/>
      <c r="CAR1"/>
      <c r="CAS1"/>
      <c r="CAT1"/>
      <c r="CAU1"/>
      <c r="CAV1"/>
      <c r="CAW1"/>
      <c r="CAX1"/>
      <c r="CAY1"/>
      <c r="CAZ1"/>
      <c r="CBA1"/>
      <c r="CBB1"/>
      <c r="CBC1"/>
      <c r="CBD1"/>
      <c r="CBE1"/>
      <c r="CBF1"/>
      <c r="CBG1"/>
      <c r="CBH1"/>
      <c r="CBI1"/>
      <c r="CBJ1"/>
      <c r="CBK1"/>
      <c r="CBL1"/>
      <c r="CBM1"/>
      <c r="CBN1"/>
      <c r="CBO1"/>
      <c r="CBP1"/>
      <c r="CBQ1"/>
      <c r="CBR1"/>
      <c r="CBS1"/>
      <c r="CBT1"/>
      <c r="CBU1"/>
      <c r="CBV1"/>
      <c r="CBW1"/>
      <c r="CBX1"/>
      <c r="CBY1"/>
      <c r="CBZ1"/>
      <c r="CCA1"/>
      <c r="CCB1"/>
      <c r="CCC1"/>
      <c r="CCD1"/>
      <c r="CCE1"/>
      <c r="CCF1"/>
      <c r="CCG1"/>
      <c r="CCH1"/>
      <c r="CCI1"/>
      <c r="CCJ1"/>
      <c r="CCK1"/>
      <c r="CCL1"/>
      <c r="CCM1"/>
      <c r="CCN1"/>
      <c r="CCO1"/>
      <c r="CCP1"/>
      <c r="CCQ1"/>
      <c r="CCR1"/>
      <c r="CCS1"/>
      <c r="CCT1"/>
      <c r="CCU1"/>
      <c r="CCV1"/>
      <c r="CCW1"/>
      <c r="CCX1"/>
      <c r="CCY1"/>
      <c r="CCZ1"/>
      <c r="CDA1"/>
      <c r="CDB1"/>
      <c r="CDC1"/>
      <c r="CDD1"/>
      <c r="CDE1"/>
      <c r="CDF1"/>
      <c r="CDG1"/>
      <c r="CDH1"/>
      <c r="CDI1"/>
      <c r="CDJ1"/>
      <c r="CDK1"/>
      <c r="CDL1"/>
      <c r="CDM1"/>
      <c r="CDN1"/>
      <c r="CDO1"/>
      <c r="CDP1"/>
      <c r="CDQ1"/>
      <c r="CDR1"/>
      <c r="CDS1"/>
      <c r="CDT1"/>
      <c r="CDU1"/>
      <c r="CDV1"/>
      <c r="CDW1"/>
      <c r="CDX1"/>
      <c r="CDY1"/>
      <c r="CDZ1"/>
      <c r="CEA1"/>
      <c r="CEB1"/>
      <c r="CEC1"/>
      <c r="CED1"/>
      <c r="CEE1"/>
      <c r="CEF1"/>
      <c r="CEG1"/>
      <c r="CEH1"/>
      <c r="CEI1"/>
      <c r="CEJ1"/>
      <c r="CEK1"/>
      <c r="CEL1"/>
      <c r="CEM1"/>
      <c r="CEN1"/>
      <c r="CEO1"/>
      <c r="CEP1"/>
      <c r="CEQ1"/>
      <c r="CER1"/>
      <c r="CES1"/>
      <c r="CET1"/>
      <c r="CEU1"/>
      <c r="CEV1"/>
      <c r="CEW1"/>
      <c r="CEX1"/>
      <c r="CEY1"/>
      <c r="CEZ1"/>
      <c r="CFA1"/>
      <c r="CFB1"/>
      <c r="CFC1"/>
      <c r="CFD1"/>
      <c r="CFE1"/>
      <c r="CFF1"/>
      <c r="CFG1"/>
      <c r="CFH1"/>
      <c r="CFI1"/>
      <c r="CFJ1"/>
      <c r="CFK1"/>
      <c r="CFL1"/>
      <c r="CFM1"/>
      <c r="CFN1"/>
      <c r="CFO1"/>
      <c r="CFP1"/>
      <c r="CFQ1"/>
      <c r="CFR1"/>
      <c r="CFS1"/>
      <c r="CFT1"/>
      <c r="CFU1"/>
      <c r="CFV1"/>
      <c r="CFW1"/>
      <c r="CFX1"/>
      <c r="CFY1"/>
      <c r="CFZ1"/>
      <c r="CGA1"/>
      <c r="CGB1"/>
      <c r="CGC1"/>
      <c r="CGD1"/>
      <c r="CGE1"/>
      <c r="CGF1"/>
      <c r="CGG1"/>
      <c r="CGH1"/>
      <c r="CGI1"/>
      <c r="CGJ1"/>
      <c r="CGK1"/>
      <c r="CGL1"/>
      <c r="CGM1"/>
      <c r="CGN1"/>
      <c r="CGO1"/>
      <c r="CGP1"/>
      <c r="CGQ1"/>
      <c r="CGR1"/>
      <c r="CGS1"/>
      <c r="CGT1"/>
      <c r="CGU1"/>
      <c r="CGV1"/>
      <c r="CGW1"/>
      <c r="CGX1"/>
      <c r="CGY1"/>
      <c r="CGZ1"/>
      <c r="CHA1"/>
      <c r="CHB1"/>
      <c r="CHC1"/>
      <c r="CHD1"/>
      <c r="CHE1"/>
      <c r="CHF1"/>
      <c r="CHG1"/>
      <c r="CHH1"/>
      <c r="CHI1"/>
      <c r="CHJ1"/>
      <c r="CHK1"/>
      <c r="CHL1"/>
      <c r="CHM1"/>
      <c r="CHN1"/>
      <c r="CHO1"/>
      <c r="CHP1"/>
      <c r="CHQ1"/>
      <c r="CHR1"/>
      <c r="CHS1"/>
      <c r="CHT1"/>
      <c r="CHU1"/>
      <c r="CHV1"/>
      <c r="CHW1"/>
      <c r="CHX1"/>
      <c r="CHY1"/>
      <c r="CHZ1"/>
      <c r="CIA1"/>
      <c r="CIB1"/>
      <c r="CIC1"/>
      <c r="CID1"/>
      <c r="CIE1"/>
      <c r="CIF1"/>
      <c r="CIG1"/>
      <c r="CIH1"/>
      <c r="CII1"/>
      <c r="CIJ1"/>
      <c r="CIK1"/>
      <c r="CIL1"/>
      <c r="CIM1"/>
      <c r="CIN1"/>
      <c r="CIO1"/>
      <c r="CIP1"/>
      <c r="CIQ1"/>
      <c r="CIR1"/>
      <c r="CIS1"/>
      <c r="CIT1"/>
      <c r="CIU1"/>
      <c r="CIV1"/>
      <c r="CIW1"/>
      <c r="CIX1"/>
      <c r="CIY1"/>
      <c r="CIZ1"/>
      <c r="CJA1"/>
      <c r="CJB1"/>
      <c r="CJC1"/>
      <c r="CJD1"/>
      <c r="CJE1"/>
      <c r="CJF1"/>
      <c r="CJG1"/>
      <c r="CJH1"/>
      <c r="CJI1"/>
      <c r="CJJ1"/>
      <c r="CJK1"/>
      <c r="CJL1"/>
      <c r="CJM1"/>
      <c r="CJN1"/>
      <c r="CJO1"/>
      <c r="CJP1"/>
      <c r="CJQ1"/>
      <c r="CJR1"/>
      <c r="CJS1"/>
      <c r="CJT1"/>
      <c r="CJU1"/>
      <c r="CJV1"/>
      <c r="CJW1"/>
      <c r="CJX1"/>
      <c r="CJY1"/>
      <c r="CJZ1"/>
      <c r="CKA1"/>
      <c r="CKB1"/>
      <c r="CKC1"/>
      <c r="CKD1"/>
      <c r="CKE1"/>
      <c r="CKF1"/>
      <c r="CKG1"/>
      <c r="CKH1"/>
      <c r="CKI1"/>
      <c r="CKJ1"/>
      <c r="CKK1"/>
      <c r="CKL1"/>
      <c r="CKM1"/>
      <c r="CKN1"/>
      <c r="CKO1"/>
      <c r="CKP1"/>
      <c r="CKQ1"/>
      <c r="CKR1"/>
      <c r="CKS1"/>
      <c r="CKT1"/>
      <c r="CKU1"/>
      <c r="CKV1"/>
      <c r="CKW1"/>
      <c r="CKX1"/>
      <c r="CKY1"/>
      <c r="CKZ1"/>
      <c r="CLA1"/>
      <c r="CLB1"/>
      <c r="CLC1"/>
      <c r="CLD1"/>
      <c r="CLE1"/>
      <c r="CLF1"/>
      <c r="CLG1"/>
      <c r="CLH1"/>
      <c r="CLI1"/>
      <c r="CLJ1"/>
      <c r="CLK1"/>
      <c r="CLL1"/>
      <c r="CLM1"/>
      <c r="CLN1"/>
      <c r="CLO1"/>
      <c r="CLP1"/>
      <c r="CLQ1"/>
      <c r="CLR1"/>
      <c r="CLS1"/>
      <c r="CLT1"/>
      <c r="CLU1"/>
      <c r="CLV1"/>
      <c r="CLW1"/>
      <c r="CLX1"/>
      <c r="CLY1"/>
      <c r="CLZ1"/>
      <c r="CMA1"/>
      <c r="CMB1"/>
      <c r="CMC1"/>
      <c r="CMD1"/>
      <c r="CME1"/>
      <c r="CMF1"/>
      <c r="CMG1"/>
      <c r="CMH1"/>
      <c r="CMI1"/>
      <c r="CMJ1"/>
      <c r="CMK1"/>
      <c r="CML1"/>
      <c r="CMM1"/>
      <c r="CMN1"/>
      <c r="CMO1"/>
      <c r="CMP1"/>
      <c r="CMQ1"/>
      <c r="CMR1"/>
      <c r="CMS1"/>
      <c r="CMT1"/>
      <c r="CMU1"/>
      <c r="CMV1"/>
      <c r="CMW1"/>
      <c r="CMX1"/>
      <c r="CMY1"/>
      <c r="CMZ1"/>
      <c r="CNA1"/>
      <c r="CNB1"/>
      <c r="CNC1"/>
      <c r="CND1"/>
      <c r="CNE1"/>
      <c r="CNF1"/>
      <c r="CNG1"/>
      <c r="CNH1"/>
      <c r="CNI1"/>
      <c r="CNJ1"/>
      <c r="CNK1"/>
      <c r="CNL1"/>
      <c r="CNM1"/>
      <c r="CNN1"/>
      <c r="CNO1"/>
      <c r="CNP1"/>
      <c r="CNQ1"/>
      <c r="CNR1"/>
      <c r="CNS1"/>
      <c r="CNT1"/>
      <c r="CNU1"/>
      <c r="CNV1"/>
      <c r="CNW1"/>
      <c r="CNX1"/>
      <c r="CNY1"/>
      <c r="CNZ1"/>
      <c r="COA1"/>
      <c r="COB1"/>
      <c r="COC1"/>
      <c r="COD1"/>
      <c r="COE1"/>
      <c r="COF1"/>
      <c r="COG1"/>
      <c r="COH1"/>
      <c r="COI1"/>
      <c r="COJ1"/>
      <c r="COK1"/>
      <c r="COL1"/>
      <c r="COM1"/>
      <c r="CON1"/>
      <c r="COO1"/>
      <c r="COP1"/>
      <c r="COQ1"/>
      <c r="COR1"/>
      <c r="COS1"/>
      <c r="COT1"/>
      <c r="COU1"/>
      <c r="COV1"/>
      <c r="COW1"/>
      <c r="COX1"/>
      <c r="COY1"/>
      <c r="COZ1"/>
      <c r="CPA1"/>
      <c r="CPB1"/>
      <c r="CPC1"/>
      <c r="CPD1"/>
      <c r="CPE1"/>
      <c r="CPF1"/>
      <c r="CPG1"/>
      <c r="CPH1"/>
      <c r="CPI1"/>
      <c r="CPJ1"/>
      <c r="CPK1"/>
      <c r="CPL1"/>
      <c r="CPM1"/>
      <c r="CPN1"/>
      <c r="CPO1"/>
      <c r="CPP1"/>
      <c r="CPQ1"/>
      <c r="CPR1"/>
      <c r="CPS1"/>
      <c r="CPT1"/>
      <c r="CPU1"/>
      <c r="CPV1"/>
      <c r="CPW1"/>
      <c r="CPX1"/>
      <c r="CPY1"/>
      <c r="CPZ1"/>
      <c r="CQA1"/>
      <c r="CQB1"/>
      <c r="CQC1"/>
      <c r="CQD1"/>
      <c r="CQE1"/>
      <c r="CQF1"/>
      <c r="CQG1"/>
      <c r="CQH1"/>
      <c r="CQI1"/>
      <c r="CQJ1"/>
      <c r="CQK1"/>
      <c r="CQL1"/>
      <c r="CQM1"/>
      <c r="CQN1"/>
      <c r="CQO1"/>
      <c r="CQP1"/>
      <c r="CQQ1"/>
      <c r="CQR1"/>
      <c r="CQS1"/>
      <c r="CQT1"/>
      <c r="CQU1"/>
      <c r="CQV1"/>
      <c r="CQW1"/>
      <c r="CQX1"/>
      <c r="CQY1"/>
      <c r="CQZ1"/>
      <c r="CRA1"/>
      <c r="CRB1"/>
      <c r="CRC1"/>
      <c r="CRD1"/>
      <c r="CRE1"/>
      <c r="CRF1"/>
      <c r="CRG1"/>
      <c r="CRH1"/>
      <c r="CRI1"/>
      <c r="CRJ1"/>
      <c r="CRK1"/>
      <c r="CRL1"/>
      <c r="CRM1"/>
      <c r="CRN1"/>
      <c r="CRO1"/>
      <c r="CRP1"/>
      <c r="CRQ1"/>
      <c r="CRR1"/>
      <c r="CRS1"/>
      <c r="CRT1"/>
      <c r="CRU1"/>
      <c r="CRV1"/>
      <c r="CRW1"/>
      <c r="CRX1"/>
      <c r="CRY1"/>
      <c r="CRZ1"/>
      <c r="CSA1"/>
      <c r="CSB1"/>
      <c r="CSC1"/>
      <c r="CSD1"/>
      <c r="CSE1"/>
      <c r="CSF1"/>
      <c r="CSG1"/>
      <c r="CSH1"/>
      <c r="CSI1"/>
      <c r="CSJ1"/>
      <c r="CSK1"/>
      <c r="CSL1"/>
      <c r="CSM1"/>
      <c r="CSN1"/>
      <c r="CSO1"/>
      <c r="CSP1"/>
      <c r="CSQ1"/>
      <c r="CSR1"/>
      <c r="CSS1"/>
      <c r="CST1"/>
      <c r="CSU1"/>
      <c r="CSV1"/>
      <c r="CSW1"/>
      <c r="CSX1"/>
      <c r="CSY1"/>
      <c r="CSZ1"/>
      <c r="CTA1"/>
      <c r="CTB1"/>
      <c r="CTC1"/>
      <c r="CTD1"/>
      <c r="CTE1"/>
      <c r="CTF1"/>
      <c r="CTG1"/>
      <c r="CTH1"/>
      <c r="CTI1"/>
      <c r="CTJ1"/>
      <c r="CTK1"/>
      <c r="CTL1"/>
      <c r="CTM1"/>
      <c r="CTN1"/>
      <c r="CTO1"/>
      <c r="CTP1"/>
      <c r="CTQ1"/>
      <c r="CTR1"/>
      <c r="CTS1"/>
      <c r="CTT1"/>
      <c r="CTU1"/>
      <c r="CTV1"/>
      <c r="CTW1"/>
      <c r="CTX1"/>
      <c r="CTY1"/>
      <c r="CTZ1"/>
      <c r="CUA1"/>
      <c r="CUB1"/>
      <c r="CUC1"/>
      <c r="CUD1"/>
      <c r="CUE1"/>
      <c r="CUF1"/>
      <c r="CUG1"/>
      <c r="CUH1"/>
      <c r="CUI1"/>
      <c r="CUJ1"/>
      <c r="CUK1"/>
      <c r="CUL1"/>
      <c r="CUM1"/>
      <c r="CUN1"/>
      <c r="CUO1"/>
      <c r="CUP1"/>
      <c r="CUQ1"/>
      <c r="CUR1"/>
      <c r="CUS1"/>
      <c r="CUT1"/>
      <c r="CUU1"/>
      <c r="CUV1"/>
      <c r="CUW1"/>
      <c r="CUX1"/>
      <c r="CUY1"/>
      <c r="CUZ1"/>
      <c r="CVA1"/>
      <c r="CVB1"/>
      <c r="CVC1"/>
      <c r="CVD1"/>
      <c r="CVE1"/>
      <c r="CVF1"/>
      <c r="CVG1"/>
      <c r="CVH1"/>
      <c r="CVI1"/>
      <c r="CVJ1"/>
      <c r="CVK1"/>
      <c r="CVL1"/>
      <c r="CVM1"/>
      <c r="CVN1"/>
      <c r="CVO1"/>
      <c r="CVP1"/>
      <c r="CVQ1"/>
      <c r="CVR1"/>
      <c r="CVS1"/>
      <c r="CVT1"/>
      <c r="CVU1"/>
      <c r="CVV1"/>
      <c r="CVW1"/>
      <c r="CVX1"/>
      <c r="CVY1"/>
      <c r="CVZ1"/>
      <c r="CWA1"/>
      <c r="CWB1"/>
      <c r="CWC1"/>
      <c r="CWD1"/>
      <c r="CWE1"/>
      <c r="CWF1"/>
      <c r="CWG1"/>
      <c r="CWH1"/>
      <c r="CWI1"/>
      <c r="CWJ1"/>
      <c r="CWK1"/>
      <c r="CWL1"/>
      <c r="CWM1"/>
      <c r="CWN1"/>
      <c r="CWO1"/>
      <c r="CWP1"/>
      <c r="CWQ1"/>
      <c r="CWR1"/>
      <c r="CWS1"/>
      <c r="CWT1"/>
      <c r="CWU1"/>
      <c r="CWV1"/>
      <c r="CWW1"/>
      <c r="CWX1"/>
      <c r="CWY1"/>
      <c r="CWZ1"/>
      <c r="CXA1"/>
      <c r="CXB1"/>
      <c r="CXC1"/>
      <c r="CXD1"/>
      <c r="CXE1"/>
      <c r="CXF1"/>
      <c r="CXG1"/>
      <c r="CXH1"/>
      <c r="CXI1"/>
      <c r="CXJ1"/>
      <c r="CXK1"/>
      <c r="CXL1"/>
      <c r="CXM1"/>
      <c r="CXN1"/>
      <c r="CXO1"/>
      <c r="CXP1"/>
      <c r="CXQ1"/>
      <c r="CXR1"/>
      <c r="CXS1"/>
      <c r="CXT1"/>
      <c r="CXU1"/>
      <c r="CXV1"/>
      <c r="CXW1"/>
      <c r="CXX1"/>
      <c r="CXY1"/>
      <c r="CXZ1"/>
      <c r="CYA1"/>
      <c r="CYB1"/>
      <c r="CYC1"/>
      <c r="CYD1"/>
      <c r="CYE1"/>
      <c r="CYF1"/>
      <c r="CYG1"/>
      <c r="CYH1"/>
      <c r="CYI1"/>
      <c r="CYJ1"/>
      <c r="CYK1"/>
      <c r="CYL1"/>
      <c r="CYM1"/>
      <c r="CYN1"/>
      <c r="CYO1"/>
      <c r="CYP1"/>
      <c r="CYQ1"/>
      <c r="CYR1"/>
      <c r="CYS1"/>
      <c r="CYT1"/>
      <c r="CYU1"/>
      <c r="CYV1"/>
      <c r="CYW1"/>
      <c r="CYX1"/>
      <c r="CYY1"/>
      <c r="CYZ1"/>
      <c r="CZA1"/>
      <c r="CZB1"/>
      <c r="CZC1"/>
      <c r="CZD1"/>
      <c r="CZE1"/>
      <c r="CZF1"/>
      <c r="CZG1"/>
      <c r="CZH1"/>
      <c r="CZI1"/>
      <c r="CZJ1"/>
      <c r="CZK1"/>
      <c r="CZL1"/>
      <c r="CZM1"/>
      <c r="CZN1"/>
      <c r="CZO1"/>
      <c r="CZP1"/>
      <c r="CZQ1"/>
      <c r="CZR1"/>
      <c r="CZS1"/>
      <c r="CZT1"/>
      <c r="CZU1"/>
      <c r="CZV1"/>
      <c r="CZW1"/>
      <c r="CZX1"/>
      <c r="CZY1"/>
      <c r="CZZ1"/>
      <c r="DAA1"/>
      <c r="DAB1"/>
      <c r="DAC1"/>
      <c r="DAD1"/>
      <c r="DAE1"/>
      <c r="DAF1"/>
      <c r="DAG1"/>
      <c r="DAH1"/>
      <c r="DAI1"/>
      <c r="DAJ1"/>
      <c r="DAK1"/>
      <c r="DAL1"/>
      <c r="DAM1"/>
      <c r="DAN1"/>
      <c r="DAO1"/>
      <c r="DAP1"/>
      <c r="DAQ1"/>
      <c r="DAR1"/>
      <c r="DAS1"/>
      <c r="DAT1"/>
      <c r="DAU1"/>
      <c r="DAV1"/>
      <c r="DAW1"/>
      <c r="DAX1"/>
      <c r="DAY1"/>
      <c r="DAZ1"/>
      <c r="DBA1"/>
      <c r="DBB1"/>
      <c r="DBC1"/>
      <c r="DBD1"/>
      <c r="DBE1"/>
      <c r="DBF1"/>
      <c r="DBG1"/>
      <c r="DBH1"/>
      <c r="DBI1"/>
      <c r="DBJ1"/>
      <c r="DBK1"/>
      <c r="DBL1"/>
      <c r="DBM1"/>
      <c r="DBN1"/>
      <c r="DBO1"/>
      <c r="DBP1"/>
      <c r="DBQ1"/>
      <c r="DBR1"/>
      <c r="DBS1"/>
      <c r="DBT1"/>
      <c r="DBU1"/>
      <c r="DBV1"/>
      <c r="DBW1"/>
      <c r="DBX1"/>
      <c r="DBY1"/>
      <c r="DBZ1"/>
      <c r="DCA1"/>
      <c r="DCB1"/>
      <c r="DCC1"/>
      <c r="DCD1"/>
      <c r="DCE1"/>
      <c r="DCF1"/>
      <c r="DCG1"/>
      <c r="DCH1"/>
      <c r="DCI1"/>
      <c r="DCJ1"/>
      <c r="DCK1"/>
      <c r="DCL1"/>
      <c r="DCM1"/>
      <c r="DCN1"/>
      <c r="DCO1"/>
      <c r="DCP1"/>
      <c r="DCQ1"/>
      <c r="DCR1"/>
      <c r="DCS1"/>
      <c r="DCT1"/>
      <c r="DCU1"/>
      <c r="DCV1"/>
      <c r="DCW1"/>
      <c r="DCX1"/>
      <c r="DCY1"/>
      <c r="DCZ1"/>
      <c r="DDA1"/>
      <c r="DDB1"/>
      <c r="DDC1"/>
      <c r="DDD1"/>
      <c r="DDE1"/>
      <c r="DDF1"/>
      <c r="DDG1"/>
      <c r="DDH1"/>
      <c r="DDI1"/>
      <c r="DDJ1"/>
      <c r="DDK1"/>
      <c r="DDL1"/>
      <c r="DDM1"/>
      <c r="DDN1"/>
      <c r="DDO1"/>
      <c r="DDP1"/>
      <c r="DDQ1"/>
      <c r="DDR1"/>
      <c r="DDS1"/>
      <c r="DDT1"/>
      <c r="DDU1"/>
      <c r="DDV1"/>
      <c r="DDW1"/>
      <c r="DDX1"/>
      <c r="DDY1"/>
      <c r="DDZ1"/>
      <c r="DEA1"/>
      <c r="DEB1"/>
      <c r="DEC1"/>
      <c r="DED1"/>
      <c r="DEE1"/>
      <c r="DEF1"/>
      <c r="DEG1"/>
      <c r="DEH1"/>
      <c r="DEI1"/>
      <c r="DEJ1"/>
      <c r="DEK1"/>
      <c r="DEL1"/>
      <c r="DEM1"/>
      <c r="DEN1"/>
      <c r="DEO1"/>
      <c r="DEP1"/>
      <c r="DEQ1"/>
      <c r="DER1"/>
      <c r="DES1"/>
      <c r="DET1"/>
      <c r="DEU1"/>
      <c r="DEV1"/>
      <c r="DEW1"/>
      <c r="DEX1"/>
      <c r="DEY1"/>
      <c r="DEZ1"/>
      <c r="DFA1"/>
      <c r="DFB1"/>
      <c r="DFC1"/>
      <c r="DFD1"/>
      <c r="DFE1"/>
      <c r="DFF1"/>
      <c r="DFG1"/>
      <c r="DFH1"/>
      <c r="DFI1"/>
      <c r="DFJ1"/>
      <c r="DFK1"/>
      <c r="DFL1"/>
      <c r="DFM1"/>
      <c r="DFN1"/>
      <c r="DFO1"/>
      <c r="DFP1"/>
      <c r="DFQ1"/>
      <c r="DFR1"/>
      <c r="DFS1"/>
      <c r="DFT1"/>
      <c r="DFU1"/>
      <c r="DFV1"/>
      <c r="DFW1"/>
      <c r="DFX1"/>
      <c r="DFY1"/>
      <c r="DFZ1"/>
      <c r="DGA1"/>
      <c r="DGB1"/>
      <c r="DGC1"/>
      <c r="DGD1"/>
      <c r="DGE1"/>
      <c r="DGF1"/>
      <c r="DGG1"/>
      <c r="DGH1"/>
      <c r="DGI1"/>
      <c r="DGJ1"/>
      <c r="DGK1"/>
      <c r="DGL1"/>
      <c r="DGM1"/>
      <c r="DGN1"/>
      <c r="DGO1"/>
      <c r="DGP1"/>
      <c r="DGQ1"/>
      <c r="DGR1"/>
      <c r="DGS1"/>
      <c r="DGT1"/>
      <c r="DGU1"/>
      <c r="DGV1"/>
      <c r="DGW1"/>
      <c r="DGX1"/>
      <c r="DGY1"/>
      <c r="DGZ1"/>
      <c r="DHA1"/>
      <c r="DHB1"/>
      <c r="DHC1"/>
      <c r="DHD1"/>
      <c r="DHE1"/>
      <c r="DHF1"/>
      <c r="DHG1"/>
      <c r="DHH1"/>
      <c r="DHI1"/>
      <c r="DHJ1"/>
      <c r="DHK1"/>
      <c r="DHL1"/>
      <c r="DHM1"/>
      <c r="DHN1"/>
      <c r="DHO1"/>
      <c r="DHP1"/>
      <c r="DHQ1"/>
      <c r="DHR1"/>
      <c r="DHS1"/>
      <c r="DHT1"/>
      <c r="DHU1"/>
      <c r="DHV1"/>
      <c r="DHW1"/>
      <c r="DHX1"/>
      <c r="DHY1"/>
      <c r="DHZ1"/>
      <c r="DIA1"/>
      <c r="DIB1"/>
      <c r="DIC1"/>
      <c r="DID1"/>
      <c r="DIE1"/>
      <c r="DIF1"/>
      <c r="DIG1"/>
      <c r="DIH1"/>
      <c r="DII1"/>
      <c r="DIJ1"/>
      <c r="DIK1"/>
      <c r="DIL1"/>
      <c r="DIM1"/>
      <c r="DIN1"/>
      <c r="DIO1"/>
      <c r="DIP1"/>
      <c r="DIQ1"/>
      <c r="DIR1"/>
      <c r="DIS1"/>
      <c r="DIT1"/>
      <c r="DIU1"/>
      <c r="DIV1"/>
      <c r="DIW1"/>
      <c r="DIX1"/>
      <c r="DIY1"/>
      <c r="DIZ1"/>
      <c r="DJA1"/>
      <c r="DJB1"/>
      <c r="DJC1"/>
      <c r="DJD1"/>
      <c r="DJE1"/>
      <c r="DJF1"/>
      <c r="DJG1"/>
      <c r="DJH1"/>
      <c r="DJI1"/>
      <c r="DJJ1"/>
      <c r="DJK1"/>
      <c r="DJL1"/>
      <c r="DJM1"/>
      <c r="DJN1"/>
      <c r="DJO1"/>
      <c r="DJP1"/>
      <c r="DJQ1"/>
      <c r="DJR1"/>
      <c r="DJS1"/>
      <c r="DJT1"/>
      <c r="DJU1"/>
      <c r="DJV1"/>
      <c r="DJW1"/>
      <c r="DJX1"/>
      <c r="DJY1"/>
      <c r="DJZ1"/>
      <c r="DKA1"/>
      <c r="DKB1"/>
      <c r="DKC1"/>
      <c r="DKD1"/>
      <c r="DKE1"/>
      <c r="DKF1"/>
      <c r="DKG1"/>
      <c r="DKH1"/>
      <c r="DKI1"/>
      <c r="DKJ1"/>
      <c r="DKK1"/>
      <c r="DKL1"/>
      <c r="DKM1"/>
      <c r="DKN1"/>
      <c r="DKO1"/>
      <c r="DKP1"/>
      <c r="DKQ1"/>
      <c r="DKR1"/>
      <c r="DKS1"/>
      <c r="DKT1"/>
      <c r="DKU1"/>
      <c r="DKV1"/>
      <c r="DKW1"/>
      <c r="DKX1"/>
      <c r="DKY1"/>
      <c r="DKZ1"/>
      <c r="DLA1"/>
      <c r="DLB1"/>
      <c r="DLC1"/>
      <c r="DLD1"/>
      <c r="DLE1"/>
      <c r="DLF1"/>
      <c r="DLG1"/>
      <c r="DLH1"/>
      <c r="DLI1"/>
      <c r="DLJ1"/>
      <c r="DLK1"/>
      <c r="DLL1"/>
      <c r="DLM1"/>
      <c r="DLN1"/>
      <c r="DLO1"/>
      <c r="DLP1"/>
      <c r="DLQ1"/>
      <c r="DLR1"/>
      <c r="DLS1"/>
      <c r="DLT1"/>
      <c r="DLU1"/>
      <c r="DLV1"/>
      <c r="DLW1"/>
      <c r="DLX1"/>
      <c r="DLY1"/>
      <c r="DLZ1"/>
      <c r="DMA1"/>
      <c r="DMB1"/>
      <c r="DMC1"/>
      <c r="DMD1"/>
      <c r="DME1"/>
      <c r="DMF1"/>
      <c r="DMG1"/>
      <c r="DMH1"/>
      <c r="DMI1"/>
      <c r="DMJ1"/>
      <c r="DMK1"/>
      <c r="DML1"/>
      <c r="DMM1"/>
      <c r="DMN1"/>
      <c r="DMO1"/>
      <c r="DMP1"/>
      <c r="DMQ1"/>
      <c r="DMR1"/>
      <c r="DMS1"/>
      <c r="DMT1"/>
      <c r="DMU1"/>
      <c r="DMV1"/>
      <c r="DMW1"/>
      <c r="DMX1"/>
      <c r="DMY1"/>
      <c r="DMZ1"/>
      <c r="DNA1"/>
      <c r="DNB1"/>
      <c r="DNC1"/>
      <c r="DND1"/>
      <c r="DNE1"/>
      <c r="DNF1"/>
      <c r="DNG1"/>
      <c r="DNH1"/>
      <c r="DNI1"/>
      <c r="DNJ1"/>
      <c r="DNK1"/>
      <c r="DNL1"/>
      <c r="DNM1"/>
      <c r="DNN1"/>
      <c r="DNO1"/>
      <c r="DNP1"/>
      <c r="DNQ1"/>
      <c r="DNR1"/>
      <c r="DNS1"/>
      <c r="DNT1"/>
      <c r="DNU1"/>
      <c r="DNV1"/>
      <c r="DNW1"/>
      <c r="DNX1"/>
      <c r="DNY1"/>
      <c r="DNZ1"/>
      <c r="DOA1"/>
      <c r="DOB1"/>
      <c r="DOC1"/>
      <c r="DOD1"/>
      <c r="DOE1"/>
      <c r="DOF1"/>
      <c r="DOG1"/>
      <c r="DOH1"/>
      <c r="DOI1"/>
      <c r="DOJ1"/>
      <c r="DOK1"/>
      <c r="DOL1"/>
      <c r="DOM1"/>
      <c r="DON1"/>
      <c r="DOO1"/>
      <c r="DOP1"/>
      <c r="DOQ1"/>
      <c r="DOR1"/>
      <c r="DOS1"/>
      <c r="DOT1"/>
      <c r="DOU1"/>
      <c r="DOV1"/>
      <c r="DOW1"/>
      <c r="DOX1"/>
      <c r="DOY1"/>
      <c r="DOZ1"/>
      <c r="DPA1"/>
      <c r="DPB1"/>
      <c r="DPC1"/>
      <c r="DPD1"/>
      <c r="DPE1"/>
      <c r="DPF1"/>
      <c r="DPG1"/>
      <c r="DPH1"/>
      <c r="DPI1"/>
      <c r="DPJ1"/>
      <c r="DPK1"/>
      <c r="DPL1"/>
      <c r="DPM1"/>
      <c r="DPN1"/>
      <c r="DPO1"/>
      <c r="DPP1"/>
      <c r="DPQ1"/>
      <c r="DPR1"/>
      <c r="DPS1"/>
      <c r="DPT1"/>
      <c r="DPU1"/>
      <c r="DPV1"/>
      <c r="DPW1"/>
      <c r="DPX1"/>
      <c r="DPY1"/>
      <c r="DPZ1"/>
      <c r="DQA1"/>
      <c r="DQB1"/>
      <c r="DQC1"/>
      <c r="DQD1"/>
      <c r="DQE1"/>
      <c r="DQF1"/>
      <c r="DQG1"/>
      <c r="DQH1"/>
      <c r="DQI1"/>
      <c r="DQJ1"/>
      <c r="DQK1"/>
      <c r="DQL1"/>
      <c r="DQM1"/>
      <c r="DQN1"/>
      <c r="DQO1"/>
      <c r="DQP1"/>
      <c r="DQQ1"/>
      <c r="DQR1"/>
      <c r="DQS1"/>
      <c r="DQT1"/>
      <c r="DQU1"/>
      <c r="DQV1"/>
      <c r="DQW1"/>
      <c r="DQX1"/>
      <c r="DQY1"/>
      <c r="DQZ1"/>
      <c r="DRA1"/>
      <c r="DRB1"/>
      <c r="DRC1"/>
      <c r="DRD1"/>
      <c r="DRE1"/>
      <c r="DRF1"/>
      <c r="DRG1"/>
      <c r="DRH1"/>
      <c r="DRI1"/>
      <c r="DRJ1"/>
      <c r="DRK1"/>
      <c r="DRL1"/>
      <c r="DRM1"/>
      <c r="DRN1"/>
      <c r="DRO1"/>
      <c r="DRP1"/>
      <c r="DRQ1"/>
      <c r="DRR1"/>
      <c r="DRS1"/>
      <c r="DRT1"/>
      <c r="DRU1"/>
      <c r="DRV1"/>
      <c r="DRW1"/>
      <c r="DRX1"/>
      <c r="DRY1"/>
      <c r="DRZ1"/>
      <c r="DSA1"/>
      <c r="DSB1"/>
      <c r="DSC1"/>
      <c r="DSD1"/>
      <c r="DSE1"/>
      <c r="DSF1"/>
      <c r="DSG1"/>
      <c r="DSH1"/>
      <c r="DSI1"/>
      <c r="DSJ1"/>
      <c r="DSK1"/>
      <c r="DSL1"/>
      <c r="DSM1"/>
      <c r="DSN1"/>
      <c r="DSO1"/>
      <c r="DSP1"/>
      <c r="DSQ1"/>
      <c r="DSR1"/>
      <c r="DSS1"/>
      <c r="DST1"/>
      <c r="DSU1"/>
      <c r="DSV1"/>
      <c r="DSW1"/>
      <c r="DSX1"/>
      <c r="DSY1"/>
      <c r="DSZ1"/>
      <c r="DTA1"/>
      <c r="DTB1"/>
      <c r="DTC1"/>
      <c r="DTD1"/>
      <c r="DTE1"/>
      <c r="DTF1"/>
      <c r="DTG1"/>
      <c r="DTH1"/>
      <c r="DTI1"/>
      <c r="DTJ1"/>
      <c r="DTK1"/>
      <c r="DTL1"/>
      <c r="DTM1"/>
      <c r="DTN1"/>
      <c r="DTO1"/>
      <c r="DTP1"/>
      <c r="DTQ1"/>
      <c r="DTR1"/>
      <c r="DTS1"/>
      <c r="DTT1"/>
      <c r="DTU1"/>
      <c r="DTV1"/>
      <c r="DTW1"/>
      <c r="DTX1"/>
      <c r="DTY1"/>
      <c r="DTZ1"/>
      <c r="DUA1"/>
      <c r="DUB1"/>
      <c r="DUC1"/>
      <c r="DUD1"/>
      <c r="DUE1"/>
      <c r="DUF1"/>
      <c r="DUG1"/>
      <c r="DUH1"/>
      <c r="DUI1"/>
      <c r="DUJ1"/>
      <c r="DUK1"/>
      <c r="DUL1"/>
      <c r="DUM1"/>
      <c r="DUN1"/>
      <c r="DUO1"/>
      <c r="DUP1"/>
      <c r="DUQ1"/>
      <c r="DUR1"/>
      <c r="DUS1"/>
      <c r="DUT1"/>
      <c r="DUU1"/>
      <c r="DUV1"/>
      <c r="DUW1"/>
      <c r="DUX1"/>
      <c r="DUY1"/>
      <c r="DUZ1"/>
      <c r="DVA1"/>
      <c r="DVB1"/>
      <c r="DVC1"/>
      <c r="DVD1"/>
      <c r="DVE1"/>
      <c r="DVF1"/>
      <c r="DVG1"/>
      <c r="DVH1"/>
      <c r="DVI1"/>
      <c r="DVJ1"/>
      <c r="DVK1"/>
      <c r="DVL1"/>
      <c r="DVM1"/>
      <c r="DVN1"/>
      <c r="DVO1"/>
      <c r="DVP1"/>
      <c r="DVQ1"/>
      <c r="DVR1"/>
      <c r="DVS1"/>
      <c r="DVT1"/>
      <c r="DVU1"/>
      <c r="DVV1"/>
      <c r="DVW1"/>
      <c r="DVX1"/>
      <c r="DVY1"/>
      <c r="DVZ1"/>
      <c r="DWA1"/>
      <c r="DWB1"/>
      <c r="DWC1"/>
      <c r="DWD1"/>
      <c r="DWE1"/>
      <c r="DWF1"/>
      <c r="DWG1"/>
      <c r="DWH1"/>
      <c r="DWI1"/>
      <c r="DWJ1"/>
      <c r="DWK1"/>
      <c r="DWL1"/>
      <c r="DWM1"/>
      <c r="DWN1"/>
      <c r="DWO1"/>
      <c r="DWP1"/>
      <c r="DWQ1"/>
      <c r="DWR1"/>
      <c r="DWS1"/>
      <c r="DWT1"/>
      <c r="DWU1"/>
      <c r="DWV1"/>
      <c r="DWW1"/>
      <c r="DWX1"/>
      <c r="DWY1"/>
      <c r="DWZ1"/>
      <c r="DXA1"/>
      <c r="DXB1"/>
      <c r="DXC1"/>
      <c r="DXD1"/>
      <c r="DXE1"/>
      <c r="DXF1"/>
      <c r="DXG1"/>
      <c r="DXH1"/>
      <c r="DXI1"/>
      <c r="DXJ1"/>
      <c r="DXK1"/>
      <c r="DXL1"/>
      <c r="DXM1"/>
      <c r="DXN1"/>
      <c r="DXO1"/>
      <c r="DXP1"/>
      <c r="DXQ1"/>
      <c r="DXR1"/>
      <c r="DXS1"/>
      <c r="DXT1"/>
      <c r="DXU1"/>
      <c r="DXV1"/>
      <c r="DXW1"/>
      <c r="DXX1"/>
      <c r="DXY1"/>
      <c r="DXZ1"/>
      <c r="DYA1"/>
      <c r="DYB1"/>
      <c r="DYC1"/>
      <c r="DYD1"/>
      <c r="DYE1"/>
      <c r="DYF1"/>
      <c r="DYG1"/>
      <c r="DYH1"/>
      <c r="DYI1"/>
      <c r="DYJ1"/>
      <c r="DYK1"/>
      <c r="DYL1"/>
      <c r="DYM1"/>
      <c r="DYN1"/>
      <c r="DYO1"/>
      <c r="DYP1"/>
      <c r="DYQ1"/>
      <c r="DYR1"/>
      <c r="DYS1"/>
      <c r="DYT1"/>
      <c r="DYU1"/>
      <c r="DYV1"/>
      <c r="DYW1"/>
      <c r="DYX1"/>
      <c r="DYY1"/>
      <c r="DYZ1"/>
      <c r="DZA1"/>
      <c r="DZB1"/>
      <c r="DZC1"/>
      <c r="DZD1"/>
      <c r="DZE1"/>
      <c r="DZF1"/>
      <c r="DZG1"/>
      <c r="DZH1"/>
      <c r="DZI1"/>
      <c r="DZJ1"/>
      <c r="DZK1"/>
      <c r="DZL1"/>
      <c r="DZM1"/>
      <c r="DZN1"/>
      <c r="DZO1"/>
      <c r="DZP1"/>
      <c r="DZQ1"/>
      <c r="DZR1"/>
      <c r="DZS1"/>
      <c r="DZT1"/>
      <c r="DZU1"/>
      <c r="DZV1"/>
      <c r="DZW1"/>
      <c r="DZX1"/>
      <c r="DZY1"/>
      <c r="DZZ1"/>
      <c r="EAA1"/>
      <c r="EAB1"/>
      <c r="EAC1"/>
      <c r="EAD1"/>
      <c r="EAE1"/>
      <c r="EAF1"/>
      <c r="EAG1"/>
      <c r="EAH1"/>
      <c r="EAI1"/>
      <c r="EAJ1"/>
      <c r="EAK1"/>
      <c r="EAL1"/>
      <c r="EAM1"/>
      <c r="EAN1"/>
      <c r="EAO1"/>
      <c r="EAP1"/>
      <c r="EAQ1"/>
      <c r="EAR1"/>
      <c r="EAS1"/>
      <c r="EAT1"/>
      <c r="EAU1"/>
      <c r="EAV1"/>
      <c r="EAW1"/>
      <c r="EAX1"/>
      <c r="EAY1"/>
      <c r="EAZ1"/>
      <c r="EBA1"/>
      <c r="EBB1"/>
      <c r="EBC1"/>
      <c r="EBD1"/>
      <c r="EBE1"/>
      <c r="EBF1"/>
      <c r="EBG1"/>
      <c r="EBH1"/>
      <c r="EBI1"/>
      <c r="EBJ1"/>
      <c r="EBK1"/>
      <c r="EBL1"/>
      <c r="EBM1"/>
      <c r="EBN1"/>
      <c r="EBO1"/>
      <c r="EBP1"/>
      <c r="EBQ1"/>
      <c r="EBR1"/>
      <c r="EBS1"/>
      <c r="EBT1"/>
      <c r="EBU1"/>
      <c r="EBV1"/>
      <c r="EBW1"/>
      <c r="EBX1"/>
      <c r="EBY1"/>
      <c r="EBZ1"/>
      <c r="ECA1"/>
      <c r="ECB1"/>
      <c r="ECC1"/>
      <c r="ECD1"/>
      <c r="ECE1"/>
      <c r="ECF1"/>
      <c r="ECG1"/>
      <c r="ECH1"/>
      <c r="ECI1"/>
      <c r="ECJ1"/>
      <c r="ECK1"/>
      <c r="ECL1"/>
      <c r="ECM1"/>
      <c r="ECN1"/>
      <c r="ECO1"/>
      <c r="ECP1"/>
      <c r="ECQ1"/>
      <c r="ECR1"/>
      <c r="ECS1"/>
      <c r="ECT1"/>
      <c r="ECU1"/>
      <c r="ECV1"/>
      <c r="ECW1"/>
      <c r="ECX1"/>
      <c r="ECY1"/>
      <c r="ECZ1"/>
      <c r="EDA1"/>
      <c r="EDB1"/>
      <c r="EDC1"/>
      <c r="EDD1"/>
      <c r="EDE1"/>
      <c r="EDF1"/>
      <c r="EDG1"/>
      <c r="EDH1"/>
      <c r="EDI1"/>
      <c r="EDJ1"/>
      <c r="EDK1"/>
      <c r="EDL1"/>
      <c r="EDM1"/>
      <c r="EDN1"/>
      <c r="EDO1"/>
      <c r="EDP1"/>
      <c r="EDQ1"/>
      <c r="EDR1"/>
      <c r="EDS1"/>
      <c r="EDT1"/>
      <c r="EDU1"/>
      <c r="EDV1"/>
      <c r="EDW1"/>
      <c r="EDX1"/>
      <c r="EDY1"/>
      <c r="EDZ1"/>
      <c r="EEA1"/>
      <c r="EEB1"/>
      <c r="EEC1"/>
      <c r="EED1"/>
      <c r="EEE1"/>
      <c r="EEF1"/>
      <c r="EEG1"/>
      <c r="EEH1"/>
      <c r="EEI1"/>
      <c r="EEJ1"/>
      <c r="EEK1"/>
      <c r="EEL1"/>
      <c r="EEM1"/>
      <c r="EEN1"/>
      <c r="EEO1"/>
      <c r="EEP1"/>
      <c r="EEQ1"/>
      <c r="EER1"/>
      <c r="EES1"/>
      <c r="EET1"/>
      <c r="EEU1"/>
      <c r="EEV1"/>
      <c r="EEW1"/>
      <c r="EEX1"/>
      <c r="EEY1"/>
      <c r="EEZ1"/>
      <c r="EFA1"/>
      <c r="EFB1"/>
      <c r="EFC1"/>
      <c r="EFD1"/>
      <c r="EFE1"/>
      <c r="EFF1"/>
      <c r="EFG1"/>
      <c r="EFH1"/>
      <c r="EFI1"/>
      <c r="EFJ1"/>
      <c r="EFK1"/>
      <c r="EFL1"/>
      <c r="EFM1"/>
      <c r="EFN1"/>
      <c r="EFO1"/>
      <c r="EFP1"/>
      <c r="EFQ1"/>
      <c r="EFR1"/>
      <c r="EFS1"/>
      <c r="EFT1"/>
      <c r="EFU1"/>
      <c r="EFV1"/>
      <c r="EFW1"/>
      <c r="EFX1"/>
      <c r="EFY1"/>
      <c r="EFZ1"/>
      <c r="EGA1"/>
      <c r="EGB1"/>
      <c r="EGC1"/>
      <c r="EGD1"/>
      <c r="EGE1"/>
      <c r="EGF1"/>
      <c r="EGG1"/>
      <c r="EGH1"/>
      <c r="EGI1"/>
      <c r="EGJ1"/>
      <c r="EGK1"/>
      <c r="EGL1"/>
      <c r="EGM1"/>
      <c r="EGN1"/>
      <c r="EGO1"/>
      <c r="EGP1"/>
      <c r="EGQ1"/>
      <c r="EGR1"/>
      <c r="EGS1"/>
      <c r="EGT1"/>
      <c r="EGU1"/>
      <c r="EGV1"/>
      <c r="EGW1"/>
      <c r="EGX1"/>
      <c r="EGY1"/>
      <c r="EGZ1"/>
      <c r="EHA1"/>
      <c r="EHB1"/>
      <c r="EHC1"/>
      <c r="EHD1"/>
      <c r="EHE1"/>
      <c r="EHF1"/>
      <c r="EHG1"/>
      <c r="EHH1"/>
      <c r="EHI1"/>
      <c r="EHJ1"/>
      <c r="EHK1"/>
      <c r="EHL1"/>
      <c r="EHM1"/>
      <c r="EHN1"/>
      <c r="EHO1"/>
      <c r="EHP1"/>
      <c r="EHQ1"/>
      <c r="EHR1"/>
      <c r="EHS1"/>
      <c r="EHT1"/>
      <c r="EHU1"/>
      <c r="EHV1"/>
      <c r="EHW1"/>
      <c r="EHX1"/>
      <c r="EHY1"/>
      <c r="EHZ1"/>
      <c r="EIA1"/>
      <c r="EIB1"/>
      <c r="EIC1"/>
      <c r="EID1"/>
      <c r="EIE1"/>
      <c r="EIF1"/>
      <c r="EIG1"/>
      <c r="EIH1"/>
      <c r="EII1"/>
      <c r="EIJ1"/>
      <c r="EIK1"/>
      <c r="EIL1"/>
      <c r="EIM1"/>
      <c r="EIN1"/>
      <c r="EIO1"/>
      <c r="EIP1"/>
      <c r="EIQ1"/>
      <c r="EIR1"/>
      <c r="EIS1"/>
      <c r="EIT1"/>
      <c r="EIU1"/>
      <c r="EIV1"/>
      <c r="EIW1"/>
      <c r="EIX1"/>
      <c r="EIY1"/>
      <c r="EIZ1"/>
      <c r="EJA1"/>
      <c r="EJB1"/>
      <c r="EJC1"/>
      <c r="EJD1"/>
      <c r="EJE1"/>
      <c r="EJF1"/>
      <c r="EJG1"/>
      <c r="EJH1"/>
      <c r="EJI1"/>
      <c r="EJJ1"/>
      <c r="EJK1"/>
      <c r="EJL1"/>
      <c r="EJM1"/>
      <c r="EJN1"/>
      <c r="EJO1"/>
      <c r="EJP1"/>
      <c r="EJQ1"/>
      <c r="EJR1"/>
      <c r="EJS1"/>
      <c r="EJT1"/>
      <c r="EJU1"/>
      <c r="EJV1"/>
      <c r="EJW1"/>
      <c r="EJX1"/>
      <c r="EJY1"/>
      <c r="EJZ1"/>
      <c r="EKA1"/>
      <c r="EKB1"/>
      <c r="EKC1"/>
      <c r="EKD1"/>
      <c r="EKE1"/>
      <c r="EKF1"/>
      <c r="EKG1"/>
      <c r="EKH1"/>
      <c r="EKI1"/>
      <c r="EKJ1"/>
      <c r="EKK1"/>
      <c r="EKL1"/>
      <c r="EKM1"/>
      <c r="EKN1"/>
      <c r="EKO1"/>
      <c r="EKP1"/>
      <c r="EKQ1"/>
      <c r="EKR1"/>
      <c r="EKS1"/>
      <c r="EKT1"/>
      <c r="EKU1"/>
      <c r="EKV1"/>
      <c r="EKW1"/>
      <c r="EKX1"/>
      <c r="EKY1"/>
      <c r="EKZ1"/>
      <c r="ELA1"/>
      <c r="ELB1"/>
      <c r="ELC1"/>
      <c r="ELD1"/>
      <c r="ELE1"/>
      <c r="ELF1"/>
      <c r="ELG1"/>
      <c r="ELH1"/>
      <c r="ELI1"/>
      <c r="ELJ1"/>
      <c r="ELK1"/>
      <c r="ELL1"/>
      <c r="ELM1"/>
      <c r="ELN1"/>
      <c r="ELO1"/>
      <c r="ELP1"/>
      <c r="ELQ1"/>
      <c r="ELR1"/>
      <c r="ELS1"/>
      <c r="ELT1"/>
      <c r="ELU1"/>
      <c r="ELV1"/>
      <c r="ELW1"/>
      <c r="ELX1"/>
      <c r="ELY1"/>
      <c r="ELZ1"/>
      <c r="EMA1"/>
      <c r="EMB1"/>
      <c r="EMC1"/>
      <c r="EMD1"/>
      <c r="EME1"/>
      <c r="EMF1"/>
      <c r="EMG1"/>
      <c r="EMH1"/>
      <c r="EMI1"/>
      <c r="EMJ1"/>
      <c r="EMK1"/>
      <c r="EML1"/>
      <c r="EMM1"/>
      <c r="EMN1"/>
      <c r="EMO1"/>
      <c r="EMP1"/>
      <c r="EMQ1"/>
      <c r="EMR1"/>
      <c r="EMS1"/>
      <c r="EMT1"/>
      <c r="EMU1"/>
      <c r="EMV1"/>
      <c r="EMW1"/>
      <c r="EMX1"/>
      <c r="EMY1"/>
      <c r="EMZ1"/>
      <c r="ENA1"/>
      <c r="ENB1"/>
      <c r="ENC1"/>
      <c r="END1"/>
      <c r="ENE1"/>
      <c r="ENF1"/>
      <c r="ENG1"/>
      <c r="ENH1"/>
      <c r="ENI1"/>
      <c r="ENJ1"/>
      <c r="ENK1"/>
      <c r="ENL1"/>
      <c r="ENM1"/>
      <c r="ENN1"/>
      <c r="ENO1"/>
      <c r="ENP1"/>
      <c r="ENQ1"/>
      <c r="ENR1"/>
      <c r="ENS1"/>
      <c r="ENT1"/>
      <c r="ENU1"/>
      <c r="ENV1"/>
      <c r="ENW1"/>
      <c r="ENX1"/>
      <c r="ENY1"/>
      <c r="ENZ1"/>
      <c r="EOA1"/>
      <c r="EOB1"/>
      <c r="EOC1"/>
      <c r="EOD1"/>
      <c r="EOE1"/>
      <c r="EOF1"/>
      <c r="EOG1"/>
      <c r="EOH1"/>
      <c r="EOI1"/>
      <c r="EOJ1"/>
      <c r="EOK1"/>
      <c r="EOL1"/>
      <c r="EOM1"/>
      <c r="EON1"/>
      <c r="EOO1"/>
      <c r="EOP1"/>
      <c r="EOQ1"/>
      <c r="EOR1"/>
      <c r="EOS1"/>
      <c r="EOT1"/>
      <c r="EOU1"/>
      <c r="EOV1"/>
      <c r="EOW1"/>
      <c r="EOX1"/>
      <c r="EOY1"/>
      <c r="EOZ1"/>
      <c r="EPA1"/>
      <c r="EPB1"/>
      <c r="EPC1"/>
      <c r="EPD1"/>
      <c r="EPE1"/>
      <c r="EPF1"/>
      <c r="EPG1"/>
      <c r="EPH1"/>
      <c r="EPI1"/>
      <c r="EPJ1"/>
      <c r="EPK1"/>
      <c r="EPL1"/>
      <c r="EPM1"/>
      <c r="EPN1"/>
      <c r="EPO1"/>
      <c r="EPP1"/>
      <c r="EPQ1"/>
      <c r="EPR1"/>
      <c r="EPS1"/>
      <c r="EPT1"/>
      <c r="EPU1"/>
      <c r="EPV1"/>
      <c r="EPW1"/>
      <c r="EPX1"/>
      <c r="EPY1"/>
      <c r="EPZ1"/>
      <c r="EQA1"/>
      <c r="EQB1"/>
      <c r="EQC1"/>
      <c r="EQD1"/>
      <c r="EQE1"/>
      <c r="EQF1"/>
      <c r="EQG1"/>
      <c r="EQH1"/>
      <c r="EQI1"/>
      <c r="EQJ1"/>
      <c r="EQK1"/>
      <c r="EQL1"/>
      <c r="EQM1"/>
      <c r="EQN1"/>
      <c r="EQO1"/>
      <c r="EQP1"/>
      <c r="EQQ1"/>
      <c r="EQR1"/>
      <c r="EQS1"/>
      <c r="EQT1"/>
      <c r="EQU1"/>
      <c r="EQV1"/>
      <c r="EQW1"/>
      <c r="EQX1"/>
      <c r="EQY1"/>
      <c r="EQZ1"/>
      <c r="ERA1"/>
      <c r="ERB1"/>
      <c r="ERC1"/>
      <c r="ERD1"/>
      <c r="ERE1"/>
      <c r="ERF1"/>
      <c r="ERG1"/>
      <c r="ERH1"/>
      <c r="ERI1"/>
      <c r="ERJ1"/>
      <c r="ERK1"/>
      <c r="ERL1"/>
      <c r="ERM1"/>
      <c r="ERN1"/>
      <c r="ERO1"/>
      <c r="ERP1"/>
      <c r="ERQ1"/>
      <c r="ERR1"/>
      <c r="ERS1"/>
      <c r="ERT1"/>
      <c r="ERU1"/>
      <c r="ERV1"/>
      <c r="ERW1"/>
      <c r="ERX1"/>
      <c r="ERY1"/>
      <c r="ERZ1"/>
      <c r="ESA1"/>
      <c r="ESB1"/>
      <c r="ESC1"/>
      <c r="ESD1"/>
      <c r="ESE1"/>
      <c r="ESF1"/>
      <c r="ESG1"/>
      <c r="ESH1"/>
      <c r="ESI1"/>
      <c r="ESJ1"/>
      <c r="ESK1"/>
      <c r="ESL1"/>
      <c r="ESM1"/>
      <c r="ESN1"/>
      <c r="ESO1"/>
      <c r="ESP1"/>
      <c r="ESQ1"/>
      <c r="ESR1"/>
      <c r="ESS1"/>
      <c r="EST1"/>
      <c r="ESU1"/>
      <c r="ESV1"/>
      <c r="ESW1"/>
      <c r="ESX1"/>
      <c r="ESY1"/>
      <c r="ESZ1"/>
      <c r="ETA1"/>
      <c r="ETB1"/>
      <c r="ETC1"/>
      <c r="ETD1"/>
      <c r="ETE1"/>
      <c r="ETF1"/>
      <c r="ETG1"/>
      <c r="ETH1"/>
      <c r="ETI1"/>
      <c r="ETJ1"/>
      <c r="ETK1"/>
      <c r="ETL1"/>
      <c r="ETM1"/>
      <c r="ETN1"/>
      <c r="ETO1"/>
      <c r="ETP1"/>
      <c r="ETQ1"/>
      <c r="ETR1"/>
      <c r="ETS1"/>
      <c r="ETT1"/>
      <c r="ETU1"/>
      <c r="ETV1"/>
      <c r="ETW1"/>
      <c r="ETX1"/>
      <c r="ETY1"/>
      <c r="ETZ1"/>
      <c r="EUA1"/>
      <c r="EUB1"/>
      <c r="EUC1"/>
      <c r="EUD1"/>
      <c r="EUE1"/>
      <c r="EUF1"/>
      <c r="EUG1"/>
      <c r="EUH1"/>
      <c r="EUI1"/>
      <c r="EUJ1"/>
      <c r="EUK1"/>
      <c r="EUL1"/>
      <c r="EUM1"/>
      <c r="EUN1"/>
      <c r="EUO1"/>
      <c r="EUP1"/>
      <c r="EUQ1"/>
      <c r="EUR1"/>
      <c r="EUS1"/>
      <c r="EUT1"/>
      <c r="EUU1"/>
      <c r="EUV1"/>
      <c r="EUW1"/>
      <c r="EUX1"/>
      <c r="EUY1"/>
      <c r="EUZ1"/>
      <c r="EVA1"/>
      <c r="EVB1"/>
      <c r="EVC1"/>
      <c r="EVD1"/>
      <c r="EVE1"/>
      <c r="EVF1"/>
      <c r="EVG1"/>
      <c r="EVH1"/>
      <c r="EVI1"/>
      <c r="EVJ1"/>
      <c r="EVK1"/>
      <c r="EVL1"/>
      <c r="EVM1"/>
      <c r="EVN1"/>
      <c r="EVO1"/>
      <c r="EVP1"/>
      <c r="EVQ1"/>
      <c r="EVR1"/>
      <c r="EVS1"/>
      <c r="EVT1"/>
      <c r="EVU1"/>
      <c r="EVV1"/>
      <c r="EVW1"/>
      <c r="EVX1"/>
      <c r="EVY1"/>
      <c r="EVZ1"/>
      <c r="EWA1"/>
      <c r="EWB1"/>
      <c r="EWC1"/>
      <c r="EWD1"/>
      <c r="EWE1"/>
      <c r="EWF1"/>
      <c r="EWG1"/>
      <c r="EWH1"/>
      <c r="EWI1"/>
      <c r="EWJ1"/>
      <c r="EWK1"/>
      <c r="EWL1"/>
      <c r="EWM1"/>
      <c r="EWN1"/>
      <c r="EWO1"/>
      <c r="EWP1"/>
      <c r="EWQ1"/>
      <c r="EWR1"/>
      <c r="EWS1"/>
      <c r="EWT1"/>
      <c r="EWU1"/>
      <c r="EWV1"/>
      <c r="EWW1"/>
      <c r="EWX1"/>
      <c r="EWY1"/>
      <c r="EWZ1"/>
      <c r="EXA1"/>
      <c r="EXB1"/>
      <c r="EXC1"/>
      <c r="EXD1"/>
      <c r="EXE1"/>
      <c r="EXF1"/>
      <c r="EXG1"/>
      <c r="EXH1"/>
      <c r="EXI1"/>
      <c r="EXJ1"/>
      <c r="EXK1"/>
      <c r="EXL1"/>
      <c r="EXM1"/>
      <c r="EXN1"/>
      <c r="EXO1"/>
      <c r="EXP1"/>
      <c r="EXQ1"/>
      <c r="EXR1"/>
      <c r="EXS1"/>
      <c r="EXT1"/>
      <c r="EXU1"/>
      <c r="EXV1"/>
      <c r="EXW1"/>
      <c r="EXX1"/>
      <c r="EXY1"/>
      <c r="EXZ1"/>
      <c r="EYA1"/>
      <c r="EYB1"/>
      <c r="EYC1"/>
      <c r="EYD1"/>
      <c r="EYE1"/>
      <c r="EYF1"/>
      <c r="EYG1"/>
      <c r="EYH1"/>
      <c r="EYI1"/>
      <c r="EYJ1"/>
      <c r="EYK1"/>
      <c r="EYL1"/>
      <c r="EYM1"/>
      <c r="EYN1"/>
      <c r="EYO1"/>
      <c r="EYP1"/>
      <c r="EYQ1"/>
      <c r="EYR1"/>
      <c r="EYS1"/>
      <c r="EYT1"/>
      <c r="EYU1"/>
      <c r="EYV1"/>
      <c r="EYW1"/>
      <c r="EYX1"/>
      <c r="EYY1"/>
      <c r="EYZ1"/>
      <c r="EZA1"/>
      <c r="EZB1"/>
      <c r="EZC1"/>
      <c r="EZD1"/>
      <c r="EZE1"/>
      <c r="EZF1"/>
      <c r="EZG1"/>
      <c r="EZH1"/>
      <c r="EZI1"/>
      <c r="EZJ1"/>
      <c r="EZK1"/>
      <c r="EZL1"/>
      <c r="EZM1"/>
      <c r="EZN1"/>
      <c r="EZO1"/>
      <c r="EZP1"/>
      <c r="EZQ1"/>
      <c r="EZR1"/>
      <c r="EZS1"/>
      <c r="EZT1"/>
      <c r="EZU1"/>
      <c r="EZV1"/>
      <c r="EZW1"/>
      <c r="EZX1"/>
      <c r="EZY1"/>
      <c r="EZZ1"/>
      <c r="FAA1"/>
      <c r="FAB1"/>
      <c r="FAC1"/>
      <c r="FAD1"/>
      <c r="FAE1"/>
      <c r="FAF1"/>
      <c r="FAG1"/>
      <c r="FAH1"/>
      <c r="FAI1"/>
      <c r="FAJ1"/>
      <c r="FAK1"/>
      <c r="FAL1"/>
      <c r="FAM1"/>
      <c r="FAN1"/>
      <c r="FAO1"/>
      <c r="FAP1"/>
      <c r="FAQ1"/>
      <c r="FAR1"/>
      <c r="FAS1"/>
      <c r="FAT1"/>
      <c r="FAU1"/>
      <c r="FAV1"/>
      <c r="FAW1"/>
      <c r="FAX1"/>
      <c r="FAY1"/>
      <c r="FAZ1"/>
      <c r="FBA1"/>
      <c r="FBB1"/>
      <c r="FBC1"/>
      <c r="FBD1"/>
      <c r="FBE1"/>
      <c r="FBF1"/>
      <c r="FBG1"/>
      <c r="FBH1"/>
      <c r="FBI1"/>
      <c r="FBJ1"/>
      <c r="FBK1"/>
      <c r="FBL1"/>
      <c r="FBM1"/>
      <c r="FBN1"/>
      <c r="FBO1"/>
      <c r="FBP1"/>
      <c r="FBQ1"/>
      <c r="FBR1"/>
      <c r="FBS1"/>
      <c r="FBT1"/>
      <c r="FBU1"/>
      <c r="FBV1"/>
      <c r="FBW1"/>
      <c r="FBX1"/>
      <c r="FBY1"/>
      <c r="FBZ1"/>
      <c r="FCA1"/>
      <c r="FCB1"/>
      <c r="FCC1"/>
      <c r="FCD1"/>
      <c r="FCE1"/>
      <c r="FCF1"/>
      <c r="FCG1"/>
      <c r="FCH1"/>
      <c r="FCI1"/>
      <c r="FCJ1"/>
      <c r="FCK1"/>
      <c r="FCL1"/>
      <c r="FCM1"/>
      <c r="FCN1"/>
      <c r="FCO1"/>
      <c r="FCP1"/>
      <c r="FCQ1"/>
      <c r="FCR1"/>
      <c r="FCS1"/>
      <c r="FCT1"/>
      <c r="FCU1"/>
      <c r="FCV1"/>
      <c r="FCW1"/>
      <c r="FCX1"/>
      <c r="FCY1"/>
      <c r="FCZ1"/>
      <c r="FDA1"/>
      <c r="FDB1"/>
      <c r="FDC1"/>
      <c r="FDD1"/>
      <c r="FDE1"/>
      <c r="FDF1"/>
      <c r="FDG1"/>
      <c r="FDH1"/>
      <c r="FDI1"/>
      <c r="FDJ1"/>
      <c r="FDK1"/>
      <c r="FDL1"/>
      <c r="FDM1"/>
      <c r="FDN1"/>
      <c r="FDO1"/>
      <c r="FDP1"/>
      <c r="FDQ1"/>
      <c r="FDR1"/>
      <c r="FDS1"/>
      <c r="FDT1"/>
      <c r="FDU1"/>
      <c r="FDV1"/>
      <c r="FDW1"/>
      <c r="FDX1"/>
      <c r="FDY1"/>
      <c r="FDZ1"/>
      <c r="FEA1"/>
      <c r="FEB1"/>
      <c r="FEC1"/>
      <c r="FED1"/>
      <c r="FEE1"/>
      <c r="FEF1"/>
      <c r="FEG1"/>
      <c r="FEH1"/>
      <c r="FEI1"/>
      <c r="FEJ1"/>
      <c r="FEK1"/>
      <c r="FEL1"/>
      <c r="FEM1"/>
      <c r="FEN1"/>
      <c r="FEO1"/>
      <c r="FEP1"/>
      <c r="FEQ1"/>
      <c r="FER1"/>
      <c r="FES1"/>
      <c r="FET1"/>
      <c r="FEU1"/>
      <c r="FEV1"/>
      <c r="FEW1"/>
      <c r="FEX1"/>
      <c r="FEY1"/>
      <c r="FEZ1"/>
      <c r="FFA1"/>
      <c r="FFB1"/>
      <c r="FFC1"/>
      <c r="FFD1"/>
      <c r="FFE1"/>
      <c r="FFF1"/>
      <c r="FFG1"/>
      <c r="FFH1"/>
      <c r="FFI1"/>
      <c r="FFJ1"/>
      <c r="FFK1"/>
      <c r="FFL1"/>
      <c r="FFM1"/>
      <c r="FFN1"/>
      <c r="FFO1"/>
      <c r="FFP1"/>
      <c r="FFQ1"/>
      <c r="FFR1"/>
      <c r="FFS1"/>
      <c r="FFT1"/>
      <c r="FFU1"/>
      <c r="FFV1"/>
      <c r="FFW1"/>
      <c r="FFX1"/>
      <c r="FFY1"/>
      <c r="FFZ1"/>
      <c r="FGA1"/>
      <c r="FGB1"/>
      <c r="FGC1"/>
      <c r="FGD1"/>
      <c r="FGE1"/>
      <c r="FGF1"/>
      <c r="FGG1"/>
      <c r="FGH1"/>
      <c r="FGI1"/>
      <c r="FGJ1"/>
      <c r="FGK1"/>
      <c r="FGL1"/>
      <c r="FGM1"/>
      <c r="FGN1"/>
      <c r="FGO1"/>
      <c r="FGP1"/>
      <c r="FGQ1"/>
      <c r="FGR1"/>
      <c r="FGS1"/>
      <c r="FGT1"/>
      <c r="FGU1"/>
      <c r="FGV1"/>
      <c r="FGW1"/>
      <c r="FGX1"/>
      <c r="FGY1"/>
      <c r="FGZ1"/>
      <c r="FHA1"/>
      <c r="FHB1"/>
      <c r="FHC1"/>
      <c r="FHD1"/>
      <c r="FHE1"/>
      <c r="FHF1"/>
      <c r="FHG1"/>
      <c r="FHH1"/>
      <c r="FHI1"/>
      <c r="FHJ1"/>
      <c r="FHK1"/>
      <c r="FHL1"/>
      <c r="FHM1"/>
      <c r="FHN1"/>
      <c r="FHO1"/>
      <c r="FHP1"/>
      <c r="FHQ1"/>
      <c r="FHR1"/>
      <c r="FHS1"/>
      <c r="FHT1"/>
      <c r="FHU1"/>
      <c r="FHV1"/>
      <c r="FHW1"/>
      <c r="FHX1"/>
      <c r="FHY1"/>
      <c r="FHZ1"/>
      <c r="FIA1"/>
      <c r="FIB1"/>
      <c r="FIC1"/>
      <c r="FID1"/>
      <c r="FIE1"/>
      <c r="FIF1"/>
      <c r="FIG1"/>
      <c r="FIH1"/>
      <c r="FII1"/>
      <c r="FIJ1"/>
      <c r="FIK1"/>
      <c r="FIL1"/>
      <c r="FIM1"/>
      <c r="FIN1"/>
      <c r="FIO1"/>
      <c r="FIP1"/>
      <c r="FIQ1"/>
      <c r="FIR1"/>
      <c r="FIS1"/>
      <c r="FIT1"/>
      <c r="FIU1"/>
      <c r="FIV1"/>
      <c r="FIW1"/>
      <c r="FIX1"/>
      <c r="FIY1"/>
      <c r="FIZ1"/>
      <c r="FJA1"/>
      <c r="FJB1"/>
      <c r="FJC1"/>
      <c r="FJD1"/>
      <c r="FJE1"/>
      <c r="FJF1"/>
      <c r="FJG1"/>
      <c r="FJH1"/>
      <c r="FJI1"/>
      <c r="FJJ1"/>
      <c r="FJK1"/>
      <c r="FJL1"/>
      <c r="FJM1"/>
      <c r="FJN1"/>
      <c r="FJO1"/>
      <c r="FJP1"/>
      <c r="FJQ1"/>
      <c r="FJR1"/>
      <c r="FJS1"/>
      <c r="FJT1"/>
      <c r="FJU1"/>
      <c r="FJV1"/>
      <c r="FJW1"/>
      <c r="FJX1"/>
      <c r="FJY1"/>
      <c r="FJZ1"/>
      <c r="FKA1"/>
      <c r="FKB1"/>
      <c r="FKC1"/>
      <c r="FKD1"/>
      <c r="FKE1"/>
      <c r="FKF1"/>
      <c r="FKG1"/>
      <c r="FKH1"/>
      <c r="FKI1"/>
      <c r="FKJ1"/>
      <c r="FKK1"/>
      <c r="FKL1"/>
      <c r="FKM1"/>
      <c r="FKN1"/>
      <c r="FKO1"/>
      <c r="FKP1"/>
      <c r="FKQ1"/>
      <c r="FKR1"/>
      <c r="FKS1"/>
      <c r="FKT1"/>
      <c r="FKU1"/>
      <c r="FKV1"/>
      <c r="FKW1"/>
      <c r="FKX1"/>
      <c r="FKY1"/>
      <c r="FKZ1"/>
      <c r="FLA1"/>
      <c r="FLB1"/>
      <c r="FLC1"/>
      <c r="FLD1"/>
      <c r="FLE1"/>
      <c r="FLF1"/>
      <c r="FLG1"/>
      <c r="FLH1"/>
      <c r="FLI1"/>
      <c r="FLJ1"/>
      <c r="FLK1"/>
      <c r="FLL1"/>
      <c r="FLM1"/>
      <c r="FLN1"/>
      <c r="FLO1"/>
      <c r="FLP1"/>
      <c r="FLQ1"/>
      <c r="FLR1"/>
      <c r="FLS1"/>
      <c r="FLT1"/>
      <c r="FLU1"/>
      <c r="FLV1"/>
      <c r="FLW1"/>
      <c r="FLX1"/>
      <c r="FLY1"/>
      <c r="FLZ1"/>
      <c r="FMA1"/>
      <c r="FMB1"/>
      <c r="FMC1"/>
      <c r="FMD1"/>
      <c r="FME1"/>
      <c r="FMF1"/>
      <c r="FMG1"/>
      <c r="FMH1"/>
      <c r="FMI1"/>
      <c r="FMJ1"/>
      <c r="FMK1"/>
      <c r="FML1"/>
      <c r="FMM1"/>
      <c r="FMN1"/>
      <c r="FMO1"/>
      <c r="FMP1"/>
      <c r="FMQ1"/>
      <c r="FMR1"/>
      <c r="FMS1"/>
      <c r="FMT1"/>
      <c r="FMU1"/>
      <c r="FMV1"/>
      <c r="FMW1"/>
      <c r="FMX1"/>
      <c r="FMY1"/>
      <c r="FMZ1"/>
      <c r="FNA1"/>
      <c r="FNB1"/>
      <c r="FNC1"/>
      <c r="FND1"/>
      <c r="FNE1"/>
      <c r="FNF1"/>
      <c r="FNG1"/>
      <c r="FNH1"/>
      <c r="FNI1"/>
      <c r="FNJ1"/>
      <c r="FNK1"/>
      <c r="FNL1"/>
      <c r="FNM1"/>
      <c r="FNN1"/>
      <c r="FNO1"/>
      <c r="FNP1"/>
      <c r="FNQ1"/>
      <c r="FNR1"/>
      <c r="FNS1"/>
      <c r="FNT1"/>
      <c r="FNU1"/>
      <c r="FNV1"/>
      <c r="FNW1"/>
      <c r="FNX1"/>
      <c r="FNY1"/>
      <c r="FNZ1"/>
      <c r="FOA1"/>
      <c r="FOB1"/>
      <c r="FOC1"/>
      <c r="FOD1"/>
      <c r="FOE1"/>
      <c r="FOF1"/>
      <c r="FOG1"/>
      <c r="FOH1"/>
      <c r="FOI1"/>
      <c r="FOJ1"/>
      <c r="FOK1"/>
      <c r="FOL1"/>
      <c r="FOM1"/>
      <c r="FON1"/>
      <c r="FOO1"/>
      <c r="FOP1"/>
      <c r="FOQ1"/>
      <c r="FOR1"/>
      <c r="FOS1"/>
      <c r="FOT1"/>
      <c r="FOU1"/>
      <c r="FOV1"/>
      <c r="FOW1"/>
      <c r="FOX1"/>
      <c r="FOY1"/>
      <c r="FOZ1"/>
      <c r="FPA1"/>
      <c r="FPB1"/>
      <c r="FPC1"/>
      <c r="FPD1"/>
      <c r="FPE1"/>
      <c r="FPF1"/>
      <c r="FPG1"/>
      <c r="FPH1"/>
      <c r="FPI1"/>
      <c r="FPJ1"/>
      <c r="FPK1"/>
      <c r="FPL1"/>
      <c r="FPM1"/>
      <c r="FPN1"/>
      <c r="FPO1"/>
      <c r="FPP1"/>
      <c r="FPQ1"/>
      <c r="FPR1"/>
      <c r="FPS1"/>
      <c r="FPT1"/>
      <c r="FPU1"/>
      <c r="FPV1"/>
      <c r="FPW1"/>
      <c r="FPX1"/>
      <c r="FPY1"/>
      <c r="FPZ1"/>
      <c r="FQA1"/>
      <c r="FQB1"/>
      <c r="FQC1"/>
      <c r="FQD1"/>
      <c r="FQE1"/>
      <c r="FQF1"/>
      <c r="FQG1"/>
      <c r="FQH1"/>
      <c r="FQI1"/>
      <c r="FQJ1"/>
      <c r="FQK1"/>
      <c r="FQL1"/>
      <c r="FQM1"/>
      <c r="FQN1"/>
      <c r="FQO1"/>
      <c r="FQP1"/>
      <c r="FQQ1"/>
      <c r="FQR1"/>
      <c r="FQS1"/>
      <c r="FQT1"/>
      <c r="FQU1"/>
      <c r="FQV1"/>
      <c r="FQW1"/>
      <c r="FQX1"/>
      <c r="FQY1"/>
      <c r="FQZ1"/>
      <c r="FRA1"/>
      <c r="FRB1"/>
      <c r="FRC1"/>
      <c r="FRD1"/>
      <c r="FRE1"/>
      <c r="FRF1"/>
      <c r="FRG1"/>
      <c r="FRH1"/>
      <c r="FRI1"/>
      <c r="FRJ1"/>
      <c r="FRK1"/>
      <c r="FRL1"/>
      <c r="FRM1"/>
      <c r="FRN1"/>
      <c r="FRO1"/>
      <c r="FRP1"/>
      <c r="FRQ1"/>
      <c r="FRR1"/>
      <c r="FRS1"/>
      <c r="FRT1"/>
      <c r="FRU1"/>
      <c r="FRV1"/>
      <c r="FRW1"/>
      <c r="FRX1"/>
      <c r="FRY1"/>
      <c r="FRZ1"/>
      <c r="FSA1"/>
      <c r="FSB1"/>
      <c r="FSC1"/>
      <c r="FSD1"/>
      <c r="FSE1"/>
      <c r="FSF1"/>
      <c r="FSG1"/>
      <c r="FSH1"/>
      <c r="FSI1"/>
      <c r="FSJ1"/>
      <c r="FSK1"/>
      <c r="FSL1"/>
      <c r="FSM1"/>
      <c r="FSN1"/>
      <c r="FSO1"/>
      <c r="FSP1"/>
      <c r="FSQ1"/>
      <c r="FSR1"/>
      <c r="FSS1"/>
      <c r="FST1"/>
      <c r="FSU1"/>
      <c r="FSV1"/>
      <c r="FSW1"/>
      <c r="FSX1"/>
      <c r="FSY1"/>
      <c r="FSZ1"/>
      <c r="FTA1"/>
      <c r="FTB1"/>
      <c r="FTC1"/>
      <c r="FTD1"/>
      <c r="FTE1"/>
      <c r="FTF1"/>
      <c r="FTG1"/>
      <c r="FTH1"/>
      <c r="FTI1"/>
      <c r="FTJ1"/>
      <c r="FTK1"/>
      <c r="FTL1"/>
      <c r="FTM1"/>
      <c r="FTN1"/>
      <c r="FTO1"/>
      <c r="FTP1"/>
      <c r="FTQ1"/>
      <c r="FTR1"/>
      <c r="FTS1"/>
      <c r="FTT1"/>
      <c r="FTU1"/>
      <c r="FTV1"/>
      <c r="FTW1"/>
      <c r="FTX1"/>
      <c r="FTY1"/>
      <c r="FTZ1"/>
      <c r="FUA1"/>
      <c r="FUB1"/>
      <c r="FUC1"/>
      <c r="FUD1"/>
      <c r="FUE1"/>
      <c r="FUF1"/>
      <c r="FUG1"/>
      <c r="FUH1"/>
      <c r="FUI1"/>
      <c r="FUJ1"/>
      <c r="FUK1"/>
      <c r="FUL1"/>
      <c r="FUM1"/>
      <c r="FUN1"/>
      <c r="FUO1"/>
      <c r="FUP1"/>
      <c r="FUQ1"/>
      <c r="FUR1"/>
      <c r="FUS1"/>
      <c r="FUT1"/>
      <c r="FUU1"/>
      <c r="FUV1"/>
      <c r="FUW1"/>
      <c r="FUX1"/>
      <c r="FUY1"/>
      <c r="FUZ1"/>
      <c r="FVA1"/>
      <c r="FVB1"/>
      <c r="FVC1"/>
      <c r="FVD1"/>
      <c r="FVE1"/>
      <c r="FVF1"/>
      <c r="FVG1"/>
      <c r="FVH1"/>
      <c r="FVI1"/>
      <c r="FVJ1"/>
      <c r="FVK1"/>
      <c r="FVL1"/>
      <c r="FVM1"/>
      <c r="FVN1"/>
      <c r="FVO1"/>
      <c r="FVP1"/>
      <c r="FVQ1"/>
      <c r="FVR1"/>
      <c r="FVS1"/>
      <c r="FVT1"/>
      <c r="FVU1"/>
      <c r="FVV1"/>
      <c r="FVW1"/>
      <c r="FVX1"/>
      <c r="FVY1"/>
      <c r="FVZ1"/>
      <c r="FWA1"/>
      <c r="FWB1"/>
      <c r="FWC1"/>
      <c r="FWD1"/>
      <c r="FWE1"/>
      <c r="FWF1"/>
      <c r="FWG1"/>
      <c r="FWH1"/>
      <c r="FWI1"/>
      <c r="FWJ1"/>
      <c r="FWK1"/>
      <c r="FWL1"/>
      <c r="FWM1"/>
      <c r="FWN1"/>
      <c r="FWO1"/>
      <c r="FWP1"/>
      <c r="FWQ1"/>
      <c r="FWR1"/>
      <c r="FWS1"/>
      <c r="FWT1"/>
      <c r="FWU1"/>
      <c r="FWV1"/>
      <c r="FWW1"/>
      <c r="FWX1"/>
      <c r="FWY1"/>
      <c r="FWZ1"/>
      <c r="FXA1"/>
      <c r="FXB1"/>
      <c r="FXC1"/>
      <c r="FXD1"/>
      <c r="FXE1"/>
      <c r="FXF1"/>
      <c r="FXG1"/>
      <c r="FXH1"/>
      <c r="FXI1"/>
      <c r="FXJ1"/>
      <c r="FXK1"/>
      <c r="FXL1"/>
      <c r="FXM1"/>
      <c r="FXN1"/>
      <c r="FXO1"/>
      <c r="FXP1"/>
      <c r="FXQ1"/>
      <c r="FXR1"/>
      <c r="FXS1"/>
      <c r="FXT1"/>
      <c r="FXU1"/>
      <c r="FXV1"/>
      <c r="FXW1"/>
      <c r="FXX1"/>
      <c r="FXY1"/>
      <c r="FXZ1"/>
      <c r="FYA1"/>
      <c r="FYB1"/>
      <c r="FYC1"/>
      <c r="FYD1"/>
      <c r="FYE1"/>
      <c r="FYF1"/>
      <c r="FYG1"/>
      <c r="FYH1"/>
      <c r="FYI1"/>
      <c r="FYJ1"/>
      <c r="FYK1"/>
      <c r="FYL1"/>
      <c r="FYM1"/>
      <c r="FYN1"/>
      <c r="FYO1"/>
      <c r="FYP1"/>
      <c r="FYQ1"/>
      <c r="FYR1"/>
      <c r="FYS1"/>
      <c r="FYT1"/>
      <c r="FYU1"/>
      <c r="FYV1"/>
      <c r="FYW1"/>
      <c r="FYX1"/>
      <c r="FYY1"/>
      <c r="FYZ1"/>
      <c r="FZA1"/>
      <c r="FZB1"/>
      <c r="FZC1"/>
      <c r="FZD1"/>
      <c r="FZE1"/>
      <c r="FZF1"/>
      <c r="FZG1"/>
      <c r="FZH1"/>
      <c r="FZI1"/>
      <c r="FZJ1"/>
      <c r="FZK1"/>
      <c r="FZL1"/>
      <c r="FZM1"/>
      <c r="FZN1"/>
      <c r="FZO1"/>
      <c r="FZP1"/>
      <c r="FZQ1"/>
      <c r="FZR1"/>
      <c r="FZS1"/>
      <c r="FZT1"/>
      <c r="FZU1"/>
      <c r="FZV1"/>
      <c r="FZW1"/>
      <c r="FZX1"/>
      <c r="FZY1"/>
      <c r="FZZ1"/>
      <c r="GAA1"/>
      <c r="GAB1"/>
      <c r="GAC1"/>
      <c r="GAD1"/>
      <c r="GAE1"/>
      <c r="GAF1"/>
      <c r="GAG1"/>
      <c r="GAH1"/>
      <c r="GAI1"/>
      <c r="GAJ1"/>
      <c r="GAK1"/>
      <c r="GAL1"/>
      <c r="GAM1"/>
      <c r="GAN1"/>
      <c r="GAO1"/>
      <c r="GAP1"/>
      <c r="GAQ1"/>
      <c r="GAR1"/>
      <c r="GAS1"/>
      <c r="GAT1"/>
      <c r="GAU1"/>
      <c r="GAV1"/>
      <c r="GAW1"/>
      <c r="GAX1"/>
      <c r="GAY1"/>
      <c r="GAZ1"/>
      <c r="GBA1"/>
      <c r="GBB1"/>
      <c r="GBC1"/>
      <c r="GBD1"/>
      <c r="GBE1"/>
      <c r="GBF1"/>
      <c r="GBG1"/>
      <c r="GBH1"/>
      <c r="GBI1"/>
      <c r="GBJ1"/>
      <c r="GBK1"/>
      <c r="GBL1"/>
      <c r="GBM1"/>
      <c r="GBN1"/>
      <c r="GBO1"/>
      <c r="GBP1"/>
      <c r="GBQ1"/>
      <c r="GBR1"/>
      <c r="GBS1"/>
      <c r="GBT1"/>
      <c r="GBU1"/>
      <c r="GBV1"/>
      <c r="GBW1"/>
      <c r="GBX1"/>
      <c r="GBY1"/>
      <c r="GBZ1"/>
      <c r="GCA1"/>
      <c r="GCB1"/>
      <c r="GCC1"/>
      <c r="GCD1"/>
      <c r="GCE1"/>
      <c r="GCF1"/>
      <c r="GCG1"/>
      <c r="GCH1"/>
      <c r="GCI1"/>
      <c r="GCJ1"/>
      <c r="GCK1"/>
      <c r="GCL1"/>
      <c r="GCM1"/>
      <c r="GCN1"/>
      <c r="GCO1"/>
      <c r="GCP1"/>
      <c r="GCQ1"/>
      <c r="GCR1"/>
      <c r="GCS1"/>
      <c r="GCT1"/>
      <c r="GCU1"/>
      <c r="GCV1"/>
      <c r="GCW1"/>
      <c r="GCX1"/>
      <c r="GCY1"/>
      <c r="GCZ1"/>
      <c r="GDA1"/>
      <c r="GDB1"/>
      <c r="GDC1"/>
      <c r="GDD1"/>
      <c r="GDE1"/>
      <c r="GDF1"/>
      <c r="GDG1"/>
      <c r="GDH1"/>
      <c r="GDI1"/>
      <c r="GDJ1"/>
      <c r="GDK1"/>
      <c r="GDL1"/>
      <c r="GDM1"/>
      <c r="GDN1"/>
      <c r="GDO1"/>
      <c r="GDP1"/>
      <c r="GDQ1"/>
      <c r="GDR1"/>
      <c r="GDS1"/>
      <c r="GDT1"/>
      <c r="GDU1"/>
      <c r="GDV1"/>
      <c r="GDW1"/>
      <c r="GDX1"/>
      <c r="GDY1"/>
      <c r="GDZ1"/>
      <c r="GEA1"/>
      <c r="GEB1"/>
      <c r="GEC1"/>
      <c r="GED1"/>
      <c r="GEE1"/>
      <c r="GEF1"/>
      <c r="GEG1"/>
      <c r="GEH1"/>
      <c r="GEI1"/>
      <c r="GEJ1"/>
      <c r="GEK1"/>
      <c r="GEL1"/>
      <c r="GEM1"/>
      <c r="GEN1"/>
      <c r="GEO1"/>
      <c r="GEP1"/>
      <c r="GEQ1"/>
      <c r="GER1"/>
      <c r="GES1"/>
      <c r="GET1"/>
      <c r="GEU1"/>
      <c r="GEV1"/>
      <c r="GEW1"/>
      <c r="GEX1"/>
      <c r="GEY1"/>
      <c r="GEZ1"/>
      <c r="GFA1"/>
      <c r="GFB1"/>
      <c r="GFC1"/>
      <c r="GFD1"/>
      <c r="GFE1"/>
      <c r="GFF1"/>
      <c r="GFG1"/>
      <c r="GFH1"/>
      <c r="GFI1"/>
      <c r="GFJ1"/>
      <c r="GFK1"/>
      <c r="GFL1"/>
      <c r="GFM1"/>
      <c r="GFN1"/>
      <c r="GFO1"/>
      <c r="GFP1"/>
      <c r="GFQ1"/>
      <c r="GFR1"/>
      <c r="GFS1"/>
      <c r="GFT1"/>
      <c r="GFU1"/>
      <c r="GFV1"/>
      <c r="GFW1"/>
      <c r="GFX1"/>
      <c r="GFY1"/>
      <c r="GFZ1"/>
      <c r="GGA1"/>
      <c r="GGB1"/>
      <c r="GGC1"/>
      <c r="GGD1"/>
      <c r="GGE1"/>
      <c r="GGF1"/>
      <c r="GGG1"/>
      <c r="GGH1"/>
      <c r="GGI1"/>
      <c r="GGJ1"/>
      <c r="GGK1"/>
      <c r="GGL1"/>
      <c r="GGM1"/>
      <c r="GGN1"/>
      <c r="GGO1"/>
      <c r="GGP1"/>
      <c r="GGQ1"/>
      <c r="GGR1"/>
      <c r="GGS1"/>
      <c r="GGT1"/>
      <c r="GGU1"/>
      <c r="GGV1"/>
      <c r="GGW1"/>
      <c r="GGX1"/>
      <c r="GGY1"/>
      <c r="GGZ1"/>
      <c r="GHA1"/>
      <c r="GHB1"/>
      <c r="GHC1"/>
      <c r="GHD1"/>
      <c r="GHE1"/>
      <c r="GHF1"/>
      <c r="GHG1"/>
      <c r="GHH1"/>
      <c r="GHI1"/>
      <c r="GHJ1"/>
      <c r="GHK1"/>
      <c r="GHL1"/>
      <c r="GHM1"/>
      <c r="GHN1"/>
      <c r="GHO1"/>
      <c r="GHP1"/>
      <c r="GHQ1"/>
      <c r="GHR1"/>
      <c r="GHS1"/>
      <c r="GHT1"/>
      <c r="GHU1"/>
      <c r="GHV1"/>
      <c r="GHW1"/>
      <c r="GHX1"/>
      <c r="GHY1"/>
      <c r="GHZ1"/>
      <c r="GIA1"/>
      <c r="GIB1"/>
      <c r="GIC1"/>
      <c r="GID1"/>
      <c r="GIE1"/>
      <c r="GIF1"/>
      <c r="GIG1"/>
      <c r="GIH1"/>
      <c r="GII1"/>
      <c r="GIJ1"/>
      <c r="GIK1"/>
      <c r="GIL1"/>
      <c r="GIM1"/>
      <c r="GIN1"/>
      <c r="GIO1"/>
      <c r="GIP1"/>
      <c r="GIQ1"/>
      <c r="GIR1"/>
      <c r="GIS1"/>
      <c r="GIT1"/>
      <c r="GIU1"/>
      <c r="GIV1"/>
      <c r="GIW1"/>
      <c r="GIX1"/>
      <c r="GIY1"/>
      <c r="GIZ1"/>
      <c r="GJA1"/>
      <c r="GJB1"/>
      <c r="GJC1"/>
      <c r="GJD1"/>
      <c r="GJE1"/>
      <c r="GJF1"/>
      <c r="GJG1"/>
      <c r="GJH1"/>
      <c r="GJI1"/>
      <c r="GJJ1"/>
      <c r="GJK1"/>
      <c r="GJL1"/>
      <c r="GJM1"/>
      <c r="GJN1"/>
      <c r="GJO1"/>
      <c r="GJP1"/>
      <c r="GJQ1"/>
      <c r="GJR1"/>
      <c r="GJS1"/>
      <c r="GJT1"/>
      <c r="GJU1"/>
      <c r="GJV1"/>
      <c r="GJW1"/>
      <c r="GJX1"/>
      <c r="GJY1"/>
      <c r="GJZ1"/>
      <c r="GKA1"/>
      <c r="GKB1"/>
      <c r="GKC1"/>
      <c r="GKD1"/>
      <c r="GKE1"/>
      <c r="GKF1"/>
      <c r="GKG1"/>
      <c r="GKH1"/>
      <c r="GKI1"/>
      <c r="GKJ1"/>
      <c r="GKK1"/>
      <c r="GKL1"/>
      <c r="GKM1"/>
      <c r="GKN1"/>
      <c r="GKO1"/>
      <c r="GKP1"/>
      <c r="GKQ1"/>
      <c r="GKR1"/>
      <c r="GKS1"/>
      <c r="GKT1"/>
      <c r="GKU1"/>
      <c r="GKV1"/>
      <c r="GKW1"/>
      <c r="GKX1"/>
      <c r="GKY1"/>
      <c r="GKZ1"/>
      <c r="GLA1"/>
      <c r="GLB1"/>
      <c r="GLC1"/>
      <c r="GLD1"/>
      <c r="GLE1"/>
      <c r="GLF1"/>
      <c r="GLG1"/>
      <c r="GLH1"/>
      <c r="GLI1"/>
      <c r="GLJ1"/>
      <c r="GLK1"/>
      <c r="GLL1"/>
      <c r="GLM1"/>
      <c r="GLN1"/>
      <c r="GLO1"/>
      <c r="GLP1"/>
      <c r="GLQ1"/>
      <c r="GLR1"/>
      <c r="GLS1"/>
      <c r="GLT1"/>
      <c r="GLU1"/>
      <c r="GLV1"/>
      <c r="GLW1"/>
      <c r="GLX1"/>
      <c r="GLY1"/>
      <c r="GLZ1"/>
      <c r="GMA1"/>
      <c r="GMB1"/>
      <c r="GMC1"/>
      <c r="GMD1"/>
      <c r="GME1"/>
      <c r="GMF1"/>
      <c r="GMG1"/>
      <c r="GMH1"/>
      <c r="GMI1"/>
      <c r="GMJ1"/>
      <c r="GMK1"/>
      <c r="GML1"/>
      <c r="GMM1"/>
      <c r="GMN1"/>
      <c r="GMO1"/>
      <c r="GMP1"/>
      <c r="GMQ1"/>
      <c r="GMR1"/>
      <c r="GMS1"/>
      <c r="GMT1"/>
      <c r="GMU1"/>
      <c r="GMV1"/>
      <c r="GMW1"/>
      <c r="GMX1"/>
      <c r="GMY1"/>
      <c r="GMZ1"/>
      <c r="GNA1"/>
      <c r="GNB1"/>
      <c r="GNC1"/>
      <c r="GND1"/>
      <c r="GNE1"/>
      <c r="GNF1"/>
      <c r="GNG1"/>
      <c r="GNH1"/>
      <c r="GNI1"/>
      <c r="GNJ1"/>
      <c r="GNK1"/>
      <c r="GNL1"/>
      <c r="GNM1"/>
      <c r="GNN1"/>
      <c r="GNO1"/>
      <c r="GNP1"/>
      <c r="GNQ1"/>
      <c r="GNR1"/>
      <c r="GNS1"/>
      <c r="GNT1"/>
      <c r="GNU1"/>
      <c r="GNV1"/>
      <c r="GNW1"/>
      <c r="GNX1"/>
      <c r="GNY1"/>
      <c r="GNZ1"/>
      <c r="GOA1"/>
      <c r="GOB1"/>
      <c r="GOC1"/>
      <c r="GOD1"/>
      <c r="GOE1"/>
      <c r="GOF1"/>
      <c r="GOG1"/>
      <c r="GOH1"/>
      <c r="GOI1"/>
      <c r="GOJ1"/>
      <c r="GOK1"/>
      <c r="GOL1"/>
      <c r="GOM1"/>
      <c r="GON1"/>
      <c r="GOO1"/>
      <c r="GOP1"/>
      <c r="GOQ1"/>
      <c r="GOR1"/>
      <c r="GOS1"/>
      <c r="GOT1"/>
      <c r="GOU1"/>
      <c r="GOV1"/>
      <c r="GOW1"/>
      <c r="GOX1"/>
      <c r="GOY1"/>
      <c r="GOZ1"/>
      <c r="GPA1"/>
      <c r="GPB1"/>
      <c r="GPC1"/>
      <c r="GPD1"/>
      <c r="GPE1"/>
      <c r="GPF1"/>
      <c r="GPG1"/>
      <c r="GPH1"/>
      <c r="GPI1"/>
      <c r="GPJ1"/>
      <c r="GPK1"/>
      <c r="GPL1"/>
      <c r="GPM1"/>
      <c r="GPN1"/>
      <c r="GPO1"/>
      <c r="GPP1"/>
      <c r="GPQ1"/>
      <c r="GPR1"/>
      <c r="GPS1"/>
      <c r="GPT1"/>
      <c r="GPU1"/>
      <c r="GPV1"/>
      <c r="GPW1"/>
      <c r="GPX1"/>
      <c r="GPY1"/>
      <c r="GPZ1"/>
      <c r="GQA1"/>
      <c r="GQB1"/>
      <c r="GQC1"/>
      <c r="GQD1"/>
      <c r="GQE1"/>
      <c r="GQF1"/>
      <c r="GQG1"/>
      <c r="GQH1"/>
      <c r="GQI1"/>
      <c r="GQJ1"/>
      <c r="GQK1"/>
      <c r="GQL1"/>
      <c r="GQM1"/>
      <c r="GQN1"/>
      <c r="GQO1"/>
      <c r="GQP1"/>
      <c r="GQQ1"/>
      <c r="GQR1"/>
      <c r="GQS1"/>
      <c r="GQT1"/>
      <c r="GQU1"/>
      <c r="GQV1"/>
      <c r="GQW1"/>
      <c r="GQX1"/>
      <c r="GQY1"/>
      <c r="GQZ1"/>
      <c r="GRA1"/>
      <c r="GRB1"/>
      <c r="GRC1"/>
      <c r="GRD1"/>
      <c r="GRE1"/>
      <c r="GRF1"/>
      <c r="GRG1"/>
      <c r="GRH1"/>
      <c r="GRI1"/>
      <c r="GRJ1"/>
      <c r="GRK1"/>
      <c r="GRL1"/>
      <c r="GRM1"/>
      <c r="GRN1"/>
      <c r="GRO1"/>
      <c r="GRP1"/>
      <c r="GRQ1"/>
      <c r="GRR1"/>
      <c r="GRS1"/>
      <c r="GRT1"/>
      <c r="GRU1"/>
      <c r="GRV1"/>
      <c r="GRW1"/>
      <c r="GRX1"/>
      <c r="GRY1"/>
      <c r="GRZ1"/>
      <c r="GSA1"/>
      <c r="GSB1"/>
      <c r="GSC1"/>
      <c r="GSD1"/>
      <c r="GSE1"/>
      <c r="GSF1"/>
      <c r="GSG1"/>
      <c r="GSH1"/>
      <c r="GSI1"/>
      <c r="GSJ1"/>
      <c r="GSK1"/>
      <c r="GSL1"/>
      <c r="GSM1"/>
      <c r="GSN1"/>
      <c r="GSO1"/>
      <c r="GSP1"/>
      <c r="GSQ1"/>
      <c r="GSR1"/>
      <c r="GSS1"/>
      <c r="GST1"/>
      <c r="GSU1"/>
      <c r="GSV1"/>
      <c r="GSW1"/>
      <c r="GSX1"/>
      <c r="GSY1"/>
      <c r="GSZ1"/>
      <c r="GTA1"/>
      <c r="GTB1"/>
      <c r="GTC1"/>
      <c r="GTD1"/>
      <c r="GTE1"/>
      <c r="GTF1"/>
      <c r="GTG1"/>
      <c r="GTH1"/>
      <c r="GTI1"/>
      <c r="GTJ1"/>
      <c r="GTK1"/>
      <c r="GTL1"/>
      <c r="GTM1"/>
      <c r="GTN1"/>
      <c r="GTO1"/>
      <c r="GTP1"/>
      <c r="GTQ1"/>
      <c r="GTR1"/>
      <c r="GTS1"/>
      <c r="GTT1"/>
      <c r="GTU1"/>
      <c r="GTV1"/>
      <c r="GTW1"/>
      <c r="GTX1"/>
      <c r="GTY1"/>
      <c r="GTZ1"/>
      <c r="GUA1"/>
      <c r="GUB1"/>
      <c r="GUC1"/>
      <c r="GUD1"/>
      <c r="GUE1"/>
      <c r="GUF1"/>
      <c r="GUG1"/>
      <c r="GUH1"/>
      <c r="GUI1"/>
      <c r="GUJ1"/>
      <c r="GUK1"/>
      <c r="GUL1"/>
      <c r="GUM1"/>
      <c r="GUN1"/>
      <c r="GUO1"/>
      <c r="GUP1"/>
      <c r="GUQ1"/>
      <c r="GUR1"/>
      <c r="GUS1"/>
      <c r="GUT1"/>
      <c r="GUU1"/>
      <c r="GUV1"/>
      <c r="GUW1"/>
      <c r="GUX1"/>
      <c r="GUY1"/>
      <c r="GUZ1"/>
      <c r="GVA1"/>
      <c r="GVB1"/>
      <c r="GVC1"/>
      <c r="GVD1"/>
      <c r="GVE1"/>
      <c r="GVF1"/>
      <c r="GVG1"/>
      <c r="GVH1"/>
      <c r="GVI1"/>
      <c r="GVJ1"/>
      <c r="GVK1"/>
      <c r="GVL1"/>
      <c r="GVM1"/>
      <c r="GVN1"/>
      <c r="GVO1"/>
      <c r="GVP1"/>
      <c r="GVQ1"/>
      <c r="GVR1"/>
      <c r="GVS1"/>
      <c r="GVT1"/>
      <c r="GVU1"/>
      <c r="GVV1"/>
      <c r="GVW1"/>
      <c r="GVX1"/>
      <c r="GVY1"/>
      <c r="GVZ1"/>
      <c r="GWA1"/>
      <c r="GWB1"/>
      <c r="GWC1"/>
      <c r="GWD1"/>
      <c r="GWE1"/>
      <c r="GWF1"/>
      <c r="GWG1"/>
      <c r="GWH1"/>
      <c r="GWI1"/>
      <c r="GWJ1"/>
      <c r="GWK1"/>
      <c r="GWL1"/>
      <c r="GWM1"/>
      <c r="GWN1"/>
      <c r="GWO1"/>
      <c r="GWP1"/>
      <c r="GWQ1"/>
      <c r="GWR1"/>
      <c r="GWS1"/>
      <c r="GWT1"/>
      <c r="GWU1"/>
      <c r="GWV1"/>
      <c r="GWW1"/>
      <c r="GWX1"/>
      <c r="GWY1"/>
      <c r="GWZ1"/>
      <c r="GXA1"/>
      <c r="GXB1"/>
      <c r="GXC1"/>
      <c r="GXD1"/>
      <c r="GXE1"/>
      <c r="GXF1"/>
      <c r="GXG1"/>
      <c r="GXH1"/>
      <c r="GXI1"/>
      <c r="GXJ1"/>
      <c r="GXK1"/>
      <c r="GXL1"/>
      <c r="GXM1"/>
      <c r="GXN1"/>
      <c r="GXO1"/>
      <c r="GXP1"/>
      <c r="GXQ1"/>
      <c r="GXR1"/>
      <c r="GXS1"/>
      <c r="GXT1"/>
      <c r="GXU1"/>
      <c r="GXV1"/>
      <c r="GXW1"/>
      <c r="GXX1"/>
      <c r="GXY1"/>
      <c r="GXZ1"/>
      <c r="GYA1"/>
      <c r="GYB1"/>
      <c r="GYC1"/>
      <c r="GYD1"/>
      <c r="GYE1"/>
      <c r="GYF1"/>
      <c r="GYG1"/>
      <c r="GYH1"/>
      <c r="GYI1"/>
      <c r="GYJ1"/>
      <c r="GYK1"/>
      <c r="GYL1"/>
      <c r="GYM1"/>
      <c r="GYN1"/>
      <c r="GYO1"/>
      <c r="GYP1"/>
      <c r="GYQ1"/>
      <c r="GYR1"/>
      <c r="GYS1"/>
      <c r="GYT1"/>
      <c r="GYU1"/>
      <c r="GYV1"/>
      <c r="GYW1"/>
      <c r="GYX1"/>
      <c r="GYY1"/>
      <c r="GYZ1"/>
      <c r="GZA1"/>
      <c r="GZB1"/>
      <c r="GZC1"/>
      <c r="GZD1"/>
      <c r="GZE1"/>
      <c r="GZF1"/>
      <c r="GZG1"/>
      <c r="GZH1"/>
      <c r="GZI1"/>
      <c r="GZJ1"/>
      <c r="GZK1"/>
      <c r="GZL1"/>
      <c r="GZM1"/>
      <c r="GZN1"/>
      <c r="GZO1"/>
      <c r="GZP1"/>
      <c r="GZQ1"/>
      <c r="GZR1"/>
      <c r="GZS1"/>
      <c r="GZT1"/>
      <c r="GZU1"/>
      <c r="GZV1"/>
      <c r="GZW1"/>
      <c r="GZX1"/>
      <c r="GZY1"/>
      <c r="GZZ1"/>
      <c r="HAA1"/>
      <c r="HAB1"/>
      <c r="HAC1"/>
      <c r="HAD1"/>
      <c r="HAE1"/>
      <c r="HAF1"/>
      <c r="HAG1"/>
      <c r="HAH1"/>
      <c r="HAI1"/>
      <c r="HAJ1"/>
      <c r="HAK1"/>
      <c r="HAL1"/>
      <c r="HAM1"/>
      <c r="HAN1"/>
      <c r="HAO1"/>
      <c r="HAP1"/>
      <c r="HAQ1"/>
      <c r="HAR1"/>
      <c r="HAS1"/>
      <c r="HAT1"/>
      <c r="HAU1"/>
      <c r="HAV1"/>
      <c r="HAW1"/>
      <c r="HAX1"/>
      <c r="HAY1"/>
      <c r="HAZ1"/>
      <c r="HBA1"/>
      <c r="HBB1"/>
      <c r="HBC1"/>
      <c r="HBD1"/>
      <c r="HBE1"/>
      <c r="HBF1"/>
      <c r="HBG1"/>
      <c r="HBH1"/>
      <c r="HBI1"/>
      <c r="HBJ1"/>
      <c r="HBK1"/>
      <c r="HBL1"/>
      <c r="HBM1"/>
      <c r="HBN1"/>
      <c r="HBO1"/>
      <c r="HBP1"/>
      <c r="HBQ1"/>
      <c r="HBR1"/>
      <c r="HBS1"/>
      <c r="HBT1"/>
      <c r="HBU1"/>
      <c r="HBV1"/>
      <c r="HBW1"/>
      <c r="HBX1"/>
      <c r="HBY1"/>
      <c r="HBZ1"/>
      <c r="HCA1"/>
      <c r="HCB1"/>
      <c r="HCC1"/>
      <c r="HCD1"/>
      <c r="HCE1"/>
      <c r="HCF1"/>
      <c r="HCG1"/>
      <c r="HCH1"/>
      <c r="HCI1"/>
      <c r="HCJ1"/>
      <c r="HCK1"/>
      <c r="HCL1"/>
      <c r="HCM1"/>
      <c r="HCN1"/>
      <c r="HCO1"/>
      <c r="HCP1"/>
      <c r="HCQ1"/>
      <c r="HCR1"/>
      <c r="HCS1"/>
      <c r="HCT1"/>
      <c r="HCU1"/>
      <c r="HCV1"/>
      <c r="HCW1"/>
      <c r="HCX1"/>
      <c r="HCY1"/>
      <c r="HCZ1"/>
      <c r="HDA1"/>
      <c r="HDB1"/>
      <c r="HDC1"/>
      <c r="HDD1"/>
      <c r="HDE1"/>
      <c r="HDF1"/>
      <c r="HDG1"/>
      <c r="HDH1"/>
      <c r="HDI1"/>
      <c r="HDJ1"/>
      <c r="HDK1"/>
      <c r="HDL1"/>
      <c r="HDM1"/>
      <c r="HDN1"/>
      <c r="HDO1"/>
      <c r="HDP1"/>
      <c r="HDQ1"/>
      <c r="HDR1"/>
      <c r="HDS1"/>
      <c r="HDT1"/>
      <c r="HDU1"/>
      <c r="HDV1"/>
      <c r="HDW1"/>
      <c r="HDX1"/>
      <c r="HDY1"/>
      <c r="HDZ1"/>
      <c r="HEA1"/>
      <c r="HEB1"/>
      <c r="HEC1"/>
      <c r="HED1"/>
      <c r="HEE1"/>
      <c r="HEF1"/>
      <c r="HEG1"/>
      <c r="HEH1"/>
      <c r="HEI1"/>
      <c r="HEJ1"/>
      <c r="HEK1"/>
      <c r="HEL1"/>
      <c r="HEM1"/>
      <c r="HEN1"/>
      <c r="HEO1"/>
      <c r="HEP1"/>
      <c r="HEQ1"/>
      <c r="HER1"/>
      <c r="HES1"/>
      <c r="HET1"/>
      <c r="HEU1"/>
      <c r="HEV1"/>
      <c r="HEW1"/>
      <c r="HEX1"/>
      <c r="HEY1"/>
      <c r="HEZ1"/>
      <c r="HFA1"/>
      <c r="HFB1"/>
      <c r="HFC1"/>
      <c r="HFD1"/>
      <c r="HFE1"/>
      <c r="HFF1"/>
      <c r="HFG1"/>
      <c r="HFH1"/>
      <c r="HFI1"/>
      <c r="HFJ1"/>
      <c r="HFK1"/>
      <c r="HFL1"/>
      <c r="HFM1"/>
      <c r="HFN1"/>
      <c r="HFO1"/>
      <c r="HFP1"/>
      <c r="HFQ1"/>
      <c r="HFR1"/>
      <c r="HFS1"/>
      <c r="HFT1"/>
      <c r="HFU1"/>
      <c r="HFV1"/>
      <c r="HFW1"/>
      <c r="HFX1"/>
      <c r="HFY1"/>
      <c r="HFZ1"/>
      <c r="HGA1"/>
      <c r="HGB1"/>
      <c r="HGC1"/>
      <c r="HGD1"/>
      <c r="HGE1"/>
      <c r="HGF1"/>
      <c r="HGG1"/>
      <c r="HGH1"/>
      <c r="HGI1"/>
      <c r="HGJ1"/>
      <c r="HGK1"/>
      <c r="HGL1"/>
      <c r="HGM1"/>
      <c r="HGN1"/>
      <c r="HGO1"/>
      <c r="HGP1"/>
      <c r="HGQ1"/>
      <c r="HGR1"/>
      <c r="HGS1"/>
      <c r="HGT1"/>
      <c r="HGU1"/>
      <c r="HGV1"/>
      <c r="HGW1"/>
      <c r="HGX1"/>
      <c r="HGY1"/>
      <c r="HGZ1"/>
      <c r="HHA1"/>
      <c r="HHB1"/>
      <c r="HHC1"/>
      <c r="HHD1"/>
      <c r="HHE1"/>
      <c r="HHF1"/>
      <c r="HHG1"/>
      <c r="HHH1"/>
      <c r="HHI1"/>
      <c r="HHJ1"/>
      <c r="HHK1"/>
      <c r="HHL1"/>
      <c r="HHM1"/>
      <c r="HHN1"/>
      <c r="HHO1"/>
      <c r="HHP1"/>
      <c r="HHQ1"/>
      <c r="HHR1"/>
      <c r="HHS1"/>
      <c r="HHT1"/>
      <c r="HHU1"/>
      <c r="HHV1"/>
      <c r="HHW1"/>
      <c r="HHX1"/>
      <c r="HHY1"/>
      <c r="HHZ1"/>
      <c r="HIA1"/>
      <c r="HIB1"/>
      <c r="HIC1"/>
      <c r="HID1"/>
      <c r="HIE1"/>
      <c r="HIF1"/>
      <c r="HIG1"/>
      <c r="HIH1"/>
      <c r="HII1"/>
      <c r="HIJ1"/>
      <c r="HIK1"/>
      <c r="HIL1"/>
      <c r="HIM1"/>
      <c r="HIN1"/>
      <c r="HIO1"/>
      <c r="HIP1"/>
      <c r="HIQ1"/>
      <c r="HIR1"/>
      <c r="HIS1"/>
      <c r="HIT1"/>
      <c r="HIU1"/>
      <c r="HIV1"/>
      <c r="HIW1"/>
      <c r="HIX1"/>
      <c r="HIY1"/>
      <c r="HIZ1"/>
      <c r="HJA1"/>
      <c r="HJB1"/>
      <c r="HJC1"/>
      <c r="HJD1"/>
      <c r="HJE1"/>
      <c r="HJF1"/>
      <c r="HJG1"/>
      <c r="HJH1"/>
      <c r="HJI1"/>
      <c r="HJJ1"/>
      <c r="HJK1"/>
      <c r="HJL1"/>
      <c r="HJM1"/>
      <c r="HJN1"/>
      <c r="HJO1"/>
      <c r="HJP1"/>
      <c r="HJQ1"/>
      <c r="HJR1"/>
      <c r="HJS1"/>
      <c r="HJT1"/>
      <c r="HJU1"/>
      <c r="HJV1"/>
      <c r="HJW1"/>
      <c r="HJX1"/>
      <c r="HJY1"/>
      <c r="HJZ1"/>
      <c r="HKA1"/>
      <c r="HKB1"/>
      <c r="HKC1"/>
      <c r="HKD1"/>
      <c r="HKE1"/>
      <c r="HKF1"/>
      <c r="HKG1"/>
      <c r="HKH1"/>
      <c r="HKI1"/>
      <c r="HKJ1"/>
      <c r="HKK1"/>
      <c r="HKL1"/>
      <c r="HKM1"/>
      <c r="HKN1"/>
      <c r="HKO1"/>
      <c r="HKP1"/>
      <c r="HKQ1"/>
      <c r="HKR1"/>
      <c r="HKS1"/>
      <c r="HKT1"/>
      <c r="HKU1"/>
      <c r="HKV1"/>
      <c r="HKW1"/>
      <c r="HKX1"/>
      <c r="HKY1"/>
      <c r="HKZ1"/>
      <c r="HLA1"/>
      <c r="HLB1"/>
      <c r="HLC1"/>
      <c r="HLD1"/>
      <c r="HLE1"/>
      <c r="HLF1"/>
      <c r="HLG1"/>
      <c r="HLH1"/>
      <c r="HLI1"/>
      <c r="HLJ1"/>
      <c r="HLK1"/>
      <c r="HLL1"/>
      <c r="HLM1"/>
      <c r="HLN1"/>
      <c r="HLO1"/>
      <c r="HLP1"/>
      <c r="HLQ1"/>
      <c r="HLR1"/>
      <c r="HLS1"/>
      <c r="HLT1"/>
      <c r="HLU1"/>
      <c r="HLV1"/>
      <c r="HLW1"/>
      <c r="HLX1"/>
      <c r="HLY1"/>
      <c r="HLZ1"/>
      <c r="HMA1"/>
      <c r="HMB1"/>
      <c r="HMC1"/>
      <c r="HMD1"/>
      <c r="HME1"/>
      <c r="HMF1"/>
      <c r="HMG1"/>
      <c r="HMH1"/>
      <c r="HMI1"/>
      <c r="HMJ1"/>
      <c r="HMK1"/>
      <c r="HML1"/>
      <c r="HMM1"/>
      <c r="HMN1"/>
      <c r="HMO1"/>
      <c r="HMP1"/>
      <c r="HMQ1"/>
      <c r="HMR1"/>
      <c r="HMS1"/>
      <c r="HMT1"/>
      <c r="HMU1"/>
      <c r="HMV1"/>
      <c r="HMW1"/>
      <c r="HMX1"/>
      <c r="HMY1"/>
      <c r="HMZ1"/>
      <c r="HNA1"/>
      <c r="HNB1"/>
      <c r="HNC1"/>
      <c r="HND1"/>
      <c r="HNE1"/>
      <c r="HNF1"/>
      <c r="HNG1"/>
      <c r="HNH1"/>
      <c r="HNI1"/>
      <c r="HNJ1"/>
      <c r="HNK1"/>
      <c r="HNL1"/>
      <c r="HNM1"/>
      <c r="HNN1"/>
      <c r="HNO1"/>
      <c r="HNP1"/>
      <c r="HNQ1"/>
      <c r="HNR1"/>
      <c r="HNS1"/>
      <c r="HNT1"/>
      <c r="HNU1"/>
      <c r="HNV1"/>
      <c r="HNW1"/>
      <c r="HNX1"/>
      <c r="HNY1"/>
      <c r="HNZ1"/>
      <c r="HOA1"/>
      <c r="HOB1"/>
      <c r="HOC1"/>
      <c r="HOD1"/>
      <c r="HOE1"/>
      <c r="HOF1"/>
      <c r="HOG1"/>
      <c r="HOH1"/>
      <c r="HOI1"/>
      <c r="HOJ1"/>
      <c r="HOK1"/>
      <c r="HOL1"/>
      <c r="HOM1"/>
      <c r="HON1"/>
      <c r="HOO1"/>
      <c r="HOP1"/>
      <c r="HOQ1"/>
      <c r="HOR1"/>
      <c r="HOS1"/>
      <c r="HOT1"/>
      <c r="HOU1"/>
      <c r="HOV1"/>
      <c r="HOW1"/>
      <c r="HOX1"/>
      <c r="HOY1"/>
      <c r="HOZ1"/>
      <c r="HPA1"/>
      <c r="HPB1"/>
      <c r="HPC1"/>
      <c r="HPD1"/>
      <c r="HPE1"/>
      <c r="HPF1"/>
      <c r="HPG1"/>
      <c r="HPH1"/>
      <c r="HPI1"/>
      <c r="HPJ1"/>
      <c r="HPK1"/>
      <c r="HPL1"/>
      <c r="HPM1"/>
      <c r="HPN1"/>
      <c r="HPO1"/>
      <c r="HPP1"/>
      <c r="HPQ1"/>
      <c r="HPR1"/>
      <c r="HPS1"/>
      <c r="HPT1"/>
      <c r="HPU1"/>
      <c r="HPV1"/>
      <c r="HPW1"/>
      <c r="HPX1"/>
      <c r="HPY1"/>
      <c r="HPZ1"/>
      <c r="HQA1"/>
      <c r="HQB1"/>
      <c r="HQC1"/>
      <c r="HQD1"/>
      <c r="HQE1"/>
      <c r="HQF1"/>
      <c r="HQG1"/>
      <c r="HQH1"/>
      <c r="HQI1"/>
      <c r="HQJ1"/>
      <c r="HQK1"/>
      <c r="HQL1"/>
      <c r="HQM1"/>
      <c r="HQN1"/>
      <c r="HQO1"/>
      <c r="HQP1"/>
      <c r="HQQ1"/>
      <c r="HQR1"/>
      <c r="HQS1"/>
      <c r="HQT1"/>
      <c r="HQU1"/>
      <c r="HQV1"/>
      <c r="HQW1"/>
      <c r="HQX1"/>
      <c r="HQY1"/>
      <c r="HQZ1"/>
      <c r="HRA1"/>
      <c r="HRB1"/>
      <c r="HRC1"/>
      <c r="HRD1"/>
      <c r="HRE1"/>
      <c r="HRF1"/>
      <c r="HRG1"/>
      <c r="HRH1"/>
      <c r="HRI1"/>
      <c r="HRJ1"/>
      <c r="HRK1"/>
      <c r="HRL1"/>
      <c r="HRM1"/>
      <c r="HRN1"/>
      <c r="HRO1"/>
      <c r="HRP1"/>
      <c r="HRQ1"/>
      <c r="HRR1"/>
      <c r="HRS1"/>
      <c r="HRT1"/>
      <c r="HRU1"/>
      <c r="HRV1"/>
      <c r="HRW1"/>
      <c r="HRX1"/>
      <c r="HRY1"/>
      <c r="HRZ1"/>
      <c r="HSA1"/>
      <c r="HSB1"/>
      <c r="HSC1"/>
      <c r="HSD1"/>
      <c r="HSE1"/>
      <c r="HSF1"/>
      <c r="HSG1"/>
      <c r="HSH1"/>
      <c r="HSI1"/>
      <c r="HSJ1"/>
      <c r="HSK1"/>
      <c r="HSL1"/>
      <c r="HSM1"/>
      <c r="HSN1"/>
      <c r="HSO1"/>
      <c r="HSP1"/>
      <c r="HSQ1"/>
      <c r="HSR1"/>
      <c r="HSS1"/>
      <c r="HST1"/>
      <c r="HSU1"/>
      <c r="HSV1"/>
      <c r="HSW1"/>
      <c r="HSX1"/>
      <c r="HSY1"/>
      <c r="HSZ1"/>
      <c r="HTA1"/>
      <c r="HTB1"/>
      <c r="HTC1"/>
      <c r="HTD1"/>
      <c r="HTE1"/>
      <c r="HTF1"/>
      <c r="HTG1"/>
      <c r="HTH1"/>
      <c r="HTI1"/>
      <c r="HTJ1"/>
      <c r="HTK1"/>
      <c r="HTL1"/>
      <c r="HTM1"/>
      <c r="HTN1"/>
      <c r="HTO1"/>
      <c r="HTP1"/>
      <c r="HTQ1"/>
      <c r="HTR1"/>
      <c r="HTS1"/>
      <c r="HTT1"/>
      <c r="HTU1"/>
      <c r="HTV1"/>
      <c r="HTW1"/>
      <c r="HTX1"/>
      <c r="HTY1"/>
      <c r="HTZ1"/>
      <c r="HUA1"/>
      <c r="HUB1"/>
      <c r="HUC1"/>
      <c r="HUD1"/>
      <c r="HUE1"/>
      <c r="HUF1"/>
      <c r="HUG1"/>
      <c r="HUH1"/>
      <c r="HUI1"/>
      <c r="HUJ1"/>
      <c r="HUK1"/>
      <c r="HUL1"/>
      <c r="HUM1"/>
      <c r="HUN1"/>
      <c r="HUO1"/>
      <c r="HUP1"/>
      <c r="HUQ1"/>
      <c r="HUR1"/>
      <c r="HUS1"/>
      <c r="HUT1"/>
      <c r="HUU1"/>
      <c r="HUV1"/>
      <c r="HUW1"/>
      <c r="HUX1"/>
      <c r="HUY1"/>
      <c r="HUZ1"/>
      <c r="HVA1"/>
      <c r="HVB1"/>
      <c r="HVC1"/>
      <c r="HVD1"/>
      <c r="HVE1"/>
      <c r="HVF1"/>
      <c r="HVG1"/>
      <c r="HVH1"/>
      <c r="HVI1"/>
      <c r="HVJ1"/>
      <c r="HVK1"/>
      <c r="HVL1"/>
      <c r="HVM1"/>
      <c r="HVN1"/>
      <c r="HVO1"/>
      <c r="HVP1"/>
      <c r="HVQ1"/>
      <c r="HVR1"/>
      <c r="HVS1"/>
      <c r="HVT1"/>
      <c r="HVU1"/>
      <c r="HVV1"/>
      <c r="HVW1"/>
      <c r="HVX1"/>
      <c r="HVY1"/>
      <c r="HVZ1"/>
      <c r="HWA1"/>
      <c r="HWB1"/>
      <c r="HWC1"/>
      <c r="HWD1"/>
      <c r="HWE1"/>
      <c r="HWF1"/>
      <c r="HWG1"/>
      <c r="HWH1"/>
      <c r="HWI1"/>
      <c r="HWJ1"/>
      <c r="HWK1"/>
      <c r="HWL1"/>
      <c r="HWM1"/>
      <c r="HWN1"/>
      <c r="HWO1"/>
      <c r="HWP1"/>
      <c r="HWQ1"/>
      <c r="HWR1"/>
      <c r="HWS1"/>
      <c r="HWT1"/>
      <c r="HWU1"/>
      <c r="HWV1"/>
      <c r="HWW1"/>
      <c r="HWX1"/>
      <c r="HWY1"/>
      <c r="HWZ1"/>
      <c r="HXA1"/>
      <c r="HXB1"/>
      <c r="HXC1"/>
      <c r="HXD1"/>
      <c r="HXE1"/>
      <c r="HXF1"/>
      <c r="HXG1"/>
      <c r="HXH1"/>
      <c r="HXI1"/>
      <c r="HXJ1"/>
      <c r="HXK1"/>
      <c r="HXL1"/>
      <c r="HXM1"/>
      <c r="HXN1"/>
      <c r="HXO1"/>
      <c r="HXP1"/>
      <c r="HXQ1"/>
      <c r="HXR1"/>
      <c r="HXS1"/>
      <c r="HXT1"/>
      <c r="HXU1"/>
      <c r="HXV1"/>
      <c r="HXW1"/>
      <c r="HXX1"/>
      <c r="HXY1"/>
      <c r="HXZ1"/>
      <c r="HYA1"/>
      <c r="HYB1"/>
      <c r="HYC1"/>
      <c r="HYD1"/>
      <c r="HYE1"/>
      <c r="HYF1"/>
      <c r="HYG1"/>
      <c r="HYH1"/>
      <c r="HYI1"/>
      <c r="HYJ1"/>
      <c r="HYK1"/>
      <c r="HYL1"/>
      <c r="HYM1"/>
      <c r="HYN1"/>
      <c r="HYO1"/>
      <c r="HYP1"/>
      <c r="HYQ1"/>
      <c r="HYR1"/>
      <c r="HYS1"/>
      <c r="HYT1"/>
      <c r="HYU1"/>
      <c r="HYV1"/>
      <c r="HYW1"/>
      <c r="HYX1"/>
      <c r="HYY1"/>
      <c r="HYZ1"/>
      <c r="HZA1"/>
      <c r="HZB1"/>
      <c r="HZC1"/>
      <c r="HZD1"/>
      <c r="HZE1"/>
      <c r="HZF1"/>
      <c r="HZG1"/>
      <c r="HZH1"/>
      <c r="HZI1"/>
      <c r="HZJ1"/>
      <c r="HZK1"/>
      <c r="HZL1"/>
      <c r="HZM1"/>
      <c r="HZN1"/>
      <c r="HZO1"/>
      <c r="HZP1"/>
      <c r="HZQ1"/>
      <c r="HZR1"/>
      <c r="HZS1"/>
      <c r="HZT1"/>
      <c r="HZU1"/>
      <c r="HZV1"/>
      <c r="HZW1"/>
      <c r="HZX1"/>
      <c r="HZY1"/>
      <c r="HZZ1"/>
      <c r="IAA1"/>
      <c r="IAB1"/>
      <c r="IAC1"/>
      <c r="IAD1"/>
      <c r="IAE1"/>
      <c r="IAF1"/>
      <c r="IAG1"/>
      <c r="IAH1"/>
      <c r="IAI1"/>
      <c r="IAJ1"/>
      <c r="IAK1"/>
      <c r="IAL1"/>
      <c r="IAM1"/>
      <c r="IAN1"/>
      <c r="IAO1"/>
      <c r="IAP1"/>
      <c r="IAQ1"/>
      <c r="IAR1"/>
      <c r="IAS1"/>
      <c r="IAT1"/>
      <c r="IAU1"/>
      <c r="IAV1"/>
      <c r="IAW1"/>
      <c r="IAX1"/>
      <c r="IAY1"/>
      <c r="IAZ1"/>
      <c r="IBA1"/>
      <c r="IBB1"/>
      <c r="IBC1"/>
      <c r="IBD1"/>
      <c r="IBE1"/>
      <c r="IBF1"/>
      <c r="IBG1"/>
      <c r="IBH1"/>
      <c r="IBI1"/>
      <c r="IBJ1"/>
      <c r="IBK1"/>
      <c r="IBL1"/>
      <c r="IBM1"/>
      <c r="IBN1"/>
      <c r="IBO1"/>
      <c r="IBP1"/>
      <c r="IBQ1"/>
      <c r="IBR1"/>
      <c r="IBS1"/>
      <c r="IBT1"/>
      <c r="IBU1"/>
      <c r="IBV1"/>
      <c r="IBW1"/>
      <c r="IBX1"/>
      <c r="IBY1"/>
      <c r="IBZ1"/>
      <c r="ICA1"/>
      <c r="ICB1"/>
      <c r="ICC1"/>
      <c r="ICD1"/>
      <c r="ICE1"/>
      <c r="ICF1"/>
      <c r="ICG1"/>
      <c r="ICH1"/>
      <c r="ICI1"/>
      <c r="ICJ1"/>
      <c r="ICK1"/>
      <c r="ICL1"/>
      <c r="ICM1"/>
      <c r="ICN1"/>
      <c r="ICO1"/>
      <c r="ICP1"/>
      <c r="ICQ1"/>
      <c r="ICR1"/>
      <c r="ICS1"/>
      <c r="ICT1"/>
      <c r="ICU1"/>
      <c r="ICV1"/>
      <c r="ICW1"/>
      <c r="ICX1"/>
      <c r="ICY1"/>
      <c r="ICZ1"/>
      <c r="IDA1"/>
      <c r="IDB1"/>
      <c r="IDC1"/>
      <c r="IDD1"/>
      <c r="IDE1"/>
      <c r="IDF1"/>
      <c r="IDG1"/>
      <c r="IDH1"/>
      <c r="IDI1"/>
      <c r="IDJ1"/>
      <c r="IDK1"/>
      <c r="IDL1"/>
      <c r="IDM1"/>
      <c r="IDN1"/>
      <c r="IDO1"/>
      <c r="IDP1"/>
      <c r="IDQ1"/>
      <c r="IDR1"/>
      <c r="IDS1"/>
      <c r="IDT1"/>
      <c r="IDU1"/>
      <c r="IDV1"/>
      <c r="IDW1"/>
      <c r="IDX1"/>
      <c r="IDY1"/>
      <c r="IDZ1"/>
      <c r="IEA1"/>
      <c r="IEB1"/>
      <c r="IEC1"/>
      <c r="IED1"/>
      <c r="IEE1"/>
      <c r="IEF1"/>
      <c r="IEG1"/>
      <c r="IEH1"/>
      <c r="IEI1"/>
      <c r="IEJ1"/>
      <c r="IEK1"/>
      <c r="IEL1"/>
      <c r="IEM1"/>
      <c r="IEN1"/>
      <c r="IEO1"/>
      <c r="IEP1"/>
      <c r="IEQ1"/>
      <c r="IER1"/>
      <c r="IES1"/>
      <c r="IET1"/>
      <c r="IEU1"/>
      <c r="IEV1"/>
      <c r="IEW1"/>
      <c r="IEX1"/>
      <c r="IEY1"/>
      <c r="IEZ1"/>
      <c r="IFA1"/>
      <c r="IFB1"/>
      <c r="IFC1"/>
      <c r="IFD1"/>
      <c r="IFE1"/>
      <c r="IFF1"/>
      <c r="IFG1"/>
      <c r="IFH1"/>
      <c r="IFI1"/>
      <c r="IFJ1"/>
      <c r="IFK1"/>
      <c r="IFL1"/>
      <c r="IFM1"/>
      <c r="IFN1"/>
      <c r="IFO1"/>
      <c r="IFP1"/>
      <c r="IFQ1"/>
      <c r="IFR1"/>
      <c r="IFS1"/>
      <c r="IFT1"/>
      <c r="IFU1"/>
      <c r="IFV1"/>
      <c r="IFW1"/>
      <c r="IFX1"/>
      <c r="IFY1"/>
      <c r="IFZ1"/>
      <c r="IGA1"/>
      <c r="IGB1"/>
      <c r="IGC1"/>
      <c r="IGD1"/>
      <c r="IGE1"/>
      <c r="IGF1"/>
      <c r="IGG1"/>
      <c r="IGH1"/>
      <c r="IGI1"/>
      <c r="IGJ1"/>
      <c r="IGK1"/>
      <c r="IGL1"/>
      <c r="IGM1"/>
      <c r="IGN1"/>
      <c r="IGO1"/>
      <c r="IGP1"/>
      <c r="IGQ1"/>
      <c r="IGR1"/>
      <c r="IGS1"/>
      <c r="IGT1"/>
      <c r="IGU1"/>
      <c r="IGV1"/>
      <c r="IGW1"/>
      <c r="IGX1"/>
      <c r="IGY1"/>
      <c r="IGZ1"/>
      <c r="IHA1"/>
      <c r="IHB1"/>
      <c r="IHC1"/>
      <c r="IHD1"/>
      <c r="IHE1"/>
      <c r="IHF1"/>
      <c r="IHG1"/>
      <c r="IHH1"/>
      <c r="IHI1"/>
      <c r="IHJ1"/>
      <c r="IHK1"/>
      <c r="IHL1"/>
      <c r="IHM1"/>
      <c r="IHN1"/>
      <c r="IHO1"/>
      <c r="IHP1"/>
      <c r="IHQ1"/>
      <c r="IHR1"/>
      <c r="IHS1"/>
      <c r="IHT1"/>
      <c r="IHU1"/>
      <c r="IHV1"/>
      <c r="IHW1"/>
      <c r="IHX1"/>
      <c r="IHY1"/>
      <c r="IHZ1"/>
      <c r="IIA1"/>
      <c r="IIB1"/>
      <c r="IIC1"/>
      <c r="IID1"/>
      <c r="IIE1"/>
      <c r="IIF1"/>
      <c r="IIG1"/>
      <c r="IIH1"/>
      <c r="III1"/>
      <c r="IIJ1"/>
      <c r="IIK1"/>
      <c r="IIL1"/>
      <c r="IIM1"/>
      <c r="IIN1"/>
      <c r="IIO1"/>
      <c r="IIP1"/>
      <c r="IIQ1"/>
      <c r="IIR1"/>
      <c r="IIS1"/>
      <c r="IIT1"/>
      <c r="IIU1"/>
      <c r="IIV1"/>
      <c r="IIW1"/>
      <c r="IIX1"/>
      <c r="IIY1"/>
      <c r="IIZ1"/>
      <c r="IJA1"/>
      <c r="IJB1"/>
      <c r="IJC1"/>
      <c r="IJD1"/>
      <c r="IJE1"/>
      <c r="IJF1"/>
      <c r="IJG1"/>
      <c r="IJH1"/>
      <c r="IJI1"/>
      <c r="IJJ1"/>
      <c r="IJK1"/>
      <c r="IJL1"/>
      <c r="IJM1"/>
      <c r="IJN1"/>
      <c r="IJO1"/>
      <c r="IJP1"/>
      <c r="IJQ1"/>
      <c r="IJR1"/>
      <c r="IJS1"/>
      <c r="IJT1"/>
      <c r="IJU1"/>
      <c r="IJV1"/>
      <c r="IJW1"/>
      <c r="IJX1"/>
      <c r="IJY1"/>
      <c r="IJZ1"/>
      <c r="IKA1"/>
      <c r="IKB1"/>
      <c r="IKC1"/>
      <c r="IKD1"/>
      <c r="IKE1"/>
      <c r="IKF1"/>
      <c r="IKG1"/>
      <c r="IKH1"/>
      <c r="IKI1"/>
      <c r="IKJ1"/>
      <c r="IKK1"/>
      <c r="IKL1"/>
      <c r="IKM1"/>
      <c r="IKN1"/>
      <c r="IKO1"/>
      <c r="IKP1"/>
      <c r="IKQ1"/>
      <c r="IKR1"/>
      <c r="IKS1"/>
      <c r="IKT1"/>
      <c r="IKU1"/>
      <c r="IKV1"/>
      <c r="IKW1"/>
      <c r="IKX1"/>
      <c r="IKY1"/>
      <c r="IKZ1"/>
      <c r="ILA1"/>
      <c r="ILB1"/>
      <c r="ILC1"/>
      <c r="ILD1"/>
      <c r="ILE1"/>
      <c r="ILF1"/>
      <c r="ILG1"/>
      <c r="ILH1"/>
      <c r="ILI1"/>
      <c r="ILJ1"/>
      <c r="ILK1"/>
      <c r="ILL1"/>
      <c r="ILM1"/>
      <c r="ILN1"/>
      <c r="ILO1"/>
      <c r="ILP1"/>
      <c r="ILQ1"/>
      <c r="ILR1"/>
      <c r="ILS1"/>
      <c r="ILT1"/>
      <c r="ILU1"/>
      <c r="ILV1"/>
      <c r="ILW1"/>
      <c r="ILX1"/>
      <c r="ILY1"/>
      <c r="ILZ1"/>
      <c r="IMA1"/>
      <c r="IMB1"/>
      <c r="IMC1"/>
      <c r="IMD1"/>
      <c r="IME1"/>
      <c r="IMF1"/>
      <c r="IMG1"/>
      <c r="IMH1"/>
      <c r="IMI1"/>
      <c r="IMJ1"/>
      <c r="IMK1"/>
      <c r="IML1"/>
      <c r="IMM1"/>
      <c r="IMN1"/>
      <c r="IMO1"/>
      <c r="IMP1"/>
      <c r="IMQ1"/>
      <c r="IMR1"/>
      <c r="IMS1"/>
      <c r="IMT1"/>
      <c r="IMU1"/>
      <c r="IMV1"/>
      <c r="IMW1"/>
      <c r="IMX1"/>
      <c r="IMY1"/>
      <c r="IMZ1"/>
      <c r="INA1"/>
      <c r="INB1"/>
      <c r="INC1"/>
      <c r="IND1"/>
      <c r="INE1"/>
      <c r="INF1"/>
      <c r="ING1"/>
      <c r="INH1"/>
      <c r="INI1"/>
      <c r="INJ1"/>
      <c r="INK1"/>
      <c r="INL1"/>
      <c r="INM1"/>
      <c r="INN1"/>
      <c r="INO1"/>
      <c r="INP1"/>
      <c r="INQ1"/>
      <c r="INR1"/>
      <c r="INS1"/>
      <c r="INT1"/>
      <c r="INU1"/>
      <c r="INV1"/>
      <c r="INW1"/>
      <c r="INX1"/>
      <c r="INY1"/>
      <c r="INZ1"/>
      <c r="IOA1"/>
      <c r="IOB1"/>
      <c r="IOC1"/>
      <c r="IOD1"/>
      <c r="IOE1"/>
      <c r="IOF1"/>
      <c r="IOG1"/>
      <c r="IOH1"/>
      <c r="IOI1"/>
      <c r="IOJ1"/>
      <c r="IOK1"/>
      <c r="IOL1"/>
      <c r="IOM1"/>
      <c r="ION1"/>
      <c r="IOO1"/>
      <c r="IOP1"/>
      <c r="IOQ1"/>
      <c r="IOR1"/>
      <c r="IOS1"/>
      <c r="IOT1"/>
      <c r="IOU1"/>
      <c r="IOV1"/>
      <c r="IOW1"/>
      <c r="IOX1"/>
      <c r="IOY1"/>
      <c r="IOZ1"/>
      <c r="IPA1"/>
      <c r="IPB1"/>
      <c r="IPC1"/>
      <c r="IPD1"/>
      <c r="IPE1"/>
      <c r="IPF1"/>
      <c r="IPG1"/>
      <c r="IPH1"/>
      <c r="IPI1"/>
      <c r="IPJ1"/>
      <c r="IPK1"/>
      <c r="IPL1"/>
      <c r="IPM1"/>
      <c r="IPN1"/>
      <c r="IPO1"/>
      <c r="IPP1"/>
      <c r="IPQ1"/>
      <c r="IPR1"/>
      <c r="IPS1"/>
      <c r="IPT1"/>
      <c r="IPU1"/>
      <c r="IPV1"/>
      <c r="IPW1"/>
      <c r="IPX1"/>
      <c r="IPY1"/>
      <c r="IPZ1"/>
      <c r="IQA1"/>
      <c r="IQB1"/>
      <c r="IQC1"/>
      <c r="IQD1"/>
      <c r="IQE1"/>
      <c r="IQF1"/>
      <c r="IQG1"/>
      <c r="IQH1"/>
      <c r="IQI1"/>
      <c r="IQJ1"/>
      <c r="IQK1"/>
      <c r="IQL1"/>
      <c r="IQM1"/>
      <c r="IQN1"/>
      <c r="IQO1"/>
      <c r="IQP1"/>
      <c r="IQQ1"/>
      <c r="IQR1"/>
      <c r="IQS1"/>
      <c r="IQT1"/>
      <c r="IQU1"/>
      <c r="IQV1"/>
      <c r="IQW1"/>
      <c r="IQX1"/>
      <c r="IQY1"/>
      <c r="IQZ1"/>
      <c r="IRA1"/>
      <c r="IRB1"/>
      <c r="IRC1"/>
      <c r="IRD1"/>
      <c r="IRE1"/>
      <c r="IRF1"/>
      <c r="IRG1"/>
      <c r="IRH1"/>
      <c r="IRI1"/>
      <c r="IRJ1"/>
      <c r="IRK1"/>
      <c r="IRL1"/>
      <c r="IRM1"/>
      <c r="IRN1"/>
      <c r="IRO1"/>
      <c r="IRP1"/>
      <c r="IRQ1"/>
      <c r="IRR1"/>
      <c r="IRS1"/>
      <c r="IRT1"/>
      <c r="IRU1"/>
      <c r="IRV1"/>
      <c r="IRW1"/>
      <c r="IRX1"/>
      <c r="IRY1"/>
      <c r="IRZ1"/>
      <c r="ISA1"/>
      <c r="ISB1"/>
      <c r="ISC1"/>
      <c r="ISD1"/>
      <c r="ISE1"/>
      <c r="ISF1"/>
      <c r="ISG1"/>
      <c r="ISH1"/>
      <c r="ISI1"/>
      <c r="ISJ1"/>
      <c r="ISK1"/>
      <c r="ISL1"/>
      <c r="ISM1"/>
      <c r="ISN1"/>
      <c r="ISO1"/>
      <c r="ISP1"/>
      <c r="ISQ1"/>
      <c r="ISR1"/>
      <c r="ISS1"/>
      <c r="IST1"/>
      <c r="ISU1"/>
      <c r="ISV1"/>
      <c r="ISW1"/>
      <c r="ISX1"/>
      <c r="ISY1"/>
      <c r="ISZ1"/>
      <c r="ITA1"/>
      <c r="ITB1"/>
      <c r="ITC1"/>
      <c r="ITD1"/>
      <c r="ITE1"/>
      <c r="ITF1"/>
      <c r="ITG1"/>
      <c r="ITH1"/>
      <c r="ITI1"/>
      <c r="ITJ1"/>
      <c r="ITK1"/>
      <c r="ITL1"/>
      <c r="ITM1"/>
      <c r="ITN1"/>
      <c r="ITO1"/>
      <c r="ITP1"/>
      <c r="ITQ1"/>
      <c r="ITR1"/>
      <c r="ITS1"/>
      <c r="ITT1"/>
      <c r="ITU1"/>
      <c r="ITV1"/>
      <c r="ITW1"/>
      <c r="ITX1"/>
      <c r="ITY1"/>
      <c r="ITZ1"/>
      <c r="IUA1"/>
      <c r="IUB1"/>
      <c r="IUC1"/>
      <c r="IUD1"/>
      <c r="IUE1"/>
      <c r="IUF1"/>
      <c r="IUG1"/>
      <c r="IUH1"/>
      <c r="IUI1"/>
      <c r="IUJ1"/>
      <c r="IUK1"/>
      <c r="IUL1"/>
      <c r="IUM1"/>
      <c r="IUN1"/>
      <c r="IUO1"/>
      <c r="IUP1"/>
      <c r="IUQ1"/>
      <c r="IUR1"/>
      <c r="IUS1"/>
      <c r="IUT1"/>
      <c r="IUU1"/>
      <c r="IUV1"/>
      <c r="IUW1"/>
      <c r="IUX1"/>
      <c r="IUY1"/>
      <c r="IUZ1"/>
      <c r="IVA1"/>
      <c r="IVB1"/>
      <c r="IVC1"/>
      <c r="IVD1"/>
      <c r="IVE1"/>
      <c r="IVF1"/>
      <c r="IVG1"/>
      <c r="IVH1"/>
      <c r="IVI1"/>
      <c r="IVJ1"/>
      <c r="IVK1"/>
      <c r="IVL1"/>
      <c r="IVM1"/>
      <c r="IVN1"/>
      <c r="IVO1"/>
      <c r="IVP1"/>
      <c r="IVQ1"/>
      <c r="IVR1"/>
      <c r="IVS1"/>
      <c r="IVT1"/>
      <c r="IVU1"/>
      <c r="IVV1"/>
      <c r="IVW1"/>
      <c r="IVX1"/>
      <c r="IVY1"/>
      <c r="IVZ1"/>
      <c r="IWA1"/>
      <c r="IWB1"/>
      <c r="IWC1"/>
      <c r="IWD1"/>
      <c r="IWE1"/>
      <c r="IWF1"/>
      <c r="IWG1"/>
      <c r="IWH1"/>
      <c r="IWI1"/>
      <c r="IWJ1"/>
      <c r="IWK1"/>
      <c r="IWL1"/>
      <c r="IWM1"/>
      <c r="IWN1"/>
      <c r="IWO1"/>
      <c r="IWP1"/>
      <c r="IWQ1"/>
      <c r="IWR1"/>
      <c r="IWS1"/>
      <c r="IWT1"/>
      <c r="IWU1"/>
      <c r="IWV1"/>
      <c r="IWW1"/>
      <c r="IWX1"/>
      <c r="IWY1"/>
      <c r="IWZ1"/>
      <c r="IXA1"/>
      <c r="IXB1"/>
      <c r="IXC1"/>
      <c r="IXD1"/>
      <c r="IXE1"/>
      <c r="IXF1"/>
      <c r="IXG1"/>
      <c r="IXH1"/>
      <c r="IXI1"/>
      <c r="IXJ1"/>
      <c r="IXK1"/>
      <c r="IXL1"/>
      <c r="IXM1"/>
      <c r="IXN1"/>
      <c r="IXO1"/>
      <c r="IXP1"/>
      <c r="IXQ1"/>
      <c r="IXR1"/>
      <c r="IXS1"/>
      <c r="IXT1"/>
      <c r="IXU1"/>
      <c r="IXV1"/>
      <c r="IXW1"/>
      <c r="IXX1"/>
      <c r="IXY1"/>
      <c r="IXZ1"/>
      <c r="IYA1"/>
      <c r="IYB1"/>
      <c r="IYC1"/>
      <c r="IYD1"/>
      <c r="IYE1"/>
      <c r="IYF1"/>
      <c r="IYG1"/>
      <c r="IYH1"/>
      <c r="IYI1"/>
      <c r="IYJ1"/>
      <c r="IYK1"/>
      <c r="IYL1"/>
      <c r="IYM1"/>
      <c r="IYN1"/>
      <c r="IYO1"/>
      <c r="IYP1"/>
      <c r="IYQ1"/>
      <c r="IYR1"/>
      <c r="IYS1"/>
      <c r="IYT1"/>
      <c r="IYU1"/>
      <c r="IYV1"/>
      <c r="IYW1"/>
      <c r="IYX1"/>
      <c r="IYY1"/>
      <c r="IYZ1"/>
      <c r="IZA1"/>
      <c r="IZB1"/>
      <c r="IZC1"/>
      <c r="IZD1"/>
      <c r="IZE1"/>
      <c r="IZF1"/>
      <c r="IZG1"/>
      <c r="IZH1"/>
      <c r="IZI1"/>
      <c r="IZJ1"/>
      <c r="IZK1"/>
      <c r="IZL1"/>
      <c r="IZM1"/>
      <c r="IZN1"/>
      <c r="IZO1"/>
      <c r="IZP1"/>
      <c r="IZQ1"/>
      <c r="IZR1"/>
      <c r="IZS1"/>
      <c r="IZT1"/>
      <c r="IZU1"/>
      <c r="IZV1"/>
      <c r="IZW1"/>
      <c r="IZX1"/>
      <c r="IZY1"/>
      <c r="IZZ1"/>
      <c r="JAA1"/>
      <c r="JAB1"/>
      <c r="JAC1"/>
      <c r="JAD1"/>
      <c r="JAE1"/>
      <c r="JAF1"/>
      <c r="JAG1"/>
      <c r="JAH1"/>
      <c r="JAI1"/>
      <c r="JAJ1"/>
      <c r="JAK1"/>
      <c r="JAL1"/>
      <c r="JAM1"/>
      <c r="JAN1"/>
      <c r="JAO1"/>
      <c r="JAP1"/>
      <c r="JAQ1"/>
      <c r="JAR1"/>
      <c r="JAS1"/>
      <c r="JAT1"/>
      <c r="JAU1"/>
      <c r="JAV1"/>
      <c r="JAW1"/>
      <c r="JAX1"/>
      <c r="JAY1"/>
      <c r="JAZ1"/>
      <c r="JBA1"/>
      <c r="JBB1"/>
      <c r="JBC1"/>
      <c r="JBD1"/>
      <c r="JBE1"/>
      <c r="JBF1"/>
      <c r="JBG1"/>
      <c r="JBH1"/>
      <c r="JBI1"/>
      <c r="JBJ1"/>
      <c r="JBK1"/>
      <c r="JBL1"/>
      <c r="JBM1"/>
      <c r="JBN1"/>
      <c r="JBO1"/>
      <c r="JBP1"/>
      <c r="JBQ1"/>
      <c r="JBR1"/>
      <c r="JBS1"/>
      <c r="JBT1"/>
      <c r="JBU1"/>
      <c r="JBV1"/>
      <c r="JBW1"/>
      <c r="JBX1"/>
      <c r="JBY1"/>
      <c r="JBZ1"/>
      <c r="JCA1"/>
      <c r="JCB1"/>
      <c r="JCC1"/>
      <c r="JCD1"/>
      <c r="JCE1"/>
      <c r="JCF1"/>
      <c r="JCG1"/>
      <c r="JCH1"/>
      <c r="JCI1"/>
      <c r="JCJ1"/>
      <c r="JCK1"/>
      <c r="JCL1"/>
      <c r="JCM1"/>
      <c r="JCN1"/>
      <c r="JCO1"/>
      <c r="JCP1"/>
      <c r="JCQ1"/>
      <c r="JCR1"/>
      <c r="JCS1"/>
      <c r="JCT1"/>
      <c r="JCU1"/>
      <c r="JCV1"/>
      <c r="JCW1"/>
      <c r="JCX1"/>
      <c r="JCY1"/>
      <c r="JCZ1"/>
      <c r="JDA1"/>
      <c r="JDB1"/>
      <c r="JDC1"/>
      <c r="JDD1"/>
      <c r="JDE1"/>
      <c r="JDF1"/>
      <c r="JDG1"/>
      <c r="JDH1"/>
      <c r="JDI1"/>
      <c r="JDJ1"/>
      <c r="JDK1"/>
      <c r="JDL1"/>
      <c r="JDM1"/>
      <c r="JDN1"/>
      <c r="JDO1"/>
      <c r="JDP1"/>
      <c r="JDQ1"/>
      <c r="JDR1"/>
      <c r="JDS1"/>
      <c r="JDT1"/>
      <c r="JDU1"/>
      <c r="JDV1"/>
      <c r="JDW1"/>
      <c r="JDX1"/>
      <c r="JDY1"/>
      <c r="JDZ1"/>
      <c r="JEA1"/>
      <c r="JEB1"/>
      <c r="JEC1"/>
      <c r="JED1"/>
      <c r="JEE1"/>
      <c r="JEF1"/>
      <c r="JEG1"/>
      <c r="JEH1"/>
      <c r="JEI1"/>
      <c r="JEJ1"/>
      <c r="JEK1"/>
      <c r="JEL1"/>
      <c r="JEM1"/>
      <c r="JEN1"/>
      <c r="JEO1"/>
      <c r="JEP1"/>
      <c r="JEQ1"/>
      <c r="JER1"/>
      <c r="JES1"/>
      <c r="JET1"/>
      <c r="JEU1"/>
      <c r="JEV1"/>
      <c r="JEW1"/>
      <c r="JEX1"/>
      <c r="JEY1"/>
      <c r="JEZ1"/>
      <c r="JFA1"/>
      <c r="JFB1"/>
      <c r="JFC1"/>
      <c r="JFD1"/>
      <c r="JFE1"/>
      <c r="JFF1"/>
      <c r="JFG1"/>
      <c r="JFH1"/>
      <c r="JFI1"/>
      <c r="JFJ1"/>
      <c r="JFK1"/>
      <c r="JFL1"/>
      <c r="JFM1"/>
      <c r="JFN1"/>
      <c r="JFO1"/>
      <c r="JFP1"/>
      <c r="JFQ1"/>
      <c r="JFR1"/>
      <c r="JFS1"/>
      <c r="JFT1"/>
      <c r="JFU1"/>
      <c r="JFV1"/>
      <c r="JFW1"/>
      <c r="JFX1"/>
      <c r="JFY1"/>
      <c r="JFZ1"/>
      <c r="JGA1"/>
      <c r="JGB1"/>
      <c r="JGC1"/>
      <c r="JGD1"/>
      <c r="JGE1"/>
      <c r="JGF1"/>
      <c r="JGG1"/>
      <c r="JGH1"/>
      <c r="JGI1"/>
      <c r="JGJ1"/>
      <c r="JGK1"/>
      <c r="JGL1"/>
      <c r="JGM1"/>
      <c r="JGN1"/>
      <c r="JGO1"/>
      <c r="JGP1"/>
      <c r="JGQ1"/>
      <c r="JGR1"/>
      <c r="JGS1"/>
      <c r="JGT1"/>
      <c r="JGU1"/>
      <c r="JGV1"/>
      <c r="JGW1"/>
      <c r="JGX1"/>
      <c r="JGY1"/>
      <c r="JGZ1"/>
      <c r="JHA1"/>
      <c r="JHB1"/>
      <c r="JHC1"/>
      <c r="JHD1"/>
      <c r="JHE1"/>
      <c r="JHF1"/>
      <c r="JHG1"/>
      <c r="JHH1"/>
      <c r="JHI1"/>
      <c r="JHJ1"/>
      <c r="JHK1"/>
      <c r="JHL1"/>
      <c r="JHM1"/>
      <c r="JHN1"/>
      <c r="JHO1"/>
      <c r="JHP1"/>
      <c r="JHQ1"/>
      <c r="JHR1"/>
      <c r="JHS1"/>
      <c r="JHT1"/>
      <c r="JHU1"/>
      <c r="JHV1"/>
      <c r="JHW1"/>
      <c r="JHX1"/>
      <c r="JHY1"/>
      <c r="JHZ1"/>
      <c r="JIA1"/>
      <c r="JIB1"/>
      <c r="JIC1"/>
      <c r="JID1"/>
      <c r="JIE1"/>
      <c r="JIF1"/>
      <c r="JIG1"/>
      <c r="JIH1"/>
      <c r="JII1"/>
      <c r="JIJ1"/>
      <c r="JIK1"/>
      <c r="JIL1"/>
      <c r="JIM1"/>
      <c r="JIN1"/>
      <c r="JIO1"/>
      <c r="JIP1"/>
      <c r="JIQ1"/>
      <c r="JIR1"/>
      <c r="JIS1"/>
      <c r="JIT1"/>
      <c r="JIU1"/>
      <c r="JIV1"/>
      <c r="JIW1"/>
      <c r="JIX1"/>
      <c r="JIY1"/>
      <c r="JIZ1"/>
      <c r="JJA1"/>
      <c r="JJB1"/>
      <c r="JJC1"/>
      <c r="JJD1"/>
      <c r="JJE1"/>
      <c r="JJF1"/>
      <c r="JJG1"/>
      <c r="JJH1"/>
      <c r="JJI1"/>
      <c r="JJJ1"/>
      <c r="JJK1"/>
      <c r="JJL1"/>
      <c r="JJM1"/>
      <c r="JJN1"/>
      <c r="JJO1"/>
      <c r="JJP1"/>
      <c r="JJQ1"/>
      <c r="JJR1"/>
      <c r="JJS1"/>
      <c r="JJT1"/>
      <c r="JJU1"/>
      <c r="JJV1"/>
      <c r="JJW1"/>
      <c r="JJX1"/>
      <c r="JJY1"/>
      <c r="JJZ1"/>
      <c r="JKA1"/>
      <c r="JKB1"/>
      <c r="JKC1"/>
      <c r="JKD1"/>
      <c r="JKE1"/>
      <c r="JKF1"/>
      <c r="JKG1"/>
      <c r="JKH1"/>
      <c r="JKI1"/>
      <c r="JKJ1"/>
      <c r="JKK1"/>
      <c r="JKL1"/>
      <c r="JKM1"/>
      <c r="JKN1"/>
      <c r="JKO1"/>
      <c r="JKP1"/>
      <c r="JKQ1"/>
      <c r="JKR1"/>
      <c r="JKS1"/>
      <c r="JKT1"/>
      <c r="JKU1"/>
      <c r="JKV1"/>
      <c r="JKW1"/>
      <c r="JKX1"/>
      <c r="JKY1"/>
      <c r="JKZ1"/>
      <c r="JLA1"/>
      <c r="JLB1"/>
      <c r="JLC1"/>
      <c r="JLD1"/>
      <c r="JLE1"/>
      <c r="JLF1"/>
      <c r="JLG1"/>
      <c r="JLH1"/>
      <c r="JLI1"/>
      <c r="JLJ1"/>
      <c r="JLK1"/>
      <c r="JLL1"/>
      <c r="JLM1"/>
      <c r="JLN1"/>
      <c r="JLO1"/>
      <c r="JLP1"/>
      <c r="JLQ1"/>
      <c r="JLR1"/>
      <c r="JLS1"/>
      <c r="JLT1"/>
      <c r="JLU1"/>
      <c r="JLV1"/>
      <c r="JLW1"/>
      <c r="JLX1"/>
      <c r="JLY1"/>
      <c r="JLZ1"/>
      <c r="JMA1"/>
      <c r="JMB1"/>
      <c r="JMC1"/>
      <c r="JMD1"/>
      <c r="JME1"/>
      <c r="JMF1"/>
      <c r="JMG1"/>
      <c r="JMH1"/>
      <c r="JMI1"/>
      <c r="JMJ1"/>
      <c r="JMK1"/>
      <c r="JML1"/>
      <c r="JMM1"/>
      <c r="JMN1"/>
      <c r="JMO1"/>
      <c r="JMP1"/>
      <c r="JMQ1"/>
      <c r="JMR1"/>
      <c r="JMS1"/>
      <c r="JMT1"/>
      <c r="JMU1"/>
      <c r="JMV1"/>
      <c r="JMW1"/>
      <c r="JMX1"/>
      <c r="JMY1"/>
      <c r="JMZ1"/>
      <c r="JNA1"/>
      <c r="JNB1"/>
      <c r="JNC1"/>
      <c r="JND1"/>
      <c r="JNE1"/>
      <c r="JNF1"/>
      <c r="JNG1"/>
      <c r="JNH1"/>
      <c r="JNI1"/>
      <c r="JNJ1"/>
      <c r="JNK1"/>
      <c r="JNL1"/>
      <c r="JNM1"/>
      <c r="JNN1"/>
      <c r="JNO1"/>
      <c r="JNP1"/>
      <c r="JNQ1"/>
      <c r="JNR1"/>
      <c r="JNS1"/>
      <c r="JNT1"/>
      <c r="JNU1"/>
      <c r="JNV1"/>
      <c r="JNW1"/>
      <c r="JNX1"/>
      <c r="JNY1"/>
      <c r="JNZ1"/>
      <c r="JOA1"/>
      <c r="JOB1"/>
      <c r="JOC1"/>
      <c r="JOD1"/>
      <c r="JOE1"/>
      <c r="JOF1"/>
      <c r="JOG1"/>
      <c r="JOH1"/>
      <c r="JOI1"/>
      <c r="JOJ1"/>
      <c r="JOK1"/>
      <c r="JOL1"/>
      <c r="JOM1"/>
      <c r="JON1"/>
      <c r="JOO1"/>
      <c r="JOP1"/>
      <c r="JOQ1"/>
      <c r="JOR1"/>
      <c r="JOS1"/>
      <c r="JOT1"/>
      <c r="JOU1"/>
      <c r="JOV1"/>
      <c r="JOW1"/>
      <c r="JOX1"/>
      <c r="JOY1"/>
      <c r="JOZ1"/>
      <c r="JPA1"/>
      <c r="JPB1"/>
      <c r="JPC1"/>
      <c r="JPD1"/>
      <c r="JPE1"/>
      <c r="JPF1"/>
      <c r="JPG1"/>
      <c r="JPH1"/>
      <c r="JPI1"/>
      <c r="JPJ1"/>
      <c r="JPK1"/>
      <c r="JPL1"/>
      <c r="JPM1"/>
      <c r="JPN1"/>
      <c r="JPO1"/>
      <c r="JPP1"/>
      <c r="JPQ1"/>
      <c r="JPR1"/>
      <c r="JPS1"/>
      <c r="JPT1"/>
      <c r="JPU1"/>
      <c r="JPV1"/>
      <c r="JPW1"/>
      <c r="JPX1"/>
      <c r="JPY1"/>
      <c r="JPZ1"/>
      <c r="JQA1"/>
      <c r="JQB1"/>
      <c r="JQC1"/>
      <c r="JQD1"/>
      <c r="JQE1"/>
      <c r="JQF1"/>
      <c r="JQG1"/>
      <c r="JQH1"/>
      <c r="JQI1"/>
      <c r="JQJ1"/>
      <c r="JQK1"/>
      <c r="JQL1"/>
      <c r="JQM1"/>
      <c r="JQN1"/>
      <c r="JQO1"/>
      <c r="JQP1"/>
      <c r="JQQ1"/>
      <c r="JQR1"/>
      <c r="JQS1"/>
      <c r="JQT1"/>
      <c r="JQU1"/>
      <c r="JQV1"/>
      <c r="JQW1"/>
      <c r="JQX1"/>
      <c r="JQY1"/>
      <c r="JQZ1"/>
      <c r="JRA1"/>
      <c r="JRB1"/>
      <c r="JRC1"/>
      <c r="JRD1"/>
      <c r="JRE1"/>
      <c r="JRF1"/>
      <c r="JRG1"/>
      <c r="JRH1"/>
      <c r="JRI1"/>
      <c r="JRJ1"/>
      <c r="JRK1"/>
      <c r="JRL1"/>
      <c r="JRM1"/>
      <c r="JRN1"/>
      <c r="JRO1"/>
      <c r="JRP1"/>
      <c r="JRQ1"/>
      <c r="JRR1"/>
      <c r="JRS1"/>
      <c r="JRT1"/>
      <c r="JRU1"/>
      <c r="JRV1"/>
      <c r="JRW1"/>
      <c r="JRX1"/>
      <c r="JRY1"/>
      <c r="JRZ1"/>
      <c r="JSA1"/>
      <c r="JSB1"/>
      <c r="JSC1"/>
      <c r="JSD1"/>
      <c r="JSE1"/>
      <c r="JSF1"/>
      <c r="JSG1"/>
      <c r="JSH1"/>
      <c r="JSI1"/>
      <c r="JSJ1"/>
      <c r="JSK1"/>
      <c r="JSL1"/>
      <c r="JSM1"/>
      <c r="JSN1"/>
      <c r="JSO1"/>
      <c r="JSP1"/>
      <c r="JSQ1"/>
      <c r="JSR1"/>
      <c r="JSS1"/>
      <c r="JST1"/>
      <c r="JSU1"/>
      <c r="JSV1"/>
      <c r="JSW1"/>
      <c r="JSX1"/>
      <c r="JSY1"/>
      <c r="JSZ1"/>
      <c r="JTA1"/>
      <c r="JTB1"/>
      <c r="JTC1"/>
      <c r="JTD1"/>
      <c r="JTE1"/>
      <c r="JTF1"/>
      <c r="JTG1"/>
      <c r="JTH1"/>
      <c r="JTI1"/>
      <c r="JTJ1"/>
      <c r="JTK1"/>
      <c r="JTL1"/>
      <c r="JTM1"/>
      <c r="JTN1"/>
      <c r="JTO1"/>
      <c r="JTP1"/>
      <c r="JTQ1"/>
      <c r="JTR1"/>
      <c r="JTS1"/>
      <c r="JTT1"/>
      <c r="JTU1"/>
      <c r="JTV1"/>
      <c r="JTW1"/>
      <c r="JTX1"/>
      <c r="JTY1"/>
      <c r="JTZ1"/>
      <c r="JUA1"/>
      <c r="JUB1"/>
      <c r="JUC1"/>
      <c r="JUD1"/>
      <c r="JUE1"/>
      <c r="JUF1"/>
      <c r="JUG1"/>
      <c r="JUH1"/>
      <c r="JUI1"/>
      <c r="JUJ1"/>
      <c r="JUK1"/>
      <c r="JUL1"/>
      <c r="JUM1"/>
      <c r="JUN1"/>
      <c r="JUO1"/>
      <c r="JUP1"/>
      <c r="JUQ1"/>
      <c r="JUR1"/>
      <c r="JUS1"/>
      <c r="JUT1"/>
      <c r="JUU1"/>
      <c r="JUV1"/>
      <c r="JUW1"/>
      <c r="JUX1"/>
      <c r="JUY1"/>
      <c r="JUZ1"/>
      <c r="JVA1"/>
      <c r="JVB1"/>
      <c r="JVC1"/>
      <c r="JVD1"/>
      <c r="JVE1"/>
      <c r="JVF1"/>
      <c r="JVG1"/>
      <c r="JVH1"/>
      <c r="JVI1"/>
      <c r="JVJ1"/>
      <c r="JVK1"/>
      <c r="JVL1"/>
      <c r="JVM1"/>
      <c r="JVN1"/>
      <c r="JVO1"/>
      <c r="JVP1"/>
      <c r="JVQ1"/>
      <c r="JVR1"/>
      <c r="JVS1"/>
      <c r="JVT1"/>
      <c r="JVU1"/>
      <c r="JVV1"/>
      <c r="JVW1"/>
      <c r="JVX1"/>
      <c r="JVY1"/>
      <c r="JVZ1"/>
      <c r="JWA1"/>
      <c r="JWB1"/>
      <c r="JWC1"/>
      <c r="JWD1"/>
      <c r="JWE1"/>
      <c r="JWF1"/>
      <c r="JWG1"/>
      <c r="JWH1"/>
      <c r="JWI1"/>
      <c r="JWJ1"/>
      <c r="JWK1"/>
      <c r="JWL1"/>
      <c r="JWM1"/>
      <c r="JWN1"/>
      <c r="JWO1"/>
      <c r="JWP1"/>
      <c r="JWQ1"/>
      <c r="JWR1"/>
      <c r="JWS1"/>
      <c r="JWT1"/>
      <c r="JWU1"/>
      <c r="JWV1"/>
      <c r="JWW1"/>
      <c r="JWX1"/>
      <c r="JWY1"/>
      <c r="JWZ1"/>
      <c r="JXA1"/>
      <c r="JXB1"/>
      <c r="JXC1"/>
      <c r="JXD1"/>
      <c r="JXE1"/>
      <c r="JXF1"/>
      <c r="JXG1"/>
      <c r="JXH1"/>
      <c r="JXI1"/>
      <c r="JXJ1"/>
      <c r="JXK1"/>
      <c r="JXL1"/>
      <c r="JXM1"/>
      <c r="JXN1"/>
      <c r="JXO1"/>
      <c r="JXP1"/>
      <c r="JXQ1"/>
      <c r="JXR1"/>
      <c r="JXS1"/>
      <c r="JXT1"/>
      <c r="JXU1"/>
      <c r="JXV1"/>
      <c r="JXW1"/>
      <c r="JXX1"/>
      <c r="JXY1"/>
      <c r="JXZ1"/>
      <c r="JYA1"/>
      <c r="JYB1"/>
      <c r="JYC1"/>
      <c r="JYD1"/>
      <c r="JYE1"/>
      <c r="JYF1"/>
      <c r="JYG1"/>
      <c r="JYH1"/>
      <c r="JYI1"/>
      <c r="JYJ1"/>
      <c r="JYK1"/>
      <c r="JYL1"/>
      <c r="JYM1"/>
      <c r="JYN1"/>
      <c r="JYO1"/>
      <c r="JYP1"/>
      <c r="JYQ1"/>
      <c r="JYR1"/>
      <c r="JYS1"/>
      <c r="JYT1"/>
      <c r="JYU1"/>
      <c r="JYV1"/>
      <c r="JYW1"/>
      <c r="JYX1"/>
      <c r="JYY1"/>
      <c r="JYZ1"/>
      <c r="JZA1"/>
      <c r="JZB1"/>
      <c r="JZC1"/>
      <c r="JZD1"/>
      <c r="JZE1"/>
      <c r="JZF1"/>
      <c r="JZG1"/>
      <c r="JZH1"/>
      <c r="JZI1"/>
      <c r="JZJ1"/>
      <c r="JZK1"/>
      <c r="JZL1"/>
      <c r="JZM1"/>
      <c r="JZN1"/>
      <c r="JZO1"/>
      <c r="JZP1"/>
      <c r="JZQ1"/>
      <c r="JZR1"/>
      <c r="JZS1"/>
      <c r="JZT1"/>
      <c r="JZU1"/>
      <c r="JZV1"/>
      <c r="JZW1"/>
      <c r="JZX1"/>
      <c r="JZY1"/>
      <c r="JZZ1"/>
      <c r="KAA1"/>
      <c r="KAB1"/>
      <c r="KAC1"/>
      <c r="KAD1"/>
      <c r="KAE1"/>
      <c r="KAF1"/>
      <c r="KAG1"/>
      <c r="KAH1"/>
      <c r="KAI1"/>
      <c r="KAJ1"/>
      <c r="KAK1"/>
      <c r="KAL1"/>
      <c r="KAM1"/>
      <c r="KAN1"/>
      <c r="KAO1"/>
      <c r="KAP1"/>
      <c r="KAQ1"/>
      <c r="KAR1"/>
      <c r="KAS1"/>
      <c r="KAT1"/>
      <c r="KAU1"/>
      <c r="KAV1"/>
      <c r="KAW1"/>
      <c r="KAX1"/>
      <c r="KAY1"/>
      <c r="KAZ1"/>
      <c r="KBA1"/>
      <c r="KBB1"/>
      <c r="KBC1"/>
      <c r="KBD1"/>
      <c r="KBE1"/>
      <c r="KBF1"/>
      <c r="KBG1"/>
      <c r="KBH1"/>
      <c r="KBI1"/>
      <c r="KBJ1"/>
      <c r="KBK1"/>
      <c r="KBL1"/>
      <c r="KBM1"/>
      <c r="KBN1"/>
      <c r="KBO1"/>
      <c r="KBP1"/>
      <c r="KBQ1"/>
      <c r="KBR1"/>
      <c r="KBS1"/>
      <c r="KBT1"/>
      <c r="KBU1"/>
      <c r="KBV1"/>
      <c r="KBW1"/>
      <c r="KBX1"/>
      <c r="KBY1"/>
      <c r="KBZ1"/>
      <c r="KCA1"/>
      <c r="KCB1"/>
      <c r="KCC1"/>
      <c r="KCD1"/>
      <c r="KCE1"/>
      <c r="KCF1"/>
      <c r="KCG1"/>
      <c r="KCH1"/>
      <c r="KCI1"/>
      <c r="KCJ1"/>
      <c r="KCK1"/>
      <c r="KCL1"/>
      <c r="KCM1"/>
      <c r="KCN1"/>
      <c r="KCO1"/>
      <c r="KCP1"/>
      <c r="KCQ1"/>
      <c r="KCR1"/>
      <c r="KCS1"/>
      <c r="KCT1"/>
      <c r="KCU1"/>
      <c r="KCV1"/>
      <c r="KCW1"/>
      <c r="KCX1"/>
      <c r="KCY1"/>
      <c r="KCZ1"/>
      <c r="KDA1"/>
      <c r="KDB1"/>
      <c r="KDC1"/>
      <c r="KDD1"/>
      <c r="KDE1"/>
      <c r="KDF1"/>
      <c r="KDG1"/>
      <c r="KDH1"/>
      <c r="KDI1"/>
      <c r="KDJ1"/>
      <c r="KDK1"/>
      <c r="KDL1"/>
      <c r="KDM1"/>
      <c r="KDN1"/>
      <c r="KDO1"/>
      <c r="KDP1"/>
      <c r="KDQ1"/>
      <c r="KDR1"/>
      <c r="KDS1"/>
      <c r="KDT1"/>
      <c r="KDU1"/>
      <c r="KDV1"/>
      <c r="KDW1"/>
      <c r="KDX1"/>
      <c r="KDY1"/>
      <c r="KDZ1"/>
      <c r="KEA1"/>
      <c r="KEB1"/>
      <c r="KEC1"/>
      <c r="KED1"/>
      <c r="KEE1"/>
      <c r="KEF1"/>
      <c r="KEG1"/>
      <c r="KEH1"/>
      <c r="KEI1"/>
      <c r="KEJ1"/>
      <c r="KEK1"/>
      <c r="KEL1"/>
      <c r="KEM1"/>
      <c r="KEN1"/>
      <c r="KEO1"/>
      <c r="KEP1"/>
      <c r="KEQ1"/>
      <c r="KER1"/>
      <c r="KES1"/>
      <c r="KET1"/>
      <c r="KEU1"/>
      <c r="KEV1"/>
      <c r="KEW1"/>
      <c r="KEX1"/>
      <c r="KEY1"/>
      <c r="KEZ1"/>
      <c r="KFA1"/>
      <c r="KFB1"/>
      <c r="KFC1"/>
      <c r="KFD1"/>
      <c r="KFE1"/>
      <c r="KFF1"/>
      <c r="KFG1"/>
      <c r="KFH1"/>
      <c r="KFI1"/>
      <c r="KFJ1"/>
      <c r="KFK1"/>
      <c r="KFL1"/>
      <c r="KFM1"/>
      <c r="KFN1"/>
      <c r="KFO1"/>
      <c r="KFP1"/>
      <c r="KFQ1"/>
      <c r="KFR1"/>
      <c r="KFS1"/>
      <c r="KFT1"/>
      <c r="KFU1"/>
      <c r="KFV1"/>
      <c r="KFW1"/>
      <c r="KFX1"/>
      <c r="KFY1"/>
      <c r="KFZ1"/>
      <c r="KGA1"/>
      <c r="KGB1"/>
      <c r="KGC1"/>
      <c r="KGD1"/>
      <c r="KGE1"/>
      <c r="KGF1"/>
      <c r="KGG1"/>
      <c r="KGH1"/>
      <c r="KGI1"/>
      <c r="KGJ1"/>
      <c r="KGK1"/>
      <c r="KGL1"/>
      <c r="KGM1"/>
      <c r="KGN1"/>
      <c r="KGO1"/>
      <c r="KGP1"/>
      <c r="KGQ1"/>
      <c r="KGR1"/>
      <c r="KGS1"/>
      <c r="KGT1"/>
      <c r="KGU1"/>
      <c r="KGV1"/>
      <c r="KGW1"/>
      <c r="KGX1"/>
      <c r="KGY1"/>
      <c r="KGZ1"/>
      <c r="KHA1"/>
      <c r="KHB1"/>
      <c r="KHC1"/>
      <c r="KHD1"/>
      <c r="KHE1"/>
      <c r="KHF1"/>
      <c r="KHG1"/>
      <c r="KHH1"/>
      <c r="KHI1"/>
      <c r="KHJ1"/>
      <c r="KHK1"/>
      <c r="KHL1"/>
      <c r="KHM1"/>
      <c r="KHN1"/>
      <c r="KHO1"/>
      <c r="KHP1"/>
      <c r="KHQ1"/>
      <c r="KHR1"/>
      <c r="KHS1"/>
      <c r="KHT1"/>
      <c r="KHU1"/>
      <c r="KHV1"/>
      <c r="KHW1"/>
      <c r="KHX1"/>
      <c r="KHY1"/>
      <c r="KHZ1"/>
      <c r="KIA1"/>
      <c r="KIB1"/>
      <c r="KIC1"/>
      <c r="KID1"/>
      <c r="KIE1"/>
      <c r="KIF1"/>
      <c r="KIG1"/>
      <c r="KIH1"/>
      <c r="KII1"/>
      <c r="KIJ1"/>
      <c r="KIK1"/>
      <c r="KIL1"/>
      <c r="KIM1"/>
      <c r="KIN1"/>
      <c r="KIO1"/>
      <c r="KIP1"/>
      <c r="KIQ1"/>
      <c r="KIR1"/>
      <c r="KIS1"/>
      <c r="KIT1"/>
      <c r="KIU1"/>
      <c r="KIV1"/>
      <c r="KIW1"/>
      <c r="KIX1"/>
      <c r="KIY1"/>
      <c r="KIZ1"/>
      <c r="KJA1"/>
      <c r="KJB1"/>
      <c r="KJC1"/>
      <c r="KJD1"/>
      <c r="KJE1"/>
      <c r="KJF1"/>
      <c r="KJG1"/>
      <c r="KJH1"/>
      <c r="KJI1"/>
      <c r="KJJ1"/>
      <c r="KJK1"/>
      <c r="KJL1"/>
      <c r="KJM1"/>
      <c r="KJN1"/>
      <c r="KJO1"/>
      <c r="KJP1"/>
      <c r="KJQ1"/>
      <c r="KJR1"/>
      <c r="KJS1"/>
      <c r="KJT1"/>
      <c r="KJU1"/>
      <c r="KJV1"/>
      <c r="KJW1"/>
      <c r="KJX1"/>
      <c r="KJY1"/>
      <c r="KJZ1"/>
      <c r="KKA1"/>
      <c r="KKB1"/>
      <c r="KKC1"/>
      <c r="KKD1"/>
      <c r="KKE1"/>
      <c r="KKF1"/>
      <c r="KKG1"/>
      <c r="KKH1"/>
      <c r="KKI1"/>
      <c r="KKJ1"/>
      <c r="KKK1"/>
      <c r="KKL1"/>
      <c r="KKM1"/>
      <c r="KKN1"/>
      <c r="KKO1"/>
      <c r="KKP1"/>
      <c r="KKQ1"/>
      <c r="KKR1"/>
      <c r="KKS1"/>
      <c r="KKT1"/>
      <c r="KKU1"/>
      <c r="KKV1"/>
      <c r="KKW1"/>
      <c r="KKX1"/>
      <c r="KKY1"/>
      <c r="KKZ1"/>
      <c r="KLA1"/>
      <c r="KLB1"/>
      <c r="KLC1"/>
      <c r="KLD1"/>
      <c r="KLE1"/>
      <c r="KLF1"/>
      <c r="KLG1"/>
      <c r="KLH1"/>
      <c r="KLI1"/>
      <c r="KLJ1"/>
      <c r="KLK1"/>
      <c r="KLL1"/>
      <c r="KLM1"/>
      <c r="KLN1"/>
      <c r="KLO1"/>
      <c r="KLP1"/>
      <c r="KLQ1"/>
      <c r="KLR1"/>
      <c r="KLS1"/>
      <c r="KLT1"/>
      <c r="KLU1"/>
      <c r="KLV1"/>
      <c r="KLW1"/>
      <c r="KLX1"/>
      <c r="KLY1"/>
      <c r="KLZ1"/>
      <c r="KMA1"/>
      <c r="KMB1"/>
      <c r="KMC1"/>
      <c r="KMD1"/>
      <c r="KME1"/>
      <c r="KMF1"/>
      <c r="KMG1"/>
      <c r="KMH1"/>
      <c r="KMI1"/>
      <c r="KMJ1"/>
      <c r="KMK1"/>
      <c r="KML1"/>
      <c r="KMM1"/>
      <c r="KMN1"/>
      <c r="KMO1"/>
      <c r="KMP1"/>
      <c r="KMQ1"/>
      <c r="KMR1"/>
      <c r="KMS1"/>
      <c r="KMT1"/>
      <c r="KMU1"/>
      <c r="KMV1"/>
      <c r="KMW1"/>
      <c r="KMX1"/>
      <c r="KMY1"/>
      <c r="KMZ1"/>
      <c r="KNA1"/>
      <c r="KNB1"/>
      <c r="KNC1"/>
      <c r="KND1"/>
      <c r="KNE1"/>
      <c r="KNF1"/>
      <c r="KNG1"/>
      <c r="KNH1"/>
      <c r="KNI1"/>
      <c r="KNJ1"/>
      <c r="KNK1"/>
      <c r="KNL1"/>
      <c r="KNM1"/>
      <c r="KNN1"/>
      <c r="KNO1"/>
      <c r="KNP1"/>
      <c r="KNQ1"/>
      <c r="KNR1"/>
      <c r="KNS1"/>
      <c r="KNT1"/>
      <c r="KNU1"/>
      <c r="KNV1"/>
      <c r="KNW1"/>
      <c r="KNX1"/>
      <c r="KNY1"/>
      <c r="KNZ1"/>
      <c r="KOA1"/>
      <c r="KOB1"/>
      <c r="KOC1"/>
      <c r="KOD1"/>
      <c r="KOE1"/>
      <c r="KOF1"/>
      <c r="KOG1"/>
      <c r="KOH1"/>
      <c r="KOI1"/>
      <c r="KOJ1"/>
      <c r="KOK1"/>
      <c r="KOL1"/>
      <c r="KOM1"/>
      <c r="KON1"/>
      <c r="KOO1"/>
      <c r="KOP1"/>
      <c r="KOQ1"/>
      <c r="KOR1"/>
      <c r="KOS1"/>
      <c r="KOT1"/>
      <c r="KOU1"/>
      <c r="KOV1"/>
      <c r="KOW1"/>
      <c r="KOX1"/>
      <c r="KOY1"/>
      <c r="KOZ1"/>
      <c r="KPA1"/>
      <c r="KPB1"/>
      <c r="KPC1"/>
      <c r="KPD1"/>
      <c r="KPE1"/>
      <c r="KPF1"/>
      <c r="KPG1"/>
      <c r="KPH1"/>
      <c r="KPI1"/>
      <c r="KPJ1"/>
      <c r="KPK1"/>
      <c r="KPL1"/>
      <c r="KPM1"/>
      <c r="KPN1"/>
      <c r="KPO1"/>
      <c r="KPP1"/>
      <c r="KPQ1"/>
      <c r="KPR1"/>
      <c r="KPS1"/>
      <c r="KPT1"/>
      <c r="KPU1"/>
      <c r="KPV1"/>
      <c r="KPW1"/>
      <c r="KPX1"/>
      <c r="KPY1"/>
      <c r="KPZ1"/>
      <c r="KQA1"/>
      <c r="KQB1"/>
      <c r="KQC1"/>
      <c r="KQD1"/>
      <c r="KQE1"/>
      <c r="KQF1"/>
      <c r="KQG1"/>
      <c r="KQH1"/>
      <c r="KQI1"/>
      <c r="KQJ1"/>
      <c r="KQK1"/>
      <c r="KQL1"/>
      <c r="KQM1"/>
      <c r="KQN1"/>
      <c r="KQO1"/>
      <c r="KQP1"/>
      <c r="KQQ1"/>
      <c r="KQR1"/>
      <c r="KQS1"/>
      <c r="KQT1"/>
      <c r="KQU1"/>
      <c r="KQV1"/>
      <c r="KQW1"/>
      <c r="KQX1"/>
      <c r="KQY1"/>
      <c r="KQZ1"/>
      <c r="KRA1"/>
      <c r="KRB1"/>
      <c r="KRC1"/>
      <c r="KRD1"/>
      <c r="KRE1"/>
      <c r="KRF1"/>
      <c r="KRG1"/>
      <c r="KRH1"/>
      <c r="KRI1"/>
      <c r="KRJ1"/>
      <c r="KRK1"/>
      <c r="KRL1"/>
      <c r="KRM1"/>
      <c r="KRN1"/>
      <c r="KRO1"/>
      <c r="KRP1"/>
      <c r="KRQ1"/>
      <c r="KRR1"/>
      <c r="KRS1"/>
      <c r="KRT1"/>
      <c r="KRU1"/>
      <c r="KRV1"/>
      <c r="KRW1"/>
      <c r="KRX1"/>
      <c r="KRY1"/>
      <c r="KRZ1"/>
      <c r="KSA1"/>
      <c r="KSB1"/>
      <c r="KSC1"/>
      <c r="KSD1"/>
      <c r="KSE1"/>
      <c r="KSF1"/>
      <c r="KSG1"/>
      <c r="KSH1"/>
      <c r="KSI1"/>
      <c r="KSJ1"/>
      <c r="KSK1"/>
      <c r="KSL1"/>
      <c r="KSM1"/>
      <c r="KSN1"/>
      <c r="KSO1"/>
      <c r="KSP1"/>
      <c r="KSQ1"/>
      <c r="KSR1"/>
      <c r="KSS1"/>
      <c r="KST1"/>
      <c r="KSU1"/>
      <c r="KSV1"/>
      <c r="KSW1"/>
      <c r="KSX1"/>
      <c r="KSY1"/>
      <c r="KSZ1"/>
      <c r="KTA1"/>
      <c r="KTB1"/>
      <c r="KTC1"/>
      <c r="KTD1"/>
      <c r="KTE1"/>
      <c r="KTF1"/>
      <c r="KTG1"/>
      <c r="KTH1"/>
      <c r="KTI1"/>
      <c r="KTJ1"/>
      <c r="KTK1"/>
      <c r="KTL1"/>
      <c r="KTM1"/>
      <c r="KTN1"/>
      <c r="KTO1"/>
      <c r="KTP1"/>
      <c r="KTQ1"/>
      <c r="KTR1"/>
      <c r="KTS1"/>
      <c r="KTT1"/>
      <c r="KTU1"/>
      <c r="KTV1"/>
      <c r="KTW1"/>
      <c r="KTX1"/>
      <c r="KTY1"/>
      <c r="KTZ1"/>
      <c r="KUA1"/>
      <c r="KUB1"/>
      <c r="KUC1"/>
      <c r="KUD1"/>
      <c r="KUE1"/>
      <c r="KUF1"/>
      <c r="KUG1"/>
      <c r="KUH1"/>
      <c r="KUI1"/>
      <c r="KUJ1"/>
      <c r="KUK1"/>
      <c r="KUL1"/>
      <c r="KUM1"/>
      <c r="KUN1"/>
      <c r="KUO1"/>
      <c r="KUP1"/>
      <c r="KUQ1"/>
      <c r="KUR1"/>
      <c r="KUS1"/>
      <c r="KUT1"/>
      <c r="KUU1"/>
      <c r="KUV1"/>
      <c r="KUW1"/>
      <c r="KUX1"/>
      <c r="KUY1"/>
      <c r="KUZ1"/>
      <c r="KVA1"/>
      <c r="KVB1"/>
      <c r="KVC1"/>
      <c r="KVD1"/>
      <c r="KVE1"/>
      <c r="KVF1"/>
      <c r="KVG1"/>
      <c r="KVH1"/>
      <c r="KVI1"/>
      <c r="KVJ1"/>
      <c r="KVK1"/>
      <c r="KVL1"/>
      <c r="KVM1"/>
      <c r="KVN1"/>
      <c r="KVO1"/>
      <c r="KVP1"/>
      <c r="KVQ1"/>
      <c r="KVR1"/>
      <c r="KVS1"/>
      <c r="KVT1"/>
      <c r="KVU1"/>
      <c r="KVV1"/>
      <c r="KVW1"/>
      <c r="KVX1"/>
      <c r="KVY1"/>
      <c r="KVZ1"/>
      <c r="KWA1"/>
      <c r="KWB1"/>
      <c r="KWC1"/>
      <c r="KWD1"/>
      <c r="KWE1"/>
      <c r="KWF1"/>
      <c r="KWG1"/>
      <c r="KWH1"/>
      <c r="KWI1"/>
      <c r="KWJ1"/>
      <c r="KWK1"/>
      <c r="KWL1"/>
      <c r="KWM1"/>
      <c r="KWN1"/>
      <c r="KWO1"/>
      <c r="KWP1"/>
      <c r="KWQ1"/>
      <c r="KWR1"/>
      <c r="KWS1"/>
      <c r="KWT1"/>
      <c r="KWU1"/>
      <c r="KWV1"/>
      <c r="KWW1"/>
      <c r="KWX1"/>
      <c r="KWY1"/>
      <c r="KWZ1"/>
      <c r="KXA1"/>
      <c r="KXB1"/>
      <c r="KXC1"/>
      <c r="KXD1"/>
      <c r="KXE1"/>
      <c r="KXF1"/>
      <c r="KXG1"/>
      <c r="KXH1"/>
      <c r="KXI1"/>
      <c r="KXJ1"/>
      <c r="KXK1"/>
      <c r="KXL1"/>
      <c r="KXM1"/>
      <c r="KXN1"/>
      <c r="KXO1"/>
      <c r="KXP1"/>
      <c r="KXQ1"/>
      <c r="KXR1"/>
      <c r="KXS1"/>
      <c r="KXT1"/>
      <c r="KXU1"/>
      <c r="KXV1"/>
      <c r="KXW1"/>
      <c r="KXX1"/>
      <c r="KXY1"/>
      <c r="KXZ1"/>
      <c r="KYA1"/>
      <c r="KYB1"/>
      <c r="KYC1"/>
      <c r="KYD1"/>
      <c r="KYE1"/>
      <c r="KYF1"/>
      <c r="KYG1"/>
      <c r="KYH1"/>
      <c r="KYI1"/>
      <c r="KYJ1"/>
      <c r="KYK1"/>
      <c r="KYL1"/>
      <c r="KYM1"/>
      <c r="KYN1"/>
      <c r="KYO1"/>
      <c r="KYP1"/>
      <c r="KYQ1"/>
      <c r="KYR1"/>
      <c r="KYS1"/>
      <c r="KYT1"/>
      <c r="KYU1"/>
      <c r="KYV1"/>
      <c r="KYW1"/>
      <c r="KYX1"/>
      <c r="KYY1"/>
      <c r="KYZ1"/>
      <c r="KZA1"/>
      <c r="KZB1"/>
      <c r="KZC1"/>
      <c r="KZD1"/>
      <c r="KZE1"/>
      <c r="KZF1"/>
      <c r="KZG1"/>
      <c r="KZH1"/>
      <c r="KZI1"/>
      <c r="KZJ1"/>
      <c r="KZK1"/>
      <c r="KZL1"/>
      <c r="KZM1"/>
      <c r="KZN1"/>
      <c r="KZO1"/>
      <c r="KZP1"/>
      <c r="KZQ1"/>
      <c r="KZR1"/>
      <c r="KZS1"/>
      <c r="KZT1"/>
      <c r="KZU1"/>
      <c r="KZV1"/>
      <c r="KZW1"/>
      <c r="KZX1"/>
      <c r="KZY1"/>
      <c r="KZZ1"/>
      <c r="LAA1"/>
      <c r="LAB1"/>
      <c r="LAC1"/>
      <c r="LAD1"/>
      <c r="LAE1"/>
      <c r="LAF1"/>
      <c r="LAG1"/>
      <c r="LAH1"/>
      <c r="LAI1"/>
      <c r="LAJ1"/>
      <c r="LAK1"/>
      <c r="LAL1"/>
      <c r="LAM1"/>
      <c r="LAN1"/>
      <c r="LAO1"/>
      <c r="LAP1"/>
      <c r="LAQ1"/>
      <c r="LAR1"/>
      <c r="LAS1"/>
      <c r="LAT1"/>
      <c r="LAU1"/>
      <c r="LAV1"/>
      <c r="LAW1"/>
      <c r="LAX1"/>
      <c r="LAY1"/>
      <c r="LAZ1"/>
      <c r="LBA1"/>
      <c r="LBB1"/>
      <c r="LBC1"/>
      <c r="LBD1"/>
      <c r="LBE1"/>
      <c r="LBF1"/>
      <c r="LBG1"/>
      <c r="LBH1"/>
      <c r="LBI1"/>
      <c r="LBJ1"/>
      <c r="LBK1"/>
      <c r="LBL1"/>
      <c r="LBM1"/>
      <c r="LBN1"/>
      <c r="LBO1"/>
      <c r="LBP1"/>
      <c r="LBQ1"/>
      <c r="LBR1"/>
      <c r="LBS1"/>
      <c r="LBT1"/>
      <c r="LBU1"/>
      <c r="LBV1"/>
      <c r="LBW1"/>
      <c r="LBX1"/>
      <c r="LBY1"/>
      <c r="LBZ1"/>
      <c r="LCA1"/>
      <c r="LCB1"/>
      <c r="LCC1"/>
      <c r="LCD1"/>
      <c r="LCE1"/>
      <c r="LCF1"/>
      <c r="LCG1"/>
      <c r="LCH1"/>
      <c r="LCI1"/>
      <c r="LCJ1"/>
      <c r="LCK1"/>
      <c r="LCL1"/>
      <c r="LCM1"/>
      <c r="LCN1"/>
      <c r="LCO1"/>
      <c r="LCP1"/>
      <c r="LCQ1"/>
      <c r="LCR1"/>
      <c r="LCS1"/>
      <c r="LCT1"/>
      <c r="LCU1"/>
      <c r="LCV1"/>
      <c r="LCW1"/>
      <c r="LCX1"/>
      <c r="LCY1"/>
      <c r="LCZ1"/>
      <c r="LDA1"/>
      <c r="LDB1"/>
      <c r="LDC1"/>
      <c r="LDD1"/>
      <c r="LDE1"/>
      <c r="LDF1"/>
      <c r="LDG1"/>
      <c r="LDH1"/>
      <c r="LDI1"/>
      <c r="LDJ1"/>
      <c r="LDK1"/>
      <c r="LDL1"/>
      <c r="LDM1"/>
      <c r="LDN1"/>
      <c r="LDO1"/>
      <c r="LDP1"/>
      <c r="LDQ1"/>
      <c r="LDR1"/>
      <c r="LDS1"/>
      <c r="LDT1"/>
      <c r="LDU1"/>
      <c r="LDV1"/>
      <c r="LDW1"/>
      <c r="LDX1"/>
      <c r="LDY1"/>
      <c r="LDZ1"/>
      <c r="LEA1"/>
      <c r="LEB1"/>
      <c r="LEC1"/>
      <c r="LED1"/>
      <c r="LEE1"/>
      <c r="LEF1"/>
      <c r="LEG1"/>
      <c r="LEH1"/>
      <c r="LEI1"/>
      <c r="LEJ1"/>
      <c r="LEK1"/>
      <c r="LEL1"/>
      <c r="LEM1"/>
      <c r="LEN1"/>
      <c r="LEO1"/>
      <c r="LEP1"/>
      <c r="LEQ1"/>
      <c r="LER1"/>
      <c r="LES1"/>
      <c r="LET1"/>
      <c r="LEU1"/>
      <c r="LEV1"/>
      <c r="LEW1"/>
      <c r="LEX1"/>
      <c r="LEY1"/>
      <c r="LEZ1"/>
      <c r="LFA1"/>
      <c r="LFB1"/>
      <c r="LFC1"/>
      <c r="LFD1"/>
      <c r="LFE1"/>
      <c r="LFF1"/>
      <c r="LFG1"/>
      <c r="LFH1"/>
      <c r="LFI1"/>
      <c r="LFJ1"/>
      <c r="LFK1"/>
      <c r="LFL1"/>
      <c r="LFM1"/>
      <c r="LFN1"/>
      <c r="LFO1"/>
      <c r="LFP1"/>
      <c r="LFQ1"/>
      <c r="LFR1"/>
      <c r="LFS1"/>
      <c r="LFT1"/>
      <c r="LFU1"/>
      <c r="LFV1"/>
      <c r="LFW1"/>
      <c r="LFX1"/>
      <c r="LFY1"/>
      <c r="LFZ1"/>
      <c r="LGA1"/>
      <c r="LGB1"/>
      <c r="LGC1"/>
      <c r="LGD1"/>
      <c r="LGE1"/>
      <c r="LGF1"/>
      <c r="LGG1"/>
      <c r="LGH1"/>
      <c r="LGI1"/>
      <c r="LGJ1"/>
      <c r="LGK1"/>
      <c r="LGL1"/>
      <c r="LGM1"/>
      <c r="LGN1"/>
      <c r="LGO1"/>
      <c r="LGP1"/>
      <c r="LGQ1"/>
      <c r="LGR1"/>
      <c r="LGS1"/>
      <c r="LGT1"/>
      <c r="LGU1"/>
      <c r="LGV1"/>
      <c r="LGW1"/>
      <c r="LGX1"/>
      <c r="LGY1"/>
      <c r="LGZ1"/>
      <c r="LHA1"/>
      <c r="LHB1"/>
      <c r="LHC1"/>
      <c r="LHD1"/>
      <c r="LHE1"/>
      <c r="LHF1"/>
      <c r="LHG1"/>
      <c r="LHH1"/>
      <c r="LHI1"/>
      <c r="LHJ1"/>
      <c r="LHK1"/>
      <c r="LHL1"/>
      <c r="LHM1"/>
      <c r="LHN1"/>
      <c r="LHO1"/>
      <c r="LHP1"/>
      <c r="LHQ1"/>
      <c r="LHR1"/>
      <c r="LHS1"/>
      <c r="LHT1"/>
      <c r="LHU1"/>
      <c r="LHV1"/>
      <c r="LHW1"/>
      <c r="LHX1"/>
      <c r="LHY1"/>
      <c r="LHZ1"/>
      <c r="LIA1"/>
      <c r="LIB1"/>
      <c r="LIC1"/>
      <c r="LID1"/>
      <c r="LIE1"/>
      <c r="LIF1"/>
      <c r="LIG1"/>
      <c r="LIH1"/>
      <c r="LII1"/>
      <c r="LIJ1"/>
      <c r="LIK1"/>
      <c r="LIL1"/>
      <c r="LIM1"/>
      <c r="LIN1"/>
      <c r="LIO1"/>
      <c r="LIP1"/>
      <c r="LIQ1"/>
      <c r="LIR1"/>
      <c r="LIS1"/>
      <c r="LIT1"/>
      <c r="LIU1"/>
      <c r="LIV1"/>
      <c r="LIW1"/>
      <c r="LIX1"/>
      <c r="LIY1"/>
      <c r="LIZ1"/>
      <c r="LJA1"/>
      <c r="LJB1"/>
      <c r="LJC1"/>
      <c r="LJD1"/>
      <c r="LJE1"/>
      <c r="LJF1"/>
      <c r="LJG1"/>
      <c r="LJH1"/>
      <c r="LJI1"/>
      <c r="LJJ1"/>
      <c r="LJK1"/>
      <c r="LJL1"/>
      <c r="LJM1"/>
      <c r="LJN1"/>
      <c r="LJO1"/>
      <c r="LJP1"/>
      <c r="LJQ1"/>
      <c r="LJR1"/>
      <c r="LJS1"/>
      <c r="LJT1"/>
      <c r="LJU1"/>
      <c r="LJV1"/>
      <c r="LJW1"/>
      <c r="LJX1"/>
      <c r="LJY1"/>
      <c r="LJZ1"/>
      <c r="LKA1"/>
      <c r="LKB1"/>
      <c r="LKC1"/>
      <c r="LKD1"/>
      <c r="LKE1"/>
      <c r="LKF1"/>
      <c r="LKG1"/>
      <c r="LKH1"/>
      <c r="LKI1"/>
      <c r="LKJ1"/>
      <c r="LKK1"/>
      <c r="LKL1"/>
      <c r="LKM1"/>
      <c r="LKN1"/>
      <c r="LKO1"/>
      <c r="LKP1"/>
      <c r="LKQ1"/>
      <c r="LKR1"/>
      <c r="LKS1"/>
      <c r="LKT1"/>
      <c r="LKU1"/>
      <c r="LKV1"/>
      <c r="LKW1"/>
      <c r="LKX1"/>
      <c r="LKY1"/>
      <c r="LKZ1"/>
      <c r="LLA1"/>
      <c r="LLB1"/>
      <c r="LLC1"/>
      <c r="LLD1"/>
      <c r="LLE1"/>
      <c r="LLF1"/>
      <c r="LLG1"/>
      <c r="LLH1"/>
      <c r="LLI1"/>
      <c r="LLJ1"/>
      <c r="LLK1"/>
      <c r="LLL1"/>
      <c r="LLM1"/>
      <c r="LLN1"/>
      <c r="LLO1"/>
      <c r="LLP1"/>
      <c r="LLQ1"/>
      <c r="LLR1"/>
      <c r="LLS1"/>
      <c r="LLT1"/>
      <c r="LLU1"/>
      <c r="LLV1"/>
      <c r="LLW1"/>
      <c r="LLX1"/>
      <c r="LLY1"/>
      <c r="LLZ1"/>
      <c r="LMA1"/>
      <c r="LMB1"/>
      <c r="LMC1"/>
      <c r="LMD1"/>
      <c r="LME1"/>
      <c r="LMF1"/>
      <c r="LMG1"/>
      <c r="LMH1"/>
      <c r="LMI1"/>
      <c r="LMJ1"/>
      <c r="LMK1"/>
      <c r="LML1"/>
      <c r="LMM1"/>
      <c r="LMN1"/>
      <c r="LMO1"/>
      <c r="LMP1"/>
      <c r="LMQ1"/>
      <c r="LMR1"/>
      <c r="LMS1"/>
      <c r="LMT1"/>
      <c r="LMU1"/>
      <c r="LMV1"/>
      <c r="LMW1"/>
      <c r="LMX1"/>
      <c r="LMY1"/>
      <c r="LMZ1"/>
      <c r="LNA1"/>
      <c r="LNB1"/>
      <c r="LNC1"/>
      <c r="LND1"/>
      <c r="LNE1"/>
      <c r="LNF1"/>
      <c r="LNG1"/>
      <c r="LNH1"/>
      <c r="LNI1"/>
      <c r="LNJ1"/>
      <c r="LNK1"/>
      <c r="LNL1"/>
      <c r="LNM1"/>
      <c r="LNN1"/>
      <c r="LNO1"/>
      <c r="LNP1"/>
      <c r="LNQ1"/>
      <c r="LNR1"/>
      <c r="LNS1"/>
      <c r="LNT1"/>
      <c r="LNU1"/>
      <c r="LNV1"/>
      <c r="LNW1"/>
      <c r="LNX1"/>
      <c r="LNY1"/>
      <c r="LNZ1"/>
      <c r="LOA1"/>
      <c r="LOB1"/>
      <c r="LOC1"/>
      <c r="LOD1"/>
      <c r="LOE1"/>
      <c r="LOF1"/>
      <c r="LOG1"/>
      <c r="LOH1"/>
      <c r="LOI1"/>
      <c r="LOJ1"/>
      <c r="LOK1"/>
      <c r="LOL1"/>
      <c r="LOM1"/>
      <c r="LON1"/>
      <c r="LOO1"/>
      <c r="LOP1"/>
      <c r="LOQ1"/>
      <c r="LOR1"/>
      <c r="LOS1"/>
      <c r="LOT1"/>
      <c r="LOU1"/>
      <c r="LOV1"/>
      <c r="LOW1"/>
      <c r="LOX1"/>
      <c r="LOY1"/>
      <c r="LOZ1"/>
      <c r="LPA1"/>
      <c r="LPB1"/>
      <c r="LPC1"/>
      <c r="LPD1"/>
      <c r="LPE1"/>
      <c r="LPF1"/>
      <c r="LPG1"/>
      <c r="LPH1"/>
      <c r="LPI1"/>
      <c r="LPJ1"/>
      <c r="LPK1"/>
      <c r="LPL1"/>
      <c r="LPM1"/>
      <c r="LPN1"/>
      <c r="LPO1"/>
      <c r="LPP1"/>
      <c r="LPQ1"/>
      <c r="LPR1"/>
      <c r="LPS1"/>
      <c r="LPT1"/>
      <c r="LPU1"/>
      <c r="LPV1"/>
      <c r="LPW1"/>
      <c r="LPX1"/>
      <c r="LPY1"/>
      <c r="LPZ1"/>
      <c r="LQA1"/>
      <c r="LQB1"/>
      <c r="LQC1"/>
      <c r="LQD1"/>
      <c r="LQE1"/>
      <c r="LQF1"/>
      <c r="LQG1"/>
      <c r="LQH1"/>
      <c r="LQI1"/>
      <c r="LQJ1"/>
      <c r="LQK1"/>
      <c r="LQL1"/>
      <c r="LQM1"/>
      <c r="LQN1"/>
      <c r="LQO1"/>
      <c r="LQP1"/>
      <c r="LQQ1"/>
      <c r="LQR1"/>
      <c r="LQS1"/>
      <c r="LQT1"/>
      <c r="LQU1"/>
      <c r="LQV1"/>
      <c r="LQW1"/>
      <c r="LQX1"/>
      <c r="LQY1"/>
      <c r="LQZ1"/>
      <c r="LRA1"/>
      <c r="LRB1"/>
      <c r="LRC1"/>
      <c r="LRD1"/>
      <c r="LRE1"/>
      <c r="LRF1"/>
      <c r="LRG1"/>
      <c r="LRH1"/>
      <c r="LRI1"/>
      <c r="LRJ1"/>
      <c r="LRK1"/>
      <c r="LRL1"/>
      <c r="LRM1"/>
      <c r="LRN1"/>
      <c r="LRO1"/>
      <c r="LRP1"/>
      <c r="LRQ1"/>
      <c r="LRR1"/>
      <c r="LRS1"/>
      <c r="LRT1"/>
      <c r="LRU1"/>
      <c r="LRV1"/>
      <c r="LRW1"/>
      <c r="LRX1"/>
      <c r="LRY1"/>
      <c r="LRZ1"/>
      <c r="LSA1"/>
      <c r="LSB1"/>
      <c r="LSC1"/>
      <c r="LSD1"/>
      <c r="LSE1"/>
      <c r="LSF1"/>
      <c r="LSG1"/>
      <c r="LSH1"/>
      <c r="LSI1"/>
      <c r="LSJ1"/>
      <c r="LSK1"/>
      <c r="LSL1"/>
      <c r="LSM1"/>
      <c r="LSN1"/>
      <c r="LSO1"/>
      <c r="LSP1"/>
      <c r="LSQ1"/>
      <c r="LSR1"/>
      <c r="LSS1"/>
      <c r="LST1"/>
      <c r="LSU1"/>
      <c r="LSV1"/>
      <c r="LSW1"/>
      <c r="LSX1"/>
      <c r="LSY1"/>
      <c r="LSZ1"/>
      <c r="LTA1"/>
      <c r="LTB1"/>
      <c r="LTC1"/>
      <c r="LTD1"/>
      <c r="LTE1"/>
      <c r="LTF1"/>
      <c r="LTG1"/>
      <c r="LTH1"/>
      <c r="LTI1"/>
      <c r="LTJ1"/>
      <c r="LTK1"/>
      <c r="LTL1"/>
      <c r="LTM1"/>
      <c r="LTN1"/>
      <c r="LTO1"/>
      <c r="LTP1"/>
      <c r="LTQ1"/>
      <c r="LTR1"/>
      <c r="LTS1"/>
      <c r="LTT1"/>
      <c r="LTU1"/>
      <c r="LTV1"/>
      <c r="LTW1"/>
      <c r="LTX1"/>
      <c r="LTY1"/>
      <c r="LTZ1"/>
      <c r="LUA1"/>
      <c r="LUB1"/>
      <c r="LUC1"/>
      <c r="LUD1"/>
      <c r="LUE1"/>
      <c r="LUF1"/>
      <c r="LUG1"/>
      <c r="LUH1"/>
      <c r="LUI1"/>
      <c r="LUJ1"/>
      <c r="LUK1"/>
      <c r="LUL1"/>
      <c r="LUM1"/>
      <c r="LUN1"/>
      <c r="LUO1"/>
      <c r="LUP1"/>
      <c r="LUQ1"/>
      <c r="LUR1"/>
      <c r="LUS1"/>
      <c r="LUT1"/>
      <c r="LUU1"/>
      <c r="LUV1"/>
      <c r="LUW1"/>
      <c r="LUX1"/>
      <c r="LUY1"/>
      <c r="LUZ1"/>
      <c r="LVA1"/>
      <c r="LVB1"/>
      <c r="LVC1"/>
      <c r="LVD1"/>
      <c r="LVE1"/>
      <c r="LVF1"/>
      <c r="LVG1"/>
      <c r="LVH1"/>
      <c r="LVI1"/>
      <c r="LVJ1"/>
      <c r="LVK1"/>
      <c r="LVL1"/>
      <c r="LVM1"/>
      <c r="LVN1"/>
      <c r="LVO1"/>
      <c r="LVP1"/>
      <c r="LVQ1"/>
      <c r="LVR1"/>
      <c r="LVS1"/>
      <c r="LVT1"/>
      <c r="LVU1"/>
      <c r="LVV1"/>
      <c r="LVW1"/>
      <c r="LVX1"/>
      <c r="LVY1"/>
      <c r="LVZ1"/>
      <c r="LWA1"/>
      <c r="LWB1"/>
      <c r="LWC1"/>
      <c r="LWD1"/>
      <c r="LWE1"/>
      <c r="LWF1"/>
      <c r="LWG1"/>
      <c r="LWH1"/>
      <c r="LWI1"/>
      <c r="LWJ1"/>
      <c r="LWK1"/>
      <c r="LWL1"/>
      <c r="LWM1"/>
      <c r="LWN1"/>
      <c r="LWO1"/>
      <c r="LWP1"/>
      <c r="LWQ1"/>
      <c r="LWR1"/>
      <c r="LWS1"/>
      <c r="LWT1"/>
      <c r="LWU1"/>
      <c r="LWV1"/>
      <c r="LWW1"/>
      <c r="LWX1"/>
      <c r="LWY1"/>
      <c r="LWZ1"/>
      <c r="LXA1"/>
      <c r="LXB1"/>
      <c r="LXC1"/>
      <c r="LXD1"/>
      <c r="LXE1"/>
      <c r="LXF1"/>
      <c r="LXG1"/>
      <c r="LXH1"/>
      <c r="LXI1"/>
      <c r="LXJ1"/>
      <c r="LXK1"/>
      <c r="LXL1"/>
      <c r="LXM1"/>
      <c r="LXN1"/>
      <c r="LXO1"/>
      <c r="LXP1"/>
      <c r="LXQ1"/>
      <c r="LXR1"/>
      <c r="LXS1"/>
      <c r="LXT1"/>
      <c r="LXU1"/>
      <c r="LXV1"/>
      <c r="LXW1"/>
      <c r="LXX1"/>
      <c r="LXY1"/>
      <c r="LXZ1"/>
      <c r="LYA1"/>
      <c r="LYB1"/>
      <c r="LYC1"/>
      <c r="LYD1"/>
      <c r="LYE1"/>
      <c r="LYF1"/>
      <c r="LYG1"/>
      <c r="LYH1"/>
      <c r="LYI1"/>
      <c r="LYJ1"/>
      <c r="LYK1"/>
      <c r="LYL1"/>
      <c r="LYM1"/>
      <c r="LYN1"/>
      <c r="LYO1"/>
      <c r="LYP1"/>
      <c r="LYQ1"/>
      <c r="LYR1"/>
      <c r="LYS1"/>
      <c r="LYT1"/>
      <c r="LYU1"/>
      <c r="LYV1"/>
      <c r="LYW1"/>
      <c r="LYX1"/>
      <c r="LYY1"/>
      <c r="LYZ1"/>
      <c r="LZA1"/>
      <c r="LZB1"/>
      <c r="LZC1"/>
      <c r="LZD1"/>
      <c r="LZE1"/>
      <c r="LZF1"/>
      <c r="LZG1"/>
      <c r="LZH1"/>
      <c r="LZI1"/>
      <c r="LZJ1"/>
      <c r="LZK1"/>
      <c r="LZL1"/>
      <c r="LZM1"/>
      <c r="LZN1"/>
      <c r="LZO1"/>
      <c r="LZP1"/>
      <c r="LZQ1"/>
      <c r="LZR1"/>
      <c r="LZS1"/>
      <c r="LZT1"/>
      <c r="LZU1"/>
      <c r="LZV1"/>
      <c r="LZW1"/>
      <c r="LZX1"/>
      <c r="LZY1"/>
      <c r="LZZ1"/>
      <c r="MAA1"/>
      <c r="MAB1"/>
      <c r="MAC1"/>
      <c r="MAD1"/>
      <c r="MAE1"/>
      <c r="MAF1"/>
      <c r="MAG1"/>
      <c r="MAH1"/>
      <c r="MAI1"/>
      <c r="MAJ1"/>
      <c r="MAK1"/>
      <c r="MAL1"/>
      <c r="MAM1"/>
      <c r="MAN1"/>
      <c r="MAO1"/>
      <c r="MAP1"/>
      <c r="MAQ1"/>
      <c r="MAR1"/>
      <c r="MAS1"/>
      <c r="MAT1"/>
      <c r="MAU1"/>
      <c r="MAV1"/>
      <c r="MAW1"/>
      <c r="MAX1"/>
      <c r="MAY1"/>
      <c r="MAZ1"/>
      <c r="MBA1"/>
      <c r="MBB1"/>
      <c r="MBC1"/>
      <c r="MBD1"/>
      <c r="MBE1"/>
      <c r="MBF1"/>
      <c r="MBG1"/>
      <c r="MBH1"/>
      <c r="MBI1"/>
      <c r="MBJ1"/>
      <c r="MBK1"/>
      <c r="MBL1"/>
      <c r="MBM1"/>
      <c r="MBN1"/>
      <c r="MBO1"/>
      <c r="MBP1"/>
      <c r="MBQ1"/>
      <c r="MBR1"/>
      <c r="MBS1"/>
      <c r="MBT1"/>
      <c r="MBU1"/>
      <c r="MBV1"/>
      <c r="MBW1"/>
      <c r="MBX1"/>
      <c r="MBY1"/>
      <c r="MBZ1"/>
      <c r="MCA1"/>
      <c r="MCB1"/>
      <c r="MCC1"/>
      <c r="MCD1"/>
      <c r="MCE1"/>
      <c r="MCF1"/>
      <c r="MCG1"/>
      <c r="MCH1"/>
      <c r="MCI1"/>
      <c r="MCJ1"/>
      <c r="MCK1"/>
      <c r="MCL1"/>
      <c r="MCM1"/>
      <c r="MCN1"/>
      <c r="MCO1"/>
      <c r="MCP1"/>
      <c r="MCQ1"/>
      <c r="MCR1"/>
      <c r="MCS1"/>
      <c r="MCT1"/>
      <c r="MCU1"/>
      <c r="MCV1"/>
      <c r="MCW1"/>
      <c r="MCX1"/>
      <c r="MCY1"/>
      <c r="MCZ1"/>
      <c r="MDA1"/>
      <c r="MDB1"/>
      <c r="MDC1"/>
      <c r="MDD1"/>
      <c r="MDE1"/>
      <c r="MDF1"/>
      <c r="MDG1"/>
      <c r="MDH1"/>
      <c r="MDI1"/>
      <c r="MDJ1"/>
      <c r="MDK1"/>
      <c r="MDL1"/>
      <c r="MDM1"/>
      <c r="MDN1"/>
      <c r="MDO1"/>
      <c r="MDP1"/>
      <c r="MDQ1"/>
      <c r="MDR1"/>
      <c r="MDS1"/>
      <c r="MDT1"/>
      <c r="MDU1"/>
      <c r="MDV1"/>
      <c r="MDW1"/>
      <c r="MDX1"/>
      <c r="MDY1"/>
      <c r="MDZ1"/>
      <c r="MEA1"/>
      <c r="MEB1"/>
      <c r="MEC1"/>
      <c r="MED1"/>
      <c r="MEE1"/>
      <c r="MEF1"/>
      <c r="MEG1"/>
      <c r="MEH1"/>
      <c r="MEI1"/>
      <c r="MEJ1"/>
      <c r="MEK1"/>
      <c r="MEL1"/>
      <c r="MEM1"/>
      <c r="MEN1"/>
      <c r="MEO1"/>
      <c r="MEP1"/>
      <c r="MEQ1"/>
      <c r="MER1"/>
      <c r="MES1"/>
      <c r="MET1"/>
      <c r="MEU1"/>
      <c r="MEV1"/>
      <c r="MEW1"/>
      <c r="MEX1"/>
      <c r="MEY1"/>
      <c r="MEZ1"/>
      <c r="MFA1"/>
      <c r="MFB1"/>
      <c r="MFC1"/>
      <c r="MFD1"/>
      <c r="MFE1"/>
      <c r="MFF1"/>
      <c r="MFG1"/>
      <c r="MFH1"/>
      <c r="MFI1"/>
      <c r="MFJ1"/>
      <c r="MFK1"/>
      <c r="MFL1"/>
      <c r="MFM1"/>
      <c r="MFN1"/>
      <c r="MFO1"/>
      <c r="MFP1"/>
      <c r="MFQ1"/>
      <c r="MFR1"/>
      <c r="MFS1"/>
      <c r="MFT1"/>
      <c r="MFU1"/>
      <c r="MFV1"/>
      <c r="MFW1"/>
      <c r="MFX1"/>
      <c r="MFY1"/>
      <c r="MFZ1"/>
      <c r="MGA1"/>
      <c r="MGB1"/>
      <c r="MGC1"/>
      <c r="MGD1"/>
      <c r="MGE1"/>
      <c r="MGF1"/>
      <c r="MGG1"/>
      <c r="MGH1"/>
      <c r="MGI1"/>
      <c r="MGJ1"/>
      <c r="MGK1"/>
      <c r="MGL1"/>
      <c r="MGM1"/>
      <c r="MGN1"/>
      <c r="MGO1"/>
      <c r="MGP1"/>
      <c r="MGQ1"/>
      <c r="MGR1"/>
      <c r="MGS1"/>
      <c r="MGT1"/>
      <c r="MGU1"/>
      <c r="MGV1"/>
      <c r="MGW1"/>
      <c r="MGX1"/>
      <c r="MGY1"/>
      <c r="MGZ1"/>
      <c r="MHA1"/>
      <c r="MHB1"/>
      <c r="MHC1"/>
      <c r="MHD1"/>
      <c r="MHE1"/>
      <c r="MHF1"/>
      <c r="MHG1"/>
      <c r="MHH1"/>
      <c r="MHI1"/>
      <c r="MHJ1"/>
      <c r="MHK1"/>
      <c r="MHL1"/>
      <c r="MHM1"/>
      <c r="MHN1"/>
      <c r="MHO1"/>
      <c r="MHP1"/>
      <c r="MHQ1"/>
      <c r="MHR1"/>
      <c r="MHS1"/>
      <c r="MHT1"/>
      <c r="MHU1"/>
      <c r="MHV1"/>
      <c r="MHW1"/>
      <c r="MHX1"/>
      <c r="MHY1"/>
      <c r="MHZ1"/>
      <c r="MIA1"/>
      <c r="MIB1"/>
      <c r="MIC1"/>
      <c r="MID1"/>
      <c r="MIE1"/>
      <c r="MIF1"/>
      <c r="MIG1"/>
      <c r="MIH1"/>
      <c r="MII1"/>
      <c r="MIJ1"/>
      <c r="MIK1"/>
      <c r="MIL1"/>
      <c r="MIM1"/>
      <c r="MIN1"/>
      <c r="MIO1"/>
      <c r="MIP1"/>
      <c r="MIQ1"/>
      <c r="MIR1"/>
      <c r="MIS1"/>
      <c r="MIT1"/>
      <c r="MIU1"/>
      <c r="MIV1"/>
      <c r="MIW1"/>
      <c r="MIX1"/>
      <c r="MIY1"/>
      <c r="MIZ1"/>
      <c r="MJA1"/>
      <c r="MJB1"/>
      <c r="MJC1"/>
      <c r="MJD1"/>
      <c r="MJE1"/>
      <c r="MJF1"/>
      <c r="MJG1"/>
      <c r="MJH1"/>
      <c r="MJI1"/>
      <c r="MJJ1"/>
      <c r="MJK1"/>
      <c r="MJL1"/>
      <c r="MJM1"/>
      <c r="MJN1"/>
      <c r="MJO1"/>
      <c r="MJP1"/>
      <c r="MJQ1"/>
      <c r="MJR1"/>
      <c r="MJS1"/>
      <c r="MJT1"/>
      <c r="MJU1"/>
      <c r="MJV1"/>
      <c r="MJW1"/>
      <c r="MJX1"/>
      <c r="MJY1"/>
      <c r="MJZ1"/>
      <c r="MKA1"/>
      <c r="MKB1"/>
      <c r="MKC1"/>
      <c r="MKD1"/>
      <c r="MKE1"/>
      <c r="MKF1"/>
      <c r="MKG1"/>
      <c r="MKH1"/>
      <c r="MKI1"/>
      <c r="MKJ1"/>
      <c r="MKK1"/>
      <c r="MKL1"/>
      <c r="MKM1"/>
      <c r="MKN1"/>
      <c r="MKO1"/>
      <c r="MKP1"/>
      <c r="MKQ1"/>
      <c r="MKR1"/>
      <c r="MKS1"/>
      <c r="MKT1"/>
      <c r="MKU1"/>
      <c r="MKV1"/>
      <c r="MKW1"/>
      <c r="MKX1"/>
      <c r="MKY1"/>
      <c r="MKZ1"/>
      <c r="MLA1"/>
      <c r="MLB1"/>
      <c r="MLC1"/>
      <c r="MLD1"/>
      <c r="MLE1"/>
      <c r="MLF1"/>
      <c r="MLG1"/>
      <c r="MLH1"/>
      <c r="MLI1"/>
      <c r="MLJ1"/>
      <c r="MLK1"/>
      <c r="MLL1"/>
      <c r="MLM1"/>
      <c r="MLN1"/>
      <c r="MLO1"/>
      <c r="MLP1"/>
      <c r="MLQ1"/>
      <c r="MLR1"/>
      <c r="MLS1"/>
      <c r="MLT1"/>
      <c r="MLU1"/>
      <c r="MLV1"/>
      <c r="MLW1"/>
      <c r="MLX1"/>
      <c r="MLY1"/>
      <c r="MLZ1"/>
      <c r="MMA1"/>
      <c r="MMB1"/>
      <c r="MMC1"/>
      <c r="MMD1"/>
      <c r="MME1"/>
      <c r="MMF1"/>
      <c r="MMG1"/>
      <c r="MMH1"/>
      <c r="MMI1"/>
      <c r="MMJ1"/>
      <c r="MMK1"/>
      <c r="MML1"/>
      <c r="MMM1"/>
      <c r="MMN1"/>
      <c r="MMO1"/>
      <c r="MMP1"/>
      <c r="MMQ1"/>
      <c r="MMR1"/>
      <c r="MMS1"/>
      <c r="MMT1"/>
      <c r="MMU1"/>
      <c r="MMV1"/>
      <c r="MMW1"/>
      <c r="MMX1"/>
      <c r="MMY1"/>
      <c r="MMZ1"/>
      <c r="MNA1"/>
      <c r="MNB1"/>
      <c r="MNC1"/>
      <c r="MND1"/>
      <c r="MNE1"/>
      <c r="MNF1"/>
      <c r="MNG1"/>
      <c r="MNH1"/>
      <c r="MNI1"/>
      <c r="MNJ1"/>
      <c r="MNK1"/>
      <c r="MNL1"/>
      <c r="MNM1"/>
      <c r="MNN1"/>
      <c r="MNO1"/>
      <c r="MNP1"/>
      <c r="MNQ1"/>
      <c r="MNR1"/>
      <c r="MNS1"/>
      <c r="MNT1"/>
      <c r="MNU1"/>
      <c r="MNV1"/>
      <c r="MNW1"/>
      <c r="MNX1"/>
      <c r="MNY1"/>
      <c r="MNZ1"/>
      <c r="MOA1"/>
      <c r="MOB1"/>
      <c r="MOC1"/>
      <c r="MOD1"/>
      <c r="MOE1"/>
      <c r="MOF1"/>
      <c r="MOG1"/>
      <c r="MOH1"/>
      <c r="MOI1"/>
      <c r="MOJ1"/>
      <c r="MOK1"/>
      <c r="MOL1"/>
      <c r="MOM1"/>
      <c r="MON1"/>
      <c r="MOO1"/>
      <c r="MOP1"/>
      <c r="MOQ1"/>
      <c r="MOR1"/>
      <c r="MOS1"/>
      <c r="MOT1"/>
      <c r="MOU1"/>
      <c r="MOV1"/>
      <c r="MOW1"/>
      <c r="MOX1"/>
      <c r="MOY1"/>
      <c r="MOZ1"/>
      <c r="MPA1"/>
      <c r="MPB1"/>
      <c r="MPC1"/>
      <c r="MPD1"/>
      <c r="MPE1"/>
      <c r="MPF1"/>
      <c r="MPG1"/>
      <c r="MPH1"/>
      <c r="MPI1"/>
      <c r="MPJ1"/>
      <c r="MPK1"/>
      <c r="MPL1"/>
      <c r="MPM1"/>
      <c r="MPN1"/>
      <c r="MPO1"/>
      <c r="MPP1"/>
      <c r="MPQ1"/>
      <c r="MPR1"/>
      <c r="MPS1"/>
      <c r="MPT1"/>
      <c r="MPU1"/>
      <c r="MPV1"/>
      <c r="MPW1"/>
      <c r="MPX1"/>
      <c r="MPY1"/>
      <c r="MPZ1"/>
      <c r="MQA1"/>
      <c r="MQB1"/>
      <c r="MQC1"/>
      <c r="MQD1"/>
      <c r="MQE1"/>
      <c r="MQF1"/>
      <c r="MQG1"/>
      <c r="MQH1"/>
      <c r="MQI1"/>
      <c r="MQJ1"/>
      <c r="MQK1"/>
      <c r="MQL1"/>
      <c r="MQM1"/>
      <c r="MQN1"/>
      <c r="MQO1"/>
      <c r="MQP1"/>
      <c r="MQQ1"/>
      <c r="MQR1"/>
      <c r="MQS1"/>
      <c r="MQT1"/>
      <c r="MQU1"/>
      <c r="MQV1"/>
      <c r="MQW1"/>
      <c r="MQX1"/>
      <c r="MQY1"/>
      <c r="MQZ1"/>
      <c r="MRA1"/>
      <c r="MRB1"/>
      <c r="MRC1"/>
      <c r="MRD1"/>
      <c r="MRE1"/>
      <c r="MRF1"/>
      <c r="MRG1"/>
      <c r="MRH1"/>
      <c r="MRI1"/>
      <c r="MRJ1"/>
      <c r="MRK1"/>
      <c r="MRL1"/>
      <c r="MRM1"/>
      <c r="MRN1"/>
      <c r="MRO1"/>
      <c r="MRP1"/>
      <c r="MRQ1"/>
      <c r="MRR1"/>
      <c r="MRS1"/>
      <c r="MRT1"/>
      <c r="MRU1"/>
      <c r="MRV1"/>
      <c r="MRW1"/>
      <c r="MRX1"/>
      <c r="MRY1"/>
      <c r="MRZ1"/>
      <c r="MSA1"/>
      <c r="MSB1"/>
      <c r="MSC1"/>
      <c r="MSD1"/>
      <c r="MSE1"/>
      <c r="MSF1"/>
      <c r="MSG1"/>
      <c r="MSH1"/>
      <c r="MSI1"/>
      <c r="MSJ1"/>
      <c r="MSK1"/>
      <c r="MSL1"/>
      <c r="MSM1"/>
      <c r="MSN1"/>
      <c r="MSO1"/>
      <c r="MSP1"/>
      <c r="MSQ1"/>
      <c r="MSR1"/>
      <c r="MSS1"/>
      <c r="MST1"/>
      <c r="MSU1"/>
      <c r="MSV1"/>
      <c r="MSW1"/>
      <c r="MSX1"/>
      <c r="MSY1"/>
      <c r="MSZ1"/>
      <c r="MTA1"/>
      <c r="MTB1"/>
      <c r="MTC1"/>
      <c r="MTD1"/>
      <c r="MTE1"/>
      <c r="MTF1"/>
      <c r="MTG1"/>
      <c r="MTH1"/>
      <c r="MTI1"/>
      <c r="MTJ1"/>
      <c r="MTK1"/>
      <c r="MTL1"/>
      <c r="MTM1"/>
      <c r="MTN1"/>
      <c r="MTO1"/>
      <c r="MTP1"/>
      <c r="MTQ1"/>
      <c r="MTR1"/>
      <c r="MTS1"/>
      <c r="MTT1"/>
      <c r="MTU1"/>
      <c r="MTV1"/>
      <c r="MTW1"/>
      <c r="MTX1"/>
      <c r="MTY1"/>
      <c r="MTZ1"/>
      <c r="MUA1"/>
      <c r="MUB1"/>
      <c r="MUC1"/>
      <c r="MUD1"/>
      <c r="MUE1"/>
      <c r="MUF1"/>
      <c r="MUG1"/>
      <c r="MUH1"/>
      <c r="MUI1"/>
      <c r="MUJ1"/>
      <c r="MUK1"/>
      <c r="MUL1"/>
      <c r="MUM1"/>
      <c r="MUN1"/>
      <c r="MUO1"/>
      <c r="MUP1"/>
      <c r="MUQ1"/>
      <c r="MUR1"/>
      <c r="MUS1"/>
      <c r="MUT1"/>
      <c r="MUU1"/>
      <c r="MUV1"/>
      <c r="MUW1"/>
      <c r="MUX1"/>
      <c r="MUY1"/>
      <c r="MUZ1"/>
      <c r="MVA1"/>
      <c r="MVB1"/>
      <c r="MVC1"/>
      <c r="MVD1"/>
      <c r="MVE1"/>
      <c r="MVF1"/>
      <c r="MVG1"/>
      <c r="MVH1"/>
      <c r="MVI1"/>
      <c r="MVJ1"/>
      <c r="MVK1"/>
      <c r="MVL1"/>
      <c r="MVM1"/>
      <c r="MVN1"/>
      <c r="MVO1"/>
      <c r="MVP1"/>
      <c r="MVQ1"/>
      <c r="MVR1"/>
      <c r="MVS1"/>
      <c r="MVT1"/>
      <c r="MVU1"/>
      <c r="MVV1"/>
      <c r="MVW1"/>
      <c r="MVX1"/>
      <c r="MVY1"/>
      <c r="MVZ1"/>
      <c r="MWA1"/>
      <c r="MWB1"/>
      <c r="MWC1"/>
      <c r="MWD1"/>
      <c r="MWE1"/>
      <c r="MWF1"/>
      <c r="MWG1"/>
      <c r="MWH1"/>
      <c r="MWI1"/>
      <c r="MWJ1"/>
      <c r="MWK1"/>
      <c r="MWL1"/>
      <c r="MWM1"/>
      <c r="MWN1"/>
      <c r="MWO1"/>
      <c r="MWP1"/>
      <c r="MWQ1"/>
      <c r="MWR1"/>
      <c r="MWS1"/>
      <c r="MWT1"/>
      <c r="MWU1"/>
      <c r="MWV1"/>
      <c r="MWW1"/>
      <c r="MWX1"/>
      <c r="MWY1"/>
      <c r="MWZ1"/>
      <c r="MXA1"/>
      <c r="MXB1"/>
      <c r="MXC1"/>
      <c r="MXD1"/>
      <c r="MXE1"/>
      <c r="MXF1"/>
      <c r="MXG1"/>
      <c r="MXH1"/>
      <c r="MXI1"/>
      <c r="MXJ1"/>
      <c r="MXK1"/>
      <c r="MXL1"/>
      <c r="MXM1"/>
      <c r="MXN1"/>
      <c r="MXO1"/>
      <c r="MXP1"/>
      <c r="MXQ1"/>
      <c r="MXR1"/>
      <c r="MXS1"/>
      <c r="MXT1"/>
      <c r="MXU1"/>
      <c r="MXV1"/>
      <c r="MXW1"/>
      <c r="MXX1"/>
      <c r="MXY1"/>
      <c r="MXZ1"/>
      <c r="MYA1"/>
      <c r="MYB1"/>
      <c r="MYC1"/>
      <c r="MYD1"/>
      <c r="MYE1"/>
      <c r="MYF1"/>
      <c r="MYG1"/>
      <c r="MYH1"/>
      <c r="MYI1"/>
      <c r="MYJ1"/>
      <c r="MYK1"/>
      <c r="MYL1"/>
      <c r="MYM1"/>
      <c r="MYN1"/>
      <c r="MYO1"/>
      <c r="MYP1"/>
      <c r="MYQ1"/>
      <c r="MYR1"/>
      <c r="MYS1"/>
      <c r="MYT1"/>
      <c r="MYU1"/>
      <c r="MYV1"/>
      <c r="MYW1"/>
      <c r="MYX1"/>
      <c r="MYY1"/>
      <c r="MYZ1"/>
      <c r="MZA1"/>
      <c r="MZB1"/>
      <c r="MZC1"/>
      <c r="MZD1"/>
      <c r="MZE1"/>
      <c r="MZF1"/>
      <c r="MZG1"/>
      <c r="MZH1"/>
      <c r="MZI1"/>
      <c r="MZJ1"/>
      <c r="MZK1"/>
      <c r="MZL1"/>
      <c r="MZM1"/>
      <c r="MZN1"/>
      <c r="MZO1"/>
      <c r="MZP1"/>
      <c r="MZQ1"/>
      <c r="MZR1"/>
      <c r="MZS1"/>
      <c r="MZT1"/>
      <c r="MZU1"/>
      <c r="MZV1"/>
      <c r="MZW1"/>
      <c r="MZX1"/>
      <c r="MZY1"/>
      <c r="MZZ1"/>
      <c r="NAA1"/>
      <c r="NAB1"/>
      <c r="NAC1"/>
      <c r="NAD1"/>
      <c r="NAE1"/>
      <c r="NAF1"/>
      <c r="NAG1"/>
      <c r="NAH1"/>
      <c r="NAI1"/>
      <c r="NAJ1"/>
      <c r="NAK1"/>
      <c r="NAL1"/>
      <c r="NAM1"/>
      <c r="NAN1"/>
      <c r="NAO1"/>
      <c r="NAP1"/>
      <c r="NAQ1"/>
      <c r="NAR1"/>
      <c r="NAS1"/>
      <c r="NAT1"/>
      <c r="NAU1"/>
      <c r="NAV1"/>
      <c r="NAW1"/>
      <c r="NAX1"/>
      <c r="NAY1"/>
      <c r="NAZ1"/>
      <c r="NBA1"/>
      <c r="NBB1"/>
      <c r="NBC1"/>
      <c r="NBD1"/>
      <c r="NBE1"/>
      <c r="NBF1"/>
      <c r="NBG1"/>
      <c r="NBH1"/>
      <c r="NBI1"/>
      <c r="NBJ1"/>
      <c r="NBK1"/>
      <c r="NBL1"/>
      <c r="NBM1"/>
      <c r="NBN1"/>
      <c r="NBO1"/>
      <c r="NBP1"/>
      <c r="NBQ1"/>
      <c r="NBR1"/>
      <c r="NBS1"/>
      <c r="NBT1"/>
      <c r="NBU1"/>
      <c r="NBV1"/>
      <c r="NBW1"/>
      <c r="NBX1"/>
      <c r="NBY1"/>
      <c r="NBZ1"/>
      <c r="NCA1"/>
      <c r="NCB1"/>
      <c r="NCC1"/>
      <c r="NCD1"/>
      <c r="NCE1"/>
      <c r="NCF1"/>
      <c r="NCG1"/>
      <c r="NCH1"/>
      <c r="NCI1"/>
      <c r="NCJ1"/>
      <c r="NCK1"/>
      <c r="NCL1"/>
      <c r="NCM1"/>
      <c r="NCN1"/>
      <c r="NCO1"/>
      <c r="NCP1"/>
      <c r="NCQ1"/>
      <c r="NCR1"/>
      <c r="NCS1"/>
      <c r="NCT1"/>
      <c r="NCU1"/>
      <c r="NCV1"/>
      <c r="NCW1"/>
      <c r="NCX1"/>
      <c r="NCY1"/>
      <c r="NCZ1"/>
      <c r="NDA1"/>
      <c r="NDB1"/>
      <c r="NDC1"/>
      <c r="NDD1"/>
      <c r="NDE1"/>
      <c r="NDF1"/>
      <c r="NDG1"/>
      <c r="NDH1"/>
      <c r="NDI1"/>
      <c r="NDJ1"/>
      <c r="NDK1"/>
      <c r="NDL1"/>
      <c r="NDM1"/>
      <c r="NDN1"/>
      <c r="NDO1"/>
      <c r="NDP1"/>
      <c r="NDQ1"/>
      <c r="NDR1"/>
      <c r="NDS1"/>
      <c r="NDT1"/>
      <c r="NDU1"/>
      <c r="NDV1"/>
      <c r="NDW1"/>
      <c r="NDX1"/>
      <c r="NDY1"/>
      <c r="NDZ1"/>
      <c r="NEA1"/>
      <c r="NEB1"/>
      <c r="NEC1"/>
      <c r="NED1"/>
      <c r="NEE1"/>
      <c r="NEF1"/>
      <c r="NEG1"/>
      <c r="NEH1"/>
      <c r="NEI1"/>
      <c r="NEJ1"/>
      <c r="NEK1"/>
      <c r="NEL1"/>
      <c r="NEM1"/>
      <c r="NEN1"/>
      <c r="NEO1"/>
      <c r="NEP1"/>
      <c r="NEQ1"/>
      <c r="NER1"/>
      <c r="NES1"/>
      <c r="NET1"/>
      <c r="NEU1"/>
      <c r="NEV1"/>
      <c r="NEW1"/>
      <c r="NEX1"/>
      <c r="NEY1"/>
      <c r="NEZ1"/>
      <c r="NFA1"/>
      <c r="NFB1"/>
      <c r="NFC1"/>
      <c r="NFD1"/>
      <c r="NFE1"/>
      <c r="NFF1"/>
      <c r="NFG1"/>
      <c r="NFH1"/>
      <c r="NFI1"/>
      <c r="NFJ1"/>
      <c r="NFK1"/>
      <c r="NFL1"/>
      <c r="NFM1"/>
      <c r="NFN1"/>
      <c r="NFO1"/>
      <c r="NFP1"/>
      <c r="NFQ1"/>
      <c r="NFR1"/>
      <c r="NFS1"/>
      <c r="NFT1"/>
      <c r="NFU1"/>
      <c r="NFV1"/>
      <c r="NFW1"/>
      <c r="NFX1"/>
      <c r="NFY1"/>
      <c r="NFZ1"/>
      <c r="NGA1"/>
      <c r="NGB1"/>
      <c r="NGC1"/>
      <c r="NGD1"/>
      <c r="NGE1"/>
      <c r="NGF1"/>
      <c r="NGG1"/>
      <c r="NGH1"/>
      <c r="NGI1"/>
      <c r="NGJ1"/>
      <c r="NGK1"/>
      <c r="NGL1"/>
      <c r="NGM1"/>
      <c r="NGN1"/>
      <c r="NGO1"/>
      <c r="NGP1"/>
      <c r="NGQ1"/>
      <c r="NGR1"/>
      <c r="NGS1"/>
      <c r="NGT1"/>
      <c r="NGU1"/>
      <c r="NGV1"/>
      <c r="NGW1"/>
      <c r="NGX1"/>
      <c r="NGY1"/>
      <c r="NGZ1"/>
      <c r="NHA1"/>
      <c r="NHB1"/>
      <c r="NHC1"/>
      <c r="NHD1"/>
      <c r="NHE1"/>
      <c r="NHF1"/>
      <c r="NHG1"/>
      <c r="NHH1"/>
      <c r="NHI1"/>
      <c r="NHJ1"/>
      <c r="NHK1"/>
      <c r="NHL1"/>
      <c r="NHM1"/>
      <c r="NHN1"/>
      <c r="NHO1"/>
      <c r="NHP1"/>
      <c r="NHQ1"/>
      <c r="NHR1"/>
      <c r="NHS1"/>
      <c r="NHT1"/>
      <c r="NHU1"/>
      <c r="NHV1"/>
      <c r="NHW1"/>
      <c r="NHX1"/>
      <c r="NHY1"/>
      <c r="NHZ1"/>
      <c r="NIA1"/>
      <c r="NIB1"/>
      <c r="NIC1"/>
      <c r="NID1"/>
      <c r="NIE1"/>
      <c r="NIF1"/>
      <c r="NIG1"/>
      <c r="NIH1"/>
      <c r="NII1"/>
      <c r="NIJ1"/>
      <c r="NIK1"/>
      <c r="NIL1"/>
      <c r="NIM1"/>
      <c r="NIN1"/>
      <c r="NIO1"/>
      <c r="NIP1"/>
      <c r="NIQ1"/>
      <c r="NIR1"/>
      <c r="NIS1"/>
      <c r="NIT1"/>
      <c r="NIU1"/>
      <c r="NIV1"/>
      <c r="NIW1"/>
      <c r="NIX1"/>
      <c r="NIY1"/>
      <c r="NIZ1"/>
      <c r="NJA1"/>
      <c r="NJB1"/>
      <c r="NJC1"/>
      <c r="NJD1"/>
      <c r="NJE1"/>
      <c r="NJF1"/>
      <c r="NJG1"/>
      <c r="NJH1"/>
      <c r="NJI1"/>
      <c r="NJJ1"/>
      <c r="NJK1"/>
      <c r="NJL1"/>
      <c r="NJM1"/>
      <c r="NJN1"/>
      <c r="NJO1"/>
      <c r="NJP1"/>
      <c r="NJQ1"/>
      <c r="NJR1"/>
      <c r="NJS1"/>
      <c r="NJT1"/>
      <c r="NJU1"/>
      <c r="NJV1"/>
      <c r="NJW1"/>
      <c r="NJX1"/>
      <c r="NJY1"/>
      <c r="NJZ1"/>
      <c r="NKA1"/>
      <c r="NKB1"/>
      <c r="NKC1"/>
      <c r="NKD1"/>
      <c r="NKE1"/>
      <c r="NKF1"/>
      <c r="NKG1"/>
      <c r="NKH1"/>
      <c r="NKI1"/>
      <c r="NKJ1"/>
      <c r="NKK1"/>
      <c r="NKL1"/>
      <c r="NKM1"/>
      <c r="NKN1"/>
      <c r="NKO1"/>
      <c r="NKP1"/>
      <c r="NKQ1"/>
      <c r="NKR1"/>
      <c r="NKS1"/>
      <c r="NKT1"/>
      <c r="NKU1"/>
      <c r="NKV1"/>
      <c r="NKW1"/>
      <c r="NKX1"/>
      <c r="NKY1"/>
      <c r="NKZ1"/>
      <c r="NLA1"/>
      <c r="NLB1"/>
      <c r="NLC1"/>
      <c r="NLD1"/>
      <c r="NLE1"/>
      <c r="NLF1"/>
      <c r="NLG1"/>
      <c r="NLH1"/>
      <c r="NLI1"/>
      <c r="NLJ1"/>
      <c r="NLK1"/>
      <c r="NLL1"/>
      <c r="NLM1"/>
      <c r="NLN1"/>
      <c r="NLO1"/>
      <c r="NLP1"/>
      <c r="NLQ1"/>
      <c r="NLR1"/>
      <c r="NLS1"/>
      <c r="NLT1"/>
      <c r="NLU1"/>
      <c r="NLV1"/>
      <c r="NLW1"/>
      <c r="NLX1"/>
      <c r="NLY1"/>
      <c r="NLZ1"/>
      <c r="NMA1"/>
      <c r="NMB1"/>
      <c r="NMC1"/>
      <c r="NMD1"/>
      <c r="NME1"/>
      <c r="NMF1"/>
      <c r="NMG1"/>
      <c r="NMH1"/>
      <c r="NMI1"/>
      <c r="NMJ1"/>
      <c r="NMK1"/>
      <c r="NML1"/>
      <c r="NMM1"/>
      <c r="NMN1"/>
      <c r="NMO1"/>
      <c r="NMP1"/>
      <c r="NMQ1"/>
      <c r="NMR1"/>
      <c r="NMS1"/>
      <c r="NMT1"/>
      <c r="NMU1"/>
      <c r="NMV1"/>
      <c r="NMW1"/>
      <c r="NMX1"/>
      <c r="NMY1"/>
      <c r="NMZ1"/>
      <c r="NNA1"/>
      <c r="NNB1"/>
      <c r="NNC1"/>
      <c r="NND1"/>
      <c r="NNE1"/>
      <c r="NNF1"/>
      <c r="NNG1"/>
      <c r="NNH1"/>
      <c r="NNI1"/>
      <c r="NNJ1"/>
      <c r="NNK1"/>
      <c r="NNL1"/>
      <c r="NNM1"/>
      <c r="NNN1"/>
      <c r="NNO1"/>
      <c r="NNP1"/>
      <c r="NNQ1"/>
      <c r="NNR1"/>
      <c r="NNS1"/>
      <c r="NNT1"/>
      <c r="NNU1"/>
      <c r="NNV1"/>
      <c r="NNW1"/>
      <c r="NNX1"/>
      <c r="NNY1"/>
      <c r="NNZ1"/>
      <c r="NOA1"/>
      <c r="NOB1"/>
      <c r="NOC1"/>
      <c r="NOD1"/>
      <c r="NOE1"/>
      <c r="NOF1"/>
      <c r="NOG1"/>
      <c r="NOH1"/>
      <c r="NOI1"/>
      <c r="NOJ1"/>
      <c r="NOK1"/>
      <c r="NOL1"/>
      <c r="NOM1"/>
      <c r="NON1"/>
      <c r="NOO1"/>
      <c r="NOP1"/>
      <c r="NOQ1"/>
      <c r="NOR1"/>
      <c r="NOS1"/>
      <c r="NOT1"/>
      <c r="NOU1"/>
      <c r="NOV1"/>
      <c r="NOW1"/>
      <c r="NOX1"/>
      <c r="NOY1"/>
      <c r="NOZ1"/>
      <c r="NPA1"/>
      <c r="NPB1"/>
      <c r="NPC1"/>
      <c r="NPD1"/>
      <c r="NPE1"/>
      <c r="NPF1"/>
      <c r="NPG1"/>
      <c r="NPH1"/>
      <c r="NPI1"/>
      <c r="NPJ1"/>
      <c r="NPK1"/>
      <c r="NPL1"/>
      <c r="NPM1"/>
      <c r="NPN1"/>
      <c r="NPO1"/>
      <c r="NPP1"/>
      <c r="NPQ1"/>
      <c r="NPR1"/>
      <c r="NPS1"/>
      <c r="NPT1"/>
      <c r="NPU1"/>
      <c r="NPV1"/>
      <c r="NPW1"/>
      <c r="NPX1"/>
      <c r="NPY1"/>
      <c r="NPZ1"/>
      <c r="NQA1"/>
      <c r="NQB1"/>
      <c r="NQC1"/>
      <c r="NQD1"/>
      <c r="NQE1"/>
      <c r="NQF1"/>
      <c r="NQG1"/>
      <c r="NQH1"/>
      <c r="NQI1"/>
      <c r="NQJ1"/>
      <c r="NQK1"/>
      <c r="NQL1"/>
      <c r="NQM1"/>
      <c r="NQN1"/>
      <c r="NQO1"/>
      <c r="NQP1"/>
      <c r="NQQ1"/>
      <c r="NQR1"/>
      <c r="NQS1"/>
      <c r="NQT1"/>
      <c r="NQU1"/>
      <c r="NQV1"/>
      <c r="NQW1"/>
      <c r="NQX1"/>
      <c r="NQY1"/>
      <c r="NQZ1"/>
      <c r="NRA1"/>
      <c r="NRB1"/>
      <c r="NRC1"/>
      <c r="NRD1"/>
      <c r="NRE1"/>
      <c r="NRF1"/>
      <c r="NRG1"/>
      <c r="NRH1"/>
      <c r="NRI1"/>
      <c r="NRJ1"/>
      <c r="NRK1"/>
      <c r="NRL1"/>
      <c r="NRM1"/>
      <c r="NRN1"/>
      <c r="NRO1"/>
      <c r="NRP1"/>
      <c r="NRQ1"/>
      <c r="NRR1"/>
      <c r="NRS1"/>
      <c r="NRT1"/>
      <c r="NRU1"/>
      <c r="NRV1"/>
      <c r="NRW1"/>
      <c r="NRX1"/>
      <c r="NRY1"/>
      <c r="NRZ1"/>
      <c r="NSA1"/>
      <c r="NSB1"/>
      <c r="NSC1"/>
      <c r="NSD1"/>
      <c r="NSE1"/>
      <c r="NSF1"/>
      <c r="NSG1"/>
      <c r="NSH1"/>
      <c r="NSI1"/>
      <c r="NSJ1"/>
      <c r="NSK1"/>
      <c r="NSL1"/>
      <c r="NSM1"/>
      <c r="NSN1"/>
      <c r="NSO1"/>
      <c r="NSP1"/>
      <c r="NSQ1"/>
      <c r="NSR1"/>
      <c r="NSS1"/>
      <c r="NST1"/>
      <c r="NSU1"/>
      <c r="NSV1"/>
      <c r="NSW1"/>
      <c r="NSX1"/>
      <c r="NSY1"/>
      <c r="NSZ1"/>
      <c r="NTA1"/>
      <c r="NTB1"/>
      <c r="NTC1"/>
      <c r="NTD1"/>
      <c r="NTE1"/>
      <c r="NTF1"/>
      <c r="NTG1"/>
      <c r="NTH1"/>
      <c r="NTI1"/>
      <c r="NTJ1"/>
      <c r="NTK1"/>
      <c r="NTL1"/>
      <c r="NTM1"/>
      <c r="NTN1"/>
      <c r="NTO1"/>
      <c r="NTP1"/>
      <c r="NTQ1"/>
      <c r="NTR1"/>
      <c r="NTS1"/>
      <c r="NTT1"/>
      <c r="NTU1"/>
      <c r="NTV1"/>
      <c r="NTW1"/>
      <c r="NTX1"/>
      <c r="NTY1"/>
      <c r="NTZ1"/>
      <c r="NUA1"/>
      <c r="NUB1"/>
      <c r="NUC1"/>
      <c r="NUD1"/>
      <c r="NUE1"/>
      <c r="NUF1"/>
      <c r="NUG1"/>
      <c r="NUH1"/>
      <c r="NUI1"/>
      <c r="NUJ1"/>
      <c r="NUK1"/>
      <c r="NUL1"/>
      <c r="NUM1"/>
      <c r="NUN1"/>
      <c r="NUO1"/>
      <c r="NUP1"/>
      <c r="NUQ1"/>
      <c r="NUR1"/>
      <c r="NUS1"/>
      <c r="NUT1"/>
      <c r="NUU1"/>
      <c r="NUV1"/>
      <c r="NUW1"/>
      <c r="NUX1"/>
      <c r="NUY1"/>
      <c r="NUZ1"/>
      <c r="NVA1"/>
      <c r="NVB1"/>
      <c r="NVC1"/>
      <c r="NVD1"/>
      <c r="NVE1"/>
      <c r="NVF1"/>
      <c r="NVG1"/>
      <c r="NVH1"/>
      <c r="NVI1"/>
      <c r="NVJ1"/>
      <c r="NVK1"/>
      <c r="NVL1"/>
      <c r="NVM1"/>
      <c r="NVN1"/>
      <c r="NVO1"/>
      <c r="NVP1"/>
      <c r="NVQ1"/>
      <c r="NVR1"/>
      <c r="NVS1"/>
      <c r="NVT1"/>
      <c r="NVU1"/>
      <c r="NVV1"/>
      <c r="NVW1"/>
      <c r="NVX1"/>
      <c r="NVY1"/>
      <c r="NVZ1"/>
      <c r="NWA1"/>
      <c r="NWB1"/>
      <c r="NWC1"/>
      <c r="NWD1"/>
      <c r="NWE1"/>
      <c r="NWF1"/>
      <c r="NWG1"/>
      <c r="NWH1"/>
      <c r="NWI1"/>
      <c r="NWJ1"/>
      <c r="NWK1"/>
      <c r="NWL1"/>
      <c r="NWM1"/>
      <c r="NWN1"/>
      <c r="NWO1"/>
      <c r="NWP1"/>
      <c r="NWQ1"/>
      <c r="NWR1"/>
      <c r="NWS1"/>
      <c r="NWT1"/>
      <c r="NWU1"/>
      <c r="NWV1"/>
      <c r="NWW1"/>
      <c r="NWX1"/>
      <c r="NWY1"/>
      <c r="NWZ1"/>
      <c r="NXA1"/>
      <c r="NXB1"/>
      <c r="NXC1"/>
      <c r="NXD1"/>
      <c r="NXE1"/>
      <c r="NXF1"/>
      <c r="NXG1"/>
      <c r="NXH1"/>
      <c r="NXI1"/>
      <c r="NXJ1"/>
      <c r="NXK1"/>
      <c r="NXL1"/>
      <c r="NXM1"/>
      <c r="NXN1"/>
      <c r="NXO1"/>
      <c r="NXP1"/>
      <c r="NXQ1"/>
      <c r="NXR1"/>
      <c r="NXS1"/>
      <c r="NXT1"/>
      <c r="NXU1"/>
      <c r="NXV1"/>
      <c r="NXW1"/>
      <c r="NXX1"/>
      <c r="NXY1"/>
      <c r="NXZ1"/>
      <c r="NYA1"/>
      <c r="NYB1"/>
      <c r="NYC1"/>
      <c r="NYD1"/>
      <c r="NYE1"/>
      <c r="NYF1"/>
      <c r="NYG1"/>
      <c r="NYH1"/>
      <c r="NYI1"/>
      <c r="NYJ1"/>
      <c r="NYK1"/>
      <c r="NYL1"/>
      <c r="NYM1"/>
      <c r="NYN1"/>
      <c r="NYO1"/>
      <c r="NYP1"/>
      <c r="NYQ1"/>
      <c r="NYR1"/>
      <c r="NYS1"/>
      <c r="NYT1"/>
      <c r="NYU1"/>
      <c r="NYV1"/>
      <c r="NYW1"/>
      <c r="NYX1"/>
      <c r="NYY1"/>
      <c r="NYZ1"/>
      <c r="NZA1"/>
      <c r="NZB1"/>
      <c r="NZC1"/>
      <c r="NZD1"/>
      <c r="NZE1"/>
      <c r="NZF1"/>
      <c r="NZG1"/>
      <c r="NZH1"/>
      <c r="NZI1"/>
      <c r="NZJ1"/>
      <c r="NZK1"/>
      <c r="NZL1"/>
      <c r="NZM1"/>
      <c r="NZN1"/>
      <c r="NZO1"/>
      <c r="NZP1"/>
      <c r="NZQ1"/>
      <c r="NZR1"/>
      <c r="NZS1"/>
      <c r="NZT1"/>
      <c r="NZU1"/>
      <c r="NZV1"/>
      <c r="NZW1"/>
      <c r="NZX1"/>
      <c r="NZY1"/>
      <c r="NZZ1"/>
      <c r="OAA1"/>
      <c r="OAB1"/>
      <c r="OAC1"/>
      <c r="OAD1"/>
      <c r="OAE1"/>
      <c r="OAF1"/>
      <c r="OAG1"/>
      <c r="OAH1"/>
      <c r="OAI1"/>
      <c r="OAJ1"/>
      <c r="OAK1"/>
      <c r="OAL1"/>
      <c r="OAM1"/>
      <c r="OAN1"/>
      <c r="OAO1"/>
      <c r="OAP1"/>
      <c r="OAQ1"/>
      <c r="OAR1"/>
      <c r="OAS1"/>
      <c r="OAT1"/>
      <c r="OAU1"/>
      <c r="OAV1"/>
      <c r="OAW1"/>
      <c r="OAX1"/>
      <c r="OAY1"/>
      <c r="OAZ1"/>
      <c r="OBA1"/>
      <c r="OBB1"/>
      <c r="OBC1"/>
      <c r="OBD1"/>
      <c r="OBE1"/>
      <c r="OBF1"/>
      <c r="OBG1"/>
      <c r="OBH1"/>
      <c r="OBI1"/>
      <c r="OBJ1"/>
      <c r="OBK1"/>
      <c r="OBL1"/>
      <c r="OBM1"/>
      <c r="OBN1"/>
      <c r="OBO1"/>
      <c r="OBP1"/>
      <c r="OBQ1"/>
      <c r="OBR1"/>
      <c r="OBS1"/>
      <c r="OBT1"/>
      <c r="OBU1"/>
      <c r="OBV1"/>
      <c r="OBW1"/>
      <c r="OBX1"/>
      <c r="OBY1"/>
      <c r="OBZ1"/>
      <c r="OCA1"/>
      <c r="OCB1"/>
      <c r="OCC1"/>
      <c r="OCD1"/>
      <c r="OCE1"/>
      <c r="OCF1"/>
      <c r="OCG1"/>
      <c r="OCH1"/>
      <c r="OCI1"/>
      <c r="OCJ1"/>
      <c r="OCK1"/>
      <c r="OCL1"/>
      <c r="OCM1"/>
      <c r="OCN1"/>
      <c r="OCO1"/>
      <c r="OCP1"/>
      <c r="OCQ1"/>
      <c r="OCR1"/>
      <c r="OCS1"/>
      <c r="OCT1"/>
      <c r="OCU1"/>
      <c r="OCV1"/>
      <c r="OCW1"/>
      <c r="OCX1"/>
      <c r="OCY1"/>
      <c r="OCZ1"/>
      <c r="ODA1"/>
      <c r="ODB1"/>
      <c r="ODC1"/>
      <c r="ODD1"/>
      <c r="ODE1"/>
      <c r="ODF1"/>
      <c r="ODG1"/>
      <c r="ODH1"/>
      <c r="ODI1"/>
      <c r="ODJ1"/>
      <c r="ODK1"/>
      <c r="ODL1"/>
      <c r="ODM1"/>
      <c r="ODN1"/>
      <c r="ODO1"/>
      <c r="ODP1"/>
      <c r="ODQ1"/>
      <c r="ODR1"/>
      <c r="ODS1"/>
      <c r="ODT1"/>
      <c r="ODU1"/>
      <c r="ODV1"/>
      <c r="ODW1"/>
      <c r="ODX1"/>
      <c r="ODY1"/>
      <c r="ODZ1"/>
      <c r="OEA1"/>
      <c r="OEB1"/>
      <c r="OEC1"/>
      <c r="OED1"/>
      <c r="OEE1"/>
      <c r="OEF1"/>
      <c r="OEG1"/>
      <c r="OEH1"/>
      <c r="OEI1"/>
      <c r="OEJ1"/>
      <c r="OEK1"/>
      <c r="OEL1"/>
      <c r="OEM1"/>
      <c r="OEN1"/>
      <c r="OEO1"/>
      <c r="OEP1"/>
      <c r="OEQ1"/>
      <c r="OER1"/>
      <c r="OES1"/>
      <c r="OET1"/>
      <c r="OEU1"/>
      <c r="OEV1"/>
      <c r="OEW1"/>
      <c r="OEX1"/>
      <c r="OEY1"/>
      <c r="OEZ1"/>
      <c r="OFA1"/>
      <c r="OFB1"/>
      <c r="OFC1"/>
      <c r="OFD1"/>
      <c r="OFE1"/>
      <c r="OFF1"/>
      <c r="OFG1"/>
      <c r="OFH1"/>
      <c r="OFI1"/>
      <c r="OFJ1"/>
      <c r="OFK1"/>
      <c r="OFL1"/>
      <c r="OFM1"/>
      <c r="OFN1"/>
      <c r="OFO1"/>
      <c r="OFP1"/>
      <c r="OFQ1"/>
      <c r="OFR1"/>
      <c r="OFS1"/>
      <c r="OFT1"/>
      <c r="OFU1"/>
      <c r="OFV1"/>
      <c r="OFW1"/>
      <c r="OFX1"/>
      <c r="OFY1"/>
      <c r="OFZ1"/>
      <c r="OGA1"/>
      <c r="OGB1"/>
      <c r="OGC1"/>
      <c r="OGD1"/>
      <c r="OGE1"/>
      <c r="OGF1"/>
      <c r="OGG1"/>
      <c r="OGH1"/>
      <c r="OGI1"/>
      <c r="OGJ1"/>
      <c r="OGK1"/>
      <c r="OGL1"/>
      <c r="OGM1"/>
      <c r="OGN1"/>
      <c r="OGO1"/>
      <c r="OGP1"/>
      <c r="OGQ1"/>
      <c r="OGR1"/>
      <c r="OGS1"/>
      <c r="OGT1"/>
      <c r="OGU1"/>
      <c r="OGV1"/>
      <c r="OGW1"/>
      <c r="OGX1"/>
      <c r="OGY1"/>
      <c r="OGZ1"/>
      <c r="OHA1"/>
      <c r="OHB1"/>
      <c r="OHC1"/>
      <c r="OHD1"/>
      <c r="OHE1"/>
      <c r="OHF1"/>
      <c r="OHG1"/>
      <c r="OHH1"/>
      <c r="OHI1"/>
      <c r="OHJ1"/>
      <c r="OHK1"/>
      <c r="OHL1"/>
      <c r="OHM1"/>
      <c r="OHN1"/>
      <c r="OHO1"/>
      <c r="OHP1"/>
      <c r="OHQ1"/>
      <c r="OHR1"/>
      <c r="OHS1"/>
      <c r="OHT1"/>
      <c r="OHU1"/>
      <c r="OHV1"/>
      <c r="OHW1"/>
      <c r="OHX1"/>
      <c r="OHY1"/>
      <c r="OHZ1"/>
      <c r="OIA1"/>
      <c r="OIB1"/>
      <c r="OIC1"/>
      <c r="OID1"/>
      <c r="OIE1"/>
      <c r="OIF1"/>
      <c r="OIG1"/>
      <c r="OIH1"/>
      <c r="OII1"/>
      <c r="OIJ1"/>
      <c r="OIK1"/>
      <c r="OIL1"/>
      <c r="OIM1"/>
      <c r="OIN1"/>
      <c r="OIO1"/>
      <c r="OIP1"/>
      <c r="OIQ1"/>
      <c r="OIR1"/>
      <c r="OIS1"/>
      <c r="OIT1"/>
      <c r="OIU1"/>
      <c r="OIV1"/>
      <c r="OIW1"/>
      <c r="OIX1"/>
      <c r="OIY1"/>
      <c r="OIZ1"/>
      <c r="OJA1"/>
      <c r="OJB1"/>
      <c r="OJC1"/>
      <c r="OJD1"/>
      <c r="OJE1"/>
      <c r="OJF1"/>
      <c r="OJG1"/>
      <c r="OJH1"/>
      <c r="OJI1"/>
      <c r="OJJ1"/>
      <c r="OJK1"/>
      <c r="OJL1"/>
      <c r="OJM1"/>
      <c r="OJN1"/>
      <c r="OJO1"/>
      <c r="OJP1"/>
      <c r="OJQ1"/>
      <c r="OJR1"/>
      <c r="OJS1"/>
      <c r="OJT1"/>
      <c r="OJU1"/>
      <c r="OJV1"/>
      <c r="OJW1"/>
      <c r="OJX1"/>
      <c r="OJY1"/>
      <c r="OJZ1"/>
      <c r="OKA1"/>
      <c r="OKB1"/>
      <c r="OKC1"/>
      <c r="OKD1"/>
      <c r="OKE1"/>
      <c r="OKF1"/>
      <c r="OKG1"/>
      <c r="OKH1"/>
      <c r="OKI1"/>
      <c r="OKJ1"/>
      <c r="OKK1"/>
      <c r="OKL1"/>
      <c r="OKM1"/>
      <c r="OKN1"/>
      <c r="OKO1"/>
      <c r="OKP1"/>
      <c r="OKQ1"/>
      <c r="OKR1"/>
      <c r="OKS1"/>
      <c r="OKT1"/>
      <c r="OKU1"/>
      <c r="OKV1"/>
      <c r="OKW1"/>
      <c r="OKX1"/>
      <c r="OKY1"/>
      <c r="OKZ1"/>
      <c r="OLA1"/>
      <c r="OLB1"/>
      <c r="OLC1"/>
      <c r="OLD1"/>
      <c r="OLE1"/>
      <c r="OLF1"/>
      <c r="OLG1"/>
      <c r="OLH1"/>
      <c r="OLI1"/>
      <c r="OLJ1"/>
      <c r="OLK1"/>
      <c r="OLL1"/>
      <c r="OLM1"/>
      <c r="OLN1"/>
      <c r="OLO1"/>
      <c r="OLP1"/>
      <c r="OLQ1"/>
      <c r="OLR1"/>
      <c r="OLS1"/>
      <c r="OLT1"/>
      <c r="OLU1"/>
      <c r="OLV1"/>
      <c r="OLW1"/>
      <c r="OLX1"/>
      <c r="OLY1"/>
      <c r="OLZ1"/>
      <c r="OMA1"/>
      <c r="OMB1"/>
      <c r="OMC1"/>
      <c r="OMD1"/>
      <c r="OME1"/>
      <c r="OMF1"/>
      <c r="OMG1"/>
      <c r="OMH1"/>
      <c r="OMI1"/>
      <c r="OMJ1"/>
      <c r="OMK1"/>
      <c r="OML1"/>
      <c r="OMM1"/>
      <c r="OMN1"/>
      <c r="OMO1"/>
      <c r="OMP1"/>
      <c r="OMQ1"/>
      <c r="OMR1"/>
      <c r="OMS1"/>
      <c r="OMT1"/>
      <c r="OMU1"/>
      <c r="OMV1"/>
      <c r="OMW1"/>
      <c r="OMX1"/>
      <c r="OMY1"/>
      <c r="OMZ1"/>
      <c r="ONA1"/>
      <c r="ONB1"/>
      <c r="ONC1"/>
      <c r="OND1"/>
      <c r="ONE1"/>
      <c r="ONF1"/>
      <c r="ONG1"/>
      <c r="ONH1"/>
      <c r="ONI1"/>
      <c r="ONJ1"/>
      <c r="ONK1"/>
      <c r="ONL1"/>
      <c r="ONM1"/>
      <c r="ONN1"/>
      <c r="ONO1"/>
      <c r="ONP1"/>
      <c r="ONQ1"/>
      <c r="ONR1"/>
      <c r="ONS1"/>
      <c r="ONT1"/>
      <c r="ONU1"/>
      <c r="ONV1"/>
      <c r="ONW1"/>
      <c r="ONX1"/>
      <c r="ONY1"/>
      <c r="ONZ1"/>
      <c r="OOA1"/>
      <c r="OOB1"/>
      <c r="OOC1"/>
      <c r="OOD1"/>
      <c r="OOE1"/>
      <c r="OOF1"/>
      <c r="OOG1"/>
      <c r="OOH1"/>
      <c r="OOI1"/>
      <c r="OOJ1"/>
      <c r="OOK1"/>
      <c r="OOL1"/>
      <c r="OOM1"/>
      <c r="OON1"/>
      <c r="OOO1"/>
      <c r="OOP1"/>
      <c r="OOQ1"/>
      <c r="OOR1"/>
      <c r="OOS1"/>
      <c r="OOT1"/>
      <c r="OOU1"/>
      <c r="OOV1"/>
      <c r="OOW1"/>
      <c r="OOX1"/>
      <c r="OOY1"/>
      <c r="OOZ1"/>
      <c r="OPA1"/>
      <c r="OPB1"/>
      <c r="OPC1"/>
      <c r="OPD1"/>
      <c r="OPE1"/>
      <c r="OPF1"/>
      <c r="OPG1"/>
      <c r="OPH1"/>
      <c r="OPI1"/>
      <c r="OPJ1"/>
      <c r="OPK1"/>
      <c r="OPL1"/>
      <c r="OPM1"/>
      <c r="OPN1"/>
      <c r="OPO1"/>
      <c r="OPP1"/>
      <c r="OPQ1"/>
      <c r="OPR1"/>
      <c r="OPS1"/>
      <c r="OPT1"/>
      <c r="OPU1"/>
      <c r="OPV1"/>
      <c r="OPW1"/>
      <c r="OPX1"/>
      <c r="OPY1"/>
      <c r="OPZ1"/>
      <c r="OQA1"/>
      <c r="OQB1"/>
      <c r="OQC1"/>
      <c r="OQD1"/>
      <c r="OQE1"/>
      <c r="OQF1"/>
      <c r="OQG1"/>
      <c r="OQH1"/>
      <c r="OQI1"/>
      <c r="OQJ1"/>
      <c r="OQK1"/>
      <c r="OQL1"/>
      <c r="OQM1"/>
      <c r="OQN1"/>
      <c r="OQO1"/>
      <c r="OQP1"/>
      <c r="OQQ1"/>
      <c r="OQR1"/>
      <c r="OQS1"/>
      <c r="OQT1"/>
      <c r="OQU1"/>
      <c r="OQV1"/>
      <c r="OQW1"/>
      <c r="OQX1"/>
      <c r="OQY1"/>
      <c r="OQZ1"/>
      <c r="ORA1"/>
      <c r="ORB1"/>
      <c r="ORC1"/>
      <c r="ORD1"/>
      <c r="ORE1"/>
      <c r="ORF1"/>
      <c r="ORG1"/>
      <c r="ORH1"/>
      <c r="ORI1"/>
      <c r="ORJ1"/>
      <c r="ORK1"/>
      <c r="ORL1"/>
      <c r="ORM1"/>
      <c r="ORN1"/>
      <c r="ORO1"/>
      <c r="ORP1"/>
      <c r="ORQ1"/>
      <c r="ORR1"/>
      <c r="ORS1"/>
      <c r="ORT1"/>
      <c r="ORU1"/>
      <c r="ORV1"/>
      <c r="ORW1"/>
      <c r="ORX1"/>
      <c r="ORY1"/>
      <c r="ORZ1"/>
      <c r="OSA1"/>
      <c r="OSB1"/>
      <c r="OSC1"/>
      <c r="OSD1"/>
      <c r="OSE1"/>
      <c r="OSF1"/>
      <c r="OSG1"/>
      <c r="OSH1"/>
      <c r="OSI1"/>
      <c r="OSJ1"/>
      <c r="OSK1"/>
      <c r="OSL1"/>
      <c r="OSM1"/>
      <c r="OSN1"/>
      <c r="OSO1"/>
      <c r="OSP1"/>
      <c r="OSQ1"/>
      <c r="OSR1"/>
      <c r="OSS1"/>
      <c r="OST1"/>
      <c r="OSU1"/>
      <c r="OSV1"/>
      <c r="OSW1"/>
      <c r="OSX1"/>
      <c r="OSY1"/>
      <c r="OSZ1"/>
      <c r="OTA1"/>
      <c r="OTB1"/>
      <c r="OTC1"/>
      <c r="OTD1"/>
      <c r="OTE1"/>
      <c r="OTF1"/>
      <c r="OTG1"/>
      <c r="OTH1"/>
      <c r="OTI1"/>
      <c r="OTJ1"/>
      <c r="OTK1"/>
      <c r="OTL1"/>
      <c r="OTM1"/>
      <c r="OTN1"/>
      <c r="OTO1"/>
      <c r="OTP1"/>
      <c r="OTQ1"/>
      <c r="OTR1"/>
      <c r="OTS1"/>
      <c r="OTT1"/>
      <c r="OTU1"/>
      <c r="OTV1"/>
      <c r="OTW1"/>
      <c r="OTX1"/>
      <c r="OTY1"/>
      <c r="OTZ1"/>
      <c r="OUA1"/>
      <c r="OUB1"/>
      <c r="OUC1"/>
      <c r="OUD1"/>
      <c r="OUE1"/>
      <c r="OUF1"/>
      <c r="OUG1"/>
      <c r="OUH1"/>
      <c r="OUI1"/>
      <c r="OUJ1"/>
      <c r="OUK1"/>
      <c r="OUL1"/>
      <c r="OUM1"/>
      <c r="OUN1"/>
      <c r="OUO1"/>
      <c r="OUP1"/>
      <c r="OUQ1"/>
      <c r="OUR1"/>
      <c r="OUS1"/>
      <c r="OUT1"/>
      <c r="OUU1"/>
      <c r="OUV1"/>
      <c r="OUW1"/>
      <c r="OUX1"/>
      <c r="OUY1"/>
      <c r="OUZ1"/>
      <c r="OVA1"/>
      <c r="OVB1"/>
      <c r="OVC1"/>
      <c r="OVD1"/>
      <c r="OVE1"/>
      <c r="OVF1"/>
      <c r="OVG1"/>
      <c r="OVH1"/>
      <c r="OVI1"/>
      <c r="OVJ1"/>
      <c r="OVK1"/>
      <c r="OVL1"/>
      <c r="OVM1"/>
      <c r="OVN1"/>
      <c r="OVO1"/>
      <c r="OVP1"/>
      <c r="OVQ1"/>
      <c r="OVR1"/>
      <c r="OVS1"/>
      <c r="OVT1"/>
      <c r="OVU1"/>
      <c r="OVV1"/>
      <c r="OVW1"/>
      <c r="OVX1"/>
      <c r="OVY1"/>
      <c r="OVZ1"/>
      <c r="OWA1"/>
      <c r="OWB1"/>
      <c r="OWC1"/>
      <c r="OWD1"/>
      <c r="OWE1"/>
      <c r="OWF1"/>
      <c r="OWG1"/>
      <c r="OWH1"/>
      <c r="OWI1"/>
      <c r="OWJ1"/>
      <c r="OWK1"/>
      <c r="OWL1"/>
      <c r="OWM1"/>
      <c r="OWN1"/>
      <c r="OWO1"/>
      <c r="OWP1"/>
      <c r="OWQ1"/>
      <c r="OWR1"/>
      <c r="OWS1"/>
      <c r="OWT1"/>
      <c r="OWU1"/>
      <c r="OWV1"/>
      <c r="OWW1"/>
      <c r="OWX1"/>
      <c r="OWY1"/>
      <c r="OWZ1"/>
      <c r="OXA1"/>
      <c r="OXB1"/>
      <c r="OXC1"/>
      <c r="OXD1"/>
      <c r="OXE1"/>
      <c r="OXF1"/>
      <c r="OXG1"/>
      <c r="OXH1"/>
      <c r="OXI1"/>
      <c r="OXJ1"/>
      <c r="OXK1"/>
      <c r="OXL1"/>
      <c r="OXM1"/>
      <c r="OXN1"/>
      <c r="OXO1"/>
      <c r="OXP1"/>
      <c r="OXQ1"/>
      <c r="OXR1"/>
      <c r="OXS1"/>
      <c r="OXT1"/>
      <c r="OXU1"/>
      <c r="OXV1"/>
      <c r="OXW1"/>
      <c r="OXX1"/>
      <c r="OXY1"/>
      <c r="OXZ1"/>
      <c r="OYA1"/>
      <c r="OYB1"/>
      <c r="OYC1"/>
      <c r="OYD1"/>
      <c r="OYE1"/>
      <c r="OYF1"/>
      <c r="OYG1"/>
      <c r="OYH1"/>
      <c r="OYI1"/>
      <c r="OYJ1"/>
      <c r="OYK1"/>
      <c r="OYL1"/>
      <c r="OYM1"/>
      <c r="OYN1"/>
      <c r="OYO1"/>
      <c r="OYP1"/>
      <c r="OYQ1"/>
      <c r="OYR1"/>
      <c r="OYS1"/>
      <c r="OYT1"/>
      <c r="OYU1"/>
      <c r="OYV1"/>
      <c r="OYW1"/>
      <c r="OYX1"/>
      <c r="OYY1"/>
      <c r="OYZ1"/>
      <c r="OZA1"/>
      <c r="OZB1"/>
      <c r="OZC1"/>
      <c r="OZD1"/>
      <c r="OZE1"/>
      <c r="OZF1"/>
      <c r="OZG1"/>
      <c r="OZH1"/>
      <c r="OZI1"/>
      <c r="OZJ1"/>
      <c r="OZK1"/>
      <c r="OZL1"/>
      <c r="OZM1"/>
      <c r="OZN1"/>
      <c r="OZO1"/>
      <c r="OZP1"/>
      <c r="OZQ1"/>
      <c r="OZR1"/>
      <c r="OZS1"/>
      <c r="OZT1"/>
      <c r="OZU1"/>
      <c r="OZV1"/>
      <c r="OZW1"/>
      <c r="OZX1"/>
      <c r="OZY1"/>
      <c r="OZZ1"/>
      <c r="PAA1"/>
      <c r="PAB1"/>
      <c r="PAC1"/>
      <c r="PAD1"/>
      <c r="PAE1"/>
      <c r="PAF1"/>
      <c r="PAG1"/>
      <c r="PAH1"/>
      <c r="PAI1"/>
      <c r="PAJ1"/>
      <c r="PAK1"/>
      <c r="PAL1"/>
      <c r="PAM1"/>
      <c r="PAN1"/>
      <c r="PAO1"/>
      <c r="PAP1"/>
      <c r="PAQ1"/>
      <c r="PAR1"/>
      <c r="PAS1"/>
      <c r="PAT1"/>
      <c r="PAU1"/>
      <c r="PAV1"/>
      <c r="PAW1"/>
      <c r="PAX1"/>
      <c r="PAY1"/>
      <c r="PAZ1"/>
      <c r="PBA1"/>
      <c r="PBB1"/>
      <c r="PBC1"/>
      <c r="PBD1"/>
      <c r="PBE1"/>
      <c r="PBF1"/>
      <c r="PBG1"/>
      <c r="PBH1"/>
      <c r="PBI1"/>
      <c r="PBJ1"/>
      <c r="PBK1"/>
      <c r="PBL1"/>
      <c r="PBM1"/>
      <c r="PBN1"/>
      <c r="PBO1"/>
      <c r="PBP1"/>
      <c r="PBQ1"/>
      <c r="PBR1"/>
      <c r="PBS1"/>
      <c r="PBT1"/>
      <c r="PBU1"/>
      <c r="PBV1"/>
      <c r="PBW1"/>
      <c r="PBX1"/>
      <c r="PBY1"/>
      <c r="PBZ1"/>
      <c r="PCA1"/>
      <c r="PCB1"/>
      <c r="PCC1"/>
      <c r="PCD1"/>
      <c r="PCE1"/>
      <c r="PCF1"/>
      <c r="PCG1"/>
      <c r="PCH1"/>
      <c r="PCI1"/>
      <c r="PCJ1"/>
      <c r="PCK1"/>
      <c r="PCL1"/>
      <c r="PCM1"/>
      <c r="PCN1"/>
      <c r="PCO1"/>
      <c r="PCP1"/>
      <c r="PCQ1"/>
      <c r="PCR1"/>
      <c r="PCS1"/>
      <c r="PCT1"/>
      <c r="PCU1"/>
      <c r="PCV1"/>
      <c r="PCW1"/>
      <c r="PCX1"/>
      <c r="PCY1"/>
      <c r="PCZ1"/>
      <c r="PDA1"/>
      <c r="PDB1"/>
      <c r="PDC1"/>
      <c r="PDD1"/>
      <c r="PDE1"/>
      <c r="PDF1"/>
      <c r="PDG1"/>
      <c r="PDH1"/>
      <c r="PDI1"/>
      <c r="PDJ1"/>
      <c r="PDK1"/>
      <c r="PDL1"/>
      <c r="PDM1"/>
      <c r="PDN1"/>
      <c r="PDO1"/>
      <c r="PDP1"/>
      <c r="PDQ1"/>
      <c r="PDR1"/>
      <c r="PDS1"/>
      <c r="PDT1"/>
      <c r="PDU1"/>
      <c r="PDV1"/>
      <c r="PDW1"/>
      <c r="PDX1"/>
      <c r="PDY1"/>
      <c r="PDZ1"/>
      <c r="PEA1"/>
      <c r="PEB1"/>
      <c r="PEC1"/>
      <c r="PED1"/>
      <c r="PEE1"/>
      <c r="PEF1"/>
      <c r="PEG1"/>
      <c r="PEH1"/>
      <c r="PEI1"/>
      <c r="PEJ1"/>
      <c r="PEK1"/>
      <c r="PEL1"/>
      <c r="PEM1"/>
      <c r="PEN1"/>
      <c r="PEO1"/>
      <c r="PEP1"/>
      <c r="PEQ1"/>
      <c r="PER1"/>
      <c r="PES1"/>
      <c r="PET1"/>
      <c r="PEU1"/>
      <c r="PEV1"/>
      <c r="PEW1"/>
      <c r="PEX1"/>
      <c r="PEY1"/>
      <c r="PEZ1"/>
      <c r="PFA1"/>
      <c r="PFB1"/>
      <c r="PFC1"/>
      <c r="PFD1"/>
      <c r="PFE1"/>
      <c r="PFF1"/>
      <c r="PFG1"/>
      <c r="PFH1"/>
      <c r="PFI1"/>
      <c r="PFJ1"/>
      <c r="PFK1"/>
      <c r="PFL1"/>
      <c r="PFM1"/>
      <c r="PFN1"/>
      <c r="PFO1"/>
      <c r="PFP1"/>
      <c r="PFQ1"/>
      <c r="PFR1"/>
      <c r="PFS1"/>
      <c r="PFT1"/>
      <c r="PFU1"/>
      <c r="PFV1"/>
      <c r="PFW1"/>
      <c r="PFX1"/>
      <c r="PFY1"/>
      <c r="PFZ1"/>
      <c r="PGA1"/>
      <c r="PGB1"/>
      <c r="PGC1"/>
      <c r="PGD1"/>
      <c r="PGE1"/>
      <c r="PGF1"/>
      <c r="PGG1"/>
      <c r="PGH1"/>
      <c r="PGI1"/>
      <c r="PGJ1"/>
      <c r="PGK1"/>
      <c r="PGL1"/>
      <c r="PGM1"/>
      <c r="PGN1"/>
      <c r="PGO1"/>
      <c r="PGP1"/>
      <c r="PGQ1"/>
      <c r="PGR1"/>
      <c r="PGS1"/>
      <c r="PGT1"/>
      <c r="PGU1"/>
      <c r="PGV1"/>
      <c r="PGW1"/>
      <c r="PGX1"/>
      <c r="PGY1"/>
      <c r="PGZ1"/>
      <c r="PHA1"/>
      <c r="PHB1"/>
      <c r="PHC1"/>
      <c r="PHD1"/>
      <c r="PHE1"/>
      <c r="PHF1"/>
      <c r="PHG1"/>
      <c r="PHH1"/>
      <c r="PHI1"/>
      <c r="PHJ1"/>
      <c r="PHK1"/>
      <c r="PHL1"/>
      <c r="PHM1"/>
      <c r="PHN1"/>
      <c r="PHO1"/>
      <c r="PHP1"/>
      <c r="PHQ1"/>
      <c r="PHR1"/>
      <c r="PHS1"/>
      <c r="PHT1"/>
      <c r="PHU1"/>
      <c r="PHV1"/>
      <c r="PHW1"/>
      <c r="PHX1"/>
      <c r="PHY1"/>
      <c r="PHZ1"/>
      <c r="PIA1"/>
      <c r="PIB1"/>
      <c r="PIC1"/>
      <c r="PID1"/>
      <c r="PIE1"/>
      <c r="PIF1"/>
      <c r="PIG1"/>
      <c r="PIH1"/>
      <c r="PII1"/>
      <c r="PIJ1"/>
      <c r="PIK1"/>
      <c r="PIL1"/>
      <c r="PIM1"/>
      <c r="PIN1"/>
      <c r="PIO1"/>
      <c r="PIP1"/>
      <c r="PIQ1"/>
      <c r="PIR1"/>
      <c r="PIS1"/>
      <c r="PIT1"/>
      <c r="PIU1"/>
      <c r="PIV1"/>
      <c r="PIW1"/>
      <c r="PIX1"/>
      <c r="PIY1"/>
      <c r="PIZ1"/>
      <c r="PJA1"/>
      <c r="PJB1"/>
      <c r="PJC1"/>
      <c r="PJD1"/>
      <c r="PJE1"/>
      <c r="PJF1"/>
      <c r="PJG1"/>
      <c r="PJH1"/>
      <c r="PJI1"/>
      <c r="PJJ1"/>
      <c r="PJK1"/>
      <c r="PJL1"/>
      <c r="PJM1"/>
      <c r="PJN1"/>
      <c r="PJO1"/>
      <c r="PJP1"/>
      <c r="PJQ1"/>
      <c r="PJR1"/>
      <c r="PJS1"/>
      <c r="PJT1"/>
      <c r="PJU1"/>
      <c r="PJV1"/>
      <c r="PJW1"/>
      <c r="PJX1"/>
      <c r="PJY1"/>
      <c r="PJZ1"/>
      <c r="PKA1"/>
      <c r="PKB1"/>
      <c r="PKC1"/>
      <c r="PKD1"/>
      <c r="PKE1"/>
      <c r="PKF1"/>
      <c r="PKG1"/>
      <c r="PKH1"/>
      <c r="PKI1"/>
      <c r="PKJ1"/>
      <c r="PKK1"/>
      <c r="PKL1"/>
      <c r="PKM1"/>
      <c r="PKN1"/>
      <c r="PKO1"/>
      <c r="PKP1"/>
      <c r="PKQ1"/>
      <c r="PKR1"/>
      <c r="PKS1"/>
      <c r="PKT1"/>
      <c r="PKU1"/>
      <c r="PKV1"/>
      <c r="PKW1"/>
      <c r="PKX1"/>
      <c r="PKY1"/>
      <c r="PKZ1"/>
      <c r="PLA1"/>
      <c r="PLB1"/>
      <c r="PLC1"/>
      <c r="PLD1"/>
      <c r="PLE1"/>
      <c r="PLF1"/>
      <c r="PLG1"/>
      <c r="PLH1"/>
      <c r="PLI1"/>
      <c r="PLJ1"/>
      <c r="PLK1"/>
      <c r="PLL1"/>
      <c r="PLM1"/>
      <c r="PLN1"/>
      <c r="PLO1"/>
      <c r="PLP1"/>
      <c r="PLQ1"/>
      <c r="PLR1"/>
      <c r="PLS1"/>
      <c r="PLT1"/>
      <c r="PLU1"/>
      <c r="PLV1"/>
      <c r="PLW1"/>
      <c r="PLX1"/>
      <c r="PLY1"/>
      <c r="PLZ1"/>
      <c r="PMA1"/>
      <c r="PMB1"/>
      <c r="PMC1"/>
      <c r="PMD1"/>
      <c r="PME1"/>
      <c r="PMF1"/>
      <c r="PMG1"/>
      <c r="PMH1"/>
      <c r="PMI1"/>
      <c r="PMJ1"/>
      <c r="PMK1"/>
      <c r="PML1"/>
      <c r="PMM1"/>
      <c r="PMN1"/>
      <c r="PMO1"/>
      <c r="PMP1"/>
      <c r="PMQ1"/>
      <c r="PMR1"/>
      <c r="PMS1"/>
      <c r="PMT1"/>
      <c r="PMU1"/>
      <c r="PMV1"/>
      <c r="PMW1"/>
      <c r="PMX1"/>
      <c r="PMY1"/>
      <c r="PMZ1"/>
      <c r="PNA1"/>
      <c r="PNB1"/>
      <c r="PNC1"/>
      <c r="PND1"/>
      <c r="PNE1"/>
      <c r="PNF1"/>
      <c r="PNG1"/>
      <c r="PNH1"/>
      <c r="PNI1"/>
      <c r="PNJ1"/>
      <c r="PNK1"/>
      <c r="PNL1"/>
      <c r="PNM1"/>
      <c r="PNN1"/>
      <c r="PNO1"/>
      <c r="PNP1"/>
      <c r="PNQ1"/>
      <c r="PNR1"/>
      <c r="PNS1"/>
      <c r="PNT1"/>
      <c r="PNU1"/>
      <c r="PNV1"/>
      <c r="PNW1"/>
      <c r="PNX1"/>
      <c r="PNY1"/>
      <c r="PNZ1"/>
      <c r="POA1"/>
      <c r="POB1"/>
      <c r="POC1"/>
      <c r="POD1"/>
      <c r="POE1"/>
      <c r="POF1"/>
      <c r="POG1"/>
      <c r="POH1"/>
      <c r="POI1"/>
      <c r="POJ1"/>
      <c r="POK1"/>
      <c r="POL1"/>
      <c r="POM1"/>
      <c r="PON1"/>
      <c r="POO1"/>
      <c r="POP1"/>
      <c r="POQ1"/>
      <c r="POR1"/>
      <c r="POS1"/>
      <c r="POT1"/>
      <c r="POU1"/>
      <c r="POV1"/>
      <c r="POW1"/>
      <c r="POX1"/>
      <c r="POY1"/>
      <c r="POZ1"/>
      <c r="PPA1"/>
      <c r="PPB1"/>
      <c r="PPC1"/>
      <c r="PPD1"/>
      <c r="PPE1"/>
      <c r="PPF1"/>
      <c r="PPG1"/>
      <c r="PPH1"/>
      <c r="PPI1"/>
      <c r="PPJ1"/>
      <c r="PPK1"/>
      <c r="PPL1"/>
      <c r="PPM1"/>
      <c r="PPN1"/>
      <c r="PPO1"/>
      <c r="PPP1"/>
      <c r="PPQ1"/>
      <c r="PPR1"/>
      <c r="PPS1"/>
      <c r="PPT1"/>
      <c r="PPU1"/>
      <c r="PPV1"/>
      <c r="PPW1"/>
      <c r="PPX1"/>
      <c r="PPY1"/>
      <c r="PPZ1"/>
      <c r="PQA1"/>
      <c r="PQB1"/>
      <c r="PQC1"/>
      <c r="PQD1"/>
      <c r="PQE1"/>
      <c r="PQF1"/>
      <c r="PQG1"/>
      <c r="PQH1"/>
      <c r="PQI1"/>
      <c r="PQJ1"/>
      <c r="PQK1"/>
      <c r="PQL1"/>
      <c r="PQM1"/>
      <c r="PQN1"/>
      <c r="PQO1"/>
      <c r="PQP1"/>
      <c r="PQQ1"/>
      <c r="PQR1"/>
      <c r="PQS1"/>
      <c r="PQT1"/>
      <c r="PQU1"/>
      <c r="PQV1"/>
      <c r="PQW1"/>
      <c r="PQX1"/>
      <c r="PQY1"/>
      <c r="PQZ1"/>
      <c r="PRA1"/>
      <c r="PRB1"/>
      <c r="PRC1"/>
      <c r="PRD1"/>
      <c r="PRE1"/>
      <c r="PRF1"/>
      <c r="PRG1"/>
      <c r="PRH1"/>
      <c r="PRI1"/>
      <c r="PRJ1"/>
      <c r="PRK1"/>
      <c r="PRL1"/>
      <c r="PRM1"/>
      <c r="PRN1"/>
      <c r="PRO1"/>
      <c r="PRP1"/>
      <c r="PRQ1"/>
      <c r="PRR1"/>
      <c r="PRS1"/>
      <c r="PRT1"/>
      <c r="PRU1"/>
      <c r="PRV1"/>
      <c r="PRW1"/>
      <c r="PRX1"/>
      <c r="PRY1"/>
      <c r="PRZ1"/>
      <c r="PSA1"/>
      <c r="PSB1"/>
      <c r="PSC1"/>
      <c r="PSD1"/>
      <c r="PSE1"/>
      <c r="PSF1"/>
      <c r="PSG1"/>
      <c r="PSH1"/>
      <c r="PSI1"/>
      <c r="PSJ1"/>
      <c r="PSK1"/>
      <c r="PSL1"/>
      <c r="PSM1"/>
      <c r="PSN1"/>
      <c r="PSO1"/>
      <c r="PSP1"/>
      <c r="PSQ1"/>
      <c r="PSR1"/>
      <c r="PSS1"/>
      <c r="PST1"/>
      <c r="PSU1"/>
      <c r="PSV1"/>
      <c r="PSW1"/>
      <c r="PSX1"/>
      <c r="PSY1"/>
      <c r="PSZ1"/>
      <c r="PTA1"/>
      <c r="PTB1"/>
      <c r="PTC1"/>
      <c r="PTD1"/>
      <c r="PTE1"/>
      <c r="PTF1"/>
      <c r="PTG1"/>
      <c r="PTH1"/>
      <c r="PTI1"/>
      <c r="PTJ1"/>
      <c r="PTK1"/>
      <c r="PTL1"/>
      <c r="PTM1"/>
      <c r="PTN1"/>
      <c r="PTO1"/>
      <c r="PTP1"/>
      <c r="PTQ1"/>
      <c r="PTR1"/>
      <c r="PTS1"/>
      <c r="PTT1"/>
      <c r="PTU1"/>
      <c r="PTV1"/>
      <c r="PTW1"/>
      <c r="PTX1"/>
      <c r="PTY1"/>
      <c r="PTZ1"/>
      <c r="PUA1"/>
      <c r="PUB1"/>
      <c r="PUC1"/>
      <c r="PUD1"/>
      <c r="PUE1"/>
      <c r="PUF1"/>
      <c r="PUG1"/>
      <c r="PUH1"/>
      <c r="PUI1"/>
      <c r="PUJ1"/>
      <c r="PUK1"/>
      <c r="PUL1"/>
      <c r="PUM1"/>
      <c r="PUN1"/>
      <c r="PUO1"/>
      <c r="PUP1"/>
      <c r="PUQ1"/>
      <c r="PUR1"/>
      <c r="PUS1"/>
      <c r="PUT1"/>
      <c r="PUU1"/>
      <c r="PUV1"/>
      <c r="PUW1"/>
      <c r="PUX1"/>
      <c r="PUY1"/>
      <c r="PUZ1"/>
      <c r="PVA1"/>
      <c r="PVB1"/>
      <c r="PVC1"/>
      <c r="PVD1"/>
      <c r="PVE1"/>
      <c r="PVF1"/>
      <c r="PVG1"/>
      <c r="PVH1"/>
      <c r="PVI1"/>
      <c r="PVJ1"/>
      <c r="PVK1"/>
      <c r="PVL1"/>
      <c r="PVM1"/>
      <c r="PVN1"/>
      <c r="PVO1"/>
      <c r="PVP1"/>
      <c r="PVQ1"/>
      <c r="PVR1"/>
      <c r="PVS1"/>
      <c r="PVT1"/>
      <c r="PVU1"/>
      <c r="PVV1"/>
      <c r="PVW1"/>
      <c r="PVX1"/>
      <c r="PVY1"/>
      <c r="PVZ1"/>
      <c r="PWA1"/>
      <c r="PWB1"/>
      <c r="PWC1"/>
      <c r="PWD1"/>
      <c r="PWE1"/>
      <c r="PWF1"/>
      <c r="PWG1"/>
      <c r="PWH1"/>
      <c r="PWI1"/>
      <c r="PWJ1"/>
      <c r="PWK1"/>
      <c r="PWL1"/>
      <c r="PWM1"/>
      <c r="PWN1"/>
      <c r="PWO1"/>
      <c r="PWP1"/>
      <c r="PWQ1"/>
      <c r="PWR1"/>
      <c r="PWS1"/>
      <c r="PWT1"/>
      <c r="PWU1"/>
      <c r="PWV1"/>
      <c r="PWW1"/>
      <c r="PWX1"/>
      <c r="PWY1"/>
      <c r="PWZ1"/>
      <c r="PXA1"/>
      <c r="PXB1"/>
      <c r="PXC1"/>
      <c r="PXD1"/>
      <c r="PXE1"/>
      <c r="PXF1"/>
      <c r="PXG1"/>
      <c r="PXH1"/>
      <c r="PXI1"/>
      <c r="PXJ1"/>
      <c r="PXK1"/>
      <c r="PXL1"/>
      <c r="PXM1"/>
      <c r="PXN1"/>
      <c r="PXO1"/>
      <c r="PXP1"/>
      <c r="PXQ1"/>
      <c r="PXR1"/>
      <c r="PXS1"/>
      <c r="PXT1"/>
      <c r="PXU1"/>
      <c r="PXV1"/>
      <c r="PXW1"/>
      <c r="PXX1"/>
      <c r="PXY1"/>
      <c r="PXZ1"/>
      <c r="PYA1"/>
      <c r="PYB1"/>
      <c r="PYC1"/>
      <c r="PYD1"/>
      <c r="PYE1"/>
      <c r="PYF1"/>
      <c r="PYG1"/>
      <c r="PYH1"/>
      <c r="PYI1"/>
      <c r="PYJ1"/>
      <c r="PYK1"/>
      <c r="PYL1"/>
      <c r="PYM1"/>
      <c r="PYN1"/>
      <c r="PYO1"/>
      <c r="PYP1"/>
      <c r="PYQ1"/>
      <c r="PYR1"/>
      <c r="PYS1"/>
      <c r="PYT1"/>
      <c r="PYU1"/>
      <c r="PYV1"/>
      <c r="PYW1"/>
      <c r="PYX1"/>
      <c r="PYY1"/>
      <c r="PYZ1"/>
      <c r="PZA1"/>
      <c r="PZB1"/>
      <c r="PZC1"/>
      <c r="PZD1"/>
      <c r="PZE1"/>
      <c r="PZF1"/>
      <c r="PZG1"/>
      <c r="PZH1"/>
      <c r="PZI1"/>
      <c r="PZJ1"/>
      <c r="PZK1"/>
      <c r="PZL1"/>
      <c r="PZM1"/>
      <c r="PZN1"/>
      <c r="PZO1"/>
      <c r="PZP1"/>
      <c r="PZQ1"/>
      <c r="PZR1"/>
      <c r="PZS1"/>
      <c r="PZT1"/>
      <c r="PZU1"/>
      <c r="PZV1"/>
      <c r="PZW1"/>
      <c r="PZX1"/>
      <c r="PZY1"/>
      <c r="PZZ1"/>
      <c r="QAA1"/>
      <c r="QAB1"/>
      <c r="QAC1"/>
      <c r="QAD1"/>
      <c r="QAE1"/>
      <c r="QAF1"/>
      <c r="QAG1"/>
      <c r="QAH1"/>
      <c r="QAI1"/>
      <c r="QAJ1"/>
      <c r="QAK1"/>
      <c r="QAL1"/>
      <c r="QAM1"/>
      <c r="QAN1"/>
      <c r="QAO1"/>
      <c r="QAP1"/>
      <c r="QAQ1"/>
      <c r="QAR1"/>
      <c r="QAS1"/>
      <c r="QAT1"/>
      <c r="QAU1"/>
      <c r="QAV1"/>
      <c r="QAW1"/>
      <c r="QAX1"/>
      <c r="QAY1"/>
      <c r="QAZ1"/>
      <c r="QBA1"/>
      <c r="QBB1"/>
      <c r="QBC1"/>
      <c r="QBD1"/>
      <c r="QBE1"/>
      <c r="QBF1"/>
      <c r="QBG1"/>
      <c r="QBH1"/>
      <c r="QBI1"/>
      <c r="QBJ1"/>
      <c r="QBK1"/>
      <c r="QBL1"/>
      <c r="QBM1"/>
      <c r="QBN1"/>
      <c r="QBO1"/>
      <c r="QBP1"/>
      <c r="QBQ1"/>
      <c r="QBR1"/>
      <c r="QBS1"/>
      <c r="QBT1"/>
      <c r="QBU1"/>
      <c r="QBV1"/>
      <c r="QBW1"/>
      <c r="QBX1"/>
      <c r="QBY1"/>
      <c r="QBZ1"/>
      <c r="QCA1"/>
      <c r="QCB1"/>
      <c r="QCC1"/>
      <c r="QCD1"/>
      <c r="QCE1"/>
      <c r="QCF1"/>
      <c r="QCG1"/>
      <c r="QCH1"/>
      <c r="QCI1"/>
      <c r="QCJ1"/>
      <c r="QCK1"/>
      <c r="QCL1"/>
      <c r="QCM1"/>
      <c r="QCN1"/>
      <c r="QCO1"/>
      <c r="QCP1"/>
      <c r="QCQ1"/>
      <c r="QCR1"/>
      <c r="QCS1"/>
      <c r="QCT1"/>
      <c r="QCU1"/>
      <c r="QCV1"/>
      <c r="QCW1"/>
      <c r="QCX1"/>
      <c r="QCY1"/>
      <c r="QCZ1"/>
      <c r="QDA1"/>
      <c r="QDB1"/>
      <c r="QDC1"/>
      <c r="QDD1"/>
      <c r="QDE1"/>
      <c r="QDF1"/>
      <c r="QDG1"/>
      <c r="QDH1"/>
      <c r="QDI1"/>
      <c r="QDJ1"/>
      <c r="QDK1"/>
      <c r="QDL1"/>
      <c r="QDM1"/>
      <c r="QDN1"/>
      <c r="QDO1"/>
      <c r="QDP1"/>
      <c r="QDQ1"/>
      <c r="QDR1"/>
      <c r="QDS1"/>
      <c r="QDT1"/>
      <c r="QDU1"/>
      <c r="QDV1"/>
      <c r="QDW1"/>
      <c r="QDX1"/>
      <c r="QDY1"/>
      <c r="QDZ1"/>
      <c r="QEA1"/>
      <c r="QEB1"/>
      <c r="QEC1"/>
      <c r="QED1"/>
      <c r="QEE1"/>
      <c r="QEF1"/>
      <c r="QEG1"/>
      <c r="QEH1"/>
      <c r="QEI1"/>
      <c r="QEJ1"/>
      <c r="QEK1"/>
      <c r="QEL1"/>
      <c r="QEM1"/>
      <c r="QEN1"/>
      <c r="QEO1"/>
      <c r="QEP1"/>
      <c r="QEQ1"/>
      <c r="QER1"/>
      <c r="QES1"/>
      <c r="QET1"/>
      <c r="QEU1"/>
      <c r="QEV1"/>
      <c r="QEW1"/>
      <c r="QEX1"/>
      <c r="QEY1"/>
      <c r="QEZ1"/>
      <c r="QFA1"/>
      <c r="QFB1"/>
      <c r="QFC1"/>
      <c r="QFD1"/>
      <c r="QFE1"/>
      <c r="QFF1"/>
      <c r="QFG1"/>
      <c r="QFH1"/>
      <c r="QFI1"/>
      <c r="QFJ1"/>
      <c r="QFK1"/>
      <c r="QFL1"/>
      <c r="QFM1"/>
      <c r="QFN1"/>
      <c r="QFO1"/>
      <c r="QFP1"/>
      <c r="QFQ1"/>
      <c r="QFR1"/>
      <c r="QFS1"/>
      <c r="QFT1"/>
      <c r="QFU1"/>
      <c r="QFV1"/>
      <c r="QFW1"/>
      <c r="QFX1"/>
      <c r="QFY1"/>
      <c r="QFZ1"/>
      <c r="QGA1"/>
      <c r="QGB1"/>
      <c r="QGC1"/>
      <c r="QGD1"/>
      <c r="QGE1"/>
      <c r="QGF1"/>
      <c r="QGG1"/>
      <c r="QGH1"/>
      <c r="QGI1"/>
      <c r="QGJ1"/>
      <c r="QGK1"/>
      <c r="QGL1"/>
      <c r="QGM1"/>
      <c r="QGN1"/>
      <c r="QGO1"/>
      <c r="QGP1"/>
      <c r="QGQ1"/>
      <c r="QGR1"/>
      <c r="QGS1"/>
      <c r="QGT1"/>
      <c r="QGU1"/>
      <c r="QGV1"/>
      <c r="QGW1"/>
      <c r="QGX1"/>
      <c r="QGY1"/>
      <c r="QGZ1"/>
      <c r="QHA1"/>
      <c r="QHB1"/>
      <c r="QHC1"/>
      <c r="QHD1"/>
      <c r="QHE1"/>
      <c r="QHF1"/>
      <c r="QHG1"/>
      <c r="QHH1"/>
      <c r="QHI1"/>
      <c r="QHJ1"/>
      <c r="QHK1"/>
      <c r="QHL1"/>
      <c r="QHM1"/>
      <c r="QHN1"/>
      <c r="QHO1"/>
      <c r="QHP1"/>
      <c r="QHQ1"/>
      <c r="QHR1"/>
      <c r="QHS1"/>
      <c r="QHT1"/>
      <c r="QHU1"/>
      <c r="QHV1"/>
      <c r="QHW1"/>
      <c r="QHX1"/>
      <c r="QHY1"/>
      <c r="QHZ1"/>
      <c r="QIA1"/>
      <c r="QIB1"/>
      <c r="QIC1"/>
      <c r="QID1"/>
      <c r="QIE1"/>
      <c r="QIF1"/>
      <c r="QIG1"/>
      <c r="QIH1"/>
      <c r="QII1"/>
      <c r="QIJ1"/>
      <c r="QIK1"/>
      <c r="QIL1"/>
      <c r="QIM1"/>
      <c r="QIN1"/>
      <c r="QIO1"/>
      <c r="QIP1"/>
      <c r="QIQ1"/>
      <c r="QIR1"/>
      <c r="QIS1"/>
      <c r="QIT1"/>
      <c r="QIU1"/>
      <c r="QIV1"/>
      <c r="QIW1"/>
      <c r="QIX1"/>
      <c r="QIY1"/>
      <c r="QIZ1"/>
      <c r="QJA1"/>
      <c r="QJB1"/>
      <c r="QJC1"/>
      <c r="QJD1"/>
      <c r="QJE1"/>
      <c r="QJF1"/>
      <c r="QJG1"/>
      <c r="QJH1"/>
      <c r="QJI1"/>
      <c r="QJJ1"/>
      <c r="QJK1"/>
      <c r="QJL1"/>
      <c r="QJM1"/>
      <c r="QJN1"/>
      <c r="QJO1"/>
      <c r="QJP1"/>
      <c r="QJQ1"/>
      <c r="QJR1"/>
      <c r="QJS1"/>
      <c r="QJT1"/>
      <c r="QJU1"/>
      <c r="QJV1"/>
      <c r="QJW1"/>
      <c r="QJX1"/>
      <c r="QJY1"/>
      <c r="QJZ1"/>
      <c r="QKA1"/>
      <c r="QKB1"/>
      <c r="QKC1"/>
      <c r="QKD1"/>
      <c r="QKE1"/>
      <c r="QKF1"/>
      <c r="QKG1"/>
      <c r="QKH1"/>
      <c r="QKI1"/>
      <c r="QKJ1"/>
      <c r="QKK1"/>
      <c r="QKL1"/>
      <c r="QKM1"/>
      <c r="QKN1"/>
      <c r="QKO1"/>
      <c r="QKP1"/>
      <c r="QKQ1"/>
      <c r="QKR1"/>
      <c r="QKS1"/>
      <c r="QKT1"/>
      <c r="QKU1"/>
      <c r="QKV1"/>
      <c r="QKW1"/>
      <c r="QKX1"/>
      <c r="QKY1"/>
      <c r="QKZ1"/>
      <c r="QLA1"/>
      <c r="QLB1"/>
      <c r="QLC1"/>
      <c r="QLD1"/>
      <c r="QLE1"/>
      <c r="QLF1"/>
      <c r="QLG1"/>
      <c r="QLH1"/>
      <c r="QLI1"/>
      <c r="QLJ1"/>
      <c r="QLK1"/>
      <c r="QLL1"/>
      <c r="QLM1"/>
      <c r="QLN1"/>
      <c r="QLO1"/>
      <c r="QLP1"/>
      <c r="QLQ1"/>
      <c r="QLR1"/>
      <c r="QLS1"/>
      <c r="QLT1"/>
      <c r="QLU1"/>
      <c r="QLV1"/>
      <c r="QLW1"/>
      <c r="QLX1"/>
      <c r="QLY1"/>
      <c r="QLZ1"/>
      <c r="QMA1"/>
      <c r="QMB1"/>
      <c r="QMC1"/>
      <c r="QMD1"/>
      <c r="QME1"/>
      <c r="QMF1"/>
      <c r="QMG1"/>
      <c r="QMH1"/>
      <c r="QMI1"/>
      <c r="QMJ1"/>
      <c r="QMK1"/>
      <c r="QML1"/>
      <c r="QMM1"/>
      <c r="QMN1"/>
      <c r="QMO1"/>
      <c r="QMP1"/>
      <c r="QMQ1"/>
      <c r="QMR1"/>
      <c r="QMS1"/>
      <c r="QMT1"/>
      <c r="QMU1"/>
      <c r="QMV1"/>
      <c r="QMW1"/>
      <c r="QMX1"/>
      <c r="QMY1"/>
      <c r="QMZ1"/>
      <c r="QNA1"/>
      <c r="QNB1"/>
      <c r="QNC1"/>
      <c r="QND1"/>
      <c r="QNE1"/>
      <c r="QNF1"/>
      <c r="QNG1"/>
      <c r="QNH1"/>
      <c r="QNI1"/>
      <c r="QNJ1"/>
      <c r="QNK1"/>
      <c r="QNL1"/>
      <c r="QNM1"/>
      <c r="QNN1"/>
      <c r="QNO1"/>
      <c r="QNP1"/>
      <c r="QNQ1"/>
      <c r="QNR1"/>
      <c r="QNS1"/>
      <c r="QNT1"/>
      <c r="QNU1"/>
      <c r="QNV1"/>
      <c r="QNW1"/>
      <c r="QNX1"/>
      <c r="QNY1"/>
      <c r="QNZ1"/>
      <c r="QOA1"/>
      <c r="QOB1"/>
      <c r="QOC1"/>
      <c r="QOD1"/>
      <c r="QOE1"/>
      <c r="QOF1"/>
      <c r="QOG1"/>
      <c r="QOH1"/>
      <c r="QOI1"/>
      <c r="QOJ1"/>
      <c r="QOK1"/>
      <c r="QOL1"/>
      <c r="QOM1"/>
      <c r="QON1"/>
      <c r="QOO1"/>
      <c r="QOP1"/>
      <c r="QOQ1"/>
      <c r="QOR1"/>
      <c r="QOS1"/>
      <c r="QOT1"/>
      <c r="QOU1"/>
      <c r="QOV1"/>
      <c r="QOW1"/>
      <c r="QOX1"/>
      <c r="QOY1"/>
      <c r="QOZ1"/>
      <c r="QPA1"/>
      <c r="QPB1"/>
      <c r="QPC1"/>
      <c r="QPD1"/>
      <c r="QPE1"/>
      <c r="QPF1"/>
      <c r="QPG1"/>
      <c r="QPH1"/>
      <c r="QPI1"/>
      <c r="QPJ1"/>
      <c r="QPK1"/>
      <c r="QPL1"/>
      <c r="QPM1"/>
      <c r="QPN1"/>
      <c r="QPO1"/>
      <c r="QPP1"/>
      <c r="QPQ1"/>
      <c r="QPR1"/>
      <c r="QPS1"/>
      <c r="QPT1"/>
      <c r="QPU1"/>
      <c r="QPV1"/>
      <c r="QPW1"/>
      <c r="QPX1"/>
      <c r="QPY1"/>
      <c r="QPZ1"/>
      <c r="QQA1"/>
      <c r="QQB1"/>
      <c r="QQC1"/>
      <c r="QQD1"/>
      <c r="QQE1"/>
      <c r="QQF1"/>
      <c r="QQG1"/>
      <c r="QQH1"/>
      <c r="QQI1"/>
      <c r="QQJ1"/>
      <c r="QQK1"/>
      <c r="QQL1"/>
      <c r="QQM1"/>
      <c r="QQN1"/>
      <c r="QQO1"/>
      <c r="QQP1"/>
      <c r="QQQ1"/>
      <c r="QQR1"/>
      <c r="QQS1"/>
      <c r="QQT1"/>
      <c r="QQU1"/>
      <c r="QQV1"/>
      <c r="QQW1"/>
      <c r="QQX1"/>
      <c r="QQY1"/>
      <c r="QQZ1"/>
      <c r="QRA1"/>
      <c r="QRB1"/>
      <c r="QRC1"/>
      <c r="QRD1"/>
      <c r="QRE1"/>
      <c r="QRF1"/>
      <c r="QRG1"/>
      <c r="QRH1"/>
      <c r="QRI1"/>
      <c r="QRJ1"/>
      <c r="QRK1"/>
      <c r="QRL1"/>
      <c r="QRM1"/>
      <c r="QRN1"/>
      <c r="QRO1"/>
      <c r="QRP1"/>
      <c r="QRQ1"/>
      <c r="QRR1"/>
      <c r="QRS1"/>
      <c r="QRT1"/>
      <c r="QRU1"/>
      <c r="QRV1"/>
      <c r="QRW1"/>
      <c r="QRX1"/>
      <c r="QRY1"/>
      <c r="QRZ1"/>
      <c r="QSA1"/>
      <c r="QSB1"/>
      <c r="QSC1"/>
      <c r="QSD1"/>
      <c r="QSE1"/>
      <c r="QSF1"/>
      <c r="QSG1"/>
      <c r="QSH1"/>
      <c r="QSI1"/>
      <c r="QSJ1"/>
      <c r="QSK1"/>
      <c r="QSL1"/>
      <c r="QSM1"/>
      <c r="QSN1"/>
      <c r="QSO1"/>
      <c r="QSP1"/>
      <c r="QSQ1"/>
      <c r="QSR1"/>
      <c r="QSS1"/>
      <c r="QST1"/>
      <c r="QSU1"/>
      <c r="QSV1"/>
      <c r="QSW1"/>
      <c r="QSX1"/>
      <c r="QSY1"/>
      <c r="QSZ1"/>
      <c r="QTA1"/>
      <c r="QTB1"/>
      <c r="QTC1"/>
      <c r="QTD1"/>
      <c r="QTE1"/>
      <c r="QTF1"/>
      <c r="QTG1"/>
      <c r="QTH1"/>
      <c r="QTI1"/>
      <c r="QTJ1"/>
      <c r="QTK1"/>
      <c r="QTL1"/>
      <c r="QTM1"/>
      <c r="QTN1"/>
      <c r="QTO1"/>
      <c r="QTP1"/>
      <c r="QTQ1"/>
      <c r="QTR1"/>
      <c r="QTS1"/>
      <c r="QTT1"/>
      <c r="QTU1"/>
      <c r="QTV1"/>
      <c r="QTW1"/>
      <c r="QTX1"/>
      <c r="QTY1"/>
      <c r="QTZ1"/>
      <c r="QUA1"/>
      <c r="QUB1"/>
      <c r="QUC1"/>
      <c r="QUD1"/>
      <c r="QUE1"/>
      <c r="QUF1"/>
      <c r="QUG1"/>
      <c r="QUH1"/>
      <c r="QUI1"/>
      <c r="QUJ1"/>
      <c r="QUK1"/>
      <c r="QUL1"/>
      <c r="QUM1"/>
      <c r="QUN1"/>
      <c r="QUO1"/>
      <c r="QUP1"/>
      <c r="QUQ1"/>
      <c r="QUR1"/>
      <c r="QUS1"/>
      <c r="QUT1"/>
      <c r="QUU1"/>
      <c r="QUV1"/>
      <c r="QUW1"/>
      <c r="QUX1"/>
      <c r="QUY1"/>
      <c r="QUZ1"/>
      <c r="QVA1"/>
      <c r="QVB1"/>
      <c r="QVC1"/>
      <c r="QVD1"/>
      <c r="QVE1"/>
      <c r="QVF1"/>
      <c r="QVG1"/>
      <c r="QVH1"/>
      <c r="QVI1"/>
      <c r="QVJ1"/>
      <c r="QVK1"/>
      <c r="QVL1"/>
      <c r="QVM1"/>
      <c r="QVN1"/>
      <c r="QVO1"/>
      <c r="QVP1"/>
      <c r="QVQ1"/>
      <c r="QVR1"/>
      <c r="QVS1"/>
      <c r="QVT1"/>
      <c r="QVU1"/>
      <c r="QVV1"/>
      <c r="QVW1"/>
      <c r="QVX1"/>
      <c r="QVY1"/>
      <c r="QVZ1"/>
      <c r="QWA1"/>
      <c r="QWB1"/>
      <c r="QWC1"/>
      <c r="QWD1"/>
      <c r="QWE1"/>
      <c r="QWF1"/>
      <c r="QWG1"/>
      <c r="QWH1"/>
      <c r="QWI1"/>
      <c r="QWJ1"/>
      <c r="QWK1"/>
      <c r="QWL1"/>
      <c r="QWM1"/>
      <c r="QWN1"/>
      <c r="QWO1"/>
      <c r="QWP1"/>
      <c r="QWQ1"/>
      <c r="QWR1"/>
      <c r="QWS1"/>
      <c r="QWT1"/>
      <c r="QWU1"/>
      <c r="QWV1"/>
      <c r="QWW1"/>
      <c r="QWX1"/>
      <c r="QWY1"/>
      <c r="QWZ1"/>
      <c r="QXA1"/>
      <c r="QXB1"/>
      <c r="QXC1"/>
      <c r="QXD1"/>
      <c r="QXE1"/>
      <c r="QXF1"/>
      <c r="QXG1"/>
      <c r="QXH1"/>
      <c r="QXI1"/>
      <c r="QXJ1"/>
      <c r="QXK1"/>
      <c r="QXL1"/>
      <c r="QXM1"/>
      <c r="QXN1"/>
      <c r="QXO1"/>
      <c r="QXP1"/>
      <c r="QXQ1"/>
      <c r="QXR1"/>
      <c r="QXS1"/>
      <c r="QXT1"/>
      <c r="QXU1"/>
      <c r="QXV1"/>
      <c r="QXW1"/>
      <c r="QXX1"/>
      <c r="QXY1"/>
      <c r="QXZ1"/>
      <c r="QYA1"/>
      <c r="QYB1"/>
      <c r="QYC1"/>
      <c r="QYD1"/>
      <c r="QYE1"/>
      <c r="QYF1"/>
      <c r="QYG1"/>
      <c r="QYH1"/>
      <c r="QYI1"/>
      <c r="QYJ1"/>
      <c r="QYK1"/>
      <c r="QYL1"/>
      <c r="QYM1"/>
      <c r="QYN1"/>
      <c r="QYO1"/>
      <c r="QYP1"/>
      <c r="QYQ1"/>
      <c r="QYR1"/>
      <c r="QYS1"/>
      <c r="QYT1"/>
      <c r="QYU1"/>
      <c r="QYV1"/>
      <c r="QYW1"/>
      <c r="QYX1"/>
      <c r="QYY1"/>
      <c r="QYZ1"/>
      <c r="QZA1"/>
      <c r="QZB1"/>
      <c r="QZC1"/>
      <c r="QZD1"/>
      <c r="QZE1"/>
      <c r="QZF1"/>
      <c r="QZG1"/>
      <c r="QZH1"/>
      <c r="QZI1"/>
      <c r="QZJ1"/>
      <c r="QZK1"/>
      <c r="QZL1"/>
      <c r="QZM1"/>
      <c r="QZN1"/>
      <c r="QZO1"/>
      <c r="QZP1"/>
      <c r="QZQ1"/>
      <c r="QZR1"/>
      <c r="QZS1"/>
      <c r="QZT1"/>
      <c r="QZU1"/>
      <c r="QZV1"/>
      <c r="QZW1"/>
      <c r="QZX1"/>
      <c r="QZY1"/>
      <c r="QZZ1"/>
      <c r="RAA1"/>
      <c r="RAB1"/>
      <c r="RAC1"/>
      <c r="RAD1"/>
      <c r="RAE1"/>
      <c r="RAF1"/>
      <c r="RAG1"/>
      <c r="RAH1"/>
      <c r="RAI1"/>
      <c r="RAJ1"/>
      <c r="RAK1"/>
      <c r="RAL1"/>
      <c r="RAM1"/>
      <c r="RAN1"/>
      <c r="RAO1"/>
      <c r="RAP1"/>
      <c r="RAQ1"/>
      <c r="RAR1"/>
      <c r="RAS1"/>
      <c r="RAT1"/>
      <c r="RAU1"/>
      <c r="RAV1"/>
      <c r="RAW1"/>
      <c r="RAX1"/>
      <c r="RAY1"/>
      <c r="RAZ1"/>
      <c r="RBA1"/>
      <c r="RBB1"/>
      <c r="RBC1"/>
      <c r="RBD1"/>
      <c r="RBE1"/>
      <c r="RBF1"/>
      <c r="RBG1"/>
      <c r="RBH1"/>
      <c r="RBI1"/>
      <c r="RBJ1"/>
      <c r="RBK1"/>
      <c r="RBL1"/>
      <c r="RBM1"/>
      <c r="RBN1"/>
      <c r="RBO1"/>
      <c r="RBP1"/>
      <c r="RBQ1"/>
      <c r="RBR1"/>
      <c r="RBS1"/>
      <c r="RBT1"/>
      <c r="RBU1"/>
      <c r="RBV1"/>
      <c r="RBW1"/>
      <c r="RBX1"/>
      <c r="RBY1"/>
      <c r="RBZ1"/>
      <c r="RCA1"/>
      <c r="RCB1"/>
      <c r="RCC1"/>
      <c r="RCD1"/>
      <c r="RCE1"/>
      <c r="RCF1"/>
      <c r="RCG1"/>
      <c r="RCH1"/>
      <c r="RCI1"/>
      <c r="RCJ1"/>
      <c r="RCK1"/>
      <c r="RCL1"/>
      <c r="RCM1"/>
      <c r="RCN1"/>
      <c r="RCO1"/>
      <c r="RCP1"/>
      <c r="RCQ1"/>
      <c r="RCR1"/>
      <c r="RCS1"/>
      <c r="RCT1"/>
      <c r="RCU1"/>
      <c r="RCV1"/>
      <c r="RCW1"/>
      <c r="RCX1"/>
      <c r="RCY1"/>
      <c r="RCZ1"/>
      <c r="RDA1"/>
      <c r="RDB1"/>
      <c r="RDC1"/>
      <c r="RDD1"/>
      <c r="RDE1"/>
      <c r="RDF1"/>
      <c r="RDG1"/>
      <c r="RDH1"/>
      <c r="RDI1"/>
      <c r="RDJ1"/>
      <c r="RDK1"/>
      <c r="RDL1"/>
      <c r="RDM1"/>
      <c r="RDN1"/>
      <c r="RDO1"/>
      <c r="RDP1"/>
      <c r="RDQ1"/>
      <c r="RDR1"/>
      <c r="RDS1"/>
      <c r="RDT1"/>
      <c r="RDU1"/>
      <c r="RDV1"/>
      <c r="RDW1"/>
      <c r="RDX1"/>
      <c r="RDY1"/>
      <c r="RDZ1"/>
      <c r="REA1"/>
      <c r="REB1"/>
      <c r="REC1"/>
      <c r="RED1"/>
      <c r="REE1"/>
      <c r="REF1"/>
      <c r="REG1"/>
      <c r="REH1"/>
      <c r="REI1"/>
      <c r="REJ1"/>
      <c r="REK1"/>
      <c r="REL1"/>
      <c r="REM1"/>
      <c r="REN1"/>
      <c r="REO1"/>
      <c r="REP1"/>
      <c r="REQ1"/>
      <c r="RER1"/>
      <c r="RES1"/>
      <c r="RET1"/>
      <c r="REU1"/>
      <c r="REV1"/>
      <c r="REW1"/>
      <c r="REX1"/>
      <c r="REY1"/>
      <c r="REZ1"/>
      <c r="RFA1"/>
      <c r="RFB1"/>
      <c r="RFC1"/>
      <c r="RFD1"/>
      <c r="RFE1"/>
      <c r="RFF1"/>
      <c r="RFG1"/>
      <c r="RFH1"/>
      <c r="RFI1"/>
      <c r="RFJ1"/>
      <c r="RFK1"/>
      <c r="RFL1"/>
      <c r="RFM1"/>
      <c r="RFN1"/>
      <c r="RFO1"/>
      <c r="RFP1"/>
      <c r="RFQ1"/>
      <c r="RFR1"/>
      <c r="RFS1"/>
      <c r="RFT1"/>
      <c r="RFU1"/>
      <c r="RFV1"/>
      <c r="RFW1"/>
      <c r="RFX1"/>
      <c r="RFY1"/>
      <c r="RFZ1"/>
      <c r="RGA1"/>
      <c r="RGB1"/>
      <c r="RGC1"/>
      <c r="RGD1"/>
      <c r="RGE1"/>
      <c r="RGF1"/>
      <c r="RGG1"/>
      <c r="RGH1"/>
      <c r="RGI1"/>
      <c r="RGJ1"/>
      <c r="RGK1"/>
      <c r="RGL1"/>
      <c r="RGM1"/>
      <c r="RGN1"/>
      <c r="RGO1"/>
      <c r="RGP1"/>
      <c r="RGQ1"/>
      <c r="RGR1"/>
      <c r="RGS1"/>
      <c r="RGT1"/>
      <c r="RGU1"/>
      <c r="RGV1"/>
      <c r="RGW1"/>
      <c r="RGX1"/>
      <c r="RGY1"/>
      <c r="RGZ1"/>
      <c r="RHA1"/>
      <c r="RHB1"/>
      <c r="RHC1"/>
      <c r="RHD1"/>
      <c r="RHE1"/>
      <c r="RHF1"/>
      <c r="RHG1"/>
      <c r="RHH1"/>
      <c r="RHI1"/>
      <c r="RHJ1"/>
      <c r="RHK1"/>
      <c r="RHL1"/>
      <c r="RHM1"/>
      <c r="RHN1"/>
      <c r="RHO1"/>
      <c r="RHP1"/>
      <c r="RHQ1"/>
      <c r="RHR1"/>
      <c r="RHS1"/>
      <c r="RHT1"/>
      <c r="RHU1"/>
      <c r="RHV1"/>
      <c r="RHW1"/>
      <c r="RHX1"/>
      <c r="RHY1"/>
      <c r="RHZ1"/>
      <c r="RIA1"/>
      <c r="RIB1"/>
      <c r="RIC1"/>
      <c r="RID1"/>
      <c r="RIE1"/>
      <c r="RIF1"/>
      <c r="RIG1"/>
      <c r="RIH1"/>
      <c r="RII1"/>
      <c r="RIJ1"/>
      <c r="RIK1"/>
      <c r="RIL1"/>
      <c r="RIM1"/>
      <c r="RIN1"/>
      <c r="RIO1"/>
      <c r="RIP1"/>
      <c r="RIQ1"/>
      <c r="RIR1"/>
      <c r="RIS1"/>
      <c r="RIT1"/>
      <c r="RIU1"/>
      <c r="RIV1"/>
      <c r="RIW1"/>
      <c r="RIX1"/>
      <c r="RIY1"/>
      <c r="RIZ1"/>
      <c r="RJA1"/>
      <c r="RJB1"/>
      <c r="RJC1"/>
      <c r="RJD1"/>
      <c r="RJE1"/>
      <c r="RJF1"/>
      <c r="RJG1"/>
      <c r="RJH1"/>
      <c r="RJI1"/>
      <c r="RJJ1"/>
      <c r="RJK1"/>
      <c r="RJL1"/>
      <c r="RJM1"/>
      <c r="RJN1"/>
      <c r="RJO1"/>
      <c r="RJP1"/>
      <c r="RJQ1"/>
      <c r="RJR1"/>
      <c r="RJS1"/>
      <c r="RJT1"/>
      <c r="RJU1"/>
      <c r="RJV1"/>
      <c r="RJW1"/>
      <c r="RJX1"/>
      <c r="RJY1"/>
      <c r="RJZ1"/>
      <c r="RKA1"/>
      <c r="RKB1"/>
      <c r="RKC1"/>
      <c r="RKD1"/>
      <c r="RKE1"/>
      <c r="RKF1"/>
      <c r="RKG1"/>
      <c r="RKH1"/>
      <c r="RKI1"/>
      <c r="RKJ1"/>
      <c r="RKK1"/>
      <c r="RKL1"/>
      <c r="RKM1"/>
      <c r="RKN1"/>
      <c r="RKO1"/>
      <c r="RKP1"/>
      <c r="RKQ1"/>
      <c r="RKR1"/>
      <c r="RKS1"/>
      <c r="RKT1"/>
      <c r="RKU1"/>
      <c r="RKV1"/>
      <c r="RKW1"/>
      <c r="RKX1"/>
      <c r="RKY1"/>
      <c r="RKZ1"/>
      <c r="RLA1"/>
      <c r="RLB1"/>
      <c r="RLC1"/>
      <c r="RLD1"/>
      <c r="RLE1"/>
      <c r="RLF1"/>
      <c r="RLG1"/>
      <c r="RLH1"/>
      <c r="RLI1"/>
      <c r="RLJ1"/>
      <c r="RLK1"/>
      <c r="RLL1"/>
      <c r="RLM1"/>
      <c r="RLN1"/>
      <c r="RLO1"/>
      <c r="RLP1"/>
      <c r="RLQ1"/>
      <c r="RLR1"/>
      <c r="RLS1"/>
      <c r="RLT1"/>
      <c r="RLU1"/>
      <c r="RLV1"/>
      <c r="RLW1"/>
      <c r="RLX1"/>
      <c r="RLY1"/>
      <c r="RLZ1"/>
      <c r="RMA1"/>
      <c r="RMB1"/>
      <c r="RMC1"/>
      <c r="RMD1"/>
      <c r="RME1"/>
      <c r="RMF1"/>
      <c r="RMG1"/>
      <c r="RMH1"/>
      <c r="RMI1"/>
      <c r="RMJ1"/>
      <c r="RMK1"/>
      <c r="RML1"/>
      <c r="RMM1"/>
      <c r="RMN1"/>
      <c r="RMO1"/>
      <c r="RMP1"/>
      <c r="RMQ1"/>
      <c r="RMR1"/>
      <c r="RMS1"/>
      <c r="RMT1"/>
      <c r="RMU1"/>
      <c r="RMV1"/>
      <c r="RMW1"/>
      <c r="RMX1"/>
      <c r="RMY1"/>
      <c r="RMZ1"/>
      <c r="RNA1"/>
      <c r="RNB1"/>
      <c r="RNC1"/>
      <c r="RND1"/>
      <c r="RNE1"/>
      <c r="RNF1"/>
      <c r="RNG1"/>
      <c r="RNH1"/>
      <c r="RNI1"/>
      <c r="RNJ1"/>
      <c r="RNK1"/>
      <c r="RNL1"/>
      <c r="RNM1"/>
      <c r="RNN1"/>
      <c r="RNO1"/>
      <c r="RNP1"/>
      <c r="RNQ1"/>
      <c r="RNR1"/>
      <c r="RNS1"/>
      <c r="RNT1"/>
      <c r="RNU1"/>
      <c r="RNV1"/>
      <c r="RNW1"/>
      <c r="RNX1"/>
      <c r="RNY1"/>
      <c r="RNZ1"/>
      <c r="ROA1"/>
      <c r="ROB1"/>
      <c r="ROC1"/>
      <c r="ROD1"/>
      <c r="ROE1"/>
      <c r="ROF1"/>
      <c r="ROG1"/>
      <c r="ROH1"/>
      <c r="ROI1"/>
      <c r="ROJ1"/>
      <c r="ROK1"/>
      <c r="ROL1"/>
      <c r="ROM1"/>
      <c r="RON1"/>
      <c r="ROO1"/>
      <c r="ROP1"/>
      <c r="ROQ1"/>
      <c r="ROR1"/>
      <c r="ROS1"/>
      <c r="ROT1"/>
      <c r="ROU1"/>
      <c r="ROV1"/>
      <c r="ROW1"/>
      <c r="ROX1"/>
      <c r="ROY1"/>
      <c r="ROZ1"/>
      <c r="RPA1"/>
      <c r="RPB1"/>
      <c r="RPC1"/>
      <c r="RPD1"/>
      <c r="RPE1"/>
      <c r="RPF1"/>
      <c r="RPG1"/>
      <c r="RPH1"/>
      <c r="RPI1"/>
      <c r="RPJ1"/>
      <c r="RPK1"/>
      <c r="RPL1"/>
      <c r="RPM1"/>
      <c r="RPN1"/>
      <c r="RPO1"/>
      <c r="RPP1"/>
      <c r="RPQ1"/>
      <c r="RPR1"/>
      <c r="RPS1"/>
      <c r="RPT1"/>
      <c r="RPU1"/>
      <c r="RPV1"/>
      <c r="RPW1"/>
      <c r="RPX1"/>
      <c r="RPY1"/>
      <c r="RPZ1"/>
      <c r="RQA1"/>
      <c r="RQB1"/>
      <c r="RQC1"/>
      <c r="RQD1"/>
      <c r="RQE1"/>
      <c r="RQF1"/>
      <c r="RQG1"/>
      <c r="RQH1"/>
      <c r="RQI1"/>
      <c r="RQJ1"/>
      <c r="RQK1"/>
      <c r="RQL1"/>
      <c r="RQM1"/>
      <c r="RQN1"/>
      <c r="RQO1"/>
      <c r="RQP1"/>
      <c r="RQQ1"/>
      <c r="RQR1"/>
      <c r="RQS1"/>
      <c r="RQT1"/>
      <c r="RQU1"/>
      <c r="RQV1"/>
      <c r="RQW1"/>
      <c r="RQX1"/>
      <c r="RQY1"/>
      <c r="RQZ1"/>
      <c r="RRA1"/>
      <c r="RRB1"/>
      <c r="RRC1"/>
      <c r="RRD1"/>
      <c r="RRE1"/>
      <c r="RRF1"/>
      <c r="RRG1"/>
      <c r="RRH1"/>
      <c r="RRI1"/>
      <c r="RRJ1"/>
      <c r="RRK1"/>
      <c r="RRL1"/>
      <c r="RRM1"/>
      <c r="RRN1"/>
      <c r="RRO1"/>
      <c r="RRP1"/>
      <c r="RRQ1"/>
      <c r="RRR1"/>
      <c r="RRS1"/>
      <c r="RRT1"/>
      <c r="RRU1"/>
      <c r="RRV1"/>
      <c r="RRW1"/>
      <c r="RRX1"/>
      <c r="RRY1"/>
      <c r="RRZ1"/>
      <c r="RSA1"/>
      <c r="RSB1"/>
      <c r="RSC1"/>
      <c r="RSD1"/>
      <c r="RSE1"/>
      <c r="RSF1"/>
      <c r="RSG1"/>
      <c r="RSH1"/>
      <c r="RSI1"/>
      <c r="RSJ1"/>
      <c r="RSK1"/>
      <c r="RSL1"/>
      <c r="RSM1"/>
      <c r="RSN1"/>
      <c r="RSO1"/>
      <c r="RSP1"/>
      <c r="RSQ1"/>
      <c r="RSR1"/>
      <c r="RSS1"/>
      <c r="RST1"/>
      <c r="RSU1"/>
      <c r="RSV1"/>
      <c r="RSW1"/>
      <c r="RSX1"/>
      <c r="RSY1"/>
      <c r="RSZ1"/>
      <c r="RTA1"/>
      <c r="RTB1"/>
      <c r="RTC1"/>
      <c r="RTD1"/>
      <c r="RTE1"/>
      <c r="RTF1"/>
      <c r="RTG1"/>
      <c r="RTH1"/>
      <c r="RTI1"/>
      <c r="RTJ1"/>
      <c r="RTK1"/>
      <c r="RTL1"/>
      <c r="RTM1"/>
      <c r="RTN1"/>
      <c r="RTO1"/>
      <c r="RTP1"/>
      <c r="RTQ1"/>
      <c r="RTR1"/>
      <c r="RTS1"/>
      <c r="RTT1"/>
      <c r="RTU1"/>
      <c r="RTV1"/>
      <c r="RTW1"/>
      <c r="RTX1"/>
      <c r="RTY1"/>
      <c r="RTZ1"/>
      <c r="RUA1"/>
      <c r="RUB1"/>
      <c r="RUC1"/>
      <c r="RUD1"/>
      <c r="RUE1"/>
      <c r="RUF1"/>
      <c r="RUG1"/>
      <c r="RUH1"/>
      <c r="RUI1"/>
      <c r="RUJ1"/>
      <c r="RUK1"/>
      <c r="RUL1"/>
      <c r="RUM1"/>
      <c r="RUN1"/>
      <c r="RUO1"/>
      <c r="RUP1"/>
      <c r="RUQ1"/>
      <c r="RUR1"/>
      <c r="RUS1"/>
      <c r="RUT1"/>
      <c r="RUU1"/>
      <c r="RUV1"/>
      <c r="RUW1"/>
      <c r="RUX1"/>
      <c r="RUY1"/>
      <c r="RUZ1"/>
      <c r="RVA1"/>
      <c r="RVB1"/>
      <c r="RVC1"/>
      <c r="RVD1"/>
      <c r="RVE1"/>
      <c r="RVF1"/>
      <c r="RVG1"/>
      <c r="RVH1"/>
      <c r="RVI1"/>
      <c r="RVJ1"/>
      <c r="RVK1"/>
      <c r="RVL1"/>
      <c r="RVM1"/>
      <c r="RVN1"/>
      <c r="RVO1"/>
      <c r="RVP1"/>
      <c r="RVQ1"/>
      <c r="RVR1"/>
      <c r="RVS1"/>
      <c r="RVT1"/>
      <c r="RVU1"/>
      <c r="RVV1"/>
      <c r="RVW1"/>
      <c r="RVX1"/>
      <c r="RVY1"/>
      <c r="RVZ1"/>
      <c r="RWA1"/>
      <c r="RWB1"/>
      <c r="RWC1"/>
      <c r="RWD1"/>
      <c r="RWE1"/>
      <c r="RWF1"/>
      <c r="RWG1"/>
      <c r="RWH1"/>
      <c r="RWI1"/>
      <c r="RWJ1"/>
      <c r="RWK1"/>
      <c r="RWL1"/>
      <c r="RWM1"/>
      <c r="RWN1"/>
      <c r="RWO1"/>
      <c r="RWP1"/>
      <c r="RWQ1"/>
      <c r="RWR1"/>
      <c r="RWS1"/>
      <c r="RWT1"/>
      <c r="RWU1"/>
      <c r="RWV1"/>
      <c r="RWW1"/>
      <c r="RWX1"/>
      <c r="RWY1"/>
      <c r="RWZ1"/>
      <c r="RXA1"/>
      <c r="RXB1"/>
      <c r="RXC1"/>
      <c r="RXD1"/>
      <c r="RXE1"/>
      <c r="RXF1"/>
      <c r="RXG1"/>
      <c r="RXH1"/>
      <c r="RXI1"/>
      <c r="RXJ1"/>
      <c r="RXK1"/>
      <c r="RXL1"/>
      <c r="RXM1"/>
      <c r="RXN1"/>
      <c r="RXO1"/>
      <c r="RXP1"/>
      <c r="RXQ1"/>
      <c r="RXR1"/>
      <c r="RXS1"/>
      <c r="RXT1"/>
      <c r="RXU1"/>
      <c r="RXV1"/>
      <c r="RXW1"/>
      <c r="RXX1"/>
      <c r="RXY1"/>
      <c r="RXZ1"/>
      <c r="RYA1"/>
      <c r="RYB1"/>
      <c r="RYC1"/>
      <c r="RYD1"/>
      <c r="RYE1"/>
      <c r="RYF1"/>
      <c r="RYG1"/>
      <c r="RYH1"/>
      <c r="RYI1"/>
      <c r="RYJ1"/>
      <c r="RYK1"/>
      <c r="RYL1"/>
      <c r="RYM1"/>
      <c r="RYN1"/>
      <c r="RYO1"/>
      <c r="RYP1"/>
      <c r="RYQ1"/>
      <c r="RYR1"/>
      <c r="RYS1"/>
      <c r="RYT1"/>
      <c r="RYU1"/>
      <c r="RYV1"/>
      <c r="RYW1"/>
      <c r="RYX1"/>
      <c r="RYY1"/>
      <c r="RYZ1"/>
      <c r="RZA1"/>
      <c r="RZB1"/>
      <c r="RZC1"/>
      <c r="RZD1"/>
      <c r="RZE1"/>
      <c r="RZF1"/>
      <c r="RZG1"/>
      <c r="RZH1"/>
      <c r="RZI1"/>
      <c r="RZJ1"/>
      <c r="RZK1"/>
      <c r="RZL1"/>
      <c r="RZM1"/>
      <c r="RZN1"/>
      <c r="RZO1"/>
      <c r="RZP1"/>
      <c r="RZQ1"/>
      <c r="RZR1"/>
      <c r="RZS1"/>
      <c r="RZT1"/>
      <c r="RZU1"/>
      <c r="RZV1"/>
      <c r="RZW1"/>
      <c r="RZX1"/>
      <c r="RZY1"/>
      <c r="RZZ1"/>
      <c r="SAA1"/>
      <c r="SAB1"/>
      <c r="SAC1"/>
      <c r="SAD1"/>
      <c r="SAE1"/>
      <c r="SAF1"/>
      <c r="SAG1"/>
      <c r="SAH1"/>
      <c r="SAI1"/>
      <c r="SAJ1"/>
      <c r="SAK1"/>
      <c r="SAL1"/>
      <c r="SAM1"/>
      <c r="SAN1"/>
      <c r="SAO1"/>
      <c r="SAP1"/>
      <c r="SAQ1"/>
      <c r="SAR1"/>
      <c r="SAS1"/>
      <c r="SAT1"/>
      <c r="SAU1"/>
      <c r="SAV1"/>
      <c r="SAW1"/>
      <c r="SAX1"/>
      <c r="SAY1"/>
      <c r="SAZ1"/>
      <c r="SBA1"/>
      <c r="SBB1"/>
      <c r="SBC1"/>
      <c r="SBD1"/>
      <c r="SBE1"/>
      <c r="SBF1"/>
      <c r="SBG1"/>
      <c r="SBH1"/>
      <c r="SBI1"/>
      <c r="SBJ1"/>
      <c r="SBK1"/>
      <c r="SBL1"/>
      <c r="SBM1"/>
      <c r="SBN1"/>
      <c r="SBO1"/>
      <c r="SBP1"/>
      <c r="SBQ1"/>
      <c r="SBR1"/>
      <c r="SBS1"/>
      <c r="SBT1"/>
      <c r="SBU1"/>
      <c r="SBV1"/>
      <c r="SBW1"/>
      <c r="SBX1"/>
      <c r="SBY1"/>
      <c r="SBZ1"/>
      <c r="SCA1"/>
      <c r="SCB1"/>
      <c r="SCC1"/>
      <c r="SCD1"/>
      <c r="SCE1"/>
      <c r="SCF1"/>
      <c r="SCG1"/>
      <c r="SCH1"/>
      <c r="SCI1"/>
      <c r="SCJ1"/>
      <c r="SCK1"/>
      <c r="SCL1"/>
      <c r="SCM1"/>
      <c r="SCN1"/>
      <c r="SCO1"/>
      <c r="SCP1"/>
      <c r="SCQ1"/>
      <c r="SCR1"/>
      <c r="SCS1"/>
      <c r="SCT1"/>
      <c r="SCU1"/>
      <c r="SCV1"/>
      <c r="SCW1"/>
      <c r="SCX1"/>
      <c r="SCY1"/>
      <c r="SCZ1"/>
      <c r="SDA1"/>
      <c r="SDB1"/>
      <c r="SDC1"/>
      <c r="SDD1"/>
      <c r="SDE1"/>
      <c r="SDF1"/>
      <c r="SDG1"/>
      <c r="SDH1"/>
      <c r="SDI1"/>
      <c r="SDJ1"/>
      <c r="SDK1"/>
      <c r="SDL1"/>
      <c r="SDM1"/>
      <c r="SDN1"/>
      <c r="SDO1"/>
      <c r="SDP1"/>
      <c r="SDQ1"/>
      <c r="SDR1"/>
      <c r="SDS1"/>
      <c r="SDT1"/>
      <c r="SDU1"/>
      <c r="SDV1"/>
      <c r="SDW1"/>
      <c r="SDX1"/>
      <c r="SDY1"/>
      <c r="SDZ1"/>
      <c r="SEA1"/>
      <c r="SEB1"/>
      <c r="SEC1"/>
      <c r="SED1"/>
      <c r="SEE1"/>
      <c r="SEF1"/>
      <c r="SEG1"/>
      <c r="SEH1"/>
      <c r="SEI1"/>
      <c r="SEJ1"/>
      <c r="SEK1"/>
      <c r="SEL1"/>
      <c r="SEM1"/>
      <c r="SEN1"/>
      <c r="SEO1"/>
      <c r="SEP1"/>
      <c r="SEQ1"/>
      <c r="SER1"/>
      <c r="SES1"/>
      <c r="SET1"/>
      <c r="SEU1"/>
      <c r="SEV1"/>
      <c r="SEW1"/>
      <c r="SEX1"/>
      <c r="SEY1"/>
      <c r="SEZ1"/>
      <c r="SFA1"/>
      <c r="SFB1"/>
      <c r="SFC1"/>
      <c r="SFD1"/>
      <c r="SFE1"/>
      <c r="SFF1"/>
      <c r="SFG1"/>
      <c r="SFH1"/>
      <c r="SFI1"/>
      <c r="SFJ1"/>
      <c r="SFK1"/>
      <c r="SFL1"/>
      <c r="SFM1"/>
      <c r="SFN1"/>
      <c r="SFO1"/>
      <c r="SFP1"/>
      <c r="SFQ1"/>
      <c r="SFR1"/>
      <c r="SFS1"/>
      <c r="SFT1"/>
      <c r="SFU1"/>
      <c r="SFV1"/>
      <c r="SFW1"/>
      <c r="SFX1"/>
      <c r="SFY1"/>
      <c r="SFZ1"/>
      <c r="SGA1"/>
      <c r="SGB1"/>
      <c r="SGC1"/>
      <c r="SGD1"/>
      <c r="SGE1"/>
      <c r="SGF1"/>
      <c r="SGG1"/>
      <c r="SGH1"/>
      <c r="SGI1"/>
      <c r="SGJ1"/>
      <c r="SGK1"/>
      <c r="SGL1"/>
      <c r="SGM1"/>
      <c r="SGN1"/>
      <c r="SGO1"/>
      <c r="SGP1"/>
      <c r="SGQ1"/>
      <c r="SGR1"/>
      <c r="SGS1"/>
      <c r="SGT1"/>
      <c r="SGU1"/>
      <c r="SGV1"/>
      <c r="SGW1"/>
      <c r="SGX1"/>
      <c r="SGY1"/>
      <c r="SGZ1"/>
      <c r="SHA1"/>
      <c r="SHB1"/>
      <c r="SHC1"/>
      <c r="SHD1"/>
      <c r="SHE1"/>
      <c r="SHF1"/>
      <c r="SHG1"/>
      <c r="SHH1"/>
      <c r="SHI1"/>
      <c r="SHJ1"/>
      <c r="SHK1"/>
      <c r="SHL1"/>
      <c r="SHM1"/>
      <c r="SHN1"/>
      <c r="SHO1"/>
      <c r="SHP1"/>
      <c r="SHQ1"/>
      <c r="SHR1"/>
      <c r="SHS1"/>
      <c r="SHT1"/>
      <c r="SHU1"/>
      <c r="SHV1"/>
      <c r="SHW1"/>
      <c r="SHX1"/>
      <c r="SHY1"/>
      <c r="SHZ1"/>
      <c r="SIA1"/>
      <c r="SIB1"/>
      <c r="SIC1"/>
      <c r="SID1"/>
      <c r="SIE1"/>
      <c r="SIF1"/>
      <c r="SIG1"/>
      <c r="SIH1"/>
      <c r="SII1"/>
      <c r="SIJ1"/>
      <c r="SIK1"/>
      <c r="SIL1"/>
      <c r="SIM1"/>
      <c r="SIN1"/>
      <c r="SIO1"/>
      <c r="SIP1"/>
      <c r="SIQ1"/>
      <c r="SIR1"/>
      <c r="SIS1"/>
      <c r="SIT1"/>
      <c r="SIU1"/>
      <c r="SIV1"/>
      <c r="SIW1"/>
      <c r="SIX1"/>
      <c r="SIY1"/>
      <c r="SIZ1"/>
      <c r="SJA1"/>
      <c r="SJB1"/>
      <c r="SJC1"/>
      <c r="SJD1"/>
      <c r="SJE1"/>
      <c r="SJF1"/>
      <c r="SJG1"/>
      <c r="SJH1"/>
      <c r="SJI1"/>
      <c r="SJJ1"/>
      <c r="SJK1"/>
      <c r="SJL1"/>
      <c r="SJM1"/>
      <c r="SJN1"/>
      <c r="SJO1"/>
      <c r="SJP1"/>
      <c r="SJQ1"/>
      <c r="SJR1"/>
      <c r="SJS1"/>
      <c r="SJT1"/>
      <c r="SJU1"/>
      <c r="SJV1"/>
      <c r="SJW1"/>
      <c r="SJX1"/>
      <c r="SJY1"/>
      <c r="SJZ1"/>
      <c r="SKA1"/>
      <c r="SKB1"/>
      <c r="SKC1"/>
      <c r="SKD1"/>
      <c r="SKE1"/>
      <c r="SKF1"/>
      <c r="SKG1"/>
      <c r="SKH1"/>
      <c r="SKI1"/>
      <c r="SKJ1"/>
      <c r="SKK1"/>
      <c r="SKL1"/>
      <c r="SKM1"/>
      <c r="SKN1"/>
      <c r="SKO1"/>
      <c r="SKP1"/>
      <c r="SKQ1"/>
      <c r="SKR1"/>
      <c r="SKS1"/>
      <c r="SKT1"/>
      <c r="SKU1"/>
      <c r="SKV1"/>
      <c r="SKW1"/>
      <c r="SKX1"/>
      <c r="SKY1"/>
      <c r="SKZ1"/>
      <c r="SLA1"/>
      <c r="SLB1"/>
      <c r="SLC1"/>
      <c r="SLD1"/>
      <c r="SLE1"/>
      <c r="SLF1"/>
      <c r="SLG1"/>
      <c r="SLH1"/>
      <c r="SLI1"/>
      <c r="SLJ1"/>
      <c r="SLK1"/>
      <c r="SLL1"/>
      <c r="SLM1"/>
      <c r="SLN1"/>
      <c r="SLO1"/>
      <c r="SLP1"/>
      <c r="SLQ1"/>
      <c r="SLR1"/>
      <c r="SLS1"/>
      <c r="SLT1"/>
      <c r="SLU1"/>
      <c r="SLV1"/>
      <c r="SLW1"/>
      <c r="SLX1"/>
      <c r="SLY1"/>
      <c r="SLZ1"/>
      <c r="SMA1"/>
      <c r="SMB1"/>
      <c r="SMC1"/>
      <c r="SMD1"/>
      <c r="SME1"/>
      <c r="SMF1"/>
      <c r="SMG1"/>
      <c r="SMH1"/>
      <c r="SMI1"/>
      <c r="SMJ1"/>
      <c r="SMK1"/>
      <c r="SML1"/>
      <c r="SMM1"/>
      <c r="SMN1"/>
      <c r="SMO1"/>
      <c r="SMP1"/>
      <c r="SMQ1"/>
      <c r="SMR1"/>
      <c r="SMS1"/>
      <c r="SMT1"/>
      <c r="SMU1"/>
      <c r="SMV1"/>
      <c r="SMW1"/>
      <c r="SMX1"/>
      <c r="SMY1"/>
      <c r="SMZ1"/>
      <c r="SNA1"/>
      <c r="SNB1"/>
      <c r="SNC1"/>
      <c r="SND1"/>
      <c r="SNE1"/>
      <c r="SNF1"/>
      <c r="SNG1"/>
      <c r="SNH1"/>
      <c r="SNI1"/>
      <c r="SNJ1"/>
      <c r="SNK1"/>
      <c r="SNL1"/>
      <c r="SNM1"/>
      <c r="SNN1"/>
      <c r="SNO1"/>
      <c r="SNP1"/>
      <c r="SNQ1"/>
      <c r="SNR1"/>
      <c r="SNS1"/>
      <c r="SNT1"/>
      <c r="SNU1"/>
      <c r="SNV1"/>
      <c r="SNW1"/>
      <c r="SNX1"/>
      <c r="SNY1"/>
      <c r="SNZ1"/>
      <c r="SOA1"/>
      <c r="SOB1"/>
      <c r="SOC1"/>
      <c r="SOD1"/>
      <c r="SOE1"/>
      <c r="SOF1"/>
      <c r="SOG1"/>
      <c r="SOH1"/>
      <c r="SOI1"/>
      <c r="SOJ1"/>
      <c r="SOK1"/>
      <c r="SOL1"/>
      <c r="SOM1"/>
      <c r="SON1"/>
      <c r="SOO1"/>
      <c r="SOP1"/>
      <c r="SOQ1"/>
      <c r="SOR1"/>
      <c r="SOS1"/>
      <c r="SOT1"/>
      <c r="SOU1"/>
      <c r="SOV1"/>
      <c r="SOW1"/>
      <c r="SOX1"/>
      <c r="SOY1"/>
      <c r="SOZ1"/>
      <c r="SPA1"/>
      <c r="SPB1"/>
      <c r="SPC1"/>
      <c r="SPD1"/>
      <c r="SPE1"/>
      <c r="SPF1"/>
      <c r="SPG1"/>
      <c r="SPH1"/>
      <c r="SPI1"/>
      <c r="SPJ1"/>
      <c r="SPK1"/>
      <c r="SPL1"/>
      <c r="SPM1"/>
      <c r="SPN1"/>
      <c r="SPO1"/>
      <c r="SPP1"/>
      <c r="SPQ1"/>
      <c r="SPR1"/>
      <c r="SPS1"/>
      <c r="SPT1"/>
      <c r="SPU1"/>
      <c r="SPV1"/>
      <c r="SPW1"/>
      <c r="SPX1"/>
      <c r="SPY1"/>
      <c r="SPZ1"/>
      <c r="SQA1"/>
      <c r="SQB1"/>
      <c r="SQC1"/>
      <c r="SQD1"/>
      <c r="SQE1"/>
      <c r="SQF1"/>
      <c r="SQG1"/>
      <c r="SQH1"/>
      <c r="SQI1"/>
      <c r="SQJ1"/>
      <c r="SQK1"/>
      <c r="SQL1"/>
      <c r="SQM1"/>
      <c r="SQN1"/>
      <c r="SQO1"/>
      <c r="SQP1"/>
      <c r="SQQ1"/>
      <c r="SQR1"/>
      <c r="SQS1"/>
      <c r="SQT1"/>
      <c r="SQU1"/>
      <c r="SQV1"/>
      <c r="SQW1"/>
      <c r="SQX1"/>
      <c r="SQY1"/>
      <c r="SQZ1"/>
      <c r="SRA1"/>
      <c r="SRB1"/>
      <c r="SRC1"/>
      <c r="SRD1"/>
      <c r="SRE1"/>
      <c r="SRF1"/>
      <c r="SRG1"/>
      <c r="SRH1"/>
      <c r="SRI1"/>
      <c r="SRJ1"/>
      <c r="SRK1"/>
      <c r="SRL1"/>
      <c r="SRM1"/>
      <c r="SRN1"/>
      <c r="SRO1"/>
      <c r="SRP1"/>
      <c r="SRQ1"/>
      <c r="SRR1"/>
      <c r="SRS1"/>
      <c r="SRT1"/>
      <c r="SRU1"/>
      <c r="SRV1"/>
      <c r="SRW1"/>
      <c r="SRX1"/>
      <c r="SRY1"/>
      <c r="SRZ1"/>
      <c r="SSA1"/>
      <c r="SSB1"/>
      <c r="SSC1"/>
      <c r="SSD1"/>
      <c r="SSE1"/>
      <c r="SSF1"/>
      <c r="SSG1"/>
      <c r="SSH1"/>
      <c r="SSI1"/>
      <c r="SSJ1"/>
      <c r="SSK1"/>
      <c r="SSL1"/>
      <c r="SSM1"/>
      <c r="SSN1"/>
      <c r="SSO1"/>
      <c r="SSP1"/>
      <c r="SSQ1"/>
      <c r="SSR1"/>
      <c r="SSS1"/>
      <c r="SST1"/>
      <c r="SSU1"/>
      <c r="SSV1"/>
      <c r="SSW1"/>
      <c r="SSX1"/>
      <c r="SSY1"/>
      <c r="SSZ1"/>
      <c r="STA1"/>
      <c r="STB1"/>
      <c r="STC1"/>
      <c r="STD1"/>
      <c r="STE1"/>
      <c r="STF1"/>
      <c r="STG1"/>
      <c r="STH1"/>
      <c r="STI1"/>
      <c r="STJ1"/>
      <c r="STK1"/>
      <c r="STL1"/>
      <c r="STM1"/>
      <c r="STN1"/>
      <c r="STO1"/>
      <c r="STP1"/>
      <c r="STQ1"/>
      <c r="STR1"/>
      <c r="STS1"/>
      <c r="STT1"/>
      <c r="STU1"/>
      <c r="STV1"/>
      <c r="STW1"/>
      <c r="STX1"/>
      <c r="STY1"/>
      <c r="STZ1"/>
      <c r="SUA1"/>
      <c r="SUB1"/>
      <c r="SUC1"/>
      <c r="SUD1"/>
      <c r="SUE1"/>
      <c r="SUF1"/>
      <c r="SUG1"/>
      <c r="SUH1"/>
      <c r="SUI1"/>
      <c r="SUJ1"/>
      <c r="SUK1"/>
      <c r="SUL1"/>
      <c r="SUM1"/>
      <c r="SUN1"/>
      <c r="SUO1"/>
      <c r="SUP1"/>
      <c r="SUQ1"/>
      <c r="SUR1"/>
      <c r="SUS1"/>
      <c r="SUT1"/>
      <c r="SUU1"/>
      <c r="SUV1"/>
      <c r="SUW1"/>
      <c r="SUX1"/>
      <c r="SUY1"/>
      <c r="SUZ1"/>
      <c r="SVA1"/>
      <c r="SVB1"/>
      <c r="SVC1"/>
      <c r="SVD1"/>
      <c r="SVE1"/>
      <c r="SVF1"/>
      <c r="SVG1"/>
      <c r="SVH1"/>
      <c r="SVI1"/>
      <c r="SVJ1"/>
      <c r="SVK1"/>
      <c r="SVL1"/>
      <c r="SVM1"/>
      <c r="SVN1"/>
      <c r="SVO1"/>
      <c r="SVP1"/>
      <c r="SVQ1"/>
      <c r="SVR1"/>
      <c r="SVS1"/>
      <c r="SVT1"/>
      <c r="SVU1"/>
      <c r="SVV1"/>
      <c r="SVW1"/>
      <c r="SVX1"/>
      <c r="SVY1"/>
      <c r="SVZ1"/>
      <c r="SWA1"/>
      <c r="SWB1"/>
      <c r="SWC1"/>
      <c r="SWD1"/>
      <c r="SWE1"/>
      <c r="SWF1"/>
      <c r="SWG1"/>
      <c r="SWH1"/>
      <c r="SWI1"/>
      <c r="SWJ1"/>
      <c r="SWK1"/>
      <c r="SWL1"/>
      <c r="SWM1"/>
      <c r="SWN1"/>
      <c r="SWO1"/>
      <c r="SWP1"/>
      <c r="SWQ1"/>
      <c r="SWR1"/>
      <c r="SWS1"/>
      <c r="SWT1"/>
      <c r="SWU1"/>
      <c r="SWV1"/>
      <c r="SWW1"/>
      <c r="SWX1"/>
      <c r="SWY1"/>
      <c r="SWZ1"/>
      <c r="SXA1"/>
      <c r="SXB1"/>
      <c r="SXC1"/>
      <c r="SXD1"/>
      <c r="SXE1"/>
      <c r="SXF1"/>
      <c r="SXG1"/>
      <c r="SXH1"/>
      <c r="SXI1"/>
      <c r="SXJ1"/>
      <c r="SXK1"/>
      <c r="SXL1"/>
      <c r="SXM1"/>
      <c r="SXN1"/>
      <c r="SXO1"/>
      <c r="SXP1"/>
      <c r="SXQ1"/>
      <c r="SXR1"/>
      <c r="SXS1"/>
      <c r="SXT1"/>
      <c r="SXU1"/>
      <c r="SXV1"/>
      <c r="SXW1"/>
      <c r="SXX1"/>
      <c r="SXY1"/>
      <c r="SXZ1"/>
      <c r="SYA1"/>
      <c r="SYB1"/>
      <c r="SYC1"/>
      <c r="SYD1"/>
      <c r="SYE1"/>
      <c r="SYF1"/>
      <c r="SYG1"/>
      <c r="SYH1"/>
      <c r="SYI1"/>
      <c r="SYJ1"/>
      <c r="SYK1"/>
      <c r="SYL1"/>
      <c r="SYM1"/>
      <c r="SYN1"/>
      <c r="SYO1"/>
      <c r="SYP1"/>
      <c r="SYQ1"/>
      <c r="SYR1"/>
      <c r="SYS1"/>
      <c r="SYT1"/>
      <c r="SYU1"/>
      <c r="SYV1"/>
      <c r="SYW1"/>
      <c r="SYX1"/>
      <c r="SYY1"/>
      <c r="SYZ1"/>
      <c r="SZA1"/>
      <c r="SZB1"/>
      <c r="SZC1"/>
      <c r="SZD1"/>
      <c r="SZE1"/>
      <c r="SZF1"/>
      <c r="SZG1"/>
      <c r="SZH1"/>
      <c r="SZI1"/>
      <c r="SZJ1"/>
      <c r="SZK1"/>
      <c r="SZL1"/>
      <c r="SZM1"/>
      <c r="SZN1"/>
      <c r="SZO1"/>
      <c r="SZP1"/>
      <c r="SZQ1"/>
      <c r="SZR1"/>
      <c r="SZS1"/>
      <c r="SZT1"/>
      <c r="SZU1"/>
      <c r="SZV1"/>
      <c r="SZW1"/>
      <c r="SZX1"/>
      <c r="SZY1"/>
      <c r="SZZ1"/>
      <c r="TAA1"/>
      <c r="TAB1"/>
      <c r="TAC1"/>
      <c r="TAD1"/>
      <c r="TAE1"/>
      <c r="TAF1"/>
      <c r="TAG1"/>
      <c r="TAH1"/>
      <c r="TAI1"/>
      <c r="TAJ1"/>
      <c r="TAK1"/>
      <c r="TAL1"/>
      <c r="TAM1"/>
      <c r="TAN1"/>
      <c r="TAO1"/>
      <c r="TAP1"/>
      <c r="TAQ1"/>
      <c r="TAR1"/>
      <c r="TAS1"/>
      <c r="TAT1"/>
      <c r="TAU1"/>
      <c r="TAV1"/>
      <c r="TAW1"/>
      <c r="TAX1"/>
      <c r="TAY1"/>
      <c r="TAZ1"/>
      <c r="TBA1"/>
      <c r="TBB1"/>
      <c r="TBC1"/>
      <c r="TBD1"/>
      <c r="TBE1"/>
      <c r="TBF1"/>
      <c r="TBG1"/>
      <c r="TBH1"/>
      <c r="TBI1"/>
      <c r="TBJ1"/>
      <c r="TBK1"/>
      <c r="TBL1"/>
      <c r="TBM1"/>
      <c r="TBN1"/>
      <c r="TBO1"/>
      <c r="TBP1"/>
      <c r="TBQ1"/>
      <c r="TBR1"/>
      <c r="TBS1"/>
      <c r="TBT1"/>
      <c r="TBU1"/>
      <c r="TBV1"/>
      <c r="TBW1"/>
      <c r="TBX1"/>
      <c r="TBY1"/>
      <c r="TBZ1"/>
      <c r="TCA1"/>
      <c r="TCB1"/>
      <c r="TCC1"/>
      <c r="TCD1"/>
      <c r="TCE1"/>
      <c r="TCF1"/>
      <c r="TCG1"/>
      <c r="TCH1"/>
      <c r="TCI1"/>
      <c r="TCJ1"/>
      <c r="TCK1"/>
      <c r="TCL1"/>
      <c r="TCM1"/>
      <c r="TCN1"/>
      <c r="TCO1"/>
      <c r="TCP1"/>
      <c r="TCQ1"/>
      <c r="TCR1"/>
      <c r="TCS1"/>
      <c r="TCT1"/>
      <c r="TCU1"/>
      <c r="TCV1"/>
      <c r="TCW1"/>
      <c r="TCX1"/>
      <c r="TCY1"/>
      <c r="TCZ1"/>
      <c r="TDA1"/>
      <c r="TDB1"/>
      <c r="TDC1"/>
      <c r="TDD1"/>
      <c r="TDE1"/>
      <c r="TDF1"/>
      <c r="TDG1"/>
      <c r="TDH1"/>
      <c r="TDI1"/>
      <c r="TDJ1"/>
      <c r="TDK1"/>
      <c r="TDL1"/>
      <c r="TDM1"/>
      <c r="TDN1"/>
      <c r="TDO1"/>
      <c r="TDP1"/>
      <c r="TDQ1"/>
      <c r="TDR1"/>
      <c r="TDS1"/>
      <c r="TDT1"/>
      <c r="TDU1"/>
      <c r="TDV1"/>
      <c r="TDW1"/>
      <c r="TDX1"/>
      <c r="TDY1"/>
      <c r="TDZ1"/>
      <c r="TEA1"/>
      <c r="TEB1"/>
      <c r="TEC1"/>
      <c r="TED1"/>
      <c r="TEE1"/>
      <c r="TEF1"/>
      <c r="TEG1"/>
      <c r="TEH1"/>
      <c r="TEI1"/>
      <c r="TEJ1"/>
      <c r="TEK1"/>
      <c r="TEL1"/>
      <c r="TEM1"/>
      <c r="TEN1"/>
      <c r="TEO1"/>
      <c r="TEP1"/>
      <c r="TEQ1"/>
      <c r="TER1"/>
      <c r="TES1"/>
      <c r="TET1"/>
      <c r="TEU1"/>
      <c r="TEV1"/>
      <c r="TEW1"/>
      <c r="TEX1"/>
      <c r="TEY1"/>
      <c r="TEZ1"/>
      <c r="TFA1"/>
      <c r="TFB1"/>
      <c r="TFC1"/>
      <c r="TFD1"/>
      <c r="TFE1"/>
      <c r="TFF1"/>
      <c r="TFG1"/>
      <c r="TFH1"/>
      <c r="TFI1"/>
      <c r="TFJ1"/>
      <c r="TFK1"/>
      <c r="TFL1"/>
      <c r="TFM1"/>
      <c r="TFN1"/>
      <c r="TFO1"/>
      <c r="TFP1"/>
      <c r="TFQ1"/>
      <c r="TFR1"/>
      <c r="TFS1"/>
      <c r="TFT1"/>
      <c r="TFU1"/>
      <c r="TFV1"/>
      <c r="TFW1"/>
      <c r="TFX1"/>
      <c r="TFY1"/>
      <c r="TFZ1"/>
      <c r="TGA1"/>
      <c r="TGB1"/>
      <c r="TGC1"/>
      <c r="TGD1"/>
      <c r="TGE1"/>
      <c r="TGF1"/>
      <c r="TGG1"/>
      <c r="TGH1"/>
      <c r="TGI1"/>
      <c r="TGJ1"/>
      <c r="TGK1"/>
      <c r="TGL1"/>
      <c r="TGM1"/>
      <c r="TGN1"/>
      <c r="TGO1"/>
      <c r="TGP1"/>
      <c r="TGQ1"/>
      <c r="TGR1"/>
      <c r="TGS1"/>
      <c r="TGT1"/>
      <c r="TGU1"/>
      <c r="TGV1"/>
      <c r="TGW1"/>
      <c r="TGX1"/>
      <c r="TGY1"/>
      <c r="TGZ1"/>
      <c r="THA1"/>
      <c r="THB1"/>
      <c r="THC1"/>
      <c r="THD1"/>
      <c r="THE1"/>
      <c r="THF1"/>
      <c r="THG1"/>
      <c r="THH1"/>
      <c r="THI1"/>
      <c r="THJ1"/>
      <c r="THK1"/>
      <c r="THL1"/>
      <c r="THM1"/>
      <c r="THN1"/>
      <c r="THO1"/>
      <c r="THP1"/>
      <c r="THQ1"/>
      <c r="THR1"/>
      <c r="THS1"/>
      <c r="THT1"/>
      <c r="THU1"/>
      <c r="THV1"/>
      <c r="THW1"/>
      <c r="THX1"/>
      <c r="THY1"/>
      <c r="THZ1"/>
      <c r="TIA1"/>
      <c r="TIB1"/>
      <c r="TIC1"/>
      <c r="TID1"/>
      <c r="TIE1"/>
      <c r="TIF1"/>
      <c r="TIG1"/>
      <c r="TIH1"/>
      <c r="TII1"/>
      <c r="TIJ1"/>
      <c r="TIK1"/>
      <c r="TIL1"/>
      <c r="TIM1"/>
      <c r="TIN1"/>
      <c r="TIO1"/>
      <c r="TIP1"/>
      <c r="TIQ1"/>
      <c r="TIR1"/>
      <c r="TIS1"/>
      <c r="TIT1"/>
      <c r="TIU1"/>
      <c r="TIV1"/>
      <c r="TIW1"/>
      <c r="TIX1"/>
      <c r="TIY1"/>
      <c r="TIZ1"/>
      <c r="TJA1"/>
      <c r="TJB1"/>
      <c r="TJC1"/>
      <c r="TJD1"/>
      <c r="TJE1"/>
      <c r="TJF1"/>
      <c r="TJG1"/>
      <c r="TJH1"/>
      <c r="TJI1"/>
      <c r="TJJ1"/>
      <c r="TJK1"/>
      <c r="TJL1"/>
      <c r="TJM1"/>
      <c r="TJN1"/>
      <c r="TJO1"/>
      <c r="TJP1"/>
      <c r="TJQ1"/>
      <c r="TJR1"/>
      <c r="TJS1"/>
      <c r="TJT1"/>
      <c r="TJU1"/>
      <c r="TJV1"/>
      <c r="TJW1"/>
      <c r="TJX1"/>
      <c r="TJY1"/>
      <c r="TJZ1"/>
      <c r="TKA1"/>
      <c r="TKB1"/>
      <c r="TKC1"/>
      <c r="TKD1"/>
      <c r="TKE1"/>
      <c r="TKF1"/>
      <c r="TKG1"/>
      <c r="TKH1"/>
      <c r="TKI1"/>
      <c r="TKJ1"/>
      <c r="TKK1"/>
      <c r="TKL1"/>
      <c r="TKM1"/>
      <c r="TKN1"/>
      <c r="TKO1"/>
      <c r="TKP1"/>
      <c r="TKQ1"/>
      <c r="TKR1"/>
      <c r="TKS1"/>
      <c r="TKT1"/>
      <c r="TKU1"/>
      <c r="TKV1"/>
      <c r="TKW1"/>
      <c r="TKX1"/>
      <c r="TKY1"/>
      <c r="TKZ1"/>
      <c r="TLA1"/>
      <c r="TLB1"/>
      <c r="TLC1"/>
      <c r="TLD1"/>
      <c r="TLE1"/>
      <c r="TLF1"/>
      <c r="TLG1"/>
      <c r="TLH1"/>
      <c r="TLI1"/>
      <c r="TLJ1"/>
      <c r="TLK1"/>
      <c r="TLL1"/>
      <c r="TLM1"/>
      <c r="TLN1"/>
      <c r="TLO1"/>
      <c r="TLP1"/>
      <c r="TLQ1"/>
      <c r="TLR1"/>
      <c r="TLS1"/>
      <c r="TLT1"/>
      <c r="TLU1"/>
      <c r="TLV1"/>
      <c r="TLW1"/>
      <c r="TLX1"/>
      <c r="TLY1"/>
      <c r="TLZ1"/>
      <c r="TMA1"/>
      <c r="TMB1"/>
      <c r="TMC1"/>
      <c r="TMD1"/>
      <c r="TME1"/>
      <c r="TMF1"/>
      <c r="TMG1"/>
      <c r="TMH1"/>
      <c r="TMI1"/>
      <c r="TMJ1"/>
      <c r="TMK1"/>
      <c r="TML1"/>
      <c r="TMM1"/>
      <c r="TMN1"/>
      <c r="TMO1"/>
      <c r="TMP1"/>
      <c r="TMQ1"/>
      <c r="TMR1"/>
      <c r="TMS1"/>
      <c r="TMT1"/>
      <c r="TMU1"/>
      <c r="TMV1"/>
      <c r="TMW1"/>
      <c r="TMX1"/>
      <c r="TMY1"/>
      <c r="TMZ1"/>
      <c r="TNA1"/>
      <c r="TNB1"/>
      <c r="TNC1"/>
      <c r="TND1"/>
      <c r="TNE1"/>
      <c r="TNF1"/>
      <c r="TNG1"/>
      <c r="TNH1"/>
      <c r="TNI1"/>
      <c r="TNJ1"/>
      <c r="TNK1"/>
      <c r="TNL1"/>
      <c r="TNM1"/>
      <c r="TNN1"/>
      <c r="TNO1"/>
      <c r="TNP1"/>
      <c r="TNQ1"/>
      <c r="TNR1"/>
      <c r="TNS1"/>
      <c r="TNT1"/>
      <c r="TNU1"/>
      <c r="TNV1"/>
      <c r="TNW1"/>
      <c r="TNX1"/>
      <c r="TNY1"/>
      <c r="TNZ1"/>
      <c r="TOA1"/>
      <c r="TOB1"/>
      <c r="TOC1"/>
      <c r="TOD1"/>
      <c r="TOE1"/>
      <c r="TOF1"/>
      <c r="TOG1"/>
      <c r="TOH1"/>
      <c r="TOI1"/>
      <c r="TOJ1"/>
      <c r="TOK1"/>
      <c r="TOL1"/>
      <c r="TOM1"/>
      <c r="TON1"/>
      <c r="TOO1"/>
      <c r="TOP1"/>
      <c r="TOQ1"/>
      <c r="TOR1"/>
      <c r="TOS1"/>
      <c r="TOT1"/>
      <c r="TOU1"/>
      <c r="TOV1"/>
      <c r="TOW1"/>
      <c r="TOX1"/>
      <c r="TOY1"/>
      <c r="TOZ1"/>
      <c r="TPA1"/>
      <c r="TPB1"/>
      <c r="TPC1"/>
      <c r="TPD1"/>
      <c r="TPE1"/>
      <c r="TPF1"/>
      <c r="TPG1"/>
      <c r="TPH1"/>
      <c r="TPI1"/>
      <c r="TPJ1"/>
      <c r="TPK1"/>
      <c r="TPL1"/>
      <c r="TPM1"/>
      <c r="TPN1"/>
      <c r="TPO1"/>
      <c r="TPP1"/>
      <c r="TPQ1"/>
      <c r="TPR1"/>
      <c r="TPS1"/>
      <c r="TPT1"/>
      <c r="TPU1"/>
      <c r="TPV1"/>
      <c r="TPW1"/>
      <c r="TPX1"/>
      <c r="TPY1"/>
      <c r="TPZ1"/>
      <c r="TQA1"/>
      <c r="TQB1"/>
      <c r="TQC1"/>
      <c r="TQD1"/>
      <c r="TQE1"/>
      <c r="TQF1"/>
      <c r="TQG1"/>
      <c r="TQH1"/>
      <c r="TQI1"/>
      <c r="TQJ1"/>
      <c r="TQK1"/>
      <c r="TQL1"/>
      <c r="TQM1"/>
      <c r="TQN1"/>
      <c r="TQO1"/>
      <c r="TQP1"/>
      <c r="TQQ1"/>
      <c r="TQR1"/>
      <c r="TQS1"/>
      <c r="TQT1"/>
      <c r="TQU1"/>
      <c r="TQV1"/>
      <c r="TQW1"/>
      <c r="TQX1"/>
      <c r="TQY1"/>
      <c r="TQZ1"/>
      <c r="TRA1"/>
      <c r="TRB1"/>
      <c r="TRC1"/>
      <c r="TRD1"/>
      <c r="TRE1"/>
      <c r="TRF1"/>
      <c r="TRG1"/>
      <c r="TRH1"/>
      <c r="TRI1"/>
      <c r="TRJ1"/>
      <c r="TRK1"/>
      <c r="TRL1"/>
      <c r="TRM1"/>
      <c r="TRN1"/>
      <c r="TRO1"/>
      <c r="TRP1"/>
      <c r="TRQ1"/>
      <c r="TRR1"/>
      <c r="TRS1"/>
      <c r="TRT1"/>
      <c r="TRU1"/>
      <c r="TRV1"/>
      <c r="TRW1"/>
      <c r="TRX1"/>
      <c r="TRY1"/>
      <c r="TRZ1"/>
      <c r="TSA1"/>
      <c r="TSB1"/>
      <c r="TSC1"/>
      <c r="TSD1"/>
      <c r="TSE1"/>
      <c r="TSF1"/>
      <c r="TSG1"/>
      <c r="TSH1"/>
      <c r="TSI1"/>
      <c r="TSJ1"/>
      <c r="TSK1"/>
      <c r="TSL1"/>
      <c r="TSM1"/>
      <c r="TSN1"/>
      <c r="TSO1"/>
      <c r="TSP1"/>
      <c r="TSQ1"/>
      <c r="TSR1"/>
      <c r="TSS1"/>
      <c r="TST1"/>
      <c r="TSU1"/>
      <c r="TSV1"/>
      <c r="TSW1"/>
      <c r="TSX1"/>
      <c r="TSY1"/>
      <c r="TSZ1"/>
      <c r="TTA1"/>
      <c r="TTB1"/>
      <c r="TTC1"/>
      <c r="TTD1"/>
      <c r="TTE1"/>
      <c r="TTF1"/>
      <c r="TTG1"/>
      <c r="TTH1"/>
      <c r="TTI1"/>
      <c r="TTJ1"/>
      <c r="TTK1"/>
      <c r="TTL1"/>
      <c r="TTM1"/>
      <c r="TTN1"/>
      <c r="TTO1"/>
      <c r="TTP1"/>
      <c r="TTQ1"/>
      <c r="TTR1"/>
      <c r="TTS1"/>
      <c r="TTT1"/>
      <c r="TTU1"/>
      <c r="TTV1"/>
      <c r="TTW1"/>
      <c r="TTX1"/>
      <c r="TTY1"/>
      <c r="TTZ1"/>
      <c r="TUA1"/>
      <c r="TUB1"/>
      <c r="TUC1"/>
      <c r="TUD1"/>
      <c r="TUE1"/>
      <c r="TUF1"/>
      <c r="TUG1"/>
      <c r="TUH1"/>
      <c r="TUI1"/>
      <c r="TUJ1"/>
      <c r="TUK1"/>
      <c r="TUL1"/>
      <c r="TUM1"/>
      <c r="TUN1"/>
      <c r="TUO1"/>
      <c r="TUP1"/>
      <c r="TUQ1"/>
      <c r="TUR1"/>
      <c r="TUS1"/>
      <c r="TUT1"/>
      <c r="TUU1"/>
      <c r="TUV1"/>
      <c r="TUW1"/>
      <c r="TUX1"/>
      <c r="TUY1"/>
      <c r="TUZ1"/>
      <c r="TVA1"/>
      <c r="TVB1"/>
      <c r="TVC1"/>
      <c r="TVD1"/>
      <c r="TVE1"/>
      <c r="TVF1"/>
      <c r="TVG1"/>
      <c r="TVH1"/>
      <c r="TVI1"/>
      <c r="TVJ1"/>
      <c r="TVK1"/>
      <c r="TVL1"/>
      <c r="TVM1"/>
      <c r="TVN1"/>
      <c r="TVO1"/>
      <c r="TVP1"/>
      <c r="TVQ1"/>
      <c r="TVR1"/>
      <c r="TVS1"/>
      <c r="TVT1"/>
      <c r="TVU1"/>
      <c r="TVV1"/>
      <c r="TVW1"/>
      <c r="TVX1"/>
      <c r="TVY1"/>
      <c r="TVZ1"/>
      <c r="TWA1"/>
      <c r="TWB1"/>
      <c r="TWC1"/>
      <c r="TWD1"/>
      <c r="TWE1"/>
      <c r="TWF1"/>
      <c r="TWG1"/>
      <c r="TWH1"/>
      <c r="TWI1"/>
      <c r="TWJ1"/>
      <c r="TWK1"/>
      <c r="TWL1"/>
      <c r="TWM1"/>
      <c r="TWN1"/>
      <c r="TWO1"/>
      <c r="TWP1"/>
      <c r="TWQ1"/>
      <c r="TWR1"/>
      <c r="TWS1"/>
      <c r="TWT1"/>
      <c r="TWU1"/>
      <c r="TWV1"/>
      <c r="TWW1"/>
      <c r="TWX1"/>
      <c r="TWY1"/>
      <c r="TWZ1"/>
      <c r="TXA1"/>
      <c r="TXB1"/>
      <c r="TXC1"/>
      <c r="TXD1"/>
      <c r="TXE1"/>
      <c r="TXF1"/>
      <c r="TXG1"/>
      <c r="TXH1"/>
      <c r="TXI1"/>
      <c r="TXJ1"/>
      <c r="TXK1"/>
      <c r="TXL1"/>
      <c r="TXM1"/>
      <c r="TXN1"/>
      <c r="TXO1"/>
      <c r="TXP1"/>
      <c r="TXQ1"/>
      <c r="TXR1"/>
      <c r="TXS1"/>
      <c r="TXT1"/>
      <c r="TXU1"/>
      <c r="TXV1"/>
      <c r="TXW1"/>
      <c r="TXX1"/>
      <c r="TXY1"/>
      <c r="TXZ1"/>
      <c r="TYA1"/>
      <c r="TYB1"/>
      <c r="TYC1"/>
      <c r="TYD1"/>
      <c r="TYE1"/>
      <c r="TYF1"/>
      <c r="TYG1"/>
      <c r="TYH1"/>
      <c r="TYI1"/>
      <c r="TYJ1"/>
      <c r="TYK1"/>
      <c r="TYL1"/>
      <c r="TYM1"/>
      <c r="TYN1"/>
      <c r="TYO1"/>
      <c r="TYP1"/>
      <c r="TYQ1"/>
      <c r="TYR1"/>
      <c r="TYS1"/>
      <c r="TYT1"/>
      <c r="TYU1"/>
      <c r="TYV1"/>
      <c r="TYW1"/>
      <c r="TYX1"/>
      <c r="TYY1"/>
      <c r="TYZ1"/>
      <c r="TZA1"/>
      <c r="TZB1"/>
      <c r="TZC1"/>
      <c r="TZD1"/>
      <c r="TZE1"/>
      <c r="TZF1"/>
      <c r="TZG1"/>
      <c r="TZH1"/>
      <c r="TZI1"/>
      <c r="TZJ1"/>
      <c r="TZK1"/>
      <c r="TZL1"/>
      <c r="TZM1"/>
      <c r="TZN1"/>
      <c r="TZO1"/>
      <c r="TZP1"/>
      <c r="TZQ1"/>
      <c r="TZR1"/>
      <c r="TZS1"/>
      <c r="TZT1"/>
      <c r="TZU1"/>
      <c r="TZV1"/>
      <c r="TZW1"/>
      <c r="TZX1"/>
      <c r="TZY1"/>
      <c r="TZZ1"/>
      <c r="UAA1"/>
      <c r="UAB1"/>
      <c r="UAC1"/>
      <c r="UAD1"/>
      <c r="UAE1"/>
      <c r="UAF1"/>
      <c r="UAG1"/>
      <c r="UAH1"/>
      <c r="UAI1"/>
      <c r="UAJ1"/>
      <c r="UAK1"/>
      <c r="UAL1"/>
      <c r="UAM1"/>
      <c r="UAN1"/>
      <c r="UAO1"/>
      <c r="UAP1"/>
      <c r="UAQ1"/>
      <c r="UAR1"/>
      <c r="UAS1"/>
      <c r="UAT1"/>
      <c r="UAU1"/>
      <c r="UAV1"/>
      <c r="UAW1"/>
      <c r="UAX1"/>
      <c r="UAY1"/>
      <c r="UAZ1"/>
      <c r="UBA1"/>
      <c r="UBB1"/>
      <c r="UBC1"/>
      <c r="UBD1"/>
      <c r="UBE1"/>
      <c r="UBF1"/>
      <c r="UBG1"/>
      <c r="UBH1"/>
      <c r="UBI1"/>
      <c r="UBJ1"/>
      <c r="UBK1"/>
      <c r="UBL1"/>
      <c r="UBM1"/>
      <c r="UBN1"/>
      <c r="UBO1"/>
      <c r="UBP1"/>
      <c r="UBQ1"/>
      <c r="UBR1"/>
      <c r="UBS1"/>
      <c r="UBT1"/>
      <c r="UBU1"/>
      <c r="UBV1"/>
      <c r="UBW1"/>
      <c r="UBX1"/>
      <c r="UBY1"/>
      <c r="UBZ1"/>
      <c r="UCA1"/>
      <c r="UCB1"/>
      <c r="UCC1"/>
      <c r="UCD1"/>
      <c r="UCE1"/>
      <c r="UCF1"/>
      <c r="UCG1"/>
      <c r="UCH1"/>
      <c r="UCI1"/>
      <c r="UCJ1"/>
      <c r="UCK1"/>
      <c r="UCL1"/>
      <c r="UCM1"/>
      <c r="UCN1"/>
      <c r="UCO1"/>
      <c r="UCP1"/>
      <c r="UCQ1"/>
      <c r="UCR1"/>
      <c r="UCS1"/>
      <c r="UCT1"/>
      <c r="UCU1"/>
      <c r="UCV1"/>
      <c r="UCW1"/>
      <c r="UCX1"/>
      <c r="UCY1"/>
      <c r="UCZ1"/>
      <c r="UDA1"/>
      <c r="UDB1"/>
      <c r="UDC1"/>
      <c r="UDD1"/>
      <c r="UDE1"/>
      <c r="UDF1"/>
      <c r="UDG1"/>
      <c r="UDH1"/>
      <c r="UDI1"/>
      <c r="UDJ1"/>
      <c r="UDK1"/>
      <c r="UDL1"/>
      <c r="UDM1"/>
      <c r="UDN1"/>
      <c r="UDO1"/>
      <c r="UDP1"/>
      <c r="UDQ1"/>
      <c r="UDR1"/>
      <c r="UDS1"/>
      <c r="UDT1"/>
      <c r="UDU1"/>
      <c r="UDV1"/>
      <c r="UDW1"/>
      <c r="UDX1"/>
      <c r="UDY1"/>
      <c r="UDZ1"/>
      <c r="UEA1"/>
      <c r="UEB1"/>
      <c r="UEC1"/>
      <c r="UED1"/>
      <c r="UEE1"/>
      <c r="UEF1"/>
      <c r="UEG1"/>
      <c r="UEH1"/>
      <c r="UEI1"/>
      <c r="UEJ1"/>
      <c r="UEK1"/>
      <c r="UEL1"/>
      <c r="UEM1"/>
      <c r="UEN1"/>
      <c r="UEO1"/>
      <c r="UEP1"/>
      <c r="UEQ1"/>
      <c r="UER1"/>
      <c r="UES1"/>
      <c r="UET1"/>
      <c r="UEU1"/>
      <c r="UEV1"/>
      <c r="UEW1"/>
      <c r="UEX1"/>
      <c r="UEY1"/>
      <c r="UEZ1"/>
      <c r="UFA1"/>
      <c r="UFB1"/>
      <c r="UFC1"/>
      <c r="UFD1"/>
      <c r="UFE1"/>
      <c r="UFF1"/>
      <c r="UFG1"/>
      <c r="UFH1"/>
      <c r="UFI1"/>
      <c r="UFJ1"/>
      <c r="UFK1"/>
      <c r="UFL1"/>
      <c r="UFM1"/>
      <c r="UFN1"/>
      <c r="UFO1"/>
      <c r="UFP1"/>
      <c r="UFQ1"/>
      <c r="UFR1"/>
      <c r="UFS1"/>
      <c r="UFT1"/>
      <c r="UFU1"/>
      <c r="UFV1"/>
      <c r="UFW1"/>
      <c r="UFX1"/>
      <c r="UFY1"/>
      <c r="UFZ1"/>
      <c r="UGA1"/>
      <c r="UGB1"/>
      <c r="UGC1"/>
      <c r="UGD1"/>
      <c r="UGE1"/>
      <c r="UGF1"/>
      <c r="UGG1"/>
      <c r="UGH1"/>
      <c r="UGI1"/>
      <c r="UGJ1"/>
      <c r="UGK1"/>
      <c r="UGL1"/>
      <c r="UGM1"/>
      <c r="UGN1"/>
      <c r="UGO1"/>
      <c r="UGP1"/>
      <c r="UGQ1"/>
      <c r="UGR1"/>
      <c r="UGS1"/>
      <c r="UGT1"/>
      <c r="UGU1"/>
      <c r="UGV1"/>
      <c r="UGW1"/>
      <c r="UGX1"/>
      <c r="UGY1"/>
      <c r="UGZ1"/>
      <c r="UHA1"/>
      <c r="UHB1"/>
      <c r="UHC1"/>
      <c r="UHD1"/>
      <c r="UHE1"/>
      <c r="UHF1"/>
      <c r="UHG1"/>
      <c r="UHH1"/>
      <c r="UHI1"/>
      <c r="UHJ1"/>
      <c r="UHK1"/>
      <c r="UHL1"/>
      <c r="UHM1"/>
      <c r="UHN1"/>
      <c r="UHO1"/>
      <c r="UHP1"/>
      <c r="UHQ1"/>
      <c r="UHR1"/>
      <c r="UHS1"/>
      <c r="UHT1"/>
      <c r="UHU1"/>
      <c r="UHV1"/>
      <c r="UHW1"/>
      <c r="UHX1"/>
      <c r="UHY1"/>
      <c r="UHZ1"/>
      <c r="UIA1"/>
      <c r="UIB1"/>
      <c r="UIC1"/>
      <c r="UID1"/>
      <c r="UIE1"/>
      <c r="UIF1"/>
      <c r="UIG1"/>
      <c r="UIH1"/>
      <c r="UII1"/>
      <c r="UIJ1"/>
      <c r="UIK1"/>
      <c r="UIL1"/>
      <c r="UIM1"/>
      <c r="UIN1"/>
      <c r="UIO1"/>
      <c r="UIP1"/>
      <c r="UIQ1"/>
      <c r="UIR1"/>
      <c r="UIS1"/>
      <c r="UIT1"/>
      <c r="UIU1"/>
      <c r="UIV1"/>
      <c r="UIW1"/>
      <c r="UIX1"/>
      <c r="UIY1"/>
      <c r="UIZ1"/>
      <c r="UJA1"/>
      <c r="UJB1"/>
      <c r="UJC1"/>
      <c r="UJD1"/>
      <c r="UJE1"/>
      <c r="UJF1"/>
      <c r="UJG1"/>
      <c r="UJH1"/>
      <c r="UJI1"/>
      <c r="UJJ1"/>
      <c r="UJK1"/>
      <c r="UJL1"/>
      <c r="UJM1"/>
      <c r="UJN1"/>
      <c r="UJO1"/>
      <c r="UJP1"/>
      <c r="UJQ1"/>
      <c r="UJR1"/>
      <c r="UJS1"/>
      <c r="UJT1"/>
      <c r="UJU1"/>
      <c r="UJV1"/>
      <c r="UJW1"/>
      <c r="UJX1"/>
      <c r="UJY1"/>
      <c r="UJZ1"/>
      <c r="UKA1"/>
      <c r="UKB1"/>
      <c r="UKC1"/>
      <c r="UKD1"/>
      <c r="UKE1"/>
      <c r="UKF1"/>
      <c r="UKG1"/>
      <c r="UKH1"/>
      <c r="UKI1"/>
      <c r="UKJ1"/>
      <c r="UKK1"/>
      <c r="UKL1"/>
      <c r="UKM1"/>
      <c r="UKN1"/>
      <c r="UKO1"/>
      <c r="UKP1"/>
      <c r="UKQ1"/>
      <c r="UKR1"/>
      <c r="UKS1"/>
      <c r="UKT1"/>
      <c r="UKU1"/>
      <c r="UKV1"/>
      <c r="UKW1"/>
      <c r="UKX1"/>
      <c r="UKY1"/>
      <c r="UKZ1"/>
      <c r="ULA1"/>
      <c r="ULB1"/>
      <c r="ULC1"/>
      <c r="ULD1"/>
      <c r="ULE1"/>
      <c r="ULF1"/>
      <c r="ULG1"/>
      <c r="ULH1"/>
      <c r="ULI1"/>
      <c r="ULJ1"/>
      <c r="ULK1"/>
      <c r="ULL1"/>
      <c r="ULM1"/>
      <c r="ULN1"/>
      <c r="ULO1"/>
      <c r="ULP1"/>
      <c r="ULQ1"/>
      <c r="ULR1"/>
      <c r="ULS1"/>
      <c r="ULT1"/>
      <c r="ULU1"/>
      <c r="ULV1"/>
      <c r="ULW1"/>
      <c r="ULX1"/>
      <c r="ULY1"/>
      <c r="ULZ1"/>
      <c r="UMA1"/>
      <c r="UMB1"/>
      <c r="UMC1"/>
      <c r="UMD1"/>
      <c r="UME1"/>
      <c r="UMF1"/>
      <c r="UMG1"/>
      <c r="UMH1"/>
      <c r="UMI1"/>
      <c r="UMJ1"/>
      <c r="UMK1"/>
      <c r="UML1"/>
      <c r="UMM1"/>
      <c r="UMN1"/>
      <c r="UMO1"/>
      <c r="UMP1"/>
      <c r="UMQ1"/>
      <c r="UMR1"/>
      <c r="UMS1"/>
      <c r="UMT1"/>
      <c r="UMU1"/>
      <c r="UMV1"/>
      <c r="UMW1"/>
      <c r="UMX1"/>
      <c r="UMY1"/>
      <c r="UMZ1"/>
      <c r="UNA1"/>
      <c r="UNB1"/>
      <c r="UNC1"/>
      <c r="UND1"/>
      <c r="UNE1"/>
      <c r="UNF1"/>
      <c r="UNG1"/>
      <c r="UNH1"/>
      <c r="UNI1"/>
      <c r="UNJ1"/>
      <c r="UNK1"/>
      <c r="UNL1"/>
      <c r="UNM1"/>
      <c r="UNN1"/>
      <c r="UNO1"/>
      <c r="UNP1"/>
      <c r="UNQ1"/>
      <c r="UNR1"/>
      <c r="UNS1"/>
      <c r="UNT1"/>
      <c r="UNU1"/>
      <c r="UNV1"/>
      <c r="UNW1"/>
      <c r="UNX1"/>
      <c r="UNY1"/>
      <c r="UNZ1"/>
      <c r="UOA1"/>
      <c r="UOB1"/>
      <c r="UOC1"/>
      <c r="UOD1"/>
      <c r="UOE1"/>
      <c r="UOF1"/>
      <c r="UOG1"/>
      <c r="UOH1"/>
      <c r="UOI1"/>
      <c r="UOJ1"/>
      <c r="UOK1"/>
      <c r="UOL1"/>
      <c r="UOM1"/>
      <c r="UON1"/>
      <c r="UOO1"/>
      <c r="UOP1"/>
      <c r="UOQ1"/>
      <c r="UOR1"/>
      <c r="UOS1"/>
      <c r="UOT1"/>
      <c r="UOU1"/>
      <c r="UOV1"/>
      <c r="UOW1"/>
      <c r="UOX1"/>
      <c r="UOY1"/>
      <c r="UOZ1"/>
      <c r="UPA1"/>
      <c r="UPB1"/>
      <c r="UPC1"/>
      <c r="UPD1"/>
      <c r="UPE1"/>
      <c r="UPF1"/>
      <c r="UPG1"/>
      <c r="UPH1"/>
      <c r="UPI1"/>
      <c r="UPJ1"/>
      <c r="UPK1"/>
      <c r="UPL1"/>
      <c r="UPM1"/>
      <c r="UPN1"/>
      <c r="UPO1"/>
      <c r="UPP1"/>
      <c r="UPQ1"/>
      <c r="UPR1"/>
      <c r="UPS1"/>
      <c r="UPT1"/>
      <c r="UPU1"/>
      <c r="UPV1"/>
      <c r="UPW1"/>
      <c r="UPX1"/>
      <c r="UPY1"/>
      <c r="UPZ1"/>
      <c r="UQA1"/>
      <c r="UQB1"/>
      <c r="UQC1"/>
      <c r="UQD1"/>
      <c r="UQE1"/>
      <c r="UQF1"/>
      <c r="UQG1"/>
      <c r="UQH1"/>
      <c r="UQI1"/>
      <c r="UQJ1"/>
      <c r="UQK1"/>
      <c r="UQL1"/>
      <c r="UQM1"/>
      <c r="UQN1"/>
      <c r="UQO1"/>
      <c r="UQP1"/>
      <c r="UQQ1"/>
      <c r="UQR1"/>
      <c r="UQS1"/>
      <c r="UQT1"/>
      <c r="UQU1"/>
      <c r="UQV1"/>
      <c r="UQW1"/>
      <c r="UQX1"/>
      <c r="UQY1"/>
      <c r="UQZ1"/>
      <c r="URA1"/>
      <c r="URB1"/>
      <c r="URC1"/>
      <c r="URD1"/>
      <c r="URE1"/>
      <c r="URF1"/>
      <c r="URG1"/>
      <c r="URH1"/>
      <c r="URI1"/>
      <c r="URJ1"/>
      <c r="URK1"/>
      <c r="URL1"/>
      <c r="URM1"/>
      <c r="URN1"/>
      <c r="URO1"/>
      <c r="URP1"/>
      <c r="URQ1"/>
      <c r="URR1"/>
      <c r="URS1"/>
      <c r="URT1"/>
      <c r="URU1"/>
      <c r="URV1"/>
      <c r="URW1"/>
      <c r="URX1"/>
      <c r="URY1"/>
      <c r="URZ1"/>
      <c r="USA1"/>
      <c r="USB1"/>
      <c r="USC1"/>
      <c r="USD1"/>
      <c r="USE1"/>
      <c r="USF1"/>
      <c r="USG1"/>
      <c r="USH1"/>
      <c r="USI1"/>
      <c r="USJ1"/>
      <c r="USK1"/>
      <c r="USL1"/>
      <c r="USM1"/>
      <c r="USN1"/>
      <c r="USO1"/>
      <c r="USP1"/>
      <c r="USQ1"/>
      <c r="USR1"/>
      <c r="USS1"/>
      <c r="UST1"/>
      <c r="USU1"/>
      <c r="USV1"/>
      <c r="USW1"/>
      <c r="USX1"/>
      <c r="USY1"/>
      <c r="USZ1"/>
      <c r="UTA1"/>
      <c r="UTB1"/>
      <c r="UTC1"/>
      <c r="UTD1"/>
      <c r="UTE1"/>
      <c r="UTF1"/>
      <c r="UTG1"/>
      <c r="UTH1"/>
      <c r="UTI1"/>
      <c r="UTJ1"/>
      <c r="UTK1"/>
      <c r="UTL1"/>
      <c r="UTM1"/>
      <c r="UTN1"/>
      <c r="UTO1"/>
      <c r="UTP1"/>
      <c r="UTQ1"/>
      <c r="UTR1"/>
      <c r="UTS1"/>
      <c r="UTT1"/>
      <c r="UTU1"/>
      <c r="UTV1"/>
      <c r="UTW1"/>
      <c r="UTX1"/>
      <c r="UTY1"/>
      <c r="UTZ1"/>
      <c r="UUA1"/>
      <c r="UUB1"/>
      <c r="UUC1"/>
      <c r="UUD1"/>
      <c r="UUE1"/>
      <c r="UUF1"/>
      <c r="UUG1"/>
      <c r="UUH1"/>
      <c r="UUI1"/>
      <c r="UUJ1"/>
      <c r="UUK1"/>
      <c r="UUL1"/>
      <c r="UUM1"/>
      <c r="UUN1"/>
      <c r="UUO1"/>
      <c r="UUP1"/>
      <c r="UUQ1"/>
      <c r="UUR1"/>
      <c r="UUS1"/>
      <c r="UUT1"/>
      <c r="UUU1"/>
      <c r="UUV1"/>
      <c r="UUW1"/>
      <c r="UUX1"/>
      <c r="UUY1"/>
      <c r="UUZ1"/>
      <c r="UVA1"/>
      <c r="UVB1"/>
      <c r="UVC1"/>
      <c r="UVD1"/>
      <c r="UVE1"/>
      <c r="UVF1"/>
      <c r="UVG1"/>
      <c r="UVH1"/>
      <c r="UVI1"/>
      <c r="UVJ1"/>
      <c r="UVK1"/>
      <c r="UVL1"/>
      <c r="UVM1"/>
      <c r="UVN1"/>
      <c r="UVO1"/>
      <c r="UVP1"/>
      <c r="UVQ1"/>
      <c r="UVR1"/>
      <c r="UVS1"/>
      <c r="UVT1"/>
      <c r="UVU1"/>
      <c r="UVV1"/>
      <c r="UVW1"/>
      <c r="UVX1"/>
      <c r="UVY1"/>
      <c r="UVZ1"/>
      <c r="UWA1"/>
      <c r="UWB1"/>
      <c r="UWC1"/>
      <c r="UWD1"/>
      <c r="UWE1"/>
      <c r="UWF1"/>
      <c r="UWG1"/>
      <c r="UWH1"/>
      <c r="UWI1"/>
      <c r="UWJ1"/>
      <c r="UWK1"/>
      <c r="UWL1"/>
      <c r="UWM1"/>
      <c r="UWN1"/>
      <c r="UWO1"/>
      <c r="UWP1"/>
      <c r="UWQ1"/>
      <c r="UWR1"/>
      <c r="UWS1"/>
      <c r="UWT1"/>
      <c r="UWU1"/>
      <c r="UWV1"/>
      <c r="UWW1"/>
      <c r="UWX1"/>
      <c r="UWY1"/>
      <c r="UWZ1"/>
      <c r="UXA1"/>
      <c r="UXB1"/>
      <c r="UXC1"/>
      <c r="UXD1"/>
      <c r="UXE1"/>
      <c r="UXF1"/>
      <c r="UXG1"/>
      <c r="UXH1"/>
      <c r="UXI1"/>
      <c r="UXJ1"/>
      <c r="UXK1"/>
      <c r="UXL1"/>
      <c r="UXM1"/>
      <c r="UXN1"/>
      <c r="UXO1"/>
      <c r="UXP1"/>
      <c r="UXQ1"/>
      <c r="UXR1"/>
      <c r="UXS1"/>
      <c r="UXT1"/>
      <c r="UXU1"/>
      <c r="UXV1"/>
      <c r="UXW1"/>
      <c r="UXX1"/>
      <c r="UXY1"/>
      <c r="UXZ1"/>
      <c r="UYA1"/>
      <c r="UYB1"/>
      <c r="UYC1"/>
      <c r="UYD1"/>
      <c r="UYE1"/>
      <c r="UYF1"/>
      <c r="UYG1"/>
      <c r="UYH1"/>
      <c r="UYI1"/>
      <c r="UYJ1"/>
      <c r="UYK1"/>
      <c r="UYL1"/>
      <c r="UYM1"/>
      <c r="UYN1"/>
      <c r="UYO1"/>
      <c r="UYP1"/>
      <c r="UYQ1"/>
      <c r="UYR1"/>
      <c r="UYS1"/>
      <c r="UYT1"/>
      <c r="UYU1"/>
      <c r="UYV1"/>
      <c r="UYW1"/>
      <c r="UYX1"/>
      <c r="UYY1"/>
      <c r="UYZ1"/>
      <c r="UZA1"/>
      <c r="UZB1"/>
      <c r="UZC1"/>
      <c r="UZD1"/>
      <c r="UZE1"/>
      <c r="UZF1"/>
      <c r="UZG1"/>
      <c r="UZH1"/>
      <c r="UZI1"/>
      <c r="UZJ1"/>
      <c r="UZK1"/>
      <c r="UZL1"/>
      <c r="UZM1"/>
      <c r="UZN1"/>
      <c r="UZO1"/>
      <c r="UZP1"/>
      <c r="UZQ1"/>
      <c r="UZR1"/>
      <c r="UZS1"/>
      <c r="UZT1"/>
      <c r="UZU1"/>
      <c r="UZV1"/>
      <c r="UZW1"/>
      <c r="UZX1"/>
      <c r="UZY1"/>
      <c r="UZZ1"/>
      <c r="VAA1"/>
      <c r="VAB1"/>
      <c r="VAC1"/>
      <c r="VAD1"/>
      <c r="VAE1"/>
      <c r="VAF1"/>
      <c r="VAG1"/>
      <c r="VAH1"/>
      <c r="VAI1"/>
      <c r="VAJ1"/>
      <c r="VAK1"/>
      <c r="VAL1"/>
      <c r="VAM1"/>
      <c r="VAN1"/>
      <c r="VAO1"/>
      <c r="VAP1"/>
      <c r="VAQ1"/>
      <c r="VAR1"/>
      <c r="VAS1"/>
      <c r="VAT1"/>
      <c r="VAU1"/>
      <c r="VAV1"/>
      <c r="VAW1"/>
      <c r="VAX1"/>
      <c r="VAY1"/>
      <c r="VAZ1"/>
      <c r="VBA1"/>
      <c r="VBB1"/>
      <c r="VBC1"/>
      <c r="VBD1"/>
      <c r="VBE1"/>
      <c r="VBF1"/>
      <c r="VBG1"/>
      <c r="VBH1"/>
      <c r="VBI1"/>
      <c r="VBJ1"/>
      <c r="VBK1"/>
      <c r="VBL1"/>
      <c r="VBM1"/>
      <c r="VBN1"/>
      <c r="VBO1"/>
      <c r="VBP1"/>
      <c r="VBQ1"/>
      <c r="VBR1"/>
      <c r="VBS1"/>
      <c r="VBT1"/>
      <c r="VBU1"/>
      <c r="VBV1"/>
      <c r="VBW1"/>
      <c r="VBX1"/>
      <c r="VBY1"/>
      <c r="VBZ1"/>
      <c r="VCA1"/>
      <c r="VCB1"/>
      <c r="VCC1"/>
      <c r="VCD1"/>
      <c r="VCE1"/>
      <c r="VCF1"/>
      <c r="VCG1"/>
      <c r="VCH1"/>
      <c r="VCI1"/>
      <c r="VCJ1"/>
      <c r="VCK1"/>
      <c r="VCL1"/>
      <c r="VCM1"/>
      <c r="VCN1"/>
      <c r="VCO1"/>
      <c r="VCP1"/>
      <c r="VCQ1"/>
      <c r="VCR1"/>
      <c r="VCS1"/>
      <c r="VCT1"/>
      <c r="VCU1"/>
      <c r="VCV1"/>
      <c r="VCW1"/>
      <c r="VCX1"/>
      <c r="VCY1"/>
      <c r="VCZ1"/>
      <c r="VDA1"/>
      <c r="VDB1"/>
      <c r="VDC1"/>
      <c r="VDD1"/>
      <c r="VDE1"/>
      <c r="VDF1"/>
      <c r="VDG1"/>
      <c r="VDH1"/>
      <c r="VDI1"/>
      <c r="VDJ1"/>
      <c r="VDK1"/>
      <c r="VDL1"/>
      <c r="VDM1"/>
      <c r="VDN1"/>
      <c r="VDO1"/>
      <c r="VDP1"/>
      <c r="VDQ1"/>
      <c r="VDR1"/>
      <c r="VDS1"/>
      <c r="VDT1"/>
      <c r="VDU1"/>
      <c r="VDV1"/>
      <c r="VDW1"/>
      <c r="VDX1"/>
      <c r="VDY1"/>
      <c r="VDZ1"/>
      <c r="VEA1"/>
      <c r="VEB1"/>
      <c r="VEC1"/>
      <c r="VED1"/>
      <c r="VEE1"/>
      <c r="VEF1"/>
      <c r="VEG1"/>
      <c r="VEH1"/>
      <c r="VEI1"/>
      <c r="VEJ1"/>
      <c r="VEK1"/>
      <c r="VEL1"/>
      <c r="VEM1"/>
      <c r="VEN1"/>
      <c r="VEO1"/>
      <c r="VEP1"/>
      <c r="VEQ1"/>
      <c r="VER1"/>
      <c r="VES1"/>
      <c r="VET1"/>
      <c r="VEU1"/>
      <c r="VEV1"/>
      <c r="VEW1"/>
      <c r="VEX1"/>
      <c r="VEY1"/>
      <c r="VEZ1"/>
      <c r="VFA1"/>
      <c r="VFB1"/>
      <c r="VFC1"/>
      <c r="VFD1"/>
      <c r="VFE1"/>
      <c r="VFF1"/>
      <c r="VFG1"/>
      <c r="VFH1"/>
      <c r="VFI1"/>
      <c r="VFJ1"/>
      <c r="VFK1"/>
      <c r="VFL1"/>
      <c r="VFM1"/>
      <c r="VFN1"/>
      <c r="VFO1"/>
      <c r="VFP1"/>
      <c r="VFQ1"/>
      <c r="VFR1"/>
      <c r="VFS1"/>
      <c r="VFT1"/>
      <c r="VFU1"/>
      <c r="VFV1"/>
      <c r="VFW1"/>
      <c r="VFX1"/>
      <c r="VFY1"/>
      <c r="VFZ1"/>
      <c r="VGA1"/>
      <c r="VGB1"/>
      <c r="VGC1"/>
      <c r="VGD1"/>
      <c r="VGE1"/>
      <c r="VGF1"/>
      <c r="VGG1"/>
      <c r="VGH1"/>
      <c r="VGI1"/>
      <c r="VGJ1"/>
      <c r="VGK1"/>
      <c r="VGL1"/>
      <c r="VGM1"/>
      <c r="VGN1"/>
      <c r="VGO1"/>
      <c r="VGP1"/>
      <c r="VGQ1"/>
      <c r="VGR1"/>
      <c r="VGS1"/>
      <c r="VGT1"/>
      <c r="VGU1"/>
      <c r="VGV1"/>
      <c r="VGW1"/>
      <c r="VGX1"/>
      <c r="VGY1"/>
      <c r="VGZ1"/>
      <c r="VHA1"/>
      <c r="VHB1"/>
      <c r="VHC1"/>
      <c r="VHD1"/>
      <c r="VHE1"/>
      <c r="VHF1"/>
      <c r="VHG1"/>
      <c r="VHH1"/>
      <c r="VHI1"/>
      <c r="VHJ1"/>
      <c r="VHK1"/>
      <c r="VHL1"/>
      <c r="VHM1"/>
      <c r="VHN1"/>
      <c r="VHO1"/>
      <c r="VHP1"/>
      <c r="VHQ1"/>
      <c r="VHR1"/>
      <c r="VHS1"/>
      <c r="VHT1"/>
      <c r="VHU1"/>
      <c r="VHV1"/>
      <c r="VHW1"/>
      <c r="VHX1"/>
      <c r="VHY1"/>
      <c r="VHZ1"/>
      <c r="VIA1"/>
      <c r="VIB1"/>
      <c r="VIC1"/>
      <c r="VID1"/>
      <c r="VIE1"/>
      <c r="VIF1"/>
      <c r="VIG1"/>
      <c r="VIH1"/>
      <c r="VII1"/>
      <c r="VIJ1"/>
      <c r="VIK1"/>
      <c r="VIL1"/>
      <c r="VIM1"/>
      <c r="VIN1"/>
      <c r="VIO1"/>
      <c r="VIP1"/>
      <c r="VIQ1"/>
      <c r="VIR1"/>
      <c r="VIS1"/>
      <c r="VIT1"/>
      <c r="VIU1"/>
      <c r="VIV1"/>
      <c r="VIW1"/>
      <c r="VIX1"/>
      <c r="VIY1"/>
      <c r="VIZ1"/>
      <c r="VJA1"/>
      <c r="VJB1"/>
      <c r="VJC1"/>
      <c r="VJD1"/>
      <c r="VJE1"/>
      <c r="VJF1"/>
      <c r="VJG1"/>
      <c r="VJH1"/>
      <c r="VJI1"/>
      <c r="VJJ1"/>
      <c r="VJK1"/>
      <c r="VJL1"/>
      <c r="VJM1"/>
      <c r="VJN1"/>
      <c r="VJO1"/>
      <c r="VJP1"/>
      <c r="VJQ1"/>
      <c r="VJR1"/>
      <c r="VJS1"/>
      <c r="VJT1"/>
      <c r="VJU1"/>
      <c r="VJV1"/>
      <c r="VJW1"/>
      <c r="VJX1"/>
      <c r="VJY1"/>
      <c r="VJZ1"/>
      <c r="VKA1"/>
      <c r="VKB1"/>
      <c r="VKC1"/>
      <c r="VKD1"/>
      <c r="VKE1"/>
      <c r="VKF1"/>
      <c r="VKG1"/>
      <c r="VKH1"/>
      <c r="VKI1"/>
      <c r="VKJ1"/>
      <c r="VKK1"/>
      <c r="VKL1"/>
      <c r="VKM1"/>
      <c r="VKN1"/>
      <c r="VKO1"/>
      <c r="VKP1"/>
      <c r="VKQ1"/>
      <c r="VKR1"/>
      <c r="VKS1"/>
      <c r="VKT1"/>
      <c r="VKU1"/>
      <c r="VKV1"/>
      <c r="VKW1"/>
      <c r="VKX1"/>
      <c r="VKY1"/>
      <c r="VKZ1"/>
      <c r="VLA1"/>
      <c r="VLB1"/>
      <c r="VLC1"/>
      <c r="VLD1"/>
      <c r="VLE1"/>
      <c r="VLF1"/>
      <c r="VLG1"/>
      <c r="VLH1"/>
      <c r="VLI1"/>
      <c r="VLJ1"/>
      <c r="VLK1"/>
      <c r="VLL1"/>
      <c r="VLM1"/>
      <c r="VLN1"/>
      <c r="VLO1"/>
      <c r="VLP1"/>
      <c r="VLQ1"/>
      <c r="VLR1"/>
      <c r="VLS1"/>
      <c r="VLT1"/>
      <c r="VLU1"/>
      <c r="VLV1"/>
      <c r="VLW1"/>
      <c r="VLX1"/>
      <c r="VLY1"/>
      <c r="VLZ1"/>
      <c r="VMA1"/>
      <c r="VMB1"/>
      <c r="VMC1"/>
      <c r="VMD1"/>
      <c r="VME1"/>
      <c r="VMF1"/>
      <c r="VMG1"/>
      <c r="VMH1"/>
      <c r="VMI1"/>
      <c r="VMJ1"/>
      <c r="VMK1"/>
      <c r="VML1"/>
      <c r="VMM1"/>
      <c r="VMN1"/>
      <c r="VMO1"/>
      <c r="VMP1"/>
      <c r="VMQ1"/>
      <c r="VMR1"/>
      <c r="VMS1"/>
      <c r="VMT1"/>
      <c r="VMU1"/>
      <c r="VMV1"/>
      <c r="VMW1"/>
      <c r="VMX1"/>
      <c r="VMY1"/>
      <c r="VMZ1"/>
      <c r="VNA1"/>
      <c r="VNB1"/>
      <c r="VNC1"/>
      <c r="VND1"/>
      <c r="VNE1"/>
      <c r="VNF1"/>
      <c r="VNG1"/>
      <c r="VNH1"/>
      <c r="VNI1"/>
      <c r="VNJ1"/>
      <c r="VNK1"/>
      <c r="VNL1"/>
      <c r="VNM1"/>
      <c r="VNN1"/>
      <c r="VNO1"/>
      <c r="VNP1"/>
      <c r="VNQ1"/>
      <c r="VNR1"/>
      <c r="VNS1"/>
      <c r="VNT1"/>
      <c r="VNU1"/>
      <c r="VNV1"/>
      <c r="VNW1"/>
      <c r="VNX1"/>
      <c r="VNY1"/>
      <c r="VNZ1"/>
      <c r="VOA1"/>
      <c r="VOB1"/>
      <c r="VOC1"/>
      <c r="VOD1"/>
      <c r="VOE1"/>
      <c r="VOF1"/>
      <c r="VOG1"/>
      <c r="VOH1"/>
      <c r="VOI1"/>
      <c r="VOJ1"/>
      <c r="VOK1"/>
      <c r="VOL1"/>
      <c r="VOM1"/>
      <c r="VON1"/>
      <c r="VOO1"/>
      <c r="VOP1"/>
      <c r="VOQ1"/>
      <c r="VOR1"/>
      <c r="VOS1"/>
      <c r="VOT1"/>
      <c r="VOU1"/>
      <c r="VOV1"/>
      <c r="VOW1"/>
      <c r="VOX1"/>
      <c r="VOY1"/>
      <c r="VOZ1"/>
      <c r="VPA1"/>
      <c r="VPB1"/>
      <c r="VPC1"/>
      <c r="VPD1"/>
      <c r="VPE1"/>
      <c r="VPF1"/>
      <c r="VPG1"/>
      <c r="VPH1"/>
      <c r="VPI1"/>
      <c r="VPJ1"/>
      <c r="VPK1"/>
      <c r="VPL1"/>
      <c r="VPM1"/>
      <c r="VPN1"/>
      <c r="VPO1"/>
      <c r="VPP1"/>
      <c r="VPQ1"/>
      <c r="VPR1"/>
      <c r="VPS1"/>
      <c r="VPT1"/>
      <c r="VPU1"/>
      <c r="VPV1"/>
      <c r="VPW1"/>
      <c r="VPX1"/>
      <c r="VPY1"/>
      <c r="VPZ1"/>
      <c r="VQA1"/>
      <c r="VQB1"/>
      <c r="VQC1"/>
      <c r="VQD1"/>
      <c r="VQE1"/>
      <c r="VQF1"/>
      <c r="VQG1"/>
      <c r="VQH1"/>
      <c r="VQI1"/>
      <c r="VQJ1"/>
      <c r="VQK1"/>
      <c r="VQL1"/>
      <c r="VQM1"/>
      <c r="VQN1"/>
      <c r="VQO1"/>
      <c r="VQP1"/>
      <c r="VQQ1"/>
      <c r="VQR1"/>
      <c r="VQS1"/>
      <c r="VQT1"/>
      <c r="VQU1"/>
      <c r="VQV1"/>
      <c r="VQW1"/>
      <c r="VQX1"/>
      <c r="VQY1"/>
      <c r="VQZ1"/>
      <c r="VRA1"/>
      <c r="VRB1"/>
      <c r="VRC1"/>
      <c r="VRD1"/>
      <c r="VRE1"/>
      <c r="VRF1"/>
      <c r="VRG1"/>
      <c r="VRH1"/>
      <c r="VRI1"/>
      <c r="VRJ1"/>
      <c r="VRK1"/>
      <c r="VRL1"/>
      <c r="VRM1"/>
      <c r="VRN1"/>
      <c r="VRO1"/>
      <c r="VRP1"/>
      <c r="VRQ1"/>
      <c r="VRR1"/>
      <c r="VRS1"/>
      <c r="VRT1"/>
      <c r="VRU1"/>
      <c r="VRV1"/>
      <c r="VRW1"/>
      <c r="VRX1"/>
      <c r="VRY1"/>
      <c r="VRZ1"/>
      <c r="VSA1"/>
      <c r="VSB1"/>
      <c r="VSC1"/>
      <c r="VSD1"/>
      <c r="VSE1"/>
      <c r="VSF1"/>
      <c r="VSG1"/>
      <c r="VSH1"/>
      <c r="VSI1"/>
      <c r="VSJ1"/>
      <c r="VSK1"/>
      <c r="VSL1"/>
      <c r="VSM1"/>
      <c r="VSN1"/>
      <c r="VSO1"/>
      <c r="VSP1"/>
      <c r="VSQ1"/>
      <c r="VSR1"/>
      <c r="VSS1"/>
      <c r="VST1"/>
      <c r="VSU1"/>
      <c r="VSV1"/>
      <c r="VSW1"/>
      <c r="VSX1"/>
      <c r="VSY1"/>
      <c r="VSZ1"/>
      <c r="VTA1"/>
      <c r="VTB1"/>
      <c r="VTC1"/>
      <c r="VTD1"/>
      <c r="VTE1"/>
      <c r="VTF1"/>
      <c r="VTG1"/>
      <c r="VTH1"/>
      <c r="VTI1"/>
      <c r="VTJ1"/>
      <c r="VTK1"/>
      <c r="VTL1"/>
      <c r="VTM1"/>
      <c r="VTN1"/>
      <c r="VTO1"/>
      <c r="VTP1"/>
      <c r="VTQ1"/>
      <c r="VTR1"/>
      <c r="VTS1"/>
      <c r="VTT1"/>
      <c r="VTU1"/>
      <c r="VTV1"/>
      <c r="VTW1"/>
      <c r="VTX1"/>
      <c r="VTY1"/>
      <c r="VTZ1"/>
      <c r="VUA1"/>
      <c r="VUB1"/>
      <c r="VUC1"/>
      <c r="VUD1"/>
      <c r="VUE1"/>
      <c r="VUF1"/>
      <c r="VUG1"/>
      <c r="VUH1"/>
      <c r="VUI1"/>
      <c r="VUJ1"/>
      <c r="VUK1"/>
      <c r="VUL1"/>
      <c r="VUM1"/>
      <c r="VUN1"/>
      <c r="VUO1"/>
      <c r="VUP1"/>
      <c r="VUQ1"/>
      <c r="VUR1"/>
      <c r="VUS1"/>
      <c r="VUT1"/>
      <c r="VUU1"/>
      <c r="VUV1"/>
      <c r="VUW1"/>
      <c r="VUX1"/>
      <c r="VUY1"/>
      <c r="VUZ1"/>
      <c r="VVA1"/>
      <c r="VVB1"/>
      <c r="VVC1"/>
      <c r="VVD1"/>
      <c r="VVE1"/>
      <c r="VVF1"/>
      <c r="VVG1"/>
      <c r="VVH1"/>
      <c r="VVI1"/>
      <c r="VVJ1"/>
      <c r="VVK1"/>
      <c r="VVL1"/>
      <c r="VVM1"/>
      <c r="VVN1"/>
      <c r="VVO1"/>
      <c r="VVP1"/>
      <c r="VVQ1"/>
      <c r="VVR1"/>
      <c r="VVS1"/>
      <c r="VVT1"/>
      <c r="VVU1"/>
      <c r="VVV1"/>
      <c r="VVW1"/>
      <c r="VVX1"/>
      <c r="VVY1"/>
      <c r="VVZ1"/>
      <c r="VWA1"/>
      <c r="VWB1"/>
      <c r="VWC1"/>
      <c r="VWD1"/>
      <c r="VWE1"/>
      <c r="VWF1"/>
      <c r="VWG1"/>
      <c r="VWH1"/>
      <c r="VWI1"/>
      <c r="VWJ1"/>
      <c r="VWK1"/>
      <c r="VWL1"/>
      <c r="VWM1"/>
      <c r="VWN1"/>
      <c r="VWO1"/>
      <c r="VWP1"/>
      <c r="VWQ1"/>
      <c r="VWR1"/>
      <c r="VWS1"/>
      <c r="VWT1"/>
      <c r="VWU1"/>
      <c r="VWV1"/>
      <c r="VWW1"/>
      <c r="VWX1"/>
      <c r="VWY1"/>
      <c r="VWZ1"/>
      <c r="VXA1"/>
      <c r="VXB1"/>
      <c r="VXC1"/>
      <c r="VXD1"/>
      <c r="VXE1"/>
      <c r="VXF1"/>
      <c r="VXG1"/>
      <c r="VXH1"/>
      <c r="VXI1"/>
      <c r="VXJ1"/>
      <c r="VXK1"/>
      <c r="VXL1"/>
      <c r="VXM1"/>
      <c r="VXN1"/>
      <c r="VXO1"/>
      <c r="VXP1"/>
      <c r="VXQ1"/>
      <c r="VXR1"/>
      <c r="VXS1"/>
      <c r="VXT1"/>
      <c r="VXU1"/>
      <c r="VXV1"/>
      <c r="VXW1"/>
      <c r="VXX1"/>
      <c r="VXY1"/>
      <c r="VXZ1"/>
      <c r="VYA1"/>
      <c r="VYB1"/>
      <c r="VYC1"/>
      <c r="VYD1"/>
      <c r="VYE1"/>
      <c r="VYF1"/>
      <c r="VYG1"/>
      <c r="VYH1"/>
      <c r="VYI1"/>
      <c r="VYJ1"/>
      <c r="VYK1"/>
      <c r="VYL1"/>
      <c r="VYM1"/>
      <c r="VYN1"/>
      <c r="VYO1"/>
      <c r="VYP1"/>
      <c r="VYQ1"/>
      <c r="VYR1"/>
      <c r="VYS1"/>
      <c r="VYT1"/>
      <c r="VYU1"/>
      <c r="VYV1"/>
      <c r="VYW1"/>
      <c r="VYX1"/>
      <c r="VYY1"/>
      <c r="VYZ1"/>
      <c r="VZA1"/>
      <c r="VZB1"/>
      <c r="VZC1"/>
      <c r="VZD1"/>
      <c r="VZE1"/>
      <c r="VZF1"/>
      <c r="VZG1"/>
      <c r="VZH1"/>
      <c r="VZI1"/>
      <c r="VZJ1"/>
      <c r="VZK1"/>
      <c r="VZL1"/>
      <c r="VZM1"/>
      <c r="VZN1"/>
      <c r="VZO1"/>
      <c r="VZP1"/>
      <c r="VZQ1"/>
      <c r="VZR1"/>
      <c r="VZS1"/>
      <c r="VZT1"/>
      <c r="VZU1"/>
      <c r="VZV1"/>
      <c r="VZW1"/>
      <c r="VZX1"/>
      <c r="VZY1"/>
      <c r="VZZ1"/>
      <c r="WAA1"/>
      <c r="WAB1"/>
      <c r="WAC1"/>
      <c r="WAD1"/>
      <c r="WAE1"/>
      <c r="WAF1"/>
      <c r="WAG1"/>
      <c r="WAH1"/>
      <c r="WAI1"/>
      <c r="WAJ1"/>
      <c r="WAK1"/>
      <c r="WAL1"/>
      <c r="WAM1"/>
      <c r="WAN1"/>
      <c r="WAO1"/>
      <c r="WAP1"/>
      <c r="WAQ1"/>
      <c r="WAR1"/>
      <c r="WAS1"/>
      <c r="WAT1"/>
      <c r="WAU1"/>
      <c r="WAV1"/>
      <c r="WAW1"/>
      <c r="WAX1"/>
      <c r="WAY1"/>
      <c r="WAZ1"/>
      <c r="WBA1"/>
      <c r="WBB1"/>
      <c r="WBC1"/>
      <c r="WBD1"/>
      <c r="WBE1"/>
      <c r="WBF1"/>
      <c r="WBG1"/>
      <c r="WBH1"/>
      <c r="WBI1"/>
      <c r="WBJ1"/>
      <c r="WBK1"/>
      <c r="WBL1"/>
      <c r="WBM1"/>
      <c r="WBN1"/>
      <c r="WBO1"/>
      <c r="WBP1"/>
      <c r="WBQ1"/>
      <c r="WBR1"/>
      <c r="WBS1"/>
      <c r="WBT1"/>
      <c r="WBU1"/>
      <c r="WBV1"/>
      <c r="WBW1"/>
      <c r="WBX1"/>
      <c r="WBY1"/>
      <c r="WBZ1"/>
      <c r="WCA1"/>
      <c r="WCB1"/>
      <c r="WCC1"/>
      <c r="WCD1"/>
      <c r="WCE1"/>
      <c r="WCF1"/>
      <c r="WCG1"/>
      <c r="WCH1"/>
      <c r="WCI1"/>
      <c r="WCJ1"/>
      <c r="WCK1"/>
      <c r="WCL1"/>
      <c r="WCM1"/>
      <c r="WCN1"/>
      <c r="WCO1"/>
      <c r="WCP1"/>
      <c r="WCQ1"/>
      <c r="WCR1"/>
      <c r="WCS1"/>
      <c r="WCT1"/>
      <c r="WCU1"/>
      <c r="WCV1"/>
      <c r="WCW1"/>
      <c r="WCX1"/>
      <c r="WCY1"/>
      <c r="WCZ1"/>
      <c r="WDA1"/>
      <c r="WDB1"/>
      <c r="WDC1"/>
      <c r="WDD1"/>
      <c r="WDE1"/>
      <c r="WDF1"/>
      <c r="WDG1"/>
      <c r="WDH1"/>
      <c r="WDI1"/>
      <c r="WDJ1"/>
      <c r="WDK1"/>
      <c r="WDL1"/>
      <c r="WDM1"/>
      <c r="WDN1"/>
      <c r="WDO1"/>
      <c r="WDP1"/>
      <c r="WDQ1"/>
      <c r="WDR1"/>
      <c r="WDS1"/>
      <c r="WDT1"/>
      <c r="WDU1"/>
      <c r="WDV1"/>
      <c r="WDW1"/>
      <c r="WDX1"/>
      <c r="WDY1"/>
      <c r="WDZ1"/>
      <c r="WEA1"/>
      <c r="WEB1"/>
      <c r="WEC1"/>
      <c r="WED1"/>
      <c r="WEE1"/>
      <c r="WEF1"/>
      <c r="WEG1"/>
      <c r="WEH1"/>
      <c r="WEI1"/>
      <c r="WEJ1"/>
      <c r="WEK1"/>
      <c r="WEL1"/>
      <c r="WEM1"/>
      <c r="WEN1"/>
      <c r="WEO1"/>
      <c r="WEP1"/>
      <c r="WEQ1"/>
      <c r="WER1"/>
      <c r="WES1"/>
      <c r="WET1"/>
      <c r="WEU1"/>
      <c r="WEV1"/>
      <c r="WEW1"/>
      <c r="WEX1"/>
      <c r="WEY1"/>
      <c r="WEZ1"/>
      <c r="WFA1"/>
      <c r="WFB1"/>
      <c r="WFC1"/>
      <c r="WFD1"/>
      <c r="WFE1"/>
      <c r="WFF1"/>
      <c r="WFG1"/>
      <c r="WFH1"/>
      <c r="WFI1"/>
      <c r="WFJ1"/>
      <c r="WFK1"/>
      <c r="WFL1"/>
      <c r="WFM1"/>
      <c r="WFN1"/>
      <c r="WFO1"/>
      <c r="WFP1"/>
      <c r="WFQ1"/>
      <c r="WFR1"/>
      <c r="WFS1"/>
      <c r="WFT1"/>
      <c r="WFU1"/>
      <c r="WFV1"/>
      <c r="WFW1"/>
      <c r="WFX1"/>
      <c r="WFY1"/>
      <c r="WFZ1"/>
      <c r="WGA1"/>
      <c r="WGB1"/>
      <c r="WGC1"/>
      <c r="WGD1"/>
      <c r="WGE1"/>
      <c r="WGF1"/>
      <c r="WGG1"/>
      <c r="WGH1"/>
      <c r="WGI1"/>
      <c r="WGJ1"/>
      <c r="WGK1"/>
      <c r="WGL1"/>
      <c r="WGM1"/>
      <c r="WGN1"/>
      <c r="WGO1"/>
      <c r="WGP1"/>
      <c r="WGQ1"/>
      <c r="WGR1"/>
      <c r="WGS1"/>
      <c r="WGT1"/>
      <c r="WGU1"/>
      <c r="WGV1"/>
      <c r="WGW1"/>
      <c r="WGX1"/>
      <c r="WGY1"/>
      <c r="WGZ1"/>
      <c r="WHA1"/>
      <c r="WHB1"/>
      <c r="WHC1"/>
      <c r="WHD1"/>
      <c r="WHE1"/>
      <c r="WHF1"/>
      <c r="WHG1"/>
      <c r="WHH1"/>
      <c r="WHI1"/>
      <c r="WHJ1"/>
      <c r="WHK1"/>
      <c r="WHL1"/>
      <c r="WHM1"/>
      <c r="WHN1"/>
      <c r="WHO1"/>
      <c r="WHP1"/>
      <c r="WHQ1"/>
      <c r="WHR1"/>
      <c r="WHS1"/>
      <c r="WHT1"/>
      <c r="WHU1"/>
      <c r="WHV1"/>
      <c r="WHW1"/>
      <c r="WHX1"/>
      <c r="WHY1"/>
      <c r="WHZ1"/>
      <c r="WIA1"/>
      <c r="WIB1"/>
      <c r="WIC1"/>
      <c r="WID1"/>
      <c r="WIE1"/>
      <c r="WIF1"/>
      <c r="WIG1"/>
      <c r="WIH1"/>
      <c r="WII1"/>
      <c r="WIJ1"/>
      <c r="WIK1"/>
      <c r="WIL1"/>
      <c r="WIM1"/>
      <c r="WIN1"/>
      <c r="WIO1"/>
      <c r="WIP1"/>
      <c r="WIQ1"/>
      <c r="WIR1"/>
      <c r="WIS1"/>
      <c r="WIT1"/>
      <c r="WIU1"/>
      <c r="WIV1"/>
      <c r="WIW1"/>
      <c r="WIX1"/>
      <c r="WIY1"/>
      <c r="WIZ1"/>
      <c r="WJA1"/>
      <c r="WJB1"/>
      <c r="WJC1"/>
      <c r="WJD1"/>
      <c r="WJE1"/>
      <c r="WJF1"/>
      <c r="WJG1"/>
      <c r="WJH1"/>
      <c r="WJI1"/>
      <c r="WJJ1"/>
      <c r="WJK1"/>
      <c r="WJL1"/>
      <c r="WJM1"/>
      <c r="WJN1"/>
      <c r="WJO1"/>
      <c r="WJP1"/>
      <c r="WJQ1"/>
      <c r="WJR1"/>
      <c r="WJS1"/>
      <c r="WJT1"/>
      <c r="WJU1"/>
      <c r="WJV1"/>
      <c r="WJW1"/>
      <c r="WJX1"/>
      <c r="WJY1"/>
      <c r="WJZ1"/>
      <c r="WKA1"/>
      <c r="WKB1"/>
      <c r="WKC1"/>
      <c r="WKD1"/>
      <c r="WKE1"/>
      <c r="WKF1"/>
      <c r="WKG1"/>
      <c r="WKH1"/>
      <c r="WKI1"/>
      <c r="WKJ1"/>
      <c r="WKK1"/>
      <c r="WKL1"/>
      <c r="WKM1"/>
      <c r="WKN1"/>
      <c r="WKO1"/>
      <c r="WKP1"/>
      <c r="WKQ1"/>
      <c r="WKR1"/>
      <c r="WKS1"/>
      <c r="WKT1"/>
      <c r="WKU1"/>
      <c r="WKV1"/>
      <c r="WKW1"/>
      <c r="WKX1"/>
      <c r="WKY1"/>
      <c r="WKZ1"/>
      <c r="WLA1"/>
      <c r="WLB1"/>
      <c r="WLC1"/>
      <c r="WLD1"/>
      <c r="WLE1"/>
      <c r="WLF1"/>
      <c r="WLG1"/>
      <c r="WLH1"/>
      <c r="WLI1"/>
      <c r="WLJ1"/>
      <c r="WLK1"/>
      <c r="WLL1"/>
      <c r="WLM1"/>
      <c r="WLN1"/>
      <c r="WLO1"/>
      <c r="WLP1"/>
      <c r="WLQ1"/>
      <c r="WLR1"/>
      <c r="WLS1"/>
      <c r="WLT1"/>
      <c r="WLU1"/>
      <c r="WLV1"/>
      <c r="WLW1"/>
      <c r="WLX1"/>
      <c r="WLY1"/>
      <c r="WLZ1"/>
      <c r="WMA1"/>
      <c r="WMB1"/>
      <c r="WMC1"/>
      <c r="WMD1"/>
      <c r="WME1"/>
      <c r="WMF1"/>
      <c r="WMG1"/>
      <c r="WMH1"/>
      <c r="WMI1"/>
      <c r="WMJ1"/>
      <c r="WMK1"/>
      <c r="WML1"/>
      <c r="WMM1"/>
      <c r="WMN1"/>
      <c r="WMO1"/>
      <c r="WMP1"/>
      <c r="WMQ1"/>
      <c r="WMR1"/>
      <c r="WMS1"/>
      <c r="WMT1"/>
      <c r="WMU1"/>
      <c r="WMV1"/>
      <c r="WMW1"/>
      <c r="WMX1"/>
      <c r="WMY1"/>
      <c r="WMZ1"/>
      <c r="WNA1"/>
      <c r="WNB1"/>
      <c r="WNC1"/>
      <c r="WND1"/>
      <c r="WNE1"/>
      <c r="WNF1"/>
      <c r="WNG1"/>
      <c r="WNH1"/>
      <c r="WNI1"/>
      <c r="WNJ1"/>
      <c r="WNK1"/>
      <c r="WNL1"/>
      <c r="WNM1"/>
      <c r="WNN1"/>
      <c r="WNO1"/>
      <c r="WNP1"/>
      <c r="WNQ1"/>
      <c r="WNR1"/>
      <c r="WNS1"/>
      <c r="WNT1"/>
      <c r="WNU1"/>
      <c r="WNV1"/>
      <c r="WNW1"/>
      <c r="WNX1"/>
      <c r="WNY1"/>
      <c r="WNZ1"/>
      <c r="WOA1"/>
      <c r="WOB1"/>
      <c r="WOC1"/>
      <c r="WOD1"/>
      <c r="WOE1"/>
      <c r="WOF1"/>
      <c r="WOG1"/>
      <c r="WOH1"/>
      <c r="WOI1"/>
      <c r="WOJ1"/>
      <c r="WOK1"/>
      <c r="WOL1"/>
      <c r="WOM1"/>
      <c r="WON1"/>
      <c r="WOO1"/>
      <c r="WOP1"/>
      <c r="WOQ1"/>
      <c r="WOR1"/>
      <c r="WOS1"/>
      <c r="WOT1"/>
      <c r="WOU1"/>
      <c r="WOV1"/>
      <c r="WOW1"/>
      <c r="WOX1"/>
      <c r="WOY1"/>
      <c r="WOZ1"/>
      <c r="WPA1"/>
      <c r="WPB1"/>
      <c r="WPC1"/>
      <c r="WPD1"/>
      <c r="WPE1"/>
      <c r="WPF1"/>
      <c r="WPG1"/>
      <c r="WPH1"/>
      <c r="WPI1"/>
      <c r="WPJ1"/>
      <c r="WPK1"/>
      <c r="WPL1"/>
      <c r="WPM1"/>
      <c r="WPN1"/>
      <c r="WPO1"/>
      <c r="WPP1"/>
      <c r="WPQ1"/>
      <c r="WPR1"/>
      <c r="WPS1"/>
      <c r="WPT1"/>
      <c r="WPU1"/>
      <c r="WPV1"/>
      <c r="WPW1"/>
      <c r="WPX1"/>
      <c r="WPY1"/>
      <c r="WPZ1"/>
      <c r="WQA1"/>
      <c r="WQB1"/>
      <c r="WQC1"/>
      <c r="WQD1"/>
      <c r="WQE1"/>
      <c r="WQF1"/>
      <c r="WQG1"/>
      <c r="WQH1"/>
      <c r="WQI1"/>
      <c r="WQJ1"/>
      <c r="WQK1"/>
      <c r="WQL1"/>
      <c r="WQM1"/>
      <c r="WQN1"/>
      <c r="WQO1"/>
      <c r="WQP1"/>
      <c r="WQQ1"/>
      <c r="WQR1"/>
      <c r="WQS1"/>
      <c r="WQT1"/>
      <c r="WQU1"/>
      <c r="WQV1"/>
      <c r="WQW1"/>
      <c r="WQX1"/>
      <c r="WQY1"/>
      <c r="WQZ1"/>
      <c r="WRA1"/>
      <c r="WRB1"/>
      <c r="WRC1"/>
      <c r="WRD1"/>
      <c r="WRE1"/>
      <c r="WRF1"/>
      <c r="WRG1"/>
      <c r="WRH1"/>
      <c r="WRI1"/>
      <c r="WRJ1"/>
      <c r="WRK1"/>
      <c r="WRL1"/>
      <c r="WRM1"/>
      <c r="WRN1"/>
      <c r="WRO1"/>
      <c r="WRP1"/>
      <c r="WRQ1"/>
      <c r="WRR1"/>
      <c r="WRS1"/>
      <c r="WRT1"/>
      <c r="WRU1"/>
      <c r="WRV1"/>
      <c r="WRW1"/>
      <c r="WRX1"/>
      <c r="WRY1"/>
      <c r="WRZ1"/>
      <c r="WSA1"/>
      <c r="WSB1"/>
      <c r="WSC1"/>
      <c r="WSD1"/>
      <c r="WSE1"/>
      <c r="WSF1"/>
      <c r="WSG1"/>
      <c r="WSH1"/>
      <c r="WSI1"/>
      <c r="WSJ1"/>
      <c r="WSK1"/>
      <c r="WSL1"/>
      <c r="WSM1"/>
      <c r="WSN1"/>
      <c r="WSO1"/>
      <c r="WSP1"/>
      <c r="WSQ1"/>
      <c r="WSR1"/>
      <c r="WSS1"/>
      <c r="WST1"/>
      <c r="WSU1"/>
      <c r="WSV1"/>
      <c r="WSW1"/>
      <c r="WSX1"/>
      <c r="WSY1"/>
      <c r="WSZ1"/>
      <c r="WTA1"/>
      <c r="WTB1"/>
      <c r="WTC1"/>
      <c r="WTD1"/>
      <c r="WTE1"/>
      <c r="WTF1"/>
      <c r="WTG1"/>
      <c r="WTH1"/>
      <c r="WTI1"/>
      <c r="WTJ1"/>
      <c r="WTK1"/>
      <c r="WTL1"/>
      <c r="WTM1"/>
      <c r="WTN1"/>
      <c r="WTO1"/>
      <c r="WTP1"/>
      <c r="WTQ1"/>
      <c r="WTR1"/>
      <c r="WTS1"/>
      <c r="WTT1"/>
      <c r="WTU1"/>
      <c r="WTV1"/>
      <c r="WTW1"/>
      <c r="WTX1"/>
      <c r="WTY1"/>
      <c r="WTZ1"/>
      <c r="WUA1"/>
      <c r="WUB1"/>
      <c r="WUC1"/>
      <c r="WUD1"/>
      <c r="WUE1"/>
      <c r="WUF1"/>
      <c r="WUG1"/>
      <c r="WUH1"/>
      <c r="WUI1"/>
      <c r="WUJ1"/>
      <c r="WUK1"/>
      <c r="WUL1"/>
      <c r="WUM1"/>
      <c r="WUN1"/>
      <c r="WUO1"/>
      <c r="WUP1"/>
      <c r="WUQ1"/>
      <c r="WUR1"/>
      <c r="WUS1"/>
      <c r="WUT1"/>
      <c r="WUU1"/>
      <c r="WUV1"/>
      <c r="WUW1"/>
      <c r="WUX1"/>
      <c r="WUY1"/>
      <c r="WUZ1"/>
      <c r="WVA1"/>
      <c r="WVB1"/>
      <c r="WVC1"/>
      <c r="WVD1"/>
      <c r="WVE1"/>
      <c r="WVF1"/>
      <c r="WVG1"/>
      <c r="WVH1"/>
      <c r="WVI1"/>
      <c r="WVJ1"/>
      <c r="WVK1"/>
      <c r="WVL1"/>
      <c r="WVM1"/>
      <c r="WVN1"/>
      <c r="WVO1"/>
      <c r="WVP1"/>
      <c r="WVQ1"/>
      <c r="WVR1"/>
      <c r="WVS1"/>
      <c r="WVT1"/>
      <c r="WVU1"/>
      <c r="WVV1"/>
      <c r="WVW1"/>
      <c r="WVX1"/>
      <c r="WVY1"/>
      <c r="WVZ1"/>
      <c r="WWA1"/>
      <c r="WWB1"/>
      <c r="WWC1"/>
      <c r="WWD1"/>
      <c r="WWE1"/>
      <c r="WWF1"/>
      <c r="WWG1"/>
      <c r="WWH1"/>
      <c r="WWI1"/>
      <c r="WWJ1"/>
      <c r="WWK1"/>
      <c r="WWL1"/>
      <c r="WWM1"/>
      <c r="WWN1"/>
      <c r="WWO1"/>
      <c r="WWP1"/>
      <c r="WWQ1"/>
      <c r="WWR1"/>
      <c r="WWS1"/>
      <c r="WWT1"/>
      <c r="WWU1"/>
      <c r="WWV1"/>
      <c r="WWW1"/>
      <c r="WWX1"/>
      <c r="WWY1"/>
      <c r="WWZ1"/>
      <c r="WXA1"/>
      <c r="WXB1"/>
      <c r="WXC1"/>
      <c r="WXD1"/>
      <c r="WXE1"/>
      <c r="WXF1"/>
      <c r="WXG1"/>
      <c r="WXH1"/>
      <c r="WXI1"/>
      <c r="WXJ1"/>
      <c r="WXK1"/>
      <c r="WXL1"/>
      <c r="WXM1"/>
      <c r="WXN1"/>
      <c r="WXO1"/>
      <c r="WXP1"/>
      <c r="WXQ1"/>
      <c r="WXR1"/>
      <c r="WXS1"/>
      <c r="WXT1"/>
      <c r="WXU1"/>
      <c r="WXV1"/>
      <c r="WXW1"/>
      <c r="WXX1"/>
      <c r="WXY1"/>
      <c r="WXZ1"/>
      <c r="WYA1"/>
      <c r="WYB1"/>
      <c r="WYC1"/>
      <c r="WYD1"/>
      <c r="WYE1"/>
      <c r="WYF1"/>
      <c r="WYG1"/>
      <c r="WYH1"/>
      <c r="WYI1"/>
      <c r="WYJ1"/>
      <c r="WYK1"/>
      <c r="WYL1"/>
      <c r="WYM1"/>
      <c r="WYN1"/>
      <c r="WYO1"/>
      <c r="WYP1"/>
      <c r="WYQ1"/>
      <c r="WYR1"/>
      <c r="WYS1"/>
      <c r="WYT1"/>
      <c r="WYU1"/>
      <c r="WYV1"/>
      <c r="WYW1"/>
      <c r="WYX1"/>
      <c r="WYY1"/>
      <c r="WYZ1"/>
      <c r="WZA1"/>
      <c r="WZB1"/>
      <c r="WZC1"/>
      <c r="WZD1"/>
      <c r="WZE1"/>
      <c r="WZF1"/>
      <c r="WZG1"/>
      <c r="WZH1"/>
      <c r="WZI1"/>
      <c r="WZJ1"/>
      <c r="WZK1"/>
      <c r="WZL1"/>
      <c r="WZM1"/>
      <c r="WZN1"/>
      <c r="WZO1"/>
      <c r="WZP1"/>
      <c r="WZQ1"/>
      <c r="WZR1"/>
      <c r="WZS1"/>
      <c r="WZT1"/>
      <c r="WZU1"/>
      <c r="WZV1"/>
      <c r="WZW1"/>
      <c r="WZX1"/>
      <c r="WZY1"/>
      <c r="WZZ1"/>
      <c r="XAA1"/>
      <c r="XAB1"/>
      <c r="XAC1"/>
      <c r="XAD1"/>
      <c r="XAE1"/>
      <c r="XAF1"/>
      <c r="XAG1"/>
      <c r="XAH1"/>
      <c r="XAI1"/>
      <c r="XAJ1"/>
      <c r="XAK1"/>
      <c r="XAL1"/>
      <c r="XAM1"/>
      <c r="XAN1"/>
      <c r="XAO1"/>
      <c r="XAP1"/>
      <c r="XAQ1"/>
      <c r="XAR1"/>
      <c r="XAS1"/>
      <c r="XAT1"/>
      <c r="XAU1"/>
      <c r="XAV1"/>
      <c r="XAW1"/>
      <c r="XAX1"/>
      <c r="XAY1"/>
      <c r="XAZ1"/>
      <c r="XBA1"/>
      <c r="XBB1"/>
      <c r="XBC1"/>
      <c r="XBD1"/>
      <c r="XBE1"/>
      <c r="XBF1"/>
      <c r="XBG1"/>
      <c r="XBH1"/>
      <c r="XBI1"/>
      <c r="XBJ1"/>
      <c r="XBK1"/>
      <c r="XBL1"/>
      <c r="XBM1"/>
      <c r="XBN1"/>
      <c r="XBO1"/>
      <c r="XBP1"/>
      <c r="XBQ1"/>
      <c r="XBR1"/>
      <c r="XBS1"/>
      <c r="XBT1"/>
      <c r="XBU1"/>
      <c r="XBV1"/>
      <c r="XBW1"/>
      <c r="XBX1"/>
      <c r="XBY1"/>
      <c r="XBZ1"/>
      <c r="XCA1"/>
      <c r="XCB1"/>
      <c r="XCC1"/>
      <c r="XCD1"/>
      <c r="XCE1"/>
      <c r="XCF1"/>
      <c r="XCG1"/>
      <c r="XCH1"/>
      <c r="XCI1"/>
      <c r="XCJ1"/>
      <c r="XCK1"/>
      <c r="XCL1"/>
      <c r="XCM1"/>
      <c r="XCN1"/>
      <c r="XCO1"/>
      <c r="XCP1"/>
      <c r="XCQ1"/>
      <c r="XCR1"/>
      <c r="XCS1"/>
      <c r="XCT1"/>
      <c r="XCU1"/>
      <c r="XCV1"/>
      <c r="XCW1"/>
      <c r="XCX1"/>
      <c r="XCY1"/>
      <c r="XCZ1"/>
      <c r="XDA1"/>
      <c r="XDB1"/>
      <c r="XDC1"/>
      <c r="XDD1"/>
      <c r="XDE1"/>
      <c r="XDF1"/>
      <c r="XDG1"/>
      <c r="XDH1"/>
      <c r="XDI1"/>
      <c r="XDJ1"/>
      <c r="XDK1"/>
      <c r="XDL1"/>
      <c r="XDM1"/>
      <c r="XDN1"/>
      <c r="XDO1"/>
      <c r="XDP1"/>
      <c r="XDQ1"/>
      <c r="XDR1"/>
      <c r="XDS1"/>
      <c r="XDT1"/>
      <c r="XDU1"/>
      <c r="XDV1"/>
      <c r="XDW1"/>
      <c r="XDX1"/>
      <c r="XDY1"/>
      <c r="XDZ1"/>
      <c r="XEA1"/>
      <c r="XEB1"/>
      <c r="XEC1"/>
      <c r="XED1"/>
      <c r="XEE1"/>
      <c r="XEF1"/>
      <c r="XEG1"/>
      <c r="XEH1"/>
      <c r="XEI1"/>
      <c r="XEJ1"/>
      <c r="XEK1"/>
      <c r="XEL1"/>
      <c r="XEM1"/>
      <c r="XEN1"/>
      <c r="XEO1"/>
      <c r="XEP1"/>
      <c r="XEQ1"/>
      <c r="XER1"/>
      <c r="XES1"/>
      <c r="XET1"/>
      <c r="XEU1"/>
      <c r="XEV1"/>
      <c r="XEW1"/>
      <c r="XEX1"/>
      <c r="XEY1"/>
      <c r="XEZ1"/>
      <c r="XFA1"/>
      <c r="XFB1"/>
      <c r="XFC1"/>
      <c r="XFD1"/>
    </row>
    <row r="2" spans="1:16384" s="2" customFormat="1" ht="44.25" customHeight="1" x14ac:dyDescent="0.2">
      <c r="A2" s="274" t="s">
        <v>731</v>
      </c>
      <c r="B2" s="274"/>
      <c r="C2" s="274"/>
      <c r="D2" s="274"/>
      <c r="E2" s="274"/>
      <c r="F2"/>
      <c r="G2"/>
      <c r="H2" s="214"/>
      <c r="I2" s="214"/>
      <c r="J2" s="214"/>
      <c r="K2" s="214"/>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c r="XFD2"/>
    </row>
    <row r="3" spans="1:16384" ht="47.25" customHeight="1" x14ac:dyDescent="0.2">
      <c r="A3" s="235" t="str">
        <f>Overview!B4&amp; " - Illustrative LLFs for year beginning "&amp;Overview!D4</f>
        <v>SP Distribution - Illustrative LLFs for year beginning 1 April 2018</v>
      </c>
      <c r="B3" s="235"/>
      <c r="C3" s="235"/>
      <c r="D3" s="235"/>
      <c r="E3" s="235"/>
    </row>
    <row r="4" spans="1:16384" ht="19.5" customHeight="1" x14ac:dyDescent="0.2">
      <c r="A4" s="278" t="s">
        <v>80</v>
      </c>
      <c r="B4" s="20" t="s">
        <v>54</v>
      </c>
      <c r="C4" s="20" t="s">
        <v>55</v>
      </c>
      <c r="D4" s="20" t="s">
        <v>56</v>
      </c>
      <c r="E4" s="20" t="s">
        <v>57</v>
      </c>
    </row>
    <row r="5" spans="1:16384" ht="19.5" customHeight="1" x14ac:dyDescent="0.2">
      <c r="A5" s="279"/>
      <c r="B5" s="20"/>
      <c r="C5" s="20"/>
      <c r="D5" s="20"/>
      <c r="E5" s="20"/>
    </row>
    <row r="6" spans="1:16384" ht="45" customHeight="1" x14ac:dyDescent="0.2">
      <c r="A6" s="192" t="s">
        <v>792</v>
      </c>
      <c r="B6" s="193" t="s">
        <v>793</v>
      </c>
      <c r="C6" s="193" t="s">
        <v>794</v>
      </c>
      <c r="D6" s="194"/>
      <c r="E6" s="194"/>
    </row>
    <row r="7" spans="1:16384" ht="45" customHeight="1" x14ac:dyDescent="0.2">
      <c r="A7" s="192" t="s">
        <v>795</v>
      </c>
      <c r="B7" s="193" t="s">
        <v>793</v>
      </c>
      <c r="C7" s="193" t="s">
        <v>796</v>
      </c>
      <c r="D7" s="195" t="s">
        <v>797</v>
      </c>
      <c r="E7" s="193" t="s">
        <v>798</v>
      </c>
    </row>
    <row r="8" spans="1:16384" ht="45" customHeight="1" x14ac:dyDescent="0.2">
      <c r="A8" s="192" t="s">
        <v>83</v>
      </c>
      <c r="B8" s="193" t="s">
        <v>793</v>
      </c>
      <c r="C8" s="193" t="s">
        <v>794</v>
      </c>
      <c r="D8" s="194"/>
      <c r="E8" s="194"/>
    </row>
    <row r="9" spans="1:16384" ht="25.5" customHeight="1" x14ac:dyDescent="0.2">
      <c r="A9" s="196" t="s">
        <v>81</v>
      </c>
      <c r="B9" s="275" t="s">
        <v>82</v>
      </c>
      <c r="C9" s="276"/>
      <c r="D9" s="276"/>
      <c r="E9" s="277"/>
    </row>
    <row r="10" spans="1:16384" s="15" customFormat="1" x14ac:dyDescent="0.2">
      <c r="A10" s="14"/>
      <c r="B10" s="13"/>
      <c r="C10" s="13"/>
      <c r="D10" s="13"/>
      <c r="E10" s="13"/>
      <c r="H10" s="215"/>
      <c r="I10" s="215"/>
      <c r="J10" s="215"/>
      <c r="K10" s="215"/>
    </row>
    <row r="11" spans="1:16384" x14ac:dyDescent="0.2">
      <c r="B11" s="13"/>
      <c r="C11" s="13"/>
      <c r="D11" s="13"/>
      <c r="E11" s="13"/>
    </row>
    <row r="12" spans="1:16384" ht="22.5" customHeight="1" x14ac:dyDescent="0.2">
      <c r="A12" s="238" t="s">
        <v>496</v>
      </c>
      <c r="B12" s="280"/>
      <c r="C12" s="280"/>
      <c r="D12" s="280"/>
      <c r="E12" s="280"/>
      <c r="F12" s="239"/>
    </row>
    <row r="13" spans="1:16384" ht="22.5" customHeight="1" x14ac:dyDescent="0.2">
      <c r="A13" s="238" t="s">
        <v>53</v>
      </c>
      <c r="B13" s="280"/>
      <c r="C13" s="280"/>
      <c r="D13" s="280"/>
      <c r="E13" s="280"/>
      <c r="F13" s="239"/>
    </row>
    <row r="14" spans="1:16384" ht="33" customHeight="1" x14ac:dyDescent="0.2">
      <c r="A14" s="20" t="s">
        <v>497</v>
      </c>
      <c r="B14" s="20" t="s">
        <v>54</v>
      </c>
      <c r="C14" s="20" t="s">
        <v>55</v>
      </c>
      <c r="D14" s="20" t="s">
        <v>56</v>
      </c>
      <c r="E14" s="20" t="s">
        <v>57</v>
      </c>
      <c r="F14" s="20" t="s">
        <v>58</v>
      </c>
    </row>
    <row r="15" spans="1:16384" ht="162" customHeight="1" x14ac:dyDescent="0.2">
      <c r="A15" s="1" t="s">
        <v>802</v>
      </c>
      <c r="B15" s="201">
        <v>1.0820000000000001</v>
      </c>
      <c r="C15" s="201">
        <v>1.0980000000000001</v>
      </c>
      <c r="D15" s="201">
        <v>1.1120000000000001</v>
      </c>
      <c r="E15" s="201">
        <v>1.1259999999999999</v>
      </c>
      <c r="F15" s="204" t="s">
        <v>803</v>
      </c>
    </row>
    <row r="16" spans="1:16384" ht="38.25" customHeight="1" x14ac:dyDescent="0.2">
      <c r="A16" s="1" t="s">
        <v>804</v>
      </c>
      <c r="B16" s="201">
        <v>1.0449999999999999</v>
      </c>
      <c r="C16" s="201">
        <v>1.044</v>
      </c>
      <c r="D16" s="201">
        <v>1.046</v>
      </c>
      <c r="E16" s="201">
        <v>1.0489999999999999</v>
      </c>
      <c r="F16" s="204" t="s">
        <v>805</v>
      </c>
    </row>
    <row r="17" spans="1:16" ht="49.5" customHeight="1" x14ac:dyDescent="0.2">
      <c r="A17" s="1" t="s">
        <v>806</v>
      </c>
      <c r="B17" s="201">
        <v>1.0229999999999999</v>
      </c>
      <c r="C17" s="201">
        <v>1.026</v>
      </c>
      <c r="D17" s="201">
        <v>1.0289999999999999</v>
      </c>
      <c r="E17" s="201">
        <v>1.0309999999999999</v>
      </c>
      <c r="F17" s="204" t="s">
        <v>807</v>
      </c>
    </row>
    <row r="18" spans="1:16" ht="129" customHeight="1" x14ac:dyDescent="0.2">
      <c r="A18" s="1" t="s">
        <v>808</v>
      </c>
      <c r="B18" s="201">
        <v>1.0129999999999999</v>
      </c>
      <c r="C18" s="201">
        <v>1.012</v>
      </c>
      <c r="D18" s="201">
        <v>1.0129999999999999</v>
      </c>
      <c r="E18" s="201">
        <v>1.0129999999999999</v>
      </c>
      <c r="F18" s="204" t="s">
        <v>809</v>
      </c>
    </row>
    <row r="19" spans="1:16" ht="22.5" customHeight="1" x14ac:dyDescent="0.2">
      <c r="A19" s="1" t="s">
        <v>810</v>
      </c>
      <c r="B19" s="201">
        <v>1.0029999999999999</v>
      </c>
      <c r="C19" s="201">
        <v>1.004</v>
      </c>
      <c r="D19" s="201">
        <v>1.0049999999999999</v>
      </c>
      <c r="E19" s="201">
        <v>1.0049999999999999</v>
      </c>
      <c r="F19" s="12"/>
    </row>
    <row r="20" spans="1:16" ht="22.5" customHeight="1" x14ac:dyDescent="0.2">
      <c r="A20" s="1" t="s">
        <v>811</v>
      </c>
      <c r="B20" s="201">
        <v>1</v>
      </c>
      <c r="C20" s="201">
        <v>1</v>
      </c>
      <c r="D20" s="201">
        <v>1</v>
      </c>
      <c r="E20" s="201">
        <v>1</v>
      </c>
      <c r="F20" s="12"/>
    </row>
    <row r="21" spans="1:16" ht="22.5" customHeight="1" x14ac:dyDescent="0.2">
      <c r="A21" s="1" t="s">
        <v>812</v>
      </c>
      <c r="B21" s="202"/>
      <c r="C21" s="202"/>
      <c r="D21" s="202"/>
      <c r="E21" s="202"/>
      <c r="F21" s="203"/>
    </row>
    <row r="22" spans="1:16" ht="22.5" customHeight="1" x14ac:dyDescent="0.2">
      <c r="A22" s="1" t="s">
        <v>812</v>
      </c>
      <c r="B22" s="202"/>
      <c r="C22" s="202"/>
      <c r="D22" s="202"/>
      <c r="E22" s="202"/>
      <c r="F22" s="203"/>
    </row>
    <row r="24" spans="1:16" ht="22.5" customHeight="1" x14ac:dyDescent="0.2">
      <c r="A24" s="238" t="s">
        <v>498</v>
      </c>
      <c r="B24" s="280"/>
      <c r="C24" s="280"/>
      <c r="D24" s="280"/>
      <c r="E24" s="280"/>
      <c r="F24" s="239"/>
    </row>
    <row r="25" spans="1:16" ht="22.5" customHeight="1" x14ac:dyDescent="0.2">
      <c r="A25" s="238" t="s">
        <v>60</v>
      </c>
      <c r="B25" s="280"/>
      <c r="C25" s="280"/>
      <c r="D25" s="280"/>
      <c r="E25" s="280"/>
      <c r="F25" s="239"/>
    </row>
    <row r="26" spans="1:16" ht="33" customHeight="1" x14ac:dyDescent="0.2">
      <c r="A26" s="20" t="s">
        <v>59</v>
      </c>
      <c r="B26" s="20" t="s">
        <v>54</v>
      </c>
      <c r="C26" s="20" t="s">
        <v>55</v>
      </c>
      <c r="D26" s="20" t="s">
        <v>56</v>
      </c>
      <c r="E26" s="20" t="s">
        <v>57</v>
      </c>
      <c r="F26" s="20" t="s">
        <v>58</v>
      </c>
    </row>
    <row r="27" spans="1:16" ht="22.5" customHeight="1" x14ac:dyDescent="0.2">
      <c r="A27" s="1" t="s">
        <v>813</v>
      </c>
      <c r="B27" s="201">
        <v>1.0029999999999999</v>
      </c>
      <c r="C27" s="201">
        <v>1.004</v>
      </c>
      <c r="D27" s="201">
        <v>1.0049999999999999</v>
      </c>
      <c r="E27" s="201">
        <v>1.0049999999999999</v>
      </c>
      <c r="F27" s="200">
        <v>800</v>
      </c>
      <c r="H27" s="213"/>
      <c r="I27" s="213"/>
      <c r="J27" s="213"/>
      <c r="K27" s="213"/>
      <c r="M27" s="213"/>
      <c r="N27" s="213"/>
      <c r="O27" s="213"/>
      <c r="P27" s="213"/>
    </row>
    <row r="28" spans="1:16" ht="22.5" customHeight="1" x14ac:dyDescent="0.2">
      <c r="A28" s="1" t="s">
        <v>814</v>
      </c>
      <c r="B28" s="201">
        <v>1</v>
      </c>
      <c r="C28" s="201">
        <v>1.0009999999999999</v>
      </c>
      <c r="D28" s="201">
        <v>1.0009999999999999</v>
      </c>
      <c r="E28" s="201">
        <v>1.002</v>
      </c>
      <c r="F28" s="200">
        <v>801</v>
      </c>
      <c r="H28" s="213"/>
      <c r="I28" s="213"/>
      <c r="J28" s="213"/>
      <c r="K28" s="213"/>
      <c r="M28" s="213"/>
      <c r="N28" s="213"/>
      <c r="O28" s="213"/>
      <c r="P28" s="213"/>
    </row>
    <row r="29" spans="1:16" ht="22.5" customHeight="1" x14ac:dyDescent="0.2">
      <c r="A29" s="1" t="s">
        <v>815</v>
      </c>
      <c r="B29" s="201">
        <v>1.006</v>
      </c>
      <c r="C29" s="201">
        <v>1.01</v>
      </c>
      <c r="D29" s="201">
        <v>1.012</v>
      </c>
      <c r="E29" s="201">
        <v>1.014</v>
      </c>
      <c r="F29" s="200">
        <v>802</v>
      </c>
      <c r="H29" s="213"/>
      <c r="I29" s="213"/>
      <c r="J29" s="213"/>
      <c r="K29" s="213"/>
      <c r="M29" s="213"/>
      <c r="N29" s="213"/>
      <c r="O29" s="213"/>
      <c r="P29" s="213"/>
    </row>
    <row r="30" spans="1:16" ht="22.5" customHeight="1" x14ac:dyDescent="0.2">
      <c r="A30" s="1" t="s">
        <v>816</v>
      </c>
      <c r="B30" s="201">
        <v>1</v>
      </c>
      <c r="C30" s="201">
        <v>1</v>
      </c>
      <c r="D30" s="201">
        <v>1</v>
      </c>
      <c r="E30" s="201">
        <v>1.002</v>
      </c>
      <c r="F30" s="200">
        <v>803</v>
      </c>
      <c r="H30" s="213"/>
      <c r="I30" s="213"/>
      <c r="J30" s="213"/>
      <c r="K30" s="213"/>
      <c r="M30" s="213"/>
      <c r="N30" s="213"/>
      <c r="O30" s="213"/>
      <c r="P30" s="213"/>
    </row>
    <row r="31" spans="1:16" ht="22.5" customHeight="1" x14ac:dyDescent="0.2">
      <c r="A31" s="1" t="s">
        <v>817</v>
      </c>
      <c r="B31" s="201">
        <v>1</v>
      </c>
      <c r="C31" s="201">
        <v>1</v>
      </c>
      <c r="D31" s="201">
        <v>1</v>
      </c>
      <c r="E31" s="201">
        <v>1.0009999999999999</v>
      </c>
      <c r="F31" s="200">
        <v>804</v>
      </c>
      <c r="H31" s="213"/>
      <c r="I31" s="213"/>
      <c r="J31" s="213"/>
      <c r="K31" s="213"/>
      <c r="M31" s="213"/>
      <c r="N31" s="213"/>
      <c r="O31" s="213"/>
      <c r="P31" s="213"/>
    </row>
    <row r="32" spans="1:16" ht="22.5" customHeight="1" x14ac:dyDescent="0.2">
      <c r="A32" s="1" t="s">
        <v>818</v>
      </c>
      <c r="B32" s="201">
        <v>1</v>
      </c>
      <c r="C32" s="201">
        <v>1</v>
      </c>
      <c r="D32" s="201">
        <v>1</v>
      </c>
      <c r="E32" s="201">
        <v>1</v>
      </c>
      <c r="F32" s="200">
        <v>805</v>
      </c>
      <c r="H32" s="213"/>
      <c r="I32" s="213"/>
      <c r="J32" s="213"/>
      <c r="K32" s="213"/>
      <c r="M32" s="213"/>
      <c r="N32" s="213"/>
      <c r="O32" s="213"/>
      <c r="P32" s="213"/>
    </row>
    <row r="33" spans="1:16" ht="22.5" customHeight="1" x14ac:dyDescent="0.2">
      <c r="A33" s="1" t="s">
        <v>819</v>
      </c>
      <c r="B33" s="201">
        <v>1.0009999999999999</v>
      </c>
      <c r="C33" s="201">
        <v>1.0009999999999999</v>
      </c>
      <c r="D33" s="201">
        <v>1.002</v>
      </c>
      <c r="E33" s="201">
        <v>1.002</v>
      </c>
      <c r="F33" s="200">
        <v>806</v>
      </c>
      <c r="H33" s="213"/>
      <c r="I33" s="213"/>
      <c r="J33" s="213"/>
      <c r="K33" s="213"/>
      <c r="M33" s="213"/>
      <c r="N33" s="213"/>
      <c r="O33" s="213"/>
      <c r="P33" s="213"/>
    </row>
    <row r="34" spans="1:16" ht="22.5" customHeight="1" x14ac:dyDescent="0.2">
      <c r="A34" s="1" t="s">
        <v>820</v>
      </c>
      <c r="B34" s="201">
        <v>1.0009999999999999</v>
      </c>
      <c r="C34" s="201">
        <v>1.002</v>
      </c>
      <c r="D34" s="201">
        <v>1.002</v>
      </c>
      <c r="E34" s="201">
        <v>1.0029999999999999</v>
      </c>
      <c r="F34" s="200">
        <v>807</v>
      </c>
      <c r="H34" s="213"/>
      <c r="I34" s="213"/>
      <c r="J34" s="213"/>
      <c r="K34" s="213"/>
      <c r="M34" s="213"/>
      <c r="N34" s="213"/>
      <c r="O34" s="213"/>
      <c r="P34" s="213"/>
    </row>
    <row r="35" spans="1:16" ht="22.5" customHeight="1" x14ac:dyDescent="0.2">
      <c r="A35" s="1" t="s">
        <v>821</v>
      </c>
      <c r="B35" s="201">
        <v>0.999</v>
      </c>
      <c r="C35" s="201">
        <v>1</v>
      </c>
      <c r="D35" s="201">
        <v>1.0009999999999999</v>
      </c>
      <c r="E35" s="201">
        <v>1.0189999999999999</v>
      </c>
      <c r="F35" s="200">
        <v>808</v>
      </c>
      <c r="H35" s="213"/>
      <c r="I35" s="213"/>
      <c r="J35" s="213"/>
      <c r="K35" s="213"/>
      <c r="M35" s="213"/>
      <c r="N35" s="213"/>
      <c r="O35" s="213"/>
      <c r="P35" s="213"/>
    </row>
    <row r="36" spans="1:16" ht="22.5" customHeight="1" x14ac:dyDescent="0.2">
      <c r="A36" s="1" t="s">
        <v>822</v>
      </c>
      <c r="B36" s="201">
        <v>1</v>
      </c>
      <c r="C36" s="201">
        <v>1.0009999999999999</v>
      </c>
      <c r="D36" s="201">
        <v>1.002</v>
      </c>
      <c r="E36" s="201">
        <v>1.002</v>
      </c>
      <c r="F36" s="200">
        <v>809</v>
      </c>
      <c r="H36" s="213"/>
      <c r="I36" s="213"/>
      <c r="J36" s="213"/>
      <c r="K36" s="213"/>
      <c r="M36" s="213"/>
      <c r="N36" s="213"/>
      <c r="O36" s="213"/>
      <c r="P36" s="213"/>
    </row>
    <row r="37" spans="1:16" ht="22.5" customHeight="1" x14ac:dyDescent="0.2">
      <c r="A37" s="1" t="s">
        <v>823</v>
      </c>
      <c r="B37" s="201">
        <v>1</v>
      </c>
      <c r="C37" s="201">
        <v>1</v>
      </c>
      <c r="D37" s="201">
        <v>1</v>
      </c>
      <c r="E37" s="201">
        <v>1</v>
      </c>
      <c r="F37" s="200">
        <v>811</v>
      </c>
      <c r="H37" s="213"/>
      <c r="I37" s="213"/>
      <c r="J37" s="213"/>
      <c r="K37" s="213"/>
      <c r="M37" s="213"/>
      <c r="N37" s="213"/>
      <c r="O37" s="213"/>
      <c r="P37" s="213"/>
    </row>
    <row r="38" spans="1:16" ht="22.5" customHeight="1" x14ac:dyDescent="0.2">
      <c r="A38" s="1" t="s">
        <v>824</v>
      </c>
      <c r="B38" s="201">
        <v>1</v>
      </c>
      <c r="C38" s="201">
        <v>1</v>
      </c>
      <c r="D38" s="201">
        <v>1</v>
      </c>
      <c r="E38" s="201">
        <v>1</v>
      </c>
      <c r="F38" s="200">
        <v>812</v>
      </c>
      <c r="H38" s="213"/>
      <c r="I38" s="213"/>
      <c r="J38" s="213"/>
      <c r="K38" s="213"/>
      <c r="M38" s="213"/>
      <c r="N38" s="213"/>
      <c r="O38" s="213"/>
      <c r="P38" s="213"/>
    </row>
    <row r="39" spans="1:16" ht="22.5" customHeight="1" x14ac:dyDescent="0.2">
      <c r="A39" s="1" t="s">
        <v>825</v>
      </c>
      <c r="B39" s="201">
        <v>1</v>
      </c>
      <c r="C39" s="201">
        <v>1</v>
      </c>
      <c r="D39" s="201">
        <v>1</v>
      </c>
      <c r="E39" s="201">
        <v>1</v>
      </c>
      <c r="F39" s="200">
        <v>813</v>
      </c>
      <c r="H39" s="213"/>
      <c r="I39" s="213"/>
      <c r="J39" s="213"/>
      <c r="K39" s="213"/>
      <c r="M39" s="213"/>
      <c r="N39" s="213"/>
      <c r="O39" s="213"/>
      <c r="P39" s="213"/>
    </row>
    <row r="40" spans="1:16" ht="22.5" customHeight="1" x14ac:dyDescent="0.2">
      <c r="A40" s="1" t="s">
        <v>826</v>
      </c>
      <c r="B40" s="201">
        <v>1.004</v>
      </c>
      <c r="C40" s="201">
        <v>1.006</v>
      </c>
      <c r="D40" s="201">
        <v>1.0069999999999999</v>
      </c>
      <c r="E40" s="201">
        <v>1.0089999999999999</v>
      </c>
      <c r="F40" s="200">
        <v>814</v>
      </c>
      <c r="H40" s="213"/>
      <c r="I40" s="213"/>
      <c r="J40" s="213"/>
      <c r="K40" s="213"/>
      <c r="M40" s="213"/>
      <c r="N40" s="213"/>
      <c r="O40" s="213"/>
      <c r="P40" s="213"/>
    </row>
    <row r="41" spans="1:16" ht="22.5" customHeight="1" x14ac:dyDescent="0.2">
      <c r="A41" s="1" t="s">
        <v>827</v>
      </c>
      <c r="B41" s="201">
        <v>1.006</v>
      </c>
      <c r="C41" s="201">
        <v>1.008</v>
      </c>
      <c r="D41" s="201">
        <v>1.01</v>
      </c>
      <c r="E41" s="201">
        <v>1.012</v>
      </c>
      <c r="F41" s="200">
        <v>815</v>
      </c>
      <c r="H41" s="213"/>
      <c r="I41" s="213"/>
      <c r="J41" s="213"/>
      <c r="K41" s="213"/>
      <c r="M41" s="213"/>
      <c r="N41" s="213"/>
      <c r="O41" s="213"/>
      <c r="P41" s="213"/>
    </row>
    <row r="42" spans="1:16" ht="22.5" customHeight="1" x14ac:dyDescent="0.2">
      <c r="A42" s="1" t="s">
        <v>828</v>
      </c>
      <c r="B42" s="201">
        <v>1</v>
      </c>
      <c r="C42" s="201">
        <v>1</v>
      </c>
      <c r="D42" s="201">
        <v>1.0009999999999999</v>
      </c>
      <c r="E42" s="201">
        <v>1.0009999999999999</v>
      </c>
      <c r="F42" s="200">
        <v>816</v>
      </c>
      <c r="H42" s="213"/>
      <c r="I42" s="213"/>
      <c r="J42" s="213"/>
      <c r="K42" s="213"/>
      <c r="M42" s="213"/>
      <c r="N42" s="213"/>
      <c r="O42" s="213"/>
      <c r="P42" s="213"/>
    </row>
    <row r="43" spans="1:16" ht="22.5" customHeight="1" x14ac:dyDescent="0.2">
      <c r="A43" s="1" t="s">
        <v>829</v>
      </c>
      <c r="B43" s="201">
        <v>1.0009999999999999</v>
      </c>
      <c r="C43" s="201">
        <v>1.0009999999999999</v>
      </c>
      <c r="D43" s="201">
        <v>1.002</v>
      </c>
      <c r="E43" s="201">
        <v>1.0029999999999999</v>
      </c>
      <c r="F43" s="200">
        <v>817</v>
      </c>
      <c r="H43" s="213"/>
      <c r="I43" s="213"/>
      <c r="J43" s="213"/>
      <c r="K43" s="213"/>
      <c r="M43" s="213"/>
      <c r="N43" s="213"/>
      <c r="O43" s="213"/>
      <c r="P43" s="213"/>
    </row>
    <row r="44" spans="1:16" ht="22.5" customHeight="1" x14ac:dyDescent="0.2">
      <c r="A44" s="1" t="s">
        <v>830</v>
      </c>
      <c r="B44" s="201">
        <v>1</v>
      </c>
      <c r="C44" s="201">
        <v>1</v>
      </c>
      <c r="D44" s="201">
        <v>1</v>
      </c>
      <c r="E44" s="201">
        <v>1</v>
      </c>
      <c r="F44" s="200">
        <v>818</v>
      </c>
      <c r="H44" s="213"/>
      <c r="I44" s="213"/>
      <c r="J44" s="213"/>
      <c r="K44" s="213"/>
      <c r="M44" s="213"/>
      <c r="N44" s="213"/>
      <c r="O44" s="213"/>
      <c r="P44" s="213"/>
    </row>
    <row r="45" spans="1:16" ht="22.5" customHeight="1" x14ac:dyDescent="0.2">
      <c r="A45" s="1" t="s">
        <v>831</v>
      </c>
      <c r="B45" s="201">
        <v>1.0029999999999999</v>
      </c>
      <c r="C45" s="201">
        <v>1.004</v>
      </c>
      <c r="D45" s="201">
        <v>1.0049999999999999</v>
      </c>
      <c r="E45" s="201">
        <v>1.0049999999999999</v>
      </c>
      <c r="F45" s="200">
        <v>819</v>
      </c>
      <c r="H45" s="213"/>
      <c r="I45" s="213"/>
      <c r="J45" s="213"/>
      <c r="K45" s="213"/>
      <c r="M45" s="213"/>
      <c r="N45" s="213"/>
      <c r="O45" s="213"/>
      <c r="P45" s="213"/>
    </row>
    <row r="46" spans="1:16" ht="22.5" customHeight="1" x14ac:dyDescent="0.2">
      <c r="A46" s="1" t="s">
        <v>832</v>
      </c>
      <c r="B46" s="201">
        <v>1</v>
      </c>
      <c r="C46" s="201">
        <v>1</v>
      </c>
      <c r="D46" s="201">
        <v>1.0009999999999999</v>
      </c>
      <c r="E46" s="201">
        <v>1.0009999999999999</v>
      </c>
      <c r="F46" s="200">
        <v>820</v>
      </c>
      <c r="H46" s="213"/>
      <c r="I46" s="213"/>
      <c r="J46" s="213"/>
      <c r="K46" s="213"/>
      <c r="M46" s="213"/>
      <c r="N46" s="213"/>
      <c r="O46" s="213"/>
      <c r="P46" s="213"/>
    </row>
    <row r="47" spans="1:16" ht="22.5" customHeight="1" x14ac:dyDescent="0.2">
      <c r="A47" s="1" t="s">
        <v>833</v>
      </c>
      <c r="B47" s="201">
        <v>1</v>
      </c>
      <c r="C47" s="201">
        <v>1</v>
      </c>
      <c r="D47" s="201">
        <v>1</v>
      </c>
      <c r="E47" s="201">
        <v>1</v>
      </c>
      <c r="F47" s="200">
        <v>821</v>
      </c>
      <c r="H47" s="213"/>
      <c r="I47" s="213"/>
      <c r="J47" s="213"/>
      <c r="K47" s="213"/>
      <c r="M47" s="213"/>
      <c r="N47" s="213"/>
      <c r="O47" s="213"/>
      <c r="P47" s="213"/>
    </row>
    <row r="48" spans="1:16" ht="22.5" customHeight="1" x14ac:dyDescent="0.2">
      <c r="A48" s="1" t="s">
        <v>834</v>
      </c>
      <c r="B48" s="201">
        <v>1.0029999999999999</v>
      </c>
      <c r="C48" s="201">
        <v>1.004</v>
      </c>
      <c r="D48" s="201">
        <v>1.0049999999999999</v>
      </c>
      <c r="E48" s="201">
        <v>1.0049999999999999</v>
      </c>
      <c r="F48" s="200">
        <v>822</v>
      </c>
      <c r="H48" s="213"/>
      <c r="I48" s="213"/>
      <c r="J48" s="213"/>
      <c r="K48" s="213"/>
      <c r="M48" s="213"/>
      <c r="N48" s="213"/>
      <c r="O48" s="213"/>
      <c r="P48" s="213"/>
    </row>
    <row r="49" spans="1:16" ht="22.5" customHeight="1" x14ac:dyDescent="0.2">
      <c r="A49" s="1" t="s">
        <v>835</v>
      </c>
      <c r="B49" s="201">
        <v>1</v>
      </c>
      <c r="C49" s="201">
        <v>1</v>
      </c>
      <c r="D49" s="201">
        <v>1.0009999999999999</v>
      </c>
      <c r="E49" s="201">
        <v>1.0009999999999999</v>
      </c>
      <c r="F49" s="200">
        <v>823</v>
      </c>
      <c r="H49" s="213"/>
      <c r="I49" s="213"/>
      <c r="J49" s="213"/>
      <c r="K49" s="213"/>
      <c r="M49" s="213"/>
      <c r="N49" s="213"/>
      <c r="O49" s="213"/>
      <c r="P49" s="213"/>
    </row>
    <row r="50" spans="1:16" ht="22.5" customHeight="1" x14ac:dyDescent="0.2">
      <c r="A50" s="1" t="s">
        <v>836</v>
      </c>
      <c r="B50" s="201">
        <v>1</v>
      </c>
      <c r="C50" s="201">
        <v>1.0009999999999999</v>
      </c>
      <c r="D50" s="201">
        <v>1</v>
      </c>
      <c r="E50" s="201">
        <v>1.002</v>
      </c>
      <c r="F50" s="200">
        <v>824</v>
      </c>
      <c r="H50" s="213"/>
      <c r="I50" s="213"/>
      <c r="J50" s="213"/>
      <c r="K50" s="213"/>
      <c r="M50" s="213"/>
      <c r="N50" s="213"/>
      <c r="O50" s="213"/>
      <c r="P50" s="213"/>
    </row>
    <row r="51" spans="1:16" ht="22.5" customHeight="1" x14ac:dyDescent="0.2">
      <c r="A51" s="1" t="s">
        <v>837</v>
      </c>
      <c r="B51" s="201">
        <v>1</v>
      </c>
      <c r="C51" s="201">
        <v>1</v>
      </c>
      <c r="D51" s="201">
        <v>1</v>
      </c>
      <c r="E51" s="201">
        <v>1</v>
      </c>
      <c r="F51" s="200">
        <v>825</v>
      </c>
      <c r="H51" s="213"/>
      <c r="I51" s="213"/>
      <c r="J51" s="213"/>
      <c r="K51" s="213"/>
      <c r="M51" s="213"/>
      <c r="N51" s="213"/>
      <c r="O51" s="213"/>
      <c r="P51" s="213"/>
    </row>
    <row r="52" spans="1:16" ht="22.5" customHeight="1" x14ac:dyDescent="0.2">
      <c r="A52" s="1" t="s">
        <v>838</v>
      </c>
      <c r="B52" s="201">
        <v>1.006</v>
      </c>
      <c r="C52" s="201">
        <v>1.0089999999999999</v>
      </c>
      <c r="D52" s="201">
        <v>1.01</v>
      </c>
      <c r="E52" s="201">
        <v>1.0129999999999999</v>
      </c>
      <c r="F52" s="200">
        <v>826</v>
      </c>
      <c r="H52" s="213"/>
      <c r="I52" s="213"/>
      <c r="J52" s="213"/>
      <c r="K52" s="213"/>
      <c r="M52" s="213"/>
      <c r="N52" s="213"/>
      <c r="O52" s="213"/>
      <c r="P52" s="213"/>
    </row>
    <row r="53" spans="1:16" ht="22.5" customHeight="1" x14ac:dyDescent="0.2">
      <c r="A53" s="1" t="s">
        <v>839</v>
      </c>
      <c r="B53" s="201">
        <v>1.0189999999999999</v>
      </c>
      <c r="C53" s="201">
        <v>1.026</v>
      </c>
      <c r="D53" s="201">
        <v>1.0309999999999999</v>
      </c>
      <c r="E53" s="201">
        <v>1.0369999999999999</v>
      </c>
      <c r="F53" s="200">
        <v>827</v>
      </c>
      <c r="H53" s="213"/>
      <c r="I53" s="213"/>
      <c r="J53" s="213"/>
      <c r="K53" s="213"/>
      <c r="M53" s="213"/>
      <c r="N53" s="213"/>
      <c r="O53" s="213"/>
      <c r="P53" s="213"/>
    </row>
    <row r="54" spans="1:16" ht="22.5" customHeight="1" x14ac:dyDescent="0.2">
      <c r="A54" s="1" t="s">
        <v>840</v>
      </c>
      <c r="B54" s="201">
        <v>1.0189999999999999</v>
      </c>
      <c r="C54" s="201">
        <v>1.026</v>
      </c>
      <c r="D54" s="201">
        <v>1.0309999999999999</v>
      </c>
      <c r="E54" s="201">
        <v>1.0369999999999999</v>
      </c>
      <c r="F54" s="200">
        <v>828</v>
      </c>
      <c r="H54" s="213"/>
      <c r="I54" s="213"/>
      <c r="J54" s="213"/>
      <c r="K54" s="213"/>
      <c r="M54" s="213"/>
      <c r="N54" s="213"/>
      <c r="O54" s="213"/>
      <c r="P54" s="213"/>
    </row>
    <row r="55" spans="1:16" ht="22.5" customHeight="1" x14ac:dyDescent="0.2">
      <c r="A55" s="1" t="s">
        <v>841</v>
      </c>
      <c r="B55" s="201">
        <v>1</v>
      </c>
      <c r="C55" s="201">
        <v>1</v>
      </c>
      <c r="D55" s="201">
        <v>1</v>
      </c>
      <c r="E55" s="201">
        <v>1.0009999999999999</v>
      </c>
      <c r="F55" s="200">
        <v>829</v>
      </c>
      <c r="H55" s="213"/>
      <c r="I55" s="213"/>
      <c r="J55" s="213"/>
      <c r="K55" s="213"/>
      <c r="M55" s="213"/>
      <c r="N55" s="213"/>
      <c r="O55" s="213"/>
      <c r="P55" s="213"/>
    </row>
    <row r="56" spans="1:16" ht="22.5" customHeight="1" x14ac:dyDescent="0.2">
      <c r="A56" s="1" t="s">
        <v>842</v>
      </c>
      <c r="B56" s="201">
        <v>1.0029999999999999</v>
      </c>
      <c r="C56" s="201">
        <v>1.0029999999999999</v>
      </c>
      <c r="D56" s="201">
        <v>1.004</v>
      </c>
      <c r="E56" s="201">
        <v>1.006</v>
      </c>
      <c r="F56" s="200">
        <v>830</v>
      </c>
      <c r="H56" s="213"/>
      <c r="I56" s="213"/>
      <c r="J56" s="213"/>
      <c r="K56" s="213"/>
      <c r="M56" s="213"/>
      <c r="N56" s="213"/>
      <c r="O56" s="213"/>
      <c r="P56" s="213"/>
    </row>
    <row r="57" spans="1:16" ht="22.5" customHeight="1" x14ac:dyDescent="0.2">
      <c r="A57" s="1" t="s">
        <v>843</v>
      </c>
      <c r="B57" s="201">
        <v>1</v>
      </c>
      <c r="C57" s="201">
        <v>1</v>
      </c>
      <c r="D57" s="201">
        <v>1</v>
      </c>
      <c r="E57" s="201">
        <v>1</v>
      </c>
      <c r="F57" s="200">
        <v>831</v>
      </c>
      <c r="H57" s="213"/>
      <c r="I57" s="213"/>
      <c r="J57" s="213"/>
      <c r="K57" s="213"/>
      <c r="M57" s="213"/>
      <c r="N57" s="213"/>
      <c r="O57" s="213"/>
      <c r="P57" s="213"/>
    </row>
    <row r="58" spans="1:16" ht="22.5" customHeight="1" x14ac:dyDescent="0.2">
      <c r="A58" s="1" t="s">
        <v>844</v>
      </c>
      <c r="B58" s="201">
        <v>1.0149999999999999</v>
      </c>
      <c r="C58" s="201">
        <v>1.02</v>
      </c>
      <c r="D58" s="201">
        <v>1.024</v>
      </c>
      <c r="E58" s="201">
        <v>1.0289999999999999</v>
      </c>
      <c r="F58" s="200">
        <v>832</v>
      </c>
      <c r="H58" s="213"/>
      <c r="I58" s="213"/>
      <c r="J58" s="213"/>
      <c r="K58" s="213"/>
      <c r="M58" s="213"/>
      <c r="N58" s="213"/>
      <c r="O58" s="213"/>
      <c r="P58" s="213"/>
    </row>
    <row r="59" spans="1:16" ht="22.5" customHeight="1" x14ac:dyDescent="0.2">
      <c r="A59" s="1" t="s">
        <v>845</v>
      </c>
      <c r="B59" s="201">
        <v>1.0149999999999999</v>
      </c>
      <c r="C59" s="201">
        <v>1.02</v>
      </c>
      <c r="D59" s="201">
        <v>1.024</v>
      </c>
      <c r="E59" s="201">
        <v>1.0289999999999999</v>
      </c>
      <c r="F59" s="200">
        <v>833</v>
      </c>
      <c r="H59" s="213"/>
      <c r="I59" s="213"/>
      <c r="J59" s="213"/>
      <c r="K59" s="213"/>
      <c r="M59" s="213"/>
      <c r="N59" s="213"/>
      <c r="O59" s="213"/>
      <c r="P59" s="213"/>
    </row>
    <row r="60" spans="1:16" ht="22.5" customHeight="1" x14ac:dyDescent="0.2">
      <c r="A60" s="1" t="s">
        <v>846</v>
      </c>
      <c r="B60" s="201">
        <v>1.0189999999999999</v>
      </c>
      <c r="C60" s="201">
        <v>1.026</v>
      </c>
      <c r="D60" s="201">
        <v>1.0309999999999999</v>
      </c>
      <c r="E60" s="201">
        <v>1.0369999999999999</v>
      </c>
      <c r="F60" s="200">
        <v>834</v>
      </c>
      <c r="H60" s="213"/>
      <c r="I60" s="213"/>
      <c r="J60" s="213"/>
      <c r="K60" s="213"/>
      <c r="M60" s="213"/>
      <c r="N60" s="213"/>
      <c r="O60" s="213"/>
      <c r="P60" s="213"/>
    </row>
    <row r="61" spans="1:16" ht="22.5" customHeight="1" x14ac:dyDescent="0.2">
      <c r="A61" s="1" t="s">
        <v>847</v>
      </c>
      <c r="B61" s="201">
        <v>1</v>
      </c>
      <c r="C61" s="201">
        <v>1</v>
      </c>
      <c r="D61" s="201">
        <v>1</v>
      </c>
      <c r="E61" s="201">
        <v>1</v>
      </c>
      <c r="F61" s="200">
        <v>835</v>
      </c>
      <c r="H61" s="213"/>
      <c r="I61" s="213"/>
      <c r="J61" s="213"/>
      <c r="K61" s="213"/>
      <c r="M61" s="213"/>
      <c r="N61" s="213"/>
      <c r="O61" s="213"/>
      <c r="P61" s="213"/>
    </row>
    <row r="62" spans="1:16" ht="22.5" customHeight="1" x14ac:dyDescent="0.2">
      <c r="A62" s="1" t="s">
        <v>848</v>
      </c>
      <c r="B62" s="201">
        <v>1.0009999999999999</v>
      </c>
      <c r="C62" s="201">
        <v>1.0009999999999999</v>
      </c>
      <c r="D62" s="201">
        <v>1.0009999999999999</v>
      </c>
      <c r="E62" s="201">
        <v>1.0009999999999999</v>
      </c>
      <c r="F62" s="200">
        <v>836</v>
      </c>
      <c r="H62" s="213"/>
      <c r="I62" s="213"/>
      <c r="J62" s="213"/>
      <c r="K62" s="213"/>
      <c r="M62" s="213"/>
      <c r="N62" s="213"/>
      <c r="O62" s="213"/>
      <c r="P62" s="213"/>
    </row>
    <row r="63" spans="1:16" ht="22.5" customHeight="1" x14ac:dyDescent="0.2">
      <c r="A63" s="1" t="s">
        <v>849</v>
      </c>
      <c r="B63" s="201">
        <v>1</v>
      </c>
      <c r="C63" s="201">
        <v>1</v>
      </c>
      <c r="D63" s="201">
        <v>1</v>
      </c>
      <c r="E63" s="201">
        <v>1</v>
      </c>
      <c r="F63" s="200">
        <v>837</v>
      </c>
      <c r="H63" s="213"/>
      <c r="I63" s="213"/>
      <c r="J63" s="213"/>
      <c r="K63" s="213"/>
      <c r="M63" s="213"/>
      <c r="N63" s="213"/>
      <c r="O63" s="213"/>
      <c r="P63" s="213"/>
    </row>
    <row r="64" spans="1:16" ht="22.5" customHeight="1" x14ac:dyDescent="0.2">
      <c r="A64" s="1" t="s">
        <v>850</v>
      </c>
      <c r="B64" s="201">
        <v>1.0029999999999999</v>
      </c>
      <c r="C64" s="201">
        <v>1.0029999999999999</v>
      </c>
      <c r="D64" s="201">
        <v>1.0029999999999999</v>
      </c>
      <c r="E64" s="201">
        <v>1.0029999999999999</v>
      </c>
      <c r="F64" s="200">
        <v>838</v>
      </c>
      <c r="H64" s="213"/>
      <c r="I64" s="213"/>
      <c r="J64" s="213"/>
      <c r="K64" s="213"/>
      <c r="M64" s="213"/>
      <c r="N64" s="213"/>
      <c r="O64" s="213"/>
      <c r="P64" s="213"/>
    </row>
    <row r="65" spans="1:16" ht="22.5" customHeight="1" x14ac:dyDescent="0.2">
      <c r="A65" s="1" t="s">
        <v>851</v>
      </c>
      <c r="B65" s="201">
        <v>1.006</v>
      </c>
      <c r="C65" s="201">
        <v>1.01</v>
      </c>
      <c r="D65" s="201">
        <v>1.012</v>
      </c>
      <c r="E65" s="201">
        <v>1.014</v>
      </c>
      <c r="F65" s="200">
        <v>839</v>
      </c>
      <c r="H65" s="213"/>
      <c r="I65" s="213"/>
      <c r="J65" s="213"/>
      <c r="K65" s="213"/>
      <c r="M65" s="213"/>
      <c r="N65" s="213"/>
      <c r="O65" s="213"/>
      <c r="P65" s="213"/>
    </row>
    <row r="66" spans="1:16" ht="22.5" customHeight="1" x14ac:dyDescent="0.2">
      <c r="A66" s="1" t="s">
        <v>852</v>
      </c>
      <c r="B66" s="201">
        <v>1</v>
      </c>
      <c r="C66" s="201">
        <v>1</v>
      </c>
      <c r="D66" s="201">
        <v>1</v>
      </c>
      <c r="E66" s="201">
        <v>1.002</v>
      </c>
      <c r="F66" s="200">
        <v>840</v>
      </c>
      <c r="H66" s="213"/>
      <c r="I66" s="213"/>
      <c r="J66" s="213"/>
      <c r="K66" s="213"/>
      <c r="M66" s="213"/>
      <c r="N66" s="213"/>
      <c r="O66" s="213"/>
      <c r="P66" s="213"/>
    </row>
    <row r="67" spans="1:16" ht="22.5" customHeight="1" x14ac:dyDescent="0.2">
      <c r="A67" s="1" t="s">
        <v>853</v>
      </c>
      <c r="B67" s="201">
        <v>1.01</v>
      </c>
      <c r="C67" s="201">
        <v>1.014</v>
      </c>
      <c r="D67" s="201">
        <v>1.0169999999999999</v>
      </c>
      <c r="E67" s="201">
        <v>1.0209999999999999</v>
      </c>
      <c r="F67" s="200">
        <v>841</v>
      </c>
      <c r="H67" s="213"/>
      <c r="I67" s="213"/>
      <c r="J67" s="213"/>
      <c r="K67" s="213"/>
      <c r="M67" s="213"/>
      <c r="N67" s="213"/>
      <c r="O67" s="213"/>
      <c r="P67" s="213"/>
    </row>
    <row r="68" spans="1:16" ht="22.5" customHeight="1" x14ac:dyDescent="0.2">
      <c r="A68" s="1" t="s">
        <v>854</v>
      </c>
      <c r="B68" s="201">
        <v>1</v>
      </c>
      <c r="C68" s="201">
        <v>1</v>
      </c>
      <c r="D68" s="201">
        <v>1</v>
      </c>
      <c r="E68" s="201">
        <v>1.0009999999999999</v>
      </c>
      <c r="F68" s="200">
        <v>842</v>
      </c>
      <c r="H68" s="213"/>
      <c r="I68" s="213"/>
      <c r="J68" s="213"/>
      <c r="K68" s="213"/>
      <c r="M68" s="213"/>
      <c r="N68" s="213"/>
      <c r="O68" s="213"/>
      <c r="P68" s="213"/>
    </row>
    <row r="69" spans="1:16" ht="22.5" customHeight="1" x14ac:dyDescent="0.2">
      <c r="A69" s="1" t="s">
        <v>855</v>
      </c>
      <c r="B69" s="201">
        <v>1.014</v>
      </c>
      <c r="C69" s="201">
        <v>1.02</v>
      </c>
      <c r="D69" s="201">
        <v>1.024</v>
      </c>
      <c r="E69" s="201">
        <v>1.0289999999999999</v>
      </c>
      <c r="F69" s="200">
        <v>843</v>
      </c>
      <c r="H69" s="213"/>
      <c r="I69" s="213"/>
      <c r="J69" s="213"/>
      <c r="K69" s="213"/>
      <c r="M69" s="213"/>
      <c r="N69" s="213"/>
      <c r="O69" s="213"/>
      <c r="P69" s="213"/>
    </row>
    <row r="70" spans="1:16" ht="22.5" customHeight="1" x14ac:dyDescent="0.2">
      <c r="A70" s="1" t="s">
        <v>856</v>
      </c>
      <c r="B70" s="201">
        <v>1</v>
      </c>
      <c r="C70" s="201">
        <v>1</v>
      </c>
      <c r="D70" s="201">
        <v>1</v>
      </c>
      <c r="E70" s="201">
        <v>1</v>
      </c>
      <c r="F70" s="200">
        <v>844</v>
      </c>
      <c r="H70" s="213"/>
      <c r="I70" s="213"/>
      <c r="J70" s="213"/>
      <c r="K70" s="213"/>
      <c r="M70" s="213"/>
      <c r="N70" s="213"/>
      <c r="O70" s="213"/>
      <c r="P70" s="213"/>
    </row>
    <row r="71" spans="1:16" ht="22.5" customHeight="1" x14ac:dyDescent="0.2">
      <c r="A71" s="1" t="s">
        <v>857</v>
      </c>
      <c r="B71" s="201">
        <v>1</v>
      </c>
      <c r="C71" s="201">
        <v>1</v>
      </c>
      <c r="D71" s="201">
        <v>1.0009999999999999</v>
      </c>
      <c r="E71" s="201">
        <v>1.002</v>
      </c>
      <c r="F71" s="200">
        <v>845</v>
      </c>
      <c r="H71" s="213"/>
      <c r="I71" s="213"/>
      <c r="J71" s="213"/>
      <c r="K71" s="213"/>
      <c r="M71" s="213"/>
      <c r="N71" s="213"/>
      <c r="O71" s="213"/>
      <c r="P71" s="213"/>
    </row>
    <row r="72" spans="1:16" ht="22.5" customHeight="1" x14ac:dyDescent="0.2">
      <c r="A72" s="1" t="s">
        <v>858</v>
      </c>
      <c r="B72" s="201">
        <v>1.0029999999999999</v>
      </c>
      <c r="C72" s="201">
        <v>1.004</v>
      </c>
      <c r="D72" s="201">
        <v>1.0049999999999999</v>
      </c>
      <c r="E72" s="201">
        <v>1.0049999999999999</v>
      </c>
      <c r="F72" s="200">
        <v>849</v>
      </c>
      <c r="H72" s="213"/>
      <c r="I72" s="213"/>
      <c r="J72" s="213"/>
      <c r="K72" s="213"/>
      <c r="M72" s="213"/>
      <c r="N72" s="213"/>
      <c r="O72" s="213"/>
      <c r="P72" s="213"/>
    </row>
    <row r="73" spans="1:16" ht="22.5" customHeight="1" x14ac:dyDescent="0.2">
      <c r="A73" s="1" t="s">
        <v>859</v>
      </c>
      <c r="B73" s="201">
        <v>1.0009999999999999</v>
      </c>
      <c r="C73" s="201">
        <v>1.0009999999999999</v>
      </c>
      <c r="D73" s="201">
        <v>1.0009999999999999</v>
      </c>
      <c r="E73" s="201">
        <v>1.0009999999999999</v>
      </c>
      <c r="F73" s="200">
        <v>850</v>
      </c>
      <c r="H73" s="213"/>
      <c r="I73" s="213"/>
      <c r="J73" s="213"/>
      <c r="K73" s="213"/>
      <c r="M73" s="213"/>
      <c r="N73" s="213"/>
      <c r="O73" s="213"/>
      <c r="P73" s="213"/>
    </row>
    <row r="74" spans="1:16" ht="22.5" customHeight="1" x14ac:dyDescent="0.2">
      <c r="A74" s="1" t="s">
        <v>860</v>
      </c>
      <c r="B74" s="201">
        <v>1.0009999999999999</v>
      </c>
      <c r="C74" s="201">
        <v>1.0009999999999999</v>
      </c>
      <c r="D74" s="201">
        <v>1.0009999999999999</v>
      </c>
      <c r="E74" s="201">
        <v>1.0009999999999999</v>
      </c>
      <c r="F74" s="200">
        <v>851</v>
      </c>
      <c r="H74" s="213"/>
      <c r="I74" s="213"/>
      <c r="J74" s="213"/>
      <c r="K74" s="213"/>
      <c r="M74" s="213"/>
      <c r="N74" s="213"/>
      <c r="O74" s="213"/>
      <c r="P74" s="213"/>
    </row>
    <row r="75" spans="1:16" ht="22.5" customHeight="1" x14ac:dyDescent="0.2">
      <c r="A75" s="1" t="s">
        <v>861</v>
      </c>
      <c r="B75" s="201">
        <v>1</v>
      </c>
      <c r="C75" s="201">
        <v>1</v>
      </c>
      <c r="D75" s="201">
        <v>1</v>
      </c>
      <c r="E75" s="201">
        <v>1</v>
      </c>
      <c r="F75" s="200">
        <v>852</v>
      </c>
      <c r="H75" s="213"/>
      <c r="I75" s="213"/>
      <c r="J75" s="213"/>
      <c r="K75" s="213"/>
      <c r="M75" s="213"/>
      <c r="N75" s="213"/>
      <c r="O75" s="213"/>
      <c r="P75" s="213"/>
    </row>
    <row r="76" spans="1:16" ht="22.5" customHeight="1" x14ac:dyDescent="0.2">
      <c r="A76" s="1" t="s">
        <v>862</v>
      </c>
      <c r="B76" s="201">
        <v>1.0029999999999999</v>
      </c>
      <c r="C76" s="201">
        <v>1.0029999999999999</v>
      </c>
      <c r="D76" s="201">
        <v>1.0049999999999999</v>
      </c>
      <c r="E76" s="201">
        <v>1.004</v>
      </c>
      <c r="F76" s="200">
        <v>853</v>
      </c>
      <c r="H76" s="213"/>
      <c r="I76" s="213"/>
      <c r="J76" s="213"/>
      <c r="K76" s="213"/>
      <c r="M76" s="213"/>
      <c r="N76" s="213"/>
      <c r="O76" s="213"/>
      <c r="P76" s="213"/>
    </row>
    <row r="77" spans="1:16" ht="22.5" customHeight="1" x14ac:dyDescent="0.2">
      <c r="A77" s="1" t="s">
        <v>863</v>
      </c>
      <c r="B77" s="201">
        <v>1.0029999999999999</v>
      </c>
      <c r="C77" s="201">
        <v>1.0029999999999999</v>
      </c>
      <c r="D77" s="201">
        <v>1.0029999999999999</v>
      </c>
      <c r="E77" s="201">
        <v>1.0029999999999999</v>
      </c>
      <c r="F77" s="200">
        <v>854</v>
      </c>
      <c r="H77" s="213"/>
      <c r="I77" s="213"/>
      <c r="J77" s="213"/>
      <c r="K77" s="213"/>
      <c r="M77" s="213"/>
      <c r="N77" s="213"/>
      <c r="O77" s="213"/>
      <c r="P77" s="213"/>
    </row>
    <row r="78" spans="1:16" ht="22.5" customHeight="1" x14ac:dyDescent="0.2">
      <c r="A78" s="1" t="s">
        <v>864</v>
      </c>
      <c r="B78" s="201">
        <v>1</v>
      </c>
      <c r="C78" s="201">
        <v>1</v>
      </c>
      <c r="D78" s="201">
        <v>1</v>
      </c>
      <c r="E78" s="201">
        <v>1</v>
      </c>
      <c r="F78" s="200">
        <v>855</v>
      </c>
      <c r="H78" s="213"/>
      <c r="I78" s="213"/>
      <c r="J78" s="213"/>
      <c r="K78" s="213"/>
      <c r="M78" s="213"/>
      <c r="N78" s="213"/>
      <c r="O78" s="213"/>
      <c r="P78" s="213"/>
    </row>
    <row r="79" spans="1:16" ht="22.5" customHeight="1" x14ac:dyDescent="0.2">
      <c r="A79" s="1" t="s">
        <v>865</v>
      </c>
      <c r="B79" s="201">
        <v>1</v>
      </c>
      <c r="C79" s="201">
        <v>1</v>
      </c>
      <c r="D79" s="201">
        <v>1</v>
      </c>
      <c r="E79" s="201">
        <v>1</v>
      </c>
      <c r="F79" s="200">
        <v>856</v>
      </c>
      <c r="H79" s="213"/>
      <c r="I79" s="213"/>
      <c r="J79" s="213"/>
      <c r="K79" s="213"/>
      <c r="M79" s="213"/>
      <c r="N79" s="213"/>
      <c r="O79" s="213"/>
      <c r="P79" s="213"/>
    </row>
    <row r="80" spans="1:16" ht="22.5" customHeight="1" x14ac:dyDescent="0.2">
      <c r="A80" s="1" t="s">
        <v>866</v>
      </c>
      <c r="B80" s="201">
        <v>1</v>
      </c>
      <c r="C80" s="201">
        <v>1</v>
      </c>
      <c r="D80" s="201">
        <v>1</v>
      </c>
      <c r="E80" s="201">
        <v>1</v>
      </c>
      <c r="F80" s="200">
        <v>857</v>
      </c>
      <c r="H80" s="213"/>
      <c r="I80" s="213"/>
      <c r="J80" s="213"/>
      <c r="K80" s="213"/>
      <c r="M80" s="213"/>
      <c r="N80" s="213"/>
      <c r="O80" s="213"/>
      <c r="P80" s="213"/>
    </row>
    <row r="81" spans="1:16" ht="22.5" customHeight="1" x14ac:dyDescent="0.2">
      <c r="A81" s="1" t="s">
        <v>867</v>
      </c>
      <c r="B81" s="201">
        <v>1</v>
      </c>
      <c r="C81" s="201">
        <v>1</v>
      </c>
      <c r="D81" s="201">
        <v>1</v>
      </c>
      <c r="E81" s="201">
        <v>1</v>
      </c>
      <c r="F81" s="200">
        <v>858</v>
      </c>
      <c r="H81" s="213"/>
      <c r="I81" s="213"/>
      <c r="J81" s="213"/>
      <c r="K81" s="213"/>
      <c r="M81" s="213"/>
      <c r="N81" s="213"/>
      <c r="O81" s="213"/>
      <c r="P81" s="213"/>
    </row>
    <row r="82" spans="1:16" ht="22.5" customHeight="1" x14ac:dyDescent="0.2">
      <c r="A82" s="1" t="s">
        <v>868</v>
      </c>
      <c r="B82" s="201">
        <v>1.008</v>
      </c>
      <c r="C82" s="201">
        <v>1.008</v>
      </c>
      <c r="D82" s="201">
        <v>1.008</v>
      </c>
      <c r="E82" s="201">
        <v>1.008</v>
      </c>
      <c r="F82" s="200">
        <v>859</v>
      </c>
      <c r="H82" s="213"/>
      <c r="I82" s="213"/>
      <c r="J82" s="213"/>
      <c r="K82" s="213"/>
      <c r="M82" s="213"/>
      <c r="N82" s="213"/>
      <c r="O82" s="213"/>
      <c r="P82" s="213"/>
    </row>
    <row r="83" spans="1:16" ht="22.5" customHeight="1" x14ac:dyDescent="0.2">
      <c r="A83" s="1" t="s">
        <v>869</v>
      </c>
      <c r="B83" s="201">
        <v>1.0029999999999999</v>
      </c>
      <c r="C83" s="201">
        <v>1.004</v>
      </c>
      <c r="D83" s="201">
        <v>1.0049999999999999</v>
      </c>
      <c r="E83" s="201">
        <v>1.0049999999999999</v>
      </c>
      <c r="F83" s="200">
        <v>860</v>
      </c>
      <c r="H83" s="213"/>
      <c r="I83" s="213"/>
      <c r="J83" s="213"/>
      <c r="K83" s="213"/>
      <c r="M83" s="213"/>
      <c r="N83" s="213"/>
      <c r="O83" s="213"/>
      <c r="P83" s="213"/>
    </row>
    <row r="84" spans="1:16" ht="22.5" customHeight="1" x14ac:dyDescent="0.2">
      <c r="A84" s="1" t="s">
        <v>870</v>
      </c>
      <c r="B84" s="201">
        <v>1.0029999999999999</v>
      </c>
      <c r="C84" s="201">
        <v>1.004</v>
      </c>
      <c r="D84" s="201">
        <v>1.0049999999999999</v>
      </c>
      <c r="E84" s="201">
        <v>1.0049999999999999</v>
      </c>
      <c r="F84" s="200">
        <v>861</v>
      </c>
      <c r="H84" s="213"/>
      <c r="I84" s="213"/>
      <c r="J84" s="213"/>
      <c r="K84" s="213"/>
      <c r="M84" s="213"/>
      <c r="N84" s="213"/>
      <c r="O84" s="213"/>
      <c r="P84" s="213"/>
    </row>
    <row r="85" spans="1:16" ht="22.5" customHeight="1" x14ac:dyDescent="0.2">
      <c r="A85" s="1" t="s">
        <v>871</v>
      </c>
      <c r="B85" s="201">
        <v>1.0129999999999999</v>
      </c>
      <c r="C85" s="201">
        <v>1.012</v>
      </c>
      <c r="D85" s="201">
        <v>1.0129999999999999</v>
      </c>
      <c r="E85" s="201">
        <v>1.0129999999999999</v>
      </c>
      <c r="F85" s="200">
        <v>862</v>
      </c>
      <c r="H85" s="213"/>
      <c r="I85" s="213"/>
      <c r="J85" s="213"/>
      <c r="K85" s="213"/>
      <c r="M85" s="213"/>
      <c r="N85" s="213"/>
      <c r="O85" s="213"/>
      <c r="P85" s="213"/>
    </row>
    <row r="86" spans="1:16" ht="22.5" customHeight="1" x14ac:dyDescent="0.2">
      <c r="A86" s="1" t="s">
        <v>872</v>
      </c>
      <c r="B86" s="201">
        <v>1.0129999999999999</v>
      </c>
      <c r="C86" s="201">
        <v>1.0169999999999999</v>
      </c>
      <c r="D86" s="201">
        <v>1.02</v>
      </c>
      <c r="E86" s="201">
        <v>1.026</v>
      </c>
      <c r="F86" s="200">
        <v>863</v>
      </c>
      <c r="H86" s="213"/>
      <c r="I86" s="213"/>
      <c r="J86" s="213"/>
      <c r="K86" s="213"/>
      <c r="M86" s="213"/>
      <c r="N86" s="213"/>
      <c r="O86" s="213"/>
      <c r="P86" s="213"/>
    </row>
    <row r="87" spans="1:16" ht="22.5" customHeight="1" x14ac:dyDescent="0.2">
      <c r="A87" s="1" t="s">
        <v>873</v>
      </c>
      <c r="B87" s="201">
        <v>1</v>
      </c>
      <c r="C87" s="201">
        <v>1.0009999999999999</v>
      </c>
      <c r="D87" s="201">
        <v>1.0009999999999999</v>
      </c>
      <c r="E87" s="201">
        <v>1.002</v>
      </c>
      <c r="F87" s="200">
        <v>864</v>
      </c>
      <c r="H87" s="213"/>
      <c r="I87" s="213"/>
      <c r="J87" s="213"/>
      <c r="K87" s="213"/>
      <c r="M87" s="213"/>
      <c r="N87" s="213"/>
      <c r="O87" s="213"/>
      <c r="P87" s="213"/>
    </row>
    <row r="88" spans="1:16" ht="22.5" customHeight="1" x14ac:dyDescent="0.2">
      <c r="A88" s="1" t="s">
        <v>874</v>
      </c>
      <c r="B88" s="201">
        <v>1.0029999999999999</v>
      </c>
      <c r="C88" s="201">
        <v>1.004</v>
      </c>
      <c r="D88" s="201">
        <v>1.0049999999999999</v>
      </c>
      <c r="E88" s="201">
        <v>1.0049999999999999</v>
      </c>
      <c r="F88" s="200">
        <v>865</v>
      </c>
      <c r="H88" s="213"/>
      <c r="I88" s="213"/>
      <c r="J88" s="213"/>
      <c r="K88" s="213"/>
      <c r="M88" s="213"/>
      <c r="N88" s="213"/>
      <c r="O88" s="213"/>
      <c r="P88" s="213"/>
    </row>
    <row r="89" spans="1:16" ht="22.5" customHeight="1" x14ac:dyDescent="0.2">
      <c r="A89" s="1" t="s">
        <v>875</v>
      </c>
      <c r="B89" s="201">
        <v>1.0129999999999999</v>
      </c>
      <c r="C89" s="201">
        <v>1.012</v>
      </c>
      <c r="D89" s="201">
        <v>1.0129999999999999</v>
      </c>
      <c r="E89" s="201">
        <v>1.0129999999999999</v>
      </c>
      <c r="F89" s="200">
        <v>866</v>
      </c>
      <c r="H89" s="213"/>
      <c r="I89" s="213"/>
      <c r="J89" s="213"/>
      <c r="K89" s="213"/>
      <c r="M89" s="213"/>
      <c r="N89" s="213"/>
      <c r="O89" s="213"/>
      <c r="P89" s="213"/>
    </row>
    <row r="90" spans="1:16" ht="22.5" customHeight="1" x14ac:dyDescent="0.2">
      <c r="A90" s="1" t="s">
        <v>876</v>
      </c>
      <c r="B90" s="201">
        <v>1.0129999999999999</v>
      </c>
      <c r="C90" s="201">
        <v>1.012</v>
      </c>
      <c r="D90" s="201">
        <v>1.0129999999999999</v>
      </c>
      <c r="E90" s="201">
        <v>1.0129999999999999</v>
      </c>
      <c r="F90" s="200">
        <v>867</v>
      </c>
      <c r="H90" s="213"/>
      <c r="I90" s="213"/>
      <c r="J90" s="213"/>
      <c r="K90" s="213"/>
      <c r="M90" s="213"/>
      <c r="N90" s="213"/>
      <c r="O90" s="213"/>
      <c r="P90" s="213"/>
    </row>
    <row r="91" spans="1:16" ht="22.5" customHeight="1" x14ac:dyDescent="0.2">
      <c r="A91" s="1" t="s">
        <v>877</v>
      </c>
      <c r="B91" s="201">
        <v>1.0029999999999999</v>
      </c>
      <c r="C91" s="201">
        <v>1.004</v>
      </c>
      <c r="D91" s="201">
        <v>1.0049999999999999</v>
      </c>
      <c r="E91" s="201">
        <v>1.0049999999999999</v>
      </c>
      <c r="F91" s="200">
        <v>868</v>
      </c>
      <c r="H91" s="213"/>
      <c r="I91" s="213"/>
      <c r="J91" s="213"/>
      <c r="K91" s="213"/>
      <c r="M91" s="213"/>
      <c r="N91" s="213"/>
      <c r="O91" s="213"/>
      <c r="P91" s="213"/>
    </row>
    <row r="92" spans="1:16" ht="22.5" customHeight="1" x14ac:dyDescent="0.2">
      <c r="A92" s="1" t="s">
        <v>878</v>
      </c>
      <c r="B92" s="201">
        <v>1.0029999999999999</v>
      </c>
      <c r="C92" s="201">
        <v>1.004</v>
      </c>
      <c r="D92" s="201">
        <v>1.0049999999999999</v>
      </c>
      <c r="E92" s="201">
        <v>1.0049999999999999</v>
      </c>
      <c r="F92" s="200">
        <v>872</v>
      </c>
      <c r="H92" s="213"/>
      <c r="I92" s="213"/>
      <c r="J92" s="213"/>
      <c r="K92" s="213"/>
      <c r="M92" s="213"/>
      <c r="N92" s="213"/>
      <c r="O92" s="213"/>
      <c r="P92" s="213"/>
    </row>
    <row r="93" spans="1:16" ht="22.5" customHeight="1" x14ac:dyDescent="0.2">
      <c r="A93" s="1" t="s">
        <v>879</v>
      </c>
      <c r="B93" s="201">
        <v>1.0029999999999999</v>
      </c>
      <c r="C93" s="201">
        <v>1.0029999999999999</v>
      </c>
      <c r="D93" s="201">
        <v>1.0029999999999999</v>
      </c>
      <c r="E93" s="201">
        <v>1.0029999999999999</v>
      </c>
      <c r="F93" s="200">
        <v>873</v>
      </c>
      <c r="H93" s="213"/>
      <c r="I93" s="213"/>
      <c r="J93" s="213"/>
      <c r="K93" s="213"/>
      <c r="M93" s="213"/>
      <c r="N93" s="213"/>
      <c r="O93" s="213"/>
      <c r="P93" s="213"/>
    </row>
    <row r="94" spans="1:16" ht="22.5" customHeight="1" x14ac:dyDescent="0.2">
      <c r="A94" s="1" t="s">
        <v>880</v>
      </c>
      <c r="B94" s="201">
        <v>1.0109999999999999</v>
      </c>
      <c r="C94" s="201">
        <v>1.016</v>
      </c>
      <c r="D94" s="201">
        <v>1.0189999999999999</v>
      </c>
      <c r="E94" s="201">
        <v>1.0229999999999999</v>
      </c>
      <c r="F94" s="200">
        <v>874</v>
      </c>
      <c r="H94" s="213"/>
      <c r="I94" s="213"/>
      <c r="J94" s="213"/>
      <c r="K94" s="213"/>
      <c r="M94" s="213"/>
      <c r="N94" s="213"/>
      <c r="O94" s="213"/>
      <c r="P94" s="213"/>
    </row>
    <row r="95" spans="1:16" ht="22.5" customHeight="1" x14ac:dyDescent="0.2">
      <c r="A95" s="1" t="s">
        <v>881</v>
      </c>
      <c r="B95" s="201">
        <v>1.02</v>
      </c>
      <c r="C95" s="201">
        <v>1.028</v>
      </c>
      <c r="D95" s="201">
        <v>1.0329999999999999</v>
      </c>
      <c r="E95" s="201">
        <v>1.042</v>
      </c>
      <c r="F95" s="200">
        <v>875</v>
      </c>
      <c r="H95" s="213"/>
      <c r="I95" s="213"/>
      <c r="J95" s="213"/>
      <c r="K95" s="213"/>
      <c r="M95" s="213"/>
      <c r="N95" s="213"/>
      <c r="O95" s="213"/>
      <c r="P95" s="213"/>
    </row>
    <row r="96" spans="1:16" ht="22.5" customHeight="1" x14ac:dyDescent="0.2">
      <c r="A96" s="1" t="s">
        <v>882</v>
      </c>
      <c r="B96" s="201">
        <v>1.0209999999999999</v>
      </c>
      <c r="C96" s="201">
        <v>1.0309999999999999</v>
      </c>
      <c r="D96" s="201">
        <v>1.0369999999999999</v>
      </c>
      <c r="E96" s="201">
        <v>1.0469999999999999</v>
      </c>
      <c r="F96" s="200">
        <v>876</v>
      </c>
      <c r="H96" s="213"/>
      <c r="I96" s="213"/>
      <c r="J96" s="213"/>
      <c r="K96" s="213"/>
      <c r="M96" s="213"/>
      <c r="N96" s="213"/>
      <c r="O96" s="213"/>
      <c r="P96" s="213"/>
    </row>
    <row r="97" spans="1:16" ht="22.5" customHeight="1" x14ac:dyDescent="0.2">
      <c r="A97" s="1" t="s">
        <v>883</v>
      </c>
      <c r="B97" s="201">
        <v>1</v>
      </c>
      <c r="C97" s="201">
        <v>1</v>
      </c>
      <c r="D97" s="201">
        <v>1</v>
      </c>
      <c r="E97" s="201">
        <v>1</v>
      </c>
      <c r="F97" s="200">
        <v>877</v>
      </c>
      <c r="H97" s="213"/>
      <c r="I97" s="213"/>
      <c r="J97" s="213"/>
      <c r="K97" s="213"/>
      <c r="M97" s="213"/>
      <c r="N97" s="213"/>
      <c r="O97" s="213"/>
      <c r="P97" s="213"/>
    </row>
    <row r="98" spans="1:16" ht="22.5" customHeight="1" x14ac:dyDescent="0.2">
      <c r="A98" s="1" t="s">
        <v>884</v>
      </c>
      <c r="B98" s="201">
        <v>1.0009999999999999</v>
      </c>
      <c r="C98" s="201">
        <v>1.0029999999999999</v>
      </c>
      <c r="D98" s="201">
        <v>1.0029999999999999</v>
      </c>
      <c r="E98" s="201">
        <v>1.0029999999999999</v>
      </c>
      <c r="F98" s="200">
        <v>878</v>
      </c>
      <c r="H98" s="213"/>
      <c r="I98" s="213"/>
      <c r="J98" s="213"/>
      <c r="K98" s="213"/>
      <c r="M98" s="213"/>
      <c r="N98" s="213"/>
      <c r="O98" s="213"/>
      <c r="P98" s="213"/>
    </row>
    <row r="99" spans="1:16" ht="22.5" customHeight="1" x14ac:dyDescent="0.2">
      <c r="A99" s="1" t="s">
        <v>885</v>
      </c>
      <c r="B99" s="201">
        <v>1.0029999999999999</v>
      </c>
      <c r="C99" s="201">
        <v>1.004</v>
      </c>
      <c r="D99" s="201">
        <v>1.0049999999999999</v>
      </c>
      <c r="E99" s="201">
        <v>1.0049999999999999</v>
      </c>
      <c r="F99" s="200">
        <v>879</v>
      </c>
      <c r="H99" s="213"/>
      <c r="I99" s="213"/>
      <c r="J99" s="213"/>
      <c r="K99" s="213"/>
      <c r="M99" s="213"/>
      <c r="N99" s="213"/>
      <c r="O99" s="213"/>
      <c r="P99" s="213"/>
    </row>
    <row r="100" spans="1:16" ht="22.5" customHeight="1" x14ac:dyDescent="0.2">
      <c r="A100" s="1" t="s">
        <v>886</v>
      </c>
      <c r="B100" s="201">
        <v>1</v>
      </c>
      <c r="C100" s="201">
        <v>1</v>
      </c>
      <c r="D100" s="201">
        <v>1</v>
      </c>
      <c r="E100" s="201">
        <v>1</v>
      </c>
      <c r="F100" s="200">
        <v>880</v>
      </c>
      <c r="H100" s="213"/>
      <c r="I100" s="213"/>
      <c r="J100" s="213"/>
      <c r="K100" s="213"/>
      <c r="M100" s="213"/>
      <c r="N100" s="213"/>
      <c r="O100" s="213"/>
      <c r="P100" s="213"/>
    </row>
    <row r="101" spans="1:16" ht="22.5" customHeight="1" x14ac:dyDescent="0.2">
      <c r="A101" s="1" t="s">
        <v>887</v>
      </c>
      <c r="B101" s="201">
        <v>1.0029999999999999</v>
      </c>
      <c r="C101" s="201">
        <v>1.004</v>
      </c>
      <c r="D101" s="201">
        <v>1.0049999999999999</v>
      </c>
      <c r="E101" s="201">
        <v>1.0049999999999999</v>
      </c>
      <c r="F101" s="200">
        <v>881</v>
      </c>
      <c r="H101" s="213"/>
      <c r="I101" s="213"/>
      <c r="J101" s="213"/>
      <c r="K101" s="213"/>
      <c r="M101" s="213"/>
      <c r="N101" s="213"/>
      <c r="O101" s="213"/>
      <c r="P101" s="213"/>
    </row>
    <row r="102" spans="1:16" ht="22.5" customHeight="1" x14ac:dyDescent="0.2">
      <c r="A102" s="1" t="s">
        <v>888</v>
      </c>
      <c r="B102" s="201">
        <v>1.0029999999999999</v>
      </c>
      <c r="C102" s="201">
        <v>1.004</v>
      </c>
      <c r="D102" s="201">
        <v>1.0049999999999999</v>
      </c>
      <c r="E102" s="201">
        <v>1.0049999999999999</v>
      </c>
      <c r="F102" s="200">
        <v>882</v>
      </c>
      <c r="H102" s="213"/>
      <c r="I102" s="213"/>
      <c r="J102" s="213"/>
      <c r="K102" s="213"/>
      <c r="M102" s="213"/>
      <c r="N102" s="213"/>
      <c r="O102" s="213"/>
      <c r="P102" s="213"/>
    </row>
    <row r="103" spans="1:16" ht="22.5" customHeight="1" x14ac:dyDescent="0.2">
      <c r="A103" s="1" t="s">
        <v>889</v>
      </c>
      <c r="B103" s="201">
        <v>1.0029999999999999</v>
      </c>
      <c r="C103" s="201">
        <v>1.004</v>
      </c>
      <c r="D103" s="201">
        <v>1.0049999999999999</v>
      </c>
      <c r="E103" s="201">
        <v>1.0049999999999999</v>
      </c>
      <c r="F103" s="200">
        <v>883</v>
      </c>
      <c r="H103" s="213"/>
      <c r="I103" s="213"/>
      <c r="J103" s="213"/>
      <c r="K103" s="213"/>
      <c r="M103" s="213"/>
      <c r="N103" s="213"/>
      <c r="O103" s="213"/>
      <c r="P103" s="213"/>
    </row>
    <row r="104" spans="1:16" ht="22.5" customHeight="1" x14ac:dyDescent="0.2">
      <c r="A104" s="1" t="s">
        <v>890</v>
      </c>
      <c r="B104" s="201">
        <v>1</v>
      </c>
      <c r="C104" s="201">
        <v>1</v>
      </c>
      <c r="D104" s="201">
        <v>1</v>
      </c>
      <c r="E104" s="201">
        <v>1</v>
      </c>
      <c r="F104" s="200">
        <v>884</v>
      </c>
      <c r="H104" s="213"/>
      <c r="I104" s="213"/>
      <c r="J104" s="213"/>
      <c r="K104" s="213"/>
      <c r="M104" s="213"/>
      <c r="N104" s="213"/>
      <c r="O104" s="213"/>
      <c r="P104" s="213"/>
    </row>
    <row r="105" spans="1:16" ht="22.5" customHeight="1" x14ac:dyDescent="0.2">
      <c r="A105" s="1" t="s">
        <v>891</v>
      </c>
      <c r="B105" s="201">
        <v>1.0029999999999999</v>
      </c>
      <c r="C105" s="201">
        <v>1.004</v>
      </c>
      <c r="D105" s="201">
        <v>1.0049999999999999</v>
      </c>
      <c r="E105" s="201">
        <v>1.0049999999999999</v>
      </c>
      <c r="F105" s="200">
        <v>885</v>
      </c>
      <c r="H105" s="213"/>
      <c r="I105" s="213"/>
      <c r="J105" s="213"/>
      <c r="K105" s="213"/>
      <c r="M105" s="213"/>
      <c r="N105" s="213"/>
      <c r="O105" s="213"/>
      <c r="P105" s="213"/>
    </row>
    <row r="106" spans="1:16" ht="22.5" customHeight="1" x14ac:dyDescent="0.2">
      <c r="A106" s="1" t="s">
        <v>892</v>
      </c>
      <c r="B106" s="201">
        <v>1.0029999999999999</v>
      </c>
      <c r="C106" s="201">
        <v>1.004</v>
      </c>
      <c r="D106" s="201">
        <v>1.0049999999999999</v>
      </c>
      <c r="E106" s="201">
        <v>1.0049999999999999</v>
      </c>
      <c r="F106" s="200">
        <v>886</v>
      </c>
      <c r="H106" s="213"/>
      <c r="I106" s="213"/>
      <c r="J106" s="213"/>
      <c r="K106" s="213"/>
      <c r="M106" s="213"/>
      <c r="N106" s="213"/>
      <c r="O106" s="213"/>
      <c r="P106" s="213"/>
    </row>
    <row r="107" spans="1:16" ht="22.5" customHeight="1" x14ac:dyDescent="0.2">
      <c r="A107" s="1" t="s">
        <v>893</v>
      </c>
      <c r="B107" s="201">
        <v>1.0029999999999999</v>
      </c>
      <c r="C107" s="201">
        <v>1.004</v>
      </c>
      <c r="D107" s="201">
        <v>1.0049999999999999</v>
      </c>
      <c r="E107" s="201">
        <v>1.006</v>
      </c>
      <c r="F107" s="200">
        <v>887</v>
      </c>
      <c r="H107" s="213"/>
      <c r="I107" s="213"/>
      <c r="J107" s="213"/>
      <c r="K107" s="213"/>
      <c r="M107" s="213"/>
      <c r="N107" s="213"/>
      <c r="O107" s="213"/>
      <c r="P107" s="213"/>
    </row>
    <row r="108" spans="1:16" ht="22.5" customHeight="1" x14ac:dyDescent="0.2">
      <c r="A108" s="1" t="s">
        <v>894</v>
      </c>
      <c r="B108" s="201">
        <v>1.0029999999999999</v>
      </c>
      <c r="C108" s="201">
        <v>1.004</v>
      </c>
      <c r="D108" s="201">
        <v>1.0049999999999999</v>
      </c>
      <c r="E108" s="201">
        <v>1.0049999999999999</v>
      </c>
      <c r="F108" s="200">
        <v>888</v>
      </c>
      <c r="H108" s="213"/>
      <c r="I108" s="213"/>
      <c r="J108" s="213"/>
      <c r="K108" s="213"/>
      <c r="M108" s="213"/>
      <c r="N108" s="213"/>
      <c r="O108" s="213"/>
      <c r="P108" s="213"/>
    </row>
    <row r="109" spans="1:16" ht="22.5" customHeight="1" x14ac:dyDescent="0.2">
      <c r="A109" s="1" t="s">
        <v>895</v>
      </c>
      <c r="B109" s="201">
        <v>1.0029999999999999</v>
      </c>
      <c r="C109" s="201">
        <v>1.004</v>
      </c>
      <c r="D109" s="201">
        <v>1.0049999999999999</v>
      </c>
      <c r="E109" s="201">
        <v>1.0049999999999999</v>
      </c>
      <c r="F109" s="200">
        <v>889</v>
      </c>
      <c r="H109" s="213"/>
      <c r="I109" s="213"/>
      <c r="J109" s="213"/>
      <c r="K109" s="213"/>
      <c r="M109" s="213"/>
      <c r="N109" s="213"/>
      <c r="O109" s="213"/>
      <c r="P109" s="213"/>
    </row>
    <row r="110" spans="1:16" ht="22.5" customHeight="1" x14ac:dyDescent="0.2">
      <c r="A110" s="1" t="s">
        <v>896</v>
      </c>
      <c r="B110" s="201">
        <v>1.0029999999999999</v>
      </c>
      <c r="C110" s="201">
        <v>1.004</v>
      </c>
      <c r="D110" s="201">
        <v>1.0049999999999999</v>
      </c>
      <c r="E110" s="201">
        <v>1.0049999999999999</v>
      </c>
      <c r="F110" s="200">
        <v>891</v>
      </c>
      <c r="H110" s="213"/>
      <c r="I110" s="213"/>
      <c r="J110" s="213"/>
      <c r="K110" s="213"/>
      <c r="M110" s="213"/>
      <c r="N110" s="213"/>
      <c r="O110" s="213"/>
      <c r="P110" s="213"/>
    </row>
    <row r="111" spans="1:16" ht="22.5" customHeight="1" x14ac:dyDescent="0.2">
      <c r="A111" s="1" t="s">
        <v>897</v>
      </c>
      <c r="B111" s="201">
        <v>1.0029999999999999</v>
      </c>
      <c r="C111" s="201">
        <v>1.004</v>
      </c>
      <c r="D111" s="201">
        <v>1.0049999999999999</v>
      </c>
      <c r="E111" s="201">
        <v>1.0049999999999999</v>
      </c>
      <c r="F111" s="200">
        <v>892</v>
      </c>
      <c r="H111" s="213"/>
      <c r="I111" s="213"/>
      <c r="J111" s="213"/>
      <c r="K111" s="213"/>
      <c r="M111" s="213"/>
      <c r="N111" s="213"/>
      <c r="O111" s="213"/>
      <c r="P111" s="213"/>
    </row>
    <row r="112" spans="1:16" ht="22.5" customHeight="1" x14ac:dyDescent="0.2">
      <c r="A112" s="1" t="s">
        <v>898</v>
      </c>
      <c r="B112" s="201">
        <v>1.0029999999999999</v>
      </c>
      <c r="C112" s="201">
        <v>1.004</v>
      </c>
      <c r="D112" s="201">
        <v>1.0049999999999999</v>
      </c>
      <c r="E112" s="201">
        <v>1.0049999999999999</v>
      </c>
      <c r="F112" s="200" t="s">
        <v>899</v>
      </c>
      <c r="H112" s="213"/>
      <c r="I112" s="213"/>
      <c r="J112" s="213"/>
      <c r="K112" s="213"/>
      <c r="M112" s="212"/>
      <c r="N112" s="212"/>
      <c r="O112" s="212"/>
      <c r="P112" s="212"/>
    </row>
    <row r="113" spans="1:16" ht="22.5" customHeight="1" x14ac:dyDescent="0.2">
      <c r="A113" s="1" t="s">
        <v>900</v>
      </c>
      <c r="B113" s="201">
        <v>0.998</v>
      </c>
      <c r="C113" s="201">
        <v>0.998</v>
      </c>
      <c r="D113" s="201">
        <v>0.998</v>
      </c>
      <c r="E113" s="201">
        <v>0.998</v>
      </c>
      <c r="F113" s="200" t="s">
        <v>901</v>
      </c>
      <c r="H113" s="213"/>
      <c r="I113" s="213"/>
      <c r="J113" s="213"/>
      <c r="K113" s="213"/>
      <c r="M113" s="212"/>
      <c r="N113" s="212"/>
      <c r="O113" s="212"/>
      <c r="P113" s="212"/>
    </row>
    <row r="114" spans="1:16" ht="22.5" customHeight="1" x14ac:dyDescent="0.2">
      <c r="A114" s="1" t="s">
        <v>902</v>
      </c>
      <c r="B114" s="201">
        <v>1</v>
      </c>
      <c r="C114" s="201">
        <v>1</v>
      </c>
      <c r="D114" s="201">
        <v>1</v>
      </c>
      <c r="E114" s="201">
        <v>1</v>
      </c>
      <c r="F114" s="200" t="s">
        <v>903</v>
      </c>
      <c r="H114" s="213"/>
      <c r="I114" s="213"/>
      <c r="J114" s="213"/>
      <c r="K114" s="213"/>
      <c r="M114" s="212"/>
      <c r="N114" s="212"/>
      <c r="O114" s="212"/>
      <c r="P114" s="212"/>
    </row>
    <row r="115" spans="1:16" ht="22.5" customHeight="1" x14ac:dyDescent="0.2">
      <c r="A115" s="1" t="s">
        <v>904</v>
      </c>
      <c r="B115" s="201">
        <v>0.999</v>
      </c>
      <c r="C115" s="201">
        <v>0.999</v>
      </c>
      <c r="D115" s="201">
        <v>0.998</v>
      </c>
      <c r="E115" s="201">
        <v>0.997</v>
      </c>
      <c r="F115" s="200" t="s">
        <v>905</v>
      </c>
      <c r="H115" s="213"/>
      <c r="I115" s="213"/>
      <c r="J115" s="213"/>
      <c r="K115" s="213"/>
      <c r="M115" s="212"/>
      <c r="N115" s="212"/>
      <c r="O115" s="212"/>
      <c r="P115" s="212"/>
    </row>
    <row r="116" spans="1:16" ht="22.5" customHeight="1" x14ac:dyDescent="0.2">
      <c r="A116" s="1" t="s">
        <v>906</v>
      </c>
      <c r="B116" s="201">
        <v>1</v>
      </c>
      <c r="C116" s="201">
        <v>1</v>
      </c>
      <c r="D116" s="201">
        <v>1</v>
      </c>
      <c r="E116" s="201">
        <v>1</v>
      </c>
      <c r="F116" s="200" t="s">
        <v>907</v>
      </c>
      <c r="H116" s="213"/>
      <c r="I116" s="213"/>
      <c r="J116" s="213"/>
      <c r="K116" s="213"/>
      <c r="M116" s="212"/>
      <c r="N116" s="212"/>
      <c r="O116" s="212"/>
      <c r="P116" s="212"/>
    </row>
    <row r="117" spans="1:16" ht="22.5" customHeight="1" x14ac:dyDescent="0.2">
      <c r="A117" s="1" t="s">
        <v>908</v>
      </c>
      <c r="B117" s="201">
        <v>1</v>
      </c>
      <c r="C117" s="201">
        <v>1</v>
      </c>
      <c r="D117" s="201">
        <v>1</v>
      </c>
      <c r="E117" s="201">
        <v>1</v>
      </c>
      <c r="F117" s="200" t="s">
        <v>909</v>
      </c>
      <c r="H117" s="213"/>
      <c r="I117" s="213"/>
      <c r="J117" s="213"/>
      <c r="K117" s="213"/>
      <c r="M117" s="212"/>
      <c r="N117" s="212"/>
      <c r="O117" s="212"/>
      <c r="P117" s="212"/>
    </row>
    <row r="118" spans="1:16" ht="22.5" customHeight="1" x14ac:dyDescent="0.2">
      <c r="A118" s="1" t="s">
        <v>910</v>
      </c>
      <c r="B118" s="201">
        <v>1</v>
      </c>
      <c r="C118" s="201">
        <v>1</v>
      </c>
      <c r="D118" s="201">
        <v>1</v>
      </c>
      <c r="E118" s="201">
        <v>1</v>
      </c>
      <c r="F118" s="200" t="s">
        <v>911</v>
      </c>
      <c r="H118" s="213"/>
      <c r="I118" s="213"/>
      <c r="J118" s="213"/>
      <c r="K118" s="213"/>
      <c r="M118" s="212"/>
      <c r="N118" s="212"/>
      <c r="O118" s="212"/>
      <c r="P118" s="212"/>
    </row>
    <row r="119" spans="1:16" ht="22.5" customHeight="1" x14ac:dyDescent="0.2">
      <c r="A119" s="1" t="s">
        <v>912</v>
      </c>
      <c r="B119" s="201">
        <v>1</v>
      </c>
      <c r="C119" s="201">
        <v>1</v>
      </c>
      <c r="D119" s="201">
        <v>1</v>
      </c>
      <c r="E119" s="201">
        <v>1</v>
      </c>
      <c r="F119" s="200" t="s">
        <v>913</v>
      </c>
      <c r="H119" s="213"/>
      <c r="I119" s="213"/>
      <c r="J119" s="213"/>
      <c r="K119" s="213"/>
      <c r="M119" s="212"/>
      <c r="N119" s="212"/>
      <c r="O119" s="212"/>
      <c r="P119" s="212"/>
    </row>
    <row r="120" spans="1:16" ht="22.5" customHeight="1" x14ac:dyDescent="0.2">
      <c r="A120" s="1" t="s">
        <v>914</v>
      </c>
      <c r="B120" s="201">
        <v>1</v>
      </c>
      <c r="C120" s="201">
        <v>1</v>
      </c>
      <c r="D120" s="201">
        <v>1</v>
      </c>
      <c r="E120" s="201">
        <v>1</v>
      </c>
      <c r="F120" s="200" t="s">
        <v>915</v>
      </c>
      <c r="H120" s="213"/>
      <c r="I120" s="213"/>
      <c r="J120" s="213"/>
      <c r="K120" s="213"/>
      <c r="M120" s="212"/>
      <c r="N120" s="212"/>
      <c r="O120" s="212"/>
      <c r="P120" s="212"/>
    </row>
    <row r="121" spans="1:16" ht="22.5" customHeight="1" x14ac:dyDescent="0.2">
      <c r="A121" s="1" t="s">
        <v>916</v>
      </c>
      <c r="B121" s="201">
        <v>1</v>
      </c>
      <c r="C121" s="201">
        <v>1</v>
      </c>
      <c r="D121" s="201">
        <v>1</v>
      </c>
      <c r="E121" s="201">
        <v>1</v>
      </c>
      <c r="F121" s="200" t="s">
        <v>917</v>
      </c>
      <c r="H121" s="213"/>
      <c r="I121" s="213"/>
      <c r="J121" s="213"/>
      <c r="K121" s="213"/>
      <c r="M121" s="212"/>
      <c r="N121" s="212"/>
      <c r="O121" s="212"/>
      <c r="P121" s="212"/>
    </row>
    <row r="122" spans="1:16" ht="22.5" customHeight="1" x14ac:dyDescent="0.2">
      <c r="A122" s="1" t="s">
        <v>918</v>
      </c>
      <c r="B122" s="201">
        <v>1</v>
      </c>
      <c r="C122" s="201">
        <v>1</v>
      </c>
      <c r="D122" s="201">
        <v>1</v>
      </c>
      <c r="E122" s="201">
        <v>1</v>
      </c>
      <c r="F122" s="200" t="s">
        <v>919</v>
      </c>
      <c r="H122" s="213"/>
      <c r="I122" s="213"/>
      <c r="J122" s="213"/>
      <c r="K122" s="213"/>
      <c r="M122" s="212"/>
      <c r="N122" s="212"/>
      <c r="O122" s="212"/>
      <c r="P122" s="212"/>
    </row>
    <row r="123" spans="1:16" x14ac:dyDescent="0.2">
      <c r="H123" s="213"/>
      <c r="I123" s="213"/>
      <c r="J123" s="213"/>
      <c r="K123" s="213"/>
    </row>
    <row r="124" spans="1:16" ht="22.5" customHeight="1" x14ac:dyDescent="0.2">
      <c r="A124" s="238" t="s">
        <v>498</v>
      </c>
      <c r="B124" s="280"/>
      <c r="C124" s="280"/>
      <c r="D124" s="280"/>
      <c r="E124" s="280"/>
      <c r="F124" s="239"/>
      <c r="H124" s="213"/>
      <c r="I124" s="213"/>
      <c r="J124" s="213"/>
      <c r="K124" s="213"/>
    </row>
    <row r="125" spans="1:16" ht="22.5" customHeight="1" x14ac:dyDescent="0.2">
      <c r="A125" s="238" t="s">
        <v>61</v>
      </c>
      <c r="B125" s="280"/>
      <c r="C125" s="280"/>
      <c r="D125" s="280"/>
      <c r="E125" s="280"/>
      <c r="F125" s="239"/>
      <c r="H125" s="213"/>
      <c r="I125" s="213"/>
      <c r="J125" s="213"/>
      <c r="K125" s="213"/>
    </row>
    <row r="126" spans="1:16" ht="33" customHeight="1" x14ac:dyDescent="0.2">
      <c r="A126" s="20" t="s">
        <v>59</v>
      </c>
      <c r="B126" s="20" t="s">
        <v>54</v>
      </c>
      <c r="C126" s="20" t="s">
        <v>55</v>
      </c>
      <c r="D126" s="20" t="s">
        <v>56</v>
      </c>
      <c r="E126" s="20" t="s">
        <v>57</v>
      </c>
      <c r="F126" s="20" t="s">
        <v>58</v>
      </c>
      <c r="H126" s="213"/>
      <c r="I126" s="213"/>
      <c r="J126" s="213"/>
      <c r="K126" s="213"/>
    </row>
    <row r="127" spans="1:16" ht="22.5" customHeight="1" x14ac:dyDescent="0.2">
      <c r="A127" s="1" t="s">
        <v>920</v>
      </c>
      <c r="B127" s="201">
        <v>0.99</v>
      </c>
      <c r="C127" s="201">
        <v>0.99</v>
      </c>
      <c r="D127" s="201">
        <v>0.98699999999999999</v>
      </c>
      <c r="E127" s="201">
        <v>0.98699999999999999</v>
      </c>
      <c r="F127" s="200">
        <v>620</v>
      </c>
      <c r="H127" s="213"/>
      <c r="I127" s="213"/>
      <c r="J127" s="213"/>
      <c r="K127" s="213"/>
      <c r="M127" s="213"/>
      <c r="N127" s="213"/>
      <c r="O127" s="213"/>
      <c r="P127" s="213"/>
    </row>
    <row r="128" spans="1:16" ht="22.5" customHeight="1" x14ac:dyDescent="0.2">
      <c r="A128" s="1" t="s">
        <v>921</v>
      </c>
      <c r="B128" s="201">
        <v>0.99199999999999999</v>
      </c>
      <c r="C128" s="201">
        <v>0.99199999999999999</v>
      </c>
      <c r="D128" s="201">
        <v>0.99</v>
      </c>
      <c r="E128" s="201">
        <v>0.98899999999999999</v>
      </c>
      <c r="F128" s="200">
        <v>621</v>
      </c>
      <c r="H128" s="213"/>
      <c r="I128" s="213"/>
      <c r="J128" s="213"/>
      <c r="K128" s="213"/>
      <c r="M128" s="213"/>
      <c r="N128" s="213"/>
      <c r="O128" s="213"/>
      <c r="P128" s="213"/>
    </row>
    <row r="129" spans="1:16" ht="22.5" customHeight="1" x14ac:dyDescent="0.2">
      <c r="A129" s="1" t="s">
        <v>891</v>
      </c>
      <c r="B129" s="201">
        <v>1</v>
      </c>
      <c r="C129" s="201">
        <v>1</v>
      </c>
      <c r="D129" s="201">
        <v>1</v>
      </c>
      <c r="E129" s="201">
        <v>1</v>
      </c>
      <c r="F129" s="200">
        <v>623</v>
      </c>
      <c r="H129" s="213"/>
      <c r="I129" s="213"/>
      <c r="J129" s="213"/>
      <c r="K129" s="213"/>
      <c r="M129" s="213"/>
      <c r="N129" s="213"/>
      <c r="O129" s="213"/>
      <c r="P129" s="213"/>
    </row>
    <row r="130" spans="1:16" ht="22.5" customHeight="1" x14ac:dyDescent="0.2">
      <c r="A130" s="1" t="s">
        <v>922</v>
      </c>
      <c r="B130" s="201">
        <v>0.999</v>
      </c>
      <c r="C130" s="201">
        <v>0.999</v>
      </c>
      <c r="D130" s="201">
        <v>0.999</v>
      </c>
      <c r="E130" s="201">
        <v>0.999</v>
      </c>
      <c r="F130" s="200">
        <v>624</v>
      </c>
      <c r="H130" s="213"/>
      <c r="I130" s="213"/>
      <c r="J130" s="213"/>
      <c r="K130" s="213"/>
      <c r="M130" s="213"/>
      <c r="N130" s="213"/>
      <c r="O130" s="213"/>
      <c r="P130" s="213"/>
    </row>
    <row r="131" spans="1:16" ht="22.5" customHeight="1" x14ac:dyDescent="0.2">
      <c r="A131" s="1" t="s">
        <v>923</v>
      </c>
      <c r="B131" s="201">
        <v>0.99299999999999999</v>
      </c>
      <c r="C131" s="201">
        <v>0.99299999999999999</v>
      </c>
      <c r="D131" s="201">
        <v>0.99099999999999999</v>
      </c>
      <c r="E131" s="201">
        <v>0.99099999999999999</v>
      </c>
      <c r="F131" s="200">
        <v>625</v>
      </c>
      <c r="H131" s="213"/>
      <c r="I131" s="213"/>
      <c r="J131" s="213"/>
      <c r="K131" s="213"/>
      <c r="M131" s="213"/>
      <c r="N131" s="213"/>
      <c r="O131" s="213"/>
      <c r="P131" s="213"/>
    </row>
    <row r="132" spans="1:16" ht="22.5" customHeight="1" x14ac:dyDescent="0.2">
      <c r="A132" s="1" t="s">
        <v>924</v>
      </c>
      <c r="B132" s="201">
        <v>1.0009999999999999</v>
      </c>
      <c r="C132" s="201">
        <v>1.0029999999999999</v>
      </c>
      <c r="D132" s="201">
        <v>1.0029999999999999</v>
      </c>
      <c r="E132" s="201">
        <v>1.0049999999999999</v>
      </c>
      <c r="F132" s="200">
        <v>626</v>
      </c>
      <c r="H132" s="213"/>
      <c r="I132" s="213"/>
      <c r="J132" s="213"/>
      <c r="K132" s="213"/>
      <c r="M132" s="213"/>
      <c r="N132" s="213"/>
      <c r="O132" s="213"/>
      <c r="P132" s="213"/>
    </row>
    <row r="133" spans="1:16" ht="22.5" customHeight="1" x14ac:dyDescent="0.2">
      <c r="A133" s="1" t="s">
        <v>925</v>
      </c>
      <c r="B133" s="201">
        <v>1.008</v>
      </c>
      <c r="C133" s="201">
        <v>1.014</v>
      </c>
      <c r="D133" s="201">
        <v>1.0169999999999999</v>
      </c>
      <c r="E133" s="201">
        <v>1.022</v>
      </c>
      <c r="F133" s="200">
        <v>627</v>
      </c>
      <c r="H133" s="213"/>
      <c r="I133" s="213"/>
      <c r="J133" s="213"/>
      <c r="K133" s="213"/>
      <c r="M133" s="213"/>
      <c r="N133" s="213"/>
      <c r="O133" s="213"/>
      <c r="P133" s="213"/>
    </row>
    <row r="134" spans="1:16" ht="22.5" customHeight="1" x14ac:dyDescent="0.2">
      <c r="A134" s="1" t="s">
        <v>926</v>
      </c>
      <c r="B134" s="201">
        <v>1.0069999999999999</v>
      </c>
      <c r="C134" s="201">
        <v>1.0129999999999999</v>
      </c>
      <c r="D134" s="201">
        <v>1.0169999999999999</v>
      </c>
      <c r="E134" s="201">
        <v>1.0209999999999999</v>
      </c>
      <c r="F134" s="200">
        <v>628</v>
      </c>
      <c r="H134" s="213"/>
      <c r="I134" s="213"/>
      <c r="J134" s="213"/>
      <c r="K134" s="213"/>
      <c r="M134" s="213"/>
      <c r="N134" s="213"/>
      <c r="O134" s="213"/>
      <c r="P134" s="213"/>
    </row>
    <row r="135" spans="1:16" ht="22.5" customHeight="1" x14ac:dyDescent="0.2">
      <c r="A135" s="1" t="s">
        <v>927</v>
      </c>
      <c r="B135" s="201">
        <v>0.99</v>
      </c>
      <c r="C135" s="201">
        <v>0.99</v>
      </c>
      <c r="D135" s="201">
        <v>0.98799999999999999</v>
      </c>
      <c r="E135" s="201">
        <v>0.98799999999999999</v>
      </c>
      <c r="F135" s="200">
        <v>629</v>
      </c>
      <c r="H135" s="213"/>
      <c r="I135" s="213"/>
      <c r="J135" s="213"/>
      <c r="K135" s="213"/>
      <c r="M135" s="213"/>
      <c r="N135" s="213"/>
      <c r="O135" s="213"/>
      <c r="P135" s="213"/>
    </row>
    <row r="136" spans="1:16" ht="22.5" customHeight="1" x14ac:dyDescent="0.2">
      <c r="A136" s="1" t="s">
        <v>928</v>
      </c>
      <c r="B136" s="201">
        <v>0.98299999999999998</v>
      </c>
      <c r="C136" s="201">
        <v>0.98199999999999998</v>
      </c>
      <c r="D136" s="201">
        <v>0.97699999999999998</v>
      </c>
      <c r="E136" s="201">
        <v>0.97799999999999998</v>
      </c>
      <c r="F136" s="200">
        <v>630</v>
      </c>
      <c r="H136" s="213"/>
      <c r="I136" s="213"/>
      <c r="J136" s="213"/>
      <c r="K136" s="213"/>
      <c r="M136" s="213"/>
      <c r="N136" s="213"/>
      <c r="O136" s="213"/>
      <c r="P136" s="213"/>
    </row>
    <row r="137" spans="1:16" ht="22.5" customHeight="1" x14ac:dyDescent="0.2">
      <c r="A137" s="1" t="s">
        <v>843</v>
      </c>
      <c r="B137" s="201">
        <v>0.999</v>
      </c>
      <c r="C137" s="201">
        <v>0.999</v>
      </c>
      <c r="D137" s="201">
        <v>1</v>
      </c>
      <c r="E137" s="201">
        <v>1</v>
      </c>
      <c r="F137" s="200">
        <v>631</v>
      </c>
      <c r="H137" s="213"/>
      <c r="I137" s="213"/>
      <c r="J137" s="213"/>
      <c r="K137" s="213"/>
      <c r="M137" s="213"/>
      <c r="N137" s="213"/>
      <c r="O137" s="213"/>
      <c r="P137" s="213"/>
    </row>
    <row r="138" spans="1:16" ht="22.5" customHeight="1" x14ac:dyDescent="0.2">
      <c r="A138" s="1" t="s">
        <v>929</v>
      </c>
      <c r="B138" s="201">
        <v>1.0029999999999999</v>
      </c>
      <c r="C138" s="201">
        <v>1.008</v>
      </c>
      <c r="D138" s="201">
        <v>1.008</v>
      </c>
      <c r="E138" s="201">
        <v>1.0109999999999999</v>
      </c>
      <c r="F138" s="200">
        <v>632</v>
      </c>
      <c r="H138" s="213"/>
      <c r="I138" s="213"/>
      <c r="J138" s="213"/>
      <c r="K138" s="213"/>
      <c r="M138" s="213"/>
      <c r="N138" s="213"/>
      <c r="O138" s="213"/>
      <c r="P138" s="213"/>
    </row>
    <row r="139" spans="1:16" ht="22.5" customHeight="1" x14ac:dyDescent="0.2">
      <c r="A139" s="1" t="s">
        <v>930</v>
      </c>
      <c r="B139" s="201">
        <v>1</v>
      </c>
      <c r="C139" s="201">
        <v>1.004</v>
      </c>
      <c r="D139" s="201">
        <v>1.004</v>
      </c>
      <c r="E139" s="201">
        <v>1.008</v>
      </c>
      <c r="F139" s="200">
        <v>633</v>
      </c>
      <c r="H139" s="213"/>
      <c r="I139" s="213"/>
      <c r="J139" s="213"/>
      <c r="K139" s="213"/>
      <c r="M139" s="213"/>
      <c r="N139" s="213"/>
      <c r="O139" s="213"/>
      <c r="P139" s="213"/>
    </row>
    <row r="140" spans="1:16" ht="22.5" customHeight="1" x14ac:dyDescent="0.2">
      <c r="A140" s="1" t="s">
        <v>931</v>
      </c>
      <c r="B140" s="201">
        <v>1</v>
      </c>
      <c r="C140" s="201">
        <v>1.006</v>
      </c>
      <c r="D140" s="201">
        <v>1.008</v>
      </c>
      <c r="E140" s="201">
        <v>1.0129999999999999</v>
      </c>
      <c r="F140" s="200">
        <v>634</v>
      </c>
      <c r="H140" s="213"/>
      <c r="I140" s="213"/>
      <c r="J140" s="213"/>
      <c r="K140" s="213"/>
      <c r="M140" s="213"/>
      <c r="N140" s="213"/>
      <c r="O140" s="213"/>
      <c r="P140" s="213"/>
    </row>
    <row r="141" spans="1:16" ht="22.5" customHeight="1" x14ac:dyDescent="0.2">
      <c r="A141" s="1" t="s">
        <v>932</v>
      </c>
      <c r="B141" s="201">
        <v>0.999</v>
      </c>
      <c r="C141" s="201">
        <v>0.999</v>
      </c>
      <c r="D141" s="201">
        <v>0.999</v>
      </c>
      <c r="E141" s="201">
        <v>0.999</v>
      </c>
      <c r="F141" s="200">
        <v>635</v>
      </c>
      <c r="H141" s="213"/>
      <c r="I141" s="213"/>
      <c r="J141" s="213"/>
      <c r="K141" s="213"/>
      <c r="M141" s="213"/>
      <c r="N141" s="213"/>
      <c r="O141" s="213"/>
      <c r="P141" s="213"/>
    </row>
    <row r="142" spans="1:16" ht="22.5" customHeight="1" x14ac:dyDescent="0.2">
      <c r="A142" s="1" t="s">
        <v>933</v>
      </c>
      <c r="B142" s="201">
        <v>0.999</v>
      </c>
      <c r="C142" s="201">
        <v>0.999</v>
      </c>
      <c r="D142" s="201">
        <v>0.999</v>
      </c>
      <c r="E142" s="201">
        <v>0.999</v>
      </c>
      <c r="F142" s="200">
        <v>636</v>
      </c>
      <c r="H142" s="213"/>
      <c r="I142" s="213"/>
      <c r="J142" s="213"/>
      <c r="K142" s="213"/>
      <c r="M142" s="213"/>
      <c r="N142" s="213"/>
      <c r="O142" s="213"/>
      <c r="P142" s="213"/>
    </row>
    <row r="143" spans="1:16" ht="22.5" customHeight="1" x14ac:dyDescent="0.2">
      <c r="A143" s="1" t="s">
        <v>934</v>
      </c>
      <c r="B143" s="201">
        <v>1</v>
      </c>
      <c r="C143" s="201">
        <v>1</v>
      </c>
      <c r="D143" s="201">
        <v>1</v>
      </c>
      <c r="E143" s="201">
        <v>1</v>
      </c>
      <c r="F143" s="200">
        <v>637</v>
      </c>
      <c r="H143" s="213"/>
      <c r="I143" s="213"/>
      <c r="J143" s="213"/>
      <c r="K143" s="213"/>
      <c r="M143" s="213"/>
      <c r="N143" s="213"/>
      <c r="O143" s="213"/>
      <c r="P143" s="213"/>
    </row>
    <row r="144" spans="1:16" ht="22.5" customHeight="1" x14ac:dyDescent="0.2">
      <c r="A144" s="1" t="s">
        <v>935</v>
      </c>
      <c r="B144" s="201">
        <v>0.999</v>
      </c>
      <c r="C144" s="201">
        <v>0.999</v>
      </c>
      <c r="D144" s="201">
        <v>0.999</v>
      </c>
      <c r="E144" s="201">
        <v>1</v>
      </c>
      <c r="F144" s="200">
        <v>638</v>
      </c>
      <c r="H144" s="213"/>
      <c r="I144" s="213"/>
      <c r="J144" s="213"/>
      <c r="K144" s="213"/>
      <c r="M144" s="213"/>
      <c r="N144" s="213"/>
      <c r="O144" s="213"/>
      <c r="P144" s="213"/>
    </row>
    <row r="145" spans="1:16" ht="22.5" customHeight="1" x14ac:dyDescent="0.2">
      <c r="A145" s="1" t="s">
        <v>936</v>
      </c>
      <c r="B145" s="201">
        <v>0.98799999999999999</v>
      </c>
      <c r="C145" s="201">
        <v>0.99099999999999999</v>
      </c>
      <c r="D145" s="201">
        <v>0.98799999999999999</v>
      </c>
      <c r="E145" s="201">
        <v>0.99</v>
      </c>
      <c r="F145" s="200">
        <v>639</v>
      </c>
      <c r="H145" s="213"/>
      <c r="I145" s="213"/>
      <c r="J145" s="213"/>
      <c r="K145" s="213"/>
      <c r="M145" s="213"/>
      <c r="N145" s="213"/>
      <c r="O145" s="213"/>
      <c r="P145" s="213"/>
    </row>
    <row r="146" spans="1:16" ht="22.5" customHeight="1" x14ac:dyDescent="0.2">
      <c r="A146" s="1" t="s">
        <v>937</v>
      </c>
      <c r="B146" s="201">
        <v>0.999</v>
      </c>
      <c r="C146" s="201">
        <v>0.999</v>
      </c>
      <c r="D146" s="201">
        <v>0.999</v>
      </c>
      <c r="E146" s="201">
        <v>1</v>
      </c>
      <c r="F146" s="200">
        <v>640</v>
      </c>
      <c r="H146" s="213"/>
      <c r="I146" s="213"/>
      <c r="J146" s="213"/>
      <c r="K146" s="213"/>
      <c r="M146" s="213"/>
      <c r="N146" s="213"/>
      <c r="O146" s="213"/>
      <c r="P146" s="213"/>
    </row>
    <row r="147" spans="1:16" ht="22.5" customHeight="1" x14ac:dyDescent="0.2">
      <c r="A147" s="1" t="s">
        <v>938</v>
      </c>
      <c r="B147" s="201">
        <v>0.99299999999999999</v>
      </c>
      <c r="C147" s="201">
        <v>0.996</v>
      </c>
      <c r="D147" s="201">
        <v>0.995</v>
      </c>
      <c r="E147" s="201">
        <v>0.998</v>
      </c>
      <c r="F147" s="200">
        <v>641</v>
      </c>
      <c r="H147" s="213"/>
      <c r="I147" s="213"/>
      <c r="J147" s="213"/>
      <c r="K147" s="213"/>
      <c r="M147" s="213"/>
      <c r="N147" s="213"/>
      <c r="O147" s="213"/>
      <c r="P147" s="213"/>
    </row>
    <row r="148" spans="1:16" ht="22.5" customHeight="1" x14ac:dyDescent="0.2">
      <c r="A148" s="1" t="s">
        <v>939</v>
      </c>
      <c r="B148" s="201">
        <v>0.98399999999999999</v>
      </c>
      <c r="C148" s="201">
        <v>0.98399999999999999</v>
      </c>
      <c r="D148" s="201">
        <v>0.98099999999999998</v>
      </c>
      <c r="E148" s="201">
        <v>0.98</v>
      </c>
      <c r="F148" s="200">
        <v>642</v>
      </c>
      <c r="H148" s="213"/>
      <c r="I148" s="213"/>
      <c r="J148" s="213"/>
      <c r="K148" s="213"/>
      <c r="M148" s="213"/>
      <c r="N148" s="213"/>
      <c r="O148" s="213"/>
      <c r="P148" s="213"/>
    </row>
    <row r="149" spans="1:16" ht="22.5" customHeight="1" x14ac:dyDescent="0.2">
      <c r="A149" s="1" t="s">
        <v>940</v>
      </c>
      <c r="B149" s="201">
        <v>1.002</v>
      </c>
      <c r="C149" s="201">
        <v>1.0069999999999999</v>
      </c>
      <c r="D149" s="201">
        <v>1.0069999999999999</v>
      </c>
      <c r="E149" s="201">
        <v>1.0109999999999999</v>
      </c>
      <c r="F149" s="200">
        <v>643</v>
      </c>
      <c r="H149" s="213"/>
      <c r="I149" s="213"/>
      <c r="J149" s="213"/>
      <c r="K149" s="213"/>
      <c r="M149" s="213"/>
      <c r="N149" s="213"/>
      <c r="O149" s="213"/>
      <c r="P149" s="213"/>
    </row>
    <row r="150" spans="1:16" ht="22.5" customHeight="1" x14ac:dyDescent="0.2">
      <c r="A150" s="1" t="s">
        <v>813</v>
      </c>
      <c r="B150" s="201">
        <v>0.999</v>
      </c>
      <c r="C150" s="201">
        <v>1</v>
      </c>
      <c r="D150" s="201">
        <v>0.999</v>
      </c>
      <c r="E150" s="201">
        <v>1</v>
      </c>
      <c r="F150" s="200">
        <v>644</v>
      </c>
      <c r="H150" s="213"/>
      <c r="I150" s="213"/>
      <c r="J150" s="213"/>
      <c r="K150" s="213"/>
      <c r="M150" s="213"/>
      <c r="N150" s="213"/>
      <c r="O150" s="213"/>
      <c r="P150" s="213"/>
    </row>
    <row r="151" spans="1:16" ht="22.5" customHeight="1" x14ac:dyDescent="0.2">
      <c r="A151" s="1" t="s">
        <v>941</v>
      </c>
      <c r="B151" s="201">
        <v>0.97699999999999998</v>
      </c>
      <c r="C151" s="201">
        <v>0.97699999999999998</v>
      </c>
      <c r="D151" s="201">
        <v>0.97699999999999998</v>
      </c>
      <c r="E151" s="201">
        <v>0.97799999999999998</v>
      </c>
      <c r="F151" s="200">
        <v>645</v>
      </c>
      <c r="H151" s="213"/>
      <c r="I151" s="213"/>
      <c r="J151" s="213"/>
      <c r="K151" s="213"/>
      <c r="M151" s="213"/>
      <c r="N151" s="213"/>
      <c r="O151" s="213"/>
      <c r="P151" s="213"/>
    </row>
    <row r="152" spans="1:16" ht="22.5" customHeight="1" x14ac:dyDescent="0.2">
      <c r="A152" s="1" t="s">
        <v>858</v>
      </c>
      <c r="B152" s="201">
        <v>1</v>
      </c>
      <c r="C152" s="201">
        <v>1</v>
      </c>
      <c r="D152" s="201">
        <v>1</v>
      </c>
      <c r="E152" s="201">
        <v>1</v>
      </c>
      <c r="F152" s="200">
        <v>649</v>
      </c>
      <c r="H152" s="213"/>
      <c r="I152" s="213"/>
      <c r="J152" s="213"/>
      <c r="K152" s="213"/>
      <c r="M152" s="213"/>
      <c r="N152" s="213"/>
      <c r="O152" s="213"/>
      <c r="P152" s="213"/>
    </row>
    <row r="153" spans="1:16" ht="22.5" customHeight="1" x14ac:dyDescent="0.2">
      <c r="A153" s="1" t="s">
        <v>942</v>
      </c>
      <c r="B153" s="201">
        <v>0.996</v>
      </c>
      <c r="C153" s="201">
        <v>0.996</v>
      </c>
      <c r="D153" s="201">
        <v>0.99399999999999999</v>
      </c>
      <c r="E153" s="201">
        <v>0.99399999999999999</v>
      </c>
      <c r="F153" s="200">
        <v>650</v>
      </c>
      <c r="H153" s="213"/>
      <c r="I153" s="213"/>
      <c r="J153" s="213"/>
      <c r="K153" s="213"/>
      <c r="M153" s="213"/>
      <c r="N153" s="213"/>
      <c r="O153" s="213"/>
      <c r="P153" s="213"/>
    </row>
    <row r="154" spans="1:16" ht="22.5" customHeight="1" x14ac:dyDescent="0.2">
      <c r="A154" s="1" t="s">
        <v>943</v>
      </c>
      <c r="B154" s="201">
        <v>1.0009999999999999</v>
      </c>
      <c r="C154" s="201">
        <v>1.0009999999999999</v>
      </c>
      <c r="D154" s="201">
        <v>1.0009999999999999</v>
      </c>
      <c r="E154" s="201">
        <v>1.0009999999999999</v>
      </c>
      <c r="F154" s="200">
        <v>654</v>
      </c>
      <c r="H154" s="213"/>
      <c r="I154" s="213"/>
      <c r="J154" s="213"/>
      <c r="K154" s="213"/>
      <c r="M154" s="213"/>
      <c r="N154" s="213"/>
      <c r="O154" s="213"/>
      <c r="P154" s="213"/>
    </row>
    <row r="155" spans="1:16" ht="22.5" customHeight="1" x14ac:dyDescent="0.2">
      <c r="A155" s="1" t="s">
        <v>944</v>
      </c>
      <c r="B155" s="201">
        <v>0.998</v>
      </c>
      <c r="C155" s="201">
        <v>0.998</v>
      </c>
      <c r="D155" s="201">
        <v>0.997</v>
      </c>
      <c r="E155" s="201">
        <v>0.998</v>
      </c>
      <c r="F155" s="200">
        <v>655</v>
      </c>
      <c r="H155" s="213"/>
      <c r="I155" s="213"/>
      <c r="J155" s="213"/>
      <c r="K155" s="213"/>
      <c r="M155" s="213"/>
      <c r="N155" s="213"/>
      <c r="O155" s="213"/>
      <c r="P155" s="213"/>
    </row>
    <row r="156" spans="1:16" ht="22.5" customHeight="1" x14ac:dyDescent="0.2">
      <c r="A156" s="1" t="s">
        <v>945</v>
      </c>
      <c r="B156" s="201">
        <v>0.98199999999999998</v>
      </c>
      <c r="C156" s="201">
        <v>0.98499999999999999</v>
      </c>
      <c r="D156" s="201">
        <v>0.98099999999999998</v>
      </c>
      <c r="E156" s="201">
        <v>0.98399999999999999</v>
      </c>
      <c r="F156" s="200">
        <v>663</v>
      </c>
      <c r="H156" s="213"/>
      <c r="I156" s="213"/>
      <c r="J156" s="213"/>
      <c r="K156" s="213"/>
      <c r="M156" s="213"/>
      <c r="N156" s="213"/>
      <c r="O156" s="213"/>
      <c r="P156" s="213"/>
    </row>
    <row r="157" spans="1:16" ht="22.5" customHeight="1" x14ac:dyDescent="0.2">
      <c r="A157" s="1" t="s">
        <v>877</v>
      </c>
      <c r="B157" s="201">
        <v>0.998</v>
      </c>
      <c r="C157" s="201">
        <v>0.998</v>
      </c>
      <c r="D157" s="201">
        <v>0.997</v>
      </c>
      <c r="E157" s="201">
        <v>0.998</v>
      </c>
      <c r="F157" s="200">
        <v>664</v>
      </c>
      <c r="H157" s="213"/>
      <c r="I157" s="213"/>
      <c r="J157" s="213"/>
      <c r="K157" s="213"/>
      <c r="M157" s="213"/>
      <c r="N157" s="213"/>
      <c r="O157" s="213"/>
      <c r="P157" s="213"/>
    </row>
    <row r="158" spans="1:16" ht="22.5" customHeight="1" x14ac:dyDescent="0.2">
      <c r="A158" s="1" t="s">
        <v>946</v>
      </c>
      <c r="B158" s="201">
        <v>1</v>
      </c>
      <c r="C158" s="201">
        <v>1</v>
      </c>
      <c r="D158" s="201">
        <v>1</v>
      </c>
      <c r="E158" s="201">
        <v>1</v>
      </c>
      <c r="F158" s="200">
        <v>666</v>
      </c>
      <c r="H158" s="213"/>
      <c r="I158" s="213"/>
      <c r="J158" s="213"/>
      <c r="K158" s="213"/>
      <c r="M158" s="213"/>
      <c r="N158" s="213"/>
      <c r="O158" s="213"/>
      <c r="P158" s="213"/>
    </row>
    <row r="159" spans="1:16" ht="22.5" customHeight="1" x14ac:dyDescent="0.2">
      <c r="A159" s="1" t="s">
        <v>947</v>
      </c>
      <c r="B159" s="201">
        <v>1</v>
      </c>
      <c r="C159" s="201">
        <v>1</v>
      </c>
      <c r="D159" s="201">
        <v>1</v>
      </c>
      <c r="E159" s="201">
        <v>1</v>
      </c>
      <c r="F159" s="200">
        <v>668</v>
      </c>
      <c r="H159" s="213"/>
      <c r="I159" s="213"/>
      <c r="J159" s="213"/>
      <c r="K159" s="213"/>
      <c r="M159" s="213"/>
      <c r="N159" s="213"/>
      <c r="O159" s="213"/>
      <c r="P159" s="213"/>
    </row>
    <row r="160" spans="1:16" ht="22.5" customHeight="1" x14ac:dyDescent="0.2">
      <c r="A160" s="1" t="s">
        <v>948</v>
      </c>
      <c r="B160" s="201">
        <v>1</v>
      </c>
      <c r="C160" s="201">
        <v>1</v>
      </c>
      <c r="D160" s="201">
        <v>1</v>
      </c>
      <c r="E160" s="201">
        <v>1</v>
      </c>
      <c r="F160" s="200">
        <v>669</v>
      </c>
      <c r="H160" s="213"/>
      <c r="I160" s="213"/>
      <c r="J160" s="213"/>
      <c r="K160" s="213"/>
      <c r="M160" s="213"/>
      <c r="N160" s="213"/>
      <c r="O160" s="213"/>
      <c r="P160" s="213"/>
    </row>
    <row r="161" spans="1:16" ht="22.5" customHeight="1" x14ac:dyDescent="0.2">
      <c r="A161" s="1" t="s">
        <v>949</v>
      </c>
      <c r="B161" s="201">
        <v>1</v>
      </c>
      <c r="C161" s="201">
        <v>1</v>
      </c>
      <c r="D161" s="201">
        <v>1</v>
      </c>
      <c r="E161" s="201">
        <v>1</v>
      </c>
      <c r="F161" s="200">
        <v>670</v>
      </c>
      <c r="H161" s="213"/>
      <c r="I161" s="213"/>
      <c r="J161" s="213"/>
      <c r="K161" s="213"/>
      <c r="M161" s="213"/>
      <c r="N161" s="213"/>
      <c r="O161" s="213"/>
      <c r="P161" s="213"/>
    </row>
    <row r="162" spans="1:16" ht="22.5" customHeight="1" x14ac:dyDescent="0.2">
      <c r="A162" s="1" t="s">
        <v>950</v>
      </c>
      <c r="B162" s="201">
        <v>0.99</v>
      </c>
      <c r="C162" s="201">
        <v>0.99</v>
      </c>
      <c r="D162" s="201">
        <v>0.98799999999999999</v>
      </c>
      <c r="E162" s="201">
        <v>0.98799999999999999</v>
      </c>
      <c r="F162" s="200">
        <v>671</v>
      </c>
      <c r="H162" s="213"/>
      <c r="I162" s="213"/>
      <c r="J162" s="213"/>
      <c r="K162" s="213"/>
      <c r="M162" s="213"/>
      <c r="N162" s="213"/>
      <c r="O162" s="213"/>
      <c r="P162" s="213"/>
    </row>
    <row r="163" spans="1:16" ht="22.5" customHeight="1" x14ac:dyDescent="0.2">
      <c r="A163" s="1" t="s">
        <v>951</v>
      </c>
      <c r="B163" s="201">
        <v>0.99199999999999999</v>
      </c>
      <c r="C163" s="201">
        <v>0.99299999999999999</v>
      </c>
      <c r="D163" s="201">
        <v>0.99099999999999999</v>
      </c>
      <c r="E163" s="201">
        <v>0.99099999999999999</v>
      </c>
      <c r="F163" s="200">
        <v>672</v>
      </c>
      <c r="H163" s="213"/>
      <c r="I163" s="213"/>
      <c r="J163" s="213"/>
      <c r="K163" s="213"/>
      <c r="M163" s="213"/>
      <c r="N163" s="213"/>
      <c r="O163" s="213"/>
      <c r="P163" s="213"/>
    </row>
    <row r="164" spans="1:16" ht="22.5" customHeight="1" x14ac:dyDescent="0.2">
      <c r="A164" s="1" t="s">
        <v>952</v>
      </c>
      <c r="B164" s="201">
        <v>0.99399999999999999</v>
      </c>
      <c r="C164" s="201">
        <v>0.995</v>
      </c>
      <c r="D164" s="201">
        <v>0.99399999999999999</v>
      </c>
      <c r="E164" s="201">
        <v>0.995</v>
      </c>
      <c r="F164" s="200">
        <v>673</v>
      </c>
      <c r="H164" s="213"/>
      <c r="I164" s="213"/>
      <c r="J164" s="213"/>
      <c r="K164" s="213"/>
      <c r="M164" s="213"/>
      <c r="N164" s="213"/>
      <c r="O164" s="213"/>
      <c r="P164" s="213"/>
    </row>
    <row r="165" spans="1:16" ht="22.5" customHeight="1" x14ac:dyDescent="0.2">
      <c r="A165" s="1" t="s">
        <v>953</v>
      </c>
      <c r="B165" s="201">
        <v>0.96499999999999997</v>
      </c>
      <c r="C165" s="201">
        <v>0.96699999999999997</v>
      </c>
      <c r="D165" s="201">
        <v>0.96</v>
      </c>
      <c r="E165" s="201">
        <v>0.96099999999999997</v>
      </c>
      <c r="F165" s="200">
        <v>674</v>
      </c>
      <c r="H165" s="213"/>
      <c r="I165" s="213"/>
      <c r="J165" s="213"/>
      <c r="K165" s="213"/>
      <c r="M165" s="213"/>
      <c r="N165" s="213"/>
      <c r="O165" s="213"/>
      <c r="P165" s="213"/>
    </row>
    <row r="166" spans="1:16" ht="22.5" customHeight="1" x14ac:dyDescent="0.2">
      <c r="A166" s="1" t="s">
        <v>954</v>
      </c>
      <c r="B166" s="201">
        <v>0.999</v>
      </c>
      <c r="C166" s="201">
        <v>1.006</v>
      </c>
      <c r="D166" s="201">
        <v>1.0069999999999999</v>
      </c>
      <c r="E166" s="201">
        <v>1.0129999999999999</v>
      </c>
      <c r="F166" s="200">
        <v>675</v>
      </c>
      <c r="H166" s="213"/>
      <c r="I166" s="213"/>
      <c r="J166" s="213"/>
      <c r="K166" s="213"/>
      <c r="M166" s="213"/>
      <c r="N166" s="213"/>
      <c r="O166" s="213"/>
      <c r="P166" s="213"/>
    </row>
    <row r="167" spans="1:16" ht="22.5" customHeight="1" x14ac:dyDescent="0.2">
      <c r="A167" s="1" t="s">
        <v>955</v>
      </c>
      <c r="B167" s="201">
        <v>1</v>
      </c>
      <c r="C167" s="201">
        <v>1.008</v>
      </c>
      <c r="D167" s="201">
        <v>1.008</v>
      </c>
      <c r="E167" s="201">
        <v>1.0149999999999999</v>
      </c>
      <c r="F167" s="200">
        <v>676</v>
      </c>
      <c r="H167" s="213"/>
      <c r="I167" s="213"/>
      <c r="J167" s="213"/>
      <c r="K167" s="213"/>
      <c r="M167" s="213"/>
      <c r="N167" s="213"/>
      <c r="O167" s="213"/>
      <c r="P167" s="213"/>
    </row>
    <row r="168" spans="1:16" ht="22.5" customHeight="1" x14ac:dyDescent="0.2">
      <c r="A168" s="1" t="s">
        <v>956</v>
      </c>
      <c r="B168" s="201">
        <v>0.999</v>
      </c>
      <c r="C168" s="201">
        <v>0.999</v>
      </c>
      <c r="D168" s="201">
        <v>0.998</v>
      </c>
      <c r="E168" s="201">
        <v>0.998</v>
      </c>
      <c r="F168" s="200">
        <v>677</v>
      </c>
      <c r="H168" s="213"/>
      <c r="I168" s="213"/>
      <c r="J168" s="213"/>
      <c r="K168" s="213"/>
      <c r="M168" s="213"/>
      <c r="N168" s="213"/>
      <c r="O168" s="213"/>
      <c r="P168" s="213"/>
    </row>
    <row r="169" spans="1:16" ht="22.5" customHeight="1" x14ac:dyDescent="0.2">
      <c r="A169" s="1" t="s">
        <v>957</v>
      </c>
      <c r="B169" s="201">
        <v>0.99</v>
      </c>
      <c r="C169" s="201">
        <v>0.99</v>
      </c>
      <c r="D169" s="201">
        <v>0.98699999999999999</v>
      </c>
      <c r="E169" s="201">
        <v>0.98699999999999999</v>
      </c>
      <c r="F169" s="200">
        <v>678</v>
      </c>
      <c r="H169" s="213"/>
      <c r="I169" s="213"/>
      <c r="J169" s="213"/>
      <c r="K169" s="213"/>
      <c r="M169" s="213"/>
      <c r="N169" s="213"/>
      <c r="O169" s="213"/>
      <c r="P169" s="213"/>
    </row>
    <row r="170" spans="1:16" ht="22.5" customHeight="1" x14ac:dyDescent="0.2">
      <c r="A170" s="1" t="s">
        <v>890</v>
      </c>
      <c r="B170" s="201">
        <v>0.99199999999999999</v>
      </c>
      <c r="C170" s="201">
        <v>0.99299999999999999</v>
      </c>
      <c r="D170" s="201">
        <v>0.99</v>
      </c>
      <c r="E170" s="201">
        <v>0.98899999999999999</v>
      </c>
      <c r="F170" s="200">
        <v>679</v>
      </c>
      <c r="H170" s="213"/>
      <c r="I170" s="213"/>
      <c r="J170" s="213"/>
      <c r="K170" s="213"/>
      <c r="M170" s="213"/>
      <c r="N170" s="213"/>
      <c r="O170" s="213"/>
      <c r="P170" s="213"/>
    </row>
    <row r="171" spans="1:16" ht="22.5" customHeight="1" x14ac:dyDescent="0.2">
      <c r="A171" s="1" t="s">
        <v>958</v>
      </c>
      <c r="B171" s="201">
        <v>1</v>
      </c>
      <c r="C171" s="201">
        <v>1</v>
      </c>
      <c r="D171" s="201">
        <v>1</v>
      </c>
      <c r="E171" s="201">
        <v>1</v>
      </c>
      <c r="F171" s="200">
        <v>680</v>
      </c>
      <c r="H171" s="213"/>
      <c r="I171" s="213"/>
      <c r="J171" s="213"/>
      <c r="K171" s="213"/>
      <c r="M171" s="213"/>
      <c r="N171" s="213"/>
      <c r="O171" s="213"/>
      <c r="P171" s="213"/>
    </row>
    <row r="172" spans="1:16" ht="22.5" customHeight="1" x14ac:dyDescent="0.2">
      <c r="A172" s="1" t="s">
        <v>821</v>
      </c>
      <c r="B172" s="201">
        <v>0.997</v>
      </c>
      <c r="C172" s="201">
        <v>0.997</v>
      </c>
      <c r="D172" s="201">
        <v>0.997</v>
      </c>
      <c r="E172" s="201">
        <v>0.997</v>
      </c>
      <c r="F172" s="200">
        <v>681</v>
      </c>
      <c r="H172" s="213"/>
      <c r="I172" s="213"/>
      <c r="J172" s="213"/>
      <c r="K172" s="213"/>
      <c r="M172" s="213"/>
      <c r="N172" s="213"/>
      <c r="O172" s="213"/>
      <c r="P172" s="213"/>
    </row>
    <row r="173" spans="1:16" ht="22.5" customHeight="1" x14ac:dyDescent="0.2">
      <c r="A173" s="1" t="s">
        <v>815</v>
      </c>
      <c r="B173" s="201">
        <v>0.99299999999999999</v>
      </c>
      <c r="C173" s="201">
        <v>0.995</v>
      </c>
      <c r="D173" s="201">
        <v>0.99299999999999999</v>
      </c>
      <c r="E173" s="201">
        <v>0.995</v>
      </c>
      <c r="F173" s="200">
        <v>683</v>
      </c>
      <c r="H173" s="213"/>
      <c r="I173" s="213"/>
      <c r="J173" s="213"/>
      <c r="K173" s="213"/>
      <c r="M173" s="213"/>
      <c r="N173" s="213"/>
      <c r="O173" s="213"/>
      <c r="P173" s="213"/>
    </row>
    <row r="174" spans="1:16" ht="22.5" customHeight="1" x14ac:dyDescent="0.2">
      <c r="A174" s="1" t="s">
        <v>816</v>
      </c>
      <c r="B174" s="201">
        <v>0.998</v>
      </c>
      <c r="C174" s="201">
        <v>0.998</v>
      </c>
      <c r="D174" s="201">
        <v>0.997</v>
      </c>
      <c r="E174" s="201">
        <v>0.997</v>
      </c>
      <c r="F174" s="200">
        <v>684</v>
      </c>
      <c r="H174" s="213"/>
      <c r="I174" s="213"/>
      <c r="J174" s="213"/>
      <c r="K174" s="213"/>
      <c r="M174" s="213"/>
      <c r="N174" s="213"/>
      <c r="O174" s="213"/>
      <c r="P174" s="213"/>
    </row>
    <row r="175" spans="1:16" ht="22.5" customHeight="1" x14ac:dyDescent="0.2">
      <c r="A175" s="1" t="s">
        <v>817</v>
      </c>
      <c r="B175" s="201">
        <v>0.997</v>
      </c>
      <c r="C175" s="201">
        <v>0.997</v>
      </c>
      <c r="D175" s="201">
        <v>0.996</v>
      </c>
      <c r="E175" s="201">
        <v>0.996</v>
      </c>
      <c r="F175" s="200">
        <v>685</v>
      </c>
      <c r="H175" s="213"/>
      <c r="I175" s="213"/>
      <c r="J175" s="213"/>
      <c r="K175" s="213"/>
      <c r="M175" s="213"/>
      <c r="N175" s="213"/>
      <c r="O175" s="213"/>
      <c r="P175" s="213"/>
    </row>
    <row r="176" spans="1:16" ht="22.5" customHeight="1" x14ac:dyDescent="0.2">
      <c r="A176" s="1" t="s">
        <v>959</v>
      </c>
      <c r="B176" s="201">
        <v>1</v>
      </c>
      <c r="C176" s="201">
        <v>1</v>
      </c>
      <c r="D176" s="201">
        <v>1</v>
      </c>
      <c r="E176" s="201">
        <v>1</v>
      </c>
      <c r="F176" s="200">
        <v>686</v>
      </c>
      <c r="H176" s="213"/>
      <c r="I176" s="213"/>
      <c r="J176" s="213"/>
      <c r="K176" s="213"/>
      <c r="M176" s="213"/>
      <c r="N176" s="213"/>
      <c r="O176" s="213"/>
      <c r="P176" s="213"/>
    </row>
    <row r="177" spans="1:16" ht="22.5" customHeight="1" x14ac:dyDescent="0.2">
      <c r="A177" s="1" t="s">
        <v>960</v>
      </c>
      <c r="B177" s="201">
        <v>0.998</v>
      </c>
      <c r="C177" s="201">
        <v>0.998</v>
      </c>
      <c r="D177" s="201">
        <v>0.997</v>
      </c>
      <c r="E177" s="201">
        <v>0.997</v>
      </c>
      <c r="F177" s="200">
        <v>687</v>
      </c>
      <c r="H177" s="213"/>
      <c r="I177" s="213"/>
      <c r="J177" s="213"/>
      <c r="K177" s="213"/>
      <c r="M177" s="213"/>
      <c r="N177" s="213"/>
      <c r="O177" s="213"/>
      <c r="P177" s="213"/>
    </row>
    <row r="178" spans="1:16" ht="22.5" customHeight="1" x14ac:dyDescent="0.2">
      <c r="A178" s="1" t="s">
        <v>819</v>
      </c>
      <c r="B178" s="201">
        <v>0.996</v>
      </c>
      <c r="C178" s="201">
        <v>0.997</v>
      </c>
      <c r="D178" s="201">
        <v>0.995</v>
      </c>
      <c r="E178" s="201">
        <v>0.996</v>
      </c>
      <c r="F178" s="200">
        <v>688</v>
      </c>
      <c r="H178" s="213"/>
      <c r="I178" s="213"/>
      <c r="J178" s="213"/>
      <c r="K178" s="213"/>
      <c r="M178" s="213"/>
      <c r="N178" s="213"/>
      <c r="O178" s="213"/>
      <c r="P178" s="213"/>
    </row>
    <row r="179" spans="1:16" ht="22.5" customHeight="1" x14ac:dyDescent="0.2">
      <c r="A179" s="1" t="s">
        <v>820</v>
      </c>
      <c r="B179" s="201">
        <v>0.996</v>
      </c>
      <c r="C179" s="201">
        <v>0.996</v>
      </c>
      <c r="D179" s="201">
        <v>0.995</v>
      </c>
      <c r="E179" s="201">
        <v>0.995</v>
      </c>
      <c r="F179" s="200">
        <v>689</v>
      </c>
      <c r="H179" s="213"/>
      <c r="I179" s="213"/>
      <c r="J179" s="213"/>
      <c r="K179" s="213"/>
      <c r="M179" s="213"/>
      <c r="N179" s="213"/>
      <c r="O179" s="213"/>
      <c r="P179" s="213"/>
    </row>
    <row r="180" spans="1:16" ht="22.5" customHeight="1" x14ac:dyDescent="0.2">
      <c r="A180" s="1" t="s">
        <v>825</v>
      </c>
      <c r="B180" s="201">
        <v>0.998</v>
      </c>
      <c r="C180" s="201">
        <v>0.997</v>
      </c>
      <c r="D180" s="201">
        <v>0.997</v>
      </c>
      <c r="E180" s="201">
        <v>0.997</v>
      </c>
      <c r="F180" s="200">
        <v>690</v>
      </c>
      <c r="H180" s="213"/>
      <c r="I180" s="213"/>
      <c r="J180" s="213"/>
      <c r="K180" s="213"/>
      <c r="M180" s="213"/>
      <c r="N180" s="213"/>
      <c r="O180" s="213"/>
      <c r="P180" s="213"/>
    </row>
    <row r="181" spans="1:16" ht="22.5" customHeight="1" x14ac:dyDescent="0.2">
      <c r="A181" s="1" t="s">
        <v>826</v>
      </c>
      <c r="B181" s="201">
        <v>0.99099999999999999</v>
      </c>
      <c r="C181" s="201">
        <v>0.99199999999999999</v>
      </c>
      <c r="D181" s="201">
        <v>0.98899999999999999</v>
      </c>
      <c r="E181" s="201">
        <v>0.98899999999999999</v>
      </c>
      <c r="F181" s="200">
        <v>691</v>
      </c>
      <c r="H181" s="213"/>
      <c r="I181" s="213"/>
      <c r="J181" s="213"/>
      <c r="K181" s="213"/>
      <c r="M181" s="213"/>
      <c r="N181" s="213"/>
      <c r="O181" s="213"/>
      <c r="P181" s="213"/>
    </row>
    <row r="182" spans="1:16" ht="22.5" customHeight="1" x14ac:dyDescent="0.2">
      <c r="A182" s="1" t="s">
        <v>961</v>
      </c>
      <c r="B182" s="201">
        <v>0.99299999999999999</v>
      </c>
      <c r="C182" s="201">
        <v>0.996</v>
      </c>
      <c r="D182" s="201">
        <v>0.99399999999999999</v>
      </c>
      <c r="E182" s="201">
        <v>0.995</v>
      </c>
      <c r="F182" s="200">
        <v>692</v>
      </c>
      <c r="H182" s="213"/>
      <c r="I182" s="213"/>
      <c r="J182" s="213"/>
      <c r="K182" s="213"/>
      <c r="M182" s="213"/>
      <c r="N182" s="213"/>
      <c r="O182" s="213"/>
      <c r="P182" s="213"/>
    </row>
    <row r="183" spans="1:16" ht="22.5" customHeight="1" x14ac:dyDescent="0.2">
      <c r="A183" s="1" t="s">
        <v>962</v>
      </c>
      <c r="B183" s="201">
        <v>1</v>
      </c>
      <c r="C183" s="201">
        <v>1</v>
      </c>
      <c r="D183" s="201">
        <v>1</v>
      </c>
      <c r="E183" s="201">
        <v>0.999</v>
      </c>
      <c r="F183" s="200">
        <v>693</v>
      </c>
      <c r="H183" s="213"/>
      <c r="I183" s="213"/>
      <c r="J183" s="213"/>
      <c r="K183" s="213"/>
      <c r="M183" s="213"/>
      <c r="N183" s="213"/>
      <c r="O183" s="213"/>
      <c r="P183" s="213"/>
    </row>
    <row r="184" spans="1:16" ht="22.5" customHeight="1" x14ac:dyDescent="0.2">
      <c r="A184" s="1" t="s">
        <v>878</v>
      </c>
      <c r="B184" s="201">
        <v>1</v>
      </c>
      <c r="C184" s="201">
        <v>1</v>
      </c>
      <c r="D184" s="201">
        <v>1</v>
      </c>
      <c r="E184" s="201">
        <v>1</v>
      </c>
      <c r="F184" s="200">
        <v>694</v>
      </c>
      <c r="H184" s="213"/>
      <c r="I184" s="213"/>
      <c r="J184" s="213"/>
      <c r="K184" s="213"/>
      <c r="M184" s="213"/>
      <c r="N184" s="213"/>
      <c r="O184" s="213"/>
      <c r="P184" s="213"/>
    </row>
    <row r="185" spans="1:16" ht="22.5" customHeight="1" x14ac:dyDescent="0.2">
      <c r="A185" s="1" t="s">
        <v>963</v>
      </c>
      <c r="B185" s="201">
        <v>0.997</v>
      </c>
      <c r="C185" s="201">
        <v>0.997</v>
      </c>
      <c r="D185" s="201">
        <v>0.996</v>
      </c>
      <c r="E185" s="201">
        <v>0.996</v>
      </c>
      <c r="F185" s="200">
        <v>695</v>
      </c>
      <c r="H185" s="213"/>
      <c r="I185" s="213"/>
      <c r="J185" s="213"/>
      <c r="K185" s="213"/>
      <c r="M185" s="213"/>
      <c r="N185" s="213"/>
      <c r="O185" s="213"/>
      <c r="P185" s="213"/>
    </row>
    <row r="186" spans="1:16" ht="22.5" customHeight="1" x14ac:dyDescent="0.2">
      <c r="A186" s="1" t="s">
        <v>964</v>
      </c>
      <c r="B186" s="201">
        <v>0.99399999999999999</v>
      </c>
      <c r="C186" s="201">
        <v>0.99399999999999999</v>
      </c>
      <c r="D186" s="201">
        <v>0.99299999999999999</v>
      </c>
      <c r="E186" s="201">
        <v>0.99299999999999999</v>
      </c>
      <c r="F186" s="200">
        <v>696</v>
      </c>
      <c r="H186" s="213"/>
      <c r="I186" s="213"/>
      <c r="J186" s="213"/>
      <c r="K186" s="213"/>
      <c r="M186" s="213"/>
      <c r="N186" s="213"/>
      <c r="O186" s="213"/>
      <c r="P186" s="213"/>
    </row>
    <row r="187" spans="1:16" ht="22.5" customHeight="1" x14ac:dyDescent="0.2">
      <c r="A187" s="1" t="s">
        <v>965</v>
      </c>
      <c r="B187" s="201">
        <v>1.014</v>
      </c>
      <c r="C187" s="201">
        <v>1.0189999999999999</v>
      </c>
      <c r="D187" s="201">
        <v>1.022</v>
      </c>
      <c r="E187" s="201">
        <v>1.0269999999999999</v>
      </c>
      <c r="F187" s="200">
        <v>697</v>
      </c>
      <c r="H187" s="213"/>
      <c r="I187" s="213"/>
      <c r="J187" s="213"/>
      <c r="K187" s="213"/>
      <c r="M187" s="213"/>
      <c r="N187" s="213"/>
      <c r="O187" s="213"/>
      <c r="P187" s="213"/>
    </row>
    <row r="188" spans="1:16" ht="22.5" customHeight="1" x14ac:dyDescent="0.2">
      <c r="A188" s="1" t="s">
        <v>966</v>
      </c>
      <c r="B188" s="201">
        <v>0.997</v>
      </c>
      <c r="C188" s="201">
        <v>0.997</v>
      </c>
      <c r="D188" s="201">
        <v>0.996</v>
      </c>
      <c r="E188" s="201">
        <v>0.996</v>
      </c>
      <c r="F188" s="200">
        <v>698</v>
      </c>
      <c r="H188" s="213"/>
      <c r="I188" s="213"/>
      <c r="J188" s="213"/>
      <c r="K188" s="213"/>
      <c r="M188" s="213"/>
      <c r="N188" s="213"/>
      <c r="O188" s="213"/>
      <c r="P188" s="213"/>
    </row>
    <row r="189" spans="1:16" ht="22.5" customHeight="1" x14ac:dyDescent="0.2">
      <c r="A189" s="1" t="s">
        <v>967</v>
      </c>
      <c r="B189" s="201">
        <v>1</v>
      </c>
      <c r="C189" s="201">
        <v>1</v>
      </c>
      <c r="D189" s="201">
        <v>1</v>
      </c>
      <c r="E189" s="201">
        <v>1</v>
      </c>
      <c r="F189" s="200">
        <v>699</v>
      </c>
      <c r="H189" s="213"/>
      <c r="I189" s="213"/>
      <c r="J189" s="213"/>
      <c r="K189" s="213"/>
      <c r="M189" s="213"/>
      <c r="N189" s="213"/>
      <c r="O189" s="213"/>
      <c r="P189" s="213"/>
    </row>
    <row r="190" spans="1:16" ht="22.5" customHeight="1" x14ac:dyDescent="0.2">
      <c r="A190" s="1" t="s">
        <v>968</v>
      </c>
      <c r="B190" s="201">
        <v>0.996</v>
      </c>
      <c r="C190" s="201">
        <v>0.996</v>
      </c>
      <c r="D190" s="201">
        <v>0.995</v>
      </c>
      <c r="E190" s="201">
        <v>0.995</v>
      </c>
      <c r="F190" s="200">
        <v>700</v>
      </c>
      <c r="H190" s="213"/>
      <c r="I190" s="213"/>
      <c r="J190" s="213"/>
      <c r="K190" s="213"/>
      <c r="M190" s="213"/>
      <c r="N190" s="213"/>
      <c r="O190" s="213"/>
      <c r="P190" s="213"/>
    </row>
    <row r="191" spans="1:16" ht="22.5" customHeight="1" x14ac:dyDescent="0.2">
      <c r="A191" s="1" t="s">
        <v>969</v>
      </c>
      <c r="B191" s="201">
        <v>0.998</v>
      </c>
      <c r="C191" s="201">
        <v>0.998</v>
      </c>
      <c r="D191" s="201">
        <v>0.997</v>
      </c>
      <c r="E191" s="201">
        <v>0.997</v>
      </c>
      <c r="F191" s="200">
        <v>701</v>
      </c>
      <c r="H191" s="213"/>
      <c r="I191" s="213"/>
      <c r="J191" s="213"/>
      <c r="K191" s="213"/>
      <c r="M191" s="213"/>
      <c r="N191" s="213"/>
      <c r="O191" s="213"/>
      <c r="P191" s="213"/>
    </row>
    <row r="192" spans="1:16" ht="22.5" customHeight="1" x14ac:dyDescent="0.2">
      <c r="A192" s="1" t="s">
        <v>970</v>
      </c>
      <c r="B192" s="201">
        <v>0.99</v>
      </c>
      <c r="C192" s="201">
        <v>0.99099999999999999</v>
      </c>
      <c r="D192" s="201">
        <v>0.98899999999999999</v>
      </c>
      <c r="E192" s="201">
        <v>0.98899999999999999</v>
      </c>
      <c r="F192" s="200">
        <v>702</v>
      </c>
      <c r="H192" s="213"/>
      <c r="I192" s="213"/>
      <c r="J192" s="213"/>
      <c r="K192" s="213"/>
      <c r="M192" s="213"/>
      <c r="N192" s="213"/>
      <c r="O192" s="213"/>
      <c r="P192" s="213"/>
    </row>
    <row r="193" spans="1:16" ht="22.5" customHeight="1" x14ac:dyDescent="0.2">
      <c r="A193" s="1" t="s">
        <v>971</v>
      </c>
      <c r="B193" s="201">
        <v>1</v>
      </c>
      <c r="C193" s="201">
        <v>1.0009999999999999</v>
      </c>
      <c r="D193" s="201">
        <v>1.0009999999999999</v>
      </c>
      <c r="E193" s="201">
        <v>1.004</v>
      </c>
      <c r="F193" s="200">
        <v>703</v>
      </c>
      <c r="H193" s="213"/>
      <c r="I193" s="213"/>
      <c r="J193" s="213"/>
      <c r="K193" s="213"/>
      <c r="M193" s="213"/>
      <c r="N193" s="213"/>
      <c r="O193" s="213"/>
      <c r="P193" s="213"/>
    </row>
    <row r="194" spans="1:16" ht="22.5" customHeight="1" x14ac:dyDescent="0.2">
      <c r="A194" s="1" t="s">
        <v>972</v>
      </c>
      <c r="B194" s="201">
        <v>1</v>
      </c>
      <c r="C194" s="201">
        <v>1</v>
      </c>
      <c r="D194" s="201">
        <v>1</v>
      </c>
      <c r="E194" s="201">
        <v>1</v>
      </c>
      <c r="F194" s="200">
        <v>704</v>
      </c>
      <c r="H194" s="213"/>
      <c r="I194" s="213"/>
      <c r="J194" s="213"/>
      <c r="K194" s="213"/>
      <c r="M194" s="213"/>
      <c r="N194" s="213"/>
      <c r="O194" s="213"/>
      <c r="P194" s="213"/>
    </row>
    <row r="195" spans="1:16" ht="22.5" customHeight="1" x14ac:dyDescent="0.2">
      <c r="A195" s="1" t="s">
        <v>973</v>
      </c>
      <c r="B195" s="201">
        <v>0.997</v>
      </c>
      <c r="C195" s="201">
        <v>0.998</v>
      </c>
      <c r="D195" s="201">
        <v>0.997</v>
      </c>
      <c r="E195" s="201">
        <v>0.997</v>
      </c>
      <c r="F195" s="200">
        <v>705</v>
      </c>
      <c r="H195" s="213"/>
      <c r="I195" s="213"/>
      <c r="J195" s="213"/>
      <c r="K195" s="213"/>
      <c r="M195" s="213"/>
      <c r="N195" s="213"/>
      <c r="O195" s="213"/>
      <c r="P195" s="213"/>
    </row>
    <row r="196" spans="1:16" ht="22.5" customHeight="1" x14ac:dyDescent="0.2">
      <c r="A196" s="1" t="s">
        <v>974</v>
      </c>
      <c r="B196" s="201">
        <v>1</v>
      </c>
      <c r="C196" s="201">
        <v>1</v>
      </c>
      <c r="D196" s="201">
        <v>1</v>
      </c>
      <c r="E196" s="201">
        <v>1</v>
      </c>
      <c r="F196" s="200">
        <v>706</v>
      </c>
      <c r="H196" s="213"/>
      <c r="I196" s="213"/>
      <c r="J196" s="213"/>
      <c r="K196" s="213"/>
      <c r="M196" s="213"/>
      <c r="N196" s="213"/>
      <c r="O196" s="213"/>
      <c r="P196" s="213"/>
    </row>
    <row r="197" spans="1:16" ht="22.5" customHeight="1" x14ac:dyDescent="0.2">
      <c r="A197" s="1" t="s">
        <v>975</v>
      </c>
      <c r="B197" s="201">
        <v>1</v>
      </c>
      <c r="C197" s="201">
        <v>1</v>
      </c>
      <c r="D197" s="201">
        <v>1</v>
      </c>
      <c r="E197" s="201">
        <v>1</v>
      </c>
      <c r="F197" s="200">
        <v>708</v>
      </c>
      <c r="H197" s="213"/>
      <c r="I197" s="213"/>
      <c r="J197" s="213"/>
      <c r="K197" s="213"/>
      <c r="M197" s="213"/>
      <c r="N197" s="213"/>
      <c r="O197" s="213"/>
      <c r="P197" s="213"/>
    </row>
    <row r="198" spans="1:16" ht="22.5" customHeight="1" x14ac:dyDescent="0.2">
      <c r="A198" s="1" t="s">
        <v>976</v>
      </c>
      <c r="B198" s="201">
        <v>1</v>
      </c>
      <c r="C198" s="201">
        <v>1</v>
      </c>
      <c r="D198" s="201">
        <v>1</v>
      </c>
      <c r="E198" s="201">
        <v>1</v>
      </c>
      <c r="F198" s="200" t="s">
        <v>899</v>
      </c>
      <c r="H198" s="213"/>
      <c r="I198" s="213"/>
      <c r="J198" s="213"/>
      <c r="K198" s="213"/>
      <c r="M198" s="212"/>
      <c r="N198" s="212"/>
      <c r="O198" s="212"/>
      <c r="P198" s="212"/>
    </row>
    <row r="199" spans="1:16" ht="22.5" customHeight="1" x14ac:dyDescent="0.2">
      <c r="A199" s="1" t="s">
        <v>977</v>
      </c>
      <c r="B199" s="201">
        <v>0.99099999999999999</v>
      </c>
      <c r="C199" s="201">
        <v>0.99099999999999999</v>
      </c>
      <c r="D199" s="201">
        <v>0.98899999999999999</v>
      </c>
      <c r="E199" s="201">
        <v>0.98899999999999999</v>
      </c>
      <c r="F199" s="200" t="s">
        <v>978</v>
      </c>
      <c r="H199" s="213"/>
      <c r="I199" s="213"/>
      <c r="J199" s="213"/>
      <c r="K199" s="213"/>
      <c r="M199" s="212"/>
      <c r="N199" s="212"/>
      <c r="O199" s="212"/>
      <c r="P199" s="212"/>
    </row>
    <row r="200" spans="1:16" ht="22.5" customHeight="1" x14ac:dyDescent="0.2">
      <c r="A200" s="1" t="s">
        <v>979</v>
      </c>
      <c r="B200" s="201">
        <v>0.995</v>
      </c>
      <c r="C200" s="201">
        <v>0.995</v>
      </c>
      <c r="D200" s="201">
        <v>0.99399999999999999</v>
      </c>
      <c r="E200" s="201">
        <v>0.99399999999999999</v>
      </c>
      <c r="F200" s="200" t="s">
        <v>980</v>
      </c>
      <c r="H200" s="213"/>
      <c r="I200" s="213"/>
      <c r="J200" s="213"/>
      <c r="K200" s="213"/>
      <c r="M200" s="212"/>
      <c r="N200" s="212"/>
      <c r="O200" s="212"/>
      <c r="P200" s="212"/>
    </row>
    <row r="201" spans="1:16" ht="22.5" customHeight="1" x14ac:dyDescent="0.2">
      <c r="A201" s="1" t="s">
        <v>904</v>
      </c>
      <c r="B201" s="201">
        <v>0.999</v>
      </c>
      <c r="C201" s="201">
        <v>0.999</v>
      </c>
      <c r="D201" s="201">
        <v>0.998</v>
      </c>
      <c r="E201" s="201">
        <v>0.997</v>
      </c>
      <c r="F201" s="200" t="s">
        <v>905</v>
      </c>
      <c r="H201" s="213"/>
      <c r="I201" s="213"/>
      <c r="J201" s="213"/>
      <c r="K201" s="213"/>
      <c r="M201" s="212"/>
      <c r="N201" s="212"/>
      <c r="O201" s="212"/>
      <c r="P201" s="212"/>
    </row>
    <row r="202" spans="1:16" ht="22.5" customHeight="1" x14ac:dyDescent="0.2">
      <c r="A202" s="1" t="s">
        <v>981</v>
      </c>
      <c r="B202" s="201">
        <v>1</v>
      </c>
      <c r="C202" s="201">
        <v>1</v>
      </c>
      <c r="D202" s="201">
        <v>1</v>
      </c>
      <c r="E202" s="201">
        <v>1</v>
      </c>
      <c r="F202" s="200" t="s">
        <v>913</v>
      </c>
      <c r="H202" s="213"/>
      <c r="I202" s="213"/>
      <c r="J202" s="213"/>
      <c r="K202" s="213"/>
      <c r="M202" s="212"/>
      <c r="N202" s="212"/>
      <c r="O202" s="212"/>
      <c r="P202" s="212"/>
    </row>
    <row r="203" spans="1:16" ht="22.5" customHeight="1" x14ac:dyDescent="0.2">
      <c r="A203" s="1" t="s">
        <v>982</v>
      </c>
      <c r="B203" s="201">
        <v>1</v>
      </c>
      <c r="C203" s="201">
        <v>1</v>
      </c>
      <c r="D203" s="201">
        <v>1</v>
      </c>
      <c r="E203" s="201">
        <v>1</v>
      </c>
      <c r="F203" s="200" t="s">
        <v>983</v>
      </c>
      <c r="H203" s="213"/>
      <c r="I203" s="213"/>
      <c r="J203" s="213"/>
      <c r="K203" s="213"/>
      <c r="M203" s="212"/>
      <c r="N203" s="212"/>
      <c r="O203" s="212"/>
      <c r="P203" s="212"/>
    </row>
    <row r="204" spans="1:16" ht="22.5" customHeight="1" x14ac:dyDescent="0.2">
      <c r="A204" s="1" t="s">
        <v>984</v>
      </c>
      <c r="B204" s="201">
        <v>1</v>
      </c>
      <c r="C204" s="201">
        <v>1</v>
      </c>
      <c r="D204" s="201">
        <v>1</v>
      </c>
      <c r="E204" s="201">
        <v>1</v>
      </c>
      <c r="F204" s="200" t="s">
        <v>911</v>
      </c>
      <c r="H204" s="213"/>
      <c r="I204" s="213"/>
      <c r="J204" s="213"/>
      <c r="K204" s="213"/>
      <c r="M204" s="212"/>
      <c r="N204" s="212"/>
      <c r="O204" s="212"/>
      <c r="P204" s="212"/>
    </row>
    <row r="205" spans="1:16" ht="22.5" customHeight="1" x14ac:dyDescent="0.2">
      <c r="A205" s="1" t="s">
        <v>985</v>
      </c>
      <c r="B205" s="201">
        <v>1</v>
      </c>
      <c r="C205" s="201">
        <v>1</v>
      </c>
      <c r="D205" s="201">
        <v>1</v>
      </c>
      <c r="E205" s="201">
        <v>1</v>
      </c>
      <c r="F205" s="200" t="s">
        <v>909</v>
      </c>
      <c r="H205" s="213"/>
      <c r="I205" s="213"/>
      <c r="J205" s="213"/>
      <c r="K205" s="213"/>
      <c r="M205" s="212"/>
      <c r="N205" s="212"/>
      <c r="O205" s="212"/>
      <c r="P205" s="212"/>
    </row>
    <row r="206" spans="1:16" ht="22.5" customHeight="1" x14ac:dyDescent="0.2">
      <c r="A206" s="1" t="s">
        <v>986</v>
      </c>
      <c r="B206" s="201">
        <v>1</v>
      </c>
      <c r="C206" s="201">
        <v>1</v>
      </c>
      <c r="D206" s="201">
        <v>1</v>
      </c>
      <c r="E206" s="201">
        <v>1</v>
      </c>
      <c r="F206" s="200" t="s">
        <v>915</v>
      </c>
      <c r="H206" s="213"/>
      <c r="I206" s="213"/>
      <c r="J206" s="213"/>
      <c r="K206" s="213"/>
      <c r="M206" s="212"/>
      <c r="N206" s="212"/>
      <c r="O206" s="212"/>
      <c r="P206" s="212"/>
    </row>
    <row r="207" spans="1:16" ht="22.5" customHeight="1" x14ac:dyDescent="0.2">
      <c r="A207" s="1" t="s">
        <v>987</v>
      </c>
      <c r="B207" s="201">
        <v>1</v>
      </c>
      <c r="C207" s="201">
        <v>1</v>
      </c>
      <c r="D207" s="201">
        <v>1</v>
      </c>
      <c r="E207" s="201">
        <v>1</v>
      </c>
      <c r="F207" s="200" t="s">
        <v>907</v>
      </c>
      <c r="H207" s="213"/>
      <c r="I207" s="213"/>
      <c r="J207" s="213"/>
      <c r="K207" s="213"/>
      <c r="M207" s="212"/>
      <c r="N207" s="212"/>
      <c r="O207" s="212"/>
      <c r="P207" s="212"/>
    </row>
    <row r="208" spans="1:16" ht="22.5" customHeight="1" x14ac:dyDescent="0.2">
      <c r="A208" s="1" t="s">
        <v>988</v>
      </c>
      <c r="B208" s="201">
        <v>1</v>
      </c>
      <c r="C208" s="201">
        <v>1</v>
      </c>
      <c r="D208" s="201">
        <v>1</v>
      </c>
      <c r="E208" s="201">
        <v>1</v>
      </c>
      <c r="F208" s="200" t="s">
        <v>917</v>
      </c>
      <c r="H208" s="213"/>
      <c r="I208" s="213"/>
      <c r="J208" s="213"/>
      <c r="K208" s="213"/>
      <c r="M208" s="212"/>
      <c r="N208" s="212"/>
      <c r="O208" s="212"/>
      <c r="P208" s="212"/>
    </row>
    <row r="209" spans="1:16" ht="22.5" customHeight="1" x14ac:dyDescent="0.2">
      <c r="A209" s="1" t="s">
        <v>918</v>
      </c>
      <c r="B209" s="201">
        <v>1</v>
      </c>
      <c r="C209" s="201">
        <v>1</v>
      </c>
      <c r="D209" s="201">
        <v>1</v>
      </c>
      <c r="E209" s="201">
        <v>1</v>
      </c>
      <c r="F209" s="200" t="s">
        <v>919</v>
      </c>
      <c r="H209" s="213"/>
      <c r="I209" s="213"/>
      <c r="J209" s="213"/>
      <c r="K209" s="213"/>
      <c r="M209" s="212"/>
      <c r="N209" s="212"/>
      <c r="O209" s="212"/>
      <c r="P209" s="212"/>
    </row>
  </sheetData>
  <mergeCells count="10">
    <mergeCell ref="A2:E2"/>
    <mergeCell ref="B9:E9"/>
    <mergeCell ref="A3:E3"/>
    <mergeCell ref="A4:A5"/>
    <mergeCell ref="A125:F125"/>
    <mergeCell ref="A12:F12"/>
    <mergeCell ref="A13:F13"/>
    <mergeCell ref="A124:F124"/>
    <mergeCell ref="A24:F24"/>
    <mergeCell ref="A25:F25"/>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8" scale="89" fitToHeight="0" orientation="portrait" r:id="rId1"/>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28"/>
  <sheetViews>
    <sheetView tabSelected="1" zoomScale="80" zoomScaleNormal="80" zoomScaleSheetLayoutView="100" workbookViewId="0">
      <selection activeCell="A29" sqref="A29"/>
    </sheetView>
  </sheetViews>
  <sheetFormatPr defaultRowHeight="27.75" customHeight="1" x14ac:dyDescent="0.2"/>
  <cols>
    <col min="1" max="1" width="16" style="2" customWidth="1"/>
    <col min="2" max="2" width="6.28515625" style="2" bestFit="1" customWidth="1"/>
    <col min="3" max="3" width="20.7109375" style="2" customWidth="1"/>
    <col min="4" max="4" width="16.42578125" style="3" customWidth="1"/>
    <col min="5" max="5" width="6.28515625" style="3" bestFit="1" customWidth="1"/>
    <col min="6" max="6" width="20.7109375" style="2" customWidth="1"/>
    <col min="7" max="7" width="50.5703125" style="3" customWidth="1"/>
    <col min="8" max="8" width="12.28515625" style="3" bestFit="1" customWidth="1"/>
    <col min="9" max="9" width="16.28515625" style="3" bestFit="1" customWidth="1"/>
    <col min="10" max="10" width="17.28515625" style="10" bestFit="1" customWidth="1"/>
    <col min="11" max="11" width="16.5703125" style="4" bestFit="1" customWidth="1"/>
    <col min="12" max="12" width="12.28515625" style="4" bestFit="1" customWidth="1"/>
    <col min="13" max="13" width="16.28515625" style="2" bestFit="1" customWidth="1"/>
    <col min="14" max="15" width="16.5703125" style="2" bestFit="1" customWidth="1"/>
    <col min="16" max="16" width="16.28515625" style="2" bestFit="1" customWidth="1"/>
    <col min="17" max="17" width="13.7109375" style="2" customWidth="1"/>
    <col min="18" max="18" width="15.5703125" style="2" customWidth="1"/>
    <col min="19" max="16384" width="9.140625" style="2"/>
  </cols>
  <sheetData>
    <row r="1" spans="1:15" ht="56.25" customHeight="1" x14ac:dyDescent="0.2">
      <c r="A1" s="16" t="s">
        <v>87</v>
      </c>
      <c r="B1" s="16"/>
      <c r="C1" s="16"/>
      <c r="F1" s="22"/>
      <c r="G1" s="285" t="s">
        <v>520</v>
      </c>
      <c r="H1" s="285"/>
    </row>
    <row r="2" spans="1:15" ht="27.75" customHeight="1" x14ac:dyDescent="0.2">
      <c r="A2" s="281" t="s">
        <v>499</v>
      </c>
      <c r="B2" s="282"/>
      <c r="C2" s="282"/>
      <c r="D2" s="283"/>
      <c r="E2" s="283"/>
      <c r="F2" s="283"/>
      <c r="G2" s="283"/>
      <c r="H2" s="283"/>
      <c r="I2" s="283"/>
      <c r="J2" s="283"/>
      <c r="K2" s="283"/>
      <c r="L2" s="283"/>
      <c r="M2" s="283"/>
      <c r="N2" s="283"/>
      <c r="O2" s="284"/>
    </row>
    <row r="3" spans="1:15" ht="17.25" customHeight="1" x14ac:dyDescent="0.2">
      <c r="A3" s="16"/>
      <c r="B3" s="16"/>
      <c r="C3" s="16"/>
      <c r="F3" s="22"/>
    </row>
    <row r="4" spans="1:15" s="11" customFormat="1" ht="25.5" customHeight="1" x14ac:dyDescent="0.2">
      <c r="A4" s="246" t="str">
        <f>Overview!B4&amp; " - Effective from "&amp;Overview!D4&amp;" - "&amp;Overview!E4&amp;" new designated EHV charges"</f>
        <v>SP Distribution - Effective from 1 April 2018 - Final new designated EHV charges</v>
      </c>
      <c r="B4" s="247"/>
      <c r="C4" s="247"/>
      <c r="D4" s="247"/>
      <c r="E4" s="247"/>
      <c r="F4" s="247"/>
      <c r="G4" s="247"/>
      <c r="H4" s="247"/>
      <c r="I4" s="247"/>
      <c r="J4" s="247"/>
      <c r="K4" s="247"/>
      <c r="L4" s="247"/>
      <c r="M4" s="247"/>
      <c r="N4" s="247"/>
      <c r="O4" s="248"/>
    </row>
    <row r="5" spans="1:15" ht="69.75" customHeight="1" x14ac:dyDescent="0.2">
      <c r="A5" s="28" t="s">
        <v>522</v>
      </c>
      <c r="B5" s="28" t="s">
        <v>487</v>
      </c>
      <c r="C5" s="28" t="s">
        <v>488</v>
      </c>
      <c r="D5" s="28" t="s">
        <v>523</v>
      </c>
      <c r="E5" s="28" t="s">
        <v>487</v>
      </c>
      <c r="F5" s="28" t="s">
        <v>489</v>
      </c>
      <c r="G5" s="91" t="s">
        <v>199</v>
      </c>
      <c r="H5" s="91" t="str">
        <f>'Annex 2 EHV charges'!H10</f>
        <v>Import
Super Red
unit charge
(p/kWh)</v>
      </c>
      <c r="I5" s="91" t="str">
        <f>'Annex 2 EHV charges'!I10</f>
        <v>Import
fixed charge
(p/day)</v>
      </c>
      <c r="J5" s="91" t="str">
        <f>'Annex 2 EHV charges'!J10</f>
        <v>Import
capacity charge
(p/kVA/day)</v>
      </c>
      <c r="K5" s="91" t="str">
        <f>'Annex 2 EHV charges'!K10</f>
        <v>Import
exceeded capacity charge
(p/kVA/day)</v>
      </c>
      <c r="L5" s="91" t="str">
        <f>'Annex 2 EHV charges'!L10</f>
        <v>Export
Super Red
unit charge
(p/kWh)</v>
      </c>
      <c r="M5" s="91" t="str">
        <f>'Annex 2 EHV charges'!M10</f>
        <v>Export
fixed charge
(p/day)</v>
      </c>
      <c r="N5" s="91" t="str">
        <f>'Annex 2 EHV charges'!N10</f>
        <v>Export
capacity charge
(p/kVA/day)</v>
      </c>
      <c r="O5" s="91" t="str">
        <f>'Annex 2 EHV charges'!O10</f>
        <v>Export
exceeded capacity charge
(p/kVA/day)</v>
      </c>
    </row>
    <row r="6" spans="1:15" ht="22.5" customHeight="1" x14ac:dyDescent="0.2">
      <c r="A6" s="61" t="s">
        <v>500</v>
      </c>
      <c r="B6" s="61" t="s">
        <v>1511</v>
      </c>
      <c r="C6" s="61" t="s">
        <v>1512</v>
      </c>
      <c r="D6" s="62" t="s">
        <v>501</v>
      </c>
      <c r="E6" s="62" t="s">
        <v>1513</v>
      </c>
      <c r="F6" s="62" t="s">
        <v>1514</v>
      </c>
      <c r="G6" s="63" t="s">
        <v>1515</v>
      </c>
      <c r="H6" s="30">
        <v>0</v>
      </c>
      <c r="I6" s="31">
        <v>148.44</v>
      </c>
      <c r="J6" s="31">
        <v>4.49</v>
      </c>
      <c r="K6" s="31">
        <v>4.49</v>
      </c>
      <c r="L6" s="39">
        <v>0</v>
      </c>
      <c r="M6" s="40">
        <v>3180.83</v>
      </c>
      <c r="N6" s="40">
        <v>0.05</v>
      </c>
      <c r="O6" s="40">
        <v>0.05</v>
      </c>
    </row>
    <row r="7" spans="1:15" ht="22.5" customHeight="1" x14ac:dyDescent="0.2">
      <c r="A7" s="61" t="s">
        <v>502</v>
      </c>
      <c r="B7" s="61">
        <v>810</v>
      </c>
      <c r="C7" s="61" t="s">
        <v>1516</v>
      </c>
      <c r="D7" s="62" t="s">
        <v>511</v>
      </c>
      <c r="E7" s="62">
        <v>619</v>
      </c>
      <c r="F7" s="61" t="s">
        <v>1516</v>
      </c>
      <c r="G7" s="63" t="s">
        <v>1517</v>
      </c>
      <c r="H7" s="30">
        <v>0</v>
      </c>
      <c r="I7" s="31">
        <v>1786.25</v>
      </c>
      <c r="J7" s="31">
        <v>1.71</v>
      </c>
      <c r="K7" s="31">
        <v>1.71</v>
      </c>
      <c r="L7" s="39">
        <v>0</v>
      </c>
      <c r="M7" s="40">
        <v>1786.25</v>
      </c>
      <c r="N7" s="40">
        <v>0.05</v>
      </c>
      <c r="O7" s="40">
        <v>0.05</v>
      </c>
    </row>
    <row r="8" spans="1:15" ht="22.5" customHeight="1" x14ac:dyDescent="0.2">
      <c r="A8" s="61" t="s">
        <v>503</v>
      </c>
      <c r="B8" s="61"/>
      <c r="C8" s="61"/>
      <c r="D8" s="62" t="s">
        <v>512</v>
      </c>
      <c r="E8" s="62"/>
      <c r="F8" s="62"/>
      <c r="G8" s="63"/>
      <c r="H8" s="30"/>
      <c r="I8" s="31"/>
      <c r="J8" s="31"/>
      <c r="K8" s="31"/>
      <c r="L8" s="39"/>
      <c r="M8" s="40"/>
      <c r="N8" s="40"/>
      <c r="O8" s="40"/>
    </row>
    <row r="9" spans="1:15" ht="22.5" customHeight="1" x14ac:dyDescent="0.2">
      <c r="A9" s="61" t="s">
        <v>504</v>
      </c>
      <c r="B9" s="61"/>
      <c r="C9" s="61"/>
      <c r="D9" s="62" t="s">
        <v>513</v>
      </c>
      <c r="E9" s="62"/>
      <c r="F9" s="62"/>
      <c r="G9" s="63"/>
      <c r="H9" s="30"/>
      <c r="I9" s="31"/>
      <c r="J9" s="31"/>
      <c r="K9" s="31"/>
      <c r="L9" s="39"/>
      <c r="M9" s="40"/>
      <c r="N9" s="40"/>
      <c r="O9" s="40"/>
    </row>
    <row r="10" spans="1:15" ht="22.5" customHeight="1" x14ac:dyDescent="0.2">
      <c r="A10" s="61" t="s">
        <v>505</v>
      </c>
      <c r="B10" s="61"/>
      <c r="C10" s="61"/>
      <c r="D10" s="62" t="s">
        <v>514</v>
      </c>
      <c r="E10" s="62"/>
      <c r="F10" s="62"/>
      <c r="G10" s="63"/>
      <c r="H10" s="30"/>
      <c r="I10" s="31"/>
      <c r="J10" s="31"/>
      <c r="K10" s="31"/>
      <c r="L10" s="39"/>
      <c r="M10" s="40"/>
      <c r="N10" s="40"/>
      <c r="O10" s="40"/>
    </row>
    <row r="11" spans="1:15" ht="22.5" customHeight="1" x14ac:dyDescent="0.2">
      <c r="A11" s="61" t="s">
        <v>506</v>
      </c>
      <c r="B11" s="61"/>
      <c r="C11" s="61"/>
      <c r="D11" s="62" t="s">
        <v>515</v>
      </c>
      <c r="E11" s="62"/>
      <c r="F11" s="62"/>
      <c r="G11" s="63"/>
      <c r="H11" s="30"/>
      <c r="I11" s="31"/>
      <c r="J11" s="31"/>
      <c r="K11" s="31"/>
      <c r="L11" s="39"/>
      <c r="M11" s="40"/>
      <c r="N11" s="40"/>
      <c r="O11" s="40"/>
    </row>
    <row r="12" spans="1:15" ht="22.5" customHeight="1" x14ac:dyDescent="0.2">
      <c r="A12" s="61" t="s">
        <v>507</v>
      </c>
      <c r="B12" s="61"/>
      <c r="C12" s="61"/>
      <c r="D12" s="62" t="s">
        <v>516</v>
      </c>
      <c r="E12" s="62"/>
      <c r="F12" s="62"/>
      <c r="G12" s="63"/>
      <c r="H12" s="30"/>
      <c r="I12" s="31"/>
      <c r="J12" s="31"/>
      <c r="K12" s="31"/>
      <c r="L12" s="39"/>
      <c r="M12" s="40"/>
      <c r="N12" s="40"/>
      <c r="O12" s="40"/>
    </row>
    <row r="13" spans="1:15" ht="22.5" customHeight="1" x14ac:dyDescent="0.2">
      <c r="A13" s="61" t="s">
        <v>508</v>
      </c>
      <c r="B13" s="61"/>
      <c r="C13" s="61"/>
      <c r="D13" s="62" t="s">
        <v>517</v>
      </c>
      <c r="E13" s="62"/>
      <c r="F13" s="62"/>
      <c r="G13" s="63"/>
      <c r="H13" s="30"/>
      <c r="I13" s="31"/>
      <c r="J13" s="31"/>
      <c r="K13" s="31"/>
      <c r="L13" s="39"/>
      <c r="M13" s="40"/>
      <c r="N13" s="40"/>
      <c r="O13" s="40"/>
    </row>
    <row r="14" spans="1:15" ht="22.5" customHeight="1" x14ac:dyDescent="0.2">
      <c r="A14" s="61" t="s">
        <v>509</v>
      </c>
      <c r="B14" s="61"/>
      <c r="C14" s="61"/>
      <c r="D14" s="62" t="s">
        <v>518</v>
      </c>
      <c r="E14" s="62"/>
      <c r="F14" s="62"/>
      <c r="G14" s="63"/>
      <c r="H14" s="30"/>
      <c r="I14" s="31"/>
      <c r="J14" s="31"/>
      <c r="K14" s="31"/>
      <c r="L14" s="39"/>
      <c r="M14" s="40"/>
      <c r="N14" s="40"/>
      <c r="O14" s="40"/>
    </row>
    <row r="15" spans="1:15" ht="22.5" customHeight="1" x14ac:dyDescent="0.2">
      <c r="A15" s="61" t="s">
        <v>510</v>
      </c>
      <c r="B15" s="61"/>
      <c r="C15" s="61"/>
      <c r="D15" s="62" t="s">
        <v>519</v>
      </c>
      <c r="E15" s="62"/>
      <c r="F15" s="62"/>
      <c r="G15" s="63"/>
      <c r="H15" s="30"/>
      <c r="I15" s="31"/>
      <c r="J15" s="31"/>
      <c r="K15" s="31"/>
      <c r="L15" s="39"/>
      <c r="M15" s="40"/>
      <c r="N15" s="40"/>
      <c r="O15" s="40"/>
    </row>
    <row r="17" spans="1:17" ht="27.75" customHeight="1" x14ac:dyDescent="0.2">
      <c r="A17" s="246" t="str">
        <f>Overview!B4&amp; " - Effective from "&amp;Overview!D4&amp;" - "&amp;Overview!E4&amp;" new designated EHV line loss factors"</f>
        <v>SP Distribution - Effective from 1 April 2018 - Final new designated EHV line loss factors</v>
      </c>
      <c r="B17" s="247"/>
      <c r="C17" s="247"/>
      <c r="D17" s="247"/>
      <c r="E17" s="247"/>
      <c r="F17" s="247"/>
      <c r="G17" s="247"/>
      <c r="H17" s="247"/>
      <c r="I17" s="247"/>
      <c r="J17" s="247"/>
      <c r="K17" s="247"/>
      <c r="L17" s="247"/>
      <c r="M17" s="247"/>
      <c r="N17" s="247"/>
      <c r="O17" s="247"/>
      <c r="P17" s="247"/>
      <c r="Q17" s="248"/>
    </row>
    <row r="18" spans="1:17" ht="62.25" customHeight="1" x14ac:dyDescent="0.2">
      <c r="A18" s="28" t="s">
        <v>522</v>
      </c>
      <c r="B18" s="28" t="s">
        <v>487</v>
      </c>
      <c r="C18" s="28" t="s">
        <v>488</v>
      </c>
      <c r="D18" s="28" t="s">
        <v>523</v>
      </c>
      <c r="E18" s="28" t="s">
        <v>487</v>
      </c>
      <c r="F18" s="28" t="s">
        <v>489</v>
      </c>
      <c r="G18" s="91" t="s">
        <v>199</v>
      </c>
      <c r="H18" s="34" t="s">
        <v>661</v>
      </c>
      <c r="I18" s="34" t="s">
        <v>660</v>
      </c>
      <c r="J18" s="34" t="s">
        <v>662</v>
      </c>
      <c r="K18" s="34" t="s">
        <v>663</v>
      </c>
      <c r="L18" s="34" t="s">
        <v>664</v>
      </c>
      <c r="M18" s="36" t="s">
        <v>665</v>
      </c>
      <c r="N18" s="36" t="s">
        <v>666</v>
      </c>
      <c r="O18" s="36" t="s">
        <v>667</v>
      </c>
      <c r="P18" s="36" t="s">
        <v>668</v>
      </c>
      <c r="Q18" s="36" t="s">
        <v>669</v>
      </c>
    </row>
    <row r="19" spans="1:17" s="210" customFormat="1" ht="22.5" customHeight="1" x14ac:dyDescent="0.2">
      <c r="A19" s="207" t="s">
        <v>180</v>
      </c>
      <c r="B19" s="207" t="s">
        <v>1511</v>
      </c>
      <c r="C19" s="207" t="s">
        <v>1512</v>
      </c>
      <c r="D19" s="208" t="s">
        <v>501</v>
      </c>
      <c r="E19" s="208" t="s">
        <v>1513</v>
      </c>
      <c r="F19" s="208" t="s">
        <v>1514</v>
      </c>
      <c r="G19" s="209" t="s">
        <v>1515</v>
      </c>
      <c r="H19" s="216">
        <v>1.0029999999999999</v>
      </c>
      <c r="I19" s="216">
        <v>1.004</v>
      </c>
      <c r="J19" s="217">
        <v>1.0049999999999999</v>
      </c>
      <c r="K19" s="217">
        <v>1.0049999999999999</v>
      </c>
      <c r="L19" s="217"/>
      <c r="M19" s="218">
        <v>1</v>
      </c>
      <c r="N19" s="218">
        <v>1</v>
      </c>
      <c r="O19" s="218">
        <v>1</v>
      </c>
      <c r="P19" s="218">
        <v>1</v>
      </c>
      <c r="Q19" s="218"/>
    </row>
    <row r="20" spans="1:17" s="210" customFormat="1" ht="22.5" customHeight="1" x14ac:dyDescent="0.2">
      <c r="A20" s="207" t="s">
        <v>181</v>
      </c>
      <c r="B20" s="207">
        <v>810</v>
      </c>
      <c r="C20" s="207" t="s">
        <v>1516</v>
      </c>
      <c r="D20" s="208" t="s">
        <v>511</v>
      </c>
      <c r="E20" s="208">
        <v>619</v>
      </c>
      <c r="F20" s="208" t="s">
        <v>1516</v>
      </c>
      <c r="G20" s="209" t="s">
        <v>1517</v>
      </c>
      <c r="H20" s="216">
        <v>1</v>
      </c>
      <c r="I20" s="216">
        <v>1</v>
      </c>
      <c r="J20" s="217">
        <v>1</v>
      </c>
      <c r="K20" s="217">
        <v>1</v>
      </c>
      <c r="L20" s="217"/>
      <c r="M20" s="218">
        <v>1.0029999999999999</v>
      </c>
      <c r="N20" s="218">
        <v>1.004</v>
      </c>
      <c r="O20" s="218">
        <v>1.0049999999999999</v>
      </c>
      <c r="P20" s="218">
        <v>1.0049999999999999</v>
      </c>
      <c r="Q20" s="218"/>
    </row>
    <row r="21" spans="1:17" ht="22.5" customHeight="1" x14ac:dyDescent="0.2">
      <c r="A21" s="61" t="s">
        <v>182</v>
      </c>
      <c r="B21" s="61"/>
      <c r="C21" s="61"/>
      <c r="D21" s="62" t="s">
        <v>191</v>
      </c>
      <c r="E21" s="37"/>
      <c r="F21" s="37"/>
      <c r="G21" s="38"/>
      <c r="H21" s="41"/>
      <c r="I21" s="41"/>
      <c r="J21" s="32"/>
      <c r="K21" s="33"/>
      <c r="L21" s="33"/>
      <c r="M21" s="35"/>
      <c r="N21" s="35"/>
      <c r="O21" s="35"/>
      <c r="P21" s="35"/>
      <c r="Q21" s="35"/>
    </row>
    <row r="22" spans="1:17" ht="22.5" customHeight="1" x14ac:dyDescent="0.2">
      <c r="A22" s="61" t="s">
        <v>183</v>
      </c>
      <c r="B22" s="61"/>
      <c r="C22" s="61"/>
      <c r="D22" s="62" t="s">
        <v>192</v>
      </c>
      <c r="E22" s="37"/>
      <c r="F22" s="37"/>
      <c r="G22" s="38"/>
      <c r="H22" s="41"/>
      <c r="I22" s="41"/>
      <c r="J22" s="32"/>
      <c r="K22" s="33"/>
      <c r="L22" s="33"/>
      <c r="M22" s="35"/>
      <c r="N22" s="35"/>
      <c r="O22" s="35"/>
      <c r="P22" s="35"/>
      <c r="Q22" s="35"/>
    </row>
    <row r="23" spans="1:17" ht="22.5" customHeight="1" x14ac:dyDescent="0.2">
      <c r="A23" s="61" t="s">
        <v>184</v>
      </c>
      <c r="B23" s="61"/>
      <c r="C23" s="61"/>
      <c r="D23" s="62" t="s">
        <v>193</v>
      </c>
      <c r="E23" s="37"/>
      <c r="F23" s="37"/>
      <c r="G23" s="38"/>
      <c r="H23" s="41"/>
      <c r="I23" s="41"/>
      <c r="J23" s="32"/>
      <c r="K23" s="33"/>
      <c r="L23" s="33"/>
      <c r="M23" s="35"/>
      <c r="N23" s="35"/>
      <c r="O23" s="35"/>
      <c r="P23" s="35"/>
      <c r="Q23" s="35"/>
    </row>
    <row r="24" spans="1:17" ht="22.5" customHeight="1" x14ac:dyDescent="0.2">
      <c r="A24" s="61" t="s">
        <v>185</v>
      </c>
      <c r="B24" s="61"/>
      <c r="C24" s="61"/>
      <c r="D24" s="62" t="s">
        <v>194</v>
      </c>
      <c r="E24" s="37"/>
      <c r="F24" s="37"/>
      <c r="G24" s="38"/>
      <c r="H24" s="41"/>
      <c r="I24" s="41"/>
      <c r="J24" s="32"/>
      <c r="K24" s="33"/>
      <c r="L24" s="33"/>
      <c r="M24" s="35"/>
      <c r="N24" s="35"/>
      <c r="O24" s="35"/>
      <c r="P24" s="35"/>
      <c r="Q24" s="35"/>
    </row>
    <row r="25" spans="1:17" ht="22.5" customHeight="1" x14ac:dyDescent="0.2">
      <c r="A25" s="61" t="s">
        <v>186</v>
      </c>
      <c r="B25" s="61"/>
      <c r="C25" s="61"/>
      <c r="D25" s="62" t="s">
        <v>195</v>
      </c>
      <c r="E25" s="37"/>
      <c r="F25" s="37"/>
      <c r="G25" s="38"/>
      <c r="H25" s="41"/>
      <c r="I25" s="41"/>
      <c r="J25" s="32"/>
      <c r="K25" s="33"/>
      <c r="L25" s="33"/>
      <c r="M25" s="35"/>
      <c r="N25" s="35"/>
      <c r="O25" s="35"/>
      <c r="P25" s="35"/>
      <c r="Q25" s="35"/>
    </row>
    <row r="26" spans="1:17" ht="22.5" customHeight="1" x14ac:dyDescent="0.2">
      <c r="A26" s="61" t="s">
        <v>187</v>
      </c>
      <c r="B26" s="61"/>
      <c r="C26" s="61"/>
      <c r="D26" s="62" t="s">
        <v>196</v>
      </c>
      <c r="E26" s="37"/>
      <c r="F26" s="37"/>
      <c r="G26" s="38"/>
      <c r="H26" s="41"/>
      <c r="I26" s="41"/>
      <c r="J26" s="32"/>
      <c r="K26" s="33"/>
      <c r="L26" s="33"/>
      <c r="M26" s="35"/>
      <c r="N26" s="35"/>
      <c r="O26" s="35"/>
      <c r="P26" s="35"/>
      <c r="Q26" s="35"/>
    </row>
    <row r="27" spans="1:17" ht="22.5" customHeight="1" x14ac:dyDescent="0.2">
      <c r="A27" s="61" t="s">
        <v>188</v>
      </c>
      <c r="B27" s="61"/>
      <c r="C27" s="61"/>
      <c r="D27" s="62" t="s">
        <v>197</v>
      </c>
      <c r="E27" s="37"/>
      <c r="F27" s="37"/>
      <c r="G27" s="38"/>
      <c r="H27" s="41"/>
      <c r="I27" s="41"/>
      <c r="J27" s="32"/>
      <c r="K27" s="33"/>
      <c r="L27" s="33"/>
      <c r="M27" s="35"/>
      <c r="N27" s="35"/>
      <c r="O27" s="35"/>
      <c r="P27" s="35"/>
      <c r="Q27" s="35"/>
    </row>
    <row r="28" spans="1:17" ht="22.5" customHeight="1" x14ac:dyDescent="0.2">
      <c r="A28" s="61" t="s">
        <v>189</v>
      </c>
      <c r="B28" s="61"/>
      <c r="C28" s="61"/>
      <c r="D28" s="62" t="s">
        <v>198</v>
      </c>
      <c r="E28" s="37"/>
      <c r="F28" s="37"/>
      <c r="G28" s="38"/>
      <c r="H28" s="41"/>
      <c r="I28" s="41"/>
      <c r="J28" s="32"/>
      <c r="K28" s="33"/>
      <c r="L28" s="33"/>
      <c r="M28" s="35"/>
      <c r="N28" s="35"/>
      <c r="O28" s="35"/>
      <c r="P28" s="35"/>
      <c r="Q28" s="35"/>
    </row>
  </sheetData>
  <mergeCells count="4">
    <mergeCell ref="A4:O4"/>
    <mergeCell ref="A2:O2"/>
    <mergeCell ref="A17:Q17"/>
    <mergeCell ref="G1:H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1"/>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443"/>
  <sheetViews>
    <sheetView zoomScale="85" zoomScaleNormal="85" zoomScaleSheetLayoutView="100" workbookViewId="0">
      <selection activeCell="L28" sqref="L28"/>
    </sheetView>
  </sheetViews>
  <sheetFormatPr defaultRowHeight="27.75" customHeight="1" x14ac:dyDescent="0.2"/>
  <cols>
    <col min="1" max="1" width="29.85546875" style="2" customWidth="1"/>
    <col min="2" max="2" width="42.85546875" style="2" customWidth="1"/>
    <col min="3" max="3" width="40.7109375" style="3" customWidth="1"/>
    <col min="4" max="4" width="23.7109375" style="3" customWidth="1"/>
    <col min="5" max="5" width="15.5703125" style="2" customWidth="1"/>
    <col min="6" max="16384" width="9.140625" style="2"/>
  </cols>
  <sheetData>
    <row r="1" spans="1:7" ht="27.75" customHeight="1" x14ac:dyDescent="0.2">
      <c r="A1" s="16" t="s">
        <v>87</v>
      </c>
      <c r="B1" s="3"/>
      <c r="C1" s="2"/>
      <c r="E1" s="10"/>
      <c r="F1" s="4"/>
      <c r="G1" s="4"/>
    </row>
    <row r="2" spans="1:7" s="11" customFormat="1" ht="22.5" customHeight="1" x14ac:dyDescent="0.2">
      <c r="A2" s="246" t="str">
        <f>Overview!B4&amp; " - Effective from "&amp;Overview!D4&amp;" - "&amp;Overview!E4&amp;" Nodal/Zonal charges"</f>
        <v>SP Distribution - Effective from 1 April 2018 - Final Nodal/Zonal charges</v>
      </c>
      <c r="B2" s="247"/>
      <c r="C2" s="247"/>
      <c r="D2" s="248"/>
    </row>
    <row r="3" spans="1:7" ht="60.75" customHeight="1" x14ac:dyDescent="0.2">
      <c r="A3" s="20" t="s">
        <v>521</v>
      </c>
      <c r="B3" s="20" t="s">
        <v>50</v>
      </c>
      <c r="C3" s="20" t="s">
        <v>474</v>
      </c>
      <c r="D3" s="20" t="s">
        <v>475</v>
      </c>
    </row>
    <row r="4" spans="1:7" ht="21.75" customHeight="1" x14ac:dyDescent="0.2">
      <c r="A4" s="7" t="s">
        <v>1068</v>
      </c>
      <c r="B4" s="8">
        <v>2</v>
      </c>
      <c r="C4" s="8"/>
      <c r="D4" s="205"/>
    </row>
    <row r="5" spans="1:7" ht="21.75" customHeight="1" x14ac:dyDescent="0.2">
      <c r="A5" s="7" t="s">
        <v>1069</v>
      </c>
      <c r="B5" s="8">
        <v>2</v>
      </c>
      <c r="C5" s="8"/>
      <c r="D5" s="205"/>
    </row>
    <row r="6" spans="1:7" ht="21.75" customHeight="1" x14ac:dyDescent="0.2">
      <c r="A6" s="7" t="s">
        <v>1070</v>
      </c>
      <c r="B6" s="8">
        <v>2</v>
      </c>
      <c r="C6" s="8"/>
      <c r="D6" s="205"/>
    </row>
    <row r="7" spans="1:7" ht="21.75" customHeight="1" x14ac:dyDescent="0.2">
      <c r="A7" s="7" t="s">
        <v>1071</v>
      </c>
      <c r="B7" s="8">
        <v>2</v>
      </c>
      <c r="C7" s="8"/>
      <c r="D7" s="205"/>
    </row>
    <row r="8" spans="1:7" ht="21.75" customHeight="1" x14ac:dyDescent="0.2">
      <c r="A8" s="7" t="s">
        <v>1072</v>
      </c>
      <c r="B8" s="8">
        <v>2</v>
      </c>
      <c r="C8" s="8"/>
      <c r="D8" s="205"/>
    </row>
    <row r="9" spans="1:7" ht="21.75" customHeight="1" x14ac:dyDescent="0.2">
      <c r="A9" s="7" t="s">
        <v>1073</v>
      </c>
      <c r="B9" s="8">
        <v>2</v>
      </c>
      <c r="C9" s="8"/>
      <c r="D9" s="205"/>
    </row>
    <row r="10" spans="1:7" ht="21.75" customHeight="1" x14ac:dyDescent="0.2">
      <c r="A10" s="7" t="s">
        <v>1074</v>
      </c>
      <c r="B10" s="8">
        <v>2</v>
      </c>
      <c r="C10" s="8"/>
      <c r="D10" s="205"/>
    </row>
    <row r="11" spans="1:7" ht="21.75" customHeight="1" x14ac:dyDescent="0.2">
      <c r="A11" s="7" t="s">
        <v>1075</v>
      </c>
      <c r="B11" s="8">
        <v>2</v>
      </c>
      <c r="C11" s="8"/>
      <c r="D11" s="205"/>
    </row>
    <row r="12" spans="1:7" ht="21.75" customHeight="1" x14ac:dyDescent="0.2">
      <c r="A12" s="7" t="s">
        <v>1076</v>
      </c>
      <c r="B12" s="8">
        <v>2</v>
      </c>
      <c r="C12" s="8"/>
      <c r="D12" s="205"/>
    </row>
    <row r="13" spans="1:7" ht="21.75" customHeight="1" x14ac:dyDescent="0.2">
      <c r="A13" s="7" t="s">
        <v>1077</v>
      </c>
      <c r="B13" s="8">
        <v>2</v>
      </c>
      <c r="C13" s="8"/>
      <c r="D13" s="205"/>
    </row>
    <row r="14" spans="1:7" ht="21.75" customHeight="1" x14ac:dyDescent="0.2">
      <c r="A14" s="7" t="s">
        <v>1078</v>
      </c>
      <c r="B14" s="8">
        <v>2</v>
      </c>
      <c r="C14" s="8"/>
      <c r="D14" s="205"/>
    </row>
    <row r="15" spans="1:7" ht="21.75" customHeight="1" x14ac:dyDescent="0.2">
      <c r="A15" s="7" t="s">
        <v>1079</v>
      </c>
      <c r="B15" s="8">
        <v>2</v>
      </c>
      <c r="C15" s="8"/>
      <c r="D15" s="205"/>
    </row>
    <row r="16" spans="1:7" ht="21.75" customHeight="1" x14ac:dyDescent="0.2">
      <c r="A16" s="7" t="s">
        <v>1080</v>
      </c>
      <c r="B16" s="8">
        <v>2</v>
      </c>
      <c r="C16" s="8"/>
      <c r="D16" s="205">
        <v>1.57453037289</v>
      </c>
    </row>
    <row r="17" spans="1:4" ht="21.75" customHeight="1" x14ac:dyDescent="0.2">
      <c r="A17" s="7" t="s">
        <v>1081</v>
      </c>
      <c r="B17" s="8">
        <v>2</v>
      </c>
      <c r="C17" s="8"/>
      <c r="D17" s="205"/>
    </row>
    <row r="18" spans="1:4" ht="21.75" customHeight="1" x14ac:dyDescent="0.2">
      <c r="A18" s="7" t="s">
        <v>1082</v>
      </c>
      <c r="B18" s="8">
        <v>2</v>
      </c>
      <c r="C18" s="8"/>
      <c r="D18" s="205"/>
    </row>
    <row r="19" spans="1:4" ht="21.75" customHeight="1" x14ac:dyDescent="0.2">
      <c r="A19" s="7" t="s">
        <v>1083</v>
      </c>
      <c r="B19" s="8">
        <v>2</v>
      </c>
      <c r="C19" s="8"/>
      <c r="D19" s="205"/>
    </row>
    <row r="20" spans="1:4" ht="21.75" customHeight="1" x14ac:dyDescent="0.2">
      <c r="A20" s="7" t="s">
        <v>1084</v>
      </c>
      <c r="B20" s="8">
        <v>2</v>
      </c>
      <c r="C20" s="8"/>
      <c r="D20" s="205"/>
    </row>
    <row r="21" spans="1:4" ht="21.75" customHeight="1" x14ac:dyDescent="0.2">
      <c r="A21" s="7" t="s">
        <v>1085</v>
      </c>
      <c r="B21" s="8">
        <v>2</v>
      </c>
      <c r="C21" s="8"/>
      <c r="D21" s="205"/>
    </row>
    <row r="22" spans="1:4" ht="21.75" customHeight="1" x14ac:dyDescent="0.2">
      <c r="A22" s="7" t="s">
        <v>1086</v>
      </c>
      <c r="B22" s="8">
        <v>2</v>
      </c>
      <c r="C22" s="8"/>
      <c r="D22" s="205"/>
    </row>
    <row r="23" spans="1:4" ht="27.75" customHeight="1" x14ac:dyDescent="0.2">
      <c r="A23" s="7" t="s">
        <v>1087</v>
      </c>
      <c r="B23" s="8">
        <v>2</v>
      </c>
      <c r="C23" s="8"/>
      <c r="D23" s="205"/>
    </row>
    <row r="24" spans="1:4" ht="27.75" customHeight="1" x14ac:dyDescent="0.2">
      <c r="A24" s="7" t="s">
        <v>1088</v>
      </c>
      <c r="B24" s="8">
        <v>2</v>
      </c>
      <c r="C24" s="8"/>
      <c r="D24" s="205">
        <v>12.946450481499999</v>
      </c>
    </row>
    <row r="25" spans="1:4" ht="27.75" customHeight="1" x14ac:dyDescent="0.2">
      <c r="A25" s="7" t="s">
        <v>1089</v>
      </c>
      <c r="B25" s="8">
        <v>2</v>
      </c>
      <c r="C25" s="8"/>
      <c r="D25" s="205"/>
    </row>
    <row r="26" spans="1:4" ht="27.75" customHeight="1" x14ac:dyDescent="0.2">
      <c r="A26" s="7" t="s">
        <v>1090</v>
      </c>
      <c r="B26" s="8">
        <v>2</v>
      </c>
      <c r="C26" s="8"/>
      <c r="D26" s="205"/>
    </row>
    <row r="27" spans="1:4" ht="27.75" customHeight="1" x14ac:dyDescent="0.2">
      <c r="A27" s="7" t="s">
        <v>1091</v>
      </c>
      <c r="B27" s="8">
        <v>2</v>
      </c>
      <c r="C27" s="8"/>
      <c r="D27" s="205"/>
    </row>
    <row r="28" spans="1:4" ht="27.75" customHeight="1" x14ac:dyDescent="0.2">
      <c r="A28" s="7" t="s">
        <v>1092</v>
      </c>
      <c r="B28" s="8">
        <v>2</v>
      </c>
      <c r="C28" s="8"/>
      <c r="D28" s="205">
        <v>4.1900739603100003</v>
      </c>
    </row>
    <row r="29" spans="1:4" ht="27.75" customHeight="1" x14ac:dyDescent="0.2">
      <c r="A29" s="7" t="s">
        <v>1093</v>
      </c>
      <c r="B29" s="8">
        <v>2</v>
      </c>
      <c r="C29" s="8"/>
      <c r="D29" s="205"/>
    </row>
    <row r="30" spans="1:4" ht="27.75" customHeight="1" x14ac:dyDescent="0.2">
      <c r="A30" s="7" t="s">
        <v>1094</v>
      </c>
      <c r="B30" s="8">
        <v>2</v>
      </c>
      <c r="C30" s="8"/>
      <c r="D30" s="205"/>
    </row>
    <row r="31" spans="1:4" ht="27.75" customHeight="1" x14ac:dyDescent="0.2">
      <c r="A31" s="7" t="s">
        <v>1095</v>
      </c>
      <c r="B31" s="8">
        <v>2</v>
      </c>
      <c r="C31" s="8"/>
      <c r="D31" s="205"/>
    </row>
    <row r="32" spans="1:4" ht="27.75" customHeight="1" x14ac:dyDescent="0.2">
      <c r="A32" s="7" t="s">
        <v>1096</v>
      </c>
      <c r="B32" s="8">
        <v>2</v>
      </c>
      <c r="C32" s="8"/>
      <c r="D32" s="205"/>
    </row>
    <row r="33" spans="1:4" ht="27.75" customHeight="1" x14ac:dyDescent="0.2">
      <c r="A33" s="7" t="s">
        <v>1097</v>
      </c>
      <c r="B33" s="8">
        <v>2</v>
      </c>
      <c r="C33" s="8"/>
      <c r="D33" s="205"/>
    </row>
    <row r="34" spans="1:4" ht="27.75" customHeight="1" x14ac:dyDescent="0.2">
      <c r="A34" s="7" t="s">
        <v>1098</v>
      </c>
      <c r="B34" s="8">
        <v>2</v>
      </c>
      <c r="C34" s="8"/>
      <c r="D34" s="205"/>
    </row>
    <row r="35" spans="1:4" ht="27.75" customHeight="1" x14ac:dyDescent="0.2">
      <c r="A35" s="7" t="s">
        <v>1099</v>
      </c>
      <c r="B35" s="8">
        <v>2</v>
      </c>
      <c r="C35" s="8"/>
      <c r="D35" s="205"/>
    </row>
    <row r="36" spans="1:4" ht="27.75" customHeight="1" x14ac:dyDescent="0.2">
      <c r="A36" s="7" t="s">
        <v>1100</v>
      </c>
      <c r="B36" s="8">
        <v>2</v>
      </c>
      <c r="C36" s="8"/>
      <c r="D36" s="205"/>
    </row>
    <row r="37" spans="1:4" ht="27.75" customHeight="1" x14ac:dyDescent="0.2">
      <c r="A37" s="7" t="s">
        <v>1101</v>
      </c>
      <c r="B37" s="8">
        <v>2</v>
      </c>
      <c r="C37" s="8"/>
      <c r="D37" s="205">
        <v>6.3394455578000004</v>
      </c>
    </row>
    <row r="38" spans="1:4" ht="27.75" customHeight="1" x14ac:dyDescent="0.2">
      <c r="A38" s="7" t="s">
        <v>1102</v>
      </c>
      <c r="B38" s="8">
        <v>2</v>
      </c>
      <c r="C38" s="8"/>
      <c r="D38" s="205"/>
    </row>
    <row r="39" spans="1:4" ht="27.75" customHeight="1" x14ac:dyDescent="0.2">
      <c r="A39" s="7" t="s">
        <v>1103</v>
      </c>
      <c r="B39" s="8">
        <v>2</v>
      </c>
      <c r="C39" s="8"/>
      <c r="D39" s="205"/>
    </row>
    <row r="40" spans="1:4" ht="27.75" customHeight="1" x14ac:dyDescent="0.2">
      <c r="A40" s="7" t="s">
        <v>1104</v>
      </c>
      <c r="B40" s="8">
        <v>2</v>
      </c>
      <c r="C40" s="8"/>
      <c r="D40" s="205"/>
    </row>
    <row r="41" spans="1:4" ht="27.75" customHeight="1" x14ac:dyDescent="0.2">
      <c r="A41" s="7" t="s">
        <v>1105</v>
      </c>
      <c r="B41" s="8">
        <v>2</v>
      </c>
      <c r="C41" s="8"/>
      <c r="D41" s="205"/>
    </row>
    <row r="42" spans="1:4" ht="27.75" customHeight="1" x14ac:dyDescent="0.2">
      <c r="A42" s="7" t="s">
        <v>1106</v>
      </c>
      <c r="B42" s="8">
        <v>2</v>
      </c>
      <c r="C42" s="8"/>
      <c r="D42" s="205"/>
    </row>
    <row r="43" spans="1:4" ht="27.75" customHeight="1" x14ac:dyDescent="0.2">
      <c r="A43" s="7" t="s">
        <v>1107</v>
      </c>
      <c r="B43" s="8">
        <v>2</v>
      </c>
      <c r="C43" s="8"/>
      <c r="D43" s="205"/>
    </row>
    <row r="44" spans="1:4" ht="27.75" customHeight="1" x14ac:dyDescent="0.2">
      <c r="A44" s="7" t="s">
        <v>1108</v>
      </c>
      <c r="B44" s="8">
        <v>2</v>
      </c>
      <c r="C44" s="8"/>
      <c r="D44" s="205"/>
    </row>
    <row r="45" spans="1:4" ht="27.75" customHeight="1" x14ac:dyDescent="0.2">
      <c r="A45" s="7" t="s">
        <v>1109</v>
      </c>
      <c r="B45" s="8">
        <v>2</v>
      </c>
      <c r="C45" s="8"/>
      <c r="D45" s="205">
        <v>3.61431982003</v>
      </c>
    </row>
    <row r="46" spans="1:4" ht="27.75" customHeight="1" x14ac:dyDescent="0.2">
      <c r="A46" s="7" t="s">
        <v>1110</v>
      </c>
      <c r="B46" s="8">
        <v>2</v>
      </c>
      <c r="C46" s="8"/>
      <c r="D46" s="205"/>
    </row>
    <row r="47" spans="1:4" ht="27.75" customHeight="1" x14ac:dyDescent="0.2">
      <c r="A47" s="7" t="s">
        <v>1111</v>
      </c>
      <c r="B47" s="8">
        <v>2</v>
      </c>
      <c r="C47" s="8"/>
      <c r="D47" s="205"/>
    </row>
    <row r="48" spans="1:4" ht="27.75" customHeight="1" x14ac:dyDescent="0.2">
      <c r="A48" s="7" t="s">
        <v>1112</v>
      </c>
      <c r="B48" s="8">
        <v>2</v>
      </c>
      <c r="C48" s="8"/>
      <c r="D48" s="205"/>
    </row>
    <row r="49" spans="1:4" ht="27.75" customHeight="1" x14ac:dyDescent="0.2">
      <c r="A49" s="7" t="s">
        <v>1113</v>
      </c>
      <c r="B49" s="8">
        <v>2</v>
      </c>
      <c r="C49" s="8"/>
      <c r="D49" s="205">
        <v>3.3644519965400002</v>
      </c>
    </row>
    <row r="50" spans="1:4" ht="27.75" customHeight="1" x14ac:dyDescent="0.2">
      <c r="A50" s="7" t="s">
        <v>1114</v>
      </c>
      <c r="B50" s="8">
        <v>2</v>
      </c>
      <c r="C50" s="8"/>
      <c r="D50" s="205"/>
    </row>
    <row r="51" spans="1:4" ht="27.75" customHeight="1" x14ac:dyDescent="0.2">
      <c r="A51" s="7" t="s">
        <v>1115</v>
      </c>
      <c r="B51" s="8">
        <v>2</v>
      </c>
      <c r="C51" s="8"/>
      <c r="D51" s="205"/>
    </row>
    <row r="52" spans="1:4" ht="27.75" customHeight="1" x14ac:dyDescent="0.2">
      <c r="A52" s="7" t="s">
        <v>1116</v>
      </c>
      <c r="B52" s="8">
        <v>2</v>
      </c>
      <c r="C52" s="8"/>
      <c r="D52" s="205"/>
    </row>
    <row r="53" spans="1:4" ht="27.75" customHeight="1" x14ac:dyDescent="0.2">
      <c r="A53" s="7" t="s">
        <v>1117</v>
      </c>
      <c r="B53" s="8">
        <v>2</v>
      </c>
      <c r="C53" s="8"/>
      <c r="D53" s="205"/>
    </row>
    <row r="54" spans="1:4" ht="27.75" customHeight="1" x14ac:dyDescent="0.2">
      <c r="A54" s="7" t="s">
        <v>1118</v>
      </c>
      <c r="B54" s="8">
        <v>2</v>
      </c>
      <c r="C54" s="8"/>
      <c r="D54" s="205">
        <v>1.90630585729</v>
      </c>
    </row>
    <row r="55" spans="1:4" ht="27.75" customHeight="1" x14ac:dyDescent="0.2">
      <c r="A55" s="7" t="s">
        <v>1119</v>
      </c>
      <c r="B55" s="8">
        <v>2</v>
      </c>
      <c r="C55" s="8"/>
      <c r="D55" s="205"/>
    </row>
    <row r="56" spans="1:4" ht="27.75" customHeight="1" x14ac:dyDescent="0.2">
      <c r="A56" s="7" t="s">
        <v>1120</v>
      </c>
      <c r="B56" s="8">
        <v>2</v>
      </c>
      <c r="C56" s="8"/>
      <c r="D56" s="205"/>
    </row>
    <row r="57" spans="1:4" ht="27.75" customHeight="1" x14ac:dyDescent="0.2">
      <c r="A57" s="7" t="s">
        <v>1121</v>
      </c>
      <c r="B57" s="8">
        <v>2</v>
      </c>
      <c r="C57" s="8"/>
      <c r="D57" s="205">
        <v>1.42537693908</v>
      </c>
    </row>
    <row r="58" spans="1:4" ht="27.75" customHeight="1" x14ac:dyDescent="0.2">
      <c r="A58" s="7" t="s">
        <v>1122</v>
      </c>
      <c r="B58" s="8">
        <v>2</v>
      </c>
      <c r="C58" s="8"/>
      <c r="D58" s="205"/>
    </row>
    <row r="59" spans="1:4" ht="27.75" customHeight="1" x14ac:dyDescent="0.2">
      <c r="A59" s="7" t="s">
        <v>1123</v>
      </c>
      <c r="B59" s="8">
        <v>2</v>
      </c>
      <c r="C59" s="8"/>
      <c r="D59" s="205"/>
    </row>
    <row r="60" spans="1:4" ht="27.75" customHeight="1" x14ac:dyDescent="0.2">
      <c r="A60" s="7" t="s">
        <v>1124</v>
      </c>
      <c r="B60" s="8">
        <v>2</v>
      </c>
      <c r="C60" s="8"/>
      <c r="D60" s="205">
        <v>1.34647715677</v>
      </c>
    </row>
    <row r="61" spans="1:4" ht="27.75" customHeight="1" x14ac:dyDescent="0.2">
      <c r="A61" s="7" t="s">
        <v>1125</v>
      </c>
      <c r="B61" s="8">
        <v>2</v>
      </c>
      <c r="C61" s="8"/>
      <c r="D61" s="205"/>
    </row>
    <row r="62" spans="1:4" ht="27.75" customHeight="1" x14ac:dyDescent="0.2">
      <c r="A62" s="7" t="s">
        <v>1126</v>
      </c>
      <c r="B62" s="8">
        <v>2</v>
      </c>
      <c r="C62" s="8"/>
      <c r="D62" s="205"/>
    </row>
    <row r="63" spans="1:4" ht="27.75" customHeight="1" x14ac:dyDescent="0.2">
      <c r="A63" s="7" t="s">
        <v>1127</v>
      </c>
      <c r="B63" s="8">
        <v>2</v>
      </c>
      <c r="C63" s="8"/>
      <c r="D63" s="205">
        <v>9.1060313759000007</v>
      </c>
    </row>
    <row r="64" spans="1:4" ht="27.75" customHeight="1" x14ac:dyDescent="0.2">
      <c r="A64" s="7" t="s">
        <v>1128</v>
      </c>
      <c r="B64" s="8">
        <v>2</v>
      </c>
      <c r="C64" s="8"/>
      <c r="D64" s="205"/>
    </row>
    <row r="65" spans="1:4" ht="27.75" customHeight="1" x14ac:dyDescent="0.2">
      <c r="A65" s="7" t="s">
        <v>1129</v>
      </c>
      <c r="B65" s="8">
        <v>2</v>
      </c>
      <c r="C65" s="8"/>
      <c r="D65" s="205"/>
    </row>
    <row r="66" spans="1:4" ht="27.75" customHeight="1" x14ac:dyDescent="0.2">
      <c r="A66" s="7" t="s">
        <v>1130</v>
      </c>
      <c r="B66" s="8">
        <v>2</v>
      </c>
      <c r="C66" s="8"/>
      <c r="D66" s="205"/>
    </row>
    <row r="67" spans="1:4" ht="27.75" customHeight="1" x14ac:dyDescent="0.2">
      <c r="A67" s="7" t="s">
        <v>1131</v>
      </c>
      <c r="B67" s="8">
        <v>2</v>
      </c>
      <c r="C67" s="8"/>
      <c r="D67" s="205">
        <v>2.8669452068400001</v>
      </c>
    </row>
    <row r="68" spans="1:4" ht="27.75" customHeight="1" x14ac:dyDescent="0.2">
      <c r="A68" s="7" t="s">
        <v>1132</v>
      </c>
      <c r="B68" s="8">
        <v>2</v>
      </c>
      <c r="C68" s="8"/>
      <c r="D68" s="205"/>
    </row>
    <row r="69" spans="1:4" ht="27.75" customHeight="1" x14ac:dyDescent="0.2">
      <c r="A69" s="7" t="s">
        <v>1133</v>
      </c>
      <c r="B69" s="8">
        <v>2</v>
      </c>
      <c r="C69" s="8"/>
      <c r="D69" s="205"/>
    </row>
    <row r="70" spans="1:4" ht="27.75" customHeight="1" x14ac:dyDescent="0.2">
      <c r="A70" s="7" t="s">
        <v>1134</v>
      </c>
      <c r="B70" s="8">
        <v>2</v>
      </c>
      <c r="C70" s="8"/>
      <c r="D70" s="205"/>
    </row>
    <row r="71" spans="1:4" ht="27.75" customHeight="1" x14ac:dyDescent="0.2">
      <c r="A71" s="7" t="s">
        <v>1135</v>
      </c>
      <c r="B71" s="8">
        <v>2</v>
      </c>
      <c r="C71" s="8"/>
      <c r="D71" s="205"/>
    </row>
    <row r="72" spans="1:4" ht="27.75" customHeight="1" x14ac:dyDescent="0.2">
      <c r="A72" s="7" t="s">
        <v>1136</v>
      </c>
      <c r="B72" s="8">
        <v>2</v>
      </c>
      <c r="C72" s="8"/>
      <c r="D72" s="205"/>
    </row>
    <row r="73" spans="1:4" ht="27.75" customHeight="1" x14ac:dyDescent="0.2">
      <c r="A73" s="7" t="s">
        <v>1137</v>
      </c>
      <c r="B73" s="8">
        <v>2</v>
      </c>
      <c r="C73" s="8"/>
      <c r="D73" s="205"/>
    </row>
    <row r="74" spans="1:4" ht="27.75" customHeight="1" x14ac:dyDescent="0.2">
      <c r="A74" s="7" t="s">
        <v>1138</v>
      </c>
      <c r="B74" s="8">
        <v>2</v>
      </c>
      <c r="C74" s="8"/>
      <c r="D74" s="205"/>
    </row>
    <row r="75" spans="1:4" ht="27.75" customHeight="1" x14ac:dyDescent="0.2">
      <c r="A75" s="7" t="s">
        <v>1139</v>
      </c>
      <c r="B75" s="8">
        <v>2</v>
      </c>
      <c r="C75" s="8"/>
      <c r="D75" s="205"/>
    </row>
    <row r="76" spans="1:4" ht="27.75" customHeight="1" x14ac:dyDescent="0.2">
      <c r="A76" s="7" t="s">
        <v>1140</v>
      </c>
      <c r="B76" s="8">
        <v>2</v>
      </c>
      <c r="C76" s="8"/>
      <c r="D76" s="205"/>
    </row>
    <row r="77" spans="1:4" ht="27.75" customHeight="1" x14ac:dyDescent="0.2">
      <c r="A77" s="7" t="s">
        <v>1141</v>
      </c>
      <c r="B77" s="8">
        <v>2</v>
      </c>
      <c r="C77" s="8"/>
      <c r="D77" s="205"/>
    </row>
    <row r="78" spans="1:4" ht="27.75" customHeight="1" x14ac:dyDescent="0.2">
      <c r="A78" s="7" t="s">
        <v>1142</v>
      </c>
      <c r="B78" s="8">
        <v>2</v>
      </c>
      <c r="C78" s="8"/>
      <c r="D78" s="205"/>
    </row>
    <row r="79" spans="1:4" ht="27.75" customHeight="1" x14ac:dyDescent="0.2">
      <c r="A79" s="7" t="s">
        <v>1143</v>
      </c>
      <c r="B79" s="8">
        <v>2</v>
      </c>
      <c r="C79" s="8"/>
      <c r="D79" s="205"/>
    </row>
    <row r="80" spans="1:4" ht="27.75" customHeight="1" x14ac:dyDescent="0.2">
      <c r="A80" s="7" t="s">
        <v>1144</v>
      </c>
      <c r="B80" s="8">
        <v>2</v>
      </c>
      <c r="C80" s="8"/>
      <c r="D80" s="205"/>
    </row>
    <row r="81" spans="1:4" ht="27.75" customHeight="1" x14ac:dyDescent="0.2">
      <c r="A81" s="7" t="s">
        <v>1145</v>
      </c>
      <c r="B81" s="8">
        <v>3</v>
      </c>
      <c r="C81" s="8" t="s">
        <v>1068</v>
      </c>
      <c r="D81" s="205"/>
    </row>
    <row r="82" spans="1:4" ht="27.75" customHeight="1" x14ac:dyDescent="0.2">
      <c r="A82" s="7" t="s">
        <v>1146</v>
      </c>
      <c r="B82" s="8">
        <v>3</v>
      </c>
      <c r="C82" s="8" t="s">
        <v>1069</v>
      </c>
      <c r="D82" s="205"/>
    </row>
    <row r="83" spans="1:4" ht="27.75" customHeight="1" x14ac:dyDescent="0.2">
      <c r="A83" s="7" t="s">
        <v>1147</v>
      </c>
      <c r="B83" s="8">
        <v>3</v>
      </c>
      <c r="C83" s="8" t="s">
        <v>1070</v>
      </c>
      <c r="D83" s="205"/>
    </row>
    <row r="84" spans="1:4" ht="27.75" customHeight="1" x14ac:dyDescent="0.2">
      <c r="A84" s="7" t="s">
        <v>1148</v>
      </c>
      <c r="B84" s="8">
        <v>3</v>
      </c>
      <c r="C84" s="8" t="s">
        <v>1073</v>
      </c>
      <c r="D84" s="205"/>
    </row>
    <row r="85" spans="1:4" ht="27.75" customHeight="1" x14ac:dyDescent="0.2">
      <c r="A85" s="7" t="s">
        <v>1149</v>
      </c>
      <c r="B85" s="8">
        <v>3</v>
      </c>
      <c r="C85" s="8" t="s">
        <v>1075</v>
      </c>
      <c r="D85" s="205"/>
    </row>
    <row r="86" spans="1:4" ht="27.75" customHeight="1" x14ac:dyDescent="0.2">
      <c r="A86" s="7" t="s">
        <v>1150</v>
      </c>
      <c r="B86" s="8">
        <v>3</v>
      </c>
      <c r="C86" s="8" t="s">
        <v>1076</v>
      </c>
      <c r="D86" s="205">
        <v>2.2532175489199999</v>
      </c>
    </row>
    <row r="87" spans="1:4" ht="27.75" customHeight="1" x14ac:dyDescent="0.2">
      <c r="A87" s="7" t="s">
        <v>1151</v>
      </c>
      <c r="B87" s="8">
        <v>3</v>
      </c>
      <c r="C87" s="8" t="s">
        <v>1077</v>
      </c>
      <c r="D87" s="205"/>
    </row>
    <row r="88" spans="1:4" ht="27.75" customHeight="1" x14ac:dyDescent="0.2">
      <c r="A88" s="7" t="s">
        <v>1152</v>
      </c>
      <c r="B88" s="8">
        <v>3</v>
      </c>
      <c r="C88" s="8" t="s">
        <v>1078</v>
      </c>
      <c r="D88" s="205"/>
    </row>
    <row r="89" spans="1:4" ht="27.75" customHeight="1" x14ac:dyDescent="0.2">
      <c r="A89" s="7" t="s">
        <v>1153</v>
      </c>
      <c r="B89" s="8">
        <v>3</v>
      </c>
      <c r="C89" s="8" t="s">
        <v>1081</v>
      </c>
      <c r="D89" s="205"/>
    </row>
    <row r="90" spans="1:4" ht="27.75" customHeight="1" x14ac:dyDescent="0.2">
      <c r="A90" s="7" t="s">
        <v>1154</v>
      </c>
      <c r="B90" s="8">
        <v>3</v>
      </c>
      <c r="C90" s="8" t="s">
        <v>1082</v>
      </c>
      <c r="D90" s="205"/>
    </row>
    <row r="91" spans="1:4" ht="27.75" customHeight="1" x14ac:dyDescent="0.2">
      <c r="A91" s="7" t="s">
        <v>1155</v>
      </c>
      <c r="B91" s="8">
        <v>3</v>
      </c>
      <c r="C91" s="8" t="s">
        <v>1083</v>
      </c>
      <c r="D91" s="205"/>
    </row>
    <row r="92" spans="1:4" ht="27.75" customHeight="1" x14ac:dyDescent="0.2">
      <c r="A92" s="7" t="s">
        <v>1156</v>
      </c>
      <c r="B92" s="8">
        <v>3</v>
      </c>
      <c r="C92" s="8" t="s">
        <v>1085</v>
      </c>
      <c r="D92" s="205"/>
    </row>
    <row r="93" spans="1:4" ht="27.75" customHeight="1" x14ac:dyDescent="0.2">
      <c r="A93" s="7" t="s">
        <v>1157</v>
      </c>
      <c r="B93" s="8">
        <v>3</v>
      </c>
      <c r="C93" s="8" t="s">
        <v>1086</v>
      </c>
      <c r="D93" s="205"/>
    </row>
    <row r="94" spans="1:4" ht="27.75" customHeight="1" x14ac:dyDescent="0.2">
      <c r="A94" s="7" t="s">
        <v>1158</v>
      </c>
      <c r="B94" s="8">
        <v>3</v>
      </c>
      <c r="C94" s="8" t="s">
        <v>1069</v>
      </c>
      <c r="D94" s="205"/>
    </row>
    <row r="95" spans="1:4" ht="27.75" customHeight="1" x14ac:dyDescent="0.2">
      <c r="A95" s="7" t="s">
        <v>1159</v>
      </c>
      <c r="B95" s="8">
        <v>3</v>
      </c>
      <c r="C95" s="8" t="s">
        <v>1088</v>
      </c>
      <c r="D95" s="205"/>
    </row>
    <row r="96" spans="1:4" ht="27.75" customHeight="1" x14ac:dyDescent="0.2">
      <c r="A96" s="7" t="s">
        <v>1160</v>
      </c>
      <c r="B96" s="8">
        <v>3</v>
      </c>
      <c r="C96" s="8" t="s">
        <v>1074</v>
      </c>
      <c r="D96" s="205"/>
    </row>
    <row r="97" spans="1:4" ht="27.75" customHeight="1" x14ac:dyDescent="0.2">
      <c r="A97" s="7" t="s">
        <v>1161</v>
      </c>
      <c r="B97" s="8">
        <v>3</v>
      </c>
      <c r="C97" s="8" t="s">
        <v>1089</v>
      </c>
      <c r="D97" s="205"/>
    </row>
    <row r="98" spans="1:4" ht="27.75" customHeight="1" x14ac:dyDescent="0.2">
      <c r="A98" s="7" t="s">
        <v>1162</v>
      </c>
      <c r="B98" s="8">
        <v>3</v>
      </c>
      <c r="C98" s="8" t="s">
        <v>1090</v>
      </c>
      <c r="D98" s="205"/>
    </row>
    <row r="99" spans="1:4" ht="27.75" customHeight="1" x14ac:dyDescent="0.2">
      <c r="A99" s="7" t="s">
        <v>1163</v>
      </c>
      <c r="B99" s="8">
        <v>3</v>
      </c>
      <c r="C99" s="8" t="s">
        <v>1091</v>
      </c>
      <c r="D99" s="205"/>
    </row>
    <row r="100" spans="1:4" ht="27.75" customHeight="1" x14ac:dyDescent="0.2">
      <c r="A100" s="7" t="s">
        <v>1164</v>
      </c>
      <c r="B100" s="8">
        <v>3</v>
      </c>
      <c r="C100" s="8" t="s">
        <v>1094</v>
      </c>
      <c r="D100" s="205"/>
    </row>
    <row r="101" spans="1:4" ht="27.75" customHeight="1" x14ac:dyDescent="0.2">
      <c r="A101" s="7" t="s">
        <v>1165</v>
      </c>
      <c r="B101" s="8">
        <v>3</v>
      </c>
      <c r="C101" s="8" t="s">
        <v>1095</v>
      </c>
      <c r="D101" s="205"/>
    </row>
    <row r="102" spans="1:4" ht="27.75" customHeight="1" x14ac:dyDescent="0.2">
      <c r="A102" s="7" t="s">
        <v>1166</v>
      </c>
      <c r="B102" s="8">
        <v>3</v>
      </c>
      <c r="C102" s="8" t="s">
        <v>1098</v>
      </c>
      <c r="D102" s="205"/>
    </row>
    <row r="103" spans="1:4" ht="27.75" customHeight="1" x14ac:dyDescent="0.2">
      <c r="A103" s="7" t="s">
        <v>1167</v>
      </c>
      <c r="B103" s="8">
        <v>3</v>
      </c>
      <c r="C103" s="8" t="s">
        <v>1095</v>
      </c>
      <c r="D103" s="205"/>
    </row>
    <row r="104" spans="1:4" ht="27.75" customHeight="1" x14ac:dyDescent="0.2">
      <c r="A104" s="7" t="s">
        <v>1168</v>
      </c>
      <c r="B104" s="8">
        <v>3</v>
      </c>
      <c r="C104" s="8" t="s">
        <v>1069</v>
      </c>
      <c r="D104" s="205"/>
    </row>
    <row r="105" spans="1:4" ht="27.75" customHeight="1" x14ac:dyDescent="0.2">
      <c r="A105" s="7" t="s">
        <v>1169</v>
      </c>
      <c r="B105" s="8">
        <v>3</v>
      </c>
      <c r="C105" s="8" t="s">
        <v>1099</v>
      </c>
      <c r="D105" s="205"/>
    </row>
    <row r="106" spans="1:4" ht="27.75" customHeight="1" x14ac:dyDescent="0.2">
      <c r="A106" s="7" t="s">
        <v>1170</v>
      </c>
      <c r="B106" s="8">
        <v>3</v>
      </c>
      <c r="C106" s="8" t="s">
        <v>1095</v>
      </c>
      <c r="D106" s="205"/>
    </row>
    <row r="107" spans="1:4" ht="27.75" customHeight="1" x14ac:dyDescent="0.2">
      <c r="A107" s="7" t="s">
        <v>1171</v>
      </c>
      <c r="B107" s="8">
        <v>3</v>
      </c>
      <c r="C107" s="8" t="s">
        <v>1074</v>
      </c>
      <c r="D107" s="205"/>
    </row>
    <row r="108" spans="1:4" ht="27.75" customHeight="1" x14ac:dyDescent="0.2">
      <c r="A108" s="7" t="s">
        <v>1172</v>
      </c>
      <c r="B108" s="8">
        <v>3</v>
      </c>
      <c r="C108" s="8" t="s">
        <v>1089</v>
      </c>
      <c r="D108" s="205"/>
    </row>
    <row r="109" spans="1:4" ht="27.75" customHeight="1" x14ac:dyDescent="0.2">
      <c r="A109" s="7" t="s">
        <v>1173</v>
      </c>
      <c r="B109" s="8">
        <v>3</v>
      </c>
      <c r="C109" s="8" t="s">
        <v>1102</v>
      </c>
      <c r="D109" s="205"/>
    </row>
    <row r="110" spans="1:4" ht="27.75" customHeight="1" x14ac:dyDescent="0.2">
      <c r="A110" s="7" t="s">
        <v>1174</v>
      </c>
      <c r="B110" s="8">
        <v>3</v>
      </c>
      <c r="C110" s="8" t="s">
        <v>1072</v>
      </c>
      <c r="D110" s="205"/>
    </row>
    <row r="111" spans="1:4" ht="27.75" customHeight="1" x14ac:dyDescent="0.2">
      <c r="A111" s="7" t="s">
        <v>1175</v>
      </c>
      <c r="B111" s="8">
        <v>3</v>
      </c>
      <c r="C111" s="8" t="s">
        <v>1075</v>
      </c>
      <c r="D111" s="205"/>
    </row>
    <row r="112" spans="1:4" ht="27.75" customHeight="1" x14ac:dyDescent="0.2">
      <c r="A112" s="7" t="s">
        <v>1176</v>
      </c>
      <c r="B112" s="8">
        <v>3</v>
      </c>
      <c r="C112" s="8" t="s">
        <v>1104</v>
      </c>
      <c r="D112" s="205"/>
    </row>
    <row r="113" spans="1:4" ht="27.75" customHeight="1" x14ac:dyDescent="0.2">
      <c r="A113" s="7" t="s">
        <v>1177</v>
      </c>
      <c r="B113" s="8">
        <v>3</v>
      </c>
      <c r="C113" s="8" t="s">
        <v>1105</v>
      </c>
      <c r="D113" s="205"/>
    </row>
    <row r="114" spans="1:4" ht="27.75" customHeight="1" x14ac:dyDescent="0.2">
      <c r="A114" s="7" t="s">
        <v>1178</v>
      </c>
      <c r="B114" s="8">
        <v>3</v>
      </c>
      <c r="C114" s="8" t="s">
        <v>1079</v>
      </c>
      <c r="D114" s="205"/>
    </row>
    <row r="115" spans="1:4" ht="27.75" customHeight="1" x14ac:dyDescent="0.2">
      <c r="A115" s="7" t="s">
        <v>1179</v>
      </c>
      <c r="B115" s="8">
        <v>3</v>
      </c>
      <c r="C115" s="8" t="s">
        <v>1099</v>
      </c>
      <c r="D115" s="205"/>
    </row>
    <row r="116" spans="1:4" ht="27.75" customHeight="1" x14ac:dyDescent="0.2">
      <c r="A116" s="7" t="s">
        <v>1180</v>
      </c>
      <c r="B116" s="8">
        <v>3</v>
      </c>
      <c r="C116" s="8" t="s">
        <v>1091</v>
      </c>
      <c r="D116" s="205"/>
    </row>
    <row r="117" spans="1:4" ht="27.75" customHeight="1" x14ac:dyDescent="0.2">
      <c r="A117" s="7" t="s">
        <v>1181</v>
      </c>
      <c r="B117" s="8">
        <v>3</v>
      </c>
      <c r="C117" s="8" t="s">
        <v>1106</v>
      </c>
      <c r="D117" s="205"/>
    </row>
    <row r="118" spans="1:4" ht="27.75" customHeight="1" x14ac:dyDescent="0.2">
      <c r="A118" s="7" t="s">
        <v>1182</v>
      </c>
      <c r="B118" s="8">
        <v>3</v>
      </c>
      <c r="C118" s="8" t="s">
        <v>1069</v>
      </c>
      <c r="D118" s="205"/>
    </row>
    <row r="119" spans="1:4" ht="27.75" customHeight="1" x14ac:dyDescent="0.2">
      <c r="A119" s="7" t="s">
        <v>1183</v>
      </c>
      <c r="B119" s="8">
        <v>3</v>
      </c>
      <c r="C119" s="8" t="s">
        <v>1102</v>
      </c>
      <c r="D119" s="205"/>
    </row>
    <row r="120" spans="1:4" ht="27.75" customHeight="1" x14ac:dyDescent="0.2">
      <c r="A120" s="7" t="s">
        <v>1184</v>
      </c>
      <c r="B120" s="8">
        <v>3</v>
      </c>
      <c r="C120" s="8" t="s">
        <v>1085</v>
      </c>
      <c r="D120" s="205"/>
    </row>
    <row r="121" spans="1:4" ht="27.75" customHeight="1" x14ac:dyDescent="0.2">
      <c r="A121" s="7" t="s">
        <v>1185</v>
      </c>
      <c r="B121" s="8">
        <v>3</v>
      </c>
      <c r="C121" s="8" t="s">
        <v>1079</v>
      </c>
      <c r="D121" s="205">
        <v>6.3860455162400003</v>
      </c>
    </row>
    <row r="122" spans="1:4" ht="27.75" customHeight="1" x14ac:dyDescent="0.2">
      <c r="A122" s="7" t="s">
        <v>1186</v>
      </c>
      <c r="B122" s="8">
        <v>3</v>
      </c>
      <c r="C122" s="8" t="s">
        <v>1090</v>
      </c>
      <c r="D122" s="205"/>
    </row>
    <row r="123" spans="1:4" ht="27.75" customHeight="1" x14ac:dyDescent="0.2">
      <c r="A123" s="7" t="s">
        <v>1187</v>
      </c>
      <c r="B123" s="8">
        <v>3</v>
      </c>
      <c r="C123" s="8" t="s">
        <v>1080</v>
      </c>
      <c r="D123" s="205"/>
    </row>
    <row r="124" spans="1:4" ht="27.75" customHeight="1" x14ac:dyDescent="0.2">
      <c r="A124" s="7" t="s">
        <v>1188</v>
      </c>
      <c r="B124" s="8">
        <v>3</v>
      </c>
      <c r="C124" s="8" t="s">
        <v>1098</v>
      </c>
      <c r="D124" s="205"/>
    </row>
    <row r="125" spans="1:4" ht="27.75" customHeight="1" x14ac:dyDescent="0.2">
      <c r="A125" s="7" t="s">
        <v>1189</v>
      </c>
      <c r="B125" s="8">
        <v>3</v>
      </c>
      <c r="C125" s="8" t="s">
        <v>1111</v>
      </c>
      <c r="D125" s="205"/>
    </row>
    <row r="126" spans="1:4" ht="27.75" customHeight="1" x14ac:dyDescent="0.2">
      <c r="A126" s="7" t="s">
        <v>1190</v>
      </c>
      <c r="B126" s="8">
        <v>3</v>
      </c>
      <c r="C126" s="8" t="s">
        <v>1112</v>
      </c>
      <c r="D126" s="205"/>
    </row>
    <row r="127" spans="1:4" ht="27.75" customHeight="1" x14ac:dyDescent="0.2">
      <c r="A127" s="7" t="s">
        <v>1191</v>
      </c>
      <c r="B127" s="8">
        <v>3</v>
      </c>
      <c r="C127" s="8" t="s">
        <v>1079</v>
      </c>
      <c r="D127" s="205"/>
    </row>
    <row r="128" spans="1:4" ht="27.75" customHeight="1" x14ac:dyDescent="0.2">
      <c r="A128" s="7" t="s">
        <v>1192</v>
      </c>
      <c r="B128" s="8">
        <v>3</v>
      </c>
      <c r="C128" s="8" t="s">
        <v>1114</v>
      </c>
      <c r="D128" s="205"/>
    </row>
    <row r="129" spans="1:4" ht="27.75" customHeight="1" x14ac:dyDescent="0.2">
      <c r="A129" s="7" t="s">
        <v>1193</v>
      </c>
      <c r="B129" s="8">
        <v>3</v>
      </c>
      <c r="C129" s="8" t="s">
        <v>1116</v>
      </c>
      <c r="D129" s="205"/>
    </row>
    <row r="130" spans="1:4" ht="27.75" customHeight="1" x14ac:dyDescent="0.2">
      <c r="A130" s="7" t="s">
        <v>1194</v>
      </c>
      <c r="B130" s="8">
        <v>3</v>
      </c>
      <c r="C130" s="8" t="s">
        <v>1107</v>
      </c>
      <c r="D130" s="205"/>
    </row>
    <row r="131" spans="1:4" ht="27.75" customHeight="1" x14ac:dyDescent="0.2">
      <c r="A131" s="7" t="s">
        <v>1195</v>
      </c>
      <c r="B131" s="8">
        <v>3</v>
      </c>
      <c r="C131" s="8" t="s">
        <v>1110</v>
      </c>
      <c r="D131" s="205"/>
    </row>
    <row r="132" spans="1:4" ht="27.75" customHeight="1" x14ac:dyDescent="0.2">
      <c r="A132" s="7" t="s">
        <v>1196</v>
      </c>
      <c r="B132" s="8">
        <v>3</v>
      </c>
      <c r="C132" s="8" t="s">
        <v>1117</v>
      </c>
      <c r="D132" s="205"/>
    </row>
    <row r="133" spans="1:4" ht="27.75" customHeight="1" x14ac:dyDescent="0.2">
      <c r="A133" s="7" t="s">
        <v>1197</v>
      </c>
      <c r="B133" s="8">
        <v>3</v>
      </c>
      <c r="C133" s="8" t="s">
        <v>1110</v>
      </c>
      <c r="D133" s="205"/>
    </row>
    <row r="134" spans="1:4" ht="27.75" customHeight="1" x14ac:dyDescent="0.2">
      <c r="A134" s="7" t="s">
        <v>1198</v>
      </c>
      <c r="B134" s="8">
        <v>3</v>
      </c>
      <c r="C134" s="8" t="s">
        <v>1118</v>
      </c>
      <c r="D134" s="205"/>
    </row>
    <row r="135" spans="1:4" ht="27.75" customHeight="1" x14ac:dyDescent="0.2">
      <c r="A135" s="7" t="s">
        <v>1199</v>
      </c>
      <c r="B135" s="8">
        <v>3</v>
      </c>
      <c r="C135" s="8" t="s">
        <v>1119</v>
      </c>
      <c r="D135" s="205"/>
    </row>
    <row r="136" spans="1:4" ht="27.75" customHeight="1" x14ac:dyDescent="0.2">
      <c r="A136" s="7" t="s">
        <v>1200</v>
      </c>
      <c r="B136" s="8">
        <v>3</v>
      </c>
      <c r="C136" s="8" t="s">
        <v>1097</v>
      </c>
      <c r="D136" s="205"/>
    </row>
    <row r="137" spans="1:4" ht="27.75" customHeight="1" x14ac:dyDescent="0.2">
      <c r="A137" s="7" t="s">
        <v>1201</v>
      </c>
      <c r="B137" s="8">
        <v>3</v>
      </c>
      <c r="C137" s="8" t="s">
        <v>1120</v>
      </c>
      <c r="D137" s="205"/>
    </row>
    <row r="138" spans="1:4" ht="27.75" customHeight="1" x14ac:dyDescent="0.2">
      <c r="A138" s="7" t="s">
        <v>1202</v>
      </c>
      <c r="B138" s="8">
        <v>3</v>
      </c>
      <c r="C138" s="8" t="s">
        <v>1118</v>
      </c>
      <c r="D138" s="205"/>
    </row>
    <row r="139" spans="1:4" ht="27.75" customHeight="1" x14ac:dyDescent="0.2">
      <c r="A139" s="7" t="s">
        <v>1203</v>
      </c>
      <c r="B139" s="8">
        <v>3</v>
      </c>
      <c r="C139" s="8" t="s">
        <v>1100</v>
      </c>
      <c r="D139" s="205"/>
    </row>
    <row r="140" spans="1:4" ht="27.75" customHeight="1" x14ac:dyDescent="0.2">
      <c r="A140" s="7" t="s">
        <v>1204</v>
      </c>
      <c r="B140" s="8">
        <v>3</v>
      </c>
      <c r="C140" s="8" t="s">
        <v>1105</v>
      </c>
      <c r="D140" s="205"/>
    </row>
    <row r="141" spans="1:4" ht="27.75" customHeight="1" x14ac:dyDescent="0.2">
      <c r="A141" s="7" t="s">
        <v>1205</v>
      </c>
      <c r="B141" s="8">
        <v>3</v>
      </c>
      <c r="C141" s="8" t="s">
        <v>1109</v>
      </c>
      <c r="D141" s="205"/>
    </row>
    <row r="142" spans="1:4" ht="27.75" customHeight="1" x14ac:dyDescent="0.2">
      <c r="A142" s="7" t="s">
        <v>1206</v>
      </c>
      <c r="B142" s="8">
        <v>3</v>
      </c>
      <c r="C142" s="8" t="s">
        <v>1080</v>
      </c>
      <c r="D142" s="205"/>
    </row>
    <row r="143" spans="1:4" ht="27.75" customHeight="1" x14ac:dyDescent="0.2">
      <c r="A143" s="7" t="s">
        <v>1207</v>
      </c>
      <c r="B143" s="8">
        <v>3</v>
      </c>
      <c r="C143" s="8" t="s">
        <v>1114</v>
      </c>
      <c r="D143" s="205"/>
    </row>
    <row r="144" spans="1:4" ht="27.75" customHeight="1" x14ac:dyDescent="0.2">
      <c r="A144" s="7" t="s">
        <v>1208</v>
      </c>
      <c r="B144" s="8">
        <v>3</v>
      </c>
      <c r="C144" s="8" t="s">
        <v>1086</v>
      </c>
      <c r="D144" s="205"/>
    </row>
    <row r="145" spans="1:4" ht="27.75" customHeight="1" x14ac:dyDescent="0.2">
      <c r="A145" s="7" t="s">
        <v>1209</v>
      </c>
      <c r="B145" s="8">
        <v>3</v>
      </c>
      <c r="C145" s="8" t="s">
        <v>1118</v>
      </c>
      <c r="D145" s="205"/>
    </row>
    <row r="146" spans="1:4" ht="27.75" customHeight="1" x14ac:dyDescent="0.2">
      <c r="A146" s="7" t="s">
        <v>1210</v>
      </c>
      <c r="B146" s="8">
        <v>3</v>
      </c>
      <c r="C146" s="8" t="s">
        <v>1118</v>
      </c>
      <c r="D146" s="205"/>
    </row>
    <row r="147" spans="1:4" ht="27.75" customHeight="1" x14ac:dyDescent="0.2">
      <c r="A147" s="7" t="s">
        <v>1211</v>
      </c>
      <c r="B147" s="8">
        <v>3</v>
      </c>
      <c r="C147" s="8" t="s">
        <v>1122</v>
      </c>
      <c r="D147" s="205"/>
    </row>
    <row r="148" spans="1:4" ht="27.75" customHeight="1" x14ac:dyDescent="0.2">
      <c r="A148" s="7" t="s">
        <v>1212</v>
      </c>
      <c r="B148" s="8">
        <v>3</v>
      </c>
      <c r="C148" s="8" t="s">
        <v>1075</v>
      </c>
      <c r="D148" s="205"/>
    </row>
    <row r="149" spans="1:4" ht="27.75" customHeight="1" x14ac:dyDescent="0.2">
      <c r="A149" s="7" t="s">
        <v>1213</v>
      </c>
      <c r="B149" s="8">
        <v>3</v>
      </c>
      <c r="C149" s="8" t="s">
        <v>1123</v>
      </c>
      <c r="D149" s="205"/>
    </row>
    <row r="150" spans="1:4" ht="27.75" customHeight="1" x14ac:dyDescent="0.2">
      <c r="A150" s="7" t="s">
        <v>1214</v>
      </c>
      <c r="B150" s="8">
        <v>3</v>
      </c>
      <c r="C150" s="8" t="s">
        <v>1124</v>
      </c>
      <c r="D150" s="205"/>
    </row>
    <row r="151" spans="1:4" ht="27.75" customHeight="1" x14ac:dyDescent="0.2">
      <c r="A151" s="7" t="s">
        <v>1215</v>
      </c>
      <c r="B151" s="8">
        <v>3</v>
      </c>
      <c r="C151" s="8" t="s">
        <v>1097</v>
      </c>
      <c r="D151" s="205">
        <v>5.4615863820600001</v>
      </c>
    </row>
    <row r="152" spans="1:4" ht="27.75" customHeight="1" x14ac:dyDescent="0.2">
      <c r="A152" s="7" t="s">
        <v>1216</v>
      </c>
      <c r="B152" s="8">
        <v>3</v>
      </c>
      <c r="C152" s="8" t="s">
        <v>1123</v>
      </c>
      <c r="D152" s="205"/>
    </row>
    <row r="153" spans="1:4" ht="27.75" customHeight="1" x14ac:dyDescent="0.2">
      <c r="A153" s="7" t="s">
        <v>1217</v>
      </c>
      <c r="B153" s="8">
        <v>3</v>
      </c>
      <c r="C153" s="8" t="s">
        <v>1105</v>
      </c>
      <c r="D153" s="205"/>
    </row>
    <row r="154" spans="1:4" ht="27.75" customHeight="1" x14ac:dyDescent="0.2">
      <c r="A154" s="7" t="s">
        <v>1218</v>
      </c>
      <c r="B154" s="8">
        <v>3</v>
      </c>
      <c r="C154" s="8" t="s">
        <v>1096</v>
      </c>
      <c r="D154" s="205"/>
    </row>
    <row r="155" spans="1:4" ht="27.75" customHeight="1" x14ac:dyDescent="0.2">
      <c r="A155" s="7" t="s">
        <v>1219</v>
      </c>
      <c r="B155" s="8">
        <v>3</v>
      </c>
      <c r="C155" s="8" t="s">
        <v>1084</v>
      </c>
      <c r="D155" s="205"/>
    </row>
    <row r="156" spans="1:4" ht="27.75" customHeight="1" x14ac:dyDescent="0.2">
      <c r="A156" s="7" t="s">
        <v>1220</v>
      </c>
      <c r="B156" s="8">
        <v>3</v>
      </c>
      <c r="C156" s="8" t="s">
        <v>1075</v>
      </c>
      <c r="D156" s="205"/>
    </row>
    <row r="157" spans="1:4" ht="27.75" customHeight="1" x14ac:dyDescent="0.2">
      <c r="A157" s="7" t="s">
        <v>1221</v>
      </c>
      <c r="B157" s="8">
        <v>3</v>
      </c>
      <c r="C157" s="8" t="s">
        <v>1106</v>
      </c>
      <c r="D157" s="205"/>
    </row>
    <row r="158" spans="1:4" ht="27.75" customHeight="1" x14ac:dyDescent="0.2">
      <c r="A158" s="7" t="s">
        <v>1222</v>
      </c>
      <c r="B158" s="8">
        <v>3</v>
      </c>
      <c r="C158" s="8" t="s">
        <v>1094</v>
      </c>
      <c r="D158" s="205"/>
    </row>
    <row r="159" spans="1:4" ht="27.75" customHeight="1" x14ac:dyDescent="0.2">
      <c r="A159" s="7" t="s">
        <v>1223</v>
      </c>
      <c r="B159" s="8">
        <v>3</v>
      </c>
      <c r="C159" s="8" t="s">
        <v>1126</v>
      </c>
      <c r="D159" s="205"/>
    </row>
    <row r="160" spans="1:4" ht="27.75" customHeight="1" x14ac:dyDescent="0.2">
      <c r="A160" s="7" t="s">
        <v>1224</v>
      </c>
      <c r="B160" s="8">
        <v>3</v>
      </c>
      <c r="C160" s="8" t="s">
        <v>1105</v>
      </c>
      <c r="D160" s="205"/>
    </row>
    <row r="161" spans="1:4" ht="27.75" customHeight="1" x14ac:dyDescent="0.2">
      <c r="A161" s="7" t="s">
        <v>1225</v>
      </c>
      <c r="B161" s="8">
        <v>3</v>
      </c>
      <c r="C161" s="8" t="s">
        <v>1116</v>
      </c>
      <c r="D161" s="205"/>
    </row>
    <row r="162" spans="1:4" ht="27.75" customHeight="1" x14ac:dyDescent="0.2">
      <c r="A162" s="7" t="s">
        <v>1226</v>
      </c>
      <c r="B162" s="8">
        <v>3</v>
      </c>
      <c r="C162" s="8" t="s">
        <v>1073</v>
      </c>
      <c r="D162" s="205"/>
    </row>
    <row r="163" spans="1:4" ht="27.75" customHeight="1" x14ac:dyDescent="0.2">
      <c r="A163" s="7" t="s">
        <v>1227</v>
      </c>
      <c r="B163" s="8">
        <v>3</v>
      </c>
      <c r="C163" s="8" t="s">
        <v>1068</v>
      </c>
      <c r="D163" s="205"/>
    </row>
    <row r="164" spans="1:4" ht="27.75" customHeight="1" x14ac:dyDescent="0.2">
      <c r="A164" s="7" t="s">
        <v>1228</v>
      </c>
      <c r="B164" s="8">
        <v>3</v>
      </c>
      <c r="C164" s="8" t="s">
        <v>1093</v>
      </c>
      <c r="D164" s="205"/>
    </row>
    <row r="165" spans="1:4" ht="27.75" customHeight="1" x14ac:dyDescent="0.2">
      <c r="A165" s="7" t="s">
        <v>1229</v>
      </c>
      <c r="B165" s="8">
        <v>3</v>
      </c>
      <c r="C165" s="8" t="s">
        <v>1104</v>
      </c>
      <c r="D165" s="205"/>
    </row>
    <row r="166" spans="1:4" ht="27.75" customHeight="1" x14ac:dyDescent="0.2">
      <c r="A166" s="7" t="s">
        <v>1230</v>
      </c>
      <c r="B166" s="8">
        <v>3</v>
      </c>
      <c r="C166" s="8" t="s">
        <v>1075</v>
      </c>
      <c r="D166" s="205"/>
    </row>
    <row r="167" spans="1:4" ht="27.75" customHeight="1" x14ac:dyDescent="0.2">
      <c r="A167" s="7" t="s">
        <v>1231</v>
      </c>
      <c r="B167" s="8">
        <v>3</v>
      </c>
      <c r="C167" s="8" t="s">
        <v>1094</v>
      </c>
      <c r="D167" s="205"/>
    </row>
    <row r="168" spans="1:4" ht="27.75" customHeight="1" x14ac:dyDescent="0.2">
      <c r="A168" s="7" t="s">
        <v>1232</v>
      </c>
      <c r="B168" s="8">
        <v>3</v>
      </c>
      <c r="C168" s="8" t="s">
        <v>1081</v>
      </c>
      <c r="D168" s="205"/>
    </row>
    <row r="169" spans="1:4" ht="27.75" customHeight="1" x14ac:dyDescent="0.2">
      <c r="A169" s="7" t="s">
        <v>1233</v>
      </c>
      <c r="B169" s="8">
        <v>3</v>
      </c>
      <c r="C169" s="8" t="s">
        <v>1128</v>
      </c>
      <c r="D169" s="205"/>
    </row>
    <row r="170" spans="1:4" ht="27.75" customHeight="1" x14ac:dyDescent="0.2">
      <c r="A170" s="7" t="s">
        <v>1234</v>
      </c>
      <c r="B170" s="8">
        <v>3</v>
      </c>
      <c r="C170" s="8" t="s">
        <v>1129</v>
      </c>
      <c r="D170" s="205"/>
    </row>
    <row r="171" spans="1:4" ht="27.75" customHeight="1" x14ac:dyDescent="0.2">
      <c r="A171" s="7" t="s">
        <v>1235</v>
      </c>
      <c r="B171" s="8">
        <v>3</v>
      </c>
      <c r="C171" s="8" t="s">
        <v>1091</v>
      </c>
      <c r="D171" s="205"/>
    </row>
    <row r="172" spans="1:4" ht="27.75" customHeight="1" x14ac:dyDescent="0.2">
      <c r="A172" s="7" t="s">
        <v>1236</v>
      </c>
      <c r="B172" s="8">
        <v>3</v>
      </c>
      <c r="C172" s="8" t="s">
        <v>1130</v>
      </c>
      <c r="D172" s="205"/>
    </row>
    <row r="173" spans="1:4" ht="27.75" customHeight="1" x14ac:dyDescent="0.2">
      <c r="A173" s="7" t="s">
        <v>1237</v>
      </c>
      <c r="B173" s="8">
        <v>3</v>
      </c>
      <c r="C173" s="8" t="s">
        <v>1131</v>
      </c>
      <c r="D173" s="205"/>
    </row>
    <row r="174" spans="1:4" ht="27.75" customHeight="1" x14ac:dyDescent="0.2">
      <c r="A174" s="7" t="s">
        <v>1238</v>
      </c>
      <c r="B174" s="8">
        <v>3</v>
      </c>
      <c r="C174" s="8" t="s">
        <v>1132</v>
      </c>
      <c r="D174" s="205"/>
    </row>
    <row r="175" spans="1:4" ht="27.75" customHeight="1" x14ac:dyDescent="0.2">
      <c r="A175" s="7" t="s">
        <v>1239</v>
      </c>
      <c r="B175" s="8">
        <v>3</v>
      </c>
      <c r="C175" s="8" t="s">
        <v>1111</v>
      </c>
      <c r="D175" s="205"/>
    </row>
    <row r="176" spans="1:4" ht="27.75" customHeight="1" x14ac:dyDescent="0.2">
      <c r="A176" s="7" t="s">
        <v>1240</v>
      </c>
      <c r="B176" s="8">
        <v>3</v>
      </c>
      <c r="C176" s="8" t="s">
        <v>1080</v>
      </c>
      <c r="D176" s="205"/>
    </row>
    <row r="177" spans="1:4" ht="27.75" customHeight="1" x14ac:dyDescent="0.2">
      <c r="A177" s="7" t="s">
        <v>1241</v>
      </c>
      <c r="B177" s="8">
        <v>3</v>
      </c>
      <c r="C177" s="8" t="s">
        <v>1130</v>
      </c>
      <c r="D177" s="205"/>
    </row>
    <row r="178" spans="1:4" ht="27.75" customHeight="1" x14ac:dyDescent="0.2">
      <c r="A178" s="7" t="s">
        <v>1242</v>
      </c>
      <c r="B178" s="8">
        <v>3</v>
      </c>
      <c r="C178" s="8" t="s">
        <v>1082</v>
      </c>
      <c r="D178" s="205"/>
    </row>
    <row r="179" spans="1:4" ht="27.75" customHeight="1" x14ac:dyDescent="0.2">
      <c r="A179" s="7" t="s">
        <v>1243</v>
      </c>
      <c r="B179" s="8">
        <v>3</v>
      </c>
      <c r="C179" s="8" t="s">
        <v>1112</v>
      </c>
      <c r="D179" s="205"/>
    </row>
    <row r="180" spans="1:4" ht="27.75" customHeight="1" x14ac:dyDescent="0.2">
      <c r="A180" s="7" t="s">
        <v>1244</v>
      </c>
      <c r="B180" s="8">
        <v>3</v>
      </c>
      <c r="C180" s="8" t="s">
        <v>1093</v>
      </c>
      <c r="D180" s="205"/>
    </row>
    <row r="181" spans="1:4" ht="27.75" customHeight="1" x14ac:dyDescent="0.2">
      <c r="A181" s="7" t="s">
        <v>1245</v>
      </c>
      <c r="B181" s="8">
        <v>3</v>
      </c>
      <c r="C181" s="8" t="s">
        <v>1133</v>
      </c>
      <c r="D181" s="205"/>
    </row>
    <row r="182" spans="1:4" ht="27.75" customHeight="1" x14ac:dyDescent="0.2">
      <c r="A182" s="7" t="s">
        <v>1246</v>
      </c>
      <c r="B182" s="8">
        <v>3</v>
      </c>
      <c r="C182" s="8" t="s">
        <v>1074</v>
      </c>
      <c r="D182" s="205"/>
    </row>
    <row r="183" spans="1:4" ht="27.75" customHeight="1" x14ac:dyDescent="0.2">
      <c r="A183" s="7" t="s">
        <v>1247</v>
      </c>
      <c r="B183" s="8">
        <v>3</v>
      </c>
      <c r="C183" s="8" t="s">
        <v>1077</v>
      </c>
      <c r="D183" s="205"/>
    </row>
    <row r="184" spans="1:4" ht="27.75" customHeight="1" x14ac:dyDescent="0.2">
      <c r="A184" s="7" t="s">
        <v>1248</v>
      </c>
      <c r="B184" s="8">
        <v>3</v>
      </c>
      <c r="C184" s="8" t="s">
        <v>1134</v>
      </c>
      <c r="D184" s="205"/>
    </row>
    <row r="185" spans="1:4" ht="27.75" customHeight="1" x14ac:dyDescent="0.2">
      <c r="A185" s="7" t="s">
        <v>1249</v>
      </c>
      <c r="B185" s="8">
        <v>3</v>
      </c>
      <c r="C185" s="8" t="s">
        <v>1118</v>
      </c>
      <c r="D185" s="205"/>
    </row>
    <row r="186" spans="1:4" ht="27.75" customHeight="1" x14ac:dyDescent="0.2">
      <c r="A186" s="7" t="s">
        <v>1250</v>
      </c>
      <c r="B186" s="8">
        <v>3</v>
      </c>
      <c r="C186" s="8" t="s">
        <v>1093</v>
      </c>
      <c r="D186" s="205"/>
    </row>
    <row r="187" spans="1:4" ht="27.75" customHeight="1" x14ac:dyDescent="0.2">
      <c r="A187" s="7" t="s">
        <v>1251</v>
      </c>
      <c r="B187" s="8">
        <v>3</v>
      </c>
      <c r="C187" s="8" t="s">
        <v>1125</v>
      </c>
      <c r="D187" s="205"/>
    </row>
    <row r="188" spans="1:4" ht="27.75" customHeight="1" x14ac:dyDescent="0.2">
      <c r="A188" s="7" t="s">
        <v>1252</v>
      </c>
      <c r="B188" s="8">
        <v>3</v>
      </c>
      <c r="C188" s="8" t="s">
        <v>1135</v>
      </c>
      <c r="D188" s="205"/>
    </row>
    <row r="189" spans="1:4" ht="27.75" customHeight="1" x14ac:dyDescent="0.2">
      <c r="A189" s="7" t="s">
        <v>1253</v>
      </c>
      <c r="B189" s="8">
        <v>3</v>
      </c>
      <c r="C189" s="8" t="s">
        <v>1131</v>
      </c>
      <c r="D189" s="205"/>
    </row>
    <row r="190" spans="1:4" ht="27.75" customHeight="1" x14ac:dyDescent="0.2">
      <c r="A190" s="7" t="s">
        <v>1254</v>
      </c>
      <c r="B190" s="8">
        <v>3</v>
      </c>
      <c r="C190" s="8" t="s">
        <v>1131</v>
      </c>
      <c r="D190" s="205"/>
    </row>
    <row r="191" spans="1:4" ht="27.75" customHeight="1" x14ac:dyDescent="0.2">
      <c r="A191" s="7" t="s">
        <v>1255</v>
      </c>
      <c r="B191" s="8">
        <v>3</v>
      </c>
      <c r="C191" s="8" t="s">
        <v>1077</v>
      </c>
      <c r="D191" s="205"/>
    </row>
    <row r="192" spans="1:4" ht="27.75" customHeight="1" x14ac:dyDescent="0.2">
      <c r="A192" s="7" t="s">
        <v>1256</v>
      </c>
      <c r="B192" s="8">
        <v>3</v>
      </c>
      <c r="C192" s="8" t="s">
        <v>1080</v>
      </c>
      <c r="D192" s="205"/>
    </row>
    <row r="193" spans="1:4" ht="27.75" customHeight="1" x14ac:dyDescent="0.2">
      <c r="A193" s="7" t="s">
        <v>1257</v>
      </c>
      <c r="B193" s="8">
        <v>3</v>
      </c>
      <c r="C193" s="8" t="s">
        <v>1114</v>
      </c>
      <c r="D193" s="205"/>
    </row>
    <row r="194" spans="1:4" ht="27.75" customHeight="1" x14ac:dyDescent="0.2">
      <c r="A194" s="7" t="s">
        <v>1258</v>
      </c>
      <c r="B194" s="8">
        <v>3</v>
      </c>
      <c r="C194" s="8" t="s">
        <v>1126</v>
      </c>
      <c r="D194" s="205"/>
    </row>
    <row r="195" spans="1:4" ht="27.75" customHeight="1" x14ac:dyDescent="0.2">
      <c r="A195" s="7" t="s">
        <v>1259</v>
      </c>
      <c r="B195" s="8">
        <v>3</v>
      </c>
      <c r="C195" s="8" t="s">
        <v>1076</v>
      </c>
      <c r="D195" s="205"/>
    </row>
    <row r="196" spans="1:4" ht="27.75" customHeight="1" x14ac:dyDescent="0.2">
      <c r="A196" s="7" t="s">
        <v>1260</v>
      </c>
      <c r="B196" s="8">
        <v>3</v>
      </c>
      <c r="C196" s="8" t="s">
        <v>1079</v>
      </c>
      <c r="D196" s="205">
        <v>9.7845326902600007</v>
      </c>
    </row>
    <row r="197" spans="1:4" ht="27.75" customHeight="1" x14ac:dyDescent="0.2">
      <c r="A197" s="7" t="s">
        <v>1261</v>
      </c>
      <c r="B197" s="8">
        <v>3</v>
      </c>
      <c r="C197" s="8" t="s">
        <v>1082</v>
      </c>
      <c r="D197" s="205"/>
    </row>
    <row r="198" spans="1:4" ht="27.75" customHeight="1" x14ac:dyDescent="0.2">
      <c r="A198" s="7" t="s">
        <v>1262</v>
      </c>
      <c r="B198" s="8">
        <v>3</v>
      </c>
      <c r="C198" s="8" t="s">
        <v>1093</v>
      </c>
      <c r="D198" s="205"/>
    </row>
    <row r="199" spans="1:4" ht="27.75" customHeight="1" x14ac:dyDescent="0.2">
      <c r="A199" s="7" t="s">
        <v>1263</v>
      </c>
      <c r="B199" s="8">
        <v>3</v>
      </c>
      <c r="C199" s="8" t="s">
        <v>1069</v>
      </c>
      <c r="D199" s="205"/>
    </row>
    <row r="200" spans="1:4" ht="27.75" customHeight="1" x14ac:dyDescent="0.2">
      <c r="A200" s="7" t="s">
        <v>1264</v>
      </c>
      <c r="B200" s="8">
        <v>3</v>
      </c>
      <c r="C200" s="8" t="s">
        <v>1123</v>
      </c>
      <c r="D200" s="205"/>
    </row>
    <row r="201" spans="1:4" ht="27.75" customHeight="1" x14ac:dyDescent="0.2">
      <c r="A201" s="7" t="s">
        <v>1265</v>
      </c>
      <c r="B201" s="8">
        <v>3</v>
      </c>
      <c r="C201" s="8" t="s">
        <v>1073</v>
      </c>
      <c r="D201" s="205"/>
    </row>
    <row r="202" spans="1:4" ht="27.75" customHeight="1" x14ac:dyDescent="0.2">
      <c r="A202" s="7" t="s">
        <v>1266</v>
      </c>
      <c r="B202" s="8">
        <v>3</v>
      </c>
      <c r="C202" s="8" t="s">
        <v>1081</v>
      </c>
      <c r="D202" s="205"/>
    </row>
    <row r="203" spans="1:4" ht="27.75" customHeight="1" x14ac:dyDescent="0.2">
      <c r="A203" s="7" t="s">
        <v>1267</v>
      </c>
      <c r="B203" s="8">
        <v>3</v>
      </c>
      <c r="C203" s="8" t="s">
        <v>1069</v>
      </c>
      <c r="D203" s="205">
        <v>5.02287015884</v>
      </c>
    </row>
    <row r="204" spans="1:4" ht="27.75" customHeight="1" x14ac:dyDescent="0.2">
      <c r="A204" s="7" t="s">
        <v>1268</v>
      </c>
      <c r="B204" s="8">
        <v>3</v>
      </c>
      <c r="C204" s="8" t="s">
        <v>1094</v>
      </c>
      <c r="D204" s="205">
        <v>9.4461525378100006</v>
      </c>
    </row>
    <row r="205" spans="1:4" ht="27.75" customHeight="1" x14ac:dyDescent="0.2">
      <c r="A205" s="7" t="s">
        <v>1269</v>
      </c>
      <c r="B205" s="8">
        <v>3</v>
      </c>
      <c r="C205" s="8" t="s">
        <v>1086</v>
      </c>
      <c r="D205" s="205"/>
    </row>
    <row r="206" spans="1:4" ht="27.75" customHeight="1" x14ac:dyDescent="0.2">
      <c r="A206" s="7" t="s">
        <v>1270</v>
      </c>
      <c r="B206" s="8">
        <v>3</v>
      </c>
      <c r="C206" s="8" t="s">
        <v>1094</v>
      </c>
      <c r="D206" s="205">
        <v>3.9888143879500002</v>
      </c>
    </row>
    <row r="207" spans="1:4" ht="27.75" customHeight="1" x14ac:dyDescent="0.2">
      <c r="A207" s="7" t="s">
        <v>1271</v>
      </c>
      <c r="B207" s="8">
        <v>3</v>
      </c>
      <c r="C207" s="8" t="s">
        <v>1072</v>
      </c>
      <c r="D207" s="205"/>
    </row>
    <row r="208" spans="1:4" ht="27.75" customHeight="1" x14ac:dyDescent="0.2">
      <c r="A208" s="7" t="s">
        <v>1272</v>
      </c>
      <c r="B208" s="8">
        <v>3</v>
      </c>
      <c r="C208" s="8" t="s">
        <v>1114</v>
      </c>
      <c r="D208" s="205"/>
    </row>
    <row r="209" spans="1:4" ht="27.75" customHeight="1" x14ac:dyDescent="0.2">
      <c r="A209" s="7" t="s">
        <v>1273</v>
      </c>
      <c r="B209" s="8">
        <v>3</v>
      </c>
      <c r="C209" s="8" t="s">
        <v>1080</v>
      </c>
      <c r="D209" s="205"/>
    </row>
    <row r="210" spans="1:4" ht="27.75" customHeight="1" x14ac:dyDescent="0.2">
      <c r="A210" s="7" t="s">
        <v>1274</v>
      </c>
      <c r="B210" s="8">
        <v>3</v>
      </c>
      <c r="C210" s="8" t="s">
        <v>1094</v>
      </c>
      <c r="D210" s="205"/>
    </row>
    <row r="211" spans="1:4" ht="27.75" customHeight="1" x14ac:dyDescent="0.2">
      <c r="A211" s="7" t="s">
        <v>1275</v>
      </c>
      <c r="B211" s="8">
        <v>3</v>
      </c>
      <c r="C211" s="8" t="s">
        <v>1080</v>
      </c>
      <c r="D211" s="205"/>
    </row>
    <row r="212" spans="1:4" ht="27.75" customHeight="1" x14ac:dyDescent="0.2">
      <c r="A212" s="7" t="s">
        <v>1276</v>
      </c>
      <c r="B212" s="8">
        <v>3</v>
      </c>
      <c r="C212" s="8" t="s">
        <v>1080</v>
      </c>
      <c r="D212" s="205"/>
    </row>
    <row r="213" spans="1:4" ht="27.75" customHeight="1" x14ac:dyDescent="0.2">
      <c r="A213" s="7" t="s">
        <v>1277</v>
      </c>
      <c r="B213" s="8">
        <v>3</v>
      </c>
      <c r="C213" s="8" t="s">
        <v>1122</v>
      </c>
      <c r="D213" s="205"/>
    </row>
    <row r="214" spans="1:4" ht="27.75" customHeight="1" x14ac:dyDescent="0.2">
      <c r="A214" s="7" t="s">
        <v>1278</v>
      </c>
      <c r="B214" s="8">
        <v>3</v>
      </c>
      <c r="C214" s="8" t="s">
        <v>1138</v>
      </c>
      <c r="D214" s="205"/>
    </row>
    <row r="215" spans="1:4" ht="27.75" customHeight="1" x14ac:dyDescent="0.2">
      <c r="A215" s="7" t="s">
        <v>1279</v>
      </c>
      <c r="B215" s="8">
        <v>3</v>
      </c>
      <c r="C215" s="8" t="s">
        <v>1097</v>
      </c>
      <c r="D215" s="205"/>
    </row>
    <row r="216" spans="1:4" ht="27.75" customHeight="1" x14ac:dyDescent="0.2">
      <c r="A216" s="7" t="s">
        <v>1280</v>
      </c>
      <c r="B216" s="8">
        <v>3</v>
      </c>
      <c r="C216" s="8" t="s">
        <v>1139</v>
      </c>
      <c r="D216" s="205"/>
    </row>
    <row r="217" spans="1:4" ht="27.75" customHeight="1" x14ac:dyDescent="0.2">
      <c r="A217" s="7" t="s">
        <v>1281</v>
      </c>
      <c r="B217" s="8">
        <v>3</v>
      </c>
      <c r="C217" s="8" t="s">
        <v>1094</v>
      </c>
      <c r="D217" s="205"/>
    </row>
    <row r="218" spans="1:4" ht="27.75" customHeight="1" x14ac:dyDescent="0.2">
      <c r="A218" s="7" t="s">
        <v>1282</v>
      </c>
      <c r="B218" s="8">
        <v>3</v>
      </c>
      <c r="C218" s="8" t="s">
        <v>1119</v>
      </c>
      <c r="D218" s="205"/>
    </row>
    <row r="219" spans="1:4" ht="27.75" customHeight="1" x14ac:dyDescent="0.2">
      <c r="A219" s="7" t="s">
        <v>1283</v>
      </c>
      <c r="B219" s="8">
        <v>3</v>
      </c>
      <c r="C219" s="8" t="s">
        <v>1132</v>
      </c>
      <c r="D219" s="205"/>
    </row>
    <row r="220" spans="1:4" ht="27.75" customHeight="1" x14ac:dyDescent="0.2">
      <c r="A220" s="7" t="s">
        <v>1284</v>
      </c>
      <c r="B220" s="8">
        <v>3</v>
      </c>
      <c r="C220" s="8" t="s">
        <v>1120</v>
      </c>
      <c r="D220" s="205"/>
    </row>
    <row r="221" spans="1:4" ht="27.75" customHeight="1" x14ac:dyDescent="0.2">
      <c r="A221" s="7" t="s">
        <v>1285</v>
      </c>
      <c r="B221" s="8">
        <v>3</v>
      </c>
      <c r="C221" s="8" t="s">
        <v>1099</v>
      </c>
      <c r="D221" s="205"/>
    </row>
    <row r="222" spans="1:4" ht="27.75" customHeight="1" x14ac:dyDescent="0.2">
      <c r="A222" s="7" t="s">
        <v>1286</v>
      </c>
      <c r="B222" s="8">
        <v>3</v>
      </c>
      <c r="C222" s="8" t="s">
        <v>1126</v>
      </c>
      <c r="D222" s="205"/>
    </row>
    <row r="223" spans="1:4" ht="27.75" customHeight="1" x14ac:dyDescent="0.2">
      <c r="A223" s="7" t="s">
        <v>1287</v>
      </c>
      <c r="B223" s="8">
        <v>3</v>
      </c>
      <c r="C223" s="8" t="s">
        <v>1088</v>
      </c>
      <c r="D223" s="205"/>
    </row>
    <row r="224" spans="1:4" ht="27.75" customHeight="1" x14ac:dyDescent="0.2">
      <c r="A224" s="7" t="s">
        <v>1288</v>
      </c>
      <c r="B224" s="8">
        <v>3</v>
      </c>
      <c r="C224" s="8" t="s">
        <v>1130</v>
      </c>
      <c r="D224" s="205"/>
    </row>
    <row r="225" spans="1:4" ht="27.75" customHeight="1" x14ac:dyDescent="0.2">
      <c r="A225" s="7" t="s">
        <v>1289</v>
      </c>
      <c r="B225" s="8">
        <v>3</v>
      </c>
      <c r="C225" s="8" t="s">
        <v>1137</v>
      </c>
      <c r="D225" s="205"/>
    </row>
    <row r="226" spans="1:4" ht="27.75" customHeight="1" x14ac:dyDescent="0.2">
      <c r="A226" s="7" t="s">
        <v>1290</v>
      </c>
      <c r="B226" s="8">
        <v>3</v>
      </c>
      <c r="C226" s="8" t="s">
        <v>1096</v>
      </c>
      <c r="D226" s="205"/>
    </row>
    <row r="227" spans="1:4" ht="27.75" customHeight="1" x14ac:dyDescent="0.2">
      <c r="A227" s="7" t="s">
        <v>1291</v>
      </c>
      <c r="B227" s="8">
        <v>3</v>
      </c>
      <c r="C227" s="8" t="s">
        <v>1110</v>
      </c>
      <c r="D227" s="205"/>
    </row>
    <row r="228" spans="1:4" ht="27.75" customHeight="1" x14ac:dyDescent="0.2">
      <c r="A228" s="7" t="s">
        <v>1292</v>
      </c>
      <c r="B228" s="8">
        <v>3</v>
      </c>
      <c r="C228" s="8" t="s">
        <v>1079</v>
      </c>
      <c r="D228" s="205"/>
    </row>
    <row r="229" spans="1:4" ht="27.75" customHeight="1" x14ac:dyDescent="0.2">
      <c r="A229" s="7" t="s">
        <v>1293</v>
      </c>
      <c r="B229" s="8">
        <v>3</v>
      </c>
      <c r="C229" s="8" t="s">
        <v>1121</v>
      </c>
      <c r="D229" s="205"/>
    </row>
    <row r="230" spans="1:4" ht="27.75" customHeight="1" x14ac:dyDescent="0.2">
      <c r="A230" s="7" t="s">
        <v>1294</v>
      </c>
      <c r="B230" s="8">
        <v>3</v>
      </c>
      <c r="C230" s="8" t="s">
        <v>1112</v>
      </c>
      <c r="D230" s="205"/>
    </row>
    <row r="231" spans="1:4" ht="27.75" customHeight="1" x14ac:dyDescent="0.2">
      <c r="A231" s="7" t="s">
        <v>1295</v>
      </c>
      <c r="B231" s="8">
        <v>3</v>
      </c>
      <c r="C231" s="8" t="s">
        <v>1090</v>
      </c>
      <c r="D231" s="205"/>
    </row>
    <row r="232" spans="1:4" ht="27.75" customHeight="1" x14ac:dyDescent="0.2">
      <c r="A232" s="7" t="s">
        <v>1296</v>
      </c>
      <c r="B232" s="8">
        <v>3</v>
      </c>
      <c r="C232" s="8" t="s">
        <v>1091</v>
      </c>
      <c r="D232" s="205"/>
    </row>
    <row r="233" spans="1:4" ht="27.75" customHeight="1" x14ac:dyDescent="0.2">
      <c r="A233" s="7" t="s">
        <v>1297</v>
      </c>
      <c r="B233" s="8">
        <v>3</v>
      </c>
      <c r="C233" s="8" t="s">
        <v>1076</v>
      </c>
      <c r="D233" s="205"/>
    </row>
    <row r="234" spans="1:4" ht="27.75" customHeight="1" x14ac:dyDescent="0.2">
      <c r="A234" s="7" t="s">
        <v>1298</v>
      </c>
      <c r="B234" s="8">
        <v>3</v>
      </c>
      <c r="C234" s="8" t="s">
        <v>1141</v>
      </c>
      <c r="D234" s="205"/>
    </row>
    <row r="235" spans="1:4" ht="27.75" customHeight="1" x14ac:dyDescent="0.2">
      <c r="A235" s="7" t="s">
        <v>1299</v>
      </c>
      <c r="B235" s="8">
        <v>3</v>
      </c>
      <c r="C235" s="8" t="s">
        <v>1083</v>
      </c>
      <c r="D235" s="205"/>
    </row>
    <row r="236" spans="1:4" ht="27.75" customHeight="1" x14ac:dyDescent="0.2">
      <c r="A236" s="7" t="s">
        <v>1300</v>
      </c>
      <c r="B236" s="8">
        <v>3</v>
      </c>
      <c r="C236" s="8" t="s">
        <v>1102</v>
      </c>
      <c r="D236" s="205"/>
    </row>
    <row r="237" spans="1:4" ht="27.75" customHeight="1" x14ac:dyDescent="0.2">
      <c r="A237" s="7" t="s">
        <v>1301</v>
      </c>
      <c r="B237" s="8">
        <v>3</v>
      </c>
      <c r="C237" s="8" t="s">
        <v>1092</v>
      </c>
      <c r="D237" s="205"/>
    </row>
    <row r="238" spans="1:4" ht="27.75" customHeight="1" x14ac:dyDescent="0.2">
      <c r="A238" s="7" t="s">
        <v>1302</v>
      </c>
      <c r="B238" s="8">
        <v>3</v>
      </c>
      <c r="C238" s="8" t="s">
        <v>1074</v>
      </c>
      <c r="D238" s="205"/>
    </row>
    <row r="239" spans="1:4" ht="27.75" customHeight="1" x14ac:dyDescent="0.2">
      <c r="A239" s="7" t="s">
        <v>1303</v>
      </c>
      <c r="B239" s="8">
        <v>3</v>
      </c>
      <c r="C239" s="8" t="s">
        <v>1091</v>
      </c>
      <c r="D239" s="205">
        <v>5.8163645872799998</v>
      </c>
    </row>
    <row r="240" spans="1:4" ht="27.75" customHeight="1" x14ac:dyDescent="0.2">
      <c r="A240" s="7" t="s">
        <v>1304</v>
      </c>
      <c r="B240" s="8">
        <v>3</v>
      </c>
      <c r="C240" s="8" t="s">
        <v>1137</v>
      </c>
      <c r="D240" s="205"/>
    </row>
    <row r="241" spans="1:4" ht="27.75" customHeight="1" x14ac:dyDescent="0.2">
      <c r="A241" s="7" t="s">
        <v>1305</v>
      </c>
      <c r="B241" s="8">
        <v>3</v>
      </c>
      <c r="C241" s="8" t="s">
        <v>1094</v>
      </c>
      <c r="D241" s="205"/>
    </row>
    <row r="242" spans="1:4" ht="27.75" customHeight="1" x14ac:dyDescent="0.2">
      <c r="A242" s="7" t="s">
        <v>1306</v>
      </c>
      <c r="B242" s="8">
        <v>3</v>
      </c>
      <c r="C242" s="8" t="s">
        <v>1128</v>
      </c>
      <c r="D242" s="205"/>
    </row>
    <row r="243" spans="1:4" ht="27.75" customHeight="1" x14ac:dyDescent="0.2">
      <c r="A243" s="7" t="s">
        <v>1307</v>
      </c>
      <c r="B243" s="8">
        <v>3</v>
      </c>
      <c r="C243" s="8" t="s">
        <v>1094</v>
      </c>
      <c r="D243" s="205"/>
    </row>
    <row r="244" spans="1:4" ht="27.75" customHeight="1" x14ac:dyDescent="0.2">
      <c r="A244" s="7" t="s">
        <v>1308</v>
      </c>
      <c r="B244" s="8">
        <v>3</v>
      </c>
      <c r="C244" s="8" t="s">
        <v>1142</v>
      </c>
      <c r="D244" s="205"/>
    </row>
    <row r="245" spans="1:4" ht="27.75" customHeight="1" x14ac:dyDescent="0.2">
      <c r="A245" s="7" t="s">
        <v>1309</v>
      </c>
      <c r="B245" s="8">
        <v>3</v>
      </c>
      <c r="C245" s="8" t="s">
        <v>1126</v>
      </c>
      <c r="D245" s="205"/>
    </row>
    <row r="246" spans="1:4" ht="27.75" customHeight="1" x14ac:dyDescent="0.2">
      <c r="A246" s="7" t="s">
        <v>1310</v>
      </c>
      <c r="B246" s="8">
        <v>3</v>
      </c>
      <c r="C246" s="8" t="s">
        <v>1094</v>
      </c>
      <c r="D246" s="205"/>
    </row>
    <row r="247" spans="1:4" ht="27.75" customHeight="1" x14ac:dyDescent="0.2">
      <c r="A247" s="7" t="s">
        <v>1311</v>
      </c>
      <c r="B247" s="8">
        <v>3</v>
      </c>
      <c r="C247" s="8" t="s">
        <v>1078</v>
      </c>
      <c r="D247" s="205"/>
    </row>
    <row r="248" spans="1:4" ht="27.75" customHeight="1" x14ac:dyDescent="0.2">
      <c r="A248" s="7" t="s">
        <v>1312</v>
      </c>
      <c r="B248" s="8">
        <v>3</v>
      </c>
      <c r="C248" s="8" t="s">
        <v>1080</v>
      </c>
      <c r="D248" s="205"/>
    </row>
    <row r="249" spans="1:4" ht="27.75" customHeight="1" x14ac:dyDescent="0.2">
      <c r="A249" s="7" t="s">
        <v>1313</v>
      </c>
      <c r="B249" s="8">
        <v>3</v>
      </c>
      <c r="C249" s="8" t="s">
        <v>1103</v>
      </c>
      <c r="D249" s="205"/>
    </row>
    <row r="250" spans="1:4" ht="27.75" customHeight="1" x14ac:dyDescent="0.2">
      <c r="A250" s="7" t="s">
        <v>1314</v>
      </c>
      <c r="B250" s="8">
        <v>3</v>
      </c>
      <c r="C250" s="8" t="s">
        <v>1117</v>
      </c>
      <c r="D250" s="205"/>
    </row>
    <row r="251" spans="1:4" ht="27.75" customHeight="1" x14ac:dyDescent="0.2">
      <c r="A251" s="7" t="s">
        <v>1315</v>
      </c>
      <c r="B251" s="8">
        <v>3</v>
      </c>
      <c r="C251" s="8" t="s">
        <v>1107</v>
      </c>
      <c r="D251" s="205"/>
    </row>
    <row r="252" spans="1:4" ht="27.75" customHeight="1" x14ac:dyDescent="0.2">
      <c r="A252" s="7" t="s">
        <v>1316</v>
      </c>
      <c r="B252" s="8">
        <v>3</v>
      </c>
      <c r="C252" s="8" t="s">
        <v>1082</v>
      </c>
      <c r="D252" s="205"/>
    </row>
    <row r="253" spans="1:4" ht="27.75" customHeight="1" x14ac:dyDescent="0.2">
      <c r="A253" s="7" t="s">
        <v>1317</v>
      </c>
      <c r="B253" s="8">
        <v>3</v>
      </c>
      <c r="C253" s="8" t="s">
        <v>1092</v>
      </c>
      <c r="D253" s="205"/>
    </row>
    <row r="254" spans="1:4" ht="27.75" customHeight="1" x14ac:dyDescent="0.2">
      <c r="A254" s="7" t="s">
        <v>1318</v>
      </c>
      <c r="B254" s="8">
        <v>3</v>
      </c>
      <c r="C254" s="8" t="s">
        <v>1122</v>
      </c>
      <c r="D254" s="205"/>
    </row>
    <row r="255" spans="1:4" ht="27.75" customHeight="1" x14ac:dyDescent="0.2">
      <c r="A255" s="7" t="s">
        <v>1319</v>
      </c>
      <c r="B255" s="8">
        <v>3</v>
      </c>
      <c r="C255" s="8" t="s">
        <v>1080</v>
      </c>
      <c r="D255" s="205"/>
    </row>
    <row r="256" spans="1:4" ht="27.75" customHeight="1" x14ac:dyDescent="0.2">
      <c r="A256" s="7" t="s">
        <v>1320</v>
      </c>
      <c r="B256" s="8">
        <v>3</v>
      </c>
      <c r="C256" s="8" t="s">
        <v>1129</v>
      </c>
      <c r="D256" s="205"/>
    </row>
    <row r="257" spans="1:4" ht="27.75" customHeight="1" x14ac:dyDescent="0.2">
      <c r="A257" s="7" t="s">
        <v>1321</v>
      </c>
      <c r="B257" s="8">
        <v>3</v>
      </c>
      <c r="C257" s="8" t="s">
        <v>1069</v>
      </c>
      <c r="D257" s="205"/>
    </row>
    <row r="258" spans="1:4" ht="27.75" customHeight="1" x14ac:dyDescent="0.2">
      <c r="A258" s="7" t="s">
        <v>1322</v>
      </c>
      <c r="B258" s="8">
        <v>3</v>
      </c>
      <c r="C258" s="8" t="s">
        <v>1094</v>
      </c>
      <c r="D258" s="205"/>
    </row>
    <row r="259" spans="1:4" ht="27.75" customHeight="1" x14ac:dyDescent="0.2">
      <c r="A259" s="7" t="s">
        <v>1323</v>
      </c>
      <c r="B259" s="8">
        <v>3</v>
      </c>
      <c r="C259" s="8" t="s">
        <v>1124</v>
      </c>
      <c r="D259" s="205"/>
    </row>
    <row r="260" spans="1:4" ht="27.75" customHeight="1" x14ac:dyDescent="0.2">
      <c r="A260" s="7" t="s">
        <v>1324</v>
      </c>
      <c r="B260" s="8">
        <v>3</v>
      </c>
      <c r="C260" s="8" t="s">
        <v>1129</v>
      </c>
      <c r="D260" s="205"/>
    </row>
    <row r="261" spans="1:4" ht="27.75" customHeight="1" x14ac:dyDescent="0.2">
      <c r="A261" s="7" t="s">
        <v>1325</v>
      </c>
      <c r="B261" s="8">
        <v>3</v>
      </c>
      <c r="C261" s="8" t="s">
        <v>1115</v>
      </c>
      <c r="D261" s="205"/>
    </row>
    <row r="262" spans="1:4" ht="27.75" customHeight="1" x14ac:dyDescent="0.2">
      <c r="A262" s="7" t="s">
        <v>1326</v>
      </c>
      <c r="B262" s="8">
        <v>3</v>
      </c>
      <c r="C262" s="8" t="s">
        <v>1136</v>
      </c>
      <c r="D262" s="205"/>
    </row>
    <row r="263" spans="1:4" ht="27.75" customHeight="1" x14ac:dyDescent="0.2">
      <c r="A263" s="7" t="s">
        <v>1327</v>
      </c>
      <c r="B263" s="8">
        <v>3</v>
      </c>
      <c r="C263" s="8" t="s">
        <v>1120</v>
      </c>
      <c r="D263" s="205"/>
    </row>
    <row r="264" spans="1:4" ht="27.75" customHeight="1" x14ac:dyDescent="0.2">
      <c r="A264" s="7" t="s">
        <v>1328</v>
      </c>
      <c r="B264" s="8">
        <v>3</v>
      </c>
      <c r="C264" s="8" t="s">
        <v>1134</v>
      </c>
      <c r="D264" s="205"/>
    </row>
    <row r="265" spans="1:4" ht="27.75" customHeight="1" x14ac:dyDescent="0.2">
      <c r="A265" s="7" t="s">
        <v>1329</v>
      </c>
      <c r="B265" s="8">
        <v>3</v>
      </c>
      <c r="C265" s="8" t="s">
        <v>1083</v>
      </c>
      <c r="D265" s="205"/>
    </row>
    <row r="266" spans="1:4" ht="27.75" customHeight="1" x14ac:dyDescent="0.2">
      <c r="A266" s="7" t="s">
        <v>1330</v>
      </c>
      <c r="B266" s="8">
        <v>3</v>
      </c>
      <c r="C266" s="8" t="s">
        <v>1076</v>
      </c>
      <c r="D266" s="205"/>
    </row>
    <row r="267" spans="1:4" ht="27.75" customHeight="1" x14ac:dyDescent="0.2">
      <c r="A267" s="7" t="s">
        <v>1331</v>
      </c>
      <c r="B267" s="8">
        <v>3</v>
      </c>
      <c r="C267" s="8" t="s">
        <v>1111</v>
      </c>
      <c r="D267" s="205"/>
    </row>
    <row r="268" spans="1:4" ht="27.75" customHeight="1" x14ac:dyDescent="0.2">
      <c r="A268" s="7" t="s">
        <v>1332</v>
      </c>
      <c r="B268" s="8">
        <v>3</v>
      </c>
      <c r="C268" s="8" t="s">
        <v>1084</v>
      </c>
      <c r="D268" s="205"/>
    </row>
    <row r="269" spans="1:4" ht="27.75" customHeight="1" x14ac:dyDescent="0.2">
      <c r="A269" s="7" t="s">
        <v>1333</v>
      </c>
      <c r="B269" s="8">
        <v>3</v>
      </c>
      <c r="C269" s="8" t="s">
        <v>1133</v>
      </c>
      <c r="D269" s="205"/>
    </row>
    <row r="270" spans="1:4" ht="27.75" customHeight="1" x14ac:dyDescent="0.2">
      <c r="A270" s="7" t="s">
        <v>1334</v>
      </c>
      <c r="B270" s="8">
        <v>3</v>
      </c>
      <c r="C270" s="8" t="s">
        <v>1069</v>
      </c>
      <c r="D270" s="205"/>
    </row>
    <row r="271" spans="1:4" ht="27.75" customHeight="1" x14ac:dyDescent="0.2">
      <c r="A271" s="7" t="s">
        <v>1335</v>
      </c>
      <c r="B271" s="8">
        <v>3</v>
      </c>
      <c r="C271" s="8" t="s">
        <v>1140</v>
      </c>
      <c r="D271" s="205"/>
    </row>
    <row r="272" spans="1:4" ht="27.75" customHeight="1" x14ac:dyDescent="0.2">
      <c r="A272" s="7" t="s">
        <v>1336</v>
      </c>
      <c r="B272" s="8">
        <v>3</v>
      </c>
      <c r="C272" s="8" t="s">
        <v>1099</v>
      </c>
      <c r="D272" s="205"/>
    </row>
    <row r="273" spans="1:4" ht="27.75" customHeight="1" x14ac:dyDescent="0.2">
      <c r="A273" s="7" t="s">
        <v>1337</v>
      </c>
      <c r="B273" s="8">
        <v>3</v>
      </c>
      <c r="C273" s="8" t="s">
        <v>1078</v>
      </c>
      <c r="D273" s="205"/>
    </row>
    <row r="274" spans="1:4" ht="27.75" customHeight="1" x14ac:dyDescent="0.2">
      <c r="A274" s="7" t="s">
        <v>1338</v>
      </c>
      <c r="B274" s="8">
        <v>3</v>
      </c>
      <c r="C274" s="8" t="s">
        <v>1110</v>
      </c>
      <c r="D274" s="205"/>
    </row>
    <row r="275" spans="1:4" ht="27.75" customHeight="1" x14ac:dyDescent="0.2">
      <c r="A275" s="7" t="s">
        <v>1339</v>
      </c>
      <c r="B275" s="8">
        <v>3</v>
      </c>
      <c r="C275" s="8" t="s">
        <v>1083</v>
      </c>
      <c r="D275" s="205"/>
    </row>
    <row r="276" spans="1:4" ht="27.75" customHeight="1" x14ac:dyDescent="0.2">
      <c r="A276" s="7" t="s">
        <v>1340</v>
      </c>
      <c r="B276" s="8">
        <v>3</v>
      </c>
      <c r="C276" s="8" t="s">
        <v>1093</v>
      </c>
      <c r="D276" s="205"/>
    </row>
    <row r="277" spans="1:4" ht="27.75" customHeight="1" x14ac:dyDescent="0.2">
      <c r="A277" s="7" t="s">
        <v>1341</v>
      </c>
      <c r="B277" s="8">
        <v>3</v>
      </c>
      <c r="C277" s="8" t="s">
        <v>1070</v>
      </c>
      <c r="D277" s="205"/>
    </row>
    <row r="278" spans="1:4" ht="27.75" customHeight="1" x14ac:dyDescent="0.2">
      <c r="A278" s="7" t="s">
        <v>1342</v>
      </c>
      <c r="B278" s="8">
        <v>3</v>
      </c>
      <c r="C278" s="8" t="s">
        <v>1113</v>
      </c>
      <c r="D278" s="205"/>
    </row>
    <row r="279" spans="1:4" ht="27.75" customHeight="1" x14ac:dyDescent="0.2">
      <c r="A279" s="7" t="s">
        <v>1343</v>
      </c>
      <c r="B279" s="8">
        <v>3</v>
      </c>
      <c r="C279" s="8" t="s">
        <v>1069</v>
      </c>
      <c r="D279" s="205"/>
    </row>
    <row r="280" spans="1:4" ht="27.75" customHeight="1" x14ac:dyDescent="0.2">
      <c r="A280" s="7" t="s">
        <v>1344</v>
      </c>
      <c r="B280" s="8">
        <v>3</v>
      </c>
      <c r="C280" s="8" t="s">
        <v>1101</v>
      </c>
      <c r="D280" s="205"/>
    </row>
    <row r="281" spans="1:4" ht="27.75" customHeight="1" x14ac:dyDescent="0.2">
      <c r="A281" s="7" t="s">
        <v>1345</v>
      </c>
      <c r="B281" s="8">
        <v>3</v>
      </c>
      <c r="C281" s="8" t="s">
        <v>1095</v>
      </c>
      <c r="D281" s="205">
        <v>2.2317222087099999</v>
      </c>
    </row>
    <row r="282" spans="1:4" ht="27.75" customHeight="1" x14ac:dyDescent="0.2">
      <c r="A282" s="7" t="s">
        <v>1346</v>
      </c>
      <c r="B282" s="8">
        <v>3</v>
      </c>
      <c r="C282" s="8" t="s">
        <v>1091</v>
      </c>
      <c r="D282" s="205"/>
    </row>
    <row r="283" spans="1:4" ht="27.75" customHeight="1" x14ac:dyDescent="0.2">
      <c r="A283" s="7" t="s">
        <v>1347</v>
      </c>
      <c r="B283" s="8">
        <v>3</v>
      </c>
      <c r="C283" s="8" t="s">
        <v>1110</v>
      </c>
      <c r="D283" s="205"/>
    </row>
    <row r="284" spans="1:4" ht="27.75" customHeight="1" x14ac:dyDescent="0.2">
      <c r="A284" s="7" t="s">
        <v>1348</v>
      </c>
      <c r="B284" s="8">
        <v>3</v>
      </c>
      <c r="C284" s="8" t="s">
        <v>1109</v>
      </c>
      <c r="D284" s="205"/>
    </row>
    <row r="285" spans="1:4" ht="27.75" customHeight="1" x14ac:dyDescent="0.2">
      <c r="A285" s="7" t="s">
        <v>1349</v>
      </c>
      <c r="B285" s="8">
        <v>3</v>
      </c>
      <c r="C285" s="8" t="s">
        <v>1077</v>
      </c>
      <c r="D285" s="205"/>
    </row>
    <row r="286" spans="1:4" ht="27.75" customHeight="1" x14ac:dyDescent="0.2">
      <c r="A286" s="7" t="s">
        <v>1350</v>
      </c>
      <c r="B286" s="8">
        <v>3</v>
      </c>
      <c r="C286" s="8" t="s">
        <v>1109</v>
      </c>
      <c r="D286" s="205"/>
    </row>
    <row r="287" spans="1:4" ht="27.75" customHeight="1" x14ac:dyDescent="0.2">
      <c r="A287" s="7" t="s">
        <v>1351</v>
      </c>
      <c r="B287" s="8">
        <v>3</v>
      </c>
      <c r="C287" s="8" t="s">
        <v>1117</v>
      </c>
      <c r="D287" s="205"/>
    </row>
    <row r="288" spans="1:4" ht="27.75" customHeight="1" x14ac:dyDescent="0.2">
      <c r="A288" s="7" t="s">
        <v>1352</v>
      </c>
      <c r="B288" s="8">
        <v>3</v>
      </c>
      <c r="C288" s="8" t="s">
        <v>1079</v>
      </c>
      <c r="D288" s="205"/>
    </row>
    <row r="289" spans="1:4" ht="27.75" customHeight="1" x14ac:dyDescent="0.2">
      <c r="A289" s="7" t="s">
        <v>1353</v>
      </c>
      <c r="B289" s="8">
        <v>3</v>
      </c>
      <c r="C289" s="8" t="s">
        <v>1103</v>
      </c>
      <c r="D289" s="205"/>
    </row>
    <row r="290" spans="1:4" ht="27.75" customHeight="1" x14ac:dyDescent="0.2">
      <c r="A290" s="7" t="s">
        <v>1354</v>
      </c>
      <c r="B290" s="8">
        <v>3</v>
      </c>
      <c r="C290" s="8" t="s">
        <v>1119</v>
      </c>
      <c r="D290" s="205"/>
    </row>
    <row r="291" spans="1:4" ht="27.75" customHeight="1" x14ac:dyDescent="0.2">
      <c r="A291" s="7" t="s">
        <v>1355</v>
      </c>
      <c r="B291" s="8">
        <v>3</v>
      </c>
      <c r="C291" s="8" t="s">
        <v>1120</v>
      </c>
      <c r="D291" s="205"/>
    </row>
    <row r="292" spans="1:4" ht="27.75" customHeight="1" x14ac:dyDescent="0.2">
      <c r="A292" s="7" t="s">
        <v>1356</v>
      </c>
      <c r="B292" s="8">
        <v>3</v>
      </c>
      <c r="C292" s="8" t="s">
        <v>1104</v>
      </c>
      <c r="D292" s="205"/>
    </row>
    <row r="293" spans="1:4" ht="27.75" customHeight="1" x14ac:dyDescent="0.2">
      <c r="A293" s="7" t="s">
        <v>1357</v>
      </c>
      <c r="B293" s="8">
        <v>3</v>
      </c>
      <c r="C293" s="8" t="s">
        <v>1094</v>
      </c>
      <c r="D293" s="205"/>
    </row>
    <row r="294" spans="1:4" ht="27.75" customHeight="1" x14ac:dyDescent="0.2">
      <c r="A294" s="7" t="s">
        <v>1358</v>
      </c>
      <c r="B294" s="8">
        <v>3</v>
      </c>
      <c r="C294" s="8" t="s">
        <v>1081</v>
      </c>
      <c r="D294" s="205">
        <v>6.1623040167700003</v>
      </c>
    </row>
    <row r="295" spans="1:4" ht="27.75" customHeight="1" x14ac:dyDescent="0.2">
      <c r="A295" s="7" t="s">
        <v>1359</v>
      </c>
      <c r="B295" s="8">
        <v>3</v>
      </c>
      <c r="C295" s="8" t="s">
        <v>1107</v>
      </c>
      <c r="D295" s="205"/>
    </row>
    <row r="296" spans="1:4" ht="27.75" customHeight="1" x14ac:dyDescent="0.2">
      <c r="A296" s="7" t="s">
        <v>1360</v>
      </c>
      <c r="B296" s="8">
        <v>3</v>
      </c>
      <c r="C296" s="8" t="s">
        <v>1079</v>
      </c>
      <c r="D296" s="205"/>
    </row>
    <row r="297" spans="1:4" ht="27.75" customHeight="1" x14ac:dyDescent="0.2">
      <c r="A297" s="7" t="s">
        <v>1361</v>
      </c>
      <c r="B297" s="8">
        <v>3</v>
      </c>
      <c r="C297" s="8" t="s">
        <v>1093</v>
      </c>
      <c r="D297" s="205"/>
    </row>
    <row r="298" spans="1:4" ht="27.75" customHeight="1" x14ac:dyDescent="0.2">
      <c r="A298" s="7" t="s">
        <v>1362</v>
      </c>
      <c r="B298" s="8">
        <v>3</v>
      </c>
      <c r="C298" s="8" t="s">
        <v>1071</v>
      </c>
      <c r="D298" s="205"/>
    </row>
    <row r="299" spans="1:4" ht="27.75" customHeight="1" x14ac:dyDescent="0.2">
      <c r="A299" s="7" t="s">
        <v>1363</v>
      </c>
      <c r="B299" s="8">
        <v>3</v>
      </c>
      <c r="C299" s="8" t="s">
        <v>1088</v>
      </c>
      <c r="D299" s="205"/>
    </row>
    <row r="300" spans="1:4" ht="27.75" customHeight="1" x14ac:dyDescent="0.2">
      <c r="A300" s="7" t="s">
        <v>1364</v>
      </c>
      <c r="B300" s="8">
        <v>3</v>
      </c>
      <c r="C300" s="8" t="s">
        <v>1104</v>
      </c>
      <c r="D300" s="205"/>
    </row>
    <row r="301" spans="1:4" ht="27.75" customHeight="1" x14ac:dyDescent="0.2">
      <c r="A301" s="7" t="s">
        <v>1365</v>
      </c>
      <c r="B301" s="8">
        <v>3</v>
      </c>
      <c r="C301" s="8" t="s">
        <v>1110</v>
      </c>
      <c r="D301" s="205"/>
    </row>
    <row r="302" spans="1:4" ht="27.75" customHeight="1" x14ac:dyDescent="0.2">
      <c r="A302" s="7" t="s">
        <v>1366</v>
      </c>
      <c r="B302" s="8">
        <v>3</v>
      </c>
      <c r="C302" s="8" t="s">
        <v>1116</v>
      </c>
      <c r="D302" s="205"/>
    </row>
    <row r="303" spans="1:4" ht="27.75" customHeight="1" x14ac:dyDescent="0.2">
      <c r="A303" s="7" t="s">
        <v>1367</v>
      </c>
      <c r="B303" s="8">
        <v>3</v>
      </c>
      <c r="C303" s="8" t="s">
        <v>1090</v>
      </c>
      <c r="D303" s="205"/>
    </row>
    <row r="304" spans="1:4" ht="27.75" customHeight="1" x14ac:dyDescent="0.2">
      <c r="A304" s="7" t="s">
        <v>1368</v>
      </c>
      <c r="B304" s="8">
        <v>3</v>
      </c>
      <c r="C304" s="8" t="s">
        <v>1089</v>
      </c>
      <c r="D304" s="205"/>
    </row>
    <row r="305" spans="1:4" ht="27.75" customHeight="1" x14ac:dyDescent="0.2">
      <c r="A305" s="7" t="s">
        <v>1369</v>
      </c>
      <c r="B305" s="8">
        <v>3</v>
      </c>
      <c r="C305" s="8" t="s">
        <v>1122</v>
      </c>
      <c r="D305" s="205"/>
    </row>
    <row r="306" spans="1:4" ht="27.75" customHeight="1" x14ac:dyDescent="0.2">
      <c r="A306" s="7" t="s">
        <v>1370</v>
      </c>
      <c r="B306" s="8">
        <v>3</v>
      </c>
      <c r="C306" s="8" t="s">
        <v>1143</v>
      </c>
      <c r="D306" s="205"/>
    </row>
    <row r="307" spans="1:4" ht="27.75" customHeight="1" x14ac:dyDescent="0.2">
      <c r="A307" s="7" t="s">
        <v>1371</v>
      </c>
      <c r="B307" s="8">
        <v>3</v>
      </c>
      <c r="C307" s="8" t="s">
        <v>1100</v>
      </c>
      <c r="D307" s="205"/>
    </row>
    <row r="308" spans="1:4" ht="27.75" customHeight="1" x14ac:dyDescent="0.2">
      <c r="A308" s="7" t="s">
        <v>1372</v>
      </c>
      <c r="B308" s="8">
        <v>3</v>
      </c>
      <c r="C308" s="8" t="s">
        <v>1078</v>
      </c>
      <c r="D308" s="205"/>
    </row>
    <row r="309" spans="1:4" ht="27.75" customHeight="1" x14ac:dyDescent="0.2">
      <c r="A309" s="7" t="s">
        <v>1373</v>
      </c>
      <c r="B309" s="8">
        <v>3</v>
      </c>
      <c r="C309" s="8" t="s">
        <v>1083</v>
      </c>
      <c r="D309" s="205"/>
    </row>
    <row r="310" spans="1:4" ht="27.75" customHeight="1" x14ac:dyDescent="0.2">
      <c r="A310" s="7" t="s">
        <v>1374</v>
      </c>
      <c r="B310" s="8">
        <v>3</v>
      </c>
      <c r="C310" s="8" t="s">
        <v>1094</v>
      </c>
      <c r="D310" s="205">
        <v>5.1304662090599997</v>
      </c>
    </row>
    <row r="311" spans="1:4" ht="27.75" customHeight="1" x14ac:dyDescent="0.2">
      <c r="A311" s="7" t="s">
        <v>1375</v>
      </c>
      <c r="B311" s="8">
        <v>3</v>
      </c>
      <c r="C311" s="8" t="s">
        <v>1143</v>
      </c>
      <c r="D311" s="205"/>
    </row>
    <row r="312" spans="1:4" ht="27.75" customHeight="1" x14ac:dyDescent="0.2">
      <c r="A312" s="7" t="s">
        <v>1376</v>
      </c>
      <c r="B312" s="8">
        <v>3</v>
      </c>
      <c r="C312" s="8" t="s">
        <v>1123</v>
      </c>
      <c r="D312" s="205"/>
    </row>
    <row r="313" spans="1:4" ht="27.75" customHeight="1" x14ac:dyDescent="0.2">
      <c r="A313" s="7" t="s">
        <v>1377</v>
      </c>
      <c r="B313" s="8">
        <v>3</v>
      </c>
      <c r="C313" s="8" t="s">
        <v>1110</v>
      </c>
      <c r="D313" s="205"/>
    </row>
    <row r="314" spans="1:4" ht="27.75" customHeight="1" x14ac:dyDescent="0.2">
      <c r="A314" s="7" t="s">
        <v>1378</v>
      </c>
      <c r="B314" s="8">
        <v>3</v>
      </c>
      <c r="C314" s="8" t="s">
        <v>1110</v>
      </c>
      <c r="D314" s="205"/>
    </row>
    <row r="315" spans="1:4" ht="27.75" customHeight="1" x14ac:dyDescent="0.2">
      <c r="A315" s="7" t="s">
        <v>1379</v>
      </c>
      <c r="B315" s="8">
        <v>3</v>
      </c>
      <c r="C315" s="8" t="s">
        <v>1087</v>
      </c>
      <c r="D315" s="205"/>
    </row>
    <row r="316" spans="1:4" ht="27.75" customHeight="1" x14ac:dyDescent="0.2">
      <c r="A316" s="7" t="s">
        <v>1380</v>
      </c>
      <c r="B316" s="8">
        <v>3</v>
      </c>
      <c r="C316" s="8" t="s">
        <v>1129</v>
      </c>
      <c r="D316" s="205"/>
    </row>
    <row r="317" spans="1:4" ht="27.75" customHeight="1" x14ac:dyDescent="0.2">
      <c r="A317" s="7" t="s">
        <v>1381</v>
      </c>
      <c r="B317" s="8">
        <v>3</v>
      </c>
      <c r="C317" s="8" t="s">
        <v>1093</v>
      </c>
      <c r="D317" s="205"/>
    </row>
    <row r="318" spans="1:4" ht="27.75" customHeight="1" x14ac:dyDescent="0.2">
      <c r="A318" s="7" t="s">
        <v>1382</v>
      </c>
      <c r="B318" s="8">
        <v>3</v>
      </c>
      <c r="C318" s="8" t="s">
        <v>1141</v>
      </c>
      <c r="D318" s="205"/>
    </row>
    <row r="319" spans="1:4" ht="27.75" customHeight="1" x14ac:dyDescent="0.2">
      <c r="A319" s="7" t="s">
        <v>1383</v>
      </c>
      <c r="B319" s="8">
        <v>3</v>
      </c>
      <c r="C319" s="8" t="s">
        <v>1125</v>
      </c>
      <c r="D319" s="205"/>
    </row>
    <row r="320" spans="1:4" ht="27.75" customHeight="1" x14ac:dyDescent="0.2">
      <c r="A320" s="7" t="s">
        <v>1384</v>
      </c>
      <c r="B320" s="8">
        <v>3</v>
      </c>
      <c r="C320" s="8" t="s">
        <v>1141</v>
      </c>
      <c r="D320" s="205"/>
    </row>
    <row r="321" spans="1:4" ht="27.75" customHeight="1" x14ac:dyDescent="0.2">
      <c r="A321" s="7" t="s">
        <v>1385</v>
      </c>
      <c r="B321" s="8">
        <v>3</v>
      </c>
      <c r="C321" s="8" t="s">
        <v>1123</v>
      </c>
      <c r="D321" s="205"/>
    </row>
    <row r="322" spans="1:4" ht="27.75" customHeight="1" x14ac:dyDescent="0.2">
      <c r="A322" s="7" t="s">
        <v>1386</v>
      </c>
      <c r="B322" s="8">
        <v>3</v>
      </c>
      <c r="C322" s="8" t="s">
        <v>1140</v>
      </c>
      <c r="D322" s="205"/>
    </row>
    <row r="323" spans="1:4" ht="27.75" customHeight="1" x14ac:dyDescent="0.2">
      <c r="A323" s="7" t="s">
        <v>1387</v>
      </c>
      <c r="B323" s="8">
        <v>3</v>
      </c>
      <c r="C323" s="8" t="s">
        <v>1081</v>
      </c>
      <c r="D323" s="205"/>
    </row>
    <row r="324" spans="1:4" ht="27.75" customHeight="1" x14ac:dyDescent="0.2">
      <c r="A324" s="7" t="s">
        <v>1388</v>
      </c>
      <c r="B324" s="8">
        <v>3</v>
      </c>
      <c r="C324" s="8" t="s">
        <v>1076</v>
      </c>
      <c r="D324" s="205"/>
    </row>
    <row r="325" spans="1:4" ht="27.75" customHeight="1" x14ac:dyDescent="0.2">
      <c r="A325" s="7" t="s">
        <v>1389</v>
      </c>
      <c r="B325" s="8">
        <v>3</v>
      </c>
      <c r="C325" s="8" t="s">
        <v>1078</v>
      </c>
      <c r="D325" s="205"/>
    </row>
    <row r="326" spans="1:4" ht="27.75" customHeight="1" x14ac:dyDescent="0.2">
      <c r="A326" s="7" t="s">
        <v>1390</v>
      </c>
      <c r="B326" s="8">
        <v>3</v>
      </c>
      <c r="C326" s="8" t="s">
        <v>1106</v>
      </c>
      <c r="D326" s="205"/>
    </row>
    <row r="327" spans="1:4" ht="27.75" customHeight="1" x14ac:dyDescent="0.2">
      <c r="A327" s="7" t="s">
        <v>1391</v>
      </c>
      <c r="B327" s="8">
        <v>3</v>
      </c>
      <c r="C327" s="8" t="s">
        <v>1083</v>
      </c>
      <c r="D327" s="205"/>
    </row>
    <row r="328" spans="1:4" ht="27.75" customHeight="1" x14ac:dyDescent="0.2">
      <c r="A328" s="7" t="s">
        <v>1392</v>
      </c>
      <c r="B328" s="8">
        <v>3</v>
      </c>
      <c r="C328" s="8" t="s">
        <v>1092</v>
      </c>
      <c r="D328" s="205"/>
    </row>
    <row r="329" spans="1:4" ht="27.75" customHeight="1" x14ac:dyDescent="0.2">
      <c r="A329" s="7" t="s">
        <v>1393</v>
      </c>
      <c r="B329" s="8">
        <v>3</v>
      </c>
      <c r="C329" s="8" t="s">
        <v>1138</v>
      </c>
      <c r="D329" s="205"/>
    </row>
    <row r="330" spans="1:4" ht="27.75" customHeight="1" x14ac:dyDescent="0.2">
      <c r="A330" s="7" t="s">
        <v>1394</v>
      </c>
      <c r="B330" s="8">
        <v>3</v>
      </c>
      <c r="C330" s="8" t="s">
        <v>1078</v>
      </c>
      <c r="D330" s="205"/>
    </row>
    <row r="331" spans="1:4" ht="27.75" customHeight="1" x14ac:dyDescent="0.2">
      <c r="A331" s="7" t="s">
        <v>1395</v>
      </c>
      <c r="B331" s="8">
        <v>3</v>
      </c>
      <c r="C331" s="8" t="s">
        <v>1143</v>
      </c>
      <c r="D331" s="205"/>
    </row>
    <row r="332" spans="1:4" ht="27.75" customHeight="1" x14ac:dyDescent="0.2">
      <c r="A332" s="7" t="s">
        <v>1396</v>
      </c>
      <c r="B332" s="8">
        <v>3</v>
      </c>
      <c r="C332" s="8" t="s">
        <v>1101</v>
      </c>
      <c r="D332" s="205"/>
    </row>
    <row r="333" spans="1:4" ht="27.75" customHeight="1" x14ac:dyDescent="0.2">
      <c r="A333" s="7" t="s">
        <v>1397</v>
      </c>
      <c r="B333" s="8">
        <v>3</v>
      </c>
      <c r="C333" s="8" t="s">
        <v>1131</v>
      </c>
      <c r="D333" s="205"/>
    </row>
    <row r="334" spans="1:4" ht="27.75" customHeight="1" x14ac:dyDescent="0.2">
      <c r="A334" s="7" t="s">
        <v>1398</v>
      </c>
      <c r="B334" s="8">
        <v>3</v>
      </c>
      <c r="C334" s="8" t="s">
        <v>1141</v>
      </c>
      <c r="D334" s="205"/>
    </row>
    <row r="335" spans="1:4" ht="27.75" customHeight="1" x14ac:dyDescent="0.2">
      <c r="A335" s="7" t="s">
        <v>1399</v>
      </c>
      <c r="B335" s="8">
        <v>3</v>
      </c>
      <c r="C335" s="8" t="s">
        <v>1144</v>
      </c>
      <c r="D335" s="205"/>
    </row>
    <row r="336" spans="1:4" ht="27.75" customHeight="1" x14ac:dyDescent="0.2">
      <c r="A336" s="7" t="s">
        <v>1400</v>
      </c>
      <c r="B336" s="8">
        <v>3</v>
      </c>
      <c r="C336" s="8" t="s">
        <v>1085</v>
      </c>
      <c r="D336" s="205"/>
    </row>
    <row r="337" spans="1:4" ht="27.75" customHeight="1" x14ac:dyDescent="0.2">
      <c r="A337" s="7" t="s">
        <v>1401</v>
      </c>
      <c r="B337" s="8">
        <v>3</v>
      </c>
      <c r="C337" s="8" t="s">
        <v>1104</v>
      </c>
      <c r="D337" s="205"/>
    </row>
    <row r="338" spans="1:4" ht="27.75" customHeight="1" x14ac:dyDescent="0.2">
      <c r="A338" s="7" t="s">
        <v>1402</v>
      </c>
      <c r="B338" s="8">
        <v>3</v>
      </c>
      <c r="C338" s="8" t="s">
        <v>1109</v>
      </c>
      <c r="D338" s="205"/>
    </row>
    <row r="339" spans="1:4" ht="27.75" customHeight="1" x14ac:dyDescent="0.2">
      <c r="A339" s="7" t="s">
        <v>1403</v>
      </c>
      <c r="B339" s="8">
        <v>3</v>
      </c>
      <c r="C339" s="8" t="s">
        <v>1073</v>
      </c>
      <c r="D339" s="205"/>
    </row>
    <row r="340" spans="1:4" ht="27.75" customHeight="1" x14ac:dyDescent="0.2">
      <c r="A340" s="7" t="s">
        <v>1404</v>
      </c>
      <c r="B340" s="8">
        <v>3</v>
      </c>
      <c r="C340" s="8" t="s">
        <v>1142</v>
      </c>
      <c r="D340" s="205"/>
    </row>
    <row r="341" spans="1:4" ht="27.75" customHeight="1" x14ac:dyDescent="0.2">
      <c r="A341" s="7" t="s">
        <v>1405</v>
      </c>
      <c r="B341" s="8">
        <v>3</v>
      </c>
      <c r="C341" s="8" t="s">
        <v>1085</v>
      </c>
      <c r="D341" s="205"/>
    </row>
    <row r="342" spans="1:4" ht="27.75" customHeight="1" x14ac:dyDescent="0.2">
      <c r="A342" s="7" t="s">
        <v>1406</v>
      </c>
      <c r="B342" s="8">
        <v>3</v>
      </c>
      <c r="C342" s="8" t="s">
        <v>1088</v>
      </c>
      <c r="D342" s="205"/>
    </row>
    <row r="343" spans="1:4" ht="27.75" customHeight="1" x14ac:dyDescent="0.2">
      <c r="A343" s="7" t="s">
        <v>1407</v>
      </c>
      <c r="B343" s="8">
        <v>3</v>
      </c>
      <c r="C343" s="8" t="s">
        <v>1093</v>
      </c>
      <c r="D343" s="205"/>
    </row>
    <row r="344" spans="1:4" ht="27.75" customHeight="1" x14ac:dyDescent="0.2">
      <c r="A344" s="7" t="s">
        <v>1408</v>
      </c>
      <c r="B344" s="8">
        <v>3</v>
      </c>
      <c r="C344" s="8" t="s">
        <v>1075</v>
      </c>
      <c r="D344" s="205"/>
    </row>
    <row r="345" spans="1:4" ht="27.75" customHeight="1" x14ac:dyDescent="0.2">
      <c r="A345" s="7" t="s">
        <v>1409</v>
      </c>
      <c r="B345" s="8">
        <v>3</v>
      </c>
      <c r="C345" s="8" t="s">
        <v>1107</v>
      </c>
      <c r="D345" s="205"/>
    </row>
    <row r="346" spans="1:4" ht="27.75" customHeight="1" x14ac:dyDescent="0.2">
      <c r="A346" s="7" t="s">
        <v>1410</v>
      </c>
      <c r="B346" s="8">
        <v>3</v>
      </c>
      <c r="C346" s="8" t="s">
        <v>1101</v>
      </c>
      <c r="D346" s="205"/>
    </row>
    <row r="347" spans="1:4" ht="27.75" customHeight="1" x14ac:dyDescent="0.2">
      <c r="A347" s="7" t="s">
        <v>1411</v>
      </c>
      <c r="B347" s="8">
        <v>3</v>
      </c>
      <c r="C347" s="8" t="s">
        <v>1100</v>
      </c>
      <c r="D347" s="205"/>
    </row>
    <row r="348" spans="1:4" ht="27.75" customHeight="1" x14ac:dyDescent="0.2">
      <c r="A348" s="7" t="s">
        <v>1412</v>
      </c>
      <c r="B348" s="8">
        <v>3</v>
      </c>
      <c r="C348" s="8" t="s">
        <v>1074</v>
      </c>
      <c r="D348" s="205"/>
    </row>
    <row r="349" spans="1:4" ht="27.75" customHeight="1" x14ac:dyDescent="0.2">
      <c r="A349" s="7" t="s">
        <v>1413</v>
      </c>
      <c r="B349" s="8">
        <v>3</v>
      </c>
      <c r="C349" s="8" t="s">
        <v>1114</v>
      </c>
      <c r="D349" s="205"/>
    </row>
    <row r="350" spans="1:4" ht="27.75" customHeight="1" x14ac:dyDescent="0.2">
      <c r="A350" s="7" t="s">
        <v>1414</v>
      </c>
      <c r="B350" s="8">
        <v>3</v>
      </c>
      <c r="C350" s="8" t="s">
        <v>1078</v>
      </c>
      <c r="D350" s="205"/>
    </row>
    <row r="351" spans="1:4" ht="27.75" customHeight="1" x14ac:dyDescent="0.2">
      <c r="A351" s="7" t="s">
        <v>1415</v>
      </c>
      <c r="B351" s="8">
        <v>3</v>
      </c>
      <c r="C351" s="8" t="s">
        <v>1105</v>
      </c>
      <c r="D351" s="205"/>
    </row>
    <row r="352" spans="1:4" ht="27.75" customHeight="1" x14ac:dyDescent="0.2">
      <c r="A352" s="7" t="s">
        <v>1416</v>
      </c>
      <c r="B352" s="8">
        <v>3</v>
      </c>
      <c r="C352" s="8" t="s">
        <v>1143</v>
      </c>
      <c r="D352" s="205"/>
    </row>
    <row r="353" spans="1:4" ht="27.75" customHeight="1" x14ac:dyDescent="0.2">
      <c r="A353" s="7" t="s">
        <v>1417</v>
      </c>
      <c r="B353" s="8">
        <v>3</v>
      </c>
      <c r="C353" s="8" t="s">
        <v>1072</v>
      </c>
      <c r="D353" s="205">
        <v>4.8609912175699996</v>
      </c>
    </row>
    <row r="354" spans="1:4" ht="27.75" customHeight="1" x14ac:dyDescent="0.2">
      <c r="A354" s="7" t="s">
        <v>1418</v>
      </c>
      <c r="B354" s="8">
        <v>3</v>
      </c>
      <c r="C354" s="8" t="s">
        <v>1094</v>
      </c>
      <c r="D354" s="205"/>
    </row>
    <row r="355" spans="1:4" ht="27.75" customHeight="1" x14ac:dyDescent="0.2">
      <c r="A355" s="7" t="s">
        <v>1419</v>
      </c>
      <c r="B355" s="8">
        <v>3</v>
      </c>
      <c r="C355" s="8" t="s">
        <v>1094</v>
      </c>
      <c r="D355" s="205"/>
    </row>
    <row r="356" spans="1:4" ht="27.75" customHeight="1" x14ac:dyDescent="0.2">
      <c r="A356" s="7" t="s">
        <v>1420</v>
      </c>
      <c r="B356" s="8">
        <v>3</v>
      </c>
      <c r="C356" s="8" t="s">
        <v>1094</v>
      </c>
      <c r="D356" s="205"/>
    </row>
    <row r="357" spans="1:4" ht="27.75" customHeight="1" x14ac:dyDescent="0.2">
      <c r="A357" s="7" t="s">
        <v>1421</v>
      </c>
      <c r="B357" s="8">
        <v>3</v>
      </c>
      <c r="C357" s="8" t="s">
        <v>1092</v>
      </c>
      <c r="D357" s="205">
        <v>4.2755870507199996</v>
      </c>
    </row>
    <row r="358" spans="1:4" ht="27.75" customHeight="1" x14ac:dyDescent="0.2">
      <c r="A358" s="7" t="s">
        <v>1422</v>
      </c>
      <c r="B358" s="8">
        <v>3</v>
      </c>
      <c r="C358" s="8" t="s">
        <v>1080</v>
      </c>
      <c r="D358" s="205"/>
    </row>
    <row r="359" spans="1:4" ht="27.75" customHeight="1" x14ac:dyDescent="0.2">
      <c r="A359" s="7" t="s">
        <v>1423</v>
      </c>
      <c r="B359" s="8">
        <v>3</v>
      </c>
      <c r="C359" s="8" t="s">
        <v>1140</v>
      </c>
      <c r="D359" s="205"/>
    </row>
    <row r="360" spans="1:4" ht="27.75" customHeight="1" x14ac:dyDescent="0.2">
      <c r="A360" s="7" t="s">
        <v>1424</v>
      </c>
      <c r="B360" s="8">
        <v>3</v>
      </c>
      <c r="C360" s="8" t="s">
        <v>1104</v>
      </c>
      <c r="D360" s="205"/>
    </row>
    <row r="361" spans="1:4" ht="27.75" customHeight="1" x14ac:dyDescent="0.2">
      <c r="A361" s="7" t="s">
        <v>1425</v>
      </c>
      <c r="B361" s="8">
        <v>3</v>
      </c>
      <c r="C361" s="8" t="s">
        <v>1141</v>
      </c>
      <c r="D361" s="205"/>
    </row>
    <row r="362" spans="1:4" ht="27.75" customHeight="1" x14ac:dyDescent="0.2">
      <c r="A362" s="7" t="s">
        <v>1426</v>
      </c>
      <c r="B362" s="8">
        <v>3</v>
      </c>
      <c r="C362" s="8" t="s">
        <v>1141</v>
      </c>
      <c r="D362" s="205"/>
    </row>
    <row r="363" spans="1:4" ht="27.75" customHeight="1" x14ac:dyDescent="0.2">
      <c r="A363" s="7" t="s">
        <v>1427</v>
      </c>
      <c r="B363" s="8">
        <v>3</v>
      </c>
      <c r="C363" s="8" t="s">
        <v>1085</v>
      </c>
      <c r="D363" s="205">
        <v>2.4681122169499998</v>
      </c>
    </row>
    <row r="364" spans="1:4" ht="27.75" customHeight="1" x14ac:dyDescent="0.2">
      <c r="A364" s="7" t="s">
        <v>1428</v>
      </c>
      <c r="B364" s="8">
        <v>3</v>
      </c>
      <c r="C364" s="8" t="s">
        <v>1110</v>
      </c>
      <c r="D364" s="205"/>
    </row>
    <row r="365" spans="1:4" ht="27.75" customHeight="1" x14ac:dyDescent="0.2">
      <c r="A365" s="7" t="s">
        <v>1429</v>
      </c>
      <c r="B365" s="8">
        <v>3</v>
      </c>
      <c r="C365" s="8" t="s">
        <v>1127</v>
      </c>
      <c r="D365" s="205"/>
    </row>
    <row r="366" spans="1:4" ht="27.75" customHeight="1" x14ac:dyDescent="0.2">
      <c r="A366" s="7" t="s">
        <v>1430</v>
      </c>
      <c r="B366" s="8">
        <v>3</v>
      </c>
      <c r="C366" s="8" t="s">
        <v>1123</v>
      </c>
      <c r="D366" s="205"/>
    </row>
    <row r="367" spans="1:4" ht="27.75" customHeight="1" x14ac:dyDescent="0.2">
      <c r="A367" s="7" t="s">
        <v>1431</v>
      </c>
      <c r="B367" s="8">
        <v>3</v>
      </c>
      <c r="C367" s="8" t="s">
        <v>1127</v>
      </c>
      <c r="D367" s="205"/>
    </row>
    <row r="368" spans="1:4" ht="27.75" customHeight="1" x14ac:dyDescent="0.2">
      <c r="A368" s="7" t="s">
        <v>1432</v>
      </c>
      <c r="B368" s="8">
        <v>3</v>
      </c>
      <c r="C368" s="8" t="s">
        <v>1144</v>
      </c>
      <c r="D368" s="205"/>
    </row>
    <row r="369" spans="1:4" ht="27.75" customHeight="1" x14ac:dyDescent="0.2">
      <c r="A369" s="7" t="s">
        <v>1433</v>
      </c>
      <c r="B369" s="8">
        <v>3</v>
      </c>
      <c r="C369" s="8" t="s">
        <v>1126</v>
      </c>
      <c r="D369" s="205"/>
    </row>
    <row r="370" spans="1:4" ht="27.75" customHeight="1" x14ac:dyDescent="0.2">
      <c r="A370" s="7" t="s">
        <v>1434</v>
      </c>
      <c r="B370" s="8">
        <v>3</v>
      </c>
      <c r="C370" s="8" t="s">
        <v>1106</v>
      </c>
      <c r="D370" s="205"/>
    </row>
    <row r="371" spans="1:4" ht="27.75" customHeight="1" x14ac:dyDescent="0.2">
      <c r="A371" s="7" t="s">
        <v>1435</v>
      </c>
      <c r="B371" s="8">
        <v>3</v>
      </c>
      <c r="C371" s="8" t="s">
        <v>1080</v>
      </c>
      <c r="D371" s="205"/>
    </row>
    <row r="372" spans="1:4" ht="27.75" customHeight="1" x14ac:dyDescent="0.2">
      <c r="A372" s="7" t="s">
        <v>1436</v>
      </c>
      <c r="B372" s="8">
        <v>3</v>
      </c>
      <c r="C372" s="8" t="s">
        <v>1087</v>
      </c>
      <c r="D372" s="205"/>
    </row>
    <row r="373" spans="1:4" ht="27.75" customHeight="1" x14ac:dyDescent="0.2">
      <c r="A373" s="7" t="s">
        <v>1437</v>
      </c>
      <c r="B373" s="8">
        <v>3</v>
      </c>
      <c r="C373" s="8" t="s">
        <v>1143</v>
      </c>
      <c r="D373" s="205"/>
    </row>
    <row r="374" spans="1:4" ht="27.75" customHeight="1" x14ac:dyDescent="0.2">
      <c r="A374" s="7" t="s">
        <v>1438</v>
      </c>
      <c r="B374" s="8">
        <v>3</v>
      </c>
      <c r="C374" s="8" t="s">
        <v>1127</v>
      </c>
      <c r="D374" s="205"/>
    </row>
    <row r="375" spans="1:4" ht="27.75" customHeight="1" x14ac:dyDescent="0.2">
      <c r="A375" s="7" t="s">
        <v>1439</v>
      </c>
      <c r="B375" s="8">
        <v>3</v>
      </c>
      <c r="C375" s="8" t="s">
        <v>1085</v>
      </c>
      <c r="D375" s="205"/>
    </row>
    <row r="376" spans="1:4" ht="27.75" customHeight="1" x14ac:dyDescent="0.2">
      <c r="A376" s="7" t="s">
        <v>1440</v>
      </c>
      <c r="B376" s="8">
        <v>3</v>
      </c>
      <c r="C376" s="8" t="s">
        <v>1103</v>
      </c>
      <c r="D376" s="205"/>
    </row>
    <row r="377" spans="1:4" ht="27.75" customHeight="1" x14ac:dyDescent="0.2">
      <c r="A377" s="7" t="s">
        <v>1441</v>
      </c>
      <c r="B377" s="8">
        <v>3</v>
      </c>
      <c r="C377" s="8" t="s">
        <v>1128</v>
      </c>
      <c r="D377" s="205"/>
    </row>
    <row r="378" spans="1:4" ht="27.75" customHeight="1" x14ac:dyDescent="0.2">
      <c r="A378" s="7" t="s">
        <v>1442</v>
      </c>
      <c r="B378" s="8">
        <v>3</v>
      </c>
      <c r="C378" s="8" t="s">
        <v>1116</v>
      </c>
      <c r="D378" s="205"/>
    </row>
    <row r="379" spans="1:4" ht="27.75" customHeight="1" x14ac:dyDescent="0.2">
      <c r="A379" s="7" t="s">
        <v>1443</v>
      </c>
      <c r="B379" s="8">
        <v>3</v>
      </c>
      <c r="C379" s="8" t="s">
        <v>1080</v>
      </c>
      <c r="D379" s="205"/>
    </row>
    <row r="380" spans="1:4" ht="27.75" customHeight="1" x14ac:dyDescent="0.2">
      <c r="A380" s="7" t="s">
        <v>1444</v>
      </c>
      <c r="B380" s="8">
        <v>3</v>
      </c>
      <c r="C380" s="8" t="s">
        <v>1133</v>
      </c>
      <c r="D380" s="205"/>
    </row>
    <row r="381" spans="1:4" ht="27.75" customHeight="1" x14ac:dyDescent="0.2">
      <c r="A381" s="7" t="s">
        <v>1445</v>
      </c>
      <c r="B381" s="8">
        <v>3</v>
      </c>
      <c r="C381" s="8" t="s">
        <v>1140</v>
      </c>
      <c r="D381" s="205"/>
    </row>
    <row r="382" spans="1:4" ht="27.75" customHeight="1" x14ac:dyDescent="0.2">
      <c r="A382" s="7" t="s">
        <v>1446</v>
      </c>
      <c r="B382" s="8">
        <v>3</v>
      </c>
      <c r="C382" s="8" t="s">
        <v>1119</v>
      </c>
      <c r="D382" s="205"/>
    </row>
    <row r="383" spans="1:4" ht="27.75" customHeight="1" x14ac:dyDescent="0.2">
      <c r="A383" s="7" t="s">
        <v>1447</v>
      </c>
      <c r="B383" s="8">
        <v>3</v>
      </c>
      <c r="C383" s="8" t="s">
        <v>1113</v>
      </c>
      <c r="D383" s="205"/>
    </row>
    <row r="384" spans="1:4" ht="27.75" customHeight="1" x14ac:dyDescent="0.2">
      <c r="A384" s="7" t="s">
        <v>1448</v>
      </c>
      <c r="B384" s="8">
        <v>3</v>
      </c>
      <c r="C384" s="8" t="s">
        <v>1128</v>
      </c>
      <c r="D384" s="205"/>
    </row>
    <row r="385" spans="1:4" ht="27.75" customHeight="1" x14ac:dyDescent="0.2">
      <c r="A385" s="7" t="s">
        <v>1449</v>
      </c>
      <c r="B385" s="8">
        <v>3</v>
      </c>
      <c r="C385" s="8" t="s">
        <v>1069</v>
      </c>
      <c r="D385" s="205"/>
    </row>
    <row r="386" spans="1:4" ht="27.75" customHeight="1" x14ac:dyDescent="0.2">
      <c r="A386" s="7" t="s">
        <v>1450</v>
      </c>
      <c r="B386" s="8">
        <v>3</v>
      </c>
      <c r="C386" s="8" t="s">
        <v>1124</v>
      </c>
      <c r="D386" s="205"/>
    </row>
    <row r="387" spans="1:4" ht="27.75" customHeight="1" x14ac:dyDescent="0.2">
      <c r="A387" s="7" t="s">
        <v>1451</v>
      </c>
      <c r="B387" s="8">
        <v>3</v>
      </c>
      <c r="C387" s="8" t="s">
        <v>1124</v>
      </c>
      <c r="D387" s="205"/>
    </row>
    <row r="388" spans="1:4" ht="27.75" customHeight="1" x14ac:dyDescent="0.2">
      <c r="A388" s="7" t="s">
        <v>1452</v>
      </c>
      <c r="B388" s="8">
        <v>3</v>
      </c>
      <c r="C388" s="8" t="s">
        <v>1098</v>
      </c>
      <c r="D388" s="205"/>
    </row>
    <row r="389" spans="1:4" ht="27.75" customHeight="1" x14ac:dyDescent="0.2">
      <c r="A389" s="7" t="s">
        <v>1453</v>
      </c>
      <c r="B389" s="8">
        <v>3</v>
      </c>
      <c r="C389" s="8" t="s">
        <v>1119</v>
      </c>
      <c r="D389" s="205"/>
    </row>
    <row r="390" spans="1:4" ht="27.75" customHeight="1" x14ac:dyDescent="0.2">
      <c r="A390" s="7" t="s">
        <v>1454</v>
      </c>
      <c r="B390" s="8">
        <v>3</v>
      </c>
      <c r="C390" s="8" t="s">
        <v>1076</v>
      </c>
      <c r="D390" s="205"/>
    </row>
    <row r="391" spans="1:4" ht="27.75" customHeight="1" x14ac:dyDescent="0.2">
      <c r="A391" s="7" t="s">
        <v>1455</v>
      </c>
      <c r="B391" s="8">
        <v>3</v>
      </c>
      <c r="C391" s="8" t="s">
        <v>1142</v>
      </c>
      <c r="D391" s="205"/>
    </row>
    <row r="392" spans="1:4" ht="27.75" customHeight="1" x14ac:dyDescent="0.2">
      <c r="A392" s="7" t="s">
        <v>1456</v>
      </c>
      <c r="B392" s="8">
        <v>3</v>
      </c>
      <c r="C392" s="8" t="s">
        <v>1094</v>
      </c>
      <c r="D392" s="205"/>
    </row>
    <row r="393" spans="1:4" ht="27.75" customHeight="1" x14ac:dyDescent="0.2">
      <c r="A393" s="7" t="s">
        <v>1457</v>
      </c>
      <c r="B393" s="8">
        <v>3</v>
      </c>
      <c r="C393" s="8" t="s">
        <v>1111</v>
      </c>
      <c r="D393" s="205"/>
    </row>
    <row r="394" spans="1:4" ht="27.75" customHeight="1" x14ac:dyDescent="0.2">
      <c r="A394" s="7" t="s">
        <v>1458</v>
      </c>
      <c r="B394" s="8">
        <v>3</v>
      </c>
      <c r="C394" s="8" t="s">
        <v>1099</v>
      </c>
      <c r="D394" s="205"/>
    </row>
    <row r="395" spans="1:4" ht="27.75" customHeight="1" x14ac:dyDescent="0.2">
      <c r="A395" s="7" t="s">
        <v>1459</v>
      </c>
      <c r="B395" s="8">
        <v>3</v>
      </c>
      <c r="C395" s="8" t="s">
        <v>1102</v>
      </c>
      <c r="D395" s="205"/>
    </row>
    <row r="396" spans="1:4" ht="27.75" customHeight="1" x14ac:dyDescent="0.2">
      <c r="A396" s="7" t="s">
        <v>1460</v>
      </c>
      <c r="B396" s="8">
        <v>3</v>
      </c>
      <c r="C396" s="8" t="s">
        <v>1135</v>
      </c>
      <c r="D396" s="205"/>
    </row>
    <row r="397" spans="1:4" ht="27.75" customHeight="1" x14ac:dyDescent="0.2">
      <c r="A397" s="7" t="s">
        <v>1461</v>
      </c>
      <c r="B397" s="8">
        <v>3</v>
      </c>
      <c r="C397" s="8" t="s">
        <v>1075</v>
      </c>
      <c r="D397" s="205"/>
    </row>
    <row r="398" spans="1:4" ht="27.75" customHeight="1" x14ac:dyDescent="0.2">
      <c r="A398" s="7" t="s">
        <v>1462</v>
      </c>
      <c r="B398" s="8">
        <v>3</v>
      </c>
      <c r="C398" s="8" t="s">
        <v>1111</v>
      </c>
      <c r="D398" s="205"/>
    </row>
    <row r="399" spans="1:4" ht="27.75" customHeight="1" x14ac:dyDescent="0.2">
      <c r="A399" s="7" t="s">
        <v>1463</v>
      </c>
      <c r="B399" s="8">
        <v>3</v>
      </c>
      <c r="C399" s="8" t="s">
        <v>1122</v>
      </c>
      <c r="D399" s="205"/>
    </row>
    <row r="400" spans="1:4" ht="27.75" customHeight="1" x14ac:dyDescent="0.2">
      <c r="A400" s="7" t="s">
        <v>1464</v>
      </c>
      <c r="B400" s="8">
        <v>3</v>
      </c>
      <c r="C400" s="8" t="s">
        <v>1114</v>
      </c>
      <c r="D400" s="205"/>
    </row>
    <row r="401" spans="1:4" ht="27.75" customHeight="1" x14ac:dyDescent="0.2">
      <c r="A401" s="7" t="s">
        <v>1465</v>
      </c>
      <c r="B401" s="8">
        <v>3</v>
      </c>
      <c r="C401" s="8" t="s">
        <v>1074</v>
      </c>
      <c r="D401" s="205"/>
    </row>
    <row r="402" spans="1:4" ht="27.75" customHeight="1" x14ac:dyDescent="0.2">
      <c r="A402" s="7" t="s">
        <v>1466</v>
      </c>
      <c r="B402" s="8">
        <v>3</v>
      </c>
      <c r="C402" s="8" t="s">
        <v>1072</v>
      </c>
      <c r="D402" s="205"/>
    </row>
    <row r="403" spans="1:4" ht="27.75" customHeight="1" x14ac:dyDescent="0.2">
      <c r="A403" s="7" t="s">
        <v>1467</v>
      </c>
      <c r="B403" s="8">
        <v>3</v>
      </c>
      <c r="C403" s="8" t="s">
        <v>1094</v>
      </c>
      <c r="D403" s="205"/>
    </row>
    <row r="404" spans="1:4" ht="27.75" customHeight="1" x14ac:dyDescent="0.2">
      <c r="A404" s="7" t="s">
        <v>1468</v>
      </c>
      <c r="B404" s="8">
        <v>3</v>
      </c>
      <c r="C404" s="8" t="s">
        <v>1078</v>
      </c>
      <c r="D404" s="205"/>
    </row>
    <row r="405" spans="1:4" ht="27.75" customHeight="1" x14ac:dyDescent="0.2">
      <c r="A405" s="7" t="s">
        <v>1469</v>
      </c>
      <c r="B405" s="8">
        <v>3</v>
      </c>
      <c r="C405" s="8" t="s">
        <v>1123</v>
      </c>
      <c r="D405" s="205"/>
    </row>
    <row r="406" spans="1:4" ht="27.75" customHeight="1" x14ac:dyDescent="0.2">
      <c r="A406" s="7" t="s">
        <v>1470</v>
      </c>
      <c r="B406" s="8">
        <v>3</v>
      </c>
      <c r="C406" s="8" t="s">
        <v>1091</v>
      </c>
      <c r="D406" s="205"/>
    </row>
    <row r="407" spans="1:4" ht="27.75" customHeight="1" x14ac:dyDescent="0.2">
      <c r="A407" s="7" t="s">
        <v>1471</v>
      </c>
      <c r="B407" s="8">
        <v>3</v>
      </c>
      <c r="C407" s="8" t="s">
        <v>1119</v>
      </c>
      <c r="D407" s="205"/>
    </row>
    <row r="408" spans="1:4" ht="27.75" customHeight="1" x14ac:dyDescent="0.2">
      <c r="A408" s="7" t="s">
        <v>1472</v>
      </c>
      <c r="B408" s="8">
        <v>3</v>
      </c>
      <c r="C408" s="8" t="s">
        <v>1079</v>
      </c>
      <c r="D408" s="205"/>
    </row>
    <row r="409" spans="1:4" ht="27.75" customHeight="1" x14ac:dyDescent="0.2">
      <c r="A409" s="7" t="s">
        <v>1473</v>
      </c>
      <c r="B409" s="8">
        <v>3</v>
      </c>
      <c r="C409" s="8" t="s">
        <v>1104</v>
      </c>
      <c r="D409" s="205"/>
    </row>
    <row r="410" spans="1:4" ht="27.75" customHeight="1" x14ac:dyDescent="0.2">
      <c r="A410" s="7" t="s">
        <v>1474</v>
      </c>
      <c r="B410" s="8">
        <v>3</v>
      </c>
      <c r="C410" s="8" t="s">
        <v>1080</v>
      </c>
      <c r="D410" s="205"/>
    </row>
    <row r="411" spans="1:4" ht="27.75" customHeight="1" x14ac:dyDescent="0.2">
      <c r="A411" s="7" t="s">
        <v>1475</v>
      </c>
      <c r="B411" s="8">
        <v>3</v>
      </c>
      <c r="C411" s="8" t="s">
        <v>1130</v>
      </c>
      <c r="D411" s="205"/>
    </row>
    <row r="412" spans="1:4" ht="27.75" customHeight="1" x14ac:dyDescent="0.2">
      <c r="A412" s="7" t="s">
        <v>1476</v>
      </c>
      <c r="B412" s="8">
        <v>3</v>
      </c>
      <c r="C412" s="8" t="s">
        <v>1074</v>
      </c>
      <c r="D412" s="205"/>
    </row>
    <row r="413" spans="1:4" ht="27.75" customHeight="1" x14ac:dyDescent="0.2">
      <c r="A413" s="7" t="s">
        <v>1477</v>
      </c>
      <c r="B413" s="8">
        <v>3</v>
      </c>
      <c r="C413" s="8" t="s">
        <v>1130</v>
      </c>
      <c r="D413" s="205"/>
    </row>
    <row r="414" spans="1:4" ht="27.75" customHeight="1" x14ac:dyDescent="0.2">
      <c r="A414" s="7" t="s">
        <v>1478</v>
      </c>
      <c r="B414" s="8">
        <v>3</v>
      </c>
      <c r="C414" s="8" t="s">
        <v>1130</v>
      </c>
      <c r="D414" s="205"/>
    </row>
    <row r="415" spans="1:4" ht="27.75" customHeight="1" x14ac:dyDescent="0.2">
      <c r="A415" s="7" t="s">
        <v>1479</v>
      </c>
      <c r="B415" s="8">
        <v>3</v>
      </c>
      <c r="C415" s="8" t="s">
        <v>1079</v>
      </c>
      <c r="D415" s="205"/>
    </row>
    <row r="416" spans="1:4" ht="27.75" customHeight="1" x14ac:dyDescent="0.2">
      <c r="A416" s="7" t="s">
        <v>1480</v>
      </c>
      <c r="B416" s="8">
        <v>3</v>
      </c>
      <c r="C416" s="8" t="s">
        <v>1144</v>
      </c>
      <c r="D416" s="205"/>
    </row>
    <row r="417" spans="1:4" ht="27.75" customHeight="1" x14ac:dyDescent="0.2">
      <c r="A417" s="7" t="s">
        <v>1481</v>
      </c>
      <c r="B417" s="8">
        <v>3</v>
      </c>
      <c r="C417" s="8" t="s">
        <v>1080</v>
      </c>
      <c r="D417" s="205"/>
    </row>
    <row r="418" spans="1:4" ht="27.75" customHeight="1" x14ac:dyDescent="0.2">
      <c r="A418" s="7" t="s">
        <v>1482</v>
      </c>
      <c r="B418" s="8">
        <v>3</v>
      </c>
      <c r="C418" s="8" t="s">
        <v>1072</v>
      </c>
      <c r="D418" s="205"/>
    </row>
    <row r="419" spans="1:4" ht="27.75" customHeight="1" x14ac:dyDescent="0.2">
      <c r="A419" s="7" t="s">
        <v>1483</v>
      </c>
      <c r="B419" s="8">
        <v>3</v>
      </c>
      <c r="C419" s="8" t="s">
        <v>1075</v>
      </c>
      <c r="D419" s="205"/>
    </row>
    <row r="420" spans="1:4" ht="27.75" customHeight="1" x14ac:dyDescent="0.2">
      <c r="A420" s="7" t="s">
        <v>1484</v>
      </c>
      <c r="B420" s="8">
        <v>3</v>
      </c>
      <c r="C420" s="8" t="s">
        <v>1127</v>
      </c>
      <c r="D420" s="205"/>
    </row>
    <row r="421" spans="1:4" ht="27.75" customHeight="1" x14ac:dyDescent="0.2">
      <c r="A421" s="7" t="s">
        <v>1485</v>
      </c>
      <c r="B421" s="8">
        <v>3</v>
      </c>
      <c r="C421" s="8" t="s">
        <v>1103</v>
      </c>
      <c r="D421" s="205"/>
    </row>
    <row r="422" spans="1:4" ht="27.75" customHeight="1" x14ac:dyDescent="0.2">
      <c r="A422" s="7" t="s">
        <v>1486</v>
      </c>
      <c r="B422" s="8">
        <v>3</v>
      </c>
      <c r="C422" s="8" t="s">
        <v>1096</v>
      </c>
      <c r="D422" s="205">
        <v>3.8243043549200002</v>
      </c>
    </row>
    <row r="423" spans="1:4" ht="27.75" customHeight="1" x14ac:dyDescent="0.2">
      <c r="A423" s="7" t="s">
        <v>1487</v>
      </c>
      <c r="B423" s="8">
        <v>3</v>
      </c>
      <c r="C423" s="8" t="s">
        <v>1137</v>
      </c>
      <c r="D423" s="205"/>
    </row>
    <row r="424" spans="1:4" ht="27.75" customHeight="1" x14ac:dyDescent="0.2">
      <c r="A424" s="7" t="s">
        <v>1488</v>
      </c>
      <c r="B424" s="8">
        <v>3</v>
      </c>
      <c r="C424" s="8" t="s">
        <v>1124</v>
      </c>
      <c r="D424" s="205"/>
    </row>
    <row r="425" spans="1:4" ht="27.75" customHeight="1" x14ac:dyDescent="0.2">
      <c r="A425" s="7" t="s">
        <v>1489</v>
      </c>
      <c r="B425" s="8">
        <v>3</v>
      </c>
      <c r="C425" s="8" t="s">
        <v>1071</v>
      </c>
      <c r="D425" s="205"/>
    </row>
    <row r="426" spans="1:4" ht="27.75" customHeight="1" x14ac:dyDescent="0.2">
      <c r="A426" s="7" t="s">
        <v>1490</v>
      </c>
      <c r="B426" s="8">
        <v>3</v>
      </c>
      <c r="C426" s="8" t="s">
        <v>1128</v>
      </c>
      <c r="D426" s="205">
        <v>5.8779116989700002</v>
      </c>
    </row>
    <row r="427" spans="1:4" ht="27.75" customHeight="1" x14ac:dyDescent="0.2">
      <c r="A427" s="7" t="s">
        <v>1491</v>
      </c>
      <c r="B427" s="8">
        <v>3</v>
      </c>
      <c r="C427" s="8" t="s">
        <v>1104</v>
      </c>
      <c r="D427" s="205"/>
    </row>
    <row r="428" spans="1:4" ht="27.75" customHeight="1" x14ac:dyDescent="0.2">
      <c r="A428" s="7" t="s">
        <v>1492</v>
      </c>
      <c r="B428" s="8">
        <v>3</v>
      </c>
      <c r="C428" s="8" t="s">
        <v>1117</v>
      </c>
      <c r="D428" s="205"/>
    </row>
    <row r="429" spans="1:4" ht="27.75" customHeight="1" x14ac:dyDescent="0.2">
      <c r="A429" s="7" t="s">
        <v>1493</v>
      </c>
      <c r="B429" s="8">
        <v>3</v>
      </c>
      <c r="C429" s="8" t="s">
        <v>1077</v>
      </c>
      <c r="D429" s="205"/>
    </row>
    <row r="430" spans="1:4" ht="27.75" customHeight="1" x14ac:dyDescent="0.2">
      <c r="A430" s="7" t="s">
        <v>1494</v>
      </c>
      <c r="B430" s="8">
        <v>3</v>
      </c>
      <c r="C430" s="8" t="s">
        <v>1110</v>
      </c>
      <c r="D430" s="205"/>
    </row>
    <row r="431" spans="1:4" ht="27.75" customHeight="1" x14ac:dyDescent="0.2">
      <c r="A431" s="7" t="s">
        <v>1495</v>
      </c>
      <c r="B431" s="8">
        <v>3</v>
      </c>
      <c r="C431" s="8" t="s">
        <v>1096</v>
      </c>
      <c r="D431" s="205"/>
    </row>
    <row r="432" spans="1:4" ht="27.75" customHeight="1" x14ac:dyDescent="0.2">
      <c r="A432" s="7" t="s">
        <v>1496</v>
      </c>
      <c r="B432" s="8">
        <v>3</v>
      </c>
      <c r="C432" s="8" t="s">
        <v>1082</v>
      </c>
      <c r="D432" s="205"/>
    </row>
    <row r="433" spans="1:4" ht="27.75" customHeight="1" x14ac:dyDescent="0.2">
      <c r="A433" s="7" t="s">
        <v>1497</v>
      </c>
      <c r="B433" s="8">
        <v>3</v>
      </c>
      <c r="C433" s="8" t="s">
        <v>1129</v>
      </c>
      <c r="D433" s="205"/>
    </row>
    <row r="434" spans="1:4" ht="27.75" customHeight="1" x14ac:dyDescent="0.2">
      <c r="A434" s="7" t="s">
        <v>1498</v>
      </c>
      <c r="B434" s="8">
        <v>3</v>
      </c>
      <c r="C434" s="8" t="s">
        <v>1138</v>
      </c>
      <c r="D434" s="205"/>
    </row>
    <row r="435" spans="1:4" ht="27.75" customHeight="1" x14ac:dyDescent="0.2">
      <c r="A435" s="7" t="s">
        <v>1499</v>
      </c>
      <c r="B435" s="8">
        <v>3</v>
      </c>
      <c r="C435" s="8" t="s">
        <v>1094</v>
      </c>
      <c r="D435" s="205"/>
    </row>
    <row r="436" spans="1:4" ht="27.75" customHeight="1" x14ac:dyDescent="0.2">
      <c r="A436" s="7" t="s">
        <v>1500</v>
      </c>
      <c r="B436" s="8">
        <v>3</v>
      </c>
      <c r="C436" s="8" t="s">
        <v>1090</v>
      </c>
      <c r="D436" s="205"/>
    </row>
    <row r="437" spans="1:4" ht="27.75" customHeight="1" x14ac:dyDescent="0.2">
      <c r="A437" s="7" t="s">
        <v>1501</v>
      </c>
      <c r="B437" s="8">
        <v>3</v>
      </c>
      <c r="C437" s="8" t="s">
        <v>1080</v>
      </c>
      <c r="D437" s="205"/>
    </row>
    <row r="438" spans="1:4" ht="27.75" customHeight="1" x14ac:dyDescent="0.2">
      <c r="A438" s="7" t="s">
        <v>1502</v>
      </c>
      <c r="B438" s="8">
        <v>3</v>
      </c>
      <c r="C438" s="8" t="s">
        <v>1073</v>
      </c>
      <c r="D438" s="205"/>
    </row>
    <row r="439" spans="1:4" ht="27.75" customHeight="1" x14ac:dyDescent="0.2">
      <c r="A439" s="7" t="s">
        <v>1503</v>
      </c>
      <c r="B439" s="8">
        <v>3</v>
      </c>
      <c r="C439" s="8" t="s">
        <v>1112</v>
      </c>
      <c r="D439" s="205"/>
    </row>
    <row r="440" spans="1:4" ht="27.75" customHeight="1" x14ac:dyDescent="0.2">
      <c r="A440" s="7" t="s">
        <v>1504</v>
      </c>
      <c r="B440" s="8">
        <v>3</v>
      </c>
      <c r="C440" s="8" t="s">
        <v>1091</v>
      </c>
      <c r="D440" s="205"/>
    </row>
    <row r="441" spans="1:4" ht="27.75" customHeight="1" x14ac:dyDescent="0.2">
      <c r="A441" s="7" t="s">
        <v>1505</v>
      </c>
      <c r="B441" s="8">
        <v>3</v>
      </c>
      <c r="C441" s="8" t="s">
        <v>1094</v>
      </c>
      <c r="D441" s="205"/>
    </row>
    <row r="442" spans="1:4" ht="27.75" customHeight="1" x14ac:dyDescent="0.2">
      <c r="A442" s="7" t="s">
        <v>1506</v>
      </c>
      <c r="B442" s="8">
        <v>3</v>
      </c>
      <c r="C442" s="8" t="s">
        <v>1082</v>
      </c>
      <c r="D442" s="205"/>
    </row>
    <row r="443" spans="1:4" ht="27.75" customHeight="1" x14ac:dyDescent="0.2">
      <c r="A443" s="7" t="s">
        <v>1507</v>
      </c>
      <c r="B443" s="8">
        <v>3</v>
      </c>
      <c r="C443" s="8" t="s">
        <v>1090</v>
      </c>
      <c r="D443" s="205"/>
    </row>
  </sheetData>
  <sheetProtection selectLockedCells="1" selectUnlockedCells="1"/>
  <mergeCells count="1">
    <mergeCell ref="A2:D2"/>
  </mergeCells>
  <phoneticPr fontId="5" type="noConversion"/>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1"/>
  <headerFooter differentFirst="1" scaleWithDoc="0">
    <oddFooter>&amp;C&amp;P of &amp;N</oddFooter>
    <firstHeader>&amp;LUn-scaled [nodal /network group] costs</firstHeader>
    <firstFooter>&amp;C&amp;P of &amp;N</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44" customWidth="1"/>
    <col min="2" max="2" width="11.5703125" style="44" customWidth="1"/>
    <col min="3" max="3" width="37.42578125" style="44" bestFit="1" customWidth="1"/>
    <col min="4" max="4" width="40.5703125" style="45" bestFit="1" customWidth="1"/>
    <col min="5" max="6" width="4.7109375" style="44" customWidth="1"/>
    <col min="7" max="7" width="29.140625" style="44" bestFit="1" customWidth="1"/>
    <col min="8" max="8" width="11.5703125" style="44"/>
    <col min="9" max="9" width="60.28515625" style="44" customWidth="1"/>
    <col min="10" max="16384" width="11.5703125" style="44"/>
  </cols>
  <sheetData>
    <row r="1" spans="1:2" ht="26.25" customHeight="1" x14ac:dyDescent="0.2">
      <c r="A1" s="286" t="s">
        <v>87</v>
      </c>
      <c r="B1" s="286"/>
    </row>
    <row r="2" spans="1:2" ht="12.75" customHeight="1" x14ac:dyDescent="0.2">
      <c r="A2" s="174"/>
      <c r="B2" s="174"/>
    </row>
    <row r="3" spans="1:2" ht="12.75" customHeight="1" x14ac:dyDescent="0.2">
      <c r="A3" s="174"/>
      <c r="B3" s="174"/>
    </row>
    <row r="4" spans="1:2" ht="12.75" customHeight="1" x14ac:dyDescent="0.2">
      <c r="A4" s="174"/>
      <c r="B4" s="174"/>
    </row>
    <row r="5" spans="1:2" ht="12.75" customHeight="1" x14ac:dyDescent="0.2">
      <c r="A5" s="174"/>
      <c r="B5" s="174"/>
    </row>
    <row r="6" spans="1:2" ht="12.75" customHeight="1" x14ac:dyDescent="0.2">
      <c r="A6" s="174"/>
      <c r="B6" s="174"/>
    </row>
    <row r="7" spans="1:2" ht="12.75" customHeight="1" x14ac:dyDescent="0.2">
      <c r="A7" s="174"/>
      <c r="B7" s="174"/>
    </row>
    <row r="8" spans="1:2" ht="12.75" customHeight="1" x14ac:dyDescent="0.2">
      <c r="A8" s="174"/>
      <c r="B8" s="174"/>
    </row>
    <row r="9" spans="1:2" ht="12.75" customHeight="1" x14ac:dyDescent="0.2">
      <c r="A9" s="174"/>
      <c r="B9" s="174"/>
    </row>
    <row r="10" spans="1:2" ht="12.75" customHeight="1" x14ac:dyDescent="0.2">
      <c r="A10" s="174"/>
      <c r="B10" s="174"/>
    </row>
    <row r="11" spans="1:2" ht="12.75" customHeight="1" x14ac:dyDescent="0.2">
      <c r="A11" s="174"/>
      <c r="B11" s="174"/>
    </row>
    <row r="12" spans="1:2" ht="12.75" customHeight="1" x14ac:dyDescent="0.2">
      <c r="A12" s="174"/>
      <c r="B12" s="174"/>
    </row>
    <row r="13" spans="1:2" ht="12.75" customHeight="1" x14ac:dyDescent="0.2">
      <c r="A13" s="174"/>
      <c r="B13" s="174"/>
    </row>
    <row r="14" spans="1:2" ht="12.75" customHeight="1" x14ac:dyDescent="0.2">
      <c r="A14" s="174"/>
      <c r="B14" s="174"/>
    </row>
    <row r="15" spans="1:2" ht="12.75" customHeight="1" x14ac:dyDescent="0.2">
      <c r="A15" s="174"/>
      <c r="B15" s="174"/>
    </row>
    <row r="16" spans="1:2" ht="12.75" customHeight="1" x14ac:dyDescent="0.2">
      <c r="A16" s="174"/>
      <c r="B16" s="174"/>
    </row>
    <row r="17" spans="1:9" ht="12.75" customHeight="1" x14ac:dyDescent="0.2">
      <c r="A17" s="174"/>
      <c r="B17" s="174"/>
    </row>
    <row r="18" spans="1:9" ht="12.75" customHeight="1" x14ac:dyDescent="0.2">
      <c r="A18" s="174"/>
      <c r="B18" s="174"/>
    </row>
    <row r="19" spans="1:9" ht="12.75" customHeight="1" x14ac:dyDescent="0.2">
      <c r="A19" s="174"/>
      <c r="B19" s="174"/>
    </row>
    <row r="20" spans="1:9" ht="12.75" customHeight="1" x14ac:dyDescent="0.2">
      <c r="A20" s="174"/>
      <c r="B20" s="174"/>
    </row>
    <row r="21" spans="1:9" ht="12.75" customHeight="1" x14ac:dyDescent="0.2">
      <c r="A21" s="174"/>
      <c r="B21" s="174"/>
    </row>
    <row r="22" spans="1:9" ht="12.75" customHeight="1" x14ac:dyDescent="0.2">
      <c r="A22" s="174"/>
      <c r="B22" s="174"/>
    </row>
    <row r="23" spans="1:9" ht="12.75" customHeight="1" x14ac:dyDescent="0.2">
      <c r="A23" s="174"/>
      <c r="B23" s="174"/>
    </row>
    <row r="24" spans="1:9" ht="12.75" customHeight="1" x14ac:dyDescent="0.2">
      <c r="A24" s="174"/>
      <c r="B24" s="174"/>
    </row>
    <row r="25" spans="1:9" ht="12.75" customHeight="1" x14ac:dyDescent="0.2">
      <c r="A25" s="174"/>
      <c r="B25" s="174"/>
    </row>
    <row r="26" spans="1:9" ht="12.75" customHeight="1" x14ac:dyDescent="0.2">
      <c r="A26" s="174"/>
      <c r="B26" s="174"/>
    </row>
    <row r="27" spans="1:9" ht="12.75" customHeight="1" x14ac:dyDescent="0.2">
      <c r="A27" s="174"/>
      <c r="B27" s="174"/>
    </row>
    <row r="28" spans="1:9" s="43" customFormat="1" ht="51" x14ac:dyDescent="0.2">
      <c r="A28" s="70" t="s">
        <v>234</v>
      </c>
      <c r="B28" s="70" t="s">
        <v>235</v>
      </c>
      <c r="C28" s="70" t="s">
        <v>236</v>
      </c>
      <c r="D28" s="70" t="s">
        <v>237</v>
      </c>
      <c r="E28" s="46"/>
      <c r="F28" s="46"/>
      <c r="G28" s="70" t="s">
        <v>457</v>
      </c>
      <c r="H28" s="70" t="s">
        <v>458</v>
      </c>
      <c r="I28" s="70" t="s">
        <v>459</v>
      </c>
    </row>
    <row r="29" spans="1:9" x14ac:dyDescent="0.2">
      <c r="A29" s="131">
        <v>3</v>
      </c>
      <c r="B29" s="132">
        <v>166</v>
      </c>
      <c r="C29" s="133" t="s">
        <v>238</v>
      </c>
      <c r="D29" s="134" t="s">
        <v>239</v>
      </c>
      <c r="H29" s="117">
        <v>40057</v>
      </c>
      <c r="I29" s="118" t="s">
        <v>460</v>
      </c>
    </row>
    <row r="30" spans="1:9" x14ac:dyDescent="0.2">
      <c r="A30" s="131">
        <v>4</v>
      </c>
      <c r="B30" s="132">
        <v>168</v>
      </c>
      <c r="C30" s="133" t="s">
        <v>238</v>
      </c>
      <c r="D30" s="134" t="s">
        <v>239</v>
      </c>
      <c r="G30" s="118" t="s">
        <v>461</v>
      </c>
      <c r="H30" s="117">
        <v>40275</v>
      </c>
      <c r="I30" s="175" t="s">
        <v>465</v>
      </c>
    </row>
    <row r="31" spans="1:9" x14ac:dyDescent="0.2">
      <c r="A31" s="131">
        <v>5</v>
      </c>
      <c r="B31" s="132">
        <v>100</v>
      </c>
      <c r="C31" s="133" t="s">
        <v>240</v>
      </c>
      <c r="D31" s="134" t="s">
        <v>239</v>
      </c>
      <c r="G31" s="176" t="s">
        <v>468</v>
      </c>
      <c r="H31" s="117">
        <v>40347</v>
      </c>
      <c r="I31" s="44" t="s">
        <v>462</v>
      </c>
    </row>
    <row r="32" spans="1:9" x14ac:dyDescent="0.2">
      <c r="A32" s="131">
        <v>6</v>
      </c>
      <c r="B32" s="132">
        <v>257</v>
      </c>
      <c r="C32" s="133" t="s">
        <v>241</v>
      </c>
      <c r="D32" s="134" t="s">
        <v>239</v>
      </c>
      <c r="G32" s="175" t="s">
        <v>469</v>
      </c>
      <c r="H32" s="117">
        <v>41166</v>
      </c>
      <c r="I32" s="175" t="s">
        <v>470</v>
      </c>
    </row>
    <row r="33" spans="1:9" x14ac:dyDescent="0.2">
      <c r="A33" s="131">
        <v>7</v>
      </c>
      <c r="B33" s="132">
        <v>158</v>
      </c>
      <c r="C33" s="133" t="s">
        <v>241</v>
      </c>
      <c r="D33" s="134" t="s">
        <v>239</v>
      </c>
      <c r="G33" s="176" t="s">
        <v>463</v>
      </c>
      <c r="H33" s="117">
        <v>41178</v>
      </c>
      <c r="I33" s="175" t="s">
        <v>464</v>
      </c>
    </row>
    <row r="34" spans="1:9" x14ac:dyDescent="0.2">
      <c r="A34" s="131">
        <v>8</v>
      </c>
      <c r="B34" s="132">
        <v>159</v>
      </c>
      <c r="C34" s="133" t="s">
        <v>241</v>
      </c>
      <c r="D34" s="134" t="s">
        <v>239</v>
      </c>
      <c r="G34" s="118" t="s">
        <v>550</v>
      </c>
      <c r="H34" s="117">
        <v>41758</v>
      </c>
      <c r="I34" s="44" t="s">
        <v>551</v>
      </c>
    </row>
    <row r="35" spans="1:9" x14ac:dyDescent="0.2">
      <c r="A35" s="131">
        <v>9</v>
      </c>
      <c r="B35" s="132">
        <v>1111</v>
      </c>
      <c r="C35" s="133" t="s">
        <v>241</v>
      </c>
      <c r="D35" s="134" t="s">
        <v>239</v>
      </c>
      <c r="G35" s="44" t="s">
        <v>548</v>
      </c>
      <c r="H35" s="117">
        <v>41758</v>
      </c>
      <c r="I35" s="118" t="s">
        <v>549</v>
      </c>
    </row>
    <row r="36" spans="1:9" x14ac:dyDescent="0.2">
      <c r="A36" s="131">
        <v>10</v>
      </c>
      <c r="B36" s="132">
        <v>1104</v>
      </c>
      <c r="C36" s="133" t="s">
        <v>241</v>
      </c>
      <c r="D36" s="134" t="s">
        <v>239</v>
      </c>
      <c r="G36" s="44" t="s">
        <v>548</v>
      </c>
      <c r="H36" s="117">
        <v>41944</v>
      </c>
      <c r="I36" s="118" t="s">
        <v>601</v>
      </c>
    </row>
    <row r="37" spans="1:9" x14ac:dyDescent="0.2">
      <c r="A37" s="131">
        <v>11</v>
      </c>
      <c r="B37" s="132">
        <v>1112</v>
      </c>
      <c r="C37" s="133" t="s">
        <v>241</v>
      </c>
      <c r="D37" s="134" t="s">
        <v>239</v>
      </c>
      <c r="G37" s="44" t="s">
        <v>628</v>
      </c>
      <c r="H37" s="117">
        <v>42081</v>
      </c>
      <c r="I37" s="44" t="s">
        <v>629</v>
      </c>
    </row>
    <row r="38" spans="1:9" x14ac:dyDescent="0.2">
      <c r="A38" s="131">
        <v>12</v>
      </c>
      <c r="B38" s="132">
        <v>1116</v>
      </c>
      <c r="C38" s="133" t="s">
        <v>241</v>
      </c>
      <c r="D38" s="134" t="s">
        <v>239</v>
      </c>
      <c r="G38" s="44" t="s">
        <v>630</v>
      </c>
      <c r="H38" s="117">
        <v>42081</v>
      </c>
      <c r="I38" s="44" t="s">
        <v>631</v>
      </c>
    </row>
    <row r="39" spans="1:9" x14ac:dyDescent="0.2">
      <c r="A39" s="131">
        <v>13</v>
      </c>
      <c r="B39" s="132">
        <v>139</v>
      </c>
      <c r="C39" s="133" t="s">
        <v>242</v>
      </c>
      <c r="D39" s="134" t="s">
        <v>476</v>
      </c>
      <c r="G39" s="44" t="s">
        <v>632</v>
      </c>
      <c r="H39" s="117">
        <v>42081</v>
      </c>
      <c r="I39" s="44" t="s">
        <v>657</v>
      </c>
    </row>
    <row r="40" spans="1:9" x14ac:dyDescent="0.2">
      <c r="A40" s="131">
        <v>15</v>
      </c>
      <c r="B40" s="132">
        <v>152</v>
      </c>
      <c r="C40" s="133" t="s">
        <v>242</v>
      </c>
      <c r="D40" s="134" t="s">
        <v>476</v>
      </c>
      <c r="G40" s="118" t="s">
        <v>627</v>
      </c>
      <c r="H40" s="117">
        <v>42081</v>
      </c>
      <c r="I40" s="118" t="s">
        <v>656</v>
      </c>
    </row>
    <row r="41" spans="1:9" x14ac:dyDescent="0.2">
      <c r="A41" s="131">
        <v>16</v>
      </c>
      <c r="B41" s="132">
        <v>113</v>
      </c>
      <c r="C41" s="133" t="s">
        <v>243</v>
      </c>
      <c r="D41" s="134" t="s">
        <v>477</v>
      </c>
      <c r="G41" s="44" t="s">
        <v>633</v>
      </c>
      <c r="H41" s="117">
        <v>42081</v>
      </c>
      <c r="I41" s="118" t="s">
        <v>634</v>
      </c>
    </row>
    <row r="42" spans="1:9" x14ac:dyDescent="0.2">
      <c r="A42" s="131">
        <v>17</v>
      </c>
      <c r="B42" s="132">
        <v>125</v>
      </c>
      <c r="C42" s="133" t="s">
        <v>243</v>
      </c>
      <c r="D42" s="134" t="s">
        <v>477</v>
      </c>
      <c r="G42" s="44" t="s">
        <v>635</v>
      </c>
      <c r="H42" s="117">
        <v>42081</v>
      </c>
      <c r="I42" s="44" t="s">
        <v>636</v>
      </c>
    </row>
    <row r="43" spans="1:9" x14ac:dyDescent="0.2">
      <c r="A43" s="131">
        <v>18</v>
      </c>
      <c r="B43" s="132">
        <v>126</v>
      </c>
      <c r="C43" s="133" t="s">
        <v>243</v>
      </c>
      <c r="D43" s="134" t="s">
        <v>477</v>
      </c>
      <c r="G43" s="44" t="s">
        <v>635</v>
      </c>
      <c r="H43" s="117">
        <v>42081</v>
      </c>
      <c r="I43" s="44" t="s">
        <v>637</v>
      </c>
    </row>
    <row r="44" spans="1:9" x14ac:dyDescent="0.2">
      <c r="A44" s="131">
        <v>19</v>
      </c>
      <c r="B44" s="132">
        <v>127</v>
      </c>
      <c r="C44" s="133" t="s">
        <v>243</v>
      </c>
      <c r="D44" s="134" t="s">
        <v>477</v>
      </c>
      <c r="G44" s="44" t="s">
        <v>638</v>
      </c>
      <c r="H44" s="117">
        <v>42081</v>
      </c>
      <c r="I44" s="44" t="s">
        <v>639</v>
      </c>
    </row>
    <row r="45" spans="1:9" x14ac:dyDescent="0.2">
      <c r="A45" s="131">
        <v>20</v>
      </c>
      <c r="B45" s="132">
        <v>129</v>
      </c>
      <c r="C45" s="133" t="s">
        <v>243</v>
      </c>
      <c r="D45" s="134" t="s">
        <v>477</v>
      </c>
      <c r="G45" s="44" t="s">
        <v>640</v>
      </c>
      <c r="H45" s="117">
        <v>42081</v>
      </c>
      <c r="I45" s="44" t="s">
        <v>641</v>
      </c>
    </row>
    <row r="46" spans="1:9" x14ac:dyDescent="0.2">
      <c r="A46" s="131">
        <v>21</v>
      </c>
      <c r="B46" s="132">
        <v>130</v>
      </c>
      <c r="C46" s="133" t="s">
        <v>243</v>
      </c>
      <c r="D46" s="134" t="s">
        <v>477</v>
      </c>
      <c r="G46" s="44" t="s">
        <v>642</v>
      </c>
      <c r="H46" s="117">
        <v>42081</v>
      </c>
      <c r="I46" s="44" t="s">
        <v>639</v>
      </c>
    </row>
    <row r="47" spans="1:9" x14ac:dyDescent="0.2">
      <c r="A47" s="131">
        <v>22</v>
      </c>
      <c r="B47" s="132">
        <v>131</v>
      </c>
      <c r="C47" s="133" t="s">
        <v>243</v>
      </c>
      <c r="D47" s="134" t="s">
        <v>477</v>
      </c>
      <c r="G47" s="44" t="s">
        <v>642</v>
      </c>
      <c r="H47" s="117">
        <v>42081</v>
      </c>
      <c r="I47" s="44" t="s">
        <v>643</v>
      </c>
    </row>
    <row r="48" spans="1:9" x14ac:dyDescent="0.2">
      <c r="A48" s="131">
        <v>23</v>
      </c>
      <c r="B48" s="132">
        <v>136</v>
      </c>
      <c r="C48" s="133" t="s">
        <v>244</v>
      </c>
      <c r="D48" s="134" t="s">
        <v>478</v>
      </c>
      <c r="G48" s="44" t="s">
        <v>644</v>
      </c>
      <c r="H48" s="117">
        <v>42081</v>
      </c>
      <c r="I48" s="44" t="s">
        <v>641</v>
      </c>
    </row>
    <row r="49" spans="1:9" x14ac:dyDescent="0.2">
      <c r="A49" s="131">
        <v>24</v>
      </c>
      <c r="B49" s="132">
        <v>137</v>
      </c>
      <c r="C49" s="133" t="s">
        <v>244</v>
      </c>
      <c r="D49" s="134" t="s">
        <v>477</v>
      </c>
      <c r="G49" s="44" t="s">
        <v>645</v>
      </c>
      <c r="H49" s="117">
        <v>42081</v>
      </c>
      <c r="I49" s="44" t="s">
        <v>639</v>
      </c>
    </row>
    <row r="50" spans="1:9" x14ac:dyDescent="0.2">
      <c r="A50" s="131">
        <v>25</v>
      </c>
      <c r="B50" s="132">
        <v>138</v>
      </c>
      <c r="C50" s="133" t="s">
        <v>244</v>
      </c>
      <c r="D50" s="134" t="s">
        <v>477</v>
      </c>
      <c r="G50" s="44" t="s">
        <v>646</v>
      </c>
      <c r="H50" s="117">
        <v>42081</v>
      </c>
      <c r="I50" s="44" t="s">
        <v>647</v>
      </c>
    </row>
    <row r="51" spans="1:9" x14ac:dyDescent="0.2">
      <c r="A51" s="131">
        <v>26</v>
      </c>
      <c r="B51" s="132">
        <v>141</v>
      </c>
      <c r="C51" s="133" t="s">
        <v>244</v>
      </c>
      <c r="D51" s="134" t="s">
        <v>239</v>
      </c>
      <c r="G51" s="44" t="s">
        <v>648</v>
      </c>
      <c r="H51" s="117">
        <v>42081</v>
      </c>
      <c r="I51" s="44" t="s">
        <v>649</v>
      </c>
    </row>
    <row r="52" spans="1:9" x14ac:dyDescent="0.2">
      <c r="A52" s="131">
        <v>28</v>
      </c>
      <c r="B52" s="132">
        <v>143</v>
      </c>
      <c r="C52" s="133" t="s">
        <v>244</v>
      </c>
      <c r="D52" s="134" t="s">
        <v>239</v>
      </c>
      <c r="G52" s="44" t="s">
        <v>650</v>
      </c>
      <c r="H52" s="117">
        <v>42081</v>
      </c>
      <c r="I52" s="44" t="s">
        <v>651</v>
      </c>
    </row>
    <row r="53" spans="1:9" x14ac:dyDescent="0.2">
      <c r="A53" s="131">
        <v>29</v>
      </c>
      <c r="B53" s="132">
        <v>144</v>
      </c>
      <c r="C53" s="133" t="s">
        <v>244</v>
      </c>
      <c r="D53" s="134" t="s">
        <v>476</v>
      </c>
      <c r="G53" s="44" t="s">
        <v>650</v>
      </c>
      <c r="H53" s="117">
        <v>42081</v>
      </c>
      <c r="I53" s="44" t="s">
        <v>652</v>
      </c>
    </row>
    <row r="54" spans="1:9" x14ac:dyDescent="0.2">
      <c r="A54" s="131">
        <v>30</v>
      </c>
      <c r="B54" s="132">
        <v>145</v>
      </c>
      <c r="C54" s="133" t="s">
        <v>244</v>
      </c>
      <c r="D54" s="134" t="s">
        <v>239</v>
      </c>
      <c r="G54" s="44" t="s">
        <v>653</v>
      </c>
      <c r="H54" s="117">
        <v>42081</v>
      </c>
      <c r="I54" s="44" t="s">
        <v>654</v>
      </c>
    </row>
    <row r="55" spans="1:9" x14ac:dyDescent="0.2">
      <c r="A55" s="131">
        <v>31</v>
      </c>
      <c r="B55" s="132">
        <v>146</v>
      </c>
      <c r="C55" s="133" t="s">
        <v>244</v>
      </c>
      <c r="D55" s="134" t="s">
        <v>239</v>
      </c>
      <c r="G55" s="44" t="s">
        <v>653</v>
      </c>
      <c r="H55" s="117">
        <v>42081</v>
      </c>
      <c r="I55" s="44" t="s">
        <v>655</v>
      </c>
    </row>
    <row r="56" spans="1:9" x14ac:dyDescent="0.2">
      <c r="A56" s="131">
        <v>32</v>
      </c>
      <c r="B56" s="132">
        <v>147</v>
      </c>
      <c r="C56" s="133" t="s">
        <v>244</v>
      </c>
      <c r="D56" s="134" t="s">
        <v>239</v>
      </c>
      <c r="G56" s="118" t="s">
        <v>658</v>
      </c>
      <c r="H56" s="117">
        <v>42089</v>
      </c>
      <c r="I56" s="118" t="s">
        <v>659</v>
      </c>
    </row>
    <row r="57" spans="1:9" x14ac:dyDescent="0.2">
      <c r="A57" s="131">
        <v>33</v>
      </c>
      <c r="B57" s="132">
        <v>228</v>
      </c>
      <c r="C57" s="133" t="s">
        <v>244</v>
      </c>
      <c r="D57" s="134" t="s">
        <v>478</v>
      </c>
      <c r="G57" s="118" t="s">
        <v>640</v>
      </c>
      <c r="H57" s="117">
        <v>42166</v>
      </c>
      <c r="I57" s="118" t="s">
        <v>639</v>
      </c>
    </row>
    <row r="58" spans="1:9" x14ac:dyDescent="0.2">
      <c r="A58" s="131">
        <v>34</v>
      </c>
      <c r="B58" s="132">
        <v>149</v>
      </c>
      <c r="C58" s="133" t="s">
        <v>244</v>
      </c>
      <c r="D58" s="134" t="s">
        <v>478</v>
      </c>
      <c r="G58" s="118" t="s">
        <v>644</v>
      </c>
      <c r="H58" s="117">
        <v>42166</v>
      </c>
      <c r="I58" s="118" t="s">
        <v>639</v>
      </c>
    </row>
    <row r="59" spans="1:9" x14ac:dyDescent="0.2">
      <c r="A59" s="131">
        <v>35</v>
      </c>
      <c r="B59" s="132">
        <v>150</v>
      </c>
      <c r="C59" s="133" t="s">
        <v>244</v>
      </c>
      <c r="D59" s="134" t="s">
        <v>239</v>
      </c>
      <c r="G59" s="118" t="s">
        <v>686</v>
      </c>
      <c r="H59" s="117">
        <v>42166</v>
      </c>
      <c r="I59" s="118" t="s">
        <v>291</v>
      </c>
    </row>
    <row r="60" spans="1:9" x14ac:dyDescent="0.2">
      <c r="A60" s="131">
        <v>36</v>
      </c>
      <c r="B60" s="132">
        <v>151</v>
      </c>
      <c r="C60" s="133" t="s">
        <v>244</v>
      </c>
      <c r="D60" s="134" t="s">
        <v>477</v>
      </c>
      <c r="G60" s="118" t="s">
        <v>687</v>
      </c>
      <c r="H60" s="117">
        <v>42166</v>
      </c>
      <c r="I60" s="118" t="s">
        <v>277</v>
      </c>
    </row>
    <row r="61" spans="1:9" x14ac:dyDescent="0.2">
      <c r="A61" s="131">
        <v>37</v>
      </c>
      <c r="B61" s="132">
        <v>153</v>
      </c>
      <c r="C61" s="133" t="s">
        <v>244</v>
      </c>
      <c r="D61" s="134" t="s">
        <v>477</v>
      </c>
      <c r="G61" s="118" t="s">
        <v>688</v>
      </c>
      <c r="H61" s="117">
        <v>42166</v>
      </c>
      <c r="I61" s="118" t="s">
        <v>375</v>
      </c>
    </row>
    <row r="62" spans="1:9" x14ac:dyDescent="0.2">
      <c r="A62" s="131">
        <v>38</v>
      </c>
      <c r="B62" s="132">
        <v>154</v>
      </c>
      <c r="C62" s="133" t="s">
        <v>244</v>
      </c>
      <c r="D62" s="134" t="s">
        <v>239</v>
      </c>
      <c r="G62" s="118" t="s">
        <v>689</v>
      </c>
      <c r="H62" s="117">
        <v>42166</v>
      </c>
      <c r="I62" s="118" t="s">
        <v>374</v>
      </c>
    </row>
    <row r="63" spans="1:9" x14ac:dyDescent="0.2">
      <c r="A63" s="131">
        <v>39</v>
      </c>
      <c r="B63" s="132">
        <v>155</v>
      </c>
      <c r="C63" s="133" t="s">
        <v>244</v>
      </c>
      <c r="D63" s="134" t="s">
        <v>239</v>
      </c>
      <c r="G63" s="118" t="s">
        <v>690</v>
      </c>
      <c r="H63" s="117">
        <v>42166</v>
      </c>
      <c r="I63" s="118" t="s">
        <v>691</v>
      </c>
    </row>
    <row r="64" spans="1:9" x14ac:dyDescent="0.2">
      <c r="A64" s="131">
        <v>40</v>
      </c>
      <c r="B64" s="132">
        <v>157</v>
      </c>
      <c r="C64" s="133" t="s">
        <v>243</v>
      </c>
      <c r="D64" s="134" t="s">
        <v>477</v>
      </c>
      <c r="G64" s="118" t="s">
        <v>692</v>
      </c>
      <c r="H64" s="117">
        <v>42166</v>
      </c>
      <c r="I64" s="118" t="s">
        <v>693</v>
      </c>
    </row>
    <row r="65" spans="1:9" x14ac:dyDescent="0.2">
      <c r="A65" s="131">
        <v>41</v>
      </c>
      <c r="B65" s="132">
        <v>171</v>
      </c>
      <c r="C65" s="133" t="s">
        <v>245</v>
      </c>
      <c r="D65" s="134" t="s">
        <v>477</v>
      </c>
      <c r="G65" s="118" t="s">
        <v>694</v>
      </c>
      <c r="H65" s="117">
        <v>42166</v>
      </c>
      <c r="I65" s="118" t="s">
        <v>695</v>
      </c>
    </row>
    <row r="66" spans="1:9" x14ac:dyDescent="0.2">
      <c r="A66" s="131">
        <v>42</v>
      </c>
      <c r="B66" s="132">
        <v>173</v>
      </c>
      <c r="C66" s="133" t="s">
        <v>246</v>
      </c>
      <c r="D66" s="134" t="s">
        <v>477</v>
      </c>
      <c r="G66" s="118" t="s">
        <v>696</v>
      </c>
      <c r="H66" s="117">
        <v>42166</v>
      </c>
      <c r="I66" s="118" t="s">
        <v>697</v>
      </c>
    </row>
    <row r="67" spans="1:9" x14ac:dyDescent="0.2">
      <c r="A67" s="131">
        <v>43</v>
      </c>
      <c r="B67" s="132">
        <v>174</v>
      </c>
      <c r="C67" s="133" t="s">
        <v>246</v>
      </c>
      <c r="D67" s="134" t="s">
        <v>477</v>
      </c>
      <c r="G67" s="118" t="s">
        <v>698</v>
      </c>
      <c r="H67" s="117">
        <v>42166</v>
      </c>
      <c r="I67" s="118" t="s">
        <v>699</v>
      </c>
    </row>
    <row r="68" spans="1:9" x14ac:dyDescent="0.2">
      <c r="A68" s="131">
        <v>44</v>
      </c>
      <c r="B68" s="132">
        <v>185</v>
      </c>
      <c r="C68" s="133" t="s">
        <v>245</v>
      </c>
      <c r="D68" s="134" t="s">
        <v>477</v>
      </c>
      <c r="G68" s="118" t="s">
        <v>700</v>
      </c>
      <c r="H68" s="117">
        <v>42166</v>
      </c>
      <c r="I68" s="118" t="s">
        <v>701</v>
      </c>
    </row>
    <row r="69" spans="1:9" x14ac:dyDescent="0.2">
      <c r="A69" s="131">
        <v>45</v>
      </c>
      <c r="B69" s="132">
        <v>19</v>
      </c>
      <c r="C69" s="133" t="s">
        <v>247</v>
      </c>
      <c r="D69" s="134" t="s">
        <v>239</v>
      </c>
      <c r="G69" s="118" t="s">
        <v>702</v>
      </c>
      <c r="H69" s="117">
        <v>42166</v>
      </c>
      <c r="I69" s="118" t="s">
        <v>703</v>
      </c>
    </row>
    <row r="70" spans="1:9" x14ac:dyDescent="0.2">
      <c r="A70" s="131">
        <v>46</v>
      </c>
      <c r="B70" s="132">
        <v>78</v>
      </c>
      <c r="C70" s="133" t="s">
        <v>248</v>
      </c>
      <c r="D70" s="134" t="s">
        <v>239</v>
      </c>
      <c r="G70" s="118" t="s">
        <v>704</v>
      </c>
      <c r="H70" s="117">
        <v>42166</v>
      </c>
      <c r="I70" s="118" t="s">
        <v>705</v>
      </c>
    </row>
    <row r="71" spans="1:9" x14ac:dyDescent="0.2">
      <c r="A71" s="131">
        <v>47</v>
      </c>
      <c r="B71" s="132">
        <v>15</v>
      </c>
      <c r="C71" s="133" t="s">
        <v>249</v>
      </c>
      <c r="D71" s="134" t="s">
        <v>239</v>
      </c>
      <c r="G71" s="118" t="s">
        <v>704</v>
      </c>
      <c r="H71" s="117">
        <v>42166</v>
      </c>
      <c r="I71" s="118" t="s">
        <v>706</v>
      </c>
    </row>
    <row r="72" spans="1:9" x14ac:dyDescent="0.2">
      <c r="A72" s="131">
        <v>48</v>
      </c>
      <c r="B72" s="132">
        <v>79</v>
      </c>
      <c r="C72" s="133" t="s">
        <v>250</v>
      </c>
      <c r="D72" s="134" t="s">
        <v>476</v>
      </c>
      <c r="G72" s="118" t="s">
        <v>707</v>
      </c>
      <c r="H72" s="117">
        <v>42166</v>
      </c>
      <c r="I72" s="118" t="s">
        <v>708</v>
      </c>
    </row>
    <row r="73" spans="1:9" x14ac:dyDescent="0.2">
      <c r="A73" s="131">
        <v>49</v>
      </c>
      <c r="B73" s="132">
        <v>128</v>
      </c>
      <c r="C73" s="133" t="s">
        <v>243</v>
      </c>
      <c r="D73" s="134" t="s">
        <v>239</v>
      </c>
      <c r="G73" s="118" t="s">
        <v>707</v>
      </c>
      <c r="H73" s="117">
        <v>42166</v>
      </c>
      <c r="I73" s="118" t="s">
        <v>709</v>
      </c>
    </row>
    <row r="74" spans="1:9" x14ac:dyDescent="0.2">
      <c r="A74" s="131">
        <v>50</v>
      </c>
      <c r="B74" s="132">
        <v>14</v>
      </c>
      <c r="C74" s="133" t="s">
        <v>251</v>
      </c>
      <c r="D74" s="134" t="s">
        <v>239</v>
      </c>
      <c r="G74" s="118" t="s">
        <v>710</v>
      </c>
      <c r="H74" s="117">
        <v>42166</v>
      </c>
      <c r="I74" s="118" t="s">
        <v>711</v>
      </c>
    </row>
    <row r="75" spans="1:9" x14ac:dyDescent="0.2">
      <c r="A75" s="131">
        <v>51</v>
      </c>
      <c r="B75" s="132">
        <v>112</v>
      </c>
      <c r="C75" s="133" t="s">
        <v>252</v>
      </c>
      <c r="D75" s="134">
        <v>1</v>
      </c>
      <c r="G75" s="118" t="s">
        <v>712</v>
      </c>
      <c r="H75" s="117">
        <v>42166</v>
      </c>
      <c r="I75" s="118" t="s">
        <v>713</v>
      </c>
    </row>
    <row r="76" spans="1:9" x14ac:dyDescent="0.2">
      <c r="A76" s="131">
        <v>51</v>
      </c>
      <c r="B76" s="132">
        <v>120</v>
      </c>
      <c r="C76" s="133" t="s">
        <v>252</v>
      </c>
      <c r="D76" s="134">
        <v>2</v>
      </c>
      <c r="G76" s="118" t="s">
        <v>714</v>
      </c>
      <c r="H76" s="117">
        <v>42166</v>
      </c>
      <c r="I76" s="118" t="s">
        <v>715</v>
      </c>
    </row>
    <row r="77" spans="1:9" x14ac:dyDescent="0.2">
      <c r="A77" s="131">
        <v>52</v>
      </c>
      <c r="B77" s="132">
        <v>114</v>
      </c>
      <c r="C77" s="133" t="s">
        <v>253</v>
      </c>
      <c r="D77" s="134" t="s">
        <v>476</v>
      </c>
      <c r="G77" s="118" t="s">
        <v>716</v>
      </c>
      <c r="H77" s="117">
        <v>42166</v>
      </c>
      <c r="I77" s="118" t="s">
        <v>717</v>
      </c>
    </row>
    <row r="78" spans="1:9" x14ac:dyDescent="0.2">
      <c r="A78" s="131">
        <v>53</v>
      </c>
      <c r="B78" s="132">
        <v>115</v>
      </c>
      <c r="C78" s="133" t="s">
        <v>253</v>
      </c>
      <c r="D78" s="134" t="s">
        <v>476</v>
      </c>
      <c r="G78" s="118" t="s">
        <v>718</v>
      </c>
      <c r="H78" s="117">
        <v>42166</v>
      </c>
      <c r="I78" s="118" t="s">
        <v>719</v>
      </c>
    </row>
    <row r="79" spans="1:9" x14ac:dyDescent="0.2">
      <c r="A79" s="131">
        <v>55</v>
      </c>
      <c r="B79" s="132">
        <v>117</v>
      </c>
      <c r="C79" s="133" t="s">
        <v>253</v>
      </c>
      <c r="D79" s="134" t="s">
        <v>476</v>
      </c>
      <c r="G79" s="118" t="s">
        <v>720</v>
      </c>
      <c r="H79" s="117">
        <v>42166</v>
      </c>
      <c r="I79" s="118" t="s">
        <v>721</v>
      </c>
    </row>
    <row r="80" spans="1:9" x14ac:dyDescent="0.2">
      <c r="A80" s="131">
        <v>56</v>
      </c>
      <c r="B80" s="132">
        <v>118</v>
      </c>
      <c r="C80" s="133" t="s">
        <v>253</v>
      </c>
      <c r="D80" s="134" t="s">
        <v>476</v>
      </c>
      <c r="G80" s="118" t="s">
        <v>722</v>
      </c>
      <c r="H80" s="117">
        <v>42166</v>
      </c>
      <c r="I80" s="118" t="s">
        <v>723</v>
      </c>
    </row>
    <row r="81" spans="1:9" x14ac:dyDescent="0.2">
      <c r="A81" s="131">
        <v>57</v>
      </c>
      <c r="B81" s="132">
        <v>119</v>
      </c>
      <c r="C81" s="133" t="s">
        <v>253</v>
      </c>
      <c r="D81" s="134" t="s">
        <v>239</v>
      </c>
      <c r="G81" s="118" t="s">
        <v>724</v>
      </c>
      <c r="H81" s="117">
        <v>42166</v>
      </c>
      <c r="I81" s="118" t="s">
        <v>725</v>
      </c>
    </row>
    <row r="82" spans="1:9" x14ac:dyDescent="0.2">
      <c r="A82" s="131">
        <v>58</v>
      </c>
      <c r="B82" s="132">
        <v>21</v>
      </c>
      <c r="C82" s="133" t="s">
        <v>291</v>
      </c>
      <c r="D82" s="134">
        <v>1</v>
      </c>
      <c r="G82" s="118" t="s">
        <v>724</v>
      </c>
      <c r="H82" s="117">
        <v>42166</v>
      </c>
      <c r="I82" s="118" t="s">
        <v>726</v>
      </c>
    </row>
    <row r="83" spans="1:9" x14ac:dyDescent="0.2">
      <c r="A83" s="131">
        <v>58</v>
      </c>
      <c r="B83" s="132">
        <v>175</v>
      </c>
      <c r="C83" s="133" t="s">
        <v>291</v>
      </c>
      <c r="D83" s="134">
        <v>1</v>
      </c>
      <c r="G83" s="118" t="s">
        <v>727</v>
      </c>
      <c r="H83" s="117">
        <v>42166</v>
      </c>
      <c r="I83" s="118" t="s">
        <v>728</v>
      </c>
    </row>
    <row r="84" spans="1:9" x14ac:dyDescent="0.2">
      <c r="A84" s="131">
        <v>59</v>
      </c>
      <c r="B84" s="132">
        <v>121</v>
      </c>
      <c r="C84" s="133" t="s">
        <v>253</v>
      </c>
      <c r="D84" s="134" t="s">
        <v>476</v>
      </c>
    </row>
    <row r="85" spans="1:9" x14ac:dyDescent="0.2">
      <c r="A85" s="131">
        <v>60</v>
      </c>
      <c r="B85" s="132">
        <v>122</v>
      </c>
      <c r="C85" s="133" t="s">
        <v>253</v>
      </c>
      <c r="D85" s="134" t="s">
        <v>239</v>
      </c>
    </row>
    <row r="86" spans="1:9" x14ac:dyDescent="0.2">
      <c r="A86" s="131">
        <v>62</v>
      </c>
      <c r="B86" s="132">
        <v>1119</v>
      </c>
      <c r="C86" s="133" t="s">
        <v>254</v>
      </c>
      <c r="D86" s="134" t="s">
        <v>479</v>
      </c>
    </row>
    <row r="87" spans="1:9" x14ac:dyDescent="0.2">
      <c r="A87" s="131">
        <v>63</v>
      </c>
      <c r="B87" s="132">
        <v>172</v>
      </c>
      <c r="C87" s="133" t="s">
        <v>246</v>
      </c>
      <c r="D87" s="134" t="s">
        <v>476</v>
      </c>
    </row>
    <row r="88" spans="1:9" x14ac:dyDescent="0.2">
      <c r="A88" s="131">
        <v>64</v>
      </c>
      <c r="B88" s="132">
        <v>1105</v>
      </c>
      <c r="C88" s="133" t="s">
        <v>253</v>
      </c>
      <c r="D88" s="134" t="s">
        <v>239</v>
      </c>
    </row>
    <row r="89" spans="1:9" x14ac:dyDescent="0.2">
      <c r="A89" s="131">
        <v>65</v>
      </c>
      <c r="B89" s="132">
        <v>10</v>
      </c>
      <c r="C89" s="133" t="s">
        <v>255</v>
      </c>
      <c r="D89" s="134" t="s">
        <v>239</v>
      </c>
    </row>
    <row r="90" spans="1:9" x14ac:dyDescent="0.2">
      <c r="A90" s="131">
        <v>66</v>
      </c>
      <c r="B90" s="132">
        <v>1106</v>
      </c>
      <c r="C90" s="133" t="s">
        <v>255</v>
      </c>
      <c r="D90" s="134" t="s">
        <v>239</v>
      </c>
    </row>
    <row r="91" spans="1:9" x14ac:dyDescent="0.2">
      <c r="A91" s="131">
        <v>67</v>
      </c>
      <c r="B91" s="132">
        <v>102</v>
      </c>
      <c r="C91" s="133" t="s">
        <v>256</v>
      </c>
      <c r="D91" s="134" t="s">
        <v>477</v>
      </c>
    </row>
    <row r="92" spans="1:9" x14ac:dyDescent="0.2">
      <c r="A92" s="131">
        <v>71</v>
      </c>
      <c r="B92" s="132">
        <v>109</v>
      </c>
      <c r="C92" s="133" t="s">
        <v>256</v>
      </c>
      <c r="D92" s="134" t="s">
        <v>239</v>
      </c>
    </row>
    <row r="93" spans="1:9" x14ac:dyDescent="0.2">
      <c r="A93" s="131">
        <v>72</v>
      </c>
      <c r="B93" s="132">
        <v>111</v>
      </c>
      <c r="C93" s="133" t="s">
        <v>256</v>
      </c>
      <c r="D93" s="134" t="s">
        <v>239</v>
      </c>
    </row>
    <row r="94" spans="1:9" x14ac:dyDescent="0.2">
      <c r="A94" s="131">
        <v>73</v>
      </c>
      <c r="B94" s="132">
        <v>156</v>
      </c>
      <c r="C94" s="133" t="s">
        <v>256</v>
      </c>
      <c r="D94" s="134" t="s">
        <v>477</v>
      </c>
    </row>
    <row r="95" spans="1:9" x14ac:dyDescent="0.2">
      <c r="A95" s="131">
        <v>74</v>
      </c>
      <c r="B95" s="132">
        <v>17</v>
      </c>
      <c r="C95" s="133" t="s">
        <v>257</v>
      </c>
      <c r="D95" s="134" t="s">
        <v>239</v>
      </c>
    </row>
    <row r="96" spans="1:9" x14ac:dyDescent="0.2">
      <c r="A96" s="131">
        <v>75</v>
      </c>
      <c r="B96" s="132">
        <v>62</v>
      </c>
      <c r="C96" s="133" t="s">
        <v>258</v>
      </c>
      <c r="D96" s="134" t="s">
        <v>239</v>
      </c>
    </row>
    <row r="97" spans="1:4" x14ac:dyDescent="0.2">
      <c r="A97" s="131">
        <v>76</v>
      </c>
      <c r="B97" s="132">
        <v>63</v>
      </c>
      <c r="C97" s="133" t="s">
        <v>258</v>
      </c>
      <c r="D97" s="134" t="s">
        <v>239</v>
      </c>
    </row>
    <row r="98" spans="1:4" x14ac:dyDescent="0.2">
      <c r="A98" s="131">
        <v>77</v>
      </c>
      <c r="B98" s="132">
        <v>134</v>
      </c>
      <c r="C98" s="133" t="s">
        <v>258</v>
      </c>
      <c r="D98" s="134" t="s">
        <v>239</v>
      </c>
    </row>
    <row r="99" spans="1:4" x14ac:dyDescent="0.2">
      <c r="A99" s="131">
        <v>78</v>
      </c>
      <c r="B99" s="132">
        <v>13</v>
      </c>
      <c r="C99" s="133" t="s">
        <v>259</v>
      </c>
      <c r="D99" s="134" t="s">
        <v>239</v>
      </c>
    </row>
    <row r="100" spans="1:4" x14ac:dyDescent="0.2">
      <c r="A100" s="131">
        <v>79</v>
      </c>
      <c r="B100" s="132">
        <v>97</v>
      </c>
      <c r="C100" s="133" t="s">
        <v>260</v>
      </c>
      <c r="D100" s="134">
        <v>2</v>
      </c>
    </row>
    <row r="101" spans="1:4" x14ac:dyDescent="0.2">
      <c r="A101" s="131">
        <v>79</v>
      </c>
      <c r="B101" s="132">
        <v>164</v>
      </c>
      <c r="C101" s="133" t="s">
        <v>260</v>
      </c>
      <c r="D101" s="134">
        <v>1</v>
      </c>
    </row>
    <row r="102" spans="1:4" x14ac:dyDescent="0.2">
      <c r="A102" s="131">
        <v>80</v>
      </c>
      <c r="B102" s="132">
        <v>96</v>
      </c>
      <c r="C102" s="133" t="s">
        <v>261</v>
      </c>
      <c r="D102" s="134" t="s">
        <v>239</v>
      </c>
    </row>
    <row r="103" spans="1:4" x14ac:dyDescent="0.2">
      <c r="A103" s="131">
        <v>81</v>
      </c>
      <c r="B103" s="132">
        <v>60</v>
      </c>
      <c r="C103" s="133" t="s">
        <v>262</v>
      </c>
      <c r="D103" s="134" t="s">
        <v>239</v>
      </c>
    </row>
    <row r="104" spans="1:4" x14ac:dyDescent="0.2">
      <c r="A104" s="131">
        <v>82</v>
      </c>
      <c r="B104" s="132">
        <v>83</v>
      </c>
      <c r="C104" s="133" t="s">
        <v>263</v>
      </c>
      <c r="D104" s="134" t="s">
        <v>239</v>
      </c>
    </row>
    <row r="105" spans="1:4" x14ac:dyDescent="0.2">
      <c r="A105" s="131">
        <v>83</v>
      </c>
      <c r="B105" s="132">
        <v>84</v>
      </c>
      <c r="C105" s="133" t="s">
        <v>263</v>
      </c>
      <c r="D105" s="134" t="s">
        <v>239</v>
      </c>
    </row>
    <row r="106" spans="1:4" x14ac:dyDescent="0.2">
      <c r="A106" s="131">
        <v>84</v>
      </c>
      <c r="B106" s="132">
        <v>85</v>
      </c>
      <c r="C106" s="133" t="s">
        <v>263</v>
      </c>
      <c r="D106" s="134" t="s">
        <v>239</v>
      </c>
    </row>
    <row r="107" spans="1:4" x14ac:dyDescent="0.2">
      <c r="A107" s="131">
        <v>85</v>
      </c>
      <c r="B107" s="132">
        <v>86</v>
      </c>
      <c r="C107" s="133" t="s">
        <v>263</v>
      </c>
      <c r="D107" s="134" t="s">
        <v>239</v>
      </c>
    </row>
    <row r="108" spans="1:4" x14ac:dyDescent="0.2">
      <c r="A108" s="131">
        <v>86</v>
      </c>
      <c r="B108" s="132">
        <v>1107</v>
      </c>
      <c r="C108" s="133" t="s">
        <v>263</v>
      </c>
      <c r="D108" s="134" t="s">
        <v>239</v>
      </c>
    </row>
    <row r="109" spans="1:4" x14ac:dyDescent="0.2">
      <c r="A109" s="131">
        <v>87</v>
      </c>
      <c r="B109" s="132">
        <v>1109</v>
      </c>
      <c r="C109" s="133" t="s">
        <v>263</v>
      </c>
      <c r="D109" s="134" t="s">
        <v>239</v>
      </c>
    </row>
    <row r="110" spans="1:4" x14ac:dyDescent="0.2">
      <c r="A110" s="131">
        <v>88</v>
      </c>
      <c r="B110" s="132">
        <v>1113</v>
      </c>
      <c r="C110" s="133" t="s">
        <v>263</v>
      </c>
      <c r="D110" s="134" t="s">
        <v>239</v>
      </c>
    </row>
    <row r="111" spans="1:4" x14ac:dyDescent="0.2">
      <c r="A111" s="131">
        <v>91</v>
      </c>
      <c r="B111" s="132">
        <v>3</v>
      </c>
      <c r="C111" s="133" t="s">
        <v>264</v>
      </c>
      <c r="D111" s="134" t="s">
        <v>239</v>
      </c>
    </row>
    <row r="112" spans="1:4" x14ac:dyDescent="0.2">
      <c r="A112" s="131">
        <v>92</v>
      </c>
      <c r="B112" s="132">
        <v>4</v>
      </c>
      <c r="C112" s="133" t="s">
        <v>264</v>
      </c>
      <c r="D112" s="134" t="s">
        <v>239</v>
      </c>
    </row>
    <row r="113" spans="1:4" x14ac:dyDescent="0.2">
      <c r="A113" s="131">
        <v>93</v>
      </c>
      <c r="B113" s="132">
        <v>30</v>
      </c>
      <c r="C113" s="133" t="s">
        <v>265</v>
      </c>
      <c r="D113" s="134">
        <v>1</v>
      </c>
    </row>
    <row r="114" spans="1:4" x14ac:dyDescent="0.2">
      <c r="A114" s="131">
        <v>93</v>
      </c>
      <c r="B114" s="132">
        <v>214</v>
      </c>
      <c r="C114" s="133" t="s">
        <v>265</v>
      </c>
      <c r="D114" s="134">
        <v>2</v>
      </c>
    </row>
    <row r="115" spans="1:4" x14ac:dyDescent="0.2">
      <c r="A115" s="131">
        <v>94</v>
      </c>
      <c r="B115" s="132">
        <v>1108</v>
      </c>
      <c r="C115" s="133" t="s">
        <v>264</v>
      </c>
      <c r="D115" s="134" t="s">
        <v>239</v>
      </c>
    </row>
    <row r="116" spans="1:4" x14ac:dyDescent="0.2">
      <c r="A116" s="131">
        <v>95</v>
      </c>
      <c r="B116" s="132">
        <v>1110</v>
      </c>
      <c r="C116" s="133" t="s">
        <v>264</v>
      </c>
      <c r="D116" s="134" t="s">
        <v>239</v>
      </c>
    </row>
    <row r="117" spans="1:4" x14ac:dyDescent="0.2">
      <c r="A117" s="131">
        <v>96</v>
      </c>
      <c r="B117" s="132">
        <v>1114</v>
      </c>
      <c r="C117" s="133" t="s">
        <v>264</v>
      </c>
      <c r="D117" s="134" t="s">
        <v>239</v>
      </c>
    </row>
    <row r="118" spans="1:4" x14ac:dyDescent="0.2">
      <c r="A118" s="131">
        <v>97</v>
      </c>
      <c r="B118" s="132">
        <v>54</v>
      </c>
      <c r="C118" s="133" t="s">
        <v>266</v>
      </c>
      <c r="D118" s="134" t="s">
        <v>239</v>
      </c>
    </row>
    <row r="119" spans="1:4" x14ac:dyDescent="0.2">
      <c r="A119" s="131">
        <v>98</v>
      </c>
      <c r="B119" s="132">
        <v>12</v>
      </c>
      <c r="C119" s="133" t="s">
        <v>267</v>
      </c>
      <c r="D119" s="134" t="s">
        <v>239</v>
      </c>
    </row>
    <row r="120" spans="1:4" x14ac:dyDescent="0.2">
      <c r="A120" s="131">
        <v>99</v>
      </c>
      <c r="B120" s="132">
        <v>75</v>
      </c>
      <c r="C120" s="133" t="s">
        <v>268</v>
      </c>
      <c r="D120" s="134" t="s">
        <v>476</v>
      </c>
    </row>
    <row r="121" spans="1:4" x14ac:dyDescent="0.2">
      <c r="A121" s="131">
        <v>100</v>
      </c>
      <c r="B121" s="132">
        <v>76</v>
      </c>
      <c r="C121" s="133" t="s">
        <v>268</v>
      </c>
      <c r="D121" s="134" t="s">
        <v>476</v>
      </c>
    </row>
    <row r="122" spans="1:4" x14ac:dyDescent="0.2">
      <c r="A122" s="131">
        <v>101</v>
      </c>
      <c r="B122" s="132">
        <v>7</v>
      </c>
      <c r="C122" s="133" t="s">
        <v>269</v>
      </c>
      <c r="D122" s="134" t="s">
        <v>239</v>
      </c>
    </row>
    <row r="123" spans="1:4" x14ac:dyDescent="0.2">
      <c r="A123" s="131">
        <v>102</v>
      </c>
      <c r="B123" s="132">
        <v>8</v>
      </c>
      <c r="C123" s="133" t="s">
        <v>269</v>
      </c>
      <c r="D123" s="134" t="s">
        <v>239</v>
      </c>
    </row>
    <row r="124" spans="1:4" x14ac:dyDescent="0.2">
      <c r="A124" s="131">
        <v>103</v>
      </c>
      <c r="B124" s="132">
        <v>9</v>
      </c>
      <c r="C124" s="133" t="s">
        <v>269</v>
      </c>
      <c r="D124" s="134" t="s">
        <v>239</v>
      </c>
    </row>
    <row r="125" spans="1:4" x14ac:dyDescent="0.2">
      <c r="A125" s="131">
        <v>104</v>
      </c>
      <c r="B125" s="132">
        <v>61</v>
      </c>
      <c r="C125" s="133" t="s">
        <v>270</v>
      </c>
      <c r="D125" s="134" t="s">
        <v>477</v>
      </c>
    </row>
    <row r="126" spans="1:4" x14ac:dyDescent="0.2">
      <c r="A126" s="131">
        <v>105</v>
      </c>
      <c r="B126" s="132">
        <v>65</v>
      </c>
      <c r="C126" s="133" t="s">
        <v>270</v>
      </c>
      <c r="D126" s="134" t="s">
        <v>239</v>
      </c>
    </row>
    <row r="127" spans="1:4" x14ac:dyDescent="0.2">
      <c r="A127" s="131">
        <v>106</v>
      </c>
      <c r="B127" s="132">
        <v>66</v>
      </c>
      <c r="C127" s="133" t="s">
        <v>270</v>
      </c>
      <c r="D127" s="134" t="s">
        <v>477</v>
      </c>
    </row>
    <row r="128" spans="1:4" x14ac:dyDescent="0.2">
      <c r="A128" s="131">
        <v>107</v>
      </c>
      <c r="B128" s="132">
        <v>67</v>
      </c>
      <c r="C128" s="133" t="s">
        <v>270</v>
      </c>
      <c r="D128" s="134" t="s">
        <v>477</v>
      </c>
    </row>
    <row r="129" spans="1:4" x14ac:dyDescent="0.2">
      <c r="A129" s="131">
        <v>108</v>
      </c>
      <c r="B129" s="132">
        <v>68</v>
      </c>
      <c r="C129" s="133" t="s">
        <v>270</v>
      </c>
      <c r="D129" s="134" t="s">
        <v>477</v>
      </c>
    </row>
    <row r="130" spans="1:4" x14ac:dyDescent="0.2">
      <c r="A130" s="131">
        <v>109</v>
      </c>
      <c r="B130" s="132">
        <v>69</v>
      </c>
      <c r="C130" s="133" t="s">
        <v>270</v>
      </c>
      <c r="D130" s="134" t="s">
        <v>239</v>
      </c>
    </row>
    <row r="131" spans="1:4" x14ac:dyDescent="0.2">
      <c r="A131" s="131">
        <v>110</v>
      </c>
      <c r="B131" s="132">
        <v>1348</v>
      </c>
      <c r="C131" s="133" t="s">
        <v>270</v>
      </c>
      <c r="D131" s="134" t="s">
        <v>239</v>
      </c>
    </row>
    <row r="132" spans="1:4" x14ac:dyDescent="0.2">
      <c r="A132" s="131">
        <v>111</v>
      </c>
      <c r="B132" s="132">
        <v>91</v>
      </c>
      <c r="C132" s="133" t="s">
        <v>271</v>
      </c>
      <c r="D132" s="134" t="s">
        <v>239</v>
      </c>
    </row>
    <row r="133" spans="1:4" x14ac:dyDescent="0.2">
      <c r="A133" s="131">
        <v>112</v>
      </c>
      <c r="B133" s="132">
        <v>22</v>
      </c>
      <c r="C133" s="133" t="s">
        <v>272</v>
      </c>
      <c r="D133" s="134" t="s">
        <v>476</v>
      </c>
    </row>
    <row r="134" spans="1:4" x14ac:dyDescent="0.2">
      <c r="A134" s="131">
        <v>113</v>
      </c>
      <c r="B134" s="132">
        <v>23</v>
      </c>
      <c r="C134" s="133" t="s">
        <v>272</v>
      </c>
      <c r="D134" s="134" t="s">
        <v>476</v>
      </c>
    </row>
    <row r="135" spans="1:4" x14ac:dyDescent="0.2">
      <c r="A135" s="131">
        <v>115</v>
      </c>
      <c r="B135" s="132">
        <v>25</v>
      </c>
      <c r="C135" s="133" t="s">
        <v>272</v>
      </c>
      <c r="D135" s="134" t="s">
        <v>239</v>
      </c>
    </row>
    <row r="136" spans="1:4" x14ac:dyDescent="0.2">
      <c r="A136" s="131">
        <v>116</v>
      </c>
      <c r="B136" s="132">
        <v>26</v>
      </c>
      <c r="C136" s="133" t="s">
        <v>272</v>
      </c>
      <c r="D136" s="134" t="s">
        <v>239</v>
      </c>
    </row>
    <row r="137" spans="1:4" x14ac:dyDescent="0.2">
      <c r="A137" s="131">
        <v>117</v>
      </c>
      <c r="B137" s="132">
        <v>1349</v>
      </c>
      <c r="C137" s="133" t="s">
        <v>272</v>
      </c>
      <c r="D137" s="134" t="s">
        <v>239</v>
      </c>
    </row>
    <row r="138" spans="1:4" x14ac:dyDescent="0.2">
      <c r="A138" s="131">
        <v>118</v>
      </c>
      <c r="B138" s="132">
        <v>6</v>
      </c>
      <c r="C138" s="133" t="s">
        <v>273</v>
      </c>
      <c r="D138" s="134" t="s">
        <v>239</v>
      </c>
    </row>
    <row r="139" spans="1:4" x14ac:dyDescent="0.2">
      <c r="A139" s="131">
        <v>119</v>
      </c>
      <c r="B139" s="132">
        <v>1350</v>
      </c>
      <c r="C139" s="133" t="s">
        <v>273</v>
      </c>
      <c r="D139" s="134" t="s">
        <v>239</v>
      </c>
    </row>
    <row r="140" spans="1:4" x14ac:dyDescent="0.2">
      <c r="A140" s="131">
        <v>120</v>
      </c>
      <c r="B140" s="132">
        <v>11</v>
      </c>
      <c r="C140" s="133" t="s">
        <v>246</v>
      </c>
      <c r="D140" s="134" t="s">
        <v>239</v>
      </c>
    </row>
    <row r="141" spans="1:4" x14ac:dyDescent="0.2">
      <c r="A141" s="131">
        <v>121</v>
      </c>
      <c r="B141" s="132">
        <v>26</v>
      </c>
      <c r="C141" s="133" t="s">
        <v>274</v>
      </c>
      <c r="D141" s="134">
        <v>2</v>
      </c>
    </row>
    <row r="142" spans="1:4" x14ac:dyDescent="0.2">
      <c r="A142" s="131">
        <v>121</v>
      </c>
      <c r="B142" s="132">
        <v>224</v>
      </c>
      <c r="C142" s="133" t="s">
        <v>274</v>
      </c>
      <c r="D142" s="134">
        <v>1</v>
      </c>
    </row>
    <row r="143" spans="1:4" x14ac:dyDescent="0.2">
      <c r="A143" s="131">
        <v>122</v>
      </c>
      <c r="B143" s="132">
        <v>201</v>
      </c>
      <c r="C143" s="133" t="s">
        <v>275</v>
      </c>
      <c r="D143" s="134">
        <v>1</v>
      </c>
    </row>
    <row r="144" spans="1:4" x14ac:dyDescent="0.2">
      <c r="A144" s="131">
        <v>122</v>
      </c>
      <c r="B144" s="132">
        <v>245</v>
      </c>
      <c r="C144" s="133" t="s">
        <v>275</v>
      </c>
      <c r="D144" s="134">
        <v>2</v>
      </c>
    </row>
    <row r="145" spans="1:4" x14ac:dyDescent="0.2">
      <c r="A145" s="131">
        <v>123</v>
      </c>
      <c r="B145" s="132">
        <v>1307</v>
      </c>
      <c r="C145" s="133" t="s">
        <v>276</v>
      </c>
      <c r="D145" s="134">
        <v>1</v>
      </c>
    </row>
    <row r="146" spans="1:4" x14ac:dyDescent="0.2">
      <c r="A146" s="131">
        <v>124</v>
      </c>
      <c r="B146" s="132">
        <v>1319</v>
      </c>
      <c r="C146" s="133" t="s">
        <v>276</v>
      </c>
      <c r="D146" s="134">
        <v>1</v>
      </c>
    </row>
    <row r="147" spans="1:4" x14ac:dyDescent="0.2">
      <c r="A147" s="131">
        <v>125</v>
      </c>
      <c r="B147" s="132">
        <v>1315</v>
      </c>
      <c r="C147" s="133" t="s">
        <v>276</v>
      </c>
      <c r="D147" s="134">
        <v>1</v>
      </c>
    </row>
    <row r="148" spans="1:4" x14ac:dyDescent="0.2">
      <c r="A148" s="131">
        <v>126</v>
      </c>
      <c r="B148" s="132">
        <v>1193</v>
      </c>
      <c r="C148" s="133" t="s">
        <v>277</v>
      </c>
      <c r="D148" s="134">
        <v>1</v>
      </c>
    </row>
    <row r="149" spans="1:4" x14ac:dyDescent="0.2">
      <c r="A149" s="131">
        <v>126</v>
      </c>
      <c r="B149" s="132">
        <v>1194</v>
      </c>
      <c r="C149" s="133" t="s">
        <v>277</v>
      </c>
      <c r="D149" s="134">
        <v>2</v>
      </c>
    </row>
    <row r="150" spans="1:4" x14ac:dyDescent="0.2">
      <c r="A150" s="131">
        <v>127</v>
      </c>
      <c r="B150" s="132">
        <v>80</v>
      </c>
      <c r="C150" s="133" t="s">
        <v>278</v>
      </c>
      <c r="D150" s="134" t="s">
        <v>477</v>
      </c>
    </row>
    <row r="151" spans="1:4" x14ac:dyDescent="0.2">
      <c r="A151" s="131">
        <v>127</v>
      </c>
      <c r="B151" s="132">
        <v>148</v>
      </c>
      <c r="C151" s="133" t="s">
        <v>278</v>
      </c>
      <c r="D151" s="134">
        <v>1</v>
      </c>
    </row>
    <row r="152" spans="1:4" x14ac:dyDescent="0.2">
      <c r="A152" s="131">
        <v>127</v>
      </c>
      <c r="B152" s="132">
        <v>221</v>
      </c>
      <c r="C152" s="133" t="s">
        <v>278</v>
      </c>
      <c r="D152" s="134" t="s">
        <v>479</v>
      </c>
    </row>
    <row r="153" spans="1:4" x14ac:dyDescent="0.2">
      <c r="A153" s="131">
        <v>128</v>
      </c>
      <c r="B153" s="132">
        <v>1120</v>
      </c>
      <c r="C153" s="133" t="s">
        <v>279</v>
      </c>
      <c r="D153" s="134">
        <v>1</v>
      </c>
    </row>
    <row r="154" spans="1:4" x14ac:dyDescent="0.2">
      <c r="A154" s="131">
        <v>128</v>
      </c>
      <c r="B154" s="132">
        <v>1121</v>
      </c>
      <c r="C154" s="133" t="s">
        <v>279</v>
      </c>
      <c r="D154" s="134">
        <v>1</v>
      </c>
    </row>
    <row r="155" spans="1:4" x14ac:dyDescent="0.2">
      <c r="A155" s="131">
        <v>128</v>
      </c>
      <c r="B155" s="132">
        <v>1122</v>
      </c>
      <c r="C155" s="133" t="s">
        <v>279</v>
      </c>
      <c r="D155" s="134">
        <v>2</v>
      </c>
    </row>
    <row r="156" spans="1:4" x14ac:dyDescent="0.2">
      <c r="A156" s="131">
        <v>129</v>
      </c>
      <c r="B156" s="132">
        <v>169</v>
      </c>
      <c r="C156" s="133" t="s">
        <v>278</v>
      </c>
      <c r="D156" s="134">
        <v>1</v>
      </c>
    </row>
    <row r="157" spans="1:4" x14ac:dyDescent="0.2">
      <c r="A157" s="131">
        <v>129</v>
      </c>
      <c r="B157" s="132">
        <v>202</v>
      </c>
      <c r="C157" s="133" t="s">
        <v>278</v>
      </c>
      <c r="D157" s="134">
        <v>1</v>
      </c>
    </row>
    <row r="158" spans="1:4" x14ac:dyDescent="0.2">
      <c r="A158" s="131">
        <v>129</v>
      </c>
      <c r="B158" s="132">
        <v>222</v>
      </c>
      <c r="C158" s="133" t="s">
        <v>278</v>
      </c>
      <c r="D158" s="134">
        <v>2</v>
      </c>
    </row>
    <row r="159" spans="1:4" x14ac:dyDescent="0.2">
      <c r="A159" s="131">
        <v>130</v>
      </c>
      <c r="B159" s="132">
        <v>1308</v>
      </c>
      <c r="C159" s="133" t="s">
        <v>280</v>
      </c>
      <c r="D159" s="134">
        <v>1</v>
      </c>
    </row>
    <row r="160" spans="1:4" x14ac:dyDescent="0.2">
      <c r="A160" s="131">
        <v>130</v>
      </c>
      <c r="B160" s="132">
        <v>1309</v>
      </c>
      <c r="C160" s="133" t="s">
        <v>280</v>
      </c>
      <c r="D160" s="134">
        <v>1</v>
      </c>
    </row>
    <row r="161" spans="1:4" x14ac:dyDescent="0.2">
      <c r="A161" s="131">
        <v>130</v>
      </c>
      <c r="B161" s="132">
        <v>1310</v>
      </c>
      <c r="C161" s="133" t="s">
        <v>280</v>
      </c>
      <c r="D161" s="134">
        <v>2</v>
      </c>
    </row>
    <row r="162" spans="1:4" x14ac:dyDescent="0.2">
      <c r="A162" s="131">
        <v>131</v>
      </c>
      <c r="B162" s="132">
        <v>1311</v>
      </c>
      <c r="C162" s="133" t="s">
        <v>280</v>
      </c>
      <c r="D162" s="134">
        <v>1</v>
      </c>
    </row>
    <row r="163" spans="1:4" x14ac:dyDescent="0.2">
      <c r="A163" s="131">
        <v>131</v>
      </c>
      <c r="B163" s="132">
        <v>1312</v>
      </c>
      <c r="C163" s="133" t="s">
        <v>280</v>
      </c>
      <c r="D163" s="134">
        <v>1</v>
      </c>
    </row>
    <row r="164" spans="1:4" x14ac:dyDescent="0.2">
      <c r="A164" s="131">
        <v>131</v>
      </c>
      <c r="B164" s="132">
        <v>1313</v>
      </c>
      <c r="C164" s="133" t="s">
        <v>280</v>
      </c>
      <c r="D164" s="134">
        <v>2</v>
      </c>
    </row>
    <row r="165" spans="1:4" x14ac:dyDescent="0.2">
      <c r="A165" s="131">
        <v>132</v>
      </c>
      <c r="B165" s="132">
        <v>92</v>
      </c>
      <c r="C165" s="133" t="s">
        <v>281</v>
      </c>
      <c r="D165" s="134" t="s">
        <v>476</v>
      </c>
    </row>
    <row r="166" spans="1:4" x14ac:dyDescent="0.2">
      <c r="A166" s="131">
        <v>132</v>
      </c>
      <c r="B166" s="132">
        <v>210</v>
      </c>
      <c r="C166" s="133" t="s">
        <v>281</v>
      </c>
      <c r="D166" s="134">
        <v>2</v>
      </c>
    </row>
    <row r="167" spans="1:4" x14ac:dyDescent="0.2">
      <c r="A167" s="131">
        <v>132</v>
      </c>
      <c r="B167" s="132">
        <v>234</v>
      </c>
      <c r="C167" s="133" t="s">
        <v>281</v>
      </c>
      <c r="D167" s="134" t="s">
        <v>476</v>
      </c>
    </row>
    <row r="168" spans="1:4" x14ac:dyDescent="0.2">
      <c r="A168" s="131">
        <v>132</v>
      </c>
      <c r="B168" s="132">
        <v>236</v>
      </c>
      <c r="C168" s="133" t="s">
        <v>281</v>
      </c>
      <c r="D168" s="134" t="s">
        <v>476</v>
      </c>
    </row>
    <row r="169" spans="1:4" x14ac:dyDescent="0.2">
      <c r="A169" s="131">
        <v>133</v>
      </c>
      <c r="B169" s="132">
        <v>92</v>
      </c>
      <c r="C169" s="133" t="s">
        <v>281</v>
      </c>
      <c r="D169" s="134">
        <v>1</v>
      </c>
    </row>
    <row r="170" spans="1:4" x14ac:dyDescent="0.2">
      <c r="A170" s="131">
        <v>133</v>
      </c>
      <c r="B170" s="132">
        <v>210</v>
      </c>
      <c r="C170" s="133" t="s">
        <v>281</v>
      </c>
      <c r="D170" s="134">
        <v>2</v>
      </c>
    </row>
    <row r="171" spans="1:4" x14ac:dyDescent="0.2">
      <c r="A171" s="131">
        <v>133</v>
      </c>
      <c r="B171" s="132">
        <v>233</v>
      </c>
      <c r="C171" s="133" t="s">
        <v>281</v>
      </c>
      <c r="D171" s="134">
        <v>1</v>
      </c>
    </row>
    <row r="172" spans="1:4" x14ac:dyDescent="0.2">
      <c r="A172" s="131">
        <v>133</v>
      </c>
      <c r="B172" s="132">
        <v>246</v>
      </c>
      <c r="C172" s="133" t="s">
        <v>281</v>
      </c>
      <c r="D172" s="134">
        <v>1</v>
      </c>
    </row>
    <row r="173" spans="1:4" x14ac:dyDescent="0.2">
      <c r="A173" s="131">
        <v>134</v>
      </c>
      <c r="B173" s="132">
        <v>101</v>
      </c>
      <c r="C173" s="133" t="s">
        <v>281</v>
      </c>
      <c r="D173" s="134">
        <v>1</v>
      </c>
    </row>
    <row r="174" spans="1:4" x14ac:dyDescent="0.2">
      <c r="A174" s="131">
        <v>134</v>
      </c>
      <c r="B174" s="132">
        <v>210</v>
      </c>
      <c r="C174" s="133" t="s">
        <v>281</v>
      </c>
      <c r="D174" s="134">
        <v>2</v>
      </c>
    </row>
    <row r="175" spans="1:4" x14ac:dyDescent="0.2">
      <c r="A175" s="131">
        <v>134</v>
      </c>
      <c r="B175" s="132">
        <v>232</v>
      </c>
      <c r="C175" s="133" t="s">
        <v>281</v>
      </c>
      <c r="D175" s="134">
        <v>1</v>
      </c>
    </row>
    <row r="176" spans="1:4" x14ac:dyDescent="0.2">
      <c r="A176" s="131">
        <v>134</v>
      </c>
      <c r="B176" s="132">
        <v>250</v>
      </c>
      <c r="C176" s="133" t="s">
        <v>281</v>
      </c>
      <c r="D176" s="134">
        <v>1</v>
      </c>
    </row>
    <row r="177" spans="1:4" x14ac:dyDescent="0.2">
      <c r="A177" s="131">
        <v>135</v>
      </c>
      <c r="B177" s="132">
        <v>38</v>
      </c>
      <c r="C177" s="133" t="s">
        <v>281</v>
      </c>
      <c r="D177" s="134">
        <v>1</v>
      </c>
    </row>
    <row r="178" spans="1:4" x14ac:dyDescent="0.2">
      <c r="A178" s="131">
        <v>135</v>
      </c>
      <c r="B178" s="132">
        <v>80</v>
      </c>
      <c r="C178" s="133" t="s">
        <v>281</v>
      </c>
      <c r="D178" s="134">
        <v>1</v>
      </c>
    </row>
    <row r="179" spans="1:4" x14ac:dyDescent="0.2">
      <c r="A179" s="131">
        <v>135</v>
      </c>
      <c r="B179" s="132">
        <v>221</v>
      </c>
      <c r="C179" s="133" t="s">
        <v>281</v>
      </c>
      <c r="D179" s="134" t="s">
        <v>479</v>
      </c>
    </row>
    <row r="180" spans="1:4" x14ac:dyDescent="0.2">
      <c r="A180" s="131">
        <v>135</v>
      </c>
      <c r="B180" s="132">
        <v>247</v>
      </c>
      <c r="C180" s="133" t="s">
        <v>281</v>
      </c>
      <c r="D180" s="134">
        <v>1</v>
      </c>
    </row>
    <row r="181" spans="1:4" x14ac:dyDescent="0.2">
      <c r="A181" s="131">
        <v>136</v>
      </c>
      <c r="B181" s="132">
        <v>124</v>
      </c>
      <c r="C181" s="133" t="s">
        <v>281</v>
      </c>
      <c r="D181" s="134">
        <v>1</v>
      </c>
    </row>
    <row r="182" spans="1:4" x14ac:dyDescent="0.2">
      <c r="A182" s="131">
        <v>136</v>
      </c>
      <c r="B182" s="132">
        <v>202</v>
      </c>
      <c r="C182" s="133" t="s">
        <v>281</v>
      </c>
      <c r="D182" s="134">
        <v>1</v>
      </c>
    </row>
    <row r="183" spans="1:4" x14ac:dyDescent="0.2">
      <c r="A183" s="131">
        <v>136</v>
      </c>
      <c r="B183" s="132">
        <v>222</v>
      </c>
      <c r="C183" s="133" t="s">
        <v>281</v>
      </c>
      <c r="D183" s="134">
        <v>2</v>
      </c>
    </row>
    <row r="184" spans="1:4" x14ac:dyDescent="0.2">
      <c r="A184" s="131">
        <v>136</v>
      </c>
      <c r="B184" s="132">
        <v>246</v>
      </c>
      <c r="C184" s="133" t="s">
        <v>281</v>
      </c>
      <c r="D184" s="134">
        <v>1</v>
      </c>
    </row>
    <row r="185" spans="1:4" x14ac:dyDescent="0.2">
      <c r="A185" s="131">
        <v>137</v>
      </c>
      <c r="B185" s="132">
        <v>203</v>
      </c>
      <c r="C185" s="133" t="s">
        <v>281</v>
      </c>
      <c r="D185" s="134" t="s">
        <v>282</v>
      </c>
    </row>
    <row r="186" spans="1:4" x14ac:dyDescent="0.2">
      <c r="A186" s="131">
        <v>137</v>
      </c>
      <c r="B186" s="132">
        <v>222</v>
      </c>
      <c r="C186" s="133" t="s">
        <v>281</v>
      </c>
      <c r="D186" s="134" t="s">
        <v>282</v>
      </c>
    </row>
    <row r="187" spans="1:4" x14ac:dyDescent="0.2">
      <c r="A187" s="131">
        <v>137</v>
      </c>
      <c r="B187" s="132">
        <v>223</v>
      </c>
      <c r="C187" s="133" t="s">
        <v>281</v>
      </c>
      <c r="D187" s="134" t="s">
        <v>282</v>
      </c>
    </row>
    <row r="188" spans="1:4" x14ac:dyDescent="0.2">
      <c r="A188" s="131">
        <v>137</v>
      </c>
      <c r="B188" s="132">
        <v>229</v>
      </c>
      <c r="C188" s="133" t="s">
        <v>281</v>
      </c>
      <c r="D188" s="134" t="s">
        <v>282</v>
      </c>
    </row>
    <row r="189" spans="1:4" x14ac:dyDescent="0.2">
      <c r="A189" s="131">
        <v>138</v>
      </c>
      <c r="B189" s="132">
        <v>5</v>
      </c>
      <c r="C189" s="133" t="s">
        <v>281</v>
      </c>
      <c r="D189" s="134" t="s">
        <v>476</v>
      </c>
    </row>
    <row r="190" spans="1:4" x14ac:dyDescent="0.2">
      <c r="A190" s="131">
        <v>138</v>
      </c>
      <c r="B190" s="132">
        <v>88</v>
      </c>
      <c r="C190" s="133" t="s">
        <v>281</v>
      </c>
      <c r="D190" s="134" t="s">
        <v>476</v>
      </c>
    </row>
    <row r="191" spans="1:4" x14ac:dyDescent="0.2">
      <c r="A191" s="131">
        <v>138</v>
      </c>
      <c r="B191" s="132">
        <v>208</v>
      </c>
      <c r="C191" s="133" t="s">
        <v>281</v>
      </c>
      <c r="D191" s="134">
        <v>2</v>
      </c>
    </row>
    <row r="192" spans="1:4" x14ac:dyDescent="0.2">
      <c r="A192" s="131">
        <v>138</v>
      </c>
      <c r="B192" s="132">
        <v>235</v>
      </c>
      <c r="C192" s="133" t="s">
        <v>281</v>
      </c>
      <c r="D192" s="134" t="s">
        <v>476</v>
      </c>
    </row>
    <row r="193" spans="1:4" x14ac:dyDescent="0.2">
      <c r="A193" s="131">
        <v>140</v>
      </c>
      <c r="B193" s="132">
        <v>1395</v>
      </c>
      <c r="C193" s="133" t="s">
        <v>265</v>
      </c>
      <c r="D193" s="134">
        <v>2</v>
      </c>
    </row>
    <row r="194" spans="1:4" x14ac:dyDescent="0.2">
      <c r="A194" s="131">
        <v>140</v>
      </c>
      <c r="B194" s="132">
        <v>1396</v>
      </c>
      <c r="C194" s="133" t="s">
        <v>265</v>
      </c>
      <c r="D194" s="134">
        <v>1</v>
      </c>
    </row>
    <row r="195" spans="1:4" x14ac:dyDescent="0.2">
      <c r="A195" s="131">
        <v>141</v>
      </c>
      <c r="B195" s="132">
        <v>189</v>
      </c>
      <c r="C195" s="133" t="s">
        <v>283</v>
      </c>
      <c r="D195" s="134">
        <v>1</v>
      </c>
    </row>
    <row r="196" spans="1:4" x14ac:dyDescent="0.2">
      <c r="A196" s="131">
        <v>141</v>
      </c>
      <c r="B196" s="132">
        <v>210</v>
      </c>
      <c r="C196" s="133" t="s">
        <v>283</v>
      </c>
      <c r="D196" s="134">
        <v>2</v>
      </c>
    </row>
    <row r="197" spans="1:4" x14ac:dyDescent="0.2">
      <c r="A197" s="131">
        <v>141</v>
      </c>
      <c r="B197" s="132">
        <v>233</v>
      </c>
      <c r="C197" s="133" t="s">
        <v>283</v>
      </c>
      <c r="D197" s="134">
        <v>1</v>
      </c>
    </row>
    <row r="198" spans="1:4" x14ac:dyDescent="0.2">
      <c r="A198" s="131">
        <v>141</v>
      </c>
      <c r="B198" s="132">
        <v>249</v>
      </c>
      <c r="C198" s="133" t="s">
        <v>283</v>
      </c>
      <c r="D198" s="134">
        <v>1</v>
      </c>
    </row>
    <row r="199" spans="1:4" x14ac:dyDescent="0.2">
      <c r="A199" s="131">
        <v>141</v>
      </c>
      <c r="B199" s="132">
        <v>252</v>
      </c>
      <c r="C199" s="133" t="s">
        <v>283</v>
      </c>
      <c r="D199" s="134">
        <v>1</v>
      </c>
    </row>
    <row r="200" spans="1:4" x14ac:dyDescent="0.2">
      <c r="A200" s="131">
        <v>142</v>
      </c>
      <c r="B200" s="132">
        <v>132</v>
      </c>
      <c r="C200" s="133" t="s">
        <v>283</v>
      </c>
      <c r="D200" s="134">
        <v>1</v>
      </c>
    </row>
    <row r="201" spans="1:4" x14ac:dyDescent="0.2">
      <c r="A201" s="131">
        <v>142</v>
      </c>
      <c r="B201" s="132">
        <v>206</v>
      </c>
      <c r="C201" s="133" t="s">
        <v>283</v>
      </c>
      <c r="D201" s="134">
        <v>2</v>
      </c>
    </row>
    <row r="202" spans="1:4" x14ac:dyDescent="0.2">
      <c r="A202" s="131">
        <v>142</v>
      </c>
      <c r="B202" s="132">
        <v>230</v>
      </c>
      <c r="C202" s="133" t="s">
        <v>283</v>
      </c>
      <c r="D202" s="134">
        <v>1</v>
      </c>
    </row>
    <row r="203" spans="1:4" x14ac:dyDescent="0.2">
      <c r="A203" s="131">
        <v>142</v>
      </c>
      <c r="B203" s="132">
        <v>249</v>
      </c>
      <c r="C203" s="133" t="s">
        <v>283</v>
      </c>
      <c r="D203" s="134">
        <v>1</v>
      </c>
    </row>
    <row r="204" spans="1:4" x14ac:dyDescent="0.2">
      <c r="A204" s="131">
        <v>142</v>
      </c>
      <c r="B204" s="132">
        <v>252</v>
      </c>
      <c r="C204" s="133" t="s">
        <v>283</v>
      </c>
      <c r="D204" s="134">
        <v>1</v>
      </c>
    </row>
    <row r="205" spans="1:4" x14ac:dyDescent="0.2">
      <c r="A205" s="131">
        <v>143</v>
      </c>
      <c r="B205" s="132">
        <v>47</v>
      </c>
      <c r="C205" s="133" t="s">
        <v>268</v>
      </c>
      <c r="D205" s="134" t="s">
        <v>239</v>
      </c>
    </row>
    <row r="206" spans="1:4" x14ac:dyDescent="0.2">
      <c r="A206" s="131">
        <v>144</v>
      </c>
      <c r="B206" s="132">
        <v>93</v>
      </c>
      <c r="C206" s="133" t="s">
        <v>284</v>
      </c>
      <c r="D206" s="134">
        <v>1</v>
      </c>
    </row>
    <row r="207" spans="1:4" x14ac:dyDescent="0.2">
      <c r="A207" s="131">
        <v>144</v>
      </c>
      <c r="B207" s="132">
        <v>208</v>
      </c>
      <c r="C207" s="133" t="s">
        <v>284</v>
      </c>
      <c r="D207" s="134">
        <v>2</v>
      </c>
    </row>
    <row r="208" spans="1:4" x14ac:dyDescent="0.2">
      <c r="A208" s="131">
        <v>144</v>
      </c>
      <c r="B208" s="132">
        <v>239</v>
      </c>
      <c r="C208" s="133" t="s">
        <v>284</v>
      </c>
      <c r="D208" s="134">
        <v>1</v>
      </c>
    </row>
    <row r="209" spans="1:4" x14ac:dyDescent="0.2">
      <c r="A209" s="131">
        <v>144</v>
      </c>
      <c r="B209" s="132">
        <v>243</v>
      </c>
      <c r="C209" s="133" t="s">
        <v>284</v>
      </c>
      <c r="D209" s="134">
        <v>1</v>
      </c>
    </row>
    <row r="210" spans="1:4" x14ac:dyDescent="0.2">
      <c r="A210" s="131">
        <v>144</v>
      </c>
      <c r="B210" s="132">
        <v>248</v>
      </c>
      <c r="C210" s="133" t="s">
        <v>284</v>
      </c>
      <c r="D210" s="134">
        <v>1</v>
      </c>
    </row>
    <row r="211" spans="1:4" x14ac:dyDescent="0.2">
      <c r="A211" s="131">
        <v>144</v>
      </c>
      <c r="B211" s="132">
        <v>251</v>
      </c>
      <c r="C211" s="133" t="s">
        <v>284</v>
      </c>
      <c r="D211" s="134">
        <v>1</v>
      </c>
    </row>
    <row r="212" spans="1:4" x14ac:dyDescent="0.2">
      <c r="A212" s="131">
        <v>145</v>
      </c>
      <c r="B212" s="132">
        <v>210</v>
      </c>
      <c r="C212" s="133" t="s">
        <v>284</v>
      </c>
      <c r="D212" s="134">
        <v>2</v>
      </c>
    </row>
    <row r="213" spans="1:4" x14ac:dyDescent="0.2">
      <c r="A213" s="131">
        <v>145</v>
      </c>
      <c r="B213" s="132">
        <v>249</v>
      </c>
      <c r="C213" s="133" t="s">
        <v>284</v>
      </c>
      <c r="D213" s="134">
        <v>1</v>
      </c>
    </row>
    <row r="214" spans="1:4" x14ac:dyDescent="0.2">
      <c r="A214" s="131">
        <v>145</v>
      </c>
      <c r="B214" s="132">
        <v>92</v>
      </c>
      <c r="C214" s="133" t="s">
        <v>284</v>
      </c>
      <c r="D214" s="134" t="s">
        <v>476</v>
      </c>
    </row>
    <row r="215" spans="1:4" x14ac:dyDescent="0.2">
      <c r="A215" s="131">
        <v>145</v>
      </c>
      <c r="B215" s="132">
        <v>240</v>
      </c>
      <c r="C215" s="133" t="s">
        <v>284</v>
      </c>
      <c r="D215" s="134" t="s">
        <v>476</v>
      </c>
    </row>
    <row r="216" spans="1:4" x14ac:dyDescent="0.2">
      <c r="A216" s="131">
        <v>145</v>
      </c>
      <c r="B216" s="132">
        <v>244</v>
      </c>
      <c r="C216" s="133" t="s">
        <v>284</v>
      </c>
      <c r="D216" s="134" t="s">
        <v>476</v>
      </c>
    </row>
    <row r="217" spans="1:4" x14ac:dyDescent="0.2">
      <c r="A217" s="131">
        <v>145</v>
      </c>
      <c r="B217" s="132">
        <v>252</v>
      </c>
      <c r="C217" s="133" t="s">
        <v>284</v>
      </c>
      <c r="D217" s="134">
        <v>1</v>
      </c>
    </row>
    <row r="218" spans="1:4" x14ac:dyDescent="0.2">
      <c r="A218" s="131">
        <v>146</v>
      </c>
      <c r="B218" s="132">
        <v>73</v>
      </c>
      <c r="C218" s="133" t="s">
        <v>284</v>
      </c>
      <c r="D218" s="134">
        <v>1</v>
      </c>
    </row>
    <row r="219" spans="1:4" x14ac:dyDescent="0.2">
      <c r="A219" s="131">
        <v>146</v>
      </c>
      <c r="B219" s="132">
        <v>93</v>
      </c>
      <c r="C219" s="133" t="s">
        <v>284</v>
      </c>
      <c r="D219" s="134">
        <v>1</v>
      </c>
    </row>
    <row r="220" spans="1:4" x14ac:dyDescent="0.2">
      <c r="A220" s="131">
        <v>146</v>
      </c>
      <c r="B220" s="132">
        <v>208</v>
      </c>
      <c r="C220" s="133" t="s">
        <v>284</v>
      </c>
      <c r="D220" s="134">
        <v>2</v>
      </c>
    </row>
    <row r="221" spans="1:4" x14ac:dyDescent="0.2">
      <c r="A221" s="131">
        <v>146</v>
      </c>
      <c r="B221" s="132">
        <v>239</v>
      </c>
      <c r="C221" s="133" t="s">
        <v>284</v>
      </c>
      <c r="D221" s="134">
        <v>1</v>
      </c>
    </row>
    <row r="222" spans="1:4" x14ac:dyDescent="0.2">
      <c r="A222" s="131">
        <v>146</v>
      </c>
      <c r="B222" s="132">
        <v>248</v>
      </c>
      <c r="C222" s="133" t="s">
        <v>284</v>
      </c>
      <c r="D222" s="134">
        <v>1</v>
      </c>
    </row>
    <row r="223" spans="1:4" x14ac:dyDescent="0.2">
      <c r="A223" s="131">
        <v>146</v>
      </c>
      <c r="B223" s="132">
        <v>251</v>
      </c>
      <c r="C223" s="133" t="s">
        <v>284</v>
      </c>
      <c r="D223" s="134">
        <v>1</v>
      </c>
    </row>
    <row r="224" spans="1:4" x14ac:dyDescent="0.2">
      <c r="A224" s="131">
        <v>147</v>
      </c>
      <c r="B224" s="132">
        <v>99</v>
      </c>
      <c r="C224" s="133" t="s">
        <v>284</v>
      </c>
      <c r="D224" s="134">
        <v>1</v>
      </c>
    </row>
    <row r="225" spans="1:4" x14ac:dyDescent="0.2">
      <c r="A225" s="131">
        <v>147</v>
      </c>
      <c r="B225" s="132">
        <v>206</v>
      </c>
      <c r="C225" s="133" t="s">
        <v>284</v>
      </c>
      <c r="D225" s="134">
        <v>2</v>
      </c>
    </row>
    <row r="226" spans="1:4" x14ac:dyDescent="0.2">
      <c r="A226" s="131">
        <v>147</v>
      </c>
      <c r="B226" s="132">
        <v>238</v>
      </c>
      <c r="C226" s="133" t="s">
        <v>284</v>
      </c>
      <c r="D226" s="134">
        <v>1</v>
      </c>
    </row>
    <row r="227" spans="1:4" x14ac:dyDescent="0.2">
      <c r="A227" s="131">
        <v>147</v>
      </c>
      <c r="B227" s="132">
        <v>242</v>
      </c>
      <c r="C227" s="133" t="s">
        <v>284</v>
      </c>
      <c r="D227" s="134">
        <v>1</v>
      </c>
    </row>
    <row r="228" spans="1:4" x14ac:dyDescent="0.2">
      <c r="A228" s="131">
        <v>147</v>
      </c>
      <c r="B228" s="132">
        <v>249</v>
      </c>
      <c r="C228" s="133" t="s">
        <v>284</v>
      </c>
      <c r="D228" s="134">
        <v>1</v>
      </c>
    </row>
    <row r="229" spans="1:4" x14ac:dyDescent="0.2">
      <c r="A229" s="131">
        <v>147</v>
      </c>
      <c r="B229" s="132">
        <v>252</v>
      </c>
      <c r="C229" s="133" t="s">
        <v>284</v>
      </c>
      <c r="D229" s="134">
        <v>1</v>
      </c>
    </row>
    <row r="230" spans="1:4" x14ac:dyDescent="0.2">
      <c r="A230" s="131">
        <v>148</v>
      </c>
      <c r="B230" s="132">
        <v>1152</v>
      </c>
      <c r="C230" s="133" t="s">
        <v>285</v>
      </c>
      <c r="D230" s="134" t="s">
        <v>479</v>
      </c>
    </row>
    <row r="231" spans="1:4" x14ac:dyDescent="0.2">
      <c r="A231" s="131">
        <v>149</v>
      </c>
      <c r="B231" s="132">
        <v>1394</v>
      </c>
      <c r="C231" s="133" t="s">
        <v>286</v>
      </c>
      <c r="D231" s="134">
        <v>2</v>
      </c>
    </row>
    <row r="232" spans="1:4" x14ac:dyDescent="0.2">
      <c r="A232" s="131">
        <v>150</v>
      </c>
      <c r="B232" s="132">
        <v>42</v>
      </c>
      <c r="C232" s="133" t="s">
        <v>277</v>
      </c>
      <c r="D232" s="134">
        <v>1</v>
      </c>
    </row>
    <row r="233" spans="1:4" x14ac:dyDescent="0.2">
      <c r="A233" s="131">
        <v>150</v>
      </c>
      <c r="B233" s="132">
        <v>207</v>
      </c>
      <c r="C233" s="133" t="s">
        <v>277</v>
      </c>
      <c r="D233" s="134">
        <v>2</v>
      </c>
    </row>
    <row r="234" spans="1:4" x14ac:dyDescent="0.2">
      <c r="A234" s="131">
        <v>151</v>
      </c>
      <c r="B234" s="132">
        <v>43</v>
      </c>
      <c r="C234" s="133" t="s">
        <v>277</v>
      </c>
      <c r="D234" s="134">
        <v>1</v>
      </c>
    </row>
    <row r="235" spans="1:4" x14ac:dyDescent="0.2">
      <c r="A235" s="131">
        <v>151</v>
      </c>
      <c r="B235" s="132">
        <v>210</v>
      </c>
      <c r="C235" s="133" t="s">
        <v>277</v>
      </c>
      <c r="D235" s="134" t="s">
        <v>479</v>
      </c>
    </row>
    <row r="236" spans="1:4" x14ac:dyDescent="0.2">
      <c r="A236" s="131">
        <v>152</v>
      </c>
      <c r="B236" s="132">
        <v>45</v>
      </c>
      <c r="C236" s="133" t="s">
        <v>277</v>
      </c>
      <c r="D236" s="134">
        <v>1</v>
      </c>
    </row>
    <row r="237" spans="1:4" x14ac:dyDescent="0.2">
      <c r="A237" s="131">
        <v>152</v>
      </c>
      <c r="B237" s="132">
        <v>211</v>
      </c>
      <c r="C237" s="133" t="s">
        <v>277</v>
      </c>
      <c r="D237" s="134">
        <v>2</v>
      </c>
    </row>
    <row r="238" spans="1:4" x14ac:dyDescent="0.2">
      <c r="A238" s="131">
        <v>153</v>
      </c>
      <c r="B238" s="132">
        <v>46</v>
      </c>
      <c r="C238" s="133" t="s">
        <v>277</v>
      </c>
      <c r="D238" s="134">
        <v>1</v>
      </c>
    </row>
    <row r="239" spans="1:4" x14ac:dyDescent="0.2">
      <c r="A239" s="131">
        <v>153</v>
      </c>
      <c r="B239" s="132">
        <v>212</v>
      </c>
      <c r="C239" s="133" t="s">
        <v>277</v>
      </c>
      <c r="D239" s="134">
        <v>2</v>
      </c>
    </row>
    <row r="240" spans="1:4" x14ac:dyDescent="0.2">
      <c r="A240" s="131">
        <v>154</v>
      </c>
      <c r="B240" s="132">
        <v>39</v>
      </c>
      <c r="C240" s="133" t="s">
        <v>277</v>
      </c>
      <c r="D240" s="134">
        <v>1</v>
      </c>
    </row>
    <row r="241" spans="1:4" x14ac:dyDescent="0.2">
      <c r="A241" s="131">
        <v>154</v>
      </c>
      <c r="B241" s="132">
        <v>221</v>
      </c>
      <c r="C241" s="133" t="s">
        <v>277</v>
      </c>
      <c r="D241" s="134">
        <v>2</v>
      </c>
    </row>
    <row r="242" spans="1:4" x14ac:dyDescent="0.2">
      <c r="A242" s="131">
        <v>155</v>
      </c>
      <c r="B242" s="132">
        <v>51</v>
      </c>
      <c r="C242" s="133" t="s">
        <v>265</v>
      </c>
      <c r="D242" s="134" t="s">
        <v>476</v>
      </c>
    </row>
    <row r="243" spans="1:4" x14ac:dyDescent="0.2">
      <c r="A243" s="131">
        <v>155</v>
      </c>
      <c r="B243" s="132">
        <v>200</v>
      </c>
      <c r="C243" s="133" t="s">
        <v>265</v>
      </c>
      <c r="D243" s="134" t="s">
        <v>476</v>
      </c>
    </row>
    <row r="244" spans="1:4" x14ac:dyDescent="0.2">
      <c r="A244" s="131">
        <v>156</v>
      </c>
      <c r="B244" s="132">
        <v>1000</v>
      </c>
      <c r="C244" s="133" t="s">
        <v>277</v>
      </c>
      <c r="D244" s="134">
        <v>2</v>
      </c>
    </row>
    <row r="245" spans="1:4" x14ac:dyDescent="0.2">
      <c r="A245" s="131">
        <v>156</v>
      </c>
      <c r="B245" s="132">
        <v>1001</v>
      </c>
      <c r="C245" s="133" t="s">
        <v>277</v>
      </c>
      <c r="D245" s="134">
        <v>1</v>
      </c>
    </row>
    <row r="246" spans="1:4" x14ac:dyDescent="0.2">
      <c r="A246" s="131">
        <v>157</v>
      </c>
      <c r="B246" s="132">
        <v>1002</v>
      </c>
      <c r="C246" s="133" t="s">
        <v>277</v>
      </c>
      <c r="D246" s="134">
        <v>2</v>
      </c>
    </row>
    <row r="247" spans="1:4" x14ac:dyDescent="0.2">
      <c r="A247" s="131">
        <v>157</v>
      </c>
      <c r="B247" s="132">
        <v>1003</v>
      </c>
      <c r="C247" s="133" t="s">
        <v>277</v>
      </c>
      <c r="D247" s="134">
        <v>1</v>
      </c>
    </row>
    <row r="248" spans="1:4" x14ac:dyDescent="0.2">
      <c r="A248" s="131">
        <v>158</v>
      </c>
      <c r="B248" s="132">
        <v>1008</v>
      </c>
      <c r="C248" s="133" t="s">
        <v>277</v>
      </c>
      <c r="D248" s="134">
        <v>2</v>
      </c>
    </row>
    <row r="249" spans="1:4" x14ac:dyDescent="0.2">
      <c r="A249" s="131">
        <v>158</v>
      </c>
      <c r="B249" s="132">
        <v>1009</v>
      </c>
      <c r="C249" s="133" t="s">
        <v>277</v>
      </c>
      <c r="D249" s="134">
        <v>1</v>
      </c>
    </row>
    <row r="250" spans="1:4" x14ac:dyDescent="0.2">
      <c r="A250" s="131">
        <v>159</v>
      </c>
      <c r="B250" s="132">
        <v>28</v>
      </c>
      <c r="C250" s="133" t="s">
        <v>253</v>
      </c>
      <c r="D250" s="134" t="s">
        <v>478</v>
      </c>
    </row>
    <row r="251" spans="1:4" x14ac:dyDescent="0.2">
      <c r="A251" s="131">
        <v>160</v>
      </c>
      <c r="B251" s="132">
        <v>1014</v>
      </c>
      <c r="C251" s="133" t="s">
        <v>277</v>
      </c>
      <c r="D251" s="134">
        <v>2</v>
      </c>
    </row>
    <row r="252" spans="1:4" x14ac:dyDescent="0.2">
      <c r="A252" s="131">
        <v>160</v>
      </c>
      <c r="B252" s="132">
        <v>1015</v>
      </c>
      <c r="C252" s="133" t="s">
        <v>277</v>
      </c>
      <c r="D252" s="134">
        <v>1</v>
      </c>
    </row>
    <row r="253" spans="1:4" x14ac:dyDescent="0.2">
      <c r="A253" s="131">
        <v>161</v>
      </c>
      <c r="B253" s="132">
        <v>1018</v>
      </c>
      <c r="C253" s="133" t="s">
        <v>277</v>
      </c>
      <c r="D253" s="134">
        <v>2</v>
      </c>
    </row>
    <row r="254" spans="1:4" x14ac:dyDescent="0.2">
      <c r="A254" s="131">
        <v>161</v>
      </c>
      <c r="B254" s="132">
        <v>1019</v>
      </c>
      <c r="C254" s="133" t="s">
        <v>277</v>
      </c>
      <c r="D254" s="134">
        <v>1</v>
      </c>
    </row>
    <row r="255" spans="1:4" x14ac:dyDescent="0.2">
      <c r="A255" s="131">
        <v>162</v>
      </c>
      <c r="B255" s="132">
        <v>1020</v>
      </c>
      <c r="C255" s="133" t="s">
        <v>277</v>
      </c>
      <c r="D255" s="134">
        <v>2</v>
      </c>
    </row>
    <row r="256" spans="1:4" x14ac:dyDescent="0.2">
      <c r="A256" s="131">
        <v>162</v>
      </c>
      <c r="B256" s="132">
        <v>1021</v>
      </c>
      <c r="C256" s="133" t="s">
        <v>277</v>
      </c>
      <c r="D256" s="134">
        <v>1</v>
      </c>
    </row>
    <row r="257" spans="1:4" x14ac:dyDescent="0.2">
      <c r="A257" s="131">
        <v>163</v>
      </c>
      <c r="B257" s="132">
        <v>1034</v>
      </c>
      <c r="C257" s="133" t="s">
        <v>277</v>
      </c>
      <c r="D257" s="134">
        <v>2</v>
      </c>
    </row>
    <row r="258" spans="1:4" x14ac:dyDescent="0.2">
      <c r="A258" s="131">
        <v>163</v>
      </c>
      <c r="B258" s="132">
        <v>1035</v>
      </c>
      <c r="C258" s="133" t="s">
        <v>277</v>
      </c>
      <c r="D258" s="134">
        <v>1</v>
      </c>
    </row>
    <row r="259" spans="1:4" x14ac:dyDescent="0.2">
      <c r="A259" s="131">
        <v>164</v>
      </c>
      <c r="B259" s="132">
        <v>1037</v>
      </c>
      <c r="C259" s="133" t="s">
        <v>277</v>
      </c>
      <c r="D259" s="134">
        <v>2</v>
      </c>
    </row>
    <row r="260" spans="1:4" x14ac:dyDescent="0.2">
      <c r="A260" s="131">
        <v>164</v>
      </c>
      <c r="B260" s="132">
        <v>1038</v>
      </c>
      <c r="C260" s="133" t="s">
        <v>277</v>
      </c>
      <c r="D260" s="134">
        <v>1</v>
      </c>
    </row>
    <row r="261" spans="1:4" x14ac:dyDescent="0.2">
      <c r="A261" s="131">
        <v>165</v>
      </c>
      <c r="B261" s="132">
        <v>1039</v>
      </c>
      <c r="C261" s="133" t="s">
        <v>277</v>
      </c>
      <c r="D261" s="134">
        <v>2</v>
      </c>
    </row>
    <row r="262" spans="1:4" x14ac:dyDescent="0.2">
      <c r="A262" s="131">
        <v>165</v>
      </c>
      <c r="B262" s="132">
        <v>1040</v>
      </c>
      <c r="C262" s="133" t="s">
        <v>277</v>
      </c>
      <c r="D262" s="134">
        <v>1</v>
      </c>
    </row>
    <row r="263" spans="1:4" x14ac:dyDescent="0.2">
      <c r="A263" s="131">
        <v>166</v>
      </c>
      <c r="B263" s="132">
        <v>1048</v>
      </c>
      <c r="C263" s="133" t="s">
        <v>277</v>
      </c>
      <c r="D263" s="134">
        <v>2</v>
      </c>
    </row>
    <row r="264" spans="1:4" x14ac:dyDescent="0.2">
      <c r="A264" s="131">
        <v>166</v>
      </c>
      <c r="B264" s="132">
        <v>1049</v>
      </c>
      <c r="C264" s="133" t="s">
        <v>277</v>
      </c>
      <c r="D264" s="134">
        <v>1</v>
      </c>
    </row>
    <row r="265" spans="1:4" x14ac:dyDescent="0.2">
      <c r="A265" s="131">
        <v>167</v>
      </c>
      <c r="B265" s="132">
        <v>1055</v>
      </c>
      <c r="C265" s="133" t="s">
        <v>277</v>
      </c>
      <c r="D265" s="134">
        <v>1</v>
      </c>
    </row>
    <row r="266" spans="1:4" x14ac:dyDescent="0.2">
      <c r="A266" s="131">
        <v>167</v>
      </c>
      <c r="B266" s="132">
        <v>1056</v>
      </c>
      <c r="C266" s="133" t="s">
        <v>277</v>
      </c>
      <c r="D266" s="134">
        <v>2</v>
      </c>
    </row>
    <row r="267" spans="1:4" x14ac:dyDescent="0.2">
      <c r="A267" s="131">
        <v>168</v>
      </c>
      <c r="B267" s="132">
        <v>1057</v>
      </c>
      <c r="C267" s="133" t="s">
        <v>277</v>
      </c>
      <c r="D267" s="134">
        <v>1</v>
      </c>
    </row>
    <row r="268" spans="1:4" x14ac:dyDescent="0.2">
      <c r="A268" s="131">
        <v>168</v>
      </c>
      <c r="B268" s="132">
        <v>1058</v>
      </c>
      <c r="C268" s="133" t="s">
        <v>277</v>
      </c>
      <c r="D268" s="134">
        <v>2</v>
      </c>
    </row>
    <row r="269" spans="1:4" x14ac:dyDescent="0.2">
      <c r="A269" s="131">
        <v>169</v>
      </c>
      <c r="B269" s="132">
        <v>1059</v>
      </c>
      <c r="C269" s="133" t="s">
        <v>277</v>
      </c>
      <c r="D269" s="134">
        <v>1</v>
      </c>
    </row>
    <row r="270" spans="1:4" x14ac:dyDescent="0.2">
      <c r="A270" s="131">
        <v>169</v>
      </c>
      <c r="B270" s="132">
        <v>1060</v>
      </c>
      <c r="C270" s="133" t="s">
        <v>277</v>
      </c>
      <c r="D270" s="134">
        <v>2</v>
      </c>
    </row>
    <row r="271" spans="1:4" x14ac:dyDescent="0.2">
      <c r="A271" s="131">
        <v>170</v>
      </c>
      <c r="B271" s="132">
        <v>1061</v>
      </c>
      <c r="C271" s="133" t="s">
        <v>277</v>
      </c>
      <c r="D271" s="134">
        <v>1</v>
      </c>
    </row>
    <row r="272" spans="1:4" x14ac:dyDescent="0.2">
      <c r="A272" s="131">
        <v>170</v>
      </c>
      <c r="B272" s="132">
        <v>1062</v>
      </c>
      <c r="C272" s="133" t="s">
        <v>277</v>
      </c>
      <c r="D272" s="134">
        <v>2</v>
      </c>
    </row>
    <row r="273" spans="1:4" x14ac:dyDescent="0.2">
      <c r="A273" s="131">
        <v>171</v>
      </c>
      <c r="B273" s="132">
        <v>1063</v>
      </c>
      <c r="C273" s="133" t="s">
        <v>277</v>
      </c>
      <c r="D273" s="134">
        <v>1</v>
      </c>
    </row>
    <row r="274" spans="1:4" x14ac:dyDescent="0.2">
      <c r="A274" s="131">
        <v>171</v>
      </c>
      <c r="B274" s="132">
        <v>1064</v>
      </c>
      <c r="C274" s="133" t="s">
        <v>277</v>
      </c>
      <c r="D274" s="134">
        <v>2</v>
      </c>
    </row>
    <row r="275" spans="1:4" x14ac:dyDescent="0.2">
      <c r="A275" s="131">
        <v>172</v>
      </c>
      <c r="B275" s="132">
        <v>1065</v>
      </c>
      <c r="C275" s="133" t="s">
        <v>277</v>
      </c>
      <c r="D275" s="134">
        <v>1</v>
      </c>
    </row>
    <row r="276" spans="1:4" x14ac:dyDescent="0.2">
      <c r="A276" s="131">
        <v>172</v>
      </c>
      <c r="B276" s="132">
        <v>1066</v>
      </c>
      <c r="C276" s="133" t="s">
        <v>277</v>
      </c>
      <c r="D276" s="134">
        <v>2</v>
      </c>
    </row>
    <row r="277" spans="1:4" x14ac:dyDescent="0.2">
      <c r="A277" s="131">
        <v>173</v>
      </c>
      <c r="B277" s="132">
        <v>1067</v>
      </c>
      <c r="C277" s="133" t="s">
        <v>277</v>
      </c>
      <c r="D277" s="134">
        <v>1</v>
      </c>
    </row>
    <row r="278" spans="1:4" x14ac:dyDescent="0.2">
      <c r="A278" s="131">
        <v>173</v>
      </c>
      <c r="B278" s="132">
        <v>1068</v>
      </c>
      <c r="C278" s="133" t="s">
        <v>277</v>
      </c>
      <c r="D278" s="134">
        <v>2</v>
      </c>
    </row>
    <row r="279" spans="1:4" x14ac:dyDescent="0.2">
      <c r="A279" s="131">
        <v>174</v>
      </c>
      <c r="B279" s="132">
        <v>1071</v>
      </c>
      <c r="C279" s="133" t="s">
        <v>277</v>
      </c>
      <c r="D279" s="134">
        <v>1</v>
      </c>
    </row>
    <row r="280" spans="1:4" x14ac:dyDescent="0.2">
      <c r="A280" s="131">
        <v>174</v>
      </c>
      <c r="B280" s="132">
        <v>1072</v>
      </c>
      <c r="C280" s="133" t="s">
        <v>277</v>
      </c>
      <c r="D280" s="134">
        <v>2</v>
      </c>
    </row>
    <row r="281" spans="1:4" x14ac:dyDescent="0.2">
      <c r="A281" s="131">
        <v>175</v>
      </c>
      <c r="B281" s="132">
        <v>1078</v>
      </c>
      <c r="C281" s="133" t="s">
        <v>277</v>
      </c>
      <c r="D281" s="134">
        <v>1</v>
      </c>
    </row>
    <row r="282" spans="1:4" x14ac:dyDescent="0.2">
      <c r="A282" s="131">
        <v>175</v>
      </c>
      <c r="B282" s="132">
        <v>1079</v>
      </c>
      <c r="C282" s="133" t="s">
        <v>277</v>
      </c>
      <c r="D282" s="134">
        <v>2</v>
      </c>
    </row>
    <row r="283" spans="1:4" x14ac:dyDescent="0.2">
      <c r="A283" s="131">
        <v>176</v>
      </c>
      <c r="B283" s="132">
        <v>1124</v>
      </c>
      <c r="C283" s="133" t="s">
        <v>277</v>
      </c>
      <c r="D283" s="134">
        <v>1</v>
      </c>
    </row>
    <row r="284" spans="1:4" x14ac:dyDescent="0.2">
      <c r="A284" s="131">
        <v>176</v>
      </c>
      <c r="B284" s="132">
        <v>1125</v>
      </c>
      <c r="C284" s="133" t="s">
        <v>277</v>
      </c>
      <c r="D284" s="134">
        <v>2</v>
      </c>
    </row>
    <row r="285" spans="1:4" x14ac:dyDescent="0.2">
      <c r="A285" s="131">
        <v>177</v>
      </c>
      <c r="B285" s="132">
        <v>1126</v>
      </c>
      <c r="C285" s="133" t="s">
        <v>277</v>
      </c>
      <c r="D285" s="134">
        <v>1</v>
      </c>
    </row>
    <row r="286" spans="1:4" x14ac:dyDescent="0.2">
      <c r="A286" s="131">
        <v>177</v>
      </c>
      <c r="B286" s="132">
        <v>1127</v>
      </c>
      <c r="C286" s="133" t="s">
        <v>277</v>
      </c>
      <c r="D286" s="134">
        <v>2</v>
      </c>
    </row>
    <row r="287" spans="1:4" x14ac:dyDescent="0.2">
      <c r="A287" s="131">
        <v>178</v>
      </c>
      <c r="B287" s="132">
        <v>1128</v>
      </c>
      <c r="C287" s="133" t="s">
        <v>287</v>
      </c>
      <c r="D287" s="134">
        <v>1</v>
      </c>
    </row>
    <row r="288" spans="1:4" x14ac:dyDescent="0.2">
      <c r="A288" s="131">
        <v>178</v>
      </c>
      <c r="B288" s="132">
        <v>1129</v>
      </c>
      <c r="C288" s="133" t="s">
        <v>287</v>
      </c>
      <c r="D288" s="134">
        <v>2</v>
      </c>
    </row>
    <row r="289" spans="1:4" x14ac:dyDescent="0.2">
      <c r="A289" s="131">
        <v>179</v>
      </c>
      <c r="B289" s="132">
        <v>1139</v>
      </c>
      <c r="C289" s="133" t="s">
        <v>277</v>
      </c>
      <c r="D289" s="134">
        <v>1</v>
      </c>
    </row>
    <row r="290" spans="1:4" x14ac:dyDescent="0.2">
      <c r="A290" s="131">
        <v>179</v>
      </c>
      <c r="B290" s="132">
        <v>1140</v>
      </c>
      <c r="C290" s="133" t="s">
        <v>277</v>
      </c>
      <c r="D290" s="134">
        <v>2</v>
      </c>
    </row>
    <row r="291" spans="1:4" x14ac:dyDescent="0.2">
      <c r="A291" s="131">
        <v>180</v>
      </c>
      <c r="B291" s="132">
        <v>1141</v>
      </c>
      <c r="C291" s="133" t="s">
        <v>277</v>
      </c>
      <c r="D291" s="134">
        <v>1</v>
      </c>
    </row>
    <row r="292" spans="1:4" x14ac:dyDescent="0.2">
      <c r="A292" s="131">
        <v>180</v>
      </c>
      <c r="B292" s="132">
        <v>1142</v>
      </c>
      <c r="C292" s="133" t="s">
        <v>277</v>
      </c>
      <c r="D292" s="134">
        <v>2</v>
      </c>
    </row>
    <row r="293" spans="1:4" x14ac:dyDescent="0.2">
      <c r="A293" s="131">
        <v>181</v>
      </c>
      <c r="B293" s="132">
        <v>1143</v>
      </c>
      <c r="C293" s="133" t="s">
        <v>277</v>
      </c>
      <c r="D293" s="134">
        <v>1</v>
      </c>
    </row>
    <row r="294" spans="1:4" x14ac:dyDescent="0.2">
      <c r="A294" s="131">
        <v>181</v>
      </c>
      <c r="B294" s="132">
        <v>1144</v>
      </c>
      <c r="C294" s="133" t="s">
        <v>277</v>
      </c>
      <c r="D294" s="134">
        <v>2</v>
      </c>
    </row>
    <row r="295" spans="1:4" x14ac:dyDescent="0.2">
      <c r="A295" s="131">
        <v>182</v>
      </c>
      <c r="B295" s="132">
        <v>1145</v>
      </c>
      <c r="C295" s="133" t="s">
        <v>277</v>
      </c>
      <c r="D295" s="134">
        <v>1</v>
      </c>
    </row>
    <row r="296" spans="1:4" x14ac:dyDescent="0.2">
      <c r="A296" s="131">
        <v>182</v>
      </c>
      <c r="B296" s="132">
        <v>1146</v>
      </c>
      <c r="C296" s="133" t="s">
        <v>277</v>
      </c>
      <c r="D296" s="134">
        <v>2</v>
      </c>
    </row>
    <row r="297" spans="1:4" x14ac:dyDescent="0.2">
      <c r="A297" s="131">
        <v>183</v>
      </c>
      <c r="B297" s="132">
        <v>1147</v>
      </c>
      <c r="C297" s="133" t="s">
        <v>277</v>
      </c>
      <c r="D297" s="134">
        <v>1</v>
      </c>
    </row>
    <row r="298" spans="1:4" x14ac:dyDescent="0.2">
      <c r="A298" s="131">
        <v>183</v>
      </c>
      <c r="B298" s="132">
        <v>1148</v>
      </c>
      <c r="C298" s="133" t="s">
        <v>277</v>
      </c>
      <c r="D298" s="134">
        <v>2</v>
      </c>
    </row>
    <row r="299" spans="1:4" x14ac:dyDescent="0.2">
      <c r="A299" s="131">
        <v>184</v>
      </c>
      <c r="B299" s="132">
        <v>1149</v>
      </c>
      <c r="C299" s="133" t="s">
        <v>277</v>
      </c>
      <c r="D299" s="134">
        <v>1</v>
      </c>
    </row>
    <row r="300" spans="1:4" x14ac:dyDescent="0.2">
      <c r="A300" s="131">
        <v>184</v>
      </c>
      <c r="B300" s="132">
        <v>1150</v>
      </c>
      <c r="C300" s="133" t="s">
        <v>277</v>
      </c>
      <c r="D300" s="134">
        <v>2</v>
      </c>
    </row>
    <row r="301" spans="1:4" x14ac:dyDescent="0.2">
      <c r="A301" s="131">
        <v>185</v>
      </c>
      <c r="B301" s="132">
        <v>1151</v>
      </c>
      <c r="C301" s="133" t="s">
        <v>277</v>
      </c>
      <c r="D301" s="134">
        <v>1</v>
      </c>
    </row>
    <row r="302" spans="1:4" x14ac:dyDescent="0.2">
      <c r="A302" s="131">
        <v>185</v>
      </c>
      <c r="B302" s="132">
        <v>1152</v>
      </c>
      <c r="C302" s="133" t="s">
        <v>277</v>
      </c>
      <c r="D302" s="134">
        <v>2</v>
      </c>
    </row>
    <row r="303" spans="1:4" x14ac:dyDescent="0.2">
      <c r="A303" s="131">
        <v>186</v>
      </c>
      <c r="B303" s="132">
        <v>1153</v>
      </c>
      <c r="C303" s="133" t="s">
        <v>277</v>
      </c>
      <c r="D303" s="134">
        <v>1</v>
      </c>
    </row>
    <row r="304" spans="1:4" x14ac:dyDescent="0.2">
      <c r="A304" s="131">
        <v>186</v>
      </c>
      <c r="B304" s="132">
        <v>1154</v>
      </c>
      <c r="C304" s="133" t="s">
        <v>277</v>
      </c>
      <c r="D304" s="134">
        <v>2</v>
      </c>
    </row>
    <row r="305" spans="1:4" x14ac:dyDescent="0.2">
      <c r="A305" s="131">
        <v>187</v>
      </c>
      <c r="B305" s="132">
        <v>1324</v>
      </c>
      <c r="C305" s="133" t="s">
        <v>277</v>
      </c>
      <c r="D305" s="134">
        <v>2</v>
      </c>
    </row>
    <row r="306" spans="1:4" x14ac:dyDescent="0.2">
      <c r="A306" s="131">
        <v>187</v>
      </c>
      <c r="B306" s="132">
        <v>1325</v>
      </c>
      <c r="C306" s="133" t="s">
        <v>277</v>
      </c>
      <c r="D306" s="134">
        <v>1</v>
      </c>
    </row>
    <row r="307" spans="1:4" x14ac:dyDescent="0.2">
      <c r="A307" s="131">
        <v>188</v>
      </c>
      <c r="B307" s="132">
        <v>1191</v>
      </c>
      <c r="C307" s="133" t="s">
        <v>277</v>
      </c>
      <c r="D307" s="134">
        <v>2</v>
      </c>
    </row>
    <row r="308" spans="1:4" x14ac:dyDescent="0.2">
      <c r="A308" s="131">
        <v>188</v>
      </c>
      <c r="B308" s="132">
        <v>1192</v>
      </c>
      <c r="C308" s="133" t="s">
        <v>277</v>
      </c>
      <c r="D308" s="134">
        <v>1</v>
      </c>
    </row>
    <row r="309" spans="1:4" x14ac:dyDescent="0.2">
      <c r="A309" s="131">
        <v>189</v>
      </c>
      <c r="B309" s="132">
        <v>1233</v>
      </c>
      <c r="C309" s="133" t="s">
        <v>277</v>
      </c>
      <c r="D309" s="134" t="s">
        <v>476</v>
      </c>
    </row>
    <row r="310" spans="1:4" x14ac:dyDescent="0.2">
      <c r="A310" s="131">
        <v>189</v>
      </c>
      <c r="B310" s="132">
        <v>1234</v>
      </c>
      <c r="C310" s="133" t="s">
        <v>277</v>
      </c>
      <c r="D310" s="134" t="s">
        <v>476</v>
      </c>
    </row>
    <row r="311" spans="1:4" x14ac:dyDescent="0.2">
      <c r="A311" s="131">
        <v>190</v>
      </c>
      <c r="B311" s="132">
        <v>1238</v>
      </c>
      <c r="C311" s="133" t="s">
        <v>277</v>
      </c>
      <c r="D311" s="134" t="s">
        <v>476</v>
      </c>
    </row>
    <row r="312" spans="1:4" x14ac:dyDescent="0.2">
      <c r="A312" s="131">
        <v>190</v>
      </c>
      <c r="B312" s="132">
        <v>1239</v>
      </c>
      <c r="C312" s="133" t="s">
        <v>277</v>
      </c>
      <c r="D312" s="134" t="s">
        <v>476</v>
      </c>
    </row>
    <row r="313" spans="1:4" x14ac:dyDescent="0.2">
      <c r="A313" s="131">
        <v>191</v>
      </c>
      <c r="B313" s="132">
        <v>1240</v>
      </c>
      <c r="C313" s="133" t="s">
        <v>277</v>
      </c>
      <c r="D313" s="134" t="s">
        <v>476</v>
      </c>
    </row>
    <row r="314" spans="1:4" x14ac:dyDescent="0.2">
      <c r="A314" s="131">
        <v>191</v>
      </c>
      <c r="B314" s="132">
        <v>1241</v>
      </c>
      <c r="C314" s="133" t="s">
        <v>277</v>
      </c>
      <c r="D314" s="134" t="s">
        <v>476</v>
      </c>
    </row>
    <row r="315" spans="1:4" x14ac:dyDescent="0.2">
      <c r="A315" s="131">
        <v>192</v>
      </c>
      <c r="B315" s="132">
        <v>1242</v>
      </c>
      <c r="C315" s="133" t="s">
        <v>277</v>
      </c>
      <c r="D315" s="134" t="s">
        <v>476</v>
      </c>
    </row>
    <row r="316" spans="1:4" x14ac:dyDescent="0.2">
      <c r="A316" s="131">
        <v>192</v>
      </c>
      <c r="B316" s="132">
        <v>1243</v>
      </c>
      <c r="C316" s="133" t="s">
        <v>277</v>
      </c>
      <c r="D316" s="134" t="s">
        <v>476</v>
      </c>
    </row>
    <row r="317" spans="1:4" x14ac:dyDescent="0.2">
      <c r="A317" s="131">
        <v>193</v>
      </c>
      <c r="B317" s="132">
        <v>1244</v>
      </c>
      <c r="C317" s="133" t="s">
        <v>277</v>
      </c>
      <c r="D317" s="134" t="s">
        <v>476</v>
      </c>
    </row>
    <row r="318" spans="1:4" x14ac:dyDescent="0.2">
      <c r="A318" s="131">
        <v>193</v>
      </c>
      <c r="B318" s="132">
        <v>1245</v>
      </c>
      <c r="C318" s="133" t="s">
        <v>277</v>
      </c>
      <c r="D318" s="134" t="s">
        <v>476</v>
      </c>
    </row>
    <row r="319" spans="1:4" x14ac:dyDescent="0.2">
      <c r="A319" s="131">
        <v>194</v>
      </c>
      <c r="B319" s="132">
        <v>1246</v>
      </c>
      <c r="C319" s="133" t="s">
        <v>277</v>
      </c>
      <c r="D319" s="134" t="s">
        <v>476</v>
      </c>
    </row>
    <row r="320" spans="1:4" x14ac:dyDescent="0.2">
      <c r="A320" s="131">
        <v>194</v>
      </c>
      <c r="B320" s="132">
        <v>1247</v>
      </c>
      <c r="C320" s="133" t="s">
        <v>277</v>
      </c>
      <c r="D320" s="134" t="s">
        <v>476</v>
      </c>
    </row>
    <row r="321" spans="1:4" x14ac:dyDescent="0.2">
      <c r="A321" s="131">
        <v>195</v>
      </c>
      <c r="B321" s="132">
        <v>1248</v>
      </c>
      <c r="C321" s="133" t="s">
        <v>277</v>
      </c>
      <c r="D321" s="134" t="s">
        <v>476</v>
      </c>
    </row>
    <row r="322" spans="1:4" x14ac:dyDescent="0.2">
      <c r="A322" s="131">
        <v>195</v>
      </c>
      <c r="B322" s="132">
        <v>1249</v>
      </c>
      <c r="C322" s="133" t="s">
        <v>277</v>
      </c>
      <c r="D322" s="134" t="s">
        <v>476</v>
      </c>
    </row>
    <row r="323" spans="1:4" x14ac:dyDescent="0.2">
      <c r="A323" s="131">
        <v>196</v>
      </c>
      <c r="B323" s="132">
        <v>1250</v>
      </c>
      <c r="C323" s="133" t="s">
        <v>277</v>
      </c>
      <c r="D323" s="134" t="s">
        <v>476</v>
      </c>
    </row>
    <row r="324" spans="1:4" x14ac:dyDescent="0.2">
      <c r="A324" s="131">
        <v>196</v>
      </c>
      <c r="B324" s="132">
        <v>1251</v>
      </c>
      <c r="C324" s="133" t="s">
        <v>277</v>
      </c>
      <c r="D324" s="134" t="s">
        <v>476</v>
      </c>
    </row>
    <row r="325" spans="1:4" x14ac:dyDescent="0.2">
      <c r="A325" s="131">
        <v>197</v>
      </c>
      <c r="B325" s="132">
        <v>1252</v>
      </c>
      <c r="C325" s="133" t="s">
        <v>277</v>
      </c>
      <c r="D325" s="134" t="s">
        <v>476</v>
      </c>
    </row>
    <row r="326" spans="1:4" x14ac:dyDescent="0.2">
      <c r="A326" s="131">
        <v>197</v>
      </c>
      <c r="B326" s="132">
        <v>1253</v>
      </c>
      <c r="C326" s="133" t="s">
        <v>277</v>
      </c>
      <c r="D326" s="134" t="s">
        <v>476</v>
      </c>
    </row>
    <row r="327" spans="1:4" x14ac:dyDescent="0.2">
      <c r="A327" s="131">
        <v>198</v>
      </c>
      <c r="B327" s="132">
        <v>1254</v>
      </c>
      <c r="C327" s="133" t="s">
        <v>277</v>
      </c>
      <c r="D327" s="134" t="s">
        <v>476</v>
      </c>
    </row>
    <row r="328" spans="1:4" x14ac:dyDescent="0.2">
      <c r="A328" s="131">
        <v>198</v>
      </c>
      <c r="B328" s="132">
        <v>1255</v>
      </c>
      <c r="C328" s="133" t="s">
        <v>277</v>
      </c>
      <c r="D328" s="134" t="s">
        <v>476</v>
      </c>
    </row>
    <row r="329" spans="1:4" x14ac:dyDescent="0.2">
      <c r="A329" s="131">
        <v>199</v>
      </c>
      <c r="B329" s="132">
        <v>1256</v>
      </c>
      <c r="C329" s="133" t="s">
        <v>277</v>
      </c>
      <c r="D329" s="134" t="s">
        <v>476</v>
      </c>
    </row>
    <row r="330" spans="1:4" x14ac:dyDescent="0.2">
      <c r="A330" s="131">
        <v>199</v>
      </c>
      <c r="B330" s="132">
        <v>1257</v>
      </c>
      <c r="C330" s="133" t="s">
        <v>277</v>
      </c>
      <c r="D330" s="134" t="s">
        <v>476</v>
      </c>
    </row>
    <row r="331" spans="1:4" x14ac:dyDescent="0.2">
      <c r="A331" s="131">
        <v>201</v>
      </c>
      <c r="B331" s="132">
        <v>1265</v>
      </c>
      <c r="C331" s="133" t="s">
        <v>277</v>
      </c>
      <c r="D331" s="134" t="s">
        <v>476</v>
      </c>
    </row>
    <row r="332" spans="1:4" x14ac:dyDescent="0.2">
      <c r="A332" s="131">
        <v>201</v>
      </c>
      <c r="B332" s="132">
        <v>1266</v>
      </c>
      <c r="C332" s="133" t="s">
        <v>277</v>
      </c>
      <c r="D332" s="134" t="s">
        <v>476</v>
      </c>
    </row>
    <row r="333" spans="1:4" x14ac:dyDescent="0.2">
      <c r="A333" s="131">
        <v>202</v>
      </c>
      <c r="B333" s="132">
        <v>1267</v>
      </c>
      <c r="C333" s="133" t="s">
        <v>277</v>
      </c>
      <c r="D333" s="134" t="s">
        <v>476</v>
      </c>
    </row>
    <row r="334" spans="1:4" x14ac:dyDescent="0.2">
      <c r="A334" s="131">
        <v>202</v>
      </c>
      <c r="B334" s="132">
        <v>1268</v>
      </c>
      <c r="C334" s="133" t="s">
        <v>277</v>
      </c>
      <c r="D334" s="134" t="s">
        <v>476</v>
      </c>
    </row>
    <row r="335" spans="1:4" x14ac:dyDescent="0.2">
      <c r="A335" s="131">
        <v>203</v>
      </c>
      <c r="B335" s="132">
        <v>1269</v>
      </c>
      <c r="C335" s="133" t="s">
        <v>277</v>
      </c>
      <c r="D335" s="134" t="s">
        <v>476</v>
      </c>
    </row>
    <row r="336" spans="1:4" x14ac:dyDescent="0.2">
      <c r="A336" s="131">
        <v>203</v>
      </c>
      <c r="B336" s="132">
        <v>1270</v>
      </c>
      <c r="C336" s="133" t="s">
        <v>277</v>
      </c>
      <c r="D336" s="134" t="s">
        <v>476</v>
      </c>
    </row>
    <row r="337" spans="1:4" x14ac:dyDescent="0.2">
      <c r="A337" s="131">
        <v>204</v>
      </c>
      <c r="B337" s="132">
        <v>1271</v>
      </c>
      <c r="C337" s="133" t="s">
        <v>277</v>
      </c>
      <c r="D337" s="134" t="s">
        <v>476</v>
      </c>
    </row>
    <row r="338" spans="1:4" x14ac:dyDescent="0.2">
      <c r="A338" s="131">
        <v>204</v>
      </c>
      <c r="B338" s="132">
        <v>1272</v>
      </c>
      <c r="C338" s="133" t="s">
        <v>277</v>
      </c>
      <c r="D338" s="134" t="s">
        <v>476</v>
      </c>
    </row>
    <row r="339" spans="1:4" x14ac:dyDescent="0.2">
      <c r="A339" s="131">
        <v>205</v>
      </c>
      <c r="B339" s="132">
        <v>1273</v>
      </c>
      <c r="C339" s="133" t="s">
        <v>277</v>
      </c>
      <c r="D339" s="134" t="s">
        <v>476</v>
      </c>
    </row>
    <row r="340" spans="1:4" x14ac:dyDescent="0.2">
      <c r="A340" s="131">
        <v>205</v>
      </c>
      <c r="B340" s="132">
        <v>1274</v>
      </c>
      <c r="C340" s="133" t="s">
        <v>277</v>
      </c>
      <c r="D340" s="134" t="s">
        <v>476</v>
      </c>
    </row>
    <row r="341" spans="1:4" x14ac:dyDescent="0.2">
      <c r="A341" s="131">
        <v>206</v>
      </c>
      <c r="B341" s="132">
        <v>1275</v>
      </c>
      <c r="C341" s="133" t="s">
        <v>277</v>
      </c>
      <c r="D341" s="134" t="s">
        <v>476</v>
      </c>
    </row>
    <row r="342" spans="1:4" x14ac:dyDescent="0.2">
      <c r="A342" s="131">
        <v>206</v>
      </c>
      <c r="B342" s="132">
        <v>1276</v>
      </c>
      <c r="C342" s="133" t="s">
        <v>277</v>
      </c>
      <c r="D342" s="134" t="s">
        <v>476</v>
      </c>
    </row>
    <row r="343" spans="1:4" x14ac:dyDescent="0.2">
      <c r="A343" s="131">
        <v>207</v>
      </c>
      <c r="B343" s="132">
        <v>1277</v>
      </c>
      <c r="C343" s="133" t="s">
        <v>277</v>
      </c>
      <c r="D343" s="134" t="s">
        <v>476</v>
      </c>
    </row>
    <row r="344" spans="1:4" x14ac:dyDescent="0.2">
      <c r="A344" s="131">
        <v>207</v>
      </c>
      <c r="B344" s="132">
        <v>1278</v>
      </c>
      <c r="C344" s="133" t="s">
        <v>277</v>
      </c>
      <c r="D344" s="134" t="s">
        <v>476</v>
      </c>
    </row>
    <row r="345" spans="1:4" x14ac:dyDescent="0.2">
      <c r="A345" s="131">
        <v>208</v>
      </c>
      <c r="B345" s="132">
        <v>1279</v>
      </c>
      <c r="C345" s="133" t="s">
        <v>277</v>
      </c>
      <c r="D345" s="134" t="s">
        <v>476</v>
      </c>
    </row>
    <row r="346" spans="1:4" x14ac:dyDescent="0.2">
      <c r="A346" s="131">
        <v>208</v>
      </c>
      <c r="B346" s="132">
        <v>1280</v>
      </c>
      <c r="C346" s="133" t="s">
        <v>277</v>
      </c>
      <c r="D346" s="134" t="s">
        <v>476</v>
      </c>
    </row>
    <row r="347" spans="1:4" x14ac:dyDescent="0.2">
      <c r="A347" s="131">
        <v>209</v>
      </c>
      <c r="B347" s="132">
        <v>1286</v>
      </c>
      <c r="C347" s="133" t="s">
        <v>277</v>
      </c>
      <c r="D347" s="134">
        <v>2</v>
      </c>
    </row>
    <row r="348" spans="1:4" x14ac:dyDescent="0.2">
      <c r="A348" s="131">
        <v>209</v>
      </c>
      <c r="B348" s="132">
        <v>1287</v>
      </c>
      <c r="C348" s="133" t="s">
        <v>277</v>
      </c>
      <c r="D348" s="134">
        <v>1</v>
      </c>
    </row>
    <row r="349" spans="1:4" x14ac:dyDescent="0.2">
      <c r="A349" s="131">
        <v>210</v>
      </c>
      <c r="B349" s="132">
        <v>1293</v>
      </c>
      <c r="C349" s="133" t="s">
        <v>277</v>
      </c>
      <c r="D349" s="134">
        <v>2</v>
      </c>
    </row>
    <row r="350" spans="1:4" x14ac:dyDescent="0.2">
      <c r="A350" s="131">
        <v>210</v>
      </c>
      <c r="B350" s="132">
        <v>1294</v>
      </c>
      <c r="C350" s="133" t="s">
        <v>277</v>
      </c>
      <c r="D350" s="134">
        <v>1</v>
      </c>
    </row>
    <row r="351" spans="1:4" x14ac:dyDescent="0.2">
      <c r="A351" s="131">
        <v>211</v>
      </c>
      <c r="B351" s="132">
        <v>1295</v>
      </c>
      <c r="C351" s="133" t="s">
        <v>277</v>
      </c>
      <c r="D351" s="134">
        <v>2</v>
      </c>
    </row>
    <row r="352" spans="1:4" x14ac:dyDescent="0.2">
      <c r="A352" s="131">
        <v>211</v>
      </c>
      <c r="B352" s="132">
        <v>1296</v>
      </c>
      <c r="C352" s="133" t="s">
        <v>277</v>
      </c>
      <c r="D352" s="134">
        <v>1</v>
      </c>
    </row>
    <row r="353" spans="1:4" x14ac:dyDescent="0.2">
      <c r="A353" s="131">
        <v>212</v>
      </c>
      <c r="B353" s="132">
        <v>1297</v>
      </c>
      <c r="C353" s="133" t="s">
        <v>277</v>
      </c>
      <c r="D353" s="134">
        <v>2</v>
      </c>
    </row>
    <row r="354" spans="1:4" x14ac:dyDescent="0.2">
      <c r="A354" s="131">
        <v>212</v>
      </c>
      <c r="B354" s="132">
        <v>1298</v>
      </c>
      <c r="C354" s="133" t="s">
        <v>277</v>
      </c>
      <c r="D354" s="134">
        <v>1</v>
      </c>
    </row>
    <row r="355" spans="1:4" x14ac:dyDescent="0.2">
      <c r="A355" s="131">
        <v>213</v>
      </c>
      <c r="B355" s="132">
        <v>1299</v>
      </c>
      <c r="C355" s="133" t="s">
        <v>277</v>
      </c>
      <c r="D355" s="134">
        <v>2</v>
      </c>
    </row>
    <row r="356" spans="1:4" x14ac:dyDescent="0.2">
      <c r="A356" s="131">
        <v>213</v>
      </c>
      <c r="B356" s="132">
        <v>1300</v>
      </c>
      <c r="C356" s="133" t="s">
        <v>277</v>
      </c>
      <c r="D356" s="134">
        <v>1</v>
      </c>
    </row>
    <row r="357" spans="1:4" x14ac:dyDescent="0.2">
      <c r="A357" s="131">
        <v>214</v>
      </c>
      <c r="B357" s="132">
        <v>1326</v>
      </c>
      <c r="C357" s="133" t="s">
        <v>277</v>
      </c>
      <c r="D357" s="134">
        <v>2</v>
      </c>
    </row>
    <row r="358" spans="1:4" x14ac:dyDescent="0.2">
      <c r="A358" s="131">
        <v>214</v>
      </c>
      <c r="B358" s="132">
        <v>1327</v>
      </c>
      <c r="C358" s="133" t="s">
        <v>277</v>
      </c>
      <c r="D358" s="134">
        <v>1</v>
      </c>
    </row>
    <row r="359" spans="1:4" x14ac:dyDescent="0.2">
      <c r="A359" s="131">
        <v>215</v>
      </c>
      <c r="B359" s="132">
        <v>1328</v>
      </c>
      <c r="C359" s="133" t="s">
        <v>277</v>
      </c>
      <c r="D359" s="134">
        <v>2</v>
      </c>
    </row>
    <row r="360" spans="1:4" x14ac:dyDescent="0.2">
      <c r="A360" s="131">
        <v>215</v>
      </c>
      <c r="B360" s="132">
        <v>1329</v>
      </c>
      <c r="C360" s="133" t="s">
        <v>277</v>
      </c>
      <c r="D360" s="134">
        <v>1</v>
      </c>
    </row>
    <row r="361" spans="1:4" x14ac:dyDescent="0.2">
      <c r="A361" s="131">
        <v>216</v>
      </c>
      <c r="B361" s="132">
        <v>1330</v>
      </c>
      <c r="C361" s="133" t="s">
        <v>277</v>
      </c>
      <c r="D361" s="134">
        <v>2</v>
      </c>
    </row>
    <row r="362" spans="1:4" x14ac:dyDescent="0.2">
      <c r="A362" s="131">
        <v>216</v>
      </c>
      <c r="B362" s="132">
        <v>1331</v>
      </c>
      <c r="C362" s="133" t="s">
        <v>277</v>
      </c>
      <c r="D362" s="134">
        <v>1</v>
      </c>
    </row>
    <row r="363" spans="1:4" x14ac:dyDescent="0.2">
      <c r="A363" s="131">
        <v>217</v>
      </c>
      <c r="B363" s="132">
        <v>1332</v>
      </c>
      <c r="C363" s="133" t="s">
        <v>277</v>
      </c>
      <c r="D363" s="134">
        <v>2</v>
      </c>
    </row>
    <row r="364" spans="1:4" x14ac:dyDescent="0.2">
      <c r="A364" s="131">
        <v>217</v>
      </c>
      <c r="B364" s="132">
        <v>1333</v>
      </c>
      <c r="C364" s="133" t="s">
        <v>277</v>
      </c>
      <c r="D364" s="134">
        <v>1</v>
      </c>
    </row>
    <row r="365" spans="1:4" x14ac:dyDescent="0.2">
      <c r="A365" s="131">
        <v>218</v>
      </c>
      <c r="B365" s="132">
        <v>1334</v>
      </c>
      <c r="C365" s="133" t="s">
        <v>277</v>
      </c>
      <c r="D365" s="134">
        <v>2</v>
      </c>
    </row>
    <row r="366" spans="1:4" x14ac:dyDescent="0.2">
      <c r="A366" s="131">
        <v>218</v>
      </c>
      <c r="B366" s="132">
        <v>1335</v>
      </c>
      <c r="C366" s="133" t="s">
        <v>277</v>
      </c>
      <c r="D366" s="134">
        <v>1</v>
      </c>
    </row>
    <row r="367" spans="1:4" x14ac:dyDescent="0.2">
      <c r="A367" s="131">
        <v>219</v>
      </c>
      <c r="B367" s="132">
        <v>1336</v>
      </c>
      <c r="C367" s="133" t="s">
        <v>277</v>
      </c>
      <c r="D367" s="134">
        <v>2</v>
      </c>
    </row>
    <row r="368" spans="1:4" x14ac:dyDescent="0.2">
      <c r="A368" s="131">
        <v>219</v>
      </c>
      <c r="B368" s="132">
        <v>1337</v>
      </c>
      <c r="C368" s="133" t="s">
        <v>277</v>
      </c>
      <c r="D368" s="134">
        <v>1</v>
      </c>
    </row>
    <row r="369" spans="1:4" x14ac:dyDescent="0.2">
      <c r="A369" s="131">
        <v>220</v>
      </c>
      <c r="B369" s="132">
        <v>1338</v>
      </c>
      <c r="C369" s="133" t="s">
        <v>277</v>
      </c>
      <c r="D369" s="134">
        <v>2</v>
      </c>
    </row>
    <row r="370" spans="1:4" x14ac:dyDescent="0.2">
      <c r="A370" s="131">
        <v>220</v>
      </c>
      <c r="B370" s="132">
        <v>1339</v>
      </c>
      <c r="C370" s="133" t="s">
        <v>277</v>
      </c>
      <c r="D370" s="134">
        <v>1</v>
      </c>
    </row>
    <row r="371" spans="1:4" x14ac:dyDescent="0.2">
      <c r="A371" s="131">
        <v>221</v>
      </c>
      <c r="B371" s="132">
        <v>1340</v>
      </c>
      <c r="C371" s="133" t="s">
        <v>277</v>
      </c>
      <c r="D371" s="134">
        <v>2</v>
      </c>
    </row>
    <row r="372" spans="1:4" x14ac:dyDescent="0.2">
      <c r="A372" s="131">
        <v>221</v>
      </c>
      <c r="B372" s="132">
        <v>1341</v>
      </c>
      <c r="C372" s="133" t="s">
        <v>277</v>
      </c>
      <c r="D372" s="134">
        <v>1</v>
      </c>
    </row>
    <row r="373" spans="1:4" x14ac:dyDescent="0.2">
      <c r="A373" s="131">
        <v>222</v>
      </c>
      <c r="B373" s="132">
        <v>1342</v>
      </c>
      <c r="C373" s="133" t="s">
        <v>277</v>
      </c>
      <c r="D373" s="134">
        <v>2</v>
      </c>
    </row>
    <row r="374" spans="1:4" x14ac:dyDescent="0.2">
      <c r="A374" s="131">
        <v>222</v>
      </c>
      <c r="B374" s="132">
        <v>1343</v>
      </c>
      <c r="C374" s="133" t="s">
        <v>277</v>
      </c>
      <c r="D374" s="134">
        <v>1</v>
      </c>
    </row>
    <row r="375" spans="1:4" x14ac:dyDescent="0.2">
      <c r="A375" s="131">
        <v>223</v>
      </c>
      <c r="B375" s="132">
        <v>1344</v>
      </c>
      <c r="C375" s="133" t="s">
        <v>277</v>
      </c>
      <c r="D375" s="134">
        <v>2</v>
      </c>
    </row>
    <row r="376" spans="1:4" x14ac:dyDescent="0.2">
      <c r="A376" s="131">
        <v>223</v>
      </c>
      <c r="B376" s="132">
        <v>1345</v>
      </c>
      <c r="C376" s="133" t="s">
        <v>277</v>
      </c>
      <c r="D376" s="134">
        <v>1</v>
      </c>
    </row>
    <row r="377" spans="1:4" x14ac:dyDescent="0.2">
      <c r="A377" s="131">
        <v>224</v>
      </c>
      <c r="B377" s="132">
        <v>1353</v>
      </c>
      <c r="C377" s="133" t="s">
        <v>277</v>
      </c>
      <c r="D377" s="134">
        <v>2</v>
      </c>
    </row>
    <row r="378" spans="1:4" x14ac:dyDescent="0.2">
      <c r="A378" s="131">
        <v>224</v>
      </c>
      <c r="B378" s="132">
        <v>1354</v>
      </c>
      <c r="C378" s="133" t="s">
        <v>277</v>
      </c>
      <c r="D378" s="134">
        <v>1</v>
      </c>
    </row>
    <row r="379" spans="1:4" x14ac:dyDescent="0.2">
      <c r="A379" s="131">
        <v>225</v>
      </c>
      <c r="B379" s="132">
        <v>1355</v>
      </c>
      <c r="C379" s="133" t="s">
        <v>277</v>
      </c>
      <c r="D379" s="134">
        <v>2</v>
      </c>
    </row>
    <row r="380" spans="1:4" x14ac:dyDescent="0.2">
      <c r="A380" s="131">
        <v>225</v>
      </c>
      <c r="B380" s="132">
        <v>1356</v>
      </c>
      <c r="C380" s="133" t="s">
        <v>277</v>
      </c>
      <c r="D380" s="134">
        <v>1</v>
      </c>
    </row>
    <row r="381" spans="1:4" x14ac:dyDescent="0.2">
      <c r="A381" s="131">
        <v>226</v>
      </c>
      <c r="B381" s="132">
        <v>1357</v>
      </c>
      <c r="C381" s="133" t="s">
        <v>277</v>
      </c>
      <c r="D381" s="134">
        <v>2</v>
      </c>
    </row>
    <row r="382" spans="1:4" x14ac:dyDescent="0.2">
      <c r="A382" s="131">
        <v>226</v>
      </c>
      <c r="B382" s="132">
        <v>1358</v>
      </c>
      <c r="C382" s="133" t="s">
        <v>277</v>
      </c>
      <c r="D382" s="134">
        <v>1</v>
      </c>
    </row>
    <row r="383" spans="1:4" x14ac:dyDescent="0.2">
      <c r="A383" s="131">
        <v>227</v>
      </c>
      <c r="B383" s="132">
        <v>1359</v>
      </c>
      <c r="C383" s="133" t="s">
        <v>277</v>
      </c>
      <c r="D383" s="134">
        <v>2</v>
      </c>
    </row>
    <row r="384" spans="1:4" x14ac:dyDescent="0.2">
      <c r="A384" s="131">
        <v>227</v>
      </c>
      <c r="B384" s="132">
        <v>1360</v>
      </c>
      <c r="C384" s="133" t="s">
        <v>277</v>
      </c>
      <c r="D384" s="134">
        <v>1</v>
      </c>
    </row>
    <row r="385" spans="1:4" x14ac:dyDescent="0.2">
      <c r="A385" s="131">
        <v>228</v>
      </c>
      <c r="B385" s="132">
        <v>1361</v>
      </c>
      <c r="C385" s="133" t="s">
        <v>288</v>
      </c>
      <c r="D385" s="134" t="s">
        <v>239</v>
      </c>
    </row>
    <row r="386" spans="1:4" x14ac:dyDescent="0.2">
      <c r="A386" s="131">
        <v>228</v>
      </c>
      <c r="B386" s="132">
        <v>1399</v>
      </c>
      <c r="C386" s="133" t="s">
        <v>288</v>
      </c>
      <c r="D386" s="134" t="s">
        <v>239</v>
      </c>
    </row>
    <row r="387" spans="1:4" x14ac:dyDescent="0.2">
      <c r="A387" s="131">
        <v>229</v>
      </c>
      <c r="B387" s="132">
        <v>1362</v>
      </c>
      <c r="C387" s="133" t="s">
        <v>288</v>
      </c>
      <c r="D387" s="134" t="s">
        <v>239</v>
      </c>
    </row>
    <row r="388" spans="1:4" x14ac:dyDescent="0.2">
      <c r="A388" s="131">
        <v>229</v>
      </c>
      <c r="B388" s="132">
        <v>1400</v>
      </c>
      <c r="C388" s="133" t="s">
        <v>288</v>
      </c>
      <c r="D388" s="134" t="s">
        <v>239</v>
      </c>
    </row>
    <row r="389" spans="1:4" x14ac:dyDescent="0.2">
      <c r="A389" s="131">
        <v>230</v>
      </c>
      <c r="B389" s="132">
        <v>1363</v>
      </c>
      <c r="C389" s="133" t="s">
        <v>277</v>
      </c>
      <c r="D389" s="134" t="s">
        <v>239</v>
      </c>
    </row>
    <row r="390" spans="1:4" x14ac:dyDescent="0.2">
      <c r="A390" s="131">
        <v>230</v>
      </c>
      <c r="B390" s="132">
        <v>1401</v>
      </c>
      <c r="C390" s="133" t="s">
        <v>277</v>
      </c>
      <c r="D390" s="134" t="s">
        <v>239</v>
      </c>
    </row>
    <row r="391" spans="1:4" x14ac:dyDescent="0.2">
      <c r="A391" s="131">
        <v>231</v>
      </c>
      <c r="B391" s="132">
        <v>1371</v>
      </c>
      <c r="C391" s="133" t="s">
        <v>265</v>
      </c>
      <c r="D391" s="134">
        <v>2</v>
      </c>
    </row>
    <row r="392" spans="1:4" x14ac:dyDescent="0.2">
      <c r="A392" s="131">
        <v>231</v>
      </c>
      <c r="B392" s="132">
        <v>1372</v>
      </c>
      <c r="C392" s="133" t="s">
        <v>265</v>
      </c>
      <c r="D392" s="134">
        <v>1</v>
      </c>
    </row>
    <row r="393" spans="1:4" x14ac:dyDescent="0.2">
      <c r="A393" s="131">
        <v>233</v>
      </c>
      <c r="B393" s="132">
        <v>1375</v>
      </c>
      <c r="C393" s="133" t="s">
        <v>265</v>
      </c>
      <c r="D393" s="134">
        <v>2</v>
      </c>
    </row>
    <row r="394" spans="1:4" x14ac:dyDescent="0.2">
      <c r="A394" s="131">
        <v>233</v>
      </c>
      <c r="B394" s="132">
        <v>1376</v>
      </c>
      <c r="C394" s="133" t="s">
        <v>265</v>
      </c>
      <c r="D394" s="134">
        <v>1</v>
      </c>
    </row>
    <row r="395" spans="1:4" x14ac:dyDescent="0.2">
      <c r="A395" s="131">
        <v>234</v>
      </c>
      <c r="B395" s="132">
        <v>1377</v>
      </c>
      <c r="C395" s="133" t="s">
        <v>265</v>
      </c>
      <c r="D395" s="134">
        <v>2</v>
      </c>
    </row>
    <row r="396" spans="1:4" x14ac:dyDescent="0.2">
      <c r="A396" s="131">
        <v>234</v>
      </c>
      <c r="B396" s="132">
        <v>1378</v>
      </c>
      <c r="C396" s="133" t="s">
        <v>265</v>
      </c>
      <c r="D396" s="134">
        <v>1</v>
      </c>
    </row>
    <row r="397" spans="1:4" x14ac:dyDescent="0.2">
      <c r="A397" s="131">
        <v>235</v>
      </c>
      <c r="B397" s="132">
        <v>1379</v>
      </c>
      <c r="C397" s="133" t="s">
        <v>265</v>
      </c>
      <c r="D397" s="134">
        <v>2</v>
      </c>
    </row>
    <row r="398" spans="1:4" x14ac:dyDescent="0.2">
      <c r="A398" s="131">
        <v>235</v>
      </c>
      <c r="B398" s="132">
        <v>1380</v>
      </c>
      <c r="C398" s="133" t="s">
        <v>265</v>
      </c>
      <c r="D398" s="134">
        <v>1</v>
      </c>
    </row>
    <row r="399" spans="1:4" x14ac:dyDescent="0.2">
      <c r="A399" s="131">
        <v>236</v>
      </c>
      <c r="B399" s="132">
        <v>1381</v>
      </c>
      <c r="C399" s="133" t="s">
        <v>265</v>
      </c>
      <c r="D399" s="134">
        <v>2</v>
      </c>
    </row>
    <row r="400" spans="1:4" x14ac:dyDescent="0.2">
      <c r="A400" s="131">
        <v>236</v>
      </c>
      <c r="B400" s="132">
        <v>1382</v>
      </c>
      <c r="C400" s="133" t="s">
        <v>265</v>
      </c>
      <c r="D400" s="134">
        <v>1</v>
      </c>
    </row>
    <row r="401" spans="1:4" x14ac:dyDescent="0.2">
      <c r="A401" s="131">
        <v>237</v>
      </c>
      <c r="B401" s="132">
        <v>1383</v>
      </c>
      <c r="C401" s="133" t="s">
        <v>265</v>
      </c>
      <c r="D401" s="134">
        <v>2</v>
      </c>
    </row>
    <row r="402" spans="1:4" x14ac:dyDescent="0.2">
      <c r="A402" s="131">
        <v>237</v>
      </c>
      <c r="B402" s="132">
        <v>1384</v>
      </c>
      <c r="C402" s="133" t="s">
        <v>265</v>
      </c>
      <c r="D402" s="134">
        <v>1</v>
      </c>
    </row>
    <row r="403" spans="1:4" x14ac:dyDescent="0.2">
      <c r="A403" s="131">
        <v>238</v>
      </c>
      <c r="B403" s="132">
        <v>1385</v>
      </c>
      <c r="C403" s="133" t="s">
        <v>277</v>
      </c>
      <c r="D403" s="134">
        <v>2</v>
      </c>
    </row>
    <row r="404" spans="1:4" x14ac:dyDescent="0.2">
      <c r="A404" s="131">
        <v>238</v>
      </c>
      <c r="B404" s="132">
        <v>1386</v>
      </c>
      <c r="C404" s="133" t="s">
        <v>277</v>
      </c>
      <c r="D404" s="134">
        <v>1</v>
      </c>
    </row>
    <row r="405" spans="1:4" x14ac:dyDescent="0.2">
      <c r="A405" s="131">
        <v>241</v>
      </c>
      <c r="B405" s="132">
        <v>1042</v>
      </c>
      <c r="C405" s="133" t="s">
        <v>289</v>
      </c>
      <c r="D405" s="134">
        <v>2</v>
      </c>
    </row>
    <row r="406" spans="1:4" x14ac:dyDescent="0.2">
      <c r="A406" s="131">
        <v>241</v>
      </c>
      <c r="B406" s="132">
        <v>1043</v>
      </c>
      <c r="C406" s="133" t="s">
        <v>289</v>
      </c>
      <c r="D406" s="134">
        <v>1</v>
      </c>
    </row>
    <row r="407" spans="1:4" x14ac:dyDescent="0.2">
      <c r="A407" s="131">
        <v>242</v>
      </c>
      <c r="B407" s="132">
        <v>44</v>
      </c>
      <c r="C407" s="133" t="s">
        <v>290</v>
      </c>
      <c r="D407" s="134">
        <v>1</v>
      </c>
    </row>
    <row r="408" spans="1:4" x14ac:dyDescent="0.2">
      <c r="A408" s="131">
        <v>242</v>
      </c>
      <c r="B408" s="132">
        <v>208</v>
      </c>
      <c r="C408" s="133" t="s">
        <v>290</v>
      </c>
      <c r="D408" s="134">
        <v>2</v>
      </c>
    </row>
    <row r="409" spans="1:4" x14ac:dyDescent="0.2">
      <c r="A409" s="131">
        <v>243</v>
      </c>
      <c r="B409" s="132">
        <v>21</v>
      </c>
      <c r="C409" s="133" t="s">
        <v>291</v>
      </c>
      <c r="D409" s="134">
        <v>1</v>
      </c>
    </row>
    <row r="410" spans="1:4" x14ac:dyDescent="0.2">
      <c r="A410" s="131">
        <v>243</v>
      </c>
      <c r="B410" s="132">
        <v>231</v>
      </c>
      <c r="C410" s="133" t="s">
        <v>291</v>
      </c>
      <c r="D410" s="134" t="s">
        <v>480</v>
      </c>
    </row>
    <row r="411" spans="1:4" x14ac:dyDescent="0.2">
      <c r="A411" s="131">
        <v>244</v>
      </c>
      <c r="B411" s="132">
        <v>40</v>
      </c>
      <c r="C411" s="133" t="s">
        <v>277</v>
      </c>
      <c r="D411" s="134">
        <v>1</v>
      </c>
    </row>
    <row r="412" spans="1:4" x14ac:dyDescent="0.2">
      <c r="A412" s="131">
        <v>244</v>
      </c>
      <c r="B412" s="132">
        <v>206</v>
      </c>
      <c r="C412" s="133" t="s">
        <v>277</v>
      </c>
      <c r="D412" s="134">
        <v>2</v>
      </c>
    </row>
    <row r="413" spans="1:4" x14ac:dyDescent="0.2">
      <c r="A413" s="131">
        <v>245</v>
      </c>
      <c r="B413" s="132">
        <v>1012</v>
      </c>
      <c r="C413" s="133" t="s">
        <v>290</v>
      </c>
      <c r="D413" s="134">
        <v>2</v>
      </c>
    </row>
    <row r="414" spans="1:4" x14ac:dyDescent="0.2">
      <c r="A414" s="131">
        <v>245</v>
      </c>
      <c r="B414" s="132">
        <v>1013</v>
      </c>
      <c r="C414" s="133" t="s">
        <v>290</v>
      </c>
      <c r="D414" s="134">
        <v>1</v>
      </c>
    </row>
    <row r="415" spans="1:4" x14ac:dyDescent="0.2">
      <c r="A415" s="131">
        <v>246</v>
      </c>
      <c r="B415" s="132">
        <v>160</v>
      </c>
      <c r="C415" s="133" t="s">
        <v>292</v>
      </c>
      <c r="D415" s="134">
        <v>2</v>
      </c>
    </row>
    <row r="416" spans="1:4" x14ac:dyDescent="0.2">
      <c r="A416" s="131">
        <v>246</v>
      </c>
      <c r="B416" s="132">
        <v>276</v>
      </c>
      <c r="C416" s="133" t="s">
        <v>292</v>
      </c>
      <c r="D416" s="134">
        <v>1</v>
      </c>
    </row>
    <row r="417" spans="1:4" x14ac:dyDescent="0.2">
      <c r="A417" s="131">
        <v>246</v>
      </c>
      <c r="B417" s="132">
        <v>277</v>
      </c>
      <c r="C417" s="133" t="s">
        <v>292</v>
      </c>
      <c r="D417" s="134">
        <v>1</v>
      </c>
    </row>
    <row r="418" spans="1:4" x14ac:dyDescent="0.2">
      <c r="A418" s="131">
        <v>247</v>
      </c>
      <c r="B418" s="132">
        <v>1288</v>
      </c>
      <c r="C418" s="133" t="s">
        <v>290</v>
      </c>
      <c r="D418" s="134">
        <v>1</v>
      </c>
    </row>
    <row r="419" spans="1:4" x14ac:dyDescent="0.2">
      <c r="A419" s="131">
        <v>247</v>
      </c>
      <c r="B419" s="132">
        <v>1289</v>
      </c>
      <c r="C419" s="133" t="s">
        <v>290</v>
      </c>
      <c r="D419" s="134">
        <v>2</v>
      </c>
    </row>
    <row r="420" spans="1:4" x14ac:dyDescent="0.2">
      <c r="A420" s="131">
        <v>248</v>
      </c>
      <c r="B420" s="132">
        <v>1174</v>
      </c>
      <c r="C420" s="133" t="s">
        <v>277</v>
      </c>
      <c r="D420" s="134">
        <v>1</v>
      </c>
    </row>
    <row r="421" spans="1:4" x14ac:dyDescent="0.2">
      <c r="A421" s="131">
        <v>248</v>
      </c>
      <c r="B421" s="132">
        <v>1175</v>
      </c>
      <c r="C421" s="133" t="s">
        <v>277</v>
      </c>
      <c r="D421" s="134">
        <v>2</v>
      </c>
    </row>
    <row r="422" spans="1:4" x14ac:dyDescent="0.2">
      <c r="A422" s="131">
        <v>249</v>
      </c>
      <c r="B422" s="132">
        <v>1351</v>
      </c>
      <c r="C422" s="133" t="s">
        <v>290</v>
      </c>
      <c r="D422" s="134">
        <v>2</v>
      </c>
    </row>
    <row r="423" spans="1:4" x14ac:dyDescent="0.2">
      <c r="A423" s="131">
        <v>249</v>
      </c>
      <c r="B423" s="132">
        <v>1352</v>
      </c>
      <c r="C423" s="133" t="s">
        <v>290</v>
      </c>
      <c r="D423" s="134">
        <v>1</v>
      </c>
    </row>
    <row r="424" spans="1:4" x14ac:dyDescent="0.2">
      <c r="A424" s="131">
        <v>250</v>
      </c>
      <c r="B424" s="132">
        <v>206</v>
      </c>
      <c r="C424" s="133" t="s">
        <v>293</v>
      </c>
      <c r="D424" s="134" t="s">
        <v>239</v>
      </c>
    </row>
    <row r="425" spans="1:4" x14ac:dyDescent="0.2">
      <c r="A425" s="131">
        <v>251</v>
      </c>
      <c r="B425" s="132">
        <v>210</v>
      </c>
      <c r="C425" s="133" t="s">
        <v>293</v>
      </c>
      <c r="D425" s="134" t="s">
        <v>239</v>
      </c>
    </row>
    <row r="426" spans="1:4" x14ac:dyDescent="0.2">
      <c r="A426" s="131">
        <v>252</v>
      </c>
      <c r="B426" s="132">
        <v>212</v>
      </c>
      <c r="C426" s="133" t="s">
        <v>293</v>
      </c>
      <c r="D426" s="134" t="s">
        <v>239</v>
      </c>
    </row>
    <row r="427" spans="1:4" x14ac:dyDescent="0.2">
      <c r="A427" s="131">
        <v>253</v>
      </c>
      <c r="B427" s="132">
        <v>1290</v>
      </c>
      <c r="C427" s="133" t="s">
        <v>293</v>
      </c>
      <c r="D427" s="134" t="s">
        <v>239</v>
      </c>
    </row>
    <row r="428" spans="1:4" x14ac:dyDescent="0.2">
      <c r="A428" s="131">
        <v>254</v>
      </c>
      <c r="B428" s="132">
        <v>1316</v>
      </c>
      <c r="C428" s="133" t="s">
        <v>294</v>
      </c>
      <c r="D428" s="134">
        <v>2</v>
      </c>
    </row>
    <row r="429" spans="1:4" x14ac:dyDescent="0.2">
      <c r="A429" s="131">
        <v>254</v>
      </c>
      <c r="B429" s="132">
        <v>1317</v>
      </c>
      <c r="C429" s="133" t="s">
        <v>294</v>
      </c>
      <c r="D429" s="134">
        <v>1</v>
      </c>
    </row>
    <row r="430" spans="1:4" x14ac:dyDescent="0.2">
      <c r="A430" s="131">
        <v>255</v>
      </c>
      <c r="B430" s="132">
        <v>1320</v>
      </c>
      <c r="C430" s="133" t="s">
        <v>295</v>
      </c>
      <c r="D430" s="134">
        <v>2</v>
      </c>
    </row>
    <row r="431" spans="1:4" x14ac:dyDescent="0.2">
      <c r="A431" s="131">
        <v>255</v>
      </c>
      <c r="B431" s="132">
        <v>1321</v>
      </c>
      <c r="C431" s="133" t="s">
        <v>295</v>
      </c>
      <c r="D431" s="134">
        <v>1</v>
      </c>
    </row>
    <row r="432" spans="1:4" x14ac:dyDescent="0.2">
      <c r="A432" s="131">
        <v>257</v>
      </c>
      <c r="B432" s="132">
        <v>57</v>
      </c>
      <c r="C432" s="133" t="s">
        <v>296</v>
      </c>
      <c r="D432" s="134">
        <v>1</v>
      </c>
    </row>
    <row r="433" spans="1:4" x14ac:dyDescent="0.2">
      <c r="A433" s="131">
        <v>257</v>
      </c>
      <c r="B433" s="132">
        <v>196</v>
      </c>
      <c r="C433" s="133" t="s">
        <v>296</v>
      </c>
      <c r="D433" s="134">
        <v>2</v>
      </c>
    </row>
    <row r="434" spans="1:4" x14ac:dyDescent="0.2">
      <c r="A434" s="131">
        <v>258</v>
      </c>
      <c r="B434" s="132">
        <v>56</v>
      </c>
      <c r="C434" s="133" t="s">
        <v>297</v>
      </c>
      <c r="D434" s="134">
        <v>1</v>
      </c>
    </row>
    <row r="435" spans="1:4" x14ac:dyDescent="0.2">
      <c r="A435" s="131">
        <v>258</v>
      </c>
      <c r="B435" s="132">
        <v>195</v>
      </c>
      <c r="C435" s="133" t="s">
        <v>297</v>
      </c>
      <c r="D435" s="134">
        <v>2</v>
      </c>
    </row>
    <row r="436" spans="1:4" x14ac:dyDescent="0.2">
      <c r="A436" s="131">
        <v>259</v>
      </c>
      <c r="B436" s="132">
        <v>94</v>
      </c>
      <c r="C436" s="133" t="s">
        <v>298</v>
      </c>
      <c r="D436" s="134">
        <v>1</v>
      </c>
    </row>
    <row r="437" spans="1:4" x14ac:dyDescent="0.2">
      <c r="A437" s="131">
        <v>259</v>
      </c>
      <c r="B437" s="132">
        <v>167</v>
      </c>
      <c r="C437" s="133" t="s">
        <v>298</v>
      </c>
      <c r="D437" s="134">
        <v>2</v>
      </c>
    </row>
    <row r="438" spans="1:4" x14ac:dyDescent="0.2">
      <c r="A438" s="131">
        <v>260</v>
      </c>
      <c r="B438" s="132">
        <v>59</v>
      </c>
      <c r="C438" s="133" t="s">
        <v>297</v>
      </c>
      <c r="D438" s="134" t="s">
        <v>476</v>
      </c>
    </row>
    <row r="439" spans="1:4" x14ac:dyDescent="0.2">
      <c r="A439" s="131">
        <v>260</v>
      </c>
      <c r="B439" s="132">
        <v>191</v>
      </c>
      <c r="C439" s="133" t="s">
        <v>297</v>
      </c>
      <c r="D439" s="134" t="s">
        <v>476</v>
      </c>
    </row>
    <row r="440" spans="1:4" x14ac:dyDescent="0.2">
      <c r="A440" s="131">
        <v>261</v>
      </c>
      <c r="B440" s="132">
        <v>55</v>
      </c>
      <c r="C440" s="133" t="s">
        <v>297</v>
      </c>
      <c r="D440" s="134">
        <v>1</v>
      </c>
    </row>
    <row r="441" spans="1:4" x14ac:dyDescent="0.2">
      <c r="A441" s="131">
        <v>261</v>
      </c>
      <c r="B441" s="132">
        <v>194</v>
      </c>
      <c r="C441" s="133" t="s">
        <v>297</v>
      </c>
      <c r="D441" s="134" t="s">
        <v>479</v>
      </c>
    </row>
    <row r="442" spans="1:4" x14ac:dyDescent="0.2">
      <c r="A442" s="131">
        <v>262</v>
      </c>
      <c r="B442" s="132">
        <v>57</v>
      </c>
      <c r="C442" s="133" t="s">
        <v>297</v>
      </c>
      <c r="D442" s="134">
        <v>1</v>
      </c>
    </row>
    <row r="443" spans="1:4" x14ac:dyDescent="0.2">
      <c r="A443" s="131">
        <v>262</v>
      </c>
      <c r="B443" s="132">
        <v>196</v>
      </c>
      <c r="C443" s="133" t="s">
        <v>297</v>
      </c>
      <c r="D443" s="134" t="s">
        <v>481</v>
      </c>
    </row>
    <row r="444" spans="1:4" x14ac:dyDescent="0.2">
      <c r="A444" s="131">
        <v>263</v>
      </c>
      <c r="B444" s="132">
        <v>1010</v>
      </c>
      <c r="C444" s="133" t="s">
        <v>297</v>
      </c>
      <c r="D444" s="134">
        <v>2</v>
      </c>
    </row>
    <row r="445" spans="1:4" x14ac:dyDescent="0.2">
      <c r="A445" s="131">
        <v>263</v>
      </c>
      <c r="B445" s="132">
        <v>1011</v>
      </c>
      <c r="C445" s="133" t="s">
        <v>297</v>
      </c>
      <c r="D445" s="134">
        <v>1</v>
      </c>
    </row>
    <row r="446" spans="1:4" x14ac:dyDescent="0.2">
      <c r="A446" s="131">
        <v>264</v>
      </c>
      <c r="B446" s="132">
        <v>1069</v>
      </c>
      <c r="C446" s="133" t="s">
        <v>297</v>
      </c>
      <c r="D446" s="134">
        <v>1</v>
      </c>
    </row>
    <row r="447" spans="1:4" x14ac:dyDescent="0.2">
      <c r="A447" s="131">
        <v>264</v>
      </c>
      <c r="B447" s="132">
        <v>1070</v>
      </c>
      <c r="C447" s="133" t="s">
        <v>297</v>
      </c>
      <c r="D447" s="134">
        <v>2</v>
      </c>
    </row>
    <row r="448" spans="1:4" x14ac:dyDescent="0.2">
      <c r="A448" s="131">
        <v>265</v>
      </c>
      <c r="B448" s="132">
        <v>190</v>
      </c>
      <c r="C448" s="133" t="s">
        <v>299</v>
      </c>
      <c r="D448" s="134" t="s">
        <v>478</v>
      </c>
    </row>
    <row r="449" spans="1:4" x14ac:dyDescent="0.2">
      <c r="A449" s="131">
        <v>266</v>
      </c>
      <c r="B449" s="132">
        <v>191</v>
      </c>
      <c r="C449" s="133" t="s">
        <v>299</v>
      </c>
      <c r="D449" s="134" t="s">
        <v>239</v>
      </c>
    </row>
    <row r="450" spans="1:4" x14ac:dyDescent="0.2">
      <c r="A450" s="131">
        <v>267</v>
      </c>
      <c r="B450" s="132">
        <v>192</v>
      </c>
      <c r="C450" s="133" t="s">
        <v>299</v>
      </c>
      <c r="D450" s="134" t="s">
        <v>239</v>
      </c>
    </row>
    <row r="451" spans="1:4" x14ac:dyDescent="0.2">
      <c r="A451" s="131">
        <v>268</v>
      </c>
      <c r="B451" s="132">
        <v>193</v>
      </c>
      <c r="C451" s="133" t="s">
        <v>299</v>
      </c>
      <c r="D451" s="134" t="s">
        <v>478</v>
      </c>
    </row>
    <row r="452" spans="1:4" x14ac:dyDescent="0.2">
      <c r="A452" s="131">
        <v>269</v>
      </c>
      <c r="B452" s="132">
        <v>194</v>
      </c>
      <c r="C452" s="133" t="s">
        <v>299</v>
      </c>
      <c r="D452" s="134" t="s">
        <v>239</v>
      </c>
    </row>
    <row r="453" spans="1:4" x14ac:dyDescent="0.2">
      <c r="A453" s="131">
        <v>270</v>
      </c>
      <c r="B453" s="132">
        <v>196</v>
      </c>
      <c r="C453" s="133" t="s">
        <v>299</v>
      </c>
      <c r="D453" s="134" t="s">
        <v>478</v>
      </c>
    </row>
    <row r="454" spans="1:4" x14ac:dyDescent="0.2">
      <c r="A454" s="131">
        <v>271</v>
      </c>
      <c r="B454" s="132">
        <v>1088</v>
      </c>
      <c r="C454" s="133" t="s">
        <v>299</v>
      </c>
      <c r="D454" s="134" t="s">
        <v>239</v>
      </c>
    </row>
    <row r="455" spans="1:4" x14ac:dyDescent="0.2">
      <c r="A455" s="131">
        <v>272</v>
      </c>
      <c r="B455" s="132">
        <v>1089</v>
      </c>
      <c r="C455" s="133" t="s">
        <v>299</v>
      </c>
      <c r="D455" s="134" t="s">
        <v>239</v>
      </c>
    </row>
    <row r="456" spans="1:4" x14ac:dyDescent="0.2">
      <c r="A456" s="131">
        <v>273</v>
      </c>
      <c r="B456" s="132">
        <v>1090</v>
      </c>
      <c r="C456" s="133" t="s">
        <v>299</v>
      </c>
      <c r="D456" s="134" t="s">
        <v>239</v>
      </c>
    </row>
    <row r="457" spans="1:4" x14ac:dyDescent="0.2">
      <c r="A457" s="131">
        <v>274</v>
      </c>
      <c r="B457" s="132">
        <v>1115</v>
      </c>
      <c r="C457" s="133" t="s">
        <v>299</v>
      </c>
      <c r="D457" s="134" t="s">
        <v>239</v>
      </c>
    </row>
    <row r="458" spans="1:4" x14ac:dyDescent="0.2">
      <c r="A458" s="131">
        <v>276</v>
      </c>
      <c r="B458" s="132">
        <v>1347</v>
      </c>
      <c r="C458" s="133" t="s">
        <v>299</v>
      </c>
      <c r="D458" s="134" t="s">
        <v>239</v>
      </c>
    </row>
    <row r="459" spans="1:4" x14ac:dyDescent="0.2">
      <c r="A459" s="131">
        <v>277</v>
      </c>
      <c r="B459" s="132">
        <v>52</v>
      </c>
      <c r="C459" s="133" t="s">
        <v>300</v>
      </c>
      <c r="D459" s="134" t="s">
        <v>239</v>
      </c>
    </row>
    <row r="460" spans="1:4" x14ac:dyDescent="0.2">
      <c r="A460" s="131">
        <v>278</v>
      </c>
      <c r="B460" s="132">
        <v>105</v>
      </c>
      <c r="C460" s="133" t="s">
        <v>301</v>
      </c>
      <c r="D460" s="134" t="s">
        <v>239</v>
      </c>
    </row>
    <row r="461" spans="1:4" x14ac:dyDescent="0.2">
      <c r="A461" s="131">
        <v>279</v>
      </c>
      <c r="B461" s="132">
        <v>16</v>
      </c>
      <c r="C461" s="133" t="s">
        <v>302</v>
      </c>
      <c r="D461" s="134" t="s">
        <v>239</v>
      </c>
    </row>
    <row r="462" spans="1:4" x14ac:dyDescent="0.2">
      <c r="A462" s="131">
        <v>280</v>
      </c>
      <c r="B462" s="132">
        <v>170</v>
      </c>
      <c r="C462" s="133" t="s">
        <v>303</v>
      </c>
      <c r="D462" s="134" t="s">
        <v>476</v>
      </c>
    </row>
    <row r="463" spans="1:4" x14ac:dyDescent="0.2">
      <c r="A463" s="131">
        <v>281</v>
      </c>
      <c r="B463" s="132">
        <v>11</v>
      </c>
      <c r="C463" s="133" t="s">
        <v>304</v>
      </c>
      <c r="D463" s="134">
        <v>2</v>
      </c>
    </row>
    <row r="464" spans="1:4" x14ac:dyDescent="0.2">
      <c r="A464" s="131">
        <v>281</v>
      </c>
      <c r="B464" s="132">
        <v>95</v>
      </c>
      <c r="C464" s="133" t="s">
        <v>304</v>
      </c>
      <c r="D464" s="134">
        <v>1</v>
      </c>
    </row>
    <row r="465" spans="1:4" x14ac:dyDescent="0.2">
      <c r="A465" s="131">
        <v>283</v>
      </c>
      <c r="B465" s="132">
        <v>1016</v>
      </c>
      <c r="C465" s="133" t="s">
        <v>305</v>
      </c>
      <c r="D465" s="134">
        <v>1</v>
      </c>
    </row>
    <row r="466" spans="1:4" x14ac:dyDescent="0.2">
      <c r="A466" s="131">
        <v>283</v>
      </c>
      <c r="B466" s="132">
        <v>1017</v>
      </c>
      <c r="C466" s="133" t="s">
        <v>305</v>
      </c>
      <c r="D466" s="134">
        <v>2</v>
      </c>
    </row>
    <row r="467" spans="1:4" x14ac:dyDescent="0.2">
      <c r="A467" s="131">
        <v>284</v>
      </c>
      <c r="B467" s="132">
        <v>177</v>
      </c>
      <c r="C467" s="133" t="s">
        <v>246</v>
      </c>
      <c r="D467" s="134" t="s">
        <v>239</v>
      </c>
    </row>
    <row r="468" spans="1:4" x14ac:dyDescent="0.2">
      <c r="A468" s="131">
        <v>285</v>
      </c>
      <c r="B468" s="132">
        <v>178</v>
      </c>
      <c r="C468" s="133" t="s">
        <v>246</v>
      </c>
      <c r="D468" s="134" t="s">
        <v>476</v>
      </c>
    </row>
    <row r="469" spans="1:4" x14ac:dyDescent="0.2">
      <c r="A469" s="131">
        <v>286</v>
      </c>
      <c r="B469" s="132">
        <v>103</v>
      </c>
      <c r="C469" s="133" t="s">
        <v>306</v>
      </c>
      <c r="D469" s="134" t="s">
        <v>239</v>
      </c>
    </row>
    <row r="470" spans="1:4" x14ac:dyDescent="0.2">
      <c r="A470" s="131">
        <v>287</v>
      </c>
      <c r="B470" s="132">
        <v>1364</v>
      </c>
      <c r="C470" s="133" t="s">
        <v>307</v>
      </c>
      <c r="D470" s="134" t="s">
        <v>239</v>
      </c>
    </row>
    <row r="471" spans="1:4" x14ac:dyDescent="0.2">
      <c r="A471" s="131">
        <v>287</v>
      </c>
      <c r="B471" s="132">
        <v>1402</v>
      </c>
      <c r="C471" s="133" t="s">
        <v>307</v>
      </c>
      <c r="D471" s="134" t="s">
        <v>239</v>
      </c>
    </row>
    <row r="472" spans="1:4" x14ac:dyDescent="0.2">
      <c r="A472" s="131">
        <v>288</v>
      </c>
      <c r="B472" s="132">
        <v>1036</v>
      </c>
      <c r="C472" s="133" t="s">
        <v>308</v>
      </c>
      <c r="D472" s="134" t="s">
        <v>239</v>
      </c>
    </row>
    <row r="473" spans="1:4" x14ac:dyDescent="0.2">
      <c r="A473" s="131">
        <v>289</v>
      </c>
      <c r="B473" s="132">
        <v>1041</v>
      </c>
      <c r="C473" s="133" t="s">
        <v>308</v>
      </c>
      <c r="D473" s="134" t="s">
        <v>239</v>
      </c>
    </row>
    <row r="474" spans="1:4" x14ac:dyDescent="0.2">
      <c r="A474" s="131">
        <v>290</v>
      </c>
      <c r="B474" s="132">
        <v>1050</v>
      </c>
      <c r="C474" s="133" t="s">
        <v>308</v>
      </c>
      <c r="D474" s="134" t="s">
        <v>239</v>
      </c>
    </row>
    <row r="475" spans="1:4" x14ac:dyDescent="0.2">
      <c r="A475" s="131">
        <v>291</v>
      </c>
      <c r="B475" s="132">
        <v>1051</v>
      </c>
      <c r="C475" s="133" t="s">
        <v>308</v>
      </c>
      <c r="D475" s="134" t="s">
        <v>239</v>
      </c>
    </row>
    <row r="476" spans="1:4" x14ac:dyDescent="0.2">
      <c r="A476" s="131">
        <v>292</v>
      </c>
      <c r="B476" s="132">
        <v>1052</v>
      </c>
      <c r="C476" s="133" t="s">
        <v>308</v>
      </c>
      <c r="D476" s="134" t="s">
        <v>239</v>
      </c>
    </row>
    <row r="477" spans="1:4" x14ac:dyDescent="0.2">
      <c r="A477" s="131">
        <v>297</v>
      </c>
      <c r="B477" s="132">
        <v>1367</v>
      </c>
      <c r="C477" s="133" t="s">
        <v>308</v>
      </c>
      <c r="D477" s="134" t="s">
        <v>239</v>
      </c>
    </row>
    <row r="478" spans="1:4" x14ac:dyDescent="0.2">
      <c r="A478" s="131">
        <v>298</v>
      </c>
      <c r="B478" s="132">
        <v>1368</v>
      </c>
      <c r="C478" s="133" t="s">
        <v>308</v>
      </c>
      <c r="D478" s="134" t="s">
        <v>239</v>
      </c>
    </row>
    <row r="479" spans="1:4" x14ac:dyDescent="0.2">
      <c r="A479" s="131">
        <v>299</v>
      </c>
      <c r="B479" s="132">
        <v>1053</v>
      </c>
      <c r="C479" s="133" t="s">
        <v>308</v>
      </c>
      <c r="D479" s="134" t="s">
        <v>239</v>
      </c>
    </row>
    <row r="480" spans="1:4" x14ac:dyDescent="0.2">
      <c r="A480" s="131">
        <v>300</v>
      </c>
      <c r="B480" s="132">
        <v>1080</v>
      </c>
      <c r="C480" s="133" t="s">
        <v>309</v>
      </c>
      <c r="D480" s="134">
        <v>1</v>
      </c>
    </row>
    <row r="481" spans="1:4" x14ac:dyDescent="0.2">
      <c r="A481" s="131">
        <v>300</v>
      </c>
      <c r="B481" s="132">
        <v>1081</v>
      </c>
      <c r="C481" s="133" t="s">
        <v>309</v>
      </c>
      <c r="D481" s="134">
        <v>1</v>
      </c>
    </row>
    <row r="482" spans="1:4" x14ac:dyDescent="0.2">
      <c r="A482" s="131">
        <v>301</v>
      </c>
      <c r="B482" s="132">
        <v>1095</v>
      </c>
      <c r="C482" s="133" t="s">
        <v>310</v>
      </c>
      <c r="D482" s="134">
        <v>1</v>
      </c>
    </row>
    <row r="483" spans="1:4" x14ac:dyDescent="0.2">
      <c r="A483" s="131">
        <v>301</v>
      </c>
      <c r="B483" s="132">
        <v>1096</v>
      </c>
      <c r="C483" s="133" t="s">
        <v>310</v>
      </c>
      <c r="D483" s="134">
        <v>1</v>
      </c>
    </row>
    <row r="484" spans="1:4" x14ac:dyDescent="0.2">
      <c r="A484" s="131">
        <v>302</v>
      </c>
      <c r="B484" s="132">
        <v>1101</v>
      </c>
      <c r="C484" s="133" t="s">
        <v>311</v>
      </c>
      <c r="D484" s="134">
        <v>1</v>
      </c>
    </row>
    <row r="485" spans="1:4" x14ac:dyDescent="0.2">
      <c r="A485" s="131">
        <v>302</v>
      </c>
      <c r="B485" s="132">
        <v>1102</v>
      </c>
      <c r="C485" s="133" t="s">
        <v>311</v>
      </c>
      <c r="D485" s="134">
        <v>1</v>
      </c>
    </row>
    <row r="486" spans="1:4" x14ac:dyDescent="0.2">
      <c r="A486" s="131">
        <v>303</v>
      </c>
      <c r="B486" s="132">
        <v>1054</v>
      </c>
      <c r="C486" s="133" t="s">
        <v>308</v>
      </c>
      <c r="D486" s="134" t="s">
        <v>239</v>
      </c>
    </row>
    <row r="487" spans="1:4" x14ac:dyDescent="0.2">
      <c r="A487" s="131">
        <v>304</v>
      </c>
      <c r="B487" s="132">
        <v>1083</v>
      </c>
      <c r="C487" s="133" t="s">
        <v>308</v>
      </c>
      <c r="D487" s="134" t="s">
        <v>239</v>
      </c>
    </row>
    <row r="488" spans="1:4" x14ac:dyDescent="0.2">
      <c r="A488" s="131">
        <v>305</v>
      </c>
      <c r="B488" s="132">
        <v>1084</v>
      </c>
      <c r="C488" s="133" t="s">
        <v>312</v>
      </c>
      <c r="D488" s="134">
        <v>1</v>
      </c>
    </row>
    <row r="489" spans="1:4" x14ac:dyDescent="0.2">
      <c r="A489" s="131">
        <v>305</v>
      </c>
      <c r="B489" s="132">
        <v>1085</v>
      </c>
      <c r="C489" s="133" t="s">
        <v>312</v>
      </c>
      <c r="D489" s="134">
        <v>2</v>
      </c>
    </row>
    <row r="490" spans="1:4" x14ac:dyDescent="0.2">
      <c r="A490" s="131">
        <v>306</v>
      </c>
      <c r="B490" s="132">
        <v>1086</v>
      </c>
      <c r="C490" s="133" t="s">
        <v>312</v>
      </c>
      <c r="D490" s="134">
        <v>1</v>
      </c>
    </row>
    <row r="491" spans="1:4" x14ac:dyDescent="0.2">
      <c r="A491" s="131">
        <v>306</v>
      </c>
      <c r="B491" s="132">
        <v>1087</v>
      </c>
      <c r="C491" s="133" t="s">
        <v>312</v>
      </c>
      <c r="D491" s="134">
        <v>2</v>
      </c>
    </row>
    <row r="492" spans="1:4" x14ac:dyDescent="0.2">
      <c r="A492" s="131">
        <v>307</v>
      </c>
      <c r="B492" s="132">
        <v>1091</v>
      </c>
      <c r="C492" s="133" t="s">
        <v>312</v>
      </c>
      <c r="D492" s="134">
        <v>1</v>
      </c>
    </row>
    <row r="493" spans="1:4" x14ac:dyDescent="0.2">
      <c r="A493" s="131">
        <v>307</v>
      </c>
      <c r="B493" s="132">
        <v>1092</v>
      </c>
      <c r="C493" s="133" t="s">
        <v>312</v>
      </c>
      <c r="D493" s="134">
        <v>2</v>
      </c>
    </row>
    <row r="494" spans="1:4" x14ac:dyDescent="0.2">
      <c r="A494" s="131">
        <v>308</v>
      </c>
      <c r="B494" s="132">
        <v>1093</v>
      </c>
      <c r="C494" s="133" t="s">
        <v>312</v>
      </c>
      <c r="D494" s="134">
        <v>1</v>
      </c>
    </row>
    <row r="495" spans="1:4" x14ac:dyDescent="0.2">
      <c r="A495" s="131">
        <v>308</v>
      </c>
      <c r="B495" s="132">
        <v>1094</v>
      </c>
      <c r="C495" s="133" t="s">
        <v>312</v>
      </c>
      <c r="D495" s="134">
        <v>2</v>
      </c>
    </row>
    <row r="496" spans="1:4" x14ac:dyDescent="0.2">
      <c r="A496" s="131">
        <v>309</v>
      </c>
      <c r="B496" s="132">
        <v>1098</v>
      </c>
      <c r="C496" s="133" t="s">
        <v>313</v>
      </c>
      <c r="D496" s="134">
        <v>1</v>
      </c>
    </row>
    <row r="497" spans="1:4" x14ac:dyDescent="0.2">
      <c r="A497" s="131">
        <v>309</v>
      </c>
      <c r="B497" s="132">
        <v>1099</v>
      </c>
      <c r="C497" s="133" t="s">
        <v>313</v>
      </c>
      <c r="D497" s="134">
        <v>1</v>
      </c>
    </row>
    <row r="498" spans="1:4" x14ac:dyDescent="0.2">
      <c r="A498" s="131">
        <v>310</v>
      </c>
      <c r="B498" s="132">
        <v>1155</v>
      </c>
      <c r="C498" s="133" t="s">
        <v>314</v>
      </c>
      <c r="D498" s="134">
        <v>2</v>
      </c>
    </row>
    <row r="499" spans="1:4" x14ac:dyDescent="0.2">
      <c r="A499" s="131">
        <v>310</v>
      </c>
      <c r="B499" s="132">
        <v>1156</v>
      </c>
      <c r="C499" s="133" t="s">
        <v>314</v>
      </c>
      <c r="D499" s="134">
        <v>1</v>
      </c>
    </row>
    <row r="500" spans="1:4" x14ac:dyDescent="0.2">
      <c r="A500" s="131">
        <v>312</v>
      </c>
      <c r="B500" s="132">
        <v>1154</v>
      </c>
      <c r="C500" s="133" t="s">
        <v>315</v>
      </c>
      <c r="D500" s="134">
        <v>2</v>
      </c>
    </row>
    <row r="501" spans="1:4" x14ac:dyDescent="0.2">
      <c r="A501" s="131">
        <v>313</v>
      </c>
      <c r="B501" s="132">
        <v>1006</v>
      </c>
      <c r="C501" s="133" t="s">
        <v>316</v>
      </c>
      <c r="D501" s="134" t="s">
        <v>239</v>
      </c>
    </row>
    <row r="502" spans="1:4" x14ac:dyDescent="0.2">
      <c r="A502" s="131">
        <v>314</v>
      </c>
      <c r="B502" s="132">
        <v>104</v>
      </c>
      <c r="C502" s="133" t="s">
        <v>317</v>
      </c>
      <c r="D502" s="134" t="s">
        <v>476</v>
      </c>
    </row>
    <row r="503" spans="1:4" x14ac:dyDescent="0.2">
      <c r="A503" s="131">
        <v>315</v>
      </c>
      <c r="B503" s="132">
        <v>178</v>
      </c>
      <c r="C503" s="133" t="s">
        <v>318</v>
      </c>
      <c r="D503" s="134" t="s">
        <v>476</v>
      </c>
    </row>
    <row r="504" spans="1:4" x14ac:dyDescent="0.2">
      <c r="A504" s="131">
        <v>315</v>
      </c>
      <c r="B504" s="132">
        <v>227</v>
      </c>
      <c r="C504" s="133" t="s">
        <v>318</v>
      </c>
      <c r="D504" s="134" t="s">
        <v>476</v>
      </c>
    </row>
    <row r="505" spans="1:4" x14ac:dyDescent="0.2">
      <c r="A505" s="131">
        <v>316</v>
      </c>
      <c r="B505" s="132">
        <v>53</v>
      </c>
      <c r="C505" s="133" t="s">
        <v>319</v>
      </c>
      <c r="D505" s="134">
        <v>2</v>
      </c>
    </row>
    <row r="506" spans="1:4" x14ac:dyDescent="0.2">
      <c r="A506" s="131">
        <v>316</v>
      </c>
      <c r="B506" s="132">
        <v>198</v>
      </c>
      <c r="C506" s="133" t="s">
        <v>319</v>
      </c>
      <c r="D506" s="134">
        <v>1</v>
      </c>
    </row>
    <row r="507" spans="1:4" x14ac:dyDescent="0.2">
      <c r="A507" s="131">
        <v>317</v>
      </c>
      <c r="B507" s="132">
        <v>70</v>
      </c>
      <c r="C507" s="133" t="s">
        <v>319</v>
      </c>
      <c r="D507" s="134" t="s">
        <v>481</v>
      </c>
    </row>
    <row r="508" spans="1:4" x14ac:dyDescent="0.2">
      <c r="A508" s="131">
        <v>317</v>
      </c>
      <c r="B508" s="132">
        <v>183</v>
      </c>
      <c r="C508" s="133" t="s">
        <v>319</v>
      </c>
      <c r="D508" s="134" t="s">
        <v>482</v>
      </c>
    </row>
    <row r="509" spans="1:4" x14ac:dyDescent="0.2">
      <c r="A509" s="131">
        <v>318</v>
      </c>
      <c r="B509" s="132">
        <v>74</v>
      </c>
      <c r="C509" s="133" t="s">
        <v>319</v>
      </c>
      <c r="D509" s="134">
        <v>1</v>
      </c>
    </row>
    <row r="510" spans="1:4" x14ac:dyDescent="0.2">
      <c r="A510" s="131">
        <v>318</v>
      </c>
      <c r="B510" s="132">
        <v>180</v>
      </c>
      <c r="C510" s="133" t="s">
        <v>319</v>
      </c>
      <c r="D510" s="134">
        <v>1</v>
      </c>
    </row>
    <row r="511" spans="1:4" x14ac:dyDescent="0.2">
      <c r="A511" s="131">
        <v>319</v>
      </c>
      <c r="B511" s="132">
        <v>71</v>
      </c>
      <c r="C511" s="133" t="s">
        <v>320</v>
      </c>
      <c r="D511" s="134" t="s">
        <v>485</v>
      </c>
    </row>
    <row r="512" spans="1:4" x14ac:dyDescent="0.2">
      <c r="A512" s="131">
        <v>319</v>
      </c>
      <c r="B512" s="132">
        <v>183</v>
      </c>
      <c r="C512" s="133" t="s">
        <v>320</v>
      </c>
      <c r="D512" s="134" t="s">
        <v>483</v>
      </c>
    </row>
    <row r="513" spans="1:4" x14ac:dyDescent="0.2">
      <c r="A513" s="131">
        <v>320</v>
      </c>
      <c r="B513" s="132">
        <v>72</v>
      </c>
      <c r="C513" s="133" t="s">
        <v>319</v>
      </c>
      <c r="D513" s="134">
        <v>2</v>
      </c>
    </row>
    <row r="514" spans="1:4" x14ac:dyDescent="0.2">
      <c r="A514" s="131">
        <v>320</v>
      </c>
      <c r="B514" s="132">
        <v>184</v>
      </c>
      <c r="C514" s="133" t="s">
        <v>319</v>
      </c>
      <c r="D514" s="134">
        <v>1</v>
      </c>
    </row>
    <row r="515" spans="1:4" x14ac:dyDescent="0.2">
      <c r="A515" s="131">
        <v>321</v>
      </c>
      <c r="B515" s="132">
        <v>1004</v>
      </c>
      <c r="C515" s="133" t="s">
        <v>319</v>
      </c>
      <c r="D515" s="134">
        <v>1</v>
      </c>
    </row>
    <row r="516" spans="1:4" x14ac:dyDescent="0.2">
      <c r="A516" s="131">
        <v>321</v>
      </c>
      <c r="B516" s="132">
        <v>1005</v>
      </c>
      <c r="C516" s="133" t="s">
        <v>319</v>
      </c>
      <c r="D516" s="134">
        <v>1</v>
      </c>
    </row>
    <row r="517" spans="1:4" x14ac:dyDescent="0.2">
      <c r="A517" s="131">
        <v>322</v>
      </c>
      <c r="B517" s="132">
        <v>1073</v>
      </c>
      <c r="C517" s="133" t="s">
        <v>319</v>
      </c>
      <c r="D517" s="134">
        <v>1</v>
      </c>
    </row>
    <row r="518" spans="1:4" x14ac:dyDescent="0.2">
      <c r="A518" s="131">
        <v>322</v>
      </c>
      <c r="B518" s="132">
        <v>1074</v>
      </c>
      <c r="C518" s="133" t="s">
        <v>319</v>
      </c>
      <c r="D518" s="134">
        <v>1</v>
      </c>
    </row>
    <row r="519" spans="1:4" x14ac:dyDescent="0.2">
      <c r="A519" s="131">
        <v>323</v>
      </c>
      <c r="B519" s="132">
        <v>1284</v>
      </c>
      <c r="C519" s="133" t="s">
        <v>319</v>
      </c>
      <c r="D519" s="134">
        <v>1</v>
      </c>
    </row>
    <row r="520" spans="1:4" x14ac:dyDescent="0.2">
      <c r="A520" s="131">
        <v>323</v>
      </c>
      <c r="B520" s="132">
        <v>1285</v>
      </c>
      <c r="C520" s="133" t="s">
        <v>319</v>
      </c>
      <c r="D520" s="134" t="s">
        <v>484</v>
      </c>
    </row>
    <row r="521" spans="1:4" x14ac:dyDescent="0.2">
      <c r="A521" s="131">
        <v>324</v>
      </c>
      <c r="B521" s="132">
        <v>1007</v>
      </c>
      <c r="C521" s="133" t="s">
        <v>321</v>
      </c>
      <c r="D521" s="134">
        <v>1</v>
      </c>
    </row>
    <row r="522" spans="1:4" x14ac:dyDescent="0.2">
      <c r="A522" s="131">
        <v>325</v>
      </c>
      <c r="B522" s="132">
        <v>183</v>
      </c>
      <c r="C522" s="133" t="s">
        <v>322</v>
      </c>
      <c r="D522" s="134">
        <v>1</v>
      </c>
    </row>
    <row r="523" spans="1:4" x14ac:dyDescent="0.2">
      <c r="A523" s="131">
        <v>325</v>
      </c>
      <c r="B523" s="132">
        <v>186</v>
      </c>
      <c r="C523" s="133" t="s">
        <v>322</v>
      </c>
      <c r="D523" s="134">
        <v>1</v>
      </c>
    </row>
    <row r="524" spans="1:4" x14ac:dyDescent="0.2">
      <c r="A524" s="131">
        <v>325</v>
      </c>
      <c r="B524" s="132">
        <v>206</v>
      </c>
      <c r="C524" s="133" t="s">
        <v>322</v>
      </c>
      <c r="D524" s="134">
        <v>2</v>
      </c>
    </row>
    <row r="525" spans="1:4" x14ac:dyDescent="0.2">
      <c r="A525" s="131">
        <v>326</v>
      </c>
      <c r="B525" s="132">
        <v>184</v>
      </c>
      <c r="C525" s="133" t="s">
        <v>322</v>
      </c>
      <c r="D525" s="134">
        <v>1</v>
      </c>
    </row>
    <row r="526" spans="1:4" x14ac:dyDescent="0.2">
      <c r="A526" s="131">
        <v>326</v>
      </c>
      <c r="B526" s="132">
        <v>187</v>
      </c>
      <c r="C526" s="133" t="s">
        <v>322</v>
      </c>
      <c r="D526" s="134" t="s">
        <v>481</v>
      </c>
    </row>
    <row r="527" spans="1:4" x14ac:dyDescent="0.2">
      <c r="A527" s="131">
        <v>326</v>
      </c>
      <c r="B527" s="132">
        <v>210</v>
      </c>
      <c r="C527" s="133" t="s">
        <v>322</v>
      </c>
      <c r="D527" s="134" t="s">
        <v>481</v>
      </c>
    </row>
    <row r="528" spans="1:4" x14ac:dyDescent="0.2">
      <c r="A528" s="131">
        <v>327</v>
      </c>
      <c r="B528" s="132">
        <v>135</v>
      </c>
      <c r="C528" s="133" t="s">
        <v>322</v>
      </c>
      <c r="D528" s="134">
        <v>1</v>
      </c>
    </row>
    <row r="529" spans="1:4" x14ac:dyDescent="0.2">
      <c r="A529" s="131">
        <v>327</v>
      </c>
      <c r="B529" s="132">
        <v>198</v>
      </c>
      <c r="C529" s="133" t="s">
        <v>322</v>
      </c>
      <c r="D529" s="134">
        <v>1</v>
      </c>
    </row>
    <row r="530" spans="1:4" x14ac:dyDescent="0.2">
      <c r="A530" s="131">
        <v>327</v>
      </c>
      <c r="B530" s="132">
        <v>222</v>
      </c>
      <c r="C530" s="133" t="s">
        <v>322</v>
      </c>
      <c r="D530" s="134">
        <v>2</v>
      </c>
    </row>
    <row r="531" spans="1:4" x14ac:dyDescent="0.2">
      <c r="A531" s="131">
        <v>328</v>
      </c>
      <c r="B531" s="132">
        <v>1022</v>
      </c>
      <c r="C531" s="133" t="s">
        <v>322</v>
      </c>
      <c r="D531" s="134">
        <v>1</v>
      </c>
    </row>
    <row r="532" spans="1:4" x14ac:dyDescent="0.2">
      <c r="A532" s="131">
        <v>328</v>
      </c>
      <c r="B532" s="132">
        <v>1023</v>
      </c>
      <c r="C532" s="133" t="s">
        <v>322</v>
      </c>
      <c r="D532" s="134">
        <v>2</v>
      </c>
    </row>
    <row r="533" spans="1:4" x14ac:dyDescent="0.2">
      <c r="A533" s="131">
        <v>328</v>
      </c>
      <c r="B533" s="132">
        <v>1024</v>
      </c>
      <c r="C533" s="133" t="s">
        <v>322</v>
      </c>
      <c r="D533" s="134">
        <v>1</v>
      </c>
    </row>
    <row r="534" spans="1:4" x14ac:dyDescent="0.2">
      <c r="A534" s="131">
        <v>329</v>
      </c>
      <c r="B534" s="132">
        <v>1027</v>
      </c>
      <c r="C534" s="133" t="s">
        <v>322</v>
      </c>
      <c r="D534" s="134">
        <v>1</v>
      </c>
    </row>
    <row r="535" spans="1:4" x14ac:dyDescent="0.2">
      <c r="A535" s="131">
        <v>329</v>
      </c>
      <c r="B535" s="132">
        <v>1028</v>
      </c>
      <c r="C535" s="133" t="s">
        <v>322</v>
      </c>
      <c r="D535" s="134">
        <v>2</v>
      </c>
    </row>
    <row r="536" spans="1:4" x14ac:dyDescent="0.2">
      <c r="A536" s="131">
        <v>329</v>
      </c>
      <c r="B536" s="132">
        <v>1029</v>
      </c>
      <c r="C536" s="133" t="s">
        <v>322</v>
      </c>
      <c r="D536" s="134">
        <v>1</v>
      </c>
    </row>
    <row r="537" spans="1:4" x14ac:dyDescent="0.2">
      <c r="A537" s="131">
        <v>330</v>
      </c>
      <c r="B537" s="132">
        <v>1075</v>
      </c>
      <c r="C537" s="133" t="s">
        <v>322</v>
      </c>
      <c r="D537" s="134">
        <v>2</v>
      </c>
    </row>
    <row r="538" spans="1:4" x14ac:dyDescent="0.2">
      <c r="A538" s="131">
        <v>330</v>
      </c>
      <c r="B538" s="132">
        <v>1076</v>
      </c>
      <c r="C538" s="133" t="s">
        <v>322</v>
      </c>
      <c r="D538" s="134">
        <v>1</v>
      </c>
    </row>
    <row r="539" spans="1:4" x14ac:dyDescent="0.2">
      <c r="A539" s="131">
        <v>330</v>
      </c>
      <c r="B539" s="132">
        <v>1077</v>
      </c>
      <c r="C539" s="133" t="s">
        <v>322</v>
      </c>
      <c r="D539" s="134">
        <v>2</v>
      </c>
    </row>
    <row r="540" spans="1:4" x14ac:dyDescent="0.2">
      <c r="A540" s="131">
        <v>331</v>
      </c>
      <c r="B540" s="132">
        <v>1167</v>
      </c>
      <c r="C540" s="133" t="s">
        <v>322</v>
      </c>
      <c r="D540" s="134">
        <v>1</v>
      </c>
    </row>
    <row r="541" spans="1:4" x14ac:dyDescent="0.2">
      <c r="A541" s="131">
        <v>331</v>
      </c>
      <c r="B541" s="132">
        <v>1168</v>
      </c>
      <c r="C541" s="133" t="s">
        <v>322</v>
      </c>
      <c r="D541" s="134">
        <v>1</v>
      </c>
    </row>
    <row r="542" spans="1:4" x14ac:dyDescent="0.2">
      <c r="A542" s="131">
        <v>331</v>
      </c>
      <c r="B542" s="132">
        <v>1169</v>
      </c>
      <c r="C542" s="133" t="s">
        <v>322</v>
      </c>
      <c r="D542" s="134">
        <v>2</v>
      </c>
    </row>
    <row r="543" spans="1:4" x14ac:dyDescent="0.2">
      <c r="A543" s="131">
        <v>332</v>
      </c>
      <c r="B543" s="132">
        <v>1235</v>
      </c>
      <c r="C543" s="133" t="s">
        <v>322</v>
      </c>
      <c r="D543" s="134" t="s">
        <v>476</v>
      </c>
    </row>
    <row r="544" spans="1:4" x14ac:dyDescent="0.2">
      <c r="A544" s="131">
        <v>332</v>
      </c>
      <c r="B544" s="132">
        <v>1236</v>
      </c>
      <c r="C544" s="133" t="s">
        <v>322</v>
      </c>
      <c r="D544" s="134" t="s">
        <v>476</v>
      </c>
    </row>
    <row r="545" spans="1:4" x14ac:dyDescent="0.2">
      <c r="A545" s="131">
        <v>332</v>
      </c>
      <c r="B545" s="132">
        <v>1237</v>
      </c>
      <c r="C545" s="133" t="s">
        <v>322</v>
      </c>
      <c r="D545" s="134" t="s">
        <v>476</v>
      </c>
    </row>
    <row r="546" spans="1:4" x14ac:dyDescent="0.2">
      <c r="A546" s="131">
        <v>334</v>
      </c>
      <c r="B546" s="132">
        <v>1131</v>
      </c>
      <c r="C546" s="133" t="s">
        <v>323</v>
      </c>
      <c r="D546" s="134">
        <v>1</v>
      </c>
    </row>
    <row r="547" spans="1:4" x14ac:dyDescent="0.2">
      <c r="A547" s="131">
        <v>334</v>
      </c>
      <c r="B547" s="132">
        <v>1132</v>
      </c>
      <c r="C547" s="133" t="s">
        <v>323</v>
      </c>
      <c r="D547" s="134">
        <v>1</v>
      </c>
    </row>
    <row r="548" spans="1:4" x14ac:dyDescent="0.2">
      <c r="A548" s="131">
        <v>334</v>
      </c>
      <c r="B548" s="132">
        <v>1133</v>
      </c>
      <c r="C548" s="133" t="s">
        <v>323</v>
      </c>
      <c r="D548" s="134">
        <v>2</v>
      </c>
    </row>
    <row r="549" spans="1:4" x14ac:dyDescent="0.2">
      <c r="A549" s="131">
        <v>335</v>
      </c>
      <c r="B549" s="132">
        <v>18</v>
      </c>
      <c r="C549" s="133" t="s">
        <v>324</v>
      </c>
      <c r="D549" s="134">
        <v>1</v>
      </c>
    </row>
    <row r="550" spans="1:4" x14ac:dyDescent="0.2">
      <c r="A550" s="131">
        <v>336</v>
      </c>
      <c r="B550" s="132">
        <v>20</v>
      </c>
      <c r="C550" s="133" t="s">
        <v>325</v>
      </c>
      <c r="D550" s="134" t="s">
        <v>239</v>
      </c>
    </row>
    <row r="551" spans="1:4" x14ac:dyDescent="0.2">
      <c r="A551" s="131">
        <v>337</v>
      </c>
      <c r="B551" s="132">
        <v>82</v>
      </c>
      <c r="C551" s="133" t="s">
        <v>325</v>
      </c>
      <c r="D551" s="134" t="s">
        <v>239</v>
      </c>
    </row>
    <row r="552" spans="1:4" x14ac:dyDescent="0.2">
      <c r="A552" s="131">
        <v>338</v>
      </c>
      <c r="B552" s="132">
        <v>1365</v>
      </c>
      <c r="C552" s="133" t="s">
        <v>326</v>
      </c>
      <c r="D552" s="134">
        <v>2</v>
      </c>
    </row>
    <row r="553" spans="1:4" x14ac:dyDescent="0.2">
      <c r="A553" s="131">
        <v>338</v>
      </c>
      <c r="B553" s="132">
        <v>1366</v>
      </c>
      <c r="C553" s="133" t="s">
        <v>326</v>
      </c>
      <c r="D553" s="134">
        <v>1</v>
      </c>
    </row>
    <row r="554" spans="1:4" x14ac:dyDescent="0.2">
      <c r="A554" s="131">
        <v>339</v>
      </c>
      <c r="B554" s="132">
        <v>1025</v>
      </c>
      <c r="C554" s="133" t="s">
        <v>327</v>
      </c>
      <c r="D554" s="134" t="s">
        <v>239</v>
      </c>
    </row>
    <row r="555" spans="1:4" x14ac:dyDescent="0.2">
      <c r="A555" s="131">
        <v>340</v>
      </c>
      <c r="B555" s="132">
        <v>1030</v>
      </c>
      <c r="C555" s="133" t="s">
        <v>327</v>
      </c>
      <c r="D555" s="134" t="s">
        <v>239</v>
      </c>
    </row>
    <row r="556" spans="1:4" x14ac:dyDescent="0.2">
      <c r="A556" s="131">
        <v>341</v>
      </c>
      <c r="B556" s="132">
        <v>1032</v>
      </c>
      <c r="C556" s="133" t="s">
        <v>327</v>
      </c>
      <c r="D556" s="134" t="s">
        <v>239</v>
      </c>
    </row>
    <row r="557" spans="1:4" x14ac:dyDescent="0.2">
      <c r="A557" s="131">
        <v>342</v>
      </c>
      <c r="B557" s="132">
        <v>1123</v>
      </c>
      <c r="C557" s="133" t="s">
        <v>328</v>
      </c>
      <c r="D557" s="134">
        <v>2</v>
      </c>
    </row>
    <row r="558" spans="1:4" x14ac:dyDescent="0.2">
      <c r="A558" s="131">
        <v>343</v>
      </c>
      <c r="B558" s="132">
        <v>1134</v>
      </c>
      <c r="C558" s="133" t="s">
        <v>329</v>
      </c>
      <c r="D558" s="134">
        <v>2</v>
      </c>
    </row>
    <row r="559" spans="1:4" x14ac:dyDescent="0.2">
      <c r="A559" s="131">
        <v>344</v>
      </c>
      <c r="B559" s="132">
        <v>1135</v>
      </c>
      <c r="C559" s="133" t="s">
        <v>330</v>
      </c>
      <c r="D559" s="134">
        <v>1</v>
      </c>
    </row>
    <row r="560" spans="1:4" x14ac:dyDescent="0.2">
      <c r="A560" s="131">
        <v>344</v>
      </c>
      <c r="B560" s="132">
        <v>1136</v>
      </c>
      <c r="C560" s="133" t="s">
        <v>330</v>
      </c>
      <c r="D560" s="134" t="s">
        <v>239</v>
      </c>
    </row>
    <row r="561" spans="1:4" x14ac:dyDescent="0.2">
      <c r="A561" s="131">
        <v>344</v>
      </c>
      <c r="B561" s="132">
        <v>1137</v>
      </c>
      <c r="C561" s="133" t="s">
        <v>330</v>
      </c>
      <c r="D561" s="134">
        <v>2</v>
      </c>
    </row>
    <row r="562" spans="1:4" x14ac:dyDescent="0.2">
      <c r="A562" s="131">
        <v>345</v>
      </c>
      <c r="B562" s="132">
        <v>1138</v>
      </c>
      <c r="C562" s="133" t="s">
        <v>331</v>
      </c>
      <c r="D562" s="134">
        <v>2</v>
      </c>
    </row>
    <row r="563" spans="1:4" x14ac:dyDescent="0.2">
      <c r="A563" s="131">
        <v>346</v>
      </c>
      <c r="B563" s="132">
        <v>1130</v>
      </c>
      <c r="C563" s="133" t="s">
        <v>332</v>
      </c>
      <c r="D563" s="134" t="s">
        <v>478</v>
      </c>
    </row>
    <row r="564" spans="1:4" x14ac:dyDescent="0.2">
      <c r="A564" s="131">
        <v>347</v>
      </c>
      <c r="B564" s="132">
        <v>48</v>
      </c>
      <c r="C564" s="133" t="s">
        <v>333</v>
      </c>
      <c r="D564" s="134" t="s">
        <v>239</v>
      </c>
    </row>
    <row r="565" spans="1:4" x14ac:dyDescent="0.2">
      <c r="A565" s="131">
        <v>348</v>
      </c>
      <c r="B565" s="132">
        <v>49</v>
      </c>
      <c r="C565" s="133" t="s">
        <v>333</v>
      </c>
      <c r="D565" s="134" t="s">
        <v>239</v>
      </c>
    </row>
    <row r="566" spans="1:4" x14ac:dyDescent="0.2">
      <c r="A566" s="131">
        <v>349</v>
      </c>
      <c r="B566" s="132">
        <v>50</v>
      </c>
      <c r="C566" s="133" t="s">
        <v>277</v>
      </c>
      <c r="D566" s="134">
        <v>1</v>
      </c>
    </row>
    <row r="567" spans="1:4" x14ac:dyDescent="0.2">
      <c r="A567" s="131">
        <v>349</v>
      </c>
      <c r="B567" s="132">
        <v>222</v>
      </c>
      <c r="C567" s="133" t="s">
        <v>277</v>
      </c>
      <c r="D567" s="134">
        <v>2</v>
      </c>
    </row>
    <row r="568" spans="1:4" x14ac:dyDescent="0.2">
      <c r="A568" s="131">
        <v>350</v>
      </c>
      <c r="B568" s="132">
        <v>1047</v>
      </c>
      <c r="C568" s="133" t="s">
        <v>334</v>
      </c>
      <c r="D568" s="134" t="s">
        <v>239</v>
      </c>
    </row>
    <row r="569" spans="1:4" x14ac:dyDescent="0.2">
      <c r="A569" s="131">
        <v>351</v>
      </c>
      <c r="B569" s="132">
        <v>1082</v>
      </c>
      <c r="C569" s="133" t="s">
        <v>335</v>
      </c>
      <c r="D569" s="134">
        <v>1</v>
      </c>
    </row>
    <row r="570" spans="1:4" x14ac:dyDescent="0.2">
      <c r="A570" s="131">
        <v>352</v>
      </c>
      <c r="B570" s="132">
        <v>1097</v>
      </c>
      <c r="C570" s="133" t="s">
        <v>336</v>
      </c>
      <c r="D570" s="134">
        <v>1</v>
      </c>
    </row>
    <row r="571" spans="1:4" x14ac:dyDescent="0.2">
      <c r="A571" s="131">
        <v>353</v>
      </c>
      <c r="B571" s="132">
        <v>1103</v>
      </c>
      <c r="C571" s="133" t="s">
        <v>337</v>
      </c>
      <c r="D571" s="134">
        <v>1</v>
      </c>
    </row>
    <row r="572" spans="1:4" x14ac:dyDescent="0.2">
      <c r="A572" s="131">
        <v>354</v>
      </c>
      <c r="B572" s="132">
        <v>64</v>
      </c>
      <c r="C572" s="133" t="s">
        <v>253</v>
      </c>
      <c r="D572" s="134" t="s">
        <v>476</v>
      </c>
    </row>
    <row r="573" spans="1:4" x14ac:dyDescent="0.2">
      <c r="A573" s="131">
        <v>355</v>
      </c>
      <c r="B573" s="132">
        <v>1392</v>
      </c>
      <c r="C573" s="133" t="s">
        <v>338</v>
      </c>
      <c r="D573" s="134">
        <v>1</v>
      </c>
    </row>
    <row r="574" spans="1:4" x14ac:dyDescent="0.2">
      <c r="A574" s="131">
        <v>355</v>
      </c>
      <c r="B574" s="132">
        <v>1393</v>
      </c>
      <c r="C574" s="133" t="s">
        <v>338</v>
      </c>
      <c r="D574" s="134">
        <v>1</v>
      </c>
    </row>
    <row r="575" spans="1:4" x14ac:dyDescent="0.2">
      <c r="A575" s="131">
        <v>357</v>
      </c>
      <c r="B575" s="132">
        <v>1200</v>
      </c>
      <c r="C575" s="133" t="s">
        <v>339</v>
      </c>
      <c r="D575" s="134" t="s">
        <v>476</v>
      </c>
    </row>
    <row r="576" spans="1:4" x14ac:dyDescent="0.2">
      <c r="A576" s="131">
        <v>357</v>
      </c>
      <c r="B576" s="132">
        <v>1201</v>
      </c>
      <c r="C576" s="133" t="s">
        <v>339</v>
      </c>
      <c r="D576" s="134" t="s">
        <v>476</v>
      </c>
    </row>
    <row r="577" spans="1:4" x14ac:dyDescent="0.2">
      <c r="A577" s="131">
        <v>358</v>
      </c>
      <c r="B577" s="132">
        <v>1202</v>
      </c>
      <c r="C577" s="133" t="s">
        <v>339</v>
      </c>
      <c r="D577" s="134" t="s">
        <v>476</v>
      </c>
    </row>
    <row r="578" spans="1:4" x14ac:dyDescent="0.2">
      <c r="A578" s="131">
        <v>358</v>
      </c>
      <c r="B578" s="132">
        <v>1203</v>
      </c>
      <c r="C578" s="133" t="s">
        <v>339</v>
      </c>
      <c r="D578" s="134" t="s">
        <v>476</v>
      </c>
    </row>
    <row r="579" spans="1:4" x14ac:dyDescent="0.2">
      <c r="A579" s="131">
        <v>359</v>
      </c>
      <c r="B579" s="132">
        <v>1204</v>
      </c>
      <c r="C579" s="133" t="s">
        <v>339</v>
      </c>
      <c r="D579" s="134" t="s">
        <v>476</v>
      </c>
    </row>
    <row r="580" spans="1:4" x14ac:dyDescent="0.2">
      <c r="A580" s="131">
        <v>359</v>
      </c>
      <c r="B580" s="132">
        <v>1205</v>
      </c>
      <c r="C580" s="133" t="s">
        <v>339</v>
      </c>
      <c r="D580" s="134" t="s">
        <v>476</v>
      </c>
    </row>
    <row r="581" spans="1:4" x14ac:dyDescent="0.2">
      <c r="A581" s="131">
        <v>360</v>
      </c>
      <c r="B581" s="132">
        <v>1206</v>
      </c>
      <c r="C581" s="133" t="s">
        <v>339</v>
      </c>
      <c r="D581" s="134" t="s">
        <v>476</v>
      </c>
    </row>
    <row r="582" spans="1:4" x14ac:dyDescent="0.2">
      <c r="A582" s="131">
        <v>360</v>
      </c>
      <c r="B582" s="132">
        <v>1207</v>
      </c>
      <c r="C582" s="133" t="s">
        <v>339</v>
      </c>
      <c r="D582" s="134" t="s">
        <v>476</v>
      </c>
    </row>
    <row r="583" spans="1:4" x14ac:dyDescent="0.2">
      <c r="A583" s="131">
        <v>361</v>
      </c>
      <c r="B583" s="132">
        <v>1208</v>
      </c>
      <c r="C583" s="133" t="s">
        <v>339</v>
      </c>
      <c r="D583" s="134" t="s">
        <v>476</v>
      </c>
    </row>
    <row r="584" spans="1:4" x14ac:dyDescent="0.2">
      <c r="A584" s="131">
        <v>361</v>
      </c>
      <c r="B584" s="132">
        <v>1209</v>
      </c>
      <c r="C584" s="133" t="s">
        <v>339</v>
      </c>
      <c r="D584" s="134" t="s">
        <v>476</v>
      </c>
    </row>
    <row r="585" spans="1:4" x14ac:dyDescent="0.2">
      <c r="A585" s="131">
        <v>362</v>
      </c>
      <c r="B585" s="132">
        <v>1210</v>
      </c>
      <c r="C585" s="133" t="s">
        <v>339</v>
      </c>
      <c r="D585" s="134" t="s">
        <v>476</v>
      </c>
    </row>
    <row r="586" spans="1:4" x14ac:dyDescent="0.2">
      <c r="A586" s="131">
        <v>362</v>
      </c>
      <c r="B586" s="132">
        <v>1211</v>
      </c>
      <c r="C586" s="133" t="s">
        <v>339</v>
      </c>
      <c r="D586" s="134" t="s">
        <v>476</v>
      </c>
    </row>
    <row r="587" spans="1:4" x14ac:dyDescent="0.2">
      <c r="A587" s="131">
        <v>363</v>
      </c>
      <c r="B587" s="132">
        <v>1212</v>
      </c>
      <c r="C587" s="133" t="s">
        <v>339</v>
      </c>
      <c r="D587" s="134" t="s">
        <v>476</v>
      </c>
    </row>
    <row r="588" spans="1:4" x14ac:dyDescent="0.2">
      <c r="A588" s="131">
        <v>363</v>
      </c>
      <c r="B588" s="132">
        <v>1213</v>
      </c>
      <c r="C588" s="133" t="s">
        <v>339</v>
      </c>
      <c r="D588" s="134" t="s">
        <v>476</v>
      </c>
    </row>
    <row r="589" spans="1:4" x14ac:dyDescent="0.2">
      <c r="A589" s="131">
        <v>364</v>
      </c>
      <c r="B589" s="132">
        <v>1214</v>
      </c>
      <c r="C589" s="133" t="s">
        <v>339</v>
      </c>
      <c r="D589" s="134" t="s">
        <v>476</v>
      </c>
    </row>
    <row r="590" spans="1:4" x14ac:dyDescent="0.2">
      <c r="A590" s="131">
        <v>364</v>
      </c>
      <c r="B590" s="132">
        <v>1215</v>
      </c>
      <c r="C590" s="133" t="s">
        <v>339</v>
      </c>
      <c r="D590" s="134" t="s">
        <v>476</v>
      </c>
    </row>
    <row r="591" spans="1:4" x14ac:dyDescent="0.2">
      <c r="A591" s="131">
        <v>365</v>
      </c>
      <c r="B591" s="132">
        <v>1216</v>
      </c>
      <c r="C591" s="133" t="s">
        <v>339</v>
      </c>
      <c r="D591" s="134" t="s">
        <v>476</v>
      </c>
    </row>
    <row r="592" spans="1:4" x14ac:dyDescent="0.2">
      <c r="A592" s="131">
        <v>365</v>
      </c>
      <c r="B592" s="132">
        <v>1217</v>
      </c>
      <c r="C592" s="133" t="s">
        <v>339</v>
      </c>
      <c r="D592" s="134" t="s">
        <v>476</v>
      </c>
    </row>
    <row r="593" spans="1:4" x14ac:dyDescent="0.2">
      <c r="A593" s="131">
        <v>366</v>
      </c>
      <c r="B593" s="132">
        <v>1218</v>
      </c>
      <c r="C593" s="133" t="s">
        <v>339</v>
      </c>
      <c r="D593" s="134" t="s">
        <v>476</v>
      </c>
    </row>
    <row r="594" spans="1:4" x14ac:dyDescent="0.2">
      <c r="A594" s="131">
        <v>366</v>
      </c>
      <c r="B594" s="132">
        <v>1219</v>
      </c>
      <c r="C594" s="133" t="s">
        <v>339</v>
      </c>
      <c r="D594" s="134" t="s">
        <v>476</v>
      </c>
    </row>
    <row r="595" spans="1:4" x14ac:dyDescent="0.2">
      <c r="A595" s="131">
        <v>367</v>
      </c>
      <c r="B595" s="132">
        <v>1220</v>
      </c>
      <c r="C595" s="133" t="s">
        <v>339</v>
      </c>
      <c r="D595" s="134" t="s">
        <v>476</v>
      </c>
    </row>
    <row r="596" spans="1:4" x14ac:dyDescent="0.2">
      <c r="A596" s="131">
        <v>367</v>
      </c>
      <c r="B596" s="132">
        <v>1221</v>
      </c>
      <c r="C596" s="133" t="s">
        <v>339</v>
      </c>
      <c r="D596" s="134" t="s">
        <v>476</v>
      </c>
    </row>
    <row r="597" spans="1:4" x14ac:dyDescent="0.2">
      <c r="A597" s="131">
        <v>368</v>
      </c>
      <c r="B597" s="132">
        <v>1222</v>
      </c>
      <c r="C597" s="133" t="s">
        <v>339</v>
      </c>
      <c r="D597" s="134" t="s">
        <v>476</v>
      </c>
    </row>
    <row r="598" spans="1:4" x14ac:dyDescent="0.2">
      <c r="A598" s="131">
        <v>368</v>
      </c>
      <c r="B598" s="132">
        <v>1223</v>
      </c>
      <c r="C598" s="133" t="s">
        <v>339</v>
      </c>
      <c r="D598" s="134" t="s">
        <v>476</v>
      </c>
    </row>
    <row r="599" spans="1:4" x14ac:dyDescent="0.2">
      <c r="A599" s="131">
        <v>369</v>
      </c>
      <c r="B599" s="132">
        <v>1224</v>
      </c>
      <c r="C599" s="133" t="s">
        <v>339</v>
      </c>
      <c r="D599" s="134" t="s">
        <v>476</v>
      </c>
    </row>
    <row r="600" spans="1:4" x14ac:dyDescent="0.2">
      <c r="A600" s="131">
        <v>369</v>
      </c>
      <c r="B600" s="132">
        <v>1225</v>
      </c>
      <c r="C600" s="133" t="s">
        <v>339</v>
      </c>
      <c r="D600" s="134" t="s">
        <v>476</v>
      </c>
    </row>
    <row r="601" spans="1:4" x14ac:dyDescent="0.2">
      <c r="A601" s="131">
        <v>370</v>
      </c>
      <c r="B601" s="132">
        <v>1226</v>
      </c>
      <c r="C601" s="133" t="s">
        <v>339</v>
      </c>
      <c r="D601" s="134" t="s">
        <v>476</v>
      </c>
    </row>
    <row r="602" spans="1:4" x14ac:dyDescent="0.2">
      <c r="A602" s="131">
        <v>370</v>
      </c>
      <c r="B602" s="132">
        <v>1227</v>
      </c>
      <c r="C602" s="133" t="s">
        <v>339</v>
      </c>
      <c r="D602" s="134" t="s">
        <v>476</v>
      </c>
    </row>
    <row r="603" spans="1:4" x14ac:dyDescent="0.2">
      <c r="A603" s="131">
        <v>371</v>
      </c>
      <c r="B603" s="132">
        <v>1228</v>
      </c>
      <c r="C603" s="133" t="s">
        <v>339</v>
      </c>
      <c r="D603" s="134" t="s">
        <v>476</v>
      </c>
    </row>
    <row r="604" spans="1:4" x14ac:dyDescent="0.2">
      <c r="A604" s="131">
        <v>371</v>
      </c>
      <c r="B604" s="132">
        <v>1229</v>
      </c>
      <c r="C604" s="133" t="s">
        <v>339</v>
      </c>
      <c r="D604" s="134" t="s">
        <v>476</v>
      </c>
    </row>
    <row r="605" spans="1:4" x14ac:dyDescent="0.2">
      <c r="A605" s="131">
        <v>372</v>
      </c>
      <c r="B605" s="132">
        <v>1180</v>
      </c>
      <c r="C605" s="133" t="s">
        <v>319</v>
      </c>
      <c r="D605" s="134">
        <v>1</v>
      </c>
    </row>
    <row r="606" spans="1:4" x14ac:dyDescent="0.2">
      <c r="A606" s="131">
        <v>372</v>
      </c>
      <c r="B606" s="132">
        <v>1181</v>
      </c>
      <c r="C606" s="133" t="s">
        <v>319</v>
      </c>
      <c r="D606" s="134">
        <v>1</v>
      </c>
    </row>
    <row r="607" spans="1:4" x14ac:dyDescent="0.2">
      <c r="A607" s="131">
        <v>373</v>
      </c>
      <c r="B607" s="132">
        <v>31</v>
      </c>
      <c r="C607" s="133" t="s">
        <v>265</v>
      </c>
      <c r="D607" s="134">
        <v>1</v>
      </c>
    </row>
    <row r="608" spans="1:4" x14ac:dyDescent="0.2">
      <c r="A608" s="131">
        <v>373</v>
      </c>
      <c r="B608" s="132">
        <v>213</v>
      </c>
      <c r="C608" s="133" t="s">
        <v>265</v>
      </c>
      <c r="D608" s="134">
        <v>2</v>
      </c>
    </row>
    <row r="609" spans="1:4" x14ac:dyDescent="0.2">
      <c r="A609" s="131">
        <v>374</v>
      </c>
      <c r="B609" s="132">
        <v>30</v>
      </c>
      <c r="C609" s="133" t="s">
        <v>265</v>
      </c>
      <c r="D609" s="134">
        <v>1</v>
      </c>
    </row>
    <row r="610" spans="1:4" x14ac:dyDescent="0.2">
      <c r="A610" s="131">
        <v>374</v>
      </c>
      <c r="B610" s="132">
        <v>214</v>
      </c>
      <c r="C610" s="133" t="s">
        <v>265</v>
      </c>
      <c r="D610" s="134">
        <v>2</v>
      </c>
    </row>
    <row r="611" spans="1:4" x14ac:dyDescent="0.2">
      <c r="A611" s="131">
        <v>375</v>
      </c>
      <c r="B611" s="132">
        <v>32</v>
      </c>
      <c r="C611" s="133" t="s">
        <v>265</v>
      </c>
      <c r="D611" s="134">
        <v>1</v>
      </c>
    </row>
    <row r="612" spans="1:4" x14ac:dyDescent="0.2">
      <c r="A612" s="131">
        <v>375</v>
      </c>
      <c r="B612" s="132">
        <v>215</v>
      </c>
      <c r="C612" s="133" t="s">
        <v>265</v>
      </c>
      <c r="D612" s="134">
        <v>2</v>
      </c>
    </row>
    <row r="613" spans="1:4" x14ac:dyDescent="0.2">
      <c r="A613" s="131">
        <v>376</v>
      </c>
      <c r="B613" s="132">
        <v>34</v>
      </c>
      <c r="C613" s="133" t="s">
        <v>265</v>
      </c>
      <c r="D613" s="134">
        <v>1</v>
      </c>
    </row>
    <row r="614" spans="1:4" x14ac:dyDescent="0.2">
      <c r="A614" s="131">
        <v>376</v>
      </c>
      <c r="B614" s="132">
        <v>216</v>
      </c>
      <c r="C614" s="133" t="s">
        <v>265</v>
      </c>
      <c r="D614" s="134">
        <v>2</v>
      </c>
    </row>
    <row r="615" spans="1:4" x14ac:dyDescent="0.2">
      <c r="A615" s="131">
        <v>377</v>
      </c>
      <c r="B615" s="132">
        <v>35</v>
      </c>
      <c r="C615" s="133" t="s">
        <v>265</v>
      </c>
      <c r="D615" s="134">
        <v>1</v>
      </c>
    </row>
    <row r="616" spans="1:4" x14ac:dyDescent="0.2">
      <c r="A616" s="131">
        <v>377</v>
      </c>
      <c r="B616" s="132">
        <v>217</v>
      </c>
      <c r="C616" s="133" t="s">
        <v>265</v>
      </c>
      <c r="D616" s="134">
        <v>2</v>
      </c>
    </row>
    <row r="617" spans="1:4" x14ac:dyDescent="0.2">
      <c r="A617" s="131">
        <v>378</v>
      </c>
      <c r="B617" s="132">
        <v>36</v>
      </c>
      <c r="C617" s="133" t="s">
        <v>265</v>
      </c>
      <c r="D617" s="134">
        <v>1</v>
      </c>
    </row>
    <row r="618" spans="1:4" x14ac:dyDescent="0.2">
      <c r="A618" s="131">
        <v>378</v>
      </c>
      <c r="B618" s="132">
        <v>218</v>
      </c>
      <c r="C618" s="133" t="s">
        <v>265</v>
      </c>
      <c r="D618" s="134">
        <v>2</v>
      </c>
    </row>
    <row r="619" spans="1:4" x14ac:dyDescent="0.2">
      <c r="A619" s="131">
        <v>380</v>
      </c>
      <c r="B619" s="132">
        <v>37</v>
      </c>
      <c r="C619" s="133" t="s">
        <v>265</v>
      </c>
      <c r="D619" s="134">
        <v>1</v>
      </c>
    </row>
    <row r="620" spans="1:4" x14ac:dyDescent="0.2">
      <c r="A620" s="131">
        <v>380</v>
      </c>
      <c r="B620" s="132">
        <v>220</v>
      </c>
      <c r="C620" s="133" t="s">
        <v>265</v>
      </c>
      <c r="D620" s="134">
        <v>2</v>
      </c>
    </row>
    <row r="621" spans="1:4" x14ac:dyDescent="0.2">
      <c r="A621" s="131">
        <v>381</v>
      </c>
      <c r="B621" s="132">
        <v>1170</v>
      </c>
      <c r="C621" s="133" t="s">
        <v>265</v>
      </c>
      <c r="D621" s="134">
        <v>2</v>
      </c>
    </row>
    <row r="622" spans="1:4" x14ac:dyDescent="0.2">
      <c r="A622" s="131">
        <v>381</v>
      </c>
      <c r="B622" s="132">
        <v>1171</v>
      </c>
      <c r="C622" s="133" t="s">
        <v>265</v>
      </c>
      <c r="D622" s="134">
        <v>1</v>
      </c>
    </row>
    <row r="623" spans="1:4" x14ac:dyDescent="0.2">
      <c r="A623" s="131">
        <v>382</v>
      </c>
      <c r="B623" s="132">
        <v>1172</v>
      </c>
      <c r="C623" s="133" t="s">
        <v>265</v>
      </c>
      <c r="D623" s="134">
        <v>2</v>
      </c>
    </row>
    <row r="624" spans="1:4" x14ac:dyDescent="0.2">
      <c r="A624" s="131">
        <v>382</v>
      </c>
      <c r="B624" s="132">
        <v>1173</v>
      </c>
      <c r="C624" s="133" t="s">
        <v>265</v>
      </c>
      <c r="D624" s="134">
        <v>1</v>
      </c>
    </row>
    <row r="625" spans="1:4" x14ac:dyDescent="0.2">
      <c r="A625" s="131">
        <v>384</v>
      </c>
      <c r="B625" s="132">
        <v>1185</v>
      </c>
      <c r="C625" s="133" t="s">
        <v>277</v>
      </c>
      <c r="D625" s="134">
        <v>1</v>
      </c>
    </row>
    <row r="626" spans="1:4" x14ac:dyDescent="0.2">
      <c r="A626" s="131">
        <v>384</v>
      </c>
      <c r="B626" s="132">
        <v>1186</v>
      </c>
      <c r="C626" s="133" t="s">
        <v>277</v>
      </c>
      <c r="D626" s="134">
        <v>2</v>
      </c>
    </row>
    <row r="627" spans="1:4" x14ac:dyDescent="0.2">
      <c r="A627" s="131">
        <v>385</v>
      </c>
      <c r="B627" s="132">
        <v>1260</v>
      </c>
      <c r="C627" s="133" t="s">
        <v>265</v>
      </c>
      <c r="D627" s="134" t="s">
        <v>476</v>
      </c>
    </row>
    <row r="628" spans="1:4" x14ac:dyDescent="0.2">
      <c r="A628" s="131">
        <v>385</v>
      </c>
      <c r="B628" s="132">
        <v>1261</v>
      </c>
      <c r="C628" s="133" t="s">
        <v>265</v>
      </c>
      <c r="D628" s="134" t="s">
        <v>476</v>
      </c>
    </row>
    <row r="629" spans="1:4" x14ac:dyDescent="0.2">
      <c r="A629" s="131">
        <v>386</v>
      </c>
      <c r="B629" s="132">
        <v>1184</v>
      </c>
      <c r="C629" s="133" t="s">
        <v>246</v>
      </c>
      <c r="D629" s="134" t="s">
        <v>239</v>
      </c>
    </row>
    <row r="630" spans="1:4" x14ac:dyDescent="0.2">
      <c r="A630" s="131">
        <v>387</v>
      </c>
      <c r="B630" s="132">
        <v>1183</v>
      </c>
      <c r="C630" s="133" t="s">
        <v>270</v>
      </c>
      <c r="D630" s="134" t="s">
        <v>239</v>
      </c>
    </row>
    <row r="631" spans="1:4" x14ac:dyDescent="0.2">
      <c r="A631" s="131">
        <v>388</v>
      </c>
      <c r="B631" s="132">
        <v>1262</v>
      </c>
      <c r="C631" s="133" t="s">
        <v>265</v>
      </c>
      <c r="D631" s="134" t="s">
        <v>476</v>
      </c>
    </row>
    <row r="632" spans="1:4" x14ac:dyDescent="0.2">
      <c r="A632" s="131">
        <v>388</v>
      </c>
      <c r="B632" s="132">
        <v>1263</v>
      </c>
      <c r="C632" s="133" t="s">
        <v>265</v>
      </c>
      <c r="D632" s="134" t="s">
        <v>476</v>
      </c>
    </row>
    <row r="633" spans="1:4" x14ac:dyDescent="0.2">
      <c r="A633" s="131">
        <v>389</v>
      </c>
      <c r="B633" s="132">
        <v>1182</v>
      </c>
      <c r="C633" s="133" t="s">
        <v>256</v>
      </c>
      <c r="D633" s="134" t="s">
        <v>239</v>
      </c>
    </row>
    <row r="634" spans="1:4" x14ac:dyDescent="0.2">
      <c r="A634" s="131">
        <v>390</v>
      </c>
      <c r="B634" s="132">
        <v>1291</v>
      </c>
      <c r="C634" s="133" t="s">
        <v>265</v>
      </c>
      <c r="D634" s="134">
        <v>2</v>
      </c>
    </row>
    <row r="635" spans="1:4" x14ac:dyDescent="0.2">
      <c r="A635" s="131">
        <v>390</v>
      </c>
      <c r="B635" s="132">
        <v>1292</v>
      </c>
      <c r="C635" s="133" t="s">
        <v>265</v>
      </c>
      <c r="D635" s="134">
        <v>1</v>
      </c>
    </row>
    <row r="636" spans="1:4" x14ac:dyDescent="0.2">
      <c r="A636" s="131">
        <v>391</v>
      </c>
      <c r="B636" s="132">
        <v>29</v>
      </c>
      <c r="C636" s="133" t="s">
        <v>340</v>
      </c>
      <c r="D636" s="134" t="s">
        <v>239</v>
      </c>
    </row>
    <row r="637" spans="1:4" x14ac:dyDescent="0.2">
      <c r="A637" s="131">
        <v>392</v>
      </c>
      <c r="B637" s="132">
        <v>90</v>
      </c>
      <c r="C637" s="133" t="s">
        <v>341</v>
      </c>
      <c r="D637" s="134">
        <v>1</v>
      </c>
    </row>
    <row r="638" spans="1:4" x14ac:dyDescent="0.2">
      <c r="A638" s="131">
        <v>393</v>
      </c>
      <c r="B638" s="132">
        <v>1</v>
      </c>
      <c r="C638" s="133" t="s">
        <v>342</v>
      </c>
      <c r="D638" s="134">
        <v>1</v>
      </c>
    </row>
    <row r="639" spans="1:4" x14ac:dyDescent="0.2">
      <c r="A639" s="131">
        <v>394</v>
      </c>
      <c r="B639" s="132">
        <v>1176</v>
      </c>
      <c r="C639" s="133" t="s">
        <v>298</v>
      </c>
      <c r="D639" s="134">
        <v>1</v>
      </c>
    </row>
    <row r="640" spans="1:4" x14ac:dyDescent="0.2">
      <c r="A640" s="131">
        <v>394</v>
      </c>
      <c r="B640" s="132">
        <v>1177</v>
      </c>
      <c r="C640" s="133" t="s">
        <v>298</v>
      </c>
      <c r="D640" s="134">
        <v>2</v>
      </c>
    </row>
    <row r="641" spans="1:4" x14ac:dyDescent="0.2">
      <c r="A641" s="131">
        <v>395</v>
      </c>
      <c r="B641" s="132">
        <v>1044</v>
      </c>
      <c r="C641" s="133" t="s">
        <v>343</v>
      </c>
      <c r="D641" s="134">
        <v>2</v>
      </c>
    </row>
    <row r="642" spans="1:4" x14ac:dyDescent="0.2">
      <c r="A642" s="131">
        <v>395</v>
      </c>
      <c r="B642" s="132">
        <v>1045</v>
      </c>
      <c r="C642" s="133" t="s">
        <v>343</v>
      </c>
      <c r="D642" s="134">
        <v>1</v>
      </c>
    </row>
    <row r="643" spans="1:4" x14ac:dyDescent="0.2">
      <c r="A643" s="131">
        <v>395</v>
      </c>
      <c r="B643" s="132">
        <v>1046</v>
      </c>
      <c r="C643" s="133" t="s">
        <v>343</v>
      </c>
      <c r="D643" s="134">
        <v>1</v>
      </c>
    </row>
    <row r="644" spans="1:4" x14ac:dyDescent="0.2">
      <c r="A644" s="131">
        <v>396</v>
      </c>
      <c r="B644" s="132">
        <v>1323</v>
      </c>
      <c r="C644" s="133" t="s">
        <v>275</v>
      </c>
      <c r="D644" s="134">
        <v>1</v>
      </c>
    </row>
    <row r="645" spans="1:4" x14ac:dyDescent="0.2">
      <c r="A645" s="131">
        <v>397</v>
      </c>
      <c r="B645" s="132">
        <v>1346</v>
      </c>
      <c r="C645" s="133" t="s">
        <v>344</v>
      </c>
      <c r="D645" s="134">
        <v>1</v>
      </c>
    </row>
    <row r="646" spans="1:4" x14ac:dyDescent="0.2">
      <c r="A646" s="131">
        <v>398</v>
      </c>
      <c r="B646" s="132">
        <v>72</v>
      </c>
      <c r="C646" s="133" t="s">
        <v>345</v>
      </c>
      <c r="D646" s="134">
        <v>2</v>
      </c>
    </row>
    <row r="647" spans="1:4" x14ac:dyDescent="0.2">
      <c r="A647" s="131">
        <v>399</v>
      </c>
      <c r="B647" s="132">
        <v>27</v>
      </c>
      <c r="C647" s="133" t="s">
        <v>346</v>
      </c>
      <c r="D647" s="134" t="s">
        <v>484</v>
      </c>
    </row>
    <row r="648" spans="1:4" x14ac:dyDescent="0.2">
      <c r="A648" s="131">
        <v>400</v>
      </c>
      <c r="B648" s="132">
        <v>58</v>
      </c>
      <c r="C648" s="133" t="s">
        <v>297</v>
      </c>
      <c r="D648" s="134">
        <v>1</v>
      </c>
    </row>
    <row r="649" spans="1:4" x14ac:dyDescent="0.2">
      <c r="A649" s="131">
        <v>400</v>
      </c>
      <c r="B649" s="132">
        <v>190</v>
      </c>
      <c r="C649" s="133" t="s">
        <v>297</v>
      </c>
      <c r="D649" s="134" t="s">
        <v>481</v>
      </c>
    </row>
    <row r="650" spans="1:4" x14ac:dyDescent="0.2">
      <c r="A650" s="131">
        <v>401</v>
      </c>
      <c r="B650" s="132">
        <v>1157</v>
      </c>
      <c r="C650" s="133" t="s">
        <v>347</v>
      </c>
      <c r="D650" s="134" t="s">
        <v>239</v>
      </c>
    </row>
    <row r="651" spans="1:4" x14ac:dyDescent="0.2">
      <c r="A651" s="131">
        <v>403</v>
      </c>
      <c r="B651" s="132">
        <v>1178</v>
      </c>
      <c r="C651" s="133" t="s">
        <v>252</v>
      </c>
      <c r="D651" s="134">
        <v>1</v>
      </c>
    </row>
    <row r="652" spans="1:4" x14ac:dyDescent="0.2">
      <c r="A652" s="131">
        <v>403</v>
      </c>
      <c r="B652" s="132">
        <v>1179</v>
      </c>
      <c r="C652" s="133" t="s">
        <v>252</v>
      </c>
      <c r="D652" s="134">
        <v>2</v>
      </c>
    </row>
    <row r="653" spans="1:4" x14ac:dyDescent="0.2">
      <c r="A653" s="131">
        <v>404</v>
      </c>
      <c r="B653" s="132">
        <v>1161</v>
      </c>
      <c r="C653" s="133" t="s">
        <v>348</v>
      </c>
      <c r="D653" s="134">
        <v>2</v>
      </c>
    </row>
    <row r="654" spans="1:4" x14ac:dyDescent="0.2">
      <c r="A654" s="131">
        <v>404</v>
      </c>
      <c r="B654" s="132">
        <v>1162</v>
      </c>
      <c r="C654" s="133" t="s">
        <v>348</v>
      </c>
      <c r="D654" s="134">
        <v>1</v>
      </c>
    </row>
    <row r="655" spans="1:4" x14ac:dyDescent="0.2">
      <c r="A655" s="131">
        <v>405</v>
      </c>
      <c r="B655" s="132">
        <v>1163</v>
      </c>
      <c r="C655" s="133" t="s">
        <v>349</v>
      </c>
      <c r="D655" s="134" t="s">
        <v>239</v>
      </c>
    </row>
    <row r="656" spans="1:4" x14ac:dyDescent="0.2">
      <c r="A656" s="131">
        <v>406</v>
      </c>
      <c r="B656" s="132">
        <v>77</v>
      </c>
      <c r="C656" s="133" t="s">
        <v>350</v>
      </c>
      <c r="D656" s="134" t="s">
        <v>239</v>
      </c>
    </row>
    <row r="657" spans="1:4" x14ac:dyDescent="0.2">
      <c r="A657" s="131">
        <v>407</v>
      </c>
      <c r="B657" s="132">
        <v>81</v>
      </c>
      <c r="C657" s="133" t="s">
        <v>351</v>
      </c>
      <c r="D657" s="134" t="s">
        <v>239</v>
      </c>
    </row>
    <row r="658" spans="1:4" x14ac:dyDescent="0.2">
      <c r="A658" s="131">
        <v>408</v>
      </c>
      <c r="B658" s="132">
        <v>87</v>
      </c>
      <c r="C658" s="133" t="s">
        <v>352</v>
      </c>
      <c r="D658" s="134" t="s">
        <v>239</v>
      </c>
    </row>
    <row r="659" spans="1:4" x14ac:dyDescent="0.2">
      <c r="A659" s="131">
        <v>409</v>
      </c>
      <c r="B659" s="132">
        <v>89</v>
      </c>
      <c r="C659" s="133" t="s">
        <v>353</v>
      </c>
      <c r="D659" s="134" t="s">
        <v>239</v>
      </c>
    </row>
    <row r="660" spans="1:4" x14ac:dyDescent="0.2">
      <c r="A660" s="131">
        <v>410</v>
      </c>
      <c r="B660" s="132">
        <v>98</v>
      </c>
      <c r="C660" s="133" t="s">
        <v>354</v>
      </c>
      <c r="D660" s="134" t="s">
        <v>239</v>
      </c>
    </row>
    <row r="661" spans="1:4" x14ac:dyDescent="0.2">
      <c r="A661" s="131">
        <v>411</v>
      </c>
      <c r="B661" s="132">
        <v>106</v>
      </c>
      <c r="C661" s="133" t="s">
        <v>355</v>
      </c>
      <c r="D661" s="134" t="s">
        <v>239</v>
      </c>
    </row>
    <row r="662" spans="1:4" x14ac:dyDescent="0.2">
      <c r="A662" s="131">
        <v>412</v>
      </c>
      <c r="B662" s="132">
        <v>107</v>
      </c>
      <c r="C662" s="133" t="s">
        <v>356</v>
      </c>
      <c r="D662" s="134" t="s">
        <v>239</v>
      </c>
    </row>
    <row r="663" spans="1:4" x14ac:dyDescent="0.2">
      <c r="A663" s="131">
        <v>413</v>
      </c>
      <c r="B663" s="132">
        <v>108</v>
      </c>
      <c r="C663" s="133" t="s">
        <v>357</v>
      </c>
      <c r="D663" s="134" t="s">
        <v>239</v>
      </c>
    </row>
    <row r="664" spans="1:4" x14ac:dyDescent="0.2">
      <c r="A664" s="131">
        <v>414</v>
      </c>
      <c r="B664" s="132">
        <v>110</v>
      </c>
      <c r="C664" s="133" t="s">
        <v>358</v>
      </c>
      <c r="D664" s="134" t="s">
        <v>239</v>
      </c>
    </row>
    <row r="665" spans="1:4" x14ac:dyDescent="0.2">
      <c r="A665" s="131">
        <v>415</v>
      </c>
      <c r="B665" s="132">
        <v>165</v>
      </c>
      <c r="C665" s="133" t="s">
        <v>359</v>
      </c>
      <c r="D665" s="134" t="s">
        <v>239</v>
      </c>
    </row>
    <row r="666" spans="1:4" x14ac:dyDescent="0.2">
      <c r="A666" s="131">
        <v>416</v>
      </c>
      <c r="B666" s="132">
        <v>179</v>
      </c>
      <c r="C666" s="133" t="s">
        <v>360</v>
      </c>
      <c r="D666" s="134" t="s">
        <v>239</v>
      </c>
    </row>
    <row r="667" spans="1:4" x14ac:dyDescent="0.2">
      <c r="A667" s="131">
        <v>417</v>
      </c>
      <c r="B667" s="132">
        <v>209</v>
      </c>
      <c r="C667" s="133" t="s">
        <v>361</v>
      </c>
      <c r="D667" s="134" t="s">
        <v>239</v>
      </c>
    </row>
    <row r="668" spans="1:4" x14ac:dyDescent="0.2">
      <c r="A668" s="131">
        <v>418</v>
      </c>
      <c r="B668" s="132">
        <v>188</v>
      </c>
      <c r="C668" s="133" t="s">
        <v>362</v>
      </c>
      <c r="D668" s="134" t="s">
        <v>239</v>
      </c>
    </row>
    <row r="669" spans="1:4" x14ac:dyDescent="0.2">
      <c r="A669" s="131">
        <v>419</v>
      </c>
      <c r="B669" s="132">
        <v>176</v>
      </c>
      <c r="C669" s="133" t="s">
        <v>363</v>
      </c>
      <c r="D669" s="134" t="s">
        <v>239</v>
      </c>
    </row>
    <row r="670" spans="1:4" x14ac:dyDescent="0.2">
      <c r="A670" s="131">
        <v>420</v>
      </c>
      <c r="B670" s="132">
        <v>253</v>
      </c>
      <c r="C670" s="133" t="s">
        <v>364</v>
      </c>
      <c r="D670" s="134" t="s">
        <v>239</v>
      </c>
    </row>
    <row r="671" spans="1:4" x14ac:dyDescent="0.2">
      <c r="A671" s="131">
        <v>421</v>
      </c>
      <c r="B671" s="132">
        <v>222</v>
      </c>
      <c r="C671" s="133" t="s">
        <v>365</v>
      </c>
      <c r="D671" s="134" t="s">
        <v>239</v>
      </c>
    </row>
    <row r="672" spans="1:4" x14ac:dyDescent="0.2">
      <c r="A672" s="131">
        <v>422</v>
      </c>
      <c r="B672" s="132">
        <v>254</v>
      </c>
      <c r="C672" s="133" t="s">
        <v>366</v>
      </c>
      <c r="D672" s="134" t="s">
        <v>239</v>
      </c>
    </row>
    <row r="673" spans="1:4" x14ac:dyDescent="0.2">
      <c r="A673" s="131">
        <v>423</v>
      </c>
      <c r="B673" s="132">
        <v>255</v>
      </c>
      <c r="C673" s="133" t="s">
        <v>367</v>
      </c>
      <c r="D673" s="134" t="s">
        <v>239</v>
      </c>
    </row>
    <row r="674" spans="1:4" x14ac:dyDescent="0.2">
      <c r="A674" s="131">
        <v>424</v>
      </c>
      <c r="B674" s="132">
        <v>256</v>
      </c>
      <c r="C674" s="133" t="s">
        <v>368</v>
      </c>
      <c r="D674" s="134" t="s">
        <v>239</v>
      </c>
    </row>
    <row r="675" spans="1:4" x14ac:dyDescent="0.2">
      <c r="A675" s="131">
        <v>425</v>
      </c>
      <c r="B675" s="132">
        <v>1100</v>
      </c>
      <c r="C675" s="133" t="s">
        <v>369</v>
      </c>
      <c r="D675" s="134">
        <v>2</v>
      </c>
    </row>
    <row r="676" spans="1:4" x14ac:dyDescent="0.2">
      <c r="A676" s="131">
        <v>426</v>
      </c>
      <c r="B676" s="132">
        <v>1189</v>
      </c>
      <c r="C676" s="133" t="s">
        <v>277</v>
      </c>
      <c r="D676" s="134">
        <v>1</v>
      </c>
    </row>
    <row r="677" spans="1:4" x14ac:dyDescent="0.2">
      <c r="A677" s="131">
        <v>426</v>
      </c>
      <c r="B677" s="132">
        <v>1190</v>
      </c>
      <c r="C677" s="133" t="s">
        <v>277</v>
      </c>
      <c r="D677" s="134">
        <v>2</v>
      </c>
    </row>
    <row r="678" spans="1:4" x14ac:dyDescent="0.2">
      <c r="A678" s="131">
        <v>427</v>
      </c>
      <c r="B678" s="132">
        <v>1118</v>
      </c>
      <c r="C678" s="133" t="s">
        <v>370</v>
      </c>
      <c r="D678" s="134">
        <v>1</v>
      </c>
    </row>
    <row r="679" spans="1:4" x14ac:dyDescent="0.2">
      <c r="A679" s="131">
        <v>427</v>
      </c>
      <c r="B679" s="132">
        <v>1119</v>
      </c>
      <c r="C679" s="133" t="s">
        <v>370</v>
      </c>
      <c r="D679" s="134" t="s">
        <v>479</v>
      </c>
    </row>
    <row r="680" spans="1:4" x14ac:dyDescent="0.2">
      <c r="A680" s="131">
        <v>428</v>
      </c>
      <c r="B680" s="132">
        <v>258</v>
      </c>
      <c r="C680" s="133" t="s">
        <v>371</v>
      </c>
      <c r="D680" s="134" t="s">
        <v>372</v>
      </c>
    </row>
    <row r="681" spans="1:4" x14ac:dyDescent="0.2">
      <c r="A681" s="131">
        <v>428</v>
      </c>
      <c r="B681" s="132">
        <v>259</v>
      </c>
      <c r="C681" s="133" t="s">
        <v>371</v>
      </c>
      <c r="D681" s="134" t="s">
        <v>372</v>
      </c>
    </row>
    <row r="682" spans="1:4" x14ac:dyDescent="0.2">
      <c r="A682" s="131">
        <v>429</v>
      </c>
      <c r="B682" s="132">
        <v>260</v>
      </c>
      <c r="C682" s="133" t="s">
        <v>373</v>
      </c>
      <c r="D682" s="134" t="s">
        <v>372</v>
      </c>
    </row>
    <row r="683" spans="1:4" x14ac:dyDescent="0.2">
      <c r="A683" s="131">
        <v>429</v>
      </c>
      <c r="B683" s="132">
        <v>261</v>
      </c>
      <c r="C683" s="133" t="s">
        <v>373</v>
      </c>
      <c r="D683" s="134" t="s">
        <v>372</v>
      </c>
    </row>
    <row r="684" spans="1:4" x14ac:dyDescent="0.2">
      <c r="A684" s="131">
        <v>430</v>
      </c>
      <c r="B684" s="132">
        <v>264</v>
      </c>
      <c r="C684" s="133" t="s">
        <v>374</v>
      </c>
      <c r="D684" s="134" t="s">
        <v>372</v>
      </c>
    </row>
    <row r="685" spans="1:4" x14ac:dyDescent="0.2">
      <c r="A685" s="131">
        <v>430</v>
      </c>
      <c r="B685" s="132">
        <v>265</v>
      </c>
      <c r="C685" s="133" t="s">
        <v>374</v>
      </c>
      <c r="D685" s="134" t="s">
        <v>372</v>
      </c>
    </row>
    <row r="686" spans="1:4" x14ac:dyDescent="0.2">
      <c r="A686" s="131">
        <v>431</v>
      </c>
      <c r="B686" s="132">
        <v>262</v>
      </c>
      <c r="C686" s="133" t="s">
        <v>375</v>
      </c>
      <c r="D686" s="134" t="s">
        <v>372</v>
      </c>
    </row>
    <row r="687" spans="1:4" x14ac:dyDescent="0.2">
      <c r="A687" s="131">
        <v>431</v>
      </c>
      <c r="B687" s="132">
        <v>263</v>
      </c>
      <c r="C687" s="133" t="s">
        <v>375</v>
      </c>
      <c r="D687" s="134" t="s">
        <v>372</v>
      </c>
    </row>
    <row r="688" spans="1:4" x14ac:dyDescent="0.2">
      <c r="A688" s="131">
        <v>432</v>
      </c>
      <c r="B688" s="132">
        <v>1397</v>
      </c>
      <c r="C688" s="133" t="s">
        <v>277</v>
      </c>
      <c r="D688" s="134">
        <v>1</v>
      </c>
    </row>
    <row r="689" spans="1:4" x14ac:dyDescent="0.2">
      <c r="A689" s="131">
        <v>432</v>
      </c>
      <c r="B689" s="132">
        <v>1398</v>
      </c>
      <c r="C689" s="133" t="s">
        <v>277</v>
      </c>
      <c r="D689" s="134">
        <v>2</v>
      </c>
    </row>
    <row r="690" spans="1:4" x14ac:dyDescent="0.2">
      <c r="A690" s="131">
        <v>434</v>
      </c>
      <c r="B690" s="132">
        <v>269</v>
      </c>
      <c r="C690" s="133" t="s">
        <v>376</v>
      </c>
      <c r="D690" s="134" t="s">
        <v>476</v>
      </c>
    </row>
    <row r="691" spans="1:4" x14ac:dyDescent="0.2">
      <c r="A691" s="131">
        <v>435</v>
      </c>
      <c r="B691" s="132">
        <v>270</v>
      </c>
      <c r="C691" s="133" t="s">
        <v>377</v>
      </c>
      <c r="D691" s="134">
        <v>1</v>
      </c>
    </row>
    <row r="692" spans="1:4" x14ac:dyDescent="0.2">
      <c r="A692" s="131">
        <v>435</v>
      </c>
      <c r="B692" s="132">
        <v>271</v>
      </c>
      <c r="C692" s="133" t="s">
        <v>377</v>
      </c>
      <c r="D692" s="134">
        <v>1</v>
      </c>
    </row>
    <row r="693" spans="1:4" x14ac:dyDescent="0.2">
      <c r="A693" s="131">
        <v>435</v>
      </c>
      <c r="B693" s="132">
        <v>272</v>
      </c>
      <c r="C693" s="133" t="s">
        <v>377</v>
      </c>
      <c r="D693" s="134">
        <v>2</v>
      </c>
    </row>
    <row r="694" spans="1:4" x14ac:dyDescent="0.2">
      <c r="A694" s="131">
        <v>436</v>
      </c>
      <c r="B694" s="132">
        <v>273</v>
      </c>
      <c r="C694" s="133" t="s">
        <v>378</v>
      </c>
      <c r="D694" s="134">
        <v>1</v>
      </c>
    </row>
    <row r="695" spans="1:4" x14ac:dyDescent="0.2">
      <c r="A695" s="131">
        <v>436</v>
      </c>
      <c r="B695" s="132">
        <v>274</v>
      </c>
      <c r="C695" s="133" t="s">
        <v>378</v>
      </c>
      <c r="D695" s="134">
        <v>1</v>
      </c>
    </row>
    <row r="696" spans="1:4" x14ac:dyDescent="0.2">
      <c r="A696" s="131">
        <v>436</v>
      </c>
      <c r="B696" s="132">
        <v>275</v>
      </c>
      <c r="C696" s="133" t="s">
        <v>378</v>
      </c>
      <c r="D696" s="134">
        <v>2</v>
      </c>
    </row>
    <row r="697" spans="1:4" x14ac:dyDescent="0.2">
      <c r="A697" s="131">
        <v>437</v>
      </c>
      <c r="B697" s="132">
        <v>1403</v>
      </c>
      <c r="C697" s="133" t="s">
        <v>379</v>
      </c>
      <c r="D697" s="134">
        <v>2</v>
      </c>
    </row>
    <row r="698" spans="1:4" x14ac:dyDescent="0.2">
      <c r="A698" s="131">
        <v>437</v>
      </c>
      <c r="B698" s="132">
        <v>1404</v>
      </c>
      <c r="C698" s="133" t="s">
        <v>379</v>
      </c>
      <c r="D698" s="134">
        <v>1</v>
      </c>
    </row>
    <row r="699" spans="1:4" x14ac:dyDescent="0.2">
      <c r="A699" s="131">
        <v>437</v>
      </c>
      <c r="B699" s="132">
        <v>1405</v>
      </c>
      <c r="C699" s="133" t="s">
        <v>379</v>
      </c>
      <c r="D699" s="134">
        <v>1</v>
      </c>
    </row>
    <row r="700" spans="1:4" x14ac:dyDescent="0.2">
      <c r="A700" s="131">
        <v>439</v>
      </c>
      <c r="B700" s="132">
        <v>346</v>
      </c>
      <c r="C700" s="133" t="s">
        <v>380</v>
      </c>
      <c r="D700" s="134">
        <v>2</v>
      </c>
    </row>
    <row r="701" spans="1:4" x14ac:dyDescent="0.2">
      <c r="A701" s="131">
        <v>439</v>
      </c>
      <c r="B701" s="132">
        <v>349</v>
      </c>
      <c r="C701" s="133" t="s">
        <v>380</v>
      </c>
      <c r="D701" s="134">
        <v>1</v>
      </c>
    </row>
    <row r="702" spans="1:4" x14ac:dyDescent="0.2">
      <c r="A702" s="131">
        <v>440</v>
      </c>
      <c r="B702" s="132">
        <v>210</v>
      </c>
      <c r="C702" s="133" t="s">
        <v>381</v>
      </c>
      <c r="D702" s="134">
        <v>2</v>
      </c>
    </row>
    <row r="703" spans="1:4" x14ac:dyDescent="0.2">
      <c r="A703" s="131">
        <v>440</v>
      </c>
      <c r="B703" s="132">
        <v>347</v>
      </c>
      <c r="C703" s="133" t="s">
        <v>381</v>
      </c>
      <c r="D703" s="134" t="s">
        <v>476</v>
      </c>
    </row>
    <row r="704" spans="1:4" x14ac:dyDescent="0.2">
      <c r="A704" s="131">
        <v>440</v>
      </c>
      <c r="B704" s="132">
        <v>348</v>
      </c>
      <c r="C704" s="133" t="s">
        <v>381</v>
      </c>
      <c r="D704" s="134" t="s">
        <v>476</v>
      </c>
    </row>
    <row r="705" spans="1:4" x14ac:dyDescent="0.2">
      <c r="A705" s="131">
        <v>441</v>
      </c>
      <c r="B705" s="132">
        <v>206</v>
      </c>
      <c r="C705" s="133" t="s">
        <v>281</v>
      </c>
      <c r="D705" s="134">
        <v>2</v>
      </c>
    </row>
    <row r="706" spans="1:4" x14ac:dyDescent="0.2">
      <c r="A706" s="131">
        <v>441</v>
      </c>
      <c r="B706" s="132">
        <v>350</v>
      </c>
      <c r="C706" s="133" t="s">
        <v>281</v>
      </c>
      <c r="D706" s="134">
        <v>1</v>
      </c>
    </row>
    <row r="707" spans="1:4" x14ac:dyDescent="0.2">
      <c r="A707" s="131">
        <v>441</v>
      </c>
      <c r="B707" s="132">
        <v>351</v>
      </c>
      <c r="C707" s="133" t="s">
        <v>281</v>
      </c>
      <c r="D707" s="134">
        <v>1</v>
      </c>
    </row>
    <row r="708" spans="1:4" x14ac:dyDescent="0.2">
      <c r="A708" s="131">
        <v>441</v>
      </c>
      <c r="B708" s="132">
        <v>352</v>
      </c>
      <c r="C708" s="133" t="s">
        <v>281</v>
      </c>
      <c r="D708" s="134">
        <v>1</v>
      </c>
    </row>
    <row r="709" spans="1:4" x14ac:dyDescent="0.2">
      <c r="A709" s="131">
        <v>442</v>
      </c>
      <c r="B709" s="132">
        <v>356</v>
      </c>
      <c r="C709" s="133" t="s">
        <v>277</v>
      </c>
      <c r="D709" s="134" t="s">
        <v>476</v>
      </c>
    </row>
    <row r="710" spans="1:4" x14ac:dyDescent="0.2">
      <c r="A710" s="131">
        <v>442</v>
      </c>
      <c r="B710" s="132">
        <v>357</v>
      </c>
      <c r="C710" s="133" t="s">
        <v>277</v>
      </c>
      <c r="D710" s="134" t="s">
        <v>476</v>
      </c>
    </row>
    <row r="711" spans="1:4" x14ac:dyDescent="0.2">
      <c r="A711" s="131">
        <v>443</v>
      </c>
      <c r="B711" s="132">
        <v>358</v>
      </c>
      <c r="C711" s="133" t="s">
        <v>319</v>
      </c>
      <c r="D711" s="134">
        <v>1</v>
      </c>
    </row>
    <row r="712" spans="1:4" x14ac:dyDescent="0.2">
      <c r="A712" s="131">
        <v>443</v>
      </c>
      <c r="B712" s="132">
        <v>359</v>
      </c>
      <c r="C712" s="133" t="s">
        <v>319</v>
      </c>
      <c r="D712" s="134" t="s">
        <v>481</v>
      </c>
    </row>
    <row r="713" spans="1:4" x14ac:dyDescent="0.2">
      <c r="A713" s="131">
        <v>444</v>
      </c>
      <c r="B713" s="132">
        <v>208</v>
      </c>
      <c r="C713" s="133" t="s">
        <v>322</v>
      </c>
      <c r="D713" s="134">
        <v>2</v>
      </c>
    </row>
    <row r="714" spans="1:4" x14ac:dyDescent="0.2">
      <c r="A714" s="131">
        <v>444</v>
      </c>
      <c r="B714" s="132">
        <v>358</v>
      </c>
      <c r="C714" s="133" t="s">
        <v>322</v>
      </c>
      <c r="D714" s="134" t="s">
        <v>484</v>
      </c>
    </row>
    <row r="715" spans="1:4" x14ac:dyDescent="0.2">
      <c r="A715" s="131">
        <v>444</v>
      </c>
      <c r="B715" s="132">
        <v>360</v>
      </c>
      <c r="C715" s="133" t="s">
        <v>322</v>
      </c>
      <c r="D715" s="134" t="s">
        <v>484</v>
      </c>
    </row>
    <row r="716" spans="1:4" x14ac:dyDescent="0.2">
      <c r="A716" s="131">
        <v>445</v>
      </c>
      <c r="B716" s="132">
        <v>1406</v>
      </c>
      <c r="C716" s="133" t="s">
        <v>382</v>
      </c>
      <c r="D716" s="134">
        <v>1</v>
      </c>
    </row>
    <row r="717" spans="1:4" x14ac:dyDescent="0.2">
      <c r="A717" s="131">
        <v>445</v>
      </c>
      <c r="B717" s="132">
        <v>1407</v>
      </c>
      <c r="C717" s="133" t="s">
        <v>382</v>
      </c>
      <c r="D717" s="134">
        <v>2</v>
      </c>
    </row>
    <row r="718" spans="1:4" x14ac:dyDescent="0.2">
      <c r="A718" s="131">
        <v>446</v>
      </c>
      <c r="B718" s="132">
        <v>1408</v>
      </c>
      <c r="C718" s="133" t="s">
        <v>382</v>
      </c>
      <c r="D718" s="134">
        <v>1</v>
      </c>
    </row>
    <row r="719" spans="1:4" x14ac:dyDescent="0.2">
      <c r="A719" s="131">
        <v>446</v>
      </c>
      <c r="B719" s="132">
        <v>1409</v>
      </c>
      <c r="C719" s="133" t="s">
        <v>382</v>
      </c>
      <c r="D719" s="134">
        <v>2</v>
      </c>
    </row>
    <row r="720" spans="1:4" x14ac:dyDescent="0.2">
      <c r="A720" s="131">
        <v>447</v>
      </c>
      <c r="B720" s="132">
        <v>206</v>
      </c>
      <c r="C720" s="133" t="s">
        <v>293</v>
      </c>
      <c r="D720" s="134">
        <v>2</v>
      </c>
    </row>
    <row r="721" spans="1:4" x14ac:dyDescent="0.2">
      <c r="A721" s="131">
        <v>448</v>
      </c>
      <c r="B721" s="132">
        <v>1125</v>
      </c>
      <c r="C721" s="133" t="s">
        <v>293</v>
      </c>
      <c r="D721" s="134">
        <v>2</v>
      </c>
    </row>
    <row r="722" spans="1:4" x14ac:dyDescent="0.2">
      <c r="A722" s="131">
        <v>449</v>
      </c>
      <c r="B722" s="132">
        <v>1127</v>
      </c>
      <c r="C722" s="133" t="s">
        <v>293</v>
      </c>
      <c r="D722" s="134">
        <v>2</v>
      </c>
    </row>
    <row r="723" spans="1:4" x14ac:dyDescent="0.2">
      <c r="A723" s="131">
        <v>450</v>
      </c>
      <c r="B723" s="132">
        <v>1129</v>
      </c>
      <c r="C723" s="133" t="s">
        <v>293</v>
      </c>
      <c r="D723" s="134">
        <v>2</v>
      </c>
    </row>
    <row r="724" spans="1:4" x14ac:dyDescent="0.2">
      <c r="A724" s="131">
        <v>451</v>
      </c>
      <c r="B724" s="132">
        <v>1140</v>
      </c>
      <c r="C724" s="133" t="s">
        <v>293</v>
      </c>
      <c r="D724" s="134">
        <v>2</v>
      </c>
    </row>
    <row r="725" spans="1:4" x14ac:dyDescent="0.2">
      <c r="A725" s="131">
        <v>452</v>
      </c>
      <c r="B725" s="132">
        <v>1142</v>
      </c>
      <c r="C725" s="133" t="s">
        <v>293</v>
      </c>
      <c r="D725" s="134">
        <v>2</v>
      </c>
    </row>
    <row r="726" spans="1:4" x14ac:dyDescent="0.2">
      <c r="A726" s="131">
        <v>453</v>
      </c>
      <c r="B726" s="132">
        <v>1144</v>
      </c>
      <c r="C726" s="133" t="s">
        <v>293</v>
      </c>
      <c r="D726" s="134">
        <v>2</v>
      </c>
    </row>
    <row r="727" spans="1:4" x14ac:dyDescent="0.2">
      <c r="A727" s="131">
        <v>454</v>
      </c>
      <c r="B727" s="132">
        <v>1146</v>
      </c>
      <c r="C727" s="133" t="s">
        <v>293</v>
      </c>
      <c r="D727" s="134">
        <v>2</v>
      </c>
    </row>
    <row r="728" spans="1:4" x14ac:dyDescent="0.2">
      <c r="A728" s="131">
        <v>455</v>
      </c>
      <c r="B728" s="132">
        <v>1148</v>
      </c>
      <c r="C728" s="133" t="s">
        <v>293</v>
      </c>
      <c r="D728" s="134">
        <v>2</v>
      </c>
    </row>
    <row r="729" spans="1:4" x14ac:dyDescent="0.2">
      <c r="A729" s="131">
        <v>456</v>
      </c>
      <c r="B729" s="132">
        <v>1150</v>
      </c>
      <c r="C729" s="133" t="s">
        <v>293</v>
      </c>
      <c r="D729" s="134">
        <v>2</v>
      </c>
    </row>
    <row r="730" spans="1:4" x14ac:dyDescent="0.2">
      <c r="A730" s="131">
        <v>459</v>
      </c>
      <c r="B730" s="132">
        <v>1398</v>
      </c>
      <c r="C730" s="133" t="s">
        <v>293</v>
      </c>
      <c r="D730" s="134">
        <v>2</v>
      </c>
    </row>
    <row r="731" spans="1:4" x14ac:dyDescent="0.2">
      <c r="A731" s="131">
        <v>460</v>
      </c>
      <c r="B731" s="132">
        <v>361</v>
      </c>
      <c r="C731" s="133" t="s">
        <v>383</v>
      </c>
      <c r="D731" s="134" t="s">
        <v>239</v>
      </c>
    </row>
    <row r="732" spans="1:4" x14ac:dyDescent="0.2">
      <c r="A732" s="131">
        <v>461</v>
      </c>
      <c r="B732" s="132">
        <v>361</v>
      </c>
      <c r="C732" s="133" t="s">
        <v>383</v>
      </c>
      <c r="D732" s="134" t="s">
        <v>239</v>
      </c>
    </row>
    <row r="733" spans="1:4" x14ac:dyDescent="0.2">
      <c r="A733" s="131">
        <v>462</v>
      </c>
      <c r="B733" s="132">
        <v>362</v>
      </c>
      <c r="C733" s="133" t="s">
        <v>384</v>
      </c>
      <c r="D733" s="134" t="s">
        <v>239</v>
      </c>
    </row>
    <row r="734" spans="1:4" x14ac:dyDescent="0.2">
      <c r="A734" s="131">
        <v>463</v>
      </c>
      <c r="B734" s="132">
        <v>363</v>
      </c>
      <c r="C734" s="133" t="s">
        <v>385</v>
      </c>
      <c r="D734" s="134" t="s">
        <v>239</v>
      </c>
    </row>
    <row r="735" spans="1:4" x14ac:dyDescent="0.2">
      <c r="A735" s="131">
        <v>464</v>
      </c>
      <c r="B735" s="132">
        <v>364</v>
      </c>
      <c r="C735" s="133" t="s">
        <v>386</v>
      </c>
      <c r="D735" s="134">
        <v>1</v>
      </c>
    </row>
    <row r="736" spans="1:4" x14ac:dyDescent="0.2">
      <c r="A736" s="131">
        <v>464</v>
      </c>
      <c r="B736" s="132">
        <v>365</v>
      </c>
      <c r="C736" s="133" t="s">
        <v>386</v>
      </c>
      <c r="D736" s="134">
        <v>1</v>
      </c>
    </row>
    <row r="737" spans="1:4" x14ac:dyDescent="0.2">
      <c r="A737" s="131">
        <v>465</v>
      </c>
      <c r="B737" s="132">
        <v>1410</v>
      </c>
      <c r="C737" s="133" t="s">
        <v>387</v>
      </c>
      <c r="D737" s="134">
        <v>1</v>
      </c>
    </row>
    <row r="738" spans="1:4" x14ac:dyDescent="0.2">
      <c r="A738" s="131">
        <v>465</v>
      </c>
      <c r="B738" s="132">
        <v>1411</v>
      </c>
      <c r="C738" s="133" t="s">
        <v>387</v>
      </c>
      <c r="D738" s="134">
        <v>1</v>
      </c>
    </row>
    <row r="739" spans="1:4" x14ac:dyDescent="0.2">
      <c r="A739" s="131">
        <v>466</v>
      </c>
      <c r="B739" s="132">
        <v>366</v>
      </c>
      <c r="C739" s="133" t="s">
        <v>388</v>
      </c>
      <c r="D739" s="134" t="s">
        <v>476</v>
      </c>
    </row>
    <row r="740" spans="1:4" x14ac:dyDescent="0.2">
      <c r="A740" s="131">
        <v>467</v>
      </c>
      <c r="B740" s="132">
        <v>367</v>
      </c>
      <c r="C740" s="133" t="s">
        <v>388</v>
      </c>
      <c r="D740" s="134" t="s">
        <v>476</v>
      </c>
    </row>
    <row r="741" spans="1:4" x14ac:dyDescent="0.2">
      <c r="A741" s="131">
        <v>468</v>
      </c>
      <c r="B741" s="132">
        <v>368</v>
      </c>
      <c r="C741" s="133" t="s">
        <v>388</v>
      </c>
      <c r="D741" s="134" t="s">
        <v>476</v>
      </c>
    </row>
    <row r="742" spans="1:4" x14ac:dyDescent="0.2">
      <c r="A742" s="131">
        <v>469</v>
      </c>
      <c r="B742" s="132">
        <v>369</v>
      </c>
      <c r="C742" s="133" t="s">
        <v>388</v>
      </c>
      <c r="D742" s="134" t="s">
        <v>476</v>
      </c>
    </row>
    <row r="743" spans="1:4" x14ac:dyDescent="0.2">
      <c r="A743" s="131">
        <v>470</v>
      </c>
      <c r="B743" s="132">
        <v>370</v>
      </c>
      <c r="C743" s="133" t="s">
        <v>388</v>
      </c>
      <c r="D743" s="134" t="s">
        <v>476</v>
      </c>
    </row>
    <row r="744" spans="1:4" x14ac:dyDescent="0.2">
      <c r="A744" s="131">
        <v>473</v>
      </c>
      <c r="B744" s="132">
        <v>1412</v>
      </c>
      <c r="C744" s="133" t="s">
        <v>389</v>
      </c>
      <c r="D744" s="134">
        <v>1</v>
      </c>
    </row>
    <row r="745" spans="1:4" x14ac:dyDescent="0.2">
      <c r="A745" s="131">
        <v>473</v>
      </c>
      <c r="B745" s="132">
        <v>1413</v>
      </c>
      <c r="C745" s="133" t="s">
        <v>389</v>
      </c>
      <c r="D745" s="134">
        <v>2</v>
      </c>
    </row>
    <row r="746" spans="1:4" x14ac:dyDescent="0.2">
      <c r="A746" s="131">
        <v>474</v>
      </c>
      <c r="B746" s="132">
        <v>1414</v>
      </c>
      <c r="C746" s="133" t="s">
        <v>390</v>
      </c>
      <c r="D746" s="134" t="s">
        <v>239</v>
      </c>
    </row>
    <row r="747" spans="1:4" x14ac:dyDescent="0.2">
      <c r="A747" s="131">
        <v>475</v>
      </c>
      <c r="B747" s="132">
        <v>1415</v>
      </c>
      <c r="C747" s="133" t="s">
        <v>391</v>
      </c>
      <c r="D747" s="134">
        <v>1</v>
      </c>
    </row>
    <row r="748" spans="1:4" x14ac:dyDescent="0.2">
      <c r="A748" s="131">
        <v>475</v>
      </c>
      <c r="B748" s="132">
        <v>1416</v>
      </c>
      <c r="C748" s="133" t="s">
        <v>391</v>
      </c>
      <c r="D748" s="134">
        <v>2</v>
      </c>
    </row>
    <row r="749" spans="1:4" x14ac:dyDescent="0.2">
      <c r="A749" s="131">
        <v>476</v>
      </c>
      <c r="B749" s="132">
        <v>1417</v>
      </c>
      <c r="C749" s="133" t="s">
        <v>392</v>
      </c>
      <c r="D749" s="134" t="s">
        <v>239</v>
      </c>
    </row>
    <row r="750" spans="1:4" x14ac:dyDescent="0.2">
      <c r="A750" s="131">
        <v>477</v>
      </c>
      <c r="B750" s="132">
        <v>1418</v>
      </c>
      <c r="C750" s="133" t="s">
        <v>392</v>
      </c>
      <c r="D750" s="134" t="s">
        <v>239</v>
      </c>
    </row>
    <row r="751" spans="1:4" x14ac:dyDescent="0.2">
      <c r="A751" s="131">
        <v>478</v>
      </c>
      <c r="B751" s="132">
        <v>1419</v>
      </c>
      <c r="C751" s="133" t="s">
        <v>322</v>
      </c>
      <c r="D751" s="134">
        <v>1</v>
      </c>
    </row>
    <row r="752" spans="1:4" x14ac:dyDescent="0.2">
      <c r="A752" s="131">
        <v>478</v>
      </c>
      <c r="B752" s="132">
        <v>1420</v>
      </c>
      <c r="C752" s="133" t="s">
        <v>322</v>
      </c>
      <c r="D752" s="134">
        <v>1</v>
      </c>
    </row>
    <row r="753" spans="1:4" x14ac:dyDescent="0.2">
      <c r="A753" s="131">
        <v>478</v>
      </c>
      <c r="B753" s="132">
        <v>1421</v>
      </c>
      <c r="C753" s="133" t="s">
        <v>322</v>
      </c>
      <c r="D753" s="134">
        <v>2</v>
      </c>
    </row>
    <row r="754" spans="1:4" x14ac:dyDescent="0.2">
      <c r="A754" s="131">
        <v>479</v>
      </c>
      <c r="B754" s="132">
        <v>1424</v>
      </c>
      <c r="C754" s="133" t="s">
        <v>380</v>
      </c>
      <c r="D754" s="134">
        <v>2</v>
      </c>
    </row>
    <row r="755" spans="1:4" x14ac:dyDescent="0.2">
      <c r="A755" s="131">
        <v>479</v>
      </c>
      <c r="B755" s="132">
        <v>1425</v>
      </c>
      <c r="C755" s="133" t="s">
        <v>380</v>
      </c>
      <c r="D755" s="134">
        <v>1</v>
      </c>
    </row>
    <row r="756" spans="1:4" x14ac:dyDescent="0.2">
      <c r="A756" s="131">
        <v>480</v>
      </c>
      <c r="B756" s="132">
        <v>1426</v>
      </c>
      <c r="C756" s="133" t="s">
        <v>380</v>
      </c>
      <c r="D756" s="134">
        <v>2</v>
      </c>
    </row>
    <row r="757" spans="1:4" x14ac:dyDescent="0.2">
      <c r="A757" s="131">
        <v>480</v>
      </c>
      <c r="B757" s="132">
        <v>1427</v>
      </c>
      <c r="C757" s="133" t="s">
        <v>380</v>
      </c>
      <c r="D757" s="134">
        <v>1</v>
      </c>
    </row>
    <row r="758" spans="1:4" x14ac:dyDescent="0.2">
      <c r="A758" s="131">
        <v>481</v>
      </c>
      <c r="B758" s="132">
        <v>1428</v>
      </c>
      <c r="C758" s="133" t="s">
        <v>380</v>
      </c>
      <c r="D758" s="134">
        <v>2</v>
      </c>
    </row>
    <row r="759" spans="1:4" x14ac:dyDescent="0.2">
      <c r="A759" s="131">
        <v>481</v>
      </c>
      <c r="B759" s="132">
        <v>1429</v>
      </c>
      <c r="C759" s="133" t="s">
        <v>380</v>
      </c>
      <c r="D759" s="134">
        <v>1</v>
      </c>
    </row>
    <row r="760" spans="1:4" x14ac:dyDescent="0.2">
      <c r="A760" s="131">
        <v>482</v>
      </c>
      <c r="B760" s="132">
        <v>378</v>
      </c>
      <c r="C760" s="133" t="s">
        <v>393</v>
      </c>
      <c r="D760" s="134" t="s">
        <v>394</v>
      </c>
    </row>
    <row r="761" spans="1:4" x14ac:dyDescent="0.2">
      <c r="A761" s="131">
        <v>483</v>
      </c>
      <c r="B761" s="132">
        <v>379</v>
      </c>
      <c r="C761" s="133" t="s">
        <v>395</v>
      </c>
      <c r="D761" s="134" t="s">
        <v>394</v>
      </c>
    </row>
    <row r="762" spans="1:4" x14ac:dyDescent="0.2">
      <c r="A762" s="131">
        <v>484</v>
      </c>
      <c r="B762" s="132">
        <v>380</v>
      </c>
      <c r="C762" s="133" t="s">
        <v>396</v>
      </c>
      <c r="D762" s="134" t="s">
        <v>394</v>
      </c>
    </row>
    <row r="763" spans="1:4" x14ac:dyDescent="0.2">
      <c r="A763" s="131">
        <v>485</v>
      </c>
      <c r="B763" s="132">
        <v>381</v>
      </c>
      <c r="C763" s="133" t="s">
        <v>397</v>
      </c>
      <c r="D763" s="134" t="s">
        <v>394</v>
      </c>
    </row>
    <row r="764" spans="1:4" x14ac:dyDescent="0.2">
      <c r="A764" s="131">
        <v>486</v>
      </c>
      <c r="B764" s="132">
        <v>382</v>
      </c>
      <c r="C764" s="133" t="s">
        <v>398</v>
      </c>
      <c r="D764" s="134" t="s">
        <v>394</v>
      </c>
    </row>
    <row r="765" spans="1:4" x14ac:dyDescent="0.2">
      <c r="A765" s="131">
        <v>487</v>
      </c>
      <c r="B765" s="132">
        <v>383</v>
      </c>
      <c r="C765" s="133" t="s">
        <v>399</v>
      </c>
      <c r="D765" s="134" t="s">
        <v>394</v>
      </c>
    </row>
    <row r="766" spans="1:4" x14ac:dyDescent="0.2">
      <c r="A766" s="131">
        <v>488</v>
      </c>
      <c r="B766" s="132">
        <v>384</v>
      </c>
      <c r="C766" s="133" t="s">
        <v>400</v>
      </c>
      <c r="D766" s="134" t="s">
        <v>394</v>
      </c>
    </row>
    <row r="767" spans="1:4" x14ac:dyDescent="0.2">
      <c r="A767" s="131">
        <v>489</v>
      </c>
      <c r="B767" s="132">
        <v>385</v>
      </c>
      <c r="C767" s="133" t="s">
        <v>401</v>
      </c>
      <c r="D767" s="134" t="s">
        <v>394</v>
      </c>
    </row>
    <row r="768" spans="1:4" x14ac:dyDescent="0.2">
      <c r="A768" s="131">
        <v>490</v>
      </c>
      <c r="B768" s="132">
        <v>386</v>
      </c>
      <c r="C768" s="133" t="s">
        <v>402</v>
      </c>
      <c r="D768" s="134" t="s">
        <v>394</v>
      </c>
    </row>
    <row r="769" spans="1:4" x14ac:dyDescent="0.2">
      <c r="A769" s="131">
        <v>491</v>
      </c>
      <c r="B769" s="132">
        <v>387</v>
      </c>
      <c r="C769" s="133" t="s">
        <v>403</v>
      </c>
      <c r="D769" s="134" t="s">
        <v>394</v>
      </c>
    </row>
    <row r="770" spans="1:4" x14ac:dyDescent="0.2">
      <c r="A770" s="131">
        <v>492</v>
      </c>
      <c r="B770" s="132">
        <v>388</v>
      </c>
      <c r="C770" s="133" t="s">
        <v>404</v>
      </c>
      <c r="D770" s="134" t="s">
        <v>394</v>
      </c>
    </row>
    <row r="771" spans="1:4" x14ac:dyDescent="0.2">
      <c r="A771" s="131">
        <v>493</v>
      </c>
      <c r="B771" s="132">
        <v>389</v>
      </c>
      <c r="C771" s="133" t="s">
        <v>405</v>
      </c>
      <c r="D771" s="134" t="s">
        <v>394</v>
      </c>
    </row>
    <row r="772" spans="1:4" x14ac:dyDescent="0.2">
      <c r="A772" s="131">
        <v>494</v>
      </c>
      <c r="B772" s="132">
        <v>390</v>
      </c>
      <c r="C772" s="133" t="s">
        <v>406</v>
      </c>
      <c r="D772" s="134" t="s">
        <v>394</v>
      </c>
    </row>
    <row r="773" spans="1:4" x14ac:dyDescent="0.2">
      <c r="A773" s="131">
        <v>495</v>
      </c>
      <c r="B773" s="132">
        <v>391</v>
      </c>
      <c r="C773" s="133" t="s">
        <v>407</v>
      </c>
      <c r="D773" s="134" t="s">
        <v>394</v>
      </c>
    </row>
    <row r="774" spans="1:4" x14ac:dyDescent="0.2">
      <c r="A774" s="131">
        <v>496</v>
      </c>
      <c r="B774" s="132">
        <v>392</v>
      </c>
      <c r="C774" s="133" t="s">
        <v>408</v>
      </c>
      <c r="D774" s="134" t="s">
        <v>394</v>
      </c>
    </row>
    <row r="775" spans="1:4" x14ac:dyDescent="0.2">
      <c r="A775" s="131">
        <v>497</v>
      </c>
      <c r="B775" s="132">
        <v>393</v>
      </c>
      <c r="C775" s="133" t="s">
        <v>409</v>
      </c>
      <c r="D775" s="134" t="s">
        <v>394</v>
      </c>
    </row>
    <row r="776" spans="1:4" x14ac:dyDescent="0.2">
      <c r="A776" s="131">
        <v>498</v>
      </c>
      <c r="B776" s="132">
        <v>394</v>
      </c>
      <c r="C776" s="133" t="s">
        <v>410</v>
      </c>
      <c r="D776" s="134" t="s">
        <v>394</v>
      </c>
    </row>
    <row r="777" spans="1:4" x14ac:dyDescent="0.2">
      <c r="A777" s="131">
        <v>701</v>
      </c>
      <c r="B777" s="132">
        <v>343</v>
      </c>
      <c r="C777" s="133" t="s">
        <v>411</v>
      </c>
      <c r="D777" s="134" t="s">
        <v>239</v>
      </c>
    </row>
    <row r="778" spans="1:4" x14ac:dyDescent="0.2">
      <c r="A778" s="131">
        <v>702</v>
      </c>
      <c r="B778" s="132">
        <v>344</v>
      </c>
      <c r="C778" s="133" t="s">
        <v>411</v>
      </c>
      <c r="D778" s="134" t="s">
        <v>239</v>
      </c>
    </row>
    <row r="779" spans="1:4" x14ac:dyDescent="0.2">
      <c r="A779" s="131">
        <v>703</v>
      </c>
      <c r="B779" s="132">
        <v>317</v>
      </c>
      <c r="C779" s="133" t="s">
        <v>345</v>
      </c>
      <c r="D779" s="134" t="s">
        <v>239</v>
      </c>
    </row>
    <row r="780" spans="1:4" x14ac:dyDescent="0.2">
      <c r="A780" s="131">
        <v>704</v>
      </c>
      <c r="B780" s="132">
        <v>318</v>
      </c>
      <c r="C780" s="133" t="s">
        <v>345</v>
      </c>
      <c r="D780" s="134" t="s">
        <v>239</v>
      </c>
    </row>
    <row r="781" spans="1:4" x14ac:dyDescent="0.2">
      <c r="A781" s="131">
        <v>705</v>
      </c>
      <c r="B781" s="132">
        <v>319</v>
      </c>
      <c r="C781" s="133" t="s">
        <v>345</v>
      </c>
      <c r="D781" s="134" t="s">
        <v>239</v>
      </c>
    </row>
    <row r="782" spans="1:4" x14ac:dyDescent="0.2">
      <c r="A782" s="131">
        <v>706</v>
      </c>
      <c r="B782" s="132">
        <v>320</v>
      </c>
      <c r="C782" s="133" t="s">
        <v>345</v>
      </c>
      <c r="D782" s="134" t="s">
        <v>239</v>
      </c>
    </row>
    <row r="783" spans="1:4" x14ac:dyDescent="0.2">
      <c r="A783" s="131">
        <v>707</v>
      </c>
      <c r="B783" s="132">
        <v>321</v>
      </c>
      <c r="C783" s="133" t="s">
        <v>345</v>
      </c>
      <c r="D783" s="134" t="s">
        <v>239</v>
      </c>
    </row>
    <row r="784" spans="1:4" x14ac:dyDescent="0.2">
      <c r="A784" s="131">
        <v>708</v>
      </c>
      <c r="B784" s="132">
        <v>322</v>
      </c>
      <c r="C784" s="133" t="s">
        <v>345</v>
      </c>
      <c r="D784" s="134" t="s">
        <v>239</v>
      </c>
    </row>
    <row r="785" spans="1:4" x14ac:dyDescent="0.2">
      <c r="A785" s="131">
        <v>709</v>
      </c>
      <c r="B785" s="132">
        <v>323</v>
      </c>
      <c r="C785" s="133" t="s">
        <v>345</v>
      </c>
      <c r="D785" s="134" t="s">
        <v>239</v>
      </c>
    </row>
    <row r="786" spans="1:4" x14ac:dyDescent="0.2">
      <c r="A786" s="131">
        <v>710</v>
      </c>
      <c r="B786" s="132">
        <v>324</v>
      </c>
      <c r="C786" s="133" t="s">
        <v>345</v>
      </c>
      <c r="D786" s="134" t="s">
        <v>239</v>
      </c>
    </row>
    <row r="787" spans="1:4" x14ac:dyDescent="0.2">
      <c r="A787" s="131">
        <v>711</v>
      </c>
      <c r="B787" s="132">
        <v>325</v>
      </c>
      <c r="C787" s="133" t="s">
        <v>345</v>
      </c>
      <c r="D787" s="134" t="s">
        <v>239</v>
      </c>
    </row>
    <row r="788" spans="1:4" x14ac:dyDescent="0.2">
      <c r="A788" s="131">
        <v>712</v>
      </c>
      <c r="B788" s="132">
        <v>326</v>
      </c>
      <c r="C788" s="133" t="s">
        <v>412</v>
      </c>
      <c r="D788" s="134" t="s">
        <v>239</v>
      </c>
    </row>
    <row r="789" spans="1:4" x14ac:dyDescent="0.2">
      <c r="A789" s="131">
        <v>713</v>
      </c>
      <c r="B789" s="132">
        <v>328</v>
      </c>
      <c r="C789" s="133" t="s">
        <v>412</v>
      </c>
      <c r="D789" s="134" t="s">
        <v>239</v>
      </c>
    </row>
    <row r="790" spans="1:4" x14ac:dyDescent="0.2">
      <c r="A790" s="131">
        <v>714</v>
      </c>
      <c r="B790" s="132">
        <v>329</v>
      </c>
      <c r="C790" s="133" t="s">
        <v>412</v>
      </c>
      <c r="D790" s="134" t="s">
        <v>239</v>
      </c>
    </row>
    <row r="791" spans="1:4" x14ac:dyDescent="0.2">
      <c r="A791" s="131">
        <v>715</v>
      </c>
      <c r="B791" s="132">
        <v>330</v>
      </c>
      <c r="C791" s="133" t="s">
        <v>412</v>
      </c>
      <c r="D791" s="134" t="s">
        <v>239</v>
      </c>
    </row>
    <row r="792" spans="1:4" x14ac:dyDescent="0.2">
      <c r="A792" s="131">
        <v>716</v>
      </c>
      <c r="B792" s="132">
        <v>339</v>
      </c>
      <c r="C792" s="133" t="s">
        <v>413</v>
      </c>
      <c r="D792" s="134" t="s">
        <v>239</v>
      </c>
    </row>
    <row r="793" spans="1:4" x14ac:dyDescent="0.2">
      <c r="A793" s="131">
        <v>717</v>
      </c>
      <c r="B793" s="132">
        <v>340</v>
      </c>
      <c r="C793" s="133" t="s">
        <v>413</v>
      </c>
      <c r="D793" s="134" t="s">
        <v>239</v>
      </c>
    </row>
    <row r="794" spans="1:4" x14ac:dyDescent="0.2">
      <c r="A794" s="131">
        <v>718</v>
      </c>
      <c r="B794" s="132">
        <v>341</v>
      </c>
      <c r="C794" s="133" t="s">
        <v>414</v>
      </c>
      <c r="D794" s="134" t="s">
        <v>239</v>
      </c>
    </row>
    <row r="795" spans="1:4" x14ac:dyDescent="0.2">
      <c r="A795" s="131">
        <v>719</v>
      </c>
      <c r="B795" s="132">
        <v>342</v>
      </c>
      <c r="C795" s="133" t="s">
        <v>414</v>
      </c>
      <c r="D795" s="134" t="s">
        <v>239</v>
      </c>
    </row>
    <row r="796" spans="1:4" x14ac:dyDescent="0.2">
      <c r="A796" s="131">
        <v>720</v>
      </c>
      <c r="B796" s="132">
        <v>331</v>
      </c>
      <c r="C796" s="133" t="s">
        <v>278</v>
      </c>
      <c r="D796" s="134">
        <v>1</v>
      </c>
    </row>
    <row r="797" spans="1:4" x14ac:dyDescent="0.2">
      <c r="A797" s="131">
        <v>720</v>
      </c>
      <c r="B797" s="132">
        <v>332</v>
      </c>
      <c r="C797" s="133" t="s">
        <v>278</v>
      </c>
      <c r="D797" s="134">
        <v>1</v>
      </c>
    </row>
    <row r="798" spans="1:4" x14ac:dyDescent="0.2">
      <c r="A798" s="131">
        <v>720</v>
      </c>
      <c r="B798" s="132">
        <v>333</v>
      </c>
      <c r="C798" s="133" t="s">
        <v>278</v>
      </c>
      <c r="D798" s="134">
        <v>2</v>
      </c>
    </row>
    <row r="799" spans="1:4" x14ac:dyDescent="0.2">
      <c r="A799" s="131">
        <v>721</v>
      </c>
      <c r="B799" s="132">
        <v>327</v>
      </c>
      <c r="C799" s="133" t="s">
        <v>415</v>
      </c>
      <c r="D799" s="134">
        <v>2</v>
      </c>
    </row>
    <row r="800" spans="1:4" x14ac:dyDescent="0.2">
      <c r="A800" s="131">
        <v>721</v>
      </c>
      <c r="B800" s="132">
        <v>336</v>
      </c>
      <c r="C800" s="133" t="s">
        <v>415</v>
      </c>
      <c r="D800" s="134">
        <v>1</v>
      </c>
    </row>
    <row r="801" spans="1:4" x14ac:dyDescent="0.2">
      <c r="A801" s="131">
        <v>722</v>
      </c>
      <c r="B801" s="132">
        <v>13067</v>
      </c>
      <c r="C801" s="133" t="s">
        <v>415</v>
      </c>
      <c r="D801" s="134">
        <v>2</v>
      </c>
    </row>
    <row r="802" spans="1:4" x14ac:dyDescent="0.2">
      <c r="A802" s="131">
        <v>722</v>
      </c>
      <c r="B802" s="132">
        <v>13068</v>
      </c>
      <c r="C802" s="133" t="s">
        <v>415</v>
      </c>
      <c r="D802" s="134">
        <v>1</v>
      </c>
    </row>
    <row r="803" spans="1:4" x14ac:dyDescent="0.2">
      <c r="A803" s="131">
        <v>723</v>
      </c>
      <c r="B803" s="132">
        <v>13070</v>
      </c>
      <c r="C803" s="133" t="s">
        <v>415</v>
      </c>
      <c r="D803" s="134">
        <v>2</v>
      </c>
    </row>
    <row r="804" spans="1:4" x14ac:dyDescent="0.2">
      <c r="A804" s="131">
        <v>723</v>
      </c>
      <c r="B804" s="132">
        <v>13071</v>
      </c>
      <c r="C804" s="133" t="s">
        <v>415</v>
      </c>
      <c r="D804" s="134">
        <v>1</v>
      </c>
    </row>
    <row r="805" spans="1:4" x14ac:dyDescent="0.2">
      <c r="A805" s="131">
        <v>724</v>
      </c>
      <c r="B805" s="132">
        <v>13073</v>
      </c>
      <c r="C805" s="133" t="s">
        <v>415</v>
      </c>
      <c r="D805" s="134">
        <v>2</v>
      </c>
    </row>
    <row r="806" spans="1:4" x14ac:dyDescent="0.2">
      <c r="A806" s="131">
        <v>724</v>
      </c>
      <c r="B806" s="132">
        <v>13074</v>
      </c>
      <c r="C806" s="133" t="s">
        <v>415</v>
      </c>
      <c r="D806" s="134">
        <v>1</v>
      </c>
    </row>
    <row r="807" spans="1:4" x14ac:dyDescent="0.2">
      <c r="A807" s="131">
        <v>725</v>
      </c>
      <c r="B807" s="132">
        <v>13076</v>
      </c>
      <c r="C807" s="133" t="s">
        <v>415</v>
      </c>
      <c r="D807" s="134">
        <v>2</v>
      </c>
    </row>
    <row r="808" spans="1:4" x14ac:dyDescent="0.2">
      <c r="A808" s="131">
        <v>725</v>
      </c>
      <c r="B808" s="132">
        <v>13077</v>
      </c>
      <c r="C808" s="133" t="s">
        <v>415</v>
      </c>
      <c r="D808" s="134">
        <v>1</v>
      </c>
    </row>
    <row r="809" spans="1:4" x14ac:dyDescent="0.2">
      <c r="A809" s="131">
        <v>726</v>
      </c>
      <c r="B809" s="132">
        <v>13079</v>
      </c>
      <c r="C809" s="133" t="s">
        <v>415</v>
      </c>
      <c r="D809" s="134">
        <v>2</v>
      </c>
    </row>
    <row r="810" spans="1:4" x14ac:dyDescent="0.2">
      <c r="A810" s="131">
        <v>726</v>
      </c>
      <c r="B810" s="132">
        <v>13080</v>
      </c>
      <c r="C810" s="133" t="s">
        <v>415</v>
      </c>
      <c r="D810" s="134">
        <v>1</v>
      </c>
    </row>
    <row r="811" spans="1:4" x14ac:dyDescent="0.2">
      <c r="A811" s="131">
        <v>727</v>
      </c>
      <c r="B811" s="132">
        <v>13032</v>
      </c>
      <c r="C811" s="133" t="s">
        <v>415</v>
      </c>
      <c r="D811" s="134">
        <v>2</v>
      </c>
    </row>
    <row r="812" spans="1:4" x14ac:dyDescent="0.2">
      <c r="A812" s="131">
        <v>727</v>
      </c>
      <c r="B812" s="132">
        <v>13033</v>
      </c>
      <c r="C812" s="133" t="s">
        <v>415</v>
      </c>
      <c r="D812" s="134">
        <v>1</v>
      </c>
    </row>
    <row r="813" spans="1:4" x14ac:dyDescent="0.2">
      <c r="A813" s="131">
        <v>728</v>
      </c>
      <c r="B813" s="132">
        <v>13034</v>
      </c>
      <c r="C813" s="133" t="s">
        <v>416</v>
      </c>
      <c r="D813" s="134">
        <v>2</v>
      </c>
    </row>
    <row r="814" spans="1:4" x14ac:dyDescent="0.2">
      <c r="A814" s="131">
        <v>729</v>
      </c>
      <c r="B814" s="132">
        <v>13035</v>
      </c>
      <c r="C814" s="133" t="s">
        <v>415</v>
      </c>
      <c r="D814" s="134">
        <v>2</v>
      </c>
    </row>
    <row r="815" spans="1:4" x14ac:dyDescent="0.2">
      <c r="A815" s="131">
        <v>729</v>
      </c>
      <c r="B815" s="132">
        <v>13036</v>
      </c>
      <c r="C815" s="133" t="s">
        <v>415</v>
      </c>
      <c r="D815" s="134">
        <v>1</v>
      </c>
    </row>
    <row r="816" spans="1:4" x14ac:dyDescent="0.2">
      <c r="A816" s="131">
        <v>730</v>
      </c>
      <c r="B816" s="132">
        <v>13037</v>
      </c>
      <c r="C816" s="133" t="s">
        <v>416</v>
      </c>
      <c r="D816" s="134">
        <v>2</v>
      </c>
    </row>
    <row r="817" spans="1:4" x14ac:dyDescent="0.2">
      <c r="A817" s="131">
        <v>731</v>
      </c>
      <c r="B817" s="132">
        <v>13038</v>
      </c>
      <c r="C817" s="133" t="s">
        <v>415</v>
      </c>
      <c r="D817" s="134">
        <v>2</v>
      </c>
    </row>
    <row r="818" spans="1:4" x14ac:dyDescent="0.2">
      <c r="A818" s="131">
        <v>731</v>
      </c>
      <c r="B818" s="132">
        <v>13039</v>
      </c>
      <c r="C818" s="133" t="s">
        <v>415</v>
      </c>
      <c r="D818" s="134">
        <v>1</v>
      </c>
    </row>
    <row r="819" spans="1:4" x14ac:dyDescent="0.2">
      <c r="A819" s="131">
        <v>732</v>
      </c>
      <c r="B819" s="132">
        <v>13040</v>
      </c>
      <c r="C819" s="133" t="s">
        <v>416</v>
      </c>
      <c r="D819" s="134">
        <v>2</v>
      </c>
    </row>
    <row r="820" spans="1:4" x14ac:dyDescent="0.2">
      <c r="A820" s="131">
        <v>733</v>
      </c>
      <c r="B820" s="132">
        <v>13041</v>
      </c>
      <c r="C820" s="133" t="s">
        <v>415</v>
      </c>
      <c r="D820" s="134">
        <v>2</v>
      </c>
    </row>
    <row r="821" spans="1:4" x14ac:dyDescent="0.2">
      <c r="A821" s="131">
        <v>733</v>
      </c>
      <c r="B821" s="132">
        <v>13042</v>
      </c>
      <c r="C821" s="133" t="s">
        <v>415</v>
      </c>
      <c r="D821" s="134">
        <v>1</v>
      </c>
    </row>
    <row r="822" spans="1:4" x14ac:dyDescent="0.2">
      <c r="A822" s="131">
        <v>734</v>
      </c>
      <c r="B822" s="132">
        <v>13043</v>
      </c>
      <c r="C822" s="133" t="s">
        <v>416</v>
      </c>
      <c r="D822" s="134">
        <v>2</v>
      </c>
    </row>
    <row r="823" spans="1:4" x14ac:dyDescent="0.2">
      <c r="A823" s="131">
        <v>735</v>
      </c>
      <c r="B823" s="132">
        <v>13044</v>
      </c>
      <c r="C823" s="133" t="s">
        <v>415</v>
      </c>
      <c r="D823" s="134">
        <v>2</v>
      </c>
    </row>
    <row r="824" spans="1:4" x14ac:dyDescent="0.2">
      <c r="A824" s="131">
        <v>735</v>
      </c>
      <c r="B824" s="132">
        <v>13045</v>
      </c>
      <c r="C824" s="133" t="s">
        <v>415</v>
      </c>
      <c r="D824" s="134">
        <v>1</v>
      </c>
    </row>
    <row r="825" spans="1:4" x14ac:dyDescent="0.2">
      <c r="A825" s="131">
        <v>736</v>
      </c>
      <c r="B825" s="132">
        <v>13046</v>
      </c>
      <c r="C825" s="133" t="s">
        <v>416</v>
      </c>
      <c r="D825" s="134">
        <v>2</v>
      </c>
    </row>
    <row r="826" spans="1:4" x14ac:dyDescent="0.2">
      <c r="A826" s="131">
        <v>737</v>
      </c>
      <c r="B826" s="132">
        <v>13047</v>
      </c>
      <c r="C826" s="133" t="s">
        <v>415</v>
      </c>
      <c r="D826" s="134">
        <v>2</v>
      </c>
    </row>
    <row r="827" spans="1:4" x14ac:dyDescent="0.2">
      <c r="A827" s="131">
        <v>737</v>
      </c>
      <c r="B827" s="132">
        <v>13048</v>
      </c>
      <c r="C827" s="133" t="s">
        <v>415</v>
      </c>
      <c r="D827" s="134">
        <v>1</v>
      </c>
    </row>
    <row r="828" spans="1:4" x14ac:dyDescent="0.2">
      <c r="A828" s="131">
        <v>738</v>
      </c>
      <c r="B828" s="132">
        <v>13049</v>
      </c>
      <c r="C828" s="133" t="s">
        <v>416</v>
      </c>
      <c r="D828" s="134">
        <v>2</v>
      </c>
    </row>
    <row r="829" spans="1:4" x14ac:dyDescent="0.2">
      <c r="A829" s="131">
        <v>739</v>
      </c>
      <c r="B829" s="132">
        <v>13050</v>
      </c>
      <c r="C829" s="133" t="s">
        <v>415</v>
      </c>
      <c r="D829" s="134">
        <v>2</v>
      </c>
    </row>
    <row r="830" spans="1:4" x14ac:dyDescent="0.2">
      <c r="A830" s="131">
        <v>739</v>
      </c>
      <c r="B830" s="132">
        <v>13051</v>
      </c>
      <c r="C830" s="133" t="s">
        <v>415</v>
      </c>
      <c r="D830" s="134">
        <v>1</v>
      </c>
    </row>
    <row r="831" spans="1:4" x14ac:dyDescent="0.2">
      <c r="A831" s="131">
        <v>740</v>
      </c>
      <c r="B831" s="132">
        <v>13052</v>
      </c>
      <c r="C831" s="133" t="s">
        <v>416</v>
      </c>
      <c r="D831" s="134">
        <v>2</v>
      </c>
    </row>
    <row r="832" spans="1:4" x14ac:dyDescent="0.2">
      <c r="A832" s="131">
        <v>741</v>
      </c>
      <c r="B832" s="132">
        <v>13053</v>
      </c>
      <c r="C832" s="133" t="s">
        <v>415</v>
      </c>
      <c r="D832" s="134">
        <v>2</v>
      </c>
    </row>
    <row r="833" spans="1:4" x14ac:dyDescent="0.2">
      <c r="A833" s="131">
        <v>741</v>
      </c>
      <c r="B833" s="132">
        <v>13054</v>
      </c>
      <c r="C833" s="133" t="s">
        <v>415</v>
      </c>
      <c r="D833" s="134">
        <v>1</v>
      </c>
    </row>
    <row r="834" spans="1:4" x14ac:dyDescent="0.2">
      <c r="A834" s="131">
        <v>742</v>
      </c>
      <c r="B834" s="132">
        <v>13055</v>
      </c>
      <c r="C834" s="133" t="s">
        <v>416</v>
      </c>
      <c r="D834" s="134">
        <v>2</v>
      </c>
    </row>
    <row r="835" spans="1:4" x14ac:dyDescent="0.2">
      <c r="A835" s="131">
        <v>743</v>
      </c>
      <c r="B835" s="132">
        <v>13056</v>
      </c>
      <c r="C835" s="133" t="s">
        <v>415</v>
      </c>
      <c r="D835" s="134">
        <v>2</v>
      </c>
    </row>
    <row r="836" spans="1:4" x14ac:dyDescent="0.2">
      <c r="A836" s="131">
        <v>743</v>
      </c>
      <c r="B836" s="132">
        <v>13057</v>
      </c>
      <c r="C836" s="133" t="s">
        <v>415</v>
      </c>
      <c r="D836" s="134">
        <v>1</v>
      </c>
    </row>
    <row r="837" spans="1:4" x14ac:dyDescent="0.2">
      <c r="A837" s="131">
        <v>744</v>
      </c>
      <c r="B837" s="132">
        <v>13058</v>
      </c>
      <c r="C837" s="133" t="s">
        <v>416</v>
      </c>
      <c r="D837" s="134">
        <v>2</v>
      </c>
    </row>
    <row r="838" spans="1:4" x14ac:dyDescent="0.2">
      <c r="A838" s="131">
        <v>745</v>
      </c>
      <c r="B838" s="132">
        <v>13059</v>
      </c>
      <c r="C838" s="133" t="s">
        <v>415</v>
      </c>
      <c r="D838" s="134">
        <v>2</v>
      </c>
    </row>
    <row r="839" spans="1:4" x14ac:dyDescent="0.2">
      <c r="A839" s="131">
        <v>745</v>
      </c>
      <c r="B839" s="132">
        <v>13060</v>
      </c>
      <c r="C839" s="133" t="s">
        <v>415</v>
      </c>
      <c r="D839" s="134">
        <v>1</v>
      </c>
    </row>
    <row r="840" spans="1:4" x14ac:dyDescent="0.2">
      <c r="A840" s="131">
        <v>746</v>
      </c>
      <c r="B840" s="132">
        <v>13061</v>
      </c>
      <c r="C840" s="133" t="s">
        <v>416</v>
      </c>
      <c r="D840" s="134">
        <v>2</v>
      </c>
    </row>
    <row r="841" spans="1:4" x14ac:dyDescent="0.2">
      <c r="A841" s="131">
        <v>747</v>
      </c>
      <c r="B841" s="132">
        <v>13062</v>
      </c>
      <c r="C841" s="133" t="s">
        <v>415</v>
      </c>
      <c r="D841" s="134">
        <v>2</v>
      </c>
    </row>
    <row r="842" spans="1:4" x14ac:dyDescent="0.2">
      <c r="A842" s="131">
        <v>747</v>
      </c>
      <c r="B842" s="132">
        <v>13063</v>
      </c>
      <c r="C842" s="133" t="s">
        <v>415</v>
      </c>
      <c r="D842" s="134">
        <v>1</v>
      </c>
    </row>
    <row r="843" spans="1:4" x14ac:dyDescent="0.2">
      <c r="A843" s="131">
        <v>748</v>
      </c>
      <c r="B843" s="132">
        <v>13064</v>
      </c>
      <c r="C843" s="133" t="s">
        <v>415</v>
      </c>
      <c r="D843" s="134">
        <v>2</v>
      </c>
    </row>
    <row r="844" spans="1:4" x14ac:dyDescent="0.2">
      <c r="A844" s="131">
        <v>748</v>
      </c>
      <c r="B844" s="132">
        <v>13065</v>
      </c>
      <c r="C844" s="133" t="s">
        <v>415</v>
      </c>
      <c r="D844" s="134">
        <v>1</v>
      </c>
    </row>
    <row r="845" spans="1:4" x14ac:dyDescent="0.2">
      <c r="A845" s="131">
        <v>749</v>
      </c>
      <c r="B845" s="132">
        <v>13066</v>
      </c>
      <c r="C845" s="133" t="s">
        <v>416</v>
      </c>
      <c r="D845" s="134">
        <v>2</v>
      </c>
    </row>
    <row r="846" spans="1:4" x14ac:dyDescent="0.2">
      <c r="A846" s="131">
        <v>752</v>
      </c>
      <c r="B846" s="132">
        <v>13011</v>
      </c>
      <c r="C846" s="133" t="s">
        <v>415</v>
      </c>
      <c r="D846" s="134">
        <v>2</v>
      </c>
    </row>
    <row r="847" spans="1:4" x14ac:dyDescent="0.2">
      <c r="A847" s="131">
        <v>752</v>
      </c>
      <c r="B847" s="132">
        <v>13012</v>
      </c>
      <c r="C847" s="133" t="s">
        <v>415</v>
      </c>
      <c r="D847" s="134">
        <v>1</v>
      </c>
    </row>
    <row r="848" spans="1:4" x14ac:dyDescent="0.2">
      <c r="A848" s="131">
        <v>753</v>
      </c>
      <c r="B848" s="132">
        <v>13013</v>
      </c>
      <c r="C848" s="133" t="s">
        <v>417</v>
      </c>
      <c r="D848" s="134">
        <v>2</v>
      </c>
    </row>
    <row r="849" spans="1:4" x14ac:dyDescent="0.2">
      <c r="A849" s="131">
        <v>754</v>
      </c>
      <c r="B849" s="132">
        <v>13014</v>
      </c>
      <c r="C849" s="133" t="s">
        <v>415</v>
      </c>
      <c r="D849" s="134">
        <v>2</v>
      </c>
    </row>
    <row r="850" spans="1:4" x14ac:dyDescent="0.2">
      <c r="A850" s="131">
        <v>754</v>
      </c>
      <c r="B850" s="132">
        <v>13015</v>
      </c>
      <c r="C850" s="133" t="s">
        <v>415</v>
      </c>
      <c r="D850" s="134">
        <v>1</v>
      </c>
    </row>
    <row r="851" spans="1:4" x14ac:dyDescent="0.2">
      <c r="A851" s="131">
        <v>755</v>
      </c>
      <c r="B851" s="132">
        <v>13016</v>
      </c>
      <c r="C851" s="133" t="s">
        <v>417</v>
      </c>
      <c r="D851" s="134">
        <v>2</v>
      </c>
    </row>
    <row r="852" spans="1:4" x14ac:dyDescent="0.2">
      <c r="A852" s="131">
        <v>756</v>
      </c>
      <c r="B852" s="132">
        <v>13017</v>
      </c>
      <c r="C852" s="133" t="s">
        <v>415</v>
      </c>
      <c r="D852" s="134">
        <v>2</v>
      </c>
    </row>
    <row r="853" spans="1:4" x14ac:dyDescent="0.2">
      <c r="A853" s="131">
        <v>756</v>
      </c>
      <c r="B853" s="132">
        <v>13018</v>
      </c>
      <c r="C853" s="133" t="s">
        <v>415</v>
      </c>
      <c r="D853" s="134">
        <v>1</v>
      </c>
    </row>
    <row r="854" spans="1:4" x14ac:dyDescent="0.2">
      <c r="A854" s="131">
        <v>757</v>
      </c>
      <c r="B854" s="132">
        <v>13019</v>
      </c>
      <c r="C854" s="133" t="s">
        <v>417</v>
      </c>
      <c r="D854" s="134">
        <v>2</v>
      </c>
    </row>
    <row r="855" spans="1:4" x14ac:dyDescent="0.2">
      <c r="A855" s="131">
        <v>758</v>
      </c>
      <c r="B855" s="132">
        <v>13020</v>
      </c>
      <c r="C855" s="133" t="s">
        <v>415</v>
      </c>
      <c r="D855" s="134">
        <v>2</v>
      </c>
    </row>
    <row r="856" spans="1:4" x14ac:dyDescent="0.2">
      <c r="A856" s="131">
        <v>758</v>
      </c>
      <c r="B856" s="132">
        <v>13021</v>
      </c>
      <c r="C856" s="133" t="s">
        <v>415</v>
      </c>
      <c r="D856" s="134">
        <v>1</v>
      </c>
    </row>
    <row r="857" spans="1:4" x14ac:dyDescent="0.2">
      <c r="A857" s="131">
        <v>759</v>
      </c>
      <c r="B857" s="132">
        <v>13022</v>
      </c>
      <c r="C857" s="133" t="s">
        <v>417</v>
      </c>
      <c r="D857" s="134">
        <v>2</v>
      </c>
    </row>
    <row r="858" spans="1:4" x14ac:dyDescent="0.2">
      <c r="A858" s="131">
        <v>760</v>
      </c>
      <c r="B858" s="132">
        <v>13023</v>
      </c>
      <c r="C858" s="133" t="s">
        <v>415</v>
      </c>
      <c r="D858" s="134">
        <v>2</v>
      </c>
    </row>
    <row r="859" spans="1:4" x14ac:dyDescent="0.2">
      <c r="A859" s="131">
        <v>760</v>
      </c>
      <c r="B859" s="132">
        <v>13024</v>
      </c>
      <c r="C859" s="133" t="s">
        <v>415</v>
      </c>
      <c r="D859" s="134">
        <v>1</v>
      </c>
    </row>
    <row r="860" spans="1:4" x14ac:dyDescent="0.2">
      <c r="A860" s="131">
        <v>761</v>
      </c>
      <c r="B860" s="132">
        <v>13025</v>
      </c>
      <c r="C860" s="133" t="s">
        <v>417</v>
      </c>
      <c r="D860" s="134">
        <v>2</v>
      </c>
    </row>
    <row r="861" spans="1:4" x14ac:dyDescent="0.2">
      <c r="A861" s="131">
        <v>762</v>
      </c>
      <c r="B861" s="132">
        <v>13026</v>
      </c>
      <c r="C861" s="133" t="s">
        <v>415</v>
      </c>
      <c r="D861" s="134">
        <v>2</v>
      </c>
    </row>
    <row r="862" spans="1:4" x14ac:dyDescent="0.2">
      <c r="A862" s="131">
        <v>762</v>
      </c>
      <c r="B862" s="132">
        <v>13027</v>
      </c>
      <c r="C862" s="133" t="s">
        <v>415</v>
      </c>
      <c r="D862" s="134">
        <v>1</v>
      </c>
    </row>
    <row r="863" spans="1:4" x14ac:dyDescent="0.2">
      <c r="A863" s="131">
        <v>763</v>
      </c>
      <c r="B863" s="132">
        <v>13028</v>
      </c>
      <c r="C863" s="133" t="s">
        <v>417</v>
      </c>
      <c r="D863" s="134">
        <v>2</v>
      </c>
    </row>
    <row r="864" spans="1:4" x14ac:dyDescent="0.2">
      <c r="A864" s="131">
        <v>764</v>
      </c>
      <c r="B864" s="132">
        <v>13002</v>
      </c>
      <c r="C864" s="133" t="s">
        <v>415</v>
      </c>
      <c r="D864" s="134">
        <v>2</v>
      </c>
    </row>
    <row r="865" spans="1:4" x14ac:dyDescent="0.2">
      <c r="A865" s="131">
        <v>764</v>
      </c>
      <c r="B865" s="132">
        <v>13003</v>
      </c>
      <c r="C865" s="133" t="s">
        <v>415</v>
      </c>
      <c r="D865" s="134">
        <v>1</v>
      </c>
    </row>
    <row r="866" spans="1:4" x14ac:dyDescent="0.2">
      <c r="A866" s="131">
        <v>765</v>
      </c>
      <c r="B866" s="132">
        <v>13004</v>
      </c>
      <c r="C866" s="133" t="s">
        <v>417</v>
      </c>
      <c r="D866" s="134">
        <v>2</v>
      </c>
    </row>
    <row r="867" spans="1:4" x14ac:dyDescent="0.2">
      <c r="A867" s="131">
        <v>766</v>
      </c>
      <c r="B867" s="132">
        <v>13005</v>
      </c>
      <c r="C867" s="133" t="s">
        <v>415</v>
      </c>
      <c r="D867" s="134">
        <v>2</v>
      </c>
    </row>
    <row r="868" spans="1:4" x14ac:dyDescent="0.2">
      <c r="A868" s="131">
        <v>766</v>
      </c>
      <c r="B868" s="132">
        <v>13006</v>
      </c>
      <c r="C868" s="133" t="s">
        <v>415</v>
      </c>
      <c r="D868" s="134">
        <v>1</v>
      </c>
    </row>
    <row r="869" spans="1:4" x14ac:dyDescent="0.2">
      <c r="A869" s="131">
        <v>767</v>
      </c>
      <c r="B869" s="132">
        <v>13007</v>
      </c>
      <c r="C869" s="133" t="s">
        <v>417</v>
      </c>
      <c r="D869" s="134">
        <v>2</v>
      </c>
    </row>
    <row r="870" spans="1:4" x14ac:dyDescent="0.2">
      <c r="A870" s="131">
        <v>768</v>
      </c>
      <c r="B870" s="132">
        <v>13008</v>
      </c>
      <c r="C870" s="133" t="s">
        <v>415</v>
      </c>
      <c r="D870" s="134">
        <v>2</v>
      </c>
    </row>
    <row r="871" spans="1:4" x14ac:dyDescent="0.2">
      <c r="A871" s="131">
        <v>768</v>
      </c>
      <c r="B871" s="132">
        <v>13009</v>
      </c>
      <c r="C871" s="133" t="s">
        <v>415</v>
      </c>
      <c r="D871" s="134">
        <v>1</v>
      </c>
    </row>
    <row r="872" spans="1:4" x14ac:dyDescent="0.2">
      <c r="A872" s="131">
        <v>769</v>
      </c>
      <c r="B872" s="132">
        <v>13010</v>
      </c>
      <c r="C872" s="133" t="s">
        <v>417</v>
      </c>
      <c r="D872" s="134">
        <v>2</v>
      </c>
    </row>
    <row r="873" spans="1:4" x14ac:dyDescent="0.2">
      <c r="A873" s="131">
        <v>770</v>
      </c>
      <c r="B873" s="132">
        <v>13001</v>
      </c>
      <c r="C873" s="133" t="s">
        <v>418</v>
      </c>
      <c r="D873" s="134">
        <v>2</v>
      </c>
    </row>
    <row r="874" spans="1:4" x14ac:dyDescent="0.2">
      <c r="A874" s="131">
        <v>775</v>
      </c>
      <c r="B874" s="132">
        <v>334</v>
      </c>
      <c r="C874" s="133" t="s">
        <v>419</v>
      </c>
      <c r="D874" s="134" t="s">
        <v>239</v>
      </c>
    </row>
    <row r="875" spans="1:4" x14ac:dyDescent="0.2">
      <c r="A875" s="131">
        <v>776</v>
      </c>
      <c r="B875" s="132">
        <v>335</v>
      </c>
      <c r="C875" s="133" t="s">
        <v>419</v>
      </c>
      <c r="D875" s="134" t="s">
        <v>239</v>
      </c>
    </row>
    <row r="876" spans="1:4" x14ac:dyDescent="0.2">
      <c r="A876" s="131">
        <v>781</v>
      </c>
      <c r="B876" s="132">
        <v>327</v>
      </c>
      <c r="C876" s="133" t="s">
        <v>415</v>
      </c>
      <c r="D876" s="134" t="s">
        <v>239</v>
      </c>
    </row>
    <row r="877" spans="1:4" x14ac:dyDescent="0.2">
      <c r="A877" s="131">
        <v>782</v>
      </c>
      <c r="B877" s="132">
        <v>13069</v>
      </c>
      <c r="C877" s="133" t="s">
        <v>415</v>
      </c>
      <c r="D877" s="134">
        <v>1</v>
      </c>
    </row>
    <row r="878" spans="1:4" x14ac:dyDescent="0.2">
      <c r="A878" s="131">
        <v>783</v>
      </c>
      <c r="B878" s="132">
        <v>13072</v>
      </c>
      <c r="C878" s="133" t="s">
        <v>415</v>
      </c>
      <c r="D878" s="134">
        <v>1</v>
      </c>
    </row>
    <row r="879" spans="1:4" x14ac:dyDescent="0.2">
      <c r="A879" s="131">
        <v>784</v>
      </c>
      <c r="B879" s="132">
        <v>13075</v>
      </c>
      <c r="C879" s="133" t="s">
        <v>415</v>
      </c>
      <c r="D879" s="134">
        <v>1</v>
      </c>
    </row>
    <row r="880" spans="1:4" x14ac:dyDescent="0.2">
      <c r="A880" s="131">
        <v>785</v>
      </c>
      <c r="B880" s="132">
        <v>13078</v>
      </c>
      <c r="C880" s="133" t="s">
        <v>415</v>
      </c>
      <c r="D880" s="134">
        <v>1</v>
      </c>
    </row>
    <row r="881" spans="1:4" x14ac:dyDescent="0.2">
      <c r="A881" s="131">
        <v>786</v>
      </c>
      <c r="B881" s="132">
        <v>13081</v>
      </c>
      <c r="C881" s="133" t="s">
        <v>415</v>
      </c>
      <c r="D881" s="134">
        <v>1</v>
      </c>
    </row>
    <row r="882" spans="1:4" x14ac:dyDescent="0.2">
      <c r="A882" s="131">
        <v>787</v>
      </c>
      <c r="B882" s="132">
        <v>13082</v>
      </c>
      <c r="C882" s="133" t="s">
        <v>420</v>
      </c>
      <c r="D882" s="134">
        <v>2</v>
      </c>
    </row>
    <row r="883" spans="1:4" x14ac:dyDescent="0.2">
      <c r="A883" s="131">
        <v>787</v>
      </c>
      <c r="B883" s="132">
        <v>13083</v>
      </c>
      <c r="C883" s="133" t="s">
        <v>420</v>
      </c>
      <c r="D883" s="134">
        <v>1</v>
      </c>
    </row>
    <row r="884" spans="1:4" x14ac:dyDescent="0.2">
      <c r="A884" s="131">
        <v>788</v>
      </c>
      <c r="B884" s="132">
        <v>13084</v>
      </c>
      <c r="C884" s="133" t="s">
        <v>421</v>
      </c>
      <c r="D884" s="134">
        <v>1</v>
      </c>
    </row>
    <row r="885" spans="1:4" x14ac:dyDescent="0.2">
      <c r="A885" s="131">
        <v>789</v>
      </c>
      <c r="B885" s="132">
        <v>13085</v>
      </c>
      <c r="C885" s="133" t="s">
        <v>422</v>
      </c>
      <c r="D885" s="134">
        <v>2</v>
      </c>
    </row>
    <row r="886" spans="1:4" x14ac:dyDescent="0.2">
      <c r="A886" s="131">
        <v>789</v>
      </c>
      <c r="B886" s="132">
        <v>13086</v>
      </c>
      <c r="C886" s="133" t="s">
        <v>422</v>
      </c>
      <c r="D886" s="134">
        <v>1</v>
      </c>
    </row>
    <row r="887" spans="1:4" x14ac:dyDescent="0.2">
      <c r="A887" s="131">
        <v>790</v>
      </c>
      <c r="B887" s="132">
        <v>13087</v>
      </c>
      <c r="C887" s="133" t="s">
        <v>423</v>
      </c>
      <c r="D887" s="134">
        <v>1</v>
      </c>
    </row>
    <row r="888" spans="1:4" x14ac:dyDescent="0.2">
      <c r="A888" s="131">
        <v>791</v>
      </c>
      <c r="B888" s="132">
        <v>13088</v>
      </c>
      <c r="C888" s="133" t="s">
        <v>424</v>
      </c>
      <c r="D888" s="134">
        <v>2</v>
      </c>
    </row>
    <row r="889" spans="1:4" x14ac:dyDescent="0.2">
      <c r="A889" s="131">
        <v>791</v>
      </c>
      <c r="B889" s="132">
        <v>13089</v>
      </c>
      <c r="C889" s="133" t="s">
        <v>424</v>
      </c>
      <c r="D889" s="134">
        <v>1</v>
      </c>
    </row>
    <row r="890" spans="1:4" x14ac:dyDescent="0.2">
      <c r="A890" s="131">
        <v>792</v>
      </c>
      <c r="B890" s="132">
        <v>13090</v>
      </c>
      <c r="C890" s="133" t="s">
        <v>425</v>
      </c>
      <c r="D890" s="134">
        <v>1</v>
      </c>
    </row>
    <row r="891" spans="1:4" x14ac:dyDescent="0.2">
      <c r="A891" s="131">
        <v>793</v>
      </c>
      <c r="B891" s="132">
        <v>13091</v>
      </c>
      <c r="C891" s="133" t="s">
        <v>415</v>
      </c>
      <c r="D891" s="134">
        <v>2</v>
      </c>
    </row>
    <row r="892" spans="1:4" x14ac:dyDescent="0.2">
      <c r="A892" s="131">
        <v>793</v>
      </c>
      <c r="B892" s="132">
        <v>13092</v>
      </c>
      <c r="C892" s="133" t="s">
        <v>415</v>
      </c>
      <c r="D892" s="134">
        <v>1</v>
      </c>
    </row>
    <row r="893" spans="1:4" x14ac:dyDescent="0.2">
      <c r="A893" s="131">
        <v>794</v>
      </c>
      <c r="B893" s="132">
        <v>13093</v>
      </c>
      <c r="C893" s="133" t="s">
        <v>416</v>
      </c>
      <c r="D893" s="134">
        <v>2</v>
      </c>
    </row>
    <row r="894" spans="1:4" x14ac:dyDescent="0.2">
      <c r="A894" s="131">
        <v>801</v>
      </c>
      <c r="B894" s="132">
        <v>306</v>
      </c>
      <c r="C894" s="133" t="s">
        <v>342</v>
      </c>
      <c r="D894" s="134">
        <v>1</v>
      </c>
    </row>
    <row r="895" spans="1:4" x14ac:dyDescent="0.2">
      <c r="A895" s="131">
        <v>802</v>
      </c>
      <c r="B895" s="132">
        <v>14005</v>
      </c>
      <c r="C895" s="133" t="s">
        <v>426</v>
      </c>
      <c r="D895" s="134">
        <v>2</v>
      </c>
    </row>
    <row r="896" spans="1:4" x14ac:dyDescent="0.2">
      <c r="A896" s="131">
        <v>802</v>
      </c>
      <c r="B896" s="132">
        <v>14006</v>
      </c>
      <c r="C896" s="133" t="s">
        <v>426</v>
      </c>
      <c r="D896" s="134">
        <v>1</v>
      </c>
    </row>
    <row r="897" spans="1:4" x14ac:dyDescent="0.2">
      <c r="A897" s="131">
        <v>803</v>
      </c>
      <c r="B897" s="132">
        <v>14007</v>
      </c>
      <c r="C897" s="133" t="s">
        <v>427</v>
      </c>
      <c r="D897" s="134" t="s">
        <v>239</v>
      </c>
    </row>
    <row r="898" spans="1:4" x14ac:dyDescent="0.2">
      <c r="A898" s="131">
        <v>804</v>
      </c>
      <c r="B898" s="132">
        <v>14008</v>
      </c>
      <c r="C898" s="133" t="s">
        <v>426</v>
      </c>
      <c r="D898" s="134">
        <v>2</v>
      </c>
    </row>
    <row r="899" spans="1:4" x14ac:dyDescent="0.2">
      <c r="A899" s="131">
        <v>804</v>
      </c>
      <c r="B899" s="132">
        <v>14009</v>
      </c>
      <c r="C899" s="133" t="s">
        <v>426</v>
      </c>
      <c r="D899" s="134">
        <v>1</v>
      </c>
    </row>
    <row r="900" spans="1:4" x14ac:dyDescent="0.2">
      <c r="A900" s="131">
        <v>805</v>
      </c>
      <c r="B900" s="132">
        <v>14010</v>
      </c>
      <c r="C900" s="133" t="s">
        <v>427</v>
      </c>
      <c r="D900" s="134" t="s">
        <v>239</v>
      </c>
    </row>
    <row r="901" spans="1:4" x14ac:dyDescent="0.2">
      <c r="A901" s="131">
        <v>806</v>
      </c>
      <c r="B901" s="132">
        <v>14011</v>
      </c>
      <c r="C901" s="133" t="s">
        <v>426</v>
      </c>
      <c r="D901" s="134">
        <v>2</v>
      </c>
    </row>
    <row r="902" spans="1:4" x14ac:dyDescent="0.2">
      <c r="A902" s="131">
        <v>806</v>
      </c>
      <c r="B902" s="132">
        <v>14012</v>
      </c>
      <c r="C902" s="133" t="s">
        <v>426</v>
      </c>
      <c r="D902" s="134">
        <v>1</v>
      </c>
    </row>
    <row r="903" spans="1:4" x14ac:dyDescent="0.2">
      <c r="A903" s="131">
        <v>807</v>
      </c>
      <c r="B903" s="132">
        <v>14013</v>
      </c>
      <c r="C903" s="133" t="s">
        <v>427</v>
      </c>
      <c r="D903" s="134" t="s">
        <v>239</v>
      </c>
    </row>
    <row r="904" spans="1:4" x14ac:dyDescent="0.2">
      <c r="A904" s="131">
        <v>808</v>
      </c>
      <c r="B904" s="132">
        <v>14017</v>
      </c>
      <c r="C904" s="133" t="s">
        <v>426</v>
      </c>
      <c r="D904" s="134">
        <v>2</v>
      </c>
    </row>
    <row r="905" spans="1:4" x14ac:dyDescent="0.2">
      <c r="A905" s="131">
        <v>808</v>
      </c>
      <c r="B905" s="132">
        <v>14018</v>
      </c>
      <c r="C905" s="133" t="s">
        <v>426</v>
      </c>
      <c r="D905" s="134">
        <v>1</v>
      </c>
    </row>
    <row r="906" spans="1:4" x14ac:dyDescent="0.2">
      <c r="A906" s="131">
        <v>809</v>
      </c>
      <c r="B906" s="132">
        <v>14019</v>
      </c>
      <c r="C906" s="133" t="s">
        <v>427</v>
      </c>
      <c r="D906" s="134" t="s">
        <v>239</v>
      </c>
    </row>
    <row r="907" spans="1:4" x14ac:dyDescent="0.2">
      <c r="A907" s="131">
        <v>810</v>
      </c>
      <c r="B907" s="132">
        <v>14020</v>
      </c>
      <c r="C907" s="133" t="s">
        <v>426</v>
      </c>
      <c r="D907" s="134">
        <v>2</v>
      </c>
    </row>
    <row r="908" spans="1:4" x14ac:dyDescent="0.2">
      <c r="A908" s="131">
        <v>810</v>
      </c>
      <c r="B908" s="132">
        <v>14021</v>
      </c>
      <c r="C908" s="133" t="s">
        <v>426</v>
      </c>
      <c r="D908" s="134">
        <v>1</v>
      </c>
    </row>
    <row r="909" spans="1:4" x14ac:dyDescent="0.2">
      <c r="A909" s="131">
        <v>811</v>
      </c>
      <c r="B909" s="132">
        <v>14022</v>
      </c>
      <c r="C909" s="133" t="s">
        <v>427</v>
      </c>
      <c r="D909" s="134" t="s">
        <v>239</v>
      </c>
    </row>
    <row r="910" spans="1:4" x14ac:dyDescent="0.2">
      <c r="A910" s="131">
        <v>812</v>
      </c>
      <c r="B910" s="132">
        <v>14023</v>
      </c>
      <c r="C910" s="133" t="s">
        <v>426</v>
      </c>
      <c r="D910" s="134">
        <v>2</v>
      </c>
    </row>
    <row r="911" spans="1:4" x14ac:dyDescent="0.2">
      <c r="A911" s="131">
        <v>812</v>
      </c>
      <c r="B911" s="132">
        <v>14024</v>
      </c>
      <c r="C911" s="133" t="s">
        <v>426</v>
      </c>
      <c r="D911" s="134">
        <v>1</v>
      </c>
    </row>
    <row r="912" spans="1:4" x14ac:dyDescent="0.2">
      <c r="A912" s="131">
        <v>813</v>
      </c>
      <c r="B912" s="132">
        <v>14025</v>
      </c>
      <c r="C912" s="133" t="s">
        <v>427</v>
      </c>
      <c r="D912" s="134" t="s">
        <v>239</v>
      </c>
    </row>
    <row r="913" spans="1:4" x14ac:dyDescent="0.2">
      <c r="A913" s="131">
        <v>814</v>
      </c>
      <c r="B913" s="132">
        <v>14029</v>
      </c>
      <c r="C913" s="133" t="s">
        <v>426</v>
      </c>
      <c r="D913" s="134">
        <v>2</v>
      </c>
    </row>
    <row r="914" spans="1:4" x14ac:dyDescent="0.2">
      <c r="A914" s="131">
        <v>814</v>
      </c>
      <c r="B914" s="132">
        <v>14030</v>
      </c>
      <c r="C914" s="133" t="s">
        <v>426</v>
      </c>
      <c r="D914" s="134">
        <v>1</v>
      </c>
    </row>
    <row r="915" spans="1:4" x14ac:dyDescent="0.2">
      <c r="A915" s="131">
        <v>815</v>
      </c>
      <c r="B915" s="132">
        <v>14031</v>
      </c>
      <c r="C915" s="133" t="s">
        <v>427</v>
      </c>
      <c r="D915" s="134" t="s">
        <v>239</v>
      </c>
    </row>
    <row r="916" spans="1:4" x14ac:dyDescent="0.2">
      <c r="A916" s="131">
        <v>816</v>
      </c>
      <c r="B916" s="132">
        <v>14032</v>
      </c>
      <c r="C916" s="133" t="s">
        <v>426</v>
      </c>
      <c r="D916" s="134">
        <v>2</v>
      </c>
    </row>
    <row r="917" spans="1:4" x14ac:dyDescent="0.2">
      <c r="A917" s="131">
        <v>816</v>
      </c>
      <c r="B917" s="132">
        <v>14033</v>
      </c>
      <c r="C917" s="133" t="s">
        <v>426</v>
      </c>
      <c r="D917" s="134">
        <v>1</v>
      </c>
    </row>
    <row r="918" spans="1:4" x14ac:dyDescent="0.2">
      <c r="A918" s="131">
        <v>817</v>
      </c>
      <c r="B918" s="132">
        <v>14034</v>
      </c>
      <c r="C918" s="133" t="s">
        <v>427</v>
      </c>
      <c r="D918" s="134" t="s">
        <v>239</v>
      </c>
    </row>
    <row r="919" spans="1:4" x14ac:dyDescent="0.2">
      <c r="A919" s="131">
        <v>818</v>
      </c>
      <c r="B919" s="132">
        <v>14035</v>
      </c>
      <c r="C919" s="133" t="s">
        <v>426</v>
      </c>
      <c r="D919" s="134">
        <v>2</v>
      </c>
    </row>
    <row r="920" spans="1:4" x14ac:dyDescent="0.2">
      <c r="A920" s="131">
        <v>818</v>
      </c>
      <c r="B920" s="132">
        <v>14036</v>
      </c>
      <c r="C920" s="133" t="s">
        <v>426</v>
      </c>
      <c r="D920" s="134">
        <v>1</v>
      </c>
    </row>
    <row r="921" spans="1:4" x14ac:dyDescent="0.2">
      <c r="A921" s="131">
        <v>819</v>
      </c>
      <c r="B921" s="132">
        <v>14037</v>
      </c>
      <c r="C921" s="133" t="s">
        <v>427</v>
      </c>
      <c r="D921" s="134" t="s">
        <v>239</v>
      </c>
    </row>
    <row r="922" spans="1:4" x14ac:dyDescent="0.2">
      <c r="A922" s="131">
        <v>820</v>
      </c>
      <c r="B922" s="132">
        <v>14042</v>
      </c>
      <c r="C922" s="133" t="s">
        <v>426</v>
      </c>
      <c r="D922" s="134">
        <v>2</v>
      </c>
    </row>
    <row r="923" spans="1:4" x14ac:dyDescent="0.2">
      <c r="A923" s="131">
        <v>820</v>
      </c>
      <c r="B923" s="132">
        <v>14043</v>
      </c>
      <c r="C923" s="133" t="s">
        <v>426</v>
      </c>
      <c r="D923" s="134">
        <v>1</v>
      </c>
    </row>
    <row r="924" spans="1:4" x14ac:dyDescent="0.2">
      <c r="A924" s="131">
        <v>821</v>
      </c>
      <c r="B924" s="132">
        <v>14044</v>
      </c>
      <c r="C924" s="133" t="s">
        <v>427</v>
      </c>
      <c r="D924" s="134" t="s">
        <v>239</v>
      </c>
    </row>
    <row r="925" spans="1:4" x14ac:dyDescent="0.2">
      <c r="A925" s="131">
        <v>822</v>
      </c>
      <c r="B925" s="132">
        <v>14045</v>
      </c>
      <c r="C925" s="133" t="s">
        <v>426</v>
      </c>
      <c r="D925" s="134">
        <v>2</v>
      </c>
    </row>
    <row r="926" spans="1:4" x14ac:dyDescent="0.2">
      <c r="A926" s="131">
        <v>822</v>
      </c>
      <c r="B926" s="132">
        <v>14046</v>
      </c>
      <c r="C926" s="133" t="s">
        <v>426</v>
      </c>
      <c r="D926" s="134">
        <v>1</v>
      </c>
    </row>
    <row r="927" spans="1:4" x14ac:dyDescent="0.2">
      <c r="A927" s="131">
        <v>823</v>
      </c>
      <c r="B927" s="132">
        <v>14047</v>
      </c>
      <c r="C927" s="133" t="s">
        <v>427</v>
      </c>
      <c r="D927" s="134" t="s">
        <v>239</v>
      </c>
    </row>
    <row r="928" spans="1:4" x14ac:dyDescent="0.2">
      <c r="A928" s="131">
        <v>824</v>
      </c>
      <c r="B928" s="132">
        <v>14048</v>
      </c>
      <c r="C928" s="133" t="s">
        <v>426</v>
      </c>
      <c r="D928" s="134">
        <v>2</v>
      </c>
    </row>
    <row r="929" spans="1:4" x14ac:dyDescent="0.2">
      <c r="A929" s="131">
        <v>824</v>
      </c>
      <c r="B929" s="132">
        <v>14049</v>
      </c>
      <c r="C929" s="133" t="s">
        <v>426</v>
      </c>
      <c r="D929" s="134">
        <v>1</v>
      </c>
    </row>
    <row r="930" spans="1:4" x14ac:dyDescent="0.2">
      <c r="A930" s="131">
        <v>825</v>
      </c>
      <c r="B930" s="132">
        <v>14050</v>
      </c>
      <c r="C930" s="133" t="s">
        <v>427</v>
      </c>
      <c r="D930" s="134" t="s">
        <v>239</v>
      </c>
    </row>
    <row r="931" spans="1:4" x14ac:dyDescent="0.2">
      <c r="A931" s="131">
        <v>826</v>
      </c>
      <c r="B931" s="132">
        <v>14069</v>
      </c>
      <c r="C931" s="133" t="s">
        <v>426</v>
      </c>
      <c r="D931" s="134">
        <v>2</v>
      </c>
    </row>
    <row r="932" spans="1:4" x14ac:dyDescent="0.2">
      <c r="A932" s="131">
        <v>826</v>
      </c>
      <c r="B932" s="132">
        <v>14070</v>
      </c>
      <c r="C932" s="133" t="s">
        <v>426</v>
      </c>
      <c r="D932" s="134">
        <v>1</v>
      </c>
    </row>
    <row r="933" spans="1:4" x14ac:dyDescent="0.2">
      <c r="A933" s="131">
        <v>827</v>
      </c>
      <c r="B933" s="132">
        <v>14071</v>
      </c>
      <c r="C933" s="133" t="s">
        <v>427</v>
      </c>
      <c r="D933" s="134" t="s">
        <v>239</v>
      </c>
    </row>
    <row r="934" spans="1:4" x14ac:dyDescent="0.2">
      <c r="A934" s="131">
        <v>828</v>
      </c>
      <c r="B934" s="132">
        <v>14072</v>
      </c>
      <c r="C934" s="133" t="s">
        <v>426</v>
      </c>
      <c r="D934" s="134">
        <v>2</v>
      </c>
    </row>
    <row r="935" spans="1:4" x14ac:dyDescent="0.2">
      <c r="A935" s="131">
        <v>828</v>
      </c>
      <c r="B935" s="132">
        <v>14073</v>
      </c>
      <c r="C935" s="133" t="s">
        <v>426</v>
      </c>
      <c r="D935" s="134">
        <v>1</v>
      </c>
    </row>
    <row r="936" spans="1:4" x14ac:dyDescent="0.2">
      <c r="A936" s="131">
        <v>829</v>
      </c>
      <c r="B936" s="132">
        <v>14074</v>
      </c>
      <c r="C936" s="133" t="s">
        <v>427</v>
      </c>
      <c r="D936" s="134" t="s">
        <v>239</v>
      </c>
    </row>
    <row r="937" spans="1:4" x14ac:dyDescent="0.2">
      <c r="A937" s="131">
        <v>830</v>
      </c>
      <c r="B937" s="132">
        <v>14075</v>
      </c>
      <c r="C937" s="133" t="s">
        <v>426</v>
      </c>
      <c r="D937" s="134">
        <v>2</v>
      </c>
    </row>
    <row r="938" spans="1:4" x14ac:dyDescent="0.2">
      <c r="A938" s="131">
        <v>830</v>
      </c>
      <c r="B938" s="132">
        <v>14076</v>
      </c>
      <c r="C938" s="133" t="s">
        <v>426</v>
      </c>
      <c r="D938" s="134">
        <v>1</v>
      </c>
    </row>
    <row r="939" spans="1:4" x14ac:dyDescent="0.2">
      <c r="A939" s="131">
        <v>831</v>
      </c>
      <c r="B939" s="132">
        <v>14077</v>
      </c>
      <c r="C939" s="133" t="s">
        <v>427</v>
      </c>
      <c r="D939" s="134" t="s">
        <v>239</v>
      </c>
    </row>
    <row r="940" spans="1:4" x14ac:dyDescent="0.2">
      <c r="A940" s="131">
        <v>832</v>
      </c>
      <c r="B940" s="132">
        <v>14085</v>
      </c>
      <c r="C940" s="133" t="s">
        <v>426</v>
      </c>
      <c r="D940" s="134">
        <v>2</v>
      </c>
    </row>
    <row r="941" spans="1:4" x14ac:dyDescent="0.2">
      <c r="A941" s="131">
        <v>832</v>
      </c>
      <c r="B941" s="132">
        <v>14086</v>
      </c>
      <c r="C941" s="133" t="s">
        <v>426</v>
      </c>
      <c r="D941" s="134">
        <v>1</v>
      </c>
    </row>
    <row r="942" spans="1:4" x14ac:dyDescent="0.2">
      <c r="A942" s="131">
        <v>833</v>
      </c>
      <c r="B942" s="132">
        <v>14087</v>
      </c>
      <c r="C942" s="133" t="s">
        <v>427</v>
      </c>
      <c r="D942" s="134" t="s">
        <v>239</v>
      </c>
    </row>
    <row r="943" spans="1:4" x14ac:dyDescent="0.2">
      <c r="A943" s="131">
        <v>834</v>
      </c>
      <c r="B943" s="132">
        <v>14088</v>
      </c>
      <c r="C943" s="133" t="s">
        <v>426</v>
      </c>
      <c r="D943" s="134">
        <v>2</v>
      </c>
    </row>
    <row r="944" spans="1:4" x14ac:dyDescent="0.2">
      <c r="A944" s="131">
        <v>834</v>
      </c>
      <c r="B944" s="132">
        <v>14089</v>
      </c>
      <c r="C944" s="133" t="s">
        <v>426</v>
      </c>
      <c r="D944" s="134">
        <v>1</v>
      </c>
    </row>
    <row r="945" spans="1:4" x14ac:dyDescent="0.2">
      <c r="A945" s="131">
        <v>835</v>
      </c>
      <c r="B945" s="132">
        <v>14090</v>
      </c>
      <c r="C945" s="133" t="s">
        <v>427</v>
      </c>
      <c r="D945" s="134" t="s">
        <v>239</v>
      </c>
    </row>
    <row r="946" spans="1:4" x14ac:dyDescent="0.2">
      <c r="A946" s="131">
        <v>836</v>
      </c>
      <c r="B946" s="132">
        <v>14091</v>
      </c>
      <c r="C946" s="133" t="s">
        <v>426</v>
      </c>
      <c r="D946" s="134">
        <v>2</v>
      </c>
    </row>
    <row r="947" spans="1:4" x14ac:dyDescent="0.2">
      <c r="A947" s="131">
        <v>836</v>
      </c>
      <c r="B947" s="132">
        <v>14092</v>
      </c>
      <c r="C947" s="133" t="s">
        <v>426</v>
      </c>
      <c r="D947" s="134">
        <v>1</v>
      </c>
    </row>
    <row r="948" spans="1:4" x14ac:dyDescent="0.2">
      <c r="A948" s="131">
        <v>837</v>
      </c>
      <c r="B948" s="132">
        <v>14093</v>
      </c>
      <c r="C948" s="133" t="s">
        <v>427</v>
      </c>
      <c r="D948" s="134" t="s">
        <v>239</v>
      </c>
    </row>
    <row r="949" spans="1:4" x14ac:dyDescent="0.2">
      <c r="A949" s="131">
        <v>838</v>
      </c>
      <c r="B949" s="132">
        <v>14094</v>
      </c>
      <c r="C949" s="133" t="s">
        <v>426</v>
      </c>
      <c r="D949" s="134">
        <v>2</v>
      </c>
    </row>
    <row r="950" spans="1:4" x14ac:dyDescent="0.2">
      <c r="A950" s="131">
        <v>838</v>
      </c>
      <c r="B950" s="132">
        <v>14095</v>
      </c>
      <c r="C950" s="133" t="s">
        <v>426</v>
      </c>
      <c r="D950" s="134">
        <v>1</v>
      </c>
    </row>
    <row r="951" spans="1:4" x14ac:dyDescent="0.2">
      <c r="A951" s="131">
        <v>839</v>
      </c>
      <c r="B951" s="132">
        <v>14096</v>
      </c>
      <c r="C951" s="133" t="s">
        <v>427</v>
      </c>
      <c r="D951" s="134" t="s">
        <v>239</v>
      </c>
    </row>
    <row r="952" spans="1:4" x14ac:dyDescent="0.2">
      <c r="A952" s="131">
        <v>840</v>
      </c>
      <c r="B952" s="132">
        <v>14110</v>
      </c>
      <c r="C952" s="133" t="s">
        <v>426</v>
      </c>
      <c r="D952" s="134">
        <v>2</v>
      </c>
    </row>
    <row r="953" spans="1:4" x14ac:dyDescent="0.2">
      <c r="A953" s="131">
        <v>840</v>
      </c>
      <c r="B953" s="132">
        <v>14111</v>
      </c>
      <c r="C953" s="133" t="s">
        <v>426</v>
      </c>
      <c r="D953" s="134">
        <v>1</v>
      </c>
    </row>
    <row r="954" spans="1:4" x14ac:dyDescent="0.2">
      <c r="A954" s="131">
        <v>841</v>
      </c>
      <c r="B954" s="132">
        <v>14112</v>
      </c>
      <c r="C954" s="133" t="s">
        <v>427</v>
      </c>
      <c r="D954" s="134" t="s">
        <v>239</v>
      </c>
    </row>
    <row r="955" spans="1:4" x14ac:dyDescent="0.2">
      <c r="A955" s="131">
        <v>842</v>
      </c>
      <c r="B955" s="132">
        <v>14113</v>
      </c>
      <c r="C955" s="133" t="s">
        <v>426</v>
      </c>
      <c r="D955" s="134">
        <v>2</v>
      </c>
    </row>
    <row r="956" spans="1:4" x14ac:dyDescent="0.2">
      <c r="A956" s="131">
        <v>842</v>
      </c>
      <c r="B956" s="132">
        <v>14114</v>
      </c>
      <c r="C956" s="133" t="s">
        <v>426</v>
      </c>
      <c r="D956" s="134">
        <v>1</v>
      </c>
    </row>
    <row r="957" spans="1:4" x14ac:dyDescent="0.2">
      <c r="A957" s="131">
        <v>843</v>
      </c>
      <c r="B957" s="132">
        <v>14115</v>
      </c>
      <c r="C957" s="133" t="s">
        <v>427</v>
      </c>
      <c r="D957" s="134" t="s">
        <v>239</v>
      </c>
    </row>
    <row r="958" spans="1:4" x14ac:dyDescent="0.2">
      <c r="A958" s="131">
        <v>844</v>
      </c>
      <c r="B958" s="132">
        <v>14116</v>
      </c>
      <c r="C958" s="133" t="s">
        <v>426</v>
      </c>
      <c r="D958" s="134">
        <v>2</v>
      </c>
    </row>
    <row r="959" spans="1:4" x14ac:dyDescent="0.2">
      <c r="A959" s="131">
        <v>844</v>
      </c>
      <c r="B959" s="132">
        <v>14117</v>
      </c>
      <c r="C959" s="133" t="s">
        <v>426</v>
      </c>
      <c r="D959" s="134">
        <v>1</v>
      </c>
    </row>
    <row r="960" spans="1:4" x14ac:dyDescent="0.2">
      <c r="A960" s="131">
        <v>845</v>
      </c>
      <c r="B960" s="132">
        <v>14118</v>
      </c>
      <c r="C960" s="133" t="s">
        <v>427</v>
      </c>
      <c r="D960" s="134" t="s">
        <v>239</v>
      </c>
    </row>
    <row r="961" spans="1:4" x14ac:dyDescent="0.2">
      <c r="A961" s="131">
        <v>846</v>
      </c>
      <c r="B961" s="132">
        <v>14138</v>
      </c>
      <c r="C961" s="133" t="s">
        <v>426</v>
      </c>
      <c r="D961" s="134">
        <v>2</v>
      </c>
    </row>
    <row r="962" spans="1:4" x14ac:dyDescent="0.2">
      <c r="A962" s="131">
        <v>846</v>
      </c>
      <c r="B962" s="132">
        <v>14139</v>
      </c>
      <c r="C962" s="133" t="s">
        <v>426</v>
      </c>
      <c r="D962" s="134">
        <v>1</v>
      </c>
    </row>
    <row r="963" spans="1:4" x14ac:dyDescent="0.2">
      <c r="A963" s="131">
        <v>847</v>
      </c>
      <c r="B963" s="132">
        <v>14140</v>
      </c>
      <c r="C963" s="133" t="s">
        <v>427</v>
      </c>
      <c r="D963" s="134" t="s">
        <v>239</v>
      </c>
    </row>
    <row r="964" spans="1:4" x14ac:dyDescent="0.2">
      <c r="A964" s="131">
        <v>848</v>
      </c>
      <c r="B964" s="132">
        <v>14141</v>
      </c>
      <c r="C964" s="133" t="s">
        <v>426</v>
      </c>
      <c r="D964" s="134">
        <v>2</v>
      </c>
    </row>
    <row r="965" spans="1:4" x14ac:dyDescent="0.2">
      <c r="A965" s="131">
        <v>848</v>
      </c>
      <c r="B965" s="132">
        <v>14142</v>
      </c>
      <c r="C965" s="133" t="s">
        <v>426</v>
      </c>
      <c r="D965" s="134">
        <v>1</v>
      </c>
    </row>
    <row r="966" spans="1:4" x14ac:dyDescent="0.2">
      <c r="A966" s="131">
        <v>849</v>
      </c>
      <c r="B966" s="132">
        <v>14143</v>
      </c>
      <c r="C966" s="133" t="s">
        <v>427</v>
      </c>
      <c r="D966" s="134" t="s">
        <v>239</v>
      </c>
    </row>
    <row r="967" spans="1:4" x14ac:dyDescent="0.2">
      <c r="A967" s="131">
        <v>850</v>
      </c>
      <c r="B967" s="132">
        <v>14014</v>
      </c>
      <c r="C967" s="133" t="s">
        <v>427</v>
      </c>
      <c r="D967" s="134" t="s">
        <v>239</v>
      </c>
    </row>
    <row r="968" spans="1:4" x14ac:dyDescent="0.2">
      <c r="A968" s="131">
        <v>851</v>
      </c>
      <c r="B968" s="132">
        <v>14038</v>
      </c>
      <c r="C968" s="133" t="s">
        <v>427</v>
      </c>
      <c r="D968" s="134" t="s">
        <v>239</v>
      </c>
    </row>
    <row r="969" spans="1:4" x14ac:dyDescent="0.2">
      <c r="A969" s="131">
        <v>852</v>
      </c>
      <c r="B969" s="132">
        <v>14001</v>
      </c>
      <c r="C969" s="133" t="s">
        <v>426</v>
      </c>
      <c r="D969" s="134">
        <v>2</v>
      </c>
    </row>
    <row r="970" spans="1:4" x14ac:dyDescent="0.2">
      <c r="A970" s="131">
        <v>852</v>
      </c>
      <c r="B970" s="132">
        <v>14002</v>
      </c>
      <c r="C970" s="133" t="s">
        <v>426</v>
      </c>
      <c r="D970" s="134">
        <v>1</v>
      </c>
    </row>
    <row r="971" spans="1:4" x14ac:dyDescent="0.2">
      <c r="A971" s="131">
        <v>853</v>
      </c>
      <c r="B971" s="132">
        <v>14081</v>
      </c>
      <c r="C971" s="133" t="s">
        <v>426</v>
      </c>
      <c r="D971" s="134">
        <v>2</v>
      </c>
    </row>
    <row r="972" spans="1:4" x14ac:dyDescent="0.2">
      <c r="A972" s="131">
        <v>853</v>
      </c>
      <c r="B972" s="132">
        <v>14082</v>
      </c>
      <c r="C972" s="133" t="s">
        <v>426</v>
      </c>
      <c r="D972" s="134">
        <v>1</v>
      </c>
    </row>
    <row r="973" spans="1:4" x14ac:dyDescent="0.2">
      <c r="A973" s="131">
        <v>854</v>
      </c>
      <c r="B973" s="132">
        <v>14083</v>
      </c>
      <c r="C973" s="133" t="s">
        <v>426</v>
      </c>
      <c r="D973" s="134">
        <v>2</v>
      </c>
    </row>
    <row r="974" spans="1:4" x14ac:dyDescent="0.2">
      <c r="A974" s="131">
        <v>854</v>
      </c>
      <c r="B974" s="132">
        <v>14084</v>
      </c>
      <c r="C974" s="133" t="s">
        <v>426</v>
      </c>
      <c r="D974" s="134">
        <v>1</v>
      </c>
    </row>
    <row r="975" spans="1:4" x14ac:dyDescent="0.2">
      <c r="A975" s="131">
        <v>855</v>
      </c>
      <c r="B975" s="132">
        <v>14103</v>
      </c>
      <c r="C975" s="133" t="s">
        <v>426</v>
      </c>
      <c r="D975" s="134">
        <v>2</v>
      </c>
    </row>
    <row r="976" spans="1:4" x14ac:dyDescent="0.2">
      <c r="A976" s="131">
        <v>855</v>
      </c>
      <c r="B976" s="132">
        <v>14104</v>
      </c>
      <c r="C976" s="133" t="s">
        <v>426</v>
      </c>
      <c r="D976" s="134">
        <v>1</v>
      </c>
    </row>
    <row r="977" spans="1:4" x14ac:dyDescent="0.2">
      <c r="A977" s="131">
        <v>856</v>
      </c>
      <c r="B977" s="132">
        <v>14105</v>
      </c>
      <c r="C977" s="133" t="s">
        <v>426</v>
      </c>
      <c r="D977" s="134">
        <v>2</v>
      </c>
    </row>
    <row r="978" spans="1:4" x14ac:dyDescent="0.2">
      <c r="A978" s="131">
        <v>856</v>
      </c>
      <c r="B978" s="132">
        <v>14106</v>
      </c>
      <c r="C978" s="133" t="s">
        <v>426</v>
      </c>
      <c r="D978" s="134">
        <v>1</v>
      </c>
    </row>
    <row r="979" spans="1:4" x14ac:dyDescent="0.2">
      <c r="A979" s="131">
        <v>857</v>
      </c>
      <c r="B979" s="132">
        <v>14015</v>
      </c>
      <c r="C979" s="133" t="s">
        <v>426</v>
      </c>
      <c r="D979" s="134">
        <v>2</v>
      </c>
    </row>
    <row r="980" spans="1:4" x14ac:dyDescent="0.2">
      <c r="A980" s="131">
        <v>857</v>
      </c>
      <c r="B980" s="132">
        <v>14016</v>
      </c>
      <c r="C980" s="133" t="s">
        <v>426</v>
      </c>
      <c r="D980" s="134">
        <v>1</v>
      </c>
    </row>
    <row r="981" spans="1:4" x14ac:dyDescent="0.2">
      <c r="A981" s="131">
        <v>858</v>
      </c>
      <c r="B981" s="132">
        <v>14039</v>
      </c>
      <c r="C981" s="133" t="s">
        <v>426</v>
      </c>
      <c r="D981" s="134">
        <v>2</v>
      </c>
    </row>
    <row r="982" spans="1:4" x14ac:dyDescent="0.2">
      <c r="A982" s="131">
        <v>858</v>
      </c>
      <c r="B982" s="132">
        <v>14040</v>
      </c>
      <c r="C982" s="133" t="s">
        <v>426</v>
      </c>
      <c r="D982" s="134">
        <v>1</v>
      </c>
    </row>
    <row r="983" spans="1:4" x14ac:dyDescent="0.2">
      <c r="A983" s="131">
        <v>859</v>
      </c>
      <c r="B983" s="132">
        <v>14003</v>
      </c>
      <c r="C983" s="133" t="s">
        <v>426</v>
      </c>
      <c r="D983" s="134">
        <v>2</v>
      </c>
    </row>
    <row r="984" spans="1:4" x14ac:dyDescent="0.2">
      <c r="A984" s="131">
        <v>859</v>
      </c>
      <c r="B984" s="132">
        <v>14004</v>
      </c>
      <c r="C984" s="133" t="s">
        <v>426</v>
      </c>
      <c r="D984" s="134">
        <v>1</v>
      </c>
    </row>
    <row r="985" spans="1:4" x14ac:dyDescent="0.2">
      <c r="A985" s="131">
        <v>860</v>
      </c>
      <c r="B985" s="132">
        <v>14026</v>
      </c>
      <c r="C985" s="133" t="s">
        <v>426</v>
      </c>
      <c r="D985" s="134">
        <v>2</v>
      </c>
    </row>
    <row r="986" spans="1:4" x14ac:dyDescent="0.2">
      <c r="A986" s="131">
        <v>860</v>
      </c>
      <c r="B986" s="132">
        <v>14027</v>
      </c>
      <c r="C986" s="133" t="s">
        <v>426</v>
      </c>
      <c r="D986" s="134">
        <v>1</v>
      </c>
    </row>
    <row r="987" spans="1:4" x14ac:dyDescent="0.2">
      <c r="A987" s="131">
        <v>861</v>
      </c>
      <c r="B987" s="132">
        <v>14051</v>
      </c>
      <c r="C987" s="133" t="s">
        <v>426</v>
      </c>
      <c r="D987" s="134">
        <v>2</v>
      </c>
    </row>
    <row r="988" spans="1:4" x14ac:dyDescent="0.2">
      <c r="A988" s="131">
        <v>861</v>
      </c>
      <c r="B988" s="132">
        <v>14052</v>
      </c>
      <c r="C988" s="133" t="s">
        <v>426</v>
      </c>
      <c r="D988" s="134">
        <v>1</v>
      </c>
    </row>
    <row r="989" spans="1:4" x14ac:dyDescent="0.2">
      <c r="A989" s="131">
        <v>862</v>
      </c>
      <c r="B989" s="132">
        <v>14107</v>
      </c>
      <c r="C989" s="133" t="s">
        <v>426</v>
      </c>
      <c r="D989" s="134">
        <v>2</v>
      </c>
    </row>
    <row r="990" spans="1:4" x14ac:dyDescent="0.2">
      <c r="A990" s="131">
        <v>862</v>
      </c>
      <c r="B990" s="132">
        <v>14108</v>
      </c>
      <c r="C990" s="133" t="s">
        <v>426</v>
      </c>
      <c r="D990" s="134">
        <v>1</v>
      </c>
    </row>
    <row r="991" spans="1:4" x14ac:dyDescent="0.2">
      <c r="A991" s="131">
        <v>863</v>
      </c>
      <c r="B991" s="132">
        <v>14054</v>
      </c>
      <c r="C991" s="133" t="s">
        <v>426</v>
      </c>
      <c r="D991" s="134">
        <v>2</v>
      </c>
    </row>
    <row r="992" spans="1:4" x14ac:dyDescent="0.2">
      <c r="A992" s="131">
        <v>863</v>
      </c>
      <c r="B992" s="132">
        <v>14055</v>
      </c>
      <c r="C992" s="133" t="s">
        <v>426</v>
      </c>
      <c r="D992" s="134">
        <v>1</v>
      </c>
    </row>
    <row r="993" spans="1:4" x14ac:dyDescent="0.2">
      <c r="A993" s="131">
        <v>864</v>
      </c>
      <c r="B993" s="132">
        <v>14121</v>
      </c>
      <c r="C993" s="133" t="s">
        <v>426</v>
      </c>
      <c r="D993" s="134">
        <v>2</v>
      </c>
    </row>
    <row r="994" spans="1:4" x14ac:dyDescent="0.2">
      <c r="A994" s="131">
        <v>864</v>
      </c>
      <c r="B994" s="132">
        <v>14122</v>
      </c>
      <c r="C994" s="133" t="s">
        <v>426</v>
      </c>
      <c r="D994" s="134">
        <v>1</v>
      </c>
    </row>
    <row r="995" spans="1:4" x14ac:dyDescent="0.2">
      <c r="A995" s="131">
        <v>865</v>
      </c>
      <c r="B995" s="132">
        <v>14057</v>
      </c>
      <c r="C995" s="133" t="s">
        <v>426</v>
      </c>
      <c r="D995" s="134">
        <v>2</v>
      </c>
    </row>
    <row r="996" spans="1:4" x14ac:dyDescent="0.2">
      <c r="A996" s="131">
        <v>865</v>
      </c>
      <c r="B996" s="132">
        <v>14058</v>
      </c>
      <c r="C996" s="133" t="s">
        <v>426</v>
      </c>
      <c r="D996" s="134">
        <v>1</v>
      </c>
    </row>
    <row r="997" spans="1:4" x14ac:dyDescent="0.2">
      <c r="A997" s="131">
        <v>866</v>
      </c>
      <c r="B997" s="132">
        <v>14059</v>
      </c>
      <c r="C997" s="133" t="s">
        <v>427</v>
      </c>
      <c r="D997" s="134" t="s">
        <v>239</v>
      </c>
    </row>
    <row r="998" spans="1:4" x14ac:dyDescent="0.2">
      <c r="A998" s="131">
        <v>867</v>
      </c>
      <c r="B998" s="132">
        <v>14060</v>
      </c>
      <c r="C998" s="133" t="s">
        <v>426</v>
      </c>
      <c r="D998" s="134">
        <v>2</v>
      </c>
    </row>
    <row r="999" spans="1:4" x14ac:dyDescent="0.2">
      <c r="A999" s="131">
        <v>867</v>
      </c>
      <c r="B999" s="132">
        <v>14061</v>
      </c>
      <c r="C999" s="133" t="s">
        <v>426</v>
      </c>
      <c r="D999" s="134">
        <v>1</v>
      </c>
    </row>
    <row r="1000" spans="1:4" x14ac:dyDescent="0.2">
      <c r="A1000" s="131">
        <v>868</v>
      </c>
      <c r="B1000" s="132">
        <v>14062</v>
      </c>
      <c r="C1000" s="133" t="s">
        <v>427</v>
      </c>
      <c r="D1000" s="134" t="s">
        <v>239</v>
      </c>
    </row>
    <row r="1001" spans="1:4" x14ac:dyDescent="0.2">
      <c r="A1001" s="131">
        <v>869</v>
      </c>
      <c r="B1001" s="132">
        <v>14063</v>
      </c>
      <c r="C1001" s="133" t="s">
        <v>426</v>
      </c>
      <c r="D1001" s="134">
        <v>2</v>
      </c>
    </row>
    <row r="1002" spans="1:4" x14ac:dyDescent="0.2">
      <c r="A1002" s="131">
        <v>869</v>
      </c>
      <c r="B1002" s="132">
        <v>14064</v>
      </c>
      <c r="C1002" s="133" t="s">
        <v>426</v>
      </c>
      <c r="D1002" s="134">
        <v>1</v>
      </c>
    </row>
    <row r="1003" spans="1:4" x14ac:dyDescent="0.2">
      <c r="A1003" s="131">
        <v>870</v>
      </c>
      <c r="B1003" s="132">
        <v>14065</v>
      </c>
      <c r="C1003" s="133" t="s">
        <v>427</v>
      </c>
      <c r="D1003" s="134" t="s">
        <v>239</v>
      </c>
    </row>
    <row r="1004" spans="1:4" x14ac:dyDescent="0.2">
      <c r="A1004" s="131">
        <v>871</v>
      </c>
      <c r="B1004" s="132">
        <v>14066</v>
      </c>
      <c r="C1004" s="133" t="s">
        <v>426</v>
      </c>
      <c r="D1004" s="134">
        <v>2</v>
      </c>
    </row>
    <row r="1005" spans="1:4" x14ac:dyDescent="0.2">
      <c r="A1005" s="131">
        <v>871</v>
      </c>
      <c r="B1005" s="132">
        <v>14067</v>
      </c>
      <c r="C1005" s="133" t="s">
        <v>426</v>
      </c>
      <c r="D1005" s="134">
        <v>1</v>
      </c>
    </row>
    <row r="1006" spans="1:4" x14ac:dyDescent="0.2">
      <c r="A1006" s="131">
        <v>872</v>
      </c>
      <c r="B1006" s="132">
        <v>14068</v>
      </c>
      <c r="C1006" s="133" t="s">
        <v>427</v>
      </c>
      <c r="D1006" s="134" t="s">
        <v>239</v>
      </c>
    </row>
    <row r="1007" spans="1:4" x14ac:dyDescent="0.2">
      <c r="A1007" s="131">
        <v>873</v>
      </c>
      <c r="B1007" s="132">
        <v>14078</v>
      </c>
      <c r="C1007" s="133" t="s">
        <v>426</v>
      </c>
      <c r="D1007" s="134">
        <v>2</v>
      </c>
    </row>
    <row r="1008" spans="1:4" x14ac:dyDescent="0.2">
      <c r="A1008" s="131">
        <v>873</v>
      </c>
      <c r="B1008" s="132">
        <v>14079</v>
      </c>
      <c r="C1008" s="133" t="s">
        <v>426</v>
      </c>
      <c r="D1008" s="134">
        <v>1</v>
      </c>
    </row>
    <row r="1009" spans="1:4" x14ac:dyDescent="0.2">
      <c r="A1009" s="131">
        <v>874</v>
      </c>
      <c r="B1009" s="132">
        <v>14080</v>
      </c>
      <c r="C1009" s="133" t="s">
        <v>427</v>
      </c>
      <c r="D1009" s="134" t="s">
        <v>239</v>
      </c>
    </row>
    <row r="1010" spans="1:4" x14ac:dyDescent="0.2">
      <c r="A1010" s="131">
        <v>875</v>
      </c>
      <c r="B1010" s="132">
        <v>14100</v>
      </c>
      <c r="C1010" s="133" t="s">
        <v>426</v>
      </c>
      <c r="D1010" s="134">
        <v>2</v>
      </c>
    </row>
    <row r="1011" spans="1:4" x14ac:dyDescent="0.2">
      <c r="A1011" s="131">
        <v>875</v>
      </c>
      <c r="B1011" s="132">
        <v>14101</v>
      </c>
      <c r="C1011" s="133" t="s">
        <v>426</v>
      </c>
      <c r="D1011" s="134">
        <v>1</v>
      </c>
    </row>
    <row r="1012" spans="1:4" x14ac:dyDescent="0.2">
      <c r="A1012" s="131">
        <v>876</v>
      </c>
      <c r="B1012" s="132">
        <v>14102</v>
      </c>
      <c r="C1012" s="133" t="s">
        <v>427</v>
      </c>
      <c r="D1012" s="134" t="s">
        <v>239</v>
      </c>
    </row>
    <row r="1013" spans="1:4" x14ac:dyDescent="0.2">
      <c r="A1013" s="131">
        <v>877</v>
      </c>
      <c r="B1013" s="132">
        <v>14123</v>
      </c>
      <c r="C1013" s="133" t="s">
        <v>426</v>
      </c>
      <c r="D1013" s="134">
        <v>2</v>
      </c>
    </row>
    <row r="1014" spans="1:4" x14ac:dyDescent="0.2">
      <c r="A1014" s="131">
        <v>877</v>
      </c>
      <c r="B1014" s="132">
        <v>14124</v>
      </c>
      <c r="C1014" s="133" t="s">
        <v>426</v>
      </c>
      <c r="D1014" s="134">
        <v>1</v>
      </c>
    </row>
    <row r="1015" spans="1:4" x14ac:dyDescent="0.2">
      <c r="A1015" s="131">
        <v>878</v>
      </c>
      <c r="B1015" s="132">
        <v>14125</v>
      </c>
      <c r="C1015" s="133" t="s">
        <v>427</v>
      </c>
      <c r="D1015" s="134" t="s">
        <v>239</v>
      </c>
    </row>
    <row r="1016" spans="1:4" x14ac:dyDescent="0.2">
      <c r="A1016" s="131">
        <v>879</v>
      </c>
      <c r="B1016" s="132">
        <v>14126</v>
      </c>
      <c r="C1016" s="133" t="s">
        <v>426</v>
      </c>
      <c r="D1016" s="134">
        <v>2</v>
      </c>
    </row>
    <row r="1017" spans="1:4" x14ac:dyDescent="0.2">
      <c r="A1017" s="131">
        <v>879</v>
      </c>
      <c r="B1017" s="132">
        <v>14127</v>
      </c>
      <c r="C1017" s="133" t="s">
        <v>426</v>
      </c>
      <c r="D1017" s="134">
        <v>1</v>
      </c>
    </row>
    <row r="1018" spans="1:4" x14ac:dyDescent="0.2">
      <c r="A1018" s="131">
        <v>880</v>
      </c>
      <c r="B1018" s="132">
        <v>14128</v>
      </c>
      <c r="C1018" s="133" t="s">
        <v>427</v>
      </c>
      <c r="D1018" s="134" t="s">
        <v>239</v>
      </c>
    </row>
    <row r="1019" spans="1:4" x14ac:dyDescent="0.2">
      <c r="A1019" s="131">
        <v>881</v>
      </c>
      <c r="B1019" s="132">
        <v>14129</v>
      </c>
      <c r="C1019" s="133" t="s">
        <v>426</v>
      </c>
      <c r="D1019" s="134">
        <v>2</v>
      </c>
    </row>
    <row r="1020" spans="1:4" x14ac:dyDescent="0.2">
      <c r="A1020" s="131">
        <v>881</v>
      </c>
      <c r="B1020" s="132">
        <v>14130</v>
      </c>
      <c r="C1020" s="133" t="s">
        <v>426</v>
      </c>
      <c r="D1020" s="134">
        <v>1</v>
      </c>
    </row>
    <row r="1021" spans="1:4" x14ac:dyDescent="0.2">
      <c r="A1021" s="131">
        <v>882</v>
      </c>
      <c r="B1021" s="132">
        <v>14131</v>
      </c>
      <c r="C1021" s="133" t="s">
        <v>427</v>
      </c>
      <c r="D1021" s="134" t="s">
        <v>239</v>
      </c>
    </row>
    <row r="1022" spans="1:4" x14ac:dyDescent="0.2">
      <c r="A1022" s="131">
        <v>883</v>
      </c>
      <c r="B1022" s="132">
        <v>14132</v>
      </c>
      <c r="C1022" s="133" t="s">
        <v>426</v>
      </c>
      <c r="D1022" s="134">
        <v>2</v>
      </c>
    </row>
    <row r="1023" spans="1:4" x14ac:dyDescent="0.2">
      <c r="A1023" s="131">
        <v>883</v>
      </c>
      <c r="B1023" s="132">
        <v>14133</v>
      </c>
      <c r="C1023" s="133" t="s">
        <v>426</v>
      </c>
      <c r="D1023" s="134">
        <v>1</v>
      </c>
    </row>
    <row r="1024" spans="1:4" x14ac:dyDescent="0.2">
      <c r="A1024" s="131">
        <v>884</v>
      </c>
      <c r="B1024" s="132">
        <v>14134</v>
      </c>
      <c r="C1024" s="133" t="s">
        <v>427</v>
      </c>
      <c r="D1024" s="134" t="s">
        <v>239</v>
      </c>
    </row>
    <row r="1025" spans="1:4" x14ac:dyDescent="0.2">
      <c r="A1025" s="131">
        <v>885</v>
      </c>
      <c r="B1025" s="132">
        <v>14135</v>
      </c>
      <c r="C1025" s="133" t="s">
        <v>426</v>
      </c>
      <c r="D1025" s="134">
        <v>2</v>
      </c>
    </row>
    <row r="1026" spans="1:4" x14ac:dyDescent="0.2">
      <c r="A1026" s="131">
        <v>885</v>
      </c>
      <c r="B1026" s="132">
        <v>14136</v>
      </c>
      <c r="C1026" s="133" t="s">
        <v>426</v>
      </c>
      <c r="D1026" s="134">
        <v>1</v>
      </c>
    </row>
    <row r="1027" spans="1:4" x14ac:dyDescent="0.2">
      <c r="A1027" s="131">
        <v>886</v>
      </c>
      <c r="B1027" s="132">
        <v>14137</v>
      </c>
      <c r="C1027" s="133" t="s">
        <v>427</v>
      </c>
      <c r="D1027" s="134" t="s">
        <v>239</v>
      </c>
    </row>
    <row r="1028" spans="1:4" x14ac:dyDescent="0.2">
      <c r="A1028" s="131">
        <v>887</v>
      </c>
      <c r="B1028" s="132">
        <v>14144</v>
      </c>
      <c r="C1028" s="133" t="s">
        <v>426</v>
      </c>
      <c r="D1028" s="134">
        <v>2</v>
      </c>
    </row>
    <row r="1029" spans="1:4" x14ac:dyDescent="0.2">
      <c r="A1029" s="131">
        <v>887</v>
      </c>
      <c r="B1029" s="132">
        <v>14145</v>
      </c>
      <c r="C1029" s="133" t="s">
        <v>426</v>
      </c>
      <c r="D1029" s="134">
        <v>1</v>
      </c>
    </row>
    <row r="1030" spans="1:4" x14ac:dyDescent="0.2">
      <c r="A1030" s="131">
        <v>888</v>
      </c>
      <c r="B1030" s="132">
        <v>14146</v>
      </c>
      <c r="C1030" s="133" t="s">
        <v>427</v>
      </c>
      <c r="D1030" s="134" t="s">
        <v>239</v>
      </c>
    </row>
    <row r="1031" spans="1:4" x14ac:dyDescent="0.2">
      <c r="A1031" s="131">
        <v>889</v>
      </c>
      <c r="B1031" s="132">
        <v>278</v>
      </c>
      <c r="C1031" s="133" t="s">
        <v>426</v>
      </c>
      <c r="D1031" s="134">
        <v>2</v>
      </c>
    </row>
    <row r="1032" spans="1:4" x14ac:dyDescent="0.2">
      <c r="A1032" s="131">
        <v>889</v>
      </c>
      <c r="B1032" s="132">
        <v>289</v>
      </c>
      <c r="C1032" s="133" t="s">
        <v>426</v>
      </c>
      <c r="D1032" s="134">
        <v>1</v>
      </c>
    </row>
    <row r="1033" spans="1:4" x14ac:dyDescent="0.2">
      <c r="A1033" s="131">
        <v>890</v>
      </c>
      <c r="B1033" s="132">
        <v>14028</v>
      </c>
      <c r="C1033" s="133" t="s">
        <v>427</v>
      </c>
      <c r="D1033" s="134" t="s">
        <v>239</v>
      </c>
    </row>
    <row r="1034" spans="1:4" x14ac:dyDescent="0.2">
      <c r="A1034" s="131">
        <v>891</v>
      </c>
      <c r="B1034" s="132">
        <v>14099</v>
      </c>
      <c r="C1034" s="133" t="s">
        <v>427</v>
      </c>
      <c r="D1034" s="134" t="s">
        <v>239</v>
      </c>
    </row>
    <row r="1035" spans="1:4" x14ac:dyDescent="0.2">
      <c r="A1035" s="131">
        <v>892</v>
      </c>
      <c r="B1035" s="132">
        <v>14119</v>
      </c>
      <c r="C1035" s="133" t="s">
        <v>427</v>
      </c>
      <c r="D1035" s="134" t="s">
        <v>239</v>
      </c>
    </row>
    <row r="1036" spans="1:4" x14ac:dyDescent="0.2">
      <c r="A1036" s="131">
        <v>893</v>
      </c>
      <c r="B1036" s="132">
        <v>14120</v>
      </c>
      <c r="C1036" s="133" t="s">
        <v>427</v>
      </c>
      <c r="D1036" s="134" t="s">
        <v>239</v>
      </c>
    </row>
    <row r="1037" spans="1:4" x14ac:dyDescent="0.2">
      <c r="A1037" s="131">
        <v>894</v>
      </c>
      <c r="B1037" s="132">
        <v>300</v>
      </c>
      <c r="C1037" s="133" t="s">
        <v>384</v>
      </c>
      <c r="D1037" s="134" t="s">
        <v>239</v>
      </c>
    </row>
    <row r="1038" spans="1:4" x14ac:dyDescent="0.2">
      <c r="A1038" s="131">
        <v>895</v>
      </c>
      <c r="B1038" s="132">
        <v>311</v>
      </c>
      <c r="C1038" s="133" t="s">
        <v>384</v>
      </c>
      <c r="D1038" s="134" t="s">
        <v>239</v>
      </c>
    </row>
    <row r="1039" spans="1:4" x14ac:dyDescent="0.2">
      <c r="A1039" s="131">
        <v>896</v>
      </c>
      <c r="B1039" s="132">
        <v>312</v>
      </c>
      <c r="C1039" s="133" t="s">
        <v>384</v>
      </c>
      <c r="D1039" s="134" t="s">
        <v>239</v>
      </c>
    </row>
    <row r="1040" spans="1:4" x14ac:dyDescent="0.2">
      <c r="A1040" s="131">
        <v>897</v>
      </c>
      <c r="B1040" s="132">
        <v>14097</v>
      </c>
      <c r="C1040" s="133" t="s">
        <v>427</v>
      </c>
      <c r="D1040" s="134" t="s">
        <v>239</v>
      </c>
    </row>
    <row r="1041" spans="1:4" x14ac:dyDescent="0.2">
      <c r="A1041" s="131">
        <v>898</v>
      </c>
      <c r="B1041" s="132">
        <v>14098</v>
      </c>
      <c r="C1041" s="133" t="s">
        <v>427</v>
      </c>
      <c r="D1041" s="134" t="s">
        <v>239</v>
      </c>
    </row>
    <row r="1042" spans="1:4" x14ac:dyDescent="0.2">
      <c r="A1042" s="131">
        <v>899</v>
      </c>
      <c r="B1042" s="132">
        <v>281</v>
      </c>
      <c r="C1042" s="133" t="s">
        <v>428</v>
      </c>
      <c r="D1042" s="134" t="s">
        <v>239</v>
      </c>
    </row>
    <row r="1043" spans="1:4" x14ac:dyDescent="0.2">
      <c r="A1043" s="131">
        <v>900</v>
      </c>
      <c r="B1043" s="132">
        <v>282</v>
      </c>
      <c r="C1043" s="133" t="s">
        <v>428</v>
      </c>
      <c r="D1043" s="134" t="s">
        <v>239</v>
      </c>
    </row>
    <row r="1044" spans="1:4" x14ac:dyDescent="0.2">
      <c r="A1044" s="131">
        <v>901</v>
      </c>
      <c r="B1044" s="132">
        <v>283</v>
      </c>
      <c r="C1044" s="133" t="s">
        <v>428</v>
      </c>
      <c r="D1044" s="134" t="s">
        <v>239</v>
      </c>
    </row>
    <row r="1045" spans="1:4" x14ac:dyDescent="0.2">
      <c r="A1045" s="131">
        <v>902</v>
      </c>
      <c r="B1045" s="132">
        <v>284</v>
      </c>
      <c r="C1045" s="133" t="s">
        <v>428</v>
      </c>
      <c r="D1045" s="134" t="s">
        <v>239</v>
      </c>
    </row>
    <row r="1046" spans="1:4" x14ac:dyDescent="0.2">
      <c r="A1046" s="131">
        <v>903</v>
      </c>
      <c r="B1046" s="132">
        <v>285</v>
      </c>
      <c r="C1046" s="133" t="s">
        <v>428</v>
      </c>
      <c r="D1046" s="134" t="s">
        <v>239</v>
      </c>
    </row>
    <row r="1047" spans="1:4" x14ac:dyDescent="0.2">
      <c r="A1047" s="131">
        <v>904</v>
      </c>
      <c r="B1047" s="132">
        <v>286</v>
      </c>
      <c r="C1047" s="133" t="s">
        <v>429</v>
      </c>
      <c r="D1047" s="134" t="s">
        <v>239</v>
      </c>
    </row>
    <row r="1048" spans="1:4" x14ac:dyDescent="0.2">
      <c r="A1048" s="131">
        <v>905</v>
      </c>
      <c r="B1048" s="132">
        <v>287</v>
      </c>
      <c r="C1048" s="133" t="s">
        <v>429</v>
      </c>
      <c r="D1048" s="134" t="s">
        <v>239</v>
      </c>
    </row>
    <row r="1049" spans="1:4" x14ac:dyDescent="0.2">
      <c r="A1049" s="131">
        <v>906</v>
      </c>
      <c r="B1049" s="132">
        <v>288</v>
      </c>
      <c r="C1049" s="133" t="s">
        <v>429</v>
      </c>
      <c r="D1049" s="134" t="s">
        <v>239</v>
      </c>
    </row>
    <row r="1050" spans="1:4" x14ac:dyDescent="0.2">
      <c r="A1050" s="131">
        <v>907</v>
      </c>
      <c r="B1050" s="132">
        <v>292</v>
      </c>
      <c r="C1050" s="133" t="s">
        <v>430</v>
      </c>
      <c r="D1050" s="134" t="s">
        <v>239</v>
      </c>
    </row>
    <row r="1051" spans="1:4" x14ac:dyDescent="0.2">
      <c r="A1051" s="131">
        <v>908</v>
      </c>
      <c r="B1051" s="132">
        <v>293</v>
      </c>
      <c r="C1051" s="133" t="s">
        <v>430</v>
      </c>
      <c r="D1051" s="134" t="s">
        <v>239</v>
      </c>
    </row>
    <row r="1052" spans="1:4" x14ac:dyDescent="0.2">
      <c r="A1052" s="131">
        <v>909</v>
      </c>
      <c r="B1052" s="132">
        <v>294</v>
      </c>
      <c r="C1052" s="133" t="s">
        <v>430</v>
      </c>
      <c r="D1052" s="134" t="s">
        <v>239</v>
      </c>
    </row>
    <row r="1053" spans="1:4" x14ac:dyDescent="0.2">
      <c r="A1053" s="131">
        <v>910</v>
      </c>
      <c r="B1053" s="132">
        <v>295</v>
      </c>
      <c r="C1053" s="133" t="s">
        <v>430</v>
      </c>
      <c r="D1053" s="134" t="s">
        <v>239</v>
      </c>
    </row>
    <row r="1054" spans="1:4" x14ac:dyDescent="0.2">
      <c r="A1054" s="131">
        <v>911</v>
      </c>
      <c r="B1054" s="132">
        <v>296</v>
      </c>
      <c r="C1054" s="133" t="s">
        <v>430</v>
      </c>
      <c r="D1054" s="134" t="s">
        <v>239</v>
      </c>
    </row>
    <row r="1055" spans="1:4" x14ac:dyDescent="0.2">
      <c r="A1055" s="131">
        <v>912</v>
      </c>
      <c r="B1055" s="132">
        <v>297</v>
      </c>
      <c r="C1055" s="133" t="s">
        <v>430</v>
      </c>
      <c r="D1055" s="134" t="s">
        <v>239</v>
      </c>
    </row>
    <row r="1056" spans="1:4" x14ac:dyDescent="0.2">
      <c r="A1056" s="131">
        <v>913</v>
      </c>
      <c r="B1056" s="132">
        <v>298</v>
      </c>
      <c r="C1056" s="133" t="s">
        <v>430</v>
      </c>
      <c r="D1056" s="134" t="s">
        <v>239</v>
      </c>
    </row>
    <row r="1057" spans="1:4" x14ac:dyDescent="0.2">
      <c r="A1057" s="131">
        <v>914</v>
      </c>
      <c r="B1057" s="132">
        <v>299</v>
      </c>
      <c r="C1057" s="133" t="s">
        <v>431</v>
      </c>
      <c r="D1057" s="134">
        <v>1</v>
      </c>
    </row>
    <row r="1058" spans="1:4" x14ac:dyDescent="0.2">
      <c r="A1058" s="131">
        <v>915</v>
      </c>
      <c r="B1058" s="132">
        <v>313</v>
      </c>
      <c r="C1058" s="133" t="s">
        <v>384</v>
      </c>
      <c r="D1058" s="134">
        <v>2</v>
      </c>
    </row>
    <row r="1059" spans="1:4" x14ac:dyDescent="0.2">
      <c r="A1059" s="131">
        <v>915</v>
      </c>
      <c r="B1059" s="132">
        <v>314</v>
      </c>
      <c r="C1059" s="133" t="s">
        <v>384</v>
      </c>
      <c r="D1059" s="134">
        <v>1</v>
      </c>
    </row>
    <row r="1060" spans="1:4" x14ac:dyDescent="0.2">
      <c r="A1060" s="131">
        <v>916</v>
      </c>
      <c r="B1060" s="132">
        <v>315</v>
      </c>
      <c r="C1060" s="133" t="s">
        <v>384</v>
      </c>
      <c r="D1060" s="134">
        <v>2</v>
      </c>
    </row>
    <row r="1061" spans="1:4" x14ac:dyDescent="0.2">
      <c r="A1061" s="131">
        <v>916</v>
      </c>
      <c r="B1061" s="132">
        <v>316</v>
      </c>
      <c r="C1061" s="133" t="s">
        <v>384</v>
      </c>
      <c r="D1061" s="134">
        <v>1</v>
      </c>
    </row>
    <row r="1062" spans="1:4" x14ac:dyDescent="0.2">
      <c r="A1062" s="131">
        <v>917</v>
      </c>
      <c r="B1062" s="132">
        <v>279</v>
      </c>
      <c r="C1062" s="133" t="s">
        <v>384</v>
      </c>
      <c r="D1062" s="134">
        <v>2</v>
      </c>
    </row>
    <row r="1063" spans="1:4" x14ac:dyDescent="0.2">
      <c r="A1063" s="131">
        <v>917</v>
      </c>
      <c r="B1063" s="132">
        <v>280</v>
      </c>
      <c r="C1063" s="133" t="s">
        <v>384</v>
      </c>
      <c r="D1063" s="134">
        <v>1</v>
      </c>
    </row>
    <row r="1064" spans="1:4" x14ac:dyDescent="0.2">
      <c r="A1064" s="131">
        <v>918</v>
      </c>
      <c r="B1064" s="132">
        <v>290</v>
      </c>
      <c r="C1064" s="133" t="s">
        <v>319</v>
      </c>
      <c r="D1064" s="134">
        <v>1</v>
      </c>
    </row>
    <row r="1065" spans="1:4" x14ac:dyDescent="0.2">
      <c r="A1065" s="131">
        <v>918</v>
      </c>
      <c r="B1065" s="132">
        <v>291</v>
      </c>
      <c r="C1065" s="133" t="s">
        <v>319</v>
      </c>
      <c r="D1065" s="134">
        <v>1</v>
      </c>
    </row>
    <row r="1066" spans="1:4" x14ac:dyDescent="0.2">
      <c r="A1066" s="131">
        <v>919</v>
      </c>
      <c r="B1066" s="132">
        <v>57</v>
      </c>
      <c r="C1066" s="133" t="s">
        <v>432</v>
      </c>
      <c r="D1066" s="134">
        <v>1</v>
      </c>
    </row>
    <row r="1067" spans="1:4" x14ac:dyDescent="0.2">
      <c r="A1067" s="131">
        <v>919</v>
      </c>
      <c r="B1067" s="132">
        <v>278</v>
      </c>
      <c r="C1067" s="133" t="s">
        <v>432</v>
      </c>
      <c r="D1067" s="134">
        <v>2</v>
      </c>
    </row>
    <row r="1068" spans="1:4" x14ac:dyDescent="0.2">
      <c r="A1068" s="131">
        <v>920</v>
      </c>
      <c r="B1068" s="132">
        <v>57</v>
      </c>
      <c r="C1068" s="133" t="s">
        <v>432</v>
      </c>
      <c r="D1068" s="134">
        <v>1</v>
      </c>
    </row>
    <row r="1069" spans="1:4" x14ac:dyDescent="0.2">
      <c r="A1069" s="131">
        <v>920</v>
      </c>
      <c r="B1069" s="132">
        <v>278</v>
      </c>
      <c r="C1069" s="133" t="s">
        <v>432</v>
      </c>
      <c r="D1069" s="134">
        <v>2</v>
      </c>
    </row>
    <row r="1070" spans="1:4" x14ac:dyDescent="0.2">
      <c r="A1070" s="131">
        <v>922</v>
      </c>
      <c r="B1070" s="132">
        <v>301</v>
      </c>
      <c r="C1070" s="133" t="s">
        <v>342</v>
      </c>
      <c r="D1070" s="134">
        <v>1</v>
      </c>
    </row>
    <row r="1071" spans="1:4" x14ac:dyDescent="0.2">
      <c r="A1071" s="131">
        <v>923</v>
      </c>
      <c r="B1071" s="132">
        <v>302</v>
      </c>
      <c r="C1071" s="133" t="s">
        <v>342</v>
      </c>
      <c r="D1071" s="134">
        <v>1</v>
      </c>
    </row>
    <row r="1072" spans="1:4" x14ac:dyDescent="0.2">
      <c r="A1072" s="131">
        <v>924</v>
      </c>
      <c r="B1072" s="132">
        <v>303</v>
      </c>
      <c r="C1072" s="133" t="s">
        <v>342</v>
      </c>
      <c r="D1072" s="134">
        <v>1</v>
      </c>
    </row>
    <row r="1073" spans="1:4" x14ac:dyDescent="0.2">
      <c r="A1073" s="131">
        <v>925</v>
      </c>
      <c r="B1073" s="132">
        <v>259</v>
      </c>
      <c r="C1073" s="133" t="s">
        <v>433</v>
      </c>
      <c r="D1073" s="134" t="s">
        <v>372</v>
      </c>
    </row>
    <row r="1074" spans="1:4" x14ac:dyDescent="0.2">
      <c r="A1074" s="131">
        <v>925</v>
      </c>
      <c r="B1074" s="132">
        <v>307</v>
      </c>
      <c r="C1074" s="133" t="s">
        <v>433</v>
      </c>
      <c r="D1074" s="134" t="s">
        <v>372</v>
      </c>
    </row>
    <row r="1075" spans="1:4" x14ac:dyDescent="0.2">
      <c r="A1075" s="131">
        <v>926</v>
      </c>
      <c r="B1075" s="132">
        <v>261</v>
      </c>
      <c r="C1075" s="133" t="s">
        <v>373</v>
      </c>
      <c r="D1075" s="134" t="s">
        <v>372</v>
      </c>
    </row>
    <row r="1076" spans="1:4" x14ac:dyDescent="0.2">
      <c r="A1076" s="131">
        <v>926</v>
      </c>
      <c r="B1076" s="132">
        <v>308</v>
      </c>
      <c r="C1076" s="133" t="s">
        <v>373</v>
      </c>
      <c r="D1076" s="134" t="s">
        <v>372</v>
      </c>
    </row>
    <row r="1077" spans="1:4" x14ac:dyDescent="0.2">
      <c r="A1077" s="131">
        <v>927</v>
      </c>
      <c r="B1077" s="132">
        <v>263</v>
      </c>
      <c r="C1077" s="133" t="s">
        <v>375</v>
      </c>
      <c r="D1077" s="134" t="s">
        <v>372</v>
      </c>
    </row>
    <row r="1078" spans="1:4" x14ac:dyDescent="0.2">
      <c r="A1078" s="131">
        <v>927</v>
      </c>
      <c r="B1078" s="132">
        <v>309</v>
      </c>
      <c r="C1078" s="133" t="s">
        <v>375</v>
      </c>
      <c r="D1078" s="134" t="s">
        <v>372</v>
      </c>
    </row>
    <row r="1079" spans="1:4" x14ac:dyDescent="0.2">
      <c r="A1079" s="131">
        <v>928</v>
      </c>
      <c r="B1079" s="132">
        <v>265</v>
      </c>
      <c r="C1079" s="133" t="s">
        <v>374</v>
      </c>
      <c r="D1079" s="134" t="s">
        <v>372</v>
      </c>
    </row>
    <row r="1080" spans="1:4" x14ac:dyDescent="0.2">
      <c r="A1080" s="131">
        <v>928</v>
      </c>
      <c r="B1080" s="132">
        <v>310</v>
      </c>
      <c r="C1080" s="133" t="s">
        <v>374</v>
      </c>
      <c r="D1080" s="134" t="s">
        <v>372</v>
      </c>
    </row>
    <row r="1081" spans="1:4" x14ac:dyDescent="0.2">
      <c r="A1081" s="131">
        <v>929</v>
      </c>
      <c r="B1081" s="132">
        <v>14041</v>
      </c>
      <c r="C1081" s="133" t="s">
        <v>428</v>
      </c>
      <c r="D1081" s="134" t="s">
        <v>239</v>
      </c>
    </row>
    <row r="1082" spans="1:4" x14ac:dyDescent="0.2">
      <c r="A1082" s="131">
        <v>930</v>
      </c>
      <c r="B1082" s="132">
        <v>14053</v>
      </c>
      <c r="C1082" s="133" t="s">
        <v>428</v>
      </c>
      <c r="D1082" s="134" t="s">
        <v>239</v>
      </c>
    </row>
    <row r="1083" spans="1:4" x14ac:dyDescent="0.2">
      <c r="A1083" s="131">
        <v>931</v>
      </c>
      <c r="B1083" s="132">
        <v>14056</v>
      </c>
      <c r="C1083" s="133" t="s">
        <v>428</v>
      </c>
      <c r="D1083" s="134" t="s">
        <v>239</v>
      </c>
    </row>
    <row r="1084" spans="1:4" x14ac:dyDescent="0.2">
      <c r="A1084" s="131">
        <v>932</v>
      </c>
      <c r="B1084" s="132">
        <v>191</v>
      </c>
      <c r="C1084" s="133" t="s">
        <v>434</v>
      </c>
      <c r="D1084" s="134">
        <v>2</v>
      </c>
    </row>
    <row r="1085" spans="1:4" x14ac:dyDescent="0.2">
      <c r="A1085" s="131">
        <v>932</v>
      </c>
      <c r="B1085" s="132">
        <v>353</v>
      </c>
      <c r="C1085" s="133" t="s">
        <v>434</v>
      </c>
      <c r="D1085" s="134">
        <v>1</v>
      </c>
    </row>
    <row r="1086" spans="1:4" x14ac:dyDescent="0.2">
      <c r="A1086" s="131">
        <v>932</v>
      </c>
      <c r="B1086" s="132">
        <v>354</v>
      </c>
      <c r="C1086" s="133" t="s">
        <v>434</v>
      </c>
      <c r="D1086" s="134">
        <v>1</v>
      </c>
    </row>
    <row r="1087" spans="1:4" x14ac:dyDescent="0.2">
      <c r="A1087" s="131">
        <v>932</v>
      </c>
      <c r="B1087" s="132">
        <v>355</v>
      </c>
      <c r="C1087" s="133" t="s">
        <v>434</v>
      </c>
      <c r="D1087" s="134">
        <v>1</v>
      </c>
    </row>
    <row r="1088" spans="1:4" x14ac:dyDescent="0.2">
      <c r="A1088" s="131">
        <v>933</v>
      </c>
      <c r="B1088" s="132">
        <v>14147</v>
      </c>
      <c r="C1088" s="133" t="s">
        <v>426</v>
      </c>
      <c r="D1088" s="134">
        <v>2</v>
      </c>
    </row>
    <row r="1089" spans="1:4" x14ac:dyDescent="0.2">
      <c r="A1089" s="131">
        <v>933</v>
      </c>
      <c r="B1089" s="132">
        <v>14148</v>
      </c>
      <c r="C1089" s="133" t="s">
        <v>426</v>
      </c>
      <c r="D1089" s="134">
        <v>1</v>
      </c>
    </row>
    <row r="1090" spans="1:4" x14ac:dyDescent="0.2">
      <c r="A1090" s="131">
        <v>934</v>
      </c>
      <c r="B1090" s="132">
        <v>14149</v>
      </c>
      <c r="C1090" s="133" t="s">
        <v>427</v>
      </c>
      <c r="D1090" s="134" t="s">
        <v>239</v>
      </c>
    </row>
    <row r="1091" spans="1:4" x14ac:dyDescent="0.2">
      <c r="A1091" s="131">
        <v>935</v>
      </c>
      <c r="B1091" s="132">
        <v>374</v>
      </c>
      <c r="C1091" s="133" t="s">
        <v>435</v>
      </c>
      <c r="D1091" s="134" t="s">
        <v>485</v>
      </c>
    </row>
    <row r="1092" spans="1:4" x14ac:dyDescent="0.2">
      <c r="A1092" s="131">
        <v>935</v>
      </c>
      <c r="B1092" s="132">
        <v>375</v>
      </c>
      <c r="C1092" s="133" t="s">
        <v>435</v>
      </c>
      <c r="D1092" s="134" t="s">
        <v>483</v>
      </c>
    </row>
    <row r="1093" spans="1:4" x14ac:dyDescent="0.2">
      <c r="A1093" s="131">
        <v>936</v>
      </c>
      <c r="B1093" s="132">
        <v>1422</v>
      </c>
      <c r="C1093" s="133" t="s">
        <v>435</v>
      </c>
      <c r="D1093" s="134">
        <v>1</v>
      </c>
    </row>
    <row r="1094" spans="1:4" x14ac:dyDescent="0.2">
      <c r="A1094" s="131">
        <v>936</v>
      </c>
      <c r="B1094" s="132">
        <v>1423</v>
      </c>
      <c r="C1094" s="133" t="s">
        <v>435</v>
      </c>
      <c r="D1094" s="134">
        <v>2</v>
      </c>
    </row>
    <row r="1095" spans="1:4" x14ac:dyDescent="0.2">
      <c r="A1095" s="131">
        <v>937</v>
      </c>
      <c r="B1095" s="132">
        <v>14150</v>
      </c>
      <c r="C1095" s="133" t="s">
        <v>435</v>
      </c>
      <c r="D1095" s="134">
        <v>2</v>
      </c>
    </row>
    <row r="1096" spans="1:4" x14ac:dyDescent="0.2">
      <c r="A1096" s="131">
        <v>937</v>
      </c>
      <c r="B1096" s="132">
        <v>14151</v>
      </c>
      <c r="C1096" s="133" t="s">
        <v>435</v>
      </c>
      <c r="D1096" s="134">
        <v>1</v>
      </c>
    </row>
    <row r="1097" spans="1:4" x14ac:dyDescent="0.2">
      <c r="A1097" s="131">
        <v>938</v>
      </c>
      <c r="B1097" s="132">
        <v>376</v>
      </c>
      <c r="C1097" s="133" t="s">
        <v>435</v>
      </c>
      <c r="D1097" s="134">
        <v>2</v>
      </c>
    </row>
    <row r="1098" spans="1:4" x14ac:dyDescent="0.2">
      <c r="A1098" s="131">
        <v>938</v>
      </c>
      <c r="B1098" s="132">
        <v>377</v>
      </c>
      <c r="C1098" s="133" t="s">
        <v>435</v>
      </c>
      <c r="D1098" s="134">
        <v>1</v>
      </c>
    </row>
    <row r="1099" spans="1:4" x14ac:dyDescent="0.2">
      <c r="A1099" s="131">
        <v>939</v>
      </c>
      <c r="B1099" s="132">
        <v>395</v>
      </c>
      <c r="C1099" s="133" t="s">
        <v>435</v>
      </c>
      <c r="D1099" s="134">
        <v>2</v>
      </c>
    </row>
    <row r="1100" spans="1:4" x14ac:dyDescent="0.2">
      <c r="A1100" s="131">
        <v>939</v>
      </c>
      <c r="B1100" s="132">
        <v>396</v>
      </c>
      <c r="C1100" s="133" t="s">
        <v>435</v>
      </c>
      <c r="D1100" s="134">
        <v>1</v>
      </c>
    </row>
    <row r="1101" spans="1:4" x14ac:dyDescent="0.2">
      <c r="A1101" s="131">
        <v>940</v>
      </c>
      <c r="B1101" s="132">
        <v>397</v>
      </c>
      <c r="C1101" s="133" t="s">
        <v>436</v>
      </c>
      <c r="D1101" s="134" t="s">
        <v>394</v>
      </c>
    </row>
    <row r="1102" spans="1:4" x14ac:dyDescent="0.2">
      <c r="A1102" s="131">
        <v>941</v>
      </c>
      <c r="B1102" s="132">
        <v>398</v>
      </c>
      <c r="C1102" s="133" t="s">
        <v>437</v>
      </c>
      <c r="D1102" s="134" t="s">
        <v>394</v>
      </c>
    </row>
    <row r="1103" spans="1:4" x14ac:dyDescent="0.2">
      <c r="A1103" s="131">
        <v>942</v>
      </c>
      <c r="B1103" s="132">
        <v>400</v>
      </c>
      <c r="C1103" s="133" t="s">
        <v>287</v>
      </c>
      <c r="D1103" s="134">
        <v>1</v>
      </c>
    </row>
    <row r="1104" spans="1:4" x14ac:dyDescent="0.2">
      <c r="A1104" s="131">
        <v>942</v>
      </c>
      <c r="B1104" s="132">
        <v>401</v>
      </c>
      <c r="C1104" s="133" t="s">
        <v>287</v>
      </c>
      <c r="D1104" s="134">
        <v>2</v>
      </c>
    </row>
    <row r="1105" spans="1:4" x14ac:dyDescent="0.2">
      <c r="A1105" s="131">
        <v>943</v>
      </c>
      <c r="B1105" s="132">
        <v>404</v>
      </c>
      <c r="C1105" s="133" t="s">
        <v>277</v>
      </c>
      <c r="D1105" s="134">
        <v>1</v>
      </c>
    </row>
    <row r="1106" spans="1:4" x14ac:dyDescent="0.2">
      <c r="A1106" s="131">
        <v>943</v>
      </c>
      <c r="B1106" s="132">
        <v>405</v>
      </c>
      <c r="C1106" s="133" t="s">
        <v>277</v>
      </c>
      <c r="D1106" s="134">
        <v>2</v>
      </c>
    </row>
    <row r="1107" spans="1:4" x14ac:dyDescent="0.2">
      <c r="A1107" s="131">
        <v>944</v>
      </c>
      <c r="B1107" s="132">
        <v>406</v>
      </c>
      <c r="C1107" s="133" t="s">
        <v>277</v>
      </c>
      <c r="D1107" s="134">
        <v>1</v>
      </c>
    </row>
    <row r="1108" spans="1:4" x14ac:dyDescent="0.2">
      <c r="A1108" s="131">
        <v>944</v>
      </c>
      <c r="B1108" s="132">
        <v>407</v>
      </c>
      <c r="C1108" s="133" t="s">
        <v>277</v>
      </c>
      <c r="D1108" s="134">
        <v>2</v>
      </c>
    </row>
    <row r="1109" spans="1:4" x14ac:dyDescent="0.2">
      <c r="A1109" s="131">
        <v>945</v>
      </c>
      <c r="B1109" s="132">
        <v>408</v>
      </c>
      <c r="C1109" s="133" t="s">
        <v>277</v>
      </c>
      <c r="D1109" s="134">
        <v>1</v>
      </c>
    </row>
    <row r="1110" spans="1:4" x14ac:dyDescent="0.2">
      <c r="A1110" s="131">
        <v>945</v>
      </c>
      <c r="B1110" s="132">
        <v>409</v>
      </c>
      <c r="C1110" s="133" t="s">
        <v>277</v>
      </c>
      <c r="D1110" s="134">
        <v>2</v>
      </c>
    </row>
    <row r="1111" spans="1:4" x14ac:dyDescent="0.2">
      <c r="A1111" s="131">
        <v>946</v>
      </c>
      <c r="B1111" s="132">
        <v>410</v>
      </c>
      <c r="C1111" s="133" t="s">
        <v>277</v>
      </c>
      <c r="D1111" s="134">
        <v>1</v>
      </c>
    </row>
    <row r="1112" spans="1:4" x14ac:dyDescent="0.2">
      <c r="A1112" s="131">
        <v>946</v>
      </c>
      <c r="B1112" s="132">
        <v>411</v>
      </c>
      <c r="C1112" s="133" t="s">
        <v>277</v>
      </c>
      <c r="D1112" s="134">
        <v>2</v>
      </c>
    </row>
    <row r="1113" spans="1:4" x14ac:dyDescent="0.2">
      <c r="A1113" s="131">
        <v>947</v>
      </c>
      <c r="B1113" s="132">
        <v>412</v>
      </c>
      <c r="C1113" s="133" t="s">
        <v>438</v>
      </c>
      <c r="D1113" s="134">
        <v>2</v>
      </c>
    </row>
    <row r="1114" spans="1:4" x14ac:dyDescent="0.2">
      <c r="A1114" s="131">
        <v>947</v>
      </c>
      <c r="B1114" s="132">
        <v>413</v>
      </c>
      <c r="C1114" s="133" t="s">
        <v>438</v>
      </c>
      <c r="D1114" s="134">
        <v>1</v>
      </c>
    </row>
    <row r="1115" spans="1:4" x14ac:dyDescent="0.2">
      <c r="A1115" s="131">
        <v>947</v>
      </c>
      <c r="B1115" s="132">
        <v>414</v>
      </c>
      <c r="C1115" s="133" t="s">
        <v>438</v>
      </c>
      <c r="D1115" s="134">
        <v>1</v>
      </c>
    </row>
    <row r="1116" spans="1:4" x14ac:dyDescent="0.2">
      <c r="A1116" s="131">
        <v>948</v>
      </c>
      <c r="B1116" s="132">
        <v>415</v>
      </c>
      <c r="C1116" s="133" t="s">
        <v>439</v>
      </c>
      <c r="D1116" s="134" t="s">
        <v>485</v>
      </c>
    </row>
    <row r="1117" spans="1:4" x14ac:dyDescent="0.2">
      <c r="A1117" s="131">
        <v>948</v>
      </c>
      <c r="B1117" s="132">
        <v>416</v>
      </c>
      <c r="C1117" s="133" t="s">
        <v>439</v>
      </c>
      <c r="D1117" s="134">
        <v>1</v>
      </c>
    </row>
    <row r="1118" spans="1:4" x14ac:dyDescent="0.2">
      <c r="A1118" s="131">
        <v>949</v>
      </c>
      <c r="B1118" s="132">
        <v>417</v>
      </c>
      <c r="C1118" s="133" t="s">
        <v>539</v>
      </c>
      <c r="D1118" s="134">
        <v>1</v>
      </c>
    </row>
    <row r="1119" spans="1:4" x14ac:dyDescent="0.2">
      <c r="A1119" s="131">
        <v>949</v>
      </c>
      <c r="B1119" s="132">
        <v>418</v>
      </c>
      <c r="C1119" s="133" t="s">
        <v>539</v>
      </c>
      <c r="D1119" s="134">
        <v>2</v>
      </c>
    </row>
    <row r="1120" spans="1:4" x14ac:dyDescent="0.2">
      <c r="A1120" s="131">
        <v>950</v>
      </c>
      <c r="B1120" s="132">
        <v>419</v>
      </c>
      <c r="C1120" s="133" t="s">
        <v>540</v>
      </c>
      <c r="D1120" s="134" t="s">
        <v>239</v>
      </c>
    </row>
    <row r="1121" spans="1:4" x14ac:dyDescent="0.2">
      <c r="A1121" s="131">
        <v>951</v>
      </c>
      <c r="B1121" s="132">
        <v>420</v>
      </c>
      <c r="C1121" s="133" t="s">
        <v>541</v>
      </c>
      <c r="D1121" s="134" t="s">
        <v>239</v>
      </c>
    </row>
    <row r="1122" spans="1:4" x14ac:dyDescent="0.2">
      <c r="A1122" s="131">
        <v>952</v>
      </c>
      <c r="B1122" s="132">
        <v>421</v>
      </c>
      <c r="C1122" s="133" t="s">
        <v>542</v>
      </c>
      <c r="D1122" s="134">
        <v>1</v>
      </c>
    </row>
    <row r="1123" spans="1:4" x14ac:dyDescent="0.2">
      <c r="A1123" s="131">
        <v>952</v>
      </c>
      <c r="B1123" s="132">
        <v>422</v>
      </c>
      <c r="C1123" s="133" t="s">
        <v>542</v>
      </c>
      <c r="D1123" s="134">
        <v>2</v>
      </c>
    </row>
    <row r="1124" spans="1:4" x14ac:dyDescent="0.2">
      <c r="A1124" s="131">
        <v>953</v>
      </c>
      <c r="B1124" s="132">
        <v>423</v>
      </c>
      <c r="C1124" s="133" t="s">
        <v>440</v>
      </c>
      <c r="D1124" s="134">
        <v>1</v>
      </c>
    </row>
    <row r="1125" spans="1:4" x14ac:dyDescent="0.2">
      <c r="A1125" s="131">
        <v>953</v>
      </c>
      <c r="B1125" s="132">
        <v>424</v>
      </c>
      <c r="C1125" s="133" t="s">
        <v>440</v>
      </c>
      <c r="D1125" s="134" t="s">
        <v>483</v>
      </c>
    </row>
    <row r="1126" spans="1:4" x14ac:dyDescent="0.2">
      <c r="A1126" s="131">
        <v>954</v>
      </c>
      <c r="B1126" s="132">
        <v>425</v>
      </c>
      <c r="C1126" s="133" t="s">
        <v>441</v>
      </c>
      <c r="D1126" s="134" t="s">
        <v>485</v>
      </c>
    </row>
    <row r="1127" spans="1:4" x14ac:dyDescent="0.2">
      <c r="A1127" s="131">
        <v>954</v>
      </c>
      <c r="B1127" s="132">
        <v>426</v>
      </c>
      <c r="C1127" s="133" t="s">
        <v>441</v>
      </c>
      <c r="D1127" s="134" t="s">
        <v>483</v>
      </c>
    </row>
    <row r="1128" spans="1:4" x14ac:dyDescent="0.2">
      <c r="A1128" s="131">
        <v>954</v>
      </c>
      <c r="B1128" s="132">
        <v>427</v>
      </c>
      <c r="C1128" s="133" t="s">
        <v>441</v>
      </c>
      <c r="D1128" s="134" t="s">
        <v>483</v>
      </c>
    </row>
    <row r="1129" spans="1:4" x14ac:dyDescent="0.2">
      <c r="A1129" s="131">
        <v>955</v>
      </c>
      <c r="B1129" s="132">
        <v>206</v>
      </c>
      <c r="C1129" s="133" t="s">
        <v>442</v>
      </c>
      <c r="D1129" s="134">
        <v>2</v>
      </c>
    </row>
    <row r="1130" spans="1:4" x14ac:dyDescent="0.2">
      <c r="A1130" s="131">
        <v>955</v>
      </c>
      <c r="B1130" s="132">
        <v>428</v>
      </c>
      <c r="C1130" s="133" t="s">
        <v>442</v>
      </c>
      <c r="D1130" s="134">
        <v>1</v>
      </c>
    </row>
    <row r="1131" spans="1:4" x14ac:dyDescent="0.2">
      <c r="A1131" s="131">
        <v>955</v>
      </c>
      <c r="B1131" s="132">
        <v>429</v>
      </c>
      <c r="C1131" s="133" t="s">
        <v>442</v>
      </c>
      <c r="D1131" s="134">
        <v>2</v>
      </c>
    </row>
    <row r="1132" spans="1:4" x14ac:dyDescent="0.2">
      <c r="A1132" s="131">
        <v>955</v>
      </c>
      <c r="B1132" s="132">
        <v>430</v>
      </c>
      <c r="C1132" s="133" t="s">
        <v>442</v>
      </c>
      <c r="D1132" s="134">
        <v>1</v>
      </c>
    </row>
    <row r="1133" spans="1:4" x14ac:dyDescent="0.2">
      <c r="A1133" s="131">
        <v>956</v>
      </c>
      <c r="B1133" s="132">
        <v>160</v>
      </c>
      <c r="C1133" s="133" t="s">
        <v>443</v>
      </c>
      <c r="D1133" s="134">
        <v>2</v>
      </c>
    </row>
    <row r="1134" spans="1:4" x14ac:dyDescent="0.2">
      <c r="A1134" s="131">
        <v>956</v>
      </c>
      <c r="B1134" s="132">
        <v>427</v>
      </c>
      <c r="C1134" s="133" t="s">
        <v>443</v>
      </c>
      <c r="D1134" s="134">
        <v>1</v>
      </c>
    </row>
    <row r="1135" spans="1:4" x14ac:dyDescent="0.2">
      <c r="A1135" s="131">
        <v>956</v>
      </c>
      <c r="B1135" s="132">
        <v>431</v>
      </c>
      <c r="C1135" s="133" t="s">
        <v>443</v>
      </c>
      <c r="D1135" s="134">
        <v>2</v>
      </c>
    </row>
    <row r="1136" spans="1:4" x14ac:dyDescent="0.2">
      <c r="A1136" s="131">
        <v>956</v>
      </c>
      <c r="B1136" s="132">
        <v>432</v>
      </c>
      <c r="C1136" s="133" t="s">
        <v>443</v>
      </c>
      <c r="D1136" s="134">
        <v>1</v>
      </c>
    </row>
    <row r="1137" spans="1:4" x14ac:dyDescent="0.2">
      <c r="A1137" s="131">
        <v>957</v>
      </c>
      <c r="B1137" s="132">
        <v>432</v>
      </c>
      <c r="C1137" s="133" t="s">
        <v>444</v>
      </c>
      <c r="D1137" s="134">
        <v>1</v>
      </c>
    </row>
    <row r="1138" spans="1:4" x14ac:dyDescent="0.2">
      <c r="A1138" s="131">
        <v>957</v>
      </c>
      <c r="B1138" s="132">
        <v>433</v>
      </c>
      <c r="C1138" s="133" t="s">
        <v>444</v>
      </c>
      <c r="D1138" s="134">
        <v>2</v>
      </c>
    </row>
    <row r="1139" spans="1:4" x14ac:dyDescent="0.2">
      <c r="A1139" s="131">
        <v>958</v>
      </c>
      <c r="B1139" s="132">
        <v>434</v>
      </c>
      <c r="C1139" s="133" t="s">
        <v>445</v>
      </c>
      <c r="D1139" s="134">
        <v>2</v>
      </c>
    </row>
    <row r="1140" spans="1:4" x14ac:dyDescent="0.2">
      <c r="A1140" s="131">
        <v>958</v>
      </c>
      <c r="B1140" s="132">
        <v>435</v>
      </c>
      <c r="C1140" s="133" t="s">
        <v>445</v>
      </c>
      <c r="D1140" s="134">
        <v>1</v>
      </c>
    </row>
    <row r="1141" spans="1:4" x14ac:dyDescent="0.2">
      <c r="A1141" s="131">
        <v>959</v>
      </c>
      <c r="B1141" s="132">
        <v>160</v>
      </c>
      <c r="C1141" s="133" t="s">
        <v>446</v>
      </c>
      <c r="D1141" s="134">
        <v>2</v>
      </c>
    </row>
    <row r="1142" spans="1:4" x14ac:dyDescent="0.2">
      <c r="A1142" s="131">
        <v>959</v>
      </c>
      <c r="B1142" s="132">
        <v>432</v>
      </c>
      <c r="C1142" s="133" t="s">
        <v>446</v>
      </c>
      <c r="D1142" s="134">
        <v>1</v>
      </c>
    </row>
    <row r="1143" spans="1:4" x14ac:dyDescent="0.2">
      <c r="A1143" s="131">
        <v>959</v>
      </c>
      <c r="B1143" s="132">
        <v>436</v>
      </c>
      <c r="C1143" s="133" t="s">
        <v>446</v>
      </c>
      <c r="D1143" s="134">
        <v>2</v>
      </c>
    </row>
    <row r="1144" spans="1:4" x14ac:dyDescent="0.2">
      <c r="A1144" s="131">
        <v>960</v>
      </c>
      <c r="B1144" s="132">
        <v>160</v>
      </c>
      <c r="C1144" s="133" t="s">
        <v>447</v>
      </c>
      <c r="D1144" s="134">
        <v>2</v>
      </c>
    </row>
    <row r="1145" spans="1:4" x14ac:dyDescent="0.2">
      <c r="A1145" s="131">
        <v>960</v>
      </c>
      <c r="B1145" s="132">
        <v>435</v>
      </c>
      <c r="C1145" s="133" t="s">
        <v>447</v>
      </c>
      <c r="D1145" s="134">
        <v>1</v>
      </c>
    </row>
    <row r="1146" spans="1:4" x14ac:dyDescent="0.2">
      <c r="A1146" s="131">
        <v>960</v>
      </c>
      <c r="B1146" s="132">
        <v>441</v>
      </c>
      <c r="C1146" s="133" t="s">
        <v>447</v>
      </c>
      <c r="D1146" s="134">
        <v>1</v>
      </c>
    </row>
    <row r="1147" spans="1:4" x14ac:dyDescent="0.2">
      <c r="A1147" s="131">
        <v>961</v>
      </c>
      <c r="B1147" s="132">
        <v>427</v>
      </c>
      <c r="C1147" s="133" t="s">
        <v>448</v>
      </c>
      <c r="D1147" s="134">
        <v>1</v>
      </c>
    </row>
    <row r="1148" spans="1:4" x14ac:dyDescent="0.2">
      <c r="A1148" s="131">
        <v>961</v>
      </c>
      <c r="B1148" s="132">
        <v>432</v>
      </c>
      <c r="C1148" s="133" t="s">
        <v>448</v>
      </c>
      <c r="D1148" s="134">
        <v>1</v>
      </c>
    </row>
    <row r="1149" spans="1:4" x14ac:dyDescent="0.2">
      <c r="A1149" s="131">
        <v>961</v>
      </c>
      <c r="B1149" s="132">
        <v>437</v>
      </c>
      <c r="C1149" s="133" t="s">
        <v>448</v>
      </c>
      <c r="D1149" s="134">
        <v>2</v>
      </c>
    </row>
    <row r="1150" spans="1:4" x14ac:dyDescent="0.2">
      <c r="A1150" s="131">
        <v>962</v>
      </c>
      <c r="B1150" s="132">
        <v>427</v>
      </c>
      <c r="C1150" s="133" t="s">
        <v>449</v>
      </c>
      <c r="D1150" s="134">
        <v>1</v>
      </c>
    </row>
    <row r="1151" spans="1:4" x14ac:dyDescent="0.2">
      <c r="A1151" s="131">
        <v>962</v>
      </c>
      <c r="B1151" s="132">
        <v>435</v>
      </c>
      <c r="C1151" s="133" t="s">
        <v>449</v>
      </c>
      <c r="D1151" s="134">
        <v>1</v>
      </c>
    </row>
    <row r="1152" spans="1:4" x14ac:dyDescent="0.2">
      <c r="A1152" s="131">
        <v>962</v>
      </c>
      <c r="B1152" s="132">
        <v>438</v>
      </c>
      <c r="C1152" s="133" t="s">
        <v>449</v>
      </c>
      <c r="D1152" s="134">
        <v>2</v>
      </c>
    </row>
    <row r="1153" spans="1:4" x14ac:dyDescent="0.2">
      <c r="A1153" s="131">
        <v>963</v>
      </c>
      <c r="B1153" s="132">
        <v>160</v>
      </c>
      <c r="C1153" s="133" t="s">
        <v>450</v>
      </c>
      <c r="D1153" s="134">
        <v>2</v>
      </c>
    </row>
    <row r="1154" spans="1:4" x14ac:dyDescent="0.2">
      <c r="A1154" s="131">
        <v>963</v>
      </c>
      <c r="B1154" s="132">
        <v>427</v>
      </c>
      <c r="C1154" s="133" t="s">
        <v>450</v>
      </c>
      <c r="D1154" s="134">
        <v>1</v>
      </c>
    </row>
    <row r="1155" spans="1:4" x14ac:dyDescent="0.2">
      <c r="A1155" s="131">
        <v>963</v>
      </c>
      <c r="B1155" s="132">
        <v>435</v>
      </c>
      <c r="C1155" s="133" t="s">
        <v>450</v>
      </c>
      <c r="D1155" s="134">
        <v>1</v>
      </c>
    </row>
    <row r="1156" spans="1:4" x14ac:dyDescent="0.2">
      <c r="A1156" s="131">
        <v>963</v>
      </c>
      <c r="B1156" s="132">
        <v>439</v>
      </c>
      <c r="C1156" s="133" t="s">
        <v>450</v>
      </c>
      <c r="D1156" s="134">
        <v>2</v>
      </c>
    </row>
    <row r="1157" spans="1:4" x14ac:dyDescent="0.2">
      <c r="A1157" s="131">
        <v>964</v>
      </c>
      <c r="B1157" s="132">
        <v>160</v>
      </c>
      <c r="C1157" s="133" t="s">
        <v>451</v>
      </c>
      <c r="D1157" s="134">
        <v>2</v>
      </c>
    </row>
    <row r="1158" spans="1:4" x14ac:dyDescent="0.2">
      <c r="A1158" s="131">
        <v>964</v>
      </c>
      <c r="B1158" s="132">
        <v>431</v>
      </c>
      <c r="C1158" s="133" t="s">
        <v>451</v>
      </c>
      <c r="D1158" s="134">
        <v>2</v>
      </c>
    </row>
    <row r="1159" spans="1:4" x14ac:dyDescent="0.2">
      <c r="A1159" s="131">
        <v>964</v>
      </c>
      <c r="B1159" s="132">
        <v>440</v>
      </c>
      <c r="C1159" s="133" t="s">
        <v>451</v>
      </c>
      <c r="D1159" s="134">
        <v>1</v>
      </c>
    </row>
    <row r="1160" spans="1:4" x14ac:dyDescent="0.2">
      <c r="A1160" s="131">
        <v>965</v>
      </c>
      <c r="B1160" s="132">
        <v>194</v>
      </c>
      <c r="C1160" s="133" t="s">
        <v>452</v>
      </c>
      <c r="D1160" s="134">
        <v>2</v>
      </c>
    </row>
    <row r="1161" spans="1:4" x14ac:dyDescent="0.2">
      <c r="A1161" s="131">
        <v>965</v>
      </c>
      <c r="B1161" s="132">
        <v>489</v>
      </c>
      <c r="C1161" s="133" t="s">
        <v>452</v>
      </c>
      <c r="D1161" s="134">
        <v>1</v>
      </c>
    </row>
    <row r="1162" spans="1:4" x14ac:dyDescent="0.2">
      <c r="A1162" s="131">
        <v>965</v>
      </c>
      <c r="B1162" s="132">
        <v>500</v>
      </c>
      <c r="C1162" s="133" t="s">
        <v>452</v>
      </c>
      <c r="D1162" s="134">
        <v>2</v>
      </c>
    </row>
    <row r="1163" spans="1:4" x14ac:dyDescent="0.2">
      <c r="A1163" s="131">
        <v>966</v>
      </c>
      <c r="B1163" s="132">
        <v>488</v>
      </c>
      <c r="C1163" s="133" t="s">
        <v>299</v>
      </c>
      <c r="D1163" s="134" t="s">
        <v>239</v>
      </c>
    </row>
    <row r="1164" spans="1:4" x14ac:dyDescent="0.2">
      <c r="A1164" s="131">
        <v>967</v>
      </c>
      <c r="B1164" s="132">
        <v>442</v>
      </c>
      <c r="C1164" s="133" t="s">
        <v>311</v>
      </c>
      <c r="D1164" s="134">
        <v>1</v>
      </c>
    </row>
    <row r="1165" spans="1:4" x14ac:dyDescent="0.2">
      <c r="A1165" s="131">
        <v>967</v>
      </c>
      <c r="B1165" s="132">
        <v>443</v>
      </c>
      <c r="C1165" s="133" t="s">
        <v>311</v>
      </c>
      <c r="D1165" s="134">
        <v>2</v>
      </c>
    </row>
    <row r="1166" spans="1:4" x14ac:dyDescent="0.2">
      <c r="A1166" s="131">
        <v>968</v>
      </c>
      <c r="B1166" s="132">
        <v>444</v>
      </c>
      <c r="C1166" s="133" t="s">
        <v>311</v>
      </c>
      <c r="D1166" s="134">
        <v>1</v>
      </c>
    </row>
    <row r="1167" spans="1:4" x14ac:dyDescent="0.2">
      <c r="A1167" s="131">
        <v>969</v>
      </c>
      <c r="B1167" s="132">
        <v>443</v>
      </c>
      <c r="C1167" s="133" t="s">
        <v>452</v>
      </c>
      <c r="D1167" s="134">
        <v>2</v>
      </c>
    </row>
    <row r="1168" spans="1:4" x14ac:dyDescent="0.2">
      <c r="A1168" s="131">
        <v>969</v>
      </c>
      <c r="B1168" s="132">
        <v>489</v>
      </c>
      <c r="C1168" s="133" t="s">
        <v>452</v>
      </c>
      <c r="D1168" s="134">
        <v>1</v>
      </c>
    </row>
    <row r="1169" spans="1:4" x14ac:dyDescent="0.2">
      <c r="A1169" s="131">
        <v>969</v>
      </c>
      <c r="B1169" s="132">
        <v>501</v>
      </c>
      <c r="C1169" s="133" t="s">
        <v>452</v>
      </c>
      <c r="D1169" s="134">
        <v>1</v>
      </c>
    </row>
    <row r="1170" spans="1:4" x14ac:dyDescent="0.2">
      <c r="A1170" s="131">
        <v>970</v>
      </c>
      <c r="B1170" s="132">
        <v>447</v>
      </c>
      <c r="C1170" s="133" t="s">
        <v>265</v>
      </c>
      <c r="D1170" s="134">
        <v>2</v>
      </c>
    </row>
    <row r="1171" spans="1:4" x14ac:dyDescent="0.2">
      <c r="A1171" s="131">
        <v>970</v>
      </c>
      <c r="B1171" s="132">
        <v>448</v>
      </c>
      <c r="C1171" s="133" t="s">
        <v>265</v>
      </c>
      <c r="D1171" s="134">
        <v>1</v>
      </c>
    </row>
    <row r="1172" spans="1:4" x14ac:dyDescent="0.2">
      <c r="A1172" s="131">
        <v>971</v>
      </c>
      <c r="B1172" s="132">
        <v>492</v>
      </c>
      <c r="C1172" s="133" t="s">
        <v>453</v>
      </c>
      <c r="D1172" s="134">
        <v>2</v>
      </c>
    </row>
    <row r="1173" spans="1:4" x14ac:dyDescent="0.2">
      <c r="A1173" s="131">
        <v>971</v>
      </c>
      <c r="B1173" s="132">
        <v>493</v>
      </c>
      <c r="C1173" s="133" t="s">
        <v>453</v>
      </c>
      <c r="D1173" s="134">
        <v>1</v>
      </c>
    </row>
    <row r="1174" spans="1:4" x14ac:dyDescent="0.2">
      <c r="A1174" s="131">
        <v>971</v>
      </c>
      <c r="B1174" s="132">
        <v>494</v>
      </c>
      <c r="C1174" s="133" t="s">
        <v>453</v>
      </c>
      <c r="D1174" s="134">
        <v>1</v>
      </c>
    </row>
    <row r="1175" spans="1:4" x14ac:dyDescent="0.2">
      <c r="A1175" s="131">
        <v>972</v>
      </c>
      <c r="B1175" s="132">
        <v>502</v>
      </c>
      <c r="C1175" s="133" t="s">
        <v>486</v>
      </c>
      <c r="D1175" s="134">
        <v>1</v>
      </c>
    </row>
    <row r="1176" spans="1:4" x14ac:dyDescent="0.2">
      <c r="A1176" s="131">
        <v>972</v>
      </c>
      <c r="B1176" s="132">
        <v>503</v>
      </c>
      <c r="C1176" s="133" t="s">
        <v>486</v>
      </c>
      <c r="D1176" s="134" t="s">
        <v>485</v>
      </c>
    </row>
    <row r="1177" spans="1:4" x14ac:dyDescent="0.2">
      <c r="A1177" s="131">
        <v>973</v>
      </c>
      <c r="B1177" s="132">
        <v>453</v>
      </c>
      <c r="C1177" s="133" t="s">
        <v>309</v>
      </c>
      <c r="D1177" s="134">
        <v>1</v>
      </c>
    </row>
    <row r="1178" spans="1:4" x14ac:dyDescent="0.2">
      <c r="A1178" s="131">
        <v>973</v>
      </c>
      <c r="B1178" s="132">
        <v>454</v>
      </c>
      <c r="C1178" s="133" t="s">
        <v>309</v>
      </c>
      <c r="D1178" s="134">
        <v>2</v>
      </c>
    </row>
    <row r="1179" spans="1:4" x14ac:dyDescent="0.2">
      <c r="A1179" s="131">
        <v>974</v>
      </c>
      <c r="B1179" s="132">
        <v>455</v>
      </c>
      <c r="C1179" s="133" t="s">
        <v>335</v>
      </c>
      <c r="D1179" s="134">
        <v>2</v>
      </c>
    </row>
    <row r="1180" spans="1:4" x14ac:dyDescent="0.2">
      <c r="A1180" s="131">
        <v>975</v>
      </c>
      <c r="B1180" s="132">
        <v>504</v>
      </c>
      <c r="C1180" s="133" t="s">
        <v>543</v>
      </c>
      <c r="D1180" s="134">
        <v>1</v>
      </c>
    </row>
    <row r="1181" spans="1:4" x14ac:dyDescent="0.2">
      <c r="A1181" s="131">
        <v>975</v>
      </c>
      <c r="B1181" s="132">
        <v>505</v>
      </c>
      <c r="C1181" s="133" t="s">
        <v>543</v>
      </c>
      <c r="D1181" s="134">
        <v>2</v>
      </c>
    </row>
    <row r="1182" spans="1:4" x14ac:dyDescent="0.2">
      <c r="A1182" s="131">
        <v>976</v>
      </c>
      <c r="B1182" s="132">
        <v>506</v>
      </c>
      <c r="C1182" s="133" t="s">
        <v>544</v>
      </c>
      <c r="D1182" s="134">
        <v>1</v>
      </c>
    </row>
    <row r="1183" spans="1:4" x14ac:dyDescent="0.2">
      <c r="A1183" s="131">
        <v>976</v>
      </c>
      <c r="B1183" s="132">
        <v>507</v>
      </c>
      <c r="C1183" s="133" t="s">
        <v>544</v>
      </c>
      <c r="D1183" s="134">
        <v>2</v>
      </c>
    </row>
    <row r="1184" spans="1:4" x14ac:dyDescent="0.2">
      <c r="A1184" s="131">
        <v>978</v>
      </c>
      <c r="B1184" s="132">
        <v>462</v>
      </c>
      <c r="C1184" s="133" t="s">
        <v>293</v>
      </c>
      <c r="D1184" s="134" t="s">
        <v>239</v>
      </c>
    </row>
    <row r="1185" spans="1:4" x14ac:dyDescent="0.2">
      <c r="A1185" s="131">
        <v>979</v>
      </c>
      <c r="B1185" s="132">
        <v>463</v>
      </c>
      <c r="C1185" s="133" t="s">
        <v>332</v>
      </c>
      <c r="D1185" s="134" t="s">
        <v>478</v>
      </c>
    </row>
    <row r="1186" spans="1:4" x14ac:dyDescent="0.2">
      <c r="A1186" s="131">
        <v>980</v>
      </c>
      <c r="B1186" s="132">
        <v>466</v>
      </c>
      <c r="C1186" s="133" t="s">
        <v>454</v>
      </c>
      <c r="D1186" s="134">
        <v>2</v>
      </c>
    </row>
    <row r="1187" spans="1:4" x14ac:dyDescent="0.2">
      <c r="A1187" s="131">
        <v>980</v>
      </c>
      <c r="B1187" s="132">
        <v>467</v>
      </c>
      <c r="C1187" s="133" t="s">
        <v>454</v>
      </c>
      <c r="D1187" s="134">
        <v>1</v>
      </c>
    </row>
    <row r="1188" spans="1:4" x14ac:dyDescent="0.2">
      <c r="A1188" s="131">
        <v>981</v>
      </c>
      <c r="B1188" s="132">
        <v>468</v>
      </c>
      <c r="C1188" s="133" t="s">
        <v>455</v>
      </c>
      <c r="D1188" s="134" t="s">
        <v>239</v>
      </c>
    </row>
    <row r="1189" spans="1:4" x14ac:dyDescent="0.2">
      <c r="A1189" s="131">
        <v>982</v>
      </c>
      <c r="B1189" s="132">
        <v>508</v>
      </c>
      <c r="C1189" s="133" t="s">
        <v>545</v>
      </c>
      <c r="D1189" s="134">
        <v>2</v>
      </c>
    </row>
    <row r="1190" spans="1:4" x14ac:dyDescent="0.2">
      <c r="A1190" s="131">
        <v>982</v>
      </c>
      <c r="B1190" s="132">
        <v>509</v>
      </c>
      <c r="C1190" s="133" t="s">
        <v>545</v>
      </c>
      <c r="D1190" s="134">
        <v>1</v>
      </c>
    </row>
    <row r="1191" spans="1:4" x14ac:dyDescent="0.2">
      <c r="A1191" s="131">
        <v>983</v>
      </c>
      <c r="B1191" s="132">
        <v>510</v>
      </c>
      <c r="C1191" s="133" t="s">
        <v>546</v>
      </c>
      <c r="D1191" s="134">
        <v>2</v>
      </c>
    </row>
    <row r="1192" spans="1:4" x14ac:dyDescent="0.2">
      <c r="A1192" s="131">
        <v>983</v>
      </c>
      <c r="B1192" s="132">
        <v>511</v>
      </c>
      <c r="C1192" s="133" t="s">
        <v>546</v>
      </c>
      <c r="D1192" s="134">
        <v>1</v>
      </c>
    </row>
    <row r="1193" spans="1:4" s="164" customFormat="1" x14ac:dyDescent="0.2">
      <c r="A1193" s="131">
        <v>984</v>
      </c>
      <c r="B1193" s="132">
        <v>512</v>
      </c>
      <c r="C1193" s="133" t="s">
        <v>599</v>
      </c>
      <c r="D1193" s="134">
        <v>1</v>
      </c>
    </row>
    <row r="1194" spans="1:4" s="164" customFormat="1" x14ac:dyDescent="0.2">
      <c r="A1194" s="131">
        <v>984</v>
      </c>
      <c r="B1194" s="132">
        <v>513</v>
      </c>
      <c r="C1194" s="133" t="s">
        <v>599</v>
      </c>
      <c r="D1194" s="134">
        <v>2</v>
      </c>
    </row>
    <row r="1195" spans="1:4" s="164" customFormat="1" x14ac:dyDescent="0.2">
      <c r="A1195" s="131">
        <v>985</v>
      </c>
      <c r="B1195" s="132">
        <v>514</v>
      </c>
      <c r="C1195" s="133" t="s">
        <v>600</v>
      </c>
      <c r="D1195" s="134">
        <v>1</v>
      </c>
    </row>
    <row r="1196" spans="1:4" s="164" customFormat="1" x14ac:dyDescent="0.2">
      <c r="A1196" s="131">
        <v>985</v>
      </c>
      <c r="B1196" s="132">
        <v>515</v>
      </c>
      <c r="C1196" s="133" t="s">
        <v>600</v>
      </c>
      <c r="D1196" s="134">
        <v>2</v>
      </c>
    </row>
    <row r="1197" spans="1:4" x14ac:dyDescent="0.2">
      <c r="A1197" s="131">
        <v>989</v>
      </c>
      <c r="B1197" s="132">
        <v>475</v>
      </c>
      <c r="C1197" s="133" t="s">
        <v>348</v>
      </c>
      <c r="D1197" s="134">
        <v>2</v>
      </c>
    </row>
    <row r="1198" spans="1:4" x14ac:dyDescent="0.2">
      <c r="A1198" s="131">
        <v>989</v>
      </c>
      <c r="B1198" s="132">
        <v>476</v>
      </c>
      <c r="C1198" s="133" t="s">
        <v>348</v>
      </c>
      <c r="D1198" s="134">
        <v>1</v>
      </c>
    </row>
    <row r="1199" spans="1:4" x14ac:dyDescent="0.2">
      <c r="A1199" s="131">
        <v>990</v>
      </c>
      <c r="B1199" s="132">
        <v>477</v>
      </c>
      <c r="C1199" s="133" t="s">
        <v>349</v>
      </c>
      <c r="D1199" s="134" t="s">
        <v>239</v>
      </c>
    </row>
    <row r="1200" spans="1:4" x14ac:dyDescent="0.2">
      <c r="A1200" s="131">
        <v>991</v>
      </c>
      <c r="B1200" s="132">
        <v>478</v>
      </c>
      <c r="C1200" s="133" t="s">
        <v>299</v>
      </c>
      <c r="D1200" s="134" t="s">
        <v>239</v>
      </c>
    </row>
    <row r="1201" spans="1:4" x14ac:dyDescent="0.2">
      <c r="A1201" s="131">
        <v>996</v>
      </c>
      <c r="B1201" s="132">
        <v>485</v>
      </c>
      <c r="C1201" s="133" t="s">
        <v>379</v>
      </c>
      <c r="D1201" s="134">
        <v>2</v>
      </c>
    </row>
    <row r="1202" spans="1:4" x14ac:dyDescent="0.2">
      <c r="A1202" s="131">
        <v>996</v>
      </c>
      <c r="B1202" s="132">
        <v>486</v>
      </c>
      <c r="C1202" s="133" t="s">
        <v>379</v>
      </c>
      <c r="D1202" s="134">
        <v>1</v>
      </c>
    </row>
    <row r="1203" spans="1:4" x14ac:dyDescent="0.2">
      <c r="A1203" s="131">
        <v>996</v>
      </c>
      <c r="B1203" s="132">
        <v>487</v>
      </c>
      <c r="C1203" s="133" t="s">
        <v>379</v>
      </c>
      <c r="D1203" s="134">
        <v>2</v>
      </c>
    </row>
    <row r="1204" spans="1:4" x14ac:dyDescent="0.2">
      <c r="A1204" s="131">
        <v>997</v>
      </c>
      <c r="B1204" s="132">
        <v>490</v>
      </c>
      <c r="C1204" s="133" t="s">
        <v>456</v>
      </c>
      <c r="D1204" s="134" t="s">
        <v>485</v>
      </c>
    </row>
    <row r="1205" spans="1:4" x14ac:dyDescent="0.2">
      <c r="A1205" s="131">
        <v>997</v>
      </c>
      <c r="B1205" s="132">
        <v>491</v>
      </c>
      <c r="C1205" s="133" t="s">
        <v>456</v>
      </c>
      <c r="D1205" s="134">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B1" sqref="B1"/>
    </sheetView>
  </sheetViews>
  <sheetFormatPr defaultRowHeight="12.75" x14ac:dyDescent="0.2"/>
  <cols>
    <col min="1" max="1" width="2.42578125" style="141" customWidth="1"/>
    <col min="2" max="2" width="33.7109375" style="141" customWidth="1"/>
    <col min="3" max="4" width="14.140625" style="141" customWidth="1"/>
    <col min="5" max="9" width="12.140625" style="141" customWidth="1"/>
    <col min="10" max="10" width="5.5703125" style="141" customWidth="1"/>
    <col min="11" max="11" width="5.28515625" style="141" customWidth="1"/>
    <col min="12" max="12" width="35.28515625" style="141" customWidth="1"/>
    <col min="13" max="20" width="11.7109375" style="141" customWidth="1"/>
    <col min="21" max="16384" width="9.140625" style="141"/>
  </cols>
  <sheetData>
    <row r="1" spans="1:156" x14ac:dyDescent="0.2">
      <c r="B1" s="120" t="s">
        <v>87</v>
      </c>
      <c r="J1" s="142"/>
      <c r="K1" s="142"/>
      <c r="L1" s="142"/>
      <c r="M1" s="142"/>
      <c r="N1" s="142"/>
      <c r="O1" s="142"/>
      <c r="P1" s="142"/>
      <c r="Q1" s="142"/>
      <c r="R1" s="142"/>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c r="BQ1" s="142"/>
      <c r="BR1" s="142"/>
      <c r="BS1" s="142"/>
      <c r="BT1" s="142"/>
      <c r="BU1" s="142"/>
      <c r="BV1" s="142"/>
      <c r="BW1" s="142"/>
      <c r="BX1" s="142"/>
      <c r="BY1" s="142"/>
      <c r="BZ1" s="142"/>
      <c r="CA1" s="142"/>
      <c r="CB1" s="142"/>
      <c r="CC1" s="142"/>
      <c r="CD1" s="142"/>
      <c r="CE1" s="142"/>
      <c r="CF1" s="142"/>
      <c r="CG1" s="142"/>
      <c r="CH1" s="142"/>
      <c r="CI1" s="142"/>
      <c r="CJ1" s="142"/>
      <c r="CK1" s="142"/>
      <c r="CL1" s="142"/>
      <c r="CM1" s="142"/>
      <c r="CN1" s="142"/>
      <c r="CO1" s="142"/>
      <c r="CP1" s="142"/>
      <c r="CQ1" s="142"/>
      <c r="CR1" s="142"/>
      <c r="CS1" s="142"/>
      <c r="CT1" s="142"/>
      <c r="CU1" s="142"/>
      <c r="CV1" s="142"/>
      <c r="CW1" s="142"/>
      <c r="CX1" s="142"/>
      <c r="CY1" s="142"/>
      <c r="CZ1" s="142"/>
      <c r="DA1" s="142"/>
      <c r="DB1" s="142"/>
      <c r="DC1" s="142"/>
      <c r="DD1" s="142"/>
      <c r="DE1" s="142"/>
      <c r="DF1" s="142"/>
      <c r="DG1" s="142"/>
      <c r="DH1" s="142"/>
      <c r="DI1" s="142"/>
      <c r="DJ1" s="142"/>
      <c r="DK1" s="142"/>
      <c r="DL1" s="142"/>
      <c r="DM1" s="142"/>
      <c r="DN1" s="142"/>
      <c r="DO1" s="142"/>
      <c r="DP1" s="142"/>
      <c r="DQ1" s="142"/>
      <c r="DR1" s="142"/>
      <c r="DS1" s="142"/>
      <c r="DT1" s="142"/>
      <c r="DU1" s="142"/>
      <c r="DV1" s="142"/>
      <c r="DW1" s="142"/>
      <c r="DX1" s="142"/>
      <c r="DY1" s="142"/>
      <c r="DZ1" s="142"/>
      <c r="EA1" s="142"/>
      <c r="EB1" s="142"/>
      <c r="EC1" s="142"/>
      <c r="ED1" s="142"/>
      <c r="EE1" s="142"/>
      <c r="EF1" s="142"/>
      <c r="EG1" s="142"/>
      <c r="EH1" s="142"/>
      <c r="EI1" s="142"/>
      <c r="EJ1" s="142"/>
      <c r="EK1" s="142"/>
      <c r="EL1" s="142"/>
      <c r="EM1" s="142"/>
      <c r="EN1" s="142"/>
      <c r="EO1" s="142"/>
      <c r="EP1" s="142"/>
      <c r="EQ1" s="142"/>
      <c r="ER1" s="142"/>
      <c r="ES1" s="142"/>
      <c r="ET1" s="142"/>
      <c r="EU1" s="142"/>
      <c r="EV1" s="142"/>
      <c r="EW1" s="142"/>
      <c r="EX1" s="142"/>
      <c r="EY1" s="142"/>
      <c r="EZ1" s="142"/>
    </row>
    <row r="2" spans="1:156" s="143" customFormat="1" ht="21.75" customHeight="1" x14ac:dyDescent="0.2">
      <c r="B2" s="287" t="str">
        <f>Overview!B4&amp; " - Effective from "&amp;Overview!D4&amp;" - "&amp;Overview!E4</f>
        <v>SP Distribution - Effective from 1 April 2018 - Final</v>
      </c>
      <c r="C2" s="288"/>
      <c r="D2" s="288"/>
      <c r="E2" s="288"/>
      <c r="F2" s="288"/>
      <c r="G2" s="288"/>
      <c r="H2" s="288"/>
      <c r="I2" s="288"/>
      <c r="J2" s="288"/>
      <c r="K2" s="288"/>
      <c r="L2" s="288"/>
      <c r="M2" s="288"/>
      <c r="N2" s="288"/>
      <c r="O2" s="288"/>
      <c r="P2" s="288"/>
      <c r="Q2" s="288"/>
      <c r="R2" s="288"/>
      <c r="S2" s="288"/>
      <c r="T2" s="289"/>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c r="BQ2" s="142"/>
      <c r="BR2" s="142"/>
      <c r="BS2" s="142"/>
      <c r="BT2" s="142"/>
      <c r="BU2" s="142"/>
      <c r="BV2" s="142"/>
      <c r="BW2" s="142"/>
      <c r="BX2" s="142"/>
      <c r="BY2" s="142"/>
      <c r="BZ2" s="142"/>
      <c r="CA2" s="142"/>
      <c r="CB2" s="142"/>
      <c r="CC2" s="142"/>
      <c r="CD2" s="142"/>
      <c r="CE2" s="142"/>
      <c r="CF2" s="142"/>
      <c r="CG2" s="142"/>
      <c r="CH2" s="142"/>
      <c r="CI2" s="142"/>
      <c r="CJ2" s="142"/>
      <c r="CK2" s="142"/>
      <c r="CL2" s="142"/>
      <c r="CM2" s="142"/>
      <c r="CN2" s="142"/>
      <c r="CO2" s="142"/>
      <c r="CP2" s="142"/>
      <c r="CQ2" s="142"/>
      <c r="CR2" s="142"/>
      <c r="CS2" s="142"/>
      <c r="CT2" s="142"/>
      <c r="CU2" s="142"/>
      <c r="CV2" s="142"/>
      <c r="CW2" s="142"/>
      <c r="CX2" s="142"/>
      <c r="CY2" s="142"/>
      <c r="CZ2" s="142"/>
      <c r="DA2" s="142"/>
      <c r="DB2" s="142"/>
      <c r="DC2" s="142"/>
      <c r="DD2" s="142"/>
      <c r="DE2" s="142"/>
      <c r="DF2" s="142"/>
      <c r="DG2" s="142"/>
      <c r="DH2" s="142"/>
      <c r="DI2" s="142"/>
      <c r="DJ2" s="142"/>
      <c r="DK2" s="142"/>
      <c r="DL2" s="142"/>
      <c r="DM2" s="142"/>
      <c r="DN2" s="142"/>
      <c r="DO2" s="142"/>
      <c r="DP2" s="142"/>
      <c r="DQ2" s="142"/>
      <c r="DR2" s="142"/>
      <c r="DS2" s="142"/>
      <c r="DT2" s="142"/>
      <c r="DU2" s="142"/>
      <c r="DV2" s="142"/>
      <c r="DW2" s="142"/>
      <c r="DX2" s="142"/>
      <c r="DY2" s="142"/>
      <c r="DZ2" s="142"/>
      <c r="EA2" s="142"/>
      <c r="EB2" s="142"/>
      <c r="EC2" s="142"/>
      <c r="ED2" s="142"/>
      <c r="EE2" s="142"/>
      <c r="EF2" s="142"/>
      <c r="EG2" s="142"/>
      <c r="EH2" s="142"/>
      <c r="EI2" s="142"/>
      <c r="EJ2" s="142"/>
      <c r="EK2" s="142"/>
      <c r="EL2" s="142"/>
      <c r="EM2" s="142"/>
      <c r="EN2" s="142"/>
      <c r="EO2" s="142"/>
      <c r="EP2" s="142"/>
      <c r="EQ2" s="142"/>
      <c r="ER2" s="142"/>
      <c r="ES2" s="142"/>
      <c r="ET2" s="142"/>
      <c r="EU2" s="142"/>
      <c r="EV2" s="142"/>
      <c r="EW2" s="142"/>
      <c r="EX2" s="142"/>
      <c r="EY2" s="142"/>
      <c r="EZ2" s="142"/>
    </row>
    <row r="3" spans="1:156" s="145" customFormat="1" ht="9" customHeight="1" x14ac:dyDescent="0.2">
      <c r="A3" s="144"/>
      <c r="B3" s="144"/>
      <c r="C3" s="144"/>
      <c r="D3" s="144"/>
      <c r="E3" s="144"/>
      <c r="F3" s="144"/>
      <c r="G3" s="144"/>
      <c r="H3" s="144"/>
      <c r="I3" s="144"/>
      <c r="J3" s="144"/>
      <c r="K3" s="144"/>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c r="BU3" s="142"/>
      <c r="BV3" s="142"/>
      <c r="BW3" s="142"/>
      <c r="BX3" s="142"/>
      <c r="BY3" s="142"/>
      <c r="BZ3" s="142"/>
      <c r="CA3" s="142"/>
      <c r="CB3" s="142"/>
      <c r="CC3" s="142"/>
      <c r="CD3" s="142"/>
      <c r="CE3" s="142"/>
      <c r="CF3" s="142"/>
      <c r="CG3" s="142"/>
      <c r="CH3" s="142"/>
      <c r="CI3" s="142"/>
      <c r="CJ3" s="142"/>
      <c r="CK3" s="142"/>
      <c r="CL3" s="142"/>
      <c r="CM3" s="142"/>
      <c r="CN3" s="142"/>
      <c r="CO3" s="142"/>
      <c r="CP3" s="142"/>
      <c r="CQ3" s="142"/>
      <c r="CR3" s="142"/>
      <c r="CS3" s="142"/>
      <c r="CT3" s="142"/>
      <c r="CU3" s="142"/>
      <c r="CV3" s="142"/>
      <c r="CW3" s="142"/>
      <c r="CX3" s="142"/>
      <c r="CY3" s="142"/>
      <c r="CZ3" s="142"/>
      <c r="DA3" s="142"/>
      <c r="DB3" s="142"/>
      <c r="DC3" s="142"/>
      <c r="DD3" s="142"/>
      <c r="DE3" s="142"/>
      <c r="DF3" s="142"/>
      <c r="DG3" s="142"/>
      <c r="DH3" s="142"/>
      <c r="DI3" s="142"/>
      <c r="DJ3" s="142"/>
      <c r="DK3" s="142"/>
      <c r="DL3" s="142"/>
      <c r="DM3" s="142"/>
      <c r="DN3" s="142"/>
      <c r="DO3" s="142"/>
      <c r="DP3" s="142"/>
      <c r="DQ3" s="142"/>
      <c r="DR3" s="142"/>
      <c r="DS3" s="142"/>
      <c r="DT3" s="142"/>
      <c r="DU3" s="142"/>
      <c r="DV3" s="142"/>
      <c r="DW3" s="142"/>
      <c r="DX3" s="142"/>
      <c r="DY3" s="142"/>
      <c r="DZ3" s="142"/>
      <c r="EA3" s="142"/>
      <c r="EB3" s="142"/>
      <c r="EC3" s="142"/>
      <c r="ED3" s="142"/>
      <c r="EE3" s="142"/>
      <c r="EF3" s="142"/>
      <c r="EG3" s="142"/>
      <c r="EH3" s="142"/>
      <c r="EI3" s="142"/>
      <c r="EJ3" s="142"/>
      <c r="EK3" s="142"/>
      <c r="EL3" s="142"/>
      <c r="EM3" s="142"/>
      <c r="EN3" s="142"/>
      <c r="EO3" s="142"/>
      <c r="EP3" s="142"/>
      <c r="EQ3" s="142"/>
      <c r="ER3" s="142"/>
      <c r="ES3" s="142"/>
      <c r="ET3" s="142"/>
      <c r="EU3" s="142"/>
      <c r="EV3" s="142"/>
      <c r="EW3" s="142"/>
      <c r="EX3" s="142"/>
      <c r="EY3" s="142"/>
      <c r="EZ3" s="142"/>
    </row>
    <row r="4" spans="1:156" ht="26.25" customHeight="1" x14ac:dyDescent="0.2">
      <c r="B4" s="293" t="s">
        <v>554</v>
      </c>
      <c r="C4" s="294"/>
      <c r="D4" s="294"/>
      <c r="E4" s="294"/>
      <c r="F4" s="294"/>
      <c r="G4" s="294"/>
      <c r="H4" s="294"/>
      <c r="I4" s="295"/>
      <c r="L4" s="293" t="s">
        <v>570</v>
      </c>
      <c r="M4" s="294"/>
      <c r="N4" s="294"/>
      <c r="O4" s="294"/>
      <c r="P4" s="294"/>
      <c r="Q4" s="294"/>
      <c r="R4" s="294"/>
      <c r="S4" s="294"/>
      <c r="T4" s="295"/>
    </row>
    <row r="5" spans="1:156" ht="18" customHeight="1" x14ac:dyDescent="0.2">
      <c r="B5" s="297" t="s">
        <v>591</v>
      </c>
      <c r="C5" s="297"/>
      <c r="D5" s="297"/>
      <c r="E5" s="297"/>
      <c r="F5" s="297"/>
      <c r="G5" s="297"/>
      <c r="H5" s="297"/>
      <c r="I5" s="297"/>
      <c r="L5" s="297" t="s">
        <v>593</v>
      </c>
      <c r="M5" s="297"/>
      <c r="N5" s="297"/>
      <c r="O5" s="297"/>
      <c r="P5" s="297"/>
      <c r="Q5" s="297"/>
      <c r="R5" s="297"/>
      <c r="S5" s="297"/>
      <c r="T5" s="297"/>
    </row>
    <row r="6" spans="1:156" s="146" customFormat="1" ht="27.75" customHeight="1" x14ac:dyDescent="0.2">
      <c r="B6" s="296" t="s">
        <v>597</v>
      </c>
      <c r="C6" s="296"/>
      <c r="D6" s="296"/>
      <c r="E6" s="296"/>
      <c r="F6" s="296"/>
      <c r="G6" s="296"/>
      <c r="H6" s="296"/>
      <c r="I6" s="296"/>
      <c r="L6" s="296" t="s">
        <v>598</v>
      </c>
      <c r="M6" s="296"/>
      <c r="N6" s="296"/>
      <c r="O6" s="296"/>
      <c r="P6" s="296"/>
      <c r="Q6" s="296"/>
      <c r="R6" s="296"/>
      <c r="S6" s="296"/>
      <c r="T6" s="296"/>
    </row>
    <row r="7" spans="1:156" ht="18" customHeight="1" x14ac:dyDescent="0.2">
      <c r="B7" s="297" t="s">
        <v>592</v>
      </c>
      <c r="C7" s="297"/>
      <c r="D7" s="297"/>
      <c r="E7" s="297"/>
      <c r="F7" s="297"/>
      <c r="G7" s="297"/>
      <c r="H7" s="297"/>
      <c r="I7" s="297"/>
      <c r="L7" s="297" t="s">
        <v>594</v>
      </c>
      <c r="M7" s="297"/>
      <c r="N7" s="297"/>
      <c r="O7" s="297"/>
      <c r="P7" s="297"/>
      <c r="Q7" s="297"/>
      <c r="R7" s="297"/>
      <c r="S7" s="297"/>
      <c r="T7" s="297"/>
    </row>
    <row r="8" spans="1:156" ht="8.25" customHeight="1" x14ac:dyDescent="0.2"/>
    <row r="9" spans="1:156" ht="72" customHeight="1" x14ac:dyDescent="0.2">
      <c r="B9" s="147" t="s">
        <v>595</v>
      </c>
      <c r="C9" s="148" t="str">
        <f>'Annex 1 LV and HV charges'!D13</f>
        <v>Unit charge 1 (NHH)
or red/black charge (HH)
p/kWh</v>
      </c>
      <c r="D9" s="148" t="str">
        <f>'Annex 1 LV and HV charges'!E13</f>
        <v>Unit charge 2 (NHH)
or amber/yellow charge (HH)
p/kWh</v>
      </c>
      <c r="E9" s="148" t="str">
        <f>'Annex 1 LV and HV charges'!F13</f>
        <v>Green charge(HH)
p/kWh</v>
      </c>
      <c r="F9" s="148" t="str">
        <f>'Annex 1 LV and HV charges'!G13</f>
        <v>Fixed charge p/MPAN/day</v>
      </c>
      <c r="G9" s="148" t="str">
        <f>'Annex 1 LV and HV charges'!H13</f>
        <v>Capacity charge p/kVA/day</v>
      </c>
      <c r="H9" s="148" t="str">
        <f>'Annex 1 LV and HV charges'!I13</f>
        <v>Exceeded capacity charge
p/kVA/day</v>
      </c>
      <c r="I9" s="148" t="str">
        <f>'Annex 1 LV and HV charges'!J13</f>
        <v>Reactive power charge
p/kVArh</v>
      </c>
      <c r="L9" s="147" t="s">
        <v>596</v>
      </c>
      <c r="M9" s="167" t="str">
        <f>'Annex 2 EHV charges'!H10</f>
        <v>Import
Super Red
unit charge
(p/kWh)</v>
      </c>
      <c r="N9" s="167" t="str">
        <f>'Annex 2 EHV charges'!I10</f>
        <v>Import
fixed charge
(p/day)</v>
      </c>
      <c r="O9" s="167" t="str">
        <f>'Annex 2 EHV charges'!J10</f>
        <v>Import
capacity charge
(p/kVA/day)</v>
      </c>
      <c r="P9" s="167" t="str">
        <f>'Annex 2 EHV charges'!K10</f>
        <v>Import
exceeded capacity charge
(p/kVA/day)</v>
      </c>
      <c r="Q9" s="168" t="str">
        <f>'Annex 2 EHV charges'!L10</f>
        <v>Export
Super Red
unit charge
(p/kWh)</v>
      </c>
      <c r="R9" s="168" t="str">
        <f>'Annex 2 EHV charges'!M10</f>
        <v>Export
fixed charge
(p/day)</v>
      </c>
      <c r="S9" s="168" t="str">
        <f>'Annex 2 EHV charges'!N10</f>
        <v>Export
capacity charge
(p/kVA/day)</v>
      </c>
      <c r="T9" s="168" t="str">
        <f>'Annex 2 EHV charges'!O10</f>
        <v>Export
exceeded capacity charge
(p/kVA/day)</v>
      </c>
    </row>
    <row r="10" spans="1:156" ht="30" customHeight="1" x14ac:dyDescent="0.2">
      <c r="B10" s="135"/>
      <c r="C10" s="162" t="str">
        <f>IFERROR(VLOOKUP($B$10,'Annex 1 LV and HV charges'!$A:$K,4,FALSE),"")</f>
        <v/>
      </c>
      <c r="D10" s="163" t="str">
        <f>IFERROR(VLOOKUP($B$10,'Annex 1 LV and HV charges'!$A:$K,5,FALSE),"")</f>
        <v/>
      </c>
      <c r="E10" s="163" t="str">
        <f>IFERROR(VLOOKUP($B$10,'Annex 1 LV and HV charges'!$A:$K,6,FALSE),"")</f>
        <v/>
      </c>
      <c r="F10" s="137" t="str">
        <f>IFERROR(VLOOKUP($B$10,'Annex 1 LV and HV charges'!$A:$K,7,FALSE),"")</f>
        <v/>
      </c>
      <c r="G10" s="137" t="str">
        <f>IFERROR(VLOOKUP($B$10,'Annex 1 LV and HV charges'!$A:$K,8,FALSE),"")</f>
        <v/>
      </c>
      <c r="H10" s="137" t="str">
        <f>IFERROR(VLOOKUP($B$10,'Annex 1 LV and HV charges'!$A:$K,9,FALSE),"")</f>
        <v/>
      </c>
      <c r="I10" s="137" t="str">
        <f>IFERROR(VLOOKUP($B$10,'Annex 1 LV and HV charges'!$A:$K,10,FALSE),"")</f>
        <v/>
      </c>
      <c r="L10" s="135"/>
      <c r="M10" s="137" t="str">
        <f>IFERROR(VLOOKUP($L$10,'Annex 2 EHV charges'!$G:$O,2,FALSE),"")</f>
        <v/>
      </c>
      <c r="N10" s="137" t="str">
        <f>IFERROR(VLOOKUP($L$10,'Annex 2 EHV charges'!$G:$O,3,FALSE),"")</f>
        <v/>
      </c>
      <c r="O10" s="137" t="str">
        <f>IFERROR(VLOOKUP($L$10,'Annex 2 EHV charges'!$G:$O,4,FALSE),"")</f>
        <v/>
      </c>
      <c r="P10" s="137" t="str">
        <f>IFERROR(VLOOKUP($L$10,'Annex 2 EHV charges'!$G:$O,5,FALSE),"")</f>
        <v/>
      </c>
      <c r="Q10" s="150" t="str">
        <f>IFERROR(VLOOKUP($L$10,'Annex 2 EHV charges'!$G:$O,6,FALSE),"")</f>
        <v/>
      </c>
      <c r="R10" s="150" t="str">
        <f>IFERROR(VLOOKUP($L$10,'Annex 2 EHV charges'!$G:$O,7,FALSE),"")</f>
        <v/>
      </c>
      <c r="S10" s="150" t="str">
        <f>IFERROR(VLOOKUP($L$10,'Annex 2 EHV charges'!$G:$O,8,FALSE),"")</f>
        <v/>
      </c>
      <c r="T10" s="150" t="str">
        <f>IFERROR(VLOOKUP($L$10,'Annex 2 EHV charges'!$G:$O,9,FALSE),"")</f>
        <v/>
      </c>
    </row>
    <row r="11" spans="1:156" ht="7.5" customHeight="1" x14ac:dyDescent="0.2"/>
    <row r="12" spans="1:156" ht="88.5" customHeight="1" x14ac:dyDescent="0.2">
      <c r="B12" s="151" t="s">
        <v>557</v>
      </c>
      <c r="C12" s="148" t="s">
        <v>571</v>
      </c>
      <c r="D12" s="148" t="s">
        <v>572</v>
      </c>
      <c r="E12" s="148" t="s">
        <v>573</v>
      </c>
      <c r="F12" s="148" t="s">
        <v>558</v>
      </c>
      <c r="G12" s="148" t="s">
        <v>555</v>
      </c>
      <c r="H12" s="148" t="s">
        <v>736</v>
      </c>
      <c r="I12" s="148" t="s">
        <v>556</v>
      </c>
      <c r="L12" s="151" t="s">
        <v>557</v>
      </c>
      <c r="M12" s="148" t="s">
        <v>581</v>
      </c>
      <c r="N12" s="148" t="s">
        <v>558</v>
      </c>
      <c r="O12" s="148" t="s">
        <v>577</v>
      </c>
      <c r="P12" s="148" t="s">
        <v>736</v>
      </c>
      <c r="Q12" s="149" t="s">
        <v>579</v>
      </c>
      <c r="R12" s="149" t="s">
        <v>558</v>
      </c>
      <c r="S12" s="149" t="s">
        <v>578</v>
      </c>
      <c r="T12" s="149" t="s">
        <v>736</v>
      </c>
    </row>
    <row r="13" spans="1:156" ht="30" customHeight="1" x14ac:dyDescent="0.2">
      <c r="B13" s="152" t="s">
        <v>559</v>
      </c>
      <c r="C13" s="157"/>
      <c r="D13" s="157"/>
      <c r="E13" s="157"/>
      <c r="F13" s="157"/>
      <c r="G13" s="157"/>
      <c r="H13" s="157"/>
      <c r="I13" s="157"/>
      <c r="L13" s="152" t="s">
        <v>559</v>
      </c>
      <c r="M13" s="138"/>
      <c r="N13" s="138"/>
      <c r="O13" s="138"/>
      <c r="P13" s="138"/>
      <c r="Q13" s="139"/>
      <c r="R13" s="139">
        <f>N13</f>
        <v>0</v>
      </c>
      <c r="S13" s="139"/>
      <c r="T13" s="139"/>
    </row>
    <row r="14" spans="1:156" ht="30" customHeight="1" x14ac:dyDescent="0.2">
      <c r="B14" s="153" t="s">
        <v>561</v>
      </c>
      <c r="C14" s="136">
        <f>C13</f>
        <v>0</v>
      </c>
      <c r="D14" s="136">
        <f t="shared" ref="D14:G14" si="0">D13</f>
        <v>0</v>
      </c>
      <c r="E14" s="136">
        <f t="shared" si="0"/>
        <v>0</v>
      </c>
      <c r="F14" s="136">
        <f t="shared" si="0"/>
        <v>0</v>
      </c>
      <c r="G14" s="136">
        <f t="shared" si="0"/>
        <v>0</v>
      </c>
      <c r="H14" s="136">
        <f>H13</f>
        <v>0</v>
      </c>
      <c r="I14" s="136">
        <f>I13</f>
        <v>0</v>
      </c>
      <c r="L14" s="153" t="s">
        <v>561</v>
      </c>
      <c r="M14" s="136">
        <f>M13</f>
        <v>0</v>
      </c>
      <c r="N14" s="136">
        <f t="shared" ref="N14:T14" si="1">N13</f>
        <v>0</v>
      </c>
      <c r="O14" s="136">
        <f t="shared" si="1"/>
        <v>0</v>
      </c>
      <c r="P14" s="136">
        <f t="shared" si="1"/>
        <v>0</v>
      </c>
      <c r="Q14" s="140">
        <f t="shared" si="1"/>
        <v>0</v>
      </c>
      <c r="R14" s="140">
        <f t="shared" si="1"/>
        <v>0</v>
      </c>
      <c r="S14" s="140">
        <f t="shared" si="1"/>
        <v>0</v>
      </c>
      <c r="T14" s="140">
        <f t="shared" si="1"/>
        <v>0</v>
      </c>
    </row>
    <row r="15" spans="1:156" ht="7.5" customHeight="1" x14ac:dyDescent="0.2"/>
    <row r="16" spans="1:156" ht="63.75" customHeight="1" x14ac:dyDescent="0.2">
      <c r="B16" s="151" t="s">
        <v>560</v>
      </c>
      <c r="C16" s="148" t="s">
        <v>574</v>
      </c>
      <c r="D16" s="148" t="s">
        <v>575</v>
      </c>
      <c r="E16" s="148" t="s">
        <v>576</v>
      </c>
      <c r="F16" s="148" t="s">
        <v>566</v>
      </c>
      <c r="G16" s="148" t="s">
        <v>565</v>
      </c>
      <c r="H16" s="148" t="s">
        <v>737</v>
      </c>
      <c r="I16" s="148" t="s">
        <v>564</v>
      </c>
      <c r="L16" s="151" t="s">
        <v>560</v>
      </c>
      <c r="M16" s="148" t="s">
        <v>582</v>
      </c>
      <c r="N16" s="148" t="s">
        <v>580</v>
      </c>
      <c r="O16" s="148" t="s">
        <v>585</v>
      </c>
      <c r="P16" s="148" t="s">
        <v>738</v>
      </c>
      <c r="Q16" s="149" t="s">
        <v>583</v>
      </c>
      <c r="R16" s="149" t="s">
        <v>584</v>
      </c>
      <c r="S16" s="149" t="s">
        <v>586</v>
      </c>
      <c r="T16" s="149" t="s">
        <v>739</v>
      </c>
    </row>
    <row r="17" spans="2:20" ht="30" customHeight="1" x14ac:dyDescent="0.2">
      <c r="B17" s="152" t="s">
        <v>562</v>
      </c>
      <c r="C17" s="158" t="str">
        <f>IFERROR(C10*C13/100,"")</f>
        <v/>
      </c>
      <c r="D17" s="158" t="str">
        <f t="shared" ref="D17:I17" si="2">IFERROR(D10*D13/100,"")</f>
        <v/>
      </c>
      <c r="E17" s="158" t="str">
        <f t="shared" si="2"/>
        <v/>
      </c>
      <c r="F17" s="158" t="str">
        <f t="shared" si="2"/>
        <v/>
      </c>
      <c r="G17" s="158" t="str">
        <f>IFERROR(G10*G13*F13/100,"")</f>
        <v/>
      </c>
      <c r="H17" s="158" t="str">
        <f>IFERROR(H10*H13*F13/100,"")</f>
        <v/>
      </c>
      <c r="I17" s="158" t="str">
        <f t="shared" si="2"/>
        <v/>
      </c>
      <c r="L17" s="154" t="s">
        <v>562</v>
      </c>
      <c r="M17" s="158" t="str">
        <f>IFERROR(M10*M13/100,"")</f>
        <v/>
      </c>
      <c r="N17" s="158" t="str">
        <f>IFERROR(N10*N13/100,"")</f>
        <v/>
      </c>
      <c r="O17" s="158" t="str">
        <f>IFERROR(O10*O13*N13/100,"")</f>
        <v/>
      </c>
      <c r="P17" s="158" t="str">
        <f>IFERROR(P10*P13*N13/100,"")</f>
        <v/>
      </c>
      <c r="Q17" s="159" t="str">
        <f>IFERROR(Q10*Q13/100,"")</f>
        <v/>
      </c>
      <c r="R17" s="159" t="str">
        <f>IFERROR(R10*R13/100,"")</f>
        <v/>
      </c>
      <c r="S17" s="159" t="str">
        <f>IFERROR(S10*S13*R13/100,"")</f>
        <v/>
      </c>
      <c r="T17" s="159" t="str">
        <f>IFERROR(T10*T13*R13/100,"")</f>
        <v/>
      </c>
    </row>
    <row r="18" spans="2:20" ht="30" customHeight="1" x14ac:dyDescent="0.2">
      <c r="B18" s="153" t="s">
        <v>563</v>
      </c>
      <c r="C18" s="160" t="str">
        <f>IFERROR(C10*C14/100,"")</f>
        <v/>
      </c>
      <c r="D18" s="160" t="str">
        <f t="shared" ref="D18:I18" si="3">IFERROR(D10*D14/100,"")</f>
        <v/>
      </c>
      <c r="E18" s="160" t="str">
        <f t="shared" si="3"/>
        <v/>
      </c>
      <c r="F18" s="160" t="str">
        <f t="shared" si="3"/>
        <v/>
      </c>
      <c r="G18" s="160" t="str">
        <f>IFERROR(G10*G14*F14/100,"")</f>
        <v/>
      </c>
      <c r="H18" s="160" t="str">
        <f>IFERROR(H10*H14*F14/100,"")</f>
        <v/>
      </c>
      <c r="I18" s="160" t="str">
        <f t="shared" si="3"/>
        <v/>
      </c>
      <c r="L18" s="155" t="s">
        <v>563</v>
      </c>
      <c r="M18" s="160" t="str">
        <f>IFERROR(M10*M14/100,"")</f>
        <v/>
      </c>
      <c r="N18" s="160" t="str">
        <f t="shared" ref="N18" si="4">IFERROR(N10*N14/100,"")</f>
        <v/>
      </c>
      <c r="O18" s="160" t="str">
        <f>IFERROR(O10*O14*N14/100,"")</f>
        <v/>
      </c>
      <c r="P18" s="160" t="str">
        <f>IFERROR(P10*P14*N14/100,"")</f>
        <v/>
      </c>
      <c r="Q18" s="161" t="str">
        <f>IFERROR(Q10*Q14/100,"")</f>
        <v/>
      </c>
      <c r="R18" s="161" t="str">
        <f t="shared" ref="R18" si="5">IFERROR(R10*R14/100,"")</f>
        <v/>
      </c>
      <c r="S18" s="161" t="str">
        <f>IFERROR(S10*S14*R14/100,"")</f>
        <v/>
      </c>
      <c r="T18" s="161" t="str">
        <f>IFERROR(T10*T14*R14/100,"")</f>
        <v/>
      </c>
    </row>
    <row r="19" spans="2:20" ht="7.5" customHeight="1" x14ac:dyDescent="0.2"/>
    <row r="20" spans="2:20" ht="39.75" customHeight="1" x14ac:dyDescent="0.2">
      <c r="C20" s="156" t="s">
        <v>567</v>
      </c>
      <c r="M20" s="148" t="s">
        <v>587</v>
      </c>
      <c r="N20" s="149" t="s">
        <v>588</v>
      </c>
    </row>
    <row r="21" spans="2:20" ht="30" customHeight="1" x14ac:dyDescent="0.2">
      <c r="B21" s="152" t="s">
        <v>562</v>
      </c>
      <c r="C21" s="158">
        <f>SUM(C17:I17)</f>
        <v>0</v>
      </c>
      <c r="L21" s="152" t="s">
        <v>562</v>
      </c>
      <c r="M21" s="158">
        <f>SUM(M17:P17)</f>
        <v>0</v>
      </c>
      <c r="N21" s="159">
        <f>SUM(Q17:T17)</f>
        <v>0</v>
      </c>
    </row>
    <row r="22" spans="2:20" ht="30" customHeight="1" x14ac:dyDescent="0.2">
      <c r="B22" s="153" t="s">
        <v>563</v>
      </c>
      <c r="C22" s="160">
        <f>SUM(C18:I18)</f>
        <v>0</v>
      </c>
      <c r="L22" s="153" t="s">
        <v>563</v>
      </c>
      <c r="M22" s="160">
        <f>SUM(M18:P18)</f>
        <v>0</v>
      </c>
      <c r="N22" s="161">
        <f>SUM(Q18:T18)</f>
        <v>0</v>
      </c>
    </row>
    <row r="24" spans="2:20" ht="30.75" customHeight="1" x14ac:dyDescent="0.2">
      <c r="B24" s="290" t="s">
        <v>589</v>
      </c>
      <c r="C24" s="291"/>
      <c r="D24" s="292"/>
      <c r="L24" s="290" t="s">
        <v>590</v>
      </c>
      <c r="M24" s="291"/>
      <c r="N24" s="292"/>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charges'!$A$14:$A$46</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charges'!$G$11:$G$511</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Designated EHV Prop</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Designated EHV Prop'!Print_Area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6 New Designated EHV Prop'!Print_Titles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2020-10-22T13:37:29Z</dcterms:created>
  <dcterms:modified xsi:type="dcterms:W3CDTF">2020-10-22T13:51:53Z</dcterms:modified>
</cp:coreProperties>
</file>